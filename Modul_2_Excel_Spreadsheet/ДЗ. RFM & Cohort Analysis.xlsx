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📄 Завдання" sheetId="1" r:id="rId5"/>
    <sheet state="visible" name="📋 Реєстрації" sheetId="2" r:id="rId6"/>
    <sheet state="visible" name="📋 Транзакції" sheetId="3" r:id="rId7"/>
    <sheet state="visible" name="💸 Маркетинг" sheetId="4" r:id="rId8"/>
    <sheet state="visible" name="👥 Клієнти" sheetId="5" r:id="rId9"/>
    <sheet state="visible" name="🧮 RFM" sheetId="6" r:id="rId10"/>
    <sheet state="visible" name="📊 Retention" sheetId="7" r:id="rId11"/>
    <sheet state="visible" name="🌡️ Retention %" sheetId="8" r:id="rId12"/>
    <sheet state="visible" name="💰 LTV" sheetId="9" r:id="rId13"/>
    <sheet state="visible" name="⭐ Бонус" sheetId="10" r:id="rId14"/>
  </sheets>
  <definedNames/>
  <calcPr/>
</workbook>
</file>

<file path=xl/sharedStrings.xml><?xml version="1.0" encoding="utf-8"?>
<sst xmlns="http://schemas.openxmlformats.org/spreadsheetml/2006/main" count="16788" uniqueCount="4419">
  <si>
    <t>Домашнє завдання: RFM + Когортний аналіз</t>
  </si>
  <si>
    <t>КОНТЕКСТ</t>
  </si>
  <si>
    <t>Ви — аналітик у SaaS-продукті. Кожен користувач проходить через 7-денний безкоштовний тріал, після чого частина конвертується у платну підписку $19.99/місяць. Підписка продовжується автоматично щомісяця, поки клієнт не скасує. Юзери приходять з 5 каналів трафіку.</t>
  </si>
  <si>
    <t>Ваше завдання — проаналізувати базу платних клієнтів двома методами:</t>
  </si>
  <si>
    <t>1.  RFM — сегментувати клієнтів за їхньою поведінкою у підписці</t>
  </si>
  <si>
    <t>2.  Когортний аналіз — порівняти retention і LTV між когортами за місяцем реєстрації</t>
  </si>
  <si>
    <t>ДАНІ У ФАЙЛІ</t>
  </si>
  <si>
    <t>📋 Реєстрації — список клієнтів з датою реєстрації, каналом, країною (тільки платні)</t>
  </si>
  <si>
    <t>📋 Транзакції — історія усіх транзакцій клієнтів (тріал + місячна підписка), одна транзакція = один рядок</t>
  </si>
  <si>
    <t>💸 Маркетинг — витрати на рекламу по каналам і місяцям (для бонусного завдання)</t>
  </si>
  <si>
    <t>ЩО ЗРОБИТИ</t>
  </si>
  <si>
    <t>КРОК 1 — Заповніть аркуш 👥 Клієнти - унікальні клієнти з інформацією по ним</t>
  </si>
  <si>
    <t xml:space="preserve">   Для кожного клієнта порахуйте формулами:</t>
  </si>
  <si>
    <t xml:space="preserve">   • First Payment — дата початку першої платної підписки (INDEX+MATCH по start_date де plan_type=monthly)</t>
  </si>
  <si>
    <t xml:space="preserve">   • Cohort Month — когорта, тобто місяць першого платежу (TEXT)</t>
  </si>
  <si>
    <t xml:space="preserve">   • Paid Months — скільки платних підписок у клієнта</t>
  </si>
  <si>
    <t xml:space="preserve">   • Total Revenue — загальна виручка від клієнта</t>
  </si>
  <si>
    <t>• Recency (міс) — скільки місяців від останньої оплати до snapshot (snapshot - максимальна дата в таблиці Транзакції)</t>
  </si>
  <si>
    <t xml:space="preserve">   • Колонки М+0..М+11 — чи мав клієнт оплати у кожному календарному місяці когорти</t>
  </si>
  <si>
    <t xml:space="preserve">   • Колонки $M+0..$M+11 — виручка клієнта у кожному наступному місяці</t>
  </si>
  <si>
    <t>КРОК 2 — Заповніть аркуш 🧮 RFM</t>
  </si>
  <si>
    <t xml:space="preserve">   • R-score, F-score, M-score через PERCENTRANK та проставте бали від 1 до 5, як це робили в лекційному документі</t>
  </si>
  <si>
    <t xml:space="preserve">   • R-score інвертується: менша Recency → вищий бал</t>
  </si>
  <si>
    <t xml:space="preserve">   • Визначіть сегмент кожного клієнта: Champions / Loyal / New Customers / At Risk / Lost / Promising</t>
  </si>
  <si>
    <t>КРОК 3 — Заповніть аркуш 📊 Retention (трикутник) використовуючи попередні розрахунки</t>
  </si>
  <si>
    <t>• Клієнтів — кількість платних клієнтів у когорті</t>
  </si>
  <si>
    <t xml:space="preserve">• М+0..М+11 — скільки унікальних клієнтів когорти робили оплати у N-му місяці </t>
  </si>
  <si>
    <t>КРОК 4 — Заповніть аркуш 🌡️ Retention %</t>
  </si>
  <si>
    <t xml:space="preserve">   • Розрахуйте відсотки утримання на кожен місяць M+N для кожної когорти</t>
  </si>
  <si>
    <t xml:space="preserve">   • Додайте умовне форматування з тепловою картою</t>
  </si>
  <si>
    <t xml:space="preserve">   • Зобразіть візуально Retention-криві на графіку (мінімум для 6 когорт)</t>
  </si>
  <si>
    <t>КРОК 5 — Заповніть аркуш 💰 LTV</t>
  </si>
  <si>
    <t xml:space="preserve">   Два блоки на одному аркуші:</t>
  </si>
  <si>
    <t xml:space="preserve">   • ARPU блок — виручка на одного клієнта за окремий M+N місяць</t>
  </si>
  <si>
    <t xml:space="preserve">   • LTV блок — кумулятивна сума ARPU за М+0..М+N місяці</t>
  </si>
  <si>
    <t>ПИТАННЯ ДЛЯ ВИСНОВКІВ</t>
  </si>
  <si>
    <t>Дайте відповіді на питання. Відповіді мають бути в одному видному місці.</t>
  </si>
  <si>
    <t>1.  Який найбільший сегмент у RFM? Яка частка Champions?</t>
  </si>
  <si>
    <t>2.  Яка когорта має найвищий retention на 6-му місяці?</t>
  </si>
  <si>
    <t>3.  Який LTV М+6 у середньому по когортах?</t>
  </si>
  <si>
    <t>4.  Що Ви запропонуєте маркетингу та продукту на основі висновків?</t>
  </si>
  <si>
    <t>⭐ БОНУС — ROI по каналах</t>
  </si>
  <si>
    <t>Порахуйте LTV по каналах трафіку (channel з 📋 Юзери). Порівняйте з витратами (💸 Маркетинг).</t>
  </si>
  <si>
    <t>CAC = витрати на канал / кількість платних клієнтів з каналу</t>
  </si>
  <si>
    <t>LTV/CAC &gt; 1 → канал здоровий, LTV/CAC &gt; 3 → канал треба активно масштабувати. Який канал рекомендуєте масштабувати?</t>
  </si>
  <si>
    <t>Порахуйте ЗАГАЛЬНУ окупність маркетингу:</t>
  </si>
  <si>
    <t xml:space="preserve">    • Загальна виручка від платних каналів (Google+FB+TikTok) vs загальні витрати</t>
  </si>
  <si>
    <t xml:space="preserve">    • Загальний LTV/CAC по всьому платному маркетингу — чи інвестуємо в рекламу прибутково?</t>
  </si>
  <si>
    <t>📋 Реєстрації</t>
  </si>
  <si>
    <t>user_id</t>
  </si>
  <si>
    <t>signup_date</t>
  </si>
  <si>
    <t>country</t>
  </si>
  <si>
    <t>channel</t>
  </si>
  <si>
    <t>U0206</t>
  </si>
  <si>
    <t>PL</t>
  </si>
  <si>
    <t>Google Ads</t>
  </si>
  <si>
    <t>U0209</t>
  </si>
  <si>
    <t>FR</t>
  </si>
  <si>
    <t>Facebook Ads</t>
  </si>
  <si>
    <t>U0516</t>
  </si>
  <si>
    <t>DE</t>
  </si>
  <si>
    <t>TikTok Ads</t>
  </si>
  <si>
    <t>U0245</t>
  </si>
  <si>
    <t>UK</t>
  </si>
  <si>
    <t>Referral</t>
  </si>
  <si>
    <t>U0291</t>
  </si>
  <si>
    <t>US</t>
  </si>
  <si>
    <t>Organic</t>
  </si>
  <si>
    <t>U0408</t>
  </si>
  <si>
    <t>UA</t>
  </si>
  <si>
    <t>U0883</t>
  </si>
  <si>
    <t>U0333</t>
  </si>
  <si>
    <t>U0172</t>
  </si>
  <si>
    <t>U0641</t>
  </si>
  <si>
    <t>U0879</t>
  </si>
  <si>
    <t>U0238</t>
  </si>
  <si>
    <t>U0357</t>
  </si>
  <si>
    <t>U0378</t>
  </si>
  <si>
    <t>U0795</t>
  </si>
  <si>
    <t>U0011</t>
  </si>
  <si>
    <t>U0099</t>
  </si>
  <si>
    <t>U0457</t>
  </si>
  <si>
    <t>U0372</t>
  </si>
  <si>
    <t>U0899</t>
  </si>
  <si>
    <t>U0073</t>
  </si>
  <si>
    <t>U0129</t>
  </si>
  <si>
    <t>U0841</t>
  </si>
  <si>
    <t>U0875</t>
  </si>
  <si>
    <t>U0558</t>
  </si>
  <si>
    <t>U0425</t>
  </si>
  <si>
    <t>U0629</t>
  </si>
  <si>
    <t>U0819</t>
  </si>
  <si>
    <t>U0059</t>
  </si>
  <si>
    <t>U0292</t>
  </si>
  <si>
    <t>U0611</t>
  </si>
  <si>
    <t>U0702</t>
  </si>
  <si>
    <t>U0169</t>
  </si>
  <si>
    <t>U0146</t>
  </si>
  <si>
    <t>U0286</t>
  </si>
  <si>
    <t>U0301</t>
  </si>
  <si>
    <t>U0459</t>
  </si>
  <si>
    <t>U0487</t>
  </si>
  <si>
    <t>U0705</t>
  </si>
  <si>
    <t>U0529</t>
  </si>
  <si>
    <t>U0149</t>
  </si>
  <si>
    <t>U0857</t>
  </si>
  <si>
    <t>U0336</t>
  </si>
  <si>
    <t>U0473</t>
  </si>
  <si>
    <t>U0375</t>
  </si>
  <si>
    <t>U0723</t>
  </si>
  <si>
    <t>U0765</t>
  </si>
  <si>
    <t>U0860</t>
  </si>
  <si>
    <t>U0033</t>
  </si>
  <si>
    <t>U0515</t>
  </si>
  <si>
    <t>U0600</t>
  </si>
  <si>
    <t>U0370</t>
  </si>
  <si>
    <t>U0435</t>
  </si>
  <si>
    <t>U0614</t>
  </si>
  <si>
    <t>U0165</t>
  </si>
  <si>
    <t>U0441</t>
  </si>
  <si>
    <t>U0437</t>
  </si>
  <si>
    <t>U0284</t>
  </si>
  <si>
    <t>U0884</t>
  </si>
  <si>
    <t>U0207</t>
  </si>
  <si>
    <t>U0440</t>
  </si>
  <si>
    <t>U0202</t>
  </si>
  <si>
    <t>U0371</t>
  </si>
  <si>
    <t>U0477</t>
  </si>
  <si>
    <t>U0665</t>
  </si>
  <si>
    <t>U0635</t>
  </si>
  <si>
    <t>U0038</t>
  </si>
  <si>
    <t>U0069</t>
  </si>
  <si>
    <t>U0587</t>
  </si>
  <si>
    <t>U0312</t>
  </si>
  <si>
    <t>U0124</t>
  </si>
  <si>
    <t>U0450</t>
  </si>
  <si>
    <t>U0100</t>
  </si>
  <si>
    <t>U0810</t>
  </si>
  <si>
    <t>U0900</t>
  </si>
  <si>
    <t>U0300</t>
  </si>
  <si>
    <t>U0651</t>
  </si>
  <si>
    <t>U0078</t>
  </si>
  <si>
    <t>U0673</t>
  </si>
  <si>
    <t>U0498</t>
  </si>
  <si>
    <t>U0410</t>
  </si>
  <si>
    <t>U0771</t>
  </si>
  <si>
    <t>U0110</t>
  </si>
  <si>
    <t>U0423</t>
  </si>
  <si>
    <t>U0540</t>
  </si>
  <si>
    <t>U0334</t>
  </si>
  <si>
    <t>U0520</t>
  </si>
  <si>
    <t>U0067</t>
  </si>
  <si>
    <t>U0668</t>
  </si>
  <si>
    <t>U0695</t>
  </si>
  <si>
    <t>U0319</t>
  </si>
  <si>
    <t>U0133</t>
  </si>
  <si>
    <t>U0755</t>
  </si>
  <si>
    <t>U0791</t>
  </si>
  <si>
    <t>U0577</t>
  </si>
  <si>
    <t>U0588</t>
  </si>
  <si>
    <t>U0704</t>
  </si>
  <si>
    <t>U0381</t>
  </si>
  <si>
    <t>U0557</t>
  </si>
  <si>
    <t>U0210</t>
  </si>
  <si>
    <t>U0431</t>
  </si>
  <si>
    <t>U0589</t>
  </si>
  <si>
    <t>U0727</t>
  </si>
  <si>
    <t>U0802</t>
  </si>
  <si>
    <t>U0833</t>
  </si>
  <si>
    <t>U0041</t>
  </si>
  <si>
    <t>U0295</t>
  </si>
  <si>
    <t>U0761</t>
  </si>
  <si>
    <t>U0563</t>
  </si>
  <si>
    <t>U0751</t>
  </si>
  <si>
    <t>U0876</t>
  </si>
  <si>
    <t>U0091</t>
  </si>
  <si>
    <t>U0005</t>
  </si>
  <si>
    <t>U0203</t>
  </si>
  <si>
    <t>U0461</t>
  </si>
  <si>
    <t>U0590</t>
  </si>
  <si>
    <t>U0430</t>
  </si>
  <si>
    <t>U0112</t>
  </si>
  <si>
    <t>U0645</t>
  </si>
  <si>
    <t>U0006</t>
  </si>
  <si>
    <t>U0235</t>
  </si>
  <si>
    <t>U0690</t>
  </si>
  <si>
    <t>U0168</t>
  </si>
  <si>
    <t>U0607</t>
  </si>
  <si>
    <t>U0896</t>
  </si>
  <si>
    <t>U0731</t>
  </si>
  <si>
    <t>U0118</t>
  </si>
  <si>
    <t>U0494</t>
  </si>
  <si>
    <t>U0176</t>
  </si>
  <si>
    <t>U0621</t>
  </si>
  <si>
    <t>U0016</t>
  </si>
  <si>
    <t>U0388</t>
  </si>
  <si>
    <t>U0853</t>
  </si>
  <si>
    <t>U0318</t>
  </si>
  <si>
    <t>U0671</t>
  </si>
  <si>
    <t>U0506</t>
  </si>
  <si>
    <t>U0593</t>
  </si>
  <si>
    <t>U0050</t>
  </si>
  <si>
    <t>U0343</t>
  </si>
  <si>
    <t>U0014</t>
  </si>
  <si>
    <t>U0354</t>
  </si>
  <si>
    <t>U0562</t>
  </si>
  <si>
    <t>U0603</t>
  </si>
  <si>
    <t>U0598</t>
  </si>
  <si>
    <t>U0855</t>
  </si>
  <si>
    <t>U0015</t>
  </si>
  <si>
    <t>U0834</t>
  </si>
  <si>
    <t>U0255</t>
  </si>
  <si>
    <t>U0722</t>
  </si>
  <si>
    <t>U0027</t>
  </si>
  <si>
    <t>U0669</t>
  </si>
  <si>
    <t>U0856</t>
  </si>
  <si>
    <t>U0226</t>
  </si>
  <si>
    <t>U0745</t>
  </si>
  <si>
    <t>U0045</t>
  </si>
  <si>
    <t>U0109</t>
  </si>
  <si>
    <t>U0694</t>
  </si>
  <si>
    <t>U0763</t>
  </si>
  <si>
    <t>U0586</t>
  </si>
  <si>
    <t>U0682</t>
  </si>
  <si>
    <t>U0190</t>
  </si>
  <si>
    <t>U0880</t>
  </si>
  <si>
    <t>U0298</t>
  </si>
  <si>
    <t>U0330</t>
  </si>
  <si>
    <t>U0214</t>
  </si>
  <si>
    <t>U0320</t>
  </si>
  <si>
    <t>U0888</t>
  </si>
  <si>
    <t>U0709</t>
  </si>
  <si>
    <t>U0538</t>
  </si>
  <si>
    <t>U0543</t>
  </si>
  <si>
    <t>U0872</t>
  </si>
  <si>
    <t>U0062</t>
  </si>
  <si>
    <t>U0106</t>
  </si>
  <si>
    <t>U0225</t>
  </si>
  <si>
    <t>U0159</t>
  </si>
  <si>
    <t>U0667</t>
  </si>
  <si>
    <t>U0831</t>
  </si>
  <si>
    <t>U0890</t>
  </si>
  <si>
    <t>U0132</t>
  </si>
  <si>
    <t>U0145</t>
  </si>
  <si>
    <t>U0237</t>
  </si>
  <si>
    <t>U0584</t>
  </si>
  <si>
    <t>U0023</t>
  </si>
  <si>
    <t>U0017</t>
  </si>
  <si>
    <t>U0150</t>
  </si>
  <si>
    <t>U0308</t>
  </si>
  <si>
    <t>U0418</t>
  </si>
  <si>
    <t>U0688</t>
  </si>
  <si>
    <t>U0467</t>
  </si>
  <si>
    <t>U0762</t>
  </si>
  <si>
    <t>U0144</t>
  </si>
  <si>
    <t>U0254</t>
  </si>
  <si>
    <t>U0387</t>
  </si>
  <si>
    <t>U0602</t>
  </si>
  <si>
    <t>U0618</t>
  </si>
  <si>
    <t>U0644</t>
  </si>
  <si>
    <t>U0691</t>
  </si>
  <si>
    <t>U0376</t>
  </si>
  <si>
    <t>U0405</t>
  </si>
  <si>
    <t>U0111</t>
  </si>
  <si>
    <t>U0697</t>
  </si>
  <si>
    <t>U0167</t>
  </si>
  <si>
    <t>U0642</t>
  </si>
  <si>
    <t>U0707</t>
  </si>
  <si>
    <t>U0047</t>
  </si>
  <si>
    <t>U0270</t>
  </si>
  <si>
    <t>U0380</t>
  </si>
  <si>
    <t>U0085</t>
  </si>
  <si>
    <t>U0493</t>
  </si>
  <si>
    <t>U0289</t>
  </si>
  <si>
    <t>U0657</t>
  </si>
  <si>
    <t>U0417</t>
  </si>
  <si>
    <t>U0528</t>
  </si>
  <si>
    <t>U0670</t>
  </si>
  <si>
    <t>U0020</t>
  </si>
  <si>
    <t>U0324</t>
  </si>
  <si>
    <t>U0411</t>
  </si>
  <si>
    <t>U0897</t>
  </si>
  <si>
    <t>U0103</t>
  </si>
  <si>
    <t>U0196</t>
  </si>
  <si>
    <t>U0395</t>
  </si>
  <si>
    <t>U0594</t>
  </si>
  <si>
    <t>U0224</t>
  </si>
  <si>
    <t>U0283</t>
  </si>
  <si>
    <t>U0626</t>
  </si>
  <si>
    <t>U0824</t>
  </si>
  <si>
    <t>U0269</t>
  </si>
  <si>
    <t>U0703</t>
  </si>
  <si>
    <t>U0134</t>
  </si>
  <si>
    <t>U0366</t>
  </si>
  <si>
    <t>U0228</t>
  </si>
  <si>
    <t>U0573</t>
  </si>
  <si>
    <t>U0678</t>
  </si>
  <si>
    <t>U0294</t>
  </si>
  <si>
    <t>U0024</t>
  </si>
  <si>
    <t>U0178</t>
  </si>
  <si>
    <t>U0894</t>
  </si>
  <si>
    <t>U0161</t>
  </si>
  <si>
    <t>U0345</t>
  </si>
  <si>
    <t>U0567</t>
  </si>
  <si>
    <t>U0565</t>
  </si>
  <si>
    <t>U0496</t>
  </si>
  <si>
    <t>U0570</t>
  </si>
  <si>
    <t>U0715</t>
  </si>
  <si>
    <t>U0774</t>
  </si>
  <si>
    <t>U0517</t>
  </si>
  <si>
    <t>U0079</t>
  </si>
  <si>
    <t>U0754</t>
  </si>
  <si>
    <t>U0827</t>
  </si>
  <si>
    <t>U0784</t>
  </si>
  <si>
    <t>U0466</t>
  </si>
  <si>
    <t>U0244</t>
  </si>
  <si>
    <t>U0823</t>
  </si>
  <si>
    <t>U0001</t>
  </si>
  <si>
    <t>U0828</t>
  </si>
  <si>
    <t>U0349</t>
  </si>
  <si>
    <t>U0838</t>
  </si>
  <si>
    <t>U0429</t>
  </si>
  <si>
    <t>U0282</t>
  </si>
  <si>
    <t>U0444</t>
  </si>
  <si>
    <t>U0640</t>
  </si>
  <si>
    <t>U0361</t>
  </si>
  <si>
    <t>U0623</t>
  </si>
  <si>
    <t>U0139</t>
  </si>
  <si>
    <t>U0195</t>
  </si>
  <si>
    <t>U0871</t>
  </si>
  <si>
    <t>U0606</t>
  </si>
  <si>
    <t>U0317</t>
  </si>
  <si>
    <t>U0636</t>
  </si>
  <si>
    <t>U0398</t>
  </si>
  <si>
    <t>U0453</t>
  </si>
  <si>
    <t>U0739</t>
  </si>
  <si>
    <t>U0788</t>
  </si>
  <si>
    <t>U0874</t>
  </si>
  <si>
    <t>U0131</t>
  </si>
  <si>
    <t>U0098</t>
  </si>
  <si>
    <t>U0287</t>
  </si>
  <si>
    <t>U0416</t>
  </si>
  <si>
    <t>U0809</t>
  </si>
  <si>
    <t>U0830</t>
  </si>
  <si>
    <t>U0392</t>
  </si>
  <si>
    <t>U0019</t>
  </si>
  <si>
    <t>U0512</t>
  </si>
  <si>
    <t>U0040</t>
  </si>
  <si>
    <t>U0714</t>
  </si>
  <si>
    <t>U0805</t>
  </si>
  <si>
    <t>U0025</t>
  </si>
  <si>
    <t>U0483</t>
  </si>
  <si>
    <t>U0539</t>
  </si>
  <si>
    <t>U0107</t>
  </si>
  <si>
    <t>U0329</t>
  </si>
  <si>
    <t>U0427</t>
  </si>
  <si>
    <t>U0311</t>
  </si>
  <si>
    <t>U0655</t>
  </si>
  <si>
    <t>U0344</t>
  </si>
  <si>
    <t>U0458</t>
  </si>
  <si>
    <t>U0627</t>
  </si>
  <si>
    <t>U0846</t>
  </si>
  <si>
    <t>U0865</t>
  </si>
  <si>
    <t>U0864</t>
  </si>
  <si>
    <t>U0130</t>
  </si>
  <si>
    <t>U0624</t>
  </si>
  <si>
    <t>U0793</t>
  </si>
  <si>
    <t>U0264</t>
  </si>
  <si>
    <t>U0302</t>
  </si>
  <si>
    <t>U0650</t>
  </si>
  <si>
    <t>U0351</t>
  </si>
  <si>
    <t>U0858</t>
  </si>
  <si>
    <t>U0104</t>
  </si>
  <si>
    <t>U0502</t>
  </si>
  <si>
    <t>U0816</t>
  </si>
  <si>
    <t>U0276</t>
  </si>
  <si>
    <t>U0849</t>
  </si>
  <si>
    <t>U0097</t>
  </si>
  <si>
    <t>U0549</t>
  </si>
  <si>
    <t>U0364</t>
  </si>
  <si>
    <t>U0456</t>
  </si>
  <si>
    <t>U0571</t>
  </si>
  <si>
    <t>U0066</t>
  </si>
  <si>
    <t>U0234</t>
  </si>
  <si>
    <t>U0288</t>
  </si>
  <si>
    <t>U0296</t>
  </si>
  <si>
    <t>U0863</t>
  </si>
  <si>
    <t>U0189</t>
  </si>
  <si>
    <t>U0143</t>
  </si>
  <si>
    <t>U0734</t>
  </si>
  <si>
    <t>U0744</t>
  </si>
  <si>
    <t>U0758</t>
  </si>
  <si>
    <t>U0090</t>
  </si>
  <si>
    <t>U0120</t>
  </si>
  <si>
    <t>U0674</t>
  </si>
  <si>
    <t>U0782</t>
  </si>
  <si>
    <t>U0339</t>
  </si>
  <si>
    <t>U0018</t>
  </si>
  <si>
    <t>U0028</t>
  </si>
  <si>
    <t>U0275</t>
  </si>
  <si>
    <t>U0701</t>
  </si>
  <si>
    <t>U0042</t>
  </si>
  <si>
    <t>U0403</t>
  </si>
  <si>
    <t>U0634</t>
  </si>
  <si>
    <t>U0637</t>
  </si>
  <si>
    <t>U0137</t>
  </si>
  <si>
    <t>U0475</t>
  </si>
  <si>
    <t>U0609</t>
  </si>
  <si>
    <t>U0173</t>
  </si>
  <si>
    <t>U0424</t>
  </si>
  <si>
    <t>U0480</t>
  </si>
  <si>
    <t>U0713</t>
  </si>
  <si>
    <t>U0748</t>
  </si>
  <si>
    <t>U0835</t>
  </si>
  <si>
    <t>U0048</t>
  </si>
  <si>
    <t>U0096</t>
  </si>
  <si>
    <t>U0307</t>
  </si>
  <si>
    <t>U0485</t>
  </si>
  <si>
    <t>U0554</t>
  </si>
  <si>
    <t>U0753</t>
  </si>
  <si>
    <t>U0256</t>
  </si>
  <si>
    <t>U0542</t>
  </si>
  <si>
    <t>U0261</t>
  </si>
  <si>
    <t>U0534</t>
  </si>
  <si>
    <t>U0566</t>
  </si>
  <si>
    <t>U0787</t>
  </si>
  <si>
    <t>U0798</t>
  </si>
  <si>
    <t>U0328</t>
  </si>
  <si>
    <t>U0850</t>
  </si>
  <si>
    <t>U0147</t>
  </si>
  <si>
    <t>U0170</t>
  </si>
  <si>
    <t>U0560</t>
  </si>
  <si>
    <t>U0804</t>
  </si>
  <si>
    <t>U0859</t>
  </si>
  <si>
    <t>U0750</t>
  </si>
  <si>
    <t>U0029</t>
  </si>
  <si>
    <t>U0299</t>
  </si>
  <si>
    <t>U0004</t>
  </si>
  <si>
    <t>U0478</t>
  </si>
  <si>
    <t>U0803</t>
  </si>
  <si>
    <t>U0817</t>
  </si>
  <si>
    <t>U0866</t>
  </si>
  <si>
    <t>U0285</t>
  </si>
  <si>
    <t>U0346</t>
  </si>
  <si>
    <t>U0426</t>
  </si>
  <si>
    <t>U0492</t>
  </si>
  <si>
    <t>U0545</t>
  </si>
  <si>
    <t>U0031</t>
  </si>
  <si>
    <t>U0205</t>
  </si>
  <si>
    <t>U0757</t>
  </si>
  <si>
    <t>U0082</t>
  </si>
  <si>
    <t>U0358</t>
  </si>
  <si>
    <t>U0464</t>
  </si>
  <si>
    <t>U0696</t>
  </si>
  <si>
    <t>U0792</t>
  </si>
  <si>
    <t>U0094</t>
  </si>
  <si>
    <t>U0350</t>
  </si>
  <si>
    <t>U0647</t>
  </si>
  <si>
    <t>U0725</t>
  </si>
  <si>
    <t>U0021</t>
  </si>
  <si>
    <t>U0211</t>
  </si>
  <si>
    <t>U0188</t>
  </si>
  <si>
    <t>U0521</t>
  </si>
  <si>
    <t>U0574</t>
  </si>
  <si>
    <t>U0055</t>
  </si>
  <si>
    <t>U0290</t>
  </si>
  <si>
    <t>U0009</t>
  </si>
  <si>
    <t>U0327</t>
  </si>
  <si>
    <t>U0452</t>
  </si>
  <si>
    <t>U0279</t>
  </si>
  <si>
    <t>U0177</t>
  </si>
  <si>
    <t>U0171</t>
  </si>
  <si>
    <t>U0212</t>
  </si>
  <si>
    <t>U0505</t>
  </si>
  <si>
    <t>U0267</t>
  </si>
  <si>
    <t>U0878</t>
  </si>
  <si>
    <t>U0684</t>
  </si>
  <si>
    <t>U0873</t>
  </si>
  <si>
    <t>U0010</t>
  </si>
  <si>
    <t>U0239</t>
  </si>
  <si>
    <t>U0436</t>
  </si>
  <si>
    <t>U0356</t>
  </si>
  <si>
    <t>U0561</t>
  </si>
  <si>
    <t>U0648</t>
  </si>
  <si>
    <t>U0842</t>
  </si>
  <si>
    <t>U0221</t>
  </si>
  <si>
    <t>U0115</t>
  </si>
  <si>
    <t>U0733</t>
  </si>
  <si>
    <t>U0419</t>
  </si>
  <si>
    <t>U0102</t>
  </si>
  <si>
    <t>U0201</t>
  </si>
  <si>
    <t>U0092</t>
  </si>
  <si>
    <t>U0213</t>
  </si>
  <si>
    <t>U0278</t>
  </si>
  <si>
    <t>U0353</t>
  </si>
  <si>
    <t>U0215</t>
  </si>
  <si>
    <t>U0316</t>
  </si>
  <si>
    <t>U0482</t>
  </si>
  <si>
    <t>U0610</t>
  </si>
  <si>
    <t>U0887</t>
  </si>
  <si>
    <t>U0039</t>
  </si>
  <si>
    <t>U0075</t>
  </si>
  <si>
    <t>U0088</t>
  </si>
  <si>
    <t>U0219</t>
  </si>
  <si>
    <t>U0374</t>
  </si>
  <si>
    <t>U0659</t>
  </si>
  <si>
    <t>U0481</t>
  </si>
  <si>
    <t>U0585</t>
  </si>
  <si>
    <t>U0230</t>
  </si>
  <si>
    <t>U0323</t>
  </si>
  <si>
    <t>U0462</t>
  </si>
  <si>
    <t>U0710</t>
  </si>
  <si>
    <t>U0597</t>
  </si>
  <si>
    <t>U0781</t>
  </si>
  <si>
    <t>U0347</t>
  </si>
  <si>
    <t>U0882</t>
  </si>
  <si>
    <t>U0304</t>
  </si>
  <si>
    <t>U0003</t>
  </si>
  <si>
    <t>U0806</t>
  </si>
  <si>
    <t>U0764</t>
  </si>
  <si>
    <t>U0087</t>
  </si>
  <si>
    <t>U0432</t>
  </si>
  <si>
    <t>U0572</t>
  </si>
  <si>
    <t>U0775</t>
  </si>
  <si>
    <t>U0885</t>
  </si>
  <si>
    <t>U0559</t>
  </si>
  <si>
    <t>U0026</t>
  </si>
  <si>
    <t>U0394</t>
  </si>
  <si>
    <t>U0861</t>
  </si>
  <si>
    <t>U0052</t>
  </si>
  <si>
    <t>U0451</t>
  </si>
  <si>
    <t>U0236</t>
  </si>
  <si>
    <t>U0326</t>
  </si>
  <si>
    <t>U0117</t>
  </si>
  <si>
    <t>U0421</t>
  </si>
  <si>
    <t>U0649</t>
  </si>
  <si>
    <t>U0620</t>
  </si>
  <si>
    <t>U0077</t>
  </si>
  <si>
    <t>U0332</t>
  </si>
  <si>
    <t>U0829</t>
  </si>
  <si>
    <t>U0628</t>
  </si>
  <si>
    <t>U0218</t>
  </si>
  <si>
    <t>U0068</t>
  </si>
  <si>
    <t>U0200</t>
  </si>
  <si>
    <t>U0400</t>
  </si>
  <si>
    <t>U0160</t>
  </si>
  <si>
    <t>U0280</t>
  </si>
  <si>
    <t>U0877</t>
  </si>
  <si>
    <t>U0231</t>
  </si>
  <si>
    <t>U0728</t>
  </si>
  <si>
    <t>U0385</t>
  </si>
  <si>
    <t>U0535</t>
  </si>
  <si>
    <t>U0076</t>
  </si>
  <si>
    <t>U0108</t>
  </si>
  <si>
    <t>U0448</t>
  </si>
  <si>
    <t>U0093</t>
  </si>
  <si>
    <t>U0510</t>
  </si>
  <si>
    <t>U0550</t>
  </si>
  <si>
    <t>U0612</t>
  </si>
  <si>
    <t>U0654</t>
  </si>
  <si>
    <t>U0720</t>
  </si>
  <si>
    <t>U0767</t>
  </si>
  <si>
    <t>U0121</t>
  </si>
  <si>
    <t>U0352</t>
  </si>
  <si>
    <t>U0315</t>
  </si>
  <si>
    <t>U0438</t>
  </si>
  <si>
    <t>U0615</t>
  </si>
  <si>
    <t>U0854</t>
  </si>
  <si>
    <t>U0531</t>
  </si>
  <si>
    <t>U0377</t>
  </si>
  <si>
    <t>U0524</t>
  </si>
  <si>
    <t>U0681</t>
  </si>
  <si>
    <t>U0445</t>
  </si>
  <si>
    <t>U0525</t>
  </si>
  <si>
    <t>U0815</t>
  </si>
  <si>
    <t>U0736</t>
  </si>
  <si>
    <t>U0063</t>
  </si>
  <si>
    <t>U0406</t>
  </si>
  <si>
    <t>U0119</t>
  </si>
  <si>
    <t>U0293</t>
  </si>
  <si>
    <t>U0759</t>
  </si>
  <si>
    <t>U0474</t>
  </si>
  <si>
    <t>U0271</t>
  </si>
  <si>
    <t>U0893</t>
  </si>
  <si>
    <t>U0504</t>
  </si>
  <si>
    <t>U0812</t>
  </si>
  <si>
    <t>U0869</t>
  </si>
  <si>
    <t>U0404</t>
  </si>
  <si>
    <t>U0768</t>
  </si>
  <si>
    <t>U0892</t>
  </si>
  <si>
    <t>U0390</t>
  </si>
  <si>
    <t>U0265</t>
  </si>
  <si>
    <t>U0384</t>
  </si>
  <si>
    <t>U0632</t>
  </si>
  <si>
    <t>U0116</t>
  </si>
  <si>
    <t>U0273</t>
  </si>
  <si>
    <t>U0428</t>
  </si>
  <si>
    <t>U0898</t>
  </si>
  <si>
    <t>U0595</t>
  </si>
  <si>
    <t>U0770</t>
  </si>
  <si>
    <t>U0013</t>
  </si>
  <si>
    <t>U0114</t>
  </si>
  <si>
    <t>U0796</t>
  </si>
  <si>
    <t>U0552</t>
  </si>
  <si>
    <t>U0198</t>
  </si>
  <si>
    <t>U0468</t>
  </si>
  <si>
    <t>U0708</t>
  </si>
  <si>
    <t>U0081</t>
  </si>
  <si>
    <t>U0272</t>
  </si>
  <si>
    <t>U0537</t>
  </si>
  <si>
    <t>U0772</t>
  </si>
  <si>
    <t>U0281</t>
  </si>
  <si>
    <t>U0337</t>
  </si>
  <si>
    <t>U0514</t>
  </si>
  <si>
    <t>U0746</t>
  </si>
  <si>
    <t>U0814</t>
  </si>
  <si>
    <t>U0513</t>
  </si>
  <si>
    <t>U0002</t>
  </si>
  <si>
    <t>U0053</t>
  </si>
  <si>
    <t>U0442</t>
  </si>
  <si>
    <t>U0257</t>
  </si>
  <si>
    <t>U0476</t>
  </si>
  <si>
    <t>U0536</t>
  </si>
  <si>
    <t>U0465</t>
  </si>
  <si>
    <t>U0576</t>
  </si>
  <si>
    <t>U0412</t>
  </si>
  <si>
    <t>U0446</t>
  </si>
  <si>
    <t>U0752</t>
  </si>
  <si>
    <t>U0012</t>
  </si>
  <si>
    <t>U0807</t>
  </si>
  <si>
    <t>U0034</t>
  </si>
  <si>
    <t>U0306</t>
  </si>
  <si>
    <t>U0409</t>
  </si>
  <si>
    <t>U0479</t>
  </si>
  <si>
    <t>U0716</t>
  </si>
  <si>
    <t>U0070</t>
  </si>
  <si>
    <t>U0447</t>
  </si>
  <si>
    <t>U0035</t>
  </si>
  <si>
    <t>U0044</t>
  </si>
  <si>
    <t>U0325</t>
  </si>
  <si>
    <t>U0396</t>
  </si>
  <si>
    <t>U0413</t>
  </si>
  <si>
    <t>U0472</t>
  </si>
  <si>
    <t>U0509</t>
  </si>
  <si>
    <t>U0227</t>
  </si>
  <si>
    <t>U0241</t>
  </si>
  <si>
    <t>U0486</t>
  </si>
  <si>
    <t>U0141</t>
  </si>
  <si>
    <t>U0470</t>
  </si>
  <si>
    <t>U0676</t>
  </si>
  <si>
    <t>U0685</t>
  </si>
  <si>
    <t>U0135</t>
  </si>
  <si>
    <t>U0314</t>
  </si>
  <si>
    <t>U0790</t>
  </si>
  <si>
    <t>U0242</t>
  </si>
  <si>
    <t>U0368</t>
  </si>
  <si>
    <t>U0578</t>
  </si>
  <si>
    <t>U0249</t>
  </si>
  <si>
    <t>U0274</t>
  </si>
  <si>
    <t>U0826</t>
  </si>
  <si>
    <t>U0706</t>
  </si>
  <si>
    <t>U0262</t>
  </si>
  <si>
    <t>U0662</t>
  </si>
  <si>
    <t>U0616</t>
  </si>
  <si>
    <t>U0749</t>
  </si>
  <si>
    <t>U0679</t>
  </si>
  <si>
    <t>📋 Транзакції</t>
  </si>
  <si>
    <t>subscription_id</t>
  </si>
  <si>
    <t>start_date</t>
  </si>
  <si>
    <t>end_date</t>
  </si>
  <si>
    <t>plan_type</t>
  </si>
  <si>
    <t>amount_usd</t>
  </si>
  <si>
    <t>status</t>
  </si>
  <si>
    <t>S00928</t>
  </si>
  <si>
    <t>trial</t>
  </si>
  <si>
    <t>ended</t>
  </si>
  <si>
    <t>S00947</t>
  </si>
  <si>
    <t>S02285</t>
  </si>
  <si>
    <t>S01115</t>
  </si>
  <si>
    <t>S01295</t>
  </si>
  <si>
    <t>S01820</t>
  </si>
  <si>
    <t>S03817</t>
  </si>
  <si>
    <t>S01495</t>
  </si>
  <si>
    <t>S00929</t>
  </si>
  <si>
    <t>monthly</t>
  </si>
  <si>
    <t>S00948</t>
  </si>
  <si>
    <t>S00804</t>
  </si>
  <si>
    <t>S02286</t>
  </si>
  <si>
    <t>S02790</t>
  </si>
  <si>
    <t>S03794</t>
  </si>
  <si>
    <t>S01116</t>
  </si>
  <si>
    <t>S01296</t>
  </si>
  <si>
    <t>S01821</t>
  </si>
  <si>
    <t>S03818</t>
  </si>
  <si>
    <t>S01496</t>
  </si>
  <si>
    <t>S01080</t>
  </si>
  <si>
    <t>S01615</t>
  </si>
  <si>
    <t>S01726</t>
  </si>
  <si>
    <t>S03431</t>
  </si>
  <si>
    <t>S00805</t>
  </si>
  <si>
    <t>S02791</t>
  </si>
  <si>
    <t>S03795</t>
  </si>
  <si>
    <t>S00052</t>
  </si>
  <si>
    <t>S00451</t>
  </si>
  <si>
    <t>S02045</t>
  </si>
  <si>
    <t>S01081</t>
  </si>
  <si>
    <t>S01616</t>
  </si>
  <si>
    <t>S01679</t>
  </si>
  <si>
    <t>S03894</t>
  </si>
  <si>
    <t>S00335</t>
  </si>
  <si>
    <t>S01727</t>
  </si>
  <si>
    <t>S03432</t>
  </si>
  <si>
    <t>S00053</t>
  </si>
  <si>
    <t>S00601</t>
  </si>
  <si>
    <t>S00452</t>
  </si>
  <si>
    <t>S02046</t>
  </si>
  <si>
    <t>S03627</t>
  </si>
  <si>
    <t>S01680</t>
  </si>
  <si>
    <t>S03770</t>
  </si>
  <si>
    <t>S03895</t>
  </si>
  <si>
    <t>S00336</t>
  </si>
  <si>
    <t>S02435</t>
  </si>
  <si>
    <t>S00602</t>
  </si>
  <si>
    <t>S01884</t>
  </si>
  <si>
    <t>S02724</t>
  </si>
  <si>
    <t>S03628</t>
  </si>
  <si>
    <t>S03771</t>
  </si>
  <si>
    <t>S02436</t>
  </si>
  <si>
    <t>S03522</t>
  </si>
  <si>
    <t>S00280</t>
  </si>
  <si>
    <t>S00930</t>
  </si>
  <si>
    <t>S00949</t>
  </si>
  <si>
    <t>S01298</t>
  </si>
  <si>
    <t>S01885</t>
  </si>
  <si>
    <t>S02287</t>
  </si>
  <si>
    <t>S02680</t>
  </si>
  <si>
    <t>S01117</t>
  </si>
  <si>
    <t>S01297</t>
  </si>
  <si>
    <t>S01822</t>
  </si>
  <si>
    <t>S02725</t>
  </si>
  <si>
    <t>S03819</t>
  </si>
  <si>
    <t>S01497</t>
  </si>
  <si>
    <t>S03052</t>
  </si>
  <si>
    <t>S00778</t>
  </si>
  <si>
    <t>S00684</t>
  </si>
  <si>
    <t>S01266</t>
  </si>
  <si>
    <t>S01341</t>
  </si>
  <si>
    <t>S03523</t>
  </si>
  <si>
    <t>S00281</t>
  </si>
  <si>
    <t>S01299</t>
  </si>
  <si>
    <t>S00806</t>
  </si>
  <si>
    <t>S02681</t>
  </si>
  <si>
    <t>S02792</t>
  </si>
  <si>
    <t>S03796</t>
  </si>
  <si>
    <t>S02058</t>
  </si>
  <si>
    <t>S02178</t>
  </si>
  <si>
    <t>S03053</t>
  </si>
  <si>
    <t>S00779</t>
  </si>
  <si>
    <t>S00685</t>
  </si>
  <si>
    <t>S01082</t>
  </si>
  <si>
    <t>S01267</t>
  </si>
  <si>
    <t>S03081</t>
  </si>
  <si>
    <t>S01342</t>
  </si>
  <si>
    <t>S01617</t>
  </si>
  <si>
    <t>S01728</t>
  </si>
  <si>
    <t>S02326</t>
  </si>
  <si>
    <t>S03433</t>
  </si>
  <si>
    <t>S00695</t>
  </si>
  <si>
    <t>S02059</t>
  </si>
  <si>
    <t>S02179</t>
  </si>
  <si>
    <t>S00054</t>
  </si>
  <si>
    <t>S02047</t>
  </si>
  <si>
    <t>S03685</t>
  </si>
  <si>
    <t>S01521</t>
  </si>
  <si>
    <t>S02109</t>
  </si>
  <si>
    <t>S03082</t>
  </si>
  <si>
    <t>S01681</t>
  </si>
  <si>
    <t>S01701</t>
  </si>
  <si>
    <t>S03156</t>
  </si>
  <si>
    <t>S03338</t>
  </si>
  <si>
    <t>S03698</t>
  </si>
  <si>
    <t>S03896</t>
  </si>
  <si>
    <t>S00185</t>
  </si>
  <si>
    <t>S00337</t>
  </si>
  <si>
    <t>S02270</t>
  </si>
  <si>
    <t>S02327</t>
  </si>
  <si>
    <t>S02620</t>
  </si>
  <si>
    <t>S01664</t>
  </si>
  <si>
    <t>S00696</t>
  </si>
  <si>
    <t>S00603</t>
  </si>
  <si>
    <t>S01933</t>
  </si>
  <si>
    <t>S02685</t>
  </si>
  <si>
    <t>S03686</t>
  </si>
  <si>
    <t>S00747</t>
  </si>
  <si>
    <t>S01522</t>
  </si>
  <si>
    <t>S02110</t>
  </si>
  <si>
    <t>S03629</t>
  </si>
  <si>
    <t>S01702</t>
  </si>
  <si>
    <t>S01983</t>
  </si>
  <si>
    <t>S03157</t>
  </si>
  <si>
    <t>S03339</t>
  </si>
  <si>
    <t>S03699</t>
  </si>
  <si>
    <t>S00186</t>
  </si>
  <si>
    <t>S01951</t>
  </si>
  <si>
    <t>S02271</t>
  </si>
  <si>
    <t>S02437</t>
  </si>
  <si>
    <t>S02621</t>
  </si>
  <si>
    <t>S01665</t>
  </si>
  <si>
    <t>S00931</t>
  </si>
  <si>
    <t>S00950</t>
  </si>
  <si>
    <t>S01255</t>
  </si>
  <si>
    <t>S03833</t>
  </si>
  <si>
    <t>S00932</t>
  </si>
  <si>
    <t>S01886</t>
  </si>
  <si>
    <t>S01934</t>
  </si>
  <si>
    <t>S02288</t>
  </si>
  <si>
    <t>S02686</t>
  </si>
  <si>
    <t>S02726</t>
  </si>
  <si>
    <t>S03820</t>
  </si>
  <si>
    <t>S00748</t>
  </si>
  <si>
    <t>S01498</t>
  </si>
  <si>
    <t>S01969</t>
  </si>
  <si>
    <t>S00898</t>
  </si>
  <si>
    <t>S01984</t>
  </si>
  <si>
    <t>S01673</t>
  </si>
  <si>
    <t>S01952</t>
  </si>
  <si>
    <t>S02123</t>
  </si>
  <si>
    <t>S02902</t>
  </si>
  <si>
    <t>S03524</t>
  </si>
  <si>
    <t>S00282</t>
  </si>
  <si>
    <t>S01256</t>
  </si>
  <si>
    <t>S01300</t>
  </si>
  <si>
    <t>S02752</t>
  </si>
  <si>
    <t>S03834</t>
  </si>
  <si>
    <t>S00198</t>
  </si>
  <si>
    <t>S00807</t>
  </si>
  <si>
    <t>S00933</t>
  </si>
  <si>
    <t>S02793</t>
  </si>
  <si>
    <t>S03797</t>
  </si>
  <si>
    <t>S00327</t>
  </si>
  <si>
    <t>S02559</t>
  </si>
  <si>
    <t>S01381</t>
  </si>
  <si>
    <t>S01970</t>
  </si>
  <si>
    <t>S03054</t>
  </si>
  <si>
    <t>S00583</t>
  </si>
  <si>
    <t>S00780</t>
  </si>
  <si>
    <t>S00899</t>
  </si>
  <si>
    <t>S00686</t>
  </si>
  <si>
    <t>S01083</t>
  </si>
  <si>
    <t>S01268</t>
  </si>
  <si>
    <t>S01674</t>
  </si>
  <si>
    <t>S02020</t>
  </si>
  <si>
    <t>S02124</t>
  </si>
  <si>
    <t>S02903</t>
  </si>
  <si>
    <t>S00453</t>
  </si>
  <si>
    <t>S01343</t>
  </si>
  <si>
    <t>S01618</t>
  </si>
  <si>
    <t>S03484</t>
  </si>
  <si>
    <t>S03910</t>
  </si>
  <si>
    <t>S01327</t>
  </si>
  <si>
    <t>S02753</t>
  </si>
  <si>
    <t>S02856</t>
  </si>
  <si>
    <t>S03434</t>
  </si>
  <si>
    <t>S00199</t>
  </si>
  <si>
    <t>S00328</t>
  </si>
  <si>
    <t>S00364</t>
  </si>
  <si>
    <t>S02060</t>
  </si>
  <si>
    <t>S02180</t>
  </si>
  <si>
    <t>S02560</t>
  </si>
  <si>
    <t>S00055</t>
  </si>
  <si>
    <t>S01382</t>
  </si>
  <si>
    <t>S02962</t>
  </si>
  <si>
    <t>S00584</t>
  </si>
  <si>
    <t>S02048</t>
  </si>
  <si>
    <t>S02215</t>
  </si>
  <si>
    <t>S02021</t>
  </si>
  <si>
    <t>S03083</t>
  </si>
  <si>
    <t>S00454</t>
  </si>
  <si>
    <t>S01682</t>
  </si>
  <si>
    <t>S01825</t>
  </si>
  <si>
    <t>S03364</t>
  </si>
  <si>
    <t>S03485</t>
  </si>
  <si>
    <t>S03897</t>
  </si>
  <si>
    <t>S03911</t>
  </si>
  <si>
    <t>S00338</t>
  </si>
  <si>
    <t>S01328</t>
  </si>
  <si>
    <t>S02328</t>
  </si>
  <si>
    <t>S02857</t>
  </si>
  <si>
    <t>S00365</t>
  </si>
  <si>
    <t>S00516</t>
  </si>
  <si>
    <t>S00697</t>
  </si>
  <si>
    <t>S01879</t>
  </si>
  <si>
    <t>S00604</t>
  </si>
  <si>
    <t>S02963</t>
  </si>
  <si>
    <t>S02216</t>
  </si>
  <si>
    <t>S03687</t>
  </si>
  <si>
    <t>S01523</t>
  </si>
  <si>
    <t>S02367</t>
  </si>
  <si>
    <t>S03630</t>
  </si>
  <si>
    <t>S01511</t>
  </si>
  <si>
    <t>S01703</t>
  </si>
  <si>
    <t>S01826</t>
  </si>
  <si>
    <t>S03158</t>
  </si>
  <si>
    <t>S03340</t>
  </si>
  <si>
    <t>S03365</t>
  </si>
  <si>
    <t>S03700</t>
  </si>
  <si>
    <t>S00187</t>
  </si>
  <si>
    <t>S02272</t>
  </si>
  <si>
    <t>S02299</t>
  </si>
  <si>
    <t>S02438</t>
  </si>
  <si>
    <t>S00320</t>
  </si>
  <si>
    <t>S01666</t>
  </si>
  <si>
    <t>S02916</t>
  </si>
  <si>
    <t>S03032</t>
  </si>
  <si>
    <t>S00517</t>
  </si>
  <si>
    <t>S00951</t>
  </si>
  <si>
    <t>S01426</t>
  </si>
  <si>
    <t>S01880</t>
  </si>
  <si>
    <t>S00631</t>
  </si>
  <si>
    <t>S01887</t>
  </si>
  <si>
    <t>S01935</t>
  </si>
  <si>
    <t>S02289</t>
  </si>
  <si>
    <t>S02687</t>
  </si>
  <si>
    <t>S02727</t>
  </si>
  <si>
    <t>S03276</t>
  </si>
  <si>
    <t>S03821</t>
  </si>
  <si>
    <t>S00749</t>
  </si>
  <si>
    <t>S01499</t>
  </si>
  <si>
    <t>S02368</t>
  </si>
  <si>
    <t>S03404</t>
  </si>
  <si>
    <t>S01512</t>
  </si>
  <si>
    <t>S01985</t>
  </si>
  <si>
    <t>S01953</t>
  </si>
  <si>
    <t>S02300</t>
  </si>
  <si>
    <t>S02526</t>
  </si>
  <si>
    <t>S00321</t>
  </si>
  <si>
    <t>S02563</t>
  </si>
  <si>
    <t>S02917</t>
  </si>
  <si>
    <t>S03033</t>
  </si>
  <si>
    <t>S03068</t>
  </si>
  <si>
    <t>S03525</t>
  </si>
  <si>
    <t>S00283</t>
  </si>
  <si>
    <t>S01257</t>
  </si>
  <si>
    <t>S01427</t>
  </si>
  <si>
    <t>S01732</t>
  </si>
  <si>
    <t>S02422</t>
  </si>
  <si>
    <t>S03835</t>
  </si>
  <si>
    <t>S00632</t>
  </si>
  <si>
    <t>S00808</t>
  </si>
  <si>
    <t>S00934</t>
  </si>
  <si>
    <t>S00963</t>
  </si>
  <si>
    <t>S01914</t>
  </si>
  <si>
    <t>S02794</t>
  </si>
  <si>
    <t>S03798</t>
  </si>
  <si>
    <t>S02576</t>
  </si>
  <si>
    <t>S03277</t>
  </si>
  <si>
    <t>S01971</t>
  </si>
  <si>
    <t>S03055</t>
  </si>
  <si>
    <t>S03405</t>
  </si>
  <si>
    <t>S00781</t>
  </si>
  <si>
    <t>S00900</t>
  </si>
  <si>
    <t>S00687</t>
  </si>
  <si>
    <t>S01084</t>
  </si>
  <si>
    <t>S01269</t>
  </si>
  <si>
    <t>S01675</t>
  </si>
  <si>
    <t>S02125</t>
  </si>
  <si>
    <t>S02527</t>
  </si>
  <si>
    <t>S03176</t>
  </si>
  <si>
    <t>S03445</t>
  </si>
  <si>
    <t>S03590</t>
  </si>
  <si>
    <t>S00217</t>
  </si>
  <si>
    <t>S01344</t>
  </si>
  <si>
    <t>S01619</t>
  </si>
  <si>
    <t>S02564</t>
  </si>
  <si>
    <t>S03069</t>
  </si>
  <si>
    <t>S01309</t>
  </si>
  <si>
    <t>S01733</t>
  </si>
  <si>
    <t>S02423</t>
  </si>
  <si>
    <t>S02754</t>
  </si>
  <si>
    <t>S03307</t>
  </si>
  <si>
    <t>S00200</t>
  </si>
  <si>
    <t>S00964</t>
  </si>
  <si>
    <t>S01915</t>
  </si>
  <si>
    <t>S02459</t>
  </si>
  <si>
    <t>S00329</t>
  </si>
  <si>
    <t>S02061</t>
  </si>
  <si>
    <t>S02181</t>
  </si>
  <si>
    <t>S02561</t>
  </si>
  <si>
    <t>S02577</t>
  </si>
  <si>
    <t>S00056</t>
  </si>
  <si>
    <t>S01383</t>
  </si>
  <si>
    <t>S03257</t>
  </si>
  <si>
    <t>S03772</t>
  </si>
  <si>
    <t>S00409</t>
  </si>
  <si>
    <t>S00585</t>
  </si>
  <si>
    <t>S02049</t>
  </si>
  <si>
    <t>S00019</t>
  </si>
  <si>
    <t>S00910</t>
  </si>
  <si>
    <t>S02073</t>
  </si>
  <si>
    <t>S02589</t>
  </si>
  <si>
    <t>S03084</t>
  </si>
  <si>
    <t>S03177</t>
  </si>
  <si>
    <t>S03446</t>
  </si>
  <si>
    <t>S03591</t>
  </si>
  <si>
    <t>S00218</t>
  </si>
  <si>
    <t>S00455</t>
  </si>
  <si>
    <t>S01683</t>
  </si>
  <si>
    <t>S01901</t>
  </si>
  <si>
    <t>S03486</t>
  </si>
  <si>
    <t>S03898</t>
  </si>
  <si>
    <t>S03912</t>
  </si>
  <si>
    <t>S00339</t>
  </si>
  <si>
    <t>S00532</t>
  </si>
  <si>
    <t>S01310</t>
  </si>
  <si>
    <t>S01329</t>
  </si>
  <si>
    <t>S02329</t>
  </si>
  <si>
    <t>S02858</t>
  </si>
  <si>
    <t>S03308</t>
  </si>
  <si>
    <t>S02460</t>
  </si>
  <si>
    <t>S02827</t>
  </si>
  <si>
    <t>S00032</t>
  </si>
  <si>
    <t>S00698</t>
  </si>
  <si>
    <t>S00605</t>
  </si>
  <si>
    <t>S01064</t>
  </si>
  <si>
    <t>S02964</t>
  </si>
  <si>
    <t>S03007</t>
  </si>
  <si>
    <t>S03258</t>
  </si>
  <si>
    <t>S03773</t>
  </si>
  <si>
    <t>S00410</t>
  </si>
  <si>
    <t>S02217</t>
  </si>
  <si>
    <t>S03688</t>
  </si>
  <si>
    <t>S00020</t>
  </si>
  <si>
    <t>S00766</t>
  </si>
  <si>
    <t>S00911</t>
  </si>
  <si>
    <t>S01524</t>
  </si>
  <si>
    <t>S02074</t>
  </si>
  <si>
    <t>S02590</t>
  </si>
  <si>
    <t>S02655</t>
  </si>
  <si>
    <t>S01704</t>
  </si>
  <si>
    <t>S01827</t>
  </si>
  <si>
    <t>S01902</t>
  </si>
  <si>
    <t>S03159</t>
  </si>
  <si>
    <t>S03341</t>
  </si>
  <si>
    <t>S03366</t>
  </si>
  <si>
    <t>S03701</t>
  </si>
  <si>
    <t>S00188</t>
  </si>
  <si>
    <t>S00533</t>
  </si>
  <si>
    <t>S02273</t>
  </si>
  <si>
    <t>S02439</t>
  </si>
  <si>
    <t>S03879</t>
  </si>
  <si>
    <t>S01667</t>
  </si>
  <si>
    <t>S02828</t>
  </si>
  <si>
    <t>S03188</t>
  </si>
  <si>
    <t>S00033</t>
  </si>
  <si>
    <t>S00518</t>
  </si>
  <si>
    <t>S00561</t>
  </si>
  <si>
    <t>S00952</t>
  </si>
  <si>
    <t>S01065</t>
  </si>
  <si>
    <t>S01888</t>
  </si>
  <si>
    <t>S01936</t>
  </si>
  <si>
    <t>S02199</t>
  </si>
  <si>
    <t>S02290</t>
  </si>
  <si>
    <t>S03008</t>
  </si>
  <si>
    <t>S02688</t>
  </si>
  <si>
    <t>S02728</t>
  </si>
  <si>
    <t>S03822</t>
  </si>
  <si>
    <t>S00750</t>
  </si>
  <si>
    <t>S00767</t>
  </si>
  <si>
    <t>S00822</t>
  </si>
  <si>
    <t>S01500</t>
  </si>
  <si>
    <t>S02369</t>
  </si>
  <si>
    <t>S02656</t>
  </si>
  <si>
    <t>S02702</t>
  </si>
  <si>
    <t>S01513</t>
  </si>
  <si>
    <t>S01986</t>
  </si>
  <si>
    <t>S01954</t>
  </si>
  <si>
    <t>S02301</t>
  </si>
  <si>
    <t>S03880</t>
  </si>
  <si>
    <t>S00087</t>
  </si>
  <si>
    <t>S00322</t>
  </si>
  <si>
    <t>S01753</t>
  </si>
  <si>
    <t>S02918</t>
  </si>
  <si>
    <t>S03034</t>
  </si>
  <si>
    <t>S03189</t>
  </si>
  <si>
    <t>S03526</t>
  </si>
  <si>
    <t>S03655</t>
  </si>
  <si>
    <t>S00284</t>
  </si>
  <si>
    <t>S00562</t>
  </si>
  <si>
    <t>S01258</t>
  </si>
  <si>
    <t>S01414</t>
  </si>
  <si>
    <t>S01428</t>
  </si>
  <si>
    <t>S03836</t>
  </si>
  <si>
    <t>S00633</t>
  </si>
  <si>
    <t>S00809</t>
  </si>
  <si>
    <t>S00935</t>
  </si>
  <si>
    <t>S02200</t>
  </si>
  <si>
    <t>S02795</t>
  </si>
  <si>
    <t>S02949</t>
  </si>
  <si>
    <t>S03799</t>
  </si>
  <si>
    <t>S02248</t>
  </si>
  <si>
    <t>S02604</t>
  </si>
  <si>
    <t>S03278</t>
  </si>
  <si>
    <t>S00258</t>
  </si>
  <si>
    <t>S00823</t>
  </si>
  <si>
    <t>S01549</t>
  </si>
  <si>
    <t>S01972</t>
  </si>
  <si>
    <t>S02703</t>
  </si>
  <si>
    <t>S03056</t>
  </si>
  <si>
    <t>S03406</t>
  </si>
  <si>
    <t>S00073</t>
  </si>
  <si>
    <t>S00782</t>
  </si>
  <si>
    <t>S00901</t>
  </si>
  <si>
    <t>S01607</t>
  </si>
  <si>
    <t>S02454</t>
  </si>
  <si>
    <t>S02633</t>
  </si>
  <si>
    <t>S01085</t>
  </si>
  <si>
    <t>S01676</t>
  </si>
  <si>
    <t>S02126</t>
  </si>
  <si>
    <t>S02528</t>
  </si>
  <si>
    <t>S02617</t>
  </si>
  <si>
    <t>S03662</t>
  </si>
  <si>
    <t>S00088</t>
  </si>
  <si>
    <t>S01345</t>
  </si>
  <si>
    <t>S01620</t>
  </si>
  <si>
    <t>S01754</t>
  </si>
  <si>
    <t>S02565</t>
  </si>
  <si>
    <t>S03070</t>
  </si>
  <si>
    <t>S03656</t>
  </si>
  <si>
    <t>S01415</t>
  </si>
  <si>
    <t>S02424</t>
  </si>
  <si>
    <t>S02755</t>
  </si>
  <si>
    <t>S00085</t>
  </si>
  <si>
    <t>S00201</t>
  </si>
  <si>
    <t>S00965</t>
  </si>
  <si>
    <t>S01916</t>
  </si>
  <si>
    <t>S02950</t>
  </si>
  <si>
    <t>S03603</t>
  </si>
  <si>
    <t>S00330</t>
  </si>
  <si>
    <t>S01137</t>
  </si>
  <si>
    <t>S02062</t>
  </si>
  <si>
    <t>S02182</t>
  </si>
  <si>
    <t>S02249</t>
  </si>
  <si>
    <t>S02562</t>
  </si>
  <si>
    <t>S02578</t>
  </si>
  <si>
    <t>S02605</t>
  </si>
  <si>
    <t>S00057</t>
  </si>
  <si>
    <t>S00259</t>
  </si>
  <si>
    <t>S01384</t>
  </si>
  <si>
    <t>S01550</t>
  </si>
  <si>
    <t>S00074</t>
  </si>
  <si>
    <t>S00586</t>
  </si>
  <si>
    <t>S01608</t>
  </si>
  <si>
    <t>S02455</t>
  </si>
  <si>
    <t>S02634</t>
  </si>
  <si>
    <t>S02618</t>
  </si>
  <si>
    <t>S03085</t>
  </si>
  <si>
    <t>S03178</t>
  </si>
  <si>
    <t>S03447</t>
  </si>
  <si>
    <t>S03592</t>
  </si>
  <si>
    <t>S03663</t>
  </si>
  <si>
    <t>S00456</t>
  </si>
  <si>
    <t>S01684</t>
  </si>
  <si>
    <t>S03144</t>
  </si>
  <si>
    <t>S03487</t>
  </si>
  <si>
    <t>S03899</t>
  </si>
  <si>
    <t>S03913</t>
  </si>
  <si>
    <t>S00340</t>
  </si>
  <si>
    <t>S01330</t>
  </si>
  <si>
    <t>S02330</t>
  </si>
  <si>
    <t>S02859</t>
  </si>
  <si>
    <t>S03309</t>
  </si>
  <si>
    <t>S00086</t>
  </si>
  <si>
    <t>S00157</t>
  </si>
  <si>
    <t>S02461</t>
  </si>
  <si>
    <t>S02929</t>
  </si>
  <si>
    <t>S03604</t>
  </si>
  <si>
    <t>S00699</t>
  </si>
  <si>
    <t>S01138</t>
  </si>
  <si>
    <t>S00606</t>
  </si>
  <si>
    <t>S02965</t>
  </si>
  <si>
    <t>S03259</t>
  </si>
  <si>
    <t>S03674</t>
  </si>
  <si>
    <t>S03774</t>
  </si>
  <si>
    <t>S00411</t>
  </si>
  <si>
    <t>S02218</t>
  </si>
  <si>
    <t>S00021</t>
  </si>
  <si>
    <t>S00912</t>
  </si>
  <si>
    <t>S01035</t>
  </si>
  <si>
    <t>S01525</t>
  </si>
  <si>
    <t>S02075</t>
  </si>
  <si>
    <t>S02591</t>
  </si>
  <si>
    <t>S03231</t>
  </si>
  <si>
    <t>S00229</t>
  </si>
  <si>
    <t>S00505</t>
  </si>
  <si>
    <t>S01705</t>
  </si>
  <si>
    <t>S01828</t>
  </si>
  <si>
    <t>S01903</t>
  </si>
  <si>
    <t>S03145</t>
  </si>
  <si>
    <t>S03160</t>
  </si>
  <si>
    <t>S03342</t>
  </si>
  <si>
    <t>S03702</t>
  </si>
  <si>
    <t>S00189</t>
  </si>
  <si>
    <t>S00534</t>
  </si>
  <si>
    <t>S02274</t>
  </si>
  <si>
    <t>S02440</t>
  </si>
  <si>
    <t>S03021</t>
  </si>
  <si>
    <t>S03330</t>
  </si>
  <si>
    <t>S00158</t>
  </si>
  <si>
    <t>S01668</t>
  </si>
  <si>
    <t>S02548</t>
  </si>
  <si>
    <t>S02829</t>
  </si>
  <si>
    <t>S02930</t>
  </si>
  <si>
    <t>S00034</t>
  </si>
  <si>
    <t>S00519</t>
  </si>
  <si>
    <t>S00953</t>
  </si>
  <si>
    <t>S01937</t>
  </si>
  <si>
    <t>S02291</t>
  </si>
  <si>
    <t>S02991</t>
  </si>
  <si>
    <t>S03675</t>
  </si>
  <si>
    <t>S02729</t>
  </si>
  <si>
    <t>S03823</t>
  </si>
  <si>
    <t>S00751</t>
  </si>
  <si>
    <t>S00768</t>
  </si>
  <si>
    <t>S01036</t>
  </si>
  <si>
    <t>S01501</t>
  </si>
  <si>
    <t>S02370</t>
  </si>
  <si>
    <t>S02657</t>
  </si>
  <si>
    <t>S03232</t>
  </si>
  <si>
    <t>S00230</t>
  </si>
  <si>
    <t>S00506</t>
  </si>
  <si>
    <t>S01514</t>
  </si>
  <si>
    <t>S01987</t>
  </si>
  <si>
    <t>S01955</t>
  </si>
  <si>
    <t>S03022</t>
  </si>
  <si>
    <t>S03331</t>
  </si>
  <si>
    <t>S03881</t>
  </si>
  <si>
    <t>S00866</t>
  </si>
  <si>
    <t>S02549</t>
  </si>
  <si>
    <t>S02919</t>
  </si>
  <si>
    <t>S03035</t>
  </si>
  <si>
    <t>S03190</t>
  </si>
  <si>
    <t>S03527</t>
  </si>
  <si>
    <t>S00285</t>
  </si>
  <si>
    <t>S00563</t>
  </si>
  <si>
    <t>S01259</t>
  </si>
  <si>
    <t>S01429</t>
  </si>
  <si>
    <t>S00634</t>
  </si>
  <si>
    <t>S00810</t>
  </si>
  <si>
    <t>S00936</t>
  </si>
  <si>
    <t>S02201</t>
  </si>
  <si>
    <t>S02796</t>
  </si>
  <si>
    <t>S02992</t>
  </si>
  <si>
    <t>S03800</t>
  </si>
  <si>
    <t>S03279</t>
  </si>
  <si>
    <t>S03810</t>
  </si>
  <si>
    <t>S00824</t>
  </si>
  <si>
    <t>S01973</t>
  </si>
  <si>
    <t>S03057</t>
  </si>
  <si>
    <t>S03407</t>
  </si>
  <si>
    <t>S00783</t>
  </si>
  <si>
    <t>S00902</t>
  </si>
  <si>
    <t>S01319</t>
  </si>
  <si>
    <t>S01481</t>
  </si>
  <si>
    <t>S00989</t>
  </si>
  <si>
    <t>S01086</t>
  </si>
  <si>
    <t>S01677</t>
  </si>
  <si>
    <t>S02127</t>
  </si>
  <si>
    <t>S00089</t>
  </si>
  <si>
    <t>S00867</t>
  </si>
  <si>
    <t>S01346</t>
  </si>
  <si>
    <t>S01439</t>
  </si>
  <si>
    <t>S01621</t>
  </si>
  <si>
    <t>S01755</t>
  </si>
  <si>
    <t>S02566</t>
  </si>
  <si>
    <t>S03071</t>
  </si>
  <si>
    <t>S03657</t>
  </si>
  <si>
    <t>S01416</t>
  </si>
  <si>
    <t>S02425</t>
  </si>
  <si>
    <t>S02756</t>
  </si>
  <si>
    <t>S03845</t>
  </si>
  <si>
    <t>S00202</t>
  </si>
  <si>
    <t>S00966</t>
  </si>
  <si>
    <t>S01917</t>
  </si>
  <si>
    <t>S02951</t>
  </si>
  <si>
    <t>S02063</t>
  </si>
  <si>
    <t>S02579</t>
  </si>
  <si>
    <t>S02606</t>
  </si>
  <si>
    <t>S03110</t>
  </si>
  <si>
    <t>S03811</t>
  </si>
  <si>
    <t>S00058</t>
  </si>
  <si>
    <t>S00260</t>
  </si>
  <si>
    <t>S01385</t>
  </si>
  <si>
    <t>S01551</t>
  </si>
  <si>
    <t>S02360</t>
  </si>
  <si>
    <t>S02387</t>
  </si>
  <si>
    <t>S03746</t>
  </si>
  <si>
    <t>S00075</t>
  </si>
  <si>
    <t>S00297</t>
  </si>
  <si>
    <t>S00483</t>
  </si>
  <si>
    <t>S00587</t>
  </si>
  <si>
    <t>S01024</t>
  </si>
  <si>
    <t>S01320</t>
  </si>
  <si>
    <t>S01482</t>
  </si>
  <si>
    <t>S02456</t>
  </si>
  <si>
    <t>S02635</t>
  </si>
  <si>
    <t>S00990</t>
  </si>
  <si>
    <t>S03086</t>
  </si>
  <si>
    <t>S03179</t>
  </si>
  <si>
    <t>S03448</t>
  </si>
  <si>
    <t>S03593</t>
  </si>
  <si>
    <t>S03664</t>
  </si>
  <si>
    <t>S00457</t>
  </si>
  <si>
    <t>S01440</t>
  </si>
  <si>
    <t>S01685</t>
  </si>
  <si>
    <t>S03488</t>
  </si>
  <si>
    <t>S03900</t>
  </si>
  <si>
    <t>S03914</t>
  </si>
  <si>
    <t>S00341</t>
  </si>
  <si>
    <t>S00720</t>
  </si>
  <si>
    <t>S01331</t>
  </si>
  <si>
    <t>S02331</t>
  </si>
  <si>
    <t>S02860</t>
  </si>
  <si>
    <t>S02905</t>
  </si>
  <si>
    <t>S03310</t>
  </si>
  <si>
    <t>S03846</t>
  </si>
  <si>
    <t>S02462</t>
  </si>
  <si>
    <t>S03584</t>
  </si>
  <si>
    <t>S03605</t>
  </si>
  <si>
    <t>S03857</t>
  </si>
  <si>
    <t>S00700</t>
  </si>
  <si>
    <t>S01139</t>
  </si>
  <si>
    <t>S03111</t>
  </si>
  <si>
    <t>S00607</t>
  </si>
  <si>
    <t>S00629</t>
  </si>
  <si>
    <t>S02361</t>
  </si>
  <si>
    <t>S02388</t>
  </si>
  <si>
    <t>S02966</t>
  </si>
  <si>
    <t>S03260</t>
  </si>
  <si>
    <t>S03747</t>
  </si>
  <si>
    <t>S03775</t>
  </si>
  <si>
    <t>S00298</t>
  </si>
  <si>
    <t>S00412</t>
  </si>
  <si>
    <t>S00484</t>
  </si>
  <si>
    <t>S01025</t>
  </si>
  <si>
    <t>S02219</t>
  </si>
  <si>
    <t>S00022</t>
  </si>
  <si>
    <t>S00913</t>
  </si>
  <si>
    <t>S01526</t>
  </si>
  <si>
    <t>S02592</t>
  </si>
  <si>
    <t>S00674</t>
  </si>
  <si>
    <t>S01706</t>
  </si>
  <si>
    <t>S01829</t>
  </si>
  <si>
    <t>S01904</t>
  </si>
  <si>
    <t>S03146</t>
  </si>
  <si>
    <t>S03161</t>
  </si>
  <si>
    <t>S03343</t>
  </si>
  <si>
    <t>S03703</t>
  </si>
  <si>
    <t>S00190</t>
  </si>
  <si>
    <t>S00535</t>
  </si>
  <si>
    <t>S00721</t>
  </si>
  <si>
    <t>S01070</t>
  </si>
  <si>
    <t>S02275</t>
  </si>
  <si>
    <t>S02536</t>
  </si>
  <si>
    <t>S02906</t>
  </si>
  <si>
    <t>S00127</t>
  </si>
  <si>
    <t>S00159</t>
  </si>
  <si>
    <t>S01669</t>
  </si>
  <si>
    <t>S02830</t>
  </si>
  <si>
    <t>S02931</t>
  </si>
  <si>
    <t>S03585</t>
  </si>
  <si>
    <t>S03858</t>
  </si>
  <si>
    <t>S00035</t>
  </si>
  <si>
    <t>S00099</t>
  </si>
  <si>
    <t>S00520</t>
  </si>
  <si>
    <t>S00954</t>
  </si>
  <si>
    <t>S00630</t>
  </si>
  <si>
    <t>S01938</t>
  </si>
  <si>
    <t>S03676</t>
  </si>
  <si>
    <t>S00710</t>
  </si>
  <si>
    <t>S02730</t>
  </si>
  <si>
    <t>S03824</t>
  </si>
  <si>
    <t>S00752</t>
  </si>
  <si>
    <t>S00769</t>
  </si>
  <si>
    <t>S01037</t>
  </si>
  <si>
    <t>S01367</t>
  </si>
  <si>
    <t>S01502</t>
  </si>
  <si>
    <t>S01858</t>
  </si>
  <si>
    <t>S02371</t>
  </si>
  <si>
    <t>S02658</t>
  </si>
  <si>
    <t>S03002</t>
  </si>
  <si>
    <t>S03233</t>
  </si>
  <si>
    <t>S00231</t>
  </si>
  <si>
    <t>S00507</t>
  </si>
  <si>
    <t>S00675</t>
  </si>
  <si>
    <t>S01515</t>
  </si>
  <si>
    <t>S01988</t>
  </si>
  <si>
    <t>S02098</t>
  </si>
  <si>
    <t>S03320</t>
  </si>
  <si>
    <t>S00668</t>
  </si>
  <si>
    <t>S01071</t>
  </si>
  <si>
    <t>S01127</t>
  </si>
  <si>
    <t>S01956</t>
  </si>
  <si>
    <t>S02537</t>
  </si>
  <si>
    <t>S03023</t>
  </si>
  <si>
    <t>S03332</t>
  </si>
  <si>
    <t>S00128</t>
  </si>
  <si>
    <t>S02550</t>
  </si>
  <si>
    <t>S02920</t>
  </si>
  <si>
    <t>S03036</t>
  </si>
  <si>
    <t>S03191</t>
  </si>
  <si>
    <t>S03528</t>
  </si>
  <si>
    <t>S00100</t>
  </si>
  <si>
    <t>S00286</t>
  </si>
  <si>
    <t>S00564</t>
  </si>
  <si>
    <t>S01260</t>
  </si>
  <si>
    <t>S01430</t>
  </si>
  <si>
    <t>S01743</t>
  </si>
  <si>
    <t>S02623</t>
  </si>
  <si>
    <t>S00811</t>
  </si>
  <si>
    <t>S00937</t>
  </si>
  <si>
    <t>S02202</t>
  </si>
  <si>
    <t>S02695</t>
  </si>
  <si>
    <t>S02797</t>
  </si>
  <si>
    <t>S02817</t>
  </si>
  <si>
    <t>S02993</t>
  </si>
  <si>
    <t>S03801</t>
  </si>
  <si>
    <t>S00711</t>
  </si>
  <si>
    <t>S03009</t>
  </si>
  <si>
    <t>S03280</t>
  </si>
  <si>
    <t>S00825</t>
  </si>
  <si>
    <t>S01368</t>
  </si>
  <si>
    <t>S01859</t>
  </si>
  <si>
    <t>S01974</t>
  </si>
  <si>
    <t>S03003</t>
  </si>
  <si>
    <t>S03058</t>
  </si>
  <si>
    <t>S03408</t>
  </si>
  <si>
    <t>S00784</t>
  </si>
  <si>
    <t>S00903</t>
  </si>
  <si>
    <t>S01716</t>
  </si>
  <si>
    <t>S02099</t>
  </si>
  <si>
    <t>S03321</t>
  </si>
  <si>
    <t>S00669</t>
  </si>
  <si>
    <t>S01087</t>
  </si>
  <si>
    <t>S01128</t>
  </si>
  <si>
    <t>S01678</t>
  </si>
  <si>
    <t>S01806</t>
  </si>
  <si>
    <t>S02128</t>
  </si>
  <si>
    <t>S00090</t>
  </si>
  <si>
    <t>S00529</t>
  </si>
  <si>
    <t>S00868</t>
  </si>
  <si>
    <t>S01347</t>
  </si>
  <si>
    <t>S01622</t>
  </si>
  <si>
    <t>S01756</t>
  </si>
  <si>
    <t>S02567</t>
  </si>
  <si>
    <t>S03040</t>
  </si>
  <si>
    <t>S03072</t>
  </si>
  <si>
    <t>S03658</t>
  </si>
  <si>
    <t>S01417</t>
  </si>
  <si>
    <t>S01744</t>
  </si>
  <si>
    <t>S02426</t>
  </si>
  <si>
    <t>S02624</t>
  </si>
  <si>
    <t>S02757</t>
  </si>
  <si>
    <t>S00203</t>
  </si>
  <si>
    <t>S00762</t>
  </si>
  <si>
    <t>S00967</t>
  </si>
  <si>
    <t>S01918</t>
  </si>
  <si>
    <t>S02696</t>
  </si>
  <si>
    <t>S02818</t>
  </si>
  <si>
    <t>S02952</t>
  </si>
  <si>
    <t>S02064</t>
  </si>
  <si>
    <t>S02580</t>
  </si>
  <si>
    <t>S02806</t>
  </si>
  <si>
    <t>S03010</t>
  </si>
  <si>
    <t>S03098</t>
  </si>
  <si>
    <t>S00059</t>
  </si>
  <si>
    <t>S00241</t>
  </si>
  <si>
    <t>S00261</t>
  </si>
  <si>
    <t>S01386</t>
  </si>
  <si>
    <t>S01552</t>
  </si>
  <si>
    <t>S00076</t>
  </si>
  <si>
    <t>S00588</t>
  </si>
  <si>
    <t>S01195</t>
  </si>
  <si>
    <t>S01483</t>
  </si>
  <si>
    <t>S01717</t>
  </si>
  <si>
    <t>S01730</t>
  </si>
  <si>
    <t>S02457</t>
  </si>
  <si>
    <t>S02636</t>
  </si>
  <si>
    <t>S00386</t>
  </si>
  <si>
    <t>S00991</t>
  </si>
  <si>
    <t>S01807</t>
  </si>
  <si>
    <t>S02189</t>
  </si>
  <si>
    <t>S03087</t>
  </si>
  <si>
    <t>S03180</t>
  </si>
  <si>
    <t>S03449</t>
  </si>
  <si>
    <t>S03594</t>
  </si>
  <si>
    <t>S03665</t>
  </si>
  <si>
    <t>S00458</t>
  </si>
  <si>
    <t>S00530</t>
  </si>
  <si>
    <t>S01280</t>
  </si>
  <si>
    <t>S01441</t>
  </si>
  <si>
    <t>S01686</t>
  </si>
  <si>
    <t>S03041</t>
  </si>
  <si>
    <t>S03489</t>
  </si>
  <si>
    <t>S03901</t>
  </si>
  <si>
    <t>S03915</t>
  </si>
  <si>
    <t>S00342</t>
  </si>
  <si>
    <t>S01332</t>
  </si>
  <si>
    <t>S02332</t>
  </si>
  <si>
    <t>S02861</t>
  </si>
  <si>
    <t>S02880</t>
  </si>
  <si>
    <t>S03311</t>
  </si>
  <si>
    <t>S03847</t>
  </si>
  <si>
    <t>S00763</t>
  </si>
  <si>
    <t>S01856</t>
  </si>
  <si>
    <t>S02317</t>
  </si>
  <si>
    <t>S02463</t>
  </si>
  <si>
    <t>S02940</t>
  </si>
  <si>
    <t>S03606</t>
  </si>
  <si>
    <t>S00122</t>
  </si>
  <si>
    <t>S00701</t>
  </si>
  <si>
    <t>S01140</t>
  </si>
  <si>
    <t>S01447</t>
  </si>
  <si>
    <t>S02807</t>
  </si>
  <si>
    <t>S03099</t>
  </si>
  <si>
    <t>S00242</t>
  </si>
  <si>
    <t>S00608</t>
  </si>
  <si>
    <t>S01839</t>
  </si>
  <si>
    <t>S02362</t>
  </si>
  <si>
    <t>S02967</t>
  </si>
  <si>
    <t>S03261</t>
  </si>
  <si>
    <t>S03748</t>
  </si>
  <si>
    <t>S03776</t>
  </si>
  <si>
    <t>S03882</t>
  </si>
  <si>
    <t>S00299</t>
  </si>
  <si>
    <t>S00413</t>
  </si>
  <si>
    <t>S00470</t>
  </si>
  <si>
    <t>S00485</t>
  </si>
  <si>
    <t>S01026</t>
  </si>
  <si>
    <t>S01196</t>
  </si>
  <si>
    <t>S01731</t>
  </si>
  <si>
    <t>S02220</t>
  </si>
  <si>
    <t>S00023</t>
  </si>
  <si>
    <t>S00387</t>
  </si>
  <si>
    <t>S00914</t>
  </si>
  <si>
    <t>S01527</t>
  </si>
  <si>
    <t>S02190</t>
  </si>
  <si>
    <t>S02593</t>
  </si>
  <si>
    <t>S00877</t>
  </si>
  <si>
    <t>S01281</t>
  </si>
  <si>
    <t>S01707</t>
  </si>
  <si>
    <t>S01773</t>
  </si>
  <si>
    <t>S01830</t>
  </si>
  <si>
    <t>S01905</t>
  </si>
  <si>
    <t>S02607</t>
  </si>
  <si>
    <t>S03147</t>
  </si>
  <si>
    <t>S03162</t>
  </si>
  <si>
    <t>S03344</t>
  </si>
  <si>
    <t>S03704</t>
  </si>
  <si>
    <t>S00191</t>
  </si>
  <si>
    <t>S00536</t>
  </si>
  <si>
    <t>S00722</t>
  </si>
  <si>
    <t>S01021</t>
  </si>
  <si>
    <t>S01246</t>
  </si>
  <si>
    <t>S02276</t>
  </si>
  <si>
    <t>S02714</t>
  </si>
  <si>
    <t>S02881</t>
  </si>
  <si>
    <t>S02907</t>
  </si>
  <si>
    <t>S03549</t>
  </si>
  <si>
    <t>S00160</t>
  </si>
  <si>
    <t>S01670</t>
  </si>
  <si>
    <t>S01857</t>
  </si>
  <si>
    <t>S02318</t>
  </si>
  <si>
    <t>S02831</t>
  </si>
  <si>
    <t>S02932</t>
  </si>
  <si>
    <t>S02941</t>
  </si>
  <si>
    <t>S03586</t>
  </si>
  <si>
    <t>S03859</t>
  </si>
  <si>
    <t>S00036</t>
  </si>
  <si>
    <t>S00123</t>
  </si>
  <si>
    <t>S00521</t>
  </si>
  <si>
    <t>S00955</t>
  </si>
  <si>
    <t>S01186</t>
  </si>
  <si>
    <t>S01448</t>
  </si>
  <si>
    <t>S03059</t>
  </si>
  <si>
    <t>S00635</t>
  </si>
  <si>
    <t>S01656</t>
  </si>
  <si>
    <t>S01840</t>
  </si>
  <si>
    <t>S01939</t>
  </si>
  <si>
    <t>S03677</t>
  </si>
  <si>
    <t>S03883</t>
  </si>
  <si>
    <t>S00471</t>
  </si>
  <si>
    <t>S02731</t>
  </si>
  <si>
    <t>S03825</t>
  </si>
  <si>
    <t>S00753</t>
  </si>
  <si>
    <t>S00770</t>
  </si>
  <si>
    <t>S01038</t>
  </si>
  <si>
    <t>S01048</t>
  </si>
  <si>
    <t>S01503</t>
  </si>
  <si>
    <t>S02372</t>
  </si>
  <si>
    <t>S02519</t>
  </si>
  <si>
    <t>S02659</t>
  </si>
  <si>
    <t>S02976</t>
  </si>
  <si>
    <t>S03234</t>
  </si>
  <si>
    <t>S00232</t>
  </si>
  <si>
    <t>S00508</t>
  </si>
  <si>
    <t>S00676</t>
  </si>
  <si>
    <t>S00878</t>
  </si>
  <si>
    <t>S01304</t>
  </si>
  <si>
    <t>S01516</t>
  </si>
  <si>
    <t>S01774</t>
  </si>
  <si>
    <t>S01989</t>
  </si>
  <si>
    <t>S02608</t>
  </si>
  <si>
    <t>S00137</t>
  </si>
  <si>
    <t>S00839</t>
  </si>
  <si>
    <t>S01022</t>
  </si>
  <si>
    <t>S01072</t>
  </si>
  <si>
    <t>S01247</t>
  </si>
  <si>
    <t>S01957</t>
  </si>
  <si>
    <t>S02538</t>
  </si>
  <si>
    <t>S02715</t>
  </si>
  <si>
    <t>S03024</t>
  </si>
  <si>
    <t>S03333</t>
  </si>
  <si>
    <t>S03550</t>
  </si>
  <si>
    <t>S03874</t>
  </si>
  <si>
    <t>S00129</t>
  </si>
  <si>
    <t>S00735</t>
  </si>
  <si>
    <t>S01557</t>
  </si>
  <si>
    <t>S02488</t>
  </si>
  <si>
    <t>S02551</t>
  </si>
  <si>
    <t>S02921</t>
  </si>
  <si>
    <t>S03037</t>
  </si>
  <si>
    <t>S03192</t>
  </si>
  <si>
    <t>S03529</t>
  </si>
  <si>
    <t>S00101</t>
  </si>
  <si>
    <t>S00287</t>
  </si>
  <si>
    <t>S00565</t>
  </si>
  <si>
    <t>S01187</t>
  </si>
  <si>
    <t>S01261</t>
  </si>
  <si>
    <t>S01431</t>
  </si>
  <si>
    <t>S02473</t>
  </si>
  <si>
    <t>S03060</t>
  </si>
  <si>
    <t>S00636</t>
  </si>
  <si>
    <t>S00812</t>
  </si>
  <si>
    <t>S00938</t>
  </si>
  <si>
    <t>S01657</t>
  </si>
  <si>
    <t>S02203</t>
  </si>
  <si>
    <t>S02798</t>
  </si>
  <si>
    <t>S02994</t>
  </si>
  <si>
    <t>S03802</t>
  </si>
  <si>
    <t>S02212</t>
  </si>
  <si>
    <t>S03281</t>
  </si>
  <si>
    <t>S00826</t>
  </si>
  <si>
    <t>S01049</t>
  </si>
  <si>
    <t>S01369</t>
  </si>
  <si>
    <t>S01860</t>
  </si>
  <si>
    <t>S01975</t>
  </si>
  <si>
    <t>S02499</t>
  </si>
  <si>
    <t>S02520</t>
  </si>
  <si>
    <t>S02977</t>
  </si>
  <si>
    <t>S03004</t>
  </si>
  <si>
    <t>S03131</t>
  </si>
  <si>
    <t>S03370</t>
  </si>
  <si>
    <t>S03409</t>
  </si>
  <si>
    <t>S00785</t>
  </si>
  <si>
    <t>S00904</t>
  </si>
  <si>
    <t>S01305</t>
  </si>
  <si>
    <t>S02100</t>
  </si>
  <si>
    <t>S02292</t>
  </si>
  <si>
    <t>S03322</t>
  </si>
  <si>
    <t>S00138</t>
  </si>
  <si>
    <t>S00366</t>
  </si>
  <si>
    <t>S00670</t>
  </si>
  <si>
    <t>S00840</t>
  </si>
  <si>
    <t>S01088</t>
  </si>
  <si>
    <t>S01129</t>
  </si>
  <si>
    <t>S02129</t>
  </si>
  <si>
    <t>S03274</t>
  </si>
  <si>
    <t>S03561</t>
  </si>
  <si>
    <t>S03875</t>
  </si>
  <si>
    <t>S00091</t>
  </si>
  <si>
    <t>S00736</t>
  </si>
  <si>
    <t>S01348</t>
  </si>
  <si>
    <t>S01558</t>
  </si>
  <si>
    <t>S01623</t>
  </si>
  <si>
    <t>S02489</t>
  </si>
  <si>
    <t>S02568</t>
  </si>
  <si>
    <t>S03073</t>
  </si>
  <si>
    <t>S03387</t>
  </si>
  <si>
    <t>S01418</t>
  </si>
  <si>
    <t>S01745</t>
  </si>
  <si>
    <t>S02089</t>
  </si>
  <si>
    <t>S02427</t>
  </si>
  <si>
    <t>S02474</t>
  </si>
  <si>
    <t>S02625</t>
  </si>
  <si>
    <t>S02758</t>
  </si>
  <si>
    <t>S00204</t>
  </si>
  <si>
    <t>S00968</t>
  </si>
  <si>
    <t>S01106</t>
  </si>
  <si>
    <t>S01919</t>
  </si>
  <si>
    <t>S02819</t>
  </si>
  <si>
    <t>S02953</t>
  </si>
  <si>
    <t>S03540</t>
  </si>
  <si>
    <t>S00001</t>
  </si>
  <si>
    <t>S02065</t>
  </si>
  <si>
    <t>S02213</t>
  </si>
  <si>
    <t>S02581</t>
  </si>
  <si>
    <t>S03011</t>
  </si>
  <si>
    <t>S00060</t>
  </si>
  <si>
    <t>S00262</t>
  </si>
  <si>
    <t>S01387</t>
  </si>
  <si>
    <t>S01553</t>
  </si>
  <si>
    <t>S02500</t>
  </si>
  <si>
    <t>S03132</t>
  </si>
  <si>
    <t>S03371</t>
  </si>
  <si>
    <t>S03563</t>
  </si>
  <si>
    <t>S00077</t>
  </si>
  <si>
    <t>S00589</t>
  </si>
  <si>
    <t>S01484</t>
  </si>
  <si>
    <t>S01577</t>
  </si>
  <si>
    <t>S01718</t>
  </si>
  <si>
    <t>S02293</t>
  </si>
  <si>
    <t>S02458</t>
  </si>
  <si>
    <t>S02637</t>
  </si>
  <si>
    <t>S03623</t>
  </si>
  <si>
    <t>S00367</t>
  </si>
  <si>
    <t>S00992</t>
  </si>
  <si>
    <t>S01808</t>
  </si>
  <si>
    <t>S01898</t>
  </si>
  <si>
    <t>S03088</t>
  </si>
  <si>
    <t>S03181</t>
  </si>
  <si>
    <t>S03275</t>
  </si>
  <si>
    <t>S03450</t>
  </si>
  <si>
    <t>S03562</t>
  </si>
  <si>
    <t>S03595</t>
  </si>
  <si>
    <t>S03666</t>
  </si>
  <si>
    <t>S00459</t>
  </si>
  <si>
    <t>S00531</t>
  </si>
  <si>
    <t>S01243</t>
  </si>
  <si>
    <t>S01687</t>
  </si>
  <si>
    <t>S03388</t>
  </si>
  <si>
    <t>S03490</t>
  </si>
  <si>
    <t>S03902</t>
  </si>
  <si>
    <t>S03916</t>
  </si>
  <si>
    <t>S00343</t>
  </si>
  <si>
    <t>S01333</t>
  </si>
  <si>
    <t>S02000</t>
  </si>
  <si>
    <t>S02090</t>
  </si>
  <si>
    <t>S02333</t>
  </si>
  <si>
    <t>S02782</t>
  </si>
  <si>
    <t>S02862</t>
  </si>
  <si>
    <t>S03312</t>
  </si>
  <si>
    <t>S03848</t>
  </si>
  <si>
    <t>S00764</t>
  </si>
  <si>
    <t>S01107</t>
  </si>
  <si>
    <t>S01639</t>
  </si>
  <si>
    <t>S02464</t>
  </si>
  <si>
    <t>S02705</t>
  </si>
  <si>
    <t>S03541</t>
  </si>
  <si>
    <t>S03607</t>
  </si>
  <si>
    <t>S00002</t>
  </si>
  <si>
    <t>S00651</t>
  </si>
  <si>
    <t>S00702</t>
  </si>
  <si>
    <t>S01141</t>
  </si>
  <si>
    <t>S02808</t>
  </si>
  <si>
    <t>S03100</t>
  </si>
  <si>
    <t>S00243</t>
  </si>
  <si>
    <t>S00609</t>
  </si>
  <si>
    <t>S02363</t>
  </si>
  <si>
    <t>S02968</t>
  </si>
  <si>
    <t>S03262</t>
  </si>
  <si>
    <t>S03564</t>
  </si>
  <si>
    <t>S03749</t>
  </si>
  <si>
    <t>S03777</t>
  </si>
  <si>
    <t>S00300</t>
  </si>
  <si>
    <t>S00414</t>
  </si>
  <si>
    <t>S00486</t>
  </si>
  <si>
    <t>S00873</t>
  </si>
  <si>
    <t>S01027</t>
  </si>
  <si>
    <t>S01197</t>
  </si>
  <si>
    <t>S01578</t>
  </si>
  <si>
    <t>S02221</t>
  </si>
  <si>
    <t>S03624</t>
  </si>
  <si>
    <t>S00024</t>
  </si>
  <si>
    <t>S00388</t>
  </si>
  <si>
    <t>S00915</t>
  </si>
  <si>
    <t>S01528</t>
  </si>
  <si>
    <t>S01899</t>
  </si>
  <si>
    <t>S02191</t>
  </si>
  <si>
    <t>S02594</t>
  </si>
  <si>
    <t>S03738</t>
  </si>
  <si>
    <t>S01244</t>
  </si>
  <si>
    <t>S01282</t>
  </si>
  <si>
    <t>S01708</t>
  </si>
  <si>
    <t>S01831</t>
  </si>
  <si>
    <t>S01906</t>
  </si>
  <si>
    <t>S03148</t>
  </si>
  <si>
    <t>S03163</t>
  </si>
  <si>
    <t>S03345</t>
  </si>
  <si>
    <t>S03705</t>
  </si>
  <si>
    <t>S00537</t>
  </si>
  <si>
    <t>S00723</t>
  </si>
  <si>
    <t>S02001</t>
  </si>
  <si>
    <t>S02277</t>
  </si>
  <si>
    <t>S02647</t>
  </si>
  <si>
    <t>S02783</t>
  </si>
  <si>
    <t>S02882</t>
  </si>
  <si>
    <t>S02908</t>
  </si>
  <si>
    <t>S00161</t>
  </si>
  <si>
    <t>S01406</t>
  </si>
  <si>
    <t>S01640</t>
  </si>
  <si>
    <t>S01671</t>
  </si>
  <si>
    <t>S02319</t>
  </si>
  <si>
    <t>S02706</t>
  </si>
  <si>
    <t>S02766</t>
  </si>
  <si>
    <t>S02832</t>
  </si>
  <si>
    <t>S02933</t>
  </si>
  <si>
    <t>S02942</t>
  </si>
  <si>
    <t>S03587</t>
  </si>
  <si>
    <t>S03860</t>
  </si>
  <si>
    <t>S00037</t>
  </si>
  <si>
    <t>S00522</t>
  </si>
  <si>
    <t>S00652</t>
  </si>
  <si>
    <t>S00956</t>
  </si>
  <si>
    <t>S01449</t>
  </si>
  <si>
    <t>S01781</t>
  </si>
  <si>
    <t>S01841</t>
  </si>
  <si>
    <t>S01940</t>
  </si>
  <si>
    <t>S02031</t>
  </si>
  <si>
    <t>S03678</t>
  </si>
  <si>
    <t>S03884</t>
  </si>
  <si>
    <t>S00472</t>
  </si>
  <si>
    <t>S00874</t>
  </si>
  <si>
    <t>S02732</t>
  </si>
  <si>
    <t>S03216</t>
  </si>
  <si>
    <t>S03826</t>
  </si>
  <si>
    <t>S00754</t>
  </si>
  <si>
    <t>S00771</t>
  </si>
  <si>
    <t>S01039</t>
  </si>
  <si>
    <t>S01504</t>
  </si>
  <si>
    <t>S02373</t>
  </si>
  <si>
    <t>S02660</t>
  </si>
  <si>
    <t>S03235</t>
  </si>
  <si>
    <t>S03397</t>
  </si>
  <si>
    <t>S03739</t>
  </si>
  <si>
    <t>S00233</t>
  </si>
  <si>
    <t>S00509</t>
  </si>
  <si>
    <t>S00677</t>
  </si>
  <si>
    <t>S00879</t>
  </si>
  <si>
    <t>S01517</t>
  </si>
  <si>
    <t>S01775</t>
  </si>
  <si>
    <t>S01990</t>
  </si>
  <si>
    <t>S02609</t>
  </si>
  <si>
    <t>S01023</t>
  </si>
  <si>
    <t>S01073</t>
  </si>
  <si>
    <t>S01248</t>
  </si>
  <si>
    <t>S01958</t>
  </si>
  <si>
    <t>S02539</t>
  </si>
  <si>
    <t>S02648</t>
  </si>
  <si>
    <t>S03025</t>
  </si>
  <si>
    <t>S03551</t>
  </si>
  <si>
    <t>S03762</t>
  </si>
  <si>
    <t>S00130</t>
  </si>
  <si>
    <t>S00621</t>
  </si>
  <si>
    <t>S01407</t>
  </si>
  <si>
    <t>S02552</t>
  </si>
  <si>
    <t>S02767</t>
  </si>
  <si>
    <t>S02922</t>
  </si>
  <si>
    <t>S03193</t>
  </si>
  <si>
    <t>S03530</t>
  </si>
  <si>
    <t>S00102</t>
  </si>
  <si>
    <t>S00288</t>
  </si>
  <si>
    <t>S00443</t>
  </si>
  <si>
    <t>S00566</t>
  </si>
  <si>
    <t>S01188</t>
  </si>
  <si>
    <t>S01432</t>
  </si>
  <si>
    <t>S03061</t>
  </si>
  <si>
    <t>S00637</t>
  </si>
  <si>
    <t>S00813</t>
  </si>
  <si>
    <t>S00939</t>
  </si>
  <si>
    <t>S01270</t>
  </si>
  <si>
    <t>S01658</t>
  </si>
  <si>
    <t>S01782</t>
  </si>
  <si>
    <t>S01854</t>
  </si>
  <si>
    <t>S02032</t>
  </si>
  <si>
    <t>S02204</t>
  </si>
  <si>
    <t>S02799</t>
  </si>
  <si>
    <t>S03480</t>
  </si>
  <si>
    <t>S03576</t>
  </si>
  <si>
    <t>S03803</t>
  </si>
  <si>
    <t>S03217</t>
  </si>
  <si>
    <t>S03282</t>
  </si>
  <si>
    <t>S00827</t>
  </si>
  <si>
    <t>S01050</t>
  </si>
  <si>
    <t>S01370</t>
  </si>
  <si>
    <t>S01861</t>
  </si>
  <si>
    <t>S01976</t>
  </si>
  <si>
    <t>S02978</t>
  </si>
  <si>
    <t>S03005</t>
  </si>
  <si>
    <t>S03398</t>
  </si>
  <si>
    <t>S03410</t>
  </si>
  <si>
    <t>S00786</t>
  </si>
  <si>
    <t>S00905</t>
  </si>
  <si>
    <t>S01306</t>
  </si>
  <si>
    <t>S01762</t>
  </si>
  <si>
    <t>S03323</t>
  </si>
  <si>
    <t>S00116</t>
  </si>
  <si>
    <t>S00139</t>
  </si>
  <si>
    <t>S00671</t>
  </si>
  <si>
    <t>S00841</t>
  </si>
  <si>
    <t>S01089</t>
  </si>
  <si>
    <t>S01130</t>
  </si>
  <si>
    <t>S02130</t>
  </si>
  <si>
    <t>S02258</t>
  </si>
  <si>
    <t>S03763</t>
  </si>
  <si>
    <t>S03876</t>
  </si>
  <si>
    <t>S00092</t>
  </si>
  <si>
    <t>S00209</t>
  </si>
  <si>
    <t>S00622</t>
  </si>
  <si>
    <t>S00737</t>
  </si>
  <si>
    <t>S01559</t>
  </si>
  <si>
    <t>S01624</t>
  </si>
  <si>
    <t>S02490</t>
  </si>
  <si>
    <t>S02569</t>
  </si>
  <si>
    <t>S03074</t>
  </si>
  <si>
    <t>S03123</t>
  </si>
  <si>
    <t>S03466</t>
  </si>
  <si>
    <t>S00145</t>
  </si>
  <si>
    <t>S00444</t>
  </si>
  <si>
    <t>S01419</t>
  </si>
  <si>
    <t>S01746</t>
  </si>
  <si>
    <t>S02161</t>
  </si>
  <si>
    <t>S02364</t>
  </si>
  <si>
    <t>S02428</t>
  </si>
  <si>
    <t>S02475</t>
  </si>
  <si>
    <t>S02626</t>
  </si>
  <si>
    <t>S02759</t>
  </si>
  <si>
    <t>S00494</t>
  </si>
  <si>
    <t>S00969</t>
  </si>
  <si>
    <t>S01271</t>
  </si>
  <si>
    <t>S01855</t>
  </si>
  <si>
    <t>S01920</t>
  </si>
  <si>
    <t>S02820</t>
  </si>
  <si>
    <t>S02954</t>
  </si>
  <si>
    <t>S03481</t>
  </si>
  <si>
    <t>S03577</t>
  </si>
  <si>
    <t>S01473</t>
  </si>
  <si>
    <t>S02066</t>
  </si>
  <si>
    <t>S02582</t>
  </si>
  <si>
    <t>S03012</t>
  </si>
  <si>
    <t>S00061</t>
  </si>
  <si>
    <t>S00263</t>
  </si>
  <si>
    <t>S01388</t>
  </si>
  <si>
    <t>S01554</t>
  </si>
  <si>
    <t>S01891</t>
  </si>
  <si>
    <t>S02501</t>
  </si>
  <si>
    <t>S03133</t>
  </si>
  <si>
    <t>S03372</t>
  </si>
  <si>
    <t>S00078</t>
  </si>
  <si>
    <t>S00590</t>
  </si>
  <si>
    <t>S01379</t>
  </si>
  <si>
    <t>S01485</t>
  </si>
  <si>
    <t>S01719</t>
  </si>
  <si>
    <t>S01763</t>
  </si>
  <si>
    <t>S02294</t>
  </si>
  <si>
    <t>S02638</t>
  </si>
  <si>
    <t>S02875</t>
  </si>
  <si>
    <t>S00117</t>
  </si>
  <si>
    <t>S00368</t>
  </si>
  <si>
    <t>S00993</t>
  </si>
  <si>
    <t>S01555</t>
  </si>
  <si>
    <t>S01809</t>
  </si>
  <si>
    <t>S02259</t>
  </si>
  <si>
    <t>S03089</t>
  </si>
  <si>
    <t>S03182</t>
  </si>
  <si>
    <t>S03451</t>
  </si>
  <si>
    <t>S03596</t>
  </si>
  <si>
    <t>S03667</t>
  </si>
  <si>
    <t>S00210</t>
  </si>
  <si>
    <t>S00460</t>
  </si>
  <si>
    <t>S01688</t>
  </si>
  <si>
    <t>S02050</t>
  </si>
  <si>
    <t>S03124</t>
  </si>
  <si>
    <t>S03467</t>
  </si>
  <si>
    <t>S03491</t>
  </si>
  <si>
    <t>S03903</t>
  </si>
  <si>
    <t>S03917</t>
  </si>
  <si>
    <t>S00146</t>
  </si>
  <si>
    <t>S00344</t>
  </si>
  <si>
    <t>S01334</t>
  </si>
  <si>
    <t>S02091</t>
  </si>
  <si>
    <t>S02162</t>
  </si>
  <si>
    <t>S02334</t>
  </si>
  <si>
    <t>S02365</t>
  </si>
  <si>
    <t>S02863</t>
  </si>
  <si>
    <t>S03313</t>
  </si>
  <si>
    <t>S03849</t>
  </si>
  <si>
    <t>S00495</t>
  </si>
  <si>
    <t>S00765</t>
  </si>
  <si>
    <t>S01108</t>
  </si>
  <si>
    <t>S02465</t>
  </si>
  <si>
    <t>S02716</t>
  </si>
  <si>
    <t>S03542</t>
  </si>
  <si>
    <t>S03608</t>
  </si>
  <si>
    <t>S00003</t>
  </si>
  <si>
    <t>S00703</t>
  </si>
  <si>
    <t>S01142</t>
  </si>
  <si>
    <t>S01474</t>
  </si>
  <si>
    <t>S02809</t>
  </si>
  <si>
    <t>S03101</t>
  </si>
  <si>
    <t>S03639</t>
  </si>
  <si>
    <t>S00244</t>
  </si>
  <si>
    <t>S00610</t>
  </si>
  <si>
    <t>S01892</t>
  </si>
  <si>
    <t>S03263</t>
  </si>
  <si>
    <t>S03565</t>
  </si>
  <si>
    <t>S03724</t>
  </si>
  <si>
    <t>S03750</t>
  </si>
  <si>
    <t>S03778</t>
  </si>
  <si>
    <t>S00301</t>
  </si>
  <si>
    <t>S00415</t>
  </si>
  <si>
    <t>S00487</t>
  </si>
  <si>
    <t>S01028</t>
  </si>
  <si>
    <t>S01198</t>
  </si>
  <si>
    <t>S01380</t>
  </si>
  <si>
    <t>S01579</t>
  </si>
  <si>
    <t>S02222</t>
  </si>
  <si>
    <t>S02876</t>
  </si>
  <si>
    <t>S00025</t>
  </si>
  <si>
    <t>S00389</t>
  </si>
  <si>
    <t>S00916</t>
  </si>
  <si>
    <t>S01529</t>
  </si>
  <si>
    <t>S01556</t>
  </si>
  <si>
    <t>S01900</t>
  </si>
  <si>
    <t>S02192</t>
  </si>
  <si>
    <t>S02595</t>
  </si>
  <si>
    <t>S03720</t>
  </si>
  <si>
    <t>S00617</t>
  </si>
  <si>
    <t>S01245</t>
  </si>
  <si>
    <t>S01283</t>
  </si>
  <si>
    <t>S01709</t>
  </si>
  <si>
    <t>S01832</t>
  </si>
  <si>
    <t>S01907</t>
  </si>
  <si>
    <t>S02051</t>
  </si>
  <si>
    <t>S02707</t>
  </si>
  <si>
    <t>S03149</t>
  </si>
  <si>
    <t>S03164</t>
  </si>
  <si>
    <t>S03346</t>
  </si>
  <si>
    <t>S03423</t>
  </si>
  <si>
    <t>S03706</t>
  </si>
  <si>
    <t>S00538</t>
  </si>
  <si>
    <t>S00724</t>
  </si>
  <si>
    <t>S02002</t>
  </si>
  <si>
    <t>S02278</t>
  </si>
  <si>
    <t>S02784</t>
  </si>
  <si>
    <t>S02883</t>
  </si>
  <si>
    <t>S02909</t>
  </si>
  <si>
    <t>S00162</t>
  </si>
  <si>
    <t>S01169</t>
  </si>
  <si>
    <t>S01349</t>
  </si>
  <si>
    <t>S01641</t>
  </si>
  <si>
    <t>S01672</t>
  </si>
  <si>
    <t>S02320</t>
  </si>
  <si>
    <t>S02717</t>
  </si>
  <si>
    <t>S02849</t>
  </si>
  <si>
    <t>S02934</t>
  </si>
  <si>
    <t>S02943</t>
  </si>
  <si>
    <t>S03588</t>
  </si>
  <si>
    <t>S03861</t>
  </si>
  <si>
    <t>S00038</t>
  </si>
  <si>
    <t>S00523</t>
  </si>
  <si>
    <t>S00653</t>
  </si>
  <si>
    <t>S00957</t>
  </si>
  <si>
    <t>S01450</t>
  </si>
  <si>
    <t>S01592</t>
  </si>
  <si>
    <t>S03640</t>
  </si>
  <si>
    <t>S03689</t>
  </si>
  <si>
    <t>S00475</t>
  </si>
  <si>
    <t>S01842</t>
  </si>
  <si>
    <t>S01941</t>
  </si>
  <si>
    <t>S02232</t>
  </si>
  <si>
    <t>S03508</t>
  </si>
  <si>
    <t>S03679</t>
  </si>
  <si>
    <t>S03725</t>
  </si>
  <si>
    <t>S03885</t>
  </si>
  <si>
    <t>S00473</t>
  </si>
  <si>
    <t>S00875</t>
  </si>
  <si>
    <t>S01222</t>
  </si>
  <si>
    <t>S02733</t>
  </si>
  <si>
    <t>S03827</t>
  </si>
  <si>
    <t>S00755</t>
  </si>
  <si>
    <t>S00772</t>
  </si>
  <si>
    <t>S01040</t>
  </si>
  <si>
    <t>S01505</t>
  </si>
  <si>
    <t>S02374</t>
  </si>
  <si>
    <t>S02661</t>
  </si>
  <si>
    <t>S03236</t>
  </si>
  <si>
    <t>S03644</t>
  </si>
  <si>
    <t>S03721</t>
  </si>
  <si>
    <t>S03740</t>
  </si>
  <si>
    <t>S00234</t>
  </si>
  <si>
    <t>S00510</t>
  </si>
  <si>
    <t>S00618</t>
  </si>
  <si>
    <t>S00678</t>
  </si>
  <si>
    <t>S00880</t>
  </si>
  <si>
    <t>S01518</t>
  </si>
  <si>
    <t>S01776</t>
  </si>
  <si>
    <t>S01991</t>
  </si>
  <si>
    <t>S02610</t>
  </si>
  <si>
    <t>S02708</t>
  </si>
  <si>
    <t>S03424</t>
  </si>
  <si>
    <t>S00441</t>
  </si>
  <si>
    <t>S01074</t>
  </si>
  <si>
    <t>S01249</t>
  </si>
  <si>
    <t>S01959</t>
  </si>
  <si>
    <t>S02399</t>
  </si>
  <si>
    <t>S02540</t>
  </si>
  <si>
    <t>S02649</t>
  </si>
  <si>
    <t>S03026</t>
  </si>
  <si>
    <t>S03552</t>
  </si>
  <si>
    <t>S00131</t>
  </si>
  <si>
    <t>S01170</t>
  </si>
  <si>
    <t>S01350</t>
  </si>
  <si>
    <t>S01408</t>
  </si>
  <si>
    <t>S01648</t>
  </si>
  <si>
    <t>S02553</t>
  </si>
  <si>
    <t>S02768</t>
  </si>
  <si>
    <t>S02850</t>
  </si>
  <si>
    <t>S02923</t>
  </si>
  <si>
    <t>S03194</t>
  </si>
  <si>
    <t>S03531</t>
  </si>
  <si>
    <t>S00103</t>
  </si>
  <si>
    <t>S00289</t>
  </si>
  <si>
    <t>S00567</t>
  </si>
  <si>
    <t>S01189</t>
  </si>
  <si>
    <t>S01433</t>
  </si>
  <si>
    <t>S01593</t>
  </si>
  <si>
    <t>S02041</t>
  </si>
  <si>
    <t>S02508</t>
  </si>
  <si>
    <t>S03062</t>
  </si>
  <si>
    <t>S03690</t>
  </si>
  <si>
    <t>S00313</t>
  </si>
  <si>
    <t>S00476</t>
  </si>
  <si>
    <t>S00638</t>
  </si>
  <si>
    <t>S00940</t>
  </si>
  <si>
    <t>S01061</t>
  </si>
  <si>
    <t>S01278</t>
  </si>
  <si>
    <t>S01311</t>
  </si>
  <si>
    <t>S01659</t>
  </si>
  <si>
    <t>S01783</t>
  </si>
  <si>
    <t>S02033</t>
  </si>
  <si>
    <t>S02205</t>
  </si>
  <si>
    <t>S02233</t>
  </si>
  <si>
    <t>S02800</t>
  </si>
  <si>
    <t>S03509</t>
  </si>
  <si>
    <t>S03718</t>
  </si>
  <si>
    <t>S03804</t>
  </si>
  <si>
    <t>S00859</t>
  </si>
  <si>
    <t>S01223</t>
  </si>
  <si>
    <t>S03218</t>
  </si>
  <si>
    <t>S03283</t>
  </si>
  <si>
    <t>S00661</t>
  </si>
  <si>
    <t>S00828</t>
  </si>
  <si>
    <t>S01371</t>
  </si>
  <si>
    <t>S01862</t>
  </si>
  <si>
    <t>S01977</t>
  </si>
  <si>
    <t>S02979</t>
  </si>
  <si>
    <t>S03203</t>
  </si>
  <si>
    <t>S03399</t>
  </si>
  <si>
    <t>S03411</t>
  </si>
  <si>
    <t>S03645</t>
  </si>
  <si>
    <t>S00787</t>
  </si>
  <si>
    <t>S00906</t>
  </si>
  <si>
    <t>S01307</t>
  </si>
  <si>
    <t>S03324</t>
  </si>
  <si>
    <t>S00140</t>
  </si>
  <si>
    <t>S00442</t>
  </si>
  <si>
    <t>S00672</t>
  </si>
  <si>
    <t>S00842</t>
  </si>
  <si>
    <t>S01090</t>
  </si>
  <si>
    <t>S01131</t>
  </si>
  <si>
    <t>S02131</t>
  </si>
  <si>
    <t>S02400</t>
  </si>
  <si>
    <t>S03764</t>
  </si>
  <si>
    <t>S03877</t>
  </si>
  <si>
    <t>S00093</t>
  </si>
  <si>
    <t>S00623</t>
  </si>
  <si>
    <t>S00738</t>
  </si>
  <si>
    <t>S01560</t>
  </si>
  <si>
    <t>S01625</t>
  </si>
  <si>
    <t>S01649</t>
  </si>
  <si>
    <t>S02491</t>
  </si>
  <si>
    <t>S02570</t>
  </si>
  <si>
    <t>S03075</t>
  </si>
  <si>
    <t>S03228</t>
  </si>
  <si>
    <t>S03296</t>
  </si>
  <si>
    <t>S00402</t>
  </si>
  <si>
    <t>S00445</t>
  </si>
  <si>
    <t>S00576</t>
  </si>
  <si>
    <t>S01420</t>
  </si>
  <si>
    <t>S01747</t>
  </si>
  <si>
    <t>S02042</t>
  </si>
  <si>
    <t>S02429</t>
  </si>
  <si>
    <t>S02476</t>
  </si>
  <si>
    <t>S02509</t>
  </si>
  <si>
    <t>S02627</t>
  </si>
  <si>
    <t>S02760</t>
  </si>
  <si>
    <t>S02969</t>
  </si>
  <si>
    <t>S03384</t>
  </si>
  <si>
    <t>S00314</t>
  </si>
  <si>
    <t>S00970</t>
  </si>
  <si>
    <t>S01062</t>
  </si>
  <si>
    <t>S01272</t>
  </si>
  <si>
    <t>S01279</t>
  </si>
  <si>
    <t>S01312</t>
  </si>
  <si>
    <t>S01539</t>
  </si>
  <si>
    <t>S01921</t>
  </si>
  <si>
    <t>S02821</t>
  </si>
  <si>
    <t>S02955</t>
  </si>
  <si>
    <t>S03482</t>
  </si>
  <si>
    <t>S03578</t>
  </si>
  <si>
    <t>S03719</t>
  </si>
  <si>
    <t>S00109</t>
  </si>
  <si>
    <t>S00860</t>
  </si>
  <si>
    <t>S02067</t>
  </si>
  <si>
    <t>S02583</t>
  </si>
  <si>
    <t>S03013</t>
  </si>
  <si>
    <t>S00062</t>
  </si>
  <si>
    <t>S00168</t>
  </si>
  <si>
    <t>S00264</t>
  </si>
  <si>
    <t>S00662</t>
  </si>
  <si>
    <t>S01215</t>
  </si>
  <si>
    <t>S01389</t>
  </si>
  <si>
    <t>S02502</t>
  </si>
  <si>
    <t>S03045</t>
  </si>
  <si>
    <t>S03134</t>
  </si>
  <si>
    <t>S03204</t>
  </si>
  <si>
    <t>S00079</t>
  </si>
  <si>
    <t>S00219</t>
  </si>
  <si>
    <t>S00591</t>
  </si>
  <si>
    <t>S01486</t>
  </si>
  <si>
    <t>S01720</t>
  </si>
  <si>
    <t>S01764</t>
  </si>
  <si>
    <t>S01796</t>
  </si>
  <si>
    <t>S02295</t>
  </si>
  <si>
    <t>S02639</t>
  </si>
  <si>
    <t>S00118</t>
  </si>
  <si>
    <t>S00369</t>
  </si>
  <si>
    <t>S00994</t>
  </si>
  <si>
    <t>S01810</t>
  </si>
  <si>
    <t>S02260</t>
  </si>
  <si>
    <t>S02745</t>
  </si>
  <si>
    <t>S02773</t>
  </si>
  <si>
    <t>S03090</t>
  </si>
  <si>
    <t>S03452</t>
  </si>
  <si>
    <t>S03597</t>
  </si>
  <si>
    <t>S03668</t>
  </si>
  <si>
    <t>S00211</t>
  </si>
  <si>
    <t>S00461</t>
  </si>
  <si>
    <t>S00647</t>
  </si>
  <si>
    <t>S01689</t>
  </si>
  <si>
    <t>S02114</t>
  </si>
  <si>
    <t>S02668</t>
  </si>
  <si>
    <t>S03125</t>
  </si>
  <si>
    <t>S03229</t>
  </si>
  <si>
    <t>S03297</t>
  </si>
  <si>
    <t>S03468</t>
  </si>
  <si>
    <t>S03492</t>
  </si>
  <si>
    <t>S03904</t>
  </si>
  <si>
    <t>S00147</t>
  </si>
  <si>
    <t>S00345</t>
  </si>
  <si>
    <t>S00403</t>
  </si>
  <si>
    <t>S00577</t>
  </si>
  <si>
    <t>S01335</t>
  </si>
  <si>
    <t>S02092</t>
  </si>
  <si>
    <t>S02163</t>
  </si>
  <si>
    <t>S02335</t>
  </si>
  <si>
    <t>S02366</t>
  </si>
  <si>
    <t>S02864</t>
  </si>
  <si>
    <t>S02970</t>
  </si>
  <si>
    <t>S03314</t>
  </si>
  <si>
    <t>S03385</t>
  </si>
  <si>
    <t>S03850</t>
  </si>
  <si>
    <t>S00496</t>
  </si>
  <si>
    <t>S01109</t>
  </si>
  <si>
    <t>S01540</t>
  </si>
  <si>
    <t>S02466</t>
  </si>
  <si>
    <t>S03543</t>
  </si>
  <si>
    <t>S03609</t>
  </si>
  <si>
    <t>S00004</t>
  </si>
  <si>
    <t>S00110</t>
  </si>
  <si>
    <t>S00704</t>
  </si>
  <si>
    <t>S00814</t>
  </si>
  <si>
    <t>S01143</t>
  </si>
  <si>
    <t>S01475</t>
  </si>
  <si>
    <t>S02810</t>
  </si>
  <si>
    <t>S03102</t>
  </si>
  <si>
    <t>S00169</t>
  </si>
  <si>
    <t>S00245</t>
  </si>
  <si>
    <t>S00611</t>
  </si>
  <si>
    <t>S01216</t>
  </si>
  <si>
    <t>S01881</t>
  </si>
  <si>
    <t>S01893</t>
  </si>
  <si>
    <t>S02145</t>
  </si>
  <si>
    <t>S03046</t>
  </si>
  <si>
    <t>S03117</t>
  </si>
  <si>
    <t>S03244</t>
  </si>
  <si>
    <t>S03264</t>
  </si>
  <si>
    <t>S03566</t>
  </si>
  <si>
    <t>S03615</t>
  </si>
  <si>
    <t>S03751</t>
  </si>
  <si>
    <t>S03779</t>
  </si>
  <si>
    <t>S00220</t>
  </si>
  <si>
    <t>S00251</t>
  </si>
  <si>
    <t>S00302</t>
  </si>
  <si>
    <t>S00416</t>
  </si>
  <si>
    <t>S00488</t>
  </si>
  <si>
    <t>S01029</t>
  </si>
  <si>
    <t>S01199</t>
  </si>
  <si>
    <t>S01580</t>
  </si>
  <si>
    <t>S01797</t>
  </si>
  <si>
    <t>S02223</t>
  </si>
  <si>
    <t>S02877</t>
  </si>
  <si>
    <t>S00026</t>
  </si>
  <si>
    <t>S00390</t>
  </si>
  <si>
    <t>S00917</t>
  </si>
  <si>
    <t>S01530</t>
  </si>
  <si>
    <t>S02193</t>
  </si>
  <si>
    <t>S02596</t>
  </si>
  <si>
    <t>S02746</t>
  </si>
  <si>
    <t>S02774</t>
  </si>
  <si>
    <t>S00435</t>
  </si>
  <si>
    <t>S00648</t>
  </si>
  <si>
    <t>S01284</t>
  </si>
  <si>
    <t>S01361</t>
  </si>
  <si>
    <t>S01710</t>
  </si>
  <si>
    <t>S01833</t>
  </si>
  <si>
    <t>S01908</t>
  </si>
  <si>
    <t>S02052</t>
  </si>
  <si>
    <t>S02115</t>
  </si>
  <si>
    <t>S02669</t>
  </si>
  <si>
    <t>S03150</t>
  </si>
  <si>
    <t>S03165</t>
  </si>
  <si>
    <t>S03347</t>
  </si>
  <si>
    <t>S03707</t>
  </si>
  <si>
    <t>S00539</t>
  </si>
  <si>
    <t>S00725</t>
  </si>
  <si>
    <t>S02003</t>
  </si>
  <si>
    <t>S02170</t>
  </si>
  <si>
    <t>S02279</t>
  </si>
  <si>
    <t>S02414</t>
  </si>
  <si>
    <t>S02785</t>
  </si>
  <si>
    <t>S02884</t>
  </si>
  <si>
    <t>S02910</t>
  </si>
  <si>
    <t>S00163</t>
  </si>
  <si>
    <t>S01642</t>
  </si>
  <si>
    <t>S02321</t>
  </si>
  <si>
    <t>S02718</t>
  </si>
  <si>
    <t>S02935</t>
  </si>
  <si>
    <t>S02944</t>
  </si>
  <si>
    <t>S03862</t>
  </si>
  <si>
    <t>S00039</t>
  </si>
  <si>
    <t>S00524</t>
  </si>
  <si>
    <t>S00654</t>
  </si>
  <si>
    <t>S00815</t>
  </si>
  <si>
    <t>S00958</t>
  </si>
  <si>
    <t>S01451</t>
  </si>
  <si>
    <t>S03272</t>
  </si>
  <si>
    <t>S03641</t>
  </si>
  <si>
    <t>S01149</t>
  </si>
  <si>
    <t>S01843</t>
  </si>
  <si>
    <t>S01882</t>
  </si>
  <si>
    <t>S01942</t>
  </si>
  <si>
    <t>S02146</t>
  </si>
  <si>
    <t>S02381</t>
  </si>
  <si>
    <t>S03118</t>
  </si>
  <si>
    <t>S03245</t>
  </si>
  <si>
    <t>S03616</t>
  </si>
  <si>
    <t>S03680</t>
  </si>
  <si>
    <t>S03886</t>
  </si>
  <si>
    <t>S00252</t>
  </si>
  <si>
    <t>S00474</t>
  </si>
  <si>
    <t>S00876</t>
  </si>
  <si>
    <t>S01160</t>
  </si>
  <si>
    <t>S02347</t>
  </si>
  <si>
    <t>S02482</t>
  </si>
  <si>
    <t>S02734</t>
  </si>
  <si>
    <t>S03828</t>
  </si>
  <si>
    <t>S00756</t>
  </si>
  <si>
    <t>S00773</t>
  </si>
  <si>
    <t>S01041</t>
  </si>
  <si>
    <t>S01506</t>
  </si>
  <si>
    <t>S02375</t>
  </si>
  <si>
    <t>S02662</t>
  </si>
  <si>
    <t>S03237</t>
  </si>
  <si>
    <t>S03722</t>
  </si>
  <si>
    <t>S03741</t>
  </si>
  <si>
    <t>S00235</t>
  </si>
  <si>
    <t>S00436</t>
  </si>
  <si>
    <t>S00511</t>
  </si>
  <si>
    <t>S00619</t>
  </si>
  <si>
    <t>S00679</t>
  </si>
  <si>
    <t>S00881</t>
  </si>
  <si>
    <t>S01362</t>
  </si>
  <si>
    <t>S01519</t>
  </si>
  <si>
    <t>S01777</t>
  </si>
  <si>
    <t>S01992</t>
  </si>
  <si>
    <t>S02709</t>
  </si>
  <si>
    <t>S03391</t>
  </si>
  <si>
    <t>S03425</t>
  </si>
  <si>
    <t>S03439</t>
  </si>
  <si>
    <t>S01075</t>
  </si>
  <si>
    <t>S01250</t>
  </si>
  <si>
    <t>S01467</t>
  </si>
  <si>
    <t>S01960</t>
  </si>
  <si>
    <t>S02171</t>
  </si>
  <si>
    <t>S02415</t>
  </si>
  <si>
    <t>S02541</t>
  </si>
  <si>
    <t>S02650</t>
  </si>
  <si>
    <t>S03027</t>
  </si>
  <si>
    <t>S03553</t>
  </si>
  <si>
    <t>S03650</t>
  </si>
  <si>
    <t>S00132</t>
  </si>
  <si>
    <t>S00688</t>
  </si>
  <si>
    <t>S00793</t>
  </si>
  <si>
    <t>S01171</t>
  </si>
  <si>
    <t>S01351</t>
  </si>
  <si>
    <t>S01409</t>
  </si>
  <si>
    <t>S02554</t>
  </si>
  <si>
    <t>S02769</t>
  </si>
  <si>
    <t>S02851</t>
  </si>
  <si>
    <t>S02924</t>
  </si>
  <si>
    <t>S03195</t>
  </si>
  <si>
    <t>S03532</t>
  </si>
  <si>
    <t>S00104</t>
  </si>
  <si>
    <t>S00290</t>
  </si>
  <si>
    <t>S00568</t>
  </si>
  <si>
    <t>S01190</t>
  </si>
  <si>
    <t>S01434</t>
  </si>
  <si>
    <t>S01594</t>
  </si>
  <si>
    <t>S03063</t>
  </si>
  <si>
    <t>S03273</t>
  </si>
  <si>
    <t>S03691</t>
  </si>
  <si>
    <t>S00477</t>
  </si>
  <si>
    <t>S00639</t>
  </si>
  <si>
    <t>S00941</t>
  </si>
  <si>
    <t>S01150</t>
  </si>
  <si>
    <t>S01784</t>
  </si>
  <si>
    <t>S02034</t>
  </si>
  <si>
    <t>S02206</t>
  </si>
  <si>
    <t>S02234</t>
  </si>
  <si>
    <t>S02382</t>
  </si>
  <si>
    <t>S02801</t>
  </si>
  <si>
    <t>S03510</t>
  </si>
  <si>
    <t>S03805</t>
  </si>
  <si>
    <t>S01161</t>
  </si>
  <si>
    <t>S01224</t>
  </si>
  <si>
    <t>S02348</t>
  </si>
  <si>
    <t>S02445</t>
  </si>
  <si>
    <t>S02483</t>
  </si>
  <si>
    <t>S03219</t>
  </si>
  <si>
    <t>S03284</t>
  </si>
  <si>
    <t>S03460</t>
  </si>
  <si>
    <t>S03696</t>
  </si>
  <si>
    <t>S00829</t>
  </si>
  <si>
    <t>S01372</t>
  </si>
  <si>
    <t>S01863</t>
  </si>
  <si>
    <t>S01978</t>
  </si>
  <si>
    <t>S02980</t>
  </si>
  <si>
    <t>S03252</t>
  </si>
  <si>
    <t>S03400</t>
  </si>
  <si>
    <t>S03412</t>
  </si>
  <si>
    <t>S03646</t>
  </si>
  <si>
    <t>S00175</t>
  </si>
  <si>
    <t>S00788</t>
  </si>
  <si>
    <t>S00907</t>
  </si>
  <si>
    <t>S01308</t>
  </si>
  <si>
    <t>S01321</t>
  </si>
  <si>
    <t>S03325</t>
  </si>
  <si>
    <t>S03392</t>
  </si>
  <si>
    <t>S03440</t>
  </si>
  <si>
    <t>S00016</t>
  </si>
  <si>
    <t>S00141</t>
  </si>
  <si>
    <t>S00673</t>
  </si>
  <si>
    <t>S00843</t>
  </si>
  <si>
    <t>S01091</t>
  </si>
  <si>
    <t>S01132</t>
  </si>
  <si>
    <t>S01468</t>
  </si>
  <si>
    <t>S02132</t>
  </si>
  <si>
    <t>S02137</t>
  </si>
  <si>
    <t>S02401</t>
  </si>
  <si>
    <t>S03458</t>
  </si>
  <si>
    <t>S03651</t>
  </si>
  <si>
    <t>S03765</t>
  </si>
  <si>
    <t>S00094</t>
  </si>
  <si>
    <t>S00624</t>
  </si>
  <si>
    <t>S00689</t>
  </si>
  <si>
    <t>S00739</t>
  </si>
  <si>
    <t>S00794</t>
  </si>
  <si>
    <t>S01561</t>
  </si>
  <si>
    <t>S01626</t>
  </si>
  <si>
    <t>S01650</t>
  </si>
  <si>
    <t>S02492</t>
  </si>
  <si>
    <t>S02571</t>
  </si>
  <si>
    <t>S03076</t>
  </si>
  <si>
    <t>S03515</t>
  </si>
  <si>
    <t>S03726</t>
  </si>
  <si>
    <t>S00446</t>
  </si>
  <si>
    <t>S01262</t>
  </si>
  <si>
    <t>S01421</t>
  </si>
  <si>
    <t>S01566</t>
  </si>
  <si>
    <t>S01748</t>
  </si>
  <si>
    <t>S01889</t>
  </si>
  <si>
    <t>S02043</t>
  </si>
  <si>
    <t>S02187</t>
  </si>
  <si>
    <t>S02390</t>
  </si>
  <si>
    <t>S02430</t>
  </si>
  <si>
    <t>S02477</t>
  </si>
  <si>
    <t>S02510</t>
  </si>
  <si>
    <t>S02628</t>
  </si>
  <si>
    <t>S02761</t>
  </si>
  <si>
    <t>S00180</t>
  </si>
  <si>
    <t>S00315</t>
  </si>
  <si>
    <t>S00924</t>
  </si>
  <si>
    <t>S00971</t>
  </si>
  <si>
    <t>S01063</t>
  </si>
  <si>
    <t>S01273</t>
  </si>
  <si>
    <t>S01313</t>
  </si>
  <si>
    <t>S01922</t>
  </si>
  <si>
    <t>S02822</t>
  </si>
  <si>
    <t>S02956</t>
  </si>
  <si>
    <t>S03290</t>
  </si>
  <si>
    <t>S03483</t>
  </si>
  <si>
    <t>S03579</t>
  </si>
  <si>
    <t>S00861</t>
  </si>
  <si>
    <t>S02068</t>
  </si>
  <si>
    <t>S02446</t>
  </si>
  <si>
    <t>S02584</t>
  </si>
  <si>
    <t>S03014</t>
  </si>
  <si>
    <t>S03461</t>
  </si>
  <si>
    <t>S03697</t>
  </si>
  <si>
    <t>S00063</t>
  </si>
  <si>
    <t>S00663</t>
  </si>
  <si>
    <t>S01390</t>
  </si>
  <si>
    <t>S02503</t>
  </si>
  <si>
    <t>S03205</t>
  </si>
  <si>
    <t>S03253</t>
  </si>
  <si>
    <t>S00080</t>
  </si>
  <si>
    <t>S00176</t>
  </si>
  <si>
    <t>S00378</t>
  </si>
  <si>
    <t>S00592</t>
  </si>
  <si>
    <t>S01322</t>
  </si>
  <si>
    <t>S01487</t>
  </si>
  <si>
    <t>S01631</t>
  </si>
  <si>
    <t>S01721</t>
  </si>
  <si>
    <t>S01765</t>
  </si>
  <si>
    <t>S02296</t>
  </si>
  <si>
    <t>S02640</t>
  </si>
  <si>
    <t>S00017</t>
  </si>
  <si>
    <t>S00119</t>
  </si>
  <si>
    <t>S00370</t>
  </si>
  <si>
    <t>S00995</t>
  </si>
  <si>
    <t>S01811</t>
  </si>
  <si>
    <t>S02081</t>
  </si>
  <si>
    <t>S02138</t>
  </si>
  <si>
    <t>S02261</t>
  </si>
  <si>
    <t>S03038</t>
  </si>
  <si>
    <t>S03091</t>
  </si>
  <si>
    <t>S03417</t>
  </si>
  <si>
    <t>S03453</t>
  </si>
  <si>
    <t>S03459</t>
  </si>
  <si>
    <t>S03598</t>
  </si>
  <si>
    <t>S03669</t>
  </si>
  <si>
    <t>S00212</t>
  </si>
  <si>
    <t>S00428</t>
  </si>
  <si>
    <t>S00462</t>
  </si>
  <si>
    <t>S01586</t>
  </si>
  <si>
    <t>S01690</t>
  </si>
  <si>
    <t>S02834</t>
  </si>
  <si>
    <t>S03126</t>
  </si>
  <si>
    <t>S03172</t>
  </si>
  <si>
    <t>S03230</t>
  </si>
  <si>
    <t>S03298</t>
  </si>
  <si>
    <t>S03469</t>
  </si>
  <si>
    <t>S03493</t>
  </si>
  <si>
    <t>S03516</t>
  </si>
  <si>
    <t>S03727</t>
  </si>
  <si>
    <t>S03905</t>
  </si>
  <si>
    <t>S00124</t>
  </si>
  <si>
    <t>S00148</t>
  </si>
  <si>
    <t>S00346</t>
  </si>
  <si>
    <t>S00404</t>
  </si>
  <si>
    <t>S00976</t>
  </si>
  <si>
    <t>S01263</t>
  </si>
  <si>
    <t>S01336</t>
  </si>
  <si>
    <t>S01567</t>
  </si>
  <si>
    <t>S01890</t>
  </si>
  <si>
    <t>S02093</t>
  </si>
  <si>
    <t>S02164</t>
  </si>
  <si>
    <t>S02188</t>
  </si>
  <si>
    <t>S02336</t>
  </si>
  <si>
    <t>S02391</t>
  </si>
  <si>
    <t>S02865</t>
  </si>
  <si>
    <t>S02971</t>
  </si>
  <si>
    <t>S03315</t>
  </si>
  <si>
    <t>S03851</t>
  </si>
  <si>
    <t>S00181</t>
  </si>
  <si>
    <t>S00497</t>
  </si>
  <si>
    <t>S00925</t>
  </si>
  <si>
    <t>S01110</t>
  </si>
  <si>
    <t>S01541</t>
  </si>
  <si>
    <t>S02467</t>
  </si>
  <si>
    <t>S03291</t>
  </si>
  <si>
    <t>S03544</t>
  </si>
  <si>
    <t>S03610</t>
  </si>
  <si>
    <t>S00005</t>
  </si>
  <si>
    <t>S00111</t>
  </si>
  <si>
    <t>S00705</t>
  </si>
  <si>
    <t>S00857</t>
  </si>
  <si>
    <t>S01144</t>
  </si>
  <si>
    <t>S01476</t>
  </si>
  <si>
    <t>S02302</t>
  </si>
  <si>
    <t>S02521</t>
  </si>
  <si>
    <t>S02811</t>
  </si>
  <si>
    <t>S03103</t>
  </si>
  <si>
    <t>S00170</t>
  </si>
  <si>
    <t>S00246</t>
  </si>
  <si>
    <t>S00273</t>
  </si>
  <si>
    <t>S00612</t>
  </si>
  <si>
    <t>S01217</t>
  </si>
  <si>
    <t>S01290</t>
  </si>
  <si>
    <t>S01894</t>
  </si>
  <si>
    <t>S03047</t>
  </si>
  <si>
    <t>S03265</t>
  </si>
  <si>
    <t>S03567</t>
  </si>
  <si>
    <t>S03752</t>
  </si>
  <si>
    <t>S03780</t>
  </si>
  <si>
    <t>S00042</t>
  </si>
  <si>
    <t>S00221</t>
  </si>
  <si>
    <t>S00303</t>
  </si>
  <si>
    <t>S00379</t>
  </si>
  <si>
    <t>S00417</t>
  </si>
  <si>
    <t>S00489</t>
  </si>
  <si>
    <t>S01030</t>
  </si>
  <si>
    <t>S01200</t>
  </si>
  <si>
    <t>S01462</t>
  </si>
  <si>
    <t>S01581</t>
  </si>
  <si>
    <t>S01632</t>
  </si>
  <si>
    <t>S01798</t>
  </si>
  <si>
    <t>S02026</t>
  </si>
  <si>
    <t>S02224</t>
  </si>
  <si>
    <t>S02878</t>
  </si>
  <si>
    <t>S00027</t>
  </si>
  <si>
    <t>S00918</t>
  </si>
  <si>
    <t>S01531</t>
  </si>
  <si>
    <t>S02082</t>
  </si>
  <si>
    <t>S02194</t>
  </si>
  <si>
    <t>S02597</t>
  </si>
  <si>
    <t>S02747</t>
  </si>
  <si>
    <t>S02775</t>
  </si>
  <si>
    <t>S03039</t>
  </si>
  <si>
    <t>S03418</t>
  </si>
  <si>
    <t>S00429</t>
  </si>
  <si>
    <t>S00649</t>
  </si>
  <si>
    <t>S01285</t>
  </si>
  <si>
    <t>S01587</t>
  </si>
  <si>
    <t>S01711</t>
  </si>
  <si>
    <t>S01834</t>
  </si>
  <si>
    <t>S01909</t>
  </si>
  <si>
    <t>S02053</t>
  </si>
  <si>
    <t>S02116</t>
  </si>
  <si>
    <t>S02670</t>
  </si>
  <si>
    <t>S02835</t>
  </si>
  <si>
    <t>S03151</t>
  </si>
  <si>
    <t>S03166</t>
  </si>
  <si>
    <t>S03173</t>
  </si>
  <si>
    <t>S03348</t>
  </si>
  <si>
    <t>S03708</t>
  </si>
  <si>
    <t>S00125</t>
  </si>
  <si>
    <t>S00540</t>
  </si>
  <si>
    <t>S00726</t>
  </si>
  <si>
    <t>S00977</t>
  </si>
  <si>
    <t>S01235</t>
  </si>
  <si>
    <t>S02004</t>
  </si>
  <si>
    <t>S02280</t>
  </si>
  <si>
    <t>S02786</t>
  </si>
  <si>
    <t>S02885</t>
  </si>
  <si>
    <t>S02911</t>
  </si>
  <si>
    <t>S00164</t>
  </si>
  <si>
    <t>S00834</t>
  </si>
  <si>
    <t>S01643</t>
  </si>
  <si>
    <t>S02322</t>
  </si>
  <si>
    <t>S02719</t>
  </si>
  <si>
    <t>S02936</t>
  </si>
  <si>
    <t>S02945</t>
  </si>
  <si>
    <t>S03863</t>
  </si>
  <si>
    <t>S00525</t>
  </si>
  <si>
    <t>S00655</t>
  </si>
  <si>
    <t>S00799</t>
  </si>
  <si>
    <t>S00816</t>
  </si>
  <si>
    <t>S00858</t>
  </si>
  <si>
    <t>S00959</t>
  </si>
  <si>
    <t>S00982</t>
  </si>
  <si>
    <t>S01452</t>
  </si>
  <si>
    <t>S02243</t>
  </si>
  <si>
    <t>S02303</t>
  </si>
  <si>
    <t>S02522</t>
  </si>
  <si>
    <t>S00274</t>
  </si>
  <si>
    <t>S01180</t>
  </si>
  <si>
    <t>S01291</t>
  </si>
  <si>
    <t>S01844</t>
  </si>
  <si>
    <t>S01883</t>
  </si>
  <si>
    <t>S01943</t>
  </si>
  <si>
    <t>S02147</t>
  </si>
  <si>
    <t>S03119</t>
  </si>
  <si>
    <t>S03246</t>
  </si>
  <si>
    <t>S03617</t>
  </si>
  <si>
    <t>S03681</t>
  </si>
  <si>
    <t>S03789</t>
  </si>
  <si>
    <t>S03887</t>
  </si>
  <si>
    <t>S00043</t>
  </si>
  <si>
    <t>S00253</t>
  </si>
  <si>
    <t>S01463</t>
  </si>
  <si>
    <t>S02027</t>
  </si>
  <si>
    <t>S02735</t>
  </si>
  <si>
    <t>S02996</t>
  </si>
  <si>
    <t>S03829</t>
  </si>
  <si>
    <t>S00757</t>
  </si>
  <si>
    <t>S00774</t>
  </si>
  <si>
    <t>S01042</t>
  </si>
  <si>
    <t>S01507</t>
  </si>
  <si>
    <t>S02376</t>
  </si>
  <si>
    <t>S02663</t>
  </si>
  <si>
    <t>S03238</t>
  </si>
  <si>
    <t>S03723</t>
  </si>
  <si>
    <t>S03742</t>
  </si>
  <si>
    <t>S03757</t>
  </si>
  <si>
    <t>S00047</t>
  </si>
  <si>
    <t>S00236</t>
  </si>
  <si>
    <t>S00437</t>
  </si>
  <si>
    <t>S00512</t>
  </si>
  <si>
    <t>S00620</t>
  </si>
  <si>
    <t>S00680</t>
  </si>
  <si>
    <t>S00882</t>
  </si>
  <si>
    <t>S01096</t>
  </si>
  <si>
    <t>S01363</t>
  </si>
  <si>
    <t>S01946</t>
  </si>
  <si>
    <t>S01993</t>
  </si>
  <si>
    <t>S02710</t>
  </si>
  <si>
    <t>S03426</t>
  </si>
  <si>
    <t>S01076</t>
  </si>
  <si>
    <t>S01236</t>
  </si>
  <si>
    <t>S01251</t>
  </si>
  <si>
    <t>S01610</t>
  </si>
  <si>
    <t>S01961</t>
  </si>
  <si>
    <t>S02172</t>
  </si>
  <si>
    <t>S02416</t>
  </si>
  <si>
    <t>S02451</t>
  </si>
  <si>
    <t>S02542</t>
  </si>
  <si>
    <t>S02651</t>
  </si>
  <si>
    <t>S02840</t>
  </si>
  <si>
    <t>S03028</t>
  </si>
  <si>
    <t>S03554</t>
  </si>
  <si>
    <t>S03631</t>
  </si>
  <si>
    <t>S00133</t>
  </si>
  <si>
    <t>S00835</t>
  </si>
  <si>
    <t>S01014</t>
  </si>
  <si>
    <t>S01172</t>
  </si>
  <si>
    <t>S01352</t>
  </si>
  <si>
    <t>S01410</t>
  </si>
  <si>
    <t>S02555</t>
  </si>
  <si>
    <t>S02770</t>
  </si>
  <si>
    <t>S02852</t>
  </si>
  <si>
    <t>S02925</t>
  </si>
  <si>
    <t>S03196</t>
  </si>
  <si>
    <t>S03533</t>
  </si>
  <si>
    <t>S00105</t>
  </si>
  <si>
    <t>S00291</t>
  </si>
  <si>
    <t>S00549</t>
  </si>
  <si>
    <t>S00569</t>
  </si>
  <si>
    <t>S00800</t>
  </si>
  <si>
    <t>S00983</t>
  </si>
  <si>
    <t>S01191</t>
  </si>
  <si>
    <t>S01435</t>
  </si>
  <si>
    <t>S01595</t>
  </si>
  <si>
    <t>S02244</t>
  </si>
  <si>
    <t>S03064</t>
  </si>
  <si>
    <t>S03201</t>
  </si>
  <si>
    <t>S03692</t>
  </si>
  <si>
    <t>S00478</t>
  </si>
  <si>
    <t>S00640</t>
  </si>
  <si>
    <t>S00942</t>
  </si>
  <si>
    <t>S01151</t>
  </si>
  <si>
    <t>S01181</t>
  </si>
  <si>
    <t>S01785</t>
  </si>
  <si>
    <t>S01868</t>
  </si>
  <si>
    <t>S02035</t>
  </si>
  <si>
    <t>S02207</t>
  </si>
  <si>
    <t>S02235</t>
  </si>
  <si>
    <t>S02383</t>
  </si>
  <si>
    <t>S02802</t>
  </si>
  <si>
    <t>S03511</t>
  </si>
  <si>
    <t>S03790</t>
  </si>
  <si>
    <t>S03806</t>
  </si>
  <si>
    <t>S00468</t>
  </si>
  <si>
    <t>S00893</t>
  </si>
  <si>
    <t>S01162</t>
  </si>
  <si>
    <t>S01225</t>
  </si>
  <si>
    <t>S02349</t>
  </si>
  <si>
    <t>S02484</t>
  </si>
  <si>
    <t>S02997</t>
  </si>
  <si>
    <t>S03220</t>
  </si>
  <si>
    <t>S03285</t>
  </si>
  <si>
    <t>S00830</t>
  </si>
  <si>
    <t>S01373</t>
  </si>
  <si>
    <t>S01864</t>
  </si>
  <si>
    <t>S01979</t>
  </si>
  <si>
    <t>S02981</t>
  </si>
  <si>
    <t>S03413</t>
  </si>
  <si>
    <t>S03647</t>
  </si>
  <si>
    <t>S03758</t>
  </si>
  <si>
    <t>S00048</t>
  </si>
  <si>
    <t>S00422</t>
  </si>
  <si>
    <t>S00789</t>
  </si>
  <si>
    <t>S00908</t>
  </si>
  <si>
    <t>S00984</t>
  </si>
  <si>
    <t>S01097</t>
  </si>
  <si>
    <t>S01230</t>
  </si>
  <si>
    <t>S01947</t>
  </si>
  <si>
    <t>S03326</t>
  </si>
  <si>
    <t>S03393</t>
  </si>
  <si>
    <t>S03441</t>
  </si>
  <si>
    <t>S00142</t>
  </si>
  <si>
    <t>S00844</t>
  </si>
  <si>
    <t>S01092</t>
  </si>
  <si>
    <t>S01133</t>
  </si>
  <si>
    <t>S01469</t>
  </si>
  <si>
    <t>S01602</t>
  </si>
  <si>
    <t>S01611</t>
  </si>
  <si>
    <t>S02133</t>
  </si>
  <si>
    <t>S02402</t>
  </si>
  <si>
    <t>S02452</t>
  </si>
  <si>
    <t>S02841</t>
  </si>
  <si>
    <t>S03632</t>
  </si>
  <si>
    <t>S03652</t>
  </si>
  <si>
    <t>S03766</t>
  </si>
  <si>
    <t>S00095</t>
  </si>
  <si>
    <t>S00625</t>
  </si>
  <si>
    <t>S00690</t>
  </si>
  <si>
    <t>S00740</t>
  </si>
  <si>
    <t>S00795</t>
  </si>
  <si>
    <t>S01015</t>
  </si>
  <si>
    <t>S01562</t>
  </si>
  <si>
    <t>S01627</t>
  </si>
  <si>
    <t>S01651</t>
  </si>
  <si>
    <t>S02493</t>
  </si>
  <si>
    <t>S02572</t>
  </si>
  <si>
    <t>S03077</t>
  </si>
  <si>
    <t>S00447</t>
  </si>
  <si>
    <t>S00550</t>
  </si>
  <si>
    <t>S01000</t>
  </si>
  <si>
    <t>S01401</t>
  </si>
  <si>
    <t>S01422</t>
  </si>
  <si>
    <t>S01749</t>
  </si>
  <si>
    <t>S02044</t>
  </si>
  <si>
    <t>S02156</t>
  </si>
  <si>
    <t>S02431</t>
  </si>
  <si>
    <t>S02478</t>
  </si>
  <si>
    <t>S02511</t>
  </si>
  <si>
    <t>S02629</t>
  </si>
  <si>
    <t>S02762</t>
  </si>
  <si>
    <t>S03202</t>
  </si>
  <si>
    <t>S00316</t>
  </si>
  <si>
    <t>S00972</t>
  </si>
  <si>
    <t>S01274</t>
  </si>
  <si>
    <t>S01314</t>
  </si>
  <si>
    <t>S01869</t>
  </si>
  <si>
    <t>S01923</t>
  </si>
  <si>
    <t>S02675</t>
  </si>
  <si>
    <t>S02823</t>
  </si>
  <si>
    <t>S02957</t>
  </si>
  <si>
    <t>S03580</t>
  </si>
  <si>
    <t>S03840</t>
  </si>
  <si>
    <t>S00205</t>
  </si>
  <si>
    <t>S00469</t>
  </si>
  <si>
    <t>S00862</t>
  </si>
  <si>
    <t>S00894</t>
  </si>
  <si>
    <t>S02069</t>
  </si>
  <si>
    <t>S02447</t>
  </si>
  <si>
    <t>S02585</t>
  </si>
  <si>
    <t>S03015</t>
  </si>
  <si>
    <t>S03462</t>
  </si>
  <si>
    <t>S00064</t>
  </si>
  <si>
    <t>S00352</t>
  </si>
  <si>
    <t>S00396</t>
  </si>
  <si>
    <t>S00664</t>
  </si>
  <si>
    <t>S01010</t>
  </si>
  <si>
    <t>S01391</t>
  </si>
  <si>
    <t>S01696</t>
  </si>
  <si>
    <t>S02504</t>
  </si>
  <si>
    <t>S03206</t>
  </si>
  <si>
    <t>S03254</t>
  </si>
  <si>
    <t>S00081</t>
  </si>
  <si>
    <t>S00177</t>
  </si>
  <si>
    <t>S00423</t>
  </si>
  <si>
    <t>S00593</t>
  </si>
  <si>
    <t>S00985</t>
  </si>
  <si>
    <t>S01231</t>
  </si>
  <si>
    <t>S01323</t>
  </si>
  <si>
    <t>S01488</t>
  </si>
  <si>
    <t>S01722</t>
  </si>
  <si>
    <t>S01766</t>
  </si>
  <si>
    <t>S02641</t>
  </si>
  <si>
    <t>S02891</t>
  </si>
  <si>
    <t>S00018</t>
  </si>
  <si>
    <t>S00120</t>
  </si>
  <si>
    <t>S00371</t>
  </si>
  <si>
    <t>S00996</t>
  </si>
  <si>
    <t>S01603</t>
  </si>
  <si>
    <t>S01812</t>
  </si>
  <si>
    <t>S02139</t>
  </si>
  <si>
    <t>S02151</t>
  </si>
  <si>
    <t>S02262</t>
  </si>
  <si>
    <t>S02543</t>
  </si>
  <si>
    <t>S03092</t>
  </si>
  <si>
    <t>S03454</t>
  </si>
  <si>
    <t>S03599</t>
  </si>
  <si>
    <t>S03670</t>
  </si>
  <si>
    <t>S00213</t>
  </si>
  <si>
    <t>S00463</t>
  </si>
  <si>
    <t>S01691</t>
  </si>
  <si>
    <t>S03127</t>
  </si>
  <si>
    <t>S03299</t>
  </si>
  <si>
    <t>S03470</t>
  </si>
  <si>
    <t>S03494</t>
  </si>
  <si>
    <t>S03517</t>
  </si>
  <si>
    <t>S03728</t>
  </si>
  <si>
    <t>S03906</t>
  </si>
  <si>
    <t>S00149</t>
  </si>
  <si>
    <t>S00347</t>
  </si>
  <si>
    <t>S00405</t>
  </si>
  <si>
    <t>S01001</t>
  </si>
  <si>
    <t>S01264</t>
  </si>
  <si>
    <t>S01337</t>
  </si>
  <si>
    <t>S01402</t>
  </si>
  <si>
    <t>S01568</t>
  </si>
  <si>
    <t>S02094</t>
  </si>
  <si>
    <t>S02157</t>
  </si>
  <si>
    <t>S02165</t>
  </si>
  <si>
    <t>S02337</t>
  </si>
  <si>
    <t>S02392</t>
  </si>
  <si>
    <t>S02866</t>
  </si>
  <si>
    <t>S03316</t>
  </si>
  <si>
    <t>S03852</t>
  </si>
  <si>
    <t>S00182</t>
  </si>
  <si>
    <t>S00498</t>
  </si>
  <si>
    <t>S00926</t>
  </si>
  <si>
    <t>S01052</t>
  </si>
  <si>
    <t>S01111</t>
  </si>
  <si>
    <t>S01444</t>
  </si>
  <si>
    <t>S01542</t>
  </si>
  <si>
    <t>S02076</t>
  </si>
  <si>
    <t>S02468</t>
  </si>
  <si>
    <t>S02676</t>
  </si>
  <si>
    <t>S03292</t>
  </si>
  <si>
    <t>S03545</t>
  </si>
  <si>
    <t>S03611</t>
  </si>
  <si>
    <t>S03841</t>
  </si>
  <si>
    <t>S00006</t>
  </si>
  <si>
    <t>S00112</t>
  </si>
  <si>
    <t>S00206</t>
  </si>
  <si>
    <t>S00706</t>
  </si>
  <si>
    <t>S01145</t>
  </si>
  <si>
    <t>S01477</t>
  </si>
  <si>
    <t>S02812</t>
  </si>
  <si>
    <t>S03104</t>
  </si>
  <si>
    <t>S00171</t>
  </si>
  <si>
    <t>S00247</t>
  </si>
  <si>
    <t>S00353</t>
  </si>
  <si>
    <t>S00397</t>
  </si>
  <si>
    <t>S00613</t>
  </si>
  <si>
    <t>S01011</t>
  </si>
  <si>
    <t>S01218</t>
  </si>
  <si>
    <t>S01697</t>
  </si>
  <si>
    <t>S01895</t>
  </si>
  <si>
    <t>S03048</t>
  </si>
  <si>
    <t>S03112</t>
  </si>
  <si>
    <t>S03266</t>
  </si>
  <si>
    <t>S03568</t>
  </si>
  <si>
    <t>S03753</t>
  </si>
  <si>
    <t>S03781</t>
  </si>
  <si>
    <t>S00222</t>
  </si>
  <si>
    <t>S00304</t>
  </si>
  <si>
    <t>S00380</t>
  </si>
  <si>
    <t>S00418</t>
  </si>
  <si>
    <t>S00490</t>
  </si>
  <si>
    <t>S01031</t>
  </si>
  <si>
    <t>S01201</t>
  </si>
  <si>
    <t>S01582</t>
  </si>
  <si>
    <t>S01633</t>
  </si>
  <si>
    <t>S01799</t>
  </si>
  <si>
    <t>S02225</t>
  </si>
  <si>
    <t>S02615</t>
  </si>
  <si>
    <t>S02892</t>
  </si>
  <si>
    <t>S03380</t>
  </si>
  <si>
    <t>S00028</t>
  </si>
  <si>
    <t>S00919</t>
  </si>
  <si>
    <t>S01532</t>
  </si>
  <si>
    <t>S02083</t>
  </si>
  <si>
    <t>S02152</t>
  </si>
  <si>
    <t>S02195</t>
  </si>
  <si>
    <t>S02544</t>
  </si>
  <si>
    <t>S02598</t>
  </si>
  <si>
    <t>S02748</t>
  </si>
  <si>
    <t>S02776</t>
  </si>
  <si>
    <t>S03419</t>
  </si>
  <si>
    <t>S00430</t>
  </si>
  <si>
    <t>S01286</t>
  </si>
  <si>
    <t>S01572</t>
  </si>
  <si>
    <t>S01588</t>
  </si>
  <si>
    <t>S01712</t>
  </si>
  <si>
    <t>S01835</t>
  </si>
  <si>
    <t>S01910</t>
  </si>
  <si>
    <t>S02054</t>
  </si>
  <si>
    <t>S02117</t>
  </si>
  <si>
    <t>S02671</t>
  </si>
  <si>
    <t>S02836</t>
  </si>
  <si>
    <t>S03152</t>
  </si>
  <si>
    <t>S03167</t>
  </si>
  <si>
    <t>S03174</t>
  </si>
  <si>
    <t>S03349</t>
  </si>
  <si>
    <t>S03709</t>
  </si>
  <si>
    <t>S03813</t>
  </si>
  <si>
    <t>S00541</t>
  </si>
  <si>
    <t>S00727</t>
  </si>
  <si>
    <t>S00978</t>
  </si>
  <si>
    <t>S01355</t>
  </si>
  <si>
    <t>S02005</t>
  </si>
  <si>
    <t>S02281</t>
  </si>
  <si>
    <t>S02787</t>
  </si>
  <si>
    <t>S02886</t>
  </si>
  <si>
    <t>S02912</t>
  </si>
  <si>
    <t>S00012</t>
  </si>
  <si>
    <t>S00165</t>
  </si>
  <si>
    <t>S01053</t>
  </si>
  <si>
    <t>S01445</t>
  </si>
  <si>
    <t>S01644</t>
  </si>
  <si>
    <t>S02077</t>
  </si>
  <si>
    <t>S02323</t>
  </si>
  <si>
    <t>S02937</t>
  </si>
  <si>
    <t>S02946</t>
  </si>
  <si>
    <t>S03864</t>
  </si>
  <si>
    <t>S00526</t>
  </si>
  <si>
    <t>S00656</t>
  </si>
  <si>
    <t>S00817</t>
  </si>
  <si>
    <t>S00960</t>
  </si>
  <si>
    <t>S01453</t>
  </si>
  <si>
    <t>S02304</t>
  </si>
  <si>
    <t>S03474</t>
  </si>
  <si>
    <t>S00275</t>
  </si>
  <si>
    <t>S01292</t>
  </si>
  <si>
    <t>S01845</t>
  </si>
  <si>
    <t>S01944</t>
  </si>
  <si>
    <t>S02148</t>
  </si>
  <si>
    <t>S03113</t>
  </si>
  <si>
    <t>S03120</t>
  </si>
  <si>
    <t>S03247</t>
  </si>
  <si>
    <t>S03334</t>
  </si>
  <si>
    <t>S03618</t>
  </si>
  <si>
    <t>S03682</t>
  </si>
  <si>
    <t>S03888</t>
  </si>
  <si>
    <t>S00044</t>
  </si>
  <si>
    <t>S00254</t>
  </si>
  <si>
    <t>S00392</t>
  </si>
  <si>
    <t>S01464</t>
  </si>
  <si>
    <t>S02028</t>
  </si>
  <si>
    <t>S02616</t>
  </si>
  <si>
    <t>S02736</t>
  </si>
  <si>
    <t>S03381</t>
  </si>
  <si>
    <t>S03830</t>
  </si>
  <si>
    <t>S00758</t>
  </si>
  <si>
    <t>S00775</t>
  </si>
  <si>
    <t>S01043</t>
  </si>
  <si>
    <t>S01508</t>
  </si>
  <si>
    <t>S02377</t>
  </si>
  <si>
    <t>S02664</t>
  </si>
  <si>
    <t>S03239</t>
  </si>
  <si>
    <t>S03743</t>
  </si>
  <si>
    <t>S00237</t>
  </si>
  <si>
    <t>S00438</t>
  </si>
  <si>
    <t>S00513</t>
  </si>
  <si>
    <t>S00681</t>
  </si>
  <si>
    <t>S00883</t>
  </si>
  <si>
    <t>S01364</t>
  </si>
  <si>
    <t>S01573</t>
  </si>
  <si>
    <t>S01927</t>
  </si>
  <si>
    <t>S01994</t>
  </si>
  <si>
    <t>S02515</t>
  </si>
  <si>
    <t>S02711</t>
  </si>
  <si>
    <t>S03373</t>
  </si>
  <si>
    <t>S03427</t>
  </si>
  <si>
    <t>S03814</t>
  </si>
  <si>
    <t>S03837</t>
  </si>
  <si>
    <t>S01077</t>
  </si>
  <si>
    <t>S01252</t>
  </si>
  <si>
    <t>S01356</t>
  </si>
  <si>
    <t>S01962</t>
  </si>
  <si>
    <t>S02173</t>
  </si>
  <si>
    <t>S02417</t>
  </si>
  <si>
    <t>S02441</t>
  </si>
  <si>
    <t>S02652</t>
  </si>
  <si>
    <t>S03029</t>
  </si>
  <si>
    <t>S03555</t>
  </si>
  <si>
    <t>S00013</t>
  </si>
  <si>
    <t>S00134</t>
  </si>
  <si>
    <t>S00153</t>
  </si>
  <si>
    <t>S00836</t>
  </si>
  <si>
    <t>S01173</t>
  </si>
  <si>
    <t>S01353</t>
  </si>
  <si>
    <t>S01411</t>
  </si>
  <si>
    <t>S01771</t>
  </si>
  <si>
    <t>S02556</t>
  </si>
  <si>
    <t>S02771</t>
  </si>
  <si>
    <t>S02853</t>
  </si>
  <si>
    <t>S02926</t>
  </si>
  <si>
    <t>S03197</t>
  </si>
  <si>
    <t>S03534</t>
  </si>
  <si>
    <t>S03713</t>
  </si>
  <si>
    <t>S00106</t>
  </si>
  <si>
    <t>S00266</t>
  </si>
  <si>
    <t>S00292</t>
  </si>
  <si>
    <t>S00570</t>
  </si>
  <si>
    <t>S00801</t>
  </si>
  <si>
    <t>S01192</t>
  </si>
  <si>
    <t>S01436</t>
  </si>
  <si>
    <t>S01596</t>
  </si>
  <si>
    <t>S02245</t>
  </si>
  <si>
    <t>S03065</t>
  </si>
  <si>
    <t>S03475</t>
  </si>
  <si>
    <t>S03693</t>
  </si>
  <si>
    <t>S00479</t>
  </si>
  <si>
    <t>S00641</t>
  </si>
  <si>
    <t>S00943</t>
  </si>
  <si>
    <t>S01152</t>
  </si>
  <si>
    <t>S01182</t>
  </si>
  <si>
    <t>S01786</t>
  </si>
  <si>
    <t>S02022</t>
  </si>
  <si>
    <t>S02036</t>
  </si>
  <si>
    <t>S02208</t>
  </si>
  <si>
    <t>S02236</t>
  </si>
  <si>
    <t>S02384</t>
  </si>
  <si>
    <t>S02803</t>
  </si>
  <si>
    <t>S03335</t>
  </si>
  <si>
    <t>S03512</t>
  </si>
  <si>
    <t>S03791</t>
  </si>
  <si>
    <t>S03807</t>
  </si>
  <si>
    <t>S00393</t>
  </si>
  <si>
    <t>S01066</t>
  </si>
  <si>
    <t>S01163</t>
  </si>
  <si>
    <t>S01226</t>
  </si>
  <si>
    <t>S01458</t>
  </si>
  <si>
    <t>S02350</t>
  </si>
  <si>
    <t>S02485</t>
  </si>
  <si>
    <t>S03221</t>
  </si>
  <si>
    <t>S03286</t>
  </si>
  <si>
    <t>S00557</t>
  </si>
  <si>
    <t>S00831</t>
  </si>
  <si>
    <t>S01374</t>
  </si>
  <si>
    <t>S01865</t>
  </si>
  <si>
    <t>S01874</t>
  </si>
  <si>
    <t>S01980</t>
  </si>
  <si>
    <t>S02845</t>
  </si>
  <si>
    <t>S02982</t>
  </si>
  <si>
    <t>S03414</t>
  </si>
  <si>
    <t>S03648</t>
  </si>
  <si>
    <t>S03759</t>
  </si>
  <si>
    <t>S00049</t>
  </si>
  <si>
    <t>S00790</t>
  </si>
  <si>
    <t>S00909</t>
  </si>
  <si>
    <t>S01098</t>
  </si>
  <si>
    <t>S01928</t>
  </si>
  <si>
    <t>S01948</t>
  </si>
  <si>
    <t>S02516</t>
  </si>
  <si>
    <t>S03327</t>
  </si>
  <si>
    <t>S03374</t>
  </si>
  <si>
    <t>S03394</t>
  </si>
  <si>
    <t>S03838</t>
  </si>
  <si>
    <t>S00143</t>
  </si>
  <si>
    <t>S00845</t>
  </si>
  <si>
    <t>S01093</t>
  </si>
  <si>
    <t>S01134</t>
  </si>
  <si>
    <t>S01470</t>
  </si>
  <si>
    <t>S01612</t>
  </si>
  <si>
    <t>S02134</t>
  </si>
  <si>
    <t>S02403</t>
  </si>
  <si>
    <t>S02442</t>
  </si>
  <si>
    <t>S02453</t>
  </si>
  <si>
    <t>S02698</t>
  </si>
  <si>
    <t>S02842</t>
  </si>
  <si>
    <t>S03633</t>
  </si>
  <si>
    <t>S03767</t>
  </si>
  <si>
    <t>S00096</t>
  </si>
  <si>
    <t>S00154</t>
  </si>
  <si>
    <t>S00360</t>
  </si>
  <si>
    <t>S00626</t>
  </si>
  <si>
    <t>S00691</t>
  </si>
  <si>
    <t>S00741</t>
  </si>
  <si>
    <t>S00796</t>
  </si>
  <si>
    <t>S01016</t>
  </si>
  <si>
    <t>S01563</t>
  </si>
  <si>
    <t>S01628</t>
  </si>
  <si>
    <t>S01652</t>
  </si>
  <si>
    <t>S01772</t>
  </si>
  <si>
    <t>S02494</t>
  </si>
  <si>
    <t>S02573</t>
  </si>
  <si>
    <t>S03078</t>
  </si>
  <si>
    <t>S03714</t>
  </si>
  <si>
    <t>S00267</t>
  </si>
  <si>
    <t>S00448</t>
  </si>
  <si>
    <t>S00551</t>
  </si>
  <si>
    <t>S01423</t>
  </si>
  <si>
    <t>S01493</t>
  </si>
  <si>
    <t>S01750</t>
  </si>
  <si>
    <t>S02432</t>
  </si>
  <si>
    <t>S02479</t>
  </si>
  <si>
    <t>S02512</t>
  </si>
  <si>
    <t>S02630</t>
  </si>
  <si>
    <t>S02763</t>
  </si>
  <si>
    <t>S00317</t>
  </si>
  <si>
    <t>S00973</t>
  </si>
  <si>
    <t>S01275</t>
  </si>
  <si>
    <t>S01315</t>
  </si>
  <si>
    <t>S01870</t>
  </si>
  <si>
    <t>S01924</t>
  </si>
  <si>
    <t>S02023</t>
  </si>
  <si>
    <t>S02824</t>
  </si>
  <si>
    <t>S02958</t>
  </si>
  <si>
    <t>S03572</t>
  </si>
  <si>
    <t>S03581</t>
  </si>
  <si>
    <t>S00863</t>
  </si>
  <si>
    <t>S00895</t>
  </si>
  <si>
    <t>S01067</t>
  </si>
  <si>
    <t>S01459</t>
  </si>
  <si>
    <t>S02070</t>
  </si>
  <si>
    <t>S02448</t>
  </si>
  <si>
    <t>S02586</t>
  </si>
  <si>
    <t>S02720</t>
  </si>
  <si>
    <t>S03016</t>
  </si>
  <si>
    <t>S03463</t>
  </si>
  <si>
    <t>S00065</t>
  </si>
  <si>
    <t>S00558</t>
  </si>
  <si>
    <t>S00665</t>
  </si>
  <si>
    <t>S01006</t>
  </si>
  <si>
    <t>S01392</t>
  </si>
  <si>
    <t>S01875</t>
  </si>
  <si>
    <t>S02505</t>
  </si>
  <si>
    <t>S02846</t>
  </si>
  <si>
    <t>S03207</t>
  </si>
  <si>
    <t>S03255</t>
  </si>
  <si>
    <t>S00082</t>
  </si>
  <si>
    <t>S00178</t>
  </si>
  <si>
    <t>S00323</t>
  </si>
  <si>
    <t>S00424</t>
  </si>
  <si>
    <t>S00594</t>
  </si>
  <si>
    <t>S00890</t>
  </si>
  <si>
    <t>S00986</t>
  </si>
  <si>
    <t>S01232</t>
  </si>
  <si>
    <t>S01324</t>
  </si>
  <si>
    <t>S01489</t>
  </si>
  <si>
    <t>S01767</t>
  </si>
  <si>
    <t>S02642</t>
  </si>
  <si>
    <t>S00121</t>
  </si>
  <si>
    <t>S00372</t>
  </si>
  <si>
    <t>S00997</t>
  </si>
  <si>
    <t>S01604</t>
  </si>
  <si>
    <t>S01813</t>
  </si>
  <si>
    <t>S02140</t>
  </si>
  <si>
    <t>S02263</t>
  </si>
  <si>
    <t>S02699</t>
  </si>
  <si>
    <t>S03093</t>
  </si>
  <si>
    <t>S03455</t>
  </si>
  <si>
    <t>S03600</t>
  </si>
  <si>
    <t>S03671</t>
  </si>
  <si>
    <t>S00214</t>
  </si>
  <si>
    <t>S00361</t>
  </si>
  <si>
    <t>S00464</t>
  </si>
  <si>
    <t>S01692</t>
  </si>
  <si>
    <t>S01790</t>
  </si>
  <si>
    <t>S03128</t>
  </si>
  <si>
    <t>S03300</t>
  </si>
  <si>
    <t>S03471</t>
  </si>
  <si>
    <t>S03495</t>
  </si>
  <si>
    <t>S03518</t>
  </si>
  <si>
    <t>S03729</t>
  </si>
  <si>
    <t>S03907</t>
  </si>
  <si>
    <t>S00150</t>
  </si>
  <si>
    <t>S00348</t>
  </si>
  <si>
    <t>S00406</t>
  </si>
  <si>
    <t>S00731</t>
  </si>
  <si>
    <t>S01002</t>
  </si>
  <si>
    <t>S01237</t>
  </si>
  <si>
    <t>S01265</t>
  </si>
  <si>
    <t>S01338</t>
  </si>
  <si>
    <t>S01403</t>
  </si>
  <si>
    <t>S01494</t>
  </si>
  <si>
    <t>S01569</t>
  </si>
  <si>
    <t>S02095</t>
  </si>
  <si>
    <t>S02158</t>
  </si>
  <si>
    <t>S02166</t>
  </si>
  <si>
    <t>S02338</t>
  </si>
  <si>
    <t>S02393</t>
  </si>
  <si>
    <t>S02867</t>
  </si>
  <si>
    <t>S03317</t>
  </si>
  <si>
    <t>S03785</t>
  </si>
  <si>
    <t>S03853</t>
  </si>
  <si>
    <t>S00183</t>
  </si>
  <si>
    <t>S00499</t>
  </si>
  <si>
    <t>S00927</t>
  </si>
  <si>
    <t>S01056</t>
  </si>
  <si>
    <t>S01112</t>
  </si>
  <si>
    <t>S01543</t>
  </si>
  <si>
    <t>S02469</t>
  </si>
  <si>
    <t>S02677</t>
  </si>
  <si>
    <t>S03183</t>
  </si>
  <si>
    <t>S03293</t>
  </si>
  <si>
    <t>S03546</t>
  </si>
  <si>
    <t>S03573</t>
  </si>
  <si>
    <t>S03612</t>
  </si>
  <si>
    <t>S03842</t>
  </si>
  <si>
    <t>S00007</t>
  </si>
  <si>
    <t>S00113</t>
  </si>
  <si>
    <t>S00207</t>
  </si>
  <si>
    <t>S00707</t>
  </si>
  <si>
    <t>S01146</t>
  </si>
  <si>
    <t>S01478</t>
  </si>
  <si>
    <t>S01739</t>
  </si>
  <si>
    <t>S02353</t>
  </si>
  <si>
    <t>S02721</t>
  </si>
  <si>
    <t>S02813</t>
  </si>
  <si>
    <t>S03105</t>
  </si>
  <si>
    <t>S00172</t>
  </si>
  <si>
    <t>S00248</t>
  </si>
  <si>
    <t>S00354</t>
  </si>
  <si>
    <t>S00357</t>
  </si>
  <si>
    <t>S00398</t>
  </si>
  <si>
    <t>S00502</t>
  </si>
  <si>
    <t>S00614</t>
  </si>
  <si>
    <t>S01007</t>
  </si>
  <si>
    <t>S01012</t>
  </si>
  <si>
    <t>S01219</t>
  </si>
  <si>
    <t>S01698</t>
  </si>
  <si>
    <t>S02016</t>
  </si>
  <si>
    <t>S03049</t>
  </si>
  <si>
    <t>S03267</t>
  </si>
  <si>
    <t>S03569</t>
  </si>
  <si>
    <t>S03754</t>
  </si>
  <si>
    <t>S03782</t>
  </si>
  <si>
    <t>S00223</t>
  </si>
  <si>
    <t>S00305</t>
  </si>
  <si>
    <t>S00324</t>
  </si>
  <si>
    <t>S00381</t>
  </si>
  <si>
    <t>S00419</t>
  </si>
  <si>
    <t>S00425</t>
  </si>
  <si>
    <t>S00491</t>
  </si>
  <si>
    <t>S00891</t>
  </si>
  <si>
    <t>S01032</t>
  </si>
  <si>
    <t>S01202</t>
  </si>
  <si>
    <t>S01583</t>
  </si>
  <si>
    <t>S01634</t>
  </si>
  <si>
    <t>S01800</t>
  </si>
  <si>
    <t>S02226</t>
  </si>
  <si>
    <t>S02893</t>
  </si>
  <si>
    <t>S00029</t>
  </si>
  <si>
    <t>S00920</t>
  </si>
  <si>
    <t>S01533</t>
  </si>
  <si>
    <t>S02084</t>
  </si>
  <si>
    <t>S02153</t>
  </si>
  <si>
    <t>S02196</t>
  </si>
  <si>
    <t>S02254</t>
  </si>
  <si>
    <t>S02406</t>
  </si>
  <si>
    <t>S02545</t>
  </si>
  <si>
    <t>S02599</t>
  </si>
  <si>
    <t>S02682</t>
  </si>
  <si>
    <t>S02749</t>
  </si>
  <si>
    <t>S02777</t>
  </si>
  <si>
    <t>S02872</t>
  </si>
  <si>
    <t>S03420</t>
  </si>
  <si>
    <t>S00431</t>
  </si>
  <si>
    <t>S01287</t>
  </si>
  <si>
    <t>S01589</t>
  </si>
  <si>
    <t>S01713</t>
  </si>
  <si>
    <t>S01791</t>
  </si>
  <si>
    <t>S01836</t>
  </si>
  <si>
    <t>S01911</t>
  </si>
  <si>
    <t>S02055</t>
  </si>
  <si>
    <t>S02118</t>
  </si>
  <si>
    <t>S02672</t>
  </si>
  <si>
    <t>S02837</t>
  </si>
  <si>
    <t>S03140</t>
  </si>
  <si>
    <t>S03153</t>
  </si>
  <si>
    <t>S03168</t>
  </si>
  <si>
    <t>S03350</t>
  </si>
  <si>
    <t>S03710</t>
  </si>
  <si>
    <t>S00542</t>
  </si>
  <si>
    <t>S00728</t>
  </si>
  <si>
    <t>S00732</t>
  </si>
  <si>
    <t>S00979</t>
  </si>
  <si>
    <t>S01238</t>
  </si>
  <si>
    <t>S02006</t>
  </si>
  <si>
    <t>S02282</t>
  </si>
  <si>
    <t>S02788</t>
  </si>
  <si>
    <t>S02887</t>
  </si>
  <si>
    <t>S02913</t>
  </si>
  <si>
    <t>S03354</t>
  </si>
  <si>
    <t>S03786</t>
  </si>
  <si>
    <t>S00166</t>
  </si>
  <si>
    <t>S01054</t>
  </si>
  <si>
    <t>S01057</t>
  </si>
  <si>
    <t>S01446</t>
  </si>
  <si>
    <t>S01645</t>
  </si>
  <si>
    <t>S02078</t>
  </si>
  <si>
    <t>S02324</t>
  </si>
  <si>
    <t>S02938</t>
  </si>
  <si>
    <t>S02947</t>
  </si>
  <si>
    <t>S03184</t>
  </si>
  <si>
    <t>S03865</t>
  </si>
  <si>
    <t>S00527</t>
  </si>
  <si>
    <t>S00818</t>
  </si>
  <si>
    <t>S00961</t>
  </si>
  <si>
    <t>S01454</t>
  </si>
  <si>
    <t>S01740</t>
  </si>
  <si>
    <t>S02305</t>
  </si>
  <si>
    <t>S02354</t>
  </si>
  <si>
    <t>S00276</t>
  </si>
  <si>
    <t>S00358</t>
  </si>
  <si>
    <t>S00503</t>
  </si>
  <si>
    <t>S00578</t>
  </si>
  <si>
    <t>S01293</t>
  </si>
  <si>
    <t>S01599</t>
  </si>
  <si>
    <t>S01846</t>
  </si>
  <si>
    <t>S01945</t>
  </si>
  <si>
    <t>S02017</t>
  </si>
  <si>
    <t>S02149</t>
  </si>
  <si>
    <t>S03114</t>
  </si>
  <si>
    <t>S03121</t>
  </si>
  <si>
    <t>S03248</t>
  </si>
  <si>
    <t>S03619</t>
  </si>
  <si>
    <t>S03683</t>
  </si>
  <si>
    <t>S03889</t>
  </si>
  <si>
    <t>S00045</t>
  </si>
  <si>
    <t>S00255</t>
  </si>
  <si>
    <t>S00426</t>
  </si>
  <si>
    <t>S01398</t>
  </si>
  <si>
    <t>S01465</t>
  </si>
  <si>
    <t>S01965</t>
  </si>
  <si>
    <t>S02029</t>
  </si>
  <si>
    <t>S02689</t>
  </si>
  <si>
    <t>S02737</t>
  </si>
  <si>
    <t>S03382</t>
  </si>
  <si>
    <t>S03659</t>
  </si>
  <si>
    <t>S03831</t>
  </si>
  <si>
    <t>S00759</t>
  </si>
  <si>
    <t>S00776</t>
  </si>
  <si>
    <t>S01044</t>
  </si>
  <si>
    <t>S01509</t>
  </si>
  <si>
    <t>S02255</t>
  </si>
  <si>
    <t>S02342</t>
  </si>
  <si>
    <t>S02378</t>
  </si>
  <si>
    <t>S02407</t>
  </si>
  <si>
    <t>S02665</t>
  </si>
  <si>
    <t>S02683</t>
  </si>
  <si>
    <t>S02873</t>
  </si>
  <si>
    <t>S03240</t>
  </si>
  <si>
    <t>S03744</t>
  </si>
  <si>
    <t>S00238</t>
  </si>
  <si>
    <t>S00439</t>
  </si>
  <si>
    <t>S00514</t>
  </si>
  <si>
    <t>S00682</t>
  </si>
  <si>
    <t>S00884</t>
  </si>
  <si>
    <t>S01365</t>
  </si>
  <si>
    <t>S01574</t>
  </si>
  <si>
    <t>S01723</t>
  </si>
  <si>
    <t>S01995</t>
  </si>
  <si>
    <t>S02309</t>
  </si>
  <si>
    <t>S02712</t>
  </si>
  <si>
    <t>S02988</t>
  </si>
  <si>
    <t>S03141</t>
  </si>
  <si>
    <t>S03428</t>
  </si>
  <si>
    <t>S03815</t>
  </si>
  <si>
    <t>S01078</t>
  </si>
  <si>
    <t>S01253</t>
  </si>
  <si>
    <t>S01357</t>
  </si>
  <si>
    <t>S01963</t>
  </si>
  <si>
    <t>S02009</t>
  </si>
  <si>
    <t>S02174</t>
  </si>
  <si>
    <t>S02312</t>
  </si>
  <si>
    <t>S02418</t>
  </si>
  <si>
    <t>S02653</t>
  </si>
  <si>
    <t>S03030</t>
  </si>
  <si>
    <t>S03355</t>
  </si>
  <si>
    <t>S03505</t>
  </si>
  <si>
    <t>S03556</t>
  </si>
  <si>
    <t>S00014</t>
  </si>
  <si>
    <t>S00135</t>
  </si>
  <si>
    <t>S00837</t>
  </si>
  <si>
    <t>S01174</t>
  </si>
  <si>
    <t>S01412</t>
  </si>
  <si>
    <t>S02557</t>
  </si>
  <si>
    <t>S02772</t>
  </si>
  <si>
    <t>S02854</t>
  </si>
  <si>
    <t>S02927</t>
  </si>
  <si>
    <t>S03198</t>
  </si>
  <si>
    <t>S03211</t>
  </si>
  <si>
    <t>S03535</t>
  </si>
  <si>
    <t>S00107</t>
  </si>
  <si>
    <t>S00293</t>
  </si>
  <si>
    <t>S00308</t>
  </si>
  <si>
    <t>S00571</t>
  </si>
  <si>
    <t>S00802</t>
  </si>
  <si>
    <t>S01193</t>
  </si>
  <si>
    <t>S01437</t>
  </si>
  <si>
    <t>S01597</t>
  </si>
  <si>
    <t>S01816</t>
  </si>
  <si>
    <t>S02246</t>
  </si>
  <si>
    <t>S03066</t>
  </si>
  <si>
    <t>S03476</t>
  </si>
  <si>
    <t>S03694</t>
  </si>
  <si>
    <t>S00480</t>
  </si>
  <si>
    <t>S00579</t>
  </si>
  <si>
    <t>S00642</t>
  </si>
  <si>
    <t>S00944</t>
  </si>
  <si>
    <t>S01153</t>
  </si>
  <si>
    <t>S01183</t>
  </si>
  <si>
    <t>S01600</t>
  </si>
  <si>
    <t>S01787</t>
  </si>
  <si>
    <t>S02037</t>
  </si>
  <si>
    <t>S02209</t>
  </si>
  <si>
    <t>S02237</t>
  </si>
  <si>
    <t>S02385</t>
  </si>
  <si>
    <t>S02804</t>
  </si>
  <si>
    <t>S03336</t>
  </si>
  <si>
    <t>S03513</t>
  </si>
  <si>
    <t>S03792</t>
  </si>
  <si>
    <t>S03808</t>
  </si>
  <si>
    <t>S00394</t>
  </si>
  <si>
    <t>S00573</t>
  </si>
  <si>
    <t>S01164</t>
  </si>
  <si>
    <t>S01227</t>
  </si>
  <si>
    <t>S01301</t>
  </si>
  <si>
    <t>S01399</t>
  </si>
  <si>
    <t>S01966</t>
  </si>
  <si>
    <t>S02351</t>
  </si>
  <si>
    <t>S02486</t>
  </si>
  <si>
    <t>S02690</t>
  </si>
  <si>
    <t>S03222</t>
  </si>
  <si>
    <t>S03287</t>
  </si>
  <si>
    <t>S03303</t>
  </si>
  <si>
    <t>S03660</t>
  </si>
  <si>
    <t>S00832</t>
  </si>
  <si>
    <t>S01375</t>
  </si>
  <si>
    <t>S01866</t>
  </si>
  <si>
    <t>S01981</t>
  </si>
  <si>
    <t>S02111</t>
  </si>
  <si>
    <t>S02343</t>
  </si>
  <si>
    <t>S02983</t>
  </si>
  <si>
    <t>S03415</t>
  </si>
  <si>
    <t>S03649</t>
  </si>
  <si>
    <t>S03760</t>
  </si>
  <si>
    <t>S00050</t>
  </si>
  <si>
    <t>S00791</t>
  </si>
  <si>
    <t>S01099</t>
  </si>
  <si>
    <t>S01205</t>
  </si>
  <si>
    <t>S01724</t>
  </si>
  <si>
    <t>S01929</t>
  </si>
  <si>
    <t>S01949</t>
  </si>
  <si>
    <t>S02310</t>
  </si>
  <si>
    <t>S02517</t>
  </si>
  <si>
    <t>S02989</t>
  </si>
  <si>
    <t>S03328</t>
  </si>
  <si>
    <t>S03395</t>
  </si>
  <si>
    <t>S03871</t>
  </si>
  <si>
    <t>S00144</t>
  </si>
  <si>
    <t>S00846</t>
  </si>
  <si>
    <t>S01094</t>
  </si>
  <si>
    <t>S01135</t>
  </si>
  <si>
    <t>S01471</t>
  </si>
  <si>
    <t>S01613</t>
  </si>
  <si>
    <t>S02010</t>
  </si>
  <si>
    <t>S02135</t>
  </si>
  <si>
    <t>S02240</t>
  </si>
  <si>
    <t>S02313</t>
  </si>
  <si>
    <t>S02404</t>
  </si>
  <si>
    <t>S02443</t>
  </si>
  <si>
    <t>S02843</t>
  </si>
  <si>
    <t>S03499</t>
  </si>
  <si>
    <t>S03506</t>
  </si>
  <si>
    <t>S03634</t>
  </si>
  <si>
    <t>S03734</t>
  </si>
  <si>
    <t>S03768</t>
  </si>
  <si>
    <t>S00097</t>
  </si>
  <si>
    <t>S00155</t>
  </si>
  <si>
    <t>S00627</t>
  </si>
  <si>
    <t>S00692</t>
  </si>
  <si>
    <t>S00742</t>
  </si>
  <si>
    <t>S00797</t>
  </si>
  <si>
    <t>S01017</t>
  </si>
  <si>
    <t>S01564</t>
  </si>
  <si>
    <t>S01629</t>
  </si>
  <si>
    <t>S01653</t>
  </si>
  <si>
    <t>S01803</t>
  </si>
  <si>
    <t>S02495</t>
  </si>
  <si>
    <t>S02574</t>
  </si>
  <si>
    <t>S03079</t>
  </si>
  <si>
    <t>S03212</t>
  </si>
  <si>
    <t>S03357</t>
  </si>
  <si>
    <t>S03715</t>
  </si>
  <si>
    <t>S03868</t>
  </si>
  <si>
    <t>S00268</t>
  </si>
  <si>
    <t>S00309</t>
  </si>
  <si>
    <t>S00449</t>
  </si>
  <si>
    <t>S00552</t>
  </si>
  <si>
    <t>S01424</t>
  </si>
  <si>
    <t>S01751</t>
  </si>
  <si>
    <t>S01758</t>
  </si>
  <si>
    <t>S01817</t>
  </si>
  <si>
    <t>S02433</t>
  </si>
  <si>
    <t>S02480</t>
  </si>
  <si>
    <t>S02513</t>
  </si>
  <si>
    <t>S02631</t>
  </si>
  <si>
    <t>S02764</t>
  </si>
  <si>
    <t>S00318</t>
  </si>
  <si>
    <t>S00974</t>
  </si>
  <si>
    <t>S01176</t>
  </si>
  <si>
    <t>S01276</t>
  </si>
  <si>
    <t>S01316</t>
  </si>
  <si>
    <t>S01736</t>
  </si>
  <si>
    <t>S01871</t>
  </si>
  <si>
    <t>S01925</t>
  </si>
  <si>
    <t>S02024</t>
  </si>
  <si>
    <t>S02741</t>
  </si>
  <si>
    <t>S02825</t>
  </si>
  <si>
    <t>S02959</t>
  </si>
  <si>
    <t>S03582</t>
  </si>
  <si>
    <t>S00554</t>
  </si>
  <si>
    <t>S00574</t>
  </si>
  <si>
    <t>S00864</t>
  </si>
  <si>
    <t>S00896</t>
  </si>
  <si>
    <t>S01068</t>
  </si>
  <si>
    <t>S01210</t>
  </si>
  <si>
    <t>S01302</t>
  </si>
  <si>
    <t>S01460</t>
  </si>
  <si>
    <t>S02071</t>
  </si>
  <si>
    <t>S02449</t>
  </si>
  <si>
    <t>S02587</t>
  </si>
  <si>
    <t>S03017</t>
  </si>
  <si>
    <t>S03304</t>
  </si>
  <si>
    <t>S03464</t>
  </si>
  <si>
    <t>S00066</t>
  </si>
  <si>
    <t>S00559</t>
  </si>
  <si>
    <t>S00666</t>
  </si>
  <si>
    <t>S01393</t>
  </si>
  <si>
    <t>S01876</t>
  </si>
  <si>
    <t>S01896</t>
  </si>
  <si>
    <t>S02112</t>
  </si>
  <si>
    <t>S02506</t>
  </si>
  <si>
    <t>S02847</t>
  </si>
  <si>
    <t>S03208</t>
  </si>
  <si>
    <t>S03256</t>
  </si>
  <si>
    <t>S03891</t>
  </si>
  <si>
    <t>S00083</t>
  </si>
  <si>
    <t>S00595</t>
  </si>
  <si>
    <t>S00987</t>
  </si>
  <si>
    <t>S01206</t>
  </si>
  <si>
    <t>S01233</t>
  </si>
  <si>
    <t>S01325</t>
  </si>
  <si>
    <t>S01490</t>
  </si>
  <si>
    <t>S01768</t>
  </si>
  <si>
    <t>S02643</t>
  </si>
  <si>
    <t>S03872</t>
  </si>
  <si>
    <t>S00373</t>
  </si>
  <si>
    <t>S00998</t>
  </si>
  <si>
    <t>S01605</t>
  </si>
  <si>
    <t>S01814</t>
  </si>
  <si>
    <t>S02141</t>
  </si>
  <si>
    <t>S02241</t>
  </si>
  <si>
    <t>S02264</t>
  </si>
  <si>
    <t>S02611</t>
  </si>
  <si>
    <t>S02700</t>
  </si>
  <si>
    <t>S03094</t>
  </si>
  <si>
    <t>S03361</t>
  </si>
  <si>
    <t>S03456</t>
  </si>
  <si>
    <t>S03500</t>
  </si>
  <si>
    <t>S03601</t>
  </si>
  <si>
    <t>S03672</t>
  </si>
  <si>
    <t>S03735</t>
  </si>
  <si>
    <t>S00070</t>
  </si>
  <si>
    <t>S00215</t>
  </si>
  <si>
    <t>S00362</t>
  </si>
  <si>
    <t>S00465</t>
  </si>
  <si>
    <t>S00546</t>
  </si>
  <si>
    <t>S01693</t>
  </si>
  <si>
    <t>S01804</t>
  </si>
  <si>
    <t>S03129</t>
  </si>
  <si>
    <t>S03301</t>
  </si>
  <si>
    <t>S03358</t>
  </si>
  <si>
    <t>S03435</t>
  </si>
  <si>
    <t>S03472</t>
  </si>
  <si>
    <t>S03496</t>
  </si>
  <si>
    <t>S03519</t>
  </si>
  <si>
    <t>S03730</t>
  </si>
  <si>
    <t>S03869</t>
  </si>
  <si>
    <t>S03908</t>
  </si>
  <si>
    <t>S00151</t>
  </si>
  <si>
    <t>S00349</t>
  </si>
  <si>
    <t>S00407</t>
  </si>
  <si>
    <t>S01003</t>
  </si>
  <si>
    <t>S01339</t>
  </si>
  <si>
    <t>S01404</t>
  </si>
  <si>
    <t>S01570</t>
  </si>
  <si>
    <t>S01759</t>
  </si>
  <si>
    <t>S02096</t>
  </si>
  <si>
    <t>S02159</t>
  </si>
  <si>
    <t>S02167</t>
  </si>
  <si>
    <t>S02339</t>
  </si>
  <si>
    <t>S02394</t>
  </si>
  <si>
    <t>S02410</t>
  </si>
  <si>
    <t>S02868</t>
  </si>
  <si>
    <t>S03318</t>
  </si>
  <si>
    <t>S03854</t>
  </si>
  <si>
    <t>S00500</t>
  </si>
  <si>
    <t>S01113</t>
  </si>
  <si>
    <t>S01177</t>
  </si>
  <si>
    <t>S01544</t>
  </si>
  <si>
    <t>S01737</t>
  </si>
  <si>
    <t>S02470</t>
  </si>
  <si>
    <t>S02678</t>
  </si>
  <si>
    <t>S02742</t>
  </si>
  <si>
    <t>S03294</t>
  </si>
  <si>
    <t>S03547</t>
  </si>
  <si>
    <t>S03574</t>
  </si>
  <si>
    <t>S03613</t>
  </si>
  <si>
    <t>S03843</t>
  </si>
  <si>
    <t>S00008</t>
  </si>
  <si>
    <t>S00114</t>
  </si>
  <si>
    <t>S00208</t>
  </si>
  <si>
    <t>S00555</t>
  </si>
  <si>
    <t>S00708</t>
  </si>
  <si>
    <t>S00887</t>
  </si>
  <si>
    <t>S01147</t>
  </si>
  <si>
    <t>S01211</t>
  </si>
  <si>
    <t>S01479</t>
  </si>
  <si>
    <t>S02101</t>
  </si>
  <si>
    <t>S02722</t>
  </si>
  <si>
    <t>S02814</t>
  </si>
  <si>
    <t>S03106</t>
  </si>
  <si>
    <t>S03108</t>
  </si>
  <si>
    <t>S00173</t>
  </si>
  <si>
    <t>S00249</t>
  </si>
  <si>
    <t>S00355</t>
  </si>
  <si>
    <t>S00376</t>
  </si>
  <si>
    <t>S00399</t>
  </si>
  <si>
    <t>S00615</t>
  </si>
  <si>
    <t>S01008</t>
  </si>
  <si>
    <t>S01208</t>
  </si>
  <si>
    <t>S01220</t>
  </si>
  <si>
    <t>S01699</t>
  </si>
  <si>
    <t>S01897</t>
  </si>
  <si>
    <t>S03050</t>
  </si>
  <si>
    <t>S03268</t>
  </si>
  <si>
    <t>S03570</t>
  </si>
  <si>
    <t>S03755</t>
  </si>
  <si>
    <t>S03783</t>
  </si>
  <si>
    <t>S03892</t>
  </si>
  <si>
    <t>S00224</t>
  </si>
  <si>
    <t>S00306</t>
  </si>
  <si>
    <t>S00325</t>
  </si>
  <si>
    <t>S00382</t>
  </si>
  <si>
    <t>S00420</t>
  </si>
  <si>
    <t>S00492</t>
  </si>
  <si>
    <t>S00892</t>
  </si>
  <si>
    <t>S01033</t>
  </si>
  <si>
    <t>S01203</t>
  </si>
  <si>
    <t>S01584</t>
  </si>
  <si>
    <t>S01635</t>
  </si>
  <si>
    <t>S01801</t>
  </si>
  <si>
    <t>S02227</t>
  </si>
  <si>
    <t>S02358</t>
  </si>
  <si>
    <t>S02894</t>
  </si>
  <si>
    <t>S03367</t>
  </si>
  <si>
    <t>S00030</t>
  </si>
  <si>
    <t>S00921</t>
  </si>
  <si>
    <t>S01241</t>
  </si>
  <si>
    <t>S01534</t>
  </si>
  <si>
    <t>S01536</t>
  </si>
  <si>
    <t>S02085</t>
  </si>
  <si>
    <t>S02154</t>
  </si>
  <si>
    <t>S02197</t>
  </si>
  <si>
    <t>S02268</t>
  </si>
  <si>
    <t>S02546</t>
  </si>
  <si>
    <t>S02600</t>
  </si>
  <si>
    <t>S02612</t>
  </si>
  <si>
    <t>S02750</t>
  </si>
  <si>
    <t>S02778</t>
  </si>
  <si>
    <t>S03241</t>
  </si>
  <si>
    <t>S03362</t>
  </si>
  <si>
    <t>S03421</t>
  </si>
  <si>
    <t>S00071</t>
  </si>
  <si>
    <t>S00432</t>
  </si>
  <si>
    <t>S00547</t>
  </si>
  <si>
    <t>S01288</t>
  </si>
  <si>
    <t>S01590</t>
  </si>
  <si>
    <t>S01714</t>
  </si>
  <si>
    <t>S01792</t>
  </si>
  <si>
    <t>S01837</t>
  </si>
  <si>
    <t>S01912</t>
  </si>
  <si>
    <t>S02056</t>
  </si>
  <si>
    <t>S02119</t>
  </si>
  <si>
    <t>S02673</t>
  </si>
  <si>
    <t>S02838</t>
  </si>
  <si>
    <t>S03154</t>
  </si>
  <si>
    <t>S03169</t>
  </si>
  <si>
    <t>S03351</t>
  </si>
  <si>
    <t>S03436</t>
  </si>
  <si>
    <t>S03711</t>
  </si>
  <si>
    <t>S00543</t>
  </si>
  <si>
    <t>S00729</t>
  </si>
  <si>
    <t>S00733</t>
  </si>
  <si>
    <t>S00980</t>
  </si>
  <si>
    <t>S01239</t>
  </si>
  <si>
    <t>S02007</t>
  </si>
  <si>
    <t>S02283</t>
  </si>
  <si>
    <t>S02411</t>
  </si>
  <si>
    <t>S02789</t>
  </si>
  <si>
    <t>S02888</t>
  </si>
  <si>
    <t>S02914</t>
  </si>
  <si>
    <t>S03503</t>
  </si>
  <si>
    <t>S03787</t>
  </si>
  <si>
    <t>S00167</t>
  </si>
  <si>
    <t>active</t>
  </si>
  <si>
    <t>S01055</t>
  </si>
  <si>
    <t>S01058</t>
  </si>
  <si>
    <t>S02079</t>
  </si>
  <si>
    <t>S02266</t>
  </si>
  <si>
    <t>S02325</t>
  </si>
  <si>
    <t>S02939</t>
  </si>
  <si>
    <t>S02948</t>
  </si>
  <si>
    <t>S03185</t>
  </si>
  <si>
    <t>S03866</t>
  </si>
  <si>
    <t>S00010</t>
  </si>
  <si>
    <t>S00528</t>
  </si>
  <si>
    <t>S00819</t>
  </si>
  <si>
    <t>S00888</t>
  </si>
  <si>
    <t>S00962</t>
  </si>
  <si>
    <t>S01455</t>
  </si>
  <si>
    <t>S01741</t>
  </si>
  <si>
    <t>S02102</t>
  </si>
  <si>
    <t>S02306</t>
  </si>
  <si>
    <t>S02355</t>
  </si>
  <si>
    <t>S03109</t>
  </si>
  <si>
    <t>S00270</t>
  </si>
  <si>
    <t>S00359</t>
  </si>
  <si>
    <t>S00377</t>
  </si>
  <si>
    <t>S00504</t>
  </si>
  <si>
    <t>S01209</t>
  </si>
  <si>
    <t>S01294</t>
  </si>
  <si>
    <t>S01847</t>
  </si>
  <si>
    <t>S01997</t>
  </si>
  <si>
    <t>S02018</t>
  </si>
  <si>
    <t>S02150</t>
  </si>
  <si>
    <t>S03122</t>
  </si>
  <si>
    <t>S03249</t>
  </si>
  <si>
    <t>S03620</t>
  </si>
  <si>
    <t>S03684</t>
  </si>
  <si>
    <t>S03890</t>
  </si>
  <si>
    <t>S00046</t>
  </si>
  <si>
    <t>S00256</t>
  </si>
  <si>
    <t>S00427</t>
  </si>
  <si>
    <t>S01155</t>
  </si>
  <si>
    <t>S01466</t>
  </si>
  <si>
    <t>S02030</t>
  </si>
  <si>
    <t>S02359</t>
  </si>
  <si>
    <t>S02738</t>
  </si>
  <si>
    <t>S03368</t>
  </si>
  <si>
    <t>S03383</t>
  </si>
  <si>
    <t>S03832</t>
  </si>
  <si>
    <t>S00760</t>
  </si>
  <si>
    <t>S00777</t>
  </si>
  <si>
    <t>S01045</t>
  </si>
  <si>
    <t>S01242</t>
  </si>
  <si>
    <t>S01510</t>
  </si>
  <si>
    <t>S01537</t>
  </si>
  <si>
    <t>S02121</t>
  </si>
  <si>
    <t>S02256</t>
  </si>
  <si>
    <t>S02269</t>
  </si>
  <si>
    <t>S02379</t>
  </si>
  <si>
    <t>S02408</t>
  </si>
  <si>
    <t>S02666</t>
  </si>
  <si>
    <t>S02874</t>
  </si>
  <si>
    <t>S03242</t>
  </si>
  <si>
    <t>S03745</t>
  </si>
  <si>
    <t>S00239</t>
  </si>
  <si>
    <t>S00440</t>
  </si>
  <si>
    <t>S00515</t>
  </si>
  <si>
    <t>S00683</t>
  </si>
  <si>
    <t>S00885</t>
  </si>
  <si>
    <t>S01366</t>
  </si>
  <si>
    <t>S01575</t>
  </si>
  <si>
    <t>S01996</t>
  </si>
  <si>
    <t>S02356</t>
  </si>
  <si>
    <t>S03142</t>
  </si>
  <si>
    <t>S03429</t>
  </si>
  <si>
    <t>S03816</t>
  </si>
  <si>
    <t>S01079</t>
  </si>
  <si>
    <t>S01254</t>
  </si>
  <si>
    <t>S01964</t>
  </si>
  <si>
    <t>S02087</t>
  </si>
  <si>
    <t>S02175</t>
  </si>
  <si>
    <t>S02419</t>
  </si>
  <si>
    <t>S02524</t>
  </si>
  <si>
    <t>S02654</t>
  </si>
  <si>
    <t>S03031</t>
  </si>
  <si>
    <t>S03356</t>
  </si>
  <si>
    <t>S03504</t>
  </si>
  <si>
    <t>S03557</t>
  </si>
  <si>
    <t>S00015</t>
  </si>
  <si>
    <t>S00136</t>
  </si>
  <si>
    <t>S00838</t>
  </si>
  <si>
    <t>S01175</t>
  </si>
  <si>
    <t>S01413</t>
  </si>
  <si>
    <t>S01848</t>
  </si>
  <si>
    <t>S02012</t>
  </si>
  <si>
    <t>S02267</t>
  </si>
  <si>
    <t>S02558</t>
  </si>
  <si>
    <t>S02855</t>
  </si>
  <si>
    <t>S02928</t>
  </si>
  <si>
    <t>S03199</t>
  </si>
  <si>
    <t>S03536</t>
  </si>
  <si>
    <t>S00011</t>
  </si>
  <si>
    <t>S00108</t>
  </si>
  <si>
    <t>S00294</t>
  </si>
  <si>
    <t>S00572</t>
  </si>
  <si>
    <t>S00803</t>
  </si>
  <si>
    <t>S01194</t>
  </si>
  <si>
    <t>S01438</t>
  </si>
  <si>
    <t>S01598</t>
  </si>
  <si>
    <t>S02247</t>
  </si>
  <si>
    <t>S03067</t>
  </si>
  <si>
    <t>S03270</t>
  </si>
  <si>
    <t>S03695</t>
  </si>
  <si>
    <t>S00068</t>
  </si>
  <si>
    <t>S00271</t>
  </si>
  <si>
    <t>S00481</t>
  </si>
  <si>
    <t>S00580</t>
  </si>
  <si>
    <t>S00643</t>
  </si>
  <si>
    <t>S00945</t>
  </si>
  <si>
    <t>S01154</t>
  </si>
  <si>
    <t>S01184</t>
  </si>
  <si>
    <t>S01601</t>
  </si>
  <si>
    <t>S01788</t>
  </si>
  <si>
    <t>S01998</t>
  </si>
  <si>
    <t>S02038</t>
  </si>
  <si>
    <t>S02210</t>
  </si>
  <si>
    <t>S02238</t>
  </si>
  <si>
    <t>S02386</t>
  </si>
  <si>
    <t>S02805</t>
  </si>
  <si>
    <t>S03337</t>
  </si>
  <si>
    <t>S03514</t>
  </si>
  <si>
    <t>S03793</t>
  </si>
  <si>
    <t>S03809</t>
  </si>
  <si>
    <t>S00395</t>
  </si>
  <si>
    <t>S01156</t>
  </si>
  <si>
    <t>S01165</t>
  </si>
  <si>
    <t>S01228</t>
  </si>
  <si>
    <t>S01400</t>
  </si>
  <si>
    <t>S01967</t>
  </si>
  <si>
    <t>S02352</t>
  </si>
  <si>
    <t>S02487</t>
  </si>
  <si>
    <t>S02691</t>
  </si>
  <si>
    <t>S03223</t>
  </si>
  <si>
    <t>S03288</t>
  </si>
  <si>
    <t>S03477</t>
  </si>
  <si>
    <t>S03661</t>
  </si>
  <si>
    <t>S00192</t>
  </si>
  <si>
    <t>S00833</t>
  </si>
  <si>
    <t>S01359</t>
  </si>
  <si>
    <t>S01376</t>
  </si>
  <si>
    <t>S01823</t>
  </si>
  <si>
    <t>S01867</t>
  </si>
  <si>
    <t>S01982</t>
  </si>
  <si>
    <t>S02122</t>
  </si>
  <si>
    <t>S02143</t>
  </si>
  <si>
    <t>S02344</t>
  </si>
  <si>
    <t>S02984</t>
  </si>
  <si>
    <t>S03135</t>
  </si>
  <si>
    <t>S03416</t>
  </si>
  <si>
    <t>S03761</t>
  </si>
  <si>
    <t>S00051</t>
  </si>
  <si>
    <t>S00331</t>
  </si>
  <si>
    <t>S00792</t>
  </si>
  <si>
    <t>S01725</t>
  </si>
  <si>
    <t>S01930</t>
  </si>
  <si>
    <t>S01950</t>
  </si>
  <si>
    <t>S02014</t>
  </si>
  <si>
    <t>S02311</t>
  </si>
  <si>
    <t>S02357</t>
  </si>
  <si>
    <t>S02518</t>
  </si>
  <si>
    <t>S02990</t>
  </si>
  <si>
    <t>S03329</t>
  </si>
  <si>
    <t>S03396</t>
  </si>
  <si>
    <t>S00194</t>
  </si>
  <si>
    <t>S00227</t>
  </si>
  <si>
    <t>S00847</t>
  </si>
  <si>
    <t>S01095</t>
  </si>
  <si>
    <t>S01136</t>
  </si>
  <si>
    <t>S01456</t>
  </si>
  <si>
    <t>S01472</t>
  </si>
  <si>
    <t>S01614</t>
  </si>
  <si>
    <t>S01778</t>
  </si>
  <si>
    <t>S01850</t>
  </si>
  <si>
    <t>S02011</t>
  </si>
  <si>
    <t>S02088</t>
  </si>
  <si>
    <t>S02107</t>
  </si>
  <si>
    <t>S02136</t>
  </si>
  <si>
    <t>S02252</t>
  </si>
  <si>
    <t>S02314</t>
  </si>
  <si>
    <t>S02405</t>
  </si>
  <si>
    <t>S02444</t>
  </si>
  <si>
    <t>S02525</t>
  </si>
  <si>
    <t>S02844</t>
  </si>
  <si>
    <t>S03507</t>
  </si>
  <si>
    <t>S03635</t>
  </si>
  <si>
    <t>S03769</t>
  </si>
  <si>
    <t>S00098</t>
  </si>
  <si>
    <t>S00156</t>
  </si>
  <si>
    <t>S00628</t>
  </si>
  <si>
    <t>S00693</t>
  </si>
  <si>
    <t>S00743</t>
  </si>
  <si>
    <t>S00798</t>
  </si>
  <si>
    <t>S01018</t>
  </si>
  <si>
    <t>S01046</t>
  </si>
  <si>
    <t>S01101</t>
  </si>
  <si>
    <t>S01565</t>
  </si>
  <si>
    <t>S01630</t>
  </si>
  <si>
    <t>S01654</t>
  </si>
  <si>
    <t>S01849</t>
  </si>
  <si>
    <t>S02013</t>
  </si>
  <si>
    <t>S02176</t>
  </si>
  <si>
    <t>S02496</t>
  </si>
  <si>
    <t>S02575</t>
  </si>
  <si>
    <t>S03080</t>
  </si>
  <si>
    <t>S03213</t>
  </si>
  <si>
    <t>S03716</t>
  </si>
  <si>
    <t>S00269</t>
  </si>
  <si>
    <t>S00310</t>
  </si>
  <si>
    <t>S00450</t>
  </si>
  <si>
    <t>S00553</t>
  </si>
  <si>
    <t>S00658</t>
  </si>
  <si>
    <t>S01425</t>
  </si>
  <si>
    <t>S01752</t>
  </si>
  <si>
    <t>S01818</t>
  </si>
  <si>
    <t>S02104</t>
  </si>
  <si>
    <t>S02434</t>
  </si>
  <si>
    <t>S02481</t>
  </si>
  <si>
    <t>S02514</t>
  </si>
  <si>
    <t>S02632</t>
  </si>
  <si>
    <t>S02765</t>
  </si>
  <si>
    <t>S02973</t>
  </si>
  <si>
    <t>S02998</t>
  </si>
  <si>
    <t>S03271</t>
  </si>
  <si>
    <t>S00069</t>
  </si>
  <si>
    <t>S00319</t>
  </si>
  <si>
    <t>S00644</t>
  </si>
  <si>
    <t>S00975</t>
  </si>
  <si>
    <t>S01277</t>
  </si>
  <si>
    <t>S01317</t>
  </si>
  <si>
    <t>S01396</t>
  </si>
  <si>
    <t>S01872</t>
  </si>
  <si>
    <t>S01926</t>
  </si>
  <si>
    <t>S02025</t>
  </si>
  <si>
    <t>S02826</t>
  </si>
  <si>
    <t>S02960</t>
  </si>
  <si>
    <t>S03402</t>
  </si>
  <si>
    <t>S03583</t>
  </si>
  <si>
    <t>S00575</t>
  </si>
  <si>
    <t>S00865</t>
  </si>
  <si>
    <t>S00897</t>
  </si>
  <si>
    <t>S01069</t>
  </si>
  <si>
    <t>S01103</t>
  </si>
  <si>
    <t>S01303</t>
  </si>
  <si>
    <t>S01461</t>
  </si>
  <si>
    <t>S01661</t>
  </si>
  <si>
    <t>S02450</t>
  </si>
  <si>
    <t>S02529</t>
  </si>
  <si>
    <t>S02588</t>
  </si>
  <si>
    <t>S03018</t>
  </si>
  <si>
    <t>S03305</t>
  </si>
  <si>
    <t>S03465</t>
  </si>
  <si>
    <t>S03478</t>
  </si>
  <si>
    <t>S00067</t>
  </si>
  <si>
    <t>S00193</t>
  </si>
  <si>
    <t>S00560</t>
  </si>
  <si>
    <t>S00667</t>
  </si>
  <si>
    <t>S01121</t>
  </si>
  <si>
    <t>S01213</t>
  </si>
  <si>
    <t>S01360</t>
  </si>
  <si>
    <t>S01394</t>
  </si>
  <si>
    <t>S01824</t>
  </si>
  <si>
    <t>S01877</t>
  </si>
  <si>
    <t>S02113</t>
  </si>
  <si>
    <t>S02144</t>
  </si>
  <si>
    <t>S02507</t>
  </si>
  <si>
    <t>S02848</t>
  </si>
  <si>
    <t>S03136</t>
  </si>
  <si>
    <t>S03209</t>
  </si>
  <si>
    <t>S03559</t>
  </si>
  <si>
    <t>S00084</t>
  </si>
  <si>
    <t>S00332</t>
  </si>
  <si>
    <t>S00596</t>
  </si>
  <si>
    <t>S00988</t>
  </si>
  <si>
    <t>S01207</t>
  </si>
  <si>
    <t>S01234</t>
  </si>
  <si>
    <t>S01326</t>
  </si>
  <si>
    <t>S01491</t>
  </si>
  <si>
    <t>S01769</t>
  </si>
  <si>
    <t>S02015</t>
  </si>
  <si>
    <t>S02644</t>
  </si>
  <si>
    <t>S03096</t>
  </si>
  <si>
    <t>S03873</t>
  </si>
  <si>
    <t>S00195</t>
  </si>
  <si>
    <t>S00228</t>
  </si>
  <si>
    <t>S00374</t>
  </si>
  <si>
    <t>S00999</t>
  </si>
  <si>
    <t>S01166</t>
  </si>
  <si>
    <t>S01457</t>
  </si>
  <si>
    <t>S01606</t>
  </si>
  <si>
    <t>S01779</t>
  </si>
  <si>
    <t>S01815</t>
  </si>
  <si>
    <t>S01851</t>
  </si>
  <si>
    <t>S02108</t>
  </si>
  <si>
    <t>S02142</t>
  </si>
  <si>
    <t>S02242</t>
  </si>
  <si>
    <t>S02253</t>
  </si>
  <si>
    <t>S02265</t>
  </si>
  <si>
    <t>S02701</t>
  </si>
  <si>
    <t>S02898</t>
  </si>
  <si>
    <t>S03095</t>
  </si>
  <si>
    <t>S03457</t>
  </si>
  <si>
    <t>S03501</t>
  </si>
  <si>
    <t>S03602</t>
  </si>
  <si>
    <t>S03673</t>
  </si>
  <si>
    <t>S03736</t>
  </si>
  <si>
    <t>S00216</t>
  </si>
  <si>
    <t>S00363</t>
  </si>
  <si>
    <t>S00466</t>
  </si>
  <si>
    <t>S01047</t>
  </si>
  <si>
    <t>S01102</t>
  </si>
  <si>
    <t>S01694</t>
  </si>
  <si>
    <t>S01805</t>
  </si>
  <si>
    <t>S02177</t>
  </si>
  <si>
    <t>S02692</t>
  </si>
  <si>
    <t>S03130</t>
  </si>
  <si>
    <t>S03250</t>
  </si>
  <si>
    <t>S03302</t>
  </si>
  <si>
    <t>S03359</t>
  </si>
  <si>
    <t>S03473</t>
  </si>
  <si>
    <t>S03497</t>
  </si>
  <si>
    <t>S03520</t>
  </si>
  <si>
    <t>S03731</t>
  </si>
  <si>
    <t>S03870</t>
  </si>
  <si>
    <t>S03909</t>
  </si>
  <si>
    <t>S00152</t>
  </si>
  <si>
    <t>S00350</t>
  </si>
  <si>
    <t>S00408</t>
  </si>
  <si>
    <t>S00659</t>
  </si>
  <si>
    <t>S01340</t>
  </si>
  <si>
    <t>S01405</t>
  </si>
  <si>
    <t>S01571</t>
  </si>
  <si>
    <t>S01760</t>
  </si>
  <si>
    <t>S02097</t>
  </si>
  <si>
    <t>S02105</t>
  </si>
  <si>
    <t>S02160</t>
  </si>
  <si>
    <t>S02168</t>
  </si>
  <si>
    <t>S02340</t>
  </si>
  <si>
    <t>S02395</t>
  </si>
  <si>
    <t>S02869</t>
  </si>
  <si>
    <t>S02974</t>
  </si>
  <si>
    <t>S02985</t>
  </si>
  <si>
    <t>S02999</t>
  </si>
  <si>
    <t>S03319</t>
  </si>
  <si>
    <t>S03855</t>
  </si>
  <si>
    <t>S00501</t>
  </si>
  <si>
    <t>S00645</t>
  </si>
  <si>
    <t>S01114</t>
  </si>
  <si>
    <t>S01178</t>
  </si>
  <si>
    <t>S01397</t>
  </si>
  <si>
    <t>S01545</t>
  </si>
  <si>
    <t>S01738</t>
  </si>
  <si>
    <t>S02471</t>
  </si>
  <si>
    <t>S02679</t>
  </si>
  <si>
    <t>S02743</t>
  </si>
  <si>
    <t>S03295</t>
  </si>
  <si>
    <t>S03403</t>
  </si>
  <si>
    <t>S03548</t>
  </si>
  <si>
    <t>S03575</t>
  </si>
  <si>
    <t>S03614</t>
  </si>
  <si>
    <t>S03844</t>
  </si>
  <si>
    <t>S00009</t>
  </si>
  <si>
    <t>S00115</t>
  </si>
  <si>
    <t>S00556</t>
  </si>
  <si>
    <t>S00709</t>
  </si>
  <si>
    <t>S01104</t>
  </si>
  <si>
    <t>S01148</t>
  </si>
  <si>
    <t>S01212</t>
  </si>
  <si>
    <t>S01480</t>
  </si>
  <si>
    <t>S01662</t>
  </si>
  <si>
    <t>S02530</t>
  </si>
  <si>
    <t>S02723</t>
  </si>
  <si>
    <t>S02815</t>
  </si>
  <si>
    <t>S03107</t>
  </si>
  <si>
    <t>S00174</t>
  </si>
  <si>
    <t>S00250</t>
  </si>
  <si>
    <t>S00356</t>
  </si>
  <si>
    <t>S00400</t>
  </si>
  <si>
    <t>S00616</t>
  </si>
  <si>
    <t>S01009</t>
  </si>
  <si>
    <t>S01122</t>
  </si>
  <si>
    <t>S01214</t>
  </si>
  <si>
    <t>S01221</t>
  </si>
  <si>
    <t>S01700</t>
  </si>
  <si>
    <t>S03051</t>
  </si>
  <si>
    <t>S03269</t>
  </si>
  <si>
    <t>S03560</t>
  </si>
  <si>
    <t>S03571</t>
  </si>
  <si>
    <t>S03756</t>
  </si>
  <si>
    <t>S03784</t>
  </si>
  <si>
    <t>S03893</t>
  </si>
  <si>
    <t>S00225</t>
  </si>
  <si>
    <t>S00307</t>
  </si>
  <si>
    <t>S00326</t>
  </si>
  <si>
    <t>S00383</t>
  </si>
  <si>
    <t>S00421</t>
  </si>
  <si>
    <t>S00493</t>
  </si>
  <si>
    <t>S01034</t>
  </si>
  <si>
    <t>S01204</t>
  </si>
  <si>
    <t>S01585</t>
  </si>
  <si>
    <t>S01636</t>
  </si>
  <si>
    <t>S01802</t>
  </si>
  <si>
    <t>S02228</t>
  </si>
  <si>
    <t>S02895</t>
  </si>
  <si>
    <t>S03097</t>
  </si>
  <si>
    <t>S00031</t>
  </si>
  <si>
    <t>S00922</t>
  </si>
  <si>
    <t>S01167</t>
  </si>
  <si>
    <t>S01535</t>
  </si>
  <si>
    <t>S02086</t>
  </si>
  <si>
    <t>S02155</t>
  </si>
  <si>
    <t>S02198</t>
  </si>
  <si>
    <t>S02547</t>
  </si>
  <si>
    <t>S02601</t>
  </si>
  <si>
    <t>S02613</t>
  </si>
  <si>
    <t>S02751</t>
  </si>
  <si>
    <t>S02779</t>
  </si>
  <si>
    <t>S02899</t>
  </si>
  <si>
    <t>S03363</t>
  </si>
  <si>
    <t>S03422</t>
  </si>
  <si>
    <t>S00072</t>
  </si>
  <si>
    <t>S00433</t>
  </si>
  <si>
    <t>S00548</t>
  </si>
  <si>
    <t>S01289</t>
  </si>
  <si>
    <t>S01591</t>
  </si>
  <si>
    <t>S01715</t>
  </si>
  <si>
    <t>S01793</t>
  </si>
  <si>
    <t>S01838</t>
  </si>
  <si>
    <t>S01913</t>
  </si>
  <si>
    <t>S02057</t>
  </si>
  <si>
    <t>S02120</t>
  </si>
  <si>
    <t>S02674</t>
  </si>
  <si>
    <t>S02693</t>
  </si>
  <si>
    <t>S02839</t>
  </si>
  <si>
    <t>S03155</t>
  </si>
  <si>
    <t>S03170</t>
  </si>
  <si>
    <t>S03251</t>
  </si>
  <si>
    <t>S03352</t>
  </si>
  <si>
    <t>S03437</t>
  </si>
  <si>
    <t>S03712</t>
  </si>
  <si>
    <t>S00544</t>
  </si>
  <si>
    <t>S00730</t>
  </si>
  <si>
    <t>S00734</t>
  </si>
  <si>
    <t>S00981</t>
  </si>
  <si>
    <t>S01240</t>
  </si>
  <si>
    <t>S02008</t>
  </si>
  <si>
    <t>S02284</t>
  </si>
  <si>
    <t>S02412</t>
  </si>
  <si>
    <t>S02889</t>
  </si>
  <si>
    <t>S02915</t>
  </si>
  <si>
    <t>S02986</t>
  </si>
  <si>
    <t>S03788</t>
  </si>
  <si>
    <t>💸 Маркетингові витрати по каналах і місяцях</t>
  </si>
  <si>
    <t>month</t>
  </si>
  <si>
    <t>spend_usd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</si>
  <si>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</si>
  <si>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</si>
  <si>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</si>
  <si>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</si>
  <si>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</si>
  <si>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</si>
  <si>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</si>
  <si>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</si>
  <si>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</si>
  <si>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</si>
  <si>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</si>
  <si>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</si>
  <si>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</si>
  <si>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</si>
  <si>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</si>
  <si>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← Snapshot date</t>
  </si>
  <si>
    <t>👥 Клієнти — список унікальних платящих користувачів + агрегати</t>
  </si>
  <si>
    <t>Активність у М+N (1 = був у підписці у цей місяць, 0 = ні)</t>
  </si>
  <si>
    <t>Виручка у М+N ($)</t>
  </si>
  <si>
    <t>User ID</t>
  </si>
  <si>
    <t>First Payment</t>
  </si>
  <si>
    <t>Cohort Month</t>
  </si>
  <si>
    <t>Paid Months</t>
  </si>
  <si>
    <t>Total Revenue ($)</t>
  </si>
  <si>
    <t>Recency (міс)</t>
  </si>
  <si>
    <t>М+0</t>
  </si>
  <si>
    <t>М+1</t>
  </si>
  <si>
    <t>М+2</t>
  </si>
  <si>
    <t>М+3</t>
  </si>
  <si>
    <t>М+4</t>
  </si>
  <si>
    <t>М+5</t>
  </si>
  <si>
    <t>М+6</t>
  </si>
  <si>
    <t>М+7</t>
  </si>
  <si>
    <t>М+8</t>
  </si>
  <si>
    <t>М+9</t>
  </si>
  <si>
    <t>М+10</t>
  </si>
  <si>
    <t>М+11</t>
  </si>
  <si>
    <t>$M+0</t>
  </si>
  <si>
    <t>$M+1</t>
  </si>
  <si>
    <t>$M+2</t>
  </si>
  <si>
    <t>$M+3</t>
  </si>
  <si>
    <t>$M+4</t>
  </si>
  <si>
    <t>$M+5</t>
  </si>
  <si>
    <t>$M+6</t>
  </si>
  <si>
    <t>$M+7</t>
  </si>
  <si>
    <t>$M+8</t>
  </si>
  <si>
    <t>$M+9</t>
  </si>
  <si>
    <t>$M+10</t>
  </si>
  <si>
    <t>$M+11</t>
  </si>
  <si>
    <t>🧮 RFM — сегментація клієнтів</t>
  </si>
  <si>
    <t>🟢 Champions (R≥4,F≥4,M≥4)   🟩 Loyal (R≥3,F≥3)   🔵 New Customers (R≥4,F≤2)   🟡 Promising   🟠 At Risk (R≤2,F≥3)   🔴 Lost (R≤2,F≤2)</t>
  </si>
  <si>
    <t>Monetary ($)</t>
  </si>
  <si>
    <t>R</t>
  </si>
  <si>
    <t>F</t>
  </si>
  <si>
    <t>M</t>
  </si>
  <si>
    <t>RFM-код</t>
  </si>
  <si>
    <t>Сегмент</t>
  </si>
  <si>
    <t xml:space="preserve">1.  Який найбільший сегмент у RFM? Яка частка Champions?
</t>
  </si>
  <si>
    <t>Champions</t>
  </si>
  <si>
    <t xml:space="preserve">Loyal </t>
  </si>
  <si>
    <t>New Customers</t>
  </si>
  <si>
    <t>Promising</t>
  </si>
  <si>
    <t>At Risk</t>
  </si>
  <si>
    <t xml:space="preserve">Lost </t>
  </si>
  <si>
    <t xml:space="preserve">Найбільшим є сегмент Lost (27%). Швидше за все це історично накопичений результат.  А от Loyal  та  Champions тримаються на рівних і показують цілком хорошу картину - 40% лояльних клієнтів. Ще й New Customers додають 15% нарощення. </t>
  </si>
  <si>
    <t xml:space="preserve">📊 Retention-трикутник </t>
  </si>
  <si>
    <t>Когорта</t>
  </si>
  <si>
    <t>Клієнтів</t>
  </si>
  <si>
    <t>—</t>
  </si>
  <si>
    <t>🌡️ Retention %  — заповни формулами</t>
  </si>
  <si>
    <t>Середнє</t>
  </si>
  <si>
    <t>Найвищий retention на 6-му місяці (M+5) спостерігається для когорти 2024-04 = 75%. LTV цієї когорти становить $98.28, що також є найвищим показником для 6го місяця. Це був вдалий період для залучення клієнтів, або сталисьпевні  якісні зміни в продукті на початку 2024 року.</t>
  </si>
  <si>
    <t>💰 Revenue per User та LTV  — заповни формулами</t>
  </si>
  <si>
    <t>Блок 1: ARPU — виручка на одного клієнта за окремий місяць</t>
  </si>
  <si>
    <t>Size</t>
  </si>
  <si>
    <t>ARPU М+0</t>
  </si>
  <si>
    <t>ARPU М+1</t>
  </si>
  <si>
    <t>ARPU М+2</t>
  </si>
  <si>
    <t>ARPU М+3</t>
  </si>
  <si>
    <t>ARPU М+4</t>
  </si>
  <si>
    <t>ARPU М+5</t>
  </si>
  <si>
    <t>ARPU М+6</t>
  </si>
  <si>
    <t>ARPU М+7</t>
  </si>
  <si>
    <t>ARPU М+8</t>
  </si>
  <si>
    <t>ARPU М+9</t>
  </si>
  <si>
    <t>ARPU М+10</t>
  </si>
  <si>
    <t>ARPU М+11</t>
  </si>
  <si>
    <t>Блок 2: LTV — кумулятивна сума ARPU за М+0..М+N</t>
  </si>
  <si>
    <t>LTV М+0</t>
  </si>
  <si>
    <t>LTV М+1</t>
  </si>
  <si>
    <t>LTV М+2</t>
  </si>
  <si>
    <t>LTV М+3</t>
  </si>
  <si>
    <t>LTV М+4</t>
  </si>
  <si>
    <t>LTV М+5</t>
  </si>
  <si>
    <t>LTV М+6</t>
  </si>
  <si>
    <t>LTV М+7</t>
  </si>
  <si>
    <t>LTV М+8</t>
  </si>
  <si>
    <t>LTV М+9</t>
  </si>
  <si>
    <t>LTV М+10</t>
  </si>
  <si>
    <t>LTV М+11</t>
  </si>
  <si>
    <t>LTV Total</t>
  </si>
  <si>
    <t>Середній LTV для М+6 становить $102,68. Для Google Ads і Facebook Ads це перевищує CAC, тому виходть що клієнт за цей час себе встигає окупити.</t>
  </si>
  <si>
    <t>LTV (Lifetime Value) — середня виручка з 1го клієнта за весь час</t>
  </si>
  <si>
    <t>⭐ Бонус — LTV vs CAC по каналах трафіку  — заповніть формулами</t>
  </si>
  <si>
    <t>CAC (Customer Acquisition Cost) — скільки коштує залучити 1го клієнта</t>
  </si>
  <si>
    <t>LTV = середня виручка на клієнта по каналу.  CAC = витрати на канал / кількість платних клієнтів.  LTV/CAC - визначення чи окупається реклама (ROI)</t>
  </si>
  <si>
    <t>LTV/CAC — чи окупається реклама.</t>
  </si>
  <si>
    <t>,= 1.0 = виходимо в нуль</t>
  </si>
  <si>
    <t>Канал</t>
  </si>
  <si>
    <t>Юзерів</t>
  </si>
  <si>
    <t>LTV = Rev/N ($)</t>
  </si>
  <si>
    <t>Spend total ($)</t>
  </si>
  <si>
    <t>CAC ($)</t>
  </si>
  <si>
    <t>LTV / CAC</t>
  </si>
  <si>
    <t>&gt; 1.0 = заробляємо</t>
  </si>
  <si>
    <t>&gt; 3.0 = канал треба масштабувати</t>
  </si>
  <si>
    <t>&lt; 1.0 = витрачаємо більше ніж заробляємо</t>
  </si>
  <si>
    <t>Який канал рекомендуєте масштабувати? чи інвестуємо в рекламу прибутково?</t>
  </si>
  <si>
    <t xml:space="preserve">Тепер видно, що залучити 1го клієнта через Google Ads нам коштує $61, а приносить він нам $98. По Facebook Ads - залучення нам обходиться $76, а приносить 1 клієнт $88. Тобто Google Ads окупається (LTV / CAC = 1.6), а от  Facebook Ads - ледь окупається (1.16). Що ж до TikTok Ads - це взагалі збитковий канал (LTV / CAC = 0.73). Organic та  Referral є безкоштовними і при цьому приносять гарну виручку - це дуже цінно! </t>
  </si>
  <si>
    <t>Для маркетингу важливо відмовитись від збиткового TikTok Ads (LTV/CAC 0.73), продовжити масштабувати добре окупний Google Ads (LTV/CAC 1.6). Звернути увагу на сегмент Lost (27%) - він досить великий, можливо когось з втрачених клієнтів вдасться повернути завдяки продуманій кампанії.
Для продукту важливо розібратись що саме тримає наших постійних клієнтів сегменту Champions та Loyal (разом 40% ) аби це не втратити. Згадати що саме відбулось в 2024-04 - когорта що показала найвищий retention на M+5  (75%) аби могли це повторити. Тримати увагу на тому, що окупається клієнт десь на M+6 (середній LTV = $102.68) тому надважливо втримати клієнта до цього моменту.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</si>
</sst>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yyyy-mm-dd"/>
    <numFmt numFmtId="165" formatCode="&quot;$&quot;#,##0.00"/>
    <numFmt numFmtId="166" formatCode="YYYY-MM-DD"/>
    <numFmt numFmtId="167" formatCode="yyyy-mm"/>
    <numFmt numFmtId="168" formatCode="&quot;$&quot;#,##0"/>
  </numFmts>
  <fonts count="28">
    <font>
      <sz val="11.0"/>
      <color theme="1"/>
      <name val="Calibri"/>
      <scheme val="minor"/>
    </font>
    <font>
      <b/>
      <sz val="20.0"/>
      <color rgb="FFFFFFFF"/>
      <name val="Calibri"/>
    </font>
    <font/>
    <font>
      <sz val="11.0"/>
      <color rgb="FF000000"/>
      <name val="Calibri"/>
    </font>
    <font>
      <b/>
      <sz val="15.0"/>
      <color rgb="FF1A2744"/>
      <name val="Calibri"/>
    </font>
    <font>
      <b/>
      <sz val="12.0"/>
      <color rgb="FF000000"/>
      <name val="Calibri"/>
    </font>
    <font>
      <b/>
      <sz val="12.0"/>
      <color rgb="FF6B3FA0"/>
      <name val="Calibri"/>
    </font>
    <font>
      <b/>
      <sz val="13.0"/>
      <color rgb="FFF59E0B"/>
      <name val="Calibri"/>
    </font>
    <font>
      <sz val="11.0"/>
      <color theme="1"/>
      <name val="Calibri"/>
    </font>
    <font>
      <b/>
      <sz val="13.0"/>
      <color rgb="FFFFFFFF"/>
      <name val="Calibri"/>
    </font>
    <font>
      <b/>
      <sz val="11.0"/>
      <color rgb="FFFFFFFF"/>
      <name val="Calibri"/>
    </font>
    <font>
      <sz val="10.0"/>
      <color rgb="FF333333"/>
      <name val="Calibri"/>
    </font>
    <font>
      <color rgb="FF333333"/>
      <name val="Calibri"/>
    </font>
    <font>
      <b/>
      <sz val="12.0"/>
      <color rgb="FF92400E"/>
      <name val="Calibri"/>
    </font>
    <font>
      <i/>
      <sz val="10.0"/>
      <color rgb="FF92400E"/>
      <name val="Calibri"/>
    </font>
    <font>
      <i/>
      <sz val="9.0"/>
      <color rgb="FF7B8AAB"/>
      <name val="Calibri"/>
    </font>
    <font>
      <i/>
      <sz val="9.0"/>
      <color rgb="FF6B3FA0"/>
      <name val="Calibri"/>
    </font>
    <font>
      <b/>
      <sz val="10.0"/>
      <color rgb="FFFFFFFF"/>
      <name val="Calibri"/>
    </font>
    <font>
      <b/>
      <sz val="10.0"/>
      <color rgb="FF1A2744"/>
      <name val="Calibri"/>
    </font>
    <font>
      <sz val="10.0"/>
      <color theme="1"/>
      <name val="Calibri"/>
    </font>
    <font>
      <sz val="9.0"/>
      <color theme="1"/>
      <name val="Calibri"/>
    </font>
    <font>
      <i/>
      <sz val="10.0"/>
      <color rgb="FF7B8AAB"/>
      <name val="Calibri"/>
    </font>
    <font>
      <color theme="1"/>
      <name val="Calibri"/>
      <scheme val="minor"/>
    </font>
    <font>
      <sz val="10.0"/>
      <color rgb="FF000000"/>
      <name val="Calibri"/>
    </font>
    <font>
      <sz val="9.0"/>
      <color rgb="FF7B8AAB"/>
      <name val="Calibri"/>
    </font>
    <font>
      <b/>
      <sz val="11.0"/>
      <color rgb="FF6B3FA0"/>
      <name val="Calibri"/>
    </font>
    <font>
      <b/>
      <sz val="9.0"/>
      <color rgb="FFFFFFFF"/>
      <name val="Calibri"/>
    </font>
    <font>
      <color rgb="FF7B8AAB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1A2744"/>
        <bgColor rgb="FF1A2744"/>
      </patternFill>
    </fill>
    <fill>
      <patternFill patternType="solid">
        <fgColor rgb="FFFFFFFF"/>
        <bgColor rgb="FFFFFFFF"/>
      </patternFill>
    </fill>
    <fill>
      <patternFill patternType="solid">
        <fgColor rgb="FFF4F6FC"/>
        <bgColor rgb="FFF4F6FC"/>
      </patternFill>
    </fill>
    <fill>
      <patternFill patternType="solid">
        <fgColor rgb="FFFEF3C7"/>
        <bgColor rgb="FFFEF3C7"/>
      </patternFill>
    </fill>
    <fill>
      <patternFill patternType="solid">
        <fgColor rgb="FFF5F0FB"/>
        <bgColor rgb="FFF5F0FB"/>
      </patternFill>
    </fill>
    <fill>
      <patternFill patternType="solid">
        <fgColor rgb="FF6B3FA0"/>
        <bgColor rgb="FF6B3FA0"/>
      </patternFill>
    </fill>
    <fill>
      <patternFill patternType="solid">
        <fgColor rgb="FFFFF2CC"/>
        <bgColor rgb="FFFFF2CC"/>
      </patternFill>
    </fill>
    <fill>
      <patternFill patternType="solid">
        <fgColor rgb="FFEBEBEB"/>
        <bgColor rgb="FFEBEBEB"/>
      </patternFill>
    </fill>
    <fill>
      <patternFill patternType="solid">
        <fgColor rgb="FFC9DAF8"/>
        <bgColor rgb="FFC9DAF8"/>
      </patternFill>
    </fill>
    <fill>
      <patternFill patternType="solid">
        <fgColor rgb="FFA4C2F4"/>
        <bgColor rgb="FFA4C2F4"/>
      </patternFill>
    </fill>
  </fills>
  <borders count="7">
    <border/>
    <border>
      <left/>
      <top/>
      <bottom/>
    </border>
    <border>
      <right/>
      <top/>
      <bottom/>
    </border>
    <border>
      <top/>
      <bottom/>
    </border>
    <border>
      <left style="thin">
        <color rgb="FFD0D4E0"/>
      </left>
      <right style="thin">
        <color rgb="FFD0D4E0"/>
      </right>
      <top style="thin">
        <color rgb="FFD0D4E0"/>
      </top>
      <bottom style="thin">
        <color rgb="FFD0D4E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0" fillId="0" fontId="3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6" numFmtId="0" xfId="0" applyAlignment="1" applyFont="1">
      <alignment horizontal="left" readingOrder="0" shrinkToFit="0" vertical="center" wrapText="1"/>
    </xf>
    <xf borderId="0" fillId="0" fontId="6" numFmtId="0" xfId="0" applyAlignment="1" applyFont="1">
      <alignment horizontal="left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5" numFmtId="0" xfId="0" applyAlignment="1" applyFont="1">
      <alignment readingOrder="0" shrinkToFit="0" wrapText="1"/>
    </xf>
    <xf borderId="0" fillId="0" fontId="8" numFmtId="0" xfId="0" applyAlignment="1" applyFont="1">
      <alignment shrinkToFit="0" wrapText="1"/>
    </xf>
    <xf borderId="1" fillId="2" fontId="9" numFmtId="0" xfId="0" applyAlignment="1" applyBorder="1" applyFont="1">
      <alignment horizontal="left" readingOrder="0" vertical="center"/>
    </xf>
    <xf borderId="3" fillId="0" fontId="2" numFmtId="0" xfId="0" applyBorder="1" applyFont="1"/>
    <xf borderId="4" fillId="2" fontId="10" numFmtId="0" xfId="0" applyAlignment="1" applyBorder="1" applyFont="1">
      <alignment horizontal="center" vertical="center"/>
    </xf>
    <xf borderId="4" fillId="3" fontId="11" numFmtId="0" xfId="0" applyAlignment="1" applyBorder="1" applyFill="1" applyFont="1">
      <alignment horizontal="left" vertical="center"/>
    </xf>
    <xf borderId="4" fillId="3" fontId="11" numFmtId="164" xfId="0" applyAlignment="1" applyBorder="1" applyFont="1" applyNumberFormat="1">
      <alignment horizontal="center" vertical="center"/>
    </xf>
    <xf borderId="4" fillId="4" fontId="11" numFmtId="0" xfId="0" applyAlignment="1" applyBorder="1" applyFill="1" applyFont="1">
      <alignment horizontal="left" vertical="center"/>
    </xf>
    <xf borderId="4" fillId="4" fontId="11" numFmtId="164" xfId="0" applyAlignment="1" applyBorder="1" applyFont="1" applyNumberFormat="1">
      <alignment horizontal="center" vertical="center"/>
    </xf>
    <xf borderId="4" fillId="3" fontId="11" numFmtId="165" xfId="0" applyAlignment="1" applyBorder="1" applyFont="1" applyNumberFormat="1">
      <alignment horizontal="center" vertical="center"/>
    </xf>
    <xf borderId="4" fillId="4" fontId="11" numFmtId="165" xfId="0" applyAlignment="1" applyBorder="1" applyFont="1" applyNumberFormat="1">
      <alignment horizontal="center" vertical="center"/>
    </xf>
    <xf borderId="1" fillId="2" fontId="9" numFmtId="0" xfId="0" applyAlignment="1" applyBorder="1" applyFont="1">
      <alignment horizontal="left" vertical="center"/>
    </xf>
    <xf borderId="4" fillId="2" fontId="10" numFmtId="0" xfId="0" applyAlignment="1" applyBorder="1" applyFont="1">
      <alignment horizontal="center"/>
    </xf>
    <xf borderId="4" fillId="3" fontId="12" numFmtId="0" xfId="0" applyBorder="1" applyFont="1"/>
    <xf borderId="4" fillId="3" fontId="12" numFmtId="165" xfId="0" applyAlignment="1" applyBorder="1" applyFont="1" applyNumberFormat="1">
      <alignment horizontal="center"/>
    </xf>
    <xf borderId="4" fillId="4" fontId="12" numFmtId="0" xfId="0" applyBorder="1" applyFont="1"/>
    <xf borderId="4" fillId="4" fontId="12" numFmtId="165" xfId="0" applyAlignment="1" applyBorder="1" applyFont="1" applyNumberFormat="1">
      <alignment horizontal="center"/>
    </xf>
    <xf borderId="4" fillId="5" fontId="13" numFmtId="166" xfId="0" applyAlignment="1" applyBorder="1" applyFill="1" applyFont="1" applyNumberFormat="1">
      <alignment horizontal="center" vertical="center"/>
    </xf>
    <xf borderId="4" fillId="0" fontId="14" numFmtId="0" xfId="0" applyAlignment="1" applyBorder="1" applyFont="1">
      <alignment horizontal="left" vertical="center"/>
    </xf>
    <xf borderId="1" fillId="4" fontId="15" numFmtId="0" xfId="0" applyAlignment="1" applyBorder="1" applyFont="1">
      <alignment horizontal="center" vertical="center"/>
    </xf>
    <xf borderId="1" fillId="6" fontId="16" numFmtId="0" xfId="0" applyAlignment="1" applyBorder="1" applyFill="1" applyFont="1">
      <alignment horizontal="center" vertical="center"/>
    </xf>
    <xf borderId="4" fillId="2" fontId="17" numFmtId="0" xfId="0" applyAlignment="1" applyBorder="1" applyFont="1">
      <alignment horizontal="center" vertical="center"/>
    </xf>
    <xf borderId="4" fillId="7" fontId="17" numFmtId="0" xfId="0" applyAlignment="1" applyBorder="1" applyFill="1" applyFont="1">
      <alignment horizontal="center" vertical="center"/>
    </xf>
    <xf borderId="4" fillId="3" fontId="18" numFmtId="0" xfId="0" applyAlignment="1" applyBorder="1" applyFont="1">
      <alignment horizontal="left" vertical="center"/>
    </xf>
    <xf borderId="4" fillId="3" fontId="19" numFmtId="164" xfId="0" applyAlignment="1" applyBorder="1" applyFont="1" applyNumberFormat="1">
      <alignment horizontal="center" readingOrder="0" vertical="center"/>
    </xf>
    <xf borderId="4" fillId="3" fontId="19" numFmtId="0" xfId="0" applyAlignment="1" applyBorder="1" applyFont="1">
      <alignment horizontal="center" vertical="center"/>
    </xf>
    <xf borderId="4" fillId="3" fontId="19" numFmtId="0" xfId="0" applyAlignment="1" applyBorder="1" applyFont="1">
      <alignment horizontal="center" readingOrder="0" vertical="center"/>
    </xf>
    <xf borderId="4" fillId="3" fontId="20" numFmtId="0" xfId="0" applyAlignment="1" applyBorder="1" applyFont="1">
      <alignment horizontal="center" vertical="center"/>
    </xf>
    <xf borderId="1" fillId="4" fontId="21" numFmtId="0" xfId="0" applyAlignment="1" applyBorder="1" applyFont="1">
      <alignment horizontal="left" vertical="center"/>
    </xf>
    <xf borderId="0" fillId="0" fontId="22" numFmtId="0" xfId="0" applyAlignment="1" applyFont="1">
      <alignment readingOrder="0"/>
    </xf>
    <xf borderId="0" fillId="8" fontId="22" numFmtId="0" xfId="0" applyAlignment="1" applyFill="1" applyFont="1">
      <alignment readingOrder="0"/>
    </xf>
    <xf borderId="5" fillId="0" fontId="22" numFmtId="0" xfId="0" applyAlignment="1" applyBorder="1" applyFont="1">
      <alignment readingOrder="0"/>
    </xf>
    <xf borderId="5" fillId="0" fontId="22" numFmtId="0" xfId="0" applyBorder="1" applyFont="1"/>
    <xf borderId="5" fillId="0" fontId="22" numFmtId="2" xfId="0" applyBorder="1" applyFont="1" applyNumberFormat="1"/>
    <xf borderId="4" fillId="4" fontId="18" numFmtId="0" xfId="0" applyAlignment="1" applyBorder="1" applyFont="1">
      <alignment horizontal="left" vertical="center"/>
    </xf>
    <xf borderId="4" fillId="4" fontId="19" numFmtId="0" xfId="0" applyAlignment="1" applyBorder="1" applyFont="1">
      <alignment horizontal="center" vertical="center"/>
    </xf>
    <xf borderId="0" fillId="0" fontId="22" numFmtId="0" xfId="0" applyFont="1"/>
    <xf borderId="0" fillId="0" fontId="22" numFmtId="165" xfId="0" applyFont="1" applyNumberFormat="1"/>
    <xf borderId="0" fillId="0" fontId="22" numFmtId="0" xfId="0" applyAlignment="1" applyFont="1">
      <alignment readingOrder="0" shrinkToFit="0" wrapText="1"/>
    </xf>
    <xf borderId="4" fillId="4" fontId="23" numFmtId="0" xfId="0" applyAlignment="1" applyBorder="1" applyFont="1">
      <alignment horizontal="center" vertical="center"/>
    </xf>
    <xf borderId="4" fillId="4" fontId="23" numFmtId="165" xfId="0" applyAlignment="1" applyBorder="1" applyFont="1" applyNumberFormat="1">
      <alignment horizontal="center" vertical="center"/>
    </xf>
    <xf borderId="4" fillId="3" fontId="23" numFmtId="0" xfId="0" applyAlignment="1" applyBorder="1" applyFont="1">
      <alignment horizontal="center" vertical="center"/>
    </xf>
    <xf borderId="4" fillId="3" fontId="23" numFmtId="165" xfId="0" applyAlignment="1" applyBorder="1" applyFont="1" applyNumberFormat="1">
      <alignment horizontal="center" vertical="center"/>
    </xf>
    <xf borderId="4" fillId="2" fontId="10" numFmtId="0" xfId="0" applyAlignment="1" applyBorder="1" applyFont="1">
      <alignment horizontal="center" readingOrder="0" vertical="center"/>
    </xf>
    <xf borderId="4" fillId="3" fontId="18" numFmtId="167" xfId="0" applyAlignment="1" applyBorder="1" applyFont="1" applyNumberFormat="1">
      <alignment horizontal="left" readingOrder="0" vertical="center"/>
    </xf>
    <xf borderId="4" fillId="9" fontId="24" numFmtId="0" xfId="0" applyAlignment="1" applyBorder="1" applyFill="1" applyFont="1">
      <alignment horizontal="center"/>
    </xf>
    <xf borderId="4" fillId="3" fontId="18" numFmtId="167" xfId="0" applyAlignment="1" applyBorder="1" applyFont="1" applyNumberFormat="1">
      <alignment horizontal="left" vertical="center"/>
    </xf>
    <xf borderId="4" fillId="3" fontId="19" numFmtId="10" xfId="0" applyAlignment="1" applyBorder="1" applyFont="1" applyNumberFormat="1">
      <alignment horizontal="center" readingOrder="0" vertical="center"/>
    </xf>
    <xf borderId="4" fillId="3" fontId="19" numFmtId="10" xfId="0" applyAlignment="1" applyBorder="1" applyFont="1" applyNumberFormat="1">
      <alignment horizontal="center" vertical="center"/>
    </xf>
    <xf borderId="4" fillId="3" fontId="20" numFmtId="10" xfId="0" applyAlignment="1" applyBorder="1" applyFont="1" applyNumberFormat="1">
      <alignment horizontal="center" vertical="center"/>
    </xf>
    <xf borderId="0" fillId="10" fontId="22" numFmtId="0" xfId="0" applyAlignment="1" applyFill="1" applyFont="1">
      <alignment readingOrder="0"/>
    </xf>
    <xf borderId="0" fillId="10" fontId="22" numFmtId="0" xfId="0" applyFont="1"/>
    <xf borderId="0" fillId="10" fontId="22" numFmtId="10" xfId="0" applyFont="1" applyNumberFormat="1"/>
    <xf borderId="1" fillId="6" fontId="25" numFmtId="0" xfId="0" applyAlignment="1" applyBorder="1" applyFont="1">
      <alignment horizontal="left" readingOrder="0" vertical="center"/>
    </xf>
    <xf borderId="0" fillId="0" fontId="3" numFmtId="0" xfId="0" applyAlignment="1" applyFont="1">
      <alignment horizontal="left" shrinkToFit="0" vertical="center" wrapText="0"/>
    </xf>
    <xf borderId="4" fillId="2" fontId="26" numFmtId="0" xfId="0" applyAlignment="1" applyBorder="1" applyFont="1">
      <alignment horizontal="center" vertical="center"/>
    </xf>
    <xf borderId="4" fillId="3" fontId="19" numFmtId="165" xfId="0" applyAlignment="1" applyBorder="1" applyFont="1" applyNumberFormat="1">
      <alignment horizontal="center" readingOrder="0" vertical="center"/>
    </xf>
    <xf borderId="4" fillId="11" fontId="19" numFmtId="165" xfId="0" applyAlignment="1" applyBorder="1" applyFill="1" applyFont="1" applyNumberFormat="1">
      <alignment horizontal="center" vertical="center"/>
    </xf>
    <xf borderId="4" fillId="9" fontId="27" numFmtId="0" xfId="0" applyAlignment="1" applyBorder="1" applyFont="1">
      <alignment horizontal="center"/>
    </xf>
    <xf borderId="0" fillId="11" fontId="22" numFmtId="0" xfId="0" applyAlignment="1" applyFont="1">
      <alignment readingOrder="0"/>
    </xf>
    <xf borderId="0" fillId="11" fontId="22" numFmtId="0" xfId="0" applyFont="1"/>
    <xf borderId="0" fillId="11" fontId="22" numFmtId="165" xfId="0" applyFont="1" applyNumberFormat="1"/>
    <xf borderId="1" fillId="6" fontId="25" numFmtId="0" xfId="0" applyAlignment="1" applyBorder="1" applyFont="1">
      <alignment horizontal="left" vertical="center"/>
    </xf>
    <xf borderId="0" fillId="8" fontId="3" numFmtId="0" xfId="0" applyAlignment="1" applyFont="1">
      <alignment horizontal="left" shrinkToFit="0" vertical="center" wrapText="0"/>
    </xf>
    <xf borderId="4" fillId="4" fontId="18" numFmtId="167" xfId="0" applyAlignment="1" applyBorder="1" applyFont="1" applyNumberFormat="1">
      <alignment horizontal="left" vertical="center"/>
    </xf>
    <xf borderId="4" fillId="4" fontId="19" numFmtId="165" xfId="0" applyAlignment="1" applyBorder="1" applyFont="1" applyNumberFormat="1">
      <alignment horizontal="center" vertical="center"/>
    </xf>
    <xf borderId="6" fillId="0" fontId="22" numFmtId="0" xfId="0" applyAlignment="1" applyBorder="1" applyFont="1">
      <alignment readingOrder="0"/>
    </xf>
    <xf borderId="1" fillId="4" fontId="21" numFmtId="0" xfId="0" applyAlignment="1" applyBorder="1" applyFont="1">
      <alignment horizontal="left" readingOrder="0" shrinkToFit="0" vertical="center" wrapText="1"/>
    </xf>
    <xf borderId="4" fillId="7" fontId="10" numFmtId="0" xfId="0" applyAlignment="1" applyBorder="1" applyFont="1">
      <alignment horizontal="center" vertical="center"/>
    </xf>
    <xf borderId="4" fillId="4" fontId="19" numFmtId="168" xfId="0" applyAlignment="1" applyBorder="1" applyFont="1" applyNumberFormat="1">
      <alignment horizontal="center" vertical="center"/>
    </xf>
    <xf borderId="4" fillId="4" fontId="19" numFmtId="2" xfId="0" applyAlignment="1" applyBorder="1" applyFont="1" applyNumberFormat="1">
      <alignment horizontal="center" vertical="center"/>
    </xf>
    <xf borderId="0" fillId="8" fontId="22" numFmtId="0" xfId="0" applyFont="1"/>
    <xf borderId="0" fillId="0" fontId="23" numFmtId="0" xfId="0" applyAlignment="1" applyFont="1">
      <alignment horizontal="left" readingOrder="0" shrinkToFit="0" vertical="center" wrapText="1"/>
    </xf>
  </cellXfs>
  <cellStyles count="1">
    <cellStyle xfId="0" name="Normal" builtinId="0"/>
  </cellStyles>
  <dxfs count="6"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F6B26B"/>
          <bgColor rgb="FFF6B26B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3C78D8"/>
          <bgColor rgb="FF3C78D8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57BB8A"/>
          <bgColor rgb="FF57BB8A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 Retention-криві для 10 когорт та середнього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'🌡️ Retention %'!$A$5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'🌡️ Retention %'!$B$4:$N$4</c:f>
            </c:strRef>
          </c:cat>
          <c:val>
            <c:numRef>
              <c:f>'🌡️ Retention %'!$B$5:$N$5</c:f>
              <c:numCache/>
            </c:numRef>
          </c:val>
          <c:smooth val="1"/>
        </c:ser>
        <c:ser>
          <c:idx val="1"/>
          <c:order val="1"/>
          <c:tx>
            <c:strRef>
              <c:f>'🌡️ Retention %'!$A$6</c:f>
            </c:strRef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'🌡️ Retention %'!$B$4:$N$4</c:f>
            </c:strRef>
          </c:cat>
          <c:val>
            <c:numRef>
              <c:f>'🌡️ Retention %'!$B$6:$N$6</c:f>
              <c:numCache/>
            </c:numRef>
          </c:val>
          <c:smooth val="1"/>
        </c:ser>
        <c:ser>
          <c:idx val="2"/>
          <c:order val="2"/>
          <c:tx>
            <c:strRef>
              <c:f>'🌡️ Retention %'!$A$7</c:f>
            </c:strRef>
          </c:tx>
          <c:spPr>
            <a:ln cmpd="sng">
              <a:solidFill>
                <a:srgbClr val="9BBB59"/>
              </a:solidFill>
            </a:ln>
          </c:spPr>
          <c:marker>
            <c:symbol val="none"/>
          </c:marker>
          <c:cat>
            <c:strRef>
              <c:f>'🌡️ Retention %'!$B$4:$N$4</c:f>
            </c:strRef>
          </c:cat>
          <c:val>
            <c:numRef>
              <c:f>'🌡️ Retention %'!$B$7:$N$7</c:f>
              <c:numCache/>
            </c:numRef>
          </c:val>
          <c:smooth val="1"/>
        </c:ser>
        <c:ser>
          <c:idx val="3"/>
          <c:order val="3"/>
          <c:tx>
            <c:strRef>
              <c:f>'🌡️ Retention %'!$A$8</c:f>
            </c:strRef>
          </c:tx>
          <c:spPr>
            <a:ln cmpd="sng">
              <a:solidFill>
                <a:srgbClr val="8064A2"/>
              </a:solidFill>
            </a:ln>
          </c:spPr>
          <c:marker>
            <c:symbol val="none"/>
          </c:marker>
          <c:cat>
            <c:strRef>
              <c:f>'🌡️ Retention %'!$B$4:$N$4</c:f>
            </c:strRef>
          </c:cat>
          <c:val>
            <c:numRef>
              <c:f>'🌡️ Retention %'!$B$8:$N$8</c:f>
              <c:numCache/>
            </c:numRef>
          </c:val>
          <c:smooth val="1"/>
        </c:ser>
        <c:ser>
          <c:idx val="4"/>
          <c:order val="4"/>
          <c:tx>
            <c:strRef>
              <c:f>'🌡️ Retention %'!$A$9</c:f>
            </c:strRef>
          </c:tx>
          <c:spPr>
            <a:ln cmpd="sng">
              <a:solidFill>
                <a:srgbClr val="4BACC6"/>
              </a:solidFill>
            </a:ln>
          </c:spPr>
          <c:marker>
            <c:symbol val="none"/>
          </c:marker>
          <c:cat>
            <c:strRef>
              <c:f>'🌡️ Retention %'!$B$4:$N$4</c:f>
            </c:strRef>
          </c:cat>
          <c:val>
            <c:numRef>
              <c:f>'🌡️ Retention %'!$B$9:$N$9</c:f>
              <c:numCache/>
            </c:numRef>
          </c:val>
          <c:smooth val="1"/>
        </c:ser>
        <c:ser>
          <c:idx val="5"/>
          <c:order val="5"/>
          <c:tx>
            <c:strRef>
              <c:f>'🌡️ Retention %'!$A$10</c:f>
            </c:strRef>
          </c:tx>
          <c:spPr>
            <a:ln cmpd="sng">
              <a:solidFill>
                <a:srgbClr val="F79646"/>
              </a:solidFill>
            </a:ln>
          </c:spPr>
          <c:marker>
            <c:symbol val="none"/>
          </c:marker>
          <c:cat>
            <c:strRef>
              <c:f>'🌡️ Retention %'!$B$4:$N$4</c:f>
            </c:strRef>
          </c:cat>
          <c:val>
            <c:numRef>
              <c:f>'🌡️ Retention %'!$B$10:$N$10</c:f>
              <c:numCache/>
            </c:numRef>
          </c:val>
          <c:smooth val="1"/>
        </c:ser>
        <c:ser>
          <c:idx val="6"/>
          <c:order val="6"/>
          <c:tx>
            <c:strRef>
              <c:f>'🌡️ Retention %'!$A$11</c:f>
            </c:strRef>
          </c:tx>
          <c:spPr>
            <a:ln cmpd="sng">
              <a:solidFill>
                <a:srgbClr val="84A7D1"/>
              </a:solidFill>
            </a:ln>
          </c:spPr>
          <c:marker>
            <c:symbol val="none"/>
          </c:marker>
          <c:cat>
            <c:strRef>
              <c:f>'🌡️ Retention %'!$B$4:$N$4</c:f>
            </c:strRef>
          </c:cat>
          <c:val>
            <c:numRef>
              <c:f>'🌡️ Retention %'!$B$11:$N$11</c:f>
              <c:numCache/>
            </c:numRef>
          </c:val>
          <c:smooth val="1"/>
        </c:ser>
        <c:ser>
          <c:idx val="7"/>
          <c:order val="7"/>
          <c:tx>
            <c:strRef>
              <c:f>'🌡️ Retention %'!$A$12</c:f>
            </c:strRef>
          </c:tx>
          <c:spPr>
            <a:ln cmpd="sng">
              <a:solidFill>
                <a:srgbClr val="D38582"/>
              </a:solidFill>
            </a:ln>
          </c:spPr>
          <c:marker>
            <c:symbol val="none"/>
          </c:marker>
          <c:cat>
            <c:strRef>
              <c:f>'🌡️ Retention %'!$B$4:$N$4</c:f>
            </c:strRef>
          </c:cat>
          <c:val>
            <c:numRef>
              <c:f>'🌡️ Retention %'!$B$12:$N$12</c:f>
              <c:numCache/>
            </c:numRef>
          </c:val>
          <c:smooth val="1"/>
        </c:ser>
        <c:ser>
          <c:idx val="8"/>
          <c:order val="8"/>
          <c:tx>
            <c:strRef>
              <c:f>'🌡️ Retention %'!$A$13</c:f>
            </c:strRef>
          </c:tx>
          <c:spPr>
            <a:ln cmpd="sng">
              <a:solidFill>
                <a:srgbClr val="B9CF8B"/>
              </a:solidFill>
            </a:ln>
          </c:spPr>
          <c:marker>
            <c:symbol val="none"/>
          </c:marker>
          <c:cat>
            <c:strRef>
              <c:f>'🌡️ Retention %'!$B$4:$N$4</c:f>
            </c:strRef>
          </c:cat>
          <c:val>
            <c:numRef>
              <c:f>'🌡️ Retention %'!$B$13:$N$13</c:f>
              <c:numCache/>
            </c:numRef>
          </c:val>
          <c:smooth val="1"/>
        </c:ser>
        <c:ser>
          <c:idx val="9"/>
          <c:order val="9"/>
          <c:tx>
            <c:strRef>
              <c:f>'🌡️ Retention %'!$A$14</c:f>
            </c:strRef>
          </c:tx>
          <c:spPr>
            <a:ln cmpd="sng">
              <a:solidFill>
                <a:srgbClr val="A693BE"/>
              </a:solidFill>
            </a:ln>
          </c:spPr>
          <c:marker>
            <c:symbol val="none"/>
          </c:marker>
          <c:cat>
            <c:strRef>
              <c:f>'🌡️ Retention %'!$B$4:$N$4</c:f>
            </c:strRef>
          </c:cat>
          <c:val>
            <c:numRef>
              <c:f>'🌡️ Retention %'!$B$14:$N$14</c:f>
              <c:numCache/>
            </c:numRef>
          </c:val>
          <c:smooth val="1"/>
        </c:ser>
        <c:ser>
          <c:idx val="10"/>
          <c:order val="10"/>
          <c:tx>
            <c:strRef>
              <c:f>'🌡️ Retention %'!$A$20</c:f>
            </c:strRef>
          </c:tx>
          <c:spPr>
            <a:ln cmpd="sng">
              <a:solidFill>
                <a:srgbClr val="81C5D7"/>
              </a:solidFill>
            </a:ln>
          </c:spPr>
          <c:marker>
            <c:symbol val="none"/>
          </c:marker>
          <c:cat>
            <c:strRef>
              <c:f>'🌡️ Retention %'!$B$4:$N$4</c:f>
            </c:strRef>
          </c:cat>
          <c:val>
            <c:numRef>
              <c:f>'🌡️ Retention %'!$B$20:$N$20</c:f>
              <c:numCache/>
            </c:numRef>
          </c:val>
          <c:smooth val="1"/>
        </c:ser>
        <c:axId val="493109161"/>
        <c:axId val="147475682"/>
      </c:lineChart>
      <c:catAx>
        <c:axId val="4931091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475682"/>
      </c:catAx>
      <c:valAx>
        <c:axId val="1474756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9310916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85725</xdr:colOff>
      <xdr:row>3</xdr:row>
      <xdr:rowOff>57150</xdr:rowOff>
    </xdr:from>
    <xdr:ext cx="6772275" cy="41910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95.0"/>
    <col customWidth="1" min="3" max="26" width="8.71"/>
  </cols>
  <sheetData>
    <row r="1" ht="42.0" customHeight="1">
      <c r="A1" s="1" t="s">
        <v>0</v>
      </c>
      <c r="B1" s="2"/>
    </row>
    <row r="2" ht="19.5" customHeight="1">
      <c r="B2" s="3"/>
    </row>
    <row r="3" ht="25.5" customHeight="1">
      <c r="B3" s="4" t="s">
        <v>1</v>
      </c>
    </row>
    <row r="4" ht="88.5" customHeight="1">
      <c r="B4" s="3" t="s">
        <v>2</v>
      </c>
    </row>
    <row r="5" ht="19.5" customHeight="1">
      <c r="B5" s="3"/>
    </row>
    <row r="6" ht="19.5" customHeight="1">
      <c r="B6" s="5" t="s">
        <v>3</v>
      </c>
    </row>
    <row r="7" ht="19.5" customHeight="1">
      <c r="B7" s="3" t="s">
        <v>4</v>
      </c>
    </row>
    <row r="8" ht="19.5" customHeight="1">
      <c r="B8" s="3" t="s">
        <v>5</v>
      </c>
    </row>
    <row r="9" ht="19.5" customHeight="1">
      <c r="B9" s="3"/>
    </row>
    <row r="10" ht="25.5" customHeight="1">
      <c r="B10" s="4" t="s">
        <v>6</v>
      </c>
    </row>
    <row r="11" ht="19.5" customHeight="1">
      <c r="B11" s="6" t="s">
        <v>7</v>
      </c>
    </row>
    <row r="12" ht="19.5" customHeight="1">
      <c r="B12" s="6" t="s">
        <v>8</v>
      </c>
    </row>
    <row r="13" ht="19.5" customHeight="1">
      <c r="B13" s="6" t="s">
        <v>9</v>
      </c>
    </row>
    <row r="14" ht="19.5" customHeight="1">
      <c r="B14" s="3"/>
    </row>
    <row r="15" ht="25.5" customHeight="1">
      <c r="B15" s="4" t="s">
        <v>10</v>
      </c>
    </row>
    <row r="16" ht="19.5" customHeight="1">
      <c r="B16" s="3"/>
    </row>
    <row r="17" ht="19.5" customHeight="1">
      <c r="B17" s="7" t="s">
        <v>11</v>
      </c>
    </row>
    <row r="18" ht="19.5" customHeight="1">
      <c r="B18" s="3" t="s">
        <v>12</v>
      </c>
    </row>
    <row r="19" ht="30.0" customHeight="1">
      <c r="B19" s="3" t="s">
        <v>13</v>
      </c>
    </row>
    <row r="20" ht="19.5" customHeight="1">
      <c r="B20" s="6" t="s">
        <v>14</v>
      </c>
    </row>
    <row r="21" ht="19.5" customHeight="1">
      <c r="B21" s="6" t="s">
        <v>15</v>
      </c>
    </row>
    <row r="22" ht="19.5" customHeight="1">
      <c r="B22" s="6" t="s">
        <v>16</v>
      </c>
    </row>
    <row r="23" ht="28.5" customHeight="1">
      <c r="B23" s="6" t="s">
        <v>17</v>
      </c>
    </row>
    <row r="24" ht="19.5" customHeight="1">
      <c r="B24" s="6" t="s">
        <v>18</v>
      </c>
    </row>
    <row r="25" ht="19.5" customHeight="1">
      <c r="B25" s="6" t="s">
        <v>19</v>
      </c>
    </row>
    <row r="26" ht="19.5" customHeight="1">
      <c r="B26" s="3"/>
    </row>
    <row r="27" ht="19.5" customHeight="1">
      <c r="B27" s="8" t="s">
        <v>20</v>
      </c>
    </row>
    <row r="28" ht="19.5" customHeight="1">
      <c r="B28" s="6" t="s">
        <v>21</v>
      </c>
    </row>
    <row r="29" ht="19.5" customHeight="1">
      <c r="B29" s="3" t="s">
        <v>22</v>
      </c>
    </row>
    <row r="30" ht="19.5" customHeight="1">
      <c r="B30" s="6" t="s">
        <v>23</v>
      </c>
    </row>
    <row r="31" ht="19.5" customHeight="1">
      <c r="B31" s="3"/>
    </row>
    <row r="32" ht="19.5" customHeight="1">
      <c r="B32" s="7" t="s">
        <v>24</v>
      </c>
    </row>
    <row r="33" ht="19.5" customHeight="1">
      <c r="B33" s="6" t="s">
        <v>25</v>
      </c>
    </row>
    <row r="34" ht="19.5" customHeight="1">
      <c r="B34" s="6" t="s">
        <v>26</v>
      </c>
    </row>
    <row r="35" ht="19.5" customHeight="1">
      <c r="B35" s="3"/>
    </row>
    <row r="36" ht="19.5" customHeight="1">
      <c r="B36" s="8" t="s">
        <v>27</v>
      </c>
    </row>
    <row r="37" ht="19.5" customHeight="1">
      <c r="B37" s="6" t="s">
        <v>28</v>
      </c>
    </row>
    <row r="38" ht="19.5" customHeight="1">
      <c r="B38" s="3" t="s">
        <v>29</v>
      </c>
    </row>
    <row r="39" ht="19.5" customHeight="1">
      <c r="B39" s="6" t="s">
        <v>30</v>
      </c>
    </row>
    <row r="40" ht="19.5" customHeight="1">
      <c r="B40" s="3"/>
    </row>
    <row r="41" ht="19.5" customHeight="1">
      <c r="B41" s="8" t="s">
        <v>31</v>
      </c>
    </row>
    <row r="42" ht="19.5" customHeight="1">
      <c r="B42" s="3" t="s">
        <v>32</v>
      </c>
    </row>
    <row r="43" ht="19.5" customHeight="1">
      <c r="B43" s="6" t="s">
        <v>33</v>
      </c>
    </row>
    <row r="44" ht="19.5" customHeight="1">
      <c r="B44" s="6" t="s">
        <v>34</v>
      </c>
    </row>
    <row r="45" ht="19.5" customHeight="1">
      <c r="B45" s="3"/>
    </row>
    <row r="46" ht="25.5" customHeight="1">
      <c r="B46" s="4" t="s">
        <v>35</v>
      </c>
    </row>
    <row r="47" ht="19.5" customHeight="1">
      <c r="B47" s="6" t="s">
        <v>36</v>
      </c>
    </row>
    <row r="48" ht="19.5" customHeight="1">
      <c r="B48" s="3" t="s">
        <v>37</v>
      </c>
    </row>
    <row r="49" ht="19.5" customHeight="1">
      <c r="B49" s="3" t="s">
        <v>38</v>
      </c>
    </row>
    <row r="50" ht="19.5" customHeight="1">
      <c r="B50" s="3" t="s">
        <v>39</v>
      </c>
    </row>
    <row r="51" ht="19.5" customHeight="1">
      <c r="B51" s="3" t="s">
        <v>40</v>
      </c>
    </row>
    <row r="52" ht="19.5" customHeight="1">
      <c r="B52" s="3"/>
    </row>
    <row r="53" ht="25.5" customHeight="1">
      <c r="B53" s="9" t="s">
        <v>41</v>
      </c>
    </row>
    <row r="54" ht="19.5" customHeight="1">
      <c r="B54" s="3" t="s">
        <v>42</v>
      </c>
    </row>
    <row r="55" ht="19.5" customHeight="1">
      <c r="B55" s="3" t="s">
        <v>43</v>
      </c>
    </row>
    <row r="56" ht="31.5" customHeight="1">
      <c r="B56" s="6" t="s">
        <v>44</v>
      </c>
    </row>
    <row r="57" ht="19.5" customHeight="1">
      <c r="B57" s="10" t="s">
        <v>45</v>
      </c>
    </row>
    <row r="58" ht="19.5" customHeight="1">
      <c r="B58" s="11" t="s">
        <v>46</v>
      </c>
    </row>
    <row r="59" ht="19.5" customHeight="1">
      <c r="B59" s="11" t="s">
        <v>47</v>
      </c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">
    <mergeCell ref="A1:B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2.0"/>
    <col customWidth="1" min="2" max="2" width="14.0"/>
    <col customWidth="1" min="3" max="3" width="10.0"/>
    <col customWidth="1" min="4" max="4" width="16.0"/>
    <col customWidth="1" min="5" max="26" width="8.71"/>
  </cols>
  <sheetData>
    <row r="2" ht="27.75" customHeight="1">
      <c r="A2" s="12" t="s">
        <v>48</v>
      </c>
      <c r="B2" s="13"/>
      <c r="C2" s="13"/>
      <c r="D2" s="2"/>
    </row>
    <row r="4" ht="21.75" customHeight="1">
      <c r="A4" s="14" t="s">
        <v>49</v>
      </c>
      <c r="B4" s="14" t="s">
        <v>50</v>
      </c>
      <c r="C4" s="14" t="s">
        <v>51</v>
      </c>
      <c r="D4" s="14" t="s">
        <v>52</v>
      </c>
    </row>
    <row r="5">
      <c r="A5" s="15" t="s">
        <v>53</v>
      </c>
      <c r="B5" s="16">
        <v>45292.0</v>
      </c>
      <c r="C5" s="15" t="s">
        <v>54</v>
      </c>
      <c r="D5" s="15" t="s">
        <v>55</v>
      </c>
    </row>
    <row r="6">
      <c r="A6" s="17" t="s">
        <v>56</v>
      </c>
      <c r="B6" s="18">
        <v>45292.0</v>
      </c>
      <c r="C6" s="17" t="s">
        <v>57</v>
      </c>
      <c r="D6" s="17" t="s">
        <v>58</v>
      </c>
    </row>
    <row r="7">
      <c r="A7" s="15" t="s">
        <v>59</v>
      </c>
      <c r="B7" s="16">
        <v>45293.0</v>
      </c>
      <c r="C7" s="15" t="s">
        <v>60</v>
      </c>
      <c r="D7" s="15" t="s">
        <v>61</v>
      </c>
    </row>
    <row r="8">
      <c r="A8" s="17" t="s">
        <v>62</v>
      </c>
      <c r="B8" s="18">
        <v>45294.0</v>
      </c>
      <c r="C8" s="17" t="s">
        <v>63</v>
      </c>
      <c r="D8" s="17" t="s">
        <v>64</v>
      </c>
    </row>
    <row r="9">
      <c r="A9" s="15" t="s">
        <v>65</v>
      </c>
      <c r="B9" s="16">
        <v>45294.0</v>
      </c>
      <c r="C9" s="15" t="s">
        <v>66</v>
      </c>
      <c r="D9" s="15" t="s">
        <v>67</v>
      </c>
    </row>
    <row r="10">
      <c r="A10" s="17" t="s">
        <v>68</v>
      </c>
      <c r="B10" s="18">
        <v>45294.0</v>
      </c>
      <c r="C10" s="17" t="s">
        <v>69</v>
      </c>
      <c r="D10" s="17" t="s">
        <v>55</v>
      </c>
    </row>
    <row r="11">
      <c r="A11" s="15" t="s">
        <v>70</v>
      </c>
      <c r="B11" s="16">
        <v>45294.0</v>
      </c>
      <c r="C11" s="15" t="s">
        <v>66</v>
      </c>
      <c r="D11" s="15" t="s">
        <v>61</v>
      </c>
    </row>
    <row r="12">
      <c r="A12" s="17" t="s">
        <v>71</v>
      </c>
      <c r="B12" s="18">
        <v>45295.0</v>
      </c>
      <c r="C12" s="17" t="s">
        <v>63</v>
      </c>
      <c r="D12" s="17" t="s">
        <v>67</v>
      </c>
    </row>
    <row r="13">
      <c r="A13" s="15" t="s">
        <v>72</v>
      </c>
      <c r="B13" s="16">
        <v>45300.0</v>
      </c>
      <c r="C13" s="15" t="s">
        <v>54</v>
      </c>
      <c r="D13" s="15" t="s">
        <v>67</v>
      </c>
    </row>
    <row r="14">
      <c r="A14" s="17" t="s">
        <v>73</v>
      </c>
      <c r="B14" s="18">
        <v>45300.0</v>
      </c>
      <c r="C14" s="17" t="s">
        <v>66</v>
      </c>
      <c r="D14" s="17" t="s">
        <v>58</v>
      </c>
    </row>
    <row r="15">
      <c r="A15" s="15" t="s">
        <v>74</v>
      </c>
      <c r="B15" s="16">
        <v>45300.0</v>
      </c>
      <c r="C15" s="15" t="s">
        <v>54</v>
      </c>
      <c r="D15" s="15" t="s">
        <v>67</v>
      </c>
    </row>
    <row r="16">
      <c r="A16" s="17" t="s">
        <v>75</v>
      </c>
      <c r="B16" s="18">
        <v>45304.0</v>
      </c>
      <c r="C16" s="17" t="s">
        <v>54</v>
      </c>
      <c r="D16" s="17" t="s">
        <v>55</v>
      </c>
    </row>
    <row r="17">
      <c r="A17" s="15" t="s">
        <v>76</v>
      </c>
      <c r="B17" s="16">
        <v>45305.0</v>
      </c>
      <c r="C17" s="15" t="s">
        <v>66</v>
      </c>
      <c r="D17" s="15" t="s">
        <v>58</v>
      </c>
    </row>
    <row r="18">
      <c r="A18" s="17" t="s">
        <v>77</v>
      </c>
      <c r="B18" s="18">
        <v>45306.0</v>
      </c>
      <c r="C18" s="17" t="s">
        <v>69</v>
      </c>
      <c r="D18" s="17" t="s">
        <v>55</v>
      </c>
    </row>
    <row r="19">
      <c r="A19" s="15" t="s">
        <v>78</v>
      </c>
      <c r="B19" s="16">
        <v>45306.0</v>
      </c>
      <c r="C19" s="15" t="s">
        <v>63</v>
      </c>
      <c r="D19" s="15" t="s">
        <v>61</v>
      </c>
    </row>
    <row r="20">
      <c r="A20" s="17" t="s">
        <v>79</v>
      </c>
      <c r="B20" s="18">
        <v>45309.0</v>
      </c>
      <c r="C20" s="17" t="s">
        <v>63</v>
      </c>
      <c r="D20" s="17" t="s">
        <v>67</v>
      </c>
    </row>
    <row r="21" ht="15.75" customHeight="1">
      <c r="A21" s="15" t="s">
        <v>80</v>
      </c>
      <c r="B21" s="16">
        <v>45310.0</v>
      </c>
      <c r="C21" s="15" t="s">
        <v>66</v>
      </c>
      <c r="D21" s="15" t="s">
        <v>55</v>
      </c>
    </row>
    <row r="22" ht="15.75" customHeight="1">
      <c r="A22" s="17" t="s">
        <v>81</v>
      </c>
      <c r="B22" s="18">
        <v>45310.0</v>
      </c>
      <c r="C22" s="17" t="s">
        <v>66</v>
      </c>
      <c r="D22" s="17" t="s">
        <v>55</v>
      </c>
    </row>
    <row r="23" ht="15.75" customHeight="1">
      <c r="A23" s="15" t="s">
        <v>82</v>
      </c>
      <c r="B23" s="16">
        <v>45312.0</v>
      </c>
      <c r="C23" s="15" t="s">
        <v>60</v>
      </c>
      <c r="D23" s="15" t="s">
        <v>58</v>
      </c>
    </row>
    <row r="24" ht="15.75" customHeight="1">
      <c r="A24" s="17" t="s">
        <v>83</v>
      </c>
      <c r="B24" s="18">
        <v>45312.0</v>
      </c>
      <c r="C24" s="17" t="s">
        <v>66</v>
      </c>
      <c r="D24" s="17" t="s">
        <v>61</v>
      </c>
    </row>
    <row r="25" ht="15.75" customHeight="1">
      <c r="A25" s="15" t="s">
        <v>84</v>
      </c>
      <c r="B25" s="16">
        <v>45313.0</v>
      </c>
      <c r="C25" s="15" t="s">
        <v>60</v>
      </c>
      <c r="D25" s="15" t="s">
        <v>67</v>
      </c>
    </row>
    <row r="26" ht="15.75" customHeight="1">
      <c r="A26" s="17" t="s">
        <v>85</v>
      </c>
      <c r="B26" s="18">
        <v>45316.0</v>
      </c>
      <c r="C26" s="17" t="s">
        <v>54</v>
      </c>
      <c r="D26" s="17" t="s">
        <v>55</v>
      </c>
    </row>
    <row r="27" ht="15.75" customHeight="1">
      <c r="A27" s="15" t="s">
        <v>86</v>
      </c>
      <c r="B27" s="16">
        <v>45318.0</v>
      </c>
      <c r="C27" s="15" t="s">
        <v>54</v>
      </c>
      <c r="D27" s="15" t="s">
        <v>55</v>
      </c>
    </row>
    <row r="28" ht="15.75" customHeight="1">
      <c r="A28" s="17" t="s">
        <v>87</v>
      </c>
      <c r="B28" s="18">
        <v>45319.0</v>
      </c>
      <c r="C28" s="17" t="s">
        <v>63</v>
      </c>
      <c r="D28" s="17" t="s">
        <v>58</v>
      </c>
    </row>
    <row r="29" ht="15.75" customHeight="1">
      <c r="A29" s="15" t="s">
        <v>88</v>
      </c>
      <c r="B29" s="16">
        <v>45320.0</v>
      </c>
      <c r="C29" s="15" t="s">
        <v>63</v>
      </c>
      <c r="D29" s="15" t="s">
        <v>58</v>
      </c>
    </row>
    <row r="30" ht="15.75" customHeight="1">
      <c r="A30" s="17" t="s">
        <v>89</v>
      </c>
      <c r="B30" s="18">
        <v>45323.0</v>
      </c>
      <c r="C30" s="17" t="s">
        <v>66</v>
      </c>
      <c r="D30" s="17" t="s">
        <v>67</v>
      </c>
    </row>
    <row r="31" ht="15.75" customHeight="1">
      <c r="A31" s="15" t="s">
        <v>90</v>
      </c>
      <c r="B31" s="16">
        <v>45324.0</v>
      </c>
      <c r="C31" s="15" t="s">
        <v>66</v>
      </c>
      <c r="D31" s="15" t="s">
        <v>55</v>
      </c>
    </row>
    <row r="32" ht="15.75" customHeight="1">
      <c r="A32" s="17" t="s">
        <v>91</v>
      </c>
      <c r="B32" s="18">
        <v>45328.0</v>
      </c>
      <c r="C32" s="17" t="s">
        <v>66</v>
      </c>
      <c r="D32" s="17" t="s">
        <v>61</v>
      </c>
    </row>
    <row r="33" ht="15.75" customHeight="1">
      <c r="A33" s="15" t="s">
        <v>92</v>
      </c>
      <c r="B33" s="16">
        <v>45329.0</v>
      </c>
      <c r="C33" s="15" t="s">
        <v>60</v>
      </c>
      <c r="D33" s="15" t="s">
        <v>55</v>
      </c>
    </row>
    <row r="34" ht="15.75" customHeight="1">
      <c r="A34" s="17" t="s">
        <v>93</v>
      </c>
      <c r="B34" s="18">
        <v>45329.0</v>
      </c>
      <c r="C34" s="17" t="s">
        <v>66</v>
      </c>
      <c r="D34" s="17" t="s">
        <v>58</v>
      </c>
    </row>
    <row r="35" ht="15.75" customHeight="1">
      <c r="A35" s="15" t="s">
        <v>94</v>
      </c>
      <c r="B35" s="16">
        <v>45330.0</v>
      </c>
      <c r="C35" s="15" t="s">
        <v>60</v>
      </c>
      <c r="D35" s="15" t="s">
        <v>67</v>
      </c>
    </row>
    <row r="36" ht="15.75" customHeight="1">
      <c r="A36" s="17" t="s">
        <v>95</v>
      </c>
      <c r="B36" s="18">
        <v>45332.0</v>
      </c>
      <c r="C36" s="17" t="s">
        <v>66</v>
      </c>
      <c r="D36" s="17" t="s">
        <v>58</v>
      </c>
    </row>
    <row r="37" ht="15.75" customHeight="1">
      <c r="A37" s="15" t="s">
        <v>96</v>
      </c>
      <c r="B37" s="16">
        <v>45333.0</v>
      </c>
      <c r="C37" s="15" t="s">
        <v>63</v>
      </c>
      <c r="D37" s="15" t="s">
        <v>67</v>
      </c>
    </row>
    <row r="38" ht="15.75" customHeight="1">
      <c r="A38" s="17" t="s">
        <v>97</v>
      </c>
      <c r="B38" s="18">
        <v>45334.0</v>
      </c>
      <c r="C38" s="17" t="s">
        <v>60</v>
      </c>
      <c r="D38" s="17" t="s">
        <v>55</v>
      </c>
    </row>
    <row r="39" ht="15.75" customHeight="1">
      <c r="A39" s="15" t="s">
        <v>98</v>
      </c>
      <c r="B39" s="16">
        <v>45334.0</v>
      </c>
      <c r="C39" s="15" t="s">
        <v>57</v>
      </c>
      <c r="D39" s="15" t="s">
        <v>61</v>
      </c>
    </row>
    <row r="40" ht="15.75" customHeight="1">
      <c r="A40" s="17" t="s">
        <v>99</v>
      </c>
      <c r="B40" s="18">
        <v>45335.0</v>
      </c>
      <c r="C40" s="17" t="s">
        <v>63</v>
      </c>
      <c r="D40" s="17" t="s">
        <v>58</v>
      </c>
    </row>
    <row r="41" ht="15.75" customHeight="1">
      <c r="A41" s="15" t="s">
        <v>100</v>
      </c>
      <c r="B41" s="16">
        <v>45338.0</v>
      </c>
      <c r="C41" s="15" t="s">
        <v>57</v>
      </c>
      <c r="D41" s="15" t="s">
        <v>55</v>
      </c>
    </row>
    <row r="42" ht="15.75" customHeight="1">
      <c r="A42" s="17" t="s">
        <v>101</v>
      </c>
      <c r="B42" s="18">
        <v>45338.0</v>
      </c>
      <c r="C42" s="17" t="s">
        <v>54</v>
      </c>
      <c r="D42" s="17" t="s">
        <v>58</v>
      </c>
    </row>
    <row r="43" ht="15.75" customHeight="1">
      <c r="A43" s="15" t="s">
        <v>102</v>
      </c>
      <c r="B43" s="16">
        <v>45341.0</v>
      </c>
      <c r="C43" s="15" t="s">
        <v>66</v>
      </c>
      <c r="D43" s="15" t="s">
        <v>55</v>
      </c>
    </row>
    <row r="44" ht="15.75" customHeight="1">
      <c r="A44" s="17" t="s">
        <v>103</v>
      </c>
      <c r="B44" s="18">
        <v>45343.0</v>
      </c>
      <c r="C44" s="17" t="s">
        <v>63</v>
      </c>
      <c r="D44" s="17" t="s">
        <v>61</v>
      </c>
    </row>
    <row r="45" ht="15.75" customHeight="1">
      <c r="A45" s="15" t="s">
        <v>104</v>
      </c>
      <c r="B45" s="16">
        <v>45345.0</v>
      </c>
      <c r="C45" s="15" t="s">
        <v>69</v>
      </c>
      <c r="D45" s="15" t="s">
        <v>64</v>
      </c>
    </row>
    <row r="46" ht="15.75" customHeight="1">
      <c r="A46" s="17" t="s">
        <v>105</v>
      </c>
      <c r="B46" s="18">
        <v>45347.0</v>
      </c>
      <c r="C46" s="17" t="s">
        <v>57</v>
      </c>
      <c r="D46" s="17" t="s">
        <v>55</v>
      </c>
    </row>
    <row r="47" ht="15.75" customHeight="1">
      <c r="A47" s="15" t="s">
        <v>106</v>
      </c>
      <c r="B47" s="16">
        <v>45348.0</v>
      </c>
      <c r="C47" s="15" t="s">
        <v>66</v>
      </c>
      <c r="D47" s="15" t="s">
        <v>61</v>
      </c>
    </row>
    <row r="48" ht="15.75" customHeight="1">
      <c r="A48" s="17" t="s">
        <v>107</v>
      </c>
      <c r="B48" s="18">
        <v>45348.0</v>
      </c>
      <c r="C48" s="17" t="s">
        <v>66</v>
      </c>
      <c r="D48" s="17" t="s">
        <v>64</v>
      </c>
    </row>
    <row r="49" ht="15.75" customHeight="1">
      <c r="A49" s="15" t="s">
        <v>108</v>
      </c>
      <c r="B49" s="16">
        <v>45349.0</v>
      </c>
      <c r="C49" s="15" t="s">
        <v>57</v>
      </c>
      <c r="D49" s="15" t="s">
        <v>67</v>
      </c>
    </row>
    <row r="50" ht="15.75" customHeight="1">
      <c r="A50" s="17" t="s">
        <v>109</v>
      </c>
      <c r="B50" s="18">
        <v>45349.0</v>
      </c>
      <c r="C50" s="17" t="s">
        <v>57</v>
      </c>
      <c r="D50" s="17" t="s">
        <v>64</v>
      </c>
    </row>
    <row r="51" ht="15.75" customHeight="1">
      <c r="A51" s="15" t="s">
        <v>110</v>
      </c>
      <c r="B51" s="16">
        <v>45349.0</v>
      </c>
      <c r="C51" s="15" t="s">
        <v>54</v>
      </c>
      <c r="D51" s="15" t="s">
        <v>58</v>
      </c>
    </row>
    <row r="52" ht="15.75" customHeight="1">
      <c r="A52" s="17" t="s">
        <v>111</v>
      </c>
      <c r="B52" s="18">
        <v>45349.0</v>
      </c>
      <c r="C52" s="17" t="s">
        <v>66</v>
      </c>
      <c r="D52" s="17" t="s">
        <v>67</v>
      </c>
    </row>
    <row r="53" ht="15.75" customHeight="1">
      <c r="A53" s="15" t="s">
        <v>112</v>
      </c>
      <c r="B53" s="16">
        <v>45350.0</v>
      </c>
      <c r="C53" s="15" t="s">
        <v>63</v>
      </c>
      <c r="D53" s="15" t="s">
        <v>55</v>
      </c>
    </row>
    <row r="54" ht="15.75" customHeight="1">
      <c r="A54" s="17" t="s">
        <v>113</v>
      </c>
      <c r="B54" s="18">
        <v>45350.0</v>
      </c>
      <c r="C54" s="17" t="s">
        <v>66</v>
      </c>
      <c r="D54" s="17" t="s">
        <v>61</v>
      </c>
    </row>
    <row r="55" ht="15.75" customHeight="1">
      <c r="A55" s="15" t="s">
        <v>114</v>
      </c>
      <c r="B55" s="16">
        <v>45350.0</v>
      </c>
      <c r="C55" s="15" t="s">
        <v>63</v>
      </c>
      <c r="D55" s="15" t="s">
        <v>67</v>
      </c>
    </row>
    <row r="56" ht="15.75" customHeight="1">
      <c r="A56" s="17" t="s">
        <v>115</v>
      </c>
      <c r="B56" s="18">
        <v>45351.0</v>
      </c>
      <c r="C56" s="17" t="s">
        <v>69</v>
      </c>
      <c r="D56" s="17" t="s">
        <v>64</v>
      </c>
    </row>
    <row r="57" ht="15.75" customHeight="1">
      <c r="A57" s="15" t="s">
        <v>116</v>
      </c>
      <c r="B57" s="16">
        <v>45353.0</v>
      </c>
      <c r="C57" s="15" t="s">
        <v>63</v>
      </c>
      <c r="D57" s="15" t="s">
        <v>58</v>
      </c>
    </row>
    <row r="58" ht="15.75" customHeight="1">
      <c r="A58" s="17" t="s">
        <v>117</v>
      </c>
      <c r="B58" s="18">
        <v>45354.0</v>
      </c>
      <c r="C58" s="17" t="s">
        <v>66</v>
      </c>
      <c r="D58" s="17" t="s">
        <v>61</v>
      </c>
    </row>
    <row r="59" ht="15.75" customHeight="1">
      <c r="A59" s="15" t="s">
        <v>118</v>
      </c>
      <c r="B59" s="16">
        <v>45355.0</v>
      </c>
      <c r="C59" s="15" t="s">
        <v>63</v>
      </c>
      <c r="D59" s="15" t="s">
        <v>64</v>
      </c>
    </row>
    <row r="60" ht="15.75" customHeight="1">
      <c r="A60" s="17" t="s">
        <v>119</v>
      </c>
      <c r="B60" s="18">
        <v>45356.0</v>
      </c>
      <c r="C60" s="17" t="s">
        <v>69</v>
      </c>
      <c r="D60" s="17" t="s">
        <v>55</v>
      </c>
    </row>
    <row r="61" ht="15.75" customHeight="1">
      <c r="A61" s="15" t="s">
        <v>120</v>
      </c>
      <c r="B61" s="16">
        <v>45357.0</v>
      </c>
      <c r="C61" s="15" t="s">
        <v>69</v>
      </c>
      <c r="D61" s="15" t="s">
        <v>67</v>
      </c>
    </row>
    <row r="62" ht="15.75" customHeight="1">
      <c r="A62" s="17" t="s">
        <v>121</v>
      </c>
      <c r="B62" s="18">
        <v>45359.0</v>
      </c>
      <c r="C62" s="17" t="s">
        <v>63</v>
      </c>
      <c r="D62" s="17" t="s">
        <v>64</v>
      </c>
    </row>
    <row r="63" ht="15.75" customHeight="1">
      <c r="A63" s="15" t="s">
        <v>122</v>
      </c>
      <c r="B63" s="16">
        <v>45359.0</v>
      </c>
      <c r="C63" s="15" t="s">
        <v>57</v>
      </c>
      <c r="D63" s="15" t="s">
        <v>55</v>
      </c>
    </row>
    <row r="64" ht="15.75" customHeight="1">
      <c r="A64" s="17" t="s">
        <v>123</v>
      </c>
      <c r="B64" s="18">
        <v>45360.0</v>
      </c>
      <c r="C64" s="17" t="s">
        <v>54</v>
      </c>
      <c r="D64" s="17" t="s">
        <v>58</v>
      </c>
    </row>
    <row r="65" ht="15.75" customHeight="1">
      <c r="A65" s="15" t="s">
        <v>124</v>
      </c>
      <c r="B65" s="16">
        <v>45362.0</v>
      </c>
      <c r="C65" s="15" t="s">
        <v>54</v>
      </c>
      <c r="D65" s="15" t="s">
        <v>55</v>
      </c>
    </row>
    <row r="66" ht="15.75" customHeight="1">
      <c r="A66" s="17" t="s">
        <v>125</v>
      </c>
      <c r="B66" s="18">
        <v>45363.0</v>
      </c>
      <c r="C66" s="17" t="s">
        <v>60</v>
      </c>
      <c r="D66" s="17" t="s">
        <v>55</v>
      </c>
    </row>
    <row r="67" ht="15.75" customHeight="1">
      <c r="A67" s="15" t="s">
        <v>126</v>
      </c>
      <c r="B67" s="16">
        <v>45364.0</v>
      </c>
      <c r="C67" s="15" t="s">
        <v>54</v>
      </c>
      <c r="D67" s="15" t="s">
        <v>58</v>
      </c>
    </row>
    <row r="68" ht="15.75" customHeight="1">
      <c r="A68" s="17" t="s">
        <v>127</v>
      </c>
      <c r="B68" s="18">
        <v>45364.0</v>
      </c>
      <c r="C68" s="17" t="s">
        <v>54</v>
      </c>
      <c r="D68" s="17" t="s">
        <v>67</v>
      </c>
    </row>
    <row r="69" ht="15.75" customHeight="1">
      <c r="A69" s="15" t="s">
        <v>128</v>
      </c>
      <c r="B69" s="16">
        <v>45364.0</v>
      </c>
      <c r="C69" s="15" t="s">
        <v>66</v>
      </c>
      <c r="D69" s="15" t="s">
        <v>55</v>
      </c>
    </row>
    <row r="70" ht="15.75" customHeight="1">
      <c r="A70" s="17" t="s">
        <v>129</v>
      </c>
      <c r="B70" s="18">
        <v>45366.0</v>
      </c>
      <c r="C70" s="17" t="s">
        <v>66</v>
      </c>
      <c r="D70" s="17" t="s">
        <v>61</v>
      </c>
    </row>
    <row r="71" ht="15.75" customHeight="1">
      <c r="A71" s="15" t="s">
        <v>130</v>
      </c>
      <c r="B71" s="16">
        <v>45367.0</v>
      </c>
      <c r="C71" s="15" t="s">
        <v>66</v>
      </c>
      <c r="D71" s="15" t="s">
        <v>55</v>
      </c>
    </row>
    <row r="72" ht="15.75" customHeight="1">
      <c r="A72" s="17" t="s">
        <v>131</v>
      </c>
      <c r="B72" s="18">
        <v>45368.0</v>
      </c>
      <c r="C72" s="17" t="s">
        <v>57</v>
      </c>
      <c r="D72" s="17" t="s">
        <v>58</v>
      </c>
    </row>
    <row r="73" ht="15.75" customHeight="1">
      <c r="A73" s="15" t="s">
        <v>132</v>
      </c>
      <c r="B73" s="16">
        <v>45368.0</v>
      </c>
      <c r="C73" s="15" t="s">
        <v>54</v>
      </c>
      <c r="D73" s="15" t="s">
        <v>55</v>
      </c>
    </row>
    <row r="74" ht="15.75" customHeight="1">
      <c r="A74" s="17" t="s">
        <v>133</v>
      </c>
      <c r="B74" s="18">
        <v>45369.0</v>
      </c>
      <c r="C74" s="17" t="s">
        <v>66</v>
      </c>
      <c r="D74" s="17" t="s">
        <v>58</v>
      </c>
    </row>
    <row r="75" ht="15.75" customHeight="1">
      <c r="A75" s="15" t="s">
        <v>134</v>
      </c>
      <c r="B75" s="16">
        <v>45370.0</v>
      </c>
      <c r="C75" s="15" t="s">
        <v>57</v>
      </c>
      <c r="D75" s="15" t="s">
        <v>67</v>
      </c>
    </row>
    <row r="76" ht="15.75" customHeight="1">
      <c r="A76" s="17" t="s">
        <v>135</v>
      </c>
      <c r="B76" s="18">
        <v>45371.0</v>
      </c>
      <c r="C76" s="17" t="s">
        <v>66</v>
      </c>
      <c r="D76" s="17" t="s">
        <v>55</v>
      </c>
    </row>
    <row r="77" ht="15.75" customHeight="1">
      <c r="A77" s="15" t="s">
        <v>136</v>
      </c>
      <c r="B77" s="16">
        <v>45372.0</v>
      </c>
      <c r="C77" s="15" t="s">
        <v>63</v>
      </c>
      <c r="D77" s="15" t="s">
        <v>67</v>
      </c>
    </row>
    <row r="78" ht="15.75" customHeight="1">
      <c r="A78" s="17" t="s">
        <v>137</v>
      </c>
      <c r="B78" s="18">
        <v>45372.0</v>
      </c>
      <c r="C78" s="17" t="s">
        <v>57</v>
      </c>
      <c r="D78" s="17" t="s">
        <v>61</v>
      </c>
    </row>
    <row r="79" ht="15.75" customHeight="1">
      <c r="A79" s="15" t="s">
        <v>138</v>
      </c>
      <c r="B79" s="16">
        <v>45372.0</v>
      </c>
      <c r="C79" s="15" t="s">
        <v>54</v>
      </c>
      <c r="D79" s="15" t="s">
        <v>67</v>
      </c>
    </row>
    <row r="80" ht="15.75" customHeight="1">
      <c r="A80" s="17" t="s">
        <v>139</v>
      </c>
      <c r="B80" s="18">
        <v>45373.0</v>
      </c>
      <c r="C80" s="17" t="s">
        <v>54</v>
      </c>
      <c r="D80" s="17" t="s">
        <v>58</v>
      </c>
    </row>
    <row r="81" ht="15.75" customHeight="1">
      <c r="A81" s="15" t="s">
        <v>140</v>
      </c>
      <c r="B81" s="16">
        <v>45373.0</v>
      </c>
      <c r="C81" s="15" t="s">
        <v>66</v>
      </c>
      <c r="D81" s="15" t="s">
        <v>64</v>
      </c>
    </row>
    <row r="82" ht="15.75" customHeight="1">
      <c r="A82" s="17" t="s">
        <v>141</v>
      </c>
      <c r="B82" s="18">
        <v>45375.0</v>
      </c>
      <c r="C82" s="17" t="s">
        <v>63</v>
      </c>
      <c r="D82" s="17" t="s">
        <v>64</v>
      </c>
    </row>
    <row r="83" ht="15.75" customHeight="1">
      <c r="A83" s="15" t="s">
        <v>142</v>
      </c>
      <c r="B83" s="16">
        <v>45376.0</v>
      </c>
      <c r="C83" s="15" t="s">
        <v>60</v>
      </c>
      <c r="D83" s="15" t="s">
        <v>67</v>
      </c>
    </row>
    <row r="84" ht="15.75" customHeight="1">
      <c r="A84" s="17" t="s">
        <v>143</v>
      </c>
      <c r="B84" s="18">
        <v>45377.0</v>
      </c>
      <c r="C84" s="17" t="s">
        <v>57</v>
      </c>
      <c r="D84" s="17" t="s">
        <v>61</v>
      </c>
    </row>
    <row r="85" ht="15.75" customHeight="1">
      <c r="A85" s="15" t="s">
        <v>144</v>
      </c>
      <c r="B85" s="16">
        <v>45379.0</v>
      </c>
      <c r="C85" s="15" t="s">
        <v>66</v>
      </c>
      <c r="D85" s="15" t="s">
        <v>64</v>
      </c>
    </row>
    <row r="86" ht="15.75" customHeight="1">
      <c r="A86" s="17" t="s">
        <v>145</v>
      </c>
      <c r="B86" s="18">
        <v>45379.0</v>
      </c>
      <c r="C86" s="17" t="s">
        <v>60</v>
      </c>
      <c r="D86" s="17" t="s">
        <v>61</v>
      </c>
    </row>
    <row r="87" ht="15.75" customHeight="1">
      <c r="A87" s="15" t="s">
        <v>146</v>
      </c>
      <c r="B87" s="16">
        <v>45382.0</v>
      </c>
      <c r="C87" s="15" t="s">
        <v>66</v>
      </c>
      <c r="D87" s="15" t="s">
        <v>55</v>
      </c>
    </row>
    <row r="88" ht="15.75" customHeight="1">
      <c r="A88" s="17" t="s">
        <v>147</v>
      </c>
      <c r="B88" s="18">
        <v>45382.0</v>
      </c>
      <c r="C88" s="17" t="s">
        <v>63</v>
      </c>
      <c r="D88" s="17" t="s">
        <v>58</v>
      </c>
    </row>
    <row r="89" ht="15.75" customHeight="1">
      <c r="A89" s="15" t="s">
        <v>148</v>
      </c>
      <c r="B89" s="16">
        <v>45385.0</v>
      </c>
      <c r="C89" s="15" t="s">
        <v>54</v>
      </c>
      <c r="D89" s="15" t="s">
        <v>67</v>
      </c>
    </row>
    <row r="90" ht="15.75" customHeight="1">
      <c r="A90" s="17" t="s">
        <v>149</v>
      </c>
      <c r="B90" s="18">
        <v>45386.0</v>
      </c>
      <c r="C90" s="17" t="s">
        <v>66</v>
      </c>
      <c r="D90" s="17" t="s">
        <v>61</v>
      </c>
    </row>
    <row r="91" ht="15.75" customHeight="1">
      <c r="A91" s="15" t="s">
        <v>150</v>
      </c>
      <c r="B91" s="16">
        <v>45387.0</v>
      </c>
      <c r="C91" s="15" t="s">
        <v>66</v>
      </c>
      <c r="D91" s="15" t="s">
        <v>58</v>
      </c>
    </row>
    <row r="92" ht="15.75" customHeight="1">
      <c r="A92" s="17" t="s">
        <v>151</v>
      </c>
      <c r="B92" s="18">
        <v>45388.0</v>
      </c>
      <c r="C92" s="17" t="s">
        <v>66</v>
      </c>
      <c r="D92" s="17" t="s">
        <v>55</v>
      </c>
    </row>
    <row r="93" ht="15.75" customHeight="1">
      <c r="A93" s="15" t="s">
        <v>152</v>
      </c>
      <c r="B93" s="16">
        <v>45388.0</v>
      </c>
      <c r="C93" s="15" t="s">
        <v>60</v>
      </c>
      <c r="D93" s="15" t="s">
        <v>61</v>
      </c>
    </row>
    <row r="94" ht="15.75" customHeight="1">
      <c r="A94" s="17" t="s">
        <v>153</v>
      </c>
      <c r="B94" s="18">
        <v>45388.0</v>
      </c>
      <c r="C94" s="17" t="s">
        <v>66</v>
      </c>
      <c r="D94" s="17" t="s">
        <v>58</v>
      </c>
    </row>
    <row r="95" ht="15.75" customHeight="1">
      <c r="A95" s="15" t="s">
        <v>154</v>
      </c>
      <c r="B95" s="16">
        <v>45389.0</v>
      </c>
      <c r="C95" s="15" t="s">
        <v>57</v>
      </c>
      <c r="D95" s="15" t="s">
        <v>55</v>
      </c>
    </row>
    <row r="96" ht="15.75" customHeight="1">
      <c r="A96" s="17" t="s">
        <v>155</v>
      </c>
      <c r="B96" s="18">
        <v>45390.0</v>
      </c>
      <c r="C96" s="17" t="s">
        <v>54</v>
      </c>
      <c r="D96" s="17" t="s">
        <v>55</v>
      </c>
    </row>
    <row r="97" ht="15.75" customHeight="1">
      <c r="A97" s="15" t="s">
        <v>156</v>
      </c>
      <c r="B97" s="16">
        <v>45391.0</v>
      </c>
      <c r="C97" s="15" t="s">
        <v>63</v>
      </c>
      <c r="D97" s="15" t="s">
        <v>64</v>
      </c>
    </row>
    <row r="98" ht="15.75" customHeight="1">
      <c r="A98" s="17" t="s">
        <v>157</v>
      </c>
      <c r="B98" s="18">
        <v>45392.0</v>
      </c>
      <c r="C98" s="17" t="s">
        <v>54</v>
      </c>
      <c r="D98" s="17" t="s">
        <v>55</v>
      </c>
    </row>
    <row r="99" ht="15.75" customHeight="1">
      <c r="A99" s="15" t="s">
        <v>158</v>
      </c>
      <c r="B99" s="16">
        <v>45394.0</v>
      </c>
      <c r="C99" s="15" t="s">
        <v>69</v>
      </c>
      <c r="D99" s="15" t="s">
        <v>55</v>
      </c>
    </row>
    <row r="100" ht="15.75" customHeight="1">
      <c r="A100" s="17" t="s">
        <v>159</v>
      </c>
      <c r="B100" s="18">
        <v>45395.0</v>
      </c>
      <c r="C100" s="17" t="s">
        <v>54</v>
      </c>
      <c r="D100" s="17" t="s">
        <v>67</v>
      </c>
    </row>
    <row r="101" ht="15.75" customHeight="1">
      <c r="A101" s="15" t="s">
        <v>160</v>
      </c>
      <c r="B101" s="16">
        <v>45395.0</v>
      </c>
      <c r="C101" s="15" t="s">
        <v>60</v>
      </c>
      <c r="D101" s="15" t="s">
        <v>55</v>
      </c>
    </row>
    <row r="102" ht="15.75" customHeight="1">
      <c r="A102" s="17" t="s">
        <v>161</v>
      </c>
      <c r="B102" s="18">
        <v>45396.0</v>
      </c>
      <c r="C102" s="17" t="s">
        <v>60</v>
      </c>
      <c r="D102" s="17" t="s">
        <v>61</v>
      </c>
    </row>
    <row r="103" ht="15.75" customHeight="1">
      <c r="A103" s="15" t="s">
        <v>162</v>
      </c>
      <c r="B103" s="16">
        <v>45396.0</v>
      </c>
      <c r="C103" s="15" t="s">
        <v>66</v>
      </c>
      <c r="D103" s="15" t="s">
        <v>64</v>
      </c>
    </row>
    <row r="104" ht="15.75" customHeight="1">
      <c r="A104" s="17" t="s">
        <v>163</v>
      </c>
      <c r="B104" s="18">
        <v>45397.0</v>
      </c>
      <c r="C104" s="17" t="s">
        <v>66</v>
      </c>
      <c r="D104" s="17" t="s">
        <v>55</v>
      </c>
    </row>
    <row r="105" ht="15.75" customHeight="1">
      <c r="A105" s="15" t="s">
        <v>164</v>
      </c>
      <c r="B105" s="16">
        <v>45397.0</v>
      </c>
      <c r="C105" s="15" t="s">
        <v>54</v>
      </c>
      <c r="D105" s="15" t="s">
        <v>58</v>
      </c>
    </row>
    <row r="106" ht="15.75" customHeight="1">
      <c r="A106" s="17" t="s">
        <v>165</v>
      </c>
      <c r="B106" s="18">
        <v>45398.0</v>
      </c>
      <c r="C106" s="17" t="s">
        <v>63</v>
      </c>
      <c r="D106" s="17" t="s">
        <v>55</v>
      </c>
    </row>
    <row r="107" ht="15.75" customHeight="1">
      <c r="A107" s="15" t="s">
        <v>166</v>
      </c>
      <c r="B107" s="16">
        <v>45401.0</v>
      </c>
      <c r="C107" s="15" t="s">
        <v>54</v>
      </c>
      <c r="D107" s="15" t="s">
        <v>61</v>
      </c>
    </row>
    <row r="108" ht="15.75" customHeight="1">
      <c r="A108" s="17" t="s">
        <v>167</v>
      </c>
      <c r="B108" s="18">
        <v>45401.0</v>
      </c>
      <c r="C108" s="17" t="s">
        <v>69</v>
      </c>
      <c r="D108" s="17" t="s">
        <v>61</v>
      </c>
    </row>
    <row r="109" ht="15.75" customHeight="1">
      <c r="A109" s="15" t="s">
        <v>168</v>
      </c>
      <c r="B109" s="16">
        <v>45401.0</v>
      </c>
      <c r="C109" s="15" t="s">
        <v>66</v>
      </c>
      <c r="D109" s="15" t="s">
        <v>58</v>
      </c>
    </row>
    <row r="110" ht="15.75" customHeight="1">
      <c r="A110" s="17" t="s">
        <v>169</v>
      </c>
      <c r="B110" s="18">
        <v>45402.0</v>
      </c>
      <c r="C110" s="17" t="s">
        <v>54</v>
      </c>
      <c r="D110" s="17" t="s">
        <v>58</v>
      </c>
    </row>
    <row r="111" ht="15.75" customHeight="1">
      <c r="A111" s="15" t="s">
        <v>170</v>
      </c>
      <c r="B111" s="16">
        <v>45403.0</v>
      </c>
      <c r="C111" s="15" t="s">
        <v>63</v>
      </c>
      <c r="D111" s="15" t="s">
        <v>58</v>
      </c>
    </row>
    <row r="112" ht="15.75" customHeight="1">
      <c r="A112" s="17" t="s">
        <v>171</v>
      </c>
      <c r="B112" s="18">
        <v>45403.0</v>
      </c>
      <c r="C112" s="17" t="s">
        <v>66</v>
      </c>
      <c r="D112" s="17" t="s">
        <v>55</v>
      </c>
    </row>
    <row r="113" ht="15.75" customHeight="1">
      <c r="A113" s="15" t="s">
        <v>172</v>
      </c>
      <c r="B113" s="16">
        <v>45404.0</v>
      </c>
      <c r="C113" s="15" t="s">
        <v>66</v>
      </c>
      <c r="D113" s="15" t="s">
        <v>58</v>
      </c>
    </row>
    <row r="114" ht="15.75" customHeight="1">
      <c r="A114" s="17" t="s">
        <v>173</v>
      </c>
      <c r="B114" s="18">
        <v>45406.0</v>
      </c>
      <c r="C114" s="17" t="s">
        <v>66</v>
      </c>
      <c r="D114" s="17" t="s">
        <v>58</v>
      </c>
    </row>
    <row r="115" ht="15.75" customHeight="1">
      <c r="A115" s="15" t="s">
        <v>174</v>
      </c>
      <c r="B115" s="16">
        <v>45406.0</v>
      </c>
      <c r="C115" s="15" t="s">
        <v>63</v>
      </c>
      <c r="D115" s="15" t="s">
        <v>55</v>
      </c>
    </row>
    <row r="116" ht="15.75" customHeight="1">
      <c r="A116" s="17" t="s">
        <v>175</v>
      </c>
      <c r="B116" s="18">
        <v>45407.0</v>
      </c>
      <c r="C116" s="17" t="s">
        <v>66</v>
      </c>
      <c r="D116" s="17" t="s">
        <v>67</v>
      </c>
    </row>
    <row r="117" ht="15.75" customHeight="1">
      <c r="A117" s="15" t="s">
        <v>176</v>
      </c>
      <c r="B117" s="16">
        <v>45408.0</v>
      </c>
      <c r="C117" s="15" t="s">
        <v>63</v>
      </c>
      <c r="D117" s="15" t="s">
        <v>55</v>
      </c>
    </row>
    <row r="118" ht="15.75" customHeight="1">
      <c r="A118" s="17" t="s">
        <v>177</v>
      </c>
      <c r="B118" s="18">
        <v>45408.0</v>
      </c>
      <c r="C118" s="17" t="s">
        <v>54</v>
      </c>
      <c r="D118" s="17" t="s">
        <v>61</v>
      </c>
    </row>
    <row r="119" ht="15.75" customHeight="1">
      <c r="A119" s="15" t="s">
        <v>178</v>
      </c>
      <c r="B119" s="16">
        <v>45408.0</v>
      </c>
      <c r="C119" s="15" t="s">
        <v>66</v>
      </c>
      <c r="D119" s="15" t="s">
        <v>55</v>
      </c>
    </row>
    <row r="120" ht="15.75" customHeight="1">
      <c r="A120" s="17" t="s">
        <v>179</v>
      </c>
      <c r="B120" s="18">
        <v>45408.0</v>
      </c>
      <c r="C120" s="17" t="s">
        <v>54</v>
      </c>
      <c r="D120" s="17" t="s">
        <v>64</v>
      </c>
    </row>
    <row r="121" ht="15.75" customHeight="1">
      <c r="A121" s="15" t="s">
        <v>180</v>
      </c>
      <c r="B121" s="16">
        <v>45409.0</v>
      </c>
      <c r="C121" s="15" t="s">
        <v>60</v>
      </c>
      <c r="D121" s="15" t="s">
        <v>55</v>
      </c>
    </row>
    <row r="122" ht="15.75" customHeight="1">
      <c r="A122" s="17" t="s">
        <v>181</v>
      </c>
      <c r="B122" s="18">
        <v>45410.0</v>
      </c>
      <c r="C122" s="17" t="s">
        <v>54</v>
      </c>
      <c r="D122" s="17" t="s">
        <v>67</v>
      </c>
    </row>
    <row r="123" ht="15.75" customHeight="1">
      <c r="A123" s="15" t="s">
        <v>182</v>
      </c>
      <c r="B123" s="16">
        <v>45411.0</v>
      </c>
      <c r="C123" s="15" t="s">
        <v>57</v>
      </c>
      <c r="D123" s="15" t="s">
        <v>67</v>
      </c>
    </row>
    <row r="124" ht="15.75" customHeight="1">
      <c r="A124" s="17" t="s">
        <v>183</v>
      </c>
      <c r="B124" s="18">
        <v>45412.0</v>
      </c>
      <c r="C124" s="17" t="s">
        <v>66</v>
      </c>
      <c r="D124" s="17" t="s">
        <v>61</v>
      </c>
    </row>
    <row r="125" ht="15.75" customHeight="1">
      <c r="A125" s="15" t="s">
        <v>184</v>
      </c>
      <c r="B125" s="16">
        <v>45413.0</v>
      </c>
      <c r="C125" s="15" t="s">
        <v>66</v>
      </c>
      <c r="D125" s="15" t="s">
        <v>55</v>
      </c>
    </row>
    <row r="126" ht="15.75" customHeight="1">
      <c r="A126" s="17" t="s">
        <v>185</v>
      </c>
      <c r="B126" s="18">
        <v>45413.0</v>
      </c>
      <c r="C126" s="17" t="s">
        <v>66</v>
      </c>
      <c r="D126" s="17" t="s">
        <v>61</v>
      </c>
    </row>
    <row r="127" ht="15.75" customHeight="1">
      <c r="A127" s="15" t="s">
        <v>186</v>
      </c>
      <c r="B127" s="16">
        <v>45415.0</v>
      </c>
      <c r="C127" s="15" t="s">
        <v>63</v>
      </c>
      <c r="D127" s="15" t="s">
        <v>61</v>
      </c>
    </row>
    <row r="128" ht="15.75" customHeight="1">
      <c r="A128" s="17" t="s">
        <v>187</v>
      </c>
      <c r="B128" s="18">
        <v>45415.0</v>
      </c>
      <c r="C128" s="17" t="s">
        <v>54</v>
      </c>
      <c r="D128" s="17" t="s">
        <v>55</v>
      </c>
    </row>
    <row r="129" ht="15.75" customHeight="1">
      <c r="A129" s="15" t="s">
        <v>188</v>
      </c>
      <c r="B129" s="16">
        <v>45417.0</v>
      </c>
      <c r="C129" s="15" t="s">
        <v>60</v>
      </c>
      <c r="D129" s="15" t="s">
        <v>58</v>
      </c>
    </row>
    <row r="130" ht="15.75" customHeight="1">
      <c r="A130" s="17" t="s">
        <v>189</v>
      </c>
      <c r="B130" s="18">
        <v>45418.0</v>
      </c>
      <c r="C130" s="17" t="s">
        <v>63</v>
      </c>
      <c r="D130" s="17" t="s">
        <v>55</v>
      </c>
    </row>
    <row r="131" ht="15.75" customHeight="1">
      <c r="A131" s="15" t="s">
        <v>190</v>
      </c>
      <c r="B131" s="16">
        <v>45419.0</v>
      </c>
      <c r="C131" s="15" t="s">
        <v>66</v>
      </c>
      <c r="D131" s="15" t="s">
        <v>61</v>
      </c>
    </row>
    <row r="132" ht="15.75" customHeight="1">
      <c r="A132" s="17" t="s">
        <v>191</v>
      </c>
      <c r="B132" s="18">
        <v>45420.0</v>
      </c>
      <c r="C132" s="17" t="s">
        <v>66</v>
      </c>
      <c r="D132" s="17" t="s">
        <v>55</v>
      </c>
    </row>
    <row r="133" ht="15.75" customHeight="1">
      <c r="A133" s="15" t="s">
        <v>192</v>
      </c>
      <c r="B133" s="16">
        <v>45422.0</v>
      </c>
      <c r="C133" s="15" t="s">
        <v>63</v>
      </c>
      <c r="D133" s="15" t="s">
        <v>67</v>
      </c>
    </row>
    <row r="134" ht="15.75" customHeight="1">
      <c r="A134" s="17" t="s">
        <v>193</v>
      </c>
      <c r="B134" s="18">
        <v>45422.0</v>
      </c>
      <c r="C134" s="17" t="s">
        <v>60</v>
      </c>
      <c r="D134" s="17" t="s">
        <v>67</v>
      </c>
    </row>
    <row r="135" ht="15.75" customHeight="1">
      <c r="A135" s="15" t="s">
        <v>194</v>
      </c>
      <c r="B135" s="16">
        <v>45425.0</v>
      </c>
      <c r="C135" s="15" t="s">
        <v>54</v>
      </c>
      <c r="D135" s="15" t="s">
        <v>55</v>
      </c>
    </row>
    <row r="136" ht="15.75" customHeight="1">
      <c r="A136" s="17" t="s">
        <v>195</v>
      </c>
      <c r="B136" s="18">
        <v>45425.0</v>
      </c>
      <c r="C136" s="17" t="s">
        <v>66</v>
      </c>
      <c r="D136" s="17" t="s">
        <v>67</v>
      </c>
    </row>
    <row r="137" ht="15.75" customHeight="1">
      <c r="A137" s="15" t="s">
        <v>196</v>
      </c>
      <c r="B137" s="16">
        <v>45425.0</v>
      </c>
      <c r="C137" s="15" t="s">
        <v>60</v>
      </c>
      <c r="D137" s="15" t="s">
        <v>55</v>
      </c>
    </row>
    <row r="138" ht="15.75" customHeight="1">
      <c r="A138" s="17" t="s">
        <v>197</v>
      </c>
      <c r="B138" s="18">
        <v>45426.0</v>
      </c>
      <c r="C138" s="17" t="s">
        <v>66</v>
      </c>
      <c r="D138" s="17" t="s">
        <v>58</v>
      </c>
    </row>
    <row r="139" ht="15.75" customHeight="1">
      <c r="A139" s="15" t="s">
        <v>198</v>
      </c>
      <c r="B139" s="16">
        <v>45427.0</v>
      </c>
      <c r="C139" s="15" t="s">
        <v>66</v>
      </c>
      <c r="D139" s="15" t="s">
        <v>67</v>
      </c>
    </row>
    <row r="140" ht="15.75" customHeight="1">
      <c r="A140" s="17" t="s">
        <v>199</v>
      </c>
      <c r="B140" s="18">
        <v>45428.0</v>
      </c>
      <c r="C140" s="17" t="s">
        <v>54</v>
      </c>
      <c r="D140" s="17" t="s">
        <v>58</v>
      </c>
    </row>
    <row r="141" ht="15.75" customHeight="1">
      <c r="A141" s="15" t="s">
        <v>200</v>
      </c>
      <c r="B141" s="16">
        <v>45428.0</v>
      </c>
      <c r="C141" s="15" t="s">
        <v>63</v>
      </c>
      <c r="D141" s="15" t="s">
        <v>58</v>
      </c>
    </row>
    <row r="142" ht="15.75" customHeight="1">
      <c r="A142" s="17" t="s">
        <v>201</v>
      </c>
      <c r="B142" s="18">
        <v>45429.0</v>
      </c>
      <c r="C142" s="17" t="s">
        <v>63</v>
      </c>
      <c r="D142" s="17" t="s">
        <v>64</v>
      </c>
    </row>
    <row r="143" ht="15.75" customHeight="1">
      <c r="A143" s="15" t="s">
        <v>202</v>
      </c>
      <c r="B143" s="16">
        <v>45429.0</v>
      </c>
      <c r="C143" s="15" t="s">
        <v>66</v>
      </c>
      <c r="D143" s="15" t="s">
        <v>64</v>
      </c>
    </row>
    <row r="144" ht="15.75" customHeight="1">
      <c r="A144" s="17" t="s">
        <v>203</v>
      </c>
      <c r="B144" s="18">
        <v>45430.0</v>
      </c>
      <c r="C144" s="17" t="s">
        <v>60</v>
      </c>
      <c r="D144" s="17" t="s">
        <v>55</v>
      </c>
    </row>
    <row r="145" ht="15.75" customHeight="1">
      <c r="A145" s="15" t="s">
        <v>204</v>
      </c>
      <c r="B145" s="16">
        <v>45430.0</v>
      </c>
      <c r="C145" s="15" t="s">
        <v>54</v>
      </c>
      <c r="D145" s="15" t="s">
        <v>55</v>
      </c>
    </row>
    <row r="146" ht="15.75" customHeight="1">
      <c r="A146" s="17" t="s">
        <v>205</v>
      </c>
      <c r="B146" s="18">
        <v>45430.0</v>
      </c>
      <c r="C146" s="17" t="s">
        <v>66</v>
      </c>
      <c r="D146" s="17" t="s">
        <v>64</v>
      </c>
    </row>
    <row r="147" ht="15.75" customHeight="1">
      <c r="A147" s="15" t="s">
        <v>206</v>
      </c>
      <c r="B147" s="16">
        <v>45430.0</v>
      </c>
      <c r="C147" s="15" t="s">
        <v>66</v>
      </c>
      <c r="D147" s="15" t="s">
        <v>67</v>
      </c>
    </row>
    <row r="148" ht="15.75" customHeight="1">
      <c r="A148" s="17" t="s">
        <v>207</v>
      </c>
      <c r="B148" s="18">
        <v>45431.0</v>
      </c>
      <c r="C148" s="17" t="s">
        <v>54</v>
      </c>
      <c r="D148" s="17" t="s">
        <v>55</v>
      </c>
    </row>
    <row r="149" ht="15.75" customHeight="1">
      <c r="A149" s="15" t="s">
        <v>208</v>
      </c>
      <c r="B149" s="16">
        <v>45431.0</v>
      </c>
      <c r="C149" s="15" t="s">
        <v>66</v>
      </c>
      <c r="D149" s="15" t="s">
        <v>61</v>
      </c>
    </row>
    <row r="150" ht="15.75" customHeight="1">
      <c r="A150" s="17" t="s">
        <v>209</v>
      </c>
      <c r="B150" s="18">
        <v>45434.0</v>
      </c>
      <c r="C150" s="17" t="s">
        <v>66</v>
      </c>
      <c r="D150" s="17" t="s">
        <v>61</v>
      </c>
    </row>
    <row r="151" ht="15.75" customHeight="1">
      <c r="A151" s="15" t="s">
        <v>210</v>
      </c>
      <c r="B151" s="16">
        <v>45434.0</v>
      </c>
      <c r="C151" s="15" t="s">
        <v>66</v>
      </c>
      <c r="D151" s="15" t="s">
        <v>55</v>
      </c>
    </row>
    <row r="152" ht="15.75" customHeight="1">
      <c r="A152" s="17" t="s">
        <v>211</v>
      </c>
      <c r="B152" s="18">
        <v>45435.0</v>
      </c>
      <c r="C152" s="17" t="s">
        <v>54</v>
      </c>
      <c r="D152" s="17" t="s">
        <v>61</v>
      </c>
    </row>
    <row r="153" ht="15.75" customHeight="1">
      <c r="A153" s="15" t="s">
        <v>212</v>
      </c>
      <c r="B153" s="16">
        <v>45439.0</v>
      </c>
      <c r="C153" s="15" t="s">
        <v>63</v>
      </c>
      <c r="D153" s="15" t="s">
        <v>55</v>
      </c>
    </row>
    <row r="154" ht="15.75" customHeight="1">
      <c r="A154" s="17" t="s">
        <v>213</v>
      </c>
      <c r="B154" s="18">
        <v>45441.0</v>
      </c>
      <c r="C154" s="17" t="s">
        <v>69</v>
      </c>
      <c r="D154" s="17" t="s">
        <v>55</v>
      </c>
    </row>
    <row r="155" ht="15.75" customHeight="1">
      <c r="A155" s="15" t="s">
        <v>214</v>
      </c>
      <c r="B155" s="16">
        <v>45441.0</v>
      </c>
      <c r="C155" s="15" t="s">
        <v>66</v>
      </c>
      <c r="D155" s="15" t="s">
        <v>67</v>
      </c>
    </row>
    <row r="156" ht="15.75" customHeight="1">
      <c r="A156" s="17" t="s">
        <v>215</v>
      </c>
      <c r="B156" s="18">
        <v>45443.0</v>
      </c>
      <c r="C156" s="17" t="s">
        <v>66</v>
      </c>
      <c r="D156" s="17" t="s">
        <v>67</v>
      </c>
    </row>
    <row r="157" ht="15.75" customHeight="1">
      <c r="A157" s="15" t="s">
        <v>216</v>
      </c>
      <c r="B157" s="16">
        <v>45445.0</v>
      </c>
      <c r="C157" s="15" t="s">
        <v>60</v>
      </c>
      <c r="D157" s="15" t="s">
        <v>67</v>
      </c>
    </row>
    <row r="158" ht="15.75" customHeight="1">
      <c r="A158" s="17" t="s">
        <v>217</v>
      </c>
      <c r="B158" s="18">
        <v>45445.0</v>
      </c>
      <c r="C158" s="17" t="s">
        <v>57</v>
      </c>
      <c r="D158" s="17" t="s">
        <v>61</v>
      </c>
    </row>
    <row r="159" ht="15.75" customHeight="1">
      <c r="A159" s="15" t="s">
        <v>218</v>
      </c>
      <c r="B159" s="16">
        <v>45446.0</v>
      </c>
      <c r="C159" s="15" t="s">
        <v>54</v>
      </c>
      <c r="D159" s="15" t="s">
        <v>55</v>
      </c>
    </row>
    <row r="160" ht="15.75" customHeight="1">
      <c r="A160" s="17" t="s">
        <v>219</v>
      </c>
      <c r="B160" s="18">
        <v>45446.0</v>
      </c>
      <c r="C160" s="17" t="s">
        <v>54</v>
      </c>
      <c r="D160" s="17" t="s">
        <v>55</v>
      </c>
    </row>
    <row r="161" ht="15.75" customHeight="1">
      <c r="A161" s="15" t="s">
        <v>220</v>
      </c>
      <c r="B161" s="16">
        <v>45447.0</v>
      </c>
      <c r="C161" s="15" t="s">
        <v>66</v>
      </c>
      <c r="D161" s="15" t="s">
        <v>64</v>
      </c>
    </row>
    <row r="162" ht="15.75" customHeight="1">
      <c r="A162" s="17" t="s">
        <v>221</v>
      </c>
      <c r="B162" s="18">
        <v>45447.0</v>
      </c>
      <c r="C162" s="17" t="s">
        <v>69</v>
      </c>
      <c r="D162" s="17" t="s">
        <v>55</v>
      </c>
    </row>
    <row r="163" ht="15.75" customHeight="1">
      <c r="A163" s="15" t="s">
        <v>222</v>
      </c>
      <c r="B163" s="16">
        <v>45448.0</v>
      </c>
      <c r="C163" s="15" t="s">
        <v>60</v>
      </c>
      <c r="D163" s="15" t="s">
        <v>67</v>
      </c>
    </row>
    <row r="164" ht="15.75" customHeight="1">
      <c r="A164" s="17" t="s">
        <v>223</v>
      </c>
      <c r="B164" s="18">
        <v>45450.0</v>
      </c>
      <c r="C164" s="17" t="s">
        <v>63</v>
      </c>
      <c r="D164" s="17" t="s">
        <v>67</v>
      </c>
    </row>
    <row r="165" ht="15.75" customHeight="1">
      <c r="A165" s="15" t="s">
        <v>224</v>
      </c>
      <c r="B165" s="16">
        <v>45455.0</v>
      </c>
      <c r="C165" s="15" t="s">
        <v>63</v>
      </c>
      <c r="D165" s="15" t="s">
        <v>55</v>
      </c>
    </row>
    <row r="166" ht="15.75" customHeight="1">
      <c r="A166" s="17" t="s">
        <v>225</v>
      </c>
      <c r="B166" s="18">
        <v>45458.0</v>
      </c>
      <c r="C166" s="17" t="s">
        <v>57</v>
      </c>
      <c r="D166" s="17" t="s">
        <v>55</v>
      </c>
    </row>
    <row r="167" ht="15.75" customHeight="1">
      <c r="A167" s="15" t="s">
        <v>226</v>
      </c>
      <c r="B167" s="16">
        <v>45460.0</v>
      </c>
      <c r="C167" s="15" t="s">
        <v>57</v>
      </c>
      <c r="D167" s="15" t="s">
        <v>61</v>
      </c>
    </row>
    <row r="168" ht="15.75" customHeight="1">
      <c r="A168" s="17" t="s">
        <v>227</v>
      </c>
      <c r="B168" s="18">
        <v>45460.0</v>
      </c>
      <c r="C168" s="17" t="s">
        <v>69</v>
      </c>
      <c r="D168" s="17" t="s">
        <v>67</v>
      </c>
    </row>
    <row r="169" ht="15.75" customHeight="1">
      <c r="A169" s="15" t="s">
        <v>228</v>
      </c>
      <c r="B169" s="16">
        <v>45461.0</v>
      </c>
      <c r="C169" s="15" t="s">
        <v>54</v>
      </c>
      <c r="D169" s="15" t="s">
        <v>55</v>
      </c>
    </row>
    <row r="170" ht="15.75" customHeight="1">
      <c r="A170" s="17" t="s">
        <v>229</v>
      </c>
      <c r="B170" s="18">
        <v>45462.0</v>
      </c>
      <c r="C170" s="17" t="s">
        <v>60</v>
      </c>
      <c r="D170" s="17" t="s">
        <v>55</v>
      </c>
    </row>
    <row r="171" ht="15.75" customHeight="1">
      <c r="A171" s="15" t="s">
        <v>230</v>
      </c>
      <c r="B171" s="16">
        <v>45463.0</v>
      </c>
      <c r="C171" s="15" t="s">
        <v>66</v>
      </c>
      <c r="D171" s="15" t="s">
        <v>67</v>
      </c>
    </row>
    <row r="172" ht="15.75" customHeight="1">
      <c r="A172" s="17" t="s">
        <v>231</v>
      </c>
      <c r="B172" s="18">
        <v>45465.0</v>
      </c>
      <c r="C172" s="17" t="s">
        <v>63</v>
      </c>
      <c r="D172" s="17" t="s">
        <v>55</v>
      </c>
    </row>
    <row r="173" ht="15.75" customHeight="1">
      <c r="A173" s="15" t="s">
        <v>232</v>
      </c>
      <c r="B173" s="16">
        <v>45466.0</v>
      </c>
      <c r="C173" s="15" t="s">
        <v>69</v>
      </c>
      <c r="D173" s="15" t="s">
        <v>55</v>
      </c>
    </row>
    <row r="174" ht="15.75" customHeight="1">
      <c r="A174" s="17" t="s">
        <v>233</v>
      </c>
      <c r="B174" s="18">
        <v>45466.0</v>
      </c>
      <c r="C174" s="17" t="s">
        <v>66</v>
      </c>
      <c r="D174" s="17" t="s">
        <v>55</v>
      </c>
    </row>
    <row r="175" ht="15.75" customHeight="1">
      <c r="A175" s="15" t="s">
        <v>234</v>
      </c>
      <c r="B175" s="16">
        <v>45466.0</v>
      </c>
      <c r="C175" s="15" t="s">
        <v>60</v>
      </c>
      <c r="D175" s="15" t="s">
        <v>67</v>
      </c>
    </row>
    <row r="176" ht="15.75" customHeight="1">
      <c r="A176" s="17" t="s">
        <v>235</v>
      </c>
      <c r="B176" s="18">
        <v>45467.0</v>
      </c>
      <c r="C176" s="17" t="s">
        <v>69</v>
      </c>
      <c r="D176" s="17" t="s">
        <v>64</v>
      </c>
    </row>
    <row r="177" ht="15.75" customHeight="1">
      <c r="A177" s="15" t="s">
        <v>236</v>
      </c>
      <c r="B177" s="16">
        <v>45467.0</v>
      </c>
      <c r="C177" s="15" t="s">
        <v>66</v>
      </c>
      <c r="D177" s="15" t="s">
        <v>67</v>
      </c>
    </row>
    <row r="178" ht="15.75" customHeight="1">
      <c r="A178" s="17" t="s">
        <v>237</v>
      </c>
      <c r="B178" s="18">
        <v>45467.0</v>
      </c>
      <c r="C178" s="17" t="s">
        <v>66</v>
      </c>
      <c r="D178" s="17" t="s">
        <v>64</v>
      </c>
    </row>
    <row r="179" ht="15.75" customHeight="1">
      <c r="A179" s="15" t="s">
        <v>238</v>
      </c>
      <c r="B179" s="16">
        <v>45470.0</v>
      </c>
      <c r="C179" s="15" t="s">
        <v>57</v>
      </c>
      <c r="D179" s="15" t="s">
        <v>55</v>
      </c>
    </row>
    <row r="180" ht="15.75" customHeight="1">
      <c r="A180" s="17" t="s">
        <v>239</v>
      </c>
      <c r="B180" s="18">
        <v>45470.0</v>
      </c>
      <c r="C180" s="17" t="s">
        <v>54</v>
      </c>
      <c r="D180" s="17" t="s">
        <v>64</v>
      </c>
    </row>
    <row r="181" ht="15.75" customHeight="1">
      <c r="A181" s="15" t="s">
        <v>240</v>
      </c>
      <c r="B181" s="16">
        <v>45471.0</v>
      </c>
      <c r="C181" s="15" t="s">
        <v>57</v>
      </c>
      <c r="D181" s="15" t="s">
        <v>67</v>
      </c>
    </row>
    <row r="182" ht="15.75" customHeight="1">
      <c r="A182" s="17" t="s">
        <v>241</v>
      </c>
      <c r="B182" s="18">
        <v>45471.0</v>
      </c>
      <c r="C182" s="17" t="s">
        <v>60</v>
      </c>
      <c r="D182" s="17" t="s">
        <v>55</v>
      </c>
    </row>
    <row r="183" ht="15.75" customHeight="1">
      <c r="A183" s="15" t="s">
        <v>242</v>
      </c>
      <c r="B183" s="16">
        <v>45473.0</v>
      </c>
      <c r="C183" s="15" t="s">
        <v>57</v>
      </c>
      <c r="D183" s="15" t="s">
        <v>58</v>
      </c>
    </row>
    <row r="184" ht="15.75" customHeight="1">
      <c r="A184" s="17" t="s">
        <v>243</v>
      </c>
      <c r="B184" s="18">
        <v>45476.0</v>
      </c>
      <c r="C184" s="17" t="s">
        <v>57</v>
      </c>
      <c r="D184" s="17" t="s">
        <v>58</v>
      </c>
    </row>
    <row r="185" ht="15.75" customHeight="1">
      <c r="A185" s="15" t="s">
        <v>244</v>
      </c>
      <c r="B185" s="16">
        <v>45477.0</v>
      </c>
      <c r="C185" s="15" t="s">
        <v>63</v>
      </c>
      <c r="D185" s="15" t="s">
        <v>67</v>
      </c>
    </row>
    <row r="186" ht="15.75" customHeight="1">
      <c r="A186" s="17" t="s">
        <v>245</v>
      </c>
      <c r="B186" s="18">
        <v>45477.0</v>
      </c>
      <c r="C186" s="17" t="s">
        <v>66</v>
      </c>
      <c r="D186" s="17" t="s">
        <v>55</v>
      </c>
    </row>
    <row r="187" ht="15.75" customHeight="1">
      <c r="A187" s="15" t="s">
        <v>246</v>
      </c>
      <c r="B187" s="16">
        <v>45478.0</v>
      </c>
      <c r="C187" s="15" t="s">
        <v>66</v>
      </c>
      <c r="D187" s="15" t="s">
        <v>55</v>
      </c>
    </row>
    <row r="188" ht="15.75" customHeight="1">
      <c r="A188" s="17" t="s">
        <v>247</v>
      </c>
      <c r="B188" s="18">
        <v>45479.0</v>
      </c>
      <c r="C188" s="17" t="s">
        <v>60</v>
      </c>
      <c r="D188" s="17" t="s">
        <v>64</v>
      </c>
    </row>
    <row r="189" ht="15.75" customHeight="1">
      <c r="A189" s="15" t="s">
        <v>248</v>
      </c>
      <c r="B189" s="16">
        <v>45481.0</v>
      </c>
      <c r="C189" s="15" t="s">
        <v>66</v>
      </c>
      <c r="D189" s="15" t="s">
        <v>61</v>
      </c>
    </row>
    <row r="190" ht="15.75" customHeight="1">
      <c r="A190" s="17" t="s">
        <v>249</v>
      </c>
      <c r="B190" s="18">
        <v>45482.0</v>
      </c>
      <c r="C190" s="17" t="s">
        <v>66</v>
      </c>
      <c r="D190" s="17" t="s">
        <v>55</v>
      </c>
    </row>
    <row r="191" ht="15.75" customHeight="1">
      <c r="A191" s="15" t="s">
        <v>250</v>
      </c>
      <c r="B191" s="16">
        <v>45482.0</v>
      </c>
      <c r="C191" s="15" t="s">
        <v>54</v>
      </c>
      <c r="D191" s="15" t="s">
        <v>55</v>
      </c>
    </row>
    <row r="192" ht="15.75" customHeight="1">
      <c r="A192" s="17" t="s">
        <v>251</v>
      </c>
      <c r="B192" s="18">
        <v>45482.0</v>
      </c>
      <c r="C192" s="17" t="s">
        <v>60</v>
      </c>
      <c r="D192" s="17" t="s">
        <v>64</v>
      </c>
    </row>
    <row r="193" ht="15.75" customHeight="1">
      <c r="A193" s="15" t="s">
        <v>252</v>
      </c>
      <c r="B193" s="16">
        <v>45483.0</v>
      </c>
      <c r="C193" s="15" t="s">
        <v>57</v>
      </c>
      <c r="D193" s="15" t="s">
        <v>61</v>
      </c>
    </row>
    <row r="194" ht="15.75" customHeight="1">
      <c r="A194" s="17" t="s">
        <v>253</v>
      </c>
      <c r="B194" s="18">
        <v>45483.0</v>
      </c>
      <c r="C194" s="17" t="s">
        <v>63</v>
      </c>
      <c r="D194" s="17" t="s">
        <v>67</v>
      </c>
    </row>
    <row r="195" ht="15.75" customHeight="1">
      <c r="A195" s="15" t="s">
        <v>254</v>
      </c>
      <c r="B195" s="16">
        <v>45484.0</v>
      </c>
      <c r="C195" s="15" t="s">
        <v>66</v>
      </c>
      <c r="D195" s="15" t="s">
        <v>61</v>
      </c>
    </row>
    <row r="196" ht="15.75" customHeight="1">
      <c r="A196" s="17" t="s">
        <v>255</v>
      </c>
      <c r="B196" s="18">
        <v>45484.0</v>
      </c>
      <c r="C196" s="17" t="s">
        <v>54</v>
      </c>
      <c r="D196" s="17" t="s">
        <v>67</v>
      </c>
    </row>
    <row r="197" ht="15.75" customHeight="1">
      <c r="A197" s="15" t="s">
        <v>256</v>
      </c>
      <c r="B197" s="16">
        <v>45486.0</v>
      </c>
      <c r="C197" s="15" t="s">
        <v>54</v>
      </c>
      <c r="D197" s="15" t="s">
        <v>67</v>
      </c>
    </row>
    <row r="198" ht="15.75" customHeight="1">
      <c r="A198" s="17" t="s">
        <v>257</v>
      </c>
      <c r="B198" s="18">
        <v>45486.0</v>
      </c>
      <c r="C198" s="17" t="s">
        <v>57</v>
      </c>
      <c r="D198" s="17" t="s">
        <v>55</v>
      </c>
    </row>
    <row r="199" ht="15.75" customHeight="1">
      <c r="A199" s="15" t="s">
        <v>258</v>
      </c>
      <c r="B199" s="16">
        <v>45487.0</v>
      </c>
      <c r="C199" s="15" t="s">
        <v>54</v>
      </c>
      <c r="D199" s="15" t="s">
        <v>61</v>
      </c>
    </row>
    <row r="200" ht="15.75" customHeight="1">
      <c r="A200" s="17" t="s">
        <v>259</v>
      </c>
      <c r="B200" s="18">
        <v>45487.0</v>
      </c>
      <c r="C200" s="17" t="s">
        <v>57</v>
      </c>
      <c r="D200" s="17" t="s">
        <v>67</v>
      </c>
    </row>
    <row r="201" ht="15.75" customHeight="1">
      <c r="A201" s="15" t="s">
        <v>260</v>
      </c>
      <c r="B201" s="16">
        <v>45488.0</v>
      </c>
      <c r="C201" s="15" t="s">
        <v>63</v>
      </c>
      <c r="D201" s="15" t="s">
        <v>55</v>
      </c>
    </row>
    <row r="202" ht="15.75" customHeight="1">
      <c r="A202" s="17" t="s">
        <v>261</v>
      </c>
      <c r="B202" s="18">
        <v>45490.0</v>
      </c>
      <c r="C202" s="17" t="s">
        <v>66</v>
      </c>
      <c r="D202" s="17" t="s">
        <v>55</v>
      </c>
    </row>
    <row r="203" ht="15.75" customHeight="1">
      <c r="A203" s="15" t="s">
        <v>262</v>
      </c>
      <c r="B203" s="16">
        <v>45491.0</v>
      </c>
      <c r="C203" s="15" t="s">
        <v>57</v>
      </c>
      <c r="D203" s="15" t="s">
        <v>61</v>
      </c>
    </row>
    <row r="204" ht="15.75" customHeight="1">
      <c r="A204" s="17" t="s">
        <v>263</v>
      </c>
      <c r="B204" s="18">
        <v>45492.0</v>
      </c>
      <c r="C204" s="17" t="s">
        <v>69</v>
      </c>
      <c r="D204" s="17" t="s">
        <v>67</v>
      </c>
    </row>
    <row r="205" ht="15.75" customHeight="1">
      <c r="A205" s="15" t="s">
        <v>264</v>
      </c>
      <c r="B205" s="16">
        <v>45492.0</v>
      </c>
      <c r="C205" s="15" t="s">
        <v>60</v>
      </c>
      <c r="D205" s="15" t="s">
        <v>55</v>
      </c>
    </row>
    <row r="206" ht="15.75" customHeight="1">
      <c r="A206" s="17" t="s">
        <v>265</v>
      </c>
      <c r="B206" s="18">
        <v>45494.0</v>
      </c>
      <c r="C206" s="17" t="s">
        <v>66</v>
      </c>
      <c r="D206" s="17" t="s">
        <v>55</v>
      </c>
    </row>
    <row r="207" ht="15.75" customHeight="1">
      <c r="A207" s="15" t="s">
        <v>266</v>
      </c>
      <c r="B207" s="16">
        <v>45495.0</v>
      </c>
      <c r="C207" s="15" t="s">
        <v>66</v>
      </c>
      <c r="D207" s="15" t="s">
        <v>55</v>
      </c>
    </row>
    <row r="208" ht="15.75" customHeight="1">
      <c r="A208" s="17" t="s">
        <v>267</v>
      </c>
      <c r="B208" s="18">
        <v>45495.0</v>
      </c>
      <c r="C208" s="17" t="s">
        <v>57</v>
      </c>
      <c r="D208" s="17" t="s">
        <v>58</v>
      </c>
    </row>
    <row r="209" ht="15.75" customHeight="1">
      <c r="A209" s="15" t="s">
        <v>268</v>
      </c>
      <c r="B209" s="16">
        <v>45496.0</v>
      </c>
      <c r="C209" s="15" t="s">
        <v>60</v>
      </c>
      <c r="D209" s="15" t="s">
        <v>55</v>
      </c>
    </row>
    <row r="210" ht="15.75" customHeight="1">
      <c r="A210" s="17" t="s">
        <v>269</v>
      </c>
      <c r="B210" s="18">
        <v>45497.0</v>
      </c>
      <c r="C210" s="17" t="s">
        <v>57</v>
      </c>
      <c r="D210" s="17" t="s">
        <v>55</v>
      </c>
    </row>
    <row r="211" ht="15.75" customHeight="1">
      <c r="A211" s="15" t="s">
        <v>270</v>
      </c>
      <c r="B211" s="16">
        <v>45497.0</v>
      </c>
      <c r="C211" s="15" t="s">
        <v>63</v>
      </c>
      <c r="D211" s="15" t="s">
        <v>58</v>
      </c>
    </row>
    <row r="212" ht="15.75" customHeight="1">
      <c r="A212" s="17" t="s">
        <v>271</v>
      </c>
      <c r="B212" s="18">
        <v>45498.0</v>
      </c>
      <c r="C212" s="17" t="s">
        <v>66</v>
      </c>
      <c r="D212" s="17" t="s">
        <v>58</v>
      </c>
    </row>
    <row r="213" ht="15.75" customHeight="1">
      <c r="A213" s="15" t="s">
        <v>272</v>
      </c>
      <c r="B213" s="16">
        <v>45498.0</v>
      </c>
      <c r="C213" s="15" t="s">
        <v>63</v>
      </c>
      <c r="D213" s="15" t="s">
        <v>55</v>
      </c>
    </row>
    <row r="214" ht="15.75" customHeight="1">
      <c r="A214" s="17" t="s">
        <v>273</v>
      </c>
      <c r="B214" s="18">
        <v>45499.0</v>
      </c>
      <c r="C214" s="17" t="s">
        <v>57</v>
      </c>
      <c r="D214" s="17" t="s">
        <v>67</v>
      </c>
    </row>
    <row r="215" ht="15.75" customHeight="1">
      <c r="A215" s="15" t="s">
        <v>274</v>
      </c>
      <c r="B215" s="16">
        <v>45500.0</v>
      </c>
      <c r="C215" s="15" t="s">
        <v>69</v>
      </c>
      <c r="D215" s="15" t="s">
        <v>55</v>
      </c>
    </row>
    <row r="216" ht="15.75" customHeight="1">
      <c r="A216" s="17" t="s">
        <v>275</v>
      </c>
      <c r="B216" s="18">
        <v>45501.0</v>
      </c>
      <c r="C216" s="17" t="s">
        <v>63</v>
      </c>
      <c r="D216" s="17" t="s">
        <v>58</v>
      </c>
    </row>
    <row r="217" ht="15.75" customHeight="1">
      <c r="A217" s="15" t="s">
        <v>276</v>
      </c>
      <c r="B217" s="16">
        <v>45501.0</v>
      </c>
      <c r="C217" s="15" t="s">
        <v>69</v>
      </c>
      <c r="D217" s="15" t="s">
        <v>64</v>
      </c>
    </row>
    <row r="218" ht="15.75" customHeight="1">
      <c r="A218" s="17" t="s">
        <v>277</v>
      </c>
      <c r="B218" s="18">
        <v>45501.0</v>
      </c>
      <c r="C218" s="17" t="s">
        <v>66</v>
      </c>
      <c r="D218" s="17" t="s">
        <v>55</v>
      </c>
    </row>
    <row r="219" ht="15.75" customHeight="1">
      <c r="A219" s="15" t="s">
        <v>278</v>
      </c>
      <c r="B219" s="16">
        <v>45502.0</v>
      </c>
      <c r="C219" s="15" t="s">
        <v>60</v>
      </c>
      <c r="D219" s="15" t="s">
        <v>55</v>
      </c>
    </row>
    <row r="220" ht="15.75" customHeight="1">
      <c r="A220" s="17" t="s">
        <v>279</v>
      </c>
      <c r="B220" s="18">
        <v>45502.0</v>
      </c>
      <c r="C220" s="17" t="s">
        <v>60</v>
      </c>
      <c r="D220" s="17" t="s">
        <v>67</v>
      </c>
    </row>
    <row r="221" ht="15.75" customHeight="1">
      <c r="A221" s="15" t="s">
        <v>280</v>
      </c>
      <c r="B221" s="16">
        <v>45503.0</v>
      </c>
      <c r="C221" s="15" t="s">
        <v>66</v>
      </c>
      <c r="D221" s="15" t="s">
        <v>55</v>
      </c>
    </row>
    <row r="222" ht="15.75" customHeight="1">
      <c r="A222" s="17" t="s">
        <v>281</v>
      </c>
      <c r="B222" s="18">
        <v>45503.0</v>
      </c>
      <c r="C222" s="17" t="s">
        <v>63</v>
      </c>
      <c r="D222" s="17" t="s">
        <v>55</v>
      </c>
    </row>
    <row r="223" ht="15.75" customHeight="1">
      <c r="A223" s="15" t="s">
        <v>282</v>
      </c>
      <c r="B223" s="16">
        <v>45504.0</v>
      </c>
      <c r="C223" s="15" t="s">
        <v>66</v>
      </c>
      <c r="D223" s="15" t="s">
        <v>64</v>
      </c>
    </row>
    <row r="224" ht="15.75" customHeight="1">
      <c r="A224" s="17" t="s">
        <v>283</v>
      </c>
      <c r="B224" s="18">
        <v>45506.0</v>
      </c>
      <c r="C224" s="17" t="s">
        <v>66</v>
      </c>
      <c r="D224" s="17" t="s">
        <v>58</v>
      </c>
    </row>
    <row r="225" ht="15.75" customHeight="1">
      <c r="A225" s="15" t="s">
        <v>284</v>
      </c>
      <c r="B225" s="16">
        <v>45506.0</v>
      </c>
      <c r="C225" s="15" t="s">
        <v>57</v>
      </c>
      <c r="D225" s="15" t="s">
        <v>61</v>
      </c>
    </row>
    <row r="226" ht="15.75" customHeight="1">
      <c r="A226" s="17" t="s">
        <v>285</v>
      </c>
      <c r="B226" s="18">
        <v>45506.0</v>
      </c>
      <c r="C226" s="17" t="s">
        <v>57</v>
      </c>
      <c r="D226" s="17" t="s">
        <v>55</v>
      </c>
    </row>
    <row r="227" ht="15.75" customHeight="1">
      <c r="A227" s="15" t="s">
        <v>286</v>
      </c>
      <c r="B227" s="16">
        <v>45507.0</v>
      </c>
      <c r="C227" s="15" t="s">
        <v>63</v>
      </c>
      <c r="D227" s="15" t="s">
        <v>58</v>
      </c>
    </row>
    <row r="228" ht="15.75" customHeight="1">
      <c r="A228" s="17" t="s">
        <v>287</v>
      </c>
      <c r="B228" s="18">
        <v>45507.0</v>
      </c>
      <c r="C228" s="17" t="s">
        <v>66</v>
      </c>
      <c r="D228" s="17" t="s">
        <v>64</v>
      </c>
    </row>
    <row r="229" ht="15.75" customHeight="1">
      <c r="A229" s="15" t="s">
        <v>288</v>
      </c>
      <c r="B229" s="16">
        <v>45507.0</v>
      </c>
      <c r="C229" s="15" t="s">
        <v>66</v>
      </c>
      <c r="D229" s="15" t="s">
        <v>58</v>
      </c>
    </row>
    <row r="230" ht="15.75" customHeight="1">
      <c r="A230" s="17" t="s">
        <v>289</v>
      </c>
      <c r="B230" s="18">
        <v>45507.0</v>
      </c>
      <c r="C230" s="17" t="s">
        <v>63</v>
      </c>
      <c r="D230" s="17" t="s">
        <v>55</v>
      </c>
    </row>
    <row r="231" ht="15.75" customHeight="1">
      <c r="A231" s="15" t="s">
        <v>290</v>
      </c>
      <c r="B231" s="16">
        <v>45509.0</v>
      </c>
      <c r="C231" s="15" t="s">
        <v>57</v>
      </c>
      <c r="D231" s="15" t="s">
        <v>58</v>
      </c>
    </row>
    <row r="232" ht="15.75" customHeight="1">
      <c r="A232" s="17" t="s">
        <v>291</v>
      </c>
      <c r="B232" s="18">
        <v>45509.0</v>
      </c>
      <c r="C232" s="17" t="s">
        <v>63</v>
      </c>
      <c r="D232" s="17" t="s">
        <v>64</v>
      </c>
    </row>
    <row r="233" ht="15.75" customHeight="1">
      <c r="A233" s="15" t="s">
        <v>292</v>
      </c>
      <c r="B233" s="16">
        <v>45510.0</v>
      </c>
      <c r="C233" s="15" t="s">
        <v>60</v>
      </c>
      <c r="D233" s="15" t="s">
        <v>67</v>
      </c>
    </row>
    <row r="234" ht="15.75" customHeight="1">
      <c r="A234" s="17" t="s">
        <v>293</v>
      </c>
      <c r="B234" s="18">
        <v>45510.0</v>
      </c>
      <c r="C234" s="17" t="s">
        <v>66</v>
      </c>
      <c r="D234" s="17" t="s">
        <v>67</v>
      </c>
    </row>
    <row r="235" ht="15.75" customHeight="1">
      <c r="A235" s="15" t="s">
        <v>294</v>
      </c>
      <c r="B235" s="16">
        <v>45512.0</v>
      </c>
      <c r="C235" s="15" t="s">
        <v>54</v>
      </c>
      <c r="D235" s="15" t="s">
        <v>58</v>
      </c>
    </row>
    <row r="236" ht="15.75" customHeight="1">
      <c r="A236" s="17" t="s">
        <v>295</v>
      </c>
      <c r="B236" s="18">
        <v>45512.0</v>
      </c>
      <c r="C236" s="17" t="s">
        <v>57</v>
      </c>
      <c r="D236" s="17" t="s">
        <v>67</v>
      </c>
    </row>
    <row r="237" ht="15.75" customHeight="1">
      <c r="A237" s="15" t="s">
        <v>296</v>
      </c>
      <c r="B237" s="16">
        <v>45512.0</v>
      </c>
      <c r="C237" s="15" t="s">
        <v>60</v>
      </c>
      <c r="D237" s="15" t="s">
        <v>67</v>
      </c>
    </row>
    <row r="238" ht="15.75" customHeight="1">
      <c r="A238" s="17" t="s">
        <v>297</v>
      </c>
      <c r="B238" s="18">
        <v>45513.0</v>
      </c>
      <c r="C238" s="17" t="s">
        <v>57</v>
      </c>
      <c r="D238" s="17" t="s">
        <v>58</v>
      </c>
    </row>
    <row r="239" ht="15.75" customHeight="1">
      <c r="A239" s="15" t="s">
        <v>298</v>
      </c>
      <c r="B239" s="16">
        <v>45514.0</v>
      </c>
      <c r="C239" s="15" t="s">
        <v>69</v>
      </c>
      <c r="D239" s="15" t="s">
        <v>55</v>
      </c>
    </row>
    <row r="240" ht="15.75" customHeight="1">
      <c r="A240" s="17" t="s">
        <v>299</v>
      </c>
      <c r="B240" s="18">
        <v>45514.0</v>
      </c>
      <c r="C240" s="17" t="s">
        <v>63</v>
      </c>
      <c r="D240" s="17" t="s">
        <v>61</v>
      </c>
    </row>
    <row r="241" ht="15.75" customHeight="1">
      <c r="A241" s="15" t="s">
        <v>300</v>
      </c>
      <c r="B241" s="16">
        <v>45514.0</v>
      </c>
      <c r="C241" s="15" t="s">
        <v>63</v>
      </c>
      <c r="D241" s="15" t="s">
        <v>55</v>
      </c>
    </row>
    <row r="242" ht="15.75" customHeight="1">
      <c r="A242" s="17" t="s">
        <v>301</v>
      </c>
      <c r="B242" s="18">
        <v>45515.0</v>
      </c>
      <c r="C242" s="17" t="s">
        <v>66</v>
      </c>
      <c r="D242" s="17" t="s">
        <v>64</v>
      </c>
    </row>
    <row r="243" ht="15.75" customHeight="1">
      <c r="A243" s="15" t="s">
        <v>302</v>
      </c>
      <c r="B243" s="16">
        <v>45515.0</v>
      </c>
      <c r="C243" s="15" t="s">
        <v>57</v>
      </c>
      <c r="D243" s="15" t="s">
        <v>58</v>
      </c>
    </row>
    <row r="244" ht="15.75" customHeight="1">
      <c r="A244" s="17" t="s">
        <v>303</v>
      </c>
      <c r="B244" s="18">
        <v>45515.0</v>
      </c>
      <c r="C244" s="17" t="s">
        <v>69</v>
      </c>
      <c r="D244" s="17" t="s">
        <v>58</v>
      </c>
    </row>
    <row r="245" ht="15.75" customHeight="1">
      <c r="A245" s="15" t="s">
        <v>304</v>
      </c>
      <c r="B245" s="16">
        <v>45516.0</v>
      </c>
      <c r="C245" s="15" t="s">
        <v>57</v>
      </c>
      <c r="D245" s="15" t="s">
        <v>55</v>
      </c>
    </row>
    <row r="246" ht="15.75" customHeight="1">
      <c r="A246" s="17" t="s">
        <v>305</v>
      </c>
      <c r="B246" s="18">
        <v>45518.0</v>
      </c>
      <c r="C246" s="17" t="s">
        <v>63</v>
      </c>
      <c r="D246" s="17" t="s">
        <v>55</v>
      </c>
    </row>
    <row r="247" ht="15.75" customHeight="1">
      <c r="A247" s="15" t="s">
        <v>306</v>
      </c>
      <c r="B247" s="16">
        <v>45519.0</v>
      </c>
      <c r="C247" s="15" t="s">
        <v>66</v>
      </c>
      <c r="D247" s="15" t="s">
        <v>55</v>
      </c>
    </row>
    <row r="248" ht="15.75" customHeight="1">
      <c r="A248" s="17" t="s">
        <v>307</v>
      </c>
      <c r="B248" s="18">
        <v>45519.0</v>
      </c>
      <c r="C248" s="17" t="s">
        <v>66</v>
      </c>
      <c r="D248" s="17" t="s">
        <v>61</v>
      </c>
    </row>
    <row r="249" ht="15.75" customHeight="1">
      <c r="A249" s="15" t="s">
        <v>308</v>
      </c>
      <c r="B249" s="16">
        <v>45519.0</v>
      </c>
      <c r="C249" s="15" t="s">
        <v>66</v>
      </c>
      <c r="D249" s="15" t="s">
        <v>55</v>
      </c>
    </row>
    <row r="250" ht="15.75" customHeight="1">
      <c r="A250" s="17" t="s">
        <v>309</v>
      </c>
      <c r="B250" s="18">
        <v>45520.0</v>
      </c>
      <c r="C250" s="17" t="s">
        <v>60</v>
      </c>
      <c r="D250" s="17" t="s">
        <v>61</v>
      </c>
    </row>
    <row r="251" ht="15.75" customHeight="1">
      <c r="A251" s="15" t="s">
        <v>310</v>
      </c>
      <c r="B251" s="16">
        <v>45521.0</v>
      </c>
      <c r="C251" s="15" t="s">
        <v>63</v>
      </c>
      <c r="D251" s="15" t="s">
        <v>67</v>
      </c>
    </row>
    <row r="252" ht="15.75" customHeight="1">
      <c r="A252" s="17" t="s">
        <v>311</v>
      </c>
      <c r="B252" s="18">
        <v>45521.0</v>
      </c>
      <c r="C252" s="17" t="s">
        <v>66</v>
      </c>
      <c r="D252" s="17" t="s">
        <v>58</v>
      </c>
    </row>
    <row r="253" ht="15.75" customHeight="1">
      <c r="A253" s="15" t="s">
        <v>312</v>
      </c>
      <c r="B253" s="16">
        <v>45521.0</v>
      </c>
      <c r="C253" s="15" t="s">
        <v>69</v>
      </c>
      <c r="D253" s="15" t="s">
        <v>67</v>
      </c>
    </row>
    <row r="254" ht="15.75" customHeight="1">
      <c r="A254" s="17" t="s">
        <v>313</v>
      </c>
      <c r="B254" s="18">
        <v>45522.0</v>
      </c>
      <c r="C254" s="17" t="s">
        <v>66</v>
      </c>
      <c r="D254" s="17" t="s">
        <v>58</v>
      </c>
    </row>
    <row r="255" ht="15.75" customHeight="1">
      <c r="A255" s="15" t="s">
        <v>314</v>
      </c>
      <c r="B255" s="16">
        <v>45523.0</v>
      </c>
      <c r="C255" s="15" t="s">
        <v>60</v>
      </c>
      <c r="D255" s="15" t="s">
        <v>64</v>
      </c>
    </row>
    <row r="256" ht="15.75" customHeight="1">
      <c r="A256" s="17" t="s">
        <v>315</v>
      </c>
      <c r="B256" s="18">
        <v>45524.0</v>
      </c>
      <c r="C256" s="17" t="s">
        <v>66</v>
      </c>
      <c r="D256" s="17" t="s">
        <v>67</v>
      </c>
    </row>
    <row r="257" ht="15.75" customHeight="1">
      <c r="A257" s="15" t="s">
        <v>316</v>
      </c>
      <c r="B257" s="16">
        <v>45524.0</v>
      </c>
      <c r="C257" s="15" t="s">
        <v>63</v>
      </c>
      <c r="D257" s="15" t="s">
        <v>55</v>
      </c>
    </row>
    <row r="258" ht="15.75" customHeight="1">
      <c r="A258" s="17" t="s">
        <v>317</v>
      </c>
      <c r="B258" s="18">
        <v>45525.0</v>
      </c>
      <c r="C258" s="17" t="s">
        <v>66</v>
      </c>
      <c r="D258" s="17" t="s">
        <v>55</v>
      </c>
    </row>
    <row r="259" ht="15.75" customHeight="1">
      <c r="A259" s="15" t="s">
        <v>318</v>
      </c>
      <c r="B259" s="16">
        <v>45526.0</v>
      </c>
      <c r="C259" s="15" t="s">
        <v>69</v>
      </c>
      <c r="D259" s="15" t="s">
        <v>55</v>
      </c>
    </row>
    <row r="260" ht="15.75" customHeight="1">
      <c r="A260" s="17" t="s">
        <v>319</v>
      </c>
      <c r="B260" s="18">
        <v>45527.0</v>
      </c>
      <c r="C260" s="17" t="s">
        <v>66</v>
      </c>
      <c r="D260" s="17" t="s">
        <v>55</v>
      </c>
    </row>
    <row r="261" ht="15.75" customHeight="1">
      <c r="A261" s="15" t="s">
        <v>320</v>
      </c>
      <c r="B261" s="16">
        <v>45527.0</v>
      </c>
      <c r="C261" s="15" t="s">
        <v>60</v>
      </c>
      <c r="D261" s="15" t="s">
        <v>55</v>
      </c>
    </row>
    <row r="262" ht="15.75" customHeight="1">
      <c r="A262" s="17" t="s">
        <v>321</v>
      </c>
      <c r="B262" s="18">
        <v>45528.0</v>
      </c>
      <c r="C262" s="17" t="s">
        <v>63</v>
      </c>
      <c r="D262" s="17" t="s">
        <v>64</v>
      </c>
    </row>
    <row r="263" ht="15.75" customHeight="1">
      <c r="A263" s="15" t="s">
        <v>322</v>
      </c>
      <c r="B263" s="16">
        <v>45529.0</v>
      </c>
      <c r="C263" s="15" t="s">
        <v>57</v>
      </c>
      <c r="D263" s="15" t="s">
        <v>55</v>
      </c>
    </row>
    <row r="264" ht="15.75" customHeight="1">
      <c r="A264" s="17" t="s">
        <v>323</v>
      </c>
      <c r="B264" s="18">
        <v>45530.0</v>
      </c>
      <c r="C264" s="17" t="s">
        <v>60</v>
      </c>
      <c r="D264" s="17" t="s">
        <v>61</v>
      </c>
    </row>
    <row r="265" ht="15.75" customHeight="1">
      <c r="A265" s="15" t="s">
        <v>324</v>
      </c>
      <c r="B265" s="16">
        <v>45530.0</v>
      </c>
      <c r="C265" s="15" t="s">
        <v>60</v>
      </c>
      <c r="D265" s="15" t="s">
        <v>61</v>
      </c>
    </row>
    <row r="266" ht="15.75" customHeight="1">
      <c r="A266" s="17" t="s">
        <v>325</v>
      </c>
      <c r="B266" s="18">
        <v>45531.0</v>
      </c>
      <c r="C266" s="17" t="s">
        <v>66</v>
      </c>
      <c r="D266" s="17" t="s">
        <v>58</v>
      </c>
    </row>
    <row r="267" ht="15.75" customHeight="1">
      <c r="A267" s="15" t="s">
        <v>326</v>
      </c>
      <c r="B267" s="16">
        <v>45531.0</v>
      </c>
      <c r="C267" s="15" t="s">
        <v>54</v>
      </c>
      <c r="D267" s="15" t="s">
        <v>58</v>
      </c>
    </row>
    <row r="268" ht="15.75" customHeight="1">
      <c r="A268" s="17" t="s">
        <v>327</v>
      </c>
      <c r="B268" s="18">
        <v>45532.0</v>
      </c>
      <c r="C268" s="17" t="s">
        <v>66</v>
      </c>
      <c r="D268" s="17" t="s">
        <v>67</v>
      </c>
    </row>
    <row r="269" ht="15.75" customHeight="1">
      <c r="A269" s="15" t="s">
        <v>328</v>
      </c>
      <c r="B269" s="16">
        <v>45534.0</v>
      </c>
      <c r="C269" s="15" t="s">
        <v>66</v>
      </c>
      <c r="D269" s="15" t="s">
        <v>55</v>
      </c>
    </row>
    <row r="270" ht="15.75" customHeight="1">
      <c r="A270" s="17" t="s">
        <v>329</v>
      </c>
      <c r="B270" s="18">
        <v>45535.0</v>
      </c>
      <c r="C270" s="17" t="s">
        <v>66</v>
      </c>
      <c r="D270" s="17" t="s">
        <v>55</v>
      </c>
    </row>
    <row r="271" ht="15.75" customHeight="1">
      <c r="A271" s="15" t="s">
        <v>330</v>
      </c>
      <c r="B271" s="16">
        <v>45537.0</v>
      </c>
      <c r="C271" s="15" t="s">
        <v>66</v>
      </c>
      <c r="D271" s="15" t="s">
        <v>55</v>
      </c>
    </row>
    <row r="272" ht="15.75" customHeight="1">
      <c r="A272" s="17" t="s">
        <v>331</v>
      </c>
      <c r="B272" s="18">
        <v>45538.0</v>
      </c>
      <c r="C272" s="17" t="s">
        <v>66</v>
      </c>
      <c r="D272" s="17" t="s">
        <v>61</v>
      </c>
    </row>
    <row r="273" ht="15.75" customHeight="1">
      <c r="A273" s="15" t="s">
        <v>332</v>
      </c>
      <c r="B273" s="16">
        <v>45538.0</v>
      </c>
      <c r="C273" s="15" t="s">
        <v>66</v>
      </c>
      <c r="D273" s="15" t="s">
        <v>61</v>
      </c>
    </row>
    <row r="274" ht="15.75" customHeight="1">
      <c r="A274" s="17" t="s">
        <v>333</v>
      </c>
      <c r="B274" s="18">
        <v>45540.0</v>
      </c>
      <c r="C274" s="17" t="s">
        <v>66</v>
      </c>
      <c r="D274" s="17" t="s">
        <v>58</v>
      </c>
    </row>
    <row r="275" ht="15.75" customHeight="1">
      <c r="A275" s="15" t="s">
        <v>334</v>
      </c>
      <c r="B275" s="16">
        <v>45540.0</v>
      </c>
      <c r="C275" s="15" t="s">
        <v>54</v>
      </c>
      <c r="D275" s="15" t="s">
        <v>58</v>
      </c>
    </row>
    <row r="276" ht="15.75" customHeight="1">
      <c r="A276" s="17" t="s">
        <v>335</v>
      </c>
      <c r="B276" s="18">
        <v>45541.0</v>
      </c>
      <c r="C276" s="17" t="s">
        <v>54</v>
      </c>
      <c r="D276" s="17" t="s">
        <v>58</v>
      </c>
    </row>
    <row r="277" ht="15.75" customHeight="1">
      <c r="A277" s="15" t="s">
        <v>336</v>
      </c>
      <c r="B277" s="16">
        <v>45542.0</v>
      </c>
      <c r="C277" s="15" t="s">
        <v>54</v>
      </c>
      <c r="D277" s="15" t="s">
        <v>58</v>
      </c>
    </row>
    <row r="278" ht="15.75" customHeight="1">
      <c r="A278" s="17" t="s">
        <v>337</v>
      </c>
      <c r="B278" s="18">
        <v>45544.0</v>
      </c>
      <c r="C278" s="17" t="s">
        <v>60</v>
      </c>
      <c r="D278" s="17" t="s">
        <v>64</v>
      </c>
    </row>
    <row r="279" ht="15.75" customHeight="1">
      <c r="A279" s="15" t="s">
        <v>338</v>
      </c>
      <c r="B279" s="16">
        <v>45545.0</v>
      </c>
      <c r="C279" s="15" t="s">
        <v>66</v>
      </c>
      <c r="D279" s="15" t="s">
        <v>67</v>
      </c>
    </row>
    <row r="280" ht="15.75" customHeight="1">
      <c r="A280" s="17" t="s">
        <v>339</v>
      </c>
      <c r="B280" s="18">
        <v>45546.0</v>
      </c>
      <c r="C280" s="17" t="s">
        <v>66</v>
      </c>
      <c r="D280" s="17" t="s">
        <v>55</v>
      </c>
    </row>
    <row r="281" ht="15.75" customHeight="1">
      <c r="A281" s="15" t="s">
        <v>340</v>
      </c>
      <c r="B281" s="16">
        <v>45547.0</v>
      </c>
      <c r="C281" s="15" t="s">
        <v>63</v>
      </c>
      <c r="D281" s="15" t="s">
        <v>67</v>
      </c>
    </row>
    <row r="282" ht="15.75" customHeight="1">
      <c r="A282" s="17" t="s">
        <v>341</v>
      </c>
      <c r="B282" s="18">
        <v>45547.0</v>
      </c>
      <c r="C282" s="17" t="s">
        <v>60</v>
      </c>
      <c r="D282" s="17" t="s">
        <v>58</v>
      </c>
    </row>
    <row r="283" ht="15.75" customHeight="1">
      <c r="A283" s="15" t="s">
        <v>342</v>
      </c>
      <c r="B283" s="16">
        <v>45547.0</v>
      </c>
      <c r="C283" s="15" t="s">
        <v>63</v>
      </c>
      <c r="D283" s="15" t="s">
        <v>55</v>
      </c>
    </row>
    <row r="284" ht="15.75" customHeight="1">
      <c r="A284" s="17" t="s">
        <v>343</v>
      </c>
      <c r="B284" s="18">
        <v>45547.0</v>
      </c>
      <c r="C284" s="17" t="s">
        <v>60</v>
      </c>
      <c r="D284" s="17" t="s">
        <v>55</v>
      </c>
    </row>
    <row r="285" ht="15.75" customHeight="1">
      <c r="A285" s="15" t="s">
        <v>344</v>
      </c>
      <c r="B285" s="16">
        <v>45550.0</v>
      </c>
      <c r="C285" s="15" t="s">
        <v>54</v>
      </c>
      <c r="D285" s="15" t="s">
        <v>61</v>
      </c>
    </row>
    <row r="286" ht="15.75" customHeight="1">
      <c r="A286" s="17" t="s">
        <v>345</v>
      </c>
      <c r="B286" s="18">
        <v>45551.0</v>
      </c>
      <c r="C286" s="17" t="s">
        <v>69</v>
      </c>
      <c r="D286" s="17" t="s">
        <v>55</v>
      </c>
    </row>
    <row r="287" ht="15.75" customHeight="1">
      <c r="A287" s="15" t="s">
        <v>346</v>
      </c>
      <c r="B287" s="16">
        <v>45551.0</v>
      </c>
      <c r="C287" s="15" t="s">
        <v>63</v>
      </c>
      <c r="D287" s="15" t="s">
        <v>61</v>
      </c>
    </row>
    <row r="288" ht="15.75" customHeight="1">
      <c r="A288" s="17" t="s">
        <v>347</v>
      </c>
      <c r="B288" s="18">
        <v>45552.0</v>
      </c>
      <c r="C288" s="17" t="s">
        <v>60</v>
      </c>
      <c r="D288" s="17" t="s">
        <v>58</v>
      </c>
    </row>
    <row r="289" ht="15.75" customHeight="1">
      <c r="A289" s="15" t="s">
        <v>348</v>
      </c>
      <c r="B289" s="16">
        <v>45552.0</v>
      </c>
      <c r="C289" s="15" t="s">
        <v>66</v>
      </c>
      <c r="D289" s="15" t="s">
        <v>67</v>
      </c>
    </row>
    <row r="290" ht="15.75" customHeight="1">
      <c r="A290" s="17" t="s">
        <v>349</v>
      </c>
      <c r="B290" s="18">
        <v>45552.0</v>
      </c>
      <c r="C290" s="17" t="s">
        <v>54</v>
      </c>
      <c r="D290" s="17" t="s">
        <v>67</v>
      </c>
    </row>
    <row r="291" ht="15.75" customHeight="1">
      <c r="A291" s="15" t="s">
        <v>350</v>
      </c>
      <c r="B291" s="16">
        <v>45553.0</v>
      </c>
      <c r="C291" s="15" t="s">
        <v>60</v>
      </c>
      <c r="D291" s="15" t="s">
        <v>67</v>
      </c>
    </row>
    <row r="292" ht="15.75" customHeight="1">
      <c r="A292" s="17" t="s">
        <v>351</v>
      </c>
      <c r="B292" s="18">
        <v>45553.0</v>
      </c>
      <c r="C292" s="17" t="s">
        <v>69</v>
      </c>
      <c r="D292" s="17" t="s">
        <v>64</v>
      </c>
    </row>
    <row r="293" ht="15.75" customHeight="1">
      <c r="A293" s="15" t="s">
        <v>352</v>
      </c>
      <c r="B293" s="16">
        <v>45553.0</v>
      </c>
      <c r="C293" s="15" t="s">
        <v>63</v>
      </c>
      <c r="D293" s="15" t="s">
        <v>55</v>
      </c>
    </row>
    <row r="294" ht="15.75" customHeight="1">
      <c r="A294" s="17" t="s">
        <v>353</v>
      </c>
      <c r="B294" s="18">
        <v>45554.0</v>
      </c>
      <c r="C294" s="17" t="s">
        <v>60</v>
      </c>
      <c r="D294" s="17" t="s">
        <v>55</v>
      </c>
    </row>
    <row r="295" ht="15.75" customHeight="1">
      <c r="A295" s="15" t="s">
        <v>354</v>
      </c>
      <c r="B295" s="16">
        <v>45555.0</v>
      </c>
      <c r="C295" s="15" t="s">
        <v>63</v>
      </c>
      <c r="D295" s="15" t="s">
        <v>61</v>
      </c>
    </row>
    <row r="296" ht="15.75" customHeight="1">
      <c r="A296" s="17" t="s">
        <v>355</v>
      </c>
      <c r="B296" s="18">
        <v>45556.0</v>
      </c>
      <c r="C296" s="17" t="s">
        <v>66</v>
      </c>
      <c r="D296" s="17" t="s">
        <v>55</v>
      </c>
    </row>
    <row r="297" ht="15.75" customHeight="1">
      <c r="A297" s="15" t="s">
        <v>356</v>
      </c>
      <c r="B297" s="16">
        <v>45557.0</v>
      </c>
      <c r="C297" s="15" t="s">
        <v>69</v>
      </c>
      <c r="D297" s="15" t="s">
        <v>55</v>
      </c>
    </row>
    <row r="298" ht="15.75" customHeight="1">
      <c r="A298" s="17" t="s">
        <v>357</v>
      </c>
      <c r="B298" s="18">
        <v>45557.0</v>
      </c>
      <c r="C298" s="17" t="s">
        <v>69</v>
      </c>
      <c r="D298" s="17" t="s">
        <v>55</v>
      </c>
    </row>
    <row r="299" ht="15.75" customHeight="1">
      <c r="A299" s="15" t="s">
        <v>358</v>
      </c>
      <c r="B299" s="16">
        <v>45558.0</v>
      </c>
      <c r="C299" s="15" t="s">
        <v>63</v>
      </c>
      <c r="D299" s="15" t="s">
        <v>61</v>
      </c>
    </row>
    <row r="300" ht="15.75" customHeight="1">
      <c r="A300" s="17" t="s">
        <v>359</v>
      </c>
      <c r="B300" s="18">
        <v>45559.0</v>
      </c>
      <c r="C300" s="17" t="s">
        <v>69</v>
      </c>
      <c r="D300" s="17" t="s">
        <v>55</v>
      </c>
    </row>
    <row r="301" ht="15.75" customHeight="1">
      <c r="A301" s="15" t="s">
        <v>360</v>
      </c>
      <c r="B301" s="16">
        <v>45561.0</v>
      </c>
      <c r="C301" s="15" t="s">
        <v>54</v>
      </c>
      <c r="D301" s="15" t="s">
        <v>61</v>
      </c>
    </row>
    <row r="302" ht="15.75" customHeight="1">
      <c r="A302" s="17" t="s">
        <v>361</v>
      </c>
      <c r="B302" s="18">
        <v>45562.0</v>
      </c>
      <c r="C302" s="17" t="s">
        <v>54</v>
      </c>
      <c r="D302" s="17" t="s">
        <v>67</v>
      </c>
    </row>
    <row r="303" ht="15.75" customHeight="1">
      <c r="A303" s="15" t="s">
        <v>362</v>
      </c>
      <c r="B303" s="16">
        <v>45563.0</v>
      </c>
      <c r="C303" s="15" t="s">
        <v>63</v>
      </c>
      <c r="D303" s="15" t="s">
        <v>58</v>
      </c>
    </row>
    <row r="304" ht="15.75" customHeight="1">
      <c r="A304" s="17" t="s">
        <v>363</v>
      </c>
      <c r="B304" s="18">
        <v>45565.0</v>
      </c>
      <c r="C304" s="17" t="s">
        <v>57</v>
      </c>
      <c r="D304" s="17" t="s">
        <v>55</v>
      </c>
    </row>
    <row r="305" ht="15.75" customHeight="1">
      <c r="A305" s="15" t="s">
        <v>364</v>
      </c>
      <c r="B305" s="16">
        <v>45566.0</v>
      </c>
      <c r="C305" s="15" t="s">
        <v>66</v>
      </c>
      <c r="D305" s="15" t="s">
        <v>67</v>
      </c>
    </row>
    <row r="306" ht="15.75" customHeight="1">
      <c r="A306" s="17" t="s">
        <v>365</v>
      </c>
      <c r="B306" s="18">
        <v>45566.0</v>
      </c>
      <c r="C306" s="17" t="s">
        <v>63</v>
      </c>
      <c r="D306" s="17" t="s">
        <v>58</v>
      </c>
    </row>
    <row r="307" ht="15.75" customHeight="1">
      <c r="A307" s="15" t="s">
        <v>366</v>
      </c>
      <c r="B307" s="16">
        <v>45566.0</v>
      </c>
      <c r="C307" s="15" t="s">
        <v>69</v>
      </c>
      <c r="D307" s="15" t="s">
        <v>58</v>
      </c>
    </row>
    <row r="308" ht="15.75" customHeight="1">
      <c r="A308" s="17" t="s">
        <v>367</v>
      </c>
      <c r="B308" s="18">
        <v>45568.0</v>
      </c>
      <c r="C308" s="17" t="s">
        <v>69</v>
      </c>
      <c r="D308" s="17" t="s">
        <v>55</v>
      </c>
    </row>
    <row r="309" ht="15.75" customHeight="1">
      <c r="A309" s="15" t="s">
        <v>368</v>
      </c>
      <c r="B309" s="16">
        <v>45568.0</v>
      </c>
      <c r="C309" s="15" t="s">
        <v>66</v>
      </c>
      <c r="D309" s="15" t="s">
        <v>55</v>
      </c>
    </row>
    <row r="310" ht="15.75" customHeight="1">
      <c r="A310" s="17" t="s">
        <v>369</v>
      </c>
      <c r="B310" s="18">
        <v>45568.0</v>
      </c>
      <c r="C310" s="17" t="s">
        <v>63</v>
      </c>
      <c r="D310" s="17" t="s">
        <v>58</v>
      </c>
    </row>
    <row r="311" ht="15.75" customHeight="1">
      <c r="A311" s="15" t="s">
        <v>370</v>
      </c>
      <c r="B311" s="16">
        <v>45569.0</v>
      </c>
      <c r="C311" s="15" t="s">
        <v>66</v>
      </c>
      <c r="D311" s="15" t="s">
        <v>55</v>
      </c>
    </row>
    <row r="312" ht="15.75" customHeight="1">
      <c r="A312" s="17" t="s">
        <v>371</v>
      </c>
      <c r="B312" s="18">
        <v>45569.0</v>
      </c>
      <c r="C312" s="17" t="s">
        <v>66</v>
      </c>
      <c r="D312" s="17" t="s">
        <v>58</v>
      </c>
    </row>
    <row r="313" ht="15.75" customHeight="1">
      <c r="A313" s="15" t="s">
        <v>372</v>
      </c>
      <c r="B313" s="16">
        <v>45570.0</v>
      </c>
      <c r="C313" s="15" t="s">
        <v>57</v>
      </c>
      <c r="D313" s="15" t="s">
        <v>58</v>
      </c>
    </row>
    <row r="314" ht="15.75" customHeight="1">
      <c r="A314" s="17" t="s">
        <v>373</v>
      </c>
      <c r="B314" s="18">
        <v>45570.0</v>
      </c>
      <c r="C314" s="17" t="s">
        <v>66</v>
      </c>
      <c r="D314" s="17" t="s">
        <v>67</v>
      </c>
    </row>
    <row r="315" ht="15.75" customHeight="1">
      <c r="A315" s="15" t="s">
        <v>374</v>
      </c>
      <c r="B315" s="16">
        <v>45570.0</v>
      </c>
      <c r="C315" s="15" t="s">
        <v>54</v>
      </c>
      <c r="D315" s="15" t="s">
        <v>61</v>
      </c>
    </row>
    <row r="316" ht="15.75" customHeight="1">
      <c r="A316" s="17" t="s">
        <v>375</v>
      </c>
      <c r="B316" s="18">
        <v>45571.0</v>
      </c>
      <c r="C316" s="17" t="s">
        <v>60</v>
      </c>
      <c r="D316" s="17" t="s">
        <v>58</v>
      </c>
    </row>
    <row r="317" ht="15.75" customHeight="1">
      <c r="A317" s="15" t="s">
        <v>376</v>
      </c>
      <c r="B317" s="16">
        <v>45572.0</v>
      </c>
      <c r="C317" s="15" t="s">
        <v>63</v>
      </c>
      <c r="D317" s="15" t="s">
        <v>55</v>
      </c>
    </row>
    <row r="318" ht="15.75" customHeight="1">
      <c r="A318" s="17" t="s">
        <v>377</v>
      </c>
      <c r="B318" s="18">
        <v>45574.0</v>
      </c>
      <c r="C318" s="17" t="s">
        <v>60</v>
      </c>
      <c r="D318" s="17" t="s">
        <v>61</v>
      </c>
    </row>
    <row r="319" ht="15.75" customHeight="1">
      <c r="A319" s="15" t="s">
        <v>378</v>
      </c>
      <c r="B319" s="16">
        <v>45574.0</v>
      </c>
      <c r="C319" s="15" t="s">
        <v>66</v>
      </c>
      <c r="D319" s="15" t="s">
        <v>64</v>
      </c>
    </row>
    <row r="320" ht="15.75" customHeight="1">
      <c r="A320" s="17" t="s">
        <v>379</v>
      </c>
      <c r="B320" s="18">
        <v>45575.0</v>
      </c>
      <c r="C320" s="17" t="s">
        <v>60</v>
      </c>
      <c r="D320" s="17" t="s">
        <v>55</v>
      </c>
    </row>
    <row r="321" ht="15.75" customHeight="1">
      <c r="A321" s="15" t="s">
        <v>380</v>
      </c>
      <c r="B321" s="16">
        <v>45576.0</v>
      </c>
      <c r="C321" s="15" t="s">
        <v>57</v>
      </c>
      <c r="D321" s="15" t="s">
        <v>61</v>
      </c>
    </row>
    <row r="322" ht="15.75" customHeight="1">
      <c r="A322" s="17" t="s">
        <v>381</v>
      </c>
      <c r="B322" s="18">
        <v>45576.0</v>
      </c>
      <c r="C322" s="17" t="s">
        <v>60</v>
      </c>
      <c r="D322" s="17" t="s">
        <v>67</v>
      </c>
    </row>
    <row r="323" ht="15.75" customHeight="1">
      <c r="A323" s="15" t="s">
        <v>382</v>
      </c>
      <c r="B323" s="16">
        <v>45577.0</v>
      </c>
      <c r="C323" s="15" t="s">
        <v>60</v>
      </c>
      <c r="D323" s="15" t="s">
        <v>55</v>
      </c>
    </row>
    <row r="324" ht="15.75" customHeight="1">
      <c r="A324" s="17" t="s">
        <v>383</v>
      </c>
      <c r="B324" s="18">
        <v>45577.0</v>
      </c>
      <c r="C324" s="17" t="s">
        <v>69</v>
      </c>
      <c r="D324" s="17" t="s">
        <v>61</v>
      </c>
    </row>
    <row r="325" ht="15.75" customHeight="1">
      <c r="A325" s="15" t="s">
        <v>384</v>
      </c>
      <c r="B325" s="16">
        <v>45577.0</v>
      </c>
      <c r="C325" s="15" t="s">
        <v>57</v>
      </c>
      <c r="D325" s="15" t="s">
        <v>58</v>
      </c>
    </row>
    <row r="326" ht="15.75" customHeight="1">
      <c r="A326" s="17" t="s">
        <v>385</v>
      </c>
      <c r="B326" s="18">
        <v>45577.0</v>
      </c>
      <c r="C326" s="17" t="s">
        <v>63</v>
      </c>
      <c r="D326" s="17" t="s">
        <v>55</v>
      </c>
    </row>
    <row r="327" ht="15.75" customHeight="1">
      <c r="A327" s="15" t="s">
        <v>386</v>
      </c>
      <c r="B327" s="16">
        <v>45577.0</v>
      </c>
      <c r="C327" s="15" t="s">
        <v>69</v>
      </c>
      <c r="D327" s="15" t="s">
        <v>58</v>
      </c>
    </row>
    <row r="328" ht="15.75" customHeight="1">
      <c r="A328" s="17" t="s">
        <v>387</v>
      </c>
      <c r="B328" s="18">
        <v>45578.0</v>
      </c>
      <c r="C328" s="17" t="s">
        <v>69</v>
      </c>
      <c r="D328" s="17" t="s">
        <v>55</v>
      </c>
    </row>
    <row r="329" ht="15.75" customHeight="1">
      <c r="A329" s="15" t="s">
        <v>388</v>
      </c>
      <c r="B329" s="16">
        <v>45579.0</v>
      </c>
      <c r="C329" s="15" t="s">
        <v>69</v>
      </c>
      <c r="D329" s="15" t="s">
        <v>55</v>
      </c>
    </row>
    <row r="330" ht="15.75" customHeight="1">
      <c r="A330" s="17" t="s">
        <v>389</v>
      </c>
      <c r="B330" s="18">
        <v>45579.0</v>
      </c>
      <c r="C330" s="17" t="s">
        <v>60</v>
      </c>
      <c r="D330" s="17" t="s">
        <v>55</v>
      </c>
    </row>
    <row r="331" ht="15.75" customHeight="1">
      <c r="A331" s="15" t="s">
        <v>390</v>
      </c>
      <c r="B331" s="16">
        <v>45582.0</v>
      </c>
      <c r="C331" s="15" t="s">
        <v>60</v>
      </c>
      <c r="D331" s="15" t="s">
        <v>58</v>
      </c>
    </row>
    <row r="332" ht="15.75" customHeight="1">
      <c r="A332" s="17" t="s">
        <v>391</v>
      </c>
      <c r="B332" s="18">
        <v>45582.0</v>
      </c>
      <c r="C332" s="17" t="s">
        <v>69</v>
      </c>
      <c r="D332" s="17" t="s">
        <v>58</v>
      </c>
    </row>
    <row r="333" ht="15.75" customHeight="1">
      <c r="A333" s="15" t="s">
        <v>392</v>
      </c>
      <c r="B333" s="16">
        <v>45583.0</v>
      </c>
      <c r="C333" s="15" t="s">
        <v>69</v>
      </c>
      <c r="D333" s="15" t="s">
        <v>55</v>
      </c>
    </row>
    <row r="334" ht="15.75" customHeight="1">
      <c r="A334" s="17" t="s">
        <v>393</v>
      </c>
      <c r="B334" s="18">
        <v>45583.0</v>
      </c>
      <c r="C334" s="17" t="s">
        <v>60</v>
      </c>
      <c r="D334" s="17" t="s">
        <v>58</v>
      </c>
    </row>
    <row r="335" ht="15.75" customHeight="1">
      <c r="A335" s="15" t="s">
        <v>394</v>
      </c>
      <c r="B335" s="16">
        <v>45583.0</v>
      </c>
      <c r="C335" s="15" t="s">
        <v>54</v>
      </c>
      <c r="D335" s="15" t="s">
        <v>55</v>
      </c>
    </row>
    <row r="336" ht="15.75" customHeight="1">
      <c r="A336" s="17" t="s">
        <v>395</v>
      </c>
      <c r="B336" s="18">
        <v>45583.0</v>
      </c>
      <c r="C336" s="17" t="s">
        <v>60</v>
      </c>
      <c r="D336" s="17" t="s">
        <v>61</v>
      </c>
    </row>
    <row r="337" ht="15.75" customHeight="1">
      <c r="A337" s="15" t="s">
        <v>396</v>
      </c>
      <c r="B337" s="16">
        <v>45584.0</v>
      </c>
      <c r="C337" s="15" t="s">
        <v>60</v>
      </c>
      <c r="D337" s="15" t="s">
        <v>55</v>
      </c>
    </row>
    <row r="338" ht="15.75" customHeight="1">
      <c r="A338" s="17" t="s">
        <v>397</v>
      </c>
      <c r="B338" s="18">
        <v>45585.0</v>
      </c>
      <c r="C338" s="17" t="s">
        <v>66</v>
      </c>
      <c r="D338" s="17" t="s">
        <v>55</v>
      </c>
    </row>
    <row r="339" ht="15.75" customHeight="1">
      <c r="A339" s="15" t="s">
        <v>398</v>
      </c>
      <c r="B339" s="16">
        <v>45586.0</v>
      </c>
      <c r="C339" s="15" t="s">
        <v>63</v>
      </c>
      <c r="D339" s="15" t="s">
        <v>58</v>
      </c>
    </row>
    <row r="340" ht="15.75" customHeight="1">
      <c r="A340" s="17" t="s">
        <v>399</v>
      </c>
      <c r="B340" s="18">
        <v>45586.0</v>
      </c>
      <c r="C340" s="17" t="s">
        <v>57</v>
      </c>
      <c r="D340" s="17" t="s">
        <v>64</v>
      </c>
    </row>
    <row r="341" ht="15.75" customHeight="1">
      <c r="A341" s="15" t="s">
        <v>400</v>
      </c>
      <c r="B341" s="16">
        <v>45586.0</v>
      </c>
      <c r="C341" s="15" t="s">
        <v>60</v>
      </c>
      <c r="D341" s="15" t="s">
        <v>67</v>
      </c>
    </row>
    <row r="342" ht="15.75" customHeight="1">
      <c r="A342" s="17" t="s">
        <v>401</v>
      </c>
      <c r="B342" s="18">
        <v>45587.0</v>
      </c>
      <c r="C342" s="17" t="s">
        <v>66</v>
      </c>
      <c r="D342" s="17" t="s">
        <v>55</v>
      </c>
    </row>
    <row r="343" ht="15.75" customHeight="1">
      <c r="A343" s="15" t="s">
        <v>402</v>
      </c>
      <c r="B343" s="16">
        <v>45587.0</v>
      </c>
      <c r="C343" s="15" t="s">
        <v>66</v>
      </c>
      <c r="D343" s="15" t="s">
        <v>58</v>
      </c>
    </row>
    <row r="344" ht="15.75" customHeight="1">
      <c r="A344" s="17" t="s">
        <v>403</v>
      </c>
      <c r="B344" s="18">
        <v>45588.0</v>
      </c>
      <c r="C344" s="17" t="s">
        <v>66</v>
      </c>
      <c r="D344" s="17" t="s">
        <v>61</v>
      </c>
    </row>
    <row r="345" ht="15.75" customHeight="1">
      <c r="A345" s="15" t="s">
        <v>404</v>
      </c>
      <c r="B345" s="16">
        <v>45588.0</v>
      </c>
      <c r="C345" s="15" t="s">
        <v>54</v>
      </c>
      <c r="D345" s="15" t="s">
        <v>55</v>
      </c>
    </row>
    <row r="346" ht="15.75" customHeight="1">
      <c r="A346" s="17" t="s">
        <v>405</v>
      </c>
      <c r="B346" s="18">
        <v>45589.0</v>
      </c>
      <c r="C346" s="17" t="s">
        <v>66</v>
      </c>
      <c r="D346" s="17" t="s">
        <v>61</v>
      </c>
    </row>
    <row r="347" ht="15.75" customHeight="1">
      <c r="A347" s="15" t="s">
        <v>406</v>
      </c>
      <c r="B347" s="16">
        <v>45589.0</v>
      </c>
      <c r="C347" s="15" t="s">
        <v>60</v>
      </c>
      <c r="D347" s="15" t="s">
        <v>67</v>
      </c>
    </row>
    <row r="348" ht="15.75" customHeight="1">
      <c r="A348" s="17" t="s">
        <v>407</v>
      </c>
      <c r="B348" s="18">
        <v>45589.0</v>
      </c>
      <c r="C348" s="17" t="s">
        <v>60</v>
      </c>
      <c r="D348" s="17" t="s">
        <v>58</v>
      </c>
    </row>
    <row r="349" ht="15.75" customHeight="1">
      <c r="A349" s="15" t="s">
        <v>408</v>
      </c>
      <c r="B349" s="16">
        <v>45592.0</v>
      </c>
      <c r="C349" s="15" t="s">
        <v>60</v>
      </c>
      <c r="D349" s="15" t="s">
        <v>67</v>
      </c>
    </row>
    <row r="350" ht="15.75" customHeight="1">
      <c r="A350" s="17" t="s">
        <v>409</v>
      </c>
      <c r="B350" s="18">
        <v>45593.0</v>
      </c>
      <c r="C350" s="17" t="s">
        <v>66</v>
      </c>
      <c r="D350" s="17" t="s">
        <v>55</v>
      </c>
    </row>
    <row r="351" ht="15.75" customHeight="1">
      <c r="A351" s="15" t="s">
        <v>410</v>
      </c>
      <c r="B351" s="16">
        <v>45593.0</v>
      </c>
      <c r="C351" s="15" t="s">
        <v>57</v>
      </c>
      <c r="D351" s="15" t="s">
        <v>67</v>
      </c>
    </row>
    <row r="352" ht="15.75" customHeight="1">
      <c r="A352" s="17" t="s">
        <v>411</v>
      </c>
      <c r="B352" s="18">
        <v>45593.0</v>
      </c>
      <c r="C352" s="17" t="s">
        <v>69</v>
      </c>
      <c r="D352" s="17" t="s">
        <v>67</v>
      </c>
    </row>
    <row r="353" ht="15.75" customHeight="1">
      <c r="A353" s="15" t="s">
        <v>412</v>
      </c>
      <c r="B353" s="16">
        <v>45593.0</v>
      </c>
      <c r="C353" s="15" t="s">
        <v>66</v>
      </c>
      <c r="D353" s="15" t="s">
        <v>67</v>
      </c>
    </row>
    <row r="354" ht="15.75" customHeight="1">
      <c r="A354" s="17" t="s">
        <v>413</v>
      </c>
      <c r="B354" s="18">
        <v>45593.0</v>
      </c>
      <c r="C354" s="17" t="s">
        <v>69</v>
      </c>
      <c r="D354" s="17" t="s">
        <v>67</v>
      </c>
    </row>
    <row r="355" ht="15.75" customHeight="1">
      <c r="A355" s="15" t="s">
        <v>414</v>
      </c>
      <c r="B355" s="16">
        <v>45594.0</v>
      </c>
      <c r="C355" s="15" t="s">
        <v>66</v>
      </c>
      <c r="D355" s="15" t="s">
        <v>58</v>
      </c>
    </row>
    <row r="356" ht="15.75" customHeight="1">
      <c r="A356" s="17" t="s">
        <v>415</v>
      </c>
      <c r="B356" s="18">
        <v>45596.0</v>
      </c>
      <c r="C356" s="17" t="s">
        <v>60</v>
      </c>
      <c r="D356" s="17" t="s">
        <v>64</v>
      </c>
    </row>
    <row r="357" ht="15.75" customHeight="1">
      <c r="A357" s="15" t="s">
        <v>416</v>
      </c>
      <c r="B357" s="16">
        <v>45596.0</v>
      </c>
      <c r="C357" s="15" t="s">
        <v>66</v>
      </c>
      <c r="D357" s="15" t="s">
        <v>64</v>
      </c>
    </row>
    <row r="358" ht="15.75" customHeight="1">
      <c r="A358" s="17" t="s">
        <v>417</v>
      </c>
      <c r="B358" s="18">
        <v>45597.0</v>
      </c>
      <c r="C358" s="17" t="s">
        <v>57</v>
      </c>
      <c r="D358" s="17" t="s">
        <v>55</v>
      </c>
    </row>
    <row r="359" ht="15.75" customHeight="1">
      <c r="A359" s="15" t="s">
        <v>418</v>
      </c>
      <c r="B359" s="16">
        <v>45597.0</v>
      </c>
      <c r="C359" s="15" t="s">
        <v>54</v>
      </c>
      <c r="D359" s="15" t="s">
        <v>58</v>
      </c>
    </row>
    <row r="360" ht="15.75" customHeight="1">
      <c r="A360" s="17" t="s">
        <v>419</v>
      </c>
      <c r="B360" s="18">
        <v>45599.0</v>
      </c>
      <c r="C360" s="17" t="s">
        <v>60</v>
      </c>
      <c r="D360" s="17" t="s">
        <v>61</v>
      </c>
    </row>
    <row r="361" ht="15.75" customHeight="1">
      <c r="A361" s="15" t="s">
        <v>420</v>
      </c>
      <c r="B361" s="16">
        <v>45600.0</v>
      </c>
      <c r="C361" s="15" t="s">
        <v>66</v>
      </c>
      <c r="D361" s="15" t="s">
        <v>55</v>
      </c>
    </row>
    <row r="362" ht="15.75" customHeight="1">
      <c r="A362" s="17" t="s">
        <v>421</v>
      </c>
      <c r="B362" s="18">
        <v>45600.0</v>
      </c>
      <c r="C362" s="17" t="s">
        <v>63</v>
      </c>
      <c r="D362" s="17" t="s">
        <v>58</v>
      </c>
    </row>
    <row r="363" ht="15.75" customHeight="1">
      <c r="A363" s="15" t="s">
        <v>422</v>
      </c>
      <c r="B363" s="16">
        <v>45601.0</v>
      </c>
      <c r="C363" s="15" t="s">
        <v>60</v>
      </c>
      <c r="D363" s="15" t="s">
        <v>58</v>
      </c>
    </row>
    <row r="364" ht="15.75" customHeight="1">
      <c r="A364" s="17" t="s">
        <v>423</v>
      </c>
      <c r="B364" s="18">
        <v>45601.0</v>
      </c>
      <c r="C364" s="17" t="s">
        <v>63</v>
      </c>
      <c r="D364" s="17" t="s">
        <v>55</v>
      </c>
    </row>
    <row r="365" ht="15.75" customHeight="1">
      <c r="A365" s="15" t="s">
        <v>424</v>
      </c>
      <c r="B365" s="16">
        <v>45601.0</v>
      </c>
      <c r="C365" s="15" t="s">
        <v>60</v>
      </c>
      <c r="D365" s="15" t="s">
        <v>55</v>
      </c>
    </row>
    <row r="366" ht="15.75" customHeight="1">
      <c r="A366" s="17" t="s">
        <v>425</v>
      </c>
      <c r="B366" s="18">
        <v>45603.0</v>
      </c>
      <c r="C366" s="17" t="s">
        <v>57</v>
      </c>
      <c r="D366" s="17" t="s">
        <v>64</v>
      </c>
    </row>
    <row r="367" ht="15.75" customHeight="1">
      <c r="A367" s="15" t="s">
        <v>426</v>
      </c>
      <c r="B367" s="16">
        <v>45603.0</v>
      </c>
      <c r="C367" s="15" t="s">
        <v>63</v>
      </c>
      <c r="D367" s="15" t="s">
        <v>58</v>
      </c>
    </row>
    <row r="368" ht="15.75" customHeight="1">
      <c r="A368" s="17" t="s">
        <v>427</v>
      </c>
      <c r="B368" s="18">
        <v>45604.0</v>
      </c>
      <c r="C368" s="17" t="s">
        <v>66</v>
      </c>
      <c r="D368" s="17" t="s">
        <v>55</v>
      </c>
    </row>
    <row r="369" ht="15.75" customHeight="1">
      <c r="A369" s="15" t="s">
        <v>428</v>
      </c>
      <c r="B369" s="16">
        <v>45604.0</v>
      </c>
      <c r="C369" s="15" t="s">
        <v>66</v>
      </c>
      <c r="D369" s="15" t="s">
        <v>55</v>
      </c>
    </row>
    <row r="370" ht="15.75" customHeight="1">
      <c r="A370" s="17" t="s">
        <v>429</v>
      </c>
      <c r="B370" s="18">
        <v>45605.0</v>
      </c>
      <c r="C370" s="17" t="s">
        <v>60</v>
      </c>
      <c r="D370" s="17" t="s">
        <v>58</v>
      </c>
    </row>
    <row r="371" ht="15.75" customHeight="1">
      <c r="A371" s="15" t="s">
        <v>430</v>
      </c>
      <c r="B371" s="16">
        <v>45605.0</v>
      </c>
      <c r="C371" s="15" t="s">
        <v>66</v>
      </c>
      <c r="D371" s="15" t="s">
        <v>64</v>
      </c>
    </row>
    <row r="372" ht="15.75" customHeight="1">
      <c r="A372" s="17" t="s">
        <v>431</v>
      </c>
      <c r="B372" s="18">
        <v>45608.0</v>
      </c>
      <c r="C372" s="17" t="s">
        <v>57</v>
      </c>
      <c r="D372" s="17" t="s">
        <v>55</v>
      </c>
    </row>
    <row r="373" ht="15.75" customHeight="1">
      <c r="A373" s="15" t="s">
        <v>432</v>
      </c>
      <c r="B373" s="16">
        <v>45608.0</v>
      </c>
      <c r="C373" s="15" t="s">
        <v>63</v>
      </c>
      <c r="D373" s="15" t="s">
        <v>67</v>
      </c>
    </row>
    <row r="374" ht="15.75" customHeight="1">
      <c r="A374" s="17" t="s">
        <v>433</v>
      </c>
      <c r="B374" s="18">
        <v>45608.0</v>
      </c>
      <c r="C374" s="17" t="s">
        <v>66</v>
      </c>
      <c r="D374" s="17" t="s">
        <v>58</v>
      </c>
    </row>
    <row r="375" ht="15.75" customHeight="1">
      <c r="A375" s="15" t="s">
        <v>434</v>
      </c>
      <c r="B375" s="16">
        <v>45609.0</v>
      </c>
      <c r="C375" s="15" t="s">
        <v>60</v>
      </c>
      <c r="D375" s="15" t="s">
        <v>61</v>
      </c>
    </row>
    <row r="376" ht="15.75" customHeight="1">
      <c r="A376" s="17" t="s">
        <v>435</v>
      </c>
      <c r="B376" s="18">
        <v>45610.0</v>
      </c>
      <c r="C376" s="17" t="s">
        <v>66</v>
      </c>
      <c r="D376" s="17" t="s">
        <v>58</v>
      </c>
    </row>
    <row r="377" ht="15.75" customHeight="1">
      <c r="A377" s="15" t="s">
        <v>436</v>
      </c>
      <c r="B377" s="16">
        <v>45610.0</v>
      </c>
      <c r="C377" s="15" t="s">
        <v>63</v>
      </c>
      <c r="D377" s="15" t="s">
        <v>61</v>
      </c>
    </row>
    <row r="378" ht="15.75" customHeight="1">
      <c r="A378" s="17" t="s">
        <v>437</v>
      </c>
      <c r="B378" s="18">
        <v>45611.0</v>
      </c>
      <c r="C378" s="17" t="s">
        <v>66</v>
      </c>
      <c r="D378" s="17" t="s">
        <v>67</v>
      </c>
    </row>
    <row r="379" ht="15.75" customHeight="1">
      <c r="A379" s="15" t="s">
        <v>438</v>
      </c>
      <c r="B379" s="16">
        <v>45611.0</v>
      </c>
      <c r="C379" s="15" t="s">
        <v>66</v>
      </c>
      <c r="D379" s="15" t="s">
        <v>64</v>
      </c>
    </row>
    <row r="380" ht="15.75" customHeight="1">
      <c r="A380" s="17" t="s">
        <v>439</v>
      </c>
      <c r="B380" s="18">
        <v>45611.0</v>
      </c>
      <c r="C380" s="17" t="s">
        <v>66</v>
      </c>
      <c r="D380" s="17" t="s">
        <v>55</v>
      </c>
    </row>
    <row r="381" ht="15.75" customHeight="1">
      <c r="A381" s="15" t="s">
        <v>440</v>
      </c>
      <c r="B381" s="16">
        <v>45612.0</v>
      </c>
      <c r="C381" s="15" t="s">
        <v>66</v>
      </c>
      <c r="D381" s="15" t="s">
        <v>55</v>
      </c>
    </row>
    <row r="382" ht="15.75" customHeight="1">
      <c r="A382" s="17" t="s">
        <v>441</v>
      </c>
      <c r="B382" s="18">
        <v>45612.0</v>
      </c>
      <c r="C382" s="17" t="s">
        <v>57</v>
      </c>
      <c r="D382" s="17" t="s">
        <v>61</v>
      </c>
    </row>
    <row r="383" ht="15.75" customHeight="1">
      <c r="A383" s="15" t="s">
        <v>442</v>
      </c>
      <c r="B383" s="16">
        <v>45613.0</v>
      </c>
      <c r="C383" s="15" t="s">
        <v>54</v>
      </c>
      <c r="D383" s="15" t="s">
        <v>67</v>
      </c>
    </row>
    <row r="384" ht="15.75" customHeight="1">
      <c r="A384" s="17" t="s">
        <v>443</v>
      </c>
      <c r="B384" s="18">
        <v>45613.0</v>
      </c>
      <c r="C384" s="17" t="s">
        <v>69</v>
      </c>
      <c r="D384" s="17" t="s">
        <v>61</v>
      </c>
    </row>
    <row r="385" ht="15.75" customHeight="1">
      <c r="A385" s="15" t="s">
        <v>444</v>
      </c>
      <c r="B385" s="16">
        <v>45613.0</v>
      </c>
      <c r="C385" s="15" t="s">
        <v>66</v>
      </c>
      <c r="D385" s="15" t="s">
        <v>58</v>
      </c>
    </row>
    <row r="386" ht="15.75" customHeight="1">
      <c r="A386" s="17" t="s">
        <v>445</v>
      </c>
      <c r="B386" s="18">
        <v>45613.0</v>
      </c>
      <c r="C386" s="17" t="s">
        <v>57</v>
      </c>
      <c r="D386" s="17" t="s">
        <v>61</v>
      </c>
    </row>
    <row r="387" ht="15.75" customHeight="1">
      <c r="A387" s="15" t="s">
        <v>446</v>
      </c>
      <c r="B387" s="16">
        <v>45613.0</v>
      </c>
      <c r="C387" s="15" t="s">
        <v>57</v>
      </c>
      <c r="D387" s="15" t="s">
        <v>58</v>
      </c>
    </row>
    <row r="388" ht="15.75" customHeight="1">
      <c r="A388" s="17" t="s">
        <v>447</v>
      </c>
      <c r="B388" s="18">
        <v>45614.0</v>
      </c>
      <c r="C388" s="17" t="s">
        <v>60</v>
      </c>
      <c r="D388" s="17" t="s">
        <v>55</v>
      </c>
    </row>
    <row r="389" ht="15.75" customHeight="1">
      <c r="A389" s="15" t="s">
        <v>448</v>
      </c>
      <c r="B389" s="16">
        <v>45614.0</v>
      </c>
      <c r="C389" s="15" t="s">
        <v>54</v>
      </c>
      <c r="D389" s="15" t="s">
        <v>58</v>
      </c>
    </row>
    <row r="390" ht="15.75" customHeight="1">
      <c r="A390" s="17" t="s">
        <v>449</v>
      </c>
      <c r="B390" s="18">
        <v>45614.0</v>
      </c>
      <c r="C390" s="17" t="s">
        <v>66</v>
      </c>
      <c r="D390" s="17" t="s">
        <v>58</v>
      </c>
    </row>
    <row r="391" ht="15.75" customHeight="1">
      <c r="A391" s="15" t="s">
        <v>450</v>
      </c>
      <c r="B391" s="16">
        <v>45617.0</v>
      </c>
      <c r="C391" s="15" t="s">
        <v>63</v>
      </c>
      <c r="D391" s="15" t="s">
        <v>67</v>
      </c>
    </row>
    <row r="392" ht="15.75" customHeight="1">
      <c r="A392" s="17" t="s">
        <v>451</v>
      </c>
      <c r="B392" s="18">
        <v>45617.0</v>
      </c>
      <c r="C392" s="17" t="s">
        <v>57</v>
      </c>
      <c r="D392" s="17" t="s">
        <v>58</v>
      </c>
    </row>
    <row r="393" ht="15.75" customHeight="1">
      <c r="A393" s="15" t="s">
        <v>452</v>
      </c>
      <c r="B393" s="16">
        <v>45618.0</v>
      </c>
      <c r="C393" s="15" t="s">
        <v>69</v>
      </c>
      <c r="D393" s="15" t="s">
        <v>55</v>
      </c>
    </row>
    <row r="394" ht="15.75" customHeight="1">
      <c r="A394" s="17" t="s">
        <v>453</v>
      </c>
      <c r="B394" s="18">
        <v>45618.0</v>
      </c>
      <c r="C394" s="17" t="s">
        <v>66</v>
      </c>
      <c r="D394" s="17" t="s">
        <v>61</v>
      </c>
    </row>
    <row r="395" ht="15.75" customHeight="1">
      <c r="A395" s="15" t="s">
        <v>454</v>
      </c>
      <c r="B395" s="16">
        <v>45618.0</v>
      </c>
      <c r="C395" s="15" t="s">
        <v>66</v>
      </c>
      <c r="D395" s="15" t="s">
        <v>64</v>
      </c>
    </row>
    <row r="396" ht="15.75" customHeight="1">
      <c r="A396" s="17" t="s">
        <v>455</v>
      </c>
      <c r="B396" s="18">
        <v>45619.0</v>
      </c>
      <c r="C396" s="17" t="s">
        <v>66</v>
      </c>
      <c r="D396" s="17" t="s">
        <v>61</v>
      </c>
    </row>
    <row r="397" ht="15.75" customHeight="1">
      <c r="A397" s="15" t="s">
        <v>456</v>
      </c>
      <c r="B397" s="16">
        <v>45619.0</v>
      </c>
      <c r="C397" s="15" t="s">
        <v>54</v>
      </c>
      <c r="D397" s="15" t="s">
        <v>55</v>
      </c>
    </row>
    <row r="398" ht="15.75" customHeight="1">
      <c r="A398" s="17" t="s">
        <v>457</v>
      </c>
      <c r="B398" s="18">
        <v>45619.0</v>
      </c>
      <c r="C398" s="17" t="s">
        <v>60</v>
      </c>
      <c r="D398" s="17" t="s">
        <v>61</v>
      </c>
    </row>
    <row r="399" ht="15.75" customHeight="1">
      <c r="A399" s="15" t="s">
        <v>458</v>
      </c>
      <c r="B399" s="16">
        <v>45619.0</v>
      </c>
      <c r="C399" s="15" t="s">
        <v>66</v>
      </c>
      <c r="D399" s="15" t="s">
        <v>61</v>
      </c>
    </row>
    <row r="400" ht="15.75" customHeight="1">
      <c r="A400" s="17" t="s">
        <v>459</v>
      </c>
      <c r="B400" s="18">
        <v>45620.0</v>
      </c>
      <c r="C400" s="17" t="s">
        <v>60</v>
      </c>
      <c r="D400" s="17" t="s">
        <v>55</v>
      </c>
    </row>
    <row r="401" ht="15.75" customHeight="1">
      <c r="A401" s="15" t="s">
        <v>460</v>
      </c>
      <c r="B401" s="16">
        <v>45620.0</v>
      </c>
      <c r="C401" s="15" t="s">
        <v>66</v>
      </c>
      <c r="D401" s="15" t="s">
        <v>55</v>
      </c>
    </row>
    <row r="402" ht="15.75" customHeight="1">
      <c r="A402" s="17" t="s">
        <v>461</v>
      </c>
      <c r="B402" s="18">
        <v>45622.0</v>
      </c>
      <c r="C402" s="17" t="s">
        <v>66</v>
      </c>
      <c r="D402" s="17" t="s">
        <v>58</v>
      </c>
    </row>
    <row r="403" ht="15.75" customHeight="1">
      <c r="A403" s="15" t="s">
        <v>462</v>
      </c>
      <c r="B403" s="16">
        <v>45622.0</v>
      </c>
      <c r="C403" s="15" t="s">
        <v>66</v>
      </c>
      <c r="D403" s="15" t="s">
        <v>55</v>
      </c>
    </row>
    <row r="404" ht="15.75" customHeight="1">
      <c r="A404" s="17" t="s">
        <v>463</v>
      </c>
      <c r="B404" s="18">
        <v>45622.0</v>
      </c>
      <c r="C404" s="17" t="s">
        <v>57</v>
      </c>
      <c r="D404" s="17" t="s">
        <v>55</v>
      </c>
    </row>
    <row r="405" ht="15.75" customHeight="1">
      <c r="A405" s="15" t="s">
        <v>464</v>
      </c>
      <c r="B405" s="16">
        <v>45623.0</v>
      </c>
      <c r="C405" s="15" t="s">
        <v>63</v>
      </c>
      <c r="D405" s="15" t="s">
        <v>55</v>
      </c>
    </row>
    <row r="406" ht="15.75" customHeight="1">
      <c r="A406" s="17" t="s">
        <v>465</v>
      </c>
      <c r="B406" s="18">
        <v>45623.0</v>
      </c>
      <c r="C406" s="17" t="s">
        <v>63</v>
      </c>
      <c r="D406" s="17" t="s">
        <v>67</v>
      </c>
    </row>
    <row r="407" ht="15.75" customHeight="1">
      <c r="A407" s="15" t="s">
        <v>466</v>
      </c>
      <c r="B407" s="16">
        <v>45624.0</v>
      </c>
      <c r="C407" s="15" t="s">
        <v>69</v>
      </c>
      <c r="D407" s="15" t="s">
        <v>55</v>
      </c>
    </row>
    <row r="408" ht="15.75" customHeight="1">
      <c r="A408" s="17" t="s">
        <v>467</v>
      </c>
      <c r="B408" s="18">
        <v>45624.0</v>
      </c>
      <c r="C408" s="17" t="s">
        <v>54</v>
      </c>
      <c r="D408" s="17" t="s">
        <v>67</v>
      </c>
    </row>
    <row r="409" ht="15.75" customHeight="1">
      <c r="A409" s="15" t="s">
        <v>468</v>
      </c>
      <c r="B409" s="16">
        <v>45624.0</v>
      </c>
      <c r="C409" s="15" t="s">
        <v>66</v>
      </c>
      <c r="D409" s="15" t="s">
        <v>58</v>
      </c>
    </row>
    <row r="410" ht="15.75" customHeight="1">
      <c r="A410" s="17" t="s">
        <v>469</v>
      </c>
      <c r="B410" s="18">
        <v>45627.0</v>
      </c>
      <c r="C410" s="17" t="s">
        <v>57</v>
      </c>
      <c r="D410" s="17" t="s">
        <v>61</v>
      </c>
    </row>
    <row r="411" ht="15.75" customHeight="1">
      <c r="A411" s="15" t="s">
        <v>470</v>
      </c>
      <c r="B411" s="16">
        <v>45628.0</v>
      </c>
      <c r="C411" s="15" t="s">
        <v>66</v>
      </c>
      <c r="D411" s="15" t="s">
        <v>55</v>
      </c>
    </row>
    <row r="412" ht="15.75" customHeight="1">
      <c r="A412" s="17" t="s">
        <v>471</v>
      </c>
      <c r="B412" s="18">
        <v>45629.0</v>
      </c>
      <c r="C412" s="17" t="s">
        <v>54</v>
      </c>
      <c r="D412" s="17" t="s">
        <v>67</v>
      </c>
    </row>
    <row r="413" ht="15.75" customHeight="1">
      <c r="A413" s="15" t="s">
        <v>472</v>
      </c>
      <c r="B413" s="16">
        <v>45629.0</v>
      </c>
      <c r="C413" s="15" t="s">
        <v>66</v>
      </c>
      <c r="D413" s="15" t="s">
        <v>67</v>
      </c>
    </row>
    <row r="414" ht="15.75" customHeight="1">
      <c r="A414" s="17" t="s">
        <v>473</v>
      </c>
      <c r="B414" s="18">
        <v>45629.0</v>
      </c>
      <c r="C414" s="17" t="s">
        <v>66</v>
      </c>
      <c r="D414" s="17" t="s">
        <v>58</v>
      </c>
    </row>
    <row r="415" ht="15.75" customHeight="1">
      <c r="A415" s="15" t="s">
        <v>474</v>
      </c>
      <c r="B415" s="16">
        <v>45630.0</v>
      </c>
      <c r="C415" s="15" t="s">
        <v>57</v>
      </c>
      <c r="D415" s="15" t="s">
        <v>58</v>
      </c>
    </row>
    <row r="416" ht="15.75" customHeight="1">
      <c r="A416" s="17" t="s">
        <v>475</v>
      </c>
      <c r="B416" s="18">
        <v>45630.0</v>
      </c>
      <c r="C416" s="17" t="s">
        <v>63</v>
      </c>
      <c r="D416" s="17" t="s">
        <v>67</v>
      </c>
    </row>
    <row r="417" ht="15.75" customHeight="1">
      <c r="A417" s="15" t="s">
        <v>476</v>
      </c>
      <c r="B417" s="16">
        <v>45631.0</v>
      </c>
      <c r="C417" s="15" t="s">
        <v>57</v>
      </c>
      <c r="D417" s="15" t="s">
        <v>61</v>
      </c>
    </row>
    <row r="418" ht="15.75" customHeight="1">
      <c r="A418" s="17" t="s">
        <v>477</v>
      </c>
      <c r="B418" s="18">
        <v>45632.0</v>
      </c>
      <c r="C418" s="17" t="s">
        <v>63</v>
      </c>
      <c r="D418" s="17" t="s">
        <v>55</v>
      </c>
    </row>
    <row r="419" ht="15.75" customHeight="1">
      <c r="A419" s="15" t="s">
        <v>478</v>
      </c>
      <c r="B419" s="16">
        <v>45633.0</v>
      </c>
      <c r="C419" s="15" t="s">
        <v>66</v>
      </c>
      <c r="D419" s="15" t="s">
        <v>67</v>
      </c>
    </row>
    <row r="420" ht="15.75" customHeight="1">
      <c r="A420" s="17" t="s">
        <v>479</v>
      </c>
      <c r="B420" s="18">
        <v>45633.0</v>
      </c>
      <c r="C420" s="17" t="s">
        <v>60</v>
      </c>
      <c r="D420" s="17" t="s">
        <v>58</v>
      </c>
    </row>
    <row r="421" ht="15.75" customHeight="1">
      <c r="A421" s="15" t="s">
        <v>480</v>
      </c>
      <c r="B421" s="16">
        <v>45633.0</v>
      </c>
      <c r="C421" s="15" t="s">
        <v>54</v>
      </c>
      <c r="D421" s="15" t="s">
        <v>58</v>
      </c>
    </row>
    <row r="422" ht="15.75" customHeight="1">
      <c r="A422" s="17" t="s">
        <v>481</v>
      </c>
      <c r="B422" s="18">
        <v>45634.0</v>
      </c>
      <c r="C422" s="17" t="s">
        <v>57</v>
      </c>
      <c r="D422" s="17" t="s">
        <v>67</v>
      </c>
    </row>
    <row r="423" ht="15.75" customHeight="1">
      <c r="A423" s="15" t="s">
        <v>482</v>
      </c>
      <c r="B423" s="16">
        <v>45634.0</v>
      </c>
      <c r="C423" s="15" t="s">
        <v>60</v>
      </c>
      <c r="D423" s="15" t="s">
        <v>64</v>
      </c>
    </row>
    <row r="424" ht="15.75" customHeight="1">
      <c r="A424" s="17" t="s">
        <v>483</v>
      </c>
      <c r="B424" s="18">
        <v>45634.0</v>
      </c>
      <c r="C424" s="17" t="s">
        <v>63</v>
      </c>
      <c r="D424" s="17" t="s">
        <v>55</v>
      </c>
    </row>
    <row r="425" ht="15.75" customHeight="1">
      <c r="A425" s="15" t="s">
        <v>484</v>
      </c>
      <c r="B425" s="16">
        <v>45634.0</v>
      </c>
      <c r="C425" s="15" t="s">
        <v>63</v>
      </c>
      <c r="D425" s="15" t="s">
        <v>58</v>
      </c>
    </row>
    <row r="426" ht="15.75" customHeight="1">
      <c r="A426" s="17" t="s">
        <v>485</v>
      </c>
      <c r="B426" s="18">
        <v>45635.0</v>
      </c>
      <c r="C426" s="17" t="s">
        <v>63</v>
      </c>
      <c r="D426" s="17" t="s">
        <v>55</v>
      </c>
    </row>
    <row r="427" ht="15.75" customHeight="1">
      <c r="A427" s="15" t="s">
        <v>486</v>
      </c>
      <c r="B427" s="16">
        <v>45636.0</v>
      </c>
      <c r="C427" s="15" t="s">
        <v>66</v>
      </c>
      <c r="D427" s="15" t="s">
        <v>58</v>
      </c>
    </row>
    <row r="428" ht="15.75" customHeight="1">
      <c r="A428" s="17" t="s">
        <v>487</v>
      </c>
      <c r="B428" s="18">
        <v>45636.0</v>
      </c>
      <c r="C428" s="17" t="s">
        <v>66</v>
      </c>
      <c r="D428" s="17" t="s">
        <v>61</v>
      </c>
    </row>
    <row r="429" ht="15.75" customHeight="1">
      <c r="A429" s="15" t="s">
        <v>488</v>
      </c>
      <c r="B429" s="16">
        <v>45637.0</v>
      </c>
      <c r="C429" s="15" t="s">
        <v>66</v>
      </c>
      <c r="D429" s="15" t="s">
        <v>58</v>
      </c>
    </row>
    <row r="430" ht="15.75" customHeight="1">
      <c r="A430" s="17" t="s">
        <v>489</v>
      </c>
      <c r="B430" s="18">
        <v>45638.0</v>
      </c>
      <c r="C430" s="17" t="s">
        <v>69</v>
      </c>
      <c r="D430" s="17" t="s">
        <v>67</v>
      </c>
    </row>
    <row r="431" ht="15.75" customHeight="1">
      <c r="A431" s="15" t="s">
        <v>490</v>
      </c>
      <c r="B431" s="16">
        <v>45638.0</v>
      </c>
      <c r="C431" s="15" t="s">
        <v>69</v>
      </c>
      <c r="D431" s="15" t="s">
        <v>55</v>
      </c>
    </row>
    <row r="432" ht="15.75" customHeight="1">
      <c r="A432" s="17" t="s">
        <v>491</v>
      </c>
      <c r="B432" s="18">
        <v>45640.0</v>
      </c>
      <c r="C432" s="17" t="s">
        <v>54</v>
      </c>
      <c r="D432" s="17" t="s">
        <v>58</v>
      </c>
    </row>
    <row r="433" ht="15.75" customHeight="1">
      <c r="A433" s="15" t="s">
        <v>492</v>
      </c>
      <c r="B433" s="16">
        <v>45640.0</v>
      </c>
      <c r="C433" s="15" t="s">
        <v>66</v>
      </c>
      <c r="D433" s="15" t="s">
        <v>64</v>
      </c>
    </row>
    <row r="434" ht="15.75" customHeight="1">
      <c r="A434" s="17" t="s">
        <v>493</v>
      </c>
      <c r="B434" s="18">
        <v>45640.0</v>
      </c>
      <c r="C434" s="17" t="s">
        <v>69</v>
      </c>
      <c r="D434" s="17" t="s">
        <v>55</v>
      </c>
    </row>
    <row r="435" ht="15.75" customHeight="1">
      <c r="A435" s="15" t="s">
        <v>494</v>
      </c>
      <c r="B435" s="16">
        <v>45641.0</v>
      </c>
      <c r="C435" s="15" t="s">
        <v>60</v>
      </c>
      <c r="D435" s="15" t="s">
        <v>55</v>
      </c>
    </row>
    <row r="436" ht="15.75" customHeight="1">
      <c r="A436" s="17" t="s">
        <v>495</v>
      </c>
      <c r="B436" s="18">
        <v>45643.0</v>
      </c>
      <c r="C436" s="17" t="s">
        <v>63</v>
      </c>
      <c r="D436" s="17" t="s">
        <v>61</v>
      </c>
    </row>
    <row r="437" ht="15.75" customHeight="1">
      <c r="A437" s="15" t="s">
        <v>496</v>
      </c>
      <c r="B437" s="16">
        <v>45643.0</v>
      </c>
      <c r="C437" s="15" t="s">
        <v>60</v>
      </c>
      <c r="D437" s="15" t="s">
        <v>58</v>
      </c>
    </row>
    <row r="438" ht="15.75" customHeight="1">
      <c r="A438" s="17" t="s">
        <v>497</v>
      </c>
      <c r="B438" s="18">
        <v>45643.0</v>
      </c>
      <c r="C438" s="17" t="s">
        <v>60</v>
      </c>
      <c r="D438" s="17" t="s">
        <v>55</v>
      </c>
    </row>
    <row r="439" ht="15.75" customHeight="1">
      <c r="A439" s="15" t="s">
        <v>498</v>
      </c>
      <c r="B439" s="16">
        <v>45644.0</v>
      </c>
      <c r="C439" s="15" t="s">
        <v>54</v>
      </c>
      <c r="D439" s="15" t="s">
        <v>55</v>
      </c>
    </row>
    <row r="440" ht="15.75" customHeight="1">
      <c r="A440" s="17" t="s">
        <v>499</v>
      </c>
      <c r="B440" s="18">
        <v>45644.0</v>
      </c>
      <c r="C440" s="17" t="s">
        <v>66</v>
      </c>
      <c r="D440" s="17" t="s">
        <v>61</v>
      </c>
    </row>
    <row r="441" ht="15.75" customHeight="1">
      <c r="A441" s="15" t="s">
        <v>500</v>
      </c>
      <c r="B441" s="16">
        <v>45645.0</v>
      </c>
      <c r="C441" s="15" t="s">
        <v>66</v>
      </c>
      <c r="D441" s="15" t="s">
        <v>61</v>
      </c>
    </row>
    <row r="442" ht="15.75" customHeight="1">
      <c r="A442" s="17" t="s">
        <v>501</v>
      </c>
      <c r="B442" s="18">
        <v>45646.0</v>
      </c>
      <c r="C442" s="17" t="s">
        <v>66</v>
      </c>
      <c r="D442" s="17" t="s">
        <v>67</v>
      </c>
    </row>
    <row r="443" ht="15.75" customHeight="1">
      <c r="A443" s="15" t="s">
        <v>502</v>
      </c>
      <c r="B443" s="16">
        <v>45646.0</v>
      </c>
      <c r="C443" s="15" t="s">
        <v>63</v>
      </c>
      <c r="D443" s="15" t="s">
        <v>64</v>
      </c>
    </row>
    <row r="444" ht="15.75" customHeight="1">
      <c r="A444" s="17" t="s">
        <v>503</v>
      </c>
      <c r="B444" s="18">
        <v>45646.0</v>
      </c>
      <c r="C444" s="17" t="s">
        <v>57</v>
      </c>
      <c r="D444" s="17" t="s">
        <v>55</v>
      </c>
    </row>
    <row r="445" ht="15.75" customHeight="1">
      <c r="A445" s="15" t="s">
        <v>504</v>
      </c>
      <c r="B445" s="16">
        <v>45646.0</v>
      </c>
      <c r="C445" s="15" t="s">
        <v>54</v>
      </c>
      <c r="D445" s="15" t="s">
        <v>55</v>
      </c>
    </row>
    <row r="446" ht="15.75" customHeight="1">
      <c r="A446" s="17" t="s">
        <v>505</v>
      </c>
      <c r="B446" s="18">
        <v>45647.0</v>
      </c>
      <c r="C446" s="17" t="s">
        <v>66</v>
      </c>
      <c r="D446" s="17" t="s">
        <v>67</v>
      </c>
    </row>
    <row r="447" ht="15.75" customHeight="1">
      <c r="A447" s="15" t="s">
        <v>506</v>
      </c>
      <c r="B447" s="16">
        <v>45648.0</v>
      </c>
      <c r="C447" s="15" t="s">
        <v>57</v>
      </c>
      <c r="D447" s="15" t="s">
        <v>67</v>
      </c>
    </row>
    <row r="448" ht="15.75" customHeight="1">
      <c r="A448" s="17" t="s">
        <v>507</v>
      </c>
      <c r="B448" s="18">
        <v>45648.0</v>
      </c>
      <c r="C448" s="17" t="s">
        <v>66</v>
      </c>
      <c r="D448" s="17" t="s">
        <v>55</v>
      </c>
    </row>
    <row r="449" ht="15.75" customHeight="1">
      <c r="A449" s="15" t="s">
        <v>508</v>
      </c>
      <c r="B449" s="16">
        <v>45651.0</v>
      </c>
      <c r="C449" s="15" t="s">
        <v>60</v>
      </c>
      <c r="D449" s="15" t="s">
        <v>55</v>
      </c>
    </row>
    <row r="450" ht="15.75" customHeight="1">
      <c r="A450" s="17" t="s">
        <v>509</v>
      </c>
      <c r="B450" s="18">
        <v>45651.0</v>
      </c>
      <c r="C450" s="17" t="s">
        <v>63</v>
      </c>
      <c r="D450" s="17" t="s">
        <v>64</v>
      </c>
    </row>
    <row r="451" ht="15.75" customHeight="1">
      <c r="A451" s="15" t="s">
        <v>510</v>
      </c>
      <c r="B451" s="16">
        <v>45651.0</v>
      </c>
      <c r="C451" s="15" t="s">
        <v>54</v>
      </c>
      <c r="D451" s="15" t="s">
        <v>61</v>
      </c>
    </row>
    <row r="452" ht="15.75" customHeight="1">
      <c r="A452" s="17" t="s">
        <v>511</v>
      </c>
      <c r="B452" s="18">
        <v>45653.0</v>
      </c>
      <c r="C452" s="17" t="s">
        <v>63</v>
      </c>
      <c r="D452" s="17" t="s">
        <v>58</v>
      </c>
    </row>
    <row r="453" ht="15.75" customHeight="1">
      <c r="A453" s="15" t="s">
        <v>512</v>
      </c>
      <c r="B453" s="16">
        <v>45654.0</v>
      </c>
      <c r="C453" s="15" t="s">
        <v>60</v>
      </c>
      <c r="D453" s="15" t="s">
        <v>55</v>
      </c>
    </row>
    <row r="454" ht="15.75" customHeight="1">
      <c r="A454" s="17" t="s">
        <v>513</v>
      </c>
      <c r="B454" s="18">
        <v>45654.0</v>
      </c>
      <c r="C454" s="17" t="s">
        <v>54</v>
      </c>
      <c r="D454" s="17" t="s">
        <v>64</v>
      </c>
    </row>
    <row r="455" ht="15.75" customHeight="1">
      <c r="A455" s="15" t="s">
        <v>514</v>
      </c>
      <c r="B455" s="16">
        <v>45656.0</v>
      </c>
      <c r="C455" s="15" t="s">
        <v>66</v>
      </c>
      <c r="D455" s="15" t="s">
        <v>55</v>
      </c>
    </row>
    <row r="456" ht="15.75" customHeight="1">
      <c r="A456" s="17" t="s">
        <v>515</v>
      </c>
      <c r="B456" s="18">
        <v>45656.0</v>
      </c>
      <c r="C456" s="17" t="s">
        <v>57</v>
      </c>
      <c r="D456" s="17" t="s">
        <v>55</v>
      </c>
    </row>
    <row r="457" ht="15.75" customHeight="1">
      <c r="A457" s="15" t="s">
        <v>516</v>
      </c>
      <c r="B457" s="16">
        <v>45657.0</v>
      </c>
      <c r="C457" s="15" t="s">
        <v>60</v>
      </c>
      <c r="D457" s="15" t="s">
        <v>61</v>
      </c>
    </row>
    <row r="458" ht="15.75" customHeight="1">
      <c r="A458" s="17" t="s">
        <v>517</v>
      </c>
      <c r="B458" s="18">
        <v>45658.0</v>
      </c>
      <c r="C458" s="17" t="s">
        <v>54</v>
      </c>
      <c r="D458" s="17" t="s">
        <v>58</v>
      </c>
    </row>
    <row r="459" ht="15.75" customHeight="1">
      <c r="A459" s="15" t="s">
        <v>518</v>
      </c>
      <c r="B459" s="16">
        <v>45659.0</v>
      </c>
      <c r="C459" s="15" t="s">
        <v>54</v>
      </c>
      <c r="D459" s="15" t="s">
        <v>55</v>
      </c>
    </row>
    <row r="460" ht="15.75" customHeight="1">
      <c r="A460" s="17" t="s">
        <v>519</v>
      </c>
      <c r="B460" s="18">
        <v>45660.0</v>
      </c>
      <c r="C460" s="17" t="s">
        <v>69</v>
      </c>
      <c r="D460" s="17" t="s">
        <v>55</v>
      </c>
    </row>
    <row r="461" ht="15.75" customHeight="1">
      <c r="A461" s="15" t="s">
        <v>520</v>
      </c>
      <c r="B461" s="16">
        <v>45661.0</v>
      </c>
      <c r="C461" s="15" t="s">
        <v>66</v>
      </c>
      <c r="D461" s="15" t="s">
        <v>55</v>
      </c>
    </row>
    <row r="462" ht="15.75" customHeight="1">
      <c r="A462" s="17" t="s">
        <v>521</v>
      </c>
      <c r="B462" s="18">
        <v>45663.0</v>
      </c>
      <c r="C462" s="17" t="s">
        <v>63</v>
      </c>
      <c r="D462" s="17" t="s">
        <v>55</v>
      </c>
    </row>
    <row r="463" ht="15.75" customHeight="1">
      <c r="A463" s="15" t="s">
        <v>522</v>
      </c>
      <c r="B463" s="16">
        <v>45663.0</v>
      </c>
      <c r="C463" s="15" t="s">
        <v>66</v>
      </c>
      <c r="D463" s="15" t="s">
        <v>58</v>
      </c>
    </row>
    <row r="464" ht="15.75" customHeight="1">
      <c r="A464" s="17" t="s">
        <v>523</v>
      </c>
      <c r="B464" s="18">
        <v>45663.0</v>
      </c>
      <c r="C464" s="17" t="s">
        <v>66</v>
      </c>
      <c r="D464" s="17" t="s">
        <v>55</v>
      </c>
    </row>
    <row r="465" ht="15.75" customHeight="1">
      <c r="A465" s="15" t="s">
        <v>524</v>
      </c>
      <c r="B465" s="16">
        <v>45663.0</v>
      </c>
      <c r="C465" s="15" t="s">
        <v>66</v>
      </c>
      <c r="D465" s="15" t="s">
        <v>61</v>
      </c>
    </row>
    <row r="466" ht="15.75" customHeight="1">
      <c r="A466" s="17" t="s">
        <v>525</v>
      </c>
      <c r="B466" s="18">
        <v>45664.0</v>
      </c>
      <c r="C466" s="17" t="s">
        <v>54</v>
      </c>
      <c r="D466" s="17" t="s">
        <v>58</v>
      </c>
    </row>
    <row r="467" ht="15.75" customHeight="1">
      <c r="A467" s="15" t="s">
        <v>526</v>
      </c>
      <c r="B467" s="16">
        <v>45665.0</v>
      </c>
      <c r="C467" s="15" t="s">
        <v>57</v>
      </c>
      <c r="D467" s="15" t="s">
        <v>61</v>
      </c>
    </row>
    <row r="468" ht="15.75" customHeight="1">
      <c r="A468" s="17" t="s">
        <v>527</v>
      </c>
      <c r="B468" s="18">
        <v>45665.0</v>
      </c>
      <c r="C468" s="17" t="s">
        <v>63</v>
      </c>
      <c r="D468" s="17" t="s">
        <v>64</v>
      </c>
    </row>
    <row r="469" ht="15.75" customHeight="1">
      <c r="A469" s="15" t="s">
        <v>528</v>
      </c>
      <c r="B469" s="16">
        <v>45665.0</v>
      </c>
      <c r="C469" s="15" t="s">
        <v>54</v>
      </c>
      <c r="D469" s="15" t="s">
        <v>67</v>
      </c>
    </row>
    <row r="470" ht="15.75" customHeight="1">
      <c r="A470" s="17" t="s">
        <v>529</v>
      </c>
      <c r="B470" s="18">
        <v>45666.0</v>
      </c>
      <c r="C470" s="17" t="s">
        <v>57</v>
      </c>
      <c r="D470" s="17" t="s">
        <v>67</v>
      </c>
    </row>
    <row r="471" ht="15.75" customHeight="1">
      <c r="A471" s="15" t="s">
        <v>530</v>
      </c>
      <c r="B471" s="16">
        <v>45667.0</v>
      </c>
      <c r="C471" s="15" t="s">
        <v>57</v>
      </c>
      <c r="D471" s="15" t="s">
        <v>64</v>
      </c>
    </row>
    <row r="472" ht="15.75" customHeight="1">
      <c r="A472" s="17" t="s">
        <v>531</v>
      </c>
      <c r="B472" s="18">
        <v>45668.0</v>
      </c>
      <c r="C472" s="17" t="s">
        <v>66</v>
      </c>
      <c r="D472" s="17" t="s">
        <v>64</v>
      </c>
    </row>
    <row r="473" ht="15.75" customHeight="1">
      <c r="A473" s="15" t="s">
        <v>532</v>
      </c>
      <c r="B473" s="16">
        <v>45668.0</v>
      </c>
      <c r="C473" s="15" t="s">
        <v>60</v>
      </c>
      <c r="D473" s="15" t="s">
        <v>64</v>
      </c>
    </row>
    <row r="474" ht="15.75" customHeight="1">
      <c r="A474" s="17" t="s">
        <v>533</v>
      </c>
      <c r="B474" s="18">
        <v>45669.0</v>
      </c>
      <c r="C474" s="17" t="s">
        <v>66</v>
      </c>
      <c r="D474" s="17" t="s">
        <v>55</v>
      </c>
    </row>
    <row r="475" ht="15.75" customHeight="1">
      <c r="A475" s="15" t="s">
        <v>534</v>
      </c>
      <c r="B475" s="16">
        <v>45669.0</v>
      </c>
      <c r="C475" s="15" t="s">
        <v>57</v>
      </c>
      <c r="D475" s="15" t="s">
        <v>67</v>
      </c>
    </row>
    <row r="476" ht="15.75" customHeight="1">
      <c r="A476" s="17" t="s">
        <v>535</v>
      </c>
      <c r="B476" s="18">
        <v>45669.0</v>
      </c>
      <c r="C476" s="17" t="s">
        <v>54</v>
      </c>
      <c r="D476" s="17" t="s">
        <v>58</v>
      </c>
    </row>
    <row r="477" ht="15.75" customHeight="1">
      <c r="A477" s="15" t="s">
        <v>536</v>
      </c>
      <c r="B477" s="16">
        <v>45671.0</v>
      </c>
      <c r="C477" s="15" t="s">
        <v>54</v>
      </c>
      <c r="D477" s="15" t="s">
        <v>55</v>
      </c>
    </row>
    <row r="478" ht="15.75" customHeight="1">
      <c r="A478" s="17" t="s">
        <v>537</v>
      </c>
      <c r="B478" s="18">
        <v>45672.0</v>
      </c>
      <c r="C478" s="17" t="s">
        <v>54</v>
      </c>
      <c r="D478" s="17" t="s">
        <v>64</v>
      </c>
    </row>
    <row r="479" ht="15.75" customHeight="1">
      <c r="A479" s="15" t="s">
        <v>538</v>
      </c>
      <c r="B479" s="16">
        <v>45673.0</v>
      </c>
      <c r="C479" s="15" t="s">
        <v>66</v>
      </c>
      <c r="D479" s="15" t="s">
        <v>67</v>
      </c>
    </row>
    <row r="480" ht="15.75" customHeight="1">
      <c r="A480" s="17" t="s">
        <v>539</v>
      </c>
      <c r="B480" s="18">
        <v>45674.0</v>
      </c>
      <c r="C480" s="17" t="s">
        <v>66</v>
      </c>
      <c r="D480" s="17" t="s">
        <v>58</v>
      </c>
    </row>
    <row r="481" ht="15.75" customHeight="1">
      <c r="A481" s="15" t="s">
        <v>540</v>
      </c>
      <c r="B481" s="16">
        <v>45675.0</v>
      </c>
      <c r="C481" s="15" t="s">
        <v>66</v>
      </c>
      <c r="D481" s="15" t="s">
        <v>55</v>
      </c>
    </row>
    <row r="482" ht="15.75" customHeight="1">
      <c r="A482" s="17" t="s">
        <v>541</v>
      </c>
      <c r="B482" s="18">
        <v>45676.0</v>
      </c>
      <c r="C482" s="17" t="s">
        <v>57</v>
      </c>
      <c r="D482" s="17" t="s">
        <v>64</v>
      </c>
    </row>
    <row r="483" ht="15.75" customHeight="1">
      <c r="A483" s="15" t="s">
        <v>542</v>
      </c>
      <c r="B483" s="16">
        <v>45677.0</v>
      </c>
      <c r="C483" s="15" t="s">
        <v>57</v>
      </c>
      <c r="D483" s="15" t="s">
        <v>55</v>
      </c>
    </row>
    <row r="484" ht="15.75" customHeight="1">
      <c r="A484" s="17" t="s">
        <v>543</v>
      </c>
      <c r="B484" s="18">
        <v>45677.0</v>
      </c>
      <c r="C484" s="17" t="s">
        <v>57</v>
      </c>
      <c r="D484" s="17" t="s">
        <v>61</v>
      </c>
    </row>
    <row r="485" ht="15.75" customHeight="1">
      <c r="A485" s="15" t="s">
        <v>544</v>
      </c>
      <c r="B485" s="16">
        <v>45679.0</v>
      </c>
      <c r="C485" s="15" t="s">
        <v>60</v>
      </c>
      <c r="D485" s="15" t="s">
        <v>64</v>
      </c>
    </row>
    <row r="486" ht="15.75" customHeight="1">
      <c r="A486" s="17" t="s">
        <v>545</v>
      </c>
      <c r="B486" s="18">
        <v>45680.0</v>
      </c>
      <c r="C486" s="17" t="s">
        <v>66</v>
      </c>
      <c r="D486" s="17" t="s">
        <v>61</v>
      </c>
    </row>
    <row r="487" ht="15.75" customHeight="1">
      <c r="A487" s="15" t="s">
        <v>546</v>
      </c>
      <c r="B487" s="16">
        <v>45680.0</v>
      </c>
      <c r="C487" s="15" t="s">
        <v>57</v>
      </c>
      <c r="D487" s="15" t="s">
        <v>55</v>
      </c>
    </row>
    <row r="488" ht="15.75" customHeight="1">
      <c r="A488" s="17" t="s">
        <v>547</v>
      </c>
      <c r="B488" s="18">
        <v>45680.0</v>
      </c>
      <c r="C488" s="17" t="s">
        <v>66</v>
      </c>
      <c r="D488" s="17" t="s">
        <v>58</v>
      </c>
    </row>
    <row r="489" ht="15.75" customHeight="1">
      <c r="A489" s="15" t="s">
        <v>548</v>
      </c>
      <c r="B489" s="16">
        <v>45681.0</v>
      </c>
      <c r="C489" s="15" t="s">
        <v>66</v>
      </c>
      <c r="D489" s="15" t="s">
        <v>64</v>
      </c>
    </row>
    <row r="490" ht="15.75" customHeight="1">
      <c r="A490" s="17" t="s">
        <v>549</v>
      </c>
      <c r="B490" s="18">
        <v>45681.0</v>
      </c>
      <c r="C490" s="17" t="s">
        <v>66</v>
      </c>
      <c r="D490" s="17" t="s">
        <v>61</v>
      </c>
    </row>
    <row r="491" ht="15.75" customHeight="1">
      <c r="A491" s="15" t="s">
        <v>550</v>
      </c>
      <c r="B491" s="16">
        <v>45682.0</v>
      </c>
      <c r="C491" s="15" t="s">
        <v>54</v>
      </c>
      <c r="D491" s="15" t="s">
        <v>55</v>
      </c>
    </row>
    <row r="492" ht="15.75" customHeight="1">
      <c r="A492" s="17" t="s">
        <v>551</v>
      </c>
      <c r="B492" s="18">
        <v>45682.0</v>
      </c>
      <c r="C492" s="17" t="s">
        <v>66</v>
      </c>
      <c r="D492" s="17" t="s">
        <v>58</v>
      </c>
    </row>
    <row r="493" ht="15.75" customHeight="1">
      <c r="A493" s="15" t="s">
        <v>552</v>
      </c>
      <c r="B493" s="16">
        <v>45683.0</v>
      </c>
      <c r="C493" s="15" t="s">
        <v>60</v>
      </c>
      <c r="D493" s="15" t="s">
        <v>67</v>
      </c>
    </row>
    <row r="494" ht="15.75" customHeight="1">
      <c r="A494" s="17" t="s">
        <v>553</v>
      </c>
      <c r="B494" s="18">
        <v>45683.0</v>
      </c>
      <c r="C494" s="17" t="s">
        <v>60</v>
      </c>
      <c r="D494" s="17" t="s">
        <v>61</v>
      </c>
    </row>
    <row r="495" ht="15.75" customHeight="1">
      <c r="A495" s="15" t="s">
        <v>554</v>
      </c>
      <c r="B495" s="16">
        <v>45683.0</v>
      </c>
      <c r="C495" s="15" t="s">
        <v>66</v>
      </c>
      <c r="D495" s="15" t="s">
        <v>55</v>
      </c>
    </row>
    <row r="496" ht="15.75" customHeight="1">
      <c r="A496" s="17" t="s">
        <v>555</v>
      </c>
      <c r="B496" s="18">
        <v>45684.0</v>
      </c>
      <c r="C496" s="17" t="s">
        <v>63</v>
      </c>
      <c r="D496" s="17" t="s">
        <v>64</v>
      </c>
    </row>
    <row r="497" ht="15.75" customHeight="1">
      <c r="A497" s="15" t="s">
        <v>556</v>
      </c>
      <c r="B497" s="16">
        <v>45685.0</v>
      </c>
      <c r="C497" s="15" t="s">
        <v>63</v>
      </c>
      <c r="D497" s="15" t="s">
        <v>58</v>
      </c>
    </row>
    <row r="498" ht="15.75" customHeight="1">
      <c r="A498" s="17" t="s">
        <v>557</v>
      </c>
      <c r="B498" s="18">
        <v>45685.0</v>
      </c>
      <c r="C498" s="17" t="s">
        <v>66</v>
      </c>
      <c r="D498" s="17" t="s">
        <v>55</v>
      </c>
    </row>
    <row r="499" ht="15.75" customHeight="1">
      <c r="A499" s="15" t="s">
        <v>558</v>
      </c>
      <c r="B499" s="16">
        <v>45685.0</v>
      </c>
      <c r="C499" s="15" t="s">
        <v>63</v>
      </c>
      <c r="D499" s="15" t="s">
        <v>64</v>
      </c>
    </row>
    <row r="500" ht="15.75" customHeight="1">
      <c r="A500" s="17" t="s">
        <v>559</v>
      </c>
      <c r="B500" s="18">
        <v>45685.0</v>
      </c>
      <c r="C500" s="17" t="s">
        <v>54</v>
      </c>
      <c r="D500" s="17" t="s">
        <v>55</v>
      </c>
    </row>
    <row r="501" ht="15.75" customHeight="1">
      <c r="A501" s="15" t="s">
        <v>560</v>
      </c>
      <c r="B501" s="16">
        <v>45686.0</v>
      </c>
      <c r="C501" s="15" t="s">
        <v>63</v>
      </c>
      <c r="D501" s="15" t="s">
        <v>55</v>
      </c>
    </row>
    <row r="502" ht="15.75" customHeight="1">
      <c r="A502" s="17" t="s">
        <v>561</v>
      </c>
      <c r="B502" s="18">
        <v>45687.0</v>
      </c>
      <c r="C502" s="17" t="s">
        <v>66</v>
      </c>
      <c r="D502" s="17" t="s">
        <v>64</v>
      </c>
    </row>
    <row r="503" ht="15.75" customHeight="1">
      <c r="A503" s="15" t="s">
        <v>562</v>
      </c>
      <c r="B503" s="16">
        <v>45690.0</v>
      </c>
      <c r="C503" s="15" t="s">
        <v>66</v>
      </c>
      <c r="D503" s="15" t="s">
        <v>67</v>
      </c>
    </row>
    <row r="504" ht="15.75" customHeight="1">
      <c r="A504" s="17" t="s">
        <v>563</v>
      </c>
      <c r="B504" s="18">
        <v>45690.0</v>
      </c>
      <c r="C504" s="17" t="s">
        <v>63</v>
      </c>
      <c r="D504" s="17" t="s">
        <v>55</v>
      </c>
    </row>
    <row r="505" ht="15.75" customHeight="1">
      <c r="A505" s="15" t="s">
        <v>564</v>
      </c>
      <c r="B505" s="16">
        <v>45691.0</v>
      </c>
      <c r="C505" s="15" t="s">
        <v>60</v>
      </c>
      <c r="D505" s="15" t="s">
        <v>67</v>
      </c>
    </row>
    <row r="506" ht="15.75" customHeight="1">
      <c r="A506" s="17" t="s">
        <v>565</v>
      </c>
      <c r="B506" s="18">
        <v>45691.0</v>
      </c>
      <c r="C506" s="17" t="s">
        <v>66</v>
      </c>
      <c r="D506" s="17" t="s">
        <v>67</v>
      </c>
    </row>
    <row r="507" ht="15.75" customHeight="1">
      <c r="A507" s="15" t="s">
        <v>566</v>
      </c>
      <c r="B507" s="16">
        <v>45691.0</v>
      </c>
      <c r="C507" s="15" t="s">
        <v>63</v>
      </c>
      <c r="D507" s="15" t="s">
        <v>67</v>
      </c>
    </row>
    <row r="508" ht="15.75" customHeight="1">
      <c r="A508" s="17" t="s">
        <v>567</v>
      </c>
      <c r="B508" s="18">
        <v>45691.0</v>
      </c>
      <c r="C508" s="17" t="s">
        <v>66</v>
      </c>
      <c r="D508" s="17" t="s">
        <v>55</v>
      </c>
    </row>
    <row r="509" ht="15.75" customHeight="1">
      <c r="A509" s="15" t="s">
        <v>568</v>
      </c>
      <c r="B509" s="16">
        <v>45692.0</v>
      </c>
      <c r="C509" s="15" t="s">
        <v>63</v>
      </c>
      <c r="D509" s="15" t="s">
        <v>55</v>
      </c>
    </row>
    <row r="510" ht="15.75" customHeight="1">
      <c r="A510" s="17" t="s">
        <v>569</v>
      </c>
      <c r="B510" s="18">
        <v>45693.0</v>
      </c>
      <c r="C510" s="17" t="s">
        <v>63</v>
      </c>
      <c r="D510" s="17" t="s">
        <v>55</v>
      </c>
    </row>
    <row r="511" ht="15.75" customHeight="1">
      <c r="A511" s="15" t="s">
        <v>570</v>
      </c>
      <c r="B511" s="16">
        <v>45693.0</v>
      </c>
      <c r="C511" s="15" t="s">
        <v>66</v>
      </c>
      <c r="D511" s="15" t="s">
        <v>58</v>
      </c>
    </row>
    <row r="512" ht="15.75" customHeight="1">
      <c r="A512" s="17" t="s">
        <v>571</v>
      </c>
      <c r="B512" s="18">
        <v>45693.0</v>
      </c>
      <c r="C512" s="17" t="s">
        <v>60</v>
      </c>
      <c r="D512" s="17" t="s">
        <v>67</v>
      </c>
    </row>
    <row r="513" ht="15.75" customHeight="1">
      <c r="A513" s="15" t="s">
        <v>572</v>
      </c>
      <c r="B513" s="16">
        <v>45694.0</v>
      </c>
      <c r="C513" s="15" t="s">
        <v>60</v>
      </c>
      <c r="D513" s="15" t="s">
        <v>55</v>
      </c>
    </row>
    <row r="514" ht="15.75" customHeight="1">
      <c r="A514" s="17" t="s">
        <v>573</v>
      </c>
      <c r="B514" s="18">
        <v>45694.0</v>
      </c>
      <c r="C514" s="17" t="s">
        <v>63</v>
      </c>
      <c r="D514" s="17" t="s">
        <v>58</v>
      </c>
    </row>
    <row r="515" ht="15.75" customHeight="1">
      <c r="A515" s="15" t="s">
        <v>574</v>
      </c>
      <c r="B515" s="16">
        <v>45694.0</v>
      </c>
      <c r="C515" s="15" t="s">
        <v>69</v>
      </c>
      <c r="D515" s="15" t="s">
        <v>55</v>
      </c>
    </row>
    <row r="516" ht="15.75" customHeight="1">
      <c r="A516" s="17" t="s">
        <v>575</v>
      </c>
      <c r="B516" s="18">
        <v>45695.0</v>
      </c>
      <c r="C516" s="17" t="s">
        <v>54</v>
      </c>
      <c r="D516" s="17" t="s">
        <v>61</v>
      </c>
    </row>
    <row r="517" ht="15.75" customHeight="1">
      <c r="A517" s="15" t="s">
        <v>576</v>
      </c>
      <c r="B517" s="16">
        <v>45696.0</v>
      </c>
      <c r="C517" s="15" t="s">
        <v>63</v>
      </c>
      <c r="D517" s="15" t="s">
        <v>64</v>
      </c>
    </row>
    <row r="518" ht="15.75" customHeight="1">
      <c r="A518" s="17" t="s">
        <v>577</v>
      </c>
      <c r="B518" s="18">
        <v>45696.0</v>
      </c>
      <c r="C518" s="17" t="s">
        <v>66</v>
      </c>
      <c r="D518" s="17" t="s">
        <v>55</v>
      </c>
    </row>
    <row r="519" ht="15.75" customHeight="1">
      <c r="A519" s="15" t="s">
        <v>578</v>
      </c>
      <c r="B519" s="16">
        <v>45698.0</v>
      </c>
      <c r="C519" s="15" t="s">
        <v>63</v>
      </c>
      <c r="D519" s="15" t="s">
        <v>67</v>
      </c>
    </row>
    <row r="520" ht="15.75" customHeight="1">
      <c r="A520" s="17" t="s">
        <v>579</v>
      </c>
      <c r="B520" s="18">
        <v>45698.0</v>
      </c>
      <c r="C520" s="17" t="s">
        <v>63</v>
      </c>
      <c r="D520" s="17" t="s">
        <v>58</v>
      </c>
    </row>
    <row r="521" ht="15.75" customHeight="1">
      <c r="A521" s="15" t="s">
        <v>580</v>
      </c>
      <c r="B521" s="16">
        <v>45698.0</v>
      </c>
      <c r="C521" s="15" t="s">
        <v>66</v>
      </c>
      <c r="D521" s="15" t="s">
        <v>58</v>
      </c>
    </row>
    <row r="522" ht="15.75" customHeight="1">
      <c r="A522" s="17" t="s">
        <v>581</v>
      </c>
      <c r="B522" s="18">
        <v>45699.0</v>
      </c>
      <c r="C522" s="17" t="s">
        <v>66</v>
      </c>
      <c r="D522" s="17" t="s">
        <v>55</v>
      </c>
    </row>
    <row r="523" ht="15.75" customHeight="1">
      <c r="A523" s="15" t="s">
        <v>582</v>
      </c>
      <c r="B523" s="16">
        <v>45700.0</v>
      </c>
      <c r="C523" s="15" t="s">
        <v>66</v>
      </c>
      <c r="D523" s="15" t="s">
        <v>64</v>
      </c>
    </row>
    <row r="524" ht="15.75" customHeight="1">
      <c r="A524" s="17" t="s">
        <v>583</v>
      </c>
      <c r="B524" s="18">
        <v>45700.0</v>
      </c>
      <c r="C524" s="17" t="s">
        <v>66</v>
      </c>
      <c r="D524" s="17" t="s">
        <v>58</v>
      </c>
    </row>
    <row r="525" ht="15.75" customHeight="1">
      <c r="A525" s="15" t="s">
        <v>584</v>
      </c>
      <c r="B525" s="16">
        <v>45701.0</v>
      </c>
      <c r="C525" s="15" t="s">
        <v>63</v>
      </c>
      <c r="D525" s="15" t="s">
        <v>64</v>
      </c>
    </row>
    <row r="526" ht="15.75" customHeight="1">
      <c r="A526" s="17" t="s">
        <v>585</v>
      </c>
      <c r="B526" s="18">
        <v>45701.0</v>
      </c>
      <c r="C526" s="17" t="s">
        <v>63</v>
      </c>
      <c r="D526" s="17" t="s">
        <v>55</v>
      </c>
    </row>
    <row r="527" ht="15.75" customHeight="1">
      <c r="A527" s="15" t="s">
        <v>586</v>
      </c>
      <c r="B527" s="16">
        <v>45701.0</v>
      </c>
      <c r="C527" s="15" t="s">
        <v>57</v>
      </c>
      <c r="D527" s="15" t="s">
        <v>64</v>
      </c>
    </row>
    <row r="528" ht="15.75" customHeight="1">
      <c r="A528" s="17" t="s">
        <v>587</v>
      </c>
      <c r="B528" s="18">
        <v>45702.0</v>
      </c>
      <c r="C528" s="17" t="s">
        <v>66</v>
      </c>
      <c r="D528" s="17" t="s">
        <v>61</v>
      </c>
    </row>
    <row r="529" ht="15.75" customHeight="1">
      <c r="A529" s="15" t="s">
        <v>588</v>
      </c>
      <c r="B529" s="16">
        <v>45702.0</v>
      </c>
      <c r="C529" s="15" t="s">
        <v>63</v>
      </c>
      <c r="D529" s="15" t="s">
        <v>64</v>
      </c>
    </row>
    <row r="530" ht="15.75" customHeight="1">
      <c r="A530" s="17" t="s">
        <v>589</v>
      </c>
      <c r="B530" s="18">
        <v>45702.0</v>
      </c>
      <c r="C530" s="17" t="s">
        <v>63</v>
      </c>
      <c r="D530" s="17" t="s">
        <v>55</v>
      </c>
    </row>
    <row r="531" ht="15.75" customHeight="1">
      <c r="A531" s="15" t="s">
        <v>590</v>
      </c>
      <c r="B531" s="16">
        <v>45703.0</v>
      </c>
      <c r="C531" s="15" t="s">
        <v>57</v>
      </c>
      <c r="D531" s="15" t="s">
        <v>55</v>
      </c>
    </row>
    <row r="532" ht="15.75" customHeight="1">
      <c r="A532" s="17" t="s">
        <v>591</v>
      </c>
      <c r="B532" s="18">
        <v>45704.0</v>
      </c>
      <c r="C532" s="17" t="s">
        <v>54</v>
      </c>
      <c r="D532" s="17" t="s">
        <v>61</v>
      </c>
    </row>
    <row r="533" ht="15.75" customHeight="1">
      <c r="A533" s="15" t="s">
        <v>592</v>
      </c>
      <c r="B533" s="16">
        <v>45704.0</v>
      </c>
      <c r="C533" s="15" t="s">
        <v>69</v>
      </c>
      <c r="D533" s="15" t="s">
        <v>55</v>
      </c>
    </row>
    <row r="534" ht="15.75" customHeight="1">
      <c r="A534" s="17" t="s">
        <v>593</v>
      </c>
      <c r="B534" s="18">
        <v>45704.0</v>
      </c>
      <c r="C534" s="17" t="s">
        <v>54</v>
      </c>
      <c r="D534" s="17" t="s">
        <v>58</v>
      </c>
    </row>
    <row r="535" ht="15.75" customHeight="1">
      <c r="A535" s="15" t="s">
        <v>594</v>
      </c>
      <c r="B535" s="16">
        <v>45705.0</v>
      </c>
      <c r="C535" s="15" t="s">
        <v>63</v>
      </c>
      <c r="D535" s="15" t="s">
        <v>61</v>
      </c>
    </row>
    <row r="536" ht="15.75" customHeight="1">
      <c r="A536" s="17" t="s">
        <v>595</v>
      </c>
      <c r="B536" s="18">
        <v>45705.0</v>
      </c>
      <c r="C536" s="17" t="s">
        <v>66</v>
      </c>
      <c r="D536" s="17" t="s">
        <v>67</v>
      </c>
    </row>
    <row r="537" ht="15.75" customHeight="1">
      <c r="A537" s="15" t="s">
        <v>596</v>
      </c>
      <c r="B537" s="16">
        <v>45706.0</v>
      </c>
      <c r="C537" s="15" t="s">
        <v>54</v>
      </c>
      <c r="D537" s="15" t="s">
        <v>64</v>
      </c>
    </row>
    <row r="538" ht="15.75" customHeight="1">
      <c r="A538" s="17" t="s">
        <v>597</v>
      </c>
      <c r="B538" s="18">
        <v>45706.0</v>
      </c>
      <c r="C538" s="17" t="s">
        <v>60</v>
      </c>
      <c r="D538" s="17" t="s">
        <v>64</v>
      </c>
    </row>
    <row r="539" ht="15.75" customHeight="1">
      <c r="A539" s="15" t="s">
        <v>598</v>
      </c>
      <c r="B539" s="16">
        <v>45708.0</v>
      </c>
      <c r="C539" s="15" t="s">
        <v>63</v>
      </c>
      <c r="D539" s="15" t="s">
        <v>67</v>
      </c>
    </row>
    <row r="540" ht="15.75" customHeight="1">
      <c r="A540" s="17" t="s">
        <v>599</v>
      </c>
      <c r="B540" s="18">
        <v>45708.0</v>
      </c>
      <c r="C540" s="17" t="s">
        <v>66</v>
      </c>
      <c r="D540" s="17" t="s">
        <v>58</v>
      </c>
    </row>
    <row r="541" ht="15.75" customHeight="1">
      <c r="A541" s="15" t="s">
        <v>600</v>
      </c>
      <c r="B541" s="16">
        <v>45709.0</v>
      </c>
      <c r="C541" s="15" t="s">
        <v>66</v>
      </c>
      <c r="D541" s="15" t="s">
        <v>58</v>
      </c>
    </row>
    <row r="542" ht="15.75" customHeight="1">
      <c r="A542" s="17" t="s">
        <v>601</v>
      </c>
      <c r="B542" s="18">
        <v>45709.0</v>
      </c>
      <c r="C542" s="17" t="s">
        <v>63</v>
      </c>
      <c r="D542" s="17" t="s">
        <v>55</v>
      </c>
    </row>
    <row r="543" ht="15.75" customHeight="1">
      <c r="A543" s="15" t="s">
        <v>602</v>
      </c>
      <c r="B543" s="16">
        <v>45709.0</v>
      </c>
      <c r="C543" s="15" t="s">
        <v>66</v>
      </c>
      <c r="D543" s="15" t="s">
        <v>55</v>
      </c>
    </row>
    <row r="544" ht="15.75" customHeight="1">
      <c r="A544" s="17" t="s">
        <v>603</v>
      </c>
      <c r="B544" s="18">
        <v>45710.0</v>
      </c>
      <c r="C544" s="17" t="s">
        <v>66</v>
      </c>
      <c r="D544" s="17" t="s">
        <v>64</v>
      </c>
    </row>
    <row r="545" ht="15.75" customHeight="1">
      <c r="A545" s="15" t="s">
        <v>604</v>
      </c>
      <c r="B545" s="16">
        <v>45712.0</v>
      </c>
      <c r="C545" s="15" t="s">
        <v>66</v>
      </c>
      <c r="D545" s="15" t="s">
        <v>67</v>
      </c>
    </row>
    <row r="546" ht="15.75" customHeight="1">
      <c r="A546" s="17" t="s">
        <v>605</v>
      </c>
      <c r="B546" s="18">
        <v>45712.0</v>
      </c>
      <c r="C546" s="17" t="s">
        <v>57</v>
      </c>
      <c r="D546" s="17" t="s">
        <v>67</v>
      </c>
    </row>
    <row r="547" ht="15.75" customHeight="1">
      <c r="A547" s="15" t="s">
        <v>606</v>
      </c>
      <c r="B547" s="16">
        <v>45712.0</v>
      </c>
      <c r="C547" s="15" t="s">
        <v>66</v>
      </c>
      <c r="D547" s="15" t="s">
        <v>64</v>
      </c>
    </row>
    <row r="548" ht="15.75" customHeight="1">
      <c r="A548" s="17" t="s">
        <v>607</v>
      </c>
      <c r="B548" s="18">
        <v>45713.0</v>
      </c>
      <c r="C548" s="17" t="s">
        <v>69</v>
      </c>
      <c r="D548" s="17" t="s">
        <v>67</v>
      </c>
    </row>
    <row r="549" ht="15.75" customHeight="1">
      <c r="A549" s="15" t="s">
        <v>608</v>
      </c>
      <c r="B549" s="16">
        <v>45713.0</v>
      </c>
      <c r="C549" s="15" t="s">
        <v>63</v>
      </c>
      <c r="D549" s="15" t="s">
        <v>61</v>
      </c>
    </row>
    <row r="550" ht="15.75" customHeight="1">
      <c r="A550" s="17" t="s">
        <v>609</v>
      </c>
      <c r="B550" s="18">
        <v>45714.0</v>
      </c>
      <c r="C550" s="17" t="s">
        <v>60</v>
      </c>
      <c r="D550" s="17" t="s">
        <v>55</v>
      </c>
    </row>
    <row r="551" ht="15.75" customHeight="1">
      <c r="A551" s="15" t="s">
        <v>610</v>
      </c>
      <c r="B551" s="16">
        <v>45714.0</v>
      </c>
      <c r="C551" s="15" t="s">
        <v>54</v>
      </c>
      <c r="D551" s="15" t="s">
        <v>67</v>
      </c>
    </row>
    <row r="552" ht="15.75" customHeight="1">
      <c r="A552" s="17" t="s">
        <v>611</v>
      </c>
      <c r="B552" s="18">
        <v>45715.0</v>
      </c>
      <c r="C552" s="17" t="s">
        <v>57</v>
      </c>
      <c r="D552" s="17" t="s">
        <v>58</v>
      </c>
    </row>
    <row r="553" ht="15.75" customHeight="1">
      <c r="A553" s="15" t="s">
        <v>612</v>
      </c>
      <c r="B553" s="16">
        <v>45715.0</v>
      </c>
      <c r="C553" s="15" t="s">
        <v>54</v>
      </c>
      <c r="D553" s="15" t="s">
        <v>61</v>
      </c>
    </row>
    <row r="554" ht="15.75" customHeight="1">
      <c r="A554" s="17" t="s">
        <v>613</v>
      </c>
      <c r="B554" s="18">
        <v>45715.0</v>
      </c>
      <c r="C554" s="17" t="s">
        <v>63</v>
      </c>
      <c r="D554" s="17" t="s">
        <v>61</v>
      </c>
    </row>
    <row r="555" ht="15.75" customHeight="1">
      <c r="A555" s="15" t="s">
        <v>614</v>
      </c>
      <c r="B555" s="16">
        <v>45715.0</v>
      </c>
      <c r="C555" s="15" t="s">
        <v>66</v>
      </c>
      <c r="D555" s="15" t="s">
        <v>58</v>
      </c>
    </row>
    <row r="556" ht="15.75" customHeight="1">
      <c r="A556" s="17" t="s">
        <v>615</v>
      </c>
      <c r="B556" s="18">
        <v>45717.0</v>
      </c>
      <c r="C556" s="17" t="s">
        <v>69</v>
      </c>
      <c r="D556" s="17" t="s">
        <v>55</v>
      </c>
    </row>
    <row r="557" ht="15.75" customHeight="1">
      <c r="A557" s="15" t="s">
        <v>616</v>
      </c>
      <c r="B557" s="16">
        <v>45718.0</v>
      </c>
      <c r="C557" s="15" t="s">
        <v>66</v>
      </c>
      <c r="D557" s="15" t="s">
        <v>67</v>
      </c>
    </row>
    <row r="558" ht="15.75" customHeight="1">
      <c r="A558" s="17" t="s">
        <v>617</v>
      </c>
      <c r="B558" s="18">
        <v>45719.0</v>
      </c>
      <c r="C558" s="17" t="s">
        <v>60</v>
      </c>
      <c r="D558" s="17" t="s">
        <v>55</v>
      </c>
    </row>
    <row r="559" ht="15.75" customHeight="1">
      <c r="A559" s="15" t="s">
        <v>618</v>
      </c>
      <c r="B559" s="16">
        <v>45720.0</v>
      </c>
      <c r="C559" s="15" t="s">
        <v>57</v>
      </c>
      <c r="D559" s="15" t="s">
        <v>67</v>
      </c>
    </row>
    <row r="560" ht="15.75" customHeight="1">
      <c r="A560" s="17" t="s">
        <v>619</v>
      </c>
      <c r="B560" s="18">
        <v>45720.0</v>
      </c>
      <c r="C560" s="17" t="s">
        <v>60</v>
      </c>
      <c r="D560" s="17" t="s">
        <v>58</v>
      </c>
    </row>
    <row r="561" ht="15.75" customHeight="1">
      <c r="A561" s="15" t="s">
        <v>620</v>
      </c>
      <c r="B561" s="16">
        <v>45721.0</v>
      </c>
      <c r="C561" s="15" t="s">
        <v>66</v>
      </c>
      <c r="D561" s="15" t="s">
        <v>55</v>
      </c>
    </row>
    <row r="562" ht="15.75" customHeight="1">
      <c r="A562" s="17" t="s">
        <v>621</v>
      </c>
      <c r="B562" s="18">
        <v>45722.0</v>
      </c>
      <c r="C562" s="17" t="s">
        <v>54</v>
      </c>
      <c r="D562" s="17" t="s">
        <v>55</v>
      </c>
    </row>
    <row r="563" ht="15.75" customHeight="1">
      <c r="A563" s="15" t="s">
        <v>622</v>
      </c>
      <c r="B563" s="16">
        <v>45723.0</v>
      </c>
      <c r="C563" s="15" t="s">
        <v>54</v>
      </c>
      <c r="D563" s="15" t="s">
        <v>55</v>
      </c>
    </row>
    <row r="564" ht="15.75" customHeight="1">
      <c r="A564" s="17" t="s">
        <v>623</v>
      </c>
      <c r="B564" s="18">
        <v>45724.0</v>
      </c>
      <c r="C564" s="17" t="s">
        <v>66</v>
      </c>
      <c r="D564" s="17" t="s">
        <v>67</v>
      </c>
    </row>
    <row r="565" ht="15.75" customHeight="1">
      <c r="A565" s="15" t="s">
        <v>624</v>
      </c>
      <c r="B565" s="16">
        <v>45724.0</v>
      </c>
      <c r="C565" s="15" t="s">
        <v>63</v>
      </c>
      <c r="D565" s="15" t="s">
        <v>58</v>
      </c>
    </row>
    <row r="566" ht="15.75" customHeight="1">
      <c r="A566" s="17" t="s">
        <v>625</v>
      </c>
      <c r="B566" s="18">
        <v>45725.0</v>
      </c>
      <c r="C566" s="17" t="s">
        <v>66</v>
      </c>
      <c r="D566" s="17" t="s">
        <v>58</v>
      </c>
    </row>
    <row r="567" ht="15.75" customHeight="1">
      <c r="A567" s="15" t="s">
        <v>626</v>
      </c>
      <c r="B567" s="16">
        <v>45725.0</v>
      </c>
      <c r="C567" s="15" t="s">
        <v>57</v>
      </c>
      <c r="D567" s="15" t="s">
        <v>55</v>
      </c>
    </row>
    <row r="568" ht="15.75" customHeight="1">
      <c r="A568" s="17" t="s">
        <v>627</v>
      </c>
      <c r="B568" s="18">
        <v>45726.0</v>
      </c>
      <c r="C568" s="17" t="s">
        <v>66</v>
      </c>
      <c r="D568" s="17" t="s">
        <v>58</v>
      </c>
    </row>
    <row r="569" ht="15.75" customHeight="1">
      <c r="A569" s="15" t="s">
        <v>628</v>
      </c>
      <c r="B569" s="16">
        <v>45727.0</v>
      </c>
      <c r="C569" s="15" t="s">
        <v>54</v>
      </c>
      <c r="D569" s="15" t="s">
        <v>67</v>
      </c>
    </row>
    <row r="570" ht="15.75" customHeight="1">
      <c r="A570" s="17" t="s">
        <v>629</v>
      </c>
      <c r="B570" s="18">
        <v>45728.0</v>
      </c>
      <c r="C570" s="17" t="s">
        <v>60</v>
      </c>
      <c r="D570" s="17" t="s">
        <v>58</v>
      </c>
    </row>
    <row r="571" ht="15.75" customHeight="1">
      <c r="A571" s="15" t="s">
        <v>630</v>
      </c>
      <c r="B571" s="16">
        <v>45729.0</v>
      </c>
      <c r="C571" s="15" t="s">
        <v>66</v>
      </c>
      <c r="D571" s="15" t="s">
        <v>61</v>
      </c>
    </row>
    <row r="572" ht="15.75" customHeight="1">
      <c r="A572" s="17" t="s">
        <v>631</v>
      </c>
      <c r="B572" s="18">
        <v>45729.0</v>
      </c>
      <c r="C572" s="17" t="s">
        <v>57</v>
      </c>
      <c r="D572" s="17" t="s">
        <v>67</v>
      </c>
    </row>
    <row r="573" ht="15.75" customHeight="1">
      <c r="A573" s="15" t="s">
        <v>632</v>
      </c>
      <c r="B573" s="16">
        <v>45729.0</v>
      </c>
      <c r="C573" s="15" t="s">
        <v>57</v>
      </c>
      <c r="D573" s="15" t="s">
        <v>55</v>
      </c>
    </row>
    <row r="574" ht="15.75" customHeight="1">
      <c r="A574" s="17" t="s">
        <v>633</v>
      </c>
      <c r="B574" s="18">
        <v>45729.0</v>
      </c>
      <c r="C574" s="17" t="s">
        <v>63</v>
      </c>
      <c r="D574" s="17" t="s">
        <v>67</v>
      </c>
    </row>
    <row r="575" ht="15.75" customHeight="1">
      <c r="A575" s="15" t="s">
        <v>634</v>
      </c>
      <c r="B575" s="16">
        <v>45729.0</v>
      </c>
      <c r="C575" s="15" t="s">
        <v>66</v>
      </c>
      <c r="D575" s="15" t="s">
        <v>55</v>
      </c>
    </row>
    <row r="576" ht="15.75" customHeight="1">
      <c r="A576" s="17" t="s">
        <v>635</v>
      </c>
      <c r="B576" s="18">
        <v>45730.0</v>
      </c>
      <c r="C576" s="17" t="s">
        <v>66</v>
      </c>
      <c r="D576" s="17" t="s">
        <v>55</v>
      </c>
    </row>
    <row r="577" ht="15.75" customHeight="1">
      <c r="A577" s="15" t="s">
        <v>636</v>
      </c>
      <c r="B577" s="16">
        <v>45730.0</v>
      </c>
      <c r="C577" s="15" t="s">
        <v>57</v>
      </c>
      <c r="D577" s="15" t="s">
        <v>58</v>
      </c>
    </row>
    <row r="578" ht="15.75" customHeight="1">
      <c r="A578" s="17" t="s">
        <v>637</v>
      </c>
      <c r="B578" s="18">
        <v>45731.0</v>
      </c>
      <c r="C578" s="17" t="s">
        <v>63</v>
      </c>
      <c r="D578" s="17" t="s">
        <v>61</v>
      </c>
    </row>
    <row r="579" ht="15.75" customHeight="1">
      <c r="A579" s="15" t="s">
        <v>638</v>
      </c>
      <c r="B579" s="16">
        <v>45731.0</v>
      </c>
      <c r="C579" s="15" t="s">
        <v>63</v>
      </c>
      <c r="D579" s="15" t="s">
        <v>61</v>
      </c>
    </row>
    <row r="580" ht="15.75" customHeight="1">
      <c r="A580" s="17" t="s">
        <v>639</v>
      </c>
      <c r="B580" s="18">
        <v>45731.0</v>
      </c>
      <c r="C580" s="17" t="s">
        <v>60</v>
      </c>
      <c r="D580" s="17" t="s">
        <v>55</v>
      </c>
    </row>
    <row r="581" ht="15.75" customHeight="1">
      <c r="A581" s="15" t="s">
        <v>640</v>
      </c>
      <c r="B581" s="16">
        <v>45731.0</v>
      </c>
      <c r="C581" s="15" t="s">
        <v>60</v>
      </c>
      <c r="D581" s="15" t="s">
        <v>55</v>
      </c>
    </row>
    <row r="582" ht="15.75" customHeight="1">
      <c r="A582" s="17" t="s">
        <v>641</v>
      </c>
      <c r="B582" s="18">
        <v>45731.0</v>
      </c>
      <c r="C582" s="17" t="s">
        <v>66</v>
      </c>
      <c r="D582" s="17" t="s">
        <v>61</v>
      </c>
    </row>
    <row r="583" ht="15.75" customHeight="1">
      <c r="A583" s="15" t="s">
        <v>642</v>
      </c>
      <c r="B583" s="16">
        <v>45731.0</v>
      </c>
      <c r="C583" s="15" t="s">
        <v>60</v>
      </c>
      <c r="D583" s="15" t="s">
        <v>58</v>
      </c>
    </row>
    <row r="584" ht="15.75" customHeight="1">
      <c r="A584" s="17" t="s">
        <v>643</v>
      </c>
      <c r="B584" s="18">
        <v>45731.0</v>
      </c>
      <c r="C584" s="17" t="s">
        <v>60</v>
      </c>
      <c r="D584" s="17" t="s">
        <v>67</v>
      </c>
    </row>
    <row r="585" ht="15.75" customHeight="1">
      <c r="A585" s="15" t="s">
        <v>644</v>
      </c>
      <c r="B585" s="16">
        <v>45732.0</v>
      </c>
      <c r="C585" s="15" t="s">
        <v>57</v>
      </c>
      <c r="D585" s="15" t="s">
        <v>58</v>
      </c>
    </row>
    <row r="586" ht="15.75" customHeight="1">
      <c r="A586" s="17" t="s">
        <v>645</v>
      </c>
      <c r="B586" s="18">
        <v>45732.0</v>
      </c>
      <c r="C586" s="17" t="s">
        <v>63</v>
      </c>
      <c r="D586" s="17" t="s">
        <v>55</v>
      </c>
    </row>
    <row r="587" ht="15.75" customHeight="1">
      <c r="A587" s="15" t="s">
        <v>646</v>
      </c>
      <c r="B587" s="16">
        <v>45732.0</v>
      </c>
      <c r="C587" s="15" t="s">
        <v>66</v>
      </c>
      <c r="D587" s="15" t="s">
        <v>67</v>
      </c>
    </row>
    <row r="588" ht="15.75" customHeight="1">
      <c r="A588" s="17" t="s">
        <v>647</v>
      </c>
      <c r="B588" s="18">
        <v>45733.0</v>
      </c>
      <c r="C588" s="17" t="s">
        <v>66</v>
      </c>
      <c r="D588" s="17" t="s">
        <v>64</v>
      </c>
    </row>
    <row r="589" ht="15.75" customHeight="1">
      <c r="A589" s="15" t="s">
        <v>648</v>
      </c>
      <c r="B589" s="16">
        <v>45733.0</v>
      </c>
      <c r="C589" s="15" t="s">
        <v>66</v>
      </c>
      <c r="D589" s="15" t="s">
        <v>64</v>
      </c>
    </row>
    <row r="590" ht="15.75" customHeight="1">
      <c r="A590" s="17" t="s">
        <v>649</v>
      </c>
      <c r="B590" s="18">
        <v>45733.0</v>
      </c>
      <c r="C590" s="17" t="s">
        <v>69</v>
      </c>
      <c r="D590" s="17" t="s">
        <v>55</v>
      </c>
    </row>
    <row r="591" ht="15.75" customHeight="1">
      <c r="A591" s="15" t="s">
        <v>650</v>
      </c>
      <c r="B591" s="16">
        <v>45733.0</v>
      </c>
      <c r="C591" s="15" t="s">
        <v>60</v>
      </c>
      <c r="D591" s="15" t="s">
        <v>55</v>
      </c>
    </row>
    <row r="592" ht="15.75" customHeight="1">
      <c r="A592" s="17" t="s">
        <v>651</v>
      </c>
      <c r="B592" s="18">
        <v>45734.0</v>
      </c>
      <c r="C592" s="17" t="s">
        <v>66</v>
      </c>
      <c r="D592" s="17" t="s">
        <v>55</v>
      </c>
    </row>
    <row r="593" ht="15.75" customHeight="1">
      <c r="A593" s="15" t="s">
        <v>652</v>
      </c>
      <c r="B593" s="16">
        <v>45734.0</v>
      </c>
      <c r="C593" s="15" t="s">
        <v>66</v>
      </c>
      <c r="D593" s="15" t="s">
        <v>55</v>
      </c>
    </row>
    <row r="594" ht="15.75" customHeight="1">
      <c r="A594" s="17" t="s">
        <v>653</v>
      </c>
      <c r="B594" s="18">
        <v>45734.0</v>
      </c>
      <c r="C594" s="17" t="s">
        <v>54</v>
      </c>
      <c r="D594" s="17" t="s">
        <v>55</v>
      </c>
    </row>
    <row r="595" ht="15.75" customHeight="1">
      <c r="A595" s="15" t="s">
        <v>654</v>
      </c>
      <c r="B595" s="16">
        <v>45735.0</v>
      </c>
      <c r="C595" s="15" t="s">
        <v>66</v>
      </c>
      <c r="D595" s="15" t="s">
        <v>64</v>
      </c>
    </row>
    <row r="596" ht="15.75" customHeight="1">
      <c r="A596" s="17" t="s">
        <v>655</v>
      </c>
      <c r="B596" s="18">
        <v>45735.0</v>
      </c>
      <c r="C596" s="17" t="s">
        <v>66</v>
      </c>
      <c r="D596" s="17" t="s">
        <v>64</v>
      </c>
    </row>
    <row r="597" ht="15.75" customHeight="1">
      <c r="A597" s="15" t="s">
        <v>656</v>
      </c>
      <c r="B597" s="16">
        <v>45735.0</v>
      </c>
      <c r="C597" s="15" t="s">
        <v>57</v>
      </c>
      <c r="D597" s="15" t="s">
        <v>67</v>
      </c>
    </row>
    <row r="598" ht="15.75" customHeight="1">
      <c r="A598" s="17" t="s">
        <v>657</v>
      </c>
      <c r="B598" s="18">
        <v>45736.0</v>
      </c>
      <c r="C598" s="17" t="s">
        <v>66</v>
      </c>
      <c r="D598" s="17" t="s">
        <v>58</v>
      </c>
    </row>
    <row r="599" ht="15.75" customHeight="1">
      <c r="A599" s="15" t="s">
        <v>658</v>
      </c>
      <c r="B599" s="16">
        <v>45736.0</v>
      </c>
      <c r="C599" s="15" t="s">
        <v>54</v>
      </c>
      <c r="D599" s="15" t="s">
        <v>61</v>
      </c>
    </row>
    <row r="600" ht="15.75" customHeight="1">
      <c r="A600" s="17" t="s">
        <v>659</v>
      </c>
      <c r="B600" s="18">
        <v>45736.0</v>
      </c>
      <c r="C600" s="17" t="s">
        <v>66</v>
      </c>
      <c r="D600" s="17" t="s">
        <v>58</v>
      </c>
    </row>
    <row r="601" ht="15.75" customHeight="1">
      <c r="A601" s="15" t="s">
        <v>660</v>
      </c>
      <c r="B601" s="16">
        <v>45737.0</v>
      </c>
      <c r="C601" s="15" t="s">
        <v>54</v>
      </c>
      <c r="D601" s="15" t="s">
        <v>58</v>
      </c>
    </row>
    <row r="602" ht="15.75" customHeight="1">
      <c r="A602" s="17" t="s">
        <v>661</v>
      </c>
      <c r="B602" s="18">
        <v>45738.0</v>
      </c>
      <c r="C602" s="17" t="s">
        <v>66</v>
      </c>
      <c r="D602" s="17" t="s">
        <v>55</v>
      </c>
    </row>
    <row r="603" ht="15.75" customHeight="1">
      <c r="A603" s="15" t="s">
        <v>662</v>
      </c>
      <c r="B603" s="16">
        <v>45738.0</v>
      </c>
      <c r="C603" s="15" t="s">
        <v>66</v>
      </c>
      <c r="D603" s="15" t="s">
        <v>55</v>
      </c>
    </row>
    <row r="604" ht="15.75" customHeight="1">
      <c r="A604" s="17" t="s">
        <v>663</v>
      </c>
      <c r="B604" s="18">
        <v>45739.0</v>
      </c>
      <c r="C604" s="17" t="s">
        <v>66</v>
      </c>
      <c r="D604" s="17" t="s">
        <v>55</v>
      </c>
    </row>
    <row r="605" ht="15.75" customHeight="1">
      <c r="A605" s="15" t="s">
        <v>664</v>
      </c>
      <c r="B605" s="16">
        <v>45739.0</v>
      </c>
      <c r="C605" s="15" t="s">
        <v>66</v>
      </c>
      <c r="D605" s="15" t="s">
        <v>55</v>
      </c>
    </row>
    <row r="606" ht="15.75" customHeight="1">
      <c r="A606" s="17" t="s">
        <v>665</v>
      </c>
      <c r="B606" s="18">
        <v>45740.0</v>
      </c>
      <c r="C606" s="17" t="s">
        <v>63</v>
      </c>
      <c r="D606" s="17" t="s">
        <v>58</v>
      </c>
    </row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:D2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4.0"/>
    <col customWidth="1" min="2" max="2" width="12.0"/>
    <col customWidth="1" min="3" max="4" width="13.0"/>
    <col customWidth="1" min="5" max="5" width="12.0"/>
    <col customWidth="1" min="6" max="6" width="13.0"/>
    <col customWidth="1" min="7" max="7" width="11.0"/>
    <col customWidth="1" min="8" max="26" width="8.71"/>
  </cols>
  <sheetData>
    <row r="2" ht="27.75" customHeight="1">
      <c r="A2" s="12" t="s">
        <v>666</v>
      </c>
      <c r="B2" s="13"/>
      <c r="C2" s="13"/>
      <c r="D2" s="13"/>
      <c r="E2" s="13"/>
      <c r="F2" s="13"/>
      <c r="G2" s="2"/>
    </row>
    <row r="4" ht="21.75" customHeight="1">
      <c r="A4" s="14" t="s">
        <v>667</v>
      </c>
      <c r="B4" s="14" t="s">
        <v>49</v>
      </c>
      <c r="C4" s="14" t="s">
        <v>668</v>
      </c>
      <c r="D4" s="14" t="s">
        <v>669</v>
      </c>
      <c r="E4" s="14" t="s">
        <v>670</v>
      </c>
      <c r="F4" s="14" t="s">
        <v>671</v>
      </c>
      <c r="G4" s="14" t="s">
        <v>672</v>
      </c>
    </row>
    <row r="5">
      <c r="A5" s="15" t="s">
        <v>673</v>
      </c>
      <c r="B5" s="15" t="s">
        <v>53</v>
      </c>
      <c r="C5" s="16">
        <v>45292.0</v>
      </c>
      <c r="D5" s="16">
        <v>45299.0</v>
      </c>
      <c r="E5" s="15" t="s">
        <v>674</v>
      </c>
      <c r="F5" s="19">
        <v>0.0</v>
      </c>
      <c r="G5" s="15" t="s">
        <v>675</v>
      </c>
    </row>
    <row r="6">
      <c r="A6" s="17" t="s">
        <v>676</v>
      </c>
      <c r="B6" s="17" t="s">
        <v>56</v>
      </c>
      <c r="C6" s="18">
        <v>45292.0</v>
      </c>
      <c r="D6" s="18">
        <v>45299.0</v>
      </c>
      <c r="E6" s="17" t="s">
        <v>674</v>
      </c>
      <c r="F6" s="20">
        <v>0.0</v>
      </c>
      <c r="G6" s="17" t="s">
        <v>675</v>
      </c>
    </row>
    <row r="7">
      <c r="A7" s="15" t="s">
        <v>677</v>
      </c>
      <c r="B7" s="15" t="s">
        <v>59</v>
      </c>
      <c r="C7" s="16">
        <v>45293.0</v>
      </c>
      <c r="D7" s="16">
        <v>45300.0</v>
      </c>
      <c r="E7" s="15" t="s">
        <v>674</v>
      </c>
      <c r="F7" s="19">
        <v>0.0</v>
      </c>
      <c r="G7" s="15" t="s">
        <v>675</v>
      </c>
    </row>
    <row r="8">
      <c r="A8" s="17" t="s">
        <v>678</v>
      </c>
      <c r="B8" s="17" t="s">
        <v>62</v>
      </c>
      <c r="C8" s="18">
        <v>45294.0</v>
      </c>
      <c r="D8" s="18">
        <v>45301.0</v>
      </c>
      <c r="E8" s="17" t="s">
        <v>674</v>
      </c>
      <c r="F8" s="20">
        <v>0.0</v>
      </c>
      <c r="G8" s="17" t="s">
        <v>675</v>
      </c>
    </row>
    <row r="9">
      <c r="A9" s="15" t="s">
        <v>679</v>
      </c>
      <c r="B9" s="15" t="s">
        <v>65</v>
      </c>
      <c r="C9" s="16">
        <v>45294.0</v>
      </c>
      <c r="D9" s="16">
        <v>45301.0</v>
      </c>
      <c r="E9" s="15" t="s">
        <v>674</v>
      </c>
      <c r="F9" s="19">
        <v>0.0</v>
      </c>
      <c r="G9" s="15" t="s">
        <v>675</v>
      </c>
    </row>
    <row r="10">
      <c r="A10" s="17" t="s">
        <v>680</v>
      </c>
      <c r="B10" s="17" t="s">
        <v>68</v>
      </c>
      <c r="C10" s="18">
        <v>45294.0</v>
      </c>
      <c r="D10" s="18">
        <v>45301.0</v>
      </c>
      <c r="E10" s="17" t="s">
        <v>674</v>
      </c>
      <c r="F10" s="20">
        <v>0.0</v>
      </c>
      <c r="G10" s="17" t="s">
        <v>675</v>
      </c>
    </row>
    <row r="11">
      <c r="A11" s="15" t="s">
        <v>681</v>
      </c>
      <c r="B11" s="15" t="s">
        <v>70</v>
      </c>
      <c r="C11" s="16">
        <v>45294.0</v>
      </c>
      <c r="D11" s="16">
        <v>45301.0</v>
      </c>
      <c r="E11" s="15" t="s">
        <v>674</v>
      </c>
      <c r="F11" s="19">
        <v>0.0</v>
      </c>
      <c r="G11" s="15" t="s">
        <v>675</v>
      </c>
    </row>
    <row r="12">
      <c r="A12" s="17" t="s">
        <v>682</v>
      </c>
      <c r="B12" s="17" t="s">
        <v>71</v>
      </c>
      <c r="C12" s="18">
        <v>45295.0</v>
      </c>
      <c r="D12" s="18">
        <v>45302.0</v>
      </c>
      <c r="E12" s="17" t="s">
        <v>674</v>
      </c>
      <c r="F12" s="20">
        <v>0.0</v>
      </c>
      <c r="G12" s="17" t="s">
        <v>675</v>
      </c>
    </row>
    <row r="13">
      <c r="A13" s="15" t="s">
        <v>683</v>
      </c>
      <c r="B13" s="15" t="s">
        <v>53</v>
      </c>
      <c r="C13" s="16">
        <v>45299.0</v>
      </c>
      <c r="D13" s="16">
        <v>45329.0</v>
      </c>
      <c r="E13" s="15" t="s">
        <v>684</v>
      </c>
      <c r="F13" s="19">
        <v>19.99</v>
      </c>
      <c r="G13" s="15" t="s">
        <v>675</v>
      </c>
    </row>
    <row r="14">
      <c r="A14" s="17" t="s">
        <v>685</v>
      </c>
      <c r="B14" s="17" t="s">
        <v>56</v>
      </c>
      <c r="C14" s="18">
        <v>45299.0</v>
      </c>
      <c r="D14" s="18">
        <v>45329.0</v>
      </c>
      <c r="E14" s="17" t="s">
        <v>684</v>
      </c>
      <c r="F14" s="20">
        <v>19.99</v>
      </c>
      <c r="G14" s="17" t="s">
        <v>675</v>
      </c>
    </row>
    <row r="15">
      <c r="A15" s="15" t="s">
        <v>686</v>
      </c>
      <c r="B15" s="15" t="s">
        <v>72</v>
      </c>
      <c r="C15" s="16">
        <v>45300.0</v>
      </c>
      <c r="D15" s="16">
        <v>45307.0</v>
      </c>
      <c r="E15" s="15" t="s">
        <v>674</v>
      </c>
      <c r="F15" s="19">
        <v>0.0</v>
      </c>
      <c r="G15" s="15" t="s">
        <v>675</v>
      </c>
    </row>
    <row r="16">
      <c r="A16" s="17" t="s">
        <v>687</v>
      </c>
      <c r="B16" s="17" t="s">
        <v>59</v>
      </c>
      <c r="C16" s="18">
        <v>45300.0</v>
      </c>
      <c r="D16" s="18">
        <v>45330.0</v>
      </c>
      <c r="E16" s="17" t="s">
        <v>684</v>
      </c>
      <c r="F16" s="20">
        <v>19.99</v>
      </c>
      <c r="G16" s="17" t="s">
        <v>675</v>
      </c>
    </row>
    <row r="17">
      <c r="A17" s="15" t="s">
        <v>688</v>
      </c>
      <c r="B17" s="15" t="s">
        <v>73</v>
      </c>
      <c r="C17" s="16">
        <v>45300.0</v>
      </c>
      <c r="D17" s="16">
        <v>45307.0</v>
      </c>
      <c r="E17" s="15" t="s">
        <v>674</v>
      </c>
      <c r="F17" s="19">
        <v>0.0</v>
      </c>
      <c r="G17" s="15" t="s">
        <v>675</v>
      </c>
    </row>
    <row r="18">
      <c r="A18" s="17" t="s">
        <v>689</v>
      </c>
      <c r="B18" s="17" t="s">
        <v>74</v>
      </c>
      <c r="C18" s="18">
        <v>45300.0</v>
      </c>
      <c r="D18" s="18">
        <v>45307.0</v>
      </c>
      <c r="E18" s="17" t="s">
        <v>674</v>
      </c>
      <c r="F18" s="20">
        <v>0.0</v>
      </c>
      <c r="G18" s="17" t="s">
        <v>675</v>
      </c>
    </row>
    <row r="19">
      <c r="A19" s="15" t="s">
        <v>690</v>
      </c>
      <c r="B19" s="15" t="s">
        <v>62</v>
      </c>
      <c r="C19" s="16">
        <v>45301.0</v>
      </c>
      <c r="D19" s="16">
        <v>45331.0</v>
      </c>
      <c r="E19" s="15" t="s">
        <v>684</v>
      </c>
      <c r="F19" s="19">
        <v>19.99</v>
      </c>
      <c r="G19" s="15" t="s">
        <v>675</v>
      </c>
    </row>
    <row r="20">
      <c r="A20" s="17" t="s">
        <v>691</v>
      </c>
      <c r="B20" s="17" t="s">
        <v>65</v>
      </c>
      <c r="C20" s="18">
        <v>45301.0</v>
      </c>
      <c r="D20" s="18">
        <v>45331.0</v>
      </c>
      <c r="E20" s="17" t="s">
        <v>684</v>
      </c>
      <c r="F20" s="20">
        <v>19.99</v>
      </c>
      <c r="G20" s="17" t="s">
        <v>675</v>
      </c>
    </row>
    <row r="21" ht="15.75" customHeight="1">
      <c r="A21" s="15" t="s">
        <v>692</v>
      </c>
      <c r="B21" s="15" t="s">
        <v>68</v>
      </c>
      <c r="C21" s="16">
        <v>45301.0</v>
      </c>
      <c r="D21" s="16">
        <v>45331.0</v>
      </c>
      <c r="E21" s="15" t="s">
        <v>684</v>
      </c>
      <c r="F21" s="19">
        <v>19.99</v>
      </c>
      <c r="G21" s="15" t="s">
        <v>675</v>
      </c>
    </row>
    <row r="22" ht="15.75" customHeight="1">
      <c r="A22" s="17" t="s">
        <v>693</v>
      </c>
      <c r="B22" s="17" t="s">
        <v>70</v>
      </c>
      <c r="C22" s="18">
        <v>45301.0</v>
      </c>
      <c r="D22" s="18">
        <v>45331.0</v>
      </c>
      <c r="E22" s="17" t="s">
        <v>684</v>
      </c>
      <c r="F22" s="20">
        <v>19.99</v>
      </c>
      <c r="G22" s="17" t="s">
        <v>675</v>
      </c>
    </row>
    <row r="23" ht="15.75" customHeight="1">
      <c r="A23" s="15" t="s">
        <v>694</v>
      </c>
      <c r="B23" s="15" t="s">
        <v>71</v>
      </c>
      <c r="C23" s="16">
        <v>45302.0</v>
      </c>
      <c r="D23" s="16">
        <v>45332.0</v>
      </c>
      <c r="E23" s="15" t="s">
        <v>684</v>
      </c>
      <c r="F23" s="19">
        <v>19.99</v>
      </c>
      <c r="G23" s="15" t="s">
        <v>675</v>
      </c>
    </row>
    <row r="24" ht="15.75" customHeight="1">
      <c r="A24" s="17" t="s">
        <v>695</v>
      </c>
      <c r="B24" s="17" t="s">
        <v>75</v>
      </c>
      <c r="C24" s="18">
        <v>45304.0</v>
      </c>
      <c r="D24" s="18">
        <v>45311.0</v>
      </c>
      <c r="E24" s="17" t="s">
        <v>674</v>
      </c>
      <c r="F24" s="20">
        <v>0.0</v>
      </c>
      <c r="G24" s="17" t="s">
        <v>675</v>
      </c>
    </row>
    <row r="25" ht="15.75" customHeight="1">
      <c r="A25" s="15" t="s">
        <v>696</v>
      </c>
      <c r="B25" s="15" t="s">
        <v>76</v>
      </c>
      <c r="C25" s="16">
        <v>45305.0</v>
      </c>
      <c r="D25" s="16">
        <v>45312.0</v>
      </c>
      <c r="E25" s="15" t="s">
        <v>674</v>
      </c>
      <c r="F25" s="19">
        <v>0.0</v>
      </c>
      <c r="G25" s="15" t="s">
        <v>675</v>
      </c>
    </row>
    <row r="26" ht="15.75" customHeight="1">
      <c r="A26" s="17" t="s">
        <v>697</v>
      </c>
      <c r="B26" s="17" t="s">
        <v>77</v>
      </c>
      <c r="C26" s="18">
        <v>45306.0</v>
      </c>
      <c r="D26" s="18">
        <v>45313.0</v>
      </c>
      <c r="E26" s="17" t="s">
        <v>674</v>
      </c>
      <c r="F26" s="20">
        <v>0.0</v>
      </c>
      <c r="G26" s="17" t="s">
        <v>675</v>
      </c>
    </row>
    <row r="27" ht="15.75" customHeight="1">
      <c r="A27" s="15" t="s">
        <v>698</v>
      </c>
      <c r="B27" s="15" t="s">
        <v>78</v>
      </c>
      <c r="C27" s="16">
        <v>45306.0</v>
      </c>
      <c r="D27" s="16">
        <v>45313.0</v>
      </c>
      <c r="E27" s="15" t="s">
        <v>674</v>
      </c>
      <c r="F27" s="19">
        <v>0.0</v>
      </c>
      <c r="G27" s="15" t="s">
        <v>675</v>
      </c>
    </row>
    <row r="28" ht="15.75" customHeight="1">
      <c r="A28" s="17" t="s">
        <v>699</v>
      </c>
      <c r="B28" s="17" t="s">
        <v>72</v>
      </c>
      <c r="C28" s="18">
        <v>45307.0</v>
      </c>
      <c r="D28" s="18">
        <v>45337.0</v>
      </c>
      <c r="E28" s="17" t="s">
        <v>684</v>
      </c>
      <c r="F28" s="20">
        <v>19.99</v>
      </c>
      <c r="G28" s="17" t="s">
        <v>675</v>
      </c>
    </row>
    <row r="29" ht="15.75" customHeight="1">
      <c r="A29" s="15" t="s">
        <v>700</v>
      </c>
      <c r="B29" s="15" t="s">
        <v>73</v>
      </c>
      <c r="C29" s="16">
        <v>45307.0</v>
      </c>
      <c r="D29" s="16">
        <v>45337.0</v>
      </c>
      <c r="E29" s="15" t="s">
        <v>684</v>
      </c>
      <c r="F29" s="19">
        <v>19.99</v>
      </c>
      <c r="G29" s="15" t="s">
        <v>675</v>
      </c>
    </row>
    <row r="30" ht="15.75" customHeight="1">
      <c r="A30" s="17" t="s">
        <v>701</v>
      </c>
      <c r="B30" s="17" t="s">
        <v>74</v>
      </c>
      <c r="C30" s="18">
        <v>45307.0</v>
      </c>
      <c r="D30" s="18">
        <v>45337.0</v>
      </c>
      <c r="E30" s="17" t="s">
        <v>684</v>
      </c>
      <c r="F30" s="20">
        <v>19.99</v>
      </c>
      <c r="G30" s="17" t="s">
        <v>675</v>
      </c>
    </row>
    <row r="31" ht="15.75" customHeight="1">
      <c r="A31" s="15" t="s">
        <v>702</v>
      </c>
      <c r="B31" s="15" t="s">
        <v>79</v>
      </c>
      <c r="C31" s="16">
        <v>45309.0</v>
      </c>
      <c r="D31" s="16">
        <v>45316.0</v>
      </c>
      <c r="E31" s="15" t="s">
        <v>674</v>
      </c>
      <c r="F31" s="19">
        <v>0.0</v>
      </c>
      <c r="G31" s="15" t="s">
        <v>675</v>
      </c>
    </row>
    <row r="32" ht="15.75" customHeight="1">
      <c r="A32" s="17" t="s">
        <v>703</v>
      </c>
      <c r="B32" s="17" t="s">
        <v>80</v>
      </c>
      <c r="C32" s="18">
        <v>45310.0</v>
      </c>
      <c r="D32" s="18">
        <v>45317.0</v>
      </c>
      <c r="E32" s="17" t="s">
        <v>674</v>
      </c>
      <c r="F32" s="20">
        <v>0.0</v>
      </c>
      <c r="G32" s="17" t="s">
        <v>675</v>
      </c>
    </row>
    <row r="33" ht="15.75" customHeight="1">
      <c r="A33" s="15" t="s">
        <v>704</v>
      </c>
      <c r="B33" s="15" t="s">
        <v>81</v>
      </c>
      <c r="C33" s="16">
        <v>45310.0</v>
      </c>
      <c r="D33" s="16">
        <v>45317.0</v>
      </c>
      <c r="E33" s="15" t="s">
        <v>674</v>
      </c>
      <c r="F33" s="19">
        <v>0.0</v>
      </c>
      <c r="G33" s="15" t="s">
        <v>675</v>
      </c>
    </row>
    <row r="34" ht="15.75" customHeight="1">
      <c r="A34" s="17" t="s">
        <v>705</v>
      </c>
      <c r="B34" s="17" t="s">
        <v>75</v>
      </c>
      <c r="C34" s="18">
        <v>45311.0</v>
      </c>
      <c r="D34" s="18">
        <v>45341.0</v>
      </c>
      <c r="E34" s="17" t="s">
        <v>684</v>
      </c>
      <c r="F34" s="20">
        <v>19.99</v>
      </c>
      <c r="G34" s="17" t="s">
        <v>675</v>
      </c>
    </row>
    <row r="35" ht="15.75" customHeight="1">
      <c r="A35" s="15" t="s">
        <v>706</v>
      </c>
      <c r="B35" s="15" t="s">
        <v>76</v>
      </c>
      <c r="C35" s="16">
        <v>45312.0</v>
      </c>
      <c r="D35" s="16">
        <v>45342.0</v>
      </c>
      <c r="E35" s="15" t="s">
        <v>684</v>
      </c>
      <c r="F35" s="19">
        <v>19.99</v>
      </c>
      <c r="G35" s="15" t="s">
        <v>675</v>
      </c>
    </row>
    <row r="36" ht="15.75" customHeight="1">
      <c r="A36" s="17" t="s">
        <v>707</v>
      </c>
      <c r="B36" s="17" t="s">
        <v>82</v>
      </c>
      <c r="C36" s="18">
        <v>45312.0</v>
      </c>
      <c r="D36" s="18">
        <v>45319.0</v>
      </c>
      <c r="E36" s="17" t="s">
        <v>674</v>
      </c>
      <c r="F36" s="20">
        <v>0.0</v>
      </c>
      <c r="G36" s="17" t="s">
        <v>675</v>
      </c>
    </row>
    <row r="37" ht="15.75" customHeight="1">
      <c r="A37" s="15" t="s">
        <v>708</v>
      </c>
      <c r="B37" s="15" t="s">
        <v>83</v>
      </c>
      <c r="C37" s="16">
        <v>45312.0</v>
      </c>
      <c r="D37" s="16">
        <v>45319.0</v>
      </c>
      <c r="E37" s="15" t="s">
        <v>674</v>
      </c>
      <c r="F37" s="19">
        <v>0.0</v>
      </c>
      <c r="G37" s="15" t="s">
        <v>675</v>
      </c>
    </row>
    <row r="38" ht="15.75" customHeight="1">
      <c r="A38" s="17" t="s">
        <v>709</v>
      </c>
      <c r="B38" s="17" t="s">
        <v>84</v>
      </c>
      <c r="C38" s="18">
        <v>45313.0</v>
      </c>
      <c r="D38" s="18">
        <v>45320.0</v>
      </c>
      <c r="E38" s="17" t="s">
        <v>674</v>
      </c>
      <c r="F38" s="20">
        <v>0.0</v>
      </c>
      <c r="G38" s="17" t="s">
        <v>675</v>
      </c>
    </row>
    <row r="39" ht="15.75" customHeight="1">
      <c r="A39" s="15" t="s">
        <v>710</v>
      </c>
      <c r="B39" s="15" t="s">
        <v>77</v>
      </c>
      <c r="C39" s="16">
        <v>45313.0</v>
      </c>
      <c r="D39" s="16">
        <v>45343.0</v>
      </c>
      <c r="E39" s="15" t="s">
        <v>684</v>
      </c>
      <c r="F39" s="19">
        <v>19.99</v>
      </c>
      <c r="G39" s="15" t="s">
        <v>675</v>
      </c>
    </row>
    <row r="40" ht="15.75" customHeight="1">
      <c r="A40" s="17" t="s">
        <v>711</v>
      </c>
      <c r="B40" s="17" t="s">
        <v>78</v>
      </c>
      <c r="C40" s="18">
        <v>45313.0</v>
      </c>
      <c r="D40" s="18">
        <v>45343.0</v>
      </c>
      <c r="E40" s="17" t="s">
        <v>684</v>
      </c>
      <c r="F40" s="20">
        <v>19.99</v>
      </c>
      <c r="G40" s="17" t="s">
        <v>675</v>
      </c>
    </row>
    <row r="41" ht="15.75" customHeight="1">
      <c r="A41" s="15" t="s">
        <v>712</v>
      </c>
      <c r="B41" s="15" t="s">
        <v>79</v>
      </c>
      <c r="C41" s="16">
        <v>45316.0</v>
      </c>
      <c r="D41" s="16">
        <v>45346.0</v>
      </c>
      <c r="E41" s="15" t="s">
        <v>684</v>
      </c>
      <c r="F41" s="19">
        <v>19.99</v>
      </c>
      <c r="G41" s="15" t="s">
        <v>675</v>
      </c>
    </row>
    <row r="42" ht="15.75" customHeight="1">
      <c r="A42" s="17" t="s">
        <v>713</v>
      </c>
      <c r="B42" s="17" t="s">
        <v>85</v>
      </c>
      <c r="C42" s="18">
        <v>45316.0</v>
      </c>
      <c r="D42" s="18">
        <v>45323.0</v>
      </c>
      <c r="E42" s="17" t="s">
        <v>674</v>
      </c>
      <c r="F42" s="20">
        <v>0.0</v>
      </c>
      <c r="G42" s="17" t="s">
        <v>675</v>
      </c>
    </row>
    <row r="43" ht="15.75" customHeight="1">
      <c r="A43" s="15" t="s">
        <v>714</v>
      </c>
      <c r="B43" s="15" t="s">
        <v>80</v>
      </c>
      <c r="C43" s="16">
        <v>45317.0</v>
      </c>
      <c r="D43" s="16">
        <v>45347.0</v>
      </c>
      <c r="E43" s="15" t="s">
        <v>684</v>
      </c>
      <c r="F43" s="19">
        <v>19.99</v>
      </c>
      <c r="G43" s="15" t="s">
        <v>675</v>
      </c>
    </row>
    <row r="44" ht="15.75" customHeight="1">
      <c r="A44" s="17" t="s">
        <v>715</v>
      </c>
      <c r="B44" s="17" t="s">
        <v>81</v>
      </c>
      <c r="C44" s="18">
        <v>45317.0</v>
      </c>
      <c r="D44" s="18">
        <v>45347.0</v>
      </c>
      <c r="E44" s="17" t="s">
        <v>684</v>
      </c>
      <c r="F44" s="20">
        <v>19.99</v>
      </c>
      <c r="G44" s="17" t="s">
        <v>675</v>
      </c>
    </row>
    <row r="45" ht="15.75" customHeight="1">
      <c r="A45" s="15" t="s">
        <v>716</v>
      </c>
      <c r="B45" s="15" t="s">
        <v>86</v>
      </c>
      <c r="C45" s="16">
        <v>45318.0</v>
      </c>
      <c r="D45" s="16">
        <v>45325.0</v>
      </c>
      <c r="E45" s="15" t="s">
        <v>674</v>
      </c>
      <c r="F45" s="19">
        <v>0.0</v>
      </c>
      <c r="G45" s="15" t="s">
        <v>675</v>
      </c>
    </row>
    <row r="46" ht="15.75" customHeight="1">
      <c r="A46" s="17" t="s">
        <v>717</v>
      </c>
      <c r="B46" s="17" t="s">
        <v>82</v>
      </c>
      <c r="C46" s="18">
        <v>45319.0</v>
      </c>
      <c r="D46" s="18">
        <v>45349.0</v>
      </c>
      <c r="E46" s="17" t="s">
        <v>684</v>
      </c>
      <c r="F46" s="20">
        <v>19.99</v>
      </c>
      <c r="G46" s="17" t="s">
        <v>675</v>
      </c>
    </row>
    <row r="47" ht="15.75" customHeight="1">
      <c r="A47" s="15" t="s">
        <v>718</v>
      </c>
      <c r="B47" s="15" t="s">
        <v>87</v>
      </c>
      <c r="C47" s="16">
        <v>45319.0</v>
      </c>
      <c r="D47" s="16">
        <v>45326.0</v>
      </c>
      <c r="E47" s="15" t="s">
        <v>674</v>
      </c>
      <c r="F47" s="19">
        <v>0.0</v>
      </c>
      <c r="G47" s="15" t="s">
        <v>675</v>
      </c>
    </row>
    <row r="48" ht="15.75" customHeight="1">
      <c r="A48" s="17" t="s">
        <v>719</v>
      </c>
      <c r="B48" s="17" t="s">
        <v>83</v>
      </c>
      <c r="C48" s="18">
        <v>45319.0</v>
      </c>
      <c r="D48" s="18">
        <v>45349.0</v>
      </c>
      <c r="E48" s="17" t="s">
        <v>684</v>
      </c>
      <c r="F48" s="20">
        <v>19.99</v>
      </c>
      <c r="G48" s="17" t="s">
        <v>675</v>
      </c>
    </row>
    <row r="49" ht="15.75" customHeight="1">
      <c r="A49" s="15" t="s">
        <v>720</v>
      </c>
      <c r="B49" s="15" t="s">
        <v>84</v>
      </c>
      <c r="C49" s="16">
        <v>45320.0</v>
      </c>
      <c r="D49" s="16">
        <v>45350.0</v>
      </c>
      <c r="E49" s="15" t="s">
        <v>684</v>
      </c>
      <c r="F49" s="19">
        <v>19.99</v>
      </c>
      <c r="G49" s="15" t="s">
        <v>675</v>
      </c>
    </row>
    <row r="50" ht="15.75" customHeight="1">
      <c r="A50" s="17" t="s">
        <v>721</v>
      </c>
      <c r="B50" s="17" t="s">
        <v>88</v>
      </c>
      <c r="C50" s="18">
        <v>45320.0</v>
      </c>
      <c r="D50" s="18">
        <v>45327.0</v>
      </c>
      <c r="E50" s="17" t="s">
        <v>674</v>
      </c>
      <c r="F50" s="20">
        <v>0.0</v>
      </c>
      <c r="G50" s="17" t="s">
        <v>675</v>
      </c>
    </row>
    <row r="51" ht="15.75" customHeight="1">
      <c r="A51" s="15" t="s">
        <v>722</v>
      </c>
      <c r="B51" s="15" t="s">
        <v>85</v>
      </c>
      <c r="C51" s="16">
        <v>45323.0</v>
      </c>
      <c r="D51" s="16">
        <v>45353.0</v>
      </c>
      <c r="E51" s="15" t="s">
        <v>684</v>
      </c>
      <c r="F51" s="19">
        <v>19.99</v>
      </c>
      <c r="G51" s="15" t="s">
        <v>675</v>
      </c>
    </row>
    <row r="52" ht="15.75" customHeight="1">
      <c r="A52" s="17" t="s">
        <v>723</v>
      </c>
      <c r="B52" s="17" t="s">
        <v>89</v>
      </c>
      <c r="C52" s="18">
        <v>45323.0</v>
      </c>
      <c r="D52" s="18">
        <v>45330.0</v>
      </c>
      <c r="E52" s="17" t="s">
        <v>674</v>
      </c>
      <c r="F52" s="20">
        <v>0.0</v>
      </c>
      <c r="G52" s="17" t="s">
        <v>675</v>
      </c>
    </row>
    <row r="53" ht="15.75" customHeight="1">
      <c r="A53" s="15" t="s">
        <v>724</v>
      </c>
      <c r="B53" s="15" t="s">
        <v>90</v>
      </c>
      <c r="C53" s="16">
        <v>45324.0</v>
      </c>
      <c r="D53" s="16">
        <v>45331.0</v>
      </c>
      <c r="E53" s="15" t="s">
        <v>674</v>
      </c>
      <c r="F53" s="19">
        <v>0.0</v>
      </c>
      <c r="G53" s="15" t="s">
        <v>675</v>
      </c>
    </row>
    <row r="54" ht="15.75" customHeight="1">
      <c r="A54" s="17" t="s">
        <v>725</v>
      </c>
      <c r="B54" s="17" t="s">
        <v>86</v>
      </c>
      <c r="C54" s="18">
        <v>45325.0</v>
      </c>
      <c r="D54" s="18">
        <v>45355.0</v>
      </c>
      <c r="E54" s="17" t="s">
        <v>684</v>
      </c>
      <c r="F54" s="20">
        <v>19.99</v>
      </c>
      <c r="G54" s="17" t="s">
        <v>675</v>
      </c>
    </row>
    <row r="55" ht="15.75" customHeight="1">
      <c r="A55" s="15" t="s">
        <v>726</v>
      </c>
      <c r="B55" s="15" t="s">
        <v>87</v>
      </c>
      <c r="C55" s="16">
        <v>45326.0</v>
      </c>
      <c r="D55" s="16">
        <v>45356.0</v>
      </c>
      <c r="E55" s="15" t="s">
        <v>684</v>
      </c>
      <c r="F55" s="19">
        <v>19.99</v>
      </c>
      <c r="G55" s="15" t="s">
        <v>675</v>
      </c>
    </row>
    <row r="56" ht="15.75" customHeight="1">
      <c r="A56" s="17" t="s">
        <v>727</v>
      </c>
      <c r="B56" s="17" t="s">
        <v>88</v>
      </c>
      <c r="C56" s="18">
        <v>45327.0</v>
      </c>
      <c r="D56" s="18">
        <v>45357.0</v>
      </c>
      <c r="E56" s="17" t="s">
        <v>684</v>
      </c>
      <c r="F56" s="20">
        <v>19.99</v>
      </c>
      <c r="G56" s="17" t="s">
        <v>675</v>
      </c>
    </row>
    <row r="57" ht="15.75" customHeight="1">
      <c r="A57" s="15" t="s">
        <v>728</v>
      </c>
      <c r="B57" s="15" t="s">
        <v>91</v>
      </c>
      <c r="C57" s="16">
        <v>45328.0</v>
      </c>
      <c r="D57" s="16">
        <v>45335.0</v>
      </c>
      <c r="E57" s="15" t="s">
        <v>674</v>
      </c>
      <c r="F57" s="19">
        <v>0.0</v>
      </c>
      <c r="G57" s="15" t="s">
        <v>675</v>
      </c>
    </row>
    <row r="58" ht="15.75" customHeight="1">
      <c r="A58" s="17" t="s">
        <v>729</v>
      </c>
      <c r="B58" s="17" t="s">
        <v>92</v>
      </c>
      <c r="C58" s="18">
        <v>45329.0</v>
      </c>
      <c r="D58" s="18">
        <v>45336.0</v>
      </c>
      <c r="E58" s="17" t="s">
        <v>674</v>
      </c>
      <c r="F58" s="20">
        <v>0.0</v>
      </c>
      <c r="G58" s="17" t="s">
        <v>675</v>
      </c>
    </row>
    <row r="59" ht="15.75" customHeight="1">
      <c r="A59" s="15" t="s">
        <v>730</v>
      </c>
      <c r="B59" s="15" t="s">
        <v>53</v>
      </c>
      <c r="C59" s="16">
        <v>45329.0</v>
      </c>
      <c r="D59" s="16">
        <v>45359.0</v>
      </c>
      <c r="E59" s="15" t="s">
        <v>684</v>
      </c>
      <c r="F59" s="19">
        <v>19.99</v>
      </c>
      <c r="G59" s="15" t="s">
        <v>675</v>
      </c>
    </row>
    <row r="60" ht="15.75" customHeight="1">
      <c r="A60" s="17" t="s">
        <v>731</v>
      </c>
      <c r="B60" s="17" t="s">
        <v>56</v>
      </c>
      <c r="C60" s="18">
        <v>45329.0</v>
      </c>
      <c r="D60" s="18">
        <v>45359.0</v>
      </c>
      <c r="E60" s="17" t="s">
        <v>684</v>
      </c>
      <c r="F60" s="20">
        <v>19.99</v>
      </c>
      <c r="G60" s="17" t="s">
        <v>675</v>
      </c>
    </row>
    <row r="61" ht="15.75" customHeight="1">
      <c r="A61" s="15" t="s">
        <v>732</v>
      </c>
      <c r="B61" s="15" t="s">
        <v>93</v>
      </c>
      <c r="C61" s="16">
        <v>45329.0</v>
      </c>
      <c r="D61" s="16">
        <v>45336.0</v>
      </c>
      <c r="E61" s="15" t="s">
        <v>674</v>
      </c>
      <c r="F61" s="19">
        <v>0.0</v>
      </c>
      <c r="G61" s="15" t="s">
        <v>675</v>
      </c>
    </row>
    <row r="62" ht="15.75" customHeight="1">
      <c r="A62" s="17" t="s">
        <v>733</v>
      </c>
      <c r="B62" s="17" t="s">
        <v>89</v>
      </c>
      <c r="C62" s="18">
        <v>45330.0</v>
      </c>
      <c r="D62" s="18">
        <v>45360.0</v>
      </c>
      <c r="E62" s="17" t="s">
        <v>684</v>
      </c>
      <c r="F62" s="20">
        <v>19.99</v>
      </c>
      <c r="G62" s="17" t="s">
        <v>675</v>
      </c>
    </row>
    <row r="63" ht="15.75" customHeight="1">
      <c r="A63" s="15" t="s">
        <v>734</v>
      </c>
      <c r="B63" s="15" t="s">
        <v>59</v>
      </c>
      <c r="C63" s="16">
        <v>45330.0</v>
      </c>
      <c r="D63" s="16">
        <v>45360.0</v>
      </c>
      <c r="E63" s="15" t="s">
        <v>684</v>
      </c>
      <c r="F63" s="19">
        <v>19.99</v>
      </c>
      <c r="G63" s="15" t="s">
        <v>675</v>
      </c>
    </row>
    <row r="64" ht="15.75" customHeight="1">
      <c r="A64" s="17" t="s">
        <v>735</v>
      </c>
      <c r="B64" s="17" t="s">
        <v>94</v>
      </c>
      <c r="C64" s="18">
        <v>45330.0</v>
      </c>
      <c r="D64" s="18">
        <v>45337.0</v>
      </c>
      <c r="E64" s="17" t="s">
        <v>674</v>
      </c>
      <c r="F64" s="20">
        <v>0.0</v>
      </c>
      <c r="G64" s="17" t="s">
        <v>675</v>
      </c>
    </row>
    <row r="65" ht="15.75" customHeight="1">
      <c r="A65" s="15" t="s">
        <v>736</v>
      </c>
      <c r="B65" s="15" t="s">
        <v>62</v>
      </c>
      <c r="C65" s="16">
        <v>45331.0</v>
      </c>
      <c r="D65" s="16">
        <v>45361.0</v>
      </c>
      <c r="E65" s="15" t="s">
        <v>684</v>
      </c>
      <c r="F65" s="19">
        <v>19.99</v>
      </c>
      <c r="G65" s="15" t="s">
        <v>675</v>
      </c>
    </row>
    <row r="66" ht="15.75" customHeight="1">
      <c r="A66" s="17" t="s">
        <v>737</v>
      </c>
      <c r="B66" s="17" t="s">
        <v>65</v>
      </c>
      <c r="C66" s="18">
        <v>45331.0</v>
      </c>
      <c r="D66" s="18">
        <v>45361.0</v>
      </c>
      <c r="E66" s="17" t="s">
        <v>684</v>
      </c>
      <c r="F66" s="20">
        <v>19.99</v>
      </c>
      <c r="G66" s="17" t="s">
        <v>675</v>
      </c>
    </row>
    <row r="67" ht="15.75" customHeight="1">
      <c r="A67" s="15" t="s">
        <v>738</v>
      </c>
      <c r="B67" s="15" t="s">
        <v>68</v>
      </c>
      <c r="C67" s="16">
        <v>45331.0</v>
      </c>
      <c r="D67" s="16">
        <v>45361.0</v>
      </c>
      <c r="E67" s="15" t="s">
        <v>684</v>
      </c>
      <c r="F67" s="19">
        <v>19.99</v>
      </c>
      <c r="G67" s="15" t="s">
        <v>675</v>
      </c>
    </row>
    <row r="68" ht="15.75" customHeight="1">
      <c r="A68" s="17" t="s">
        <v>739</v>
      </c>
      <c r="B68" s="17" t="s">
        <v>90</v>
      </c>
      <c r="C68" s="18">
        <v>45331.0</v>
      </c>
      <c r="D68" s="18">
        <v>45361.0</v>
      </c>
      <c r="E68" s="17" t="s">
        <v>684</v>
      </c>
      <c r="F68" s="20">
        <v>19.99</v>
      </c>
      <c r="G68" s="17" t="s">
        <v>675</v>
      </c>
    </row>
    <row r="69" ht="15.75" customHeight="1">
      <c r="A69" s="15" t="s">
        <v>740</v>
      </c>
      <c r="B69" s="15" t="s">
        <v>70</v>
      </c>
      <c r="C69" s="16">
        <v>45331.0</v>
      </c>
      <c r="D69" s="16">
        <v>45361.0</v>
      </c>
      <c r="E69" s="15" t="s">
        <v>684</v>
      </c>
      <c r="F69" s="19">
        <v>19.99</v>
      </c>
      <c r="G69" s="15" t="s">
        <v>675</v>
      </c>
    </row>
    <row r="70" ht="15.75" customHeight="1">
      <c r="A70" s="17" t="s">
        <v>741</v>
      </c>
      <c r="B70" s="17" t="s">
        <v>71</v>
      </c>
      <c r="C70" s="18">
        <v>45332.0</v>
      </c>
      <c r="D70" s="18">
        <v>45362.0</v>
      </c>
      <c r="E70" s="17" t="s">
        <v>684</v>
      </c>
      <c r="F70" s="20">
        <v>19.99</v>
      </c>
      <c r="G70" s="17" t="s">
        <v>675</v>
      </c>
    </row>
    <row r="71" ht="15.75" customHeight="1">
      <c r="A71" s="15" t="s">
        <v>742</v>
      </c>
      <c r="B71" s="15" t="s">
        <v>95</v>
      </c>
      <c r="C71" s="16">
        <v>45332.0</v>
      </c>
      <c r="D71" s="16">
        <v>45339.0</v>
      </c>
      <c r="E71" s="15" t="s">
        <v>674</v>
      </c>
      <c r="F71" s="19">
        <v>0.0</v>
      </c>
      <c r="G71" s="15" t="s">
        <v>675</v>
      </c>
    </row>
    <row r="72" ht="15.75" customHeight="1">
      <c r="A72" s="17" t="s">
        <v>743</v>
      </c>
      <c r="B72" s="17" t="s">
        <v>96</v>
      </c>
      <c r="C72" s="18">
        <v>45333.0</v>
      </c>
      <c r="D72" s="18">
        <v>45340.0</v>
      </c>
      <c r="E72" s="17" t="s">
        <v>674</v>
      </c>
      <c r="F72" s="20">
        <v>0.0</v>
      </c>
      <c r="G72" s="17" t="s">
        <v>675</v>
      </c>
    </row>
    <row r="73" ht="15.75" customHeight="1">
      <c r="A73" s="15" t="s">
        <v>744</v>
      </c>
      <c r="B73" s="15" t="s">
        <v>97</v>
      </c>
      <c r="C73" s="16">
        <v>45334.0</v>
      </c>
      <c r="D73" s="16">
        <v>45341.0</v>
      </c>
      <c r="E73" s="15" t="s">
        <v>674</v>
      </c>
      <c r="F73" s="19">
        <v>0.0</v>
      </c>
      <c r="G73" s="15" t="s">
        <v>675</v>
      </c>
    </row>
    <row r="74" ht="15.75" customHeight="1">
      <c r="A74" s="17" t="s">
        <v>745</v>
      </c>
      <c r="B74" s="17" t="s">
        <v>98</v>
      </c>
      <c r="C74" s="18">
        <v>45334.0</v>
      </c>
      <c r="D74" s="18">
        <v>45341.0</v>
      </c>
      <c r="E74" s="17" t="s">
        <v>674</v>
      </c>
      <c r="F74" s="20">
        <v>0.0</v>
      </c>
      <c r="G74" s="17" t="s">
        <v>675</v>
      </c>
    </row>
    <row r="75" ht="15.75" customHeight="1">
      <c r="A75" s="15" t="s">
        <v>746</v>
      </c>
      <c r="B75" s="15" t="s">
        <v>99</v>
      </c>
      <c r="C75" s="16">
        <v>45335.0</v>
      </c>
      <c r="D75" s="16">
        <v>45342.0</v>
      </c>
      <c r="E75" s="15" t="s">
        <v>674</v>
      </c>
      <c r="F75" s="19">
        <v>0.0</v>
      </c>
      <c r="G75" s="15" t="s">
        <v>675</v>
      </c>
    </row>
    <row r="76" ht="15.75" customHeight="1">
      <c r="A76" s="17" t="s">
        <v>747</v>
      </c>
      <c r="B76" s="17" t="s">
        <v>91</v>
      </c>
      <c r="C76" s="18">
        <v>45335.0</v>
      </c>
      <c r="D76" s="18">
        <v>45365.0</v>
      </c>
      <c r="E76" s="17" t="s">
        <v>684</v>
      </c>
      <c r="F76" s="20">
        <v>19.99</v>
      </c>
      <c r="G76" s="17" t="s">
        <v>675</v>
      </c>
    </row>
    <row r="77" ht="15.75" customHeight="1">
      <c r="A77" s="15" t="s">
        <v>748</v>
      </c>
      <c r="B77" s="15" t="s">
        <v>92</v>
      </c>
      <c r="C77" s="16">
        <v>45336.0</v>
      </c>
      <c r="D77" s="16">
        <v>45366.0</v>
      </c>
      <c r="E77" s="15" t="s">
        <v>684</v>
      </c>
      <c r="F77" s="19">
        <v>19.99</v>
      </c>
      <c r="G77" s="15" t="s">
        <v>675</v>
      </c>
    </row>
    <row r="78" ht="15.75" customHeight="1">
      <c r="A78" s="17" t="s">
        <v>749</v>
      </c>
      <c r="B78" s="17" t="s">
        <v>93</v>
      </c>
      <c r="C78" s="18">
        <v>45336.0</v>
      </c>
      <c r="D78" s="18">
        <v>45366.0</v>
      </c>
      <c r="E78" s="17" t="s">
        <v>684</v>
      </c>
      <c r="F78" s="20">
        <v>19.99</v>
      </c>
      <c r="G78" s="17" t="s">
        <v>675</v>
      </c>
    </row>
    <row r="79" ht="15.75" customHeight="1">
      <c r="A79" s="15" t="s">
        <v>750</v>
      </c>
      <c r="B79" s="15" t="s">
        <v>72</v>
      </c>
      <c r="C79" s="16">
        <v>45337.0</v>
      </c>
      <c r="D79" s="16">
        <v>45367.0</v>
      </c>
      <c r="E79" s="15" t="s">
        <v>684</v>
      </c>
      <c r="F79" s="19">
        <v>19.99</v>
      </c>
      <c r="G79" s="15" t="s">
        <v>675</v>
      </c>
    </row>
    <row r="80" ht="15.75" customHeight="1">
      <c r="A80" s="17" t="s">
        <v>751</v>
      </c>
      <c r="B80" s="17" t="s">
        <v>94</v>
      </c>
      <c r="C80" s="18">
        <v>45337.0</v>
      </c>
      <c r="D80" s="18">
        <v>45367.0</v>
      </c>
      <c r="E80" s="17" t="s">
        <v>684</v>
      </c>
      <c r="F80" s="20">
        <v>19.99</v>
      </c>
      <c r="G80" s="17" t="s">
        <v>675</v>
      </c>
    </row>
    <row r="81" ht="15.75" customHeight="1">
      <c r="A81" s="15" t="s">
        <v>752</v>
      </c>
      <c r="B81" s="15" t="s">
        <v>73</v>
      </c>
      <c r="C81" s="16">
        <v>45337.0</v>
      </c>
      <c r="D81" s="16">
        <v>45367.0</v>
      </c>
      <c r="E81" s="15" t="s">
        <v>684</v>
      </c>
      <c r="F81" s="19">
        <v>19.99</v>
      </c>
      <c r="G81" s="15" t="s">
        <v>675</v>
      </c>
    </row>
    <row r="82" ht="15.75" customHeight="1">
      <c r="A82" s="17" t="s">
        <v>753</v>
      </c>
      <c r="B82" s="17" t="s">
        <v>74</v>
      </c>
      <c r="C82" s="18">
        <v>45337.0</v>
      </c>
      <c r="D82" s="18">
        <v>45367.0</v>
      </c>
      <c r="E82" s="17" t="s">
        <v>684</v>
      </c>
      <c r="F82" s="20">
        <v>19.99</v>
      </c>
      <c r="G82" s="17" t="s">
        <v>675</v>
      </c>
    </row>
    <row r="83" ht="15.75" customHeight="1">
      <c r="A83" s="15" t="s">
        <v>754</v>
      </c>
      <c r="B83" s="15" t="s">
        <v>100</v>
      </c>
      <c r="C83" s="16">
        <v>45338.0</v>
      </c>
      <c r="D83" s="16">
        <v>45345.0</v>
      </c>
      <c r="E83" s="15" t="s">
        <v>674</v>
      </c>
      <c r="F83" s="19">
        <v>0.0</v>
      </c>
      <c r="G83" s="15" t="s">
        <v>675</v>
      </c>
    </row>
    <row r="84" ht="15.75" customHeight="1">
      <c r="A84" s="17" t="s">
        <v>755</v>
      </c>
      <c r="B84" s="17" t="s">
        <v>101</v>
      </c>
      <c r="C84" s="18">
        <v>45338.0</v>
      </c>
      <c r="D84" s="18">
        <v>45345.0</v>
      </c>
      <c r="E84" s="17" t="s">
        <v>674</v>
      </c>
      <c r="F84" s="20">
        <v>0.0</v>
      </c>
      <c r="G84" s="17" t="s">
        <v>675</v>
      </c>
    </row>
    <row r="85" ht="15.75" customHeight="1">
      <c r="A85" s="15" t="s">
        <v>756</v>
      </c>
      <c r="B85" s="15" t="s">
        <v>95</v>
      </c>
      <c r="C85" s="16">
        <v>45339.0</v>
      </c>
      <c r="D85" s="16">
        <v>45369.0</v>
      </c>
      <c r="E85" s="15" t="s">
        <v>684</v>
      </c>
      <c r="F85" s="19">
        <v>19.99</v>
      </c>
      <c r="G85" s="15" t="s">
        <v>675</v>
      </c>
    </row>
    <row r="86" ht="15.75" customHeight="1">
      <c r="A86" s="17" t="s">
        <v>757</v>
      </c>
      <c r="B86" s="17" t="s">
        <v>96</v>
      </c>
      <c r="C86" s="18">
        <v>45340.0</v>
      </c>
      <c r="D86" s="18">
        <v>45370.0</v>
      </c>
      <c r="E86" s="17" t="s">
        <v>684</v>
      </c>
      <c r="F86" s="20">
        <v>19.99</v>
      </c>
      <c r="G86" s="17" t="s">
        <v>675</v>
      </c>
    </row>
    <row r="87" ht="15.75" customHeight="1">
      <c r="A87" s="15" t="s">
        <v>758</v>
      </c>
      <c r="B87" s="15" t="s">
        <v>97</v>
      </c>
      <c r="C87" s="16">
        <v>45341.0</v>
      </c>
      <c r="D87" s="16">
        <v>45371.0</v>
      </c>
      <c r="E87" s="15" t="s">
        <v>684</v>
      </c>
      <c r="F87" s="19">
        <v>19.99</v>
      </c>
      <c r="G87" s="15" t="s">
        <v>675</v>
      </c>
    </row>
    <row r="88" ht="15.75" customHeight="1">
      <c r="A88" s="17" t="s">
        <v>759</v>
      </c>
      <c r="B88" s="17" t="s">
        <v>75</v>
      </c>
      <c r="C88" s="18">
        <v>45341.0</v>
      </c>
      <c r="D88" s="18">
        <v>45371.0</v>
      </c>
      <c r="E88" s="17" t="s">
        <v>684</v>
      </c>
      <c r="F88" s="20">
        <v>19.99</v>
      </c>
      <c r="G88" s="17" t="s">
        <v>675</v>
      </c>
    </row>
    <row r="89" ht="15.75" customHeight="1">
      <c r="A89" s="15" t="s">
        <v>760</v>
      </c>
      <c r="B89" s="15" t="s">
        <v>98</v>
      </c>
      <c r="C89" s="16">
        <v>45341.0</v>
      </c>
      <c r="D89" s="16">
        <v>45371.0</v>
      </c>
      <c r="E89" s="15" t="s">
        <v>684</v>
      </c>
      <c r="F89" s="19">
        <v>19.99</v>
      </c>
      <c r="G89" s="15" t="s">
        <v>675</v>
      </c>
    </row>
    <row r="90" ht="15.75" customHeight="1">
      <c r="A90" s="17" t="s">
        <v>761</v>
      </c>
      <c r="B90" s="17" t="s">
        <v>102</v>
      </c>
      <c r="C90" s="18">
        <v>45341.0</v>
      </c>
      <c r="D90" s="18">
        <v>45348.0</v>
      </c>
      <c r="E90" s="17" t="s">
        <v>674</v>
      </c>
      <c r="F90" s="20">
        <v>0.0</v>
      </c>
      <c r="G90" s="17" t="s">
        <v>675</v>
      </c>
    </row>
    <row r="91" ht="15.75" customHeight="1">
      <c r="A91" s="15" t="s">
        <v>762</v>
      </c>
      <c r="B91" s="15" t="s">
        <v>99</v>
      </c>
      <c r="C91" s="16">
        <v>45342.0</v>
      </c>
      <c r="D91" s="16">
        <v>45372.0</v>
      </c>
      <c r="E91" s="15" t="s">
        <v>684</v>
      </c>
      <c r="F91" s="19">
        <v>19.99</v>
      </c>
      <c r="G91" s="15" t="s">
        <v>675</v>
      </c>
    </row>
    <row r="92" ht="15.75" customHeight="1">
      <c r="A92" s="17" t="s">
        <v>763</v>
      </c>
      <c r="B92" s="17" t="s">
        <v>76</v>
      </c>
      <c r="C92" s="18">
        <v>45342.0</v>
      </c>
      <c r="D92" s="18">
        <v>45372.0</v>
      </c>
      <c r="E92" s="17" t="s">
        <v>684</v>
      </c>
      <c r="F92" s="20">
        <v>19.99</v>
      </c>
      <c r="G92" s="17" t="s">
        <v>675</v>
      </c>
    </row>
    <row r="93" ht="15.75" customHeight="1">
      <c r="A93" s="15" t="s">
        <v>764</v>
      </c>
      <c r="B93" s="15" t="s">
        <v>77</v>
      </c>
      <c r="C93" s="16">
        <v>45343.0</v>
      </c>
      <c r="D93" s="16">
        <v>45373.0</v>
      </c>
      <c r="E93" s="15" t="s">
        <v>684</v>
      </c>
      <c r="F93" s="19">
        <v>19.99</v>
      </c>
      <c r="G93" s="15" t="s">
        <v>675</v>
      </c>
    </row>
    <row r="94" ht="15.75" customHeight="1">
      <c r="A94" s="17" t="s">
        <v>765</v>
      </c>
      <c r="B94" s="17" t="s">
        <v>103</v>
      </c>
      <c r="C94" s="18">
        <v>45343.0</v>
      </c>
      <c r="D94" s="18">
        <v>45350.0</v>
      </c>
      <c r="E94" s="17" t="s">
        <v>674</v>
      </c>
      <c r="F94" s="20">
        <v>0.0</v>
      </c>
      <c r="G94" s="17" t="s">
        <v>675</v>
      </c>
    </row>
    <row r="95" ht="15.75" customHeight="1">
      <c r="A95" s="15" t="s">
        <v>766</v>
      </c>
      <c r="B95" s="15" t="s">
        <v>78</v>
      </c>
      <c r="C95" s="16">
        <v>45343.0</v>
      </c>
      <c r="D95" s="16">
        <v>45373.0</v>
      </c>
      <c r="E95" s="15" t="s">
        <v>684</v>
      </c>
      <c r="F95" s="19">
        <v>19.99</v>
      </c>
      <c r="G95" s="15" t="s">
        <v>675</v>
      </c>
    </row>
    <row r="96" ht="15.75" customHeight="1">
      <c r="A96" s="17" t="s">
        <v>767</v>
      </c>
      <c r="B96" s="17" t="s">
        <v>104</v>
      </c>
      <c r="C96" s="18">
        <v>45345.0</v>
      </c>
      <c r="D96" s="18">
        <v>45352.0</v>
      </c>
      <c r="E96" s="17" t="s">
        <v>674</v>
      </c>
      <c r="F96" s="20">
        <v>0.0</v>
      </c>
      <c r="G96" s="17" t="s">
        <v>675</v>
      </c>
    </row>
    <row r="97" ht="15.75" customHeight="1">
      <c r="A97" s="15" t="s">
        <v>768</v>
      </c>
      <c r="B97" s="15" t="s">
        <v>100</v>
      </c>
      <c r="C97" s="16">
        <v>45345.0</v>
      </c>
      <c r="D97" s="16">
        <v>45375.0</v>
      </c>
      <c r="E97" s="15" t="s">
        <v>684</v>
      </c>
      <c r="F97" s="19">
        <v>19.99</v>
      </c>
      <c r="G97" s="15" t="s">
        <v>675</v>
      </c>
    </row>
    <row r="98" ht="15.75" customHeight="1">
      <c r="A98" s="17" t="s">
        <v>769</v>
      </c>
      <c r="B98" s="17" t="s">
        <v>101</v>
      </c>
      <c r="C98" s="18">
        <v>45345.0</v>
      </c>
      <c r="D98" s="18">
        <v>45375.0</v>
      </c>
      <c r="E98" s="17" t="s">
        <v>684</v>
      </c>
      <c r="F98" s="20">
        <v>19.99</v>
      </c>
      <c r="G98" s="17" t="s">
        <v>675</v>
      </c>
    </row>
    <row r="99" ht="15.75" customHeight="1">
      <c r="A99" s="15" t="s">
        <v>770</v>
      </c>
      <c r="B99" s="15" t="s">
        <v>79</v>
      </c>
      <c r="C99" s="16">
        <v>45346.0</v>
      </c>
      <c r="D99" s="16">
        <v>45376.0</v>
      </c>
      <c r="E99" s="15" t="s">
        <v>684</v>
      </c>
      <c r="F99" s="19">
        <v>19.99</v>
      </c>
      <c r="G99" s="15" t="s">
        <v>675</v>
      </c>
    </row>
    <row r="100" ht="15.75" customHeight="1">
      <c r="A100" s="17" t="s">
        <v>771</v>
      </c>
      <c r="B100" s="17" t="s">
        <v>81</v>
      </c>
      <c r="C100" s="18">
        <v>45347.0</v>
      </c>
      <c r="D100" s="18">
        <v>45377.0</v>
      </c>
      <c r="E100" s="17" t="s">
        <v>684</v>
      </c>
      <c r="F100" s="20">
        <v>19.99</v>
      </c>
      <c r="G100" s="17" t="s">
        <v>675</v>
      </c>
    </row>
    <row r="101" ht="15.75" customHeight="1">
      <c r="A101" s="15" t="s">
        <v>772</v>
      </c>
      <c r="B101" s="15" t="s">
        <v>105</v>
      </c>
      <c r="C101" s="16">
        <v>45347.0</v>
      </c>
      <c r="D101" s="16">
        <v>45354.0</v>
      </c>
      <c r="E101" s="15" t="s">
        <v>674</v>
      </c>
      <c r="F101" s="19">
        <v>0.0</v>
      </c>
      <c r="G101" s="15" t="s">
        <v>675</v>
      </c>
    </row>
    <row r="102" ht="15.75" customHeight="1">
      <c r="A102" s="17" t="s">
        <v>773</v>
      </c>
      <c r="B102" s="17" t="s">
        <v>106</v>
      </c>
      <c r="C102" s="18">
        <v>45348.0</v>
      </c>
      <c r="D102" s="18">
        <v>45355.0</v>
      </c>
      <c r="E102" s="17" t="s">
        <v>674</v>
      </c>
      <c r="F102" s="20">
        <v>0.0</v>
      </c>
      <c r="G102" s="17" t="s">
        <v>675</v>
      </c>
    </row>
    <row r="103" ht="15.75" customHeight="1">
      <c r="A103" s="15" t="s">
        <v>774</v>
      </c>
      <c r="B103" s="15" t="s">
        <v>107</v>
      </c>
      <c r="C103" s="16">
        <v>45348.0</v>
      </c>
      <c r="D103" s="16">
        <v>45355.0</v>
      </c>
      <c r="E103" s="15" t="s">
        <v>674</v>
      </c>
      <c r="F103" s="19">
        <v>0.0</v>
      </c>
      <c r="G103" s="15" t="s">
        <v>675</v>
      </c>
    </row>
    <row r="104" ht="15.75" customHeight="1">
      <c r="A104" s="17" t="s">
        <v>775</v>
      </c>
      <c r="B104" s="17" t="s">
        <v>102</v>
      </c>
      <c r="C104" s="18">
        <v>45348.0</v>
      </c>
      <c r="D104" s="18">
        <v>45378.0</v>
      </c>
      <c r="E104" s="17" t="s">
        <v>684</v>
      </c>
      <c r="F104" s="20">
        <v>19.99</v>
      </c>
      <c r="G104" s="17" t="s">
        <v>675</v>
      </c>
    </row>
    <row r="105" ht="15.75" customHeight="1">
      <c r="A105" s="15" t="s">
        <v>776</v>
      </c>
      <c r="B105" s="15" t="s">
        <v>82</v>
      </c>
      <c r="C105" s="16">
        <v>45349.0</v>
      </c>
      <c r="D105" s="16">
        <v>45379.0</v>
      </c>
      <c r="E105" s="15" t="s">
        <v>684</v>
      </c>
      <c r="F105" s="19">
        <v>19.99</v>
      </c>
      <c r="G105" s="15" t="s">
        <v>675</v>
      </c>
    </row>
    <row r="106" ht="15.75" customHeight="1">
      <c r="A106" s="17" t="s">
        <v>777</v>
      </c>
      <c r="B106" s="17" t="s">
        <v>108</v>
      </c>
      <c r="C106" s="18">
        <v>45349.0</v>
      </c>
      <c r="D106" s="18">
        <v>45356.0</v>
      </c>
      <c r="E106" s="17" t="s">
        <v>674</v>
      </c>
      <c r="F106" s="20">
        <v>0.0</v>
      </c>
      <c r="G106" s="17" t="s">
        <v>675</v>
      </c>
    </row>
    <row r="107" ht="15.75" customHeight="1">
      <c r="A107" s="15" t="s">
        <v>778</v>
      </c>
      <c r="B107" s="15" t="s">
        <v>109</v>
      </c>
      <c r="C107" s="16">
        <v>45349.0</v>
      </c>
      <c r="D107" s="16">
        <v>45356.0</v>
      </c>
      <c r="E107" s="15" t="s">
        <v>674</v>
      </c>
      <c r="F107" s="19">
        <v>0.0</v>
      </c>
      <c r="G107" s="15" t="s">
        <v>675</v>
      </c>
    </row>
    <row r="108" ht="15.75" customHeight="1">
      <c r="A108" s="17" t="s">
        <v>779</v>
      </c>
      <c r="B108" s="17" t="s">
        <v>110</v>
      </c>
      <c r="C108" s="18">
        <v>45349.0</v>
      </c>
      <c r="D108" s="18">
        <v>45356.0</v>
      </c>
      <c r="E108" s="17" t="s">
        <v>674</v>
      </c>
      <c r="F108" s="20">
        <v>0.0</v>
      </c>
      <c r="G108" s="17" t="s">
        <v>675</v>
      </c>
    </row>
    <row r="109" ht="15.75" customHeight="1">
      <c r="A109" s="15" t="s">
        <v>780</v>
      </c>
      <c r="B109" s="15" t="s">
        <v>111</v>
      </c>
      <c r="C109" s="16">
        <v>45349.0</v>
      </c>
      <c r="D109" s="16">
        <v>45356.0</v>
      </c>
      <c r="E109" s="15" t="s">
        <v>674</v>
      </c>
      <c r="F109" s="19">
        <v>0.0</v>
      </c>
      <c r="G109" s="15" t="s">
        <v>675</v>
      </c>
    </row>
    <row r="110" ht="15.75" customHeight="1">
      <c r="A110" s="17" t="s">
        <v>781</v>
      </c>
      <c r="B110" s="17" t="s">
        <v>83</v>
      </c>
      <c r="C110" s="18">
        <v>45349.0</v>
      </c>
      <c r="D110" s="18">
        <v>45379.0</v>
      </c>
      <c r="E110" s="17" t="s">
        <v>684</v>
      </c>
      <c r="F110" s="20">
        <v>19.99</v>
      </c>
      <c r="G110" s="17" t="s">
        <v>675</v>
      </c>
    </row>
    <row r="111" ht="15.75" customHeight="1">
      <c r="A111" s="15" t="s">
        <v>782</v>
      </c>
      <c r="B111" s="15" t="s">
        <v>112</v>
      </c>
      <c r="C111" s="16">
        <v>45350.0</v>
      </c>
      <c r="D111" s="16">
        <v>45357.0</v>
      </c>
      <c r="E111" s="15" t="s">
        <v>674</v>
      </c>
      <c r="F111" s="19">
        <v>0.0</v>
      </c>
      <c r="G111" s="15" t="s">
        <v>675</v>
      </c>
    </row>
    <row r="112" ht="15.75" customHeight="1">
      <c r="A112" s="17" t="s">
        <v>783</v>
      </c>
      <c r="B112" s="17" t="s">
        <v>84</v>
      </c>
      <c r="C112" s="18">
        <v>45350.0</v>
      </c>
      <c r="D112" s="18">
        <v>45380.0</v>
      </c>
      <c r="E112" s="17" t="s">
        <v>684</v>
      </c>
      <c r="F112" s="20">
        <v>19.99</v>
      </c>
      <c r="G112" s="17" t="s">
        <v>675</v>
      </c>
    </row>
    <row r="113" ht="15.75" customHeight="1">
      <c r="A113" s="15" t="s">
        <v>784</v>
      </c>
      <c r="B113" s="15" t="s">
        <v>113</v>
      </c>
      <c r="C113" s="16">
        <v>45350.0</v>
      </c>
      <c r="D113" s="16">
        <v>45357.0</v>
      </c>
      <c r="E113" s="15" t="s">
        <v>674</v>
      </c>
      <c r="F113" s="19">
        <v>0.0</v>
      </c>
      <c r="G113" s="15" t="s">
        <v>675</v>
      </c>
    </row>
    <row r="114" ht="15.75" customHeight="1">
      <c r="A114" s="17" t="s">
        <v>785</v>
      </c>
      <c r="B114" s="17" t="s">
        <v>103</v>
      </c>
      <c r="C114" s="18">
        <v>45350.0</v>
      </c>
      <c r="D114" s="18">
        <v>45380.0</v>
      </c>
      <c r="E114" s="17" t="s">
        <v>684</v>
      </c>
      <c r="F114" s="20">
        <v>19.99</v>
      </c>
      <c r="G114" s="17" t="s">
        <v>675</v>
      </c>
    </row>
    <row r="115" ht="15.75" customHeight="1">
      <c r="A115" s="15" t="s">
        <v>786</v>
      </c>
      <c r="B115" s="15" t="s">
        <v>114</v>
      </c>
      <c r="C115" s="16">
        <v>45350.0</v>
      </c>
      <c r="D115" s="16">
        <v>45357.0</v>
      </c>
      <c r="E115" s="15" t="s">
        <v>674</v>
      </c>
      <c r="F115" s="19">
        <v>0.0</v>
      </c>
      <c r="G115" s="15" t="s">
        <v>675</v>
      </c>
    </row>
    <row r="116" ht="15.75" customHeight="1">
      <c r="A116" s="17" t="s">
        <v>787</v>
      </c>
      <c r="B116" s="17" t="s">
        <v>115</v>
      </c>
      <c r="C116" s="18">
        <v>45351.0</v>
      </c>
      <c r="D116" s="18">
        <v>45358.0</v>
      </c>
      <c r="E116" s="17" t="s">
        <v>674</v>
      </c>
      <c r="F116" s="20">
        <v>0.0</v>
      </c>
      <c r="G116" s="17" t="s">
        <v>675</v>
      </c>
    </row>
    <row r="117" ht="15.75" customHeight="1">
      <c r="A117" s="15" t="s">
        <v>788</v>
      </c>
      <c r="B117" s="15" t="s">
        <v>104</v>
      </c>
      <c r="C117" s="16">
        <v>45352.0</v>
      </c>
      <c r="D117" s="16">
        <v>45382.0</v>
      </c>
      <c r="E117" s="15" t="s">
        <v>684</v>
      </c>
      <c r="F117" s="19">
        <v>19.99</v>
      </c>
      <c r="G117" s="15" t="s">
        <v>675</v>
      </c>
    </row>
    <row r="118" ht="15.75" customHeight="1">
      <c r="A118" s="17" t="s">
        <v>789</v>
      </c>
      <c r="B118" s="17" t="s">
        <v>85</v>
      </c>
      <c r="C118" s="18">
        <v>45353.0</v>
      </c>
      <c r="D118" s="18">
        <v>45383.0</v>
      </c>
      <c r="E118" s="17" t="s">
        <v>684</v>
      </c>
      <c r="F118" s="20">
        <v>19.99</v>
      </c>
      <c r="G118" s="17" t="s">
        <v>675</v>
      </c>
    </row>
    <row r="119" ht="15.75" customHeight="1">
      <c r="A119" s="15" t="s">
        <v>790</v>
      </c>
      <c r="B119" s="15" t="s">
        <v>116</v>
      </c>
      <c r="C119" s="16">
        <v>45353.0</v>
      </c>
      <c r="D119" s="16">
        <v>45360.0</v>
      </c>
      <c r="E119" s="15" t="s">
        <v>674</v>
      </c>
      <c r="F119" s="19">
        <v>0.0</v>
      </c>
      <c r="G119" s="15" t="s">
        <v>675</v>
      </c>
    </row>
    <row r="120" ht="15.75" customHeight="1">
      <c r="A120" s="17" t="s">
        <v>791</v>
      </c>
      <c r="B120" s="17" t="s">
        <v>117</v>
      </c>
      <c r="C120" s="18">
        <v>45354.0</v>
      </c>
      <c r="D120" s="18">
        <v>45361.0</v>
      </c>
      <c r="E120" s="17" t="s">
        <v>674</v>
      </c>
      <c r="F120" s="20">
        <v>0.0</v>
      </c>
      <c r="G120" s="17" t="s">
        <v>675</v>
      </c>
    </row>
    <row r="121" ht="15.75" customHeight="1">
      <c r="A121" s="15" t="s">
        <v>792</v>
      </c>
      <c r="B121" s="15" t="s">
        <v>105</v>
      </c>
      <c r="C121" s="16">
        <v>45354.0</v>
      </c>
      <c r="D121" s="16">
        <v>45384.0</v>
      </c>
      <c r="E121" s="15" t="s">
        <v>684</v>
      </c>
      <c r="F121" s="19">
        <v>19.99</v>
      </c>
      <c r="G121" s="15" t="s">
        <v>675</v>
      </c>
    </row>
    <row r="122" ht="15.75" customHeight="1">
      <c r="A122" s="17" t="s">
        <v>793</v>
      </c>
      <c r="B122" s="17" t="s">
        <v>118</v>
      </c>
      <c r="C122" s="18">
        <v>45355.0</v>
      </c>
      <c r="D122" s="18">
        <v>45362.0</v>
      </c>
      <c r="E122" s="17" t="s">
        <v>674</v>
      </c>
      <c r="F122" s="20">
        <v>0.0</v>
      </c>
      <c r="G122" s="17" t="s">
        <v>675</v>
      </c>
    </row>
    <row r="123" ht="15.75" customHeight="1">
      <c r="A123" s="15" t="s">
        <v>794</v>
      </c>
      <c r="B123" s="15" t="s">
        <v>106</v>
      </c>
      <c r="C123" s="16">
        <v>45355.0</v>
      </c>
      <c r="D123" s="16">
        <v>45385.0</v>
      </c>
      <c r="E123" s="15" t="s">
        <v>684</v>
      </c>
      <c r="F123" s="19">
        <v>19.99</v>
      </c>
      <c r="G123" s="15" t="s">
        <v>675</v>
      </c>
    </row>
    <row r="124" ht="15.75" customHeight="1">
      <c r="A124" s="17" t="s">
        <v>795</v>
      </c>
      <c r="B124" s="17" t="s">
        <v>107</v>
      </c>
      <c r="C124" s="18">
        <v>45355.0</v>
      </c>
      <c r="D124" s="18">
        <v>45385.0</v>
      </c>
      <c r="E124" s="17" t="s">
        <v>684</v>
      </c>
      <c r="F124" s="20">
        <v>19.99</v>
      </c>
      <c r="G124" s="17" t="s">
        <v>675</v>
      </c>
    </row>
    <row r="125" ht="15.75" customHeight="1">
      <c r="A125" s="15" t="s">
        <v>796</v>
      </c>
      <c r="B125" s="15" t="s">
        <v>86</v>
      </c>
      <c r="C125" s="16">
        <v>45355.0</v>
      </c>
      <c r="D125" s="16">
        <v>45385.0</v>
      </c>
      <c r="E125" s="15" t="s">
        <v>684</v>
      </c>
      <c r="F125" s="19">
        <v>19.99</v>
      </c>
      <c r="G125" s="15" t="s">
        <v>675</v>
      </c>
    </row>
    <row r="126" ht="15.75" customHeight="1">
      <c r="A126" s="17" t="s">
        <v>797</v>
      </c>
      <c r="B126" s="17" t="s">
        <v>108</v>
      </c>
      <c r="C126" s="18">
        <v>45356.0</v>
      </c>
      <c r="D126" s="18">
        <v>45386.0</v>
      </c>
      <c r="E126" s="17" t="s">
        <v>684</v>
      </c>
      <c r="F126" s="20">
        <v>19.99</v>
      </c>
      <c r="G126" s="17" t="s">
        <v>675</v>
      </c>
    </row>
    <row r="127" ht="15.75" customHeight="1">
      <c r="A127" s="15" t="s">
        <v>798</v>
      </c>
      <c r="B127" s="15" t="s">
        <v>119</v>
      </c>
      <c r="C127" s="16">
        <v>45356.0</v>
      </c>
      <c r="D127" s="16">
        <v>45363.0</v>
      </c>
      <c r="E127" s="15" t="s">
        <v>674</v>
      </c>
      <c r="F127" s="19">
        <v>0.0</v>
      </c>
      <c r="G127" s="15" t="s">
        <v>675</v>
      </c>
    </row>
    <row r="128" ht="15.75" customHeight="1">
      <c r="A128" s="17" t="s">
        <v>799</v>
      </c>
      <c r="B128" s="17" t="s">
        <v>109</v>
      </c>
      <c r="C128" s="18">
        <v>45356.0</v>
      </c>
      <c r="D128" s="18">
        <v>45386.0</v>
      </c>
      <c r="E128" s="17" t="s">
        <v>684</v>
      </c>
      <c r="F128" s="20">
        <v>19.99</v>
      </c>
      <c r="G128" s="17" t="s">
        <v>675</v>
      </c>
    </row>
    <row r="129" ht="15.75" customHeight="1">
      <c r="A129" s="15" t="s">
        <v>800</v>
      </c>
      <c r="B129" s="15" t="s">
        <v>110</v>
      </c>
      <c r="C129" s="16">
        <v>45356.0</v>
      </c>
      <c r="D129" s="16">
        <v>45386.0</v>
      </c>
      <c r="E129" s="15" t="s">
        <v>684</v>
      </c>
      <c r="F129" s="19">
        <v>19.99</v>
      </c>
      <c r="G129" s="15" t="s">
        <v>675</v>
      </c>
    </row>
    <row r="130" ht="15.75" customHeight="1">
      <c r="A130" s="17" t="s">
        <v>801</v>
      </c>
      <c r="B130" s="17" t="s">
        <v>111</v>
      </c>
      <c r="C130" s="18">
        <v>45356.0</v>
      </c>
      <c r="D130" s="18">
        <v>45386.0</v>
      </c>
      <c r="E130" s="17" t="s">
        <v>684</v>
      </c>
      <c r="F130" s="20">
        <v>19.99</v>
      </c>
      <c r="G130" s="17" t="s">
        <v>675</v>
      </c>
    </row>
    <row r="131" ht="15.75" customHeight="1">
      <c r="A131" s="15" t="s">
        <v>802</v>
      </c>
      <c r="B131" s="15" t="s">
        <v>112</v>
      </c>
      <c r="C131" s="16">
        <v>45357.0</v>
      </c>
      <c r="D131" s="16">
        <v>45387.0</v>
      </c>
      <c r="E131" s="15" t="s">
        <v>684</v>
      </c>
      <c r="F131" s="19">
        <v>19.99</v>
      </c>
      <c r="G131" s="15" t="s">
        <v>675</v>
      </c>
    </row>
    <row r="132" ht="15.75" customHeight="1">
      <c r="A132" s="17" t="s">
        <v>803</v>
      </c>
      <c r="B132" s="17" t="s">
        <v>120</v>
      </c>
      <c r="C132" s="18">
        <v>45357.0</v>
      </c>
      <c r="D132" s="18">
        <v>45364.0</v>
      </c>
      <c r="E132" s="17" t="s">
        <v>674</v>
      </c>
      <c r="F132" s="20">
        <v>0.0</v>
      </c>
      <c r="G132" s="17" t="s">
        <v>675</v>
      </c>
    </row>
    <row r="133" ht="15.75" customHeight="1">
      <c r="A133" s="15" t="s">
        <v>804</v>
      </c>
      <c r="B133" s="15" t="s">
        <v>113</v>
      </c>
      <c r="C133" s="16">
        <v>45357.0</v>
      </c>
      <c r="D133" s="16">
        <v>45387.0</v>
      </c>
      <c r="E133" s="15" t="s">
        <v>684</v>
      </c>
      <c r="F133" s="19">
        <v>19.99</v>
      </c>
      <c r="G133" s="15" t="s">
        <v>675</v>
      </c>
    </row>
    <row r="134" ht="15.75" customHeight="1">
      <c r="A134" s="17" t="s">
        <v>805</v>
      </c>
      <c r="B134" s="17" t="s">
        <v>88</v>
      </c>
      <c r="C134" s="18">
        <v>45357.0</v>
      </c>
      <c r="D134" s="18">
        <v>45387.0</v>
      </c>
      <c r="E134" s="17" t="s">
        <v>684</v>
      </c>
      <c r="F134" s="20">
        <v>19.99</v>
      </c>
      <c r="G134" s="17" t="s">
        <v>675</v>
      </c>
    </row>
    <row r="135" ht="15.75" customHeight="1">
      <c r="A135" s="15" t="s">
        <v>806</v>
      </c>
      <c r="B135" s="15" t="s">
        <v>114</v>
      </c>
      <c r="C135" s="16">
        <v>45357.0</v>
      </c>
      <c r="D135" s="16">
        <v>45387.0</v>
      </c>
      <c r="E135" s="15" t="s">
        <v>684</v>
      </c>
      <c r="F135" s="19">
        <v>19.99</v>
      </c>
      <c r="G135" s="15" t="s">
        <v>675</v>
      </c>
    </row>
    <row r="136" ht="15.75" customHeight="1">
      <c r="A136" s="17" t="s">
        <v>807</v>
      </c>
      <c r="B136" s="17" t="s">
        <v>115</v>
      </c>
      <c r="C136" s="18">
        <v>45358.0</v>
      </c>
      <c r="D136" s="18">
        <v>45388.0</v>
      </c>
      <c r="E136" s="17" t="s">
        <v>684</v>
      </c>
      <c r="F136" s="20">
        <v>19.99</v>
      </c>
      <c r="G136" s="17" t="s">
        <v>675</v>
      </c>
    </row>
    <row r="137" ht="15.75" customHeight="1">
      <c r="A137" s="15" t="s">
        <v>808</v>
      </c>
      <c r="B137" s="15" t="s">
        <v>53</v>
      </c>
      <c r="C137" s="16">
        <v>45359.0</v>
      </c>
      <c r="D137" s="16">
        <v>45389.0</v>
      </c>
      <c r="E137" s="15" t="s">
        <v>684</v>
      </c>
      <c r="F137" s="19">
        <v>19.99</v>
      </c>
      <c r="G137" s="15" t="s">
        <v>675</v>
      </c>
    </row>
    <row r="138" ht="15.75" customHeight="1">
      <c r="A138" s="17" t="s">
        <v>809</v>
      </c>
      <c r="B138" s="17" t="s">
        <v>56</v>
      </c>
      <c r="C138" s="18">
        <v>45359.0</v>
      </c>
      <c r="D138" s="18">
        <v>45389.0</v>
      </c>
      <c r="E138" s="17" t="s">
        <v>684</v>
      </c>
      <c r="F138" s="20">
        <v>19.99</v>
      </c>
      <c r="G138" s="17" t="s">
        <v>675</v>
      </c>
    </row>
    <row r="139" ht="15.75" customHeight="1">
      <c r="A139" s="15" t="s">
        <v>810</v>
      </c>
      <c r="B139" s="15" t="s">
        <v>121</v>
      </c>
      <c r="C139" s="16">
        <v>45359.0</v>
      </c>
      <c r="D139" s="16">
        <v>45366.0</v>
      </c>
      <c r="E139" s="15" t="s">
        <v>674</v>
      </c>
      <c r="F139" s="19">
        <v>0.0</v>
      </c>
      <c r="G139" s="15" t="s">
        <v>675</v>
      </c>
    </row>
    <row r="140" ht="15.75" customHeight="1">
      <c r="A140" s="17" t="s">
        <v>811</v>
      </c>
      <c r="B140" s="17" t="s">
        <v>122</v>
      </c>
      <c r="C140" s="18">
        <v>45359.0</v>
      </c>
      <c r="D140" s="18">
        <v>45366.0</v>
      </c>
      <c r="E140" s="17" t="s">
        <v>674</v>
      </c>
      <c r="F140" s="20">
        <v>0.0</v>
      </c>
      <c r="G140" s="17" t="s">
        <v>675</v>
      </c>
    </row>
    <row r="141" ht="15.75" customHeight="1">
      <c r="A141" s="15" t="s">
        <v>812</v>
      </c>
      <c r="B141" s="15" t="s">
        <v>123</v>
      </c>
      <c r="C141" s="16">
        <v>45360.0</v>
      </c>
      <c r="D141" s="16">
        <v>45367.0</v>
      </c>
      <c r="E141" s="15" t="s">
        <v>674</v>
      </c>
      <c r="F141" s="19">
        <v>0.0</v>
      </c>
      <c r="G141" s="15" t="s">
        <v>675</v>
      </c>
    </row>
    <row r="142" ht="15.75" customHeight="1">
      <c r="A142" s="17" t="s">
        <v>813</v>
      </c>
      <c r="B142" s="17" t="s">
        <v>89</v>
      </c>
      <c r="C142" s="18">
        <v>45360.0</v>
      </c>
      <c r="D142" s="18">
        <v>45390.0</v>
      </c>
      <c r="E142" s="17" t="s">
        <v>684</v>
      </c>
      <c r="F142" s="20">
        <v>19.99</v>
      </c>
      <c r="G142" s="17" t="s">
        <v>675</v>
      </c>
    </row>
    <row r="143" ht="15.75" customHeight="1">
      <c r="A143" s="15" t="s">
        <v>814</v>
      </c>
      <c r="B143" s="15" t="s">
        <v>116</v>
      </c>
      <c r="C143" s="16">
        <v>45360.0</v>
      </c>
      <c r="D143" s="16">
        <v>45390.0</v>
      </c>
      <c r="E143" s="15" t="s">
        <v>684</v>
      </c>
      <c r="F143" s="19">
        <v>19.99</v>
      </c>
      <c r="G143" s="15" t="s">
        <v>675</v>
      </c>
    </row>
    <row r="144" ht="15.75" customHeight="1">
      <c r="A144" s="17" t="s">
        <v>815</v>
      </c>
      <c r="B144" s="17" t="s">
        <v>59</v>
      </c>
      <c r="C144" s="18">
        <v>45360.0</v>
      </c>
      <c r="D144" s="18">
        <v>45390.0</v>
      </c>
      <c r="E144" s="17" t="s">
        <v>684</v>
      </c>
      <c r="F144" s="20">
        <v>19.99</v>
      </c>
      <c r="G144" s="17" t="s">
        <v>675</v>
      </c>
    </row>
    <row r="145" ht="15.75" customHeight="1">
      <c r="A145" s="15" t="s">
        <v>816</v>
      </c>
      <c r="B145" s="15" t="s">
        <v>117</v>
      </c>
      <c r="C145" s="16">
        <v>45361.0</v>
      </c>
      <c r="D145" s="16">
        <v>45391.0</v>
      </c>
      <c r="E145" s="15" t="s">
        <v>684</v>
      </c>
      <c r="F145" s="19">
        <v>19.99</v>
      </c>
      <c r="G145" s="15" t="s">
        <v>675</v>
      </c>
    </row>
    <row r="146" ht="15.75" customHeight="1">
      <c r="A146" s="17" t="s">
        <v>817</v>
      </c>
      <c r="B146" s="17" t="s">
        <v>90</v>
      </c>
      <c r="C146" s="18">
        <v>45361.0</v>
      </c>
      <c r="D146" s="18">
        <v>45391.0</v>
      </c>
      <c r="E146" s="17" t="s">
        <v>684</v>
      </c>
      <c r="F146" s="20">
        <v>19.99</v>
      </c>
      <c r="G146" s="17" t="s">
        <v>675</v>
      </c>
    </row>
    <row r="147" ht="15.75" customHeight="1">
      <c r="A147" s="15" t="s">
        <v>818</v>
      </c>
      <c r="B147" s="15" t="s">
        <v>70</v>
      </c>
      <c r="C147" s="16">
        <v>45361.0</v>
      </c>
      <c r="D147" s="16">
        <v>45391.0</v>
      </c>
      <c r="E147" s="15" t="s">
        <v>684</v>
      </c>
      <c r="F147" s="19">
        <v>19.99</v>
      </c>
      <c r="G147" s="15" t="s">
        <v>675</v>
      </c>
    </row>
    <row r="148" ht="15.75" customHeight="1">
      <c r="A148" s="17" t="s">
        <v>819</v>
      </c>
      <c r="B148" s="17" t="s">
        <v>118</v>
      </c>
      <c r="C148" s="18">
        <v>45362.0</v>
      </c>
      <c r="D148" s="18">
        <v>45392.0</v>
      </c>
      <c r="E148" s="17" t="s">
        <v>684</v>
      </c>
      <c r="F148" s="20">
        <v>19.99</v>
      </c>
      <c r="G148" s="17" t="s">
        <v>675</v>
      </c>
    </row>
    <row r="149" ht="15.75" customHeight="1">
      <c r="A149" s="15" t="s">
        <v>820</v>
      </c>
      <c r="B149" s="15" t="s">
        <v>71</v>
      </c>
      <c r="C149" s="16">
        <v>45362.0</v>
      </c>
      <c r="D149" s="16">
        <v>45392.0</v>
      </c>
      <c r="E149" s="15" t="s">
        <v>684</v>
      </c>
      <c r="F149" s="19">
        <v>19.99</v>
      </c>
      <c r="G149" s="15" t="s">
        <v>675</v>
      </c>
    </row>
    <row r="150" ht="15.75" customHeight="1">
      <c r="A150" s="17" t="s">
        <v>821</v>
      </c>
      <c r="B150" s="17" t="s">
        <v>124</v>
      </c>
      <c r="C150" s="18">
        <v>45362.0</v>
      </c>
      <c r="D150" s="18">
        <v>45369.0</v>
      </c>
      <c r="E150" s="17" t="s">
        <v>674</v>
      </c>
      <c r="F150" s="20">
        <v>0.0</v>
      </c>
      <c r="G150" s="17" t="s">
        <v>675</v>
      </c>
    </row>
    <row r="151" ht="15.75" customHeight="1">
      <c r="A151" s="15" t="s">
        <v>822</v>
      </c>
      <c r="B151" s="15" t="s">
        <v>125</v>
      </c>
      <c r="C151" s="16">
        <v>45363.0</v>
      </c>
      <c r="D151" s="16">
        <v>45370.0</v>
      </c>
      <c r="E151" s="15" t="s">
        <v>674</v>
      </c>
      <c r="F151" s="19">
        <v>0.0</v>
      </c>
      <c r="G151" s="15" t="s">
        <v>675</v>
      </c>
    </row>
    <row r="152" ht="15.75" customHeight="1">
      <c r="A152" s="17" t="s">
        <v>823</v>
      </c>
      <c r="B152" s="17" t="s">
        <v>119</v>
      </c>
      <c r="C152" s="18">
        <v>45363.0</v>
      </c>
      <c r="D152" s="18">
        <v>45393.0</v>
      </c>
      <c r="E152" s="17" t="s">
        <v>684</v>
      </c>
      <c r="F152" s="20">
        <v>19.99</v>
      </c>
      <c r="G152" s="17" t="s">
        <v>675</v>
      </c>
    </row>
    <row r="153" ht="15.75" customHeight="1">
      <c r="A153" s="15" t="s">
        <v>824</v>
      </c>
      <c r="B153" s="15" t="s">
        <v>126</v>
      </c>
      <c r="C153" s="16">
        <v>45364.0</v>
      </c>
      <c r="D153" s="16">
        <v>45371.0</v>
      </c>
      <c r="E153" s="15" t="s">
        <v>674</v>
      </c>
      <c r="F153" s="19">
        <v>0.0</v>
      </c>
      <c r="G153" s="15" t="s">
        <v>675</v>
      </c>
    </row>
    <row r="154" ht="15.75" customHeight="1">
      <c r="A154" s="17" t="s">
        <v>825</v>
      </c>
      <c r="B154" s="17" t="s">
        <v>120</v>
      </c>
      <c r="C154" s="18">
        <v>45364.0</v>
      </c>
      <c r="D154" s="18">
        <v>45394.0</v>
      </c>
      <c r="E154" s="17" t="s">
        <v>684</v>
      </c>
      <c r="F154" s="20">
        <v>19.99</v>
      </c>
      <c r="G154" s="17" t="s">
        <v>675</v>
      </c>
    </row>
    <row r="155" ht="15.75" customHeight="1">
      <c r="A155" s="15" t="s">
        <v>826</v>
      </c>
      <c r="B155" s="15" t="s">
        <v>127</v>
      </c>
      <c r="C155" s="16">
        <v>45364.0</v>
      </c>
      <c r="D155" s="16">
        <v>45371.0</v>
      </c>
      <c r="E155" s="15" t="s">
        <v>674</v>
      </c>
      <c r="F155" s="19">
        <v>0.0</v>
      </c>
      <c r="G155" s="15" t="s">
        <v>675</v>
      </c>
    </row>
    <row r="156" ht="15.75" customHeight="1">
      <c r="A156" s="17" t="s">
        <v>827</v>
      </c>
      <c r="B156" s="17" t="s">
        <v>128</v>
      </c>
      <c r="C156" s="18">
        <v>45364.0</v>
      </c>
      <c r="D156" s="18">
        <v>45371.0</v>
      </c>
      <c r="E156" s="17" t="s">
        <v>674</v>
      </c>
      <c r="F156" s="20">
        <v>0.0</v>
      </c>
      <c r="G156" s="17" t="s">
        <v>675</v>
      </c>
    </row>
    <row r="157" ht="15.75" customHeight="1">
      <c r="A157" s="15" t="s">
        <v>828</v>
      </c>
      <c r="B157" s="15" t="s">
        <v>91</v>
      </c>
      <c r="C157" s="16">
        <v>45365.0</v>
      </c>
      <c r="D157" s="16">
        <v>45395.0</v>
      </c>
      <c r="E157" s="15" t="s">
        <v>684</v>
      </c>
      <c r="F157" s="19">
        <v>19.99</v>
      </c>
      <c r="G157" s="15" t="s">
        <v>675</v>
      </c>
    </row>
    <row r="158" ht="15.75" customHeight="1">
      <c r="A158" s="17" t="s">
        <v>829</v>
      </c>
      <c r="B158" s="17" t="s">
        <v>92</v>
      </c>
      <c r="C158" s="18">
        <v>45366.0</v>
      </c>
      <c r="D158" s="18">
        <v>45396.0</v>
      </c>
      <c r="E158" s="17" t="s">
        <v>684</v>
      </c>
      <c r="F158" s="20">
        <v>19.99</v>
      </c>
      <c r="G158" s="17" t="s">
        <v>675</v>
      </c>
    </row>
    <row r="159" ht="15.75" customHeight="1">
      <c r="A159" s="15" t="s">
        <v>830</v>
      </c>
      <c r="B159" s="15" t="s">
        <v>121</v>
      </c>
      <c r="C159" s="16">
        <v>45366.0</v>
      </c>
      <c r="D159" s="16">
        <v>45396.0</v>
      </c>
      <c r="E159" s="15" t="s">
        <v>684</v>
      </c>
      <c r="F159" s="19">
        <v>19.99</v>
      </c>
      <c r="G159" s="15" t="s">
        <v>675</v>
      </c>
    </row>
    <row r="160" ht="15.75" customHeight="1">
      <c r="A160" s="17" t="s">
        <v>831</v>
      </c>
      <c r="B160" s="17" t="s">
        <v>93</v>
      </c>
      <c r="C160" s="18">
        <v>45366.0</v>
      </c>
      <c r="D160" s="18">
        <v>45396.0</v>
      </c>
      <c r="E160" s="17" t="s">
        <v>684</v>
      </c>
      <c r="F160" s="20">
        <v>19.99</v>
      </c>
      <c r="G160" s="17" t="s">
        <v>675</v>
      </c>
    </row>
    <row r="161" ht="15.75" customHeight="1">
      <c r="A161" s="15" t="s">
        <v>832</v>
      </c>
      <c r="B161" s="15" t="s">
        <v>129</v>
      </c>
      <c r="C161" s="16">
        <v>45366.0</v>
      </c>
      <c r="D161" s="16">
        <v>45373.0</v>
      </c>
      <c r="E161" s="15" t="s">
        <v>674</v>
      </c>
      <c r="F161" s="19">
        <v>0.0</v>
      </c>
      <c r="G161" s="15" t="s">
        <v>675</v>
      </c>
    </row>
    <row r="162" ht="15.75" customHeight="1">
      <c r="A162" s="17" t="s">
        <v>833</v>
      </c>
      <c r="B162" s="17" t="s">
        <v>122</v>
      </c>
      <c r="C162" s="18">
        <v>45366.0</v>
      </c>
      <c r="D162" s="18">
        <v>45396.0</v>
      </c>
      <c r="E162" s="17" t="s">
        <v>684</v>
      </c>
      <c r="F162" s="20">
        <v>19.99</v>
      </c>
      <c r="G162" s="17" t="s">
        <v>675</v>
      </c>
    </row>
    <row r="163" ht="15.75" customHeight="1">
      <c r="A163" s="15" t="s">
        <v>834</v>
      </c>
      <c r="B163" s="15" t="s">
        <v>130</v>
      </c>
      <c r="C163" s="16">
        <v>45367.0</v>
      </c>
      <c r="D163" s="16">
        <v>45374.0</v>
      </c>
      <c r="E163" s="15" t="s">
        <v>674</v>
      </c>
      <c r="F163" s="19">
        <v>0.0</v>
      </c>
      <c r="G163" s="15" t="s">
        <v>675</v>
      </c>
    </row>
    <row r="164" ht="15.75" customHeight="1">
      <c r="A164" s="17" t="s">
        <v>835</v>
      </c>
      <c r="B164" s="17" t="s">
        <v>72</v>
      </c>
      <c r="C164" s="18">
        <v>45367.0</v>
      </c>
      <c r="D164" s="18">
        <v>45397.0</v>
      </c>
      <c r="E164" s="17" t="s">
        <v>684</v>
      </c>
      <c r="F164" s="20">
        <v>19.99</v>
      </c>
      <c r="G164" s="17" t="s">
        <v>675</v>
      </c>
    </row>
    <row r="165" ht="15.75" customHeight="1">
      <c r="A165" s="15" t="s">
        <v>836</v>
      </c>
      <c r="B165" s="15" t="s">
        <v>123</v>
      </c>
      <c r="C165" s="16">
        <v>45367.0</v>
      </c>
      <c r="D165" s="16">
        <v>45397.0</v>
      </c>
      <c r="E165" s="15" t="s">
        <v>684</v>
      </c>
      <c r="F165" s="19">
        <v>19.99</v>
      </c>
      <c r="G165" s="15" t="s">
        <v>675</v>
      </c>
    </row>
    <row r="166" ht="15.75" customHeight="1">
      <c r="A166" s="17" t="s">
        <v>837</v>
      </c>
      <c r="B166" s="17" t="s">
        <v>73</v>
      </c>
      <c r="C166" s="18">
        <v>45367.0</v>
      </c>
      <c r="D166" s="18">
        <v>45397.0</v>
      </c>
      <c r="E166" s="17" t="s">
        <v>684</v>
      </c>
      <c r="F166" s="20">
        <v>19.99</v>
      </c>
      <c r="G166" s="17" t="s">
        <v>675</v>
      </c>
    </row>
    <row r="167" ht="15.75" customHeight="1">
      <c r="A167" s="15" t="s">
        <v>838</v>
      </c>
      <c r="B167" s="15" t="s">
        <v>74</v>
      </c>
      <c r="C167" s="16">
        <v>45367.0</v>
      </c>
      <c r="D167" s="16">
        <v>45397.0</v>
      </c>
      <c r="E167" s="15" t="s">
        <v>684</v>
      </c>
      <c r="F167" s="19">
        <v>19.99</v>
      </c>
      <c r="G167" s="15" t="s">
        <v>675</v>
      </c>
    </row>
    <row r="168" ht="15.75" customHeight="1">
      <c r="A168" s="17" t="s">
        <v>839</v>
      </c>
      <c r="B168" s="17" t="s">
        <v>131</v>
      </c>
      <c r="C168" s="18">
        <v>45368.0</v>
      </c>
      <c r="D168" s="18">
        <v>45375.0</v>
      </c>
      <c r="E168" s="17" t="s">
        <v>674</v>
      </c>
      <c r="F168" s="20">
        <v>0.0</v>
      </c>
      <c r="G168" s="17" t="s">
        <v>675</v>
      </c>
    </row>
    <row r="169" ht="15.75" customHeight="1">
      <c r="A169" s="15" t="s">
        <v>840</v>
      </c>
      <c r="B169" s="15" t="s">
        <v>132</v>
      </c>
      <c r="C169" s="16">
        <v>45368.0</v>
      </c>
      <c r="D169" s="16">
        <v>45375.0</v>
      </c>
      <c r="E169" s="15" t="s">
        <v>674</v>
      </c>
      <c r="F169" s="19">
        <v>0.0</v>
      </c>
      <c r="G169" s="15" t="s">
        <v>675</v>
      </c>
    </row>
    <row r="170" ht="15.75" customHeight="1">
      <c r="A170" s="17" t="s">
        <v>841</v>
      </c>
      <c r="B170" s="17" t="s">
        <v>133</v>
      </c>
      <c r="C170" s="18">
        <v>45369.0</v>
      </c>
      <c r="D170" s="18">
        <v>45376.0</v>
      </c>
      <c r="E170" s="17" t="s">
        <v>674</v>
      </c>
      <c r="F170" s="20">
        <v>0.0</v>
      </c>
      <c r="G170" s="17" t="s">
        <v>675</v>
      </c>
    </row>
    <row r="171" ht="15.75" customHeight="1">
      <c r="A171" s="15" t="s">
        <v>842</v>
      </c>
      <c r="B171" s="15" t="s">
        <v>124</v>
      </c>
      <c r="C171" s="16">
        <v>45369.0</v>
      </c>
      <c r="D171" s="16">
        <v>45399.0</v>
      </c>
      <c r="E171" s="15" t="s">
        <v>684</v>
      </c>
      <c r="F171" s="19">
        <v>19.99</v>
      </c>
      <c r="G171" s="15" t="s">
        <v>675</v>
      </c>
    </row>
    <row r="172" ht="15.75" customHeight="1">
      <c r="A172" s="17" t="s">
        <v>843</v>
      </c>
      <c r="B172" s="17" t="s">
        <v>95</v>
      </c>
      <c r="C172" s="18">
        <v>45369.0</v>
      </c>
      <c r="D172" s="18">
        <v>45399.0</v>
      </c>
      <c r="E172" s="17" t="s">
        <v>684</v>
      </c>
      <c r="F172" s="20">
        <v>19.99</v>
      </c>
      <c r="G172" s="17" t="s">
        <v>675</v>
      </c>
    </row>
    <row r="173" ht="15.75" customHeight="1">
      <c r="A173" s="15" t="s">
        <v>844</v>
      </c>
      <c r="B173" s="15" t="s">
        <v>134</v>
      </c>
      <c r="C173" s="16">
        <v>45370.0</v>
      </c>
      <c r="D173" s="16">
        <v>45377.0</v>
      </c>
      <c r="E173" s="15" t="s">
        <v>674</v>
      </c>
      <c r="F173" s="19">
        <v>0.0</v>
      </c>
      <c r="G173" s="15" t="s">
        <v>675</v>
      </c>
    </row>
    <row r="174" ht="15.75" customHeight="1">
      <c r="A174" s="17" t="s">
        <v>845</v>
      </c>
      <c r="B174" s="17" t="s">
        <v>96</v>
      </c>
      <c r="C174" s="18">
        <v>45370.0</v>
      </c>
      <c r="D174" s="18">
        <v>45400.0</v>
      </c>
      <c r="E174" s="17" t="s">
        <v>684</v>
      </c>
      <c r="F174" s="20">
        <v>19.99</v>
      </c>
      <c r="G174" s="17" t="s">
        <v>675</v>
      </c>
    </row>
    <row r="175" ht="15.75" customHeight="1">
      <c r="A175" s="15" t="s">
        <v>846</v>
      </c>
      <c r="B175" s="15" t="s">
        <v>125</v>
      </c>
      <c r="C175" s="16">
        <v>45370.0</v>
      </c>
      <c r="D175" s="16">
        <v>45400.0</v>
      </c>
      <c r="E175" s="15" t="s">
        <v>684</v>
      </c>
      <c r="F175" s="19">
        <v>19.99</v>
      </c>
      <c r="G175" s="15" t="s">
        <v>675</v>
      </c>
    </row>
    <row r="176" ht="15.75" customHeight="1">
      <c r="A176" s="17" t="s">
        <v>847</v>
      </c>
      <c r="B176" s="17" t="s">
        <v>97</v>
      </c>
      <c r="C176" s="18">
        <v>45371.0</v>
      </c>
      <c r="D176" s="18">
        <v>45401.0</v>
      </c>
      <c r="E176" s="17" t="s">
        <v>684</v>
      </c>
      <c r="F176" s="20">
        <v>19.99</v>
      </c>
      <c r="G176" s="17" t="s">
        <v>675</v>
      </c>
    </row>
    <row r="177" ht="15.75" customHeight="1">
      <c r="A177" s="15" t="s">
        <v>848</v>
      </c>
      <c r="B177" s="15" t="s">
        <v>75</v>
      </c>
      <c r="C177" s="16">
        <v>45371.0</v>
      </c>
      <c r="D177" s="16">
        <v>45401.0</v>
      </c>
      <c r="E177" s="15" t="s">
        <v>684</v>
      </c>
      <c r="F177" s="19">
        <v>19.99</v>
      </c>
      <c r="G177" s="15" t="s">
        <v>675</v>
      </c>
    </row>
    <row r="178" ht="15.75" customHeight="1">
      <c r="A178" s="17" t="s">
        <v>849</v>
      </c>
      <c r="B178" s="17" t="s">
        <v>98</v>
      </c>
      <c r="C178" s="18">
        <v>45371.0</v>
      </c>
      <c r="D178" s="18">
        <v>45401.0</v>
      </c>
      <c r="E178" s="17" t="s">
        <v>684</v>
      </c>
      <c r="F178" s="20">
        <v>19.99</v>
      </c>
      <c r="G178" s="17" t="s">
        <v>675</v>
      </c>
    </row>
    <row r="179" ht="15.75" customHeight="1">
      <c r="A179" s="15" t="s">
        <v>850</v>
      </c>
      <c r="B179" s="15" t="s">
        <v>126</v>
      </c>
      <c r="C179" s="16">
        <v>45371.0</v>
      </c>
      <c r="D179" s="16">
        <v>45401.0</v>
      </c>
      <c r="E179" s="15" t="s">
        <v>684</v>
      </c>
      <c r="F179" s="19">
        <v>19.99</v>
      </c>
      <c r="G179" s="15" t="s">
        <v>675</v>
      </c>
    </row>
    <row r="180" ht="15.75" customHeight="1">
      <c r="A180" s="17" t="s">
        <v>851</v>
      </c>
      <c r="B180" s="17" t="s">
        <v>135</v>
      </c>
      <c r="C180" s="18">
        <v>45371.0</v>
      </c>
      <c r="D180" s="18">
        <v>45378.0</v>
      </c>
      <c r="E180" s="17" t="s">
        <v>674</v>
      </c>
      <c r="F180" s="20">
        <v>0.0</v>
      </c>
      <c r="G180" s="17" t="s">
        <v>675</v>
      </c>
    </row>
    <row r="181" ht="15.75" customHeight="1">
      <c r="A181" s="15" t="s">
        <v>852</v>
      </c>
      <c r="B181" s="15" t="s">
        <v>127</v>
      </c>
      <c r="C181" s="16">
        <v>45371.0</v>
      </c>
      <c r="D181" s="16">
        <v>45401.0</v>
      </c>
      <c r="E181" s="15" t="s">
        <v>684</v>
      </c>
      <c r="F181" s="19">
        <v>19.99</v>
      </c>
      <c r="G181" s="15" t="s">
        <v>675</v>
      </c>
    </row>
    <row r="182" ht="15.75" customHeight="1">
      <c r="A182" s="17" t="s">
        <v>853</v>
      </c>
      <c r="B182" s="17" t="s">
        <v>128</v>
      </c>
      <c r="C182" s="18">
        <v>45371.0</v>
      </c>
      <c r="D182" s="18">
        <v>45401.0</v>
      </c>
      <c r="E182" s="17" t="s">
        <v>684</v>
      </c>
      <c r="F182" s="20">
        <v>19.99</v>
      </c>
      <c r="G182" s="17" t="s">
        <v>675</v>
      </c>
    </row>
    <row r="183" ht="15.75" customHeight="1">
      <c r="A183" s="15" t="s">
        <v>854</v>
      </c>
      <c r="B183" s="15" t="s">
        <v>136</v>
      </c>
      <c r="C183" s="16">
        <v>45372.0</v>
      </c>
      <c r="D183" s="16">
        <v>45379.0</v>
      </c>
      <c r="E183" s="15" t="s">
        <v>674</v>
      </c>
      <c r="F183" s="19">
        <v>0.0</v>
      </c>
      <c r="G183" s="15" t="s">
        <v>675</v>
      </c>
    </row>
    <row r="184" ht="15.75" customHeight="1">
      <c r="A184" s="17" t="s">
        <v>855</v>
      </c>
      <c r="B184" s="17" t="s">
        <v>99</v>
      </c>
      <c r="C184" s="18">
        <v>45372.0</v>
      </c>
      <c r="D184" s="18">
        <v>45402.0</v>
      </c>
      <c r="E184" s="17" t="s">
        <v>684</v>
      </c>
      <c r="F184" s="20">
        <v>19.99</v>
      </c>
      <c r="G184" s="17" t="s">
        <v>675</v>
      </c>
    </row>
    <row r="185" ht="15.75" customHeight="1">
      <c r="A185" s="15" t="s">
        <v>856</v>
      </c>
      <c r="B185" s="15" t="s">
        <v>76</v>
      </c>
      <c r="C185" s="16">
        <v>45372.0</v>
      </c>
      <c r="D185" s="16">
        <v>45402.0</v>
      </c>
      <c r="E185" s="15" t="s">
        <v>684</v>
      </c>
      <c r="F185" s="19">
        <v>19.99</v>
      </c>
      <c r="G185" s="15" t="s">
        <v>675</v>
      </c>
    </row>
    <row r="186" ht="15.75" customHeight="1">
      <c r="A186" s="17" t="s">
        <v>857</v>
      </c>
      <c r="B186" s="17" t="s">
        <v>137</v>
      </c>
      <c r="C186" s="18">
        <v>45372.0</v>
      </c>
      <c r="D186" s="18">
        <v>45379.0</v>
      </c>
      <c r="E186" s="17" t="s">
        <v>674</v>
      </c>
      <c r="F186" s="20">
        <v>0.0</v>
      </c>
      <c r="G186" s="17" t="s">
        <v>675</v>
      </c>
    </row>
    <row r="187" ht="15.75" customHeight="1">
      <c r="A187" s="15" t="s">
        <v>858</v>
      </c>
      <c r="B187" s="15" t="s">
        <v>138</v>
      </c>
      <c r="C187" s="16">
        <v>45372.0</v>
      </c>
      <c r="D187" s="16">
        <v>45379.0</v>
      </c>
      <c r="E187" s="15" t="s">
        <v>674</v>
      </c>
      <c r="F187" s="19">
        <v>0.0</v>
      </c>
      <c r="G187" s="15" t="s">
        <v>675</v>
      </c>
    </row>
    <row r="188" ht="15.75" customHeight="1">
      <c r="A188" s="17" t="s">
        <v>859</v>
      </c>
      <c r="B188" s="17" t="s">
        <v>139</v>
      </c>
      <c r="C188" s="18">
        <v>45373.0</v>
      </c>
      <c r="D188" s="18">
        <v>45380.0</v>
      </c>
      <c r="E188" s="17" t="s">
        <v>674</v>
      </c>
      <c r="F188" s="20">
        <v>0.0</v>
      </c>
      <c r="G188" s="17" t="s">
        <v>675</v>
      </c>
    </row>
    <row r="189" ht="15.75" customHeight="1">
      <c r="A189" s="15" t="s">
        <v>860</v>
      </c>
      <c r="B189" s="15" t="s">
        <v>129</v>
      </c>
      <c r="C189" s="16">
        <v>45373.0</v>
      </c>
      <c r="D189" s="16">
        <v>45403.0</v>
      </c>
      <c r="E189" s="15" t="s">
        <v>684</v>
      </c>
      <c r="F189" s="19">
        <v>19.99</v>
      </c>
      <c r="G189" s="15" t="s">
        <v>675</v>
      </c>
    </row>
    <row r="190" ht="15.75" customHeight="1">
      <c r="A190" s="17" t="s">
        <v>861</v>
      </c>
      <c r="B190" s="17" t="s">
        <v>140</v>
      </c>
      <c r="C190" s="18">
        <v>45373.0</v>
      </c>
      <c r="D190" s="18">
        <v>45380.0</v>
      </c>
      <c r="E190" s="17" t="s">
        <v>674</v>
      </c>
      <c r="F190" s="20">
        <v>0.0</v>
      </c>
      <c r="G190" s="17" t="s">
        <v>675</v>
      </c>
    </row>
    <row r="191" ht="15.75" customHeight="1">
      <c r="A191" s="15" t="s">
        <v>862</v>
      </c>
      <c r="B191" s="15" t="s">
        <v>78</v>
      </c>
      <c r="C191" s="16">
        <v>45373.0</v>
      </c>
      <c r="D191" s="16">
        <v>45403.0</v>
      </c>
      <c r="E191" s="15" t="s">
        <v>684</v>
      </c>
      <c r="F191" s="19">
        <v>19.99</v>
      </c>
      <c r="G191" s="15" t="s">
        <v>675</v>
      </c>
    </row>
    <row r="192" ht="15.75" customHeight="1">
      <c r="A192" s="17" t="s">
        <v>863</v>
      </c>
      <c r="B192" s="17" t="s">
        <v>130</v>
      </c>
      <c r="C192" s="18">
        <v>45374.0</v>
      </c>
      <c r="D192" s="18">
        <v>45404.0</v>
      </c>
      <c r="E192" s="17" t="s">
        <v>684</v>
      </c>
      <c r="F192" s="20">
        <v>19.99</v>
      </c>
      <c r="G192" s="17" t="s">
        <v>675</v>
      </c>
    </row>
    <row r="193" ht="15.75" customHeight="1">
      <c r="A193" s="15" t="s">
        <v>864</v>
      </c>
      <c r="B193" s="15" t="s">
        <v>131</v>
      </c>
      <c r="C193" s="16">
        <v>45375.0</v>
      </c>
      <c r="D193" s="16">
        <v>45405.0</v>
      </c>
      <c r="E193" s="15" t="s">
        <v>684</v>
      </c>
      <c r="F193" s="19">
        <v>19.99</v>
      </c>
      <c r="G193" s="15" t="s">
        <v>675</v>
      </c>
    </row>
    <row r="194" ht="15.75" customHeight="1">
      <c r="A194" s="17" t="s">
        <v>865</v>
      </c>
      <c r="B194" s="17" t="s">
        <v>141</v>
      </c>
      <c r="C194" s="18">
        <v>45375.0</v>
      </c>
      <c r="D194" s="18">
        <v>45382.0</v>
      </c>
      <c r="E194" s="17" t="s">
        <v>674</v>
      </c>
      <c r="F194" s="20">
        <v>0.0</v>
      </c>
      <c r="G194" s="17" t="s">
        <v>675</v>
      </c>
    </row>
    <row r="195" ht="15.75" customHeight="1">
      <c r="A195" s="15" t="s">
        <v>866</v>
      </c>
      <c r="B195" s="15" t="s">
        <v>100</v>
      </c>
      <c r="C195" s="16">
        <v>45375.0</v>
      </c>
      <c r="D195" s="16">
        <v>45405.0</v>
      </c>
      <c r="E195" s="15" t="s">
        <v>684</v>
      </c>
      <c r="F195" s="19">
        <v>19.99</v>
      </c>
      <c r="G195" s="15" t="s">
        <v>675</v>
      </c>
    </row>
    <row r="196" ht="15.75" customHeight="1">
      <c r="A196" s="17" t="s">
        <v>867</v>
      </c>
      <c r="B196" s="17" t="s">
        <v>101</v>
      </c>
      <c r="C196" s="18">
        <v>45375.0</v>
      </c>
      <c r="D196" s="18">
        <v>45405.0</v>
      </c>
      <c r="E196" s="17" t="s">
        <v>684</v>
      </c>
      <c r="F196" s="20">
        <v>19.99</v>
      </c>
      <c r="G196" s="17" t="s">
        <v>675</v>
      </c>
    </row>
    <row r="197" ht="15.75" customHeight="1">
      <c r="A197" s="15" t="s">
        <v>868</v>
      </c>
      <c r="B197" s="15" t="s">
        <v>132</v>
      </c>
      <c r="C197" s="16">
        <v>45375.0</v>
      </c>
      <c r="D197" s="16">
        <v>45405.0</v>
      </c>
      <c r="E197" s="15" t="s">
        <v>684</v>
      </c>
      <c r="F197" s="19">
        <v>19.99</v>
      </c>
      <c r="G197" s="15" t="s">
        <v>675</v>
      </c>
    </row>
    <row r="198" ht="15.75" customHeight="1">
      <c r="A198" s="17" t="s">
        <v>869</v>
      </c>
      <c r="B198" s="17" t="s">
        <v>79</v>
      </c>
      <c r="C198" s="18">
        <v>45376.0</v>
      </c>
      <c r="D198" s="18">
        <v>45406.0</v>
      </c>
      <c r="E198" s="17" t="s">
        <v>684</v>
      </c>
      <c r="F198" s="20">
        <v>19.99</v>
      </c>
      <c r="G198" s="17" t="s">
        <v>675</v>
      </c>
    </row>
    <row r="199" ht="15.75" customHeight="1">
      <c r="A199" s="15" t="s">
        <v>870</v>
      </c>
      <c r="B199" s="15" t="s">
        <v>133</v>
      </c>
      <c r="C199" s="16">
        <v>45376.0</v>
      </c>
      <c r="D199" s="16">
        <v>45406.0</v>
      </c>
      <c r="E199" s="15" t="s">
        <v>684</v>
      </c>
      <c r="F199" s="19">
        <v>19.99</v>
      </c>
      <c r="G199" s="15" t="s">
        <v>675</v>
      </c>
    </row>
    <row r="200" ht="15.75" customHeight="1">
      <c r="A200" s="17" t="s">
        <v>871</v>
      </c>
      <c r="B200" s="17" t="s">
        <v>142</v>
      </c>
      <c r="C200" s="18">
        <v>45376.0</v>
      </c>
      <c r="D200" s="18">
        <v>45383.0</v>
      </c>
      <c r="E200" s="17" t="s">
        <v>674</v>
      </c>
      <c r="F200" s="20">
        <v>0.0</v>
      </c>
      <c r="G200" s="17" t="s">
        <v>675</v>
      </c>
    </row>
    <row r="201" ht="15.75" customHeight="1">
      <c r="A201" s="15" t="s">
        <v>872</v>
      </c>
      <c r="B201" s="15" t="s">
        <v>134</v>
      </c>
      <c r="C201" s="16">
        <v>45377.0</v>
      </c>
      <c r="D201" s="16">
        <v>45407.0</v>
      </c>
      <c r="E201" s="15" t="s">
        <v>684</v>
      </c>
      <c r="F201" s="19">
        <v>19.99</v>
      </c>
      <c r="G201" s="15" t="s">
        <v>675</v>
      </c>
    </row>
    <row r="202" ht="15.75" customHeight="1">
      <c r="A202" s="17" t="s">
        <v>873</v>
      </c>
      <c r="B202" s="17" t="s">
        <v>81</v>
      </c>
      <c r="C202" s="18">
        <v>45377.0</v>
      </c>
      <c r="D202" s="18">
        <v>45407.0</v>
      </c>
      <c r="E202" s="17" t="s">
        <v>684</v>
      </c>
      <c r="F202" s="20">
        <v>19.99</v>
      </c>
      <c r="G202" s="17" t="s">
        <v>675</v>
      </c>
    </row>
    <row r="203" ht="15.75" customHeight="1">
      <c r="A203" s="15" t="s">
        <v>874</v>
      </c>
      <c r="B203" s="15" t="s">
        <v>143</v>
      </c>
      <c r="C203" s="16">
        <v>45377.0</v>
      </c>
      <c r="D203" s="16">
        <v>45384.0</v>
      </c>
      <c r="E203" s="15" t="s">
        <v>674</v>
      </c>
      <c r="F203" s="19">
        <v>0.0</v>
      </c>
      <c r="G203" s="15" t="s">
        <v>675</v>
      </c>
    </row>
    <row r="204" ht="15.75" customHeight="1">
      <c r="A204" s="17" t="s">
        <v>875</v>
      </c>
      <c r="B204" s="17" t="s">
        <v>135</v>
      </c>
      <c r="C204" s="18">
        <v>45378.0</v>
      </c>
      <c r="D204" s="18">
        <v>45408.0</v>
      </c>
      <c r="E204" s="17" t="s">
        <v>684</v>
      </c>
      <c r="F204" s="20">
        <v>19.99</v>
      </c>
      <c r="G204" s="17" t="s">
        <v>675</v>
      </c>
    </row>
    <row r="205" ht="15.75" customHeight="1">
      <c r="A205" s="15" t="s">
        <v>876</v>
      </c>
      <c r="B205" s="15" t="s">
        <v>102</v>
      </c>
      <c r="C205" s="16">
        <v>45378.0</v>
      </c>
      <c r="D205" s="16">
        <v>45408.0</v>
      </c>
      <c r="E205" s="15" t="s">
        <v>684</v>
      </c>
      <c r="F205" s="19">
        <v>19.99</v>
      </c>
      <c r="G205" s="15" t="s">
        <v>675</v>
      </c>
    </row>
    <row r="206" ht="15.75" customHeight="1">
      <c r="A206" s="17" t="s">
        <v>877</v>
      </c>
      <c r="B206" s="17" t="s">
        <v>136</v>
      </c>
      <c r="C206" s="18">
        <v>45379.0</v>
      </c>
      <c r="D206" s="18">
        <v>45409.0</v>
      </c>
      <c r="E206" s="17" t="s">
        <v>684</v>
      </c>
      <c r="F206" s="20">
        <v>19.99</v>
      </c>
      <c r="G206" s="17" t="s">
        <v>675</v>
      </c>
    </row>
    <row r="207" ht="15.75" customHeight="1">
      <c r="A207" s="15" t="s">
        <v>878</v>
      </c>
      <c r="B207" s="15" t="s">
        <v>82</v>
      </c>
      <c r="C207" s="16">
        <v>45379.0</v>
      </c>
      <c r="D207" s="16">
        <v>45409.0</v>
      </c>
      <c r="E207" s="15" t="s">
        <v>684</v>
      </c>
      <c r="F207" s="19">
        <v>19.99</v>
      </c>
      <c r="G207" s="15" t="s">
        <v>675</v>
      </c>
    </row>
    <row r="208" ht="15.75" customHeight="1">
      <c r="A208" s="17" t="s">
        <v>879</v>
      </c>
      <c r="B208" s="17" t="s">
        <v>144</v>
      </c>
      <c r="C208" s="18">
        <v>45379.0</v>
      </c>
      <c r="D208" s="18">
        <v>45386.0</v>
      </c>
      <c r="E208" s="17" t="s">
        <v>674</v>
      </c>
      <c r="F208" s="20">
        <v>0.0</v>
      </c>
      <c r="G208" s="17" t="s">
        <v>675</v>
      </c>
    </row>
    <row r="209" ht="15.75" customHeight="1">
      <c r="A209" s="15" t="s">
        <v>880</v>
      </c>
      <c r="B209" s="15" t="s">
        <v>145</v>
      </c>
      <c r="C209" s="16">
        <v>45379.0</v>
      </c>
      <c r="D209" s="16">
        <v>45386.0</v>
      </c>
      <c r="E209" s="15" t="s">
        <v>674</v>
      </c>
      <c r="F209" s="19">
        <v>0.0</v>
      </c>
      <c r="G209" s="15" t="s">
        <v>675</v>
      </c>
    </row>
    <row r="210" ht="15.75" customHeight="1">
      <c r="A210" s="17" t="s">
        <v>881</v>
      </c>
      <c r="B210" s="17" t="s">
        <v>137</v>
      </c>
      <c r="C210" s="18">
        <v>45379.0</v>
      </c>
      <c r="D210" s="18">
        <v>45409.0</v>
      </c>
      <c r="E210" s="17" t="s">
        <v>684</v>
      </c>
      <c r="F210" s="20">
        <v>19.99</v>
      </c>
      <c r="G210" s="17" t="s">
        <v>675</v>
      </c>
    </row>
    <row r="211" ht="15.75" customHeight="1">
      <c r="A211" s="15" t="s">
        <v>882</v>
      </c>
      <c r="B211" s="15" t="s">
        <v>83</v>
      </c>
      <c r="C211" s="16">
        <v>45379.0</v>
      </c>
      <c r="D211" s="16">
        <v>45409.0</v>
      </c>
      <c r="E211" s="15" t="s">
        <v>684</v>
      </c>
      <c r="F211" s="19">
        <v>19.99</v>
      </c>
      <c r="G211" s="15" t="s">
        <v>675</v>
      </c>
    </row>
    <row r="212" ht="15.75" customHeight="1">
      <c r="A212" s="17" t="s">
        <v>883</v>
      </c>
      <c r="B212" s="17" t="s">
        <v>138</v>
      </c>
      <c r="C212" s="18">
        <v>45379.0</v>
      </c>
      <c r="D212" s="18">
        <v>45409.0</v>
      </c>
      <c r="E212" s="17" t="s">
        <v>684</v>
      </c>
      <c r="F212" s="20">
        <v>19.99</v>
      </c>
      <c r="G212" s="17" t="s">
        <v>675</v>
      </c>
    </row>
    <row r="213" ht="15.75" customHeight="1">
      <c r="A213" s="15" t="s">
        <v>884</v>
      </c>
      <c r="B213" s="15" t="s">
        <v>84</v>
      </c>
      <c r="C213" s="16">
        <v>45380.0</v>
      </c>
      <c r="D213" s="16">
        <v>45410.0</v>
      </c>
      <c r="E213" s="15" t="s">
        <v>684</v>
      </c>
      <c r="F213" s="19">
        <v>19.99</v>
      </c>
      <c r="G213" s="15" t="s">
        <v>675</v>
      </c>
    </row>
    <row r="214" ht="15.75" customHeight="1">
      <c r="A214" s="17" t="s">
        <v>885</v>
      </c>
      <c r="B214" s="17" t="s">
        <v>139</v>
      </c>
      <c r="C214" s="18">
        <v>45380.0</v>
      </c>
      <c r="D214" s="18">
        <v>45410.0</v>
      </c>
      <c r="E214" s="17" t="s">
        <v>684</v>
      </c>
      <c r="F214" s="20">
        <v>19.99</v>
      </c>
      <c r="G214" s="17" t="s">
        <v>675</v>
      </c>
    </row>
    <row r="215" ht="15.75" customHeight="1">
      <c r="A215" s="15" t="s">
        <v>886</v>
      </c>
      <c r="B215" s="15" t="s">
        <v>103</v>
      </c>
      <c r="C215" s="16">
        <v>45380.0</v>
      </c>
      <c r="D215" s="16">
        <v>45410.0</v>
      </c>
      <c r="E215" s="15" t="s">
        <v>684</v>
      </c>
      <c r="F215" s="19">
        <v>19.99</v>
      </c>
      <c r="G215" s="15" t="s">
        <v>675</v>
      </c>
    </row>
    <row r="216" ht="15.75" customHeight="1">
      <c r="A216" s="17" t="s">
        <v>887</v>
      </c>
      <c r="B216" s="17" t="s">
        <v>140</v>
      </c>
      <c r="C216" s="18">
        <v>45380.0</v>
      </c>
      <c r="D216" s="18">
        <v>45410.0</v>
      </c>
      <c r="E216" s="17" t="s">
        <v>684</v>
      </c>
      <c r="F216" s="20">
        <v>19.99</v>
      </c>
      <c r="G216" s="17" t="s">
        <v>675</v>
      </c>
    </row>
    <row r="217" ht="15.75" customHeight="1">
      <c r="A217" s="15" t="s">
        <v>888</v>
      </c>
      <c r="B217" s="15" t="s">
        <v>141</v>
      </c>
      <c r="C217" s="16">
        <v>45382.0</v>
      </c>
      <c r="D217" s="16">
        <v>45412.0</v>
      </c>
      <c r="E217" s="15" t="s">
        <v>684</v>
      </c>
      <c r="F217" s="19">
        <v>19.99</v>
      </c>
      <c r="G217" s="15" t="s">
        <v>675</v>
      </c>
    </row>
    <row r="218" ht="15.75" customHeight="1">
      <c r="A218" s="17" t="s">
        <v>889</v>
      </c>
      <c r="B218" s="17" t="s">
        <v>146</v>
      </c>
      <c r="C218" s="18">
        <v>45382.0</v>
      </c>
      <c r="D218" s="18">
        <v>45389.0</v>
      </c>
      <c r="E218" s="17" t="s">
        <v>674</v>
      </c>
      <c r="F218" s="20">
        <v>0.0</v>
      </c>
      <c r="G218" s="17" t="s">
        <v>675</v>
      </c>
    </row>
    <row r="219" ht="15.75" customHeight="1">
      <c r="A219" s="15" t="s">
        <v>890</v>
      </c>
      <c r="B219" s="15" t="s">
        <v>104</v>
      </c>
      <c r="C219" s="16">
        <v>45382.0</v>
      </c>
      <c r="D219" s="16">
        <v>45412.0</v>
      </c>
      <c r="E219" s="15" t="s">
        <v>684</v>
      </c>
      <c r="F219" s="19">
        <v>19.99</v>
      </c>
      <c r="G219" s="15" t="s">
        <v>675</v>
      </c>
    </row>
    <row r="220" ht="15.75" customHeight="1">
      <c r="A220" s="17" t="s">
        <v>891</v>
      </c>
      <c r="B220" s="17" t="s">
        <v>147</v>
      </c>
      <c r="C220" s="18">
        <v>45382.0</v>
      </c>
      <c r="D220" s="18">
        <v>45389.0</v>
      </c>
      <c r="E220" s="17" t="s">
        <v>674</v>
      </c>
      <c r="F220" s="20">
        <v>0.0</v>
      </c>
      <c r="G220" s="17" t="s">
        <v>675</v>
      </c>
    </row>
    <row r="221" ht="15.75" customHeight="1">
      <c r="A221" s="15" t="s">
        <v>892</v>
      </c>
      <c r="B221" s="15" t="s">
        <v>85</v>
      </c>
      <c r="C221" s="16">
        <v>45383.0</v>
      </c>
      <c r="D221" s="16">
        <v>45413.0</v>
      </c>
      <c r="E221" s="15" t="s">
        <v>684</v>
      </c>
      <c r="F221" s="19">
        <v>19.99</v>
      </c>
      <c r="G221" s="15" t="s">
        <v>675</v>
      </c>
    </row>
    <row r="222" ht="15.75" customHeight="1">
      <c r="A222" s="17" t="s">
        <v>893</v>
      </c>
      <c r="B222" s="17" t="s">
        <v>142</v>
      </c>
      <c r="C222" s="18">
        <v>45383.0</v>
      </c>
      <c r="D222" s="18">
        <v>45413.0</v>
      </c>
      <c r="E222" s="17" t="s">
        <v>684</v>
      </c>
      <c r="F222" s="20">
        <v>19.99</v>
      </c>
      <c r="G222" s="17" t="s">
        <v>675</v>
      </c>
    </row>
    <row r="223" ht="15.75" customHeight="1">
      <c r="A223" s="15" t="s">
        <v>894</v>
      </c>
      <c r="B223" s="15" t="s">
        <v>143</v>
      </c>
      <c r="C223" s="16">
        <v>45384.0</v>
      </c>
      <c r="D223" s="16">
        <v>45414.0</v>
      </c>
      <c r="E223" s="15" t="s">
        <v>684</v>
      </c>
      <c r="F223" s="19">
        <v>19.99</v>
      </c>
      <c r="G223" s="15" t="s">
        <v>675</v>
      </c>
    </row>
    <row r="224" ht="15.75" customHeight="1">
      <c r="A224" s="17" t="s">
        <v>895</v>
      </c>
      <c r="B224" s="17" t="s">
        <v>105</v>
      </c>
      <c r="C224" s="18">
        <v>45384.0</v>
      </c>
      <c r="D224" s="18">
        <v>45414.0</v>
      </c>
      <c r="E224" s="17" t="s">
        <v>684</v>
      </c>
      <c r="F224" s="20">
        <v>19.99</v>
      </c>
      <c r="G224" s="17" t="s">
        <v>675</v>
      </c>
    </row>
    <row r="225" ht="15.75" customHeight="1">
      <c r="A225" s="15" t="s">
        <v>896</v>
      </c>
      <c r="B225" s="15" t="s">
        <v>106</v>
      </c>
      <c r="C225" s="16">
        <v>45385.0</v>
      </c>
      <c r="D225" s="16">
        <v>45415.0</v>
      </c>
      <c r="E225" s="15" t="s">
        <v>684</v>
      </c>
      <c r="F225" s="19">
        <v>19.99</v>
      </c>
      <c r="G225" s="15" t="s">
        <v>675</v>
      </c>
    </row>
    <row r="226" ht="15.75" customHeight="1">
      <c r="A226" s="17" t="s">
        <v>897</v>
      </c>
      <c r="B226" s="17" t="s">
        <v>148</v>
      </c>
      <c r="C226" s="18">
        <v>45385.0</v>
      </c>
      <c r="D226" s="18">
        <v>45392.0</v>
      </c>
      <c r="E226" s="17" t="s">
        <v>674</v>
      </c>
      <c r="F226" s="20">
        <v>0.0</v>
      </c>
      <c r="G226" s="17" t="s">
        <v>675</v>
      </c>
    </row>
    <row r="227" ht="15.75" customHeight="1">
      <c r="A227" s="15" t="s">
        <v>898</v>
      </c>
      <c r="B227" s="15" t="s">
        <v>86</v>
      </c>
      <c r="C227" s="16">
        <v>45385.0</v>
      </c>
      <c r="D227" s="16">
        <v>45415.0</v>
      </c>
      <c r="E227" s="15" t="s">
        <v>684</v>
      </c>
      <c r="F227" s="19">
        <v>19.99</v>
      </c>
      <c r="G227" s="15" t="s">
        <v>675</v>
      </c>
    </row>
    <row r="228" ht="15.75" customHeight="1">
      <c r="A228" s="17" t="s">
        <v>899</v>
      </c>
      <c r="B228" s="17" t="s">
        <v>149</v>
      </c>
      <c r="C228" s="18">
        <v>45386.0</v>
      </c>
      <c r="D228" s="18">
        <v>45393.0</v>
      </c>
      <c r="E228" s="17" t="s">
        <v>674</v>
      </c>
      <c r="F228" s="20">
        <v>0.0</v>
      </c>
      <c r="G228" s="17" t="s">
        <v>675</v>
      </c>
    </row>
    <row r="229" ht="15.75" customHeight="1">
      <c r="A229" s="15" t="s">
        <v>900</v>
      </c>
      <c r="B229" s="15" t="s">
        <v>108</v>
      </c>
      <c r="C229" s="16">
        <v>45386.0</v>
      </c>
      <c r="D229" s="16">
        <v>45416.0</v>
      </c>
      <c r="E229" s="15" t="s">
        <v>684</v>
      </c>
      <c r="F229" s="19">
        <v>19.99</v>
      </c>
      <c r="G229" s="15" t="s">
        <v>675</v>
      </c>
    </row>
    <row r="230" ht="15.75" customHeight="1">
      <c r="A230" s="17" t="s">
        <v>901</v>
      </c>
      <c r="B230" s="17" t="s">
        <v>144</v>
      </c>
      <c r="C230" s="18">
        <v>45386.0</v>
      </c>
      <c r="D230" s="18">
        <v>45416.0</v>
      </c>
      <c r="E230" s="17" t="s">
        <v>684</v>
      </c>
      <c r="F230" s="20">
        <v>19.99</v>
      </c>
      <c r="G230" s="17" t="s">
        <v>675</v>
      </c>
    </row>
    <row r="231" ht="15.75" customHeight="1">
      <c r="A231" s="15" t="s">
        <v>902</v>
      </c>
      <c r="B231" s="15" t="s">
        <v>109</v>
      </c>
      <c r="C231" s="16">
        <v>45386.0</v>
      </c>
      <c r="D231" s="16">
        <v>45416.0</v>
      </c>
      <c r="E231" s="15" t="s">
        <v>684</v>
      </c>
      <c r="F231" s="19">
        <v>19.99</v>
      </c>
      <c r="G231" s="15" t="s">
        <v>675</v>
      </c>
    </row>
    <row r="232" ht="15.75" customHeight="1">
      <c r="A232" s="17" t="s">
        <v>903</v>
      </c>
      <c r="B232" s="17" t="s">
        <v>110</v>
      </c>
      <c r="C232" s="18">
        <v>45386.0</v>
      </c>
      <c r="D232" s="18">
        <v>45416.0</v>
      </c>
      <c r="E232" s="17" t="s">
        <v>684</v>
      </c>
      <c r="F232" s="20">
        <v>19.99</v>
      </c>
      <c r="G232" s="17" t="s">
        <v>675</v>
      </c>
    </row>
    <row r="233" ht="15.75" customHeight="1">
      <c r="A233" s="15" t="s">
        <v>904</v>
      </c>
      <c r="B233" s="15" t="s">
        <v>145</v>
      </c>
      <c r="C233" s="16">
        <v>45386.0</v>
      </c>
      <c r="D233" s="16">
        <v>45416.0</v>
      </c>
      <c r="E233" s="15" t="s">
        <v>684</v>
      </c>
      <c r="F233" s="19">
        <v>19.99</v>
      </c>
      <c r="G233" s="15" t="s">
        <v>675</v>
      </c>
    </row>
    <row r="234" ht="15.75" customHeight="1">
      <c r="A234" s="17" t="s">
        <v>905</v>
      </c>
      <c r="B234" s="17" t="s">
        <v>111</v>
      </c>
      <c r="C234" s="18">
        <v>45386.0</v>
      </c>
      <c r="D234" s="18">
        <v>45416.0</v>
      </c>
      <c r="E234" s="17" t="s">
        <v>684</v>
      </c>
      <c r="F234" s="20">
        <v>19.99</v>
      </c>
      <c r="G234" s="17" t="s">
        <v>675</v>
      </c>
    </row>
    <row r="235" ht="15.75" customHeight="1">
      <c r="A235" s="15" t="s">
        <v>906</v>
      </c>
      <c r="B235" s="15" t="s">
        <v>112</v>
      </c>
      <c r="C235" s="16">
        <v>45387.0</v>
      </c>
      <c r="D235" s="16">
        <v>45417.0</v>
      </c>
      <c r="E235" s="15" t="s">
        <v>684</v>
      </c>
      <c r="F235" s="19">
        <v>19.99</v>
      </c>
      <c r="G235" s="15" t="s">
        <v>675</v>
      </c>
    </row>
    <row r="236" ht="15.75" customHeight="1">
      <c r="A236" s="17" t="s">
        <v>907</v>
      </c>
      <c r="B236" s="17" t="s">
        <v>113</v>
      </c>
      <c r="C236" s="18">
        <v>45387.0</v>
      </c>
      <c r="D236" s="18">
        <v>45417.0</v>
      </c>
      <c r="E236" s="17" t="s">
        <v>684</v>
      </c>
      <c r="F236" s="20">
        <v>19.99</v>
      </c>
      <c r="G236" s="17" t="s">
        <v>675</v>
      </c>
    </row>
    <row r="237" ht="15.75" customHeight="1">
      <c r="A237" s="15" t="s">
        <v>908</v>
      </c>
      <c r="B237" s="15" t="s">
        <v>150</v>
      </c>
      <c r="C237" s="16">
        <v>45387.0</v>
      </c>
      <c r="D237" s="16">
        <v>45394.0</v>
      </c>
      <c r="E237" s="15" t="s">
        <v>674</v>
      </c>
      <c r="F237" s="19">
        <v>0.0</v>
      </c>
      <c r="G237" s="15" t="s">
        <v>675</v>
      </c>
    </row>
    <row r="238" ht="15.75" customHeight="1">
      <c r="A238" s="17" t="s">
        <v>909</v>
      </c>
      <c r="B238" s="17" t="s">
        <v>88</v>
      </c>
      <c r="C238" s="18">
        <v>45387.0</v>
      </c>
      <c r="D238" s="18">
        <v>45417.0</v>
      </c>
      <c r="E238" s="17" t="s">
        <v>684</v>
      </c>
      <c r="F238" s="20">
        <v>19.99</v>
      </c>
      <c r="G238" s="17" t="s">
        <v>675</v>
      </c>
    </row>
    <row r="239" ht="15.75" customHeight="1">
      <c r="A239" s="15" t="s">
        <v>910</v>
      </c>
      <c r="B239" s="15" t="s">
        <v>151</v>
      </c>
      <c r="C239" s="16">
        <v>45388.0</v>
      </c>
      <c r="D239" s="16">
        <v>45395.0</v>
      </c>
      <c r="E239" s="15" t="s">
        <v>674</v>
      </c>
      <c r="F239" s="19">
        <v>0.0</v>
      </c>
      <c r="G239" s="15" t="s">
        <v>675</v>
      </c>
    </row>
    <row r="240" ht="15.75" customHeight="1">
      <c r="A240" s="17" t="s">
        <v>911</v>
      </c>
      <c r="B240" s="17" t="s">
        <v>115</v>
      </c>
      <c r="C240" s="18">
        <v>45388.0</v>
      </c>
      <c r="D240" s="18">
        <v>45418.0</v>
      </c>
      <c r="E240" s="17" t="s">
        <v>684</v>
      </c>
      <c r="F240" s="20">
        <v>19.99</v>
      </c>
      <c r="G240" s="17" t="s">
        <v>675</v>
      </c>
    </row>
    <row r="241" ht="15.75" customHeight="1">
      <c r="A241" s="15" t="s">
        <v>912</v>
      </c>
      <c r="B241" s="15" t="s">
        <v>152</v>
      </c>
      <c r="C241" s="16">
        <v>45388.0</v>
      </c>
      <c r="D241" s="16">
        <v>45395.0</v>
      </c>
      <c r="E241" s="15" t="s">
        <v>674</v>
      </c>
      <c r="F241" s="19">
        <v>0.0</v>
      </c>
      <c r="G241" s="15" t="s">
        <v>675</v>
      </c>
    </row>
    <row r="242" ht="15.75" customHeight="1">
      <c r="A242" s="17" t="s">
        <v>913</v>
      </c>
      <c r="B242" s="17" t="s">
        <v>153</v>
      </c>
      <c r="C242" s="18">
        <v>45388.0</v>
      </c>
      <c r="D242" s="18">
        <v>45395.0</v>
      </c>
      <c r="E242" s="17" t="s">
        <v>674</v>
      </c>
      <c r="F242" s="20">
        <v>0.0</v>
      </c>
      <c r="G242" s="17" t="s">
        <v>675</v>
      </c>
    </row>
    <row r="243" ht="15.75" customHeight="1">
      <c r="A243" s="15" t="s">
        <v>914</v>
      </c>
      <c r="B243" s="15" t="s">
        <v>146</v>
      </c>
      <c r="C243" s="16">
        <v>45389.0</v>
      </c>
      <c r="D243" s="16">
        <v>45419.0</v>
      </c>
      <c r="E243" s="15" t="s">
        <v>684</v>
      </c>
      <c r="F243" s="19">
        <v>19.99</v>
      </c>
      <c r="G243" s="15" t="s">
        <v>675</v>
      </c>
    </row>
    <row r="244" ht="15.75" customHeight="1">
      <c r="A244" s="17" t="s">
        <v>915</v>
      </c>
      <c r="B244" s="17" t="s">
        <v>56</v>
      </c>
      <c r="C244" s="18">
        <v>45389.0</v>
      </c>
      <c r="D244" s="18">
        <v>45419.0</v>
      </c>
      <c r="E244" s="17" t="s">
        <v>684</v>
      </c>
      <c r="F244" s="20">
        <v>19.99</v>
      </c>
      <c r="G244" s="17" t="s">
        <v>675</v>
      </c>
    </row>
    <row r="245" ht="15.75" customHeight="1">
      <c r="A245" s="15" t="s">
        <v>916</v>
      </c>
      <c r="B245" s="15" t="s">
        <v>154</v>
      </c>
      <c r="C245" s="16">
        <v>45389.0</v>
      </c>
      <c r="D245" s="16">
        <v>45396.0</v>
      </c>
      <c r="E245" s="15" t="s">
        <v>674</v>
      </c>
      <c r="F245" s="19">
        <v>0.0</v>
      </c>
      <c r="G245" s="15" t="s">
        <v>675</v>
      </c>
    </row>
    <row r="246" ht="15.75" customHeight="1">
      <c r="A246" s="17" t="s">
        <v>917</v>
      </c>
      <c r="B246" s="17" t="s">
        <v>147</v>
      </c>
      <c r="C246" s="18">
        <v>45389.0</v>
      </c>
      <c r="D246" s="18">
        <v>45419.0</v>
      </c>
      <c r="E246" s="17" t="s">
        <v>684</v>
      </c>
      <c r="F246" s="20">
        <v>19.99</v>
      </c>
      <c r="G246" s="17" t="s">
        <v>675</v>
      </c>
    </row>
    <row r="247" ht="15.75" customHeight="1">
      <c r="A247" s="15" t="s">
        <v>918</v>
      </c>
      <c r="B247" s="15" t="s">
        <v>155</v>
      </c>
      <c r="C247" s="16">
        <v>45390.0</v>
      </c>
      <c r="D247" s="16">
        <v>45397.0</v>
      </c>
      <c r="E247" s="15" t="s">
        <v>674</v>
      </c>
      <c r="F247" s="19">
        <v>0.0</v>
      </c>
      <c r="G247" s="15" t="s">
        <v>675</v>
      </c>
    </row>
    <row r="248" ht="15.75" customHeight="1">
      <c r="A248" s="17" t="s">
        <v>919</v>
      </c>
      <c r="B248" s="17" t="s">
        <v>89</v>
      </c>
      <c r="C248" s="18">
        <v>45390.0</v>
      </c>
      <c r="D248" s="18">
        <v>45420.0</v>
      </c>
      <c r="E248" s="17" t="s">
        <v>684</v>
      </c>
      <c r="F248" s="20">
        <v>19.99</v>
      </c>
      <c r="G248" s="17" t="s">
        <v>675</v>
      </c>
    </row>
    <row r="249" ht="15.75" customHeight="1">
      <c r="A249" s="15" t="s">
        <v>920</v>
      </c>
      <c r="B249" s="15" t="s">
        <v>116</v>
      </c>
      <c r="C249" s="16">
        <v>45390.0</v>
      </c>
      <c r="D249" s="16">
        <v>45420.0</v>
      </c>
      <c r="E249" s="15" t="s">
        <v>684</v>
      </c>
      <c r="F249" s="19">
        <v>19.99</v>
      </c>
      <c r="G249" s="15" t="s">
        <v>675</v>
      </c>
    </row>
    <row r="250" ht="15.75" customHeight="1">
      <c r="A250" s="17" t="s">
        <v>921</v>
      </c>
      <c r="B250" s="17" t="s">
        <v>59</v>
      </c>
      <c r="C250" s="18">
        <v>45390.0</v>
      </c>
      <c r="D250" s="18">
        <v>45420.0</v>
      </c>
      <c r="E250" s="17" t="s">
        <v>684</v>
      </c>
      <c r="F250" s="20">
        <v>19.99</v>
      </c>
      <c r="G250" s="17" t="s">
        <v>675</v>
      </c>
    </row>
    <row r="251" ht="15.75" customHeight="1">
      <c r="A251" s="15" t="s">
        <v>922</v>
      </c>
      <c r="B251" s="15" t="s">
        <v>117</v>
      </c>
      <c r="C251" s="16">
        <v>45391.0</v>
      </c>
      <c r="D251" s="16">
        <v>45421.0</v>
      </c>
      <c r="E251" s="15" t="s">
        <v>684</v>
      </c>
      <c r="F251" s="19">
        <v>19.99</v>
      </c>
      <c r="G251" s="15" t="s">
        <v>675</v>
      </c>
    </row>
    <row r="252" ht="15.75" customHeight="1">
      <c r="A252" s="17" t="s">
        <v>923</v>
      </c>
      <c r="B252" s="17" t="s">
        <v>90</v>
      </c>
      <c r="C252" s="18">
        <v>45391.0</v>
      </c>
      <c r="D252" s="18">
        <v>45421.0</v>
      </c>
      <c r="E252" s="17" t="s">
        <v>684</v>
      </c>
      <c r="F252" s="20">
        <v>19.99</v>
      </c>
      <c r="G252" s="17" t="s">
        <v>675</v>
      </c>
    </row>
    <row r="253" ht="15.75" customHeight="1">
      <c r="A253" s="15" t="s">
        <v>924</v>
      </c>
      <c r="B253" s="15" t="s">
        <v>156</v>
      </c>
      <c r="C253" s="16">
        <v>45391.0</v>
      </c>
      <c r="D253" s="16">
        <v>45398.0</v>
      </c>
      <c r="E253" s="15" t="s">
        <v>674</v>
      </c>
      <c r="F253" s="19">
        <v>0.0</v>
      </c>
      <c r="G253" s="15" t="s">
        <v>675</v>
      </c>
    </row>
    <row r="254" ht="15.75" customHeight="1">
      <c r="A254" s="17" t="s">
        <v>925</v>
      </c>
      <c r="B254" s="17" t="s">
        <v>70</v>
      </c>
      <c r="C254" s="18">
        <v>45391.0</v>
      </c>
      <c r="D254" s="18">
        <v>45421.0</v>
      </c>
      <c r="E254" s="17" t="s">
        <v>684</v>
      </c>
      <c r="F254" s="20">
        <v>19.99</v>
      </c>
      <c r="G254" s="17" t="s">
        <v>675</v>
      </c>
    </row>
    <row r="255" ht="15.75" customHeight="1">
      <c r="A255" s="15" t="s">
        <v>926</v>
      </c>
      <c r="B255" s="15" t="s">
        <v>118</v>
      </c>
      <c r="C255" s="16">
        <v>45392.0</v>
      </c>
      <c r="D255" s="16">
        <v>45422.0</v>
      </c>
      <c r="E255" s="15" t="s">
        <v>684</v>
      </c>
      <c r="F255" s="19">
        <v>19.99</v>
      </c>
      <c r="G255" s="15" t="s">
        <v>675</v>
      </c>
    </row>
    <row r="256" ht="15.75" customHeight="1">
      <c r="A256" s="17" t="s">
        <v>927</v>
      </c>
      <c r="B256" s="17" t="s">
        <v>71</v>
      </c>
      <c r="C256" s="18">
        <v>45392.0</v>
      </c>
      <c r="D256" s="18">
        <v>45422.0</v>
      </c>
      <c r="E256" s="17" t="s">
        <v>684</v>
      </c>
      <c r="F256" s="20">
        <v>19.99</v>
      </c>
      <c r="G256" s="17" t="s">
        <v>675</v>
      </c>
    </row>
    <row r="257" ht="15.75" customHeight="1">
      <c r="A257" s="15" t="s">
        <v>928</v>
      </c>
      <c r="B257" s="15" t="s">
        <v>148</v>
      </c>
      <c r="C257" s="16">
        <v>45392.0</v>
      </c>
      <c r="D257" s="16">
        <v>45422.0</v>
      </c>
      <c r="E257" s="15" t="s">
        <v>684</v>
      </c>
      <c r="F257" s="19">
        <v>19.99</v>
      </c>
      <c r="G257" s="15" t="s">
        <v>675</v>
      </c>
    </row>
    <row r="258" ht="15.75" customHeight="1">
      <c r="A258" s="17" t="s">
        <v>929</v>
      </c>
      <c r="B258" s="17" t="s">
        <v>157</v>
      </c>
      <c r="C258" s="18">
        <v>45392.0</v>
      </c>
      <c r="D258" s="18">
        <v>45399.0</v>
      </c>
      <c r="E258" s="17" t="s">
        <v>674</v>
      </c>
      <c r="F258" s="20">
        <v>0.0</v>
      </c>
      <c r="G258" s="17" t="s">
        <v>675</v>
      </c>
    </row>
    <row r="259" ht="15.75" customHeight="1">
      <c r="A259" s="15" t="s">
        <v>930</v>
      </c>
      <c r="B259" s="15" t="s">
        <v>149</v>
      </c>
      <c r="C259" s="16">
        <v>45393.0</v>
      </c>
      <c r="D259" s="16">
        <v>45423.0</v>
      </c>
      <c r="E259" s="15" t="s">
        <v>684</v>
      </c>
      <c r="F259" s="19">
        <v>19.99</v>
      </c>
      <c r="G259" s="15" t="s">
        <v>675</v>
      </c>
    </row>
    <row r="260" ht="15.75" customHeight="1">
      <c r="A260" s="17" t="s">
        <v>931</v>
      </c>
      <c r="B260" s="17" t="s">
        <v>119</v>
      </c>
      <c r="C260" s="18">
        <v>45393.0</v>
      </c>
      <c r="D260" s="18">
        <v>45423.0</v>
      </c>
      <c r="E260" s="17" t="s">
        <v>684</v>
      </c>
      <c r="F260" s="20">
        <v>19.99</v>
      </c>
      <c r="G260" s="17" t="s">
        <v>675</v>
      </c>
    </row>
    <row r="261" ht="15.75" customHeight="1">
      <c r="A261" s="15" t="s">
        <v>932</v>
      </c>
      <c r="B261" s="15" t="s">
        <v>120</v>
      </c>
      <c r="C261" s="16">
        <v>45394.0</v>
      </c>
      <c r="D261" s="16">
        <v>45424.0</v>
      </c>
      <c r="E261" s="15" t="s">
        <v>684</v>
      </c>
      <c r="F261" s="19">
        <v>19.99</v>
      </c>
      <c r="G261" s="15" t="s">
        <v>675</v>
      </c>
    </row>
    <row r="262" ht="15.75" customHeight="1">
      <c r="A262" s="17" t="s">
        <v>933</v>
      </c>
      <c r="B262" s="17" t="s">
        <v>150</v>
      </c>
      <c r="C262" s="18">
        <v>45394.0</v>
      </c>
      <c r="D262" s="18">
        <v>45424.0</v>
      </c>
      <c r="E262" s="17" t="s">
        <v>684</v>
      </c>
      <c r="F262" s="20">
        <v>19.99</v>
      </c>
      <c r="G262" s="17" t="s">
        <v>675</v>
      </c>
    </row>
    <row r="263" ht="15.75" customHeight="1">
      <c r="A263" s="15" t="s">
        <v>934</v>
      </c>
      <c r="B263" s="15" t="s">
        <v>158</v>
      </c>
      <c r="C263" s="16">
        <v>45394.0</v>
      </c>
      <c r="D263" s="16">
        <v>45401.0</v>
      </c>
      <c r="E263" s="15" t="s">
        <v>674</v>
      </c>
      <c r="F263" s="19">
        <v>0.0</v>
      </c>
      <c r="G263" s="15" t="s">
        <v>675</v>
      </c>
    </row>
    <row r="264" ht="15.75" customHeight="1">
      <c r="A264" s="17" t="s">
        <v>935</v>
      </c>
      <c r="B264" s="17" t="s">
        <v>151</v>
      </c>
      <c r="C264" s="18">
        <v>45395.0</v>
      </c>
      <c r="D264" s="18">
        <v>45425.0</v>
      </c>
      <c r="E264" s="17" t="s">
        <v>684</v>
      </c>
      <c r="F264" s="20">
        <v>19.99</v>
      </c>
      <c r="G264" s="17" t="s">
        <v>675</v>
      </c>
    </row>
    <row r="265" ht="15.75" customHeight="1">
      <c r="A265" s="15" t="s">
        <v>936</v>
      </c>
      <c r="B265" s="15" t="s">
        <v>159</v>
      </c>
      <c r="C265" s="16">
        <v>45395.0</v>
      </c>
      <c r="D265" s="16">
        <v>45402.0</v>
      </c>
      <c r="E265" s="15" t="s">
        <v>674</v>
      </c>
      <c r="F265" s="19">
        <v>0.0</v>
      </c>
      <c r="G265" s="15" t="s">
        <v>675</v>
      </c>
    </row>
    <row r="266" ht="15.75" customHeight="1">
      <c r="A266" s="17" t="s">
        <v>937</v>
      </c>
      <c r="B266" s="17" t="s">
        <v>152</v>
      </c>
      <c r="C266" s="18">
        <v>45395.0</v>
      </c>
      <c r="D266" s="18">
        <v>45425.0</v>
      </c>
      <c r="E266" s="17" t="s">
        <v>684</v>
      </c>
      <c r="F266" s="20">
        <v>19.99</v>
      </c>
      <c r="G266" s="17" t="s">
        <v>675</v>
      </c>
    </row>
    <row r="267" ht="15.75" customHeight="1">
      <c r="A267" s="15" t="s">
        <v>938</v>
      </c>
      <c r="B267" s="15" t="s">
        <v>153</v>
      </c>
      <c r="C267" s="16">
        <v>45395.0</v>
      </c>
      <c r="D267" s="16">
        <v>45425.0</v>
      </c>
      <c r="E267" s="15" t="s">
        <v>684</v>
      </c>
      <c r="F267" s="19">
        <v>19.99</v>
      </c>
      <c r="G267" s="15" t="s">
        <v>675</v>
      </c>
    </row>
    <row r="268" ht="15.75" customHeight="1">
      <c r="A268" s="17" t="s">
        <v>939</v>
      </c>
      <c r="B268" s="17" t="s">
        <v>160</v>
      </c>
      <c r="C268" s="18">
        <v>45395.0</v>
      </c>
      <c r="D268" s="18">
        <v>45402.0</v>
      </c>
      <c r="E268" s="17" t="s">
        <v>674</v>
      </c>
      <c r="F268" s="20">
        <v>0.0</v>
      </c>
      <c r="G268" s="17" t="s">
        <v>675</v>
      </c>
    </row>
    <row r="269" ht="15.75" customHeight="1">
      <c r="A269" s="15" t="s">
        <v>940</v>
      </c>
      <c r="B269" s="15" t="s">
        <v>91</v>
      </c>
      <c r="C269" s="16">
        <v>45395.0</v>
      </c>
      <c r="D269" s="16">
        <v>45425.0</v>
      </c>
      <c r="E269" s="15" t="s">
        <v>684</v>
      </c>
      <c r="F269" s="19">
        <v>19.99</v>
      </c>
      <c r="G269" s="15" t="s">
        <v>675</v>
      </c>
    </row>
    <row r="270" ht="15.75" customHeight="1">
      <c r="A270" s="17" t="s">
        <v>941</v>
      </c>
      <c r="B270" s="17" t="s">
        <v>92</v>
      </c>
      <c r="C270" s="18">
        <v>45396.0</v>
      </c>
      <c r="D270" s="18">
        <v>45426.0</v>
      </c>
      <c r="E270" s="17" t="s">
        <v>684</v>
      </c>
      <c r="F270" s="20">
        <v>19.99</v>
      </c>
      <c r="G270" s="17" t="s">
        <v>675</v>
      </c>
    </row>
    <row r="271" ht="15.75" customHeight="1">
      <c r="A271" s="15" t="s">
        <v>942</v>
      </c>
      <c r="B271" s="15" t="s">
        <v>121</v>
      </c>
      <c r="C271" s="16">
        <v>45396.0</v>
      </c>
      <c r="D271" s="16">
        <v>45426.0</v>
      </c>
      <c r="E271" s="15" t="s">
        <v>684</v>
      </c>
      <c r="F271" s="19">
        <v>19.99</v>
      </c>
      <c r="G271" s="15" t="s">
        <v>675</v>
      </c>
    </row>
    <row r="272" ht="15.75" customHeight="1">
      <c r="A272" s="17" t="s">
        <v>943</v>
      </c>
      <c r="B272" s="17" t="s">
        <v>154</v>
      </c>
      <c r="C272" s="18">
        <v>45396.0</v>
      </c>
      <c r="D272" s="18">
        <v>45426.0</v>
      </c>
      <c r="E272" s="17" t="s">
        <v>684</v>
      </c>
      <c r="F272" s="20">
        <v>19.99</v>
      </c>
      <c r="G272" s="17" t="s">
        <v>675</v>
      </c>
    </row>
    <row r="273" ht="15.75" customHeight="1">
      <c r="A273" s="15" t="s">
        <v>944</v>
      </c>
      <c r="B273" s="15" t="s">
        <v>161</v>
      </c>
      <c r="C273" s="16">
        <v>45396.0</v>
      </c>
      <c r="D273" s="16">
        <v>45403.0</v>
      </c>
      <c r="E273" s="15" t="s">
        <v>674</v>
      </c>
      <c r="F273" s="19">
        <v>0.0</v>
      </c>
      <c r="G273" s="15" t="s">
        <v>675</v>
      </c>
    </row>
    <row r="274" ht="15.75" customHeight="1">
      <c r="A274" s="17" t="s">
        <v>945</v>
      </c>
      <c r="B274" s="17" t="s">
        <v>162</v>
      </c>
      <c r="C274" s="18">
        <v>45396.0</v>
      </c>
      <c r="D274" s="18">
        <v>45403.0</v>
      </c>
      <c r="E274" s="17" t="s">
        <v>674</v>
      </c>
      <c r="F274" s="20">
        <v>0.0</v>
      </c>
      <c r="G274" s="17" t="s">
        <v>675</v>
      </c>
    </row>
    <row r="275" ht="15.75" customHeight="1">
      <c r="A275" s="15" t="s">
        <v>946</v>
      </c>
      <c r="B275" s="15" t="s">
        <v>122</v>
      </c>
      <c r="C275" s="16">
        <v>45396.0</v>
      </c>
      <c r="D275" s="16">
        <v>45426.0</v>
      </c>
      <c r="E275" s="15" t="s">
        <v>684</v>
      </c>
      <c r="F275" s="19">
        <v>19.99</v>
      </c>
      <c r="G275" s="15" t="s">
        <v>675</v>
      </c>
    </row>
    <row r="276" ht="15.75" customHeight="1">
      <c r="A276" s="17" t="s">
        <v>947</v>
      </c>
      <c r="B276" s="17" t="s">
        <v>155</v>
      </c>
      <c r="C276" s="18">
        <v>45397.0</v>
      </c>
      <c r="D276" s="18">
        <v>45427.0</v>
      </c>
      <c r="E276" s="17" t="s">
        <v>684</v>
      </c>
      <c r="F276" s="20">
        <v>19.99</v>
      </c>
      <c r="G276" s="17" t="s">
        <v>675</v>
      </c>
    </row>
    <row r="277" ht="15.75" customHeight="1">
      <c r="A277" s="15" t="s">
        <v>948</v>
      </c>
      <c r="B277" s="15" t="s">
        <v>72</v>
      </c>
      <c r="C277" s="16">
        <v>45397.0</v>
      </c>
      <c r="D277" s="16">
        <v>45427.0</v>
      </c>
      <c r="E277" s="15" t="s">
        <v>684</v>
      </c>
      <c r="F277" s="19">
        <v>19.99</v>
      </c>
      <c r="G277" s="15" t="s">
        <v>675</v>
      </c>
    </row>
    <row r="278" ht="15.75" customHeight="1">
      <c r="A278" s="17" t="s">
        <v>949</v>
      </c>
      <c r="B278" s="17" t="s">
        <v>123</v>
      </c>
      <c r="C278" s="18">
        <v>45397.0</v>
      </c>
      <c r="D278" s="18">
        <v>45427.0</v>
      </c>
      <c r="E278" s="17" t="s">
        <v>684</v>
      </c>
      <c r="F278" s="20">
        <v>19.99</v>
      </c>
      <c r="G278" s="17" t="s">
        <v>675</v>
      </c>
    </row>
    <row r="279" ht="15.75" customHeight="1">
      <c r="A279" s="15" t="s">
        <v>950</v>
      </c>
      <c r="B279" s="15" t="s">
        <v>163</v>
      </c>
      <c r="C279" s="16">
        <v>45397.0</v>
      </c>
      <c r="D279" s="16">
        <v>45404.0</v>
      </c>
      <c r="E279" s="15" t="s">
        <v>674</v>
      </c>
      <c r="F279" s="19">
        <v>0.0</v>
      </c>
      <c r="G279" s="15" t="s">
        <v>675</v>
      </c>
    </row>
    <row r="280" ht="15.75" customHeight="1">
      <c r="A280" s="17" t="s">
        <v>951</v>
      </c>
      <c r="B280" s="17" t="s">
        <v>164</v>
      </c>
      <c r="C280" s="18">
        <v>45397.0</v>
      </c>
      <c r="D280" s="18">
        <v>45404.0</v>
      </c>
      <c r="E280" s="17" t="s">
        <v>674</v>
      </c>
      <c r="F280" s="20">
        <v>0.0</v>
      </c>
      <c r="G280" s="17" t="s">
        <v>675</v>
      </c>
    </row>
    <row r="281" ht="15.75" customHeight="1">
      <c r="A281" s="15" t="s">
        <v>952</v>
      </c>
      <c r="B281" s="15" t="s">
        <v>73</v>
      </c>
      <c r="C281" s="16">
        <v>45397.0</v>
      </c>
      <c r="D281" s="16">
        <v>45427.0</v>
      </c>
      <c r="E281" s="15" t="s">
        <v>684</v>
      </c>
      <c r="F281" s="19">
        <v>19.99</v>
      </c>
      <c r="G281" s="15" t="s">
        <v>675</v>
      </c>
    </row>
    <row r="282" ht="15.75" customHeight="1">
      <c r="A282" s="17" t="s">
        <v>953</v>
      </c>
      <c r="B282" s="17" t="s">
        <v>74</v>
      </c>
      <c r="C282" s="18">
        <v>45397.0</v>
      </c>
      <c r="D282" s="18">
        <v>45427.0</v>
      </c>
      <c r="E282" s="17" t="s">
        <v>684</v>
      </c>
      <c r="F282" s="20">
        <v>19.99</v>
      </c>
      <c r="G282" s="17" t="s">
        <v>675</v>
      </c>
    </row>
    <row r="283" ht="15.75" customHeight="1">
      <c r="A283" s="15" t="s">
        <v>954</v>
      </c>
      <c r="B283" s="15" t="s">
        <v>165</v>
      </c>
      <c r="C283" s="16">
        <v>45398.0</v>
      </c>
      <c r="D283" s="16">
        <v>45405.0</v>
      </c>
      <c r="E283" s="15" t="s">
        <v>674</v>
      </c>
      <c r="F283" s="19">
        <v>0.0</v>
      </c>
      <c r="G283" s="15" t="s">
        <v>675</v>
      </c>
    </row>
    <row r="284" ht="15.75" customHeight="1">
      <c r="A284" s="17" t="s">
        <v>955</v>
      </c>
      <c r="B284" s="17" t="s">
        <v>156</v>
      </c>
      <c r="C284" s="18">
        <v>45398.0</v>
      </c>
      <c r="D284" s="18">
        <v>45428.0</v>
      </c>
      <c r="E284" s="17" t="s">
        <v>684</v>
      </c>
      <c r="F284" s="20">
        <v>19.99</v>
      </c>
      <c r="G284" s="17" t="s">
        <v>675</v>
      </c>
    </row>
    <row r="285" ht="15.75" customHeight="1">
      <c r="A285" s="15" t="s">
        <v>956</v>
      </c>
      <c r="B285" s="15" t="s">
        <v>124</v>
      </c>
      <c r="C285" s="16">
        <v>45399.0</v>
      </c>
      <c r="D285" s="16">
        <v>45429.0</v>
      </c>
      <c r="E285" s="15" t="s">
        <v>684</v>
      </c>
      <c r="F285" s="19">
        <v>19.99</v>
      </c>
      <c r="G285" s="15" t="s">
        <v>675</v>
      </c>
    </row>
    <row r="286" ht="15.75" customHeight="1">
      <c r="A286" s="17" t="s">
        <v>957</v>
      </c>
      <c r="B286" s="17" t="s">
        <v>95</v>
      </c>
      <c r="C286" s="18">
        <v>45399.0</v>
      </c>
      <c r="D286" s="18">
        <v>45429.0</v>
      </c>
      <c r="E286" s="17" t="s">
        <v>684</v>
      </c>
      <c r="F286" s="20">
        <v>19.99</v>
      </c>
      <c r="G286" s="17" t="s">
        <v>675</v>
      </c>
    </row>
    <row r="287" ht="15.75" customHeight="1">
      <c r="A287" s="15" t="s">
        <v>958</v>
      </c>
      <c r="B287" s="15" t="s">
        <v>157</v>
      </c>
      <c r="C287" s="16">
        <v>45399.0</v>
      </c>
      <c r="D287" s="16">
        <v>45429.0</v>
      </c>
      <c r="E287" s="15" t="s">
        <v>684</v>
      </c>
      <c r="F287" s="19">
        <v>19.99</v>
      </c>
      <c r="G287" s="15" t="s">
        <v>675</v>
      </c>
    </row>
    <row r="288" ht="15.75" customHeight="1">
      <c r="A288" s="17" t="s">
        <v>959</v>
      </c>
      <c r="B288" s="17" t="s">
        <v>96</v>
      </c>
      <c r="C288" s="18">
        <v>45400.0</v>
      </c>
      <c r="D288" s="18">
        <v>45430.0</v>
      </c>
      <c r="E288" s="17" t="s">
        <v>684</v>
      </c>
      <c r="F288" s="20">
        <v>19.99</v>
      </c>
      <c r="G288" s="17" t="s">
        <v>675</v>
      </c>
    </row>
    <row r="289" ht="15.75" customHeight="1">
      <c r="A289" s="15" t="s">
        <v>960</v>
      </c>
      <c r="B289" s="15" t="s">
        <v>125</v>
      </c>
      <c r="C289" s="16">
        <v>45400.0</v>
      </c>
      <c r="D289" s="16">
        <v>45430.0</v>
      </c>
      <c r="E289" s="15" t="s">
        <v>684</v>
      </c>
      <c r="F289" s="19">
        <v>19.99</v>
      </c>
      <c r="G289" s="15" t="s">
        <v>675</v>
      </c>
    </row>
    <row r="290" ht="15.75" customHeight="1">
      <c r="A290" s="17" t="s">
        <v>961</v>
      </c>
      <c r="B290" s="17" t="s">
        <v>97</v>
      </c>
      <c r="C290" s="18">
        <v>45401.0</v>
      </c>
      <c r="D290" s="18">
        <v>45431.0</v>
      </c>
      <c r="E290" s="17" t="s">
        <v>684</v>
      </c>
      <c r="F290" s="20">
        <v>19.99</v>
      </c>
      <c r="G290" s="17" t="s">
        <v>675</v>
      </c>
    </row>
    <row r="291" ht="15.75" customHeight="1">
      <c r="A291" s="15" t="s">
        <v>962</v>
      </c>
      <c r="B291" s="15" t="s">
        <v>75</v>
      </c>
      <c r="C291" s="16">
        <v>45401.0</v>
      </c>
      <c r="D291" s="16">
        <v>45431.0</v>
      </c>
      <c r="E291" s="15" t="s">
        <v>684</v>
      </c>
      <c r="F291" s="19">
        <v>19.99</v>
      </c>
      <c r="G291" s="15" t="s">
        <v>675</v>
      </c>
    </row>
    <row r="292" ht="15.75" customHeight="1">
      <c r="A292" s="17" t="s">
        <v>963</v>
      </c>
      <c r="B292" s="17" t="s">
        <v>98</v>
      </c>
      <c r="C292" s="18">
        <v>45401.0</v>
      </c>
      <c r="D292" s="18">
        <v>45431.0</v>
      </c>
      <c r="E292" s="17" t="s">
        <v>684</v>
      </c>
      <c r="F292" s="20">
        <v>19.99</v>
      </c>
      <c r="G292" s="17" t="s">
        <v>675</v>
      </c>
    </row>
    <row r="293" ht="15.75" customHeight="1">
      <c r="A293" s="15" t="s">
        <v>964</v>
      </c>
      <c r="B293" s="15" t="s">
        <v>126</v>
      </c>
      <c r="C293" s="16">
        <v>45401.0</v>
      </c>
      <c r="D293" s="16">
        <v>45431.0</v>
      </c>
      <c r="E293" s="15" t="s">
        <v>684</v>
      </c>
      <c r="F293" s="19">
        <v>19.99</v>
      </c>
      <c r="G293" s="15" t="s">
        <v>675</v>
      </c>
    </row>
    <row r="294" ht="15.75" customHeight="1">
      <c r="A294" s="17" t="s">
        <v>965</v>
      </c>
      <c r="B294" s="17" t="s">
        <v>127</v>
      </c>
      <c r="C294" s="18">
        <v>45401.0</v>
      </c>
      <c r="D294" s="18">
        <v>45431.0</v>
      </c>
      <c r="E294" s="17" t="s">
        <v>684</v>
      </c>
      <c r="F294" s="20">
        <v>19.99</v>
      </c>
      <c r="G294" s="17" t="s">
        <v>675</v>
      </c>
    </row>
    <row r="295" ht="15.75" customHeight="1">
      <c r="A295" s="15" t="s">
        <v>966</v>
      </c>
      <c r="B295" s="15" t="s">
        <v>158</v>
      </c>
      <c r="C295" s="16">
        <v>45401.0</v>
      </c>
      <c r="D295" s="16">
        <v>45431.0</v>
      </c>
      <c r="E295" s="15" t="s">
        <v>684</v>
      </c>
      <c r="F295" s="19">
        <v>19.99</v>
      </c>
      <c r="G295" s="15" t="s">
        <v>675</v>
      </c>
    </row>
    <row r="296" ht="15.75" customHeight="1">
      <c r="A296" s="17" t="s">
        <v>967</v>
      </c>
      <c r="B296" s="17" t="s">
        <v>166</v>
      </c>
      <c r="C296" s="18">
        <v>45401.0</v>
      </c>
      <c r="D296" s="18">
        <v>45408.0</v>
      </c>
      <c r="E296" s="17" t="s">
        <v>674</v>
      </c>
      <c r="F296" s="20">
        <v>0.0</v>
      </c>
      <c r="G296" s="17" t="s">
        <v>675</v>
      </c>
    </row>
    <row r="297" ht="15.75" customHeight="1">
      <c r="A297" s="15" t="s">
        <v>968</v>
      </c>
      <c r="B297" s="15" t="s">
        <v>167</v>
      </c>
      <c r="C297" s="16">
        <v>45401.0</v>
      </c>
      <c r="D297" s="16">
        <v>45408.0</v>
      </c>
      <c r="E297" s="15" t="s">
        <v>674</v>
      </c>
      <c r="F297" s="19">
        <v>0.0</v>
      </c>
      <c r="G297" s="15" t="s">
        <v>675</v>
      </c>
    </row>
    <row r="298" ht="15.75" customHeight="1">
      <c r="A298" s="17" t="s">
        <v>969</v>
      </c>
      <c r="B298" s="17" t="s">
        <v>168</v>
      </c>
      <c r="C298" s="18">
        <v>45401.0</v>
      </c>
      <c r="D298" s="18">
        <v>45408.0</v>
      </c>
      <c r="E298" s="17" t="s">
        <v>674</v>
      </c>
      <c r="F298" s="20">
        <v>0.0</v>
      </c>
      <c r="G298" s="17" t="s">
        <v>675</v>
      </c>
    </row>
    <row r="299" ht="15.75" customHeight="1">
      <c r="A299" s="15" t="s">
        <v>970</v>
      </c>
      <c r="B299" s="15" t="s">
        <v>169</v>
      </c>
      <c r="C299" s="16">
        <v>45402.0</v>
      </c>
      <c r="D299" s="16">
        <v>45409.0</v>
      </c>
      <c r="E299" s="15" t="s">
        <v>674</v>
      </c>
      <c r="F299" s="19">
        <v>0.0</v>
      </c>
      <c r="G299" s="15" t="s">
        <v>675</v>
      </c>
    </row>
    <row r="300" ht="15.75" customHeight="1">
      <c r="A300" s="17" t="s">
        <v>971</v>
      </c>
      <c r="B300" s="17" t="s">
        <v>99</v>
      </c>
      <c r="C300" s="18">
        <v>45402.0</v>
      </c>
      <c r="D300" s="18">
        <v>45432.0</v>
      </c>
      <c r="E300" s="17" t="s">
        <v>684</v>
      </c>
      <c r="F300" s="20">
        <v>19.99</v>
      </c>
      <c r="G300" s="17" t="s">
        <v>675</v>
      </c>
    </row>
    <row r="301" ht="15.75" customHeight="1">
      <c r="A301" s="15" t="s">
        <v>972</v>
      </c>
      <c r="B301" s="15" t="s">
        <v>76</v>
      </c>
      <c r="C301" s="16">
        <v>45402.0</v>
      </c>
      <c r="D301" s="16">
        <v>45432.0</v>
      </c>
      <c r="E301" s="15" t="s">
        <v>684</v>
      </c>
      <c r="F301" s="19">
        <v>19.99</v>
      </c>
      <c r="G301" s="15" t="s">
        <v>675</v>
      </c>
    </row>
    <row r="302" ht="15.75" customHeight="1">
      <c r="A302" s="17" t="s">
        <v>973</v>
      </c>
      <c r="B302" s="17" t="s">
        <v>159</v>
      </c>
      <c r="C302" s="18">
        <v>45402.0</v>
      </c>
      <c r="D302" s="18">
        <v>45432.0</v>
      </c>
      <c r="E302" s="17" t="s">
        <v>684</v>
      </c>
      <c r="F302" s="20">
        <v>19.99</v>
      </c>
      <c r="G302" s="17" t="s">
        <v>675</v>
      </c>
    </row>
    <row r="303" ht="15.75" customHeight="1">
      <c r="A303" s="15" t="s">
        <v>974</v>
      </c>
      <c r="B303" s="15" t="s">
        <v>160</v>
      </c>
      <c r="C303" s="16">
        <v>45402.0</v>
      </c>
      <c r="D303" s="16">
        <v>45432.0</v>
      </c>
      <c r="E303" s="15" t="s">
        <v>684</v>
      </c>
      <c r="F303" s="19">
        <v>19.99</v>
      </c>
      <c r="G303" s="15" t="s">
        <v>675</v>
      </c>
    </row>
    <row r="304" ht="15.75" customHeight="1">
      <c r="A304" s="17" t="s">
        <v>975</v>
      </c>
      <c r="B304" s="17" t="s">
        <v>170</v>
      </c>
      <c r="C304" s="18">
        <v>45403.0</v>
      </c>
      <c r="D304" s="18">
        <v>45410.0</v>
      </c>
      <c r="E304" s="17" t="s">
        <v>674</v>
      </c>
      <c r="F304" s="20">
        <v>0.0</v>
      </c>
      <c r="G304" s="17" t="s">
        <v>675</v>
      </c>
    </row>
    <row r="305" ht="15.75" customHeight="1">
      <c r="A305" s="15" t="s">
        <v>976</v>
      </c>
      <c r="B305" s="15" t="s">
        <v>161</v>
      </c>
      <c r="C305" s="16">
        <v>45403.0</v>
      </c>
      <c r="D305" s="16">
        <v>45433.0</v>
      </c>
      <c r="E305" s="15" t="s">
        <v>684</v>
      </c>
      <c r="F305" s="19">
        <v>19.99</v>
      </c>
      <c r="G305" s="15" t="s">
        <v>675</v>
      </c>
    </row>
    <row r="306" ht="15.75" customHeight="1">
      <c r="A306" s="17" t="s">
        <v>977</v>
      </c>
      <c r="B306" s="17" t="s">
        <v>162</v>
      </c>
      <c r="C306" s="18">
        <v>45403.0</v>
      </c>
      <c r="D306" s="18">
        <v>45433.0</v>
      </c>
      <c r="E306" s="17" t="s">
        <v>684</v>
      </c>
      <c r="F306" s="20">
        <v>19.99</v>
      </c>
      <c r="G306" s="17" t="s">
        <v>675</v>
      </c>
    </row>
    <row r="307" ht="15.75" customHeight="1">
      <c r="A307" s="15" t="s">
        <v>978</v>
      </c>
      <c r="B307" s="15" t="s">
        <v>129</v>
      </c>
      <c r="C307" s="16">
        <v>45403.0</v>
      </c>
      <c r="D307" s="16">
        <v>45433.0</v>
      </c>
      <c r="E307" s="15" t="s">
        <v>684</v>
      </c>
      <c r="F307" s="19">
        <v>19.99</v>
      </c>
      <c r="G307" s="15" t="s">
        <v>675</v>
      </c>
    </row>
    <row r="308" ht="15.75" customHeight="1">
      <c r="A308" s="17" t="s">
        <v>979</v>
      </c>
      <c r="B308" s="17" t="s">
        <v>171</v>
      </c>
      <c r="C308" s="18">
        <v>45403.0</v>
      </c>
      <c r="D308" s="18">
        <v>45410.0</v>
      </c>
      <c r="E308" s="17" t="s">
        <v>674</v>
      </c>
      <c r="F308" s="20">
        <v>0.0</v>
      </c>
      <c r="G308" s="17" t="s">
        <v>675</v>
      </c>
    </row>
    <row r="309" ht="15.75" customHeight="1">
      <c r="A309" s="15" t="s">
        <v>980</v>
      </c>
      <c r="B309" s="15" t="s">
        <v>130</v>
      </c>
      <c r="C309" s="16">
        <v>45404.0</v>
      </c>
      <c r="D309" s="16">
        <v>45434.0</v>
      </c>
      <c r="E309" s="15" t="s">
        <v>684</v>
      </c>
      <c r="F309" s="19">
        <v>19.99</v>
      </c>
      <c r="G309" s="15" t="s">
        <v>675</v>
      </c>
    </row>
    <row r="310" ht="15.75" customHeight="1">
      <c r="A310" s="17" t="s">
        <v>981</v>
      </c>
      <c r="B310" s="17" t="s">
        <v>163</v>
      </c>
      <c r="C310" s="18">
        <v>45404.0</v>
      </c>
      <c r="D310" s="18">
        <v>45434.0</v>
      </c>
      <c r="E310" s="17" t="s">
        <v>684</v>
      </c>
      <c r="F310" s="20">
        <v>19.99</v>
      </c>
      <c r="G310" s="17" t="s">
        <v>675</v>
      </c>
    </row>
    <row r="311" ht="15.75" customHeight="1">
      <c r="A311" s="15" t="s">
        <v>982</v>
      </c>
      <c r="B311" s="15" t="s">
        <v>164</v>
      </c>
      <c r="C311" s="16">
        <v>45404.0</v>
      </c>
      <c r="D311" s="16">
        <v>45434.0</v>
      </c>
      <c r="E311" s="15" t="s">
        <v>684</v>
      </c>
      <c r="F311" s="19">
        <v>19.99</v>
      </c>
      <c r="G311" s="15" t="s">
        <v>675</v>
      </c>
    </row>
    <row r="312" ht="15.75" customHeight="1">
      <c r="A312" s="17" t="s">
        <v>983</v>
      </c>
      <c r="B312" s="17" t="s">
        <v>172</v>
      </c>
      <c r="C312" s="18">
        <v>45404.0</v>
      </c>
      <c r="D312" s="18">
        <v>45411.0</v>
      </c>
      <c r="E312" s="17" t="s">
        <v>674</v>
      </c>
      <c r="F312" s="20">
        <v>0.0</v>
      </c>
      <c r="G312" s="17" t="s">
        <v>675</v>
      </c>
    </row>
    <row r="313" ht="15.75" customHeight="1">
      <c r="A313" s="15" t="s">
        <v>984</v>
      </c>
      <c r="B313" s="15" t="s">
        <v>131</v>
      </c>
      <c r="C313" s="16">
        <v>45405.0</v>
      </c>
      <c r="D313" s="16">
        <v>45435.0</v>
      </c>
      <c r="E313" s="15" t="s">
        <v>684</v>
      </c>
      <c r="F313" s="19">
        <v>19.99</v>
      </c>
      <c r="G313" s="15" t="s">
        <v>675</v>
      </c>
    </row>
    <row r="314" ht="15.75" customHeight="1">
      <c r="A314" s="17" t="s">
        <v>985</v>
      </c>
      <c r="B314" s="17" t="s">
        <v>100</v>
      </c>
      <c r="C314" s="18">
        <v>45405.0</v>
      </c>
      <c r="D314" s="18">
        <v>45435.0</v>
      </c>
      <c r="E314" s="17" t="s">
        <v>684</v>
      </c>
      <c r="F314" s="20">
        <v>19.99</v>
      </c>
      <c r="G314" s="17" t="s">
        <v>675</v>
      </c>
    </row>
    <row r="315" ht="15.75" customHeight="1">
      <c r="A315" s="15" t="s">
        <v>986</v>
      </c>
      <c r="B315" s="15" t="s">
        <v>101</v>
      </c>
      <c r="C315" s="16">
        <v>45405.0</v>
      </c>
      <c r="D315" s="16">
        <v>45435.0</v>
      </c>
      <c r="E315" s="15" t="s">
        <v>684</v>
      </c>
      <c r="F315" s="19">
        <v>19.99</v>
      </c>
      <c r="G315" s="15" t="s">
        <v>675</v>
      </c>
    </row>
    <row r="316" ht="15.75" customHeight="1">
      <c r="A316" s="17" t="s">
        <v>987</v>
      </c>
      <c r="B316" s="17" t="s">
        <v>132</v>
      </c>
      <c r="C316" s="18">
        <v>45405.0</v>
      </c>
      <c r="D316" s="18">
        <v>45435.0</v>
      </c>
      <c r="E316" s="17" t="s">
        <v>684</v>
      </c>
      <c r="F316" s="20">
        <v>19.99</v>
      </c>
      <c r="G316" s="17" t="s">
        <v>675</v>
      </c>
    </row>
    <row r="317" ht="15.75" customHeight="1">
      <c r="A317" s="15" t="s">
        <v>988</v>
      </c>
      <c r="B317" s="15" t="s">
        <v>165</v>
      </c>
      <c r="C317" s="16">
        <v>45405.0</v>
      </c>
      <c r="D317" s="16">
        <v>45435.0</v>
      </c>
      <c r="E317" s="15" t="s">
        <v>684</v>
      </c>
      <c r="F317" s="19">
        <v>19.99</v>
      </c>
      <c r="G317" s="15" t="s">
        <v>675</v>
      </c>
    </row>
    <row r="318" ht="15.75" customHeight="1">
      <c r="A318" s="17" t="s">
        <v>989</v>
      </c>
      <c r="B318" s="17" t="s">
        <v>79</v>
      </c>
      <c r="C318" s="18">
        <v>45406.0</v>
      </c>
      <c r="D318" s="18">
        <v>45436.0</v>
      </c>
      <c r="E318" s="17" t="s">
        <v>684</v>
      </c>
      <c r="F318" s="20">
        <v>19.99</v>
      </c>
      <c r="G318" s="17" t="s">
        <v>675</v>
      </c>
    </row>
    <row r="319" ht="15.75" customHeight="1">
      <c r="A319" s="15" t="s">
        <v>990</v>
      </c>
      <c r="B319" s="15" t="s">
        <v>133</v>
      </c>
      <c r="C319" s="16">
        <v>45406.0</v>
      </c>
      <c r="D319" s="16">
        <v>45436.0</v>
      </c>
      <c r="E319" s="15" t="s">
        <v>684</v>
      </c>
      <c r="F319" s="19">
        <v>19.99</v>
      </c>
      <c r="G319" s="15" t="s">
        <v>675</v>
      </c>
    </row>
    <row r="320" ht="15.75" customHeight="1">
      <c r="A320" s="17" t="s">
        <v>991</v>
      </c>
      <c r="B320" s="17" t="s">
        <v>173</v>
      </c>
      <c r="C320" s="18">
        <v>45406.0</v>
      </c>
      <c r="D320" s="18">
        <v>45413.0</v>
      </c>
      <c r="E320" s="17" t="s">
        <v>674</v>
      </c>
      <c r="F320" s="20">
        <v>0.0</v>
      </c>
      <c r="G320" s="17" t="s">
        <v>675</v>
      </c>
    </row>
    <row r="321" ht="15.75" customHeight="1">
      <c r="A321" s="15" t="s">
        <v>992</v>
      </c>
      <c r="B321" s="15" t="s">
        <v>174</v>
      </c>
      <c r="C321" s="16">
        <v>45406.0</v>
      </c>
      <c r="D321" s="16">
        <v>45413.0</v>
      </c>
      <c r="E321" s="15" t="s">
        <v>674</v>
      </c>
      <c r="F321" s="19">
        <v>0.0</v>
      </c>
      <c r="G321" s="15" t="s">
        <v>675</v>
      </c>
    </row>
    <row r="322" ht="15.75" customHeight="1">
      <c r="A322" s="17" t="s">
        <v>993</v>
      </c>
      <c r="B322" s="17" t="s">
        <v>175</v>
      </c>
      <c r="C322" s="18">
        <v>45407.0</v>
      </c>
      <c r="D322" s="18">
        <v>45414.0</v>
      </c>
      <c r="E322" s="17" t="s">
        <v>674</v>
      </c>
      <c r="F322" s="20">
        <v>0.0</v>
      </c>
      <c r="G322" s="17" t="s">
        <v>675</v>
      </c>
    </row>
    <row r="323" ht="15.75" customHeight="1">
      <c r="A323" s="15" t="s">
        <v>994</v>
      </c>
      <c r="B323" s="15" t="s">
        <v>134</v>
      </c>
      <c r="C323" s="16">
        <v>45407.0</v>
      </c>
      <c r="D323" s="16">
        <v>45437.0</v>
      </c>
      <c r="E323" s="15" t="s">
        <v>684</v>
      </c>
      <c r="F323" s="19">
        <v>19.99</v>
      </c>
      <c r="G323" s="15" t="s">
        <v>675</v>
      </c>
    </row>
    <row r="324" ht="15.75" customHeight="1">
      <c r="A324" s="17" t="s">
        <v>995</v>
      </c>
      <c r="B324" s="17" t="s">
        <v>81</v>
      </c>
      <c r="C324" s="18">
        <v>45407.0</v>
      </c>
      <c r="D324" s="18">
        <v>45437.0</v>
      </c>
      <c r="E324" s="17" t="s">
        <v>684</v>
      </c>
      <c r="F324" s="20">
        <v>19.99</v>
      </c>
      <c r="G324" s="17" t="s">
        <v>675</v>
      </c>
    </row>
    <row r="325" ht="15.75" customHeight="1">
      <c r="A325" s="15" t="s">
        <v>996</v>
      </c>
      <c r="B325" s="15" t="s">
        <v>176</v>
      </c>
      <c r="C325" s="16">
        <v>45408.0</v>
      </c>
      <c r="D325" s="16">
        <v>45415.0</v>
      </c>
      <c r="E325" s="15" t="s">
        <v>674</v>
      </c>
      <c r="F325" s="19">
        <v>0.0</v>
      </c>
      <c r="G325" s="15" t="s">
        <v>675</v>
      </c>
    </row>
    <row r="326" ht="15.75" customHeight="1">
      <c r="A326" s="17" t="s">
        <v>997</v>
      </c>
      <c r="B326" s="17" t="s">
        <v>177</v>
      </c>
      <c r="C326" s="18">
        <v>45408.0</v>
      </c>
      <c r="D326" s="18">
        <v>45415.0</v>
      </c>
      <c r="E326" s="17" t="s">
        <v>674</v>
      </c>
      <c r="F326" s="20">
        <v>0.0</v>
      </c>
      <c r="G326" s="17" t="s">
        <v>675</v>
      </c>
    </row>
    <row r="327" ht="15.75" customHeight="1">
      <c r="A327" s="15" t="s">
        <v>998</v>
      </c>
      <c r="B327" s="15" t="s">
        <v>178</v>
      </c>
      <c r="C327" s="16">
        <v>45408.0</v>
      </c>
      <c r="D327" s="16">
        <v>45415.0</v>
      </c>
      <c r="E327" s="15" t="s">
        <v>674</v>
      </c>
      <c r="F327" s="19">
        <v>0.0</v>
      </c>
      <c r="G327" s="15" t="s">
        <v>675</v>
      </c>
    </row>
    <row r="328" ht="15.75" customHeight="1">
      <c r="A328" s="17" t="s">
        <v>999</v>
      </c>
      <c r="B328" s="17" t="s">
        <v>179</v>
      </c>
      <c r="C328" s="18">
        <v>45408.0</v>
      </c>
      <c r="D328" s="18">
        <v>45415.0</v>
      </c>
      <c r="E328" s="17" t="s">
        <v>674</v>
      </c>
      <c r="F328" s="20">
        <v>0.0</v>
      </c>
      <c r="G328" s="17" t="s">
        <v>675</v>
      </c>
    </row>
    <row r="329" ht="15.75" customHeight="1">
      <c r="A329" s="15" t="s">
        <v>1000</v>
      </c>
      <c r="B329" s="15" t="s">
        <v>102</v>
      </c>
      <c r="C329" s="16">
        <v>45408.0</v>
      </c>
      <c r="D329" s="16">
        <v>45438.0</v>
      </c>
      <c r="E329" s="15" t="s">
        <v>684</v>
      </c>
      <c r="F329" s="19">
        <v>19.99</v>
      </c>
      <c r="G329" s="15" t="s">
        <v>675</v>
      </c>
    </row>
    <row r="330" ht="15.75" customHeight="1">
      <c r="A330" s="17" t="s">
        <v>1001</v>
      </c>
      <c r="B330" s="17" t="s">
        <v>166</v>
      </c>
      <c r="C330" s="18">
        <v>45408.0</v>
      </c>
      <c r="D330" s="18">
        <v>45438.0</v>
      </c>
      <c r="E330" s="17" t="s">
        <v>684</v>
      </c>
      <c r="F330" s="20">
        <v>19.99</v>
      </c>
      <c r="G330" s="17" t="s">
        <v>675</v>
      </c>
    </row>
    <row r="331" ht="15.75" customHeight="1">
      <c r="A331" s="15" t="s">
        <v>1002</v>
      </c>
      <c r="B331" s="15" t="s">
        <v>167</v>
      </c>
      <c r="C331" s="16">
        <v>45408.0</v>
      </c>
      <c r="D331" s="16">
        <v>45438.0</v>
      </c>
      <c r="E331" s="15" t="s">
        <v>684</v>
      </c>
      <c r="F331" s="19">
        <v>19.99</v>
      </c>
      <c r="G331" s="15" t="s">
        <v>675</v>
      </c>
    </row>
    <row r="332" ht="15.75" customHeight="1">
      <c r="A332" s="17" t="s">
        <v>1003</v>
      </c>
      <c r="B332" s="17" t="s">
        <v>168</v>
      </c>
      <c r="C332" s="18">
        <v>45408.0</v>
      </c>
      <c r="D332" s="18">
        <v>45438.0</v>
      </c>
      <c r="E332" s="17" t="s">
        <v>684</v>
      </c>
      <c r="F332" s="20">
        <v>19.99</v>
      </c>
      <c r="G332" s="17" t="s">
        <v>675</v>
      </c>
    </row>
    <row r="333" ht="15.75" customHeight="1">
      <c r="A333" s="15" t="s">
        <v>1004</v>
      </c>
      <c r="B333" s="15" t="s">
        <v>169</v>
      </c>
      <c r="C333" s="16">
        <v>45409.0</v>
      </c>
      <c r="D333" s="16">
        <v>45439.0</v>
      </c>
      <c r="E333" s="15" t="s">
        <v>684</v>
      </c>
      <c r="F333" s="19">
        <v>19.99</v>
      </c>
      <c r="G333" s="15" t="s">
        <v>675</v>
      </c>
    </row>
    <row r="334" ht="15.75" customHeight="1">
      <c r="A334" s="17" t="s">
        <v>1005</v>
      </c>
      <c r="B334" s="17" t="s">
        <v>136</v>
      </c>
      <c r="C334" s="18">
        <v>45409.0</v>
      </c>
      <c r="D334" s="18">
        <v>45439.0</v>
      </c>
      <c r="E334" s="17" t="s">
        <v>684</v>
      </c>
      <c r="F334" s="20">
        <v>19.99</v>
      </c>
      <c r="G334" s="17" t="s">
        <v>675</v>
      </c>
    </row>
    <row r="335" ht="15.75" customHeight="1">
      <c r="A335" s="15" t="s">
        <v>1006</v>
      </c>
      <c r="B335" s="15" t="s">
        <v>82</v>
      </c>
      <c r="C335" s="16">
        <v>45409.0</v>
      </c>
      <c r="D335" s="16">
        <v>45439.0</v>
      </c>
      <c r="E335" s="15" t="s">
        <v>684</v>
      </c>
      <c r="F335" s="19">
        <v>19.99</v>
      </c>
      <c r="G335" s="15" t="s">
        <v>675</v>
      </c>
    </row>
    <row r="336" ht="15.75" customHeight="1">
      <c r="A336" s="17" t="s">
        <v>1007</v>
      </c>
      <c r="B336" s="17" t="s">
        <v>180</v>
      </c>
      <c r="C336" s="18">
        <v>45409.0</v>
      </c>
      <c r="D336" s="18">
        <v>45416.0</v>
      </c>
      <c r="E336" s="17" t="s">
        <v>674</v>
      </c>
      <c r="F336" s="20">
        <v>0.0</v>
      </c>
      <c r="G336" s="17" t="s">
        <v>675</v>
      </c>
    </row>
    <row r="337" ht="15.75" customHeight="1">
      <c r="A337" s="15" t="s">
        <v>1008</v>
      </c>
      <c r="B337" s="15" t="s">
        <v>137</v>
      </c>
      <c r="C337" s="16">
        <v>45409.0</v>
      </c>
      <c r="D337" s="16">
        <v>45439.0</v>
      </c>
      <c r="E337" s="15" t="s">
        <v>684</v>
      </c>
      <c r="F337" s="19">
        <v>19.99</v>
      </c>
      <c r="G337" s="15" t="s">
        <v>675</v>
      </c>
    </row>
    <row r="338" ht="15.75" customHeight="1">
      <c r="A338" s="17" t="s">
        <v>1009</v>
      </c>
      <c r="B338" s="17" t="s">
        <v>83</v>
      </c>
      <c r="C338" s="18">
        <v>45409.0</v>
      </c>
      <c r="D338" s="18">
        <v>45439.0</v>
      </c>
      <c r="E338" s="17" t="s">
        <v>684</v>
      </c>
      <c r="F338" s="20">
        <v>19.99</v>
      </c>
      <c r="G338" s="17" t="s">
        <v>675</v>
      </c>
    </row>
    <row r="339" ht="15.75" customHeight="1">
      <c r="A339" s="15" t="s">
        <v>1010</v>
      </c>
      <c r="B339" s="15" t="s">
        <v>138</v>
      </c>
      <c r="C339" s="16">
        <v>45409.0</v>
      </c>
      <c r="D339" s="16">
        <v>45439.0</v>
      </c>
      <c r="E339" s="15" t="s">
        <v>684</v>
      </c>
      <c r="F339" s="19">
        <v>19.99</v>
      </c>
      <c r="G339" s="15" t="s">
        <v>675</v>
      </c>
    </row>
    <row r="340" ht="15.75" customHeight="1">
      <c r="A340" s="17" t="s">
        <v>1011</v>
      </c>
      <c r="B340" s="17" t="s">
        <v>84</v>
      </c>
      <c r="C340" s="18">
        <v>45410.0</v>
      </c>
      <c r="D340" s="18">
        <v>45440.0</v>
      </c>
      <c r="E340" s="17" t="s">
        <v>684</v>
      </c>
      <c r="F340" s="20">
        <v>19.99</v>
      </c>
      <c r="G340" s="17" t="s">
        <v>675</v>
      </c>
    </row>
    <row r="341" ht="15.75" customHeight="1">
      <c r="A341" s="15" t="s">
        <v>1012</v>
      </c>
      <c r="B341" s="15" t="s">
        <v>181</v>
      </c>
      <c r="C341" s="16">
        <v>45410.0</v>
      </c>
      <c r="D341" s="16">
        <v>45417.0</v>
      </c>
      <c r="E341" s="15" t="s">
        <v>674</v>
      </c>
      <c r="F341" s="19">
        <v>0.0</v>
      </c>
      <c r="G341" s="15" t="s">
        <v>675</v>
      </c>
    </row>
    <row r="342" ht="15.75" customHeight="1">
      <c r="A342" s="17" t="s">
        <v>1013</v>
      </c>
      <c r="B342" s="17" t="s">
        <v>170</v>
      </c>
      <c r="C342" s="18">
        <v>45410.0</v>
      </c>
      <c r="D342" s="18">
        <v>45440.0</v>
      </c>
      <c r="E342" s="17" t="s">
        <v>684</v>
      </c>
      <c r="F342" s="20">
        <v>19.99</v>
      </c>
      <c r="G342" s="17" t="s">
        <v>675</v>
      </c>
    </row>
    <row r="343" ht="15.75" customHeight="1">
      <c r="A343" s="15" t="s">
        <v>1014</v>
      </c>
      <c r="B343" s="15" t="s">
        <v>139</v>
      </c>
      <c r="C343" s="16">
        <v>45410.0</v>
      </c>
      <c r="D343" s="16">
        <v>45440.0</v>
      </c>
      <c r="E343" s="15" t="s">
        <v>684</v>
      </c>
      <c r="F343" s="19">
        <v>19.99</v>
      </c>
      <c r="G343" s="15" t="s">
        <v>675</v>
      </c>
    </row>
    <row r="344" ht="15.75" customHeight="1">
      <c r="A344" s="17" t="s">
        <v>1015</v>
      </c>
      <c r="B344" s="17" t="s">
        <v>103</v>
      </c>
      <c r="C344" s="18">
        <v>45410.0</v>
      </c>
      <c r="D344" s="18">
        <v>45440.0</v>
      </c>
      <c r="E344" s="17" t="s">
        <v>684</v>
      </c>
      <c r="F344" s="20">
        <v>19.99</v>
      </c>
      <c r="G344" s="17" t="s">
        <v>675</v>
      </c>
    </row>
    <row r="345" ht="15.75" customHeight="1">
      <c r="A345" s="15" t="s">
        <v>1016</v>
      </c>
      <c r="B345" s="15" t="s">
        <v>140</v>
      </c>
      <c r="C345" s="16">
        <v>45410.0</v>
      </c>
      <c r="D345" s="16">
        <v>45440.0</v>
      </c>
      <c r="E345" s="15" t="s">
        <v>684</v>
      </c>
      <c r="F345" s="19">
        <v>19.99</v>
      </c>
      <c r="G345" s="15" t="s">
        <v>675</v>
      </c>
    </row>
    <row r="346" ht="15.75" customHeight="1">
      <c r="A346" s="17" t="s">
        <v>1017</v>
      </c>
      <c r="B346" s="17" t="s">
        <v>171</v>
      </c>
      <c r="C346" s="18">
        <v>45410.0</v>
      </c>
      <c r="D346" s="18">
        <v>45440.0</v>
      </c>
      <c r="E346" s="17" t="s">
        <v>684</v>
      </c>
      <c r="F346" s="20">
        <v>19.99</v>
      </c>
      <c r="G346" s="17" t="s">
        <v>675</v>
      </c>
    </row>
    <row r="347" ht="15.75" customHeight="1">
      <c r="A347" s="15" t="s">
        <v>1018</v>
      </c>
      <c r="B347" s="15" t="s">
        <v>172</v>
      </c>
      <c r="C347" s="16">
        <v>45411.0</v>
      </c>
      <c r="D347" s="16">
        <v>45441.0</v>
      </c>
      <c r="E347" s="15" t="s">
        <v>684</v>
      </c>
      <c r="F347" s="19">
        <v>19.99</v>
      </c>
      <c r="G347" s="15" t="s">
        <v>675</v>
      </c>
    </row>
    <row r="348" ht="15.75" customHeight="1">
      <c r="A348" s="17" t="s">
        <v>1019</v>
      </c>
      <c r="B348" s="17" t="s">
        <v>182</v>
      </c>
      <c r="C348" s="18">
        <v>45411.0</v>
      </c>
      <c r="D348" s="18">
        <v>45418.0</v>
      </c>
      <c r="E348" s="17" t="s">
        <v>674</v>
      </c>
      <c r="F348" s="20">
        <v>0.0</v>
      </c>
      <c r="G348" s="17" t="s">
        <v>675</v>
      </c>
    </row>
    <row r="349" ht="15.75" customHeight="1">
      <c r="A349" s="15" t="s">
        <v>1020</v>
      </c>
      <c r="B349" s="15" t="s">
        <v>183</v>
      </c>
      <c r="C349" s="16">
        <v>45412.0</v>
      </c>
      <c r="D349" s="16">
        <v>45419.0</v>
      </c>
      <c r="E349" s="15" t="s">
        <v>674</v>
      </c>
      <c r="F349" s="19">
        <v>0.0</v>
      </c>
      <c r="G349" s="15" t="s">
        <v>675</v>
      </c>
    </row>
    <row r="350" ht="15.75" customHeight="1">
      <c r="A350" s="17" t="s">
        <v>1021</v>
      </c>
      <c r="B350" s="17" t="s">
        <v>104</v>
      </c>
      <c r="C350" s="18">
        <v>45412.0</v>
      </c>
      <c r="D350" s="18">
        <v>45442.0</v>
      </c>
      <c r="E350" s="17" t="s">
        <v>684</v>
      </c>
      <c r="F350" s="20">
        <v>19.99</v>
      </c>
      <c r="G350" s="17" t="s">
        <v>675</v>
      </c>
    </row>
    <row r="351" ht="15.75" customHeight="1">
      <c r="A351" s="15" t="s">
        <v>1022</v>
      </c>
      <c r="B351" s="15" t="s">
        <v>85</v>
      </c>
      <c r="C351" s="16">
        <v>45413.0</v>
      </c>
      <c r="D351" s="16">
        <v>45443.0</v>
      </c>
      <c r="E351" s="15" t="s">
        <v>684</v>
      </c>
      <c r="F351" s="19">
        <v>19.99</v>
      </c>
      <c r="G351" s="15" t="s">
        <v>675</v>
      </c>
    </row>
    <row r="352" ht="15.75" customHeight="1">
      <c r="A352" s="17" t="s">
        <v>1023</v>
      </c>
      <c r="B352" s="17" t="s">
        <v>184</v>
      </c>
      <c r="C352" s="18">
        <v>45413.0</v>
      </c>
      <c r="D352" s="18">
        <v>45420.0</v>
      </c>
      <c r="E352" s="17" t="s">
        <v>674</v>
      </c>
      <c r="F352" s="20">
        <v>0.0</v>
      </c>
      <c r="G352" s="17" t="s">
        <v>675</v>
      </c>
    </row>
    <row r="353" ht="15.75" customHeight="1">
      <c r="A353" s="15" t="s">
        <v>1024</v>
      </c>
      <c r="B353" s="15" t="s">
        <v>142</v>
      </c>
      <c r="C353" s="16">
        <v>45413.0</v>
      </c>
      <c r="D353" s="16">
        <v>45443.0</v>
      </c>
      <c r="E353" s="15" t="s">
        <v>684</v>
      </c>
      <c r="F353" s="19">
        <v>19.99</v>
      </c>
      <c r="G353" s="15" t="s">
        <v>675</v>
      </c>
    </row>
    <row r="354" ht="15.75" customHeight="1">
      <c r="A354" s="17" t="s">
        <v>1025</v>
      </c>
      <c r="B354" s="17" t="s">
        <v>185</v>
      </c>
      <c r="C354" s="18">
        <v>45413.0</v>
      </c>
      <c r="D354" s="18">
        <v>45420.0</v>
      </c>
      <c r="E354" s="17" t="s">
        <v>674</v>
      </c>
      <c r="F354" s="20">
        <v>0.0</v>
      </c>
      <c r="G354" s="17" t="s">
        <v>675</v>
      </c>
    </row>
    <row r="355" ht="15.75" customHeight="1">
      <c r="A355" s="15" t="s">
        <v>1026</v>
      </c>
      <c r="B355" s="15" t="s">
        <v>173</v>
      </c>
      <c r="C355" s="16">
        <v>45413.0</v>
      </c>
      <c r="D355" s="16">
        <v>45443.0</v>
      </c>
      <c r="E355" s="15" t="s">
        <v>684</v>
      </c>
      <c r="F355" s="19">
        <v>19.99</v>
      </c>
      <c r="G355" s="15" t="s">
        <v>675</v>
      </c>
    </row>
    <row r="356" ht="15.75" customHeight="1">
      <c r="A356" s="17" t="s">
        <v>1027</v>
      </c>
      <c r="B356" s="17" t="s">
        <v>174</v>
      </c>
      <c r="C356" s="18">
        <v>45413.0</v>
      </c>
      <c r="D356" s="18">
        <v>45443.0</v>
      </c>
      <c r="E356" s="17" t="s">
        <v>684</v>
      </c>
      <c r="F356" s="20">
        <v>19.99</v>
      </c>
      <c r="G356" s="17" t="s">
        <v>675</v>
      </c>
    </row>
    <row r="357" ht="15.75" customHeight="1">
      <c r="A357" s="15" t="s">
        <v>1028</v>
      </c>
      <c r="B357" s="15" t="s">
        <v>175</v>
      </c>
      <c r="C357" s="16">
        <v>45414.0</v>
      </c>
      <c r="D357" s="16">
        <v>45444.0</v>
      </c>
      <c r="E357" s="15" t="s">
        <v>684</v>
      </c>
      <c r="F357" s="19">
        <v>19.99</v>
      </c>
      <c r="G357" s="15" t="s">
        <v>675</v>
      </c>
    </row>
    <row r="358" ht="15.75" customHeight="1">
      <c r="A358" s="17" t="s">
        <v>1029</v>
      </c>
      <c r="B358" s="17" t="s">
        <v>143</v>
      </c>
      <c r="C358" s="18">
        <v>45414.0</v>
      </c>
      <c r="D358" s="18">
        <v>45444.0</v>
      </c>
      <c r="E358" s="17" t="s">
        <v>684</v>
      </c>
      <c r="F358" s="20">
        <v>19.99</v>
      </c>
      <c r="G358" s="17" t="s">
        <v>675</v>
      </c>
    </row>
    <row r="359" ht="15.75" customHeight="1">
      <c r="A359" s="15" t="s">
        <v>1030</v>
      </c>
      <c r="B359" s="15" t="s">
        <v>105</v>
      </c>
      <c r="C359" s="16">
        <v>45414.0</v>
      </c>
      <c r="D359" s="16">
        <v>45444.0</v>
      </c>
      <c r="E359" s="15" t="s">
        <v>684</v>
      </c>
      <c r="F359" s="19">
        <v>19.99</v>
      </c>
      <c r="G359" s="15" t="s">
        <v>675</v>
      </c>
    </row>
    <row r="360" ht="15.75" customHeight="1">
      <c r="A360" s="17" t="s">
        <v>1031</v>
      </c>
      <c r="B360" s="17" t="s">
        <v>176</v>
      </c>
      <c r="C360" s="18">
        <v>45415.0</v>
      </c>
      <c r="D360" s="18">
        <v>45445.0</v>
      </c>
      <c r="E360" s="17" t="s">
        <v>684</v>
      </c>
      <c r="F360" s="20">
        <v>19.99</v>
      </c>
      <c r="G360" s="17" t="s">
        <v>675</v>
      </c>
    </row>
    <row r="361" ht="15.75" customHeight="1">
      <c r="A361" s="15" t="s">
        <v>1032</v>
      </c>
      <c r="B361" s="15" t="s">
        <v>186</v>
      </c>
      <c r="C361" s="16">
        <v>45415.0</v>
      </c>
      <c r="D361" s="16">
        <v>45422.0</v>
      </c>
      <c r="E361" s="15" t="s">
        <v>674</v>
      </c>
      <c r="F361" s="19">
        <v>0.0</v>
      </c>
      <c r="G361" s="15" t="s">
        <v>675</v>
      </c>
    </row>
    <row r="362" ht="15.75" customHeight="1">
      <c r="A362" s="17" t="s">
        <v>1033</v>
      </c>
      <c r="B362" s="17" t="s">
        <v>177</v>
      </c>
      <c r="C362" s="18">
        <v>45415.0</v>
      </c>
      <c r="D362" s="18">
        <v>45445.0</v>
      </c>
      <c r="E362" s="17" t="s">
        <v>684</v>
      </c>
      <c r="F362" s="20">
        <v>19.99</v>
      </c>
      <c r="G362" s="17" t="s">
        <v>675</v>
      </c>
    </row>
    <row r="363" ht="15.75" customHeight="1">
      <c r="A363" s="15" t="s">
        <v>1034</v>
      </c>
      <c r="B363" s="15" t="s">
        <v>106</v>
      </c>
      <c r="C363" s="16">
        <v>45415.0</v>
      </c>
      <c r="D363" s="16">
        <v>45445.0</v>
      </c>
      <c r="E363" s="15" t="s">
        <v>684</v>
      </c>
      <c r="F363" s="19">
        <v>19.99</v>
      </c>
      <c r="G363" s="15" t="s">
        <v>675</v>
      </c>
    </row>
    <row r="364" ht="15.75" customHeight="1">
      <c r="A364" s="17" t="s">
        <v>1035</v>
      </c>
      <c r="B364" s="17" t="s">
        <v>178</v>
      </c>
      <c r="C364" s="18">
        <v>45415.0</v>
      </c>
      <c r="D364" s="18">
        <v>45445.0</v>
      </c>
      <c r="E364" s="17" t="s">
        <v>684</v>
      </c>
      <c r="F364" s="20">
        <v>19.99</v>
      </c>
      <c r="G364" s="17" t="s">
        <v>675</v>
      </c>
    </row>
    <row r="365" ht="15.75" customHeight="1">
      <c r="A365" s="15" t="s">
        <v>1036</v>
      </c>
      <c r="B365" s="15" t="s">
        <v>179</v>
      </c>
      <c r="C365" s="16">
        <v>45415.0</v>
      </c>
      <c r="D365" s="16">
        <v>45445.0</v>
      </c>
      <c r="E365" s="15" t="s">
        <v>684</v>
      </c>
      <c r="F365" s="19">
        <v>19.99</v>
      </c>
      <c r="G365" s="15" t="s">
        <v>675</v>
      </c>
    </row>
    <row r="366" ht="15.75" customHeight="1">
      <c r="A366" s="17" t="s">
        <v>1037</v>
      </c>
      <c r="B366" s="17" t="s">
        <v>187</v>
      </c>
      <c r="C366" s="18">
        <v>45415.0</v>
      </c>
      <c r="D366" s="18">
        <v>45422.0</v>
      </c>
      <c r="E366" s="17" t="s">
        <v>674</v>
      </c>
      <c r="F366" s="20">
        <v>0.0</v>
      </c>
      <c r="G366" s="17" t="s">
        <v>675</v>
      </c>
    </row>
    <row r="367" ht="15.75" customHeight="1">
      <c r="A367" s="15" t="s">
        <v>1038</v>
      </c>
      <c r="B367" s="15" t="s">
        <v>108</v>
      </c>
      <c r="C367" s="16">
        <v>45416.0</v>
      </c>
      <c r="D367" s="16">
        <v>45446.0</v>
      </c>
      <c r="E367" s="15" t="s">
        <v>684</v>
      </c>
      <c r="F367" s="19">
        <v>19.99</v>
      </c>
      <c r="G367" s="15" t="s">
        <v>675</v>
      </c>
    </row>
    <row r="368" ht="15.75" customHeight="1">
      <c r="A368" s="17" t="s">
        <v>1039</v>
      </c>
      <c r="B368" s="17" t="s">
        <v>144</v>
      </c>
      <c r="C368" s="18">
        <v>45416.0</v>
      </c>
      <c r="D368" s="18">
        <v>45446.0</v>
      </c>
      <c r="E368" s="17" t="s">
        <v>684</v>
      </c>
      <c r="F368" s="20">
        <v>19.99</v>
      </c>
      <c r="G368" s="17" t="s">
        <v>675</v>
      </c>
    </row>
    <row r="369" ht="15.75" customHeight="1">
      <c r="A369" s="15" t="s">
        <v>1040</v>
      </c>
      <c r="B369" s="15" t="s">
        <v>180</v>
      </c>
      <c r="C369" s="16">
        <v>45416.0</v>
      </c>
      <c r="D369" s="16">
        <v>45446.0</v>
      </c>
      <c r="E369" s="15" t="s">
        <v>684</v>
      </c>
      <c r="F369" s="19">
        <v>19.99</v>
      </c>
      <c r="G369" s="15" t="s">
        <v>675</v>
      </c>
    </row>
    <row r="370" ht="15.75" customHeight="1">
      <c r="A370" s="17" t="s">
        <v>1041</v>
      </c>
      <c r="B370" s="17" t="s">
        <v>109</v>
      </c>
      <c r="C370" s="18">
        <v>45416.0</v>
      </c>
      <c r="D370" s="18">
        <v>45446.0</v>
      </c>
      <c r="E370" s="17" t="s">
        <v>684</v>
      </c>
      <c r="F370" s="20">
        <v>19.99</v>
      </c>
      <c r="G370" s="17" t="s">
        <v>675</v>
      </c>
    </row>
    <row r="371" ht="15.75" customHeight="1">
      <c r="A371" s="15" t="s">
        <v>1042</v>
      </c>
      <c r="B371" s="15" t="s">
        <v>110</v>
      </c>
      <c r="C371" s="16">
        <v>45416.0</v>
      </c>
      <c r="D371" s="16">
        <v>45446.0</v>
      </c>
      <c r="E371" s="15" t="s">
        <v>684</v>
      </c>
      <c r="F371" s="19">
        <v>19.99</v>
      </c>
      <c r="G371" s="15" t="s">
        <v>675</v>
      </c>
    </row>
    <row r="372" ht="15.75" customHeight="1">
      <c r="A372" s="17" t="s">
        <v>1043</v>
      </c>
      <c r="B372" s="17" t="s">
        <v>145</v>
      </c>
      <c r="C372" s="18">
        <v>45416.0</v>
      </c>
      <c r="D372" s="18">
        <v>45446.0</v>
      </c>
      <c r="E372" s="17" t="s">
        <v>684</v>
      </c>
      <c r="F372" s="20">
        <v>19.99</v>
      </c>
      <c r="G372" s="17" t="s">
        <v>675</v>
      </c>
    </row>
    <row r="373" ht="15.75" customHeight="1">
      <c r="A373" s="15" t="s">
        <v>1044</v>
      </c>
      <c r="B373" s="15" t="s">
        <v>111</v>
      </c>
      <c r="C373" s="16">
        <v>45416.0</v>
      </c>
      <c r="D373" s="16">
        <v>45446.0</v>
      </c>
      <c r="E373" s="15" t="s">
        <v>684</v>
      </c>
      <c r="F373" s="19">
        <v>19.99</v>
      </c>
      <c r="G373" s="15" t="s">
        <v>675</v>
      </c>
    </row>
    <row r="374" ht="15.75" customHeight="1">
      <c r="A374" s="17" t="s">
        <v>1045</v>
      </c>
      <c r="B374" s="17" t="s">
        <v>112</v>
      </c>
      <c r="C374" s="18">
        <v>45417.0</v>
      </c>
      <c r="D374" s="18">
        <v>45447.0</v>
      </c>
      <c r="E374" s="17" t="s">
        <v>684</v>
      </c>
      <c r="F374" s="20">
        <v>19.99</v>
      </c>
      <c r="G374" s="17" t="s">
        <v>675</v>
      </c>
    </row>
    <row r="375" ht="15.75" customHeight="1">
      <c r="A375" s="15" t="s">
        <v>1046</v>
      </c>
      <c r="B375" s="15" t="s">
        <v>181</v>
      </c>
      <c r="C375" s="16">
        <v>45417.0</v>
      </c>
      <c r="D375" s="16">
        <v>45447.0</v>
      </c>
      <c r="E375" s="15" t="s">
        <v>684</v>
      </c>
      <c r="F375" s="19">
        <v>19.99</v>
      </c>
      <c r="G375" s="15" t="s">
        <v>675</v>
      </c>
    </row>
    <row r="376" ht="15.75" customHeight="1">
      <c r="A376" s="17" t="s">
        <v>1047</v>
      </c>
      <c r="B376" s="17" t="s">
        <v>113</v>
      </c>
      <c r="C376" s="18">
        <v>45417.0</v>
      </c>
      <c r="D376" s="18">
        <v>45447.0</v>
      </c>
      <c r="E376" s="17" t="s">
        <v>684</v>
      </c>
      <c r="F376" s="20">
        <v>19.99</v>
      </c>
      <c r="G376" s="17" t="s">
        <v>675</v>
      </c>
    </row>
    <row r="377" ht="15.75" customHeight="1">
      <c r="A377" s="15" t="s">
        <v>1048</v>
      </c>
      <c r="B377" s="15" t="s">
        <v>88</v>
      </c>
      <c r="C377" s="16">
        <v>45417.0</v>
      </c>
      <c r="D377" s="16">
        <v>45447.0</v>
      </c>
      <c r="E377" s="15" t="s">
        <v>684</v>
      </c>
      <c r="F377" s="19">
        <v>19.99</v>
      </c>
      <c r="G377" s="15" t="s">
        <v>675</v>
      </c>
    </row>
    <row r="378" ht="15.75" customHeight="1">
      <c r="A378" s="17" t="s">
        <v>1049</v>
      </c>
      <c r="B378" s="17" t="s">
        <v>188</v>
      </c>
      <c r="C378" s="18">
        <v>45417.0</v>
      </c>
      <c r="D378" s="18">
        <v>45424.0</v>
      </c>
      <c r="E378" s="17" t="s">
        <v>674</v>
      </c>
      <c r="F378" s="20">
        <v>0.0</v>
      </c>
      <c r="G378" s="17" t="s">
        <v>675</v>
      </c>
    </row>
    <row r="379" ht="15.75" customHeight="1">
      <c r="A379" s="15" t="s">
        <v>1050</v>
      </c>
      <c r="B379" s="15" t="s">
        <v>115</v>
      </c>
      <c r="C379" s="16">
        <v>45418.0</v>
      </c>
      <c r="D379" s="16">
        <v>45448.0</v>
      </c>
      <c r="E379" s="15" t="s">
        <v>684</v>
      </c>
      <c r="F379" s="19">
        <v>19.99</v>
      </c>
      <c r="G379" s="15" t="s">
        <v>675</v>
      </c>
    </row>
    <row r="380" ht="15.75" customHeight="1">
      <c r="A380" s="17" t="s">
        <v>1051</v>
      </c>
      <c r="B380" s="17" t="s">
        <v>182</v>
      </c>
      <c r="C380" s="18">
        <v>45418.0</v>
      </c>
      <c r="D380" s="18">
        <v>45448.0</v>
      </c>
      <c r="E380" s="17" t="s">
        <v>684</v>
      </c>
      <c r="F380" s="20">
        <v>19.99</v>
      </c>
      <c r="G380" s="17" t="s">
        <v>675</v>
      </c>
    </row>
    <row r="381" ht="15.75" customHeight="1">
      <c r="A381" s="15" t="s">
        <v>1052</v>
      </c>
      <c r="B381" s="15" t="s">
        <v>189</v>
      </c>
      <c r="C381" s="16">
        <v>45418.0</v>
      </c>
      <c r="D381" s="16">
        <v>45425.0</v>
      </c>
      <c r="E381" s="15" t="s">
        <v>674</v>
      </c>
      <c r="F381" s="19">
        <v>0.0</v>
      </c>
      <c r="G381" s="15" t="s">
        <v>675</v>
      </c>
    </row>
    <row r="382" ht="15.75" customHeight="1">
      <c r="A382" s="17" t="s">
        <v>1053</v>
      </c>
      <c r="B382" s="17" t="s">
        <v>183</v>
      </c>
      <c r="C382" s="18">
        <v>45419.0</v>
      </c>
      <c r="D382" s="18">
        <v>45449.0</v>
      </c>
      <c r="E382" s="17" t="s">
        <v>684</v>
      </c>
      <c r="F382" s="20">
        <v>19.99</v>
      </c>
      <c r="G382" s="17" t="s">
        <v>675</v>
      </c>
    </row>
    <row r="383" ht="15.75" customHeight="1">
      <c r="A383" s="15" t="s">
        <v>1054</v>
      </c>
      <c r="B383" s="15" t="s">
        <v>146</v>
      </c>
      <c r="C383" s="16">
        <v>45419.0</v>
      </c>
      <c r="D383" s="16">
        <v>45449.0</v>
      </c>
      <c r="E383" s="15" t="s">
        <v>684</v>
      </c>
      <c r="F383" s="19">
        <v>19.99</v>
      </c>
      <c r="G383" s="15" t="s">
        <v>675</v>
      </c>
    </row>
    <row r="384" ht="15.75" customHeight="1">
      <c r="A384" s="17" t="s">
        <v>1055</v>
      </c>
      <c r="B384" s="17" t="s">
        <v>190</v>
      </c>
      <c r="C384" s="18">
        <v>45419.0</v>
      </c>
      <c r="D384" s="18">
        <v>45426.0</v>
      </c>
      <c r="E384" s="17" t="s">
        <v>674</v>
      </c>
      <c r="F384" s="20">
        <v>0.0</v>
      </c>
      <c r="G384" s="17" t="s">
        <v>675</v>
      </c>
    </row>
    <row r="385" ht="15.75" customHeight="1">
      <c r="A385" s="15" t="s">
        <v>1056</v>
      </c>
      <c r="B385" s="15" t="s">
        <v>56</v>
      </c>
      <c r="C385" s="16">
        <v>45419.0</v>
      </c>
      <c r="D385" s="16">
        <v>45449.0</v>
      </c>
      <c r="E385" s="15" t="s">
        <v>684</v>
      </c>
      <c r="F385" s="19">
        <v>19.99</v>
      </c>
      <c r="G385" s="15" t="s">
        <v>675</v>
      </c>
    </row>
    <row r="386" ht="15.75" customHeight="1">
      <c r="A386" s="17" t="s">
        <v>1057</v>
      </c>
      <c r="B386" s="17" t="s">
        <v>184</v>
      </c>
      <c r="C386" s="18">
        <v>45420.0</v>
      </c>
      <c r="D386" s="18">
        <v>45450.0</v>
      </c>
      <c r="E386" s="17" t="s">
        <v>684</v>
      </c>
      <c r="F386" s="20">
        <v>19.99</v>
      </c>
      <c r="G386" s="17" t="s">
        <v>675</v>
      </c>
    </row>
    <row r="387" ht="15.75" customHeight="1">
      <c r="A387" s="15" t="s">
        <v>1058</v>
      </c>
      <c r="B387" s="15" t="s">
        <v>89</v>
      </c>
      <c r="C387" s="16">
        <v>45420.0</v>
      </c>
      <c r="D387" s="16">
        <v>45450.0</v>
      </c>
      <c r="E387" s="15" t="s">
        <v>684</v>
      </c>
      <c r="F387" s="19">
        <v>19.99</v>
      </c>
      <c r="G387" s="15" t="s">
        <v>675</v>
      </c>
    </row>
    <row r="388" ht="15.75" customHeight="1">
      <c r="A388" s="17" t="s">
        <v>1059</v>
      </c>
      <c r="B388" s="17" t="s">
        <v>116</v>
      </c>
      <c r="C388" s="18">
        <v>45420.0</v>
      </c>
      <c r="D388" s="18">
        <v>45450.0</v>
      </c>
      <c r="E388" s="17" t="s">
        <v>684</v>
      </c>
      <c r="F388" s="20">
        <v>19.99</v>
      </c>
      <c r="G388" s="17" t="s">
        <v>675</v>
      </c>
    </row>
    <row r="389" ht="15.75" customHeight="1">
      <c r="A389" s="15" t="s">
        <v>1060</v>
      </c>
      <c r="B389" s="15" t="s">
        <v>191</v>
      </c>
      <c r="C389" s="16">
        <v>45420.0</v>
      </c>
      <c r="D389" s="16">
        <v>45427.0</v>
      </c>
      <c r="E389" s="15" t="s">
        <v>674</v>
      </c>
      <c r="F389" s="19">
        <v>0.0</v>
      </c>
      <c r="G389" s="15" t="s">
        <v>675</v>
      </c>
    </row>
    <row r="390" ht="15.75" customHeight="1">
      <c r="A390" s="17" t="s">
        <v>1061</v>
      </c>
      <c r="B390" s="17" t="s">
        <v>59</v>
      </c>
      <c r="C390" s="18">
        <v>45420.0</v>
      </c>
      <c r="D390" s="18">
        <v>45450.0</v>
      </c>
      <c r="E390" s="17" t="s">
        <v>684</v>
      </c>
      <c r="F390" s="20">
        <v>19.99</v>
      </c>
      <c r="G390" s="17" t="s">
        <v>675</v>
      </c>
    </row>
    <row r="391" ht="15.75" customHeight="1">
      <c r="A391" s="15" t="s">
        <v>1062</v>
      </c>
      <c r="B391" s="15" t="s">
        <v>185</v>
      </c>
      <c r="C391" s="16">
        <v>45420.0</v>
      </c>
      <c r="D391" s="16">
        <v>45450.0</v>
      </c>
      <c r="E391" s="15" t="s">
        <v>684</v>
      </c>
      <c r="F391" s="19">
        <v>19.99</v>
      </c>
      <c r="G391" s="15" t="s">
        <v>675</v>
      </c>
    </row>
    <row r="392" ht="15.75" customHeight="1">
      <c r="A392" s="17" t="s">
        <v>1063</v>
      </c>
      <c r="B392" s="17" t="s">
        <v>117</v>
      </c>
      <c r="C392" s="18">
        <v>45421.0</v>
      </c>
      <c r="D392" s="18">
        <v>45451.0</v>
      </c>
      <c r="E392" s="17" t="s">
        <v>684</v>
      </c>
      <c r="F392" s="20">
        <v>19.99</v>
      </c>
      <c r="G392" s="17" t="s">
        <v>675</v>
      </c>
    </row>
    <row r="393" ht="15.75" customHeight="1">
      <c r="A393" s="15" t="s">
        <v>1064</v>
      </c>
      <c r="B393" s="15" t="s">
        <v>90</v>
      </c>
      <c r="C393" s="16">
        <v>45421.0</v>
      </c>
      <c r="D393" s="16">
        <v>45451.0</v>
      </c>
      <c r="E393" s="15" t="s">
        <v>684</v>
      </c>
      <c r="F393" s="19">
        <v>19.99</v>
      </c>
      <c r="G393" s="15" t="s">
        <v>675</v>
      </c>
    </row>
    <row r="394" ht="15.75" customHeight="1">
      <c r="A394" s="17" t="s">
        <v>1065</v>
      </c>
      <c r="B394" s="17" t="s">
        <v>70</v>
      </c>
      <c r="C394" s="18">
        <v>45421.0</v>
      </c>
      <c r="D394" s="18">
        <v>45451.0</v>
      </c>
      <c r="E394" s="17" t="s">
        <v>684</v>
      </c>
      <c r="F394" s="20">
        <v>19.99</v>
      </c>
      <c r="G394" s="17" t="s">
        <v>675</v>
      </c>
    </row>
    <row r="395" ht="15.75" customHeight="1">
      <c r="A395" s="15" t="s">
        <v>1066</v>
      </c>
      <c r="B395" s="15" t="s">
        <v>118</v>
      </c>
      <c r="C395" s="16">
        <v>45422.0</v>
      </c>
      <c r="D395" s="16">
        <v>45452.0</v>
      </c>
      <c r="E395" s="15" t="s">
        <v>684</v>
      </c>
      <c r="F395" s="19">
        <v>19.99</v>
      </c>
      <c r="G395" s="15" t="s">
        <v>675</v>
      </c>
    </row>
    <row r="396" ht="15.75" customHeight="1">
      <c r="A396" s="17" t="s">
        <v>1067</v>
      </c>
      <c r="B396" s="17" t="s">
        <v>186</v>
      </c>
      <c r="C396" s="18">
        <v>45422.0</v>
      </c>
      <c r="D396" s="18">
        <v>45452.0</v>
      </c>
      <c r="E396" s="17" t="s">
        <v>684</v>
      </c>
      <c r="F396" s="20">
        <v>19.99</v>
      </c>
      <c r="G396" s="17" t="s">
        <v>675</v>
      </c>
    </row>
    <row r="397" ht="15.75" customHeight="1">
      <c r="A397" s="15" t="s">
        <v>1068</v>
      </c>
      <c r="B397" s="15" t="s">
        <v>192</v>
      </c>
      <c r="C397" s="16">
        <v>45422.0</v>
      </c>
      <c r="D397" s="16">
        <v>45429.0</v>
      </c>
      <c r="E397" s="15" t="s">
        <v>674</v>
      </c>
      <c r="F397" s="19">
        <v>0.0</v>
      </c>
      <c r="G397" s="15" t="s">
        <v>675</v>
      </c>
    </row>
    <row r="398" ht="15.75" customHeight="1">
      <c r="A398" s="17" t="s">
        <v>1069</v>
      </c>
      <c r="B398" s="17" t="s">
        <v>71</v>
      </c>
      <c r="C398" s="18">
        <v>45422.0</v>
      </c>
      <c r="D398" s="18">
        <v>45452.0</v>
      </c>
      <c r="E398" s="17" t="s">
        <v>684</v>
      </c>
      <c r="F398" s="20">
        <v>19.99</v>
      </c>
      <c r="G398" s="17" t="s">
        <v>675</v>
      </c>
    </row>
    <row r="399" ht="15.75" customHeight="1">
      <c r="A399" s="15" t="s">
        <v>1070</v>
      </c>
      <c r="B399" s="15" t="s">
        <v>148</v>
      </c>
      <c r="C399" s="16">
        <v>45422.0</v>
      </c>
      <c r="D399" s="16">
        <v>45452.0</v>
      </c>
      <c r="E399" s="15" t="s">
        <v>684</v>
      </c>
      <c r="F399" s="19">
        <v>19.99</v>
      </c>
      <c r="G399" s="15" t="s">
        <v>675</v>
      </c>
    </row>
    <row r="400" ht="15.75" customHeight="1">
      <c r="A400" s="17" t="s">
        <v>1071</v>
      </c>
      <c r="B400" s="17" t="s">
        <v>187</v>
      </c>
      <c r="C400" s="18">
        <v>45422.0</v>
      </c>
      <c r="D400" s="18">
        <v>45452.0</v>
      </c>
      <c r="E400" s="17" t="s">
        <v>684</v>
      </c>
      <c r="F400" s="20">
        <v>19.99</v>
      </c>
      <c r="G400" s="17" t="s">
        <v>675</v>
      </c>
    </row>
    <row r="401" ht="15.75" customHeight="1">
      <c r="A401" s="15" t="s">
        <v>1072</v>
      </c>
      <c r="B401" s="15" t="s">
        <v>193</v>
      </c>
      <c r="C401" s="16">
        <v>45422.0</v>
      </c>
      <c r="D401" s="16">
        <v>45429.0</v>
      </c>
      <c r="E401" s="15" t="s">
        <v>674</v>
      </c>
      <c r="F401" s="19">
        <v>0.0</v>
      </c>
      <c r="G401" s="15" t="s">
        <v>675</v>
      </c>
    </row>
    <row r="402" ht="15.75" customHeight="1">
      <c r="A402" s="17" t="s">
        <v>1073</v>
      </c>
      <c r="B402" s="17" t="s">
        <v>149</v>
      </c>
      <c r="C402" s="18">
        <v>45423.0</v>
      </c>
      <c r="D402" s="18">
        <v>45453.0</v>
      </c>
      <c r="E402" s="17" t="s">
        <v>684</v>
      </c>
      <c r="F402" s="20">
        <v>19.99</v>
      </c>
      <c r="G402" s="17" t="s">
        <v>675</v>
      </c>
    </row>
    <row r="403" ht="15.75" customHeight="1">
      <c r="A403" s="15" t="s">
        <v>1074</v>
      </c>
      <c r="B403" s="15" t="s">
        <v>119</v>
      </c>
      <c r="C403" s="16">
        <v>45423.0</v>
      </c>
      <c r="D403" s="16">
        <v>45453.0</v>
      </c>
      <c r="E403" s="15" t="s">
        <v>684</v>
      </c>
      <c r="F403" s="19">
        <v>19.99</v>
      </c>
      <c r="G403" s="15" t="s">
        <v>675</v>
      </c>
    </row>
    <row r="404" ht="15.75" customHeight="1">
      <c r="A404" s="17" t="s">
        <v>1075</v>
      </c>
      <c r="B404" s="17" t="s">
        <v>120</v>
      </c>
      <c r="C404" s="18">
        <v>45424.0</v>
      </c>
      <c r="D404" s="18">
        <v>45454.0</v>
      </c>
      <c r="E404" s="17" t="s">
        <v>684</v>
      </c>
      <c r="F404" s="20">
        <v>19.99</v>
      </c>
      <c r="G404" s="17" t="s">
        <v>675</v>
      </c>
    </row>
    <row r="405" ht="15.75" customHeight="1">
      <c r="A405" s="15" t="s">
        <v>1076</v>
      </c>
      <c r="B405" s="15" t="s">
        <v>150</v>
      </c>
      <c r="C405" s="16">
        <v>45424.0</v>
      </c>
      <c r="D405" s="16">
        <v>45454.0</v>
      </c>
      <c r="E405" s="15" t="s">
        <v>684</v>
      </c>
      <c r="F405" s="19">
        <v>19.99</v>
      </c>
      <c r="G405" s="15" t="s">
        <v>675</v>
      </c>
    </row>
    <row r="406" ht="15.75" customHeight="1">
      <c r="A406" s="17" t="s">
        <v>1077</v>
      </c>
      <c r="B406" s="17" t="s">
        <v>188</v>
      </c>
      <c r="C406" s="18">
        <v>45424.0</v>
      </c>
      <c r="D406" s="18">
        <v>45454.0</v>
      </c>
      <c r="E406" s="17" t="s">
        <v>684</v>
      </c>
      <c r="F406" s="20">
        <v>19.99</v>
      </c>
      <c r="G406" s="17" t="s">
        <v>675</v>
      </c>
    </row>
    <row r="407" ht="15.75" customHeight="1">
      <c r="A407" s="15" t="s">
        <v>1078</v>
      </c>
      <c r="B407" s="15" t="s">
        <v>194</v>
      </c>
      <c r="C407" s="16">
        <v>45425.0</v>
      </c>
      <c r="D407" s="16">
        <v>45432.0</v>
      </c>
      <c r="E407" s="15" t="s">
        <v>674</v>
      </c>
      <c r="F407" s="19">
        <v>0.0</v>
      </c>
      <c r="G407" s="15" t="s">
        <v>675</v>
      </c>
    </row>
    <row r="408" ht="15.75" customHeight="1">
      <c r="A408" s="17" t="s">
        <v>1079</v>
      </c>
      <c r="B408" s="17" t="s">
        <v>151</v>
      </c>
      <c r="C408" s="18">
        <v>45425.0</v>
      </c>
      <c r="D408" s="18">
        <v>45455.0</v>
      </c>
      <c r="E408" s="17" t="s">
        <v>684</v>
      </c>
      <c r="F408" s="20">
        <v>19.99</v>
      </c>
      <c r="G408" s="17" t="s">
        <v>675</v>
      </c>
    </row>
    <row r="409" ht="15.75" customHeight="1">
      <c r="A409" s="15" t="s">
        <v>1080</v>
      </c>
      <c r="B409" s="15" t="s">
        <v>195</v>
      </c>
      <c r="C409" s="16">
        <v>45425.0</v>
      </c>
      <c r="D409" s="16">
        <v>45432.0</v>
      </c>
      <c r="E409" s="15" t="s">
        <v>674</v>
      </c>
      <c r="F409" s="19">
        <v>0.0</v>
      </c>
      <c r="G409" s="15" t="s">
        <v>675</v>
      </c>
    </row>
    <row r="410" ht="15.75" customHeight="1">
      <c r="A410" s="17" t="s">
        <v>1081</v>
      </c>
      <c r="B410" s="17" t="s">
        <v>152</v>
      </c>
      <c r="C410" s="18">
        <v>45425.0</v>
      </c>
      <c r="D410" s="18">
        <v>45455.0</v>
      </c>
      <c r="E410" s="17" t="s">
        <v>684</v>
      </c>
      <c r="F410" s="20">
        <v>19.99</v>
      </c>
      <c r="G410" s="17" t="s">
        <v>675</v>
      </c>
    </row>
    <row r="411" ht="15.75" customHeight="1">
      <c r="A411" s="15" t="s">
        <v>1082</v>
      </c>
      <c r="B411" s="15" t="s">
        <v>153</v>
      </c>
      <c r="C411" s="16">
        <v>45425.0</v>
      </c>
      <c r="D411" s="16">
        <v>45455.0</v>
      </c>
      <c r="E411" s="15" t="s">
        <v>684</v>
      </c>
      <c r="F411" s="19">
        <v>19.99</v>
      </c>
      <c r="G411" s="15" t="s">
        <v>675</v>
      </c>
    </row>
    <row r="412" ht="15.75" customHeight="1">
      <c r="A412" s="17" t="s">
        <v>1083</v>
      </c>
      <c r="B412" s="17" t="s">
        <v>189</v>
      </c>
      <c r="C412" s="18">
        <v>45425.0</v>
      </c>
      <c r="D412" s="18">
        <v>45455.0</v>
      </c>
      <c r="E412" s="17" t="s">
        <v>684</v>
      </c>
      <c r="F412" s="20">
        <v>19.99</v>
      </c>
      <c r="G412" s="17" t="s">
        <v>675</v>
      </c>
    </row>
    <row r="413" ht="15.75" customHeight="1">
      <c r="A413" s="15" t="s">
        <v>1084</v>
      </c>
      <c r="B413" s="15" t="s">
        <v>91</v>
      </c>
      <c r="C413" s="16">
        <v>45425.0</v>
      </c>
      <c r="D413" s="16">
        <v>45455.0</v>
      </c>
      <c r="E413" s="15" t="s">
        <v>684</v>
      </c>
      <c r="F413" s="19">
        <v>19.99</v>
      </c>
      <c r="G413" s="15" t="s">
        <v>675</v>
      </c>
    </row>
    <row r="414" ht="15.75" customHeight="1">
      <c r="A414" s="17" t="s">
        <v>1085</v>
      </c>
      <c r="B414" s="17" t="s">
        <v>196</v>
      </c>
      <c r="C414" s="18">
        <v>45425.0</v>
      </c>
      <c r="D414" s="18">
        <v>45432.0</v>
      </c>
      <c r="E414" s="17" t="s">
        <v>674</v>
      </c>
      <c r="F414" s="20">
        <v>0.0</v>
      </c>
      <c r="G414" s="17" t="s">
        <v>675</v>
      </c>
    </row>
    <row r="415" ht="15.75" customHeight="1">
      <c r="A415" s="15" t="s">
        <v>1086</v>
      </c>
      <c r="B415" s="15" t="s">
        <v>92</v>
      </c>
      <c r="C415" s="16">
        <v>45426.0</v>
      </c>
      <c r="D415" s="16">
        <v>45456.0</v>
      </c>
      <c r="E415" s="15" t="s">
        <v>684</v>
      </c>
      <c r="F415" s="19">
        <v>19.99</v>
      </c>
      <c r="G415" s="15" t="s">
        <v>675</v>
      </c>
    </row>
    <row r="416" ht="15.75" customHeight="1">
      <c r="A416" s="17" t="s">
        <v>1087</v>
      </c>
      <c r="B416" s="17" t="s">
        <v>190</v>
      </c>
      <c r="C416" s="18">
        <v>45426.0</v>
      </c>
      <c r="D416" s="18">
        <v>45456.0</v>
      </c>
      <c r="E416" s="17" t="s">
        <v>684</v>
      </c>
      <c r="F416" s="20">
        <v>19.99</v>
      </c>
      <c r="G416" s="17" t="s">
        <v>675</v>
      </c>
    </row>
    <row r="417" ht="15.75" customHeight="1">
      <c r="A417" s="15" t="s">
        <v>1088</v>
      </c>
      <c r="B417" s="15" t="s">
        <v>121</v>
      </c>
      <c r="C417" s="16">
        <v>45426.0</v>
      </c>
      <c r="D417" s="16">
        <v>45456.0</v>
      </c>
      <c r="E417" s="15" t="s">
        <v>684</v>
      </c>
      <c r="F417" s="19">
        <v>19.99</v>
      </c>
      <c r="G417" s="15" t="s">
        <v>675</v>
      </c>
    </row>
    <row r="418" ht="15.75" customHeight="1">
      <c r="A418" s="17" t="s">
        <v>1089</v>
      </c>
      <c r="B418" s="17" t="s">
        <v>197</v>
      </c>
      <c r="C418" s="18">
        <v>45426.0</v>
      </c>
      <c r="D418" s="18">
        <v>45433.0</v>
      </c>
      <c r="E418" s="17" t="s">
        <v>674</v>
      </c>
      <c r="F418" s="20">
        <v>0.0</v>
      </c>
      <c r="G418" s="17" t="s">
        <v>675</v>
      </c>
    </row>
    <row r="419" ht="15.75" customHeight="1">
      <c r="A419" s="15" t="s">
        <v>1090</v>
      </c>
      <c r="B419" s="15" t="s">
        <v>154</v>
      </c>
      <c r="C419" s="16">
        <v>45426.0</v>
      </c>
      <c r="D419" s="16">
        <v>45456.0</v>
      </c>
      <c r="E419" s="15" t="s">
        <v>684</v>
      </c>
      <c r="F419" s="19">
        <v>19.99</v>
      </c>
      <c r="G419" s="15" t="s">
        <v>675</v>
      </c>
    </row>
    <row r="420" ht="15.75" customHeight="1">
      <c r="A420" s="17" t="s">
        <v>1091</v>
      </c>
      <c r="B420" s="17" t="s">
        <v>122</v>
      </c>
      <c r="C420" s="18">
        <v>45426.0</v>
      </c>
      <c r="D420" s="18">
        <v>45456.0</v>
      </c>
      <c r="E420" s="17" t="s">
        <v>684</v>
      </c>
      <c r="F420" s="20">
        <v>19.99</v>
      </c>
      <c r="G420" s="17" t="s">
        <v>675</v>
      </c>
    </row>
    <row r="421" ht="15.75" customHeight="1">
      <c r="A421" s="15" t="s">
        <v>1092</v>
      </c>
      <c r="B421" s="15" t="s">
        <v>155</v>
      </c>
      <c r="C421" s="16">
        <v>45427.0</v>
      </c>
      <c r="D421" s="16">
        <v>45457.0</v>
      </c>
      <c r="E421" s="15" t="s">
        <v>684</v>
      </c>
      <c r="F421" s="19">
        <v>19.99</v>
      </c>
      <c r="G421" s="15" t="s">
        <v>675</v>
      </c>
    </row>
    <row r="422" ht="15.75" customHeight="1">
      <c r="A422" s="17" t="s">
        <v>1093</v>
      </c>
      <c r="B422" s="17" t="s">
        <v>72</v>
      </c>
      <c r="C422" s="18">
        <v>45427.0</v>
      </c>
      <c r="D422" s="18">
        <v>45457.0</v>
      </c>
      <c r="E422" s="17" t="s">
        <v>684</v>
      </c>
      <c r="F422" s="20">
        <v>19.99</v>
      </c>
      <c r="G422" s="17" t="s">
        <v>675</v>
      </c>
    </row>
    <row r="423" ht="15.75" customHeight="1">
      <c r="A423" s="15" t="s">
        <v>1094</v>
      </c>
      <c r="B423" s="15" t="s">
        <v>123</v>
      </c>
      <c r="C423" s="16">
        <v>45427.0</v>
      </c>
      <c r="D423" s="16">
        <v>45457.0</v>
      </c>
      <c r="E423" s="15" t="s">
        <v>684</v>
      </c>
      <c r="F423" s="19">
        <v>19.99</v>
      </c>
      <c r="G423" s="15" t="s">
        <v>675</v>
      </c>
    </row>
    <row r="424" ht="15.75" customHeight="1">
      <c r="A424" s="17" t="s">
        <v>1095</v>
      </c>
      <c r="B424" s="17" t="s">
        <v>191</v>
      </c>
      <c r="C424" s="18">
        <v>45427.0</v>
      </c>
      <c r="D424" s="18">
        <v>45457.0</v>
      </c>
      <c r="E424" s="17" t="s">
        <v>684</v>
      </c>
      <c r="F424" s="20">
        <v>19.99</v>
      </c>
      <c r="G424" s="17" t="s">
        <v>675</v>
      </c>
    </row>
    <row r="425" ht="15.75" customHeight="1">
      <c r="A425" s="15" t="s">
        <v>1096</v>
      </c>
      <c r="B425" s="15" t="s">
        <v>73</v>
      </c>
      <c r="C425" s="16">
        <v>45427.0</v>
      </c>
      <c r="D425" s="16">
        <v>45457.0</v>
      </c>
      <c r="E425" s="15" t="s">
        <v>684</v>
      </c>
      <c r="F425" s="19">
        <v>19.99</v>
      </c>
      <c r="G425" s="15" t="s">
        <v>675</v>
      </c>
    </row>
    <row r="426" ht="15.75" customHeight="1">
      <c r="A426" s="17" t="s">
        <v>1097</v>
      </c>
      <c r="B426" s="17" t="s">
        <v>198</v>
      </c>
      <c r="C426" s="18">
        <v>45427.0</v>
      </c>
      <c r="D426" s="18">
        <v>45434.0</v>
      </c>
      <c r="E426" s="17" t="s">
        <v>674</v>
      </c>
      <c r="F426" s="20">
        <v>0.0</v>
      </c>
      <c r="G426" s="17" t="s">
        <v>675</v>
      </c>
    </row>
    <row r="427" ht="15.75" customHeight="1">
      <c r="A427" s="15" t="s">
        <v>1098</v>
      </c>
      <c r="B427" s="15" t="s">
        <v>74</v>
      </c>
      <c r="C427" s="16">
        <v>45427.0</v>
      </c>
      <c r="D427" s="16">
        <v>45457.0</v>
      </c>
      <c r="E427" s="15" t="s">
        <v>684</v>
      </c>
      <c r="F427" s="19">
        <v>19.99</v>
      </c>
      <c r="G427" s="15" t="s">
        <v>675</v>
      </c>
    </row>
    <row r="428" ht="15.75" customHeight="1">
      <c r="A428" s="17" t="s">
        <v>1099</v>
      </c>
      <c r="B428" s="17" t="s">
        <v>199</v>
      </c>
      <c r="C428" s="18">
        <v>45428.0</v>
      </c>
      <c r="D428" s="18">
        <v>45435.0</v>
      </c>
      <c r="E428" s="17" t="s">
        <v>674</v>
      </c>
      <c r="F428" s="20">
        <v>0.0</v>
      </c>
      <c r="G428" s="17" t="s">
        <v>675</v>
      </c>
    </row>
    <row r="429" ht="15.75" customHeight="1">
      <c r="A429" s="15" t="s">
        <v>1100</v>
      </c>
      <c r="B429" s="15" t="s">
        <v>200</v>
      </c>
      <c r="C429" s="16">
        <v>45428.0</v>
      </c>
      <c r="D429" s="16">
        <v>45435.0</v>
      </c>
      <c r="E429" s="15" t="s">
        <v>674</v>
      </c>
      <c r="F429" s="19">
        <v>0.0</v>
      </c>
      <c r="G429" s="15" t="s">
        <v>675</v>
      </c>
    </row>
    <row r="430" ht="15.75" customHeight="1">
      <c r="A430" s="17" t="s">
        <v>1101</v>
      </c>
      <c r="B430" s="17" t="s">
        <v>156</v>
      </c>
      <c r="C430" s="18">
        <v>45428.0</v>
      </c>
      <c r="D430" s="18">
        <v>45458.0</v>
      </c>
      <c r="E430" s="17" t="s">
        <v>684</v>
      </c>
      <c r="F430" s="20">
        <v>19.99</v>
      </c>
      <c r="G430" s="17" t="s">
        <v>675</v>
      </c>
    </row>
    <row r="431" ht="15.75" customHeight="1">
      <c r="A431" s="15" t="s">
        <v>1102</v>
      </c>
      <c r="B431" s="15" t="s">
        <v>201</v>
      </c>
      <c r="C431" s="16">
        <v>45429.0</v>
      </c>
      <c r="D431" s="16">
        <v>45436.0</v>
      </c>
      <c r="E431" s="15" t="s">
        <v>674</v>
      </c>
      <c r="F431" s="19">
        <v>0.0</v>
      </c>
      <c r="G431" s="15" t="s">
        <v>675</v>
      </c>
    </row>
    <row r="432" ht="15.75" customHeight="1">
      <c r="A432" s="17" t="s">
        <v>1103</v>
      </c>
      <c r="B432" s="17" t="s">
        <v>192</v>
      </c>
      <c r="C432" s="18">
        <v>45429.0</v>
      </c>
      <c r="D432" s="18">
        <v>45459.0</v>
      </c>
      <c r="E432" s="17" t="s">
        <v>684</v>
      </c>
      <c r="F432" s="20">
        <v>19.99</v>
      </c>
      <c r="G432" s="17" t="s">
        <v>675</v>
      </c>
    </row>
    <row r="433" ht="15.75" customHeight="1">
      <c r="A433" s="15" t="s">
        <v>1104</v>
      </c>
      <c r="B433" s="15" t="s">
        <v>202</v>
      </c>
      <c r="C433" s="16">
        <v>45429.0</v>
      </c>
      <c r="D433" s="16">
        <v>45436.0</v>
      </c>
      <c r="E433" s="15" t="s">
        <v>674</v>
      </c>
      <c r="F433" s="19">
        <v>0.0</v>
      </c>
      <c r="G433" s="15" t="s">
        <v>675</v>
      </c>
    </row>
    <row r="434" ht="15.75" customHeight="1">
      <c r="A434" s="17" t="s">
        <v>1105</v>
      </c>
      <c r="B434" s="17" t="s">
        <v>124</v>
      </c>
      <c r="C434" s="18">
        <v>45429.0</v>
      </c>
      <c r="D434" s="18">
        <v>45459.0</v>
      </c>
      <c r="E434" s="17" t="s">
        <v>684</v>
      </c>
      <c r="F434" s="20">
        <v>19.99</v>
      </c>
      <c r="G434" s="17" t="s">
        <v>675</v>
      </c>
    </row>
    <row r="435" ht="15.75" customHeight="1">
      <c r="A435" s="15" t="s">
        <v>1106</v>
      </c>
      <c r="B435" s="15" t="s">
        <v>193</v>
      </c>
      <c r="C435" s="16">
        <v>45429.0</v>
      </c>
      <c r="D435" s="16">
        <v>45459.0</v>
      </c>
      <c r="E435" s="15" t="s">
        <v>684</v>
      </c>
      <c r="F435" s="19">
        <v>19.99</v>
      </c>
      <c r="G435" s="15" t="s">
        <v>675</v>
      </c>
    </row>
    <row r="436" ht="15.75" customHeight="1">
      <c r="A436" s="17" t="s">
        <v>1107</v>
      </c>
      <c r="B436" s="17" t="s">
        <v>95</v>
      </c>
      <c r="C436" s="18">
        <v>45429.0</v>
      </c>
      <c r="D436" s="18">
        <v>45459.0</v>
      </c>
      <c r="E436" s="17" t="s">
        <v>684</v>
      </c>
      <c r="F436" s="20">
        <v>19.99</v>
      </c>
      <c r="G436" s="17" t="s">
        <v>675</v>
      </c>
    </row>
    <row r="437" ht="15.75" customHeight="1">
      <c r="A437" s="15" t="s">
        <v>1108</v>
      </c>
      <c r="B437" s="15" t="s">
        <v>157</v>
      </c>
      <c r="C437" s="16">
        <v>45429.0</v>
      </c>
      <c r="D437" s="16">
        <v>45459.0</v>
      </c>
      <c r="E437" s="15" t="s">
        <v>684</v>
      </c>
      <c r="F437" s="19">
        <v>19.99</v>
      </c>
      <c r="G437" s="15" t="s">
        <v>675</v>
      </c>
    </row>
    <row r="438" ht="15.75" customHeight="1">
      <c r="A438" s="17" t="s">
        <v>1109</v>
      </c>
      <c r="B438" s="17" t="s">
        <v>203</v>
      </c>
      <c r="C438" s="18">
        <v>45430.0</v>
      </c>
      <c r="D438" s="18">
        <v>45437.0</v>
      </c>
      <c r="E438" s="17" t="s">
        <v>674</v>
      </c>
      <c r="F438" s="20">
        <v>0.0</v>
      </c>
      <c r="G438" s="17" t="s">
        <v>675</v>
      </c>
    </row>
    <row r="439" ht="15.75" customHeight="1">
      <c r="A439" s="15" t="s">
        <v>1110</v>
      </c>
      <c r="B439" s="15" t="s">
        <v>96</v>
      </c>
      <c r="C439" s="16">
        <v>45430.0</v>
      </c>
      <c r="D439" s="16">
        <v>45460.0</v>
      </c>
      <c r="E439" s="15" t="s">
        <v>684</v>
      </c>
      <c r="F439" s="19">
        <v>19.99</v>
      </c>
      <c r="G439" s="15" t="s">
        <v>675</v>
      </c>
    </row>
    <row r="440" ht="15.75" customHeight="1">
      <c r="A440" s="17" t="s">
        <v>1111</v>
      </c>
      <c r="B440" s="17" t="s">
        <v>125</v>
      </c>
      <c r="C440" s="18">
        <v>45430.0</v>
      </c>
      <c r="D440" s="18">
        <v>45460.0</v>
      </c>
      <c r="E440" s="17" t="s">
        <v>684</v>
      </c>
      <c r="F440" s="20">
        <v>19.99</v>
      </c>
      <c r="G440" s="17" t="s">
        <v>675</v>
      </c>
    </row>
    <row r="441" ht="15.75" customHeight="1">
      <c r="A441" s="15" t="s">
        <v>1112</v>
      </c>
      <c r="B441" s="15" t="s">
        <v>204</v>
      </c>
      <c r="C441" s="16">
        <v>45430.0</v>
      </c>
      <c r="D441" s="16">
        <v>45437.0</v>
      </c>
      <c r="E441" s="15" t="s">
        <v>674</v>
      </c>
      <c r="F441" s="19">
        <v>0.0</v>
      </c>
      <c r="G441" s="15" t="s">
        <v>675</v>
      </c>
    </row>
    <row r="442" ht="15.75" customHeight="1">
      <c r="A442" s="17" t="s">
        <v>1113</v>
      </c>
      <c r="B442" s="17" t="s">
        <v>205</v>
      </c>
      <c r="C442" s="18">
        <v>45430.0</v>
      </c>
      <c r="D442" s="18">
        <v>45437.0</v>
      </c>
      <c r="E442" s="17" t="s">
        <v>674</v>
      </c>
      <c r="F442" s="20">
        <v>0.0</v>
      </c>
      <c r="G442" s="17" t="s">
        <v>675</v>
      </c>
    </row>
    <row r="443" ht="15.75" customHeight="1">
      <c r="A443" s="15" t="s">
        <v>1114</v>
      </c>
      <c r="B443" s="15" t="s">
        <v>206</v>
      </c>
      <c r="C443" s="16">
        <v>45430.0</v>
      </c>
      <c r="D443" s="16">
        <v>45437.0</v>
      </c>
      <c r="E443" s="15" t="s">
        <v>674</v>
      </c>
      <c r="F443" s="19">
        <v>0.0</v>
      </c>
      <c r="G443" s="15" t="s">
        <v>675</v>
      </c>
    </row>
    <row r="444" ht="15.75" customHeight="1">
      <c r="A444" s="17" t="s">
        <v>1115</v>
      </c>
      <c r="B444" s="17" t="s">
        <v>75</v>
      </c>
      <c r="C444" s="18">
        <v>45431.0</v>
      </c>
      <c r="D444" s="18">
        <v>45461.0</v>
      </c>
      <c r="E444" s="17" t="s">
        <v>684</v>
      </c>
      <c r="F444" s="20">
        <v>19.99</v>
      </c>
      <c r="G444" s="17" t="s">
        <v>675</v>
      </c>
    </row>
    <row r="445" ht="15.75" customHeight="1">
      <c r="A445" s="15" t="s">
        <v>1116</v>
      </c>
      <c r="B445" s="15" t="s">
        <v>126</v>
      </c>
      <c r="C445" s="16">
        <v>45431.0</v>
      </c>
      <c r="D445" s="16">
        <v>45461.0</v>
      </c>
      <c r="E445" s="15" t="s">
        <v>684</v>
      </c>
      <c r="F445" s="19">
        <v>19.99</v>
      </c>
      <c r="G445" s="15" t="s">
        <v>675</v>
      </c>
    </row>
    <row r="446" ht="15.75" customHeight="1">
      <c r="A446" s="17" t="s">
        <v>1117</v>
      </c>
      <c r="B446" s="17" t="s">
        <v>127</v>
      </c>
      <c r="C446" s="18">
        <v>45431.0</v>
      </c>
      <c r="D446" s="18">
        <v>45461.0</v>
      </c>
      <c r="E446" s="17" t="s">
        <v>684</v>
      </c>
      <c r="F446" s="20">
        <v>19.99</v>
      </c>
      <c r="G446" s="17" t="s">
        <v>675</v>
      </c>
    </row>
    <row r="447" ht="15.75" customHeight="1">
      <c r="A447" s="15" t="s">
        <v>1118</v>
      </c>
      <c r="B447" s="15" t="s">
        <v>158</v>
      </c>
      <c r="C447" s="16">
        <v>45431.0</v>
      </c>
      <c r="D447" s="16">
        <v>45461.0</v>
      </c>
      <c r="E447" s="15" t="s">
        <v>684</v>
      </c>
      <c r="F447" s="19">
        <v>19.99</v>
      </c>
      <c r="G447" s="15" t="s">
        <v>675</v>
      </c>
    </row>
    <row r="448" ht="15.75" customHeight="1">
      <c r="A448" s="17" t="s">
        <v>1119</v>
      </c>
      <c r="B448" s="17" t="s">
        <v>207</v>
      </c>
      <c r="C448" s="18">
        <v>45431.0</v>
      </c>
      <c r="D448" s="18">
        <v>45438.0</v>
      </c>
      <c r="E448" s="17" t="s">
        <v>674</v>
      </c>
      <c r="F448" s="20">
        <v>0.0</v>
      </c>
      <c r="G448" s="17" t="s">
        <v>675</v>
      </c>
    </row>
    <row r="449" ht="15.75" customHeight="1">
      <c r="A449" s="15" t="s">
        <v>1120</v>
      </c>
      <c r="B449" s="15" t="s">
        <v>208</v>
      </c>
      <c r="C449" s="16">
        <v>45431.0</v>
      </c>
      <c r="D449" s="16">
        <v>45438.0</v>
      </c>
      <c r="E449" s="15" t="s">
        <v>674</v>
      </c>
      <c r="F449" s="19">
        <v>0.0</v>
      </c>
      <c r="G449" s="15" t="s">
        <v>675</v>
      </c>
    </row>
    <row r="450" ht="15.75" customHeight="1">
      <c r="A450" s="17" t="s">
        <v>1121</v>
      </c>
      <c r="B450" s="17" t="s">
        <v>194</v>
      </c>
      <c r="C450" s="18">
        <v>45432.0</v>
      </c>
      <c r="D450" s="18">
        <v>45462.0</v>
      </c>
      <c r="E450" s="17" t="s">
        <v>684</v>
      </c>
      <c r="F450" s="20">
        <v>19.99</v>
      </c>
      <c r="G450" s="17" t="s">
        <v>675</v>
      </c>
    </row>
    <row r="451" ht="15.75" customHeight="1">
      <c r="A451" s="15" t="s">
        <v>1122</v>
      </c>
      <c r="B451" s="15" t="s">
        <v>99</v>
      </c>
      <c r="C451" s="16">
        <v>45432.0</v>
      </c>
      <c r="D451" s="16">
        <v>45462.0</v>
      </c>
      <c r="E451" s="15" t="s">
        <v>684</v>
      </c>
      <c r="F451" s="19">
        <v>19.99</v>
      </c>
      <c r="G451" s="15" t="s">
        <v>675</v>
      </c>
    </row>
    <row r="452" ht="15.75" customHeight="1">
      <c r="A452" s="17" t="s">
        <v>1123</v>
      </c>
      <c r="B452" s="17" t="s">
        <v>76</v>
      </c>
      <c r="C452" s="18">
        <v>45432.0</v>
      </c>
      <c r="D452" s="18">
        <v>45462.0</v>
      </c>
      <c r="E452" s="17" t="s">
        <v>684</v>
      </c>
      <c r="F452" s="20">
        <v>19.99</v>
      </c>
      <c r="G452" s="17" t="s">
        <v>675</v>
      </c>
    </row>
    <row r="453" ht="15.75" customHeight="1">
      <c r="A453" s="15" t="s">
        <v>1124</v>
      </c>
      <c r="B453" s="15" t="s">
        <v>195</v>
      </c>
      <c r="C453" s="16">
        <v>45432.0</v>
      </c>
      <c r="D453" s="16">
        <v>45462.0</v>
      </c>
      <c r="E453" s="15" t="s">
        <v>684</v>
      </c>
      <c r="F453" s="19">
        <v>19.99</v>
      </c>
      <c r="G453" s="15" t="s">
        <v>675</v>
      </c>
    </row>
    <row r="454" ht="15.75" customHeight="1">
      <c r="A454" s="17" t="s">
        <v>1125</v>
      </c>
      <c r="B454" s="17" t="s">
        <v>159</v>
      </c>
      <c r="C454" s="18">
        <v>45432.0</v>
      </c>
      <c r="D454" s="18">
        <v>45462.0</v>
      </c>
      <c r="E454" s="17" t="s">
        <v>684</v>
      </c>
      <c r="F454" s="20">
        <v>19.99</v>
      </c>
      <c r="G454" s="17" t="s">
        <v>675</v>
      </c>
    </row>
    <row r="455" ht="15.75" customHeight="1">
      <c r="A455" s="15" t="s">
        <v>1126</v>
      </c>
      <c r="B455" s="15" t="s">
        <v>160</v>
      </c>
      <c r="C455" s="16">
        <v>45432.0</v>
      </c>
      <c r="D455" s="16">
        <v>45462.0</v>
      </c>
      <c r="E455" s="15" t="s">
        <v>684</v>
      </c>
      <c r="F455" s="19">
        <v>19.99</v>
      </c>
      <c r="G455" s="15" t="s">
        <v>675</v>
      </c>
    </row>
    <row r="456" ht="15.75" customHeight="1">
      <c r="A456" s="17" t="s">
        <v>1127</v>
      </c>
      <c r="B456" s="17" t="s">
        <v>196</v>
      </c>
      <c r="C456" s="18">
        <v>45432.0</v>
      </c>
      <c r="D456" s="18">
        <v>45462.0</v>
      </c>
      <c r="E456" s="17" t="s">
        <v>684</v>
      </c>
      <c r="F456" s="20">
        <v>19.99</v>
      </c>
      <c r="G456" s="17" t="s">
        <v>675</v>
      </c>
    </row>
    <row r="457" ht="15.75" customHeight="1">
      <c r="A457" s="15" t="s">
        <v>1128</v>
      </c>
      <c r="B457" s="15" t="s">
        <v>197</v>
      </c>
      <c r="C457" s="16">
        <v>45433.0</v>
      </c>
      <c r="D457" s="16">
        <v>45463.0</v>
      </c>
      <c r="E457" s="15" t="s">
        <v>684</v>
      </c>
      <c r="F457" s="19">
        <v>19.99</v>
      </c>
      <c r="G457" s="15" t="s">
        <v>675</v>
      </c>
    </row>
    <row r="458" ht="15.75" customHeight="1">
      <c r="A458" s="17" t="s">
        <v>1129</v>
      </c>
      <c r="B458" s="17" t="s">
        <v>162</v>
      </c>
      <c r="C458" s="18">
        <v>45433.0</v>
      </c>
      <c r="D458" s="18">
        <v>45463.0</v>
      </c>
      <c r="E458" s="17" t="s">
        <v>684</v>
      </c>
      <c r="F458" s="20">
        <v>19.99</v>
      </c>
      <c r="G458" s="17" t="s">
        <v>675</v>
      </c>
    </row>
    <row r="459" ht="15.75" customHeight="1">
      <c r="A459" s="15" t="s">
        <v>1130</v>
      </c>
      <c r="B459" s="15" t="s">
        <v>129</v>
      </c>
      <c r="C459" s="16">
        <v>45433.0</v>
      </c>
      <c r="D459" s="16">
        <v>45463.0</v>
      </c>
      <c r="E459" s="15" t="s">
        <v>684</v>
      </c>
      <c r="F459" s="19">
        <v>19.99</v>
      </c>
      <c r="G459" s="15" t="s">
        <v>675</v>
      </c>
    </row>
    <row r="460" ht="15.75" customHeight="1">
      <c r="A460" s="17" t="s">
        <v>1131</v>
      </c>
      <c r="B460" s="17" t="s">
        <v>209</v>
      </c>
      <c r="C460" s="18">
        <v>45434.0</v>
      </c>
      <c r="D460" s="18">
        <v>45441.0</v>
      </c>
      <c r="E460" s="17" t="s">
        <v>674</v>
      </c>
      <c r="F460" s="20">
        <v>0.0</v>
      </c>
      <c r="G460" s="17" t="s">
        <v>675</v>
      </c>
    </row>
    <row r="461" ht="15.75" customHeight="1">
      <c r="A461" s="15" t="s">
        <v>1132</v>
      </c>
      <c r="B461" s="15" t="s">
        <v>130</v>
      </c>
      <c r="C461" s="16">
        <v>45434.0</v>
      </c>
      <c r="D461" s="16">
        <v>45464.0</v>
      </c>
      <c r="E461" s="15" t="s">
        <v>684</v>
      </c>
      <c r="F461" s="19">
        <v>19.99</v>
      </c>
      <c r="G461" s="15" t="s">
        <v>675</v>
      </c>
    </row>
    <row r="462" ht="15.75" customHeight="1">
      <c r="A462" s="17" t="s">
        <v>1133</v>
      </c>
      <c r="B462" s="17" t="s">
        <v>163</v>
      </c>
      <c r="C462" s="18">
        <v>45434.0</v>
      </c>
      <c r="D462" s="18">
        <v>45464.0</v>
      </c>
      <c r="E462" s="17" t="s">
        <v>684</v>
      </c>
      <c r="F462" s="20">
        <v>19.99</v>
      </c>
      <c r="G462" s="17" t="s">
        <v>675</v>
      </c>
    </row>
    <row r="463" ht="15.75" customHeight="1">
      <c r="A463" s="15" t="s">
        <v>1134</v>
      </c>
      <c r="B463" s="15" t="s">
        <v>164</v>
      </c>
      <c r="C463" s="16">
        <v>45434.0</v>
      </c>
      <c r="D463" s="16">
        <v>45464.0</v>
      </c>
      <c r="E463" s="15" t="s">
        <v>684</v>
      </c>
      <c r="F463" s="19">
        <v>19.99</v>
      </c>
      <c r="G463" s="15" t="s">
        <v>675</v>
      </c>
    </row>
    <row r="464" ht="15.75" customHeight="1">
      <c r="A464" s="17" t="s">
        <v>1135</v>
      </c>
      <c r="B464" s="17" t="s">
        <v>198</v>
      </c>
      <c r="C464" s="18">
        <v>45434.0</v>
      </c>
      <c r="D464" s="18">
        <v>45464.0</v>
      </c>
      <c r="E464" s="17" t="s">
        <v>684</v>
      </c>
      <c r="F464" s="20">
        <v>19.99</v>
      </c>
      <c r="G464" s="17" t="s">
        <v>675</v>
      </c>
    </row>
    <row r="465" ht="15.75" customHeight="1">
      <c r="A465" s="15" t="s">
        <v>1136</v>
      </c>
      <c r="B465" s="15" t="s">
        <v>210</v>
      </c>
      <c r="C465" s="16">
        <v>45434.0</v>
      </c>
      <c r="D465" s="16">
        <v>45441.0</v>
      </c>
      <c r="E465" s="15" t="s">
        <v>674</v>
      </c>
      <c r="F465" s="19">
        <v>0.0</v>
      </c>
      <c r="G465" s="15" t="s">
        <v>675</v>
      </c>
    </row>
    <row r="466" ht="15.75" customHeight="1">
      <c r="A466" s="17" t="s">
        <v>1137</v>
      </c>
      <c r="B466" s="17" t="s">
        <v>131</v>
      </c>
      <c r="C466" s="18">
        <v>45435.0</v>
      </c>
      <c r="D466" s="18">
        <v>45465.0</v>
      </c>
      <c r="E466" s="17" t="s">
        <v>684</v>
      </c>
      <c r="F466" s="20">
        <v>19.99</v>
      </c>
      <c r="G466" s="17" t="s">
        <v>675</v>
      </c>
    </row>
    <row r="467" ht="15.75" customHeight="1">
      <c r="A467" s="15" t="s">
        <v>1138</v>
      </c>
      <c r="B467" s="15" t="s">
        <v>211</v>
      </c>
      <c r="C467" s="16">
        <v>45435.0</v>
      </c>
      <c r="D467" s="16">
        <v>45442.0</v>
      </c>
      <c r="E467" s="15" t="s">
        <v>674</v>
      </c>
      <c r="F467" s="19">
        <v>0.0</v>
      </c>
      <c r="G467" s="15" t="s">
        <v>675</v>
      </c>
    </row>
    <row r="468" ht="15.75" customHeight="1">
      <c r="A468" s="17" t="s">
        <v>1139</v>
      </c>
      <c r="B468" s="17" t="s">
        <v>100</v>
      </c>
      <c r="C468" s="18">
        <v>45435.0</v>
      </c>
      <c r="D468" s="18">
        <v>45465.0</v>
      </c>
      <c r="E468" s="17" t="s">
        <v>684</v>
      </c>
      <c r="F468" s="20">
        <v>19.99</v>
      </c>
      <c r="G468" s="17" t="s">
        <v>675</v>
      </c>
    </row>
    <row r="469" ht="15.75" customHeight="1">
      <c r="A469" s="15" t="s">
        <v>1140</v>
      </c>
      <c r="B469" s="15" t="s">
        <v>101</v>
      </c>
      <c r="C469" s="16">
        <v>45435.0</v>
      </c>
      <c r="D469" s="16">
        <v>45465.0</v>
      </c>
      <c r="E469" s="15" t="s">
        <v>684</v>
      </c>
      <c r="F469" s="19">
        <v>19.99</v>
      </c>
      <c r="G469" s="15" t="s">
        <v>675</v>
      </c>
    </row>
    <row r="470" ht="15.75" customHeight="1">
      <c r="A470" s="17" t="s">
        <v>1141</v>
      </c>
      <c r="B470" s="17" t="s">
        <v>199</v>
      </c>
      <c r="C470" s="18">
        <v>45435.0</v>
      </c>
      <c r="D470" s="18">
        <v>45465.0</v>
      </c>
      <c r="E470" s="17" t="s">
        <v>684</v>
      </c>
      <c r="F470" s="20">
        <v>19.99</v>
      </c>
      <c r="G470" s="17" t="s">
        <v>675</v>
      </c>
    </row>
    <row r="471" ht="15.75" customHeight="1">
      <c r="A471" s="15" t="s">
        <v>1142</v>
      </c>
      <c r="B471" s="15" t="s">
        <v>132</v>
      </c>
      <c r="C471" s="16">
        <v>45435.0</v>
      </c>
      <c r="D471" s="16">
        <v>45465.0</v>
      </c>
      <c r="E471" s="15" t="s">
        <v>684</v>
      </c>
      <c r="F471" s="19">
        <v>19.99</v>
      </c>
      <c r="G471" s="15" t="s">
        <v>675</v>
      </c>
    </row>
    <row r="472" ht="15.75" customHeight="1">
      <c r="A472" s="17" t="s">
        <v>1143</v>
      </c>
      <c r="B472" s="17" t="s">
        <v>165</v>
      </c>
      <c r="C472" s="18">
        <v>45435.0</v>
      </c>
      <c r="D472" s="18">
        <v>45465.0</v>
      </c>
      <c r="E472" s="17" t="s">
        <v>684</v>
      </c>
      <c r="F472" s="20">
        <v>19.99</v>
      </c>
      <c r="G472" s="17" t="s">
        <v>675</v>
      </c>
    </row>
    <row r="473" ht="15.75" customHeight="1">
      <c r="A473" s="15" t="s">
        <v>1144</v>
      </c>
      <c r="B473" s="15" t="s">
        <v>200</v>
      </c>
      <c r="C473" s="16">
        <v>45435.0</v>
      </c>
      <c r="D473" s="16">
        <v>45465.0</v>
      </c>
      <c r="E473" s="15" t="s">
        <v>684</v>
      </c>
      <c r="F473" s="19">
        <v>19.99</v>
      </c>
      <c r="G473" s="15" t="s">
        <v>675</v>
      </c>
    </row>
    <row r="474" ht="15.75" customHeight="1">
      <c r="A474" s="17" t="s">
        <v>1145</v>
      </c>
      <c r="B474" s="17" t="s">
        <v>79</v>
      </c>
      <c r="C474" s="18">
        <v>45436.0</v>
      </c>
      <c r="D474" s="18">
        <v>45466.0</v>
      </c>
      <c r="E474" s="17" t="s">
        <v>684</v>
      </c>
      <c r="F474" s="20">
        <v>19.99</v>
      </c>
      <c r="G474" s="17" t="s">
        <v>675</v>
      </c>
    </row>
    <row r="475" ht="15.75" customHeight="1">
      <c r="A475" s="15" t="s">
        <v>1146</v>
      </c>
      <c r="B475" s="15" t="s">
        <v>201</v>
      </c>
      <c r="C475" s="16">
        <v>45436.0</v>
      </c>
      <c r="D475" s="16">
        <v>45466.0</v>
      </c>
      <c r="E475" s="15" t="s">
        <v>684</v>
      </c>
      <c r="F475" s="19">
        <v>19.99</v>
      </c>
      <c r="G475" s="15" t="s">
        <v>675</v>
      </c>
    </row>
    <row r="476" ht="15.75" customHeight="1">
      <c r="A476" s="17" t="s">
        <v>1147</v>
      </c>
      <c r="B476" s="17" t="s">
        <v>133</v>
      </c>
      <c r="C476" s="18">
        <v>45436.0</v>
      </c>
      <c r="D476" s="18">
        <v>45466.0</v>
      </c>
      <c r="E476" s="17" t="s">
        <v>684</v>
      </c>
      <c r="F476" s="20">
        <v>19.99</v>
      </c>
      <c r="G476" s="17" t="s">
        <v>675</v>
      </c>
    </row>
    <row r="477" ht="15.75" customHeight="1">
      <c r="A477" s="15" t="s">
        <v>1148</v>
      </c>
      <c r="B477" s="15" t="s">
        <v>202</v>
      </c>
      <c r="C477" s="16">
        <v>45436.0</v>
      </c>
      <c r="D477" s="16">
        <v>45466.0</v>
      </c>
      <c r="E477" s="15" t="s">
        <v>684</v>
      </c>
      <c r="F477" s="19">
        <v>19.99</v>
      </c>
      <c r="G477" s="15" t="s">
        <v>675</v>
      </c>
    </row>
    <row r="478" ht="15.75" customHeight="1">
      <c r="A478" s="17" t="s">
        <v>1149</v>
      </c>
      <c r="B478" s="17" t="s">
        <v>203</v>
      </c>
      <c r="C478" s="18">
        <v>45437.0</v>
      </c>
      <c r="D478" s="18">
        <v>45467.0</v>
      </c>
      <c r="E478" s="17" t="s">
        <v>684</v>
      </c>
      <c r="F478" s="20">
        <v>19.99</v>
      </c>
      <c r="G478" s="17" t="s">
        <v>675</v>
      </c>
    </row>
    <row r="479" ht="15.75" customHeight="1">
      <c r="A479" s="15" t="s">
        <v>1150</v>
      </c>
      <c r="B479" s="15" t="s">
        <v>134</v>
      </c>
      <c r="C479" s="16">
        <v>45437.0</v>
      </c>
      <c r="D479" s="16">
        <v>45467.0</v>
      </c>
      <c r="E479" s="15" t="s">
        <v>684</v>
      </c>
      <c r="F479" s="19">
        <v>19.99</v>
      </c>
      <c r="G479" s="15" t="s">
        <v>675</v>
      </c>
    </row>
    <row r="480" ht="15.75" customHeight="1">
      <c r="A480" s="17" t="s">
        <v>1151</v>
      </c>
      <c r="B480" s="17" t="s">
        <v>204</v>
      </c>
      <c r="C480" s="18">
        <v>45437.0</v>
      </c>
      <c r="D480" s="18">
        <v>45467.0</v>
      </c>
      <c r="E480" s="17" t="s">
        <v>684</v>
      </c>
      <c r="F480" s="20">
        <v>19.99</v>
      </c>
      <c r="G480" s="17" t="s">
        <v>675</v>
      </c>
    </row>
    <row r="481" ht="15.75" customHeight="1">
      <c r="A481" s="15" t="s">
        <v>1152</v>
      </c>
      <c r="B481" s="15" t="s">
        <v>205</v>
      </c>
      <c r="C481" s="16">
        <v>45437.0</v>
      </c>
      <c r="D481" s="16">
        <v>45467.0</v>
      </c>
      <c r="E481" s="15" t="s">
        <v>684</v>
      </c>
      <c r="F481" s="19">
        <v>19.99</v>
      </c>
      <c r="G481" s="15" t="s">
        <v>675</v>
      </c>
    </row>
    <row r="482" ht="15.75" customHeight="1">
      <c r="A482" s="17" t="s">
        <v>1153</v>
      </c>
      <c r="B482" s="17" t="s">
        <v>206</v>
      </c>
      <c r="C482" s="18">
        <v>45437.0</v>
      </c>
      <c r="D482" s="18">
        <v>45467.0</v>
      </c>
      <c r="E482" s="17" t="s">
        <v>684</v>
      </c>
      <c r="F482" s="20">
        <v>19.99</v>
      </c>
      <c r="G482" s="17" t="s">
        <v>675</v>
      </c>
    </row>
    <row r="483" ht="15.75" customHeight="1">
      <c r="A483" s="15" t="s">
        <v>1154</v>
      </c>
      <c r="B483" s="15" t="s">
        <v>207</v>
      </c>
      <c r="C483" s="16">
        <v>45438.0</v>
      </c>
      <c r="D483" s="16">
        <v>45468.0</v>
      </c>
      <c r="E483" s="15" t="s">
        <v>684</v>
      </c>
      <c r="F483" s="19">
        <v>19.99</v>
      </c>
      <c r="G483" s="15" t="s">
        <v>675</v>
      </c>
    </row>
    <row r="484" ht="15.75" customHeight="1">
      <c r="A484" s="17" t="s">
        <v>1155</v>
      </c>
      <c r="B484" s="17" t="s">
        <v>102</v>
      </c>
      <c r="C484" s="18">
        <v>45438.0</v>
      </c>
      <c r="D484" s="18">
        <v>45468.0</v>
      </c>
      <c r="E484" s="17" t="s">
        <v>684</v>
      </c>
      <c r="F484" s="20">
        <v>19.99</v>
      </c>
      <c r="G484" s="17" t="s">
        <v>675</v>
      </c>
    </row>
    <row r="485" ht="15.75" customHeight="1">
      <c r="A485" s="15" t="s">
        <v>1156</v>
      </c>
      <c r="B485" s="15" t="s">
        <v>166</v>
      </c>
      <c r="C485" s="16">
        <v>45438.0</v>
      </c>
      <c r="D485" s="16">
        <v>45468.0</v>
      </c>
      <c r="E485" s="15" t="s">
        <v>684</v>
      </c>
      <c r="F485" s="19">
        <v>19.99</v>
      </c>
      <c r="G485" s="15" t="s">
        <v>675</v>
      </c>
    </row>
    <row r="486" ht="15.75" customHeight="1">
      <c r="A486" s="17" t="s">
        <v>1157</v>
      </c>
      <c r="B486" s="17" t="s">
        <v>167</v>
      </c>
      <c r="C486" s="18">
        <v>45438.0</v>
      </c>
      <c r="D486" s="18">
        <v>45468.0</v>
      </c>
      <c r="E486" s="17" t="s">
        <v>684</v>
      </c>
      <c r="F486" s="20">
        <v>19.99</v>
      </c>
      <c r="G486" s="17" t="s">
        <v>675</v>
      </c>
    </row>
    <row r="487" ht="15.75" customHeight="1">
      <c r="A487" s="15" t="s">
        <v>1158</v>
      </c>
      <c r="B487" s="15" t="s">
        <v>168</v>
      </c>
      <c r="C487" s="16">
        <v>45438.0</v>
      </c>
      <c r="D487" s="16">
        <v>45468.0</v>
      </c>
      <c r="E487" s="15" t="s">
        <v>684</v>
      </c>
      <c r="F487" s="19">
        <v>19.99</v>
      </c>
      <c r="G487" s="15" t="s">
        <v>675</v>
      </c>
    </row>
    <row r="488" ht="15.75" customHeight="1">
      <c r="A488" s="17" t="s">
        <v>1159</v>
      </c>
      <c r="B488" s="17" t="s">
        <v>208</v>
      </c>
      <c r="C488" s="18">
        <v>45438.0</v>
      </c>
      <c r="D488" s="18">
        <v>45468.0</v>
      </c>
      <c r="E488" s="17" t="s">
        <v>684</v>
      </c>
      <c r="F488" s="20">
        <v>19.99</v>
      </c>
      <c r="G488" s="17" t="s">
        <v>675</v>
      </c>
    </row>
    <row r="489" ht="15.75" customHeight="1">
      <c r="A489" s="15" t="s">
        <v>1160</v>
      </c>
      <c r="B489" s="15" t="s">
        <v>136</v>
      </c>
      <c r="C489" s="16">
        <v>45439.0</v>
      </c>
      <c r="D489" s="16">
        <v>45469.0</v>
      </c>
      <c r="E489" s="15" t="s">
        <v>684</v>
      </c>
      <c r="F489" s="19">
        <v>19.99</v>
      </c>
      <c r="G489" s="15" t="s">
        <v>675</v>
      </c>
    </row>
    <row r="490" ht="15.75" customHeight="1">
      <c r="A490" s="17" t="s">
        <v>1161</v>
      </c>
      <c r="B490" s="17" t="s">
        <v>82</v>
      </c>
      <c r="C490" s="18">
        <v>45439.0</v>
      </c>
      <c r="D490" s="18">
        <v>45469.0</v>
      </c>
      <c r="E490" s="17" t="s">
        <v>684</v>
      </c>
      <c r="F490" s="20">
        <v>19.99</v>
      </c>
      <c r="G490" s="17" t="s">
        <v>675</v>
      </c>
    </row>
    <row r="491" ht="15.75" customHeight="1">
      <c r="A491" s="15" t="s">
        <v>1162</v>
      </c>
      <c r="B491" s="15" t="s">
        <v>212</v>
      </c>
      <c r="C491" s="16">
        <v>45439.0</v>
      </c>
      <c r="D491" s="16">
        <v>45446.0</v>
      </c>
      <c r="E491" s="15" t="s">
        <v>674</v>
      </c>
      <c r="F491" s="19">
        <v>0.0</v>
      </c>
      <c r="G491" s="15" t="s">
        <v>675</v>
      </c>
    </row>
    <row r="492" ht="15.75" customHeight="1">
      <c r="A492" s="17" t="s">
        <v>1163</v>
      </c>
      <c r="B492" s="17" t="s">
        <v>137</v>
      </c>
      <c r="C492" s="18">
        <v>45439.0</v>
      </c>
      <c r="D492" s="18">
        <v>45469.0</v>
      </c>
      <c r="E492" s="17" t="s">
        <v>684</v>
      </c>
      <c r="F492" s="20">
        <v>19.99</v>
      </c>
      <c r="G492" s="17" t="s">
        <v>675</v>
      </c>
    </row>
    <row r="493" ht="15.75" customHeight="1">
      <c r="A493" s="15" t="s">
        <v>1164</v>
      </c>
      <c r="B493" s="15" t="s">
        <v>83</v>
      </c>
      <c r="C493" s="16">
        <v>45439.0</v>
      </c>
      <c r="D493" s="16">
        <v>45469.0</v>
      </c>
      <c r="E493" s="15" t="s">
        <v>684</v>
      </c>
      <c r="F493" s="19">
        <v>19.99</v>
      </c>
      <c r="G493" s="15" t="s">
        <v>675</v>
      </c>
    </row>
    <row r="494" ht="15.75" customHeight="1">
      <c r="A494" s="17" t="s">
        <v>1165</v>
      </c>
      <c r="B494" s="17" t="s">
        <v>138</v>
      </c>
      <c r="C494" s="18">
        <v>45439.0</v>
      </c>
      <c r="D494" s="18">
        <v>45469.0</v>
      </c>
      <c r="E494" s="17" t="s">
        <v>684</v>
      </c>
      <c r="F494" s="20">
        <v>19.99</v>
      </c>
      <c r="G494" s="17" t="s">
        <v>675</v>
      </c>
    </row>
    <row r="495" ht="15.75" customHeight="1">
      <c r="A495" s="15" t="s">
        <v>1166</v>
      </c>
      <c r="B495" s="15" t="s">
        <v>84</v>
      </c>
      <c r="C495" s="16">
        <v>45440.0</v>
      </c>
      <c r="D495" s="16">
        <v>45470.0</v>
      </c>
      <c r="E495" s="15" t="s">
        <v>684</v>
      </c>
      <c r="F495" s="19">
        <v>19.99</v>
      </c>
      <c r="G495" s="15" t="s">
        <v>675</v>
      </c>
    </row>
    <row r="496" ht="15.75" customHeight="1">
      <c r="A496" s="17" t="s">
        <v>1167</v>
      </c>
      <c r="B496" s="17" t="s">
        <v>139</v>
      </c>
      <c r="C496" s="18">
        <v>45440.0</v>
      </c>
      <c r="D496" s="18">
        <v>45470.0</v>
      </c>
      <c r="E496" s="17" t="s">
        <v>684</v>
      </c>
      <c r="F496" s="20">
        <v>19.99</v>
      </c>
      <c r="G496" s="17" t="s">
        <v>675</v>
      </c>
    </row>
    <row r="497" ht="15.75" customHeight="1">
      <c r="A497" s="15" t="s">
        <v>1168</v>
      </c>
      <c r="B497" s="15" t="s">
        <v>103</v>
      </c>
      <c r="C497" s="16">
        <v>45440.0</v>
      </c>
      <c r="D497" s="16">
        <v>45470.0</v>
      </c>
      <c r="E497" s="15" t="s">
        <v>684</v>
      </c>
      <c r="F497" s="19">
        <v>19.99</v>
      </c>
      <c r="G497" s="15" t="s">
        <v>675</v>
      </c>
    </row>
    <row r="498" ht="15.75" customHeight="1">
      <c r="A498" s="17" t="s">
        <v>1169</v>
      </c>
      <c r="B498" s="17" t="s">
        <v>140</v>
      </c>
      <c r="C498" s="18">
        <v>45440.0</v>
      </c>
      <c r="D498" s="18">
        <v>45470.0</v>
      </c>
      <c r="E498" s="17" t="s">
        <v>684</v>
      </c>
      <c r="F498" s="20">
        <v>19.99</v>
      </c>
      <c r="G498" s="17" t="s">
        <v>675</v>
      </c>
    </row>
    <row r="499" ht="15.75" customHeight="1">
      <c r="A499" s="15" t="s">
        <v>1170</v>
      </c>
      <c r="B499" s="15" t="s">
        <v>171</v>
      </c>
      <c r="C499" s="16">
        <v>45440.0</v>
      </c>
      <c r="D499" s="16">
        <v>45470.0</v>
      </c>
      <c r="E499" s="15" t="s">
        <v>684</v>
      </c>
      <c r="F499" s="19">
        <v>19.99</v>
      </c>
      <c r="G499" s="15" t="s">
        <v>675</v>
      </c>
    </row>
    <row r="500" ht="15.75" customHeight="1">
      <c r="A500" s="17" t="s">
        <v>1171</v>
      </c>
      <c r="B500" s="17" t="s">
        <v>209</v>
      </c>
      <c r="C500" s="18">
        <v>45441.0</v>
      </c>
      <c r="D500" s="18">
        <v>45471.0</v>
      </c>
      <c r="E500" s="17" t="s">
        <v>684</v>
      </c>
      <c r="F500" s="20">
        <v>19.99</v>
      </c>
      <c r="G500" s="17" t="s">
        <v>675</v>
      </c>
    </row>
    <row r="501" ht="15.75" customHeight="1">
      <c r="A501" s="15" t="s">
        <v>1172</v>
      </c>
      <c r="B501" s="15" t="s">
        <v>213</v>
      </c>
      <c r="C501" s="16">
        <v>45441.0</v>
      </c>
      <c r="D501" s="16">
        <v>45448.0</v>
      </c>
      <c r="E501" s="15" t="s">
        <v>674</v>
      </c>
      <c r="F501" s="19">
        <v>0.0</v>
      </c>
      <c r="G501" s="15" t="s">
        <v>675</v>
      </c>
    </row>
    <row r="502" ht="15.75" customHeight="1">
      <c r="A502" s="17" t="s">
        <v>1173</v>
      </c>
      <c r="B502" s="17" t="s">
        <v>172</v>
      </c>
      <c r="C502" s="18">
        <v>45441.0</v>
      </c>
      <c r="D502" s="18">
        <v>45471.0</v>
      </c>
      <c r="E502" s="17" t="s">
        <v>684</v>
      </c>
      <c r="F502" s="20">
        <v>19.99</v>
      </c>
      <c r="G502" s="17" t="s">
        <v>675</v>
      </c>
    </row>
    <row r="503" ht="15.75" customHeight="1">
      <c r="A503" s="15" t="s">
        <v>1174</v>
      </c>
      <c r="B503" s="15" t="s">
        <v>214</v>
      </c>
      <c r="C503" s="16">
        <v>45441.0</v>
      </c>
      <c r="D503" s="16">
        <v>45448.0</v>
      </c>
      <c r="E503" s="15" t="s">
        <v>674</v>
      </c>
      <c r="F503" s="19">
        <v>0.0</v>
      </c>
      <c r="G503" s="15" t="s">
        <v>675</v>
      </c>
    </row>
    <row r="504" ht="15.75" customHeight="1">
      <c r="A504" s="17" t="s">
        <v>1175</v>
      </c>
      <c r="B504" s="17" t="s">
        <v>210</v>
      </c>
      <c r="C504" s="18">
        <v>45441.0</v>
      </c>
      <c r="D504" s="18">
        <v>45471.0</v>
      </c>
      <c r="E504" s="17" t="s">
        <v>684</v>
      </c>
      <c r="F504" s="20">
        <v>19.99</v>
      </c>
      <c r="G504" s="17" t="s">
        <v>675</v>
      </c>
    </row>
    <row r="505" ht="15.75" customHeight="1">
      <c r="A505" s="15" t="s">
        <v>1176</v>
      </c>
      <c r="B505" s="15" t="s">
        <v>104</v>
      </c>
      <c r="C505" s="16">
        <v>45442.0</v>
      </c>
      <c r="D505" s="16">
        <v>45472.0</v>
      </c>
      <c r="E505" s="15" t="s">
        <v>684</v>
      </c>
      <c r="F505" s="19">
        <v>19.99</v>
      </c>
      <c r="G505" s="15" t="s">
        <v>675</v>
      </c>
    </row>
    <row r="506" ht="15.75" customHeight="1">
      <c r="A506" s="17" t="s">
        <v>1177</v>
      </c>
      <c r="B506" s="17" t="s">
        <v>211</v>
      </c>
      <c r="C506" s="18">
        <v>45442.0</v>
      </c>
      <c r="D506" s="18">
        <v>45472.0</v>
      </c>
      <c r="E506" s="17" t="s">
        <v>684</v>
      </c>
      <c r="F506" s="20">
        <v>19.99</v>
      </c>
      <c r="G506" s="17" t="s">
        <v>675</v>
      </c>
    </row>
    <row r="507" ht="15.75" customHeight="1">
      <c r="A507" s="15" t="s">
        <v>1178</v>
      </c>
      <c r="B507" s="15" t="s">
        <v>85</v>
      </c>
      <c r="C507" s="16">
        <v>45443.0</v>
      </c>
      <c r="D507" s="16">
        <v>45473.0</v>
      </c>
      <c r="E507" s="15" t="s">
        <v>684</v>
      </c>
      <c r="F507" s="19">
        <v>19.99</v>
      </c>
      <c r="G507" s="15" t="s">
        <v>675</v>
      </c>
    </row>
    <row r="508" ht="15.75" customHeight="1">
      <c r="A508" s="17" t="s">
        <v>1179</v>
      </c>
      <c r="B508" s="17" t="s">
        <v>142</v>
      </c>
      <c r="C508" s="18">
        <v>45443.0</v>
      </c>
      <c r="D508" s="18">
        <v>45473.0</v>
      </c>
      <c r="E508" s="17" t="s">
        <v>684</v>
      </c>
      <c r="F508" s="20">
        <v>19.99</v>
      </c>
      <c r="G508" s="17" t="s">
        <v>675</v>
      </c>
    </row>
    <row r="509" ht="15.75" customHeight="1">
      <c r="A509" s="15" t="s">
        <v>1180</v>
      </c>
      <c r="B509" s="15" t="s">
        <v>173</v>
      </c>
      <c r="C509" s="16">
        <v>45443.0</v>
      </c>
      <c r="D509" s="16">
        <v>45473.0</v>
      </c>
      <c r="E509" s="15" t="s">
        <v>684</v>
      </c>
      <c r="F509" s="19">
        <v>19.99</v>
      </c>
      <c r="G509" s="15" t="s">
        <v>675</v>
      </c>
    </row>
    <row r="510" ht="15.75" customHeight="1">
      <c r="A510" s="17" t="s">
        <v>1181</v>
      </c>
      <c r="B510" s="17" t="s">
        <v>215</v>
      </c>
      <c r="C510" s="18">
        <v>45443.0</v>
      </c>
      <c r="D510" s="18">
        <v>45450.0</v>
      </c>
      <c r="E510" s="17" t="s">
        <v>674</v>
      </c>
      <c r="F510" s="20">
        <v>0.0</v>
      </c>
      <c r="G510" s="17" t="s">
        <v>675</v>
      </c>
    </row>
    <row r="511" ht="15.75" customHeight="1">
      <c r="A511" s="15" t="s">
        <v>1182</v>
      </c>
      <c r="B511" s="15" t="s">
        <v>174</v>
      </c>
      <c r="C511" s="16">
        <v>45443.0</v>
      </c>
      <c r="D511" s="16">
        <v>45473.0</v>
      </c>
      <c r="E511" s="15" t="s">
        <v>684</v>
      </c>
      <c r="F511" s="19">
        <v>19.99</v>
      </c>
      <c r="G511" s="15" t="s">
        <v>675</v>
      </c>
    </row>
    <row r="512" ht="15.75" customHeight="1">
      <c r="A512" s="17" t="s">
        <v>1183</v>
      </c>
      <c r="B512" s="17" t="s">
        <v>175</v>
      </c>
      <c r="C512" s="18">
        <v>45444.0</v>
      </c>
      <c r="D512" s="18">
        <v>45474.0</v>
      </c>
      <c r="E512" s="17" t="s">
        <v>684</v>
      </c>
      <c r="F512" s="20">
        <v>19.99</v>
      </c>
      <c r="G512" s="17" t="s">
        <v>675</v>
      </c>
    </row>
    <row r="513" ht="15.75" customHeight="1">
      <c r="A513" s="15" t="s">
        <v>1184</v>
      </c>
      <c r="B513" s="15" t="s">
        <v>143</v>
      </c>
      <c r="C513" s="16">
        <v>45444.0</v>
      </c>
      <c r="D513" s="16">
        <v>45474.0</v>
      </c>
      <c r="E513" s="15" t="s">
        <v>684</v>
      </c>
      <c r="F513" s="19">
        <v>19.99</v>
      </c>
      <c r="G513" s="15" t="s">
        <v>675</v>
      </c>
    </row>
    <row r="514" ht="15.75" customHeight="1">
      <c r="A514" s="17" t="s">
        <v>1185</v>
      </c>
      <c r="B514" s="17" t="s">
        <v>176</v>
      </c>
      <c r="C514" s="18">
        <v>45445.0</v>
      </c>
      <c r="D514" s="18">
        <v>45475.0</v>
      </c>
      <c r="E514" s="17" t="s">
        <v>684</v>
      </c>
      <c r="F514" s="20">
        <v>19.99</v>
      </c>
      <c r="G514" s="17" t="s">
        <v>675</v>
      </c>
    </row>
    <row r="515" ht="15.75" customHeight="1">
      <c r="A515" s="15" t="s">
        <v>1186</v>
      </c>
      <c r="B515" s="15" t="s">
        <v>177</v>
      </c>
      <c r="C515" s="16">
        <v>45445.0</v>
      </c>
      <c r="D515" s="16">
        <v>45475.0</v>
      </c>
      <c r="E515" s="15" t="s">
        <v>684</v>
      </c>
      <c r="F515" s="19">
        <v>19.99</v>
      </c>
      <c r="G515" s="15" t="s">
        <v>675</v>
      </c>
    </row>
    <row r="516" ht="15.75" customHeight="1">
      <c r="A516" s="17" t="s">
        <v>1187</v>
      </c>
      <c r="B516" s="17" t="s">
        <v>216</v>
      </c>
      <c r="C516" s="18">
        <v>45445.0</v>
      </c>
      <c r="D516" s="18">
        <v>45452.0</v>
      </c>
      <c r="E516" s="17" t="s">
        <v>674</v>
      </c>
      <c r="F516" s="20">
        <v>0.0</v>
      </c>
      <c r="G516" s="17" t="s">
        <v>675</v>
      </c>
    </row>
    <row r="517" ht="15.75" customHeight="1">
      <c r="A517" s="15" t="s">
        <v>1188</v>
      </c>
      <c r="B517" s="15" t="s">
        <v>106</v>
      </c>
      <c r="C517" s="16">
        <v>45445.0</v>
      </c>
      <c r="D517" s="16">
        <v>45475.0</v>
      </c>
      <c r="E517" s="15" t="s">
        <v>684</v>
      </c>
      <c r="F517" s="19">
        <v>19.99</v>
      </c>
      <c r="G517" s="15" t="s">
        <v>675</v>
      </c>
    </row>
    <row r="518" ht="15.75" customHeight="1">
      <c r="A518" s="17" t="s">
        <v>1189</v>
      </c>
      <c r="B518" s="17" t="s">
        <v>178</v>
      </c>
      <c r="C518" s="18">
        <v>45445.0</v>
      </c>
      <c r="D518" s="18">
        <v>45475.0</v>
      </c>
      <c r="E518" s="17" t="s">
        <v>684</v>
      </c>
      <c r="F518" s="20">
        <v>19.99</v>
      </c>
      <c r="G518" s="17" t="s">
        <v>675</v>
      </c>
    </row>
    <row r="519" ht="15.75" customHeight="1">
      <c r="A519" s="15" t="s">
        <v>1190</v>
      </c>
      <c r="B519" s="15" t="s">
        <v>179</v>
      </c>
      <c r="C519" s="16">
        <v>45445.0</v>
      </c>
      <c r="D519" s="16">
        <v>45475.0</v>
      </c>
      <c r="E519" s="15" t="s">
        <v>684</v>
      </c>
      <c r="F519" s="19">
        <v>19.99</v>
      </c>
      <c r="G519" s="15" t="s">
        <v>675</v>
      </c>
    </row>
    <row r="520" ht="15.75" customHeight="1">
      <c r="A520" s="17" t="s">
        <v>1191</v>
      </c>
      <c r="B520" s="17" t="s">
        <v>217</v>
      </c>
      <c r="C520" s="18">
        <v>45445.0</v>
      </c>
      <c r="D520" s="18">
        <v>45452.0</v>
      </c>
      <c r="E520" s="17" t="s">
        <v>674</v>
      </c>
      <c r="F520" s="20">
        <v>0.0</v>
      </c>
      <c r="G520" s="17" t="s">
        <v>675</v>
      </c>
    </row>
    <row r="521" ht="15.75" customHeight="1">
      <c r="A521" s="15" t="s">
        <v>1192</v>
      </c>
      <c r="B521" s="15" t="s">
        <v>218</v>
      </c>
      <c r="C521" s="16">
        <v>45446.0</v>
      </c>
      <c r="D521" s="16">
        <v>45453.0</v>
      </c>
      <c r="E521" s="15" t="s">
        <v>674</v>
      </c>
      <c r="F521" s="19">
        <v>0.0</v>
      </c>
      <c r="G521" s="15" t="s">
        <v>675</v>
      </c>
    </row>
    <row r="522" ht="15.75" customHeight="1">
      <c r="A522" s="17" t="s">
        <v>1193</v>
      </c>
      <c r="B522" s="17" t="s">
        <v>219</v>
      </c>
      <c r="C522" s="18">
        <v>45446.0</v>
      </c>
      <c r="D522" s="18">
        <v>45453.0</v>
      </c>
      <c r="E522" s="17" t="s">
        <v>674</v>
      </c>
      <c r="F522" s="20">
        <v>0.0</v>
      </c>
      <c r="G522" s="17" t="s">
        <v>675</v>
      </c>
    </row>
    <row r="523" ht="15.75" customHeight="1">
      <c r="A523" s="15" t="s">
        <v>1194</v>
      </c>
      <c r="B523" s="15" t="s">
        <v>108</v>
      </c>
      <c r="C523" s="16">
        <v>45446.0</v>
      </c>
      <c r="D523" s="16">
        <v>45476.0</v>
      </c>
      <c r="E523" s="15" t="s">
        <v>684</v>
      </c>
      <c r="F523" s="19">
        <v>19.99</v>
      </c>
      <c r="G523" s="15" t="s">
        <v>675</v>
      </c>
    </row>
    <row r="524" ht="15.75" customHeight="1">
      <c r="A524" s="17" t="s">
        <v>1195</v>
      </c>
      <c r="B524" s="17" t="s">
        <v>144</v>
      </c>
      <c r="C524" s="18">
        <v>45446.0</v>
      </c>
      <c r="D524" s="18">
        <v>45476.0</v>
      </c>
      <c r="E524" s="17" t="s">
        <v>684</v>
      </c>
      <c r="F524" s="20">
        <v>19.99</v>
      </c>
      <c r="G524" s="17" t="s">
        <v>675</v>
      </c>
    </row>
    <row r="525" ht="15.75" customHeight="1">
      <c r="A525" s="15" t="s">
        <v>1196</v>
      </c>
      <c r="B525" s="15" t="s">
        <v>180</v>
      </c>
      <c r="C525" s="16">
        <v>45446.0</v>
      </c>
      <c r="D525" s="16">
        <v>45476.0</v>
      </c>
      <c r="E525" s="15" t="s">
        <v>684</v>
      </c>
      <c r="F525" s="19">
        <v>19.99</v>
      </c>
      <c r="G525" s="15" t="s">
        <v>675</v>
      </c>
    </row>
    <row r="526" ht="15.75" customHeight="1">
      <c r="A526" s="17" t="s">
        <v>1197</v>
      </c>
      <c r="B526" s="17" t="s">
        <v>212</v>
      </c>
      <c r="C526" s="18">
        <v>45446.0</v>
      </c>
      <c r="D526" s="18">
        <v>45476.0</v>
      </c>
      <c r="E526" s="17" t="s">
        <v>684</v>
      </c>
      <c r="F526" s="20">
        <v>19.99</v>
      </c>
      <c r="G526" s="17" t="s">
        <v>675</v>
      </c>
    </row>
    <row r="527" ht="15.75" customHeight="1">
      <c r="A527" s="15" t="s">
        <v>1198</v>
      </c>
      <c r="B527" s="15" t="s">
        <v>109</v>
      </c>
      <c r="C527" s="16">
        <v>45446.0</v>
      </c>
      <c r="D527" s="16">
        <v>45476.0</v>
      </c>
      <c r="E527" s="15" t="s">
        <v>684</v>
      </c>
      <c r="F527" s="19">
        <v>19.99</v>
      </c>
      <c r="G527" s="15" t="s">
        <v>675</v>
      </c>
    </row>
    <row r="528" ht="15.75" customHeight="1">
      <c r="A528" s="17" t="s">
        <v>1199</v>
      </c>
      <c r="B528" s="17" t="s">
        <v>110</v>
      </c>
      <c r="C528" s="18">
        <v>45446.0</v>
      </c>
      <c r="D528" s="18">
        <v>45476.0</v>
      </c>
      <c r="E528" s="17" t="s">
        <v>684</v>
      </c>
      <c r="F528" s="20">
        <v>19.99</v>
      </c>
      <c r="G528" s="17" t="s">
        <v>675</v>
      </c>
    </row>
    <row r="529" ht="15.75" customHeight="1">
      <c r="A529" s="15" t="s">
        <v>1200</v>
      </c>
      <c r="B529" s="15" t="s">
        <v>111</v>
      </c>
      <c r="C529" s="16">
        <v>45446.0</v>
      </c>
      <c r="D529" s="16">
        <v>45476.0</v>
      </c>
      <c r="E529" s="15" t="s">
        <v>684</v>
      </c>
      <c r="F529" s="19">
        <v>19.99</v>
      </c>
      <c r="G529" s="15" t="s">
        <v>675</v>
      </c>
    </row>
    <row r="530" ht="15.75" customHeight="1">
      <c r="A530" s="17" t="s">
        <v>1201</v>
      </c>
      <c r="B530" s="17" t="s">
        <v>112</v>
      </c>
      <c r="C530" s="18">
        <v>45447.0</v>
      </c>
      <c r="D530" s="18">
        <v>45477.0</v>
      </c>
      <c r="E530" s="17" t="s">
        <v>684</v>
      </c>
      <c r="F530" s="20">
        <v>19.99</v>
      </c>
      <c r="G530" s="17" t="s">
        <v>675</v>
      </c>
    </row>
    <row r="531" ht="15.75" customHeight="1">
      <c r="A531" s="15" t="s">
        <v>1202</v>
      </c>
      <c r="B531" s="15" t="s">
        <v>181</v>
      </c>
      <c r="C531" s="16">
        <v>45447.0</v>
      </c>
      <c r="D531" s="16">
        <v>45477.0</v>
      </c>
      <c r="E531" s="15" t="s">
        <v>684</v>
      </c>
      <c r="F531" s="19">
        <v>19.99</v>
      </c>
      <c r="G531" s="15" t="s">
        <v>675</v>
      </c>
    </row>
    <row r="532" ht="15.75" customHeight="1">
      <c r="A532" s="17" t="s">
        <v>1203</v>
      </c>
      <c r="B532" s="17" t="s">
        <v>113</v>
      </c>
      <c r="C532" s="18">
        <v>45447.0</v>
      </c>
      <c r="D532" s="18">
        <v>45477.0</v>
      </c>
      <c r="E532" s="17" t="s">
        <v>684</v>
      </c>
      <c r="F532" s="20">
        <v>19.99</v>
      </c>
      <c r="G532" s="17" t="s">
        <v>675</v>
      </c>
    </row>
    <row r="533" ht="15.75" customHeight="1">
      <c r="A533" s="15" t="s">
        <v>1204</v>
      </c>
      <c r="B533" s="15" t="s">
        <v>88</v>
      </c>
      <c r="C533" s="16">
        <v>45447.0</v>
      </c>
      <c r="D533" s="16">
        <v>45477.0</v>
      </c>
      <c r="E533" s="15" t="s">
        <v>684</v>
      </c>
      <c r="F533" s="19">
        <v>19.99</v>
      </c>
      <c r="G533" s="15" t="s">
        <v>675</v>
      </c>
    </row>
    <row r="534" ht="15.75" customHeight="1">
      <c r="A534" s="17" t="s">
        <v>1205</v>
      </c>
      <c r="B534" s="17" t="s">
        <v>220</v>
      </c>
      <c r="C534" s="18">
        <v>45447.0</v>
      </c>
      <c r="D534" s="18">
        <v>45454.0</v>
      </c>
      <c r="E534" s="17" t="s">
        <v>674</v>
      </c>
      <c r="F534" s="20">
        <v>0.0</v>
      </c>
      <c r="G534" s="17" t="s">
        <v>675</v>
      </c>
    </row>
    <row r="535" ht="15.75" customHeight="1">
      <c r="A535" s="15" t="s">
        <v>1206</v>
      </c>
      <c r="B535" s="15" t="s">
        <v>221</v>
      </c>
      <c r="C535" s="16">
        <v>45447.0</v>
      </c>
      <c r="D535" s="16">
        <v>45454.0</v>
      </c>
      <c r="E535" s="15" t="s">
        <v>674</v>
      </c>
      <c r="F535" s="19">
        <v>0.0</v>
      </c>
      <c r="G535" s="15" t="s">
        <v>675</v>
      </c>
    </row>
    <row r="536" ht="15.75" customHeight="1">
      <c r="A536" s="17" t="s">
        <v>1207</v>
      </c>
      <c r="B536" s="17" t="s">
        <v>213</v>
      </c>
      <c r="C536" s="18">
        <v>45448.0</v>
      </c>
      <c r="D536" s="18">
        <v>45478.0</v>
      </c>
      <c r="E536" s="17" t="s">
        <v>684</v>
      </c>
      <c r="F536" s="20">
        <v>19.99</v>
      </c>
      <c r="G536" s="17" t="s">
        <v>675</v>
      </c>
    </row>
    <row r="537" ht="15.75" customHeight="1">
      <c r="A537" s="15" t="s">
        <v>1208</v>
      </c>
      <c r="B537" s="15" t="s">
        <v>115</v>
      </c>
      <c r="C537" s="16">
        <v>45448.0</v>
      </c>
      <c r="D537" s="16">
        <v>45478.0</v>
      </c>
      <c r="E537" s="15" t="s">
        <v>684</v>
      </c>
      <c r="F537" s="19">
        <v>19.99</v>
      </c>
      <c r="G537" s="15" t="s">
        <v>675</v>
      </c>
    </row>
    <row r="538" ht="15.75" customHeight="1">
      <c r="A538" s="17" t="s">
        <v>1209</v>
      </c>
      <c r="B538" s="17" t="s">
        <v>222</v>
      </c>
      <c r="C538" s="18">
        <v>45448.0</v>
      </c>
      <c r="D538" s="18">
        <v>45455.0</v>
      </c>
      <c r="E538" s="17" t="s">
        <v>674</v>
      </c>
      <c r="F538" s="20">
        <v>0.0</v>
      </c>
      <c r="G538" s="17" t="s">
        <v>675</v>
      </c>
    </row>
    <row r="539" ht="15.75" customHeight="1">
      <c r="A539" s="15" t="s">
        <v>1210</v>
      </c>
      <c r="B539" s="15" t="s">
        <v>182</v>
      </c>
      <c r="C539" s="16">
        <v>45448.0</v>
      </c>
      <c r="D539" s="16">
        <v>45478.0</v>
      </c>
      <c r="E539" s="15" t="s">
        <v>684</v>
      </c>
      <c r="F539" s="19">
        <v>19.99</v>
      </c>
      <c r="G539" s="15" t="s">
        <v>675</v>
      </c>
    </row>
    <row r="540" ht="15.75" customHeight="1">
      <c r="A540" s="17" t="s">
        <v>1211</v>
      </c>
      <c r="B540" s="17" t="s">
        <v>214</v>
      </c>
      <c r="C540" s="18">
        <v>45448.0</v>
      </c>
      <c r="D540" s="18">
        <v>45478.0</v>
      </c>
      <c r="E540" s="17" t="s">
        <v>684</v>
      </c>
      <c r="F540" s="20">
        <v>19.99</v>
      </c>
      <c r="G540" s="17" t="s">
        <v>675</v>
      </c>
    </row>
    <row r="541" ht="15.75" customHeight="1">
      <c r="A541" s="15" t="s">
        <v>1212</v>
      </c>
      <c r="B541" s="15" t="s">
        <v>183</v>
      </c>
      <c r="C541" s="16">
        <v>45449.0</v>
      </c>
      <c r="D541" s="16">
        <v>45479.0</v>
      </c>
      <c r="E541" s="15" t="s">
        <v>684</v>
      </c>
      <c r="F541" s="19">
        <v>19.99</v>
      </c>
      <c r="G541" s="15" t="s">
        <v>675</v>
      </c>
    </row>
    <row r="542" ht="15.75" customHeight="1">
      <c r="A542" s="17" t="s">
        <v>1213</v>
      </c>
      <c r="B542" s="17" t="s">
        <v>146</v>
      </c>
      <c r="C542" s="18">
        <v>45449.0</v>
      </c>
      <c r="D542" s="18">
        <v>45479.0</v>
      </c>
      <c r="E542" s="17" t="s">
        <v>684</v>
      </c>
      <c r="F542" s="20">
        <v>19.99</v>
      </c>
      <c r="G542" s="17" t="s">
        <v>675</v>
      </c>
    </row>
    <row r="543" ht="15.75" customHeight="1">
      <c r="A543" s="15" t="s">
        <v>1214</v>
      </c>
      <c r="B543" s="15" t="s">
        <v>56</v>
      </c>
      <c r="C543" s="16">
        <v>45449.0</v>
      </c>
      <c r="D543" s="16">
        <v>45479.0</v>
      </c>
      <c r="E543" s="15" t="s">
        <v>684</v>
      </c>
      <c r="F543" s="19">
        <v>19.99</v>
      </c>
      <c r="G543" s="15" t="s">
        <v>675</v>
      </c>
    </row>
    <row r="544" ht="15.75" customHeight="1">
      <c r="A544" s="17" t="s">
        <v>1215</v>
      </c>
      <c r="B544" s="17" t="s">
        <v>116</v>
      </c>
      <c r="C544" s="18">
        <v>45450.0</v>
      </c>
      <c r="D544" s="18">
        <v>45480.0</v>
      </c>
      <c r="E544" s="17" t="s">
        <v>684</v>
      </c>
      <c r="F544" s="20">
        <v>19.99</v>
      </c>
      <c r="G544" s="17" t="s">
        <v>675</v>
      </c>
    </row>
    <row r="545" ht="15.75" customHeight="1">
      <c r="A545" s="15" t="s">
        <v>1216</v>
      </c>
      <c r="B545" s="15" t="s">
        <v>59</v>
      </c>
      <c r="C545" s="16">
        <v>45450.0</v>
      </c>
      <c r="D545" s="16">
        <v>45480.0</v>
      </c>
      <c r="E545" s="15" t="s">
        <v>684</v>
      </c>
      <c r="F545" s="19">
        <v>19.99</v>
      </c>
      <c r="G545" s="15" t="s">
        <v>675</v>
      </c>
    </row>
    <row r="546" ht="15.75" customHeight="1">
      <c r="A546" s="17" t="s">
        <v>1217</v>
      </c>
      <c r="B546" s="17" t="s">
        <v>223</v>
      </c>
      <c r="C546" s="18">
        <v>45450.0</v>
      </c>
      <c r="D546" s="18">
        <v>45457.0</v>
      </c>
      <c r="E546" s="17" t="s">
        <v>674</v>
      </c>
      <c r="F546" s="20">
        <v>0.0</v>
      </c>
      <c r="G546" s="17" t="s">
        <v>675</v>
      </c>
    </row>
    <row r="547" ht="15.75" customHeight="1">
      <c r="A547" s="15" t="s">
        <v>1218</v>
      </c>
      <c r="B547" s="15" t="s">
        <v>215</v>
      </c>
      <c r="C547" s="16">
        <v>45450.0</v>
      </c>
      <c r="D547" s="16">
        <v>45480.0</v>
      </c>
      <c r="E547" s="15" t="s">
        <v>684</v>
      </c>
      <c r="F547" s="19">
        <v>19.99</v>
      </c>
      <c r="G547" s="15" t="s">
        <v>675</v>
      </c>
    </row>
    <row r="548" ht="15.75" customHeight="1">
      <c r="A548" s="17" t="s">
        <v>1219</v>
      </c>
      <c r="B548" s="17" t="s">
        <v>90</v>
      </c>
      <c r="C548" s="18">
        <v>45451.0</v>
      </c>
      <c r="D548" s="18">
        <v>45481.0</v>
      </c>
      <c r="E548" s="17" t="s">
        <v>684</v>
      </c>
      <c r="F548" s="20">
        <v>19.99</v>
      </c>
      <c r="G548" s="17" t="s">
        <v>675</v>
      </c>
    </row>
    <row r="549" ht="15.75" customHeight="1">
      <c r="A549" s="15" t="s">
        <v>1220</v>
      </c>
      <c r="B549" s="15" t="s">
        <v>70</v>
      </c>
      <c r="C549" s="16">
        <v>45451.0</v>
      </c>
      <c r="D549" s="16">
        <v>45481.0</v>
      </c>
      <c r="E549" s="15" t="s">
        <v>684</v>
      </c>
      <c r="F549" s="19">
        <v>19.99</v>
      </c>
      <c r="G549" s="15" t="s">
        <v>675</v>
      </c>
    </row>
    <row r="550" ht="15.75" customHeight="1">
      <c r="A550" s="17" t="s">
        <v>1221</v>
      </c>
      <c r="B550" s="17" t="s">
        <v>118</v>
      </c>
      <c r="C550" s="18">
        <v>45452.0</v>
      </c>
      <c r="D550" s="18">
        <v>45482.0</v>
      </c>
      <c r="E550" s="17" t="s">
        <v>684</v>
      </c>
      <c r="F550" s="20">
        <v>19.99</v>
      </c>
      <c r="G550" s="17" t="s">
        <v>675</v>
      </c>
    </row>
    <row r="551" ht="15.75" customHeight="1">
      <c r="A551" s="15" t="s">
        <v>1222</v>
      </c>
      <c r="B551" s="15" t="s">
        <v>186</v>
      </c>
      <c r="C551" s="16">
        <v>45452.0</v>
      </c>
      <c r="D551" s="16">
        <v>45482.0</v>
      </c>
      <c r="E551" s="15" t="s">
        <v>684</v>
      </c>
      <c r="F551" s="19">
        <v>19.99</v>
      </c>
      <c r="G551" s="15" t="s">
        <v>675</v>
      </c>
    </row>
    <row r="552" ht="15.75" customHeight="1">
      <c r="A552" s="17" t="s">
        <v>1223</v>
      </c>
      <c r="B552" s="17" t="s">
        <v>216</v>
      </c>
      <c r="C552" s="18">
        <v>45452.0</v>
      </c>
      <c r="D552" s="18">
        <v>45482.0</v>
      </c>
      <c r="E552" s="17" t="s">
        <v>684</v>
      </c>
      <c r="F552" s="20">
        <v>19.99</v>
      </c>
      <c r="G552" s="17" t="s">
        <v>675</v>
      </c>
    </row>
    <row r="553" ht="15.75" customHeight="1">
      <c r="A553" s="15" t="s">
        <v>1224</v>
      </c>
      <c r="B553" s="15" t="s">
        <v>71</v>
      </c>
      <c r="C553" s="16">
        <v>45452.0</v>
      </c>
      <c r="D553" s="16">
        <v>45482.0</v>
      </c>
      <c r="E553" s="15" t="s">
        <v>684</v>
      </c>
      <c r="F553" s="19">
        <v>19.99</v>
      </c>
      <c r="G553" s="15" t="s">
        <v>675</v>
      </c>
    </row>
    <row r="554" ht="15.75" customHeight="1">
      <c r="A554" s="17" t="s">
        <v>1225</v>
      </c>
      <c r="B554" s="17" t="s">
        <v>148</v>
      </c>
      <c r="C554" s="18">
        <v>45452.0</v>
      </c>
      <c r="D554" s="18">
        <v>45482.0</v>
      </c>
      <c r="E554" s="17" t="s">
        <v>684</v>
      </c>
      <c r="F554" s="20">
        <v>19.99</v>
      </c>
      <c r="G554" s="17" t="s">
        <v>675</v>
      </c>
    </row>
    <row r="555" ht="15.75" customHeight="1">
      <c r="A555" s="15" t="s">
        <v>1226</v>
      </c>
      <c r="B555" s="15" t="s">
        <v>187</v>
      </c>
      <c r="C555" s="16">
        <v>45452.0</v>
      </c>
      <c r="D555" s="16">
        <v>45482.0</v>
      </c>
      <c r="E555" s="15" t="s">
        <v>684</v>
      </c>
      <c r="F555" s="19">
        <v>19.99</v>
      </c>
      <c r="G555" s="15" t="s">
        <v>675</v>
      </c>
    </row>
    <row r="556" ht="15.75" customHeight="1">
      <c r="A556" s="17" t="s">
        <v>1227</v>
      </c>
      <c r="B556" s="17" t="s">
        <v>217</v>
      </c>
      <c r="C556" s="18">
        <v>45452.0</v>
      </c>
      <c r="D556" s="18">
        <v>45482.0</v>
      </c>
      <c r="E556" s="17" t="s">
        <v>684</v>
      </c>
      <c r="F556" s="20">
        <v>19.99</v>
      </c>
      <c r="G556" s="17" t="s">
        <v>675</v>
      </c>
    </row>
    <row r="557" ht="15.75" customHeight="1">
      <c r="A557" s="15" t="s">
        <v>1228</v>
      </c>
      <c r="B557" s="15" t="s">
        <v>218</v>
      </c>
      <c r="C557" s="16">
        <v>45453.0</v>
      </c>
      <c r="D557" s="16">
        <v>45483.0</v>
      </c>
      <c r="E557" s="15" t="s">
        <v>684</v>
      </c>
      <c r="F557" s="19">
        <v>19.99</v>
      </c>
      <c r="G557" s="15" t="s">
        <v>675</v>
      </c>
    </row>
    <row r="558" ht="15.75" customHeight="1">
      <c r="A558" s="17" t="s">
        <v>1229</v>
      </c>
      <c r="B558" s="17" t="s">
        <v>219</v>
      </c>
      <c r="C558" s="18">
        <v>45453.0</v>
      </c>
      <c r="D558" s="18">
        <v>45483.0</v>
      </c>
      <c r="E558" s="17" t="s">
        <v>684</v>
      </c>
      <c r="F558" s="20">
        <v>19.99</v>
      </c>
      <c r="G558" s="17" t="s">
        <v>675</v>
      </c>
    </row>
    <row r="559" ht="15.75" customHeight="1">
      <c r="A559" s="15" t="s">
        <v>1230</v>
      </c>
      <c r="B559" s="15" t="s">
        <v>149</v>
      </c>
      <c r="C559" s="16">
        <v>45453.0</v>
      </c>
      <c r="D559" s="16">
        <v>45483.0</v>
      </c>
      <c r="E559" s="15" t="s">
        <v>684</v>
      </c>
      <c r="F559" s="19">
        <v>19.99</v>
      </c>
      <c r="G559" s="15" t="s">
        <v>675</v>
      </c>
    </row>
    <row r="560" ht="15.75" customHeight="1">
      <c r="A560" s="17" t="s">
        <v>1231</v>
      </c>
      <c r="B560" s="17" t="s">
        <v>119</v>
      </c>
      <c r="C560" s="18">
        <v>45453.0</v>
      </c>
      <c r="D560" s="18">
        <v>45483.0</v>
      </c>
      <c r="E560" s="17" t="s">
        <v>684</v>
      </c>
      <c r="F560" s="20">
        <v>19.99</v>
      </c>
      <c r="G560" s="17" t="s">
        <v>675</v>
      </c>
    </row>
    <row r="561" ht="15.75" customHeight="1">
      <c r="A561" s="15" t="s">
        <v>1232</v>
      </c>
      <c r="B561" s="15" t="s">
        <v>120</v>
      </c>
      <c r="C561" s="16">
        <v>45454.0</v>
      </c>
      <c r="D561" s="16">
        <v>45484.0</v>
      </c>
      <c r="E561" s="15" t="s">
        <v>684</v>
      </c>
      <c r="F561" s="19">
        <v>19.99</v>
      </c>
      <c r="G561" s="15" t="s">
        <v>675</v>
      </c>
    </row>
    <row r="562" ht="15.75" customHeight="1">
      <c r="A562" s="17" t="s">
        <v>1233</v>
      </c>
      <c r="B562" s="17" t="s">
        <v>220</v>
      </c>
      <c r="C562" s="18">
        <v>45454.0</v>
      </c>
      <c r="D562" s="18">
        <v>45484.0</v>
      </c>
      <c r="E562" s="17" t="s">
        <v>684</v>
      </c>
      <c r="F562" s="20">
        <v>19.99</v>
      </c>
      <c r="G562" s="17" t="s">
        <v>675</v>
      </c>
    </row>
    <row r="563" ht="15.75" customHeight="1">
      <c r="A563" s="15" t="s">
        <v>1234</v>
      </c>
      <c r="B563" s="15" t="s">
        <v>221</v>
      </c>
      <c r="C563" s="16">
        <v>45454.0</v>
      </c>
      <c r="D563" s="16">
        <v>45484.0</v>
      </c>
      <c r="E563" s="15" t="s">
        <v>684</v>
      </c>
      <c r="F563" s="19">
        <v>19.99</v>
      </c>
      <c r="G563" s="15" t="s">
        <v>675</v>
      </c>
    </row>
    <row r="564" ht="15.75" customHeight="1">
      <c r="A564" s="17" t="s">
        <v>1235</v>
      </c>
      <c r="B564" s="17" t="s">
        <v>188</v>
      </c>
      <c r="C564" s="18">
        <v>45454.0</v>
      </c>
      <c r="D564" s="18">
        <v>45484.0</v>
      </c>
      <c r="E564" s="17" t="s">
        <v>684</v>
      </c>
      <c r="F564" s="20">
        <v>19.99</v>
      </c>
      <c r="G564" s="17" t="s">
        <v>675</v>
      </c>
    </row>
    <row r="565" ht="15.75" customHeight="1">
      <c r="A565" s="15" t="s">
        <v>1236</v>
      </c>
      <c r="B565" s="15" t="s">
        <v>224</v>
      </c>
      <c r="C565" s="16">
        <v>45455.0</v>
      </c>
      <c r="D565" s="16">
        <v>45462.0</v>
      </c>
      <c r="E565" s="15" t="s">
        <v>674</v>
      </c>
      <c r="F565" s="19">
        <v>0.0</v>
      </c>
      <c r="G565" s="15" t="s">
        <v>675</v>
      </c>
    </row>
    <row r="566" ht="15.75" customHeight="1">
      <c r="A566" s="17" t="s">
        <v>1237</v>
      </c>
      <c r="B566" s="17" t="s">
        <v>222</v>
      </c>
      <c r="C566" s="18">
        <v>45455.0</v>
      </c>
      <c r="D566" s="18">
        <v>45485.0</v>
      </c>
      <c r="E566" s="17" t="s">
        <v>684</v>
      </c>
      <c r="F566" s="20">
        <v>19.99</v>
      </c>
      <c r="G566" s="17" t="s">
        <v>675</v>
      </c>
    </row>
    <row r="567" ht="15.75" customHeight="1">
      <c r="A567" s="15" t="s">
        <v>1238</v>
      </c>
      <c r="B567" s="15" t="s">
        <v>152</v>
      </c>
      <c r="C567" s="16">
        <v>45455.0</v>
      </c>
      <c r="D567" s="16">
        <v>45485.0</v>
      </c>
      <c r="E567" s="15" t="s">
        <v>684</v>
      </c>
      <c r="F567" s="19">
        <v>19.99</v>
      </c>
      <c r="G567" s="15" t="s">
        <v>675</v>
      </c>
    </row>
    <row r="568" ht="15.75" customHeight="1">
      <c r="A568" s="17" t="s">
        <v>1239</v>
      </c>
      <c r="B568" s="17" t="s">
        <v>153</v>
      </c>
      <c r="C568" s="18">
        <v>45455.0</v>
      </c>
      <c r="D568" s="18">
        <v>45485.0</v>
      </c>
      <c r="E568" s="17" t="s">
        <v>684</v>
      </c>
      <c r="F568" s="20">
        <v>19.99</v>
      </c>
      <c r="G568" s="17" t="s">
        <v>675</v>
      </c>
    </row>
    <row r="569" ht="15.75" customHeight="1">
      <c r="A569" s="15" t="s">
        <v>1240</v>
      </c>
      <c r="B569" s="15" t="s">
        <v>189</v>
      </c>
      <c r="C569" s="16">
        <v>45455.0</v>
      </c>
      <c r="D569" s="16">
        <v>45485.0</v>
      </c>
      <c r="E569" s="15" t="s">
        <v>684</v>
      </c>
      <c r="F569" s="19">
        <v>19.99</v>
      </c>
      <c r="G569" s="15" t="s">
        <v>675</v>
      </c>
    </row>
    <row r="570" ht="15.75" customHeight="1">
      <c r="A570" s="17" t="s">
        <v>1241</v>
      </c>
      <c r="B570" s="17" t="s">
        <v>91</v>
      </c>
      <c r="C570" s="18">
        <v>45455.0</v>
      </c>
      <c r="D570" s="18">
        <v>45485.0</v>
      </c>
      <c r="E570" s="17" t="s">
        <v>684</v>
      </c>
      <c r="F570" s="20">
        <v>19.99</v>
      </c>
      <c r="G570" s="17" t="s">
        <v>675</v>
      </c>
    </row>
    <row r="571" ht="15.75" customHeight="1">
      <c r="A571" s="15" t="s">
        <v>1242</v>
      </c>
      <c r="B571" s="15" t="s">
        <v>92</v>
      </c>
      <c r="C571" s="16">
        <v>45456.0</v>
      </c>
      <c r="D571" s="16">
        <v>45486.0</v>
      </c>
      <c r="E571" s="15" t="s">
        <v>684</v>
      </c>
      <c r="F571" s="19">
        <v>19.99</v>
      </c>
      <c r="G571" s="15" t="s">
        <v>675</v>
      </c>
    </row>
    <row r="572" ht="15.75" customHeight="1">
      <c r="A572" s="17" t="s">
        <v>1243</v>
      </c>
      <c r="B572" s="17" t="s">
        <v>190</v>
      </c>
      <c r="C572" s="18">
        <v>45456.0</v>
      </c>
      <c r="D572" s="18">
        <v>45486.0</v>
      </c>
      <c r="E572" s="17" t="s">
        <v>684</v>
      </c>
      <c r="F572" s="20">
        <v>19.99</v>
      </c>
      <c r="G572" s="17" t="s">
        <v>675</v>
      </c>
    </row>
    <row r="573" ht="15.75" customHeight="1">
      <c r="A573" s="15" t="s">
        <v>1244</v>
      </c>
      <c r="B573" s="15" t="s">
        <v>121</v>
      </c>
      <c r="C573" s="16">
        <v>45456.0</v>
      </c>
      <c r="D573" s="16">
        <v>45486.0</v>
      </c>
      <c r="E573" s="15" t="s">
        <v>684</v>
      </c>
      <c r="F573" s="19">
        <v>19.99</v>
      </c>
      <c r="G573" s="15" t="s">
        <v>675</v>
      </c>
    </row>
    <row r="574" ht="15.75" customHeight="1">
      <c r="A574" s="17" t="s">
        <v>1245</v>
      </c>
      <c r="B574" s="17" t="s">
        <v>154</v>
      </c>
      <c r="C574" s="18">
        <v>45456.0</v>
      </c>
      <c r="D574" s="18">
        <v>45486.0</v>
      </c>
      <c r="E574" s="17" t="s">
        <v>684</v>
      </c>
      <c r="F574" s="20">
        <v>19.99</v>
      </c>
      <c r="G574" s="17" t="s">
        <v>675</v>
      </c>
    </row>
    <row r="575" ht="15.75" customHeight="1">
      <c r="A575" s="15" t="s">
        <v>1246</v>
      </c>
      <c r="B575" s="15" t="s">
        <v>155</v>
      </c>
      <c r="C575" s="16">
        <v>45457.0</v>
      </c>
      <c r="D575" s="16">
        <v>45487.0</v>
      </c>
      <c r="E575" s="15" t="s">
        <v>684</v>
      </c>
      <c r="F575" s="19">
        <v>19.99</v>
      </c>
      <c r="G575" s="15" t="s">
        <v>675</v>
      </c>
    </row>
    <row r="576" ht="15.75" customHeight="1">
      <c r="A576" s="17" t="s">
        <v>1247</v>
      </c>
      <c r="B576" s="17" t="s">
        <v>72</v>
      </c>
      <c r="C576" s="18">
        <v>45457.0</v>
      </c>
      <c r="D576" s="18">
        <v>45487.0</v>
      </c>
      <c r="E576" s="17" t="s">
        <v>684</v>
      </c>
      <c r="F576" s="20">
        <v>19.99</v>
      </c>
      <c r="G576" s="17" t="s">
        <v>675</v>
      </c>
    </row>
    <row r="577" ht="15.75" customHeight="1">
      <c r="A577" s="15" t="s">
        <v>1248</v>
      </c>
      <c r="B577" s="15" t="s">
        <v>123</v>
      </c>
      <c r="C577" s="16">
        <v>45457.0</v>
      </c>
      <c r="D577" s="16">
        <v>45487.0</v>
      </c>
      <c r="E577" s="15" t="s">
        <v>684</v>
      </c>
      <c r="F577" s="19">
        <v>19.99</v>
      </c>
      <c r="G577" s="15" t="s">
        <v>675</v>
      </c>
    </row>
    <row r="578" ht="15.75" customHeight="1">
      <c r="A578" s="17" t="s">
        <v>1249</v>
      </c>
      <c r="B578" s="17" t="s">
        <v>191</v>
      </c>
      <c r="C578" s="18">
        <v>45457.0</v>
      </c>
      <c r="D578" s="18">
        <v>45487.0</v>
      </c>
      <c r="E578" s="17" t="s">
        <v>684</v>
      </c>
      <c r="F578" s="20">
        <v>19.99</v>
      </c>
      <c r="G578" s="17" t="s">
        <v>675</v>
      </c>
    </row>
    <row r="579" ht="15.75" customHeight="1">
      <c r="A579" s="15" t="s">
        <v>1250</v>
      </c>
      <c r="B579" s="15" t="s">
        <v>73</v>
      </c>
      <c r="C579" s="16">
        <v>45457.0</v>
      </c>
      <c r="D579" s="16">
        <v>45487.0</v>
      </c>
      <c r="E579" s="15" t="s">
        <v>684</v>
      </c>
      <c r="F579" s="19">
        <v>19.99</v>
      </c>
      <c r="G579" s="15" t="s">
        <v>675</v>
      </c>
    </row>
    <row r="580" ht="15.75" customHeight="1">
      <c r="A580" s="17" t="s">
        <v>1251</v>
      </c>
      <c r="B580" s="17" t="s">
        <v>223</v>
      </c>
      <c r="C580" s="18">
        <v>45457.0</v>
      </c>
      <c r="D580" s="18">
        <v>45487.0</v>
      </c>
      <c r="E580" s="17" t="s">
        <v>684</v>
      </c>
      <c r="F580" s="20">
        <v>19.99</v>
      </c>
      <c r="G580" s="17" t="s">
        <v>675</v>
      </c>
    </row>
    <row r="581" ht="15.75" customHeight="1">
      <c r="A581" s="15" t="s">
        <v>1252</v>
      </c>
      <c r="B581" s="15" t="s">
        <v>74</v>
      </c>
      <c r="C581" s="16">
        <v>45457.0</v>
      </c>
      <c r="D581" s="16">
        <v>45487.0</v>
      </c>
      <c r="E581" s="15" t="s">
        <v>684</v>
      </c>
      <c r="F581" s="19">
        <v>19.99</v>
      </c>
      <c r="G581" s="15" t="s">
        <v>675</v>
      </c>
    </row>
    <row r="582" ht="15.75" customHeight="1">
      <c r="A582" s="17" t="s">
        <v>1253</v>
      </c>
      <c r="B582" s="17" t="s">
        <v>156</v>
      </c>
      <c r="C582" s="18">
        <v>45458.0</v>
      </c>
      <c r="D582" s="18">
        <v>45488.0</v>
      </c>
      <c r="E582" s="17" t="s">
        <v>684</v>
      </c>
      <c r="F582" s="20">
        <v>19.99</v>
      </c>
      <c r="G582" s="17" t="s">
        <v>675</v>
      </c>
    </row>
    <row r="583" ht="15.75" customHeight="1">
      <c r="A583" s="15" t="s">
        <v>1254</v>
      </c>
      <c r="B583" s="15" t="s">
        <v>225</v>
      </c>
      <c r="C583" s="16">
        <v>45458.0</v>
      </c>
      <c r="D583" s="16">
        <v>45465.0</v>
      </c>
      <c r="E583" s="15" t="s">
        <v>674</v>
      </c>
      <c r="F583" s="19">
        <v>0.0</v>
      </c>
      <c r="G583" s="15" t="s">
        <v>675</v>
      </c>
    </row>
    <row r="584" ht="15.75" customHeight="1">
      <c r="A584" s="17" t="s">
        <v>1255</v>
      </c>
      <c r="B584" s="17" t="s">
        <v>192</v>
      </c>
      <c r="C584" s="18">
        <v>45459.0</v>
      </c>
      <c r="D584" s="18">
        <v>45489.0</v>
      </c>
      <c r="E584" s="17" t="s">
        <v>684</v>
      </c>
      <c r="F584" s="20">
        <v>19.99</v>
      </c>
      <c r="G584" s="17" t="s">
        <v>675</v>
      </c>
    </row>
    <row r="585" ht="15.75" customHeight="1">
      <c r="A585" s="15" t="s">
        <v>1256</v>
      </c>
      <c r="B585" s="15" t="s">
        <v>124</v>
      </c>
      <c r="C585" s="16">
        <v>45459.0</v>
      </c>
      <c r="D585" s="16">
        <v>45489.0</v>
      </c>
      <c r="E585" s="15" t="s">
        <v>684</v>
      </c>
      <c r="F585" s="19">
        <v>19.99</v>
      </c>
      <c r="G585" s="15" t="s">
        <v>675</v>
      </c>
    </row>
    <row r="586" ht="15.75" customHeight="1">
      <c r="A586" s="17" t="s">
        <v>1257</v>
      </c>
      <c r="B586" s="17" t="s">
        <v>95</v>
      </c>
      <c r="C586" s="18">
        <v>45459.0</v>
      </c>
      <c r="D586" s="18">
        <v>45489.0</v>
      </c>
      <c r="E586" s="17" t="s">
        <v>684</v>
      </c>
      <c r="F586" s="20">
        <v>19.99</v>
      </c>
      <c r="G586" s="17" t="s">
        <v>675</v>
      </c>
    </row>
    <row r="587" ht="15.75" customHeight="1">
      <c r="A587" s="15" t="s">
        <v>1258</v>
      </c>
      <c r="B587" s="15" t="s">
        <v>157</v>
      </c>
      <c r="C587" s="16">
        <v>45459.0</v>
      </c>
      <c r="D587" s="16">
        <v>45489.0</v>
      </c>
      <c r="E587" s="15" t="s">
        <v>684</v>
      </c>
      <c r="F587" s="19">
        <v>19.99</v>
      </c>
      <c r="G587" s="15" t="s">
        <v>675</v>
      </c>
    </row>
    <row r="588" ht="15.75" customHeight="1">
      <c r="A588" s="17" t="s">
        <v>1259</v>
      </c>
      <c r="B588" s="17" t="s">
        <v>96</v>
      </c>
      <c r="C588" s="18">
        <v>45460.0</v>
      </c>
      <c r="D588" s="18">
        <v>45490.0</v>
      </c>
      <c r="E588" s="17" t="s">
        <v>684</v>
      </c>
      <c r="F588" s="20">
        <v>19.99</v>
      </c>
      <c r="G588" s="17" t="s">
        <v>675</v>
      </c>
    </row>
    <row r="589" ht="15.75" customHeight="1">
      <c r="A589" s="15" t="s">
        <v>1260</v>
      </c>
      <c r="B589" s="15" t="s">
        <v>125</v>
      </c>
      <c r="C589" s="16">
        <v>45460.0</v>
      </c>
      <c r="D589" s="16">
        <v>45490.0</v>
      </c>
      <c r="E589" s="15" t="s">
        <v>684</v>
      </c>
      <c r="F589" s="19">
        <v>19.99</v>
      </c>
      <c r="G589" s="15" t="s">
        <v>675</v>
      </c>
    </row>
    <row r="590" ht="15.75" customHeight="1">
      <c r="A590" s="17" t="s">
        <v>1261</v>
      </c>
      <c r="B590" s="17" t="s">
        <v>226</v>
      </c>
      <c r="C590" s="18">
        <v>45460.0</v>
      </c>
      <c r="D590" s="18">
        <v>45467.0</v>
      </c>
      <c r="E590" s="17" t="s">
        <v>674</v>
      </c>
      <c r="F590" s="20">
        <v>0.0</v>
      </c>
      <c r="G590" s="17" t="s">
        <v>675</v>
      </c>
    </row>
    <row r="591" ht="15.75" customHeight="1">
      <c r="A591" s="15" t="s">
        <v>1262</v>
      </c>
      <c r="B591" s="15" t="s">
        <v>227</v>
      </c>
      <c r="C591" s="16">
        <v>45460.0</v>
      </c>
      <c r="D591" s="16">
        <v>45467.0</v>
      </c>
      <c r="E591" s="15" t="s">
        <v>674</v>
      </c>
      <c r="F591" s="19">
        <v>0.0</v>
      </c>
      <c r="G591" s="15" t="s">
        <v>675</v>
      </c>
    </row>
    <row r="592" ht="15.75" customHeight="1">
      <c r="A592" s="17" t="s">
        <v>1263</v>
      </c>
      <c r="B592" s="17" t="s">
        <v>228</v>
      </c>
      <c r="C592" s="18">
        <v>45461.0</v>
      </c>
      <c r="D592" s="18">
        <v>45468.0</v>
      </c>
      <c r="E592" s="17" t="s">
        <v>674</v>
      </c>
      <c r="F592" s="20">
        <v>0.0</v>
      </c>
      <c r="G592" s="17" t="s">
        <v>675</v>
      </c>
    </row>
    <row r="593" ht="15.75" customHeight="1">
      <c r="A593" s="15" t="s">
        <v>1264</v>
      </c>
      <c r="B593" s="15" t="s">
        <v>75</v>
      </c>
      <c r="C593" s="16">
        <v>45461.0</v>
      </c>
      <c r="D593" s="16">
        <v>45491.0</v>
      </c>
      <c r="E593" s="15" t="s">
        <v>684</v>
      </c>
      <c r="F593" s="19">
        <v>19.99</v>
      </c>
      <c r="G593" s="15" t="s">
        <v>675</v>
      </c>
    </row>
    <row r="594" ht="15.75" customHeight="1">
      <c r="A594" s="17" t="s">
        <v>1265</v>
      </c>
      <c r="B594" s="17" t="s">
        <v>126</v>
      </c>
      <c r="C594" s="18">
        <v>45461.0</v>
      </c>
      <c r="D594" s="18">
        <v>45491.0</v>
      </c>
      <c r="E594" s="17" t="s">
        <v>684</v>
      </c>
      <c r="F594" s="20">
        <v>19.99</v>
      </c>
      <c r="G594" s="17" t="s">
        <v>675</v>
      </c>
    </row>
    <row r="595" ht="15.75" customHeight="1">
      <c r="A595" s="15" t="s">
        <v>1266</v>
      </c>
      <c r="B595" s="15" t="s">
        <v>127</v>
      </c>
      <c r="C595" s="16">
        <v>45461.0</v>
      </c>
      <c r="D595" s="16">
        <v>45491.0</v>
      </c>
      <c r="E595" s="15" t="s">
        <v>684</v>
      </c>
      <c r="F595" s="19">
        <v>19.99</v>
      </c>
      <c r="G595" s="15" t="s">
        <v>675</v>
      </c>
    </row>
    <row r="596" ht="15.75" customHeight="1">
      <c r="A596" s="17" t="s">
        <v>1267</v>
      </c>
      <c r="B596" s="17" t="s">
        <v>194</v>
      </c>
      <c r="C596" s="18">
        <v>45462.0</v>
      </c>
      <c r="D596" s="18">
        <v>45492.0</v>
      </c>
      <c r="E596" s="17" t="s">
        <v>684</v>
      </c>
      <c r="F596" s="20">
        <v>19.99</v>
      </c>
      <c r="G596" s="17" t="s">
        <v>675</v>
      </c>
    </row>
    <row r="597" ht="15.75" customHeight="1">
      <c r="A597" s="15" t="s">
        <v>1268</v>
      </c>
      <c r="B597" s="15" t="s">
        <v>224</v>
      </c>
      <c r="C597" s="16">
        <v>45462.0</v>
      </c>
      <c r="D597" s="16">
        <v>45492.0</v>
      </c>
      <c r="E597" s="15" t="s">
        <v>684</v>
      </c>
      <c r="F597" s="19">
        <v>19.99</v>
      </c>
      <c r="G597" s="15" t="s">
        <v>675</v>
      </c>
    </row>
    <row r="598" ht="15.75" customHeight="1">
      <c r="A598" s="17" t="s">
        <v>1269</v>
      </c>
      <c r="B598" s="17" t="s">
        <v>99</v>
      </c>
      <c r="C598" s="18">
        <v>45462.0</v>
      </c>
      <c r="D598" s="18">
        <v>45492.0</v>
      </c>
      <c r="E598" s="17" t="s">
        <v>684</v>
      </c>
      <c r="F598" s="20">
        <v>19.99</v>
      </c>
      <c r="G598" s="17" t="s">
        <v>675</v>
      </c>
    </row>
    <row r="599" ht="15.75" customHeight="1">
      <c r="A599" s="15" t="s">
        <v>1270</v>
      </c>
      <c r="B599" s="15" t="s">
        <v>229</v>
      </c>
      <c r="C599" s="16">
        <v>45462.0</v>
      </c>
      <c r="D599" s="16">
        <v>45469.0</v>
      </c>
      <c r="E599" s="15" t="s">
        <v>674</v>
      </c>
      <c r="F599" s="19">
        <v>0.0</v>
      </c>
      <c r="G599" s="15" t="s">
        <v>675</v>
      </c>
    </row>
    <row r="600" ht="15.75" customHeight="1">
      <c r="A600" s="17" t="s">
        <v>1271</v>
      </c>
      <c r="B600" s="17" t="s">
        <v>76</v>
      </c>
      <c r="C600" s="18">
        <v>45462.0</v>
      </c>
      <c r="D600" s="18">
        <v>45492.0</v>
      </c>
      <c r="E600" s="17" t="s">
        <v>684</v>
      </c>
      <c r="F600" s="20">
        <v>19.99</v>
      </c>
      <c r="G600" s="17" t="s">
        <v>675</v>
      </c>
    </row>
    <row r="601" ht="15.75" customHeight="1">
      <c r="A601" s="15" t="s">
        <v>1272</v>
      </c>
      <c r="B601" s="15" t="s">
        <v>195</v>
      </c>
      <c r="C601" s="16">
        <v>45462.0</v>
      </c>
      <c r="D601" s="16">
        <v>45492.0</v>
      </c>
      <c r="E601" s="15" t="s">
        <v>684</v>
      </c>
      <c r="F601" s="19">
        <v>19.99</v>
      </c>
      <c r="G601" s="15" t="s">
        <v>675</v>
      </c>
    </row>
    <row r="602" ht="15.75" customHeight="1">
      <c r="A602" s="17" t="s">
        <v>1273</v>
      </c>
      <c r="B602" s="17" t="s">
        <v>159</v>
      </c>
      <c r="C602" s="18">
        <v>45462.0</v>
      </c>
      <c r="D602" s="18">
        <v>45492.0</v>
      </c>
      <c r="E602" s="17" t="s">
        <v>684</v>
      </c>
      <c r="F602" s="20">
        <v>19.99</v>
      </c>
      <c r="G602" s="17" t="s">
        <v>675</v>
      </c>
    </row>
    <row r="603" ht="15.75" customHeight="1">
      <c r="A603" s="15" t="s">
        <v>1274</v>
      </c>
      <c r="B603" s="15" t="s">
        <v>160</v>
      </c>
      <c r="C603" s="16">
        <v>45462.0</v>
      </c>
      <c r="D603" s="16">
        <v>45492.0</v>
      </c>
      <c r="E603" s="15" t="s">
        <v>684</v>
      </c>
      <c r="F603" s="19">
        <v>19.99</v>
      </c>
      <c r="G603" s="15" t="s">
        <v>675</v>
      </c>
    </row>
    <row r="604" ht="15.75" customHeight="1">
      <c r="A604" s="17" t="s">
        <v>1275</v>
      </c>
      <c r="B604" s="17" t="s">
        <v>196</v>
      </c>
      <c r="C604" s="18">
        <v>45462.0</v>
      </c>
      <c r="D604" s="18">
        <v>45492.0</v>
      </c>
      <c r="E604" s="17" t="s">
        <v>684</v>
      </c>
      <c r="F604" s="20">
        <v>19.99</v>
      </c>
      <c r="G604" s="17" t="s">
        <v>675</v>
      </c>
    </row>
    <row r="605" ht="15.75" customHeight="1">
      <c r="A605" s="15" t="s">
        <v>1276</v>
      </c>
      <c r="B605" s="15" t="s">
        <v>197</v>
      </c>
      <c r="C605" s="16">
        <v>45463.0</v>
      </c>
      <c r="D605" s="16">
        <v>45493.0</v>
      </c>
      <c r="E605" s="15" t="s">
        <v>684</v>
      </c>
      <c r="F605" s="19">
        <v>19.99</v>
      </c>
      <c r="G605" s="15" t="s">
        <v>675</v>
      </c>
    </row>
    <row r="606" ht="15.75" customHeight="1">
      <c r="A606" s="17" t="s">
        <v>1277</v>
      </c>
      <c r="B606" s="17" t="s">
        <v>162</v>
      </c>
      <c r="C606" s="18">
        <v>45463.0</v>
      </c>
      <c r="D606" s="18">
        <v>45493.0</v>
      </c>
      <c r="E606" s="17" t="s">
        <v>684</v>
      </c>
      <c r="F606" s="20">
        <v>19.99</v>
      </c>
      <c r="G606" s="17" t="s">
        <v>675</v>
      </c>
    </row>
    <row r="607" ht="15.75" customHeight="1">
      <c r="A607" s="15" t="s">
        <v>1278</v>
      </c>
      <c r="B607" s="15" t="s">
        <v>129</v>
      </c>
      <c r="C607" s="16">
        <v>45463.0</v>
      </c>
      <c r="D607" s="16">
        <v>45493.0</v>
      </c>
      <c r="E607" s="15" t="s">
        <v>684</v>
      </c>
      <c r="F607" s="19">
        <v>19.99</v>
      </c>
      <c r="G607" s="15" t="s">
        <v>675</v>
      </c>
    </row>
    <row r="608" ht="15.75" customHeight="1">
      <c r="A608" s="17" t="s">
        <v>1279</v>
      </c>
      <c r="B608" s="17" t="s">
        <v>230</v>
      </c>
      <c r="C608" s="18">
        <v>45463.0</v>
      </c>
      <c r="D608" s="18">
        <v>45470.0</v>
      </c>
      <c r="E608" s="17" t="s">
        <v>674</v>
      </c>
      <c r="F608" s="20">
        <v>0.0</v>
      </c>
      <c r="G608" s="17" t="s">
        <v>675</v>
      </c>
    </row>
    <row r="609" ht="15.75" customHeight="1">
      <c r="A609" s="15" t="s">
        <v>1280</v>
      </c>
      <c r="B609" s="15" t="s">
        <v>130</v>
      </c>
      <c r="C609" s="16">
        <v>45464.0</v>
      </c>
      <c r="D609" s="16">
        <v>45494.0</v>
      </c>
      <c r="E609" s="15" t="s">
        <v>684</v>
      </c>
      <c r="F609" s="19">
        <v>19.99</v>
      </c>
      <c r="G609" s="15" t="s">
        <v>675</v>
      </c>
    </row>
    <row r="610" ht="15.75" customHeight="1">
      <c r="A610" s="17" t="s">
        <v>1281</v>
      </c>
      <c r="B610" s="17" t="s">
        <v>163</v>
      </c>
      <c r="C610" s="18">
        <v>45464.0</v>
      </c>
      <c r="D610" s="18">
        <v>45494.0</v>
      </c>
      <c r="E610" s="17" t="s">
        <v>684</v>
      </c>
      <c r="F610" s="20">
        <v>19.99</v>
      </c>
      <c r="G610" s="17" t="s">
        <v>675</v>
      </c>
    </row>
    <row r="611" ht="15.75" customHeight="1">
      <c r="A611" s="15" t="s">
        <v>1282</v>
      </c>
      <c r="B611" s="15" t="s">
        <v>164</v>
      </c>
      <c r="C611" s="16">
        <v>45464.0</v>
      </c>
      <c r="D611" s="16">
        <v>45494.0</v>
      </c>
      <c r="E611" s="15" t="s">
        <v>684</v>
      </c>
      <c r="F611" s="19">
        <v>19.99</v>
      </c>
      <c r="G611" s="15" t="s">
        <v>675</v>
      </c>
    </row>
    <row r="612" ht="15.75" customHeight="1">
      <c r="A612" s="17" t="s">
        <v>1283</v>
      </c>
      <c r="B612" s="17" t="s">
        <v>198</v>
      </c>
      <c r="C612" s="18">
        <v>45464.0</v>
      </c>
      <c r="D612" s="18">
        <v>45494.0</v>
      </c>
      <c r="E612" s="17" t="s">
        <v>684</v>
      </c>
      <c r="F612" s="20">
        <v>19.99</v>
      </c>
      <c r="G612" s="17" t="s">
        <v>675</v>
      </c>
    </row>
    <row r="613" ht="15.75" customHeight="1">
      <c r="A613" s="15" t="s">
        <v>1284</v>
      </c>
      <c r="B613" s="15" t="s">
        <v>100</v>
      </c>
      <c r="C613" s="16">
        <v>45465.0</v>
      </c>
      <c r="D613" s="16">
        <v>45495.0</v>
      </c>
      <c r="E613" s="15" t="s">
        <v>684</v>
      </c>
      <c r="F613" s="19">
        <v>19.99</v>
      </c>
      <c r="G613" s="15" t="s">
        <v>675</v>
      </c>
    </row>
    <row r="614" ht="15.75" customHeight="1">
      <c r="A614" s="17" t="s">
        <v>1285</v>
      </c>
      <c r="B614" s="17" t="s">
        <v>165</v>
      </c>
      <c r="C614" s="18">
        <v>45465.0</v>
      </c>
      <c r="D614" s="18">
        <v>45495.0</v>
      </c>
      <c r="E614" s="17" t="s">
        <v>684</v>
      </c>
      <c r="F614" s="20">
        <v>19.99</v>
      </c>
      <c r="G614" s="17" t="s">
        <v>675</v>
      </c>
    </row>
    <row r="615" ht="15.75" customHeight="1">
      <c r="A615" s="15" t="s">
        <v>1286</v>
      </c>
      <c r="B615" s="15" t="s">
        <v>200</v>
      </c>
      <c r="C615" s="16">
        <v>45465.0</v>
      </c>
      <c r="D615" s="16">
        <v>45495.0</v>
      </c>
      <c r="E615" s="15" t="s">
        <v>684</v>
      </c>
      <c r="F615" s="19">
        <v>19.99</v>
      </c>
      <c r="G615" s="15" t="s">
        <v>675</v>
      </c>
    </row>
    <row r="616" ht="15.75" customHeight="1">
      <c r="A616" s="17" t="s">
        <v>1287</v>
      </c>
      <c r="B616" s="17" t="s">
        <v>231</v>
      </c>
      <c r="C616" s="18">
        <v>45465.0</v>
      </c>
      <c r="D616" s="18">
        <v>45472.0</v>
      </c>
      <c r="E616" s="17" t="s">
        <v>674</v>
      </c>
      <c r="F616" s="20">
        <v>0.0</v>
      </c>
      <c r="G616" s="17" t="s">
        <v>675</v>
      </c>
    </row>
    <row r="617" ht="15.75" customHeight="1">
      <c r="A617" s="15" t="s">
        <v>1288</v>
      </c>
      <c r="B617" s="15" t="s">
        <v>225</v>
      </c>
      <c r="C617" s="16">
        <v>45465.0</v>
      </c>
      <c r="D617" s="16">
        <v>45495.0</v>
      </c>
      <c r="E617" s="15" t="s">
        <v>684</v>
      </c>
      <c r="F617" s="19">
        <v>19.99</v>
      </c>
      <c r="G617" s="15" t="s">
        <v>675</v>
      </c>
    </row>
    <row r="618" ht="15.75" customHeight="1">
      <c r="A618" s="17" t="s">
        <v>1289</v>
      </c>
      <c r="B618" s="17" t="s">
        <v>79</v>
      </c>
      <c r="C618" s="18">
        <v>45466.0</v>
      </c>
      <c r="D618" s="18">
        <v>45496.0</v>
      </c>
      <c r="E618" s="17" t="s">
        <v>684</v>
      </c>
      <c r="F618" s="20">
        <v>19.99</v>
      </c>
      <c r="G618" s="17" t="s">
        <v>675</v>
      </c>
    </row>
    <row r="619" ht="15.75" customHeight="1">
      <c r="A619" s="15" t="s">
        <v>1290</v>
      </c>
      <c r="B619" s="15" t="s">
        <v>201</v>
      </c>
      <c r="C619" s="16">
        <v>45466.0</v>
      </c>
      <c r="D619" s="16">
        <v>45496.0</v>
      </c>
      <c r="E619" s="15" t="s">
        <v>684</v>
      </c>
      <c r="F619" s="19">
        <v>19.99</v>
      </c>
      <c r="G619" s="15" t="s">
        <v>675</v>
      </c>
    </row>
    <row r="620" ht="15.75" customHeight="1">
      <c r="A620" s="17" t="s">
        <v>1291</v>
      </c>
      <c r="B620" s="17" t="s">
        <v>133</v>
      </c>
      <c r="C620" s="18">
        <v>45466.0</v>
      </c>
      <c r="D620" s="18">
        <v>45496.0</v>
      </c>
      <c r="E620" s="17" t="s">
        <v>684</v>
      </c>
      <c r="F620" s="20">
        <v>19.99</v>
      </c>
      <c r="G620" s="17" t="s">
        <v>675</v>
      </c>
    </row>
    <row r="621" ht="15.75" customHeight="1">
      <c r="A621" s="15" t="s">
        <v>1292</v>
      </c>
      <c r="B621" s="15" t="s">
        <v>202</v>
      </c>
      <c r="C621" s="16">
        <v>45466.0</v>
      </c>
      <c r="D621" s="16">
        <v>45496.0</v>
      </c>
      <c r="E621" s="15" t="s">
        <v>684</v>
      </c>
      <c r="F621" s="19">
        <v>19.99</v>
      </c>
      <c r="G621" s="15" t="s">
        <v>675</v>
      </c>
    </row>
    <row r="622" ht="15.75" customHeight="1">
      <c r="A622" s="17" t="s">
        <v>1293</v>
      </c>
      <c r="B622" s="17" t="s">
        <v>232</v>
      </c>
      <c r="C622" s="18">
        <v>45466.0</v>
      </c>
      <c r="D622" s="18">
        <v>45473.0</v>
      </c>
      <c r="E622" s="17" t="s">
        <v>674</v>
      </c>
      <c r="F622" s="20">
        <v>0.0</v>
      </c>
      <c r="G622" s="17" t="s">
        <v>675</v>
      </c>
    </row>
    <row r="623" ht="15.75" customHeight="1">
      <c r="A623" s="15" t="s">
        <v>1294</v>
      </c>
      <c r="B623" s="15" t="s">
        <v>233</v>
      </c>
      <c r="C623" s="16">
        <v>45466.0</v>
      </c>
      <c r="D623" s="16">
        <v>45473.0</v>
      </c>
      <c r="E623" s="15" t="s">
        <v>674</v>
      </c>
      <c r="F623" s="19">
        <v>0.0</v>
      </c>
      <c r="G623" s="15" t="s">
        <v>675</v>
      </c>
    </row>
    <row r="624" ht="15.75" customHeight="1">
      <c r="A624" s="17" t="s">
        <v>1295</v>
      </c>
      <c r="B624" s="17" t="s">
        <v>234</v>
      </c>
      <c r="C624" s="18">
        <v>45466.0</v>
      </c>
      <c r="D624" s="18">
        <v>45473.0</v>
      </c>
      <c r="E624" s="17" t="s">
        <v>674</v>
      </c>
      <c r="F624" s="20">
        <v>0.0</v>
      </c>
      <c r="G624" s="17" t="s">
        <v>675</v>
      </c>
    </row>
    <row r="625" ht="15.75" customHeight="1">
      <c r="A625" s="15" t="s">
        <v>1296</v>
      </c>
      <c r="B625" s="15" t="s">
        <v>203</v>
      </c>
      <c r="C625" s="16">
        <v>45467.0</v>
      </c>
      <c r="D625" s="16">
        <v>45497.0</v>
      </c>
      <c r="E625" s="15" t="s">
        <v>684</v>
      </c>
      <c r="F625" s="19">
        <v>19.99</v>
      </c>
      <c r="G625" s="15" t="s">
        <v>675</v>
      </c>
    </row>
    <row r="626" ht="15.75" customHeight="1">
      <c r="A626" s="17" t="s">
        <v>1297</v>
      </c>
      <c r="B626" s="17" t="s">
        <v>235</v>
      </c>
      <c r="C626" s="18">
        <v>45467.0</v>
      </c>
      <c r="D626" s="18">
        <v>45474.0</v>
      </c>
      <c r="E626" s="17" t="s">
        <v>674</v>
      </c>
      <c r="F626" s="20">
        <v>0.0</v>
      </c>
      <c r="G626" s="17" t="s">
        <v>675</v>
      </c>
    </row>
    <row r="627" ht="15.75" customHeight="1">
      <c r="A627" s="15" t="s">
        <v>1298</v>
      </c>
      <c r="B627" s="15" t="s">
        <v>236</v>
      </c>
      <c r="C627" s="16">
        <v>45467.0</v>
      </c>
      <c r="D627" s="16">
        <v>45474.0</v>
      </c>
      <c r="E627" s="15" t="s">
        <v>674</v>
      </c>
      <c r="F627" s="19">
        <v>0.0</v>
      </c>
      <c r="G627" s="15" t="s">
        <v>675</v>
      </c>
    </row>
    <row r="628" ht="15.75" customHeight="1">
      <c r="A628" s="17" t="s">
        <v>1299</v>
      </c>
      <c r="B628" s="17" t="s">
        <v>134</v>
      </c>
      <c r="C628" s="18">
        <v>45467.0</v>
      </c>
      <c r="D628" s="18">
        <v>45497.0</v>
      </c>
      <c r="E628" s="17" t="s">
        <v>684</v>
      </c>
      <c r="F628" s="20">
        <v>19.99</v>
      </c>
      <c r="G628" s="17" t="s">
        <v>675</v>
      </c>
    </row>
    <row r="629" ht="15.75" customHeight="1">
      <c r="A629" s="15" t="s">
        <v>1300</v>
      </c>
      <c r="B629" s="15" t="s">
        <v>237</v>
      </c>
      <c r="C629" s="16">
        <v>45467.0</v>
      </c>
      <c r="D629" s="16">
        <v>45474.0</v>
      </c>
      <c r="E629" s="15" t="s">
        <v>674</v>
      </c>
      <c r="F629" s="19">
        <v>0.0</v>
      </c>
      <c r="G629" s="15" t="s">
        <v>675</v>
      </c>
    </row>
    <row r="630" ht="15.75" customHeight="1">
      <c r="A630" s="17" t="s">
        <v>1301</v>
      </c>
      <c r="B630" s="17" t="s">
        <v>226</v>
      </c>
      <c r="C630" s="18">
        <v>45467.0</v>
      </c>
      <c r="D630" s="18">
        <v>45497.0</v>
      </c>
      <c r="E630" s="17" t="s">
        <v>684</v>
      </c>
      <c r="F630" s="20">
        <v>19.99</v>
      </c>
      <c r="G630" s="17" t="s">
        <v>675</v>
      </c>
    </row>
    <row r="631" ht="15.75" customHeight="1">
      <c r="A631" s="15" t="s">
        <v>1302</v>
      </c>
      <c r="B631" s="15" t="s">
        <v>227</v>
      </c>
      <c r="C631" s="16">
        <v>45467.0</v>
      </c>
      <c r="D631" s="16">
        <v>45497.0</v>
      </c>
      <c r="E631" s="15" t="s">
        <v>684</v>
      </c>
      <c r="F631" s="19">
        <v>19.99</v>
      </c>
      <c r="G631" s="15" t="s">
        <v>675</v>
      </c>
    </row>
    <row r="632" ht="15.75" customHeight="1">
      <c r="A632" s="17" t="s">
        <v>1303</v>
      </c>
      <c r="B632" s="17" t="s">
        <v>205</v>
      </c>
      <c r="C632" s="18">
        <v>45467.0</v>
      </c>
      <c r="D632" s="18">
        <v>45497.0</v>
      </c>
      <c r="E632" s="17" t="s">
        <v>684</v>
      </c>
      <c r="F632" s="20">
        <v>19.99</v>
      </c>
      <c r="G632" s="17" t="s">
        <v>675</v>
      </c>
    </row>
    <row r="633" ht="15.75" customHeight="1">
      <c r="A633" s="15" t="s">
        <v>1304</v>
      </c>
      <c r="B633" s="15" t="s">
        <v>206</v>
      </c>
      <c r="C633" s="16">
        <v>45467.0</v>
      </c>
      <c r="D633" s="16">
        <v>45497.0</v>
      </c>
      <c r="E633" s="15" t="s">
        <v>684</v>
      </c>
      <c r="F633" s="19">
        <v>19.99</v>
      </c>
      <c r="G633" s="15" t="s">
        <v>675</v>
      </c>
    </row>
    <row r="634" ht="15.75" customHeight="1">
      <c r="A634" s="17" t="s">
        <v>1305</v>
      </c>
      <c r="B634" s="17" t="s">
        <v>228</v>
      </c>
      <c r="C634" s="18">
        <v>45468.0</v>
      </c>
      <c r="D634" s="18">
        <v>45498.0</v>
      </c>
      <c r="E634" s="17" t="s">
        <v>684</v>
      </c>
      <c r="F634" s="20">
        <v>19.99</v>
      </c>
      <c r="G634" s="17" t="s">
        <v>675</v>
      </c>
    </row>
    <row r="635" ht="15.75" customHeight="1">
      <c r="A635" s="15" t="s">
        <v>1306</v>
      </c>
      <c r="B635" s="15" t="s">
        <v>102</v>
      </c>
      <c r="C635" s="16">
        <v>45468.0</v>
      </c>
      <c r="D635" s="16">
        <v>45498.0</v>
      </c>
      <c r="E635" s="15" t="s">
        <v>684</v>
      </c>
      <c r="F635" s="19">
        <v>19.99</v>
      </c>
      <c r="G635" s="15" t="s">
        <v>675</v>
      </c>
    </row>
    <row r="636" ht="15.75" customHeight="1">
      <c r="A636" s="17" t="s">
        <v>1307</v>
      </c>
      <c r="B636" s="17" t="s">
        <v>166</v>
      </c>
      <c r="C636" s="18">
        <v>45468.0</v>
      </c>
      <c r="D636" s="18">
        <v>45498.0</v>
      </c>
      <c r="E636" s="17" t="s">
        <v>684</v>
      </c>
      <c r="F636" s="20">
        <v>19.99</v>
      </c>
      <c r="G636" s="17" t="s">
        <v>675</v>
      </c>
    </row>
    <row r="637" ht="15.75" customHeight="1">
      <c r="A637" s="15" t="s">
        <v>1308</v>
      </c>
      <c r="B637" s="15" t="s">
        <v>167</v>
      </c>
      <c r="C637" s="16">
        <v>45468.0</v>
      </c>
      <c r="D637" s="16">
        <v>45498.0</v>
      </c>
      <c r="E637" s="15" t="s">
        <v>684</v>
      </c>
      <c r="F637" s="19">
        <v>19.99</v>
      </c>
      <c r="G637" s="15" t="s">
        <v>675</v>
      </c>
    </row>
    <row r="638" ht="15.75" customHeight="1">
      <c r="A638" s="17" t="s">
        <v>1309</v>
      </c>
      <c r="B638" s="17" t="s">
        <v>168</v>
      </c>
      <c r="C638" s="18">
        <v>45468.0</v>
      </c>
      <c r="D638" s="18">
        <v>45498.0</v>
      </c>
      <c r="E638" s="17" t="s">
        <v>684</v>
      </c>
      <c r="F638" s="20">
        <v>19.99</v>
      </c>
      <c r="G638" s="17" t="s">
        <v>675</v>
      </c>
    </row>
    <row r="639" ht="15.75" customHeight="1">
      <c r="A639" s="15" t="s">
        <v>1310</v>
      </c>
      <c r="B639" s="15" t="s">
        <v>208</v>
      </c>
      <c r="C639" s="16">
        <v>45468.0</v>
      </c>
      <c r="D639" s="16">
        <v>45498.0</v>
      </c>
      <c r="E639" s="15" t="s">
        <v>684</v>
      </c>
      <c r="F639" s="19">
        <v>19.99</v>
      </c>
      <c r="G639" s="15" t="s">
        <v>675</v>
      </c>
    </row>
    <row r="640" ht="15.75" customHeight="1">
      <c r="A640" s="17" t="s">
        <v>1311</v>
      </c>
      <c r="B640" s="17" t="s">
        <v>136</v>
      </c>
      <c r="C640" s="18">
        <v>45469.0</v>
      </c>
      <c r="D640" s="18">
        <v>45499.0</v>
      </c>
      <c r="E640" s="17" t="s">
        <v>684</v>
      </c>
      <c r="F640" s="20">
        <v>19.99</v>
      </c>
      <c r="G640" s="17" t="s">
        <v>675</v>
      </c>
    </row>
    <row r="641" ht="15.75" customHeight="1">
      <c r="A641" s="15" t="s">
        <v>1312</v>
      </c>
      <c r="B641" s="15" t="s">
        <v>229</v>
      </c>
      <c r="C641" s="16">
        <v>45469.0</v>
      </c>
      <c r="D641" s="16">
        <v>45499.0</v>
      </c>
      <c r="E641" s="15" t="s">
        <v>684</v>
      </c>
      <c r="F641" s="19">
        <v>19.99</v>
      </c>
      <c r="G641" s="15" t="s">
        <v>675</v>
      </c>
    </row>
    <row r="642" ht="15.75" customHeight="1">
      <c r="A642" s="17" t="s">
        <v>1313</v>
      </c>
      <c r="B642" s="17" t="s">
        <v>82</v>
      </c>
      <c r="C642" s="18">
        <v>45469.0</v>
      </c>
      <c r="D642" s="18">
        <v>45499.0</v>
      </c>
      <c r="E642" s="17" t="s">
        <v>684</v>
      </c>
      <c r="F642" s="20">
        <v>19.99</v>
      </c>
      <c r="G642" s="17" t="s">
        <v>675</v>
      </c>
    </row>
    <row r="643" ht="15.75" customHeight="1">
      <c r="A643" s="15" t="s">
        <v>1314</v>
      </c>
      <c r="B643" s="15" t="s">
        <v>137</v>
      </c>
      <c r="C643" s="16">
        <v>45469.0</v>
      </c>
      <c r="D643" s="16">
        <v>45499.0</v>
      </c>
      <c r="E643" s="15" t="s">
        <v>684</v>
      </c>
      <c r="F643" s="19">
        <v>19.99</v>
      </c>
      <c r="G643" s="15" t="s">
        <v>675</v>
      </c>
    </row>
    <row r="644" ht="15.75" customHeight="1">
      <c r="A644" s="17" t="s">
        <v>1315</v>
      </c>
      <c r="B644" s="17" t="s">
        <v>83</v>
      </c>
      <c r="C644" s="18">
        <v>45469.0</v>
      </c>
      <c r="D644" s="18">
        <v>45499.0</v>
      </c>
      <c r="E644" s="17" t="s">
        <v>684</v>
      </c>
      <c r="F644" s="20">
        <v>19.99</v>
      </c>
      <c r="G644" s="17" t="s">
        <v>675</v>
      </c>
    </row>
    <row r="645" ht="15.75" customHeight="1">
      <c r="A645" s="15" t="s">
        <v>1316</v>
      </c>
      <c r="B645" s="15" t="s">
        <v>138</v>
      </c>
      <c r="C645" s="16">
        <v>45469.0</v>
      </c>
      <c r="D645" s="16">
        <v>45499.0</v>
      </c>
      <c r="E645" s="15" t="s">
        <v>684</v>
      </c>
      <c r="F645" s="19">
        <v>19.99</v>
      </c>
      <c r="G645" s="15" t="s">
        <v>675</v>
      </c>
    </row>
    <row r="646" ht="15.75" customHeight="1">
      <c r="A646" s="17" t="s">
        <v>1317</v>
      </c>
      <c r="B646" s="17" t="s">
        <v>84</v>
      </c>
      <c r="C646" s="18">
        <v>45470.0</v>
      </c>
      <c r="D646" s="18">
        <v>45500.0</v>
      </c>
      <c r="E646" s="17" t="s">
        <v>684</v>
      </c>
      <c r="F646" s="20">
        <v>19.99</v>
      </c>
      <c r="G646" s="17" t="s">
        <v>675</v>
      </c>
    </row>
    <row r="647" ht="15.75" customHeight="1">
      <c r="A647" s="15" t="s">
        <v>1318</v>
      </c>
      <c r="B647" s="15" t="s">
        <v>238</v>
      </c>
      <c r="C647" s="16">
        <v>45470.0</v>
      </c>
      <c r="D647" s="16">
        <v>45477.0</v>
      </c>
      <c r="E647" s="15" t="s">
        <v>674</v>
      </c>
      <c r="F647" s="19">
        <v>0.0</v>
      </c>
      <c r="G647" s="15" t="s">
        <v>675</v>
      </c>
    </row>
    <row r="648" ht="15.75" customHeight="1">
      <c r="A648" s="17" t="s">
        <v>1319</v>
      </c>
      <c r="B648" s="17" t="s">
        <v>139</v>
      </c>
      <c r="C648" s="18">
        <v>45470.0</v>
      </c>
      <c r="D648" s="18">
        <v>45500.0</v>
      </c>
      <c r="E648" s="17" t="s">
        <v>684</v>
      </c>
      <c r="F648" s="20">
        <v>19.99</v>
      </c>
      <c r="G648" s="17" t="s">
        <v>675</v>
      </c>
    </row>
    <row r="649" ht="15.75" customHeight="1">
      <c r="A649" s="15" t="s">
        <v>1320</v>
      </c>
      <c r="B649" s="15" t="s">
        <v>103</v>
      </c>
      <c r="C649" s="16">
        <v>45470.0</v>
      </c>
      <c r="D649" s="16">
        <v>45500.0</v>
      </c>
      <c r="E649" s="15" t="s">
        <v>684</v>
      </c>
      <c r="F649" s="19">
        <v>19.99</v>
      </c>
      <c r="G649" s="15" t="s">
        <v>675</v>
      </c>
    </row>
    <row r="650" ht="15.75" customHeight="1">
      <c r="A650" s="17" t="s">
        <v>1321</v>
      </c>
      <c r="B650" s="17" t="s">
        <v>140</v>
      </c>
      <c r="C650" s="18">
        <v>45470.0</v>
      </c>
      <c r="D650" s="18">
        <v>45500.0</v>
      </c>
      <c r="E650" s="17" t="s">
        <v>684</v>
      </c>
      <c r="F650" s="20">
        <v>19.99</v>
      </c>
      <c r="G650" s="17" t="s">
        <v>675</v>
      </c>
    </row>
    <row r="651" ht="15.75" customHeight="1">
      <c r="A651" s="15" t="s">
        <v>1322</v>
      </c>
      <c r="B651" s="15" t="s">
        <v>239</v>
      </c>
      <c r="C651" s="16">
        <v>45470.0</v>
      </c>
      <c r="D651" s="16">
        <v>45477.0</v>
      </c>
      <c r="E651" s="15" t="s">
        <v>674</v>
      </c>
      <c r="F651" s="19">
        <v>0.0</v>
      </c>
      <c r="G651" s="15" t="s">
        <v>675</v>
      </c>
    </row>
    <row r="652" ht="15.75" customHeight="1">
      <c r="A652" s="17" t="s">
        <v>1323</v>
      </c>
      <c r="B652" s="17" t="s">
        <v>171</v>
      </c>
      <c r="C652" s="18">
        <v>45470.0</v>
      </c>
      <c r="D652" s="18">
        <v>45500.0</v>
      </c>
      <c r="E652" s="17" t="s">
        <v>684</v>
      </c>
      <c r="F652" s="20">
        <v>19.99</v>
      </c>
      <c r="G652" s="17" t="s">
        <v>675</v>
      </c>
    </row>
    <row r="653" ht="15.75" customHeight="1">
      <c r="A653" s="15" t="s">
        <v>1324</v>
      </c>
      <c r="B653" s="15" t="s">
        <v>230</v>
      </c>
      <c r="C653" s="16">
        <v>45470.0</v>
      </c>
      <c r="D653" s="16">
        <v>45500.0</v>
      </c>
      <c r="E653" s="15" t="s">
        <v>684</v>
      </c>
      <c r="F653" s="19">
        <v>19.99</v>
      </c>
      <c r="G653" s="15" t="s">
        <v>675</v>
      </c>
    </row>
    <row r="654" ht="15.75" customHeight="1">
      <c r="A654" s="17" t="s">
        <v>1325</v>
      </c>
      <c r="B654" s="17" t="s">
        <v>172</v>
      </c>
      <c r="C654" s="18">
        <v>45471.0</v>
      </c>
      <c r="D654" s="18">
        <v>45501.0</v>
      </c>
      <c r="E654" s="17" t="s">
        <v>684</v>
      </c>
      <c r="F654" s="20">
        <v>19.99</v>
      </c>
      <c r="G654" s="17" t="s">
        <v>675</v>
      </c>
    </row>
    <row r="655" ht="15.75" customHeight="1">
      <c r="A655" s="15" t="s">
        <v>1326</v>
      </c>
      <c r="B655" s="15" t="s">
        <v>240</v>
      </c>
      <c r="C655" s="16">
        <v>45471.0</v>
      </c>
      <c r="D655" s="16">
        <v>45478.0</v>
      </c>
      <c r="E655" s="15" t="s">
        <v>674</v>
      </c>
      <c r="F655" s="19">
        <v>0.0</v>
      </c>
      <c r="G655" s="15" t="s">
        <v>675</v>
      </c>
    </row>
    <row r="656" ht="15.75" customHeight="1">
      <c r="A656" s="17" t="s">
        <v>1327</v>
      </c>
      <c r="B656" s="17" t="s">
        <v>210</v>
      </c>
      <c r="C656" s="18">
        <v>45471.0</v>
      </c>
      <c r="D656" s="18">
        <v>45501.0</v>
      </c>
      <c r="E656" s="17" t="s">
        <v>684</v>
      </c>
      <c r="F656" s="20">
        <v>19.99</v>
      </c>
      <c r="G656" s="17" t="s">
        <v>675</v>
      </c>
    </row>
    <row r="657" ht="15.75" customHeight="1">
      <c r="A657" s="15" t="s">
        <v>1328</v>
      </c>
      <c r="B657" s="15" t="s">
        <v>241</v>
      </c>
      <c r="C657" s="16">
        <v>45471.0</v>
      </c>
      <c r="D657" s="16">
        <v>45478.0</v>
      </c>
      <c r="E657" s="15" t="s">
        <v>674</v>
      </c>
      <c r="F657" s="19">
        <v>0.0</v>
      </c>
      <c r="G657" s="15" t="s">
        <v>675</v>
      </c>
    </row>
    <row r="658" ht="15.75" customHeight="1">
      <c r="A658" s="17" t="s">
        <v>1329</v>
      </c>
      <c r="B658" s="17" t="s">
        <v>104</v>
      </c>
      <c r="C658" s="18">
        <v>45472.0</v>
      </c>
      <c r="D658" s="18">
        <v>45502.0</v>
      </c>
      <c r="E658" s="17" t="s">
        <v>684</v>
      </c>
      <c r="F658" s="20">
        <v>19.99</v>
      </c>
      <c r="G658" s="17" t="s">
        <v>675</v>
      </c>
    </row>
    <row r="659" ht="15.75" customHeight="1">
      <c r="A659" s="15" t="s">
        <v>1330</v>
      </c>
      <c r="B659" s="15" t="s">
        <v>211</v>
      </c>
      <c r="C659" s="16">
        <v>45472.0</v>
      </c>
      <c r="D659" s="16">
        <v>45502.0</v>
      </c>
      <c r="E659" s="15" t="s">
        <v>684</v>
      </c>
      <c r="F659" s="19">
        <v>19.99</v>
      </c>
      <c r="G659" s="15" t="s">
        <v>675</v>
      </c>
    </row>
    <row r="660" ht="15.75" customHeight="1">
      <c r="A660" s="17" t="s">
        <v>1331</v>
      </c>
      <c r="B660" s="17" t="s">
        <v>231</v>
      </c>
      <c r="C660" s="18">
        <v>45472.0</v>
      </c>
      <c r="D660" s="18">
        <v>45502.0</v>
      </c>
      <c r="E660" s="17" t="s">
        <v>684</v>
      </c>
      <c r="F660" s="20">
        <v>19.99</v>
      </c>
      <c r="G660" s="17" t="s">
        <v>675</v>
      </c>
    </row>
    <row r="661" ht="15.75" customHeight="1">
      <c r="A661" s="15" t="s">
        <v>1332</v>
      </c>
      <c r="B661" s="15" t="s">
        <v>85</v>
      </c>
      <c r="C661" s="16">
        <v>45473.0</v>
      </c>
      <c r="D661" s="16">
        <v>45503.0</v>
      </c>
      <c r="E661" s="15" t="s">
        <v>684</v>
      </c>
      <c r="F661" s="19">
        <v>19.99</v>
      </c>
      <c r="G661" s="15" t="s">
        <v>675</v>
      </c>
    </row>
    <row r="662" ht="15.75" customHeight="1">
      <c r="A662" s="17" t="s">
        <v>1333</v>
      </c>
      <c r="B662" s="17" t="s">
        <v>242</v>
      </c>
      <c r="C662" s="18">
        <v>45473.0</v>
      </c>
      <c r="D662" s="18">
        <v>45480.0</v>
      </c>
      <c r="E662" s="17" t="s">
        <v>674</v>
      </c>
      <c r="F662" s="20">
        <v>0.0</v>
      </c>
      <c r="G662" s="17" t="s">
        <v>675</v>
      </c>
    </row>
    <row r="663" ht="15.75" customHeight="1">
      <c r="A663" s="15" t="s">
        <v>1334</v>
      </c>
      <c r="B663" s="15" t="s">
        <v>232</v>
      </c>
      <c r="C663" s="16">
        <v>45473.0</v>
      </c>
      <c r="D663" s="16">
        <v>45503.0</v>
      </c>
      <c r="E663" s="15" t="s">
        <v>684</v>
      </c>
      <c r="F663" s="19">
        <v>19.99</v>
      </c>
      <c r="G663" s="15" t="s">
        <v>675</v>
      </c>
    </row>
    <row r="664" ht="15.75" customHeight="1">
      <c r="A664" s="17" t="s">
        <v>1335</v>
      </c>
      <c r="B664" s="17" t="s">
        <v>233</v>
      </c>
      <c r="C664" s="18">
        <v>45473.0</v>
      </c>
      <c r="D664" s="18">
        <v>45503.0</v>
      </c>
      <c r="E664" s="17" t="s">
        <v>684</v>
      </c>
      <c r="F664" s="20">
        <v>19.99</v>
      </c>
      <c r="G664" s="17" t="s">
        <v>675</v>
      </c>
    </row>
    <row r="665" ht="15.75" customHeight="1">
      <c r="A665" s="15" t="s">
        <v>1336</v>
      </c>
      <c r="B665" s="15" t="s">
        <v>142</v>
      </c>
      <c r="C665" s="16">
        <v>45473.0</v>
      </c>
      <c r="D665" s="16">
        <v>45503.0</v>
      </c>
      <c r="E665" s="15" t="s">
        <v>684</v>
      </c>
      <c r="F665" s="19">
        <v>19.99</v>
      </c>
      <c r="G665" s="15" t="s">
        <v>675</v>
      </c>
    </row>
    <row r="666" ht="15.75" customHeight="1">
      <c r="A666" s="17" t="s">
        <v>1337</v>
      </c>
      <c r="B666" s="17" t="s">
        <v>173</v>
      </c>
      <c r="C666" s="18">
        <v>45473.0</v>
      </c>
      <c r="D666" s="18">
        <v>45503.0</v>
      </c>
      <c r="E666" s="17" t="s">
        <v>684</v>
      </c>
      <c r="F666" s="20">
        <v>19.99</v>
      </c>
      <c r="G666" s="17" t="s">
        <v>675</v>
      </c>
    </row>
    <row r="667" ht="15.75" customHeight="1">
      <c r="A667" s="15" t="s">
        <v>1338</v>
      </c>
      <c r="B667" s="15" t="s">
        <v>234</v>
      </c>
      <c r="C667" s="16">
        <v>45473.0</v>
      </c>
      <c r="D667" s="16">
        <v>45503.0</v>
      </c>
      <c r="E667" s="15" t="s">
        <v>684</v>
      </c>
      <c r="F667" s="19">
        <v>19.99</v>
      </c>
      <c r="G667" s="15" t="s">
        <v>675</v>
      </c>
    </row>
    <row r="668" ht="15.75" customHeight="1">
      <c r="A668" s="17" t="s">
        <v>1339</v>
      </c>
      <c r="B668" s="17" t="s">
        <v>174</v>
      </c>
      <c r="C668" s="18">
        <v>45473.0</v>
      </c>
      <c r="D668" s="18">
        <v>45503.0</v>
      </c>
      <c r="E668" s="17" t="s">
        <v>684</v>
      </c>
      <c r="F668" s="20">
        <v>19.99</v>
      </c>
      <c r="G668" s="17" t="s">
        <v>675</v>
      </c>
    </row>
    <row r="669" ht="15.75" customHeight="1">
      <c r="A669" s="15" t="s">
        <v>1340</v>
      </c>
      <c r="B669" s="15" t="s">
        <v>235</v>
      </c>
      <c r="C669" s="16">
        <v>45474.0</v>
      </c>
      <c r="D669" s="16">
        <v>45504.0</v>
      </c>
      <c r="E669" s="15" t="s">
        <v>684</v>
      </c>
      <c r="F669" s="19">
        <v>19.99</v>
      </c>
      <c r="G669" s="15" t="s">
        <v>675</v>
      </c>
    </row>
    <row r="670" ht="15.75" customHeight="1">
      <c r="A670" s="17" t="s">
        <v>1341</v>
      </c>
      <c r="B670" s="17" t="s">
        <v>175</v>
      </c>
      <c r="C670" s="18">
        <v>45474.0</v>
      </c>
      <c r="D670" s="18">
        <v>45504.0</v>
      </c>
      <c r="E670" s="17" t="s">
        <v>684</v>
      </c>
      <c r="F670" s="20">
        <v>19.99</v>
      </c>
      <c r="G670" s="17" t="s">
        <v>675</v>
      </c>
    </row>
    <row r="671" ht="15.75" customHeight="1">
      <c r="A671" s="15" t="s">
        <v>1342</v>
      </c>
      <c r="B671" s="15" t="s">
        <v>236</v>
      </c>
      <c r="C671" s="16">
        <v>45474.0</v>
      </c>
      <c r="D671" s="16">
        <v>45504.0</v>
      </c>
      <c r="E671" s="15" t="s">
        <v>684</v>
      </c>
      <c r="F671" s="19">
        <v>19.99</v>
      </c>
      <c r="G671" s="15" t="s">
        <v>675</v>
      </c>
    </row>
    <row r="672" ht="15.75" customHeight="1">
      <c r="A672" s="17" t="s">
        <v>1343</v>
      </c>
      <c r="B672" s="17" t="s">
        <v>237</v>
      </c>
      <c r="C672" s="18">
        <v>45474.0</v>
      </c>
      <c r="D672" s="18">
        <v>45504.0</v>
      </c>
      <c r="E672" s="17" t="s">
        <v>684</v>
      </c>
      <c r="F672" s="20">
        <v>19.99</v>
      </c>
      <c r="G672" s="17" t="s">
        <v>675</v>
      </c>
    </row>
    <row r="673" ht="15.75" customHeight="1">
      <c r="A673" s="15" t="s">
        <v>1344</v>
      </c>
      <c r="B673" s="15" t="s">
        <v>143</v>
      </c>
      <c r="C673" s="16">
        <v>45474.0</v>
      </c>
      <c r="D673" s="16">
        <v>45504.0</v>
      </c>
      <c r="E673" s="15" t="s">
        <v>684</v>
      </c>
      <c r="F673" s="19">
        <v>19.99</v>
      </c>
      <c r="G673" s="15" t="s">
        <v>675</v>
      </c>
    </row>
    <row r="674" ht="15.75" customHeight="1">
      <c r="A674" s="17" t="s">
        <v>1345</v>
      </c>
      <c r="B674" s="17" t="s">
        <v>176</v>
      </c>
      <c r="C674" s="18">
        <v>45475.0</v>
      </c>
      <c r="D674" s="18">
        <v>45505.0</v>
      </c>
      <c r="E674" s="17" t="s">
        <v>684</v>
      </c>
      <c r="F674" s="20">
        <v>19.99</v>
      </c>
      <c r="G674" s="17" t="s">
        <v>675</v>
      </c>
    </row>
    <row r="675" ht="15.75" customHeight="1">
      <c r="A675" s="15" t="s">
        <v>1346</v>
      </c>
      <c r="B675" s="15" t="s">
        <v>177</v>
      </c>
      <c r="C675" s="16">
        <v>45475.0</v>
      </c>
      <c r="D675" s="16">
        <v>45505.0</v>
      </c>
      <c r="E675" s="15" t="s">
        <v>684</v>
      </c>
      <c r="F675" s="19">
        <v>19.99</v>
      </c>
      <c r="G675" s="15" t="s">
        <v>675</v>
      </c>
    </row>
    <row r="676" ht="15.75" customHeight="1">
      <c r="A676" s="17" t="s">
        <v>1347</v>
      </c>
      <c r="B676" s="17" t="s">
        <v>106</v>
      </c>
      <c r="C676" s="18">
        <v>45475.0</v>
      </c>
      <c r="D676" s="18">
        <v>45505.0</v>
      </c>
      <c r="E676" s="17" t="s">
        <v>684</v>
      </c>
      <c r="F676" s="20">
        <v>19.99</v>
      </c>
      <c r="G676" s="17" t="s">
        <v>675</v>
      </c>
    </row>
    <row r="677" ht="15.75" customHeight="1">
      <c r="A677" s="15" t="s">
        <v>1348</v>
      </c>
      <c r="B677" s="15" t="s">
        <v>179</v>
      </c>
      <c r="C677" s="16">
        <v>45475.0</v>
      </c>
      <c r="D677" s="16">
        <v>45505.0</v>
      </c>
      <c r="E677" s="15" t="s">
        <v>684</v>
      </c>
      <c r="F677" s="19">
        <v>19.99</v>
      </c>
      <c r="G677" s="15" t="s">
        <v>675</v>
      </c>
    </row>
    <row r="678" ht="15.75" customHeight="1">
      <c r="A678" s="17" t="s">
        <v>1349</v>
      </c>
      <c r="B678" s="17" t="s">
        <v>243</v>
      </c>
      <c r="C678" s="18">
        <v>45476.0</v>
      </c>
      <c r="D678" s="18">
        <v>45483.0</v>
      </c>
      <c r="E678" s="17" t="s">
        <v>674</v>
      </c>
      <c r="F678" s="20">
        <v>0.0</v>
      </c>
      <c r="G678" s="17" t="s">
        <v>675</v>
      </c>
    </row>
    <row r="679" ht="15.75" customHeight="1">
      <c r="A679" s="15" t="s">
        <v>1350</v>
      </c>
      <c r="B679" s="15" t="s">
        <v>108</v>
      </c>
      <c r="C679" s="16">
        <v>45476.0</v>
      </c>
      <c r="D679" s="16">
        <v>45506.0</v>
      </c>
      <c r="E679" s="15" t="s">
        <v>684</v>
      </c>
      <c r="F679" s="19">
        <v>19.99</v>
      </c>
      <c r="G679" s="15" t="s">
        <v>675</v>
      </c>
    </row>
    <row r="680" ht="15.75" customHeight="1">
      <c r="A680" s="17" t="s">
        <v>1351</v>
      </c>
      <c r="B680" s="17" t="s">
        <v>144</v>
      </c>
      <c r="C680" s="18">
        <v>45476.0</v>
      </c>
      <c r="D680" s="18">
        <v>45506.0</v>
      </c>
      <c r="E680" s="17" t="s">
        <v>684</v>
      </c>
      <c r="F680" s="20">
        <v>19.99</v>
      </c>
      <c r="G680" s="17" t="s">
        <v>675</v>
      </c>
    </row>
    <row r="681" ht="15.75" customHeight="1">
      <c r="A681" s="15" t="s">
        <v>1352</v>
      </c>
      <c r="B681" s="15" t="s">
        <v>180</v>
      </c>
      <c r="C681" s="16">
        <v>45476.0</v>
      </c>
      <c r="D681" s="16">
        <v>45506.0</v>
      </c>
      <c r="E681" s="15" t="s">
        <v>684</v>
      </c>
      <c r="F681" s="19">
        <v>19.99</v>
      </c>
      <c r="G681" s="15" t="s">
        <v>675</v>
      </c>
    </row>
    <row r="682" ht="15.75" customHeight="1">
      <c r="A682" s="17" t="s">
        <v>1353</v>
      </c>
      <c r="B682" s="17" t="s">
        <v>212</v>
      </c>
      <c r="C682" s="18">
        <v>45476.0</v>
      </c>
      <c r="D682" s="18">
        <v>45506.0</v>
      </c>
      <c r="E682" s="17" t="s">
        <v>684</v>
      </c>
      <c r="F682" s="20">
        <v>19.99</v>
      </c>
      <c r="G682" s="17" t="s">
        <v>675</v>
      </c>
    </row>
    <row r="683" ht="15.75" customHeight="1">
      <c r="A683" s="15" t="s">
        <v>1354</v>
      </c>
      <c r="B683" s="15" t="s">
        <v>109</v>
      </c>
      <c r="C683" s="16">
        <v>45476.0</v>
      </c>
      <c r="D683" s="16">
        <v>45506.0</v>
      </c>
      <c r="E683" s="15" t="s">
        <v>684</v>
      </c>
      <c r="F683" s="19">
        <v>19.99</v>
      </c>
      <c r="G683" s="15" t="s">
        <v>675</v>
      </c>
    </row>
    <row r="684" ht="15.75" customHeight="1">
      <c r="A684" s="17" t="s">
        <v>1355</v>
      </c>
      <c r="B684" s="17" t="s">
        <v>110</v>
      </c>
      <c r="C684" s="18">
        <v>45476.0</v>
      </c>
      <c r="D684" s="18">
        <v>45506.0</v>
      </c>
      <c r="E684" s="17" t="s">
        <v>684</v>
      </c>
      <c r="F684" s="20">
        <v>19.99</v>
      </c>
      <c r="G684" s="17" t="s">
        <v>675</v>
      </c>
    </row>
    <row r="685" ht="15.75" customHeight="1">
      <c r="A685" s="15" t="s">
        <v>1356</v>
      </c>
      <c r="B685" s="15" t="s">
        <v>111</v>
      </c>
      <c r="C685" s="16">
        <v>45476.0</v>
      </c>
      <c r="D685" s="16">
        <v>45506.0</v>
      </c>
      <c r="E685" s="15" t="s">
        <v>684</v>
      </c>
      <c r="F685" s="19">
        <v>19.99</v>
      </c>
      <c r="G685" s="15" t="s">
        <v>675</v>
      </c>
    </row>
    <row r="686" ht="15.75" customHeight="1">
      <c r="A686" s="17" t="s">
        <v>1357</v>
      </c>
      <c r="B686" s="17" t="s">
        <v>112</v>
      </c>
      <c r="C686" s="18">
        <v>45477.0</v>
      </c>
      <c r="D686" s="18">
        <v>45507.0</v>
      </c>
      <c r="E686" s="17" t="s">
        <v>684</v>
      </c>
      <c r="F686" s="20">
        <v>19.99</v>
      </c>
      <c r="G686" s="17" t="s">
        <v>675</v>
      </c>
    </row>
    <row r="687" ht="15.75" customHeight="1">
      <c r="A687" s="15" t="s">
        <v>1358</v>
      </c>
      <c r="B687" s="15" t="s">
        <v>181</v>
      </c>
      <c r="C687" s="16">
        <v>45477.0</v>
      </c>
      <c r="D687" s="16">
        <v>45507.0</v>
      </c>
      <c r="E687" s="15" t="s">
        <v>684</v>
      </c>
      <c r="F687" s="19">
        <v>19.99</v>
      </c>
      <c r="G687" s="15" t="s">
        <v>675</v>
      </c>
    </row>
    <row r="688" ht="15.75" customHeight="1">
      <c r="A688" s="17" t="s">
        <v>1359</v>
      </c>
      <c r="B688" s="17" t="s">
        <v>238</v>
      </c>
      <c r="C688" s="18">
        <v>45477.0</v>
      </c>
      <c r="D688" s="18">
        <v>45507.0</v>
      </c>
      <c r="E688" s="17" t="s">
        <v>684</v>
      </c>
      <c r="F688" s="20">
        <v>19.99</v>
      </c>
      <c r="G688" s="17" t="s">
        <v>675</v>
      </c>
    </row>
    <row r="689" ht="15.75" customHeight="1">
      <c r="A689" s="15" t="s">
        <v>1360</v>
      </c>
      <c r="B689" s="15" t="s">
        <v>244</v>
      </c>
      <c r="C689" s="16">
        <v>45477.0</v>
      </c>
      <c r="D689" s="16">
        <v>45484.0</v>
      </c>
      <c r="E689" s="15" t="s">
        <v>674</v>
      </c>
      <c r="F689" s="19">
        <v>0.0</v>
      </c>
      <c r="G689" s="15" t="s">
        <v>675</v>
      </c>
    </row>
    <row r="690" ht="15.75" customHeight="1">
      <c r="A690" s="17" t="s">
        <v>1361</v>
      </c>
      <c r="B690" s="17" t="s">
        <v>113</v>
      </c>
      <c r="C690" s="18">
        <v>45477.0</v>
      </c>
      <c r="D690" s="18">
        <v>45507.0</v>
      </c>
      <c r="E690" s="17" t="s">
        <v>684</v>
      </c>
      <c r="F690" s="20">
        <v>19.99</v>
      </c>
      <c r="G690" s="17" t="s">
        <v>675</v>
      </c>
    </row>
    <row r="691" ht="15.75" customHeight="1">
      <c r="A691" s="15" t="s">
        <v>1362</v>
      </c>
      <c r="B691" s="15" t="s">
        <v>245</v>
      </c>
      <c r="C691" s="16">
        <v>45477.0</v>
      </c>
      <c r="D691" s="16">
        <v>45484.0</v>
      </c>
      <c r="E691" s="15" t="s">
        <v>674</v>
      </c>
      <c r="F691" s="19">
        <v>0.0</v>
      </c>
      <c r="G691" s="15" t="s">
        <v>675</v>
      </c>
    </row>
    <row r="692" ht="15.75" customHeight="1">
      <c r="A692" s="17" t="s">
        <v>1363</v>
      </c>
      <c r="B692" s="17" t="s">
        <v>239</v>
      </c>
      <c r="C692" s="18">
        <v>45477.0</v>
      </c>
      <c r="D692" s="18">
        <v>45507.0</v>
      </c>
      <c r="E692" s="17" t="s">
        <v>684</v>
      </c>
      <c r="F692" s="20">
        <v>19.99</v>
      </c>
      <c r="G692" s="17" t="s">
        <v>675</v>
      </c>
    </row>
    <row r="693" ht="15.75" customHeight="1">
      <c r="A693" s="15" t="s">
        <v>1364</v>
      </c>
      <c r="B693" s="15" t="s">
        <v>246</v>
      </c>
      <c r="C693" s="16">
        <v>45478.0</v>
      </c>
      <c r="D693" s="16">
        <v>45485.0</v>
      </c>
      <c r="E693" s="15" t="s">
        <v>674</v>
      </c>
      <c r="F693" s="19">
        <v>0.0</v>
      </c>
      <c r="G693" s="15" t="s">
        <v>675</v>
      </c>
    </row>
    <row r="694" ht="15.75" customHeight="1">
      <c r="A694" s="17" t="s">
        <v>1365</v>
      </c>
      <c r="B694" s="17" t="s">
        <v>213</v>
      </c>
      <c r="C694" s="18">
        <v>45478.0</v>
      </c>
      <c r="D694" s="18">
        <v>45508.0</v>
      </c>
      <c r="E694" s="17" t="s">
        <v>684</v>
      </c>
      <c r="F694" s="20">
        <v>19.99</v>
      </c>
      <c r="G694" s="17" t="s">
        <v>675</v>
      </c>
    </row>
    <row r="695" ht="15.75" customHeight="1">
      <c r="A695" s="15" t="s">
        <v>1366</v>
      </c>
      <c r="B695" s="15" t="s">
        <v>115</v>
      </c>
      <c r="C695" s="16">
        <v>45478.0</v>
      </c>
      <c r="D695" s="16">
        <v>45508.0</v>
      </c>
      <c r="E695" s="15" t="s">
        <v>684</v>
      </c>
      <c r="F695" s="19">
        <v>19.99</v>
      </c>
      <c r="G695" s="15" t="s">
        <v>675</v>
      </c>
    </row>
    <row r="696" ht="15.75" customHeight="1">
      <c r="A696" s="17" t="s">
        <v>1367</v>
      </c>
      <c r="B696" s="17" t="s">
        <v>182</v>
      </c>
      <c r="C696" s="18">
        <v>45478.0</v>
      </c>
      <c r="D696" s="18">
        <v>45508.0</v>
      </c>
      <c r="E696" s="17" t="s">
        <v>684</v>
      </c>
      <c r="F696" s="20">
        <v>19.99</v>
      </c>
      <c r="G696" s="17" t="s">
        <v>675</v>
      </c>
    </row>
    <row r="697" ht="15.75" customHeight="1">
      <c r="A697" s="15" t="s">
        <v>1368</v>
      </c>
      <c r="B697" s="15" t="s">
        <v>214</v>
      </c>
      <c r="C697" s="16">
        <v>45478.0</v>
      </c>
      <c r="D697" s="16">
        <v>45508.0</v>
      </c>
      <c r="E697" s="15" t="s">
        <v>684</v>
      </c>
      <c r="F697" s="19">
        <v>19.99</v>
      </c>
      <c r="G697" s="15" t="s">
        <v>675</v>
      </c>
    </row>
    <row r="698" ht="15.75" customHeight="1">
      <c r="A698" s="17" t="s">
        <v>1369</v>
      </c>
      <c r="B698" s="17" t="s">
        <v>240</v>
      </c>
      <c r="C698" s="18">
        <v>45478.0</v>
      </c>
      <c r="D698" s="18">
        <v>45508.0</v>
      </c>
      <c r="E698" s="17" t="s">
        <v>684</v>
      </c>
      <c r="F698" s="20">
        <v>19.99</v>
      </c>
      <c r="G698" s="17" t="s">
        <v>675</v>
      </c>
    </row>
    <row r="699" ht="15.75" customHeight="1">
      <c r="A699" s="15" t="s">
        <v>1370</v>
      </c>
      <c r="B699" s="15" t="s">
        <v>241</v>
      </c>
      <c r="C699" s="16">
        <v>45478.0</v>
      </c>
      <c r="D699" s="16">
        <v>45508.0</v>
      </c>
      <c r="E699" s="15" t="s">
        <v>684</v>
      </c>
      <c r="F699" s="19">
        <v>19.99</v>
      </c>
      <c r="G699" s="15" t="s">
        <v>675</v>
      </c>
    </row>
    <row r="700" ht="15.75" customHeight="1">
      <c r="A700" s="17" t="s">
        <v>1371</v>
      </c>
      <c r="B700" s="17" t="s">
        <v>183</v>
      </c>
      <c r="C700" s="18">
        <v>45479.0</v>
      </c>
      <c r="D700" s="18">
        <v>45509.0</v>
      </c>
      <c r="E700" s="17" t="s">
        <v>684</v>
      </c>
      <c r="F700" s="20">
        <v>19.99</v>
      </c>
      <c r="G700" s="17" t="s">
        <v>675</v>
      </c>
    </row>
    <row r="701" ht="15.75" customHeight="1">
      <c r="A701" s="15" t="s">
        <v>1372</v>
      </c>
      <c r="B701" s="15" t="s">
        <v>247</v>
      </c>
      <c r="C701" s="16">
        <v>45479.0</v>
      </c>
      <c r="D701" s="16">
        <v>45486.0</v>
      </c>
      <c r="E701" s="15" t="s">
        <v>674</v>
      </c>
      <c r="F701" s="19">
        <v>0.0</v>
      </c>
      <c r="G701" s="15" t="s">
        <v>675</v>
      </c>
    </row>
    <row r="702" ht="15.75" customHeight="1">
      <c r="A702" s="17" t="s">
        <v>1373</v>
      </c>
      <c r="B702" s="17" t="s">
        <v>146</v>
      </c>
      <c r="C702" s="18">
        <v>45479.0</v>
      </c>
      <c r="D702" s="18">
        <v>45509.0</v>
      </c>
      <c r="E702" s="17" t="s">
        <v>684</v>
      </c>
      <c r="F702" s="20">
        <v>19.99</v>
      </c>
      <c r="G702" s="17" t="s">
        <v>675</v>
      </c>
    </row>
    <row r="703" ht="15.75" customHeight="1">
      <c r="A703" s="15" t="s">
        <v>1374</v>
      </c>
      <c r="B703" s="15" t="s">
        <v>56</v>
      </c>
      <c r="C703" s="16">
        <v>45479.0</v>
      </c>
      <c r="D703" s="16">
        <v>45509.0</v>
      </c>
      <c r="E703" s="15" t="s">
        <v>684</v>
      </c>
      <c r="F703" s="19">
        <v>19.99</v>
      </c>
      <c r="G703" s="15" t="s">
        <v>675</v>
      </c>
    </row>
    <row r="704" ht="15.75" customHeight="1">
      <c r="A704" s="17" t="s">
        <v>1375</v>
      </c>
      <c r="B704" s="17" t="s">
        <v>242</v>
      </c>
      <c r="C704" s="18">
        <v>45480.0</v>
      </c>
      <c r="D704" s="18">
        <v>45510.0</v>
      </c>
      <c r="E704" s="17" t="s">
        <v>684</v>
      </c>
      <c r="F704" s="20">
        <v>19.99</v>
      </c>
      <c r="G704" s="17" t="s">
        <v>675</v>
      </c>
    </row>
    <row r="705" ht="15.75" customHeight="1">
      <c r="A705" s="15" t="s">
        <v>1376</v>
      </c>
      <c r="B705" s="15" t="s">
        <v>116</v>
      </c>
      <c r="C705" s="16">
        <v>45480.0</v>
      </c>
      <c r="D705" s="16">
        <v>45510.0</v>
      </c>
      <c r="E705" s="15" t="s">
        <v>684</v>
      </c>
      <c r="F705" s="19">
        <v>19.99</v>
      </c>
      <c r="G705" s="15" t="s">
        <v>675</v>
      </c>
    </row>
    <row r="706" ht="15.75" customHeight="1">
      <c r="A706" s="17" t="s">
        <v>1377</v>
      </c>
      <c r="B706" s="17" t="s">
        <v>215</v>
      </c>
      <c r="C706" s="18">
        <v>45480.0</v>
      </c>
      <c r="D706" s="18">
        <v>45510.0</v>
      </c>
      <c r="E706" s="17" t="s">
        <v>684</v>
      </c>
      <c r="F706" s="20">
        <v>19.99</v>
      </c>
      <c r="G706" s="17" t="s">
        <v>675</v>
      </c>
    </row>
    <row r="707" ht="15.75" customHeight="1">
      <c r="A707" s="15" t="s">
        <v>1378</v>
      </c>
      <c r="B707" s="15" t="s">
        <v>248</v>
      </c>
      <c r="C707" s="16">
        <v>45481.0</v>
      </c>
      <c r="D707" s="16">
        <v>45488.0</v>
      </c>
      <c r="E707" s="15" t="s">
        <v>674</v>
      </c>
      <c r="F707" s="19">
        <v>0.0</v>
      </c>
      <c r="G707" s="15" t="s">
        <v>675</v>
      </c>
    </row>
    <row r="708" ht="15.75" customHeight="1">
      <c r="A708" s="17" t="s">
        <v>1379</v>
      </c>
      <c r="B708" s="17" t="s">
        <v>90</v>
      </c>
      <c r="C708" s="18">
        <v>45481.0</v>
      </c>
      <c r="D708" s="18">
        <v>45511.0</v>
      </c>
      <c r="E708" s="17" t="s">
        <v>684</v>
      </c>
      <c r="F708" s="20">
        <v>19.99</v>
      </c>
      <c r="G708" s="17" t="s">
        <v>675</v>
      </c>
    </row>
    <row r="709" ht="15.75" customHeight="1">
      <c r="A709" s="15" t="s">
        <v>1380</v>
      </c>
      <c r="B709" s="15" t="s">
        <v>70</v>
      </c>
      <c r="C709" s="16">
        <v>45481.0</v>
      </c>
      <c r="D709" s="16">
        <v>45511.0</v>
      </c>
      <c r="E709" s="15" t="s">
        <v>684</v>
      </c>
      <c r="F709" s="19">
        <v>19.99</v>
      </c>
      <c r="G709" s="15" t="s">
        <v>675</v>
      </c>
    </row>
    <row r="710" ht="15.75" customHeight="1">
      <c r="A710" s="17" t="s">
        <v>1381</v>
      </c>
      <c r="B710" s="17" t="s">
        <v>118</v>
      </c>
      <c r="C710" s="18">
        <v>45482.0</v>
      </c>
      <c r="D710" s="18">
        <v>45512.0</v>
      </c>
      <c r="E710" s="17" t="s">
        <v>684</v>
      </c>
      <c r="F710" s="20">
        <v>19.99</v>
      </c>
      <c r="G710" s="17" t="s">
        <v>675</v>
      </c>
    </row>
    <row r="711" ht="15.75" customHeight="1">
      <c r="A711" s="15" t="s">
        <v>1382</v>
      </c>
      <c r="B711" s="15" t="s">
        <v>186</v>
      </c>
      <c r="C711" s="16">
        <v>45482.0</v>
      </c>
      <c r="D711" s="16">
        <v>45512.0</v>
      </c>
      <c r="E711" s="15" t="s">
        <v>684</v>
      </c>
      <c r="F711" s="19">
        <v>19.99</v>
      </c>
      <c r="G711" s="15" t="s">
        <v>675</v>
      </c>
    </row>
    <row r="712" ht="15.75" customHeight="1">
      <c r="A712" s="17" t="s">
        <v>1383</v>
      </c>
      <c r="B712" s="17" t="s">
        <v>216</v>
      </c>
      <c r="C712" s="18">
        <v>45482.0</v>
      </c>
      <c r="D712" s="18">
        <v>45512.0</v>
      </c>
      <c r="E712" s="17" t="s">
        <v>684</v>
      </c>
      <c r="F712" s="20">
        <v>19.99</v>
      </c>
      <c r="G712" s="17" t="s">
        <v>675</v>
      </c>
    </row>
    <row r="713" ht="15.75" customHeight="1">
      <c r="A713" s="15" t="s">
        <v>1384</v>
      </c>
      <c r="B713" s="15" t="s">
        <v>249</v>
      </c>
      <c r="C713" s="16">
        <v>45482.0</v>
      </c>
      <c r="D713" s="16">
        <v>45489.0</v>
      </c>
      <c r="E713" s="15" t="s">
        <v>674</v>
      </c>
      <c r="F713" s="19">
        <v>0.0</v>
      </c>
      <c r="G713" s="15" t="s">
        <v>675</v>
      </c>
    </row>
    <row r="714" ht="15.75" customHeight="1">
      <c r="A714" s="17" t="s">
        <v>1385</v>
      </c>
      <c r="B714" s="17" t="s">
        <v>71</v>
      </c>
      <c r="C714" s="18">
        <v>45482.0</v>
      </c>
      <c r="D714" s="18">
        <v>45512.0</v>
      </c>
      <c r="E714" s="17" t="s">
        <v>684</v>
      </c>
      <c r="F714" s="20">
        <v>19.99</v>
      </c>
      <c r="G714" s="17" t="s">
        <v>675</v>
      </c>
    </row>
    <row r="715" ht="15.75" customHeight="1">
      <c r="A715" s="15" t="s">
        <v>1386</v>
      </c>
      <c r="B715" s="15" t="s">
        <v>250</v>
      </c>
      <c r="C715" s="16">
        <v>45482.0</v>
      </c>
      <c r="D715" s="16">
        <v>45489.0</v>
      </c>
      <c r="E715" s="15" t="s">
        <v>674</v>
      </c>
      <c r="F715" s="19">
        <v>0.0</v>
      </c>
      <c r="G715" s="15" t="s">
        <v>675</v>
      </c>
    </row>
    <row r="716" ht="15.75" customHeight="1">
      <c r="A716" s="17" t="s">
        <v>1387</v>
      </c>
      <c r="B716" s="17" t="s">
        <v>148</v>
      </c>
      <c r="C716" s="18">
        <v>45482.0</v>
      </c>
      <c r="D716" s="18">
        <v>45512.0</v>
      </c>
      <c r="E716" s="17" t="s">
        <v>684</v>
      </c>
      <c r="F716" s="20">
        <v>19.99</v>
      </c>
      <c r="G716" s="17" t="s">
        <v>675</v>
      </c>
    </row>
    <row r="717" ht="15.75" customHeight="1">
      <c r="A717" s="15" t="s">
        <v>1388</v>
      </c>
      <c r="B717" s="15" t="s">
        <v>187</v>
      </c>
      <c r="C717" s="16">
        <v>45482.0</v>
      </c>
      <c r="D717" s="16">
        <v>45512.0</v>
      </c>
      <c r="E717" s="15" t="s">
        <v>684</v>
      </c>
      <c r="F717" s="19">
        <v>19.99</v>
      </c>
      <c r="G717" s="15" t="s">
        <v>675</v>
      </c>
    </row>
    <row r="718" ht="15.75" customHeight="1">
      <c r="A718" s="17" t="s">
        <v>1389</v>
      </c>
      <c r="B718" s="17" t="s">
        <v>251</v>
      </c>
      <c r="C718" s="18">
        <v>45482.0</v>
      </c>
      <c r="D718" s="18">
        <v>45489.0</v>
      </c>
      <c r="E718" s="17" t="s">
        <v>674</v>
      </c>
      <c r="F718" s="20">
        <v>0.0</v>
      </c>
      <c r="G718" s="17" t="s">
        <v>675</v>
      </c>
    </row>
    <row r="719" ht="15.75" customHeight="1">
      <c r="A719" s="15" t="s">
        <v>1390</v>
      </c>
      <c r="B719" s="15" t="s">
        <v>217</v>
      </c>
      <c r="C719" s="16">
        <v>45482.0</v>
      </c>
      <c r="D719" s="16">
        <v>45512.0</v>
      </c>
      <c r="E719" s="15" t="s">
        <v>684</v>
      </c>
      <c r="F719" s="19">
        <v>19.99</v>
      </c>
      <c r="G719" s="15" t="s">
        <v>675</v>
      </c>
    </row>
    <row r="720" ht="15.75" customHeight="1">
      <c r="A720" s="17" t="s">
        <v>1391</v>
      </c>
      <c r="B720" s="17" t="s">
        <v>218</v>
      </c>
      <c r="C720" s="18">
        <v>45483.0</v>
      </c>
      <c r="D720" s="18">
        <v>45513.0</v>
      </c>
      <c r="E720" s="17" t="s">
        <v>684</v>
      </c>
      <c r="F720" s="20">
        <v>19.99</v>
      </c>
      <c r="G720" s="17" t="s">
        <v>675</v>
      </c>
    </row>
    <row r="721" ht="15.75" customHeight="1">
      <c r="A721" s="15" t="s">
        <v>1392</v>
      </c>
      <c r="B721" s="15" t="s">
        <v>219</v>
      </c>
      <c r="C721" s="16">
        <v>45483.0</v>
      </c>
      <c r="D721" s="16">
        <v>45513.0</v>
      </c>
      <c r="E721" s="15" t="s">
        <v>684</v>
      </c>
      <c r="F721" s="19">
        <v>19.99</v>
      </c>
      <c r="G721" s="15" t="s">
        <v>675</v>
      </c>
    </row>
    <row r="722" ht="15.75" customHeight="1">
      <c r="A722" s="17" t="s">
        <v>1393</v>
      </c>
      <c r="B722" s="17" t="s">
        <v>243</v>
      </c>
      <c r="C722" s="18">
        <v>45483.0</v>
      </c>
      <c r="D722" s="18">
        <v>45513.0</v>
      </c>
      <c r="E722" s="17" t="s">
        <v>684</v>
      </c>
      <c r="F722" s="20">
        <v>19.99</v>
      </c>
      <c r="G722" s="17" t="s">
        <v>675</v>
      </c>
    </row>
    <row r="723" ht="15.75" customHeight="1">
      <c r="A723" s="15" t="s">
        <v>1394</v>
      </c>
      <c r="B723" s="15" t="s">
        <v>149</v>
      </c>
      <c r="C723" s="16">
        <v>45483.0</v>
      </c>
      <c r="D723" s="16">
        <v>45513.0</v>
      </c>
      <c r="E723" s="15" t="s">
        <v>684</v>
      </c>
      <c r="F723" s="19">
        <v>19.99</v>
      </c>
      <c r="G723" s="15" t="s">
        <v>675</v>
      </c>
    </row>
    <row r="724" ht="15.75" customHeight="1">
      <c r="A724" s="17" t="s">
        <v>1395</v>
      </c>
      <c r="B724" s="17" t="s">
        <v>119</v>
      </c>
      <c r="C724" s="18">
        <v>45483.0</v>
      </c>
      <c r="D724" s="18">
        <v>45513.0</v>
      </c>
      <c r="E724" s="17" t="s">
        <v>684</v>
      </c>
      <c r="F724" s="20">
        <v>19.99</v>
      </c>
      <c r="G724" s="17" t="s">
        <v>675</v>
      </c>
    </row>
    <row r="725" ht="15.75" customHeight="1">
      <c r="A725" s="15" t="s">
        <v>1396</v>
      </c>
      <c r="B725" s="15" t="s">
        <v>252</v>
      </c>
      <c r="C725" s="16">
        <v>45483.0</v>
      </c>
      <c r="D725" s="16">
        <v>45490.0</v>
      </c>
      <c r="E725" s="15" t="s">
        <v>674</v>
      </c>
      <c r="F725" s="19">
        <v>0.0</v>
      </c>
      <c r="G725" s="15" t="s">
        <v>675</v>
      </c>
    </row>
    <row r="726" ht="15.75" customHeight="1">
      <c r="A726" s="17" t="s">
        <v>1397</v>
      </c>
      <c r="B726" s="17" t="s">
        <v>253</v>
      </c>
      <c r="C726" s="18">
        <v>45483.0</v>
      </c>
      <c r="D726" s="18">
        <v>45490.0</v>
      </c>
      <c r="E726" s="17" t="s">
        <v>674</v>
      </c>
      <c r="F726" s="20">
        <v>0.0</v>
      </c>
      <c r="G726" s="17" t="s">
        <v>675</v>
      </c>
    </row>
    <row r="727" ht="15.75" customHeight="1">
      <c r="A727" s="15" t="s">
        <v>1398</v>
      </c>
      <c r="B727" s="15" t="s">
        <v>254</v>
      </c>
      <c r="C727" s="16">
        <v>45484.0</v>
      </c>
      <c r="D727" s="16">
        <v>45491.0</v>
      </c>
      <c r="E727" s="15" t="s">
        <v>674</v>
      </c>
      <c r="F727" s="19">
        <v>0.0</v>
      </c>
      <c r="G727" s="15" t="s">
        <v>675</v>
      </c>
    </row>
    <row r="728" ht="15.75" customHeight="1">
      <c r="A728" s="17" t="s">
        <v>1399</v>
      </c>
      <c r="B728" s="17" t="s">
        <v>244</v>
      </c>
      <c r="C728" s="18">
        <v>45484.0</v>
      </c>
      <c r="D728" s="18">
        <v>45514.0</v>
      </c>
      <c r="E728" s="17" t="s">
        <v>684</v>
      </c>
      <c r="F728" s="20">
        <v>19.99</v>
      </c>
      <c r="G728" s="17" t="s">
        <v>675</v>
      </c>
    </row>
    <row r="729" ht="15.75" customHeight="1">
      <c r="A729" s="15" t="s">
        <v>1400</v>
      </c>
      <c r="B729" s="15" t="s">
        <v>255</v>
      </c>
      <c r="C729" s="16">
        <v>45484.0</v>
      </c>
      <c r="D729" s="16">
        <v>45491.0</v>
      </c>
      <c r="E729" s="15" t="s">
        <v>674</v>
      </c>
      <c r="F729" s="19">
        <v>0.0</v>
      </c>
      <c r="G729" s="15" t="s">
        <v>675</v>
      </c>
    </row>
    <row r="730" ht="15.75" customHeight="1">
      <c r="A730" s="17" t="s">
        <v>1401</v>
      </c>
      <c r="B730" s="17" t="s">
        <v>120</v>
      </c>
      <c r="C730" s="18">
        <v>45484.0</v>
      </c>
      <c r="D730" s="18">
        <v>45514.0</v>
      </c>
      <c r="E730" s="17" t="s">
        <v>684</v>
      </c>
      <c r="F730" s="20">
        <v>19.99</v>
      </c>
      <c r="G730" s="17" t="s">
        <v>675</v>
      </c>
    </row>
    <row r="731" ht="15.75" customHeight="1">
      <c r="A731" s="15" t="s">
        <v>1402</v>
      </c>
      <c r="B731" s="15" t="s">
        <v>245</v>
      </c>
      <c r="C731" s="16">
        <v>45484.0</v>
      </c>
      <c r="D731" s="16">
        <v>45514.0</v>
      </c>
      <c r="E731" s="15" t="s">
        <v>684</v>
      </c>
      <c r="F731" s="19">
        <v>19.99</v>
      </c>
      <c r="G731" s="15" t="s">
        <v>675</v>
      </c>
    </row>
    <row r="732" ht="15.75" customHeight="1">
      <c r="A732" s="17" t="s">
        <v>1403</v>
      </c>
      <c r="B732" s="17" t="s">
        <v>220</v>
      </c>
      <c r="C732" s="18">
        <v>45484.0</v>
      </c>
      <c r="D732" s="18">
        <v>45514.0</v>
      </c>
      <c r="E732" s="17" t="s">
        <v>684</v>
      </c>
      <c r="F732" s="20">
        <v>19.99</v>
      </c>
      <c r="G732" s="17" t="s">
        <v>675</v>
      </c>
    </row>
    <row r="733" ht="15.75" customHeight="1">
      <c r="A733" s="15" t="s">
        <v>1404</v>
      </c>
      <c r="B733" s="15" t="s">
        <v>221</v>
      </c>
      <c r="C733" s="16">
        <v>45484.0</v>
      </c>
      <c r="D733" s="16">
        <v>45514.0</v>
      </c>
      <c r="E733" s="15" t="s">
        <v>684</v>
      </c>
      <c r="F733" s="19">
        <v>19.99</v>
      </c>
      <c r="G733" s="15" t="s">
        <v>675</v>
      </c>
    </row>
    <row r="734" ht="15.75" customHeight="1">
      <c r="A734" s="17" t="s">
        <v>1405</v>
      </c>
      <c r="B734" s="17" t="s">
        <v>246</v>
      </c>
      <c r="C734" s="18">
        <v>45485.0</v>
      </c>
      <c r="D734" s="18">
        <v>45515.0</v>
      </c>
      <c r="E734" s="17" t="s">
        <v>684</v>
      </c>
      <c r="F734" s="20">
        <v>19.99</v>
      </c>
      <c r="G734" s="17" t="s">
        <v>675</v>
      </c>
    </row>
    <row r="735" ht="15.75" customHeight="1">
      <c r="A735" s="15" t="s">
        <v>1406</v>
      </c>
      <c r="B735" s="15" t="s">
        <v>222</v>
      </c>
      <c r="C735" s="16">
        <v>45485.0</v>
      </c>
      <c r="D735" s="16">
        <v>45515.0</v>
      </c>
      <c r="E735" s="15" t="s">
        <v>684</v>
      </c>
      <c r="F735" s="19">
        <v>19.99</v>
      </c>
      <c r="G735" s="15" t="s">
        <v>675</v>
      </c>
    </row>
    <row r="736" ht="15.75" customHeight="1">
      <c r="A736" s="17" t="s">
        <v>1407</v>
      </c>
      <c r="B736" s="17" t="s">
        <v>152</v>
      </c>
      <c r="C736" s="18">
        <v>45485.0</v>
      </c>
      <c r="D736" s="18">
        <v>45515.0</v>
      </c>
      <c r="E736" s="17" t="s">
        <v>684</v>
      </c>
      <c r="F736" s="20">
        <v>19.99</v>
      </c>
      <c r="G736" s="17" t="s">
        <v>675</v>
      </c>
    </row>
    <row r="737" ht="15.75" customHeight="1">
      <c r="A737" s="15" t="s">
        <v>1408</v>
      </c>
      <c r="B737" s="15" t="s">
        <v>153</v>
      </c>
      <c r="C737" s="16">
        <v>45485.0</v>
      </c>
      <c r="D737" s="16">
        <v>45515.0</v>
      </c>
      <c r="E737" s="15" t="s">
        <v>684</v>
      </c>
      <c r="F737" s="19">
        <v>19.99</v>
      </c>
      <c r="G737" s="15" t="s">
        <v>675</v>
      </c>
    </row>
    <row r="738" ht="15.75" customHeight="1">
      <c r="A738" s="17" t="s">
        <v>1409</v>
      </c>
      <c r="B738" s="17" t="s">
        <v>189</v>
      </c>
      <c r="C738" s="18">
        <v>45485.0</v>
      </c>
      <c r="D738" s="18">
        <v>45515.0</v>
      </c>
      <c r="E738" s="17" t="s">
        <v>684</v>
      </c>
      <c r="F738" s="20">
        <v>19.99</v>
      </c>
      <c r="G738" s="17" t="s">
        <v>675</v>
      </c>
    </row>
    <row r="739" ht="15.75" customHeight="1">
      <c r="A739" s="15" t="s">
        <v>1410</v>
      </c>
      <c r="B739" s="15" t="s">
        <v>91</v>
      </c>
      <c r="C739" s="16">
        <v>45485.0</v>
      </c>
      <c r="D739" s="16">
        <v>45515.0</v>
      </c>
      <c r="E739" s="15" t="s">
        <v>684</v>
      </c>
      <c r="F739" s="19">
        <v>19.99</v>
      </c>
      <c r="G739" s="15" t="s">
        <v>675</v>
      </c>
    </row>
    <row r="740" ht="15.75" customHeight="1">
      <c r="A740" s="17" t="s">
        <v>1411</v>
      </c>
      <c r="B740" s="17" t="s">
        <v>247</v>
      </c>
      <c r="C740" s="18">
        <v>45486.0</v>
      </c>
      <c r="D740" s="18">
        <v>45516.0</v>
      </c>
      <c r="E740" s="17" t="s">
        <v>684</v>
      </c>
      <c r="F740" s="20">
        <v>19.99</v>
      </c>
      <c r="G740" s="17" t="s">
        <v>675</v>
      </c>
    </row>
    <row r="741" ht="15.75" customHeight="1">
      <c r="A741" s="15" t="s">
        <v>1412</v>
      </c>
      <c r="B741" s="15" t="s">
        <v>92</v>
      </c>
      <c r="C741" s="16">
        <v>45486.0</v>
      </c>
      <c r="D741" s="16">
        <v>45516.0</v>
      </c>
      <c r="E741" s="15" t="s">
        <v>684</v>
      </c>
      <c r="F741" s="19">
        <v>19.99</v>
      </c>
      <c r="G741" s="15" t="s">
        <v>675</v>
      </c>
    </row>
    <row r="742" ht="15.75" customHeight="1">
      <c r="A742" s="17" t="s">
        <v>1413</v>
      </c>
      <c r="B742" s="17" t="s">
        <v>190</v>
      </c>
      <c r="C742" s="18">
        <v>45486.0</v>
      </c>
      <c r="D742" s="18">
        <v>45516.0</v>
      </c>
      <c r="E742" s="17" t="s">
        <v>684</v>
      </c>
      <c r="F742" s="20">
        <v>19.99</v>
      </c>
      <c r="G742" s="17" t="s">
        <v>675</v>
      </c>
    </row>
    <row r="743" ht="15.75" customHeight="1">
      <c r="A743" s="15" t="s">
        <v>1414</v>
      </c>
      <c r="B743" s="15" t="s">
        <v>121</v>
      </c>
      <c r="C743" s="16">
        <v>45486.0</v>
      </c>
      <c r="D743" s="16">
        <v>45516.0</v>
      </c>
      <c r="E743" s="15" t="s">
        <v>684</v>
      </c>
      <c r="F743" s="19">
        <v>19.99</v>
      </c>
      <c r="G743" s="15" t="s">
        <v>675</v>
      </c>
    </row>
    <row r="744" ht="15.75" customHeight="1">
      <c r="A744" s="17" t="s">
        <v>1415</v>
      </c>
      <c r="B744" s="17" t="s">
        <v>154</v>
      </c>
      <c r="C744" s="18">
        <v>45486.0</v>
      </c>
      <c r="D744" s="18">
        <v>45516.0</v>
      </c>
      <c r="E744" s="17" t="s">
        <v>684</v>
      </c>
      <c r="F744" s="20">
        <v>19.99</v>
      </c>
      <c r="G744" s="17" t="s">
        <v>675</v>
      </c>
    </row>
    <row r="745" ht="15.75" customHeight="1">
      <c r="A745" s="15" t="s">
        <v>1416</v>
      </c>
      <c r="B745" s="15" t="s">
        <v>256</v>
      </c>
      <c r="C745" s="16">
        <v>45486.0</v>
      </c>
      <c r="D745" s="16">
        <v>45493.0</v>
      </c>
      <c r="E745" s="15" t="s">
        <v>674</v>
      </c>
      <c r="F745" s="19">
        <v>0.0</v>
      </c>
      <c r="G745" s="15" t="s">
        <v>675</v>
      </c>
    </row>
    <row r="746" ht="15.75" customHeight="1">
      <c r="A746" s="17" t="s">
        <v>1417</v>
      </c>
      <c r="B746" s="17" t="s">
        <v>257</v>
      </c>
      <c r="C746" s="18">
        <v>45486.0</v>
      </c>
      <c r="D746" s="18">
        <v>45493.0</v>
      </c>
      <c r="E746" s="17" t="s">
        <v>674</v>
      </c>
      <c r="F746" s="20">
        <v>0.0</v>
      </c>
      <c r="G746" s="17" t="s">
        <v>675</v>
      </c>
    </row>
    <row r="747" ht="15.75" customHeight="1">
      <c r="A747" s="15" t="s">
        <v>1418</v>
      </c>
      <c r="B747" s="15" t="s">
        <v>72</v>
      </c>
      <c r="C747" s="16">
        <v>45487.0</v>
      </c>
      <c r="D747" s="16">
        <v>45517.0</v>
      </c>
      <c r="E747" s="15" t="s">
        <v>684</v>
      </c>
      <c r="F747" s="19">
        <v>19.99</v>
      </c>
      <c r="G747" s="15" t="s">
        <v>675</v>
      </c>
    </row>
    <row r="748" ht="15.75" customHeight="1">
      <c r="A748" s="17" t="s">
        <v>1419</v>
      </c>
      <c r="B748" s="17" t="s">
        <v>123</v>
      </c>
      <c r="C748" s="18">
        <v>45487.0</v>
      </c>
      <c r="D748" s="18">
        <v>45517.0</v>
      </c>
      <c r="E748" s="17" t="s">
        <v>684</v>
      </c>
      <c r="F748" s="20">
        <v>19.99</v>
      </c>
      <c r="G748" s="17" t="s">
        <v>675</v>
      </c>
    </row>
    <row r="749" ht="15.75" customHeight="1">
      <c r="A749" s="15" t="s">
        <v>1420</v>
      </c>
      <c r="B749" s="15" t="s">
        <v>191</v>
      </c>
      <c r="C749" s="16">
        <v>45487.0</v>
      </c>
      <c r="D749" s="16">
        <v>45517.0</v>
      </c>
      <c r="E749" s="15" t="s">
        <v>684</v>
      </c>
      <c r="F749" s="19">
        <v>19.99</v>
      </c>
      <c r="G749" s="15" t="s">
        <v>675</v>
      </c>
    </row>
    <row r="750" ht="15.75" customHeight="1">
      <c r="A750" s="17" t="s">
        <v>1421</v>
      </c>
      <c r="B750" s="17" t="s">
        <v>258</v>
      </c>
      <c r="C750" s="18">
        <v>45487.0</v>
      </c>
      <c r="D750" s="18">
        <v>45494.0</v>
      </c>
      <c r="E750" s="17" t="s">
        <v>674</v>
      </c>
      <c r="F750" s="20">
        <v>0.0</v>
      </c>
      <c r="G750" s="17" t="s">
        <v>675</v>
      </c>
    </row>
    <row r="751" ht="15.75" customHeight="1">
      <c r="A751" s="15" t="s">
        <v>1422</v>
      </c>
      <c r="B751" s="15" t="s">
        <v>73</v>
      </c>
      <c r="C751" s="16">
        <v>45487.0</v>
      </c>
      <c r="D751" s="16">
        <v>45517.0</v>
      </c>
      <c r="E751" s="15" t="s">
        <v>684</v>
      </c>
      <c r="F751" s="19">
        <v>19.99</v>
      </c>
      <c r="G751" s="15" t="s">
        <v>675</v>
      </c>
    </row>
    <row r="752" ht="15.75" customHeight="1">
      <c r="A752" s="17" t="s">
        <v>1423</v>
      </c>
      <c r="B752" s="17" t="s">
        <v>259</v>
      </c>
      <c r="C752" s="18">
        <v>45487.0</v>
      </c>
      <c r="D752" s="18">
        <v>45494.0</v>
      </c>
      <c r="E752" s="17" t="s">
        <v>674</v>
      </c>
      <c r="F752" s="20">
        <v>0.0</v>
      </c>
      <c r="G752" s="17" t="s">
        <v>675</v>
      </c>
    </row>
    <row r="753" ht="15.75" customHeight="1">
      <c r="A753" s="15" t="s">
        <v>1424</v>
      </c>
      <c r="B753" s="15" t="s">
        <v>223</v>
      </c>
      <c r="C753" s="16">
        <v>45487.0</v>
      </c>
      <c r="D753" s="16">
        <v>45517.0</v>
      </c>
      <c r="E753" s="15" t="s">
        <v>684</v>
      </c>
      <c r="F753" s="19">
        <v>19.99</v>
      </c>
      <c r="G753" s="15" t="s">
        <v>675</v>
      </c>
    </row>
    <row r="754" ht="15.75" customHeight="1">
      <c r="A754" s="17" t="s">
        <v>1425</v>
      </c>
      <c r="B754" s="17" t="s">
        <v>74</v>
      </c>
      <c r="C754" s="18">
        <v>45487.0</v>
      </c>
      <c r="D754" s="18">
        <v>45517.0</v>
      </c>
      <c r="E754" s="17" t="s">
        <v>684</v>
      </c>
      <c r="F754" s="20">
        <v>19.99</v>
      </c>
      <c r="G754" s="17" t="s">
        <v>675</v>
      </c>
    </row>
    <row r="755" ht="15.75" customHeight="1">
      <c r="A755" s="15" t="s">
        <v>1426</v>
      </c>
      <c r="B755" s="15" t="s">
        <v>248</v>
      </c>
      <c r="C755" s="16">
        <v>45488.0</v>
      </c>
      <c r="D755" s="16">
        <v>45518.0</v>
      </c>
      <c r="E755" s="15" t="s">
        <v>684</v>
      </c>
      <c r="F755" s="19">
        <v>19.99</v>
      </c>
      <c r="G755" s="15" t="s">
        <v>675</v>
      </c>
    </row>
    <row r="756" ht="15.75" customHeight="1">
      <c r="A756" s="17" t="s">
        <v>1427</v>
      </c>
      <c r="B756" s="17" t="s">
        <v>260</v>
      </c>
      <c r="C756" s="18">
        <v>45488.0</v>
      </c>
      <c r="D756" s="18">
        <v>45495.0</v>
      </c>
      <c r="E756" s="17" t="s">
        <v>674</v>
      </c>
      <c r="F756" s="20">
        <v>0.0</v>
      </c>
      <c r="G756" s="17" t="s">
        <v>675</v>
      </c>
    </row>
    <row r="757" ht="15.75" customHeight="1">
      <c r="A757" s="15" t="s">
        <v>1428</v>
      </c>
      <c r="B757" s="15" t="s">
        <v>156</v>
      </c>
      <c r="C757" s="16">
        <v>45488.0</v>
      </c>
      <c r="D757" s="16">
        <v>45518.0</v>
      </c>
      <c r="E757" s="15" t="s">
        <v>684</v>
      </c>
      <c r="F757" s="19">
        <v>19.99</v>
      </c>
      <c r="G757" s="15" t="s">
        <v>675</v>
      </c>
    </row>
    <row r="758" ht="15.75" customHeight="1">
      <c r="A758" s="17" t="s">
        <v>1429</v>
      </c>
      <c r="B758" s="17" t="s">
        <v>192</v>
      </c>
      <c r="C758" s="18">
        <v>45489.0</v>
      </c>
      <c r="D758" s="18">
        <v>45519.0</v>
      </c>
      <c r="E758" s="17" t="s">
        <v>684</v>
      </c>
      <c r="F758" s="20">
        <v>19.99</v>
      </c>
      <c r="G758" s="17" t="s">
        <v>675</v>
      </c>
    </row>
    <row r="759" ht="15.75" customHeight="1">
      <c r="A759" s="15" t="s">
        <v>1430</v>
      </c>
      <c r="B759" s="15" t="s">
        <v>249</v>
      </c>
      <c r="C759" s="16">
        <v>45489.0</v>
      </c>
      <c r="D759" s="16">
        <v>45519.0</v>
      </c>
      <c r="E759" s="15" t="s">
        <v>684</v>
      </c>
      <c r="F759" s="19">
        <v>19.99</v>
      </c>
      <c r="G759" s="15" t="s">
        <v>675</v>
      </c>
    </row>
    <row r="760" ht="15.75" customHeight="1">
      <c r="A760" s="17" t="s">
        <v>1431</v>
      </c>
      <c r="B760" s="17" t="s">
        <v>250</v>
      </c>
      <c r="C760" s="18">
        <v>45489.0</v>
      </c>
      <c r="D760" s="18">
        <v>45519.0</v>
      </c>
      <c r="E760" s="17" t="s">
        <v>684</v>
      </c>
      <c r="F760" s="20">
        <v>19.99</v>
      </c>
      <c r="G760" s="17" t="s">
        <v>675</v>
      </c>
    </row>
    <row r="761" ht="15.75" customHeight="1">
      <c r="A761" s="15" t="s">
        <v>1432</v>
      </c>
      <c r="B761" s="15" t="s">
        <v>124</v>
      </c>
      <c r="C761" s="16">
        <v>45489.0</v>
      </c>
      <c r="D761" s="16">
        <v>45519.0</v>
      </c>
      <c r="E761" s="15" t="s">
        <v>684</v>
      </c>
      <c r="F761" s="19">
        <v>19.99</v>
      </c>
      <c r="G761" s="15" t="s">
        <v>675</v>
      </c>
    </row>
    <row r="762" ht="15.75" customHeight="1">
      <c r="A762" s="17" t="s">
        <v>1433</v>
      </c>
      <c r="B762" s="17" t="s">
        <v>251</v>
      </c>
      <c r="C762" s="18">
        <v>45489.0</v>
      </c>
      <c r="D762" s="18">
        <v>45519.0</v>
      </c>
      <c r="E762" s="17" t="s">
        <v>684</v>
      </c>
      <c r="F762" s="20">
        <v>19.99</v>
      </c>
      <c r="G762" s="17" t="s">
        <v>675</v>
      </c>
    </row>
    <row r="763" ht="15.75" customHeight="1">
      <c r="A763" s="15" t="s">
        <v>1434</v>
      </c>
      <c r="B763" s="15" t="s">
        <v>95</v>
      </c>
      <c r="C763" s="16">
        <v>45489.0</v>
      </c>
      <c r="D763" s="16">
        <v>45519.0</v>
      </c>
      <c r="E763" s="15" t="s">
        <v>684</v>
      </c>
      <c r="F763" s="19">
        <v>19.99</v>
      </c>
      <c r="G763" s="15" t="s">
        <v>675</v>
      </c>
    </row>
    <row r="764" ht="15.75" customHeight="1">
      <c r="A764" s="17" t="s">
        <v>1435</v>
      </c>
      <c r="B764" s="17" t="s">
        <v>157</v>
      </c>
      <c r="C764" s="18">
        <v>45489.0</v>
      </c>
      <c r="D764" s="18">
        <v>45519.0</v>
      </c>
      <c r="E764" s="17" t="s">
        <v>684</v>
      </c>
      <c r="F764" s="20">
        <v>19.99</v>
      </c>
      <c r="G764" s="17" t="s">
        <v>675</v>
      </c>
    </row>
    <row r="765" ht="15.75" customHeight="1">
      <c r="A765" s="15" t="s">
        <v>1436</v>
      </c>
      <c r="B765" s="15" t="s">
        <v>96</v>
      </c>
      <c r="C765" s="16">
        <v>45490.0</v>
      </c>
      <c r="D765" s="16">
        <v>45520.0</v>
      </c>
      <c r="E765" s="15" t="s">
        <v>684</v>
      </c>
      <c r="F765" s="19">
        <v>19.99</v>
      </c>
      <c r="G765" s="15" t="s">
        <v>675</v>
      </c>
    </row>
    <row r="766" ht="15.75" customHeight="1">
      <c r="A766" s="17" t="s">
        <v>1437</v>
      </c>
      <c r="B766" s="17" t="s">
        <v>125</v>
      </c>
      <c r="C766" s="18">
        <v>45490.0</v>
      </c>
      <c r="D766" s="18">
        <v>45520.0</v>
      </c>
      <c r="E766" s="17" t="s">
        <v>684</v>
      </c>
      <c r="F766" s="20">
        <v>19.99</v>
      </c>
      <c r="G766" s="17" t="s">
        <v>675</v>
      </c>
    </row>
    <row r="767" ht="15.75" customHeight="1">
      <c r="A767" s="15" t="s">
        <v>1438</v>
      </c>
      <c r="B767" s="15" t="s">
        <v>261</v>
      </c>
      <c r="C767" s="16">
        <v>45490.0</v>
      </c>
      <c r="D767" s="16">
        <v>45497.0</v>
      </c>
      <c r="E767" s="15" t="s">
        <v>674</v>
      </c>
      <c r="F767" s="19">
        <v>0.0</v>
      </c>
      <c r="G767" s="15" t="s">
        <v>675</v>
      </c>
    </row>
    <row r="768" ht="15.75" customHeight="1">
      <c r="A768" s="17" t="s">
        <v>1439</v>
      </c>
      <c r="B768" s="17" t="s">
        <v>252</v>
      </c>
      <c r="C768" s="18">
        <v>45490.0</v>
      </c>
      <c r="D768" s="18">
        <v>45520.0</v>
      </c>
      <c r="E768" s="17" t="s">
        <v>684</v>
      </c>
      <c r="F768" s="20">
        <v>19.99</v>
      </c>
      <c r="G768" s="17" t="s">
        <v>675</v>
      </c>
    </row>
    <row r="769" ht="15.75" customHeight="1">
      <c r="A769" s="15" t="s">
        <v>1440</v>
      </c>
      <c r="B769" s="15" t="s">
        <v>253</v>
      </c>
      <c r="C769" s="16">
        <v>45490.0</v>
      </c>
      <c r="D769" s="16">
        <v>45520.0</v>
      </c>
      <c r="E769" s="15" t="s">
        <v>684</v>
      </c>
      <c r="F769" s="19">
        <v>19.99</v>
      </c>
      <c r="G769" s="15" t="s">
        <v>675</v>
      </c>
    </row>
    <row r="770" ht="15.75" customHeight="1">
      <c r="A770" s="17" t="s">
        <v>1441</v>
      </c>
      <c r="B770" s="17" t="s">
        <v>254</v>
      </c>
      <c r="C770" s="18">
        <v>45491.0</v>
      </c>
      <c r="D770" s="18">
        <v>45521.0</v>
      </c>
      <c r="E770" s="17" t="s">
        <v>684</v>
      </c>
      <c r="F770" s="20">
        <v>19.99</v>
      </c>
      <c r="G770" s="17" t="s">
        <v>675</v>
      </c>
    </row>
    <row r="771" ht="15.75" customHeight="1">
      <c r="A771" s="15" t="s">
        <v>1442</v>
      </c>
      <c r="B771" s="15" t="s">
        <v>75</v>
      </c>
      <c r="C771" s="16">
        <v>45491.0</v>
      </c>
      <c r="D771" s="16">
        <v>45521.0</v>
      </c>
      <c r="E771" s="15" t="s">
        <v>684</v>
      </c>
      <c r="F771" s="19">
        <v>19.99</v>
      </c>
      <c r="G771" s="15" t="s">
        <v>675</v>
      </c>
    </row>
    <row r="772" ht="15.75" customHeight="1">
      <c r="A772" s="17" t="s">
        <v>1443</v>
      </c>
      <c r="B772" s="17" t="s">
        <v>255</v>
      </c>
      <c r="C772" s="18">
        <v>45491.0</v>
      </c>
      <c r="D772" s="18">
        <v>45521.0</v>
      </c>
      <c r="E772" s="17" t="s">
        <v>684</v>
      </c>
      <c r="F772" s="20">
        <v>19.99</v>
      </c>
      <c r="G772" s="17" t="s">
        <v>675</v>
      </c>
    </row>
    <row r="773" ht="15.75" customHeight="1">
      <c r="A773" s="15" t="s">
        <v>1444</v>
      </c>
      <c r="B773" s="15" t="s">
        <v>126</v>
      </c>
      <c r="C773" s="16">
        <v>45491.0</v>
      </c>
      <c r="D773" s="16">
        <v>45521.0</v>
      </c>
      <c r="E773" s="15" t="s">
        <v>684</v>
      </c>
      <c r="F773" s="19">
        <v>19.99</v>
      </c>
      <c r="G773" s="15" t="s">
        <v>675</v>
      </c>
    </row>
    <row r="774" ht="15.75" customHeight="1">
      <c r="A774" s="17" t="s">
        <v>1445</v>
      </c>
      <c r="B774" s="17" t="s">
        <v>262</v>
      </c>
      <c r="C774" s="18">
        <v>45491.0</v>
      </c>
      <c r="D774" s="18">
        <v>45498.0</v>
      </c>
      <c r="E774" s="17" t="s">
        <v>674</v>
      </c>
      <c r="F774" s="20">
        <v>0.0</v>
      </c>
      <c r="G774" s="17" t="s">
        <v>675</v>
      </c>
    </row>
    <row r="775" ht="15.75" customHeight="1">
      <c r="A775" s="15" t="s">
        <v>1446</v>
      </c>
      <c r="B775" s="15" t="s">
        <v>127</v>
      </c>
      <c r="C775" s="16">
        <v>45491.0</v>
      </c>
      <c r="D775" s="16">
        <v>45521.0</v>
      </c>
      <c r="E775" s="15" t="s">
        <v>684</v>
      </c>
      <c r="F775" s="19">
        <v>19.99</v>
      </c>
      <c r="G775" s="15" t="s">
        <v>675</v>
      </c>
    </row>
    <row r="776" ht="15.75" customHeight="1">
      <c r="A776" s="17" t="s">
        <v>1447</v>
      </c>
      <c r="B776" s="17" t="s">
        <v>194</v>
      </c>
      <c r="C776" s="18">
        <v>45492.0</v>
      </c>
      <c r="D776" s="18">
        <v>45522.0</v>
      </c>
      <c r="E776" s="17" t="s">
        <v>684</v>
      </c>
      <c r="F776" s="20">
        <v>19.99</v>
      </c>
      <c r="G776" s="17" t="s">
        <v>675</v>
      </c>
    </row>
    <row r="777" ht="15.75" customHeight="1">
      <c r="A777" s="15" t="s">
        <v>1448</v>
      </c>
      <c r="B777" s="15" t="s">
        <v>263</v>
      </c>
      <c r="C777" s="16">
        <v>45492.0</v>
      </c>
      <c r="D777" s="16">
        <v>45499.0</v>
      </c>
      <c r="E777" s="15" t="s">
        <v>674</v>
      </c>
      <c r="F777" s="19">
        <v>0.0</v>
      </c>
      <c r="G777" s="15" t="s">
        <v>675</v>
      </c>
    </row>
    <row r="778" ht="15.75" customHeight="1">
      <c r="A778" s="17" t="s">
        <v>1449</v>
      </c>
      <c r="B778" s="17" t="s">
        <v>224</v>
      </c>
      <c r="C778" s="18">
        <v>45492.0</v>
      </c>
      <c r="D778" s="18">
        <v>45522.0</v>
      </c>
      <c r="E778" s="17" t="s">
        <v>684</v>
      </c>
      <c r="F778" s="20">
        <v>19.99</v>
      </c>
      <c r="G778" s="17" t="s">
        <v>675</v>
      </c>
    </row>
    <row r="779" ht="15.75" customHeight="1">
      <c r="A779" s="15" t="s">
        <v>1450</v>
      </c>
      <c r="B779" s="15" t="s">
        <v>99</v>
      </c>
      <c r="C779" s="16">
        <v>45492.0</v>
      </c>
      <c r="D779" s="16">
        <v>45522.0</v>
      </c>
      <c r="E779" s="15" t="s">
        <v>684</v>
      </c>
      <c r="F779" s="19">
        <v>19.99</v>
      </c>
      <c r="G779" s="15" t="s">
        <v>675</v>
      </c>
    </row>
    <row r="780" ht="15.75" customHeight="1">
      <c r="A780" s="17" t="s">
        <v>1451</v>
      </c>
      <c r="B780" s="17" t="s">
        <v>76</v>
      </c>
      <c r="C780" s="18">
        <v>45492.0</v>
      </c>
      <c r="D780" s="18">
        <v>45522.0</v>
      </c>
      <c r="E780" s="17" t="s">
        <v>684</v>
      </c>
      <c r="F780" s="20">
        <v>19.99</v>
      </c>
      <c r="G780" s="17" t="s">
        <v>675</v>
      </c>
    </row>
    <row r="781" ht="15.75" customHeight="1">
      <c r="A781" s="15" t="s">
        <v>1452</v>
      </c>
      <c r="B781" s="15" t="s">
        <v>195</v>
      </c>
      <c r="C781" s="16">
        <v>45492.0</v>
      </c>
      <c r="D781" s="16">
        <v>45522.0</v>
      </c>
      <c r="E781" s="15" t="s">
        <v>684</v>
      </c>
      <c r="F781" s="19">
        <v>19.99</v>
      </c>
      <c r="G781" s="15" t="s">
        <v>675</v>
      </c>
    </row>
    <row r="782" ht="15.75" customHeight="1">
      <c r="A782" s="17" t="s">
        <v>1453</v>
      </c>
      <c r="B782" s="17" t="s">
        <v>159</v>
      </c>
      <c r="C782" s="18">
        <v>45492.0</v>
      </c>
      <c r="D782" s="18">
        <v>45522.0</v>
      </c>
      <c r="E782" s="17" t="s">
        <v>684</v>
      </c>
      <c r="F782" s="20">
        <v>19.99</v>
      </c>
      <c r="G782" s="17" t="s">
        <v>675</v>
      </c>
    </row>
    <row r="783" ht="15.75" customHeight="1">
      <c r="A783" s="15" t="s">
        <v>1454</v>
      </c>
      <c r="B783" s="15" t="s">
        <v>264</v>
      </c>
      <c r="C783" s="16">
        <v>45492.0</v>
      </c>
      <c r="D783" s="16">
        <v>45499.0</v>
      </c>
      <c r="E783" s="15" t="s">
        <v>674</v>
      </c>
      <c r="F783" s="19">
        <v>0.0</v>
      </c>
      <c r="G783" s="15" t="s">
        <v>675</v>
      </c>
    </row>
    <row r="784" ht="15.75" customHeight="1">
      <c r="A784" s="17" t="s">
        <v>1455</v>
      </c>
      <c r="B784" s="17" t="s">
        <v>160</v>
      </c>
      <c r="C784" s="18">
        <v>45492.0</v>
      </c>
      <c r="D784" s="18">
        <v>45522.0</v>
      </c>
      <c r="E784" s="17" t="s">
        <v>684</v>
      </c>
      <c r="F784" s="20">
        <v>19.99</v>
      </c>
      <c r="G784" s="17" t="s">
        <v>675</v>
      </c>
    </row>
    <row r="785" ht="15.75" customHeight="1">
      <c r="A785" s="15" t="s">
        <v>1456</v>
      </c>
      <c r="B785" s="15" t="s">
        <v>196</v>
      </c>
      <c r="C785" s="16">
        <v>45492.0</v>
      </c>
      <c r="D785" s="16">
        <v>45522.0</v>
      </c>
      <c r="E785" s="15" t="s">
        <v>684</v>
      </c>
      <c r="F785" s="19">
        <v>19.99</v>
      </c>
      <c r="G785" s="15" t="s">
        <v>675</v>
      </c>
    </row>
    <row r="786" ht="15.75" customHeight="1">
      <c r="A786" s="17" t="s">
        <v>1457</v>
      </c>
      <c r="B786" s="17" t="s">
        <v>197</v>
      </c>
      <c r="C786" s="18">
        <v>45493.0</v>
      </c>
      <c r="D786" s="18">
        <v>45523.0</v>
      </c>
      <c r="E786" s="17" t="s">
        <v>684</v>
      </c>
      <c r="F786" s="20">
        <v>19.99</v>
      </c>
      <c r="G786" s="17" t="s">
        <v>675</v>
      </c>
    </row>
    <row r="787" ht="15.75" customHeight="1">
      <c r="A787" s="15" t="s">
        <v>1458</v>
      </c>
      <c r="B787" s="15" t="s">
        <v>256</v>
      </c>
      <c r="C787" s="16">
        <v>45493.0</v>
      </c>
      <c r="D787" s="16">
        <v>45523.0</v>
      </c>
      <c r="E787" s="15" t="s">
        <v>684</v>
      </c>
      <c r="F787" s="19">
        <v>19.99</v>
      </c>
      <c r="G787" s="15" t="s">
        <v>675</v>
      </c>
    </row>
    <row r="788" ht="15.75" customHeight="1">
      <c r="A788" s="17" t="s">
        <v>1459</v>
      </c>
      <c r="B788" s="17" t="s">
        <v>162</v>
      </c>
      <c r="C788" s="18">
        <v>45493.0</v>
      </c>
      <c r="D788" s="18">
        <v>45523.0</v>
      </c>
      <c r="E788" s="17" t="s">
        <v>684</v>
      </c>
      <c r="F788" s="20">
        <v>19.99</v>
      </c>
      <c r="G788" s="17" t="s">
        <v>675</v>
      </c>
    </row>
    <row r="789" ht="15.75" customHeight="1">
      <c r="A789" s="15" t="s">
        <v>1460</v>
      </c>
      <c r="B789" s="15" t="s">
        <v>257</v>
      </c>
      <c r="C789" s="16">
        <v>45493.0</v>
      </c>
      <c r="D789" s="16">
        <v>45523.0</v>
      </c>
      <c r="E789" s="15" t="s">
        <v>684</v>
      </c>
      <c r="F789" s="19">
        <v>19.99</v>
      </c>
      <c r="G789" s="15" t="s">
        <v>675</v>
      </c>
    </row>
    <row r="790" ht="15.75" customHeight="1">
      <c r="A790" s="17" t="s">
        <v>1461</v>
      </c>
      <c r="B790" s="17" t="s">
        <v>129</v>
      </c>
      <c r="C790" s="18">
        <v>45493.0</v>
      </c>
      <c r="D790" s="18">
        <v>45523.0</v>
      </c>
      <c r="E790" s="17" t="s">
        <v>684</v>
      </c>
      <c r="F790" s="20">
        <v>19.99</v>
      </c>
      <c r="G790" s="17" t="s">
        <v>675</v>
      </c>
    </row>
    <row r="791" ht="15.75" customHeight="1">
      <c r="A791" s="15" t="s">
        <v>1462</v>
      </c>
      <c r="B791" s="15" t="s">
        <v>130</v>
      </c>
      <c r="C791" s="16">
        <v>45494.0</v>
      </c>
      <c r="D791" s="16">
        <v>45524.0</v>
      </c>
      <c r="E791" s="15" t="s">
        <v>684</v>
      </c>
      <c r="F791" s="19">
        <v>19.99</v>
      </c>
      <c r="G791" s="15" t="s">
        <v>675</v>
      </c>
    </row>
    <row r="792" ht="15.75" customHeight="1">
      <c r="A792" s="17" t="s">
        <v>1463</v>
      </c>
      <c r="B792" s="17" t="s">
        <v>265</v>
      </c>
      <c r="C792" s="18">
        <v>45494.0</v>
      </c>
      <c r="D792" s="18">
        <v>45501.0</v>
      </c>
      <c r="E792" s="17" t="s">
        <v>674</v>
      </c>
      <c r="F792" s="20">
        <v>0.0</v>
      </c>
      <c r="G792" s="17" t="s">
        <v>675</v>
      </c>
    </row>
    <row r="793" ht="15.75" customHeight="1">
      <c r="A793" s="15" t="s">
        <v>1464</v>
      </c>
      <c r="B793" s="15" t="s">
        <v>163</v>
      </c>
      <c r="C793" s="16">
        <v>45494.0</v>
      </c>
      <c r="D793" s="16">
        <v>45524.0</v>
      </c>
      <c r="E793" s="15" t="s">
        <v>684</v>
      </c>
      <c r="F793" s="19">
        <v>19.99</v>
      </c>
      <c r="G793" s="15" t="s">
        <v>675</v>
      </c>
    </row>
    <row r="794" ht="15.75" customHeight="1">
      <c r="A794" s="17" t="s">
        <v>1465</v>
      </c>
      <c r="B794" s="17" t="s">
        <v>164</v>
      </c>
      <c r="C794" s="18">
        <v>45494.0</v>
      </c>
      <c r="D794" s="18">
        <v>45524.0</v>
      </c>
      <c r="E794" s="17" t="s">
        <v>684</v>
      </c>
      <c r="F794" s="20">
        <v>19.99</v>
      </c>
      <c r="G794" s="17" t="s">
        <v>675</v>
      </c>
    </row>
    <row r="795" ht="15.75" customHeight="1">
      <c r="A795" s="15" t="s">
        <v>1466</v>
      </c>
      <c r="B795" s="15" t="s">
        <v>258</v>
      </c>
      <c r="C795" s="16">
        <v>45494.0</v>
      </c>
      <c r="D795" s="16">
        <v>45524.0</v>
      </c>
      <c r="E795" s="15" t="s">
        <v>684</v>
      </c>
      <c r="F795" s="19">
        <v>19.99</v>
      </c>
      <c r="G795" s="15" t="s">
        <v>675</v>
      </c>
    </row>
    <row r="796" ht="15.75" customHeight="1">
      <c r="A796" s="17" t="s">
        <v>1467</v>
      </c>
      <c r="B796" s="17" t="s">
        <v>259</v>
      </c>
      <c r="C796" s="18">
        <v>45494.0</v>
      </c>
      <c r="D796" s="18">
        <v>45524.0</v>
      </c>
      <c r="E796" s="17" t="s">
        <v>684</v>
      </c>
      <c r="F796" s="20">
        <v>19.99</v>
      </c>
      <c r="G796" s="17" t="s">
        <v>675</v>
      </c>
    </row>
    <row r="797" ht="15.75" customHeight="1">
      <c r="A797" s="15" t="s">
        <v>1468</v>
      </c>
      <c r="B797" s="15" t="s">
        <v>198</v>
      </c>
      <c r="C797" s="16">
        <v>45494.0</v>
      </c>
      <c r="D797" s="16">
        <v>45524.0</v>
      </c>
      <c r="E797" s="15" t="s">
        <v>684</v>
      </c>
      <c r="F797" s="19">
        <v>19.99</v>
      </c>
      <c r="G797" s="15" t="s">
        <v>675</v>
      </c>
    </row>
    <row r="798" ht="15.75" customHeight="1">
      <c r="A798" s="17" t="s">
        <v>1469</v>
      </c>
      <c r="B798" s="17" t="s">
        <v>100</v>
      </c>
      <c r="C798" s="18">
        <v>45495.0</v>
      </c>
      <c r="D798" s="18">
        <v>45525.0</v>
      </c>
      <c r="E798" s="17" t="s">
        <v>684</v>
      </c>
      <c r="F798" s="20">
        <v>19.99</v>
      </c>
      <c r="G798" s="17" t="s">
        <v>675</v>
      </c>
    </row>
    <row r="799" ht="15.75" customHeight="1">
      <c r="A799" s="15" t="s">
        <v>1470</v>
      </c>
      <c r="B799" s="15" t="s">
        <v>165</v>
      </c>
      <c r="C799" s="16">
        <v>45495.0</v>
      </c>
      <c r="D799" s="16">
        <v>45525.0</v>
      </c>
      <c r="E799" s="15" t="s">
        <v>684</v>
      </c>
      <c r="F799" s="19">
        <v>19.99</v>
      </c>
      <c r="G799" s="15" t="s">
        <v>675</v>
      </c>
    </row>
    <row r="800" ht="15.75" customHeight="1">
      <c r="A800" s="17" t="s">
        <v>1471</v>
      </c>
      <c r="B800" s="17" t="s">
        <v>266</v>
      </c>
      <c r="C800" s="18">
        <v>45495.0</v>
      </c>
      <c r="D800" s="18">
        <v>45502.0</v>
      </c>
      <c r="E800" s="17" t="s">
        <v>674</v>
      </c>
      <c r="F800" s="20">
        <v>0.0</v>
      </c>
      <c r="G800" s="17" t="s">
        <v>675</v>
      </c>
    </row>
    <row r="801" ht="15.75" customHeight="1">
      <c r="A801" s="15" t="s">
        <v>1472</v>
      </c>
      <c r="B801" s="15" t="s">
        <v>260</v>
      </c>
      <c r="C801" s="16">
        <v>45495.0</v>
      </c>
      <c r="D801" s="16">
        <v>45525.0</v>
      </c>
      <c r="E801" s="15" t="s">
        <v>684</v>
      </c>
      <c r="F801" s="19">
        <v>19.99</v>
      </c>
      <c r="G801" s="15" t="s">
        <v>675</v>
      </c>
    </row>
    <row r="802" ht="15.75" customHeight="1">
      <c r="A802" s="17" t="s">
        <v>1473</v>
      </c>
      <c r="B802" s="17" t="s">
        <v>267</v>
      </c>
      <c r="C802" s="18">
        <v>45495.0</v>
      </c>
      <c r="D802" s="18">
        <v>45502.0</v>
      </c>
      <c r="E802" s="17" t="s">
        <v>674</v>
      </c>
      <c r="F802" s="20">
        <v>0.0</v>
      </c>
      <c r="G802" s="17" t="s">
        <v>675</v>
      </c>
    </row>
    <row r="803" ht="15.75" customHeight="1">
      <c r="A803" s="15" t="s">
        <v>1474</v>
      </c>
      <c r="B803" s="15" t="s">
        <v>79</v>
      </c>
      <c r="C803" s="16">
        <v>45496.0</v>
      </c>
      <c r="D803" s="16">
        <v>45526.0</v>
      </c>
      <c r="E803" s="15" t="s">
        <v>684</v>
      </c>
      <c r="F803" s="19">
        <v>19.99</v>
      </c>
      <c r="G803" s="15" t="s">
        <v>675</v>
      </c>
    </row>
    <row r="804" ht="15.75" customHeight="1">
      <c r="A804" s="17" t="s">
        <v>1475</v>
      </c>
      <c r="B804" s="17" t="s">
        <v>268</v>
      </c>
      <c r="C804" s="18">
        <v>45496.0</v>
      </c>
      <c r="D804" s="18">
        <v>45503.0</v>
      </c>
      <c r="E804" s="17" t="s">
        <v>674</v>
      </c>
      <c r="F804" s="20">
        <v>0.0</v>
      </c>
      <c r="G804" s="17" t="s">
        <v>675</v>
      </c>
    </row>
    <row r="805" ht="15.75" customHeight="1">
      <c r="A805" s="15" t="s">
        <v>1476</v>
      </c>
      <c r="B805" s="15" t="s">
        <v>201</v>
      </c>
      <c r="C805" s="16">
        <v>45496.0</v>
      </c>
      <c r="D805" s="16">
        <v>45526.0</v>
      </c>
      <c r="E805" s="15" t="s">
        <v>684</v>
      </c>
      <c r="F805" s="19">
        <v>19.99</v>
      </c>
      <c r="G805" s="15" t="s">
        <v>675</v>
      </c>
    </row>
    <row r="806" ht="15.75" customHeight="1">
      <c r="A806" s="17" t="s">
        <v>1477</v>
      </c>
      <c r="B806" s="17" t="s">
        <v>133</v>
      </c>
      <c r="C806" s="18">
        <v>45496.0</v>
      </c>
      <c r="D806" s="18">
        <v>45526.0</v>
      </c>
      <c r="E806" s="17" t="s">
        <v>684</v>
      </c>
      <c r="F806" s="20">
        <v>19.99</v>
      </c>
      <c r="G806" s="17" t="s">
        <v>675</v>
      </c>
    </row>
    <row r="807" ht="15.75" customHeight="1">
      <c r="A807" s="15" t="s">
        <v>1478</v>
      </c>
      <c r="B807" s="15" t="s">
        <v>202</v>
      </c>
      <c r="C807" s="16">
        <v>45496.0</v>
      </c>
      <c r="D807" s="16">
        <v>45526.0</v>
      </c>
      <c r="E807" s="15" t="s">
        <v>684</v>
      </c>
      <c r="F807" s="19">
        <v>19.99</v>
      </c>
      <c r="G807" s="15" t="s">
        <v>675</v>
      </c>
    </row>
    <row r="808" ht="15.75" customHeight="1">
      <c r="A808" s="17" t="s">
        <v>1479</v>
      </c>
      <c r="B808" s="17" t="s">
        <v>203</v>
      </c>
      <c r="C808" s="18">
        <v>45497.0</v>
      </c>
      <c r="D808" s="18">
        <v>45527.0</v>
      </c>
      <c r="E808" s="17" t="s">
        <v>684</v>
      </c>
      <c r="F808" s="20">
        <v>19.99</v>
      </c>
      <c r="G808" s="17" t="s">
        <v>675</v>
      </c>
    </row>
    <row r="809" ht="15.75" customHeight="1">
      <c r="A809" s="15" t="s">
        <v>1480</v>
      </c>
      <c r="B809" s="15" t="s">
        <v>134</v>
      </c>
      <c r="C809" s="16">
        <v>45497.0</v>
      </c>
      <c r="D809" s="16">
        <v>45527.0</v>
      </c>
      <c r="E809" s="15" t="s">
        <v>684</v>
      </c>
      <c r="F809" s="19">
        <v>19.99</v>
      </c>
      <c r="G809" s="15" t="s">
        <v>675</v>
      </c>
    </row>
    <row r="810" ht="15.75" customHeight="1">
      <c r="A810" s="17" t="s">
        <v>1481</v>
      </c>
      <c r="B810" s="17" t="s">
        <v>269</v>
      </c>
      <c r="C810" s="18">
        <v>45497.0</v>
      </c>
      <c r="D810" s="18">
        <v>45504.0</v>
      </c>
      <c r="E810" s="17" t="s">
        <v>674</v>
      </c>
      <c r="F810" s="20">
        <v>0.0</v>
      </c>
      <c r="G810" s="17" t="s">
        <v>675</v>
      </c>
    </row>
    <row r="811" ht="15.75" customHeight="1">
      <c r="A811" s="15" t="s">
        <v>1482</v>
      </c>
      <c r="B811" s="15" t="s">
        <v>227</v>
      </c>
      <c r="C811" s="16">
        <v>45497.0</v>
      </c>
      <c r="D811" s="16">
        <v>45527.0</v>
      </c>
      <c r="E811" s="15" t="s">
        <v>684</v>
      </c>
      <c r="F811" s="19">
        <v>19.99</v>
      </c>
      <c r="G811" s="15" t="s">
        <v>675</v>
      </c>
    </row>
    <row r="812" ht="15.75" customHeight="1">
      <c r="A812" s="17" t="s">
        <v>1483</v>
      </c>
      <c r="B812" s="17" t="s">
        <v>261</v>
      </c>
      <c r="C812" s="18">
        <v>45497.0</v>
      </c>
      <c r="D812" s="18">
        <v>45527.0</v>
      </c>
      <c r="E812" s="17" t="s">
        <v>684</v>
      </c>
      <c r="F812" s="20">
        <v>19.99</v>
      </c>
      <c r="G812" s="17" t="s">
        <v>675</v>
      </c>
    </row>
    <row r="813" ht="15.75" customHeight="1">
      <c r="A813" s="15" t="s">
        <v>1484</v>
      </c>
      <c r="B813" s="15" t="s">
        <v>270</v>
      </c>
      <c r="C813" s="16">
        <v>45497.0</v>
      </c>
      <c r="D813" s="16">
        <v>45504.0</v>
      </c>
      <c r="E813" s="15" t="s">
        <v>674</v>
      </c>
      <c r="F813" s="19">
        <v>0.0</v>
      </c>
      <c r="G813" s="15" t="s">
        <v>675</v>
      </c>
    </row>
    <row r="814" ht="15.75" customHeight="1">
      <c r="A814" s="17" t="s">
        <v>1485</v>
      </c>
      <c r="B814" s="17" t="s">
        <v>205</v>
      </c>
      <c r="C814" s="18">
        <v>45497.0</v>
      </c>
      <c r="D814" s="18">
        <v>45527.0</v>
      </c>
      <c r="E814" s="17" t="s">
        <v>684</v>
      </c>
      <c r="F814" s="20">
        <v>19.99</v>
      </c>
      <c r="G814" s="17" t="s">
        <v>675</v>
      </c>
    </row>
    <row r="815" ht="15.75" customHeight="1">
      <c r="A815" s="15" t="s">
        <v>1486</v>
      </c>
      <c r="B815" s="15" t="s">
        <v>206</v>
      </c>
      <c r="C815" s="16">
        <v>45497.0</v>
      </c>
      <c r="D815" s="16">
        <v>45527.0</v>
      </c>
      <c r="E815" s="15" t="s">
        <v>684</v>
      </c>
      <c r="F815" s="19">
        <v>19.99</v>
      </c>
      <c r="G815" s="15" t="s">
        <v>675</v>
      </c>
    </row>
    <row r="816" ht="15.75" customHeight="1">
      <c r="A816" s="17" t="s">
        <v>1487</v>
      </c>
      <c r="B816" s="17" t="s">
        <v>271</v>
      </c>
      <c r="C816" s="18">
        <v>45498.0</v>
      </c>
      <c r="D816" s="18">
        <v>45505.0</v>
      </c>
      <c r="E816" s="17" t="s">
        <v>674</v>
      </c>
      <c r="F816" s="20">
        <v>0.0</v>
      </c>
      <c r="G816" s="17" t="s">
        <v>675</v>
      </c>
    </row>
    <row r="817" ht="15.75" customHeight="1">
      <c r="A817" s="15" t="s">
        <v>1488</v>
      </c>
      <c r="B817" s="15" t="s">
        <v>228</v>
      </c>
      <c r="C817" s="16">
        <v>45498.0</v>
      </c>
      <c r="D817" s="16">
        <v>45528.0</v>
      </c>
      <c r="E817" s="15" t="s">
        <v>684</v>
      </c>
      <c r="F817" s="19">
        <v>19.99</v>
      </c>
      <c r="G817" s="15" t="s">
        <v>675</v>
      </c>
    </row>
    <row r="818" ht="15.75" customHeight="1">
      <c r="A818" s="17" t="s">
        <v>1489</v>
      </c>
      <c r="B818" s="17" t="s">
        <v>262</v>
      </c>
      <c r="C818" s="18">
        <v>45498.0</v>
      </c>
      <c r="D818" s="18">
        <v>45528.0</v>
      </c>
      <c r="E818" s="17" t="s">
        <v>684</v>
      </c>
      <c r="F818" s="20">
        <v>19.99</v>
      </c>
      <c r="G818" s="17" t="s">
        <v>675</v>
      </c>
    </row>
    <row r="819" ht="15.75" customHeight="1">
      <c r="A819" s="15" t="s">
        <v>1490</v>
      </c>
      <c r="B819" s="15" t="s">
        <v>272</v>
      </c>
      <c r="C819" s="16">
        <v>45498.0</v>
      </c>
      <c r="D819" s="16">
        <v>45505.0</v>
      </c>
      <c r="E819" s="15" t="s">
        <v>674</v>
      </c>
      <c r="F819" s="19">
        <v>0.0</v>
      </c>
      <c r="G819" s="15" t="s">
        <v>675</v>
      </c>
    </row>
    <row r="820" ht="15.75" customHeight="1">
      <c r="A820" s="17" t="s">
        <v>1491</v>
      </c>
      <c r="B820" s="17" t="s">
        <v>102</v>
      </c>
      <c r="C820" s="18">
        <v>45498.0</v>
      </c>
      <c r="D820" s="18">
        <v>45528.0</v>
      </c>
      <c r="E820" s="17" t="s">
        <v>684</v>
      </c>
      <c r="F820" s="20">
        <v>19.99</v>
      </c>
      <c r="G820" s="17" t="s">
        <v>675</v>
      </c>
    </row>
    <row r="821" ht="15.75" customHeight="1">
      <c r="A821" s="15" t="s">
        <v>1492</v>
      </c>
      <c r="B821" s="15" t="s">
        <v>166</v>
      </c>
      <c r="C821" s="16">
        <v>45498.0</v>
      </c>
      <c r="D821" s="16">
        <v>45528.0</v>
      </c>
      <c r="E821" s="15" t="s">
        <v>684</v>
      </c>
      <c r="F821" s="19">
        <v>19.99</v>
      </c>
      <c r="G821" s="15" t="s">
        <v>675</v>
      </c>
    </row>
    <row r="822" ht="15.75" customHeight="1">
      <c r="A822" s="17" t="s">
        <v>1493</v>
      </c>
      <c r="B822" s="17" t="s">
        <v>167</v>
      </c>
      <c r="C822" s="18">
        <v>45498.0</v>
      </c>
      <c r="D822" s="18">
        <v>45528.0</v>
      </c>
      <c r="E822" s="17" t="s">
        <v>684</v>
      </c>
      <c r="F822" s="20">
        <v>19.99</v>
      </c>
      <c r="G822" s="17" t="s">
        <v>675</v>
      </c>
    </row>
    <row r="823" ht="15.75" customHeight="1">
      <c r="A823" s="15" t="s">
        <v>1494</v>
      </c>
      <c r="B823" s="15" t="s">
        <v>168</v>
      </c>
      <c r="C823" s="16">
        <v>45498.0</v>
      </c>
      <c r="D823" s="16">
        <v>45528.0</v>
      </c>
      <c r="E823" s="15" t="s">
        <v>684</v>
      </c>
      <c r="F823" s="19">
        <v>19.99</v>
      </c>
      <c r="G823" s="15" t="s">
        <v>675</v>
      </c>
    </row>
    <row r="824" ht="15.75" customHeight="1">
      <c r="A824" s="17" t="s">
        <v>1495</v>
      </c>
      <c r="B824" s="17" t="s">
        <v>208</v>
      </c>
      <c r="C824" s="18">
        <v>45498.0</v>
      </c>
      <c r="D824" s="18">
        <v>45528.0</v>
      </c>
      <c r="E824" s="17" t="s">
        <v>684</v>
      </c>
      <c r="F824" s="20">
        <v>19.99</v>
      </c>
      <c r="G824" s="17" t="s">
        <v>675</v>
      </c>
    </row>
    <row r="825" ht="15.75" customHeight="1">
      <c r="A825" s="15" t="s">
        <v>1496</v>
      </c>
      <c r="B825" s="15" t="s">
        <v>136</v>
      </c>
      <c r="C825" s="16">
        <v>45499.0</v>
      </c>
      <c r="D825" s="16">
        <v>45529.0</v>
      </c>
      <c r="E825" s="15" t="s">
        <v>684</v>
      </c>
      <c r="F825" s="19">
        <v>19.99</v>
      </c>
      <c r="G825" s="15" t="s">
        <v>675</v>
      </c>
    </row>
    <row r="826" ht="15.75" customHeight="1">
      <c r="A826" s="17" t="s">
        <v>1497</v>
      </c>
      <c r="B826" s="17" t="s">
        <v>263</v>
      </c>
      <c r="C826" s="18">
        <v>45499.0</v>
      </c>
      <c r="D826" s="18">
        <v>45529.0</v>
      </c>
      <c r="E826" s="17" t="s">
        <v>684</v>
      </c>
      <c r="F826" s="20">
        <v>19.99</v>
      </c>
      <c r="G826" s="17" t="s">
        <v>675</v>
      </c>
    </row>
    <row r="827" ht="15.75" customHeight="1">
      <c r="A827" s="15" t="s">
        <v>1498</v>
      </c>
      <c r="B827" s="15" t="s">
        <v>273</v>
      </c>
      <c r="C827" s="16">
        <v>45499.0</v>
      </c>
      <c r="D827" s="16">
        <v>45506.0</v>
      </c>
      <c r="E827" s="15" t="s">
        <v>674</v>
      </c>
      <c r="F827" s="19">
        <v>0.0</v>
      </c>
      <c r="G827" s="15" t="s">
        <v>675</v>
      </c>
    </row>
    <row r="828" ht="15.75" customHeight="1">
      <c r="A828" s="17" t="s">
        <v>1499</v>
      </c>
      <c r="B828" s="17" t="s">
        <v>229</v>
      </c>
      <c r="C828" s="18">
        <v>45499.0</v>
      </c>
      <c r="D828" s="18">
        <v>45529.0</v>
      </c>
      <c r="E828" s="17" t="s">
        <v>684</v>
      </c>
      <c r="F828" s="20">
        <v>19.99</v>
      </c>
      <c r="G828" s="17" t="s">
        <v>675</v>
      </c>
    </row>
    <row r="829" ht="15.75" customHeight="1">
      <c r="A829" s="15" t="s">
        <v>1500</v>
      </c>
      <c r="B829" s="15" t="s">
        <v>82</v>
      </c>
      <c r="C829" s="16">
        <v>45499.0</v>
      </c>
      <c r="D829" s="16">
        <v>45529.0</v>
      </c>
      <c r="E829" s="15" t="s">
        <v>684</v>
      </c>
      <c r="F829" s="19">
        <v>19.99</v>
      </c>
      <c r="G829" s="15" t="s">
        <v>675</v>
      </c>
    </row>
    <row r="830" ht="15.75" customHeight="1">
      <c r="A830" s="17" t="s">
        <v>1501</v>
      </c>
      <c r="B830" s="17" t="s">
        <v>264</v>
      </c>
      <c r="C830" s="18">
        <v>45499.0</v>
      </c>
      <c r="D830" s="18">
        <v>45529.0</v>
      </c>
      <c r="E830" s="17" t="s">
        <v>684</v>
      </c>
      <c r="F830" s="20">
        <v>19.99</v>
      </c>
      <c r="G830" s="17" t="s">
        <v>675</v>
      </c>
    </row>
    <row r="831" ht="15.75" customHeight="1">
      <c r="A831" s="15" t="s">
        <v>1502</v>
      </c>
      <c r="B831" s="15" t="s">
        <v>137</v>
      </c>
      <c r="C831" s="16">
        <v>45499.0</v>
      </c>
      <c r="D831" s="16">
        <v>45529.0</v>
      </c>
      <c r="E831" s="15" t="s">
        <v>684</v>
      </c>
      <c r="F831" s="19">
        <v>19.99</v>
      </c>
      <c r="G831" s="15" t="s">
        <v>675</v>
      </c>
    </row>
    <row r="832" ht="15.75" customHeight="1">
      <c r="A832" s="17" t="s">
        <v>1503</v>
      </c>
      <c r="B832" s="17" t="s">
        <v>83</v>
      </c>
      <c r="C832" s="18">
        <v>45499.0</v>
      </c>
      <c r="D832" s="18">
        <v>45529.0</v>
      </c>
      <c r="E832" s="17" t="s">
        <v>684</v>
      </c>
      <c r="F832" s="20">
        <v>19.99</v>
      </c>
      <c r="G832" s="17" t="s">
        <v>675</v>
      </c>
    </row>
    <row r="833" ht="15.75" customHeight="1">
      <c r="A833" s="15" t="s">
        <v>1504</v>
      </c>
      <c r="B833" s="15" t="s">
        <v>138</v>
      </c>
      <c r="C833" s="16">
        <v>45499.0</v>
      </c>
      <c r="D833" s="16">
        <v>45529.0</v>
      </c>
      <c r="E833" s="15" t="s">
        <v>684</v>
      </c>
      <c r="F833" s="19">
        <v>19.99</v>
      </c>
      <c r="G833" s="15" t="s">
        <v>675</v>
      </c>
    </row>
    <row r="834" ht="15.75" customHeight="1">
      <c r="A834" s="17" t="s">
        <v>1505</v>
      </c>
      <c r="B834" s="17" t="s">
        <v>84</v>
      </c>
      <c r="C834" s="18">
        <v>45500.0</v>
      </c>
      <c r="D834" s="18">
        <v>45530.0</v>
      </c>
      <c r="E834" s="17" t="s">
        <v>684</v>
      </c>
      <c r="F834" s="20">
        <v>19.99</v>
      </c>
      <c r="G834" s="17" t="s">
        <v>675</v>
      </c>
    </row>
    <row r="835" ht="15.75" customHeight="1">
      <c r="A835" s="15" t="s">
        <v>1506</v>
      </c>
      <c r="B835" s="15" t="s">
        <v>139</v>
      </c>
      <c r="C835" s="16">
        <v>45500.0</v>
      </c>
      <c r="D835" s="16">
        <v>45530.0</v>
      </c>
      <c r="E835" s="15" t="s">
        <v>684</v>
      </c>
      <c r="F835" s="19">
        <v>19.99</v>
      </c>
      <c r="G835" s="15" t="s">
        <v>675</v>
      </c>
    </row>
    <row r="836" ht="15.75" customHeight="1">
      <c r="A836" s="17" t="s">
        <v>1507</v>
      </c>
      <c r="B836" s="17" t="s">
        <v>103</v>
      </c>
      <c r="C836" s="18">
        <v>45500.0</v>
      </c>
      <c r="D836" s="18">
        <v>45530.0</v>
      </c>
      <c r="E836" s="17" t="s">
        <v>684</v>
      </c>
      <c r="F836" s="20">
        <v>19.99</v>
      </c>
      <c r="G836" s="17" t="s">
        <v>675</v>
      </c>
    </row>
    <row r="837" ht="15.75" customHeight="1">
      <c r="A837" s="15" t="s">
        <v>1508</v>
      </c>
      <c r="B837" s="15" t="s">
        <v>140</v>
      </c>
      <c r="C837" s="16">
        <v>45500.0</v>
      </c>
      <c r="D837" s="16">
        <v>45530.0</v>
      </c>
      <c r="E837" s="15" t="s">
        <v>684</v>
      </c>
      <c r="F837" s="19">
        <v>19.99</v>
      </c>
      <c r="G837" s="15" t="s">
        <v>675</v>
      </c>
    </row>
    <row r="838" ht="15.75" customHeight="1">
      <c r="A838" s="17" t="s">
        <v>1509</v>
      </c>
      <c r="B838" s="17" t="s">
        <v>274</v>
      </c>
      <c r="C838" s="18">
        <v>45500.0</v>
      </c>
      <c r="D838" s="18">
        <v>45507.0</v>
      </c>
      <c r="E838" s="17" t="s">
        <v>674</v>
      </c>
      <c r="F838" s="20">
        <v>0.0</v>
      </c>
      <c r="G838" s="17" t="s">
        <v>675</v>
      </c>
    </row>
    <row r="839" ht="15.75" customHeight="1">
      <c r="A839" s="15" t="s">
        <v>1510</v>
      </c>
      <c r="B839" s="15" t="s">
        <v>171</v>
      </c>
      <c r="C839" s="16">
        <v>45500.0</v>
      </c>
      <c r="D839" s="16">
        <v>45530.0</v>
      </c>
      <c r="E839" s="15" t="s">
        <v>684</v>
      </c>
      <c r="F839" s="19">
        <v>19.99</v>
      </c>
      <c r="G839" s="15" t="s">
        <v>675</v>
      </c>
    </row>
    <row r="840" ht="15.75" customHeight="1">
      <c r="A840" s="17" t="s">
        <v>1511</v>
      </c>
      <c r="B840" s="17" t="s">
        <v>230</v>
      </c>
      <c r="C840" s="18">
        <v>45500.0</v>
      </c>
      <c r="D840" s="18">
        <v>45530.0</v>
      </c>
      <c r="E840" s="17" t="s">
        <v>684</v>
      </c>
      <c r="F840" s="20">
        <v>19.99</v>
      </c>
      <c r="G840" s="17" t="s">
        <v>675</v>
      </c>
    </row>
    <row r="841" ht="15.75" customHeight="1">
      <c r="A841" s="15" t="s">
        <v>1512</v>
      </c>
      <c r="B841" s="15" t="s">
        <v>265</v>
      </c>
      <c r="C841" s="16">
        <v>45501.0</v>
      </c>
      <c r="D841" s="16">
        <v>45531.0</v>
      </c>
      <c r="E841" s="15" t="s">
        <v>684</v>
      </c>
      <c r="F841" s="19">
        <v>19.99</v>
      </c>
      <c r="G841" s="15" t="s">
        <v>675</v>
      </c>
    </row>
    <row r="842" ht="15.75" customHeight="1">
      <c r="A842" s="17" t="s">
        <v>1513</v>
      </c>
      <c r="B842" s="17" t="s">
        <v>275</v>
      </c>
      <c r="C842" s="18">
        <v>45501.0</v>
      </c>
      <c r="D842" s="18">
        <v>45508.0</v>
      </c>
      <c r="E842" s="17" t="s">
        <v>674</v>
      </c>
      <c r="F842" s="20">
        <v>0.0</v>
      </c>
      <c r="G842" s="17" t="s">
        <v>675</v>
      </c>
    </row>
    <row r="843" ht="15.75" customHeight="1">
      <c r="A843" s="15" t="s">
        <v>1514</v>
      </c>
      <c r="B843" s="15" t="s">
        <v>276</v>
      </c>
      <c r="C843" s="16">
        <v>45501.0</v>
      </c>
      <c r="D843" s="16">
        <v>45508.0</v>
      </c>
      <c r="E843" s="15" t="s">
        <v>674</v>
      </c>
      <c r="F843" s="19">
        <v>0.0</v>
      </c>
      <c r="G843" s="15" t="s">
        <v>675</v>
      </c>
    </row>
    <row r="844" ht="15.75" customHeight="1">
      <c r="A844" s="17" t="s">
        <v>1515</v>
      </c>
      <c r="B844" s="17" t="s">
        <v>172</v>
      </c>
      <c r="C844" s="18">
        <v>45501.0</v>
      </c>
      <c r="D844" s="18">
        <v>45531.0</v>
      </c>
      <c r="E844" s="17" t="s">
        <v>684</v>
      </c>
      <c r="F844" s="20">
        <v>19.99</v>
      </c>
      <c r="G844" s="17" t="s">
        <v>675</v>
      </c>
    </row>
    <row r="845" ht="15.75" customHeight="1">
      <c r="A845" s="15" t="s">
        <v>1516</v>
      </c>
      <c r="B845" s="15" t="s">
        <v>277</v>
      </c>
      <c r="C845" s="16">
        <v>45501.0</v>
      </c>
      <c r="D845" s="16">
        <v>45508.0</v>
      </c>
      <c r="E845" s="15" t="s">
        <v>674</v>
      </c>
      <c r="F845" s="19">
        <v>0.0</v>
      </c>
      <c r="G845" s="15" t="s">
        <v>675</v>
      </c>
    </row>
    <row r="846" ht="15.75" customHeight="1">
      <c r="A846" s="17" t="s">
        <v>1517</v>
      </c>
      <c r="B846" s="17" t="s">
        <v>210</v>
      </c>
      <c r="C846" s="18">
        <v>45501.0</v>
      </c>
      <c r="D846" s="18">
        <v>45531.0</v>
      </c>
      <c r="E846" s="17" t="s">
        <v>684</v>
      </c>
      <c r="F846" s="20">
        <v>19.99</v>
      </c>
      <c r="G846" s="17" t="s">
        <v>675</v>
      </c>
    </row>
    <row r="847" ht="15.75" customHeight="1">
      <c r="A847" s="15" t="s">
        <v>1518</v>
      </c>
      <c r="B847" s="15" t="s">
        <v>278</v>
      </c>
      <c r="C847" s="16">
        <v>45502.0</v>
      </c>
      <c r="D847" s="16">
        <v>45509.0</v>
      </c>
      <c r="E847" s="15" t="s">
        <v>674</v>
      </c>
      <c r="F847" s="19">
        <v>0.0</v>
      </c>
      <c r="G847" s="15" t="s">
        <v>675</v>
      </c>
    </row>
    <row r="848" ht="15.75" customHeight="1">
      <c r="A848" s="17" t="s">
        <v>1519</v>
      </c>
      <c r="B848" s="17" t="s">
        <v>104</v>
      </c>
      <c r="C848" s="18">
        <v>45502.0</v>
      </c>
      <c r="D848" s="18">
        <v>45532.0</v>
      </c>
      <c r="E848" s="17" t="s">
        <v>684</v>
      </c>
      <c r="F848" s="20">
        <v>19.99</v>
      </c>
      <c r="G848" s="17" t="s">
        <v>675</v>
      </c>
    </row>
    <row r="849" ht="15.75" customHeight="1">
      <c r="A849" s="15" t="s">
        <v>1520</v>
      </c>
      <c r="B849" s="15" t="s">
        <v>211</v>
      </c>
      <c r="C849" s="16">
        <v>45502.0</v>
      </c>
      <c r="D849" s="16">
        <v>45532.0</v>
      </c>
      <c r="E849" s="15" t="s">
        <v>684</v>
      </c>
      <c r="F849" s="19">
        <v>19.99</v>
      </c>
      <c r="G849" s="15" t="s">
        <v>675</v>
      </c>
    </row>
    <row r="850" ht="15.75" customHeight="1">
      <c r="A850" s="17" t="s">
        <v>1521</v>
      </c>
      <c r="B850" s="17" t="s">
        <v>279</v>
      </c>
      <c r="C850" s="18">
        <v>45502.0</v>
      </c>
      <c r="D850" s="18">
        <v>45509.0</v>
      </c>
      <c r="E850" s="17" t="s">
        <v>674</v>
      </c>
      <c r="F850" s="20">
        <v>0.0</v>
      </c>
      <c r="G850" s="17" t="s">
        <v>675</v>
      </c>
    </row>
    <row r="851" ht="15.75" customHeight="1">
      <c r="A851" s="15" t="s">
        <v>1522</v>
      </c>
      <c r="B851" s="15" t="s">
        <v>266</v>
      </c>
      <c r="C851" s="16">
        <v>45502.0</v>
      </c>
      <c r="D851" s="16">
        <v>45532.0</v>
      </c>
      <c r="E851" s="15" t="s">
        <v>684</v>
      </c>
      <c r="F851" s="19">
        <v>19.99</v>
      </c>
      <c r="G851" s="15" t="s">
        <v>675</v>
      </c>
    </row>
    <row r="852" ht="15.75" customHeight="1">
      <c r="A852" s="17" t="s">
        <v>1523</v>
      </c>
      <c r="B852" s="17" t="s">
        <v>267</v>
      </c>
      <c r="C852" s="18">
        <v>45502.0</v>
      </c>
      <c r="D852" s="18">
        <v>45532.0</v>
      </c>
      <c r="E852" s="17" t="s">
        <v>684</v>
      </c>
      <c r="F852" s="20">
        <v>19.99</v>
      </c>
      <c r="G852" s="17" t="s">
        <v>675</v>
      </c>
    </row>
    <row r="853" ht="15.75" customHeight="1">
      <c r="A853" s="15" t="s">
        <v>1524</v>
      </c>
      <c r="B853" s="15" t="s">
        <v>268</v>
      </c>
      <c r="C853" s="16">
        <v>45503.0</v>
      </c>
      <c r="D853" s="16">
        <v>45533.0</v>
      </c>
      <c r="E853" s="15" t="s">
        <v>684</v>
      </c>
      <c r="F853" s="19">
        <v>19.99</v>
      </c>
      <c r="G853" s="15" t="s">
        <v>675</v>
      </c>
    </row>
    <row r="854" ht="15.75" customHeight="1">
      <c r="A854" s="17" t="s">
        <v>1525</v>
      </c>
      <c r="B854" s="17" t="s">
        <v>85</v>
      </c>
      <c r="C854" s="18">
        <v>45503.0</v>
      </c>
      <c r="D854" s="18">
        <v>45533.0</v>
      </c>
      <c r="E854" s="17" t="s">
        <v>684</v>
      </c>
      <c r="F854" s="20">
        <v>19.99</v>
      </c>
      <c r="G854" s="17" t="s">
        <v>675</v>
      </c>
    </row>
    <row r="855" ht="15.75" customHeight="1">
      <c r="A855" s="15" t="s">
        <v>1526</v>
      </c>
      <c r="B855" s="15" t="s">
        <v>280</v>
      </c>
      <c r="C855" s="16">
        <v>45503.0</v>
      </c>
      <c r="D855" s="16">
        <v>45510.0</v>
      </c>
      <c r="E855" s="15" t="s">
        <v>674</v>
      </c>
      <c r="F855" s="19">
        <v>0.0</v>
      </c>
      <c r="G855" s="15" t="s">
        <v>675</v>
      </c>
    </row>
    <row r="856" ht="15.75" customHeight="1">
      <c r="A856" s="17" t="s">
        <v>1527</v>
      </c>
      <c r="B856" s="17" t="s">
        <v>232</v>
      </c>
      <c r="C856" s="18">
        <v>45503.0</v>
      </c>
      <c r="D856" s="18">
        <v>45533.0</v>
      </c>
      <c r="E856" s="17" t="s">
        <v>684</v>
      </c>
      <c r="F856" s="20">
        <v>19.99</v>
      </c>
      <c r="G856" s="17" t="s">
        <v>675</v>
      </c>
    </row>
    <row r="857" ht="15.75" customHeight="1">
      <c r="A857" s="15" t="s">
        <v>1528</v>
      </c>
      <c r="B857" s="15" t="s">
        <v>142</v>
      </c>
      <c r="C857" s="16">
        <v>45503.0</v>
      </c>
      <c r="D857" s="16">
        <v>45533.0</v>
      </c>
      <c r="E857" s="15" t="s">
        <v>684</v>
      </c>
      <c r="F857" s="19">
        <v>19.99</v>
      </c>
      <c r="G857" s="15" t="s">
        <v>675</v>
      </c>
    </row>
    <row r="858" ht="15.75" customHeight="1">
      <c r="A858" s="17" t="s">
        <v>1529</v>
      </c>
      <c r="B858" s="17" t="s">
        <v>173</v>
      </c>
      <c r="C858" s="18">
        <v>45503.0</v>
      </c>
      <c r="D858" s="18">
        <v>45533.0</v>
      </c>
      <c r="E858" s="17" t="s">
        <v>684</v>
      </c>
      <c r="F858" s="20">
        <v>19.99</v>
      </c>
      <c r="G858" s="17" t="s">
        <v>675</v>
      </c>
    </row>
    <row r="859" ht="15.75" customHeight="1">
      <c r="A859" s="15" t="s">
        <v>1530</v>
      </c>
      <c r="B859" s="15" t="s">
        <v>234</v>
      </c>
      <c r="C859" s="16">
        <v>45503.0</v>
      </c>
      <c r="D859" s="16">
        <v>45533.0</v>
      </c>
      <c r="E859" s="15" t="s">
        <v>684</v>
      </c>
      <c r="F859" s="19">
        <v>19.99</v>
      </c>
      <c r="G859" s="15" t="s">
        <v>675</v>
      </c>
    </row>
    <row r="860" ht="15.75" customHeight="1">
      <c r="A860" s="17" t="s">
        <v>1531</v>
      </c>
      <c r="B860" s="17" t="s">
        <v>174</v>
      </c>
      <c r="C860" s="18">
        <v>45503.0</v>
      </c>
      <c r="D860" s="18">
        <v>45533.0</v>
      </c>
      <c r="E860" s="17" t="s">
        <v>684</v>
      </c>
      <c r="F860" s="20">
        <v>19.99</v>
      </c>
      <c r="G860" s="17" t="s">
        <v>675</v>
      </c>
    </row>
    <row r="861" ht="15.75" customHeight="1">
      <c r="A861" s="15" t="s">
        <v>1532</v>
      </c>
      <c r="B861" s="15" t="s">
        <v>281</v>
      </c>
      <c r="C861" s="16">
        <v>45503.0</v>
      </c>
      <c r="D861" s="16">
        <v>45510.0</v>
      </c>
      <c r="E861" s="15" t="s">
        <v>674</v>
      </c>
      <c r="F861" s="19">
        <v>0.0</v>
      </c>
      <c r="G861" s="15" t="s">
        <v>675</v>
      </c>
    </row>
    <row r="862" ht="15.75" customHeight="1">
      <c r="A862" s="17" t="s">
        <v>1533</v>
      </c>
      <c r="B862" s="17" t="s">
        <v>235</v>
      </c>
      <c r="C862" s="18">
        <v>45504.0</v>
      </c>
      <c r="D862" s="18">
        <v>45534.0</v>
      </c>
      <c r="E862" s="17" t="s">
        <v>684</v>
      </c>
      <c r="F862" s="20">
        <v>19.99</v>
      </c>
      <c r="G862" s="17" t="s">
        <v>675</v>
      </c>
    </row>
    <row r="863" ht="15.75" customHeight="1">
      <c r="A863" s="15" t="s">
        <v>1534</v>
      </c>
      <c r="B863" s="15" t="s">
        <v>175</v>
      </c>
      <c r="C863" s="16">
        <v>45504.0</v>
      </c>
      <c r="D863" s="16">
        <v>45534.0</v>
      </c>
      <c r="E863" s="15" t="s">
        <v>684</v>
      </c>
      <c r="F863" s="19">
        <v>19.99</v>
      </c>
      <c r="G863" s="15" t="s">
        <v>675</v>
      </c>
    </row>
    <row r="864" ht="15.75" customHeight="1">
      <c r="A864" s="17" t="s">
        <v>1535</v>
      </c>
      <c r="B864" s="17" t="s">
        <v>282</v>
      </c>
      <c r="C864" s="18">
        <v>45504.0</v>
      </c>
      <c r="D864" s="18">
        <v>45511.0</v>
      </c>
      <c r="E864" s="17" t="s">
        <v>674</v>
      </c>
      <c r="F864" s="20">
        <v>0.0</v>
      </c>
      <c r="G864" s="17" t="s">
        <v>675</v>
      </c>
    </row>
    <row r="865" ht="15.75" customHeight="1">
      <c r="A865" s="15" t="s">
        <v>1536</v>
      </c>
      <c r="B865" s="15" t="s">
        <v>236</v>
      </c>
      <c r="C865" s="16">
        <v>45504.0</v>
      </c>
      <c r="D865" s="16">
        <v>45534.0</v>
      </c>
      <c r="E865" s="15" t="s">
        <v>684</v>
      </c>
      <c r="F865" s="19">
        <v>19.99</v>
      </c>
      <c r="G865" s="15" t="s">
        <v>675</v>
      </c>
    </row>
    <row r="866" ht="15.75" customHeight="1">
      <c r="A866" s="17" t="s">
        <v>1537</v>
      </c>
      <c r="B866" s="17" t="s">
        <v>237</v>
      </c>
      <c r="C866" s="18">
        <v>45504.0</v>
      </c>
      <c r="D866" s="18">
        <v>45534.0</v>
      </c>
      <c r="E866" s="17" t="s">
        <v>684</v>
      </c>
      <c r="F866" s="20">
        <v>19.99</v>
      </c>
      <c r="G866" s="17" t="s">
        <v>675</v>
      </c>
    </row>
    <row r="867" ht="15.75" customHeight="1">
      <c r="A867" s="15" t="s">
        <v>1538</v>
      </c>
      <c r="B867" s="15" t="s">
        <v>269</v>
      </c>
      <c r="C867" s="16">
        <v>45504.0</v>
      </c>
      <c r="D867" s="16">
        <v>45534.0</v>
      </c>
      <c r="E867" s="15" t="s">
        <v>684</v>
      </c>
      <c r="F867" s="19">
        <v>19.99</v>
      </c>
      <c r="G867" s="15" t="s">
        <v>675</v>
      </c>
    </row>
    <row r="868" ht="15.75" customHeight="1">
      <c r="A868" s="17" t="s">
        <v>1539</v>
      </c>
      <c r="B868" s="17" t="s">
        <v>270</v>
      </c>
      <c r="C868" s="18">
        <v>45504.0</v>
      </c>
      <c r="D868" s="18">
        <v>45534.0</v>
      </c>
      <c r="E868" s="17" t="s">
        <v>684</v>
      </c>
      <c r="F868" s="20">
        <v>19.99</v>
      </c>
      <c r="G868" s="17" t="s">
        <v>675</v>
      </c>
    </row>
    <row r="869" ht="15.75" customHeight="1">
      <c r="A869" s="15" t="s">
        <v>1540</v>
      </c>
      <c r="B869" s="15" t="s">
        <v>143</v>
      </c>
      <c r="C869" s="16">
        <v>45504.0</v>
      </c>
      <c r="D869" s="16">
        <v>45534.0</v>
      </c>
      <c r="E869" s="15" t="s">
        <v>684</v>
      </c>
      <c r="F869" s="19">
        <v>19.99</v>
      </c>
      <c r="G869" s="15" t="s">
        <v>675</v>
      </c>
    </row>
    <row r="870" ht="15.75" customHeight="1">
      <c r="A870" s="17" t="s">
        <v>1541</v>
      </c>
      <c r="B870" s="17" t="s">
        <v>176</v>
      </c>
      <c r="C870" s="18">
        <v>45505.0</v>
      </c>
      <c r="D870" s="18">
        <v>45535.0</v>
      </c>
      <c r="E870" s="17" t="s">
        <v>684</v>
      </c>
      <c r="F870" s="20">
        <v>19.99</v>
      </c>
      <c r="G870" s="17" t="s">
        <v>675</v>
      </c>
    </row>
    <row r="871" ht="15.75" customHeight="1">
      <c r="A871" s="15" t="s">
        <v>1542</v>
      </c>
      <c r="B871" s="15" t="s">
        <v>271</v>
      </c>
      <c r="C871" s="16">
        <v>45505.0</v>
      </c>
      <c r="D871" s="16">
        <v>45535.0</v>
      </c>
      <c r="E871" s="15" t="s">
        <v>684</v>
      </c>
      <c r="F871" s="19">
        <v>19.99</v>
      </c>
      <c r="G871" s="15" t="s">
        <v>675</v>
      </c>
    </row>
    <row r="872" ht="15.75" customHeight="1">
      <c r="A872" s="17" t="s">
        <v>1543</v>
      </c>
      <c r="B872" s="17" t="s">
        <v>177</v>
      </c>
      <c r="C872" s="18">
        <v>45505.0</v>
      </c>
      <c r="D872" s="18">
        <v>45535.0</v>
      </c>
      <c r="E872" s="17" t="s">
        <v>684</v>
      </c>
      <c r="F872" s="20">
        <v>19.99</v>
      </c>
      <c r="G872" s="17" t="s">
        <v>675</v>
      </c>
    </row>
    <row r="873" ht="15.75" customHeight="1">
      <c r="A873" s="15" t="s">
        <v>1544</v>
      </c>
      <c r="B873" s="15" t="s">
        <v>106</v>
      </c>
      <c r="C873" s="16">
        <v>45505.0</v>
      </c>
      <c r="D873" s="16">
        <v>45535.0</v>
      </c>
      <c r="E873" s="15" t="s">
        <v>684</v>
      </c>
      <c r="F873" s="19">
        <v>19.99</v>
      </c>
      <c r="G873" s="15" t="s">
        <v>675</v>
      </c>
    </row>
    <row r="874" ht="15.75" customHeight="1">
      <c r="A874" s="17" t="s">
        <v>1545</v>
      </c>
      <c r="B874" s="17" t="s">
        <v>272</v>
      </c>
      <c r="C874" s="18">
        <v>45505.0</v>
      </c>
      <c r="D874" s="18">
        <v>45535.0</v>
      </c>
      <c r="E874" s="17" t="s">
        <v>684</v>
      </c>
      <c r="F874" s="20">
        <v>19.99</v>
      </c>
      <c r="G874" s="17" t="s">
        <v>675</v>
      </c>
    </row>
    <row r="875" ht="15.75" customHeight="1">
      <c r="A875" s="15" t="s">
        <v>1546</v>
      </c>
      <c r="B875" s="15" t="s">
        <v>179</v>
      </c>
      <c r="C875" s="16">
        <v>45505.0</v>
      </c>
      <c r="D875" s="16">
        <v>45535.0</v>
      </c>
      <c r="E875" s="15" t="s">
        <v>684</v>
      </c>
      <c r="F875" s="19">
        <v>19.99</v>
      </c>
      <c r="G875" s="15" t="s">
        <v>675</v>
      </c>
    </row>
    <row r="876" ht="15.75" customHeight="1">
      <c r="A876" s="17" t="s">
        <v>1547</v>
      </c>
      <c r="B876" s="17" t="s">
        <v>283</v>
      </c>
      <c r="C876" s="18">
        <v>45506.0</v>
      </c>
      <c r="D876" s="18">
        <v>45513.0</v>
      </c>
      <c r="E876" s="17" t="s">
        <v>674</v>
      </c>
      <c r="F876" s="20">
        <v>0.0</v>
      </c>
      <c r="G876" s="17" t="s">
        <v>675</v>
      </c>
    </row>
    <row r="877" ht="15.75" customHeight="1">
      <c r="A877" s="15" t="s">
        <v>1548</v>
      </c>
      <c r="B877" s="15" t="s">
        <v>273</v>
      </c>
      <c r="C877" s="16">
        <v>45506.0</v>
      </c>
      <c r="D877" s="16">
        <v>45536.0</v>
      </c>
      <c r="E877" s="15" t="s">
        <v>684</v>
      </c>
      <c r="F877" s="19">
        <v>19.99</v>
      </c>
      <c r="G877" s="15" t="s">
        <v>675</v>
      </c>
    </row>
    <row r="878" ht="15.75" customHeight="1">
      <c r="A878" s="17" t="s">
        <v>1549</v>
      </c>
      <c r="B878" s="17" t="s">
        <v>108</v>
      </c>
      <c r="C878" s="18">
        <v>45506.0</v>
      </c>
      <c r="D878" s="18">
        <v>45536.0</v>
      </c>
      <c r="E878" s="17" t="s">
        <v>684</v>
      </c>
      <c r="F878" s="20">
        <v>19.99</v>
      </c>
      <c r="G878" s="17" t="s">
        <v>675</v>
      </c>
    </row>
    <row r="879" ht="15.75" customHeight="1">
      <c r="A879" s="15" t="s">
        <v>1550</v>
      </c>
      <c r="B879" s="15" t="s">
        <v>284</v>
      </c>
      <c r="C879" s="16">
        <v>45506.0</v>
      </c>
      <c r="D879" s="16">
        <v>45513.0</v>
      </c>
      <c r="E879" s="15" t="s">
        <v>674</v>
      </c>
      <c r="F879" s="19">
        <v>0.0</v>
      </c>
      <c r="G879" s="15" t="s">
        <v>675</v>
      </c>
    </row>
    <row r="880" ht="15.75" customHeight="1">
      <c r="A880" s="17" t="s">
        <v>1551</v>
      </c>
      <c r="B880" s="17" t="s">
        <v>144</v>
      </c>
      <c r="C880" s="18">
        <v>45506.0</v>
      </c>
      <c r="D880" s="18">
        <v>45536.0</v>
      </c>
      <c r="E880" s="17" t="s">
        <v>684</v>
      </c>
      <c r="F880" s="20">
        <v>19.99</v>
      </c>
      <c r="G880" s="17" t="s">
        <v>675</v>
      </c>
    </row>
    <row r="881" ht="15.75" customHeight="1">
      <c r="A881" s="15" t="s">
        <v>1552</v>
      </c>
      <c r="B881" s="15" t="s">
        <v>180</v>
      </c>
      <c r="C881" s="16">
        <v>45506.0</v>
      </c>
      <c r="D881" s="16">
        <v>45536.0</v>
      </c>
      <c r="E881" s="15" t="s">
        <v>684</v>
      </c>
      <c r="F881" s="19">
        <v>19.99</v>
      </c>
      <c r="G881" s="15" t="s">
        <v>675</v>
      </c>
    </row>
    <row r="882" ht="15.75" customHeight="1">
      <c r="A882" s="17" t="s">
        <v>1553</v>
      </c>
      <c r="B882" s="17" t="s">
        <v>285</v>
      </c>
      <c r="C882" s="18">
        <v>45506.0</v>
      </c>
      <c r="D882" s="18">
        <v>45513.0</v>
      </c>
      <c r="E882" s="17" t="s">
        <v>674</v>
      </c>
      <c r="F882" s="20">
        <v>0.0</v>
      </c>
      <c r="G882" s="17" t="s">
        <v>675</v>
      </c>
    </row>
    <row r="883" ht="15.75" customHeight="1">
      <c r="A883" s="15" t="s">
        <v>1554</v>
      </c>
      <c r="B883" s="15" t="s">
        <v>212</v>
      </c>
      <c r="C883" s="16">
        <v>45506.0</v>
      </c>
      <c r="D883" s="16">
        <v>45536.0</v>
      </c>
      <c r="E883" s="15" t="s">
        <v>684</v>
      </c>
      <c r="F883" s="19">
        <v>19.99</v>
      </c>
      <c r="G883" s="15" t="s">
        <v>675</v>
      </c>
    </row>
    <row r="884" ht="15.75" customHeight="1">
      <c r="A884" s="17" t="s">
        <v>1555</v>
      </c>
      <c r="B884" s="17" t="s">
        <v>109</v>
      </c>
      <c r="C884" s="18">
        <v>45506.0</v>
      </c>
      <c r="D884" s="18">
        <v>45536.0</v>
      </c>
      <c r="E884" s="17" t="s">
        <v>684</v>
      </c>
      <c r="F884" s="20">
        <v>19.99</v>
      </c>
      <c r="G884" s="17" t="s">
        <v>675</v>
      </c>
    </row>
    <row r="885" ht="15.75" customHeight="1">
      <c r="A885" s="15" t="s">
        <v>1556</v>
      </c>
      <c r="B885" s="15" t="s">
        <v>110</v>
      </c>
      <c r="C885" s="16">
        <v>45506.0</v>
      </c>
      <c r="D885" s="16">
        <v>45536.0</v>
      </c>
      <c r="E885" s="15" t="s">
        <v>684</v>
      </c>
      <c r="F885" s="19">
        <v>19.99</v>
      </c>
      <c r="G885" s="15" t="s">
        <v>675</v>
      </c>
    </row>
    <row r="886" ht="15.75" customHeight="1">
      <c r="A886" s="17" t="s">
        <v>1557</v>
      </c>
      <c r="B886" s="17" t="s">
        <v>111</v>
      </c>
      <c r="C886" s="18">
        <v>45506.0</v>
      </c>
      <c r="D886" s="18">
        <v>45536.0</v>
      </c>
      <c r="E886" s="17" t="s">
        <v>684</v>
      </c>
      <c r="F886" s="20">
        <v>19.99</v>
      </c>
      <c r="G886" s="17" t="s">
        <v>675</v>
      </c>
    </row>
    <row r="887" ht="15.75" customHeight="1">
      <c r="A887" s="15" t="s">
        <v>1558</v>
      </c>
      <c r="B887" s="15" t="s">
        <v>112</v>
      </c>
      <c r="C887" s="16">
        <v>45507.0</v>
      </c>
      <c r="D887" s="16">
        <v>45537.0</v>
      </c>
      <c r="E887" s="15" t="s">
        <v>684</v>
      </c>
      <c r="F887" s="19">
        <v>19.99</v>
      </c>
      <c r="G887" s="15" t="s">
        <v>675</v>
      </c>
    </row>
    <row r="888" ht="15.75" customHeight="1">
      <c r="A888" s="17" t="s">
        <v>1559</v>
      </c>
      <c r="B888" s="17" t="s">
        <v>181</v>
      </c>
      <c r="C888" s="18">
        <v>45507.0</v>
      </c>
      <c r="D888" s="18">
        <v>45537.0</v>
      </c>
      <c r="E888" s="17" t="s">
        <v>684</v>
      </c>
      <c r="F888" s="20">
        <v>19.99</v>
      </c>
      <c r="G888" s="17" t="s">
        <v>675</v>
      </c>
    </row>
    <row r="889" ht="15.75" customHeight="1">
      <c r="A889" s="15" t="s">
        <v>1560</v>
      </c>
      <c r="B889" s="15" t="s">
        <v>238</v>
      </c>
      <c r="C889" s="16">
        <v>45507.0</v>
      </c>
      <c r="D889" s="16">
        <v>45537.0</v>
      </c>
      <c r="E889" s="15" t="s">
        <v>684</v>
      </c>
      <c r="F889" s="19">
        <v>19.99</v>
      </c>
      <c r="G889" s="15" t="s">
        <v>675</v>
      </c>
    </row>
    <row r="890" ht="15.75" customHeight="1">
      <c r="A890" s="17" t="s">
        <v>1561</v>
      </c>
      <c r="B890" s="17" t="s">
        <v>286</v>
      </c>
      <c r="C890" s="18">
        <v>45507.0</v>
      </c>
      <c r="D890" s="18">
        <v>45514.0</v>
      </c>
      <c r="E890" s="17" t="s">
        <v>674</v>
      </c>
      <c r="F890" s="20">
        <v>0.0</v>
      </c>
      <c r="G890" s="17" t="s">
        <v>675</v>
      </c>
    </row>
    <row r="891" ht="15.75" customHeight="1">
      <c r="A891" s="15" t="s">
        <v>1562</v>
      </c>
      <c r="B891" s="15" t="s">
        <v>287</v>
      </c>
      <c r="C891" s="16">
        <v>45507.0</v>
      </c>
      <c r="D891" s="16">
        <v>45514.0</v>
      </c>
      <c r="E891" s="15" t="s">
        <v>674</v>
      </c>
      <c r="F891" s="19">
        <v>0.0</v>
      </c>
      <c r="G891" s="15" t="s">
        <v>675</v>
      </c>
    </row>
    <row r="892" ht="15.75" customHeight="1">
      <c r="A892" s="17" t="s">
        <v>1563</v>
      </c>
      <c r="B892" s="17" t="s">
        <v>113</v>
      </c>
      <c r="C892" s="18">
        <v>45507.0</v>
      </c>
      <c r="D892" s="18">
        <v>45537.0</v>
      </c>
      <c r="E892" s="17" t="s">
        <v>684</v>
      </c>
      <c r="F892" s="20">
        <v>19.99</v>
      </c>
      <c r="G892" s="17" t="s">
        <v>675</v>
      </c>
    </row>
    <row r="893" ht="15.75" customHeight="1">
      <c r="A893" s="15" t="s">
        <v>1564</v>
      </c>
      <c r="B893" s="15" t="s">
        <v>288</v>
      </c>
      <c r="C893" s="16">
        <v>45507.0</v>
      </c>
      <c r="D893" s="16">
        <v>45514.0</v>
      </c>
      <c r="E893" s="15" t="s">
        <v>674</v>
      </c>
      <c r="F893" s="19">
        <v>0.0</v>
      </c>
      <c r="G893" s="15" t="s">
        <v>675</v>
      </c>
    </row>
    <row r="894" ht="15.75" customHeight="1">
      <c r="A894" s="17" t="s">
        <v>1565</v>
      </c>
      <c r="B894" s="17" t="s">
        <v>274</v>
      </c>
      <c r="C894" s="18">
        <v>45507.0</v>
      </c>
      <c r="D894" s="18">
        <v>45537.0</v>
      </c>
      <c r="E894" s="17" t="s">
        <v>684</v>
      </c>
      <c r="F894" s="20">
        <v>19.99</v>
      </c>
      <c r="G894" s="17" t="s">
        <v>675</v>
      </c>
    </row>
    <row r="895" ht="15.75" customHeight="1">
      <c r="A895" s="15" t="s">
        <v>1566</v>
      </c>
      <c r="B895" s="15" t="s">
        <v>239</v>
      </c>
      <c r="C895" s="16">
        <v>45507.0</v>
      </c>
      <c r="D895" s="16">
        <v>45537.0</v>
      </c>
      <c r="E895" s="15" t="s">
        <v>684</v>
      </c>
      <c r="F895" s="19">
        <v>19.99</v>
      </c>
      <c r="G895" s="15" t="s">
        <v>675</v>
      </c>
    </row>
    <row r="896" ht="15.75" customHeight="1">
      <c r="A896" s="17" t="s">
        <v>1567</v>
      </c>
      <c r="B896" s="17" t="s">
        <v>289</v>
      </c>
      <c r="C896" s="18">
        <v>45507.0</v>
      </c>
      <c r="D896" s="18">
        <v>45514.0</v>
      </c>
      <c r="E896" s="17" t="s">
        <v>674</v>
      </c>
      <c r="F896" s="20">
        <v>0.0</v>
      </c>
      <c r="G896" s="17" t="s">
        <v>675</v>
      </c>
    </row>
    <row r="897" ht="15.75" customHeight="1">
      <c r="A897" s="15" t="s">
        <v>1568</v>
      </c>
      <c r="B897" s="15" t="s">
        <v>213</v>
      </c>
      <c r="C897" s="16">
        <v>45508.0</v>
      </c>
      <c r="D897" s="16">
        <v>45538.0</v>
      </c>
      <c r="E897" s="15" t="s">
        <v>684</v>
      </c>
      <c r="F897" s="19">
        <v>19.99</v>
      </c>
      <c r="G897" s="15" t="s">
        <v>675</v>
      </c>
    </row>
    <row r="898" ht="15.75" customHeight="1">
      <c r="A898" s="17" t="s">
        <v>1569</v>
      </c>
      <c r="B898" s="17" t="s">
        <v>115</v>
      </c>
      <c r="C898" s="18">
        <v>45508.0</v>
      </c>
      <c r="D898" s="18">
        <v>45538.0</v>
      </c>
      <c r="E898" s="17" t="s">
        <v>684</v>
      </c>
      <c r="F898" s="20">
        <v>19.99</v>
      </c>
      <c r="G898" s="17" t="s">
        <v>675</v>
      </c>
    </row>
    <row r="899" ht="15.75" customHeight="1">
      <c r="A899" s="15" t="s">
        <v>1570</v>
      </c>
      <c r="B899" s="15" t="s">
        <v>275</v>
      </c>
      <c r="C899" s="16">
        <v>45508.0</v>
      </c>
      <c r="D899" s="16">
        <v>45538.0</v>
      </c>
      <c r="E899" s="15" t="s">
        <v>684</v>
      </c>
      <c r="F899" s="19">
        <v>19.99</v>
      </c>
      <c r="G899" s="15" t="s">
        <v>675</v>
      </c>
    </row>
    <row r="900" ht="15.75" customHeight="1">
      <c r="A900" s="17" t="s">
        <v>1571</v>
      </c>
      <c r="B900" s="17" t="s">
        <v>276</v>
      </c>
      <c r="C900" s="18">
        <v>45508.0</v>
      </c>
      <c r="D900" s="18">
        <v>45538.0</v>
      </c>
      <c r="E900" s="17" t="s">
        <v>684</v>
      </c>
      <c r="F900" s="20">
        <v>19.99</v>
      </c>
      <c r="G900" s="17" t="s">
        <v>675</v>
      </c>
    </row>
    <row r="901" ht="15.75" customHeight="1">
      <c r="A901" s="15" t="s">
        <v>1572</v>
      </c>
      <c r="B901" s="15" t="s">
        <v>182</v>
      </c>
      <c r="C901" s="16">
        <v>45508.0</v>
      </c>
      <c r="D901" s="16">
        <v>45538.0</v>
      </c>
      <c r="E901" s="15" t="s">
        <v>684</v>
      </c>
      <c r="F901" s="19">
        <v>19.99</v>
      </c>
      <c r="G901" s="15" t="s">
        <v>675</v>
      </c>
    </row>
    <row r="902" ht="15.75" customHeight="1">
      <c r="A902" s="17" t="s">
        <v>1573</v>
      </c>
      <c r="B902" s="17" t="s">
        <v>214</v>
      </c>
      <c r="C902" s="18">
        <v>45508.0</v>
      </c>
      <c r="D902" s="18">
        <v>45538.0</v>
      </c>
      <c r="E902" s="17" t="s">
        <v>684</v>
      </c>
      <c r="F902" s="20">
        <v>19.99</v>
      </c>
      <c r="G902" s="17" t="s">
        <v>675</v>
      </c>
    </row>
    <row r="903" ht="15.75" customHeight="1">
      <c r="A903" s="15" t="s">
        <v>1574</v>
      </c>
      <c r="B903" s="15" t="s">
        <v>277</v>
      </c>
      <c r="C903" s="16">
        <v>45508.0</v>
      </c>
      <c r="D903" s="16">
        <v>45538.0</v>
      </c>
      <c r="E903" s="15" t="s">
        <v>684</v>
      </c>
      <c r="F903" s="19">
        <v>19.99</v>
      </c>
      <c r="G903" s="15" t="s">
        <v>675</v>
      </c>
    </row>
    <row r="904" ht="15.75" customHeight="1">
      <c r="A904" s="17" t="s">
        <v>1575</v>
      </c>
      <c r="B904" s="17" t="s">
        <v>240</v>
      </c>
      <c r="C904" s="18">
        <v>45508.0</v>
      </c>
      <c r="D904" s="18">
        <v>45538.0</v>
      </c>
      <c r="E904" s="17" t="s">
        <v>684</v>
      </c>
      <c r="F904" s="20">
        <v>19.99</v>
      </c>
      <c r="G904" s="17" t="s">
        <v>675</v>
      </c>
    </row>
    <row r="905" ht="15.75" customHeight="1">
      <c r="A905" s="15" t="s">
        <v>1576</v>
      </c>
      <c r="B905" s="15" t="s">
        <v>241</v>
      </c>
      <c r="C905" s="16">
        <v>45508.0</v>
      </c>
      <c r="D905" s="16">
        <v>45538.0</v>
      </c>
      <c r="E905" s="15" t="s">
        <v>684</v>
      </c>
      <c r="F905" s="19">
        <v>19.99</v>
      </c>
      <c r="G905" s="15" t="s">
        <v>675</v>
      </c>
    </row>
    <row r="906" ht="15.75" customHeight="1">
      <c r="A906" s="17" t="s">
        <v>1577</v>
      </c>
      <c r="B906" s="17" t="s">
        <v>183</v>
      </c>
      <c r="C906" s="18">
        <v>45509.0</v>
      </c>
      <c r="D906" s="18">
        <v>45539.0</v>
      </c>
      <c r="E906" s="17" t="s">
        <v>684</v>
      </c>
      <c r="F906" s="20">
        <v>19.99</v>
      </c>
      <c r="G906" s="17" t="s">
        <v>675</v>
      </c>
    </row>
    <row r="907" ht="15.75" customHeight="1">
      <c r="A907" s="15" t="s">
        <v>1578</v>
      </c>
      <c r="B907" s="15" t="s">
        <v>278</v>
      </c>
      <c r="C907" s="16">
        <v>45509.0</v>
      </c>
      <c r="D907" s="16">
        <v>45539.0</v>
      </c>
      <c r="E907" s="15" t="s">
        <v>684</v>
      </c>
      <c r="F907" s="19">
        <v>19.99</v>
      </c>
      <c r="G907" s="15" t="s">
        <v>675</v>
      </c>
    </row>
    <row r="908" ht="15.75" customHeight="1">
      <c r="A908" s="17" t="s">
        <v>1579</v>
      </c>
      <c r="B908" s="17" t="s">
        <v>146</v>
      </c>
      <c r="C908" s="18">
        <v>45509.0</v>
      </c>
      <c r="D908" s="18">
        <v>45539.0</v>
      </c>
      <c r="E908" s="17" t="s">
        <v>684</v>
      </c>
      <c r="F908" s="20">
        <v>19.99</v>
      </c>
      <c r="G908" s="17" t="s">
        <v>675</v>
      </c>
    </row>
    <row r="909" ht="15.75" customHeight="1">
      <c r="A909" s="15" t="s">
        <v>1580</v>
      </c>
      <c r="B909" s="15" t="s">
        <v>56</v>
      </c>
      <c r="C909" s="16">
        <v>45509.0</v>
      </c>
      <c r="D909" s="16">
        <v>45539.0</v>
      </c>
      <c r="E909" s="15" t="s">
        <v>684</v>
      </c>
      <c r="F909" s="19">
        <v>19.99</v>
      </c>
      <c r="G909" s="15" t="s">
        <v>675</v>
      </c>
    </row>
    <row r="910" ht="15.75" customHeight="1">
      <c r="A910" s="17" t="s">
        <v>1581</v>
      </c>
      <c r="B910" s="17" t="s">
        <v>290</v>
      </c>
      <c r="C910" s="18">
        <v>45509.0</v>
      </c>
      <c r="D910" s="18">
        <v>45516.0</v>
      </c>
      <c r="E910" s="17" t="s">
        <v>674</v>
      </c>
      <c r="F910" s="20">
        <v>0.0</v>
      </c>
      <c r="G910" s="17" t="s">
        <v>675</v>
      </c>
    </row>
    <row r="911" ht="15.75" customHeight="1">
      <c r="A911" s="15" t="s">
        <v>1582</v>
      </c>
      <c r="B911" s="15" t="s">
        <v>279</v>
      </c>
      <c r="C911" s="16">
        <v>45509.0</v>
      </c>
      <c r="D911" s="16">
        <v>45539.0</v>
      </c>
      <c r="E911" s="15" t="s">
        <v>684</v>
      </c>
      <c r="F911" s="19">
        <v>19.99</v>
      </c>
      <c r="G911" s="15" t="s">
        <v>675</v>
      </c>
    </row>
    <row r="912" ht="15.75" customHeight="1">
      <c r="A912" s="17" t="s">
        <v>1583</v>
      </c>
      <c r="B912" s="17" t="s">
        <v>291</v>
      </c>
      <c r="C912" s="18">
        <v>45509.0</v>
      </c>
      <c r="D912" s="18">
        <v>45516.0</v>
      </c>
      <c r="E912" s="17" t="s">
        <v>674</v>
      </c>
      <c r="F912" s="20">
        <v>0.0</v>
      </c>
      <c r="G912" s="17" t="s">
        <v>675</v>
      </c>
    </row>
    <row r="913" ht="15.75" customHeight="1">
      <c r="A913" s="15" t="s">
        <v>1584</v>
      </c>
      <c r="B913" s="15" t="s">
        <v>292</v>
      </c>
      <c r="C913" s="16">
        <v>45510.0</v>
      </c>
      <c r="D913" s="16">
        <v>45517.0</v>
      </c>
      <c r="E913" s="15" t="s">
        <v>674</v>
      </c>
      <c r="F913" s="19">
        <v>0.0</v>
      </c>
      <c r="G913" s="15" t="s">
        <v>675</v>
      </c>
    </row>
    <row r="914" ht="15.75" customHeight="1">
      <c r="A914" s="17" t="s">
        <v>1585</v>
      </c>
      <c r="B914" s="17" t="s">
        <v>293</v>
      </c>
      <c r="C914" s="18">
        <v>45510.0</v>
      </c>
      <c r="D914" s="18">
        <v>45517.0</v>
      </c>
      <c r="E914" s="17" t="s">
        <v>674</v>
      </c>
      <c r="F914" s="20">
        <v>0.0</v>
      </c>
      <c r="G914" s="17" t="s">
        <v>675</v>
      </c>
    </row>
    <row r="915" ht="15.75" customHeight="1">
      <c r="A915" s="15" t="s">
        <v>1586</v>
      </c>
      <c r="B915" s="15" t="s">
        <v>280</v>
      </c>
      <c r="C915" s="16">
        <v>45510.0</v>
      </c>
      <c r="D915" s="16">
        <v>45540.0</v>
      </c>
      <c r="E915" s="15" t="s">
        <v>684</v>
      </c>
      <c r="F915" s="19">
        <v>19.99</v>
      </c>
      <c r="G915" s="15" t="s">
        <v>675</v>
      </c>
    </row>
    <row r="916" ht="15.75" customHeight="1">
      <c r="A916" s="17" t="s">
        <v>1587</v>
      </c>
      <c r="B916" s="17" t="s">
        <v>116</v>
      </c>
      <c r="C916" s="18">
        <v>45510.0</v>
      </c>
      <c r="D916" s="18">
        <v>45540.0</v>
      </c>
      <c r="E916" s="17" t="s">
        <v>684</v>
      </c>
      <c r="F916" s="20">
        <v>19.99</v>
      </c>
      <c r="G916" s="17" t="s">
        <v>675</v>
      </c>
    </row>
    <row r="917" ht="15.75" customHeight="1">
      <c r="A917" s="15" t="s">
        <v>1588</v>
      </c>
      <c r="B917" s="15" t="s">
        <v>215</v>
      </c>
      <c r="C917" s="16">
        <v>45510.0</v>
      </c>
      <c r="D917" s="16">
        <v>45540.0</v>
      </c>
      <c r="E917" s="15" t="s">
        <v>684</v>
      </c>
      <c r="F917" s="19">
        <v>19.99</v>
      </c>
      <c r="G917" s="15" t="s">
        <v>675</v>
      </c>
    </row>
    <row r="918" ht="15.75" customHeight="1">
      <c r="A918" s="17" t="s">
        <v>1589</v>
      </c>
      <c r="B918" s="17" t="s">
        <v>281</v>
      </c>
      <c r="C918" s="18">
        <v>45510.0</v>
      </c>
      <c r="D918" s="18">
        <v>45540.0</v>
      </c>
      <c r="E918" s="17" t="s">
        <v>684</v>
      </c>
      <c r="F918" s="20">
        <v>19.99</v>
      </c>
      <c r="G918" s="17" t="s">
        <v>675</v>
      </c>
    </row>
    <row r="919" ht="15.75" customHeight="1">
      <c r="A919" s="15" t="s">
        <v>1590</v>
      </c>
      <c r="B919" s="15" t="s">
        <v>282</v>
      </c>
      <c r="C919" s="16">
        <v>45511.0</v>
      </c>
      <c r="D919" s="16">
        <v>45541.0</v>
      </c>
      <c r="E919" s="15" t="s">
        <v>684</v>
      </c>
      <c r="F919" s="19">
        <v>19.99</v>
      </c>
      <c r="G919" s="15" t="s">
        <v>675</v>
      </c>
    </row>
    <row r="920" ht="15.75" customHeight="1">
      <c r="A920" s="17" t="s">
        <v>1591</v>
      </c>
      <c r="B920" s="17" t="s">
        <v>90</v>
      </c>
      <c r="C920" s="18">
        <v>45511.0</v>
      </c>
      <c r="D920" s="18">
        <v>45541.0</v>
      </c>
      <c r="E920" s="17" t="s">
        <v>684</v>
      </c>
      <c r="F920" s="20">
        <v>19.99</v>
      </c>
      <c r="G920" s="17" t="s">
        <v>675</v>
      </c>
    </row>
    <row r="921" ht="15.75" customHeight="1">
      <c r="A921" s="15" t="s">
        <v>1592</v>
      </c>
      <c r="B921" s="15" t="s">
        <v>70</v>
      </c>
      <c r="C921" s="16">
        <v>45511.0</v>
      </c>
      <c r="D921" s="16">
        <v>45541.0</v>
      </c>
      <c r="E921" s="15" t="s">
        <v>684</v>
      </c>
      <c r="F921" s="19">
        <v>19.99</v>
      </c>
      <c r="G921" s="15" t="s">
        <v>675</v>
      </c>
    </row>
    <row r="922" ht="15.75" customHeight="1">
      <c r="A922" s="17" t="s">
        <v>1593</v>
      </c>
      <c r="B922" s="17" t="s">
        <v>118</v>
      </c>
      <c r="C922" s="18">
        <v>45512.0</v>
      </c>
      <c r="D922" s="18">
        <v>45542.0</v>
      </c>
      <c r="E922" s="17" t="s">
        <v>684</v>
      </c>
      <c r="F922" s="20">
        <v>19.99</v>
      </c>
      <c r="G922" s="17" t="s">
        <v>675</v>
      </c>
    </row>
    <row r="923" ht="15.75" customHeight="1">
      <c r="A923" s="15" t="s">
        <v>1594</v>
      </c>
      <c r="B923" s="15" t="s">
        <v>186</v>
      </c>
      <c r="C923" s="16">
        <v>45512.0</v>
      </c>
      <c r="D923" s="16">
        <v>45542.0</v>
      </c>
      <c r="E923" s="15" t="s">
        <v>684</v>
      </c>
      <c r="F923" s="19">
        <v>19.99</v>
      </c>
      <c r="G923" s="15" t="s">
        <v>675</v>
      </c>
    </row>
    <row r="924" ht="15.75" customHeight="1">
      <c r="A924" s="17" t="s">
        <v>1595</v>
      </c>
      <c r="B924" s="17" t="s">
        <v>216</v>
      </c>
      <c r="C924" s="18">
        <v>45512.0</v>
      </c>
      <c r="D924" s="18">
        <v>45542.0</v>
      </c>
      <c r="E924" s="17" t="s">
        <v>684</v>
      </c>
      <c r="F924" s="20">
        <v>19.99</v>
      </c>
      <c r="G924" s="17" t="s">
        <v>675</v>
      </c>
    </row>
    <row r="925" ht="15.75" customHeight="1">
      <c r="A925" s="15" t="s">
        <v>1596</v>
      </c>
      <c r="B925" s="15" t="s">
        <v>294</v>
      </c>
      <c r="C925" s="16">
        <v>45512.0</v>
      </c>
      <c r="D925" s="16">
        <v>45519.0</v>
      </c>
      <c r="E925" s="15" t="s">
        <v>674</v>
      </c>
      <c r="F925" s="19">
        <v>0.0</v>
      </c>
      <c r="G925" s="15" t="s">
        <v>675</v>
      </c>
    </row>
    <row r="926" ht="15.75" customHeight="1">
      <c r="A926" s="17" t="s">
        <v>1597</v>
      </c>
      <c r="B926" s="17" t="s">
        <v>71</v>
      </c>
      <c r="C926" s="18">
        <v>45512.0</v>
      </c>
      <c r="D926" s="18">
        <v>45542.0</v>
      </c>
      <c r="E926" s="17" t="s">
        <v>684</v>
      </c>
      <c r="F926" s="20">
        <v>19.99</v>
      </c>
      <c r="G926" s="17" t="s">
        <v>675</v>
      </c>
    </row>
    <row r="927" ht="15.75" customHeight="1">
      <c r="A927" s="15" t="s">
        <v>1598</v>
      </c>
      <c r="B927" s="15" t="s">
        <v>148</v>
      </c>
      <c r="C927" s="16">
        <v>45512.0</v>
      </c>
      <c r="D927" s="16">
        <v>45542.0</v>
      </c>
      <c r="E927" s="15" t="s">
        <v>684</v>
      </c>
      <c r="F927" s="19">
        <v>19.99</v>
      </c>
      <c r="G927" s="15" t="s">
        <v>675</v>
      </c>
    </row>
    <row r="928" ht="15.75" customHeight="1">
      <c r="A928" s="17" t="s">
        <v>1599</v>
      </c>
      <c r="B928" s="17" t="s">
        <v>295</v>
      </c>
      <c r="C928" s="18">
        <v>45512.0</v>
      </c>
      <c r="D928" s="18">
        <v>45519.0</v>
      </c>
      <c r="E928" s="17" t="s">
        <v>674</v>
      </c>
      <c r="F928" s="20">
        <v>0.0</v>
      </c>
      <c r="G928" s="17" t="s">
        <v>675</v>
      </c>
    </row>
    <row r="929" ht="15.75" customHeight="1">
      <c r="A929" s="15" t="s">
        <v>1600</v>
      </c>
      <c r="B929" s="15" t="s">
        <v>187</v>
      </c>
      <c r="C929" s="16">
        <v>45512.0</v>
      </c>
      <c r="D929" s="16">
        <v>45542.0</v>
      </c>
      <c r="E929" s="15" t="s">
        <v>684</v>
      </c>
      <c r="F929" s="19">
        <v>19.99</v>
      </c>
      <c r="G929" s="15" t="s">
        <v>675</v>
      </c>
    </row>
    <row r="930" ht="15.75" customHeight="1">
      <c r="A930" s="17" t="s">
        <v>1601</v>
      </c>
      <c r="B930" s="17" t="s">
        <v>296</v>
      </c>
      <c r="C930" s="18">
        <v>45512.0</v>
      </c>
      <c r="D930" s="18">
        <v>45519.0</v>
      </c>
      <c r="E930" s="17" t="s">
        <v>674</v>
      </c>
      <c r="F930" s="20">
        <v>0.0</v>
      </c>
      <c r="G930" s="17" t="s">
        <v>675</v>
      </c>
    </row>
    <row r="931" ht="15.75" customHeight="1">
      <c r="A931" s="15" t="s">
        <v>1602</v>
      </c>
      <c r="B931" s="15" t="s">
        <v>217</v>
      </c>
      <c r="C931" s="16">
        <v>45512.0</v>
      </c>
      <c r="D931" s="16">
        <v>45542.0</v>
      </c>
      <c r="E931" s="15" t="s">
        <v>684</v>
      </c>
      <c r="F931" s="19">
        <v>19.99</v>
      </c>
      <c r="G931" s="15" t="s">
        <v>675</v>
      </c>
    </row>
    <row r="932" ht="15.75" customHeight="1">
      <c r="A932" s="17" t="s">
        <v>1603</v>
      </c>
      <c r="B932" s="17" t="s">
        <v>218</v>
      </c>
      <c r="C932" s="18">
        <v>45513.0</v>
      </c>
      <c r="D932" s="18">
        <v>45543.0</v>
      </c>
      <c r="E932" s="17" t="s">
        <v>684</v>
      </c>
      <c r="F932" s="20">
        <v>19.99</v>
      </c>
      <c r="G932" s="17" t="s">
        <v>675</v>
      </c>
    </row>
    <row r="933" ht="15.75" customHeight="1">
      <c r="A933" s="15" t="s">
        <v>1604</v>
      </c>
      <c r="B933" s="15" t="s">
        <v>219</v>
      </c>
      <c r="C933" s="16">
        <v>45513.0</v>
      </c>
      <c r="D933" s="16">
        <v>45543.0</v>
      </c>
      <c r="E933" s="15" t="s">
        <v>684</v>
      </c>
      <c r="F933" s="19">
        <v>19.99</v>
      </c>
      <c r="G933" s="15" t="s">
        <v>675</v>
      </c>
    </row>
    <row r="934" ht="15.75" customHeight="1">
      <c r="A934" s="17" t="s">
        <v>1605</v>
      </c>
      <c r="B934" s="17" t="s">
        <v>243</v>
      </c>
      <c r="C934" s="18">
        <v>45513.0</v>
      </c>
      <c r="D934" s="18">
        <v>45543.0</v>
      </c>
      <c r="E934" s="17" t="s">
        <v>684</v>
      </c>
      <c r="F934" s="20">
        <v>19.99</v>
      </c>
      <c r="G934" s="17" t="s">
        <v>675</v>
      </c>
    </row>
    <row r="935" ht="15.75" customHeight="1">
      <c r="A935" s="15" t="s">
        <v>1606</v>
      </c>
      <c r="B935" s="15" t="s">
        <v>283</v>
      </c>
      <c r="C935" s="16">
        <v>45513.0</v>
      </c>
      <c r="D935" s="16">
        <v>45543.0</v>
      </c>
      <c r="E935" s="15" t="s">
        <v>684</v>
      </c>
      <c r="F935" s="19">
        <v>19.99</v>
      </c>
      <c r="G935" s="15" t="s">
        <v>675</v>
      </c>
    </row>
    <row r="936" ht="15.75" customHeight="1">
      <c r="A936" s="17" t="s">
        <v>1607</v>
      </c>
      <c r="B936" s="17" t="s">
        <v>297</v>
      </c>
      <c r="C936" s="18">
        <v>45513.0</v>
      </c>
      <c r="D936" s="18">
        <v>45520.0</v>
      </c>
      <c r="E936" s="17" t="s">
        <v>674</v>
      </c>
      <c r="F936" s="20">
        <v>0.0</v>
      </c>
      <c r="G936" s="17" t="s">
        <v>675</v>
      </c>
    </row>
    <row r="937" ht="15.75" customHeight="1">
      <c r="A937" s="15" t="s">
        <v>1608</v>
      </c>
      <c r="B937" s="15" t="s">
        <v>149</v>
      </c>
      <c r="C937" s="16">
        <v>45513.0</v>
      </c>
      <c r="D937" s="16">
        <v>45543.0</v>
      </c>
      <c r="E937" s="15" t="s">
        <v>684</v>
      </c>
      <c r="F937" s="19">
        <v>19.99</v>
      </c>
      <c r="G937" s="15" t="s">
        <v>675</v>
      </c>
    </row>
    <row r="938" ht="15.75" customHeight="1">
      <c r="A938" s="17" t="s">
        <v>1609</v>
      </c>
      <c r="B938" s="17" t="s">
        <v>284</v>
      </c>
      <c r="C938" s="18">
        <v>45513.0</v>
      </c>
      <c r="D938" s="18">
        <v>45543.0</v>
      </c>
      <c r="E938" s="17" t="s">
        <v>684</v>
      </c>
      <c r="F938" s="20">
        <v>19.99</v>
      </c>
      <c r="G938" s="17" t="s">
        <v>675</v>
      </c>
    </row>
    <row r="939" ht="15.75" customHeight="1">
      <c r="A939" s="15" t="s">
        <v>1610</v>
      </c>
      <c r="B939" s="15" t="s">
        <v>119</v>
      </c>
      <c r="C939" s="16">
        <v>45513.0</v>
      </c>
      <c r="D939" s="16">
        <v>45543.0</v>
      </c>
      <c r="E939" s="15" t="s">
        <v>684</v>
      </c>
      <c r="F939" s="19">
        <v>19.99</v>
      </c>
      <c r="G939" s="15" t="s">
        <v>675</v>
      </c>
    </row>
    <row r="940" ht="15.75" customHeight="1">
      <c r="A940" s="17" t="s">
        <v>1611</v>
      </c>
      <c r="B940" s="17" t="s">
        <v>285</v>
      </c>
      <c r="C940" s="18">
        <v>45513.0</v>
      </c>
      <c r="D940" s="18">
        <v>45543.0</v>
      </c>
      <c r="E940" s="17" t="s">
        <v>684</v>
      </c>
      <c r="F940" s="20">
        <v>19.99</v>
      </c>
      <c r="G940" s="17" t="s">
        <v>675</v>
      </c>
    </row>
    <row r="941" ht="15.75" customHeight="1">
      <c r="A941" s="15" t="s">
        <v>1612</v>
      </c>
      <c r="B941" s="15" t="s">
        <v>298</v>
      </c>
      <c r="C941" s="16">
        <v>45514.0</v>
      </c>
      <c r="D941" s="16">
        <v>45521.0</v>
      </c>
      <c r="E941" s="15" t="s">
        <v>674</v>
      </c>
      <c r="F941" s="19">
        <v>0.0</v>
      </c>
      <c r="G941" s="15" t="s">
        <v>675</v>
      </c>
    </row>
    <row r="942" ht="15.75" customHeight="1">
      <c r="A942" s="17" t="s">
        <v>1613</v>
      </c>
      <c r="B942" s="17" t="s">
        <v>299</v>
      </c>
      <c r="C942" s="18">
        <v>45514.0</v>
      </c>
      <c r="D942" s="18">
        <v>45521.0</v>
      </c>
      <c r="E942" s="17" t="s">
        <v>674</v>
      </c>
      <c r="F942" s="20">
        <v>0.0</v>
      </c>
      <c r="G942" s="17" t="s">
        <v>675</v>
      </c>
    </row>
    <row r="943" ht="15.75" customHeight="1">
      <c r="A943" s="15" t="s">
        <v>1614</v>
      </c>
      <c r="B943" s="15" t="s">
        <v>286</v>
      </c>
      <c r="C943" s="16">
        <v>45514.0</v>
      </c>
      <c r="D943" s="16">
        <v>45544.0</v>
      </c>
      <c r="E943" s="15" t="s">
        <v>684</v>
      </c>
      <c r="F943" s="19">
        <v>19.99</v>
      </c>
      <c r="G943" s="15" t="s">
        <v>675</v>
      </c>
    </row>
    <row r="944" ht="15.75" customHeight="1">
      <c r="A944" s="17" t="s">
        <v>1615</v>
      </c>
      <c r="B944" s="17" t="s">
        <v>244</v>
      </c>
      <c r="C944" s="18">
        <v>45514.0</v>
      </c>
      <c r="D944" s="18">
        <v>45544.0</v>
      </c>
      <c r="E944" s="17" t="s">
        <v>684</v>
      </c>
      <c r="F944" s="20">
        <v>19.99</v>
      </c>
      <c r="G944" s="17" t="s">
        <v>675</v>
      </c>
    </row>
    <row r="945" ht="15.75" customHeight="1">
      <c r="A945" s="15" t="s">
        <v>1616</v>
      </c>
      <c r="B945" s="15" t="s">
        <v>287</v>
      </c>
      <c r="C945" s="16">
        <v>45514.0</v>
      </c>
      <c r="D945" s="16">
        <v>45544.0</v>
      </c>
      <c r="E945" s="15" t="s">
        <v>684</v>
      </c>
      <c r="F945" s="19">
        <v>19.99</v>
      </c>
      <c r="G945" s="15" t="s">
        <v>675</v>
      </c>
    </row>
    <row r="946" ht="15.75" customHeight="1">
      <c r="A946" s="17" t="s">
        <v>1617</v>
      </c>
      <c r="B946" s="17" t="s">
        <v>120</v>
      </c>
      <c r="C946" s="18">
        <v>45514.0</v>
      </c>
      <c r="D946" s="18">
        <v>45544.0</v>
      </c>
      <c r="E946" s="17" t="s">
        <v>684</v>
      </c>
      <c r="F946" s="20">
        <v>19.99</v>
      </c>
      <c r="G946" s="17" t="s">
        <v>675</v>
      </c>
    </row>
    <row r="947" ht="15.75" customHeight="1">
      <c r="A947" s="15" t="s">
        <v>1618</v>
      </c>
      <c r="B947" s="15" t="s">
        <v>245</v>
      </c>
      <c r="C947" s="16">
        <v>45514.0</v>
      </c>
      <c r="D947" s="16">
        <v>45544.0</v>
      </c>
      <c r="E947" s="15" t="s">
        <v>684</v>
      </c>
      <c r="F947" s="19">
        <v>19.99</v>
      </c>
      <c r="G947" s="15" t="s">
        <v>675</v>
      </c>
    </row>
    <row r="948" ht="15.75" customHeight="1">
      <c r="A948" s="17" t="s">
        <v>1619</v>
      </c>
      <c r="B948" s="17" t="s">
        <v>288</v>
      </c>
      <c r="C948" s="18">
        <v>45514.0</v>
      </c>
      <c r="D948" s="18">
        <v>45544.0</v>
      </c>
      <c r="E948" s="17" t="s">
        <v>684</v>
      </c>
      <c r="F948" s="20">
        <v>19.99</v>
      </c>
      <c r="G948" s="17" t="s">
        <v>675</v>
      </c>
    </row>
    <row r="949" ht="15.75" customHeight="1">
      <c r="A949" s="15" t="s">
        <v>1620</v>
      </c>
      <c r="B949" s="15" t="s">
        <v>220</v>
      </c>
      <c r="C949" s="16">
        <v>45514.0</v>
      </c>
      <c r="D949" s="16">
        <v>45544.0</v>
      </c>
      <c r="E949" s="15" t="s">
        <v>684</v>
      </c>
      <c r="F949" s="19">
        <v>19.99</v>
      </c>
      <c r="G949" s="15" t="s">
        <v>675</v>
      </c>
    </row>
    <row r="950" ht="15.75" customHeight="1">
      <c r="A950" s="17" t="s">
        <v>1621</v>
      </c>
      <c r="B950" s="17" t="s">
        <v>221</v>
      </c>
      <c r="C950" s="18">
        <v>45514.0</v>
      </c>
      <c r="D950" s="18">
        <v>45544.0</v>
      </c>
      <c r="E950" s="17" t="s">
        <v>684</v>
      </c>
      <c r="F950" s="20">
        <v>19.99</v>
      </c>
      <c r="G950" s="17" t="s">
        <v>675</v>
      </c>
    </row>
    <row r="951" ht="15.75" customHeight="1">
      <c r="A951" s="15" t="s">
        <v>1622</v>
      </c>
      <c r="B951" s="15" t="s">
        <v>289</v>
      </c>
      <c r="C951" s="16">
        <v>45514.0</v>
      </c>
      <c r="D951" s="16">
        <v>45544.0</v>
      </c>
      <c r="E951" s="15" t="s">
        <v>684</v>
      </c>
      <c r="F951" s="19">
        <v>19.99</v>
      </c>
      <c r="G951" s="15" t="s">
        <v>675</v>
      </c>
    </row>
    <row r="952" ht="15.75" customHeight="1">
      <c r="A952" s="17" t="s">
        <v>1623</v>
      </c>
      <c r="B952" s="17" t="s">
        <v>300</v>
      </c>
      <c r="C952" s="18">
        <v>45514.0</v>
      </c>
      <c r="D952" s="18">
        <v>45521.0</v>
      </c>
      <c r="E952" s="17" t="s">
        <v>674</v>
      </c>
      <c r="F952" s="20">
        <v>0.0</v>
      </c>
      <c r="G952" s="17" t="s">
        <v>675</v>
      </c>
    </row>
    <row r="953" ht="15.75" customHeight="1">
      <c r="A953" s="15" t="s">
        <v>1624</v>
      </c>
      <c r="B953" s="15" t="s">
        <v>246</v>
      </c>
      <c r="C953" s="16">
        <v>45515.0</v>
      </c>
      <c r="D953" s="16">
        <v>45545.0</v>
      </c>
      <c r="E953" s="15" t="s">
        <v>684</v>
      </c>
      <c r="F953" s="19">
        <v>19.99</v>
      </c>
      <c r="G953" s="15" t="s">
        <v>675</v>
      </c>
    </row>
    <row r="954" ht="15.75" customHeight="1">
      <c r="A954" s="17" t="s">
        <v>1625</v>
      </c>
      <c r="B954" s="17" t="s">
        <v>301</v>
      </c>
      <c r="C954" s="18">
        <v>45515.0</v>
      </c>
      <c r="D954" s="18">
        <v>45522.0</v>
      </c>
      <c r="E954" s="17" t="s">
        <v>674</v>
      </c>
      <c r="F954" s="20">
        <v>0.0</v>
      </c>
      <c r="G954" s="17" t="s">
        <v>675</v>
      </c>
    </row>
    <row r="955" ht="15.75" customHeight="1">
      <c r="A955" s="15" t="s">
        <v>1626</v>
      </c>
      <c r="B955" s="15" t="s">
        <v>302</v>
      </c>
      <c r="C955" s="16">
        <v>45515.0</v>
      </c>
      <c r="D955" s="16">
        <v>45522.0</v>
      </c>
      <c r="E955" s="15" t="s">
        <v>674</v>
      </c>
      <c r="F955" s="19">
        <v>0.0</v>
      </c>
      <c r="G955" s="15" t="s">
        <v>675</v>
      </c>
    </row>
    <row r="956" ht="15.75" customHeight="1">
      <c r="A956" s="17" t="s">
        <v>1627</v>
      </c>
      <c r="B956" s="17" t="s">
        <v>303</v>
      </c>
      <c r="C956" s="18">
        <v>45515.0</v>
      </c>
      <c r="D956" s="18">
        <v>45522.0</v>
      </c>
      <c r="E956" s="17" t="s">
        <v>674</v>
      </c>
      <c r="F956" s="20">
        <v>0.0</v>
      </c>
      <c r="G956" s="17" t="s">
        <v>675</v>
      </c>
    </row>
    <row r="957" ht="15.75" customHeight="1">
      <c r="A957" s="15" t="s">
        <v>1628</v>
      </c>
      <c r="B957" s="15" t="s">
        <v>222</v>
      </c>
      <c r="C957" s="16">
        <v>45515.0</v>
      </c>
      <c r="D957" s="16">
        <v>45545.0</v>
      </c>
      <c r="E957" s="15" t="s">
        <v>684</v>
      </c>
      <c r="F957" s="19">
        <v>19.99</v>
      </c>
      <c r="G957" s="15" t="s">
        <v>675</v>
      </c>
    </row>
    <row r="958" ht="15.75" customHeight="1">
      <c r="A958" s="17" t="s">
        <v>1629</v>
      </c>
      <c r="B958" s="17" t="s">
        <v>152</v>
      </c>
      <c r="C958" s="18">
        <v>45515.0</v>
      </c>
      <c r="D958" s="18">
        <v>45545.0</v>
      </c>
      <c r="E958" s="17" t="s">
        <v>684</v>
      </c>
      <c r="F958" s="20">
        <v>19.99</v>
      </c>
      <c r="G958" s="17" t="s">
        <v>675</v>
      </c>
    </row>
    <row r="959" ht="15.75" customHeight="1">
      <c r="A959" s="15" t="s">
        <v>1630</v>
      </c>
      <c r="B959" s="15" t="s">
        <v>153</v>
      </c>
      <c r="C959" s="16">
        <v>45515.0</v>
      </c>
      <c r="D959" s="16">
        <v>45545.0</v>
      </c>
      <c r="E959" s="15" t="s">
        <v>684</v>
      </c>
      <c r="F959" s="19">
        <v>19.99</v>
      </c>
      <c r="G959" s="15" t="s">
        <v>675</v>
      </c>
    </row>
    <row r="960" ht="15.75" customHeight="1">
      <c r="A960" s="17" t="s">
        <v>1631</v>
      </c>
      <c r="B960" s="17" t="s">
        <v>189</v>
      </c>
      <c r="C960" s="18">
        <v>45515.0</v>
      </c>
      <c r="D960" s="18">
        <v>45545.0</v>
      </c>
      <c r="E960" s="17" t="s">
        <v>684</v>
      </c>
      <c r="F960" s="20">
        <v>19.99</v>
      </c>
      <c r="G960" s="17" t="s">
        <v>675</v>
      </c>
    </row>
    <row r="961" ht="15.75" customHeight="1">
      <c r="A961" s="15" t="s">
        <v>1632</v>
      </c>
      <c r="B961" s="15" t="s">
        <v>91</v>
      </c>
      <c r="C961" s="16">
        <v>45515.0</v>
      </c>
      <c r="D961" s="16">
        <v>45545.0</v>
      </c>
      <c r="E961" s="15" t="s">
        <v>684</v>
      </c>
      <c r="F961" s="19">
        <v>19.99</v>
      </c>
      <c r="G961" s="15" t="s">
        <v>675</v>
      </c>
    </row>
    <row r="962" ht="15.75" customHeight="1">
      <c r="A962" s="17" t="s">
        <v>1633</v>
      </c>
      <c r="B962" s="17" t="s">
        <v>247</v>
      </c>
      <c r="C962" s="18">
        <v>45516.0</v>
      </c>
      <c r="D962" s="18">
        <v>45546.0</v>
      </c>
      <c r="E962" s="17" t="s">
        <v>684</v>
      </c>
      <c r="F962" s="20">
        <v>19.99</v>
      </c>
      <c r="G962" s="17" t="s">
        <v>675</v>
      </c>
    </row>
    <row r="963" ht="15.75" customHeight="1">
      <c r="A963" s="15" t="s">
        <v>1634</v>
      </c>
      <c r="B963" s="15" t="s">
        <v>92</v>
      </c>
      <c r="C963" s="16">
        <v>45516.0</v>
      </c>
      <c r="D963" s="16">
        <v>45546.0</v>
      </c>
      <c r="E963" s="15" t="s">
        <v>684</v>
      </c>
      <c r="F963" s="19">
        <v>19.99</v>
      </c>
      <c r="G963" s="15" t="s">
        <v>675</v>
      </c>
    </row>
    <row r="964" ht="15.75" customHeight="1">
      <c r="A964" s="17" t="s">
        <v>1635</v>
      </c>
      <c r="B964" s="17" t="s">
        <v>190</v>
      </c>
      <c r="C964" s="18">
        <v>45516.0</v>
      </c>
      <c r="D964" s="18">
        <v>45546.0</v>
      </c>
      <c r="E964" s="17" t="s">
        <v>684</v>
      </c>
      <c r="F964" s="20">
        <v>19.99</v>
      </c>
      <c r="G964" s="17" t="s">
        <v>675</v>
      </c>
    </row>
    <row r="965" ht="15.75" customHeight="1">
      <c r="A965" s="15" t="s">
        <v>1636</v>
      </c>
      <c r="B965" s="15" t="s">
        <v>290</v>
      </c>
      <c r="C965" s="16">
        <v>45516.0</v>
      </c>
      <c r="D965" s="16">
        <v>45546.0</v>
      </c>
      <c r="E965" s="15" t="s">
        <v>684</v>
      </c>
      <c r="F965" s="19">
        <v>19.99</v>
      </c>
      <c r="G965" s="15" t="s">
        <v>675</v>
      </c>
    </row>
    <row r="966" ht="15.75" customHeight="1">
      <c r="A966" s="17" t="s">
        <v>1637</v>
      </c>
      <c r="B966" s="17" t="s">
        <v>121</v>
      </c>
      <c r="C966" s="18">
        <v>45516.0</v>
      </c>
      <c r="D966" s="18">
        <v>45546.0</v>
      </c>
      <c r="E966" s="17" t="s">
        <v>684</v>
      </c>
      <c r="F966" s="20">
        <v>19.99</v>
      </c>
      <c r="G966" s="17" t="s">
        <v>675</v>
      </c>
    </row>
    <row r="967" ht="15.75" customHeight="1">
      <c r="A967" s="15" t="s">
        <v>1638</v>
      </c>
      <c r="B967" s="15" t="s">
        <v>154</v>
      </c>
      <c r="C967" s="16">
        <v>45516.0</v>
      </c>
      <c r="D967" s="16">
        <v>45546.0</v>
      </c>
      <c r="E967" s="15" t="s">
        <v>684</v>
      </c>
      <c r="F967" s="19">
        <v>19.99</v>
      </c>
      <c r="G967" s="15" t="s">
        <v>675</v>
      </c>
    </row>
    <row r="968" ht="15.75" customHeight="1">
      <c r="A968" s="17" t="s">
        <v>1639</v>
      </c>
      <c r="B968" s="17" t="s">
        <v>304</v>
      </c>
      <c r="C968" s="18">
        <v>45516.0</v>
      </c>
      <c r="D968" s="18">
        <v>45523.0</v>
      </c>
      <c r="E968" s="17" t="s">
        <v>674</v>
      </c>
      <c r="F968" s="20">
        <v>0.0</v>
      </c>
      <c r="G968" s="17" t="s">
        <v>675</v>
      </c>
    </row>
    <row r="969" ht="15.75" customHeight="1">
      <c r="A969" s="15" t="s">
        <v>1640</v>
      </c>
      <c r="B969" s="15" t="s">
        <v>291</v>
      </c>
      <c r="C969" s="16">
        <v>45516.0</v>
      </c>
      <c r="D969" s="16">
        <v>45546.0</v>
      </c>
      <c r="E969" s="15" t="s">
        <v>684</v>
      </c>
      <c r="F969" s="19">
        <v>19.99</v>
      </c>
      <c r="G969" s="15" t="s">
        <v>675</v>
      </c>
    </row>
    <row r="970" ht="15.75" customHeight="1">
      <c r="A970" s="17" t="s">
        <v>1641</v>
      </c>
      <c r="B970" s="17" t="s">
        <v>292</v>
      </c>
      <c r="C970" s="18">
        <v>45517.0</v>
      </c>
      <c r="D970" s="18">
        <v>45547.0</v>
      </c>
      <c r="E970" s="17" t="s">
        <v>684</v>
      </c>
      <c r="F970" s="20">
        <v>19.99</v>
      </c>
      <c r="G970" s="17" t="s">
        <v>675</v>
      </c>
    </row>
    <row r="971" ht="15.75" customHeight="1">
      <c r="A971" s="15" t="s">
        <v>1642</v>
      </c>
      <c r="B971" s="15" t="s">
        <v>72</v>
      </c>
      <c r="C971" s="16">
        <v>45517.0</v>
      </c>
      <c r="D971" s="16">
        <v>45547.0</v>
      </c>
      <c r="E971" s="15" t="s">
        <v>684</v>
      </c>
      <c r="F971" s="19">
        <v>19.99</v>
      </c>
      <c r="G971" s="15" t="s">
        <v>675</v>
      </c>
    </row>
    <row r="972" ht="15.75" customHeight="1">
      <c r="A972" s="17" t="s">
        <v>1643</v>
      </c>
      <c r="B972" s="17" t="s">
        <v>123</v>
      </c>
      <c r="C972" s="18">
        <v>45517.0</v>
      </c>
      <c r="D972" s="18">
        <v>45547.0</v>
      </c>
      <c r="E972" s="17" t="s">
        <v>684</v>
      </c>
      <c r="F972" s="20">
        <v>19.99</v>
      </c>
      <c r="G972" s="17" t="s">
        <v>675</v>
      </c>
    </row>
    <row r="973" ht="15.75" customHeight="1">
      <c r="A973" s="15" t="s">
        <v>1644</v>
      </c>
      <c r="B973" s="15" t="s">
        <v>293</v>
      </c>
      <c r="C973" s="16">
        <v>45517.0</v>
      </c>
      <c r="D973" s="16">
        <v>45547.0</v>
      </c>
      <c r="E973" s="15" t="s">
        <v>684</v>
      </c>
      <c r="F973" s="19">
        <v>19.99</v>
      </c>
      <c r="G973" s="15" t="s">
        <v>675</v>
      </c>
    </row>
    <row r="974" ht="15.75" customHeight="1">
      <c r="A974" s="17" t="s">
        <v>1645</v>
      </c>
      <c r="B974" s="17" t="s">
        <v>191</v>
      </c>
      <c r="C974" s="18">
        <v>45517.0</v>
      </c>
      <c r="D974" s="18">
        <v>45547.0</v>
      </c>
      <c r="E974" s="17" t="s">
        <v>684</v>
      </c>
      <c r="F974" s="20">
        <v>19.99</v>
      </c>
      <c r="G974" s="17" t="s">
        <v>675</v>
      </c>
    </row>
    <row r="975" ht="15.75" customHeight="1">
      <c r="A975" s="15" t="s">
        <v>1646</v>
      </c>
      <c r="B975" s="15" t="s">
        <v>73</v>
      </c>
      <c r="C975" s="16">
        <v>45517.0</v>
      </c>
      <c r="D975" s="16">
        <v>45547.0</v>
      </c>
      <c r="E975" s="15" t="s">
        <v>684</v>
      </c>
      <c r="F975" s="19">
        <v>19.99</v>
      </c>
      <c r="G975" s="15" t="s">
        <v>675</v>
      </c>
    </row>
    <row r="976" ht="15.75" customHeight="1">
      <c r="A976" s="17" t="s">
        <v>1647</v>
      </c>
      <c r="B976" s="17" t="s">
        <v>223</v>
      </c>
      <c r="C976" s="18">
        <v>45517.0</v>
      </c>
      <c r="D976" s="18">
        <v>45547.0</v>
      </c>
      <c r="E976" s="17" t="s">
        <v>684</v>
      </c>
      <c r="F976" s="20">
        <v>19.99</v>
      </c>
      <c r="G976" s="17" t="s">
        <v>675</v>
      </c>
    </row>
    <row r="977" ht="15.75" customHeight="1">
      <c r="A977" s="15" t="s">
        <v>1648</v>
      </c>
      <c r="B977" s="15" t="s">
        <v>74</v>
      </c>
      <c r="C977" s="16">
        <v>45517.0</v>
      </c>
      <c r="D977" s="16">
        <v>45547.0</v>
      </c>
      <c r="E977" s="15" t="s">
        <v>684</v>
      </c>
      <c r="F977" s="19">
        <v>19.99</v>
      </c>
      <c r="G977" s="15" t="s">
        <v>675</v>
      </c>
    </row>
    <row r="978" ht="15.75" customHeight="1">
      <c r="A978" s="17" t="s">
        <v>1649</v>
      </c>
      <c r="B978" s="17" t="s">
        <v>305</v>
      </c>
      <c r="C978" s="18">
        <v>45518.0</v>
      </c>
      <c r="D978" s="18">
        <v>45525.0</v>
      </c>
      <c r="E978" s="17" t="s">
        <v>674</v>
      </c>
      <c r="F978" s="20">
        <v>0.0</v>
      </c>
      <c r="G978" s="17" t="s">
        <v>675</v>
      </c>
    </row>
    <row r="979" ht="15.75" customHeight="1">
      <c r="A979" s="15" t="s">
        <v>1650</v>
      </c>
      <c r="B979" s="15" t="s">
        <v>156</v>
      </c>
      <c r="C979" s="16">
        <v>45518.0</v>
      </c>
      <c r="D979" s="16">
        <v>45548.0</v>
      </c>
      <c r="E979" s="15" t="s">
        <v>684</v>
      </c>
      <c r="F979" s="19">
        <v>19.99</v>
      </c>
      <c r="G979" s="15" t="s">
        <v>675</v>
      </c>
    </row>
    <row r="980" ht="15.75" customHeight="1">
      <c r="A980" s="17" t="s">
        <v>1651</v>
      </c>
      <c r="B980" s="17" t="s">
        <v>192</v>
      </c>
      <c r="C980" s="18">
        <v>45519.0</v>
      </c>
      <c r="D980" s="18">
        <v>45549.0</v>
      </c>
      <c r="E980" s="17" t="s">
        <v>684</v>
      </c>
      <c r="F980" s="20">
        <v>19.99</v>
      </c>
      <c r="G980" s="17" t="s">
        <v>675</v>
      </c>
    </row>
    <row r="981" ht="15.75" customHeight="1">
      <c r="A981" s="15" t="s">
        <v>1652</v>
      </c>
      <c r="B981" s="15" t="s">
        <v>294</v>
      </c>
      <c r="C981" s="16">
        <v>45519.0</v>
      </c>
      <c r="D981" s="16">
        <v>45549.0</v>
      </c>
      <c r="E981" s="15" t="s">
        <v>684</v>
      </c>
      <c r="F981" s="19">
        <v>19.99</v>
      </c>
      <c r="G981" s="15" t="s">
        <v>675</v>
      </c>
    </row>
    <row r="982" ht="15.75" customHeight="1">
      <c r="A982" s="17" t="s">
        <v>1653</v>
      </c>
      <c r="B982" s="17" t="s">
        <v>249</v>
      </c>
      <c r="C982" s="18">
        <v>45519.0</v>
      </c>
      <c r="D982" s="18">
        <v>45549.0</v>
      </c>
      <c r="E982" s="17" t="s">
        <v>684</v>
      </c>
      <c r="F982" s="20">
        <v>19.99</v>
      </c>
      <c r="G982" s="17" t="s">
        <v>675</v>
      </c>
    </row>
    <row r="983" ht="15.75" customHeight="1">
      <c r="A983" s="15" t="s">
        <v>1654</v>
      </c>
      <c r="B983" s="15" t="s">
        <v>250</v>
      </c>
      <c r="C983" s="16">
        <v>45519.0</v>
      </c>
      <c r="D983" s="16">
        <v>45549.0</v>
      </c>
      <c r="E983" s="15" t="s">
        <v>684</v>
      </c>
      <c r="F983" s="19">
        <v>19.99</v>
      </c>
      <c r="G983" s="15" t="s">
        <v>675</v>
      </c>
    </row>
    <row r="984" ht="15.75" customHeight="1">
      <c r="A984" s="17" t="s">
        <v>1655</v>
      </c>
      <c r="B984" s="17" t="s">
        <v>124</v>
      </c>
      <c r="C984" s="18">
        <v>45519.0</v>
      </c>
      <c r="D984" s="18">
        <v>45549.0</v>
      </c>
      <c r="E984" s="17" t="s">
        <v>684</v>
      </c>
      <c r="F984" s="20">
        <v>19.99</v>
      </c>
      <c r="G984" s="17" t="s">
        <v>675</v>
      </c>
    </row>
    <row r="985" ht="15.75" customHeight="1">
      <c r="A985" s="15" t="s">
        <v>1656</v>
      </c>
      <c r="B985" s="15" t="s">
        <v>306</v>
      </c>
      <c r="C985" s="16">
        <v>45519.0</v>
      </c>
      <c r="D985" s="16">
        <v>45526.0</v>
      </c>
      <c r="E985" s="15" t="s">
        <v>674</v>
      </c>
      <c r="F985" s="19">
        <v>0.0</v>
      </c>
      <c r="G985" s="15" t="s">
        <v>675</v>
      </c>
    </row>
    <row r="986" ht="15.75" customHeight="1">
      <c r="A986" s="17" t="s">
        <v>1657</v>
      </c>
      <c r="B986" s="17" t="s">
        <v>295</v>
      </c>
      <c r="C986" s="18">
        <v>45519.0</v>
      </c>
      <c r="D986" s="18">
        <v>45549.0</v>
      </c>
      <c r="E986" s="17" t="s">
        <v>684</v>
      </c>
      <c r="F986" s="20">
        <v>19.99</v>
      </c>
      <c r="G986" s="17" t="s">
        <v>675</v>
      </c>
    </row>
    <row r="987" ht="15.75" customHeight="1">
      <c r="A987" s="15" t="s">
        <v>1658</v>
      </c>
      <c r="B987" s="15" t="s">
        <v>296</v>
      </c>
      <c r="C987" s="16">
        <v>45519.0</v>
      </c>
      <c r="D987" s="16">
        <v>45549.0</v>
      </c>
      <c r="E987" s="15" t="s">
        <v>684</v>
      </c>
      <c r="F987" s="19">
        <v>19.99</v>
      </c>
      <c r="G987" s="15" t="s">
        <v>675</v>
      </c>
    </row>
    <row r="988" ht="15.75" customHeight="1">
      <c r="A988" s="17" t="s">
        <v>1659</v>
      </c>
      <c r="B988" s="17" t="s">
        <v>251</v>
      </c>
      <c r="C988" s="18">
        <v>45519.0</v>
      </c>
      <c r="D988" s="18">
        <v>45549.0</v>
      </c>
      <c r="E988" s="17" t="s">
        <v>684</v>
      </c>
      <c r="F988" s="20">
        <v>19.99</v>
      </c>
      <c r="G988" s="17" t="s">
        <v>675</v>
      </c>
    </row>
    <row r="989" ht="15.75" customHeight="1">
      <c r="A989" s="15" t="s">
        <v>1660</v>
      </c>
      <c r="B989" s="15" t="s">
        <v>307</v>
      </c>
      <c r="C989" s="16">
        <v>45519.0</v>
      </c>
      <c r="D989" s="16">
        <v>45526.0</v>
      </c>
      <c r="E989" s="15" t="s">
        <v>674</v>
      </c>
      <c r="F989" s="19">
        <v>0.0</v>
      </c>
      <c r="G989" s="15" t="s">
        <v>675</v>
      </c>
    </row>
    <row r="990" ht="15.75" customHeight="1">
      <c r="A990" s="17" t="s">
        <v>1661</v>
      </c>
      <c r="B990" s="17" t="s">
        <v>308</v>
      </c>
      <c r="C990" s="18">
        <v>45519.0</v>
      </c>
      <c r="D990" s="18">
        <v>45526.0</v>
      </c>
      <c r="E990" s="17" t="s">
        <v>674</v>
      </c>
      <c r="F990" s="20">
        <v>0.0</v>
      </c>
      <c r="G990" s="17" t="s">
        <v>675</v>
      </c>
    </row>
    <row r="991" ht="15.75" customHeight="1">
      <c r="A991" s="15" t="s">
        <v>1662</v>
      </c>
      <c r="B991" s="15" t="s">
        <v>157</v>
      </c>
      <c r="C991" s="16">
        <v>45519.0</v>
      </c>
      <c r="D991" s="16">
        <v>45549.0</v>
      </c>
      <c r="E991" s="15" t="s">
        <v>684</v>
      </c>
      <c r="F991" s="19">
        <v>19.99</v>
      </c>
      <c r="G991" s="15" t="s">
        <v>675</v>
      </c>
    </row>
    <row r="992" ht="15.75" customHeight="1">
      <c r="A992" s="17" t="s">
        <v>1663</v>
      </c>
      <c r="B992" s="17" t="s">
        <v>96</v>
      </c>
      <c r="C992" s="18">
        <v>45520.0</v>
      </c>
      <c r="D992" s="18">
        <v>45550.0</v>
      </c>
      <c r="E992" s="17" t="s">
        <v>684</v>
      </c>
      <c r="F992" s="20">
        <v>19.99</v>
      </c>
      <c r="G992" s="17" t="s">
        <v>675</v>
      </c>
    </row>
    <row r="993" ht="15.75" customHeight="1">
      <c r="A993" s="15" t="s">
        <v>1664</v>
      </c>
      <c r="B993" s="15" t="s">
        <v>125</v>
      </c>
      <c r="C993" s="16">
        <v>45520.0</v>
      </c>
      <c r="D993" s="16">
        <v>45550.0</v>
      </c>
      <c r="E993" s="15" t="s">
        <v>684</v>
      </c>
      <c r="F993" s="19">
        <v>19.99</v>
      </c>
      <c r="G993" s="15" t="s">
        <v>675</v>
      </c>
    </row>
    <row r="994" ht="15.75" customHeight="1">
      <c r="A994" s="17" t="s">
        <v>1665</v>
      </c>
      <c r="B994" s="17" t="s">
        <v>297</v>
      </c>
      <c r="C994" s="18">
        <v>45520.0</v>
      </c>
      <c r="D994" s="18">
        <v>45550.0</v>
      </c>
      <c r="E994" s="17" t="s">
        <v>684</v>
      </c>
      <c r="F994" s="20">
        <v>19.99</v>
      </c>
      <c r="G994" s="17" t="s">
        <v>675</v>
      </c>
    </row>
    <row r="995" ht="15.75" customHeight="1">
      <c r="A995" s="15" t="s">
        <v>1666</v>
      </c>
      <c r="B995" s="15" t="s">
        <v>252</v>
      </c>
      <c r="C995" s="16">
        <v>45520.0</v>
      </c>
      <c r="D995" s="16">
        <v>45550.0</v>
      </c>
      <c r="E995" s="15" t="s">
        <v>684</v>
      </c>
      <c r="F995" s="19">
        <v>19.99</v>
      </c>
      <c r="G995" s="15" t="s">
        <v>675</v>
      </c>
    </row>
    <row r="996" ht="15.75" customHeight="1">
      <c r="A996" s="17" t="s">
        <v>1667</v>
      </c>
      <c r="B996" s="17" t="s">
        <v>309</v>
      </c>
      <c r="C996" s="18">
        <v>45520.0</v>
      </c>
      <c r="D996" s="18">
        <v>45527.0</v>
      </c>
      <c r="E996" s="17" t="s">
        <v>674</v>
      </c>
      <c r="F996" s="20">
        <v>0.0</v>
      </c>
      <c r="G996" s="17" t="s">
        <v>675</v>
      </c>
    </row>
    <row r="997" ht="15.75" customHeight="1">
      <c r="A997" s="15" t="s">
        <v>1668</v>
      </c>
      <c r="B997" s="15" t="s">
        <v>253</v>
      </c>
      <c r="C997" s="16">
        <v>45520.0</v>
      </c>
      <c r="D997" s="16">
        <v>45550.0</v>
      </c>
      <c r="E997" s="15" t="s">
        <v>684</v>
      </c>
      <c r="F997" s="19">
        <v>19.99</v>
      </c>
      <c r="G997" s="15" t="s">
        <v>675</v>
      </c>
    </row>
    <row r="998" ht="15.75" customHeight="1">
      <c r="A998" s="17" t="s">
        <v>1669</v>
      </c>
      <c r="B998" s="17" t="s">
        <v>298</v>
      </c>
      <c r="C998" s="18">
        <v>45521.0</v>
      </c>
      <c r="D998" s="18">
        <v>45551.0</v>
      </c>
      <c r="E998" s="17" t="s">
        <v>684</v>
      </c>
      <c r="F998" s="20">
        <v>19.99</v>
      </c>
      <c r="G998" s="17" t="s">
        <v>675</v>
      </c>
    </row>
    <row r="999" ht="15.75" customHeight="1">
      <c r="A999" s="15" t="s">
        <v>1670</v>
      </c>
      <c r="B999" s="15" t="s">
        <v>310</v>
      </c>
      <c r="C999" s="16">
        <v>45521.0</v>
      </c>
      <c r="D999" s="16">
        <v>45528.0</v>
      </c>
      <c r="E999" s="15" t="s">
        <v>674</v>
      </c>
      <c r="F999" s="19">
        <v>0.0</v>
      </c>
      <c r="G999" s="15" t="s">
        <v>675</v>
      </c>
    </row>
    <row r="1000" ht="15.75" customHeight="1">
      <c r="A1000" s="17" t="s">
        <v>1671</v>
      </c>
      <c r="B1000" s="17" t="s">
        <v>254</v>
      </c>
      <c r="C1000" s="18">
        <v>45521.0</v>
      </c>
      <c r="D1000" s="18">
        <v>45551.0</v>
      </c>
      <c r="E1000" s="17" t="s">
        <v>684</v>
      </c>
      <c r="F1000" s="20">
        <v>19.99</v>
      </c>
      <c r="G1000" s="17" t="s">
        <v>675</v>
      </c>
    </row>
    <row r="1001" ht="15.75" customHeight="1">
      <c r="A1001" s="15" t="s">
        <v>1672</v>
      </c>
      <c r="B1001" s="15" t="s">
        <v>299</v>
      </c>
      <c r="C1001" s="16">
        <v>45521.0</v>
      </c>
      <c r="D1001" s="16">
        <v>45551.0</v>
      </c>
      <c r="E1001" s="15" t="s">
        <v>684</v>
      </c>
      <c r="F1001" s="19">
        <v>19.99</v>
      </c>
      <c r="G1001" s="15" t="s">
        <v>675</v>
      </c>
    </row>
    <row r="1002" ht="15.75" customHeight="1">
      <c r="A1002" s="17" t="s">
        <v>1673</v>
      </c>
      <c r="B1002" s="17" t="s">
        <v>75</v>
      </c>
      <c r="C1002" s="18">
        <v>45521.0</v>
      </c>
      <c r="D1002" s="18">
        <v>45551.0</v>
      </c>
      <c r="E1002" s="17" t="s">
        <v>684</v>
      </c>
      <c r="F1002" s="20">
        <v>19.99</v>
      </c>
      <c r="G1002" s="17" t="s">
        <v>675</v>
      </c>
    </row>
    <row r="1003" ht="15.75" customHeight="1">
      <c r="A1003" s="15" t="s">
        <v>1674</v>
      </c>
      <c r="B1003" s="15" t="s">
        <v>255</v>
      </c>
      <c r="C1003" s="16">
        <v>45521.0</v>
      </c>
      <c r="D1003" s="16">
        <v>45551.0</v>
      </c>
      <c r="E1003" s="15" t="s">
        <v>684</v>
      </c>
      <c r="F1003" s="19">
        <v>19.99</v>
      </c>
      <c r="G1003" s="15" t="s">
        <v>675</v>
      </c>
    </row>
    <row r="1004" ht="15.75" customHeight="1">
      <c r="A1004" s="17" t="s">
        <v>1675</v>
      </c>
      <c r="B1004" s="17" t="s">
        <v>127</v>
      </c>
      <c r="C1004" s="18">
        <v>45521.0</v>
      </c>
      <c r="D1004" s="18">
        <v>45551.0</v>
      </c>
      <c r="E1004" s="17" t="s">
        <v>684</v>
      </c>
      <c r="F1004" s="20">
        <v>19.99</v>
      </c>
      <c r="G1004" s="17" t="s">
        <v>675</v>
      </c>
    </row>
    <row r="1005" ht="15.75" customHeight="1">
      <c r="A1005" s="15" t="s">
        <v>1676</v>
      </c>
      <c r="B1005" s="15" t="s">
        <v>311</v>
      </c>
      <c r="C1005" s="16">
        <v>45521.0</v>
      </c>
      <c r="D1005" s="16">
        <v>45528.0</v>
      </c>
      <c r="E1005" s="15" t="s">
        <v>674</v>
      </c>
      <c r="F1005" s="19">
        <v>0.0</v>
      </c>
      <c r="G1005" s="15" t="s">
        <v>675</v>
      </c>
    </row>
    <row r="1006" ht="15.75" customHeight="1">
      <c r="A1006" s="17" t="s">
        <v>1677</v>
      </c>
      <c r="B1006" s="17" t="s">
        <v>312</v>
      </c>
      <c r="C1006" s="18">
        <v>45521.0</v>
      </c>
      <c r="D1006" s="18">
        <v>45528.0</v>
      </c>
      <c r="E1006" s="17" t="s">
        <v>674</v>
      </c>
      <c r="F1006" s="20">
        <v>0.0</v>
      </c>
      <c r="G1006" s="17" t="s">
        <v>675</v>
      </c>
    </row>
    <row r="1007" ht="15.75" customHeight="1">
      <c r="A1007" s="15" t="s">
        <v>1678</v>
      </c>
      <c r="B1007" s="15" t="s">
        <v>300</v>
      </c>
      <c r="C1007" s="16">
        <v>45521.0</v>
      </c>
      <c r="D1007" s="16">
        <v>45551.0</v>
      </c>
      <c r="E1007" s="15" t="s">
        <v>684</v>
      </c>
      <c r="F1007" s="19">
        <v>19.99</v>
      </c>
      <c r="G1007" s="15" t="s">
        <v>675</v>
      </c>
    </row>
    <row r="1008" ht="15.75" customHeight="1">
      <c r="A1008" s="17" t="s">
        <v>1679</v>
      </c>
      <c r="B1008" s="17" t="s">
        <v>194</v>
      </c>
      <c r="C1008" s="18">
        <v>45522.0</v>
      </c>
      <c r="D1008" s="18">
        <v>45552.0</v>
      </c>
      <c r="E1008" s="17" t="s">
        <v>684</v>
      </c>
      <c r="F1008" s="20">
        <v>19.99</v>
      </c>
      <c r="G1008" s="17" t="s">
        <v>675</v>
      </c>
    </row>
    <row r="1009" ht="15.75" customHeight="1">
      <c r="A1009" s="15" t="s">
        <v>1680</v>
      </c>
      <c r="B1009" s="15" t="s">
        <v>301</v>
      </c>
      <c r="C1009" s="16">
        <v>45522.0</v>
      </c>
      <c r="D1009" s="16">
        <v>45552.0</v>
      </c>
      <c r="E1009" s="15" t="s">
        <v>684</v>
      </c>
      <c r="F1009" s="19">
        <v>19.99</v>
      </c>
      <c r="G1009" s="15" t="s">
        <v>675</v>
      </c>
    </row>
    <row r="1010" ht="15.75" customHeight="1">
      <c r="A1010" s="17" t="s">
        <v>1681</v>
      </c>
      <c r="B1010" s="17" t="s">
        <v>99</v>
      </c>
      <c r="C1010" s="18">
        <v>45522.0</v>
      </c>
      <c r="D1010" s="18">
        <v>45552.0</v>
      </c>
      <c r="E1010" s="17" t="s">
        <v>684</v>
      </c>
      <c r="F1010" s="20">
        <v>19.99</v>
      </c>
      <c r="G1010" s="17" t="s">
        <v>675</v>
      </c>
    </row>
    <row r="1011" ht="15.75" customHeight="1">
      <c r="A1011" s="15" t="s">
        <v>1682</v>
      </c>
      <c r="B1011" s="15" t="s">
        <v>302</v>
      </c>
      <c r="C1011" s="16">
        <v>45522.0</v>
      </c>
      <c r="D1011" s="16">
        <v>45552.0</v>
      </c>
      <c r="E1011" s="15" t="s">
        <v>684</v>
      </c>
      <c r="F1011" s="19">
        <v>19.99</v>
      </c>
      <c r="G1011" s="15" t="s">
        <v>675</v>
      </c>
    </row>
    <row r="1012" ht="15.75" customHeight="1">
      <c r="A1012" s="17" t="s">
        <v>1683</v>
      </c>
      <c r="B1012" s="17" t="s">
        <v>76</v>
      </c>
      <c r="C1012" s="18">
        <v>45522.0</v>
      </c>
      <c r="D1012" s="18">
        <v>45552.0</v>
      </c>
      <c r="E1012" s="17" t="s">
        <v>684</v>
      </c>
      <c r="F1012" s="20">
        <v>19.99</v>
      </c>
      <c r="G1012" s="17" t="s">
        <v>675</v>
      </c>
    </row>
    <row r="1013" ht="15.75" customHeight="1">
      <c r="A1013" s="15" t="s">
        <v>1684</v>
      </c>
      <c r="B1013" s="15" t="s">
        <v>303</v>
      </c>
      <c r="C1013" s="16">
        <v>45522.0</v>
      </c>
      <c r="D1013" s="16">
        <v>45552.0</v>
      </c>
      <c r="E1013" s="15" t="s">
        <v>684</v>
      </c>
      <c r="F1013" s="19">
        <v>19.99</v>
      </c>
      <c r="G1013" s="15" t="s">
        <v>675</v>
      </c>
    </row>
    <row r="1014" ht="15.75" customHeight="1">
      <c r="A1014" s="17" t="s">
        <v>1685</v>
      </c>
      <c r="B1014" s="17" t="s">
        <v>159</v>
      </c>
      <c r="C1014" s="18">
        <v>45522.0</v>
      </c>
      <c r="D1014" s="18">
        <v>45552.0</v>
      </c>
      <c r="E1014" s="17" t="s">
        <v>684</v>
      </c>
      <c r="F1014" s="20">
        <v>19.99</v>
      </c>
      <c r="G1014" s="17" t="s">
        <v>675</v>
      </c>
    </row>
    <row r="1015" ht="15.75" customHeight="1">
      <c r="A1015" s="15" t="s">
        <v>1686</v>
      </c>
      <c r="B1015" s="15" t="s">
        <v>160</v>
      </c>
      <c r="C1015" s="16">
        <v>45522.0</v>
      </c>
      <c r="D1015" s="16">
        <v>45552.0</v>
      </c>
      <c r="E1015" s="15" t="s">
        <v>684</v>
      </c>
      <c r="F1015" s="19">
        <v>19.99</v>
      </c>
      <c r="G1015" s="15" t="s">
        <v>675</v>
      </c>
    </row>
    <row r="1016" ht="15.75" customHeight="1">
      <c r="A1016" s="17" t="s">
        <v>1687</v>
      </c>
      <c r="B1016" s="17" t="s">
        <v>313</v>
      </c>
      <c r="C1016" s="18">
        <v>45522.0</v>
      </c>
      <c r="D1016" s="18">
        <v>45529.0</v>
      </c>
      <c r="E1016" s="17" t="s">
        <v>674</v>
      </c>
      <c r="F1016" s="20">
        <v>0.0</v>
      </c>
      <c r="G1016" s="17" t="s">
        <v>675</v>
      </c>
    </row>
    <row r="1017" ht="15.75" customHeight="1">
      <c r="A1017" s="15" t="s">
        <v>1688</v>
      </c>
      <c r="B1017" s="15" t="s">
        <v>197</v>
      </c>
      <c r="C1017" s="16">
        <v>45523.0</v>
      </c>
      <c r="D1017" s="16">
        <v>45553.0</v>
      </c>
      <c r="E1017" s="15" t="s">
        <v>684</v>
      </c>
      <c r="F1017" s="19">
        <v>19.99</v>
      </c>
      <c r="G1017" s="15" t="s">
        <v>675</v>
      </c>
    </row>
    <row r="1018" ht="15.75" customHeight="1">
      <c r="A1018" s="17" t="s">
        <v>1689</v>
      </c>
      <c r="B1018" s="17" t="s">
        <v>256</v>
      </c>
      <c r="C1018" s="18">
        <v>45523.0</v>
      </c>
      <c r="D1018" s="18">
        <v>45553.0</v>
      </c>
      <c r="E1018" s="17" t="s">
        <v>684</v>
      </c>
      <c r="F1018" s="20">
        <v>19.99</v>
      </c>
      <c r="G1018" s="17" t="s">
        <v>675</v>
      </c>
    </row>
    <row r="1019" ht="15.75" customHeight="1">
      <c r="A1019" s="15" t="s">
        <v>1690</v>
      </c>
      <c r="B1019" s="15" t="s">
        <v>314</v>
      </c>
      <c r="C1019" s="16">
        <v>45523.0</v>
      </c>
      <c r="D1019" s="16">
        <v>45530.0</v>
      </c>
      <c r="E1019" s="15" t="s">
        <v>674</v>
      </c>
      <c r="F1019" s="19">
        <v>0.0</v>
      </c>
      <c r="G1019" s="15" t="s">
        <v>675</v>
      </c>
    </row>
    <row r="1020" ht="15.75" customHeight="1">
      <c r="A1020" s="17" t="s">
        <v>1691</v>
      </c>
      <c r="B1020" s="17" t="s">
        <v>162</v>
      </c>
      <c r="C1020" s="18">
        <v>45523.0</v>
      </c>
      <c r="D1020" s="18">
        <v>45553.0</v>
      </c>
      <c r="E1020" s="17" t="s">
        <v>684</v>
      </c>
      <c r="F1020" s="20">
        <v>19.99</v>
      </c>
      <c r="G1020" s="17" t="s">
        <v>675</v>
      </c>
    </row>
    <row r="1021" ht="15.75" customHeight="1">
      <c r="A1021" s="15" t="s">
        <v>1692</v>
      </c>
      <c r="B1021" s="15" t="s">
        <v>304</v>
      </c>
      <c r="C1021" s="16">
        <v>45523.0</v>
      </c>
      <c r="D1021" s="16">
        <v>45553.0</v>
      </c>
      <c r="E1021" s="15" t="s">
        <v>684</v>
      </c>
      <c r="F1021" s="19">
        <v>19.99</v>
      </c>
      <c r="G1021" s="15" t="s">
        <v>675</v>
      </c>
    </row>
    <row r="1022" ht="15.75" customHeight="1">
      <c r="A1022" s="17" t="s">
        <v>1693</v>
      </c>
      <c r="B1022" s="17" t="s">
        <v>257</v>
      </c>
      <c r="C1022" s="18">
        <v>45523.0</v>
      </c>
      <c r="D1022" s="18">
        <v>45553.0</v>
      </c>
      <c r="E1022" s="17" t="s">
        <v>684</v>
      </c>
      <c r="F1022" s="20">
        <v>19.99</v>
      </c>
      <c r="G1022" s="17" t="s">
        <v>675</v>
      </c>
    </row>
    <row r="1023" ht="15.75" customHeight="1">
      <c r="A1023" s="15" t="s">
        <v>1694</v>
      </c>
      <c r="B1023" s="15" t="s">
        <v>129</v>
      </c>
      <c r="C1023" s="16">
        <v>45523.0</v>
      </c>
      <c r="D1023" s="16">
        <v>45553.0</v>
      </c>
      <c r="E1023" s="15" t="s">
        <v>684</v>
      </c>
      <c r="F1023" s="19">
        <v>19.99</v>
      </c>
      <c r="G1023" s="15" t="s">
        <v>675</v>
      </c>
    </row>
    <row r="1024" ht="15.75" customHeight="1">
      <c r="A1024" s="17" t="s">
        <v>1695</v>
      </c>
      <c r="B1024" s="17" t="s">
        <v>130</v>
      </c>
      <c r="C1024" s="18">
        <v>45524.0</v>
      </c>
      <c r="D1024" s="18">
        <v>45554.0</v>
      </c>
      <c r="E1024" s="17" t="s">
        <v>684</v>
      </c>
      <c r="F1024" s="20">
        <v>19.99</v>
      </c>
      <c r="G1024" s="17" t="s">
        <v>675</v>
      </c>
    </row>
    <row r="1025" ht="15.75" customHeight="1">
      <c r="A1025" s="15" t="s">
        <v>1696</v>
      </c>
      <c r="B1025" s="15" t="s">
        <v>163</v>
      </c>
      <c r="C1025" s="16">
        <v>45524.0</v>
      </c>
      <c r="D1025" s="16">
        <v>45554.0</v>
      </c>
      <c r="E1025" s="15" t="s">
        <v>684</v>
      </c>
      <c r="F1025" s="19">
        <v>19.99</v>
      </c>
      <c r="G1025" s="15" t="s">
        <v>675</v>
      </c>
    </row>
    <row r="1026" ht="15.75" customHeight="1">
      <c r="A1026" s="17" t="s">
        <v>1697</v>
      </c>
      <c r="B1026" s="17" t="s">
        <v>315</v>
      </c>
      <c r="C1026" s="18">
        <v>45524.0</v>
      </c>
      <c r="D1026" s="18">
        <v>45531.0</v>
      </c>
      <c r="E1026" s="17" t="s">
        <v>674</v>
      </c>
      <c r="F1026" s="20">
        <v>0.0</v>
      </c>
      <c r="G1026" s="17" t="s">
        <v>675</v>
      </c>
    </row>
    <row r="1027" ht="15.75" customHeight="1">
      <c r="A1027" s="15" t="s">
        <v>1698</v>
      </c>
      <c r="B1027" s="15" t="s">
        <v>164</v>
      </c>
      <c r="C1027" s="16">
        <v>45524.0</v>
      </c>
      <c r="D1027" s="16">
        <v>45554.0</v>
      </c>
      <c r="E1027" s="15" t="s">
        <v>684</v>
      </c>
      <c r="F1027" s="19">
        <v>19.99</v>
      </c>
      <c r="G1027" s="15" t="s">
        <v>675</v>
      </c>
    </row>
    <row r="1028" ht="15.75" customHeight="1">
      <c r="A1028" s="17" t="s">
        <v>1699</v>
      </c>
      <c r="B1028" s="17" t="s">
        <v>259</v>
      </c>
      <c r="C1028" s="18">
        <v>45524.0</v>
      </c>
      <c r="D1028" s="18">
        <v>45554.0</v>
      </c>
      <c r="E1028" s="17" t="s">
        <v>684</v>
      </c>
      <c r="F1028" s="20">
        <v>19.99</v>
      </c>
      <c r="G1028" s="17" t="s">
        <v>675</v>
      </c>
    </row>
    <row r="1029" ht="15.75" customHeight="1">
      <c r="A1029" s="15" t="s">
        <v>1700</v>
      </c>
      <c r="B1029" s="15" t="s">
        <v>198</v>
      </c>
      <c r="C1029" s="16">
        <v>45524.0</v>
      </c>
      <c r="D1029" s="16">
        <v>45554.0</v>
      </c>
      <c r="E1029" s="15" t="s">
        <v>684</v>
      </c>
      <c r="F1029" s="19">
        <v>19.99</v>
      </c>
      <c r="G1029" s="15" t="s">
        <v>675</v>
      </c>
    </row>
    <row r="1030" ht="15.75" customHeight="1">
      <c r="A1030" s="17" t="s">
        <v>1701</v>
      </c>
      <c r="B1030" s="17" t="s">
        <v>316</v>
      </c>
      <c r="C1030" s="18">
        <v>45524.0</v>
      </c>
      <c r="D1030" s="18">
        <v>45531.0</v>
      </c>
      <c r="E1030" s="17" t="s">
        <v>674</v>
      </c>
      <c r="F1030" s="20">
        <v>0.0</v>
      </c>
      <c r="G1030" s="17" t="s">
        <v>675</v>
      </c>
    </row>
    <row r="1031" ht="15.75" customHeight="1">
      <c r="A1031" s="15" t="s">
        <v>1702</v>
      </c>
      <c r="B1031" s="15" t="s">
        <v>317</v>
      </c>
      <c r="C1031" s="16">
        <v>45525.0</v>
      </c>
      <c r="D1031" s="16">
        <v>45532.0</v>
      </c>
      <c r="E1031" s="15" t="s">
        <v>674</v>
      </c>
      <c r="F1031" s="19">
        <v>0.0</v>
      </c>
      <c r="G1031" s="15" t="s">
        <v>675</v>
      </c>
    </row>
    <row r="1032" ht="15.75" customHeight="1">
      <c r="A1032" s="17" t="s">
        <v>1703</v>
      </c>
      <c r="B1032" s="17" t="s">
        <v>100</v>
      </c>
      <c r="C1032" s="18">
        <v>45525.0</v>
      </c>
      <c r="D1032" s="18">
        <v>45555.0</v>
      </c>
      <c r="E1032" s="17" t="s">
        <v>684</v>
      </c>
      <c r="F1032" s="20">
        <v>19.99</v>
      </c>
      <c r="G1032" s="17" t="s">
        <v>675</v>
      </c>
    </row>
    <row r="1033" ht="15.75" customHeight="1">
      <c r="A1033" s="15" t="s">
        <v>1704</v>
      </c>
      <c r="B1033" s="15" t="s">
        <v>305</v>
      </c>
      <c r="C1033" s="16">
        <v>45525.0</v>
      </c>
      <c r="D1033" s="16">
        <v>45555.0</v>
      </c>
      <c r="E1033" s="15" t="s">
        <v>684</v>
      </c>
      <c r="F1033" s="19">
        <v>19.99</v>
      </c>
      <c r="G1033" s="15" t="s">
        <v>675</v>
      </c>
    </row>
    <row r="1034" ht="15.75" customHeight="1">
      <c r="A1034" s="17" t="s">
        <v>1705</v>
      </c>
      <c r="B1034" s="17" t="s">
        <v>165</v>
      </c>
      <c r="C1034" s="18">
        <v>45525.0</v>
      </c>
      <c r="D1034" s="18">
        <v>45555.0</v>
      </c>
      <c r="E1034" s="17" t="s">
        <v>684</v>
      </c>
      <c r="F1034" s="20">
        <v>19.99</v>
      </c>
      <c r="G1034" s="17" t="s">
        <v>675</v>
      </c>
    </row>
    <row r="1035" ht="15.75" customHeight="1">
      <c r="A1035" s="15" t="s">
        <v>1706</v>
      </c>
      <c r="B1035" s="15" t="s">
        <v>260</v>
      </c>
      <c r="C1035" s="16">
        <v>45525.0</v>
      </c>
      <c r="D1035" s="16">
        <v>45555.0</v>
      </c>
      <c r="E1035" s="15" t="s">
        <v>684</v>
      </c>
      <c r="F1035" s="19">
        <v>19.99</v>
      </c>
      <c r="G1035" s="15" t="s">
        <v>675</v>
      </c>
    </row>
    <row r="1036" ht="15.75" customHeight="1">
      <c r="A1036" s="17" t="s">
        <v>1707</v>
      </c>
      <c r="B1036" s="17" t="s">
        <v>79</v>
      </c>
      <c r="C1036" s="18">
        <v>45526.0</v>
      </c>
      <c r="D1036" s="18">
        <v>45556.0</v>
      </c>
      <c r="E1036" s="17" t="s">
        <v>684</v>
      </c>
      <c r="F1036" s="20">
        <v>19.99</v>
      </c>
      <c r="G1036" s="17" t="s">
        <v>675</v>
      </c>
    </row>
    <row r="1037" ht="15.75" customHeight="1">
      <c r="A1037" s="15" t="s">
        <v>1708</v>
      </c>
      <c r="B1037" s="15" t="s">
        <v>201</v>
      </c>
      <c r="C1037" s="16">
        <v>45526.0</v>
      </c>
      <c r="D1037" s="16">
        <v>45556.0</v>
      </c>
      <c r="E1037" s="15" t="s">
        <v>684</v>
      </c>
      <c r="F1037" s="19">
        <v>19.99</v>
      </c>
      <c r="G1037" s="15" t="s">
        <v>675</v>
      </c>
    </row>
    <row r="1038" ht="15.75" customHeight="1">
      <c r="A1038" s="17" t="s">
        <v>1709</v>
      </c>
      <c r="B1038" s="17" t="s">
        <v>133</v>
      </c>
      <c r="C1038" s="18">
        <v>45526.0</v>
      </c>
      <c r="D1038" s="18">
        <v>45556.0</v>
      </c>
      <c r="E1038" s="17" t="s">
        <v>684</v>
      </c>
      <c r="F1038" s="20">
        <v>19.99</v>
      </c>
      <c r="G1038" s="17" t="s">
        <v>675</v>
      </c>
    </row>
    <row r="1039" ht="15.75" customHeight="1">
      <c r="A1039" s="15" t="s">
        <v>1710</v>
      </c>
      <c r="B1039" s="15" t="s">
        <v>202</v>
      </c>
      <c r="C1039" s="16">
        <v>45526.0</v>
      </c>
      <c r="D1039" s="16">
        <v>45556.0</v>
      </c>
      <c r="E1039" s="15" t="s">
        <v>684</v>
      </c>
      <c r="F1039" s="19">
        <v>19.99</v>
      </c>
      <c r="G1039" s="15" t="s">
        <v>675</v>
      </c>
    </row>
    <row r="1040" ht="15.75" customHeight="1">
      <c r="A1040" s="17" t="s">
        <v>1711</v>
      </c>
      <c r="B1040" s="17" t="s">
        <v>306</v>
      </c>
      <c r="C1040" s="18">
        <v>45526.0</v>
      </c>
      <c r="D1040" s="18">
        <v>45556.0</v>
      </c>
      <c r="E1040" s="17" t="s">
        <v>684</v>
      </c>
      <c r="F1040" s="20">
        <v>19.99</v>
      </c>
      <c r="G1040" s="17" t="s">
        <v>675</v>
      </c>
    </row>
    <row r="1041" ht="15.75" customHeight="1">
      <c r="A1041" s="15" t="s">
        <v>1712</v>
      </c>
      <c r="B1041" s="15" t="s">
        <v>307</v>
      </c>
      <c r="C1041" s="16">
        <v>45526.0</v>
      </c>
      <c r="D1041" s="16">
        <v>45556.0</v>
      </c>
      <c r="E1041" s="15" t="s">
        <v>684</v>
      </c>
      <c r="F1041" s="19">
        <v>19.99</v>
      </c>
      <c r="G1041" s="15" t="s">
        <v>675</v>
      </c>
    </row>
    <row r="1042" ht="15.75" customHeight="1">
      <c r="A1042" s="17" t="s">
        <v>1713</v>
      </c>
      <c r="B1042" s="17" t="s">
        <v>308</v>
      </c>
      <c r="C1042" s="18">
        <v>45526.0</v>
      </c>
      <c r="D1042" s="18">
        <v>45556.0</v>
      </c>
      <c r="E1042" s="17" t="s">
        <v>684</v>
      </c>
      <c r="F1042" s="20">
        <v>19.99</v>
      </c>
      <c r="G1042" s="17" t="s">
        <v>675</v>
      </c>
    </row>
    <row r="1043" ht="15.75" customHeight="1">
      <c r="A1043" s="15" t="s">
        <v>1714</v>
      </c>
      <c r="B1043" s="15" t="s">
        <v>318</v>
      </c>
      <c r="C1043" s="16">
        <v>45526.0</v>
      </c>
      <c r="D1043" s="16">
        <v>45533.0</v>
      </c>
      <c r="E1043" s="15" t="s">
        <v>674</v>
      </c>
      <c r="F1043" s="19">
        <v>0.0</v>
      </c>
      <c r="G1043" s="15" t="s">
        <v>675</v>
      </c>
    </row>
    <row r="1044" ht="15.75" customHeight="1">
      <c r="A1044" s="17" t="s">
        <v>1715</v>
      </c>
      <c r="B1044" s="17" t="s">
        <v>203</v>
      </c>
      <c r="C1044" s="18">
        <v>45527.0</v>
      </c>
      <c r="D1044" s="18">
        <v>45557.0</v>
      </c>
      <c r="E1044" s="17" t="s">
        <v>684</v>
      </c>
      <c r="F1044" s="20">
        <v>19.99</v>
      </c>
      <c r="G1044" s="17" t="s">
        <v>675</v>
      </c>
    </row>
    <row r="1045" ht="15.75" customHeight="1">
      <c r="A1045" s="15" t="s">
        <v>1716</v>
      </c>
      <c r="B1045" s="15" t="s">
        <v>134</v>
      </c>
      <c r="C1045" s="16">
        <v>45527.0</v>
      </c>
      <c r="D1045" s="16">
        <v>45557.0</v>
      </c>
      <c r="E1045" s="15" t="s">
        <v>684</v>
      </c>
      <c r="F1045" s="19">
        <v>19.99</v>
      </c>
      <c r="G1045" s="15" t="s">
        <v>675</v>
      </c>
    </row>
    <row r="1046" ht="15.75" customHeight="1">
      <c r="A1046" s="17" t="s">
        <v>1717</v>
      </c>
      <c r="B1046" s="17" t="s">
        <v>227</v>
      </c>
      <c r="C1046" s="18">
        <v>45527.0</v>
      </c>
      <c r="D1046" s="18">
        <v>45557.0</v>
      </c>
      <c r="E1046" s="17" t="s">
        <v>684</v>
      </c>
      <c r="F1046" s="20">
        <v>19.99</v>
      </c>
      <c r="G1046" s="17" t="s">
        <v>675</v>
      </c>
    </row>
    <row r="1047" ht="15.75" customHeight="1">
      <c r="A1047" s="15" t="s">
        <v>1718</v>
      </c>
      <c r="B1047" s="15" t="s">
        <v>319</v>
      </c>
      <c r="C1047" s="16">
        <v>45527.0</v>
      </c>
      <c r="D1047" s="16">
        <v>45534.0</v>
      </c>
      <c r="E1047" s="15" t="s">
        <v>674</v>
      </c>
      <c r="F1047" s="19">
        <v>0.0</v>
      </c>
      <c r="G1047" s="15" t="s">
        <v>675</v>
      </c>
    </row>
    <row r="1048" ht="15.75" customHeight="1">
      <c r="A1048" s="17" t="s">
        <v>1719</v>
      </c>
      <c r="B1048" s="17" t="s">
        <v>261</v>
      </c>
      <c r="C1048" s="18">
        <v>45527.0</v>
      </c>
      <c r="D1048" s="18">
        <v>45557.0</v>
      </c>
      <c r="E1048" s="17" t="s">
        <v>684</v>
      </c>
      <c r="F1048" s="20">
        <v>19.99</v>
      </c>
      <c r="G1048" s="17" t="s">
        <v>675</v>
      </c>
    </row>
    <row r="1049" ht="15.75" customHeight="1">
      <c r="A1049" s="15" t="s">
        <v>1720</v>
      </c>
      <c r="B1049" s="15" t="s">
        <v>309</v>
      </c>
      <c r="C1049" s="16">
        <v>45527.0</v>
      </c>
      <c r="D1049" s="16">
        <v>45557.0</v>
      </c>
      <c r="E1049" s="15" t="s">
        <v>684</v>
      </c>
      <c r="F1049" s="19">
        <v>19.99</v>
      </c>
      <c r="G1049" s="15" t="s">
        <v>675</v>
      </c>
    </row>
    <row r="1050" ht="15.75" customHeight="1">
      <c r="A1050" s="17" t="s">
        <v>1721</v>
      </c>
      <c r="B1050" s="17" t="s">
        <v>205</v>
      </c>
      <c r="C1050" s="18">
        <v>45527.0</v>
      </c>
      <c r="D1050" s="18">
        <v>45557.0</v>
      </c>
      <c r="E1050" s="17" t="s">
        <v>684</v>
      </c>
      <c r="F1050" s="20">
        <v>19.99</v>
      </c>
      <c r="G1050" s="17" t="s">
        <v>675</v>
      </c>
    </row>
    <row r="1051" ht="15.75" customHeight="1">
      <c r="A1051" s="15" t="s">
        <v>1722</v>
      </c>
      <c r="B1051" s="15" t="s">
        <v>206</v>
      </c>
      <c r="C1051" s="16">
        <v>45527.0</v>
      </c>
      <c r="D1051" s="16">
        <v>45557.0</v>
      </c>
      <c r="E1051" s="15" t="s">
        <v>684</v>
      </c>
      <c r="F1051" s="19">
        <v>19.99</v>
      </c>
      <c r="G1051" s="15" t="s">
        <v>675</v>
      </c>
    </row>
    <row r="1052" ht="15.75" customHeight="1">
      <c r="A1052" s="17" t="s">
        <v>1723</v>
      </c>
      <c r="B1052" s="17" t="s">
        <v>320</v>
      </c>
      <c r="C1052" s="18">
        <v>45527.0</v>
      </c>
      <c r="D1052" s="18">
        <v>45534.0</v>
      </c>
      <c r="E1052" s="17" t="s">
        <v>674</v>
      </c>
      <c r="F1052" s="20">
        <v>0.0</v>
      </c>
      <c r="G1052" s="17" t="s">
        <v>675</v>
      </c>
    </row>
    <row r="1053" ht="15.75" customHeight="1">
      <c r="A1053" s="15" t="s">
        <v>1724</v>
      </c>
      <c r="B1053" s="15" t="s">
        <v>310</v>
      </c>
      <c r="C1053" s="16">
        <v>45528.0</v>
      </c>
      <c r="D1053" s="16">
        <v>45558.0</v>
      </c>
      <c r="E1053" s="15" t="s">
        <v>684</v>
      </c>
      <c r="F1053" s="19">
        <v>19.99</v>
      </c>
      <c r="G1053" s="15" t="s">
        <v>675</v>
      </c>
    </row>
    <row r="1054" ht="15.75" customHeight="1">
      <c r="A1054" s="17" t="s">
        <v>1725</v>
      </c>
      <c r="B1054" s="17" t="s">
        <v>228</v>
      </c>
      <c r="C1054" s="18">
        <v>45528.0</v>
      </c>
      <c r="D1054" s="18">
        <v>45558.0</v>
      </c>
      <c r="E1054" s="17" t="s">
        <v>684</v>
      </c>
      <c r="F1054" s="20">
        <v>19.99</v>
      </c>
      <c r="G1054" s="17" t="s">
        <v>675</v>
      </c>
    </row>
    <row r="1055" ht="15.75" customHeight="1">
      <c r="A1055" s="15" t="s">
        <v>1726</v>
      </c>
      <c r="B1055" s="15" t="s">
        <v>262</v>
      </c>
      <c r="C1055" s="16">
        <v>45528.0</v>
      </c>
      <c r="D1055" s="16">
        <v>45558.0</v>
      </c>
      <c r="E1055" s="15" t="s">
        <v>684</v>
      </c>
      <c r="F1055" s="19">
        <v>19.99</v>
      </c>
      <c r="G1055" s="15" t="s">
        <v>675</v>
      </c>
    </row>
    <row r="1056" ht="15.75" customHeight="1">
      <c r="A1056" s="17" t="s">
        <v>1727</v>
      </c>
      <c r="B1056" s="17" t="s">
        <v>321</v>
      </c>
      <c r="C1056" s="18">
        <v>45528.0</v>
      </c>
      <c r="D1056" s="18">
        <v>45535.0</v>
      </c>
      <c r="E1056" s="17" t="s">
        <v>674</v>
      </c>
      <c r="F1056" s="20">
        <v>0.0</v>
      </c>
      <c r="G1056" s="17" t="s">
        <v>675</v>
      </c>
    </row>
    <row r="1057" ht="15.75" customHeight="1">
      <c r="A1057" s="15" t="s">
        <v>1728</v>
      </c>
      <c r="B1057" s="15" t="s">
        <v>102</v>
      </c>
      <c r="C1057" s="16">
        <v>45528.0</v>
      </c>
      <c r="D1057" s="16">
        <v>45558.0</v>
      </c>
      <c r="E1057" s="15" t="s">
        <v>684</v>
      </c>
      <c r="F1057" s="19">
        <v>19.99</v>
      </c>
      <c r="G1057" s="15" t="s">
        <v>675</v>
      </c>
    </row>
    <row r="1058" ht="15.75" customHeight="1">
      <c r="A1058" s="17" t="s">
        <v>1729</v>
      </c>
      <c r="B1058" s="17" t="s">
        <v>166</v>
      </c>
      <c r="C1058" s="18">
        <v>45528.0</v>
      </c>
      <c r="D1058" s="18">
        <v>45558.0</v>
      </c>
      <c r="E1058" s="17" t="s">
        <v>684</v>
      </c>
      <c r="F1058" s="20">
        <v>19.99</v>
      </c>
      <c r="G1058" s="17" t="s">
        <v>675</v>
      </c>
    </row>
    <row r="1059" ht="15.75" customHeight="1">
      <c r="A1059" s="15" t="s">
        <v>1730</v>
      </c>
      <c r="B1059" s="15" t="s">
        <v>311</v>
      </c>
      <c r="C1059" s="16">
        <v>45528.0</v>
      </c>
      <c r="D1059" s="16">
        <v>45558.0</v>
      </c>
      <c r="E1059" s="15" t="s">
        <v>684</v>
      </c>
      <c r="F1059" s="19">
        <v>19.99</v>
      </c>
      <c r="G1059" s="15" t="s">
        <v>675</v>
      </c>
    </row>
    <row r="1060" ht="15.75" customHeight="1">
      <c r="A1060" s="17" t="s">
        <v>1731</v>
      </c>
      <c r="B1060" s="17" t="s">
        <v>167</v>
      </c>
      <c r="C1060" s="18">
        <v>45528.0</v>
      </c>
      <c r="D1060" s="18">
        <v>45558.0</v>
      </c>
      <c r="E1060" s="17" t="s">
        <v>684</v>
      </c>
      <c r="F1060" s="20">
        <v>19.99</v>
      </c>
      <c r="G1060" s="17" t="s">
        <v>675</v>
      </c>
    </row>
    <row r="1061" ht="15.75" customHeight="1">
      <c r="A1061" s="15" t="s">
        <v>1732</v>
      </c>
      <c r="B1061" s="15" t="s">
        <v>312</v>
      </c>
      <c r="C1061" s="16">
        <v>45528.0</v>
      </c>
      <c r="D1061" s="16">
        <v>45558.0</v>
      </c>
      <c r="E1061" s="15" t="s">
        <v>684</v>
      </c>
      <c r="F1061" s="19">
        <v>19.99</v>
      </c>
      <c r="G1061" s="15" t="s">
        <v>675</v>
      </c>
    </row>
    <row r="1062" ht="15.75" customHeight="1">
      <c r="A1062" s="17" t="s">
        <v>1733</v>
      </c>
      <c r="B1062" s="17" t="s">
        <v>168</v>
      </c>
      <c r="C1062" s="18">
        <v>45528.0</v>
      </c>
      <c r="D1062" s="18">
        <v>45558.0</v>
      </c>
      <c r="E1062" s="17" t="s">
        <v>684</v>
      </c>
      <c r="F1062" s="20">
        <v>19.99</v>
      </c>
      <c r="G1062" s="17" t="s">
        <v>675</v>
      </c>
    </row>
    <row r="1063" ht="15.75" customHeight="1">
      <c r="A1063" s="15" t="s">
        <v>1734</v>
      </c>
      <c r="B1063" s="15" t="s">
        <v>208</v>
      </c>
      <c r="C1063" s="16">
        <v>45528.0</v>
      </c>
      <c r="D1063" s="16">
        <v>45558.0</v>
      </c>
      <c r="E1063" s="15" t="s">
        <v>684</v>
      </c>
      <c r="F1063" s="19">
        <v>19.99</v>
      </c>
      <c r="G1063" s="15" t="s">
        <v>675</v>
      </c>
    </row>
    <row r="1064" ht="15.75" customHeight="1">
      <c r="A1064" s="17" t="s">
        <v>1735</v>
      </c>
      <c r="B1064" s="17" t="s">
        <v>136</v>
      </c>
      <c r="C1064" s="18">
        <v>45529.0</v>
      </c>
      <c r="D1064" s="18">
        <v>45559.0</v>
      </c>
      <c r="E1064" s="17" t="s">
        <v>684</v>
      </c>
      <c r="F1064" s="20">
        <v>19.99</v>
      </c>
      <c r="G1064" s="17" t="s">
        <v>675</v>
      </c>
    </row>
    <row r="1065" ht="15.75" customHeight="1">
      <c r="A1065" s="15" t="s">
        <v>1736</v>
      </c>
      <c r="B1065" s="15" t="s">
        <v>263</v>
      </c>
      <c r="C1065" s="16">
        <v>45529.0</v>
      </c>
      <c r="D1065" s="16">
        <v>45559.0</v>
      </c>
      <c r="E1065" s="15" t="s">
        <v>684</v>
      </c>
      <c r="F1065" s="19">
        <v>19.99</v>
      </c>
      <c r="G1065" s="15" t="s">
        <v>675</v>
      </c>
    </row>
    <row r="1066" ht="15.75" customHeight="1">
      <c r="A1066" s="17" t="s">
        <v>1737</v>
      </c>
      <c r="B1066" s="17" t="s">
        <v>322</v>
      </c>
      <c r="C1066" s="18">
        <v>45529.0</v>
      </c>
      <c r="D1066" s="18">
        <v>45536.0</v>
      </c>
      <c r="E1066" s="17" t="s">
        <v>674</v>
      </c>
      <c r="F1066" s="20">
        <v>0.0</v>
      </c>
      <c r="G1066" s="17" t="s">
        <v>675</v>
      </c>
    </row>
    <row r="1067" ht="15.75" customHeight="1">
      <c r="A1067" s="15" t="s">
        <v>1738</v>
      </c>
      <c r="B1067" s="15" t="s">
        <v>82</v>
      </c>
      <c r="C1067" s="16">
        <v>45529.0</v>
      </c>
      <c r="D1067" s="16">
        <v>45559.0</v>
      </c>
      <c r="E1067" s="15" t="s">
        <v>684</v>
      </c>
      <c r="F1067" s="19">
        <v>19.99</v>
      </c>
      <c r="G1067" s="15" t="s">
        <v>675</v>
      </c>
    </row>
    <row r="1068" ht="15.75" customHeight="1">
      <c r="A1068" s="17" t="s">
        <v>1739</v>
      </c>
      <c r="B1068" s="17" t="s">
        <v>313</v>
      </c>
      <c r="C1068" s="18">
        <v>45529.0</v>
      </c>
      <c r="D1068" s="18">
        <v>45559.0</v>
      </c>
      <c r="E1068" s="17" t="s">
        <v>684</v>
      </c>
      <c r="F1068" s="20">
        <v>19.99</v>
      </c>
      <c r="G1068" s="17" t="s">
        <v>675</v>
      </c>
    </row>
    <row r="1069" ht="15.75" customHeight="1">
      <c r="A1069" s="15" t="s">
        <v>1740</v>
      </c>
      <c r="B1069" s="15" t="s">
        <v>137</v>
      </c>
      <c r="C1069" s="16">
        <v>45529.0</v>
      </c>
      <c r="D1069" s="16">
        <v>45559.0</v>
      </c>
      <c r="E1069" s="15" t="s">
        <v>684</v>
      </c>
      <c r="F1069" s="19">
        <v>19.99</v>
      </c>
      <c r="G1069" s="15" t="s">
        <v>675</v>
      </c>
    </row>
    <row r="1070" ht="15.75" customHeight="1">
      <c r="A1070" s="17" t="s">
        <v>1741</v>
      </c>
      <c r="B1070" s="17" t="s">
        <v>83</v>
      </c>
      <c r="C1070" s="18">
        <v>45529.0</v>
      </c>
      <c r="D1070" s="18">
        <v>45559.0</v>
      </c>
      <c r="E1070" s="17" t="s">
        <v>684</v>
      </c>
      <c r="F1070" s="20">
        <v>19.99</v>
      </c>
      <c r="G1070" s="17" t="s">
        <v>675</v>
      </c>
    </row>
    <row r="1071" ht="15.75" customHeight="1">
      <c r="A1071" s="15" t="s">
        <v>1742</v>
      </c>
      <c r="B1071" s="15" t="s">
        <v>138</v>
      </c>
      <c r="C1071" s="16">
        <v>45529.0</v>
      </c>
      <c r="D1071" s="16">
        <v>45559.0</v>
      </c>
      <c r="E1071" s="15" t="s">
        <v>684</v>
      </c>
      <c r="F1071" s="19">
        <v>19.99</v>
      </c>
      <c r="G1071" s="15" t="s">
        <v>675</v>
      </c>
    </row>
    <row r="1072" ht="15.75" customHeight="1">
      <c r="A1072" s="17" t="s">
        <v>1743</v>
      </c>
      <c r="B1072" s="17" t="s">
        <v>84</v>
      </c>
      <c r="C1072" s="18">
        <v>45530.0</v>
      </c>
      <c r="D1072" s="18">
        <v>45560.0</v>
      </c>
      <c r="E1072" s="17" t="s">
        <v>684</v>
      </c>
      <c r="F1072" s="20">
        <v>19.99</v>
      </c>
      <c r="G1072" s="17" t="s">
        <v>675</v>
      </c>
    </row>
    <row r="1073" ht="15.75" customHeight="1">
      <c r="A1073" s="15" t="s">
        <v>1744</v>
      </c>
      <c r="B1073" s="15" t="s">
        <v>139</v>
      </c>
      <c r="C1073" s="16">
        <v>45530.0</v>
      </c>
      <c r="D1073" s="16">
        <v>45560.0</v>
      </c>
      <c r="E1073" s="15" t="s">
        <v>684</v>
      </c>
      <c r="F1073" s="19">
        <v>19.99</v>
      </c>
      <c r="G1073" s="15" t="s">
        <v>675</v>
      </c>
    </row>
    <row r="1074" ht="15.75" customHeight="1">
      <c r="A1074" s="17" t="s">
        <v>1745</v>
      </c>
      <c r="B1074" s="17" t="s">
        <v>323</v>
      </c>
      <c r="C1074" s="18">
        <v>45530.0</v>
      </c>
      <c r="D1074" s="18">
        <v>45537.0</v>
      </c>
      <c r="E1074" s="17" t="s">
        <v>674</v>
      </c>
      <c r="F1074" s="20">
        <v>0.0</v>
      </c>
      <c r="G1074" s="17" t="s">
        <v>675</v>
      </c>
    </row>
    <row r="1075" ht="15.75" customHeight="1">
      <c r="A1075" s="15" t="s">
        <v>1746</v>
      </c>
      <c r="B1075" s="15" t="s">
        <v>314</v>
      </c>
      <c r="C1075" s="16">
        <v>45530.0</v>
      </c>
      <c r="D1075" s="16">
        <v>45560.0</v>
      </c>
      <c r="E1075" s="15" t="s">
        <v>684</v>
      </c>
      <c r="F1075" s="19">
        <v>19.99</v>
      </c>
      <c r="G1075" s="15" t="s">
        <v>675</v>
      </c>
    </row>
    <row r="1076" ht="15.75" customHeight="1">
      <c r="A1076" s="17" t="s">
        <v>1747</v>
      </c>
      <c r="B1076" s="17" t="s">
        <v>103</v>
      </c>
      <c r="C1076" s="18">
        <v>45530.0</v>
      </c>
      <c r="D1076" s="18">
        <v>45560.0</v>
      </c>
      <c r="E1076" s="17" t="s">
        <v>684</v>
      </c>
      <c r="F1076" s="20">
        <v>19.99</v>
      </c>
      <c r="G1076" s="17" t="s">
        <v>675</v>
      </c>
    </row>
    <row r="1077" ht="15.75" customHeight="1">
      <c r="A1077" s="15" t="s">
        <v>1748</v>
      </c>
      <c r="B1077" s="15" t="s">
        <v>324</v>
      </c>
      <c r="C1077" s="16">
        <v>45530.0</v>
      </c>
      <c r="D1077" s="16">
        <v>45537.0</v>
      </c>
      <c r="E1077" s="15" t="s">
        <v>674</v>
      </c>
      <c r="F1077" s="19">
        <v>0.0</v>
      </c>
      <c r="G1077" s="15" t="s">
        <v>675</v>
      </c>
    </row>
    <row r="1078" ht="15.75" customHeight="1">
      <c r="A1078" s="17" t="s">
        <v>1749</v>
      </c>
      <c r="B1078" s="17" t="s">
        <v>140</v>
      </c>
      <c r="C1078" s="18">
        <v>45530.0</v>
      </c>
      <c r="D1078" s="18">
        <v>45560.0</v>
      </c>
      <c r="E1078" s="17" t="s">
        <v>684</v>
      </c>
      <c r="F1078" s="20">
        <v>19.99</v>
      </c>
      <c r="G1078" s="17" t="s">
        <v>675</v>
      </c>
    </row>
    <row r="1079" ht="15.75" customHeight="1">
      <c r="A1079" s="15" t="s">
        <v>1750</v>
      </c>
      <c r="B1079" s="15" t="s">
        <v>171</v>
      </c>
      <c r="C1079" s="16">
        <v>45530.0</v>
      </c>
      <c r="D1079" s="16">
        <v>45560.0</v>
      </c>
      <c r="E1079" s="15" t="s">
        <v>684</v>
      </c>
      <c r="F1079" s="19">
        <v>19.99</v>
      </c>
      <c r="G1079" s="15" t="s">
        <v>675</v>
      </c>
    </row>
    <row r="1080" ht="15.75" customHeight="1">
      <c r="A1080" s="17" t="s">
        <v>1751</v>
      </c>
      <c r="B1080" s="17" t="s">
        <v>230</v>
      </c>
      <c r="C1080" s="18">
        <v>45530.0</v>
      </c>
      <c r="D1080" s="18">
        <v>45560.0</v>
      </c>
      <c r="E1080" s="17" t="s">
        <v>684</v>
      </c>
      <c r="F1080" s="20">
        <v>19.99</v>
      </c>
      <c r="G1080" s="17" t="s">
        <v>675</v>
      </c>
    </row>
    <row r="1081" ht="15.75" customHeight="1">
      <c r="A1081" s="15" t="s">
        <v>1752</v>
      </c>
      <c r="B1081" s="15" t="s">
        <v>265</v>
      </c>
      <c r="C1081" s="16">
        <v>45531.0</v>
      </c>
      <c r="D1081" s="16">
        <v>45561.0</v>
      </c>
      <c r="E1081" s="15" t="s">
        <v>684</v>
      </c>
      <c r="F1081" s="19">
        <v>19.99</v>
      </c>
      <c r="G1081" s="15" t="s">
        <v>675</v>
      </c>
    </row>
    <row r="1082" ht="15.75" customHeight="1">
      <c r="A1082" s="17" t="s">
        <v>1753</v>
      </c>
      <c r="B1082" s="17" t="s">
        <v>315</v>
      </c>
      <c r="C1082" s="18">
        <v>45531.0</v>
      </c>
      <c r="D1082" s="18">
        <v>45561.0</v>
      </c>
      <c r="E1082" s="17" t="s">
        <v>684</v>
      </c>
      <c r="F1082" s="20">
        <v>19.99</v>
      </c>
      <c r="G1082" s="17" t="s">
        <v>675</v>
      </c>
    </row>
    <row r="1083" ht="15.75" customHeight="1">
      <c r="A1083" s="15" t="s">
        <v>1754</v>
      </c>
      <c r="B1083" s="15" t="s">
        <v>325</v>
      </c>
      <c r="C1083" s="16">
        <v>45531.0</v>
      </c>
      <c r="D1083" s="16">
        <v>45538.0</v>
      </c>
      <c r="E1083" s="15" t="s">
        <v>674</v>
      </c>
      <c r="F1083" s="19">
        <v>0.0</v>
      </c>
      <c r="G1083" s="15" t="s">
        <v>675</v>
      </c>
    </row>
    <row r="1084" ht="15.75" customHeight="1">
      <c r="A1084" s="17" t="s">
        <v>1755</v>
      </c>
      <c r="B1084" s="17" t="s">
        <v>172</v>
      </c>
      <c r="C1084" s="18">
        <v>45531.0</v>
      </c>
      <c r="D1084" s="18">
        <v>45561.0</v>
      </c>
      <c r="E1084" s="17" t="s">
        <v>684</v>
      </c>
      <c r="F1084" s="20">
        <v>19.99</v>
      </c>
      <c r="G1084" s="17" t="s">
        <v>675</v>
      </c>
    </row>
    <row r="1085" ht="15.75" customHeight="1">
      <c r="A1085" s="15" t="s">
        <v>1756</v>
      </c>
      <c r="B1085" s="15" t="s">
        <v>326</v>
      </c>
      <c r="C1085" s="16">
        <v>45531.0</v>
      </c>
      <c r="D1085" s="16">
        <v>45538.0</v>
      </c>
      <c r="E1085" s="15" t="s">
        <v>674</v>
      </c>
      <c r="F1085" s="19">
        <v>0.0</v>
      </c>
      <c r="G1085" s="15" t="s">
        <v>675</v>
      </c>
    </row>
    <row r="1086" ht="15.75" customHeight="1">
      <c r="A1086" s="17" t="s">
        <v>1757</v>
      </c>
      <c r="B1086" s="17" t="s">
        <v>316</v>
      </c>
      <c r="C1086" s="18">
        <v>45531.0</v>
      </c>
      <c r="D1086" s="18">
        <v>45561.0</v>
      </c>
      <c r="E1086" s="17" t="s">
        <v>684</v>
      </c>
      <c r="F1086" s="20">
        <v>19.99</v>
      </c>
      <c r="G1086" s="17" t="s">
        <v>675</v>
      </c>
    </row>
    <row r="1087" ht="15.75" customHeight="1">
      <c r="A1087" s="15" t="s">
        <v>1758</v>
      </c>
      <c r="B1087" s="15" t="s">
        <v>210</v>
      </c>
      <c r="C1087" s="16">
        <v>45531.0</v>
      </c>
      <c r="D1087" s="16">
        <v>45561.0</v>
      </c>
      <c r="E1087" s="15" t="s">
        <v>684</v>
      </c>
      <c r="F1087" s="19">
        <v>19.99</v>
      </c>
      <c r="G1087" s="15" t="s">
        <v>675</v>
      </c>
    </row>
    <row r="1088" ht="15.75" customHeight="1">
      <c r="A1088" s="17" t="s">
        <v>1759</v>
      </c>
      <c r="B1088" s="17" t="s">
        <v>317</v>
      </c>
      <c r="C1088" s="18">
        <v>45532.0</v>
      </c>
      <c r="D1088" s="18">
        <v>45562.0</v>
      </c>
      <c r="E1088" s="17" t="s">
        <v>684</v>
      </c>
      <c r="F1088" s="20">
        <v>19.99</v>
      </c>
      <c r="G1088" s="17" t="s">
        <v>675</v>
      </c>
    </row>
    <row r="1089" ht="15.75" customHeight="1">
      <c r="A1089" s="15" t="s">
        <v>1760</v>
      </c>
      <c r="B1089" s="15" t="s">
        <v>327</v>
      </c>
      <c r="C1089" s="16">
        <v>45532.0</v>
      </c>
      <c r="D1089" s="16">
        <v>45539.0</v>
      </c>
      <c r="E1089" s="15" t="s">
        <v>674</v>
      </c>
      <c r="F1089" s="19">
        <v>0.0</v>
      </c>
      <c r="G1089" s="15" t="s">
        <v>675</v>
      </c>
    </row>
    <row r="1090" ht="15.75" customHeight="1">
      <c r="A1090" s="17" t="s">
        <v>1761</v>
      </c>
      <c r="B1090" s="17" t="s">
        <v>104</v>
      </c>
      <c r="C1090" s="18">
        <v>45532.0</v>
      </c>
      <c r="D1090" s="18">
        <v>45562.0</v>
      </c>
      <c r="E1090" s="17" t="s">
        <v>684</v>
      </c>
      <c r="F1090" s="20">
        <v>19.99</v>
      </c>
      <c r="G1090" s="17" t="s">
        <v>675</v>
      </c>
    </row>
    <row r="1091" ht="15.75" customHeight="1">
      <c r="A1091" s="15" t="s">
        <v>1762</v>
      </c>
      <c r="B1091" s="15" t="s">
        <v>211</v>
      </c>
      <c r="C1091" s="16">
        <v>45532.0</v>
      </c>
      <c r="D1091" s="16">
        <v>45562.0</v>
      </c>
      <c r="E1091" s="15" t="s">
        <v>684</v>
      </c>
      <c r="F1091" s="19">
        <v>19.99</v>
      </c>
      <c r="G1091" s="15" t="s">
        <v>675</v>
      </c>
    </row>
    <row r="1092" ht="15.75" customHeight="1">
      <c r="A1092" s="17" t="s">
        <v>1763</v>
      </c>
      <c r="B1092" s="17" t="s">
        <v>266</v>
      </c>
      <c r="C1092" s="18">
        <v>45532.0</v>
      </c>
      <c r="D1092" s="18">
        <v>45562.0</v>
      </c>
      <c r="E1092" s="17" t="s">
        <v>684</v>
      </c>
      <c r="F1092" s="20">
        <v>19.99</v>
      </c>
      <c r="G1092" s="17" t="s">
        <v>675</v>
      </c>
    </row>
    <row r="1093" ht="15.75" customHeight="1">
      <c r="A1093" s="15" t="s">
        <v>1764</v>
      </c>
      <c r="B1093" s="15" t="s">
        <v>267</v>
      </c>
      <c r="C1093" s="16">
        <v>45532.0</v>
      </c>
      <c r="D1093" s="16">
        <v>45562.0</v>
      </c>
      <c r="E1093" s="15" t="s">
        <v>684</v>
      </c>
      <c r="F1093" s="19">
        <v>19.99</v>
      </c>
      <c r="G1093" s="15" t="s">
        <v>675</v>
      </c>
    </row>
    <row r="1094" ht="15.75" customHeight="1">
      <c r="A1094" s="17" t="s">
        <v>1765</v>
      </c>
      <c r="B1094" s="17" t="s">
        <v>268</v>
      </c>
      <c r="C1094" s="18">
        <v>45533.0</v>
      </c>
      <c r="D1094" s="18">
        <v>45563.0</v>
      </c>
      <c r="E1094" s="17" t="s">
        <v>684</v>
      </c>
      <c r="F1094" s="20">
        <v>19.99</v>
      </c>
      <c r="G1094" s="17" t="s">
        <v>675</v>
      </c>
    </row>
    <row r="1095" ht="15.75" customHeight="1">
      <c r="A1095" s="15" t="s">
        <v>1766</v>
      </c>
      <c r="B1095" s="15" t="s">
        <v>85</v>
      </c>
      <c r="C1095" s="16">
        <v>45533.0</v>
      </c>
      <c r="D1095" s="16">
        <v>45563.0</v>
      </c>
      <c r="E1095" s="15" t="s">
        <v>684</v>
      </c>
      <c r="F1095" s="19">
        <v>19.99</v>
      </c>
      <c r="G1095" s="15" t="s">
        <v>675</v>
      </c>
    </row>
    <row r="1096" ht="15.75" customHeight="1">
      <c r="A1096" s="17" t="s">
        <v>1767</v>
      </c>
      <c r="B1096" s="17" t="s">
        <v>232</v>
      </c>
      <c r="C1096" s="18">
        <v>45533.0</v>
      </c>
      <c r="D1096" s="18">
        <v>45563.0</v>
      </c>
      <c r="E1096" s="17" t="s">
        <v>684</v>
      </c>
      <c r="F1096" s="20">
        <v>19.99</v>
      </c>
      <c r="G1096" s="17" t="s">
        <v>675</v>
      </c>
    </row>
    <row r="1097" ht="15.75" customHeight="1">
      <c r="A1097" s="15" t="s">
        <v>1768</v>
      </c>
      <c r="B1097" s="15" t="s">
        <v>142</v>
      </c>
      <c r="C1097" s="16">
        <v>45533.0</v>
      </c>
      <c r="D1097" s="16">
        <v>45563.0</v>
      </c>
      <c r="E1097" s="15" t="s">
        <v>684</v>
      </c>
      <c r="F1097" s="19">
        <v>19.99</v>
      </c>
      <c r="G1097" s="15" t="s">
        <v>675</v>
      </c>
    </row>
    <row r="1098" ht="15.75" customHeight="1">
      <c r="A1098" s="17" t="s">
        <v>1769</v>
      </c>
      <c r="B1098" s="17" t="s">
        <v>173</v>
      </c>
      <c r="C1098" s="18">
        <v>45533.0</v>
      </c>
      <c r="D1098" s="18">
        <v>45563.0</v>
      </c>
      <c r="E1098" s="17" t="s">
        <v>684</v>
      </c>
      <c r="F1098" s="20">
        <v>19.99</v>
      </c>
      <c r="G1098" s="17" t="s">
        <v>675</v>
      </c>
    </row>
    <row r="1099" ht="15.75" customHeight="1">
      <c r="A1099" s="15" t="s">
        <v>1770</v>
      </c>
      <c r="B1099" s="15" t="s">
        <v>318</v>
      </c>
      <c r="C1099" s="16">
        <v>45533.0</v>
      </c>
      <c r="D1099" s="16">
        <v>45563.0</v>
      </c>
      <c r="E1099" s="15" t="s">
        <v>684</v>
      </c>
      <c r="F1099" s="19">
        <v>19.99</v>
      </c>
      <c r="G1099" s="15" t="s">
        <v>675</v>
      </c>
    </row>
    <row r="1100" ht="15.75" customHeight="1">
      <c r="A1100" s="17" t="s">
        <v>1771</v>
      </c>
      <c r="B1100" s="17" t="s">
        <v>234</v>
      </c>
      <c r="C1100" s="18">
        <v>45533.0</v>
      </c>
      <c r="D1100" s="18">
        <v>45563.0</v>
      </c>
      <c r="E1100" s="17" t="s">
        <v>684</v>
      </c>
      <c r="F1100" s="20">
        <v>19.99</v>
      </c>
      <c r="G1100" s="17" t="s">
        <v>675</v>
      </c>
    </row>
    <row r="1101" ht="15.75" customHeight="1">
      <c r="A1101" s="15" t="s">
        <v>1772</v>
      </c>
      <c r="B1101" s="15" t="s">
        <v>174</v>
      </c>
      <c r="C1101" s="16">
        <v>45533.0</v>
      </c>
      <c r="D1101" s="16">
        <v>45563.0</v>
      </c>
      <c r="E1101" s="15" t="s">
        <v>684</v>
      </c>
      <c r="F1101" s="19">
        <v>19.99</v>
      </c>
      <c r="G1101" s="15" t="s">
        <v>675</v>
      </c>
    </row>
    <row r="1102" ht="15.75" customHeight="1">
      <c r="A1102" s="17" t="s">
        <v>1773</v>
      </c>
      <c r="B1102" s="17" t="s">
        <v>235</v>
      </c>
      <c r="C1102" s="18">
        <v>45534.0</v>
      </c>
      <c r="D1102" s="18">
        <v>45564.0</v>
      </c>
      <c r="E1102" s="17" t="s">
        <v>684</v>
      </c>
      <c r="F1102" s="20">
        <v>19.99</v>
      </c>
      <c r="G1102" s="17" t="s">
        <v>675</v>
      </c>
    </row>
    <row r="1103" ht="15.75" customHeight="1">
      <c r="A1103" s="15" t="s">
        <v>1774</v>
      </c>
      <c r="B1103" s="15" t="s">
        <v>175</v>
      </c>
      <c r="C1103" s="16">
        <v>45534.0</v>
      </c>
      <c r="D1103" s="16">
        <v>45564.0</v>
      </c>
      <c r="E1103" s="15" t="s">
        <v>684</v>
      </c>
      <c r="F1103" s="19">
        <v>19.99</v>
      </c>
      <c r="G1103" s="15" t="s">
        <v>675</v>
      </c>
    </row>
    <row r="1104" ht="15.75" customHeight="1">
      <c r="A1104" s="17" t="s">
        <v>1775</v>
      </c>
      <c r="B1104" s="17" t="s">
        <v>236</v>
      </c>
      <c r="C1104" s="18">
        <v>45534.0</v>
      </c>
      <c r="D1104" s="18">
        <v>45564.0</v>
      </c>
      <c r="E1104" s="17" t="s">
        <v>684</v>
      </c>
      <c r="F1104" s="20">
        <v>19.99</v>
      </c>
      <c r="G1104" s="17" t="s">
        <v>675</v>
      </c>
    </row>
    <row r="1105" ht="15.75" customHeight="1">
      <c r="A1105" s="15" t="s">
        <v>1776</v>
      </c>
      <c r="B1105" s="15" t="s">
        <v>328</v>
      </c>
      <c r="C1105" s="16">
        <v>45534.0</v>
      </c>
      <c r="D1105" s="16">
        <v>45541.0</v>
      </c>
      <c r="E1105" s="15" t="s">
        <v>674</v>
      </c>
      <c r="F1105" s="19">
        <v>0.0</v>
      </c>
      <c r="G1105" s="15" t="s">
        <v>675</v>
      </c>
    </row>
    <row r="1106" ht="15.75" customHeight="1">
      <c r="A1106" s="17" t="s">
        <v>1777</v>
      </c>
      <c r="B1106" s="17" t="s">
        <v>237</v>
      </c>
      <c r="C1106" s="18">
        <v>45534.0</v>
      </c>
      <c r="D1106" s="18">
        <v>45564.0</v>
      </c>
      <c r="E1106" s="17" t="s">
        <v>684</v>
      </c>
      <c r="F1106" s="20">
        <v>19.99</v>
      </c>
      <c r="G1106" s="17" t="s">
        <v>675</v>
      </c>
    </row>
    <row r="1107" ht="15.75" customHeight="1">
      <c r="A1107" s="15" t="s">
        <v>1778</v>
      </c>
      <c r="B1107" s="15" t="s">
        <v>269</v>
      </c>
      <c r="C1107" s="16">
        <v>45534.0</v>
      </c>
      <c r="D1107" s="16">
        <v>45564.0</v>
      </c>
      <c r="E1107" s="15" t="s">
        <v>684</v>
      </c>
      <c r="F1107" s="19">
        <v>19.99</v>
      </c>
      <c r="G1107" s="15" t="s">
        <v>675</v>
      </c>
    </row>
    <row r="1108" ht="15.75" customHeight="1">
      <c r="A1108" s="17" t="s">
        <v>1779</v>
      </c>
      <c r="B1108" s="17" t="s">
        <v>319</v>
      </c>
      <c r="C1108" s="18">
        <v>45534.0</v>
      </c>
      <c r="D1108" s="18">
        <v>45564.0</v>
      </c>
      <c r="E1108" s="17" t="s">
        <v>684</v>
      </c>
      <c r="F1108" s="20">
        <v>19.99</v>
      </c>
      <c r="G1108" s="17" t="s">
        <v>675</v>
      </c>
    </row>
    <row r="1109" ht="15.75" customHeight="1">
      <c r="A1109" s="15" t="s">
        <v>1780</v>
      </c>
      <c r="B1109" s="15" t="s">
        <v>143</v>
      </c>
      <c r="C1109" s="16">
        <v>45534.0</v>
      </c>
      <c r="D1109" s="16">
        <v>45564.0</v>
      </c>
      <c r="E1109" s="15" t="s">
        <v>684</v>
      </c>
      <c r="F1109" s="19">
        <v>19.99</v>
      </c>
      <c r="G1109" s="15" t="s">
        <v>675</v>
      </c>
    </row>
    <row r="1110" ht="15.75" customHeight="1">
      <c r="A1110" s="17" t="s">
        <v>1781</v>
      </c>
      <c r="B1110" s="17" t="s">
        <v>320</v>
      </c>
      <c r="C1110" s="18">
        <v>45534.0</v>
      </c>
      <c r="D1110" s="18">
        <v>45564.0</v>
      </c>
      <c r="E1110" s="17" t="s">
        <v>684</v>
      </c>
      <c r="F1110" s="20">
        <v>19.99</v>
      </c>
      <c r="G1110" s="17" t="s">
        <v>675</v>
      </c>
    </row>
    <row r="1111" ht="15.75" customHeight="1">
      <c r="A1111" s="15" t="s">
        <v>1782</v>
      </c>
      <c r="B1111" s="15" t="s">
        <v>176</v>
      </c>
      <c r="C1111" s="16">
        <v>45535.0</v>
      </c>
      <c r="D1111" s="16">
        <v>45565.0</v>
      </c>
      <c r="E1111" s="15" t="s">
        <v>684</v>
      </c>
      <c r="F1111" s="19">
        <v>19.99</v>
      </c>
      <c r="G1111" s="15" t="s">
        <v>675</v>
      </c>
    </row>
    <row r="1112" ht="15.75" customHeight="1">
      <c r="A1112" s="17" t="s">
        <v>1783</v>
      </c>
      <c r="B1112" s="17" t="s">
        <v>271</v>
      </c>
      <c r="C1112" s="18">
        <v>45535.0</v>
      </c>
      <c r="D1112" s="18">
        <v>45565.0</v>
      </c>
      <c r="E1112" s="17" t="s">
        <v>684</v>
      </c>
      <c r="F1112" s="20">
        <v>19.99</v>
      </c>
      <c r="G1112" s="17" t="s">
        <v>675</v>
      </c>
    </row>
    <row r="1113" ht="15.75" customHeight="1">
      <c r="A1113" s="15" t="s">
        <v>1784</v>
      </c>
      <c r="B1113" s="15" t="s">
        <v>177</v>
      </c>
      <c r="C1113" s="16">
        <v>45535.0</v>
      </c>
      <c r="D1113" s="16">
        <v>45565.0</v>
      </c>
      <c r="E1113" s="15" t="s">
        <v>684</v>
      </c>
      <c r="F1113" s="19">
        <v>19.99</v>
      </c>
      <c r="G1113" s="15" t="s">
        <v>675</v>
      </c>
    </row>
    <row r="1114" ht="15.75" customHeight="1">
      <c r="A1114" s="17" t="s">
        <v>1785</v>
      </c>
      <c r="B1114" s="17" t="s">
        <v>106</v>
      </c>
      <c r="C1114" s="18">
        <v>45535.0</v>
      </c>
      <c r="D1114" s="18">
        <v>45565.0</v>
      </c>
      <c r="E1114" s="17" t="s">
        <v>684</v>
      </c>
      <c r="F1114" s="20">
        <v>19.99</v>
      </c>
      <c r="G1114" s="17" t="s">
        <v>675</v>
      </c>
    </row>
    <row r="1115" ht="15.75" customHeight="1">
      <c r="A1115" s="15" t="s">
        <v>1786</v>
      </c>
      <c r="B1115" s="15" t="s">
        <v>321</v>
      </c>
      <c r="C1115" s="16">
        <v>45535.0</v>
      </c>
      <c r="D1115" s="16">
        <v>45565.0</v>
      </c>
      <c r="E1115" s="15" t="s">
        <v>684</v>
      </c>
      <c r="F1115" s="19">
        <v>19.99</v>
      </c>
      <c r="G1115" s="15" t="s">
        <v>675</v>
      </c>
    </row>
    <row r="1116" ht="15.75" customHeight="1">
      <c r="A1116" s="17" t="s">
        <v>1787</v>
      </c>
      <c r="B1116" s="17" t="s">
        <v>272</v>
      </c>
      <c r="C1116" s="18">
        <v>45535.0</v>
      </c>
      <c r="D1116" s="18">
        <v>45565.0</v>
      </c>
      <c r="E1116" s="17" t="s">
        <v>684</v>
      </c>
      <c r="F1116" s="20">
        <v>19.99</v>
      </c>
      <c r="G1116" s="17" t="s">
        <v>675</v>
      </c>
    </row>
    <row r="1117" ht="15.75" customHeight="1">
      <c r="A1117" s="15" t="s">
        <v>1788</v>
      </c>
      <c r="B1117" s="15" t="s">
        <v>179</v>
      </c>
      <c r="C1117" s="16">
        <v>45535.0</v>
      </c>
      <c r="D1117" s="16">
        <v>45565.0</v>
      </c>
      <c r="E1117" s="15" t="s">
        <v>684</v>
      </c>
      <c r="F1117" s="19">
        <v>19.99</v>
      </c>
      <c r="G1117" s="15" t="s">
        <v>675</v>
      </c>
    </row>
    <row r="1118" ht="15.75" customHeight="1">
      <c r="A1118" s="17" t="s">
        <v>1789</v>
      </c>
      <c r="B1118" s="17" t="s">
        <v>329</v>
      </c>
      <c r="C1118" s="18">
        <v>45535.0</v>
      </c>
      <c r="D1118" s="18">
        <v>45542.0</v>
      </c>
      <c r="E1118" s="17" t="s">
        <v>674</v>
      </c>
      <c r="F1118" s="20">
        <v>0.0</v>
      </c>
      <c r="G1118" s="17" t="s">
        <v>675</v>
      </c>
    </row>
    <row r="1119" ht="15.75" customHeight="1">
      <c r="A1119" s="15" t="s">
        <v>1790</v>
      </c>
      <c r="B1119" s="15" t="s">
        <v>322</v>
      </c>
      <c r="C1119" s="16">
        <v>45536.0</v>
      </c>
      <c r="D1119" s="16">
        <v>45566.0</v>
      </c>
      <c r="E1119" s="15" t="s">
        <v>684</v>
      </c>
      <c r="F1119" s="19">
        <v>19.99</v>
      </c>
      <c r="G1119" s="15" t="s">
        <v>675</v>
      </c>
    </row>
    <row r="1120" ht="15.75" customHeight="1">
      <c r="A1120" s="17" t="s">
        <v>1791</v>
      </c>
      <c r="B1120" s="17" t="s">
        <v>273</v>
      </c>
      <c r="C1120" s="18">
        <v>45536.0</v>
      </c>
      <c r="D1120" s="18">
        <v>45566.0</v>
      </c>
      <c r="E1120" s="17" t="s">
        <v>684</v>
      </c>
      <c r="F1120" s="20">
        <v>19.99</v>
      </c>
      <c r="G1120" s="17" t="s">
        <v>675</v>
      </c>
    </row>
    <row r="1121" ht="15.75" customHeight="1">
      <c r="A1121" s="15" t="s">
        <v>1792</v>
      </c>
      <c r="B1121" s="15" t="s">
        <v>108</v>
      </c>
      <c r="C1121" s="16">
        <v>45536.0</v>
      </c>
      <c r="D1121" s="16">
        <v>45566.0</v>
      </c>
      <c r="E1121" s="15" t="s">
        <v>684</v>
      </c>
      <c r="F1121" s="19">
        <v>19.99</v>
      </c>
      <c r="G1121" s="15" t="s">
        <v>675</v>
      </c>
    </row>
    <row r="1122" ht="15.75" customHeight="1">
      <c r="A1122" s="17" t="s">
        <v>1793</v>
      </c>
      <c r="B1122" s="17" t="s">
        <v>144</v>
      </c>
      <c r="C1122" s="18">
        <v>45536.0</v>
      </c>
      <c r="D1122" s="18">
        <v>45566.0</v>
      </c>
      <c r="E1122" s="17" t="s">
        <v>684</v>
      </c>
      <c r="F1122" s="20">
        <v>19.99</v>
      </c>
      <c r="G1122" s="17" t="s">
        <v>675</v>
      </c>
    </row>
    <row r="1123" ht="15.75" customHeight="1">
      <c r="A1123" s="15" t="s">
        <v>1794</v>
      </c>
      <c r="B1123" s="15" t="s">
        <v>180</v>
      </c>
      <c r="C1123" s="16">
        <v>45536.0</v>
      </c>
      <c r="D1123" s="16">
        <v>45566.0</v>
      </c>
      <c r="E1123" s="15" t="s">
        <v>684</v>
      </c>
      <c r="F1123" s="19">
        <v>19.99</v>
      </c>
      <c r="G1123" s="15" t="s">
        <v>675</v>
      </c>
    </row>
    <row r="1124" ht="15.75" customHeight="1">
      <c r="A1124" s="17" t="s">
        <v>1795</v>
      </c>
      <c r="B1124" s="17" t="s">
        <v>212</v>
      </c>
      <c r="C1124" s="18">
        <v>45536.0</v>
      </c>
      <c r="D1124" s="18">
        <v>45566.0</v>
      </c>
      <c r="E1124" s="17" t="s">
        <v>684</v>
      </c>
      <c r="F1124" s="20">
        <v>19.99</v>
      </c>
      <c r="G1124" s="17" t="s">
        <v>675</v>
      </c>
    </row>
    <row r="1125" ht="15.75" customHeight="1">
      <c r="A1125" s="15" t="s">
        <v>1796</v>
      </c>
      <c r="B1125" s="15" t="s">
        <v>109</v>
      </c>
      <c r="C1125" s="16">
        <v>45536.0</v>
      </c>
      <c r="D1125" s="16">
        <v>45566.0</v>
      </c>
      <c r="E1125" s="15" t="s">
        <v>684</v>
      </c>
      <c r="F1125" s="19">
        <v>19.99</v>
      </c>
      <c r="G1125" s="15" t="s">
        <v>675</v>
      </c>
    </row>
    <row r="1126" ht="15.75" customHeight="1">
      <c r="A1126" s="17" t="s">
        <v>1797</v>
      </c>
      <c r="B1126" s="17" t="s">
        <v>110</v>
      </c>
      <c r="C1126" s="18">
        <v>45536.0</v>
      </c>
      <c r="D1126" s="18">
        <v>45566.0</v>
      </c>
      <c r="E1126" s="17" t="s">
        <v>684</v>
      </c>
      <c r="F1126" s="20">
        <v>19.99</v>
      </c>
      <c r="G1126" s="17" t="s">
        <v>675</v>
      </c>
    </row>
    <row r="1127" ht="15.75" customHeight="1">
      <c r="A1127" s="15" t="s">
        <v>1798</v>
      </c>
      <c r="B1127" s="15" t="s">
        <v>111</v>
      </c>
      <c r="C1127" s="16">
        <v>45536.0</v>
      </c>
      <c r="D1127" s="16">
        <v>45566.0</v>
      </c>
      <c r="E1127" s="15" t="s">
        <v>684</v>
      </c>
      <c r="F1127" s="19">
        <v>19.99</v>
      </c>
      <c r="G1127" s="15" t="s">
        <v>675</v>
      </c>
    </row>
    <row r="1128" ht="15.75" customHeight="1">
      <c r="A1128" s="17" t="s">
        <v>1799</v>
      </c>
      <c r="B1128" s="17" t="s">
        <v>181</v>
      </c>
      <c r="C1128" s="18">
        <v>45537.0</v>
      </c>
      <c r="D1128" s="18">
        <v>45567.0</v>
      </c>
      <c r="E1128" s="17" t="s">
        <v>684</v>
      </c>
      <c r="F1128" s="20">
        <v>19.99</v>
      </c>
      <c r="G1128" s="17" t="s">
        <v>675</v>
      </c>
    </row>
    <row r="1129" ht="15.75" customHeight="1">
      <c r="A1129" s="15" t="s">
        <v>1800</v>
      </c>
      <c r="B1129" s="15" t="s">
        <v>238</v>
      </c>
      <c r="C1129" s="16">
        <v>45537.0</v>
      </c>
      <c r="D1129" s="16">
        <v>45567.0</v>
      </c>
      <c r="E1129" s="15" t="s">
        <v>684</v>
      </c>
      <c r="F1129" s="19">
        <v>19.99</v>
      </c>
      <c r="G1129" s="15" t="s">
        <v>675</v>
      </c>
    </row>
    <row r="1130" ht="15.75" customHeight="1">
      <c r="A1130" s="17" t="s">
        <v>1801</v>
      </c>
      <c r="B1130" s="17" t="s">
        <v>323</v>
      </c>
      <c r="C1130" s="18">
        <v>45537.0</v>
      </c>
      <c r="D1130" s="18">
        <v>45567.0</v>
      </c>
      <c r="E1130" s="17" t="s">
        <v>684</v>
      </c>
      <c r="F1130" s="20">
        <v>19.99</v>
      </c>
      <c r="G1130" s="17" t="s">
        <v>675</v>
      </c>
    </row>
    <row r="1131" ht="15.75" customHeight="1">
      <c r="A1131" s="15" t="s">
        <v>1802</v>
      </c>
      <c r="B1131" s="15" t="s">
        <v>113</v>
      </c>
      <c r="C1131" s="16">
        <v>45537.0</v>
      </c>
      <c r="D1131" s="16">
        <v>45567.0</v>
      </c>
      <c r="E1131" s="15" t="s">
        <v>684</v>
      </c>
      <c r="F1131" s="19">
        <v>19.99</v>
      </c>
      <c r="G1131" s="15" t="s">
        <v>675</v>
      </c>
    </row>
    <row r="1132" ht="15.75" customHeight="1">
      <c r="A1132" s="17" t="s">
        <v>1803</v>
      </c>
      <c r="B1132" s="17" t="s">
        <v>330</v>
      </c>
      <c r="C1132" s="18">
        <v>45537.0</v>
      </c>
      <c r="D1132" s="18">
        <v>45544.0</v>
      </c>
      <c r="E1132" s="17" t="s">
        <v>674</v>
      </c>
      <c r="F1132" s="20">
        <v>0.0</v>
      </c>
      <c r="G1132" s="17" t="s">
        <v>675</v>
      </c>
    </row>
    <row r="1133" ht="15.75" customHeight="1">
      <c r="A1133" s="15" t="s">
        <v>1804</v>
      </c>
      <c r="B1133" s="15" t="s">
        <v>324</v>
      </c>
      <c r="C1133" s="16">
        <v>45537.0</v>
      </c>
      <c r="D1133" s="16">
        <v>45567.0</v>
      </c>
      <c r="E1133" s="15" t="s">
        <v>684</v>
      </c>
      <c r="F1133" s="19">
        <v>19.99</v>
      </c>
      <c r="G1133" s="15" t="s">
        <v>675</v>
      </c>
    </row>
    <row r="1134" ht="15.75" customHeight="1">
      <c r="A1134" s="17" t="s">
        <v>1805</v>
      </c>
      <c r="B1134" s="17" t="s">
        <v>274</v>
      </c>
      <c r="C1134" s="18">
        <v>45537.0</v>
      </c>
      <c r="D1134" s="18">
        <v>45567.0</v>
      </c>
      <c r="E1134" s="17" t="s">
        <v>684</v>
      </c>
      <c r="F1134" s="20">
        <v>19.99</v>
      </c>
      <c r="G1134" s="17" t="s">
        <v>675</v>
      </c>
    </row>
    <row r="1135" ht="15.75" customHeight="1">
      <c r="A1135" s="15" t="s">
        <v>1806</v>
      </c>
      <c r="B1135" s="15" t="s">
        <v>239</v>
      </c>
      <c r="C1135" s="16">
        <v>45537.0</v>
      </c>
      <c r="D1135" s="16">
        <v>45567.0</v>
      </c>
      <c r="E1135" s="15" t="s">
        <v>684</v>
      </c>
      <c r="F1135" s="19">
        <v>19.99</v>
      </c>
      <c r="G1135" s="15" t="s">
        <v>675</v>
      </c>
    </row>
    <row r="1136" ht="15.75" customHeight="1">
      <c r="A1136" s="17" t="s">
        <v>1807</v>
      </c>
      <c r="B1136" s="17" t="s">
        <v>213</v>
      </c>
      <c r="C1136" s="18">
        <v>45538.0</v>
      </c>
      <c r="D1136" s="18">
        <v>45568.0</v>
      </c>
      <c r="E1136" s="17" t="s">
        <v>684</v>
      </c>
      <c r="F1136" s="20">
        <v>19.99</v>
      </c>
      <c r="G1136" s="17" t="s">
        <v>675</v>
      </c>
    </row>
    <row r="1137" ht="15.75" customHeight="1">
      <c r="A1137" s="15" t="s">
        <v>1808</v>
      </c>
      <c r="B1137" s="15" t="s">
        <v>331</v>
      </c>
      <c r="C1137" s="16">
        <v>45538.0</v>
      </c>
      <c r="D1137" s="16">
        <v>45545.0</v>
      </c>
      <c r="E1137" s="15" t="s">
        <v>674</v>
      </c>
      <c r="F1137" s="19">
        <v>0.0</v>
      </c>
      <c r="G1137" s="15" t="s">
        <v>675</v>
      </c>
    </row>
    <row r="1138" ht="15.75" customHeight="1">
      <c r="A1138" s="17" t="s">
        <v>1809</v>
      </c>
      <c r="B1138" s="17" t="s">
        <v>325</v>
      </c>
      <c r="C1138" s="18">
        <v>45538.0</v>
      </c>
      <c r="D1138" s="18">
        <v>45568.0</v>
      </c>
      <c r="E1138" s="17" t="s">
        <v>684</v>
      </c>
      <c r="F1138" s="20">
        <v>19.99</v>
      </c>
      <c r="G1138" s="17" t="s">
        <v>675</v>
      </c>
    </row>
    <row r="1139" ht="15.75" customHeight="1">
      <c r="A1139" s="15" t="s">
        <v>1810</v>
      </c>
      <c r="B1139" s="15" t="s">
        <v>115</v>
      </c>
      <c r="C1139" s="16">
        <v>45538.0</v>
      </c>
      <c r="D1139" s="16">
        <v>45568.0</v>
      </c>
      <c r="E1139" s="15" t="s">
        <v>684</v>
      </c>
      <c r="F1139" s="19">
        <v>19.99</v>
      </c>
      <c r="G1139" s="15" t="s">
        <v>675</v>
      </c>
    </row>
    <row r="1140" ht="15.75" customHeight="1">
      <c r="A1140" s="17" t="s">
        <v>1811</v>
      </c>
      <c r="B1140" s="17" t="s">
        <v>276</v>
      </c>
      <c r="C1140" s="18">
        <v>45538.0</v>
      </c>
      <c r="D1140" s="18">
        <v>45568.0</v>
      </c>
      <c r="E1140" s="17" t="s">
        <v>684</v>
      </c>
      <c r="F1140" s="20">
        <v>19.99</v>
      </c>
      <c r="G1140" s="17" t="s">
        <v>675</v>
      </c>
    </row>
    <row r="1141" ht="15.75" customHeight="1">
      <c r="A1141" s="15" t="s">
        <v>1812</v>
      </c>
      <c r="B1141" s="15" t="s">
        <v>326</v>
      </c>
      <c r="C1141" s="16">
        <v>45538.0</v>
      </c>
      <c r="D1141" s="16">
        <v>45568.0</v>
      </c>
      <c r="E1141" s="15" t="s">
        <v>684</v>
      </c>
      <c r="F1141" s="19">
        <v>19.99</v>
      </c>
      <c r="G1141" s="15" t="s">
        <v>675</v>
      </c>
    </row>
    <row r="1142" ht="15.75" customHeight="1">
      <c r="A1142" s="17" t="s">
        <v>1813</v>
      </c>
      <c r="B1142" s="17" t="s">
        <v>332</v>
      </c>
      <c r="C1142" s="18">
        <v>45538.0</v>
      </c>
      <c r="D1142" s="18">
        <v>45545.0</v>
      </c>
      <c r="E1142" s="17" t="s">
        <v>674</v>
      </c>
      <c r="F1142" s="20">
        <v>0.0</v>
      </c>
      <c r="G1142" s="17" t="s">
        <v>675</v>
      </c>
    </row>
    <row r="1143" ht="15.75" customHeight="1">
      <c r="A1143" s="15" t="s">
        <v>1814</v>
      </c>
      <c r="B1143" s="15" t="s">
        <v>182</v>
      </c>
      <c r="C1143" s="16">
        <v>45538.0</v>
      </c>
      <c r="D1143" s="16">
        <v>45568.0</v>
      </c>
      <c r="E1143" s="15" t="s">
        <v>684</v>
      </c>
      <c r="F1143" s="19">
        <v>19.99</v>
      </c>
      <c r="G1143" s="15" t="s">
        <v>675</v>
      </c>
    </row>
    <row r="1144" ht="15.75" customHeight="1">
      <c r="A1144" s="17" t="s">
        <v>1815</v>
      </c>
      <c r="B1144" s="17" t="s">
        <v>214</v>
      </c>
      <c r="C1144" s="18">
        <v>45538.0</v>
      </c>
      <c r="D1144" s="18">
        <v>45568.0</v>
      </c>
      <c r="E1144" s="17" t="s">
        <v>684</v>
      </c>
      <c r="F1144" s="20">
        <v>19.99</v>
      </c>
      <c r="G1144" s="17" t="s">
        <v>675</v>
      </c>
    </row>
    <row r="1145" ht="15.75" customHeight="1">
      <c r="A1145" s="15" t="s">
        <v>1816</v>
      </c>
      <c r="B1145" s="15" t="s">
        <v>277</v>
      </c>
      <c r="C1145" s="16">
        <v>45538.0</v>
      </c>
      <c r="D1145" s="16">
        <v>45568.0</v>
      </c>
      <c r="E1145" s="15" t="s">
        <v>684</v>
      </c>
      <c r="F1145" s="19">
        <v>19.99</v>
      </c>
      <c r="G1145" s="15" t="s">
        <v>675</v>
      </c>
    </row>
    <row r="1146" ht="15.75" customHeight="1">
      <c r="A1146" s="17" t="s">
        <v>1817</v>
      </c>
      <c r="B1146" s="17" t="s">
        <v>240</v>
      </c>
      <c r="C1146" s="18">
        <v>45538.0</v>
      </c>
      <c r="D1146" s="18">
        <v>45568.0</v>
      </c>
      <c r="E1146" s="17" t="s">
        <v>684</v>
      </c>
      <c r="F1146" s="20">
        <v>19.99</v>
      </c>
      <c r="G1146" s="17" t="s">
        <v>675</v>
      </c>
    </row>
    <row r="1147" ht="15.75" customHeight="1">
      <c r="A1147" s="15" t="s">
        <v>1818</v>
      </c>
      <c r="B1147" s="15" t="s">
        <v>241</v>
      </c>
      <c r="C1147" s="16">
        <v>45538.0</v>
      </c>
      <c r="D1147" s="16">
        <v>45568.0</v>
      </c>
      <c r="E1147" s="15" t="s">
        <v>684</v>
      </c>
      <c r="F1147" s="19">
        <v>19.99</v>
      </c>
      <c r="G1147" s="15" t="s">
        <v>675</v>
      </c>
    </row>
    <row r="1148" ht="15.75" customHeight="1">
      <c r="A1148" s="17" t="s">
        <v>1819</v>
      </c>
      <c r="B1148" s="17" t="s">
        <v>183</v>
      </c>
      <c r="C1148" s="18">
        <v>45539.0</v>
      </c>
      <c r="D1148" s="18">
        <v>45569.0</v>
      </c>
      <c r="E1148" s="17" t="s">
        <v>684</v>
      </c>
      <c r="F1148" s="20">
        <v>19.99</v>
      </c>
      <c r="G1148" s="17" t="s">
        <v>675</v>
      </c>
    </row>
    <row r="1149" ht="15.75" customHeight="1">
      <c r="A1149" s="15" t="s">
        <v>1820</v>
      </c>
      <c r="B1149" s="15" t="s">
        <v>146</v>
      </c>
      <c r="C1149" s="16">
        <v>45539.0</v>
      </c>
      <c r="D1149" s="16">
        <v>45569.0</v>
      </c>
      <c r="E1149" s="15" t="s">
        <v>684</v>
      </c>
      <c r="F1149" s="19">
        <v>19.99</v>
      </c>
      <c r="G1149" s="15" t="s">
        <v>675</v>
      </c>
    </row>
    <row r="1150" ht="15.75" customHeight="1">
      <c r="A1150" s="17" t="s">
        <v>1821</v>
      </c>
      <c r="B1150" s="17" t="s">
        <v>327</v>
      </c>
      <c r="C1150" s="18">
        <v>45539.0</v>
      </c>
      <c r="D1150" s="18">
        <v>45569.0</v>
      </c>
      <c r="E1150" s="17" t="s">
        <v>684</v>
      </c>
      <c r="F1150" s="20">
        <v>19.99</v>
      </c>
      <c r="G1150" s="17" t="s">
        <v>675</v>
      </c>
    </row>
    <row r="1151" ht="15.75" customHeight="1">
      <c r="A1151" s="15" t="s">
        <v>1822</v>
      </c>
      <c r="B1151" s="15" t="s">
        <v>56</v>
      </c>
      <c r="C1151" s="16">
        <v>45539.0</v>
      </c>
      <c r="D1151" s="16">
        <v>45569.0</v>
      </c>
      <c r="E1151" s="15" t="s">
        <v>684</v>
      </c>
      <c r="F1151" s="19">
        <v>19.99</v>
      </c>
      <c r="G1151" s="15" t="s">
        <v>675</v>
      </c>
    </row>
    <row r="1152" ht="15.75" customHeight="1">
      <c r="A1152" s="17" t="s">
        <v>1823</v>
      </c>
      <c r="B1152" s="17" t="s">
        <v>279</v>
      </c>
      <c r="C1152" s="18">
        <v>45539.0</v>
      </c>
      <c r="D1152" s="18">
        <v>45569.0</v>
      </c>
      <c r="E1152" s="17" t="s">
        <v>684</v>
      </c>
      <c r="F1152" s="20">
        <v>19.99</v>
      </c>
      <c r="G1152" s="17" t="s">
        <v>675</v>
      </c>
    </row>
    <row r="1153" ht="15.75" customHeight="1">
      <c r="A1153" s="15" t="s">
        <v>1824</v>
      </c>
      <c r="B1153" s="15" t="s">
        <v>333</v>
      </c>
      <c r="C1153" s="16">
        <v>45540.0</v>
      </c>
      <c r="D1153" s="16">
        <v>45547.0</v>
      </c>
      <c r="E1153" s="15" t="s">
        <v>674</v>
      </c>
      <c r="F1153" s="19">
        <v>0.0</v>
      </c>
      <c r="G1153" s="15" t="s">
        <v>675</v>
      </c>
    </row>
    <row r="1154" ht="15.75" customHeight="1">
      <c r="A1154" s="17" t="s">
        <v>1825</v>
      </c>
      <c r="B1154" s="17" t="s">
        <v>280</v>
      </c>
      <c r="C1154" s="18">
        <v>45540.0</v>
      </c>
      <c r="D1154" s="18">
        <v>45570.0</v>
      </c>
      <c r="E1154" s="17" t="s">
        <v>684</v>
      </c>
      <c r="F1154" s="20">
        <v>19.99</v>
      </c>
      <c r="G1154" s="17" t="s">
        <v>675</v>
      </c>
    </row>
    <row r="1155" ht="15.75" customHeight="1">
      <c r="A1155" s="15" t="s">
        <v>1826</v>
      </c>
      <c r="B1155" s="15" t="s">
        <v>116</v>
      </c>
      <c r="C1155" s="16">
        <v>45540.0</v>
      </c>
      <c r="D1155" s="16">
        <v>45570.0</v>
      </c>
      <c r="E1155" s="15" t="s">
        <v>684</v>
      </c>
      <c r="F1155" s="19">
        <v>19.99</v>
      </c>
      <c r="G1155" s="15" t="s">
        <v>675</v>
      </c>
    </row>
    <row r="1156" ht="15.75" customHeight="1">
      <c r="A1156" s="17" t="s">
        <v>1827</v>
      </c>
      <c r="B1156" s="17" t="s">
        <v>334</v>
      </c>
      <c r="C1156" s="18">
        <v>45540.0</v>
      </c>
      <c r="D1156" s="18">
        <v>45547.0</v>
      </c>
      <c r="E1156" s="17" t="s">
        <v>674</v>
      </c>
      <c r="F1156" s="20">
        <v>0.0</v>
      </c>
      <c r="G1156" s="17" t="s">
        <v>675</v>
      </c>
    </row>
    <row r="1157" ht="15.75" customHeight="1">
      <c r="A1157" s="15" t="s">
        <v>1828</v>
      </c>
      <c r="B1157" s="15" t="s">
        <v>215</v>
      </c>
      <c r="C1157" s="16">
        <v>45540.0</v>
      </c>
      <c r="D1157" s="16">
        <v>45570.0</v>
      </c>
      <c r="E1157" s="15" t="s">
        <v>684</v>
      </c>
      <c r="F1157" s="19">
        <v>19.99</v>
      </c>
      <c r="G1157" s="15" t="s">
        <v>675</v>
      </c>
    </row>
    <row r="1158" ht="15.75" customHeight="1">
      <c r="A1158" s="17" t="s">
        <v>1829</v>
      </c>
      <c r="B1158" s="17" t="s">
        <v>281</v>
      </c>
      <c r="C1158" s="18">
        <v>45540.0</v>
      </c>
      <c r="D1158" s="18">
        <v>45570.0</v>
      </c>
      <c r="E1158" s="17" t="s">
        <v>684</v>
      </c>
      <c r="F1158" s="20">
        <v>19.99</v>
      </c>
      <c r="G1158" s="17" t="s">
        <v>675</v>
      </c>
    </row>
    <row r="1159" ht="15.75" customHeight="1">
      <c r="A1159" s="15" t="s">
        <v>1830</v>
      </c>
      <c r="B1159" s="15" t="s">
        <v>282</v>
      </c>
      <c r="C1159" s="16">
        <v>45541.0</v>
      </c>
      <c r="D1159" s="16">
        <v>45571.0</v>
      </c>
      <c r="E1159" s="15" t="s">
        <v>684</v>
      </c>
      <c r="F1159" s="19">
        <v>19.99</v>
      </c>
      <c r="G1159" s="15" t="s">
        <v>675</v>
      </c>
    </row>
    <row r="1160" ht="15.75" customHeight="1">
      <c r="A1160" s="17" t="s">
        <v>1831</v>
      </c>
      <c r="B1160" s="17" t="s">
        <v>328</v>
      </c>
      <c r="C1160" s="18">
        <v>45541.0</v>
      </c>
      <c r="D1160" s="18">
        <v>45571.0</v>
      </c>
      <c r="E1160" s="17" t="s">
        <v>684</v>
      </c>
      <c r="F1160" s="20">
        <v>19.99</v>
      </c>
      <c r="G1160" s="17" t="s">
        <v>675</v>
      </c>
    </row>
    <row r="1161" ht="15.75" customHeight="1">
      <c r="A1161" s="15" t="s">
        <v>1832</v>
      </c>
      <c r="B1161" s="15" t="s">
        <v>90</v>
      </c>
      <c r="C1161" s="16">
        <v>45541.0</v>
      </c>
      <c r="D1161" s="16">
        <v>45571.0</v>
      </c>
      <c r="E1161" s="15" t="s">
        <v>684</v>
      </c>
      <c r="F1161" s="19">
        <v>19.99</v>
      </c>
      <c r="G1161" s="15" t="s">
        <v>675</v>
      </c>
    </row>
    <row r="1162" ht="15.75" customHeight="1">
      <c r="A1162" s="17" t="s">
        <v>1833</v>
      </c>
      <c r="B1162" s="17" t="s">
        <v>335</v>
      </c>
      <c r="C1162" s="18">
        <v>45541.0</v>
      </c>
      <c r="D1162" s="18">
        <v>45548.0</v>
      </c>
      <c r="E1162" s="17" t="s">
        <v>674</v>
      </c>
      <c r="F1162" s="20">
        <v>0.0</v>
      </c>
      <c r="G1162" s="17" t="s">
        <v>675</v>
      </c>
    </row>
    <row r="1163" ht="15.75" customHeight="1">
      <c r="A1163" s="15" t="s">
        <v>1834</v>
      </c>
      <c r="B1163" s="15" t="s">
        <v>70</v>
      </c>
      <c r="C1163" s="16">
        <v>45541.0</v>
      </c>
      <c r="D1163" s="16">
        <v>45571.0</v>
      </c>
      <c r="E1163" s="15" t="s">
        <v>684</v>
      </c>
      <c r="F1163" s="19">
        <v>19.99</v>
      </c>
      <c r="G1163" s="15" t="s">
        <v>675</v>
      </c>
    </row>
    <row r="1164" ht="15.75" customHeight="1">
      <c r="A1164" s="17" t="s">
        <v>1835</v>
      </c>
      <c r="B1164" s="17" t="s">
        <v>118</v>
      </c>
      <c r="C1164" s="18">
        <v>45542.0</v>
      </c>
      <c r="D1164" s="18">
        <v>45572.0</v>
      </c>
      <c r="E1164" s="17" t="s">
        <v>684</v>
      </c>
      <c r="F1164" s="20">
        <v>19.99</v>
      </c>
      <c r="G1164" s="17" t="s">
        <v>675</v>
      </c>
    </row>
    <row r="1165" ht="15.75" customHeight="1">
      <c r="A1165" s="15" t="s">
        <v>1836</v>
      </c>
      <c r="B1165" s="15" t="s">
        <v>186</v>
      </c>
      <c r="C1165" s="16">
        <v>45542.0</v>
      </c>
      <c r="D1165" s="16">
        <v>45572.0</v>
      </c>
      <c r="E1165" s="15" t="s">
        <v>684</v>
      </c>
      <c r="F1165" s="19">
        <v>19.99</v>
      </c>
      <c r="G1165" s="15" t="s">
        <v>675</v>
      </c>
    </row>
    <row r="1166" ht="15.75" customHeight="1">
      <c r="A1166" s="17" t="s">
        <v>1837</v>
      </c>
      <c r="B1166" s="17" t="s">
        <v>216</v>
      </c>
      <c r="C1166" s="18">
        <v>45542.0</v>
      </c>
      <c r="D1166" s="18">
        <v>45572.0</v>
      </c>
      <c r="E1166" s="17" t="s">
        <v>684</v>
      </c>
      <c r="F1166" s="20">
        <v>19.99</v>
      </c>
      <c r="G1166" s="17" t="s">
        <v>675</v>
      </c>
    </row>
    <row r="1167" ht="15.75" customHeight="1">
      <c r="A1167" s="15" t="s">
        <v>1838</v>
      </c>
      <c r="B1167" s="15" t="s">
        <v>71</v>
      </c>
      <c r="C1167" s="16">
        <v>45542.0</v>
      </c>
      <c r="D1167" s="16">
        <v>45572.0</v>
      </c>
      <c r="E1167" s="15" t="s">
        <v>684</v>
      </c>
      <c r="F1167" s="19">
        <v>19.99</v>
      </c>
      <c r="G1167" s="15" t="s">
        <v>675</v>
      </c>
    </row>
    <row r="1168" ht="15.75" customHeight="1">
      <c r="A1168" s="17" t="s">
        <v>1839</v>
      </c>
      <c r="B1168" s="17" t="s">
        <v>148</v>
      </c>
      <c r="C1168" s="18">
        <v>45542.0</v>
      </c>
      <c r="D1168" s="18">
        <v>45572.0</v>
      </c>
      <c r="E1168" s="17" t="s">
        <v>684</v>
      </c>
      <c r="F1168" s="20">
        <v>19.99</v>
      </c>
      <c r="G1168" s="17" t="s">
        <v>675</v>
      </c>
    </row>
    <row r="1169" ht="15.75" customHeight="1">
      <c r="A1169" s="15" t="s">
        <v>1840</v>
      </c>
      <c r="B1169" s="15" t="s">
        <v>187</v>
      </c>
      <c r="C1169" s="16">
        <v>45542.0</v>
      </c>
      <c r="D1169" s="16">
        <v>45572.0</v>
      </c>
      <c r="E1169" s="15" t="s">
        <v>684</v>
      </c>
      <c r="F1169" s="19">
        <v>19.99</v>
      </c>
      <c r="G1169" s="15" t="s">
        <v>675</v>
      </c>
    </row>
    <row r="1170" ht="15.75" customHeight="1">
      <c r="A1170" s="17" t="s">
        <v>1841</v>
      </c>
      <c r="B1170" s="17" t="s">
        <v>217</v>
      </c>
      <c r="C1170" s="18">
        <v>45542.0</v>
      </c>
      <c r="D1170" s="18">
        <v>45572.0</v>
      </c>
      <c r="E1170" s="17" t="s">
        <v>684</v>
      </c>
      <c r="F1170" s="20">
        <v>19.99</v>
      </c>
      <c r="G1170" s="17" t="s">
        <v>675</v>
      </c>
    </row>
    <row r="1171" ht="15.75" customHeight="1">
      <c r="A1171" s="15" t="s">
        <v>1842</v>
      </c>
      <c r="B1171" s="15" t="s">
        <v>336</v>
      </c>
      <c r="C1171" s="16">
        <v>45542.0</v>
      </c>
      <c r="D1171" s="16">
        <v>45549.0</v>
      </c>
      <c r="E1171" s="15" t="s">
        <v>674</v>
      </c>
      <c r="F1171" s="19">
        <v>0.0</v>
      </c>
      <c r="G1171" s="15" t="s">
        <v>675</v>
      </c>
    </row>
    <row r="1172" ht="15.75" customHeight="1">
      <c r="A1172" s="17" t="s">
        <v>1843</v>
      </c>
      <c r="B1172" s="17" t="s">
        <v>329</v>
      </c>
      <c r="C1172" s="18">
        <v>45542.0</v>
      </c>
      <c r="D1172" s="18">
        <v>45572.0</v>
      </c>
      <c r="E1172" s="17" t="s">
        <v>684</v>
      </c>
      <c r="F1172" s="20">
        <v>19.99</v>
      </c>
      <c r="G1172" s="17" t="s">
        <v>675</v>
      </c>
    </row>
    <row r="1173" ht="15.75" customHeight="1">
      <c r="A1173" s="15" t="s">
        <v>1844</v>
      </c>
      <c r="B1173" s="15" t="s">
        <v>218</v>
      </c>
      <c r="C1173" s="16">
        <v>45543.0</v>
      </c>
      <c r="D1173" s="16">
        <v>45573.0</v>
      </c>
      <c r="E1173" s="15" t="s">
        <v>684</v>
      </c>
      <c r="F1173" s="19">
        <v>19.99</v>
      </c>
      <c r="G1173" s="15" t="s">
        <v>675</v>
      </c>
    </row>
    <row r="1174" ht="15.75" customHeight="1">
      <c r="A1174" s="17" t="s">
        <v>1845</v>
      </c>
      <c r="B1174" s="17" t="s">
        <v>219</v>
      </c>
      <c r="C1174" s="18">
        <v>45543.0</v>
      </c>
      <c r="D1174" s="18">
        <v>45573.0</v>
      </c>
      <c r="E1174" s="17" t="s">
        <v>684</v>
      </c>
      <c r="F1174" s="20">
        <v>19.99</v>
      </c>
      <c r="G1174" s="17" t="s">
        <v>675</v>
      </c>
    </row>
    <row r="1175" ht="15.75" customHeight="1">
      <c r="A1175" s="15" t="s">
        <v>1846</v>
      </c>
      <c r="B1175" s="15" t="s">
        <v>243</v>
      </c>
      <c r="C1175" s="16">
        <v>45543.0</v>
      </c>
      <c r="D1175" s="16">
        <v>45573.0</v>
      </c>
      <c r="E1175" s="15" t="s">
        <v>684</v>
      </c>
      <c r="F1175" s="19">
        <v>19.99</v>
      </c>
      <c r="G1175" s="15" t="s">
        <v>675</v>
      </c>
    </row>
    <row r="1176" ht="15.75" customHeight="1">
      <c r="A1176" s="17" t="s">
        <v>1847</v>
      </c>
      <c r="B1176" s="17" t="s">
        <v>283</v>
      </c>
      <c r="C1176" s="18">
        <v>45543.0</v>
      </c>
      <c r="D1176" s="18">
        <v>45573.0</v>
      </c>
      <c r="E1176" s="17" t="s">
        <v>684</v>
      </c>
      <c r="F1176" s="20">
        <v>19.99</v>
      </c>
      <c r="G1176" s="17" t="s">
        <v>675</v>
      </c>
    </row>
    <row r="1177" ht="15.75" customHeight="1">
      <c r="A1177" s="15" t="s">
        <v>1848</v>
      </c>
      <c r="B1177" s="15" t="s">
        <v>149</v>
      </c>
      <c r="C1177" s="16">
        <v>45543.0</v>
      </c>
      <c r="D1177" s="16">
        <v>45573.0</v>
      </c>
      <c r="E1177" s="15" t="s">
        <v>684</v>
      </c>
      <c r="F1177" s="19">
        <v>19.99</v>
      </c>
      <c r="G1177" s="15" t="s">
        <v>675</v>
      </c>
    </row>
    <row r="1178" ht="15.75" customHeight="1">
      <c r="A1178" s="17" t="s">
        <v>1849</v>
      </c>
      <c r="B1178" s="17" t="s">
        <v>284</v>
      </c>
      <c r="C1178" s="18">
        <v>45543.0</v>
      </c>
      <c r="D1178" s="18">
        <v>45573.0</v>
      </c>
      <c r="E1178" s="17" t="s">
        <v>684</v>
      </c>
      <c r="F1178" s="20">
        <v>19.99</v>
      </c>
      <c r="G1178" s="17" t="s">
        <v>675</v>
      </c>
    </row>
    <row r="1179" ht="15.75" customHeight="1">
      <c r="A1179" s="15" t="s">
        <v>1850</v>
      </c>
      <c r="B1179" s="15" t="s">
        <v>119</v>
      </c>
      <c r="C1179" s="16">
        <v>45543.0</v>
      </c>
      <c r="D1179" s="16">
        <v>45573.0</v>
      </c>
      <c r="E1179" s="15" t="s">
        <v>684</v>
      </c>
      <c r="F1179" s="19">
        <v>19.99</v>
      </c>
      <c r="G1179" s="15" t="s">
        <v>675</v>
      </c>
    </row>
    <row r="1180" ht="15.75" customHeight="1">
      <c r="A1180" s="17" t="s">
        <v>1851</v>
      </c>
      <c r="B1180" s="17" t="s">
        <v>285</v>
      </c>
      <c r="C1180" s="18">
        <v>45543.0</v>
      </c>
      <c r="D1180" s="18">
        <v>45573.0</v>
      </c>
      <c r="E1180" s="17" t="s">
        <v>684</v>
      </c>
      <c r="F1180" s="20">
        <v>19.99</v>
      </c>
      <c r="G1180" s="17" t="s">
        <v>675</v>
      </c>
    </row>
    <row r="1181" ht="15.75" customHeight="1">
      <c r="A1181" s="15" t="s">
        <v>1852</v>
      </c>
      <c r="B1181" s="15" t="s">
        <v>286</v>
      </c>
      <c r="C1181" s="16">
        <v>45544.0</v>
      </c>
      <c r="D1181" s="16">
        <v>45574.0</v>
      </c>
      <c r="E1181" s="15" t="s">
        <v>684</v>
      </c>
      <c r="F1181" s="19">
        <v>19.99</v>
      </c>
      <c r="G1181" s="15" t="s">
        <v>675</v>
      </c>
    </row>
    <row r="1182" ht="15.75" customHeight="1">
      <c r="A1182" s="17" t="s">
        <v>1853</v>
      </c>
      <c r="B1182" s="17" t="s">
        <v>244</v>
      </c>
      <c r="C1182" s="18">
        <v>45544.0</v>
      </c>
      <c r="D1182" s="18">
        <v>45574.0</v>
      </c>
      <c r="E1182" s="17" t="s">
        <v>684</v>
      </c>
      <c r="F1182" s="20">
        <v>19.99</v>
      </c>
      <c r="G1182" s="17" t="s">
        <v>675</v>
      </c>
    </row>
    <row r="1183" ht="15.75" customHeight="1">
      <c r="A1183" s="15" t="s">
        <v>1854</v>
      </c>
      <c r="B1183" s="15" t="s">
        <v>287</v>
      </c>
      <c r="C1183" s="16">
        <v>45544.0</v>
      </c>
      <c r="D1183" s="16">
        <v>45574.0</v>
      </c>
      <c r="E1183" s="15" t="s">
        <v>684</v>
      </c>
      <c r="F1183" s="19">
        <v>19.99</v>
      </c>
      <c r="G1183" s="15" t="s">
        <v>675</v>
      </c>
    </row>
    <row r="1184" ht="15.75" customHeight="1">
      <c r="A1184" s="17" t="s">
        <v>1855</v>
      </c>
      <c r="B1184" s="17" t="s">
        <v>120</v>
      </c>
      <c r="C1184" s="18">
        <v>45544.0</v>
      </c>
      <c r="D1184" s="18">
        <v>45574.0</v>
      </c>
      <c r="E1184" s="17" t="s">
        <v>684</v>
      </c>
      <c r="F1184" s="20">
        <v>19.99</v>
      </c>
      <c r="G1184" s="17" t="s">
        <v>675</v>
      </c>
    </row>
    <row r="1185" ht="15.75" customHeight="1">
      <c r="A1185" s="15" t="s">
        <v>1856</v>
      </c>
      <c r="B1185" s="15" t="s">
        <v>245</v>
      </c>
      <c r="C1185" s="16">
        <v>45544.0</v>
      </c>
      <c r="D1185" s="16">
        <v>45574.0</v>
      </c>
      <c r="E1185" s="15" t="s">
        <v>684</v>
      </c>
      <c r="F1185" s="19">
        <v>19.99</v>
      </c>
      <c r="G1185" s="15" t="s">
        <v>675</v>
      </c>
    </row>
    <row r="1186" ht="15.75" customHeight="1">
      <c r="A1186" s="17" t="s">
        <v>1857</v>
      </c>
      <c r="B1186" s="17" t="s">
        <v>330</v>
      </c>
      <c r="C1186" s="18">
        <v>45544.0</v>
      </c>
      <c r="D1186" s="18">
        <v>45574.0</v>
      </c>
      <c r="E1186" s="17" t="s">
        <v>684</v>
      </c>
      <c r="F1186" s="20">
        <v>19.99</v>
      </c>
      <c r="G1186" s="17" t="s">
        <v>675</v>
      </c>
    </row>
    <row r="1187" ht="15.75" customHeight="1">
      <c r="A1187" s="15" t="s">
        <v>1858</v>
      </c>
      <c r="B1187" s="15" t="s">
        <v>220</v>
      </c>
      <c r="C1187" s="16">
        <v>45544.0</v>
      </c>
      <c r="D1187" s="16">
        <v>45574.0</v>
      </c>
      <c r="E1187" s="15" t="s">
        <v>684</v>
      </c>
      <c r="F1187" s="19">
        <v>19.99</v>
      </c>
      <c r="G1187" s="15" t="s">
        <v>675</v>
      </c>
    </row>
    <row r="1188" ht="15.75" customHeight="1">
      <c r="A1188" s="17" t="s">
        <v>1859</v>
      </c>
      <c r="B1188" s="17" t="s">
        <v>289</v>
      </c>
      <c r="C1188" s="18">
        <v>45544.0</v>
      </c>
      <c r="D1188" s="18">
        <v>45574.0</v>
      </c>
      <c r="E1188" s="17" t="s">
        <v>684</v>
      </c>
      <c r="F1188" s="20">
        <v>19.99</v>
      </c>
      <c r="G1188" s="17" t="s">
        <v>675</v>
      </c>
    </row>
    <row r="1189" ht="15.75" customHeight="1">
      <c r="A1189" s="15" t="s">
        <v>1860</v>
      </c>
      <c r="B1189" s="15" t="s">
        <v>337</v>
      </c>
      <c r="C1189" s="16">
        <v>45544.0</v>
      </c>
      <c r="D1189" s="16">
        <v>45551.0</v>
      </c>
      <c r="E1189" s="15" t="s">
        <v>674</v>
      </c>
      <c r="F1189" s="19">
        <v>0.0</v>
      </c>
      <c r="G1189" s="15" t="s">
        <v>675</v>
      </c>
    </row>
    <row r="1190" ht="15.75" customHeight="1">
      <c r="A1190" s="17" t="s">
        <v>1861</v>
      </c>
      <c r="B1190" s="17" t="s">
        <v>246</v>
      </c>
      <c r="C1190" s="18">
        <v>45545.0</v>
      </c>
      <c r="D1190" s="18">
        <v>45575.0</v>
      </c>
      <c r="E1190" s="17" t="s">
        <v>684</v>
      </c>
      <c r="F1190" s="20">
        <v>19.99</v>
      </c>
      <c r="G1190" s="17" t="s">
        <v>675</v>
      </c>
    </row>
    <row r="1191" ht="15.75" customHeight="1">
      <c r="A1191" s="15" t="s">
        <v>1862</v>
      </c>
      <c r="B1191" s="15" t="s">
        <v>338</v>
      </c>
      <c r="C1191" s="16">
        <v>45545.0</v>
      </c>
      <c r="D1191" s="16">
        <v>45552.0</v>
      </c>
      <c r="E1191" s="15" t="s">
        <v>674</v>
      </c>
      <c r="F1191" s="19">
        <v>0.0</v>
      </c>
      <c r="G1191" s="15" t="s">
        <v>675</v>
      </c>
    </row>
    <row r="1192" ht="15.75" customHeight="1">
      <c r="A1192" s="17" t="s">
        <v>1863</v>
      </c>
      <c r="B1192" s="17" t="s">
        <v>331</v>
      </c>
      <c r="C1192" s="18">
        <v>45545.0</v>
      </c>
      <c r="D1192" s="18">
        <v>45575.0</v>
      </c>
      <c r="E1192" s="17" t="s">
        <v>684</v>
      </c>
      <c r="F1192" s="20">
        <v>19.99</v>
      </c>
      <c r="G1192" s="17" t="s">
        <v>675</v>
      </c>
    </row>
    <row r="1193" ht="15.75" customHeight="1">
      <c r="A1193" s="15" t="s">
        <v>1864</v>
      </c>
      <c r="B1193" s="15" t="s">
        <v>222</v>
      </c>
      <c r="C1193" s="16">
        <v>45545.0</v>
      </c>
      <c r="D1193" s="16">
        <v>45575.0</v>
      </c>
      <c r="E1193" s="15" t="s">
        <v>684</v>
      </c>
      <c r="F1193" s="19">
        <v>19.99</v>
      </c>
      <c r="G1193" s="15" t="s">
        <v>675</v>
      </c>
    </row>
    <row r="1194" ht="15.75" customHeight="1">
      <c r="A1194" s="17" t="s">
        <v>1865</v>
      </c>
      <c r="B1194" s="17" t="s">
        <v>332</v>
      </c>
      <c r="C1194" s="18">
        <v>45545.0</v>
      </c>
      <c r="D1194" s="18">
        <v>45575.0</v>
      </c>
      <c r="E1194" s="17" t="s">
        <v>684</v>
      </c>
      <c r="F1194" s="20">
        <v>19.99</v>
      </c>
      <c r="G1194" s="17" t="s">
        <v>675</v>
      </c>
    </row>
    <row r="1195" ht="15.75" customHeight="1">
      <c r="A1195" s="15" t="s">
        <v>1866</v>
      </c>
      <c r="B1195" s="15" t="s">
        <v>152</v>
      </c>
      <c r="C1195" s="16">
        <v>45545.0</v>
      </c>
      <c r="D1195" s="16">
        <v>45575.0</v>
      </c>
      <c r="E1195" s="15" t="s">
        <v>684</v>
      </c>
      <c r="F1195" s="19">
        <v>19.99</v>
      </c>
      <c r="G1195" s="15" t="s">
        <v>675</v>
      </c>
    </row>
    <row r="1196" ht="15.75" customHeight="1">
      <c r="A1196" s="17" t="s">
        <v>1867</v>
      </c>
      <c r="B1196" s="17" t="s">
        <v>189</v>
      </c>
      <c r="C1196" s="18">
        <v>45545.0</v>
      </c>
      <c r="D1196" s="18">
        <v>45575.0</v>
      </c>
      <c r="E1196" s="17" t="s">
        <v>684</v>
      </c>
      <c r="F1196" s="20">
        <v>19.99</v>
      </c>
      <c r="G1196" s="17" t="s">
        <v>675</v>
      </c>
    </row>
    <row r="1197" ht="15.75" customHeight="1">
      <c r="A1197" s="15" t="s">
        <v>1868</v>
      </c>
      <c r="B1197" s="15" t="s">
        <v>91</v>
      </c>
      <c r="C1197" s="16">
        <v>45545.0</v>
      </c>
      <c r="D1197" s="16">
        <v>45575.0</v>
      </c>
      <c r="E1197" s="15" t="s">
        <v>684</v>
      </c>
      <c r="F1197" s="19">
        <v>19.99</v>
      </c>
      <c r="G1197" s="15" t="s">
        <v>675</v>
      </c>
    </row>
    <row r="1198" ht="15.75" customHeight="1">
      <c r="A1198" s="17" t="s">
        <v>1869</v>
      </c>
      <c r="B1198" s="17" t="s">
        <v>247</v>
      </c>
      <c r="C1198" s="18">
        <v>45546.0</v>
      </c>
      <c r="D1198" s="18">
        <v>45576.0</v>
      </c>
      <c r="E1198" s="17" t="s">
        <v>684</v>
      </c>
      <c r="F1198" s="20">
        <v>19.99</v>
      </c>
      <c r="G1198" s="17" t="s">
        <v>675</v>
      </c>
    </row>
    <row r="1199" ht="15.75" customHeight="1">
      <c r="A1199" s="15" t="s">
        <v>1870</v>
      </c>
      <c r="B1199" s="15" t="s">
        <v>92</v>
      </c>
      <c r="C1199" s="16">
        <v>45546.0</v>
      </c>
      <c r="D1199" s="16">
        <v>45576.0</v>
      </c>
      <c r="E1199" s="15" t="s">
        <v>684</v>
      </c>
      <c r="F1199" s="19">
        <v>19.99</v>
      </c>
      <c r="G1199" s="15" t="s">
        <v>675</v>
      </c>
    </row>
    <row r="1200" ht="15.75" customHeight="1">
      <c r="A1200" s="17" t="s">
        <v>1871</v>
      </c>
      <c r="B1200" s="17" t="s">
        <v>339</v>
      </c>
      <c r="C1200" s="18">
        <v>45546.0</v>
      </c>
      <c r="D1200" s="18">
        <v>45553.0</v>
      </c>
      <c r="E1200" s="17" t="s">
        <v>674</v>
      </c>
      <c r="F1200" s="20">
        <v>0.0</v>
      </c>
      <c r="G1200" s="17" t="s">
        <v>675</v>
      </c>
    </row>
    <row r="1201" ht="15.75" customHeight="1">
      <c r="A1201" s="15" t="s">
        <v>1872</v>
      </c>
      <c r="B1201" s="15" t="s">
        <v>190</v>
      </c>
      <c r="C1201" s="16">
        <v>45546.0</v>
      </c>
      <c r="D1201" s="16">
        <v>45576.0</v>
      </c>
      <c r="E1201" s="15" t="s">
        <v>684</v>
      </c>
      <c r="F1201" s="19">
        <v>19.99</v>
      </c>
      <c r="G1201" s="15" t="s">
        <v>675</v>
      </c>
    </row>
    <row r="1202" ht="15.75" customHeight="1">
      <c r="A1202" s="17" t="s">
        <v>1873</v>
      </c>
      <c r="B1202" s="17" t="s">
        <v>290</v>
      </c>
      <c r="C1202" s="18">
        <v>45546.0</v>
      </c>
      <c r="D1202" s="18">
        <v>45576.0</v>
      </c>
      <c r="E1202" s="17" t="s">
        <v>684</v>
      </c>
      <c r="F1202" s="20">
        <v>19.99</v>
      </c>
      <c r="G1202" s="17" t="s">
        <v>675</v>
      </c>
    </row>
    <row r="1203" ht="15.75" customHeight="1">
      <c r="A1203" s="15" t="s">
        <v>1874</v>
      </c>
      <c r="B1203" s="15" t="s">
        <v>154</v>
      </c>
      <c r="C1203" s="16">
        <v>45546.0</v>
      </c>
      <c r="D1203" s="16">
        <v>45576.0</v>
      </c>
      <c r="E1203" s="15" t="s">
        <v>684</v>
      </c>
      <c r="F1203" s="19">
        <v>19.99</v>
      </c>
      <c r="G1203" s="15" t="s">
        <v>675</v>
      </c>
    </row>
    <row r="1204" ht="15.75" customHeight="1">
      <c r="A1204" s="17" t="s">
        <v>1875</v>
      </c>
      <c r="B1204" s="17" t="s">
        <v>291</v>
      </c>
      <c r="C1204" s="18">
        <v>45546.0</v>
      </c>
      <c r="D1204" s="18">
        <v>45576.0</v>
      </c>
      <c r="E1204" s="17" t="s">
        <v>684</v>
      </c>
      <c r="F1204" s="20">
        <v>19.99</v>
      </c>
      <c r="G1204" s="17" t="s">
        <v>675</v>
      </c>
    </row>
    <row r="1205" ht="15.75" customHeight="1">
      <c r="A1205" s="15" t="s">
        <v>1876</v>
      </c>
      <c r="B1205" s="15" t="s">
        <v>292</v>
      </c>
      <c r="C1205" s="16">
        <v>45547.0</v>
      </c>
      <c r="D1205" s="16">
        <v>45577.0</v>
      </c>
      <c r="E1205" s="15" t="s">
        <v>684</v>
      </c>
      <c r="F1205" s="19">
        <v>19.99</v>
      </c>
      <c r="G1205" s="15" t="s">
        <v>675</v>
      </c>
    </row>
    <row r="1206" ht="15.75" customHeight="1">
      <c r="A1206" s="17" t="s">
        <v>1877</v>
      </c>
      <c r="B1206" s="17" t="s">
        <v>72</v>
      </c>
      <c r="C1206" s="18">
        <v>45547.0</v>
      </c>
      <c r="D1206" s="18">
        <v>45577.0</v>
      </c>
      <c r="E1206" s="17" t="s">
        <v>684</v>
      </c>
      <c r="F1206" s="20">
        <v>19.99</v>
      </c>
      <c r="G1206" s="17" t="s">
        <v>675</v>
      </c>
    </row>
    <row r="1207" ht="15.75" customHeight="1">
      <c r="A1207" s="15" t="s">
        <v>1878</v>
      </c>
      <c r="B1207" s="15" t="s">
        <v>123</v>
      </c>
      <c r="C1207" s="16">
        <v>45547.0</v>
      </c>
      <c r="D1207" s="16">
        <v>45577.0</v>
      </c>
      <c r="E1207" s="15" t="s">
        <v>684</v>
      </c>
      <c r="F1207" s="19">
        <v>19.99</v>
      </c>
      <c r="G1207" s="15" t="s">
        <v>675</v>
      </c>
    </row>
    <row r="1208" ht="15.75" customHeight="1">
      <c r="A1208" s="17" t="s">
        <v>1879</v>
      </c>
      <c r="B1208" s="17" t="s">
        <v>340</v>
      </c>
      <c r="C1208" s="18">
        <v>45547.0</v>
      </c>
      <c r="D1208" s="18">
        <v>45554.0</v>
      </c>
      <c r="E1208" s="17" t="s">
        <v>674</v>
      </c>
      <c r="F1208" s="20">
        <v>0.0</v>
      </c>
      <c r="G1208" s="17" t="s">
        <v>675</v>
      </c>
    </row>
    <row r="1209" ht="15.75" customHeight="1">
      <c r="A1209" s="15" t="s">
        <v>1880</v>
      </c>
      <c r="B1209" s="15" t="s">
        <v>293</v>
      </c>
      <c r="C1209" s="16">
        <v>45547.0</v>
      </c>
      <c r="D1209" s="16">
        <v>45577.0</v>
      </c>
      <c r="E1209" s="15" t="s">
        <v>684</v>
      </c>
      <c r="F1209" s="19">
        <v>19.99</v>
      </c>
      <c r="G1209" s="15" t="s">
        <v>675</v>
      </c>
    </row>
    <row r="1210" ht="15.75" customHeight="1">
      <c r="A1210" s="17" t="s">
        <v>1881</v>
      </c>
      <c r="B1210" s="17" t="s">
        <v>333</v>
      </c>
      <c r="C1210" s="18">
        <v>45547.0</v>
      </c>
      <c r="D1210" s="18">
        <v>45577.0</v>
      </c>
      <c r="E1210" s="17" t="s">
        <v>684</v>
      </c>
      <c r="F1210" s="20">
        <v>19.99</v>
      </c>
      <c r="G1210" s="17" t="s">
        <v>675</v>
      </c>
    </row>
    <row r="1211" ht="15.75" customHeight="1">
      <c r="A1211" s="15" t="s">
        <v>1882</v>
      </c>
      <c r="B1211" s="15" t="s">
        <v>341</v>
      </c>
      <c r="C1211" s="16">
        <v>45547.0</v>
      </c>
      <c r="D1211" s="16">
        <v>45554.0</v>
      </c>
      <c r="E1211" s="15" t="s">
        <v>674</v>
      </c>
      <c r="F1211" s="19">
        <v>0.0</v>
      </c>
      <c r="G1211" s="15" t="s">
        <v>675</v>
      </c>
    </row>
    <row r="1212" ht="15.75" customHeight="1">
      <c r="A1212" s="17" t="s">
        <v>1883</v>
      </c>
      <c r="B1212" s="17" t="s">
        <v>334</v>
      </c>
      <c r="C1212" s="18">
        <v>45547.0</v>
      </c>
      <c r="D1212" s="18">
        <v>45577.0</v>
      </c>
      <c r="E1212" s="17" t="s">
        <v>684</v>
      </c>
      <c r="F1212" s="20">
        <v>19.99</v>
      </c>
      <c r="G1212" s="17" t="s">
        <v>675</v>
      </c>
    </row>
    <row r="1213" ht="15.75" customHeight="1">
      <c r="A1213" s="15" t="s">
        <v>1884</v>
      </c>
      <c r="B1213" s="15" t="s">
        <v>191</v>
      </c>
      <c r="C1213" s="16">
        <v>45547.0</v>
      </c>
      <c r="D1213" s="16">
        <v>45577.0</v>
      </c>
      <c r="E1213" s="15" t="s">
        <v>684</v>
      </c>
      <c r="F1213" s="19">
        <v>19.99</v>
      </c>
      <c r="G1213" s="15" t="s">
        <v>675</v>
      </c>
    </row>
    <row r="1214" ht="15.75" customHeight="1">
      <c r="A1214" s="17" t="s">
        <v>1885</v>
      </c>
      <c r="B1214" s="17" t="s">
        <v>73</v>
      </c>
      <c r="C1214" s="18">
        <v>45547.0</v>
      </c>
      <c r="D1214" s="18">
        <v>45577.0</v>
      </c>
      <c r="E1214" s="17" t="s">
        <v>684</v>
      </c>
      <c r="F1214" s="20">
        <v>19.99</v>
      </c>
      <c r="G1214" s="17" t="s">
        <v>675</v>
      </c>
    </row>
    <row r="1215" ht="15.75" customHeight="1">
      <c r="A1215" s="15" t="s">
        <v>1886</v>
      </c>
      <c r="B1215" s="15" t="s">
        <v>342</v>
      </c>
      <c r="C1215" s="16">
        <v>45547.0</v>
      </c>
      <c r="D1215" s="16">
        <v>45554.0</v>
      </c>
      <c r="E1215" s="15" t="s">
        <v>674</v>
      </c>
      <c r="F1215" s="19">
        <v>0.0</v>
      </c>
      <c r="G1215" s="15" t="s">
        <v>675</v>
      </c>
    </row>
    <row r="1216" ht="15.75" customHeight="1">
      <c r="A1216" s="17" t="s">
        <v>1887</v>
      </c>
      <c r="B1216" s="17" t="s">
        <v>343</v>
      </c>
      <c r="C1216" s="18">
        <v>45547.0</v>
      </c>
      <c r="D1216" s="18">
        <v>45554.0</v>
      </c>
      <c r="E1216" s="17" t="s">
        <v>674</v>
      </c>
      <c r="F1216" s="20">
        <v>0.0</v>
      </c>
      <c r="G1216" s="17" t="s">
        <v>675</v>
      </c>
    </row>
    <row r="1217" ht="15.75" customHeight="1">
      <c r="A1217" s="15" t="s">
        <v>1888</v>
      </c>
      <c r="B1217" s="15" t="s">
        <v>74</v>
      </c>
      <c r="C1217" s="16">
        <v>45547.0</v>
      </c>
      <c r="D1217" s="16">
        <v>45577.0</v>
      </c>
      <c r="E1217" s="15" t="s">
        <v>684</v>
      </c>
      <c r="F1217" s="19">
        <v>19.99</v>
      </c>
      <c r="G1217" s="15" t="s">
        <v>675</v>
      </c>
    </row>
    <row r="1218" ht="15.75" customHeight="1">
      <c r="A1218" s="17" t="s">
        <v>1889</v>
      </c>
      <c r="B1218" s="17" t="s">
        <v>335</v>
      </c>
      <c r="C1218" s="18">
        <v>45548.0</v>
      </c>
      <c r="D1218" s="18">
        <v>45578.0</v>
      </c>
      <c r="E1218" s="17" t="s">
        <v>684</v>
      </c>
      <c r="F1218" s="20">
        <v>19.99</v>
      </c>
      <c r="G1218" s="17" t="s">
        <v>675</v>
      </c>
    </row>
    <row r="1219" ht="15.75" customHeight="1">
      <c r="A1219" s="15" t="s">
        <v>1890</v>
      </c>
      <c r="B1219" s="15" t="s">
        <v>156</v>
      </c>
      <c r="C1219" s="16">
        <v>45548.0</v>
      </c>
      <c r="D1219" s="16">
        <v>45578.0</v>
      </c>
      <c r="E1219" s="15" t="s">
        <v>684</v>
      </c>
      <c r="F1219" s="19">
        <v>19.99</v>
      </c>
      <c r="G1219" s="15" t="s">
        <v>675</v>
      </c>
    </row>
    <row r="1220" ht="15.75" customHeight="1">
      <c r="A1220" s="17" t="s">
        <v>1891</v>
      </c>
      <c r="B1220" s="17" t="s">
        <v>192</v>
      </c>
      <c r="C1220" s="18">
        <v>45549.0</v>
      </c>
      <c r="D1220" s="18">
        <v>45579.0</v>
      </c>
      <c r="E1220" s="17" t="s">
        <v>684</v>
      </c>
      <c r="F1220" s="20">
        <v>19.99</v>
      </c>
      <c r="G1220" s="17" t="s">
        <v>675</v>
      </c>
    </row>
    <row r="1221" ht="15.75" customHeight="1">
      <c r="A1221" s="15" t="s">
        <v>1892</v>
      </c>
      <c r="B1221" s="15" t="s">
        <v>294</v>
      </c>
      <c r="C1221" s="16">
        <v>45549.0</v>
      </c>
      <c r="D1221" s="16">
        <v>45579.0</v>
      </c>
      <c r="E1221" s="15" t="s">
        <v>684</v>
      </c>
      <c r="F1221" s="19">
        <v>19.99</v>
      </c>
      <c r="G1221" s="15" t="s">
        <v>675</v>
      </c>
    </row>
    <row r="1222" ht="15.75" customHeight="1">
      <c r="A1222" s="17" t="s">
        <v>1893</v>
      </c>
      <c r="B1222" s="17" t="s">
        <v>249</v>
      </c>
      <c r="C1222" s="18">
        <v>45549.0</v>
      </c>
      <c r="D1222" s="18">
        <v>45579.0</v>
      </c>
      <c r="E1222" s="17" t="s">
        <v>684</v>
      </c>
      <c r="F1222" s="20">
        <v>19.99</v>
      </c>
      <c r="G1222" s="17" t="s">
        <v>675</v>
      </c>
    </row>
    <row r="1223" ht="15.75" customHeight="1">
      <c r="A1223" s="15" t="s">
        <v>1894</v>
      </c>
      <c r="B1223" s="15" t="s">
        <v>250</v>
      </c>
      <c r="C1223" s="16">
        <v>45549.0</v>
      </c>
      <c r="D1223" s="16">
        <v>45579.0</v>
      </c>
      <c r="E1223" s="15" t="s">
        <v>684</v>
      </c>
      <c r="F1223" s="19">
        <v>19.99</v>
      </c>
      <c r="G1223" s="15" t="s">
        <v>675</v>
      </c>
    </row>
    <row r="1224" ht="15.75" customHeight="1">
      <c r="A1224" s="17" t="s">
        <v>1895</v>
      </c>
      <c r="B1224" s="17" t="s">
        <v>124</v>
      </c>
      <c r="C1224" s="18">
        <v>45549.0</v>
      </c>
      <c r="D1224" s="18">
        <v>45579.0</v>
      </c>
      <c r="E1224" s="17" t="s">
        <v>684</v>
      </c>
      <c r="F1224" s="20">
        <v>19.99</v>
      </c>
      <c r="G1224" s="17" t="s">
        <v>675</v>
      </c>
    </row>
    <row r="1225" ht="15.75" customHeight="1">
      <c r="A1225" s="15" t="s">
        <v>1896</v>
      </c>
      <c r="B1225" s="15" t="s">
        <v>296</v>
      </c>
      <c r="C1225" s="16">
        <v>45549.0</v>
      </c>
      <c r="D1225" s="16">
        <v>45579.0</v>
      </c>
      <c r="E1225" s="15" t="s">
        <v>684</v>
      </c>
      <c r="F1225" s="19">
        <v>19.99</v>
      </c>
      <c r="G1225" s="15" t="s">
        <v>675</v>
      </c>
    </row>
    <row r="1226" ht="15.75" customHeight="1">
      <c r="A1226" s="17" t="s">
        <v>1897</v>
      </c>
      <c r="B1226" s="17" t="s">
        <v>251</v>
      </c>
      <c r="C1226" s="18">
        <v>45549.0</v>
      </c>
      <c r="D1226" s="18">
        <v>45579.0</v>
      </c>
      <c r="E1226" s="17" t="s">
        <v>684</v>
      </c>
      <c r="F1226" s="20">
        <v>19.99</v>
      </c>
      <c r="G1226" s="17" t="s">
        <v>675</v>
      </c>
    </row>
    <row r="1227" ht="15.75" customHeight="1">
      <c r="A1227" s="15" t="s">
        <v>1898</v>
      </c>
      <c r="B1227" s="15" t="s">
        <v>336</v>
      </c>
      <c r="C1227" s="16">
        <v>45549.0</v>
      </c>
      <c r="D1227" s="16">
        <v>45579.0</v>
      </c>
      <c r="E1227" s="15" t="s">
        <v>684</v>
      </c>
      <c r="F1227" s="19">
        <v>19.99</v>
      </c>
      <c r="G1227" s="15" t="s">
        <v>675</v>
      </c>
    </row>
    <row r="1228" ht="15.75" customHeight="1">
      <c r="A1228" s="17" t="s">
        <v>1899</v>
      </c>
      <c r="B1228" s="17" t="s">
        <v>157</v>
      </c>
      <c r="C1228" s="18">
        <v>45549.0</v>
      </c>
      <c r="D1228" s="18">
        <v>45579.0</v>
      </c>
      <c r="E1228" s="17" t="s">
        <v>684</v>
      </c>
      <c r="F1228" s="20">
        <v>19.99</v>
      </c>
      <c r="G1228" s="17" t="s">
        <v>675</v>
      </c>
    </row>
    <row r="1229" ht="15.75" customHeight="1">
      <c r="A1229" s="15" t="s">
        <v>1900</v>
      </c>
      <c r="B1229" s="15" t="s">
        <v>96</v>
      </c>
      <c r="C1229" s="16">
        <v>45550.0</v>
      </c>
      <c r="D1229" s="16">
        <v>45580.0</v>
      </c>
      <c r="E1229" s="15" t="s">
        <v>684</v>
      </c>
      <c r="F1229" s="19">
        <v>19.99</v>
      </c>
      <c r="G1229" s="15" t="s">
        <v>675</v>
      </c>
    </row>
    <row r="1230" ht="15.75" customHeight="1">
      <c r="A1230" s="17" t="s">
        <v>1901</v>
      </c>
      <c r="B1230" s="17" t="s">
        <v>125</v>
      </c>
      <c r="C1230" s="18">
        <v>45550.0</v>
      </c>
      <c r="D1230" s="18">
        <v>45580.0</v>
      </c>
      <c r="E1230" s="17" t="s">
        <v>684</v>
      </c>
      <c r="F1230" s="20">
        <v>19.99</v>
      </c>
      <c r="G1230" s="17" t="s">
        <v>675</v>
      </c>
    </row>
    <row r="1231" ht="15.75" customHeight="1">
      <c r="A1231" s="15" t="s">
        <v>1902</v>
      </c>
      <c r="B1231" s="15" t="s">
        <v>297</v>
      </c>
      <c r="C1231" s="16">
        <v>45550.0</v>
      </c>
      <c r="D1231" s="16">
        <v>45580.0</v>
      </c>
      <c r="E1231" s="15" t="s">
        <v>684</v>
      </c>
      <c r="F1231" s="19">
        <v>19.99</v>
      </c>
      <c r="G1231" s="15" t="s">
        <v>675</v>
      </c>
    </row>
    <row r="1232" ht="15.75" customHeight="1">
      <c r="A1232" s="17" t="s">
        <v>1903</v>
      </c>
      <c r="B1232" s="17" t="s">
        <v>344</v>
      </c>
      <c r="C1232" s="18">
        <v>45550.0</v>
      </c>
      <c r="D1232" s="18">
        <v>45557.0</v>
      </c>
      <c r="E1232" s="17" t="s">
        <v>674</v>
      </c>
      <c r="F1232" s="20">
        <v>0.0</v>
      </c>
      <c r="G1232" s="17" t="s">
        <v>675</v>
      </c>
    </row>
    <row r="1233" ht="15.75" customHeight="1">
      <c r="A1233" s="15" t="s">
        <v>1904</v>
      </c>
      <c r="B1233" s="15" t="s">
        <v>253</v>
      </c>
      <c r="C1233" s="16">
        <v>45550.0</v>
      </c>
      <c r="D1233" s="16">
        <v>45580.0</v>
      </c>
      <c r="E1233" s="15" t="s">
        <v>684</v>
      </c>
      <c r="F1233" s="19">
        <v>19.99</v>
      </c>
      <c r="G1233" s="15" t="s">
        <v>675</v>
      </c>
    </row>
    <row r="1234" ht="15.75" customHeight="1">
      <c r="A1234" s="17" t="s">
        <v>1905</v>
      </c>
      <c r="B1234" s="17" t="s">
        <v>345</v>
      </c>
      <c r="C1234" s="18">
        <v>45551.0</v>
      </c>
      <c r="D1234" s="18">
        <v>45558.0</v>
      </c>
      <c r="E1234" s="17" t="s">
        <v>674</v>
      </c>
      <c r="F1234" s="20">
        <v>0.0</v>
      </c>
      <c r="G1234" s="17" t="s">
        <v>675</v>
      </c>
    </row>
    <row r="1235" ht="15.75" customHeight="1">
      <c r="A1235" s="15" t="s">
        <v>1906</v>
      </c>
      <c r="B1235" s="15" t="s">
        <v>298</v>
      </c>
      <c r="C1235" s="16">
        <v>45551.0</v>
      </c>
      <c r="D1235" s="16">
        <v>45581.0</v>
      </c>
      <c r="E1235" s="15" t="s">
        <v>684</v>
      </c>
      <c r="F1235" s="19">
        <v>19.99</v>
      </c>
      <c r="G1235" s="15" t="s">
        <v>675</v>
      </c>
    </row>
    <row r="1236" ht="15.75" customHeight="1">
      <c r="A1236" s="17" t="s">
        <v>1907</v>
      </c>
      <c r="B1236" s="17" t="s">
        <v>254</v>
      </c>
      <c r="C1236" s="18">
        <v>45551.0</v>
      </c>
      <c r="D1236" s="18">
        <v>45581.0</v>
      </c>
      <c r="E1236" s="17" t="s">
        <v>684</v>
      </c>
      <c r="F1236" s="20">
        <v>19.99</v>
      </c>
      <c r="G1236" s="17" t="s">
        <v>675</v>
      </c>
    </row>
    <row r="1237" ht="15.75" customHeight="1">
      <c r="A1237" s="15" t="s">
        <v>1908</v>
      </c>
      <c r="B1237" s="15" t="s">
        <v>299</v>
      </c>
      <c r="C1237" s="16">
        <v>45551.0</v>
      </c>
      <c r="D1237" s="16">
        <v>45581.0</v>
      </c>
      <c r="E1237" s="15" t="s">
        <v>684</v>
      </c>
      <c r="F1237" s="19">
        <v>19.99</v>
      </c>
      <c r="G1237" s="15" t="s">
        <v>675</v>
      </c>
    </row>
    <row r="1238" ht="15.75" customHeight="1">
      <c r="A1238" s="17" t="s">
        <v>1909</v>
      </c>
      <c r="B1238" s="17" t="s">
        <v>75</v>
      </c>
      <c r="C1238" s="18">
        <v>45551.0</v>
      </c>
      <c r="D1238" s="18">
        <v>45581.0</v>
      </c>
      <c r="E1238" s="17" t="s">
        <v>684</v>
      </c>
      <c r="F1238" s="20">
        <v>19.99</v>
      </c>
      <c r="G1238" s="17" t="s">
        <v>675</v>
      </c>
    </row>
    <row r="1239" ht="15.75" customHeight="1">
      <c r="A1239" s="15" t="s">
        <v>1910</v>
      </c>
      <c r="B1239" s="15" t="s">
        <v>255</v>
      </c>
      <c r="C1239" s="16">
        <v>45551.0</v>
      </c>
      <c r="D1239" s="16">
        <v>45581.0</v>
      </c>
      <c r="E1239" s="15" t="s">
        <v>684</v>
      </c>
      <c r="F1239" s="19">
        <v>19.99</v>
      </c>
      <c r="G1239" s="15" t="s">
        <v>675</v>
      </c>
    </row>
    <row r="1240" ht="15.75" customHeight="1">
      <c r="A1240" s="17" t="s">
        <v>1911</v>
      </c>
      <c r="B1240" s="17" t="s">
        <v>127</v>
      </c>
      <c r="C1240" s="18">
        <v>45551.0</v>
      </c>
      <c r="D1240" s="18">
        <v>45581.0</v>
      </c>
      <c r="E1240" s="17" t="s">
        <v>684</v>
      </c>
      <c r="F1240" s="20">
        <v>19.99</v>
      </c>
      <c r="G1240" s="17" t="s">
        <v>675</v>
      </c>
    </row>
    <row r="1241" ht="15.75" customHeight="1">
      <c r="A1241" s="15" t="s">
        <v>1912</v>
      </c>
      <c r="B1241" s="15" t="s">
        <v>346</v>
      </c>
      <c r="C1241" s="16">
        <v>45551.0</v>
      </c>
      <c r="D1241" s="16">
        <v>45558.0</v>
      </c>
      <c r="E1241" s="15" t="s">
        <v>674</v>
      </c>
      <c r="F1241" s="19">
        <v>0.0</v>
      </c>
      <c r="G1241" s="15" t="s">
        <v>675</v>
      </c>
    </row>
    <row r="1242" ht="15.75" customHeight="1">
      <c r="A1242" s="17" t="s">
        <v>1913</v>
      </c>
      <c r="B1242" s="17" t="s">
        <v>337</v>
      </c>
      <c r="C1242" s="18">
        <v>45551.0</v>
      </c>
      <c r="D1242" s="18">
        <v>45581.0</v>
      </c>
      <c r="E1242" s="17" t="s">
        <v>684</v>
      </c>
      <c r="F1242" s="20">
        <v>19.99</v>
      </c>
      <c r="G1242" s="17" t="s">
        <v>675</v>
      </c>
    </row>
    <row r="1243" ht="15.75" customHeight="1">
      <c r="A1243" s="15" t="s">
        <v>1914</v>
      </c>
      <c r="B1243" s="15" t="s">
        <v>300</v>
      </c>
      <c r="C1243" s="16">
        <v>45551.0</v>
      </c>
      <c r="D1243" s="16">
        <v>45581.0</v>
      </c>
      <c r="E1243" s="15" t="s">
        <v>684</v>
      </c>
      <c r="F1243" s="19">
        <v>19.99</v>
      </c>
      <c r="G1243" s="15" t="s">
        <v>675</v>
      </c>
    </row>
    <row r="1244" ht="15.75" customHeight="1">
      <c r="A1244" s="17" t="s">
        <v>1915</v>
      </c>
      <c r="B1244" s="17" t="s">
        <v>194</v>
      </c>
      <c r="C1244" s="18">
        <v>45552.0</v>
      </c>
      <c r="D1244" s="18">
        <v>45582.0</v>
      </c>
      <c r="E1244" s="17" t="s">
        <v>684</v>
      </c>
      <c r="F1244" s="20">
        <v>19.99</v>
      </c>
      <c r="G1244" s="17" t="s">
        <v>675</v>
      </c>
    </row>
    <row r="1245" ht="15.75" customHeight="1">
      <c r="A1245" s="15" t="s">
        <v>1916</v>
      </c>
      <c r="B1245" s="15" t="s">
        <v>347</v>
      </c>
      <c r="C1245" s="16">
        <v>45552.0</v>
      </c>
      <c r="D1245" s="16">
        <v>45559.0</v>
      </c>
      <c r="E1245" s="15" t="s">
        <v>674</v>
      </c>
      <c r="F1245" s="19">
        <v>0.0</v>
      </c>
      <c r="G1245" s="15" t="s">
        <v>675</v>
      </c>
    </row>
    <row r="1246" ht="15.75" customHeight="1">
      <c r="A1246" s="17" t="s">
        <v>1917</v>
      </c>
      <c r="B1246" s="17" t="s">
        <v>338</v>
      </c>
      <c r="C1246" s="18">
        <v>45552.0</v>
      </c>
      <c r="D1246" s="18">
        <v>45582.0</v>
      </c>
      <c r="E1246" s="17" t="s">
        <v>684</v>
      </c>
      <c r="F1246" s="20">
        <v>19.99</v>
      </c>
      <c r="G1246" s="17" t="s">
        <v>675</v>
      </c>
    </row>
    <row r="1247" ht="15.75" customHeight="1">
      <c r="A1247" s="15" t="s">
        <v>1918</v>
      </c>
      <c r="B1247" s="15" t="s">
        <v>301</v>
      </c>
      <c r="C1247" s="16">
        <v>45552.0</v>
      </c>
      <c r="D1247" s="16">
        <v>45582.0</v>
      </c>
      <c r="E1247" s="15" t="s">
        <v>684</v>
      </c>
      <c r="F1247" s="19">
        <v>19.99</v>
      </c>
      <c r="G1247" s="15" t="s">
        <v>675</v>
      </c>
    </row>
    <row r="1248" ht="15.75" customHeight="1">
      <c r="A1248" s="17" t="s">
        <v>1919</v>
      </c>
      <c r="B1248" s="17" t="s">
        <v>302</v>
      </c>
      <c r="C1248" s="18">
        <v>45552.0</v>
      </c>
      <c r="D1248" s="18">
        <v>45582.0</v>
      </c>
      <c r="E1248" s="17" t="s">
        <v>684</v>
      </c>
      <c r="F1248" s="20">
        <v>19.99</v>
      </c>
      <c r="G1248" s="17" t="s">
        <v>675</v>
      </c>
    </row>
    <row r="1249" ht="15.75" customHeight="1">
      <c r="A1249" s="15" t="s">
        <v>1920</v>
      </c>
      <c r="B1249" s="15" t="s">
        <v>76</v>
      </c>
      <c r="C1249" s="16">
        <v>45552.0</v>
      </c>
      <c r="D1249" s="16">
        <v>45582.0</v>
      </c>
      <c r="E1249" s="15" t="s">
        <v>684</v>
      </c>
      <c r="F1249" s="19">
        <v>19.99</v>
      </c>
      <c r="G1249" s="15" t="s">
        <v>675</v>
      </c>
    </row>
    <row r="1250" ht="15.75" customHeight="1">
      <c r="A1250" s="17" t="s">
        <v>1921</v>
      </c>
      <c r="B1250" s="17" t="s">
        <v>303</v>
      </c>
      <c r="C1250" s="18">
        <v>45552.0</v>
      </c>
      <c r="D1250" s="18">
        <v>45582.0</v>
      </c>
      <c r="E1250" s="17" t="s">
        <v>684</v>
      </c>
      <c r="F1250" s="20">
        <v>19.99</v>
      </c>
      <c r="G1250" s="17" t="s">
        <v>675</v>
      </c>
    </row>
    <row r="1251" ht="15.75" customHeight="1">
      <c r="A1251" s="15" t="s">
        <v>1922</v>
      </c>
      <c r="B1251" s="15" t="s">
        <v>159</v>
      </c>
      <c r="C1251" s="16">
        <v>45552.0</v>
      </c>
      <c r="D1251" s="16">
        <v>45582.0</v>
      </c>
      <c r="E1251" s="15" t="s">
        <v>684</v>
      </c>
      <c r="F1251" s="19">
        <v>19.99</v>
      </c>
      <c r="G1251" s="15" t="s">
        <v>675</v>
      </c>
    </row>
    <row r="1252" ht="15.75" customHeight="1">
      <c r="A1252" s="17" t="s">
        <v>1923</v>
      </c>
      <c r="B1252" s="17" t="s">
        <v>160</v>
      </c>
      <c r="C1252" s="18">
        <v>45552.0</v>
      </c>
      <c r="D1252" s="18">
        <v>45582.0</v>
      </c>
      <c r="E1252" s="17" t="s">
        <v>684</v>
      </c>
      <c r="F1252" s="20">
        <v>19.99</v>
      </c>
      <c r="G1252" s="17" t="s">
        <v>675</v>
      </c>
    </row>
    <row r="1253" ht="15.75" customHeight="1">
      <c r="A1253" s="15" t="s">
        <v>1924</v>
      </c>
      <c r="B1253" s="15" t="s">
        <v>348</v>
      </c>
      <c r="C1253" s="16">
        <v>45552.0</v>
      </c>
      <c r="D1253" s="16">
        <v>45559.0</v>
      </c>
      <c r="E1253" s="15" t="s">
        <v>674</v>
      </c>
      <c r="F1253" s="19">
        <v>0.0</v>
      </c>
      <c r="G1253" s="15" t="s">
        <v>675</v>
      </c>
    </row>
    <row r="1254" ht="15.75" customHeight="1">
      <c r="A1254" s="17" t="s">
        <v>1925</v>
      </c>
      <c r="B1254" s="17" t="s">
        <v>349</v>
      </c>
      <c r="C1254" s="18">
        <v>45552.0</v>
      </c>
      <c r="D1254" s="18">
        <v>45559.0</v>
      </c>
      <c r="E1254" s="17" t="s">
        <v>674</v>
      </c>
      <c r="F1254" s="20">
        <v>0.0</v>
      </c>
      <c r="G1254" s="17" t="s">
        <v>675</v>
      </c>
    </row>
    <row r="1255" ht="15.75" customHeight="1">
      <c r="A1255" s="15" t="s">
        <v>1926</v>
      </c>
      <c r="B1255" s="15" t="s">
        <v>350</v>
      </c>
      <c r="C1255" s="16">
        <v>45553.0</v>
      </c>
      <c r="D1255" s="16">
        <v>45560.0</v>
      </c>
      <c r="E1255" s="15" t="s">
        <v>674</v>
      </c>
      <c r="F1255" s="19">
        <v>0.0</v>
      </c>
      <c r="G1255" s="15" t="s">
        <v>675</v>
      </c>
    </row>
    <row r="1256" ht="15.75" customHeight="1">
      <c r="A1256" s="17" t="s">
        <v>1927</v>
      </c>
      <c r="B1256" s="17" t="s">
        <v>339</v>
      </c>
      <c r="C1256" s="18">
        <v>45553.0</v>
      </c>
      <c r="D1256" s="18">
        <v>45583.0</v>
      </c>
      <c r="E1256" s="17" t="s">
        <v>684</v>
      </c>
      <c r="F1256" s="20">
        <v>19.99</v>
      </c>
      <c r="G1256" s="17" t="s">
        <v>675</v>
      </c>
    </row>
    <row r="1257" ht="15.75" customHeight="1">
      <c r="A1257" s="15" t="s">
        <v>1928</v>
      </c>
      <c r="B1257" s="15" t="s">
        <v>197</v>
      </c>
      <c r="C1257" s="16">
        <v>45553.0</v>
      </c>
      <c r="D1257" s="16">
        <v>45583.0</v>
      </c>
      <c r="E1257" s="15" t="s">
        <v>684</v>
      </c>
      <c r="F1257" s="19">
        <v>19.99</v>
      </c>
      <c r="G1257" s="15" t="s">
        <v>675</v>
      </c>
    </row>
    <row r="1258" ht="15.75" customHeight="1">
      <c r="A1258" s="17" t="s">
        <v>1929</v>
      </c>
      <c r="B1258" s="17" t="s">
        <v>256</v>
      </c>
      <c r="C1258" s="18">
        <v>45553.0</v>
      </c>
      <c r="D1258" s="18">
        <v>45583.0</v>
      </c>
      <c r="E1258" s="17" t="s">
        <v>684</v>
      </c>
      <c r="F1258" s="20">
        <v>19.99</v>
      </c>
      <c r="G1258" s="17" t="s">
        <v>675</v>
      </c>
    </row>
    <row r="1259" ht="15.75" customHeight="1">
      <c r="A1259" s="15" t="s">
        <v>1930</v>
      </c>
      <c r="B1259" s="15" t="s">
        <v>351</v>
      </c>
      <c r="C1259" s="16">
        <v>45553.0</v>
      </c>
      <c r="D1259" s="16">
        <v>45560.0</v>
      </c>
      <c r="E1259" s="15" t="s">
        <v>674</v>
      </c>
      <c r="F1259" s="19">
        <v>0.0</v>
      </c>
      <c r="G1259" s="15" t="s">
        <v>675</v>
      </c>
    </row>
    <row r="1260" ht="15.75" customHeight="1">
      <c r="A1260" s="17" t="s">
        <v>1931</v>
      </c>
      <c r="B1260" s="17" t="s">
        <v>352</v>
      </c>
      <c r="C1260" s="18">
        <v>45553.0</v>
      </c>
      <c r="D1260" s="18">
        <v>45560.0</v>
      </c>
      <c r="E1260" s="17" t="s">
        <v>674</v>
      </c>
      <c r="F1260" s="20">
        <v>0.0</v>
      </c>
      <c r="G1260" s="17" t="s">
        <v>675</v>
      </c>
    </row>
    <row r="1261" ht="15.75" customHeight="1">
      <c r="A1261" s="15" t="s">
        <v>1932</v>
      </c>
      <c r="B1261" s="15" t="s">
        <v>162</v>
      </c>
      <c r="C1261" s="16">
        <v>45553.0</v>
      </c>
      <c r="D1261" s="16">
        <v>45583.0</v>
      </c>
      <c r="E1261" s="15" t="s">
        <v>684</v>
      </c>
      <c r="F1261" s="19">
        <v>19.99</v>
      </c>
      <c r="G1261" s="15" t="s">
        <v>675</v>
      </c>
    </row>
    <row r="1262" ht="15.75" customHeight="1">
      <c r="A1262" s="17" t="s">
        <v>1933</v>
      </c>
      <c r="B1262" s="17" t="s">
        <v>304</v>
      </c>
      <c r="C1262" s="18">
        <v>45553.0</v>
      </c>
      <c r="D1262" s="18">
        <v>45583.0</v>
      </c>
      <c r="E1262" s="17" t="s">
        <v>684</v>
      </c>
      <c r="F1262" s="20">
        <v>19.99</v>
      </c>
      <c r="G1262" s="17" t="s">
        <v>675</v>
      </c>
    </row>
    <row r="1263" ht="15.75" customHeight="1">
      <c r="A1263" s="15" t="s">
        <v>1934</v>
      </c>
      <c r="B1263" s="15" t="s">
        <v>257</v>
      </c>
      <c r="C1263" s="16">
        <v>45553.0</v>
      </c>
      <c r="D1263" s="16">
        <v>45583.0</v>
      </c>
      <c r="E1263" s="15" t="s">
        <v>684</v>
      </c>
      <c r="F1263" s="19">
        <v>19.99</v>
      </c>
      <c r="G1263" s="15" t="s">
        <v>675</v>
      </c>
    </row>
    <row r="1264" ht="15.75" customHeight="1">
      <c r="A1264" s="17" t="s">
        <v>1935</v>
      </c>
      <c r="B1264" s="17" t="s">
        <v>129</v>
      </c>
      <c r="C1264" s="18">
        <v>45553.0</v>
      </c>
      <c r="D1264" s="18">
        <v>45583.0</v>
      </c>
      <c r="E1264" s="17" t="s">
        <v>684</v>
      </c>
      <c r="F1264" s="20">
        <v>19.99</v>
      </c>
      <c r="G1264" s="17" t="s">
        <v>675</v>
      </c>
    </row>
    <row r="1265" ht="15.75" customHeight="1">
      <c r="A1265" s="15" t="s">
        <v>1936</v>
      </c>
      <c r="B1265" s="15" t="s">
        <v>353</v>
      </c>
      <c r="C1265" s="16">
        <v>45554.0</v>
      </c>
      <c r="D1265" s="16">
        <v>45561.0</v>
      </c>
      <c r="E1265" s="15" t="s">
        <v>674</v>
      </c>
      <c r="F1265" s="19">
        <v>0.0</v>
      </c>
      <c r="G1265" s="15" t="s">
        <v>675</v>
      </c>
    </row>
    <row r="1266" ht="15.75" customHeight="1">
      <c r="A1266" s="17" t="s">
        <v>1937</v>
      </c>
      <c r="B1266" s="17" t="s">
        <v>163</v>
      </c>
      <c r="C1266" s="18">
        <v>45554.0</v>
      </c>
      <c r="D1266" s="18">
        <v>45584.0</v>
      </c>
      <c r="E1266" s="17" t="s">
        <v>684</v>
      </c>
      <c r="F1266" s="20">
        <v>19.99</v>
      </c>
      <c r="G1266" s="17" t="s">
        <v>675</v>
      </c>
    </row>
    <row r="1267" ht="15.75" customHeight="1">
      <c r="A1267" s="15" t="s">
        <v>1938</v>
      </c>
      <c r="B1267" s="15" t="s">
        <v>340</v>
      </c>
      <c r="C1267" s="16">
        <v>45554.0</v>
      </c>
      <c r="D1267" s="16">
        <v>45584.0</v>
      </c>
      <c r="E1267" s="15" t="s">
        <v>684</v>
      </c>
      <c r="F1267" s="19">
        <v>19.99</v>
      </c>
      <c r="G1267" s="15" t="s">
        <v>675</v>
      </c>
    </row>
    <row r="1268" ht="15.75" customHeight="1">
      <c r="A1268" s="17" t="s">
        <v>1939</v>
      </c>
      <c r="B1268" s="17" t="s">
        <v>341</v>
      </c>
      <c r="C1268" s="18">
        <v>45554.0</v>
      </c>
      <c r="D1268" s="18">
        <v>45584.0</v>
      </c>
      <c r="E1268" s="17" t="s">
        <v>684</v>
      </c>
      <c r="F1268" s="20">
        <v>19.99</v>
      </c>
      <c r="G1268" s="17" t="s">
        <v>675</v>
      </c>
    </row>
    <row r="1269" ht="15.75" customHeight="1">
      <c r="A1269" s="15" t="s">
        <v>1940</v>
      </c>
      <c r="B1269" s="15" t="s">
        <v>164</v>
      </c>
      <c r="C1269" s="16">
        <v>45554.0</v>
      </c>
      <c r="D1269" s="16">
        <v>45584.0</v>
      </c>
      <c r="E1269" s="15" t="s">
        <v>684</v>
      </c>
      <c r="F1269" s="19">
        <v>19.99</v>
      </c>
      <c r="G1269" s="15" t="s">
        <v>675</v>
      </c>
    </row>
    <row r="1270" ht="15.75" customHeight="1">
      <c r="A1270" s="17" t="s">
        <v>1941</v>
      </c>
      <c r="B1270" s="17" t="s">
        <v>259</v>
      </c>
      <c r="C1270" s="18">
        <v>45554.0</v>
      </c>
      <c r="D1270" s="18">
        <v>45584.0</v>
      </c>
      <c r="E1270" s="17" t="s">
        <v>684</v>
      </c>
      <c r="F1270" s="20">
        <v>19.99</v>
      </c>
      <c r="G1270" s="17" t="s">
        <v>675</v>
      </c>
    </row>
    <row r="1271" ht="15.75" customHeight="1">
      <c r="A1271" s="15" t="s">
        <v>1942</v>
      </c>
      <c r="B1271" s="15" t="s">
        <v>198</v>
      </c>
      <c r="C1271" s="16">
        <v>45554.0</v>
      </c>
      <c r="D1271" s="16">
        <v>45584.0</v>
      </c>
      <c r="E1271" s="15" t="s">
        <v>684</v>
      </c>
      <c r="F1271" s="19">
        <v>19.99</v>
      </c>
      <c r="G1271" s="15" t="s">
        <v>675</v>
      </c>
    </row>
    <row r="1272" ht="15.75" customHeight="1">
      <c r="A1272" s="17" t="s">
        <v>1943</v>
      </c>
      <c r="B1272" s="17" t="s">
        <v>342</v>
      </c>
      <c r="C1272" s="18">
        <v>45554.0</v>
      </c>
      <c r="D1272" s="18">
        <v>45584.0</v>
      </c>
      <c r="E1272" s="17" t="s">
        <v>684</v>
      </c>
      <c r="F1272" s="20">
        <v>19.99</v>
      </c>
      <c r="G1272" s="17" t="s">
        <v>675</v>
      </c>
    </row>
    <row r="1273" ht="15.75" customHeight="1">
      <c r="A1273" s="15" t="s">
        <v>1944</v>
      </c>
      <c r="B1273" s="15" t="s">
        <v>343</v>
      </c>
      <c r="C1273" s="16">
        <v>45554.0</v>
      </c>
      <c r="D1273" s="16">
        <v>45584.0</v>
      </c>
      <c r="E1273" s="15" t="s">
        <v>684</v>
      </c>
      <c r="F1273" s="19">
        <v>19.99</v>
      </c>
      <c r="G1273" s="15" t="s">
        <v>675</v>
      </c>
    </row>
    <row r="1274" ht="15.75" customHeight="1">
      <c r="A1274" s="17" t="s">
        <v>1945</v>
      </c>
      <c r="B1274" s="17" t="s">
        <v>354</v>
      </c>
      <c r="C1274" s="18">
        <v>45555.0</v>
      </c>
      <c r="D1274" s="18">
        <v>45562.0</v>
      </c>
      <c r="E1274" s="17" t="s">
        <v>674</v>
      </c>
      <c r="F1274" s="20">
        <v>0.0</v>
      </c>
      <c r="G1274" s="17" t="s">
        <v>675</v>
      </c>
    </row>
    <row r="1275" ht="15.75" customHeight="1">
      <c r="A1275" s="15" t="s">
        <v>1946</v>
      </c>
      <c r="B1275" s="15" t="s">
        <v>100</v>
      </c>
      <c r="C1275" s="16">
        <v>45555.0</v>
      </c>
      <c r="D1275" s="16">
        <v>45585.0</v>
      </c>
      <c r="E1275" s="15" t="s">
        <v>684</v>
      </c>
      <c r="F1275" s="19">
        <v>19.99</v>
      </c>
      <c r="G1275" s="15" t="s">
        <v>675</v>
      </c>
    </row>
    <row r="1276" ht="15.75" customHeight="1">
      <c r="A1276" s="17" t="s">
        <v>1947</v>
      </c>
      <c r="B1276" s="17" t="s">
        <v>165</v>
      </c>
      <c r="C1276" s="18">
        <v>45555.0</v>
      </c>
      <c r="D1276" s="18">
        <v>45585.0</v>
      </c>
      <c r="E1276" s="17" t="s">
        <v>684</v>
      </c>
      <c r="F1276" s="20">
        <v>19.99</v>
      </c>
      <c r="G1276" s="17" t="s">
        <v>675</v>
      </c>
    </row>
    <row r="1277" ht="15.75" customHeight="1">
      <c r="A1277" s="15" t="s">
        <v>1948</v>
      </c>
      <c r="B1277" s="15" t="s">
        <v>260</v>
      </c>
      <c r="C1277" s="16">
        <v>45555.0</v>
      </c>
      <c r="D1277" s="16">
        <v>45585.0</v>
      </c>
      <c r="E1277" s="15" t="s">
        <v>684</v>
      </c>
      <c r="F1277" s="19">
        <v>19.99</v>
      </c>
      <c r="G1277" s="15" t="s">
        <v>675</v>
      </c>
    </row>
    <row r="1278" ht="15.75" customHeight="1">
      <c r="A1278" s="17" t="s">
        <v>1949</v>
      </c>
      <c r="B1278" s="17" t="s">
        <v>79</v>
      </c>
      <c r="C1278" s="18">
        <v>45556.0</v>
      </c>
      <c r="D1278" s="18">
        <v>45586.0</v>
      </c>
      <c r="E1278" s="17" t="s">
        <v>684</v>
      </c>
      <c r="F1278" s="20">
        <v>19.99</v>
      </c>
      <c r="G1278" s="17" t="s">
        <v>675</v>
      </c>
    </row>
    <row r="1279" ht="15.75" customHeight="1">
      <c r="A1279" s="15" t="s">
        <v>1950</v>
      </c>
      <c r="B1279" s="15" t="s">
        <v>201</v>
      </c>
      <c r="C1279" s="16">
        <v>45556.0</v>
      </c>
      <c r="D1279" s="16">
        <v>45586.0</v>
      </c>
      <c r="E1279" s="15" t="s">
        <v>684</v>
      </c>
      <c r="F1279" s="19">
        <v>19.99</v>
      </c>
      <c r="G1279" s="15" t="s">
        <v>675</v>
      </c>
    </row>
    <row r="1280" ht="15.75" customHeight="1">
      <c r="A1280" s="17" t="s">
        <v>1951</v>
      </c>
      <c r="B1280" s="17" t="s">
        <v>133</v>
      </c>
      <c r="C1280" s="18">
        <v>45556.0</v>
      </c>
      <c r="D1280" s="18">
        <v>45586.0</v>
      </c>
      <c r="E1280" s="17" t="s">
        <v>684</v>
      </c>
      <c r="F1280" s="20">
        <v>19.99</v>
      </c>
      <c r="G1280" s="17" t="s">
        <v>675</v>
      </c>
    </row>
    <row r="1281" ht="15.75" customHeight="1">
      <c r="A1281" s="15" t="s">
        <v>1952</v>
      </c>
      <c r="B1281" s="15" t="s">
        <v>202</v>
      </c>
      <c r="C1281" s="16">
        <v>45556.0</v>
      </c>
      <c r="D1281" s="16">
        <v>45586.0</v>
      </c>
      <c r="E1281" s="15" t="s">
        <v>684</v>
      </c>
      <c r="F1281" s="19">
        <v>19.99</v>
      </c>
      <c r="G1281" s="15" t="s">
        <v>675</v>
      </c>
    </row>
    <row r="1282" ht="15.75" customHeight="1">
      <c r="A1282" s="17" t="s">
        <v>1953</v>
      </c>
      <c r="B1282" s="17" t="s">
        <v>355</v>
      </c>
      <c r="C1282" s="18">
        <v>45556.0</v>
      </c>
      <c r="D1282" s="18">
        <v>45563.0</v>
      </c>
      <c r="E1282" s="17" t="s">
        <v>674</v>
      </c>
      <c r="F1282" s="20">
        <v>0.0</v>
      </c>
      <c r="G1282" s="17" t="s">
        <v>675</v>
      </c>
    </row>
    <row r="1283" ht="15.75" customHeight="1">
      <c r="A1283" s="15" t="s">
        <v>1954</v>
      </c>
      <c r="B1283" s="15" t="s">
        <v>306</v>
      </c>
      <c r="C1283" s="16">
        <v>45556.0</v>
      </c>
      <c r="D1283" s="16">
        <v>45586.0</v>
      </c>
      <c r="E1283" s="15" t="s">
        <v>684</v>
      </c>
      <c r="F1283" s="19">
        <v>19.99</v>
      </c>
      <c r="G1283" s="15" t="s">
        <v>675</v>
      </c>
    </row>
    <row r="1284" ht="15.75" customHeight="1">
      <c r="A1284" s="17" t="s">
        <v>1955</v>
      </c>
      <c r="B1284" s="17" t="s">
        <v>307</v>
      </c>
      <c r="C1284" s="18">
        <v>45556.0</v>
      </c>
      <c r="D1284" s="18">
        <v>45586.0</v>
      </c>
      <c r="E1284" s="17" t="s">
        <v>684</v>
      </c>
      <c r="F1284" s="20">
        <v>19.99</v>
      </c>
      <c r="G1284" s="17" t="s">
        <v>675</v>
      </c>
    </row>
    <row r="1285" ht="15.75" customHeight="1">
      <c r="A1285" s="15" t="s">
        <v>1956</v>
      </c>
      <c r="B1285" s="15" t="s">
        <v>308</v>
      </c>
      <c r="C1285" s="16">
        <v>45556.0</v>
      </c>
      <c r="D1285" s="16">
        <v>45586.0</v>
      </c>
      <c r="E1285" s="15" t="s">
        <v>684</v>
      </c>
      <c r="F1285" s="19">
        <v>19.99</v>
      </c>
      <c r="G1285" s="15" t="s">
        <v>675</v>
      </c>
    </row>
    <row r="1286" ht="15.75" customHeight="1">
      <c r="A1286" s="17" t="s">
        <v>1957</v>
      </c>
      <c r="B1286" s="17" t="s">
        <v>203</v>
      </c>
      <c r="C1286" s="18">
        <v>45557.0</v>
      </c>
      <c r="D1286" s="18">
        <v>45587.0</v>
      </c>
      <c r="E1286" s="17" t="s">
        <v>684</v>
      </c>
      <c r="F1286" s="20">
        <v>19.99</v>
      </c>
      <c r="G1286" s="17" t="s">
        <v>675</v>
      </c>
    </row>
    <row r="1287" ht="15.75" customHeight="1">
      <c r="A1287" s="15" t="s">
        <v>1958</v>
      </c>
      <c r="B1287" s="15" t="s">
        <v>134</v>
      </c>
      <c r="C1287" s="16">
        <v>45557.0</v>
      </c>
      <c r="D1287" s="16">
        <v>45587.0</v>
      </c>
      <c r="E1287" s="15" t="s">
        <v>684</v>
      </c>
      <c r="F1287" s="19">
        <v>19.99</v>
      </c>
      <c r="G1287" s="15" t="s">
        <v>675</v>
      </c>
    </row>
    <row r="1288" ht="15.75" customHeight="1">
      <c r="A1288" s="17" t="s">
        <v>1959</v>
      </c>
      <c r="B1288" s="17" t="s">
        <v>356</v>
      </c>
      <c r="C1288" s="18">
        <v>45557.0</v>
      </c>
      <c r="D1288" s="18">
        <v>45564.0</v>
      </c>
      <c r="E1288" s="17" t="s">
        <v>674</v>
      </c>
      <c r="F1288" s="20">
        <v>0.0</v>
      </c>
      <c r="G1288" s="17" t="s">
        <v>675</v>
      </c>
    </row>
    <row r="1289" ht="15.75" customHeight="1">
      <c r="A1289" s="15" t="s">
        <v>1960</v>
      </c>
      <c r="B1289" s="15" t="s">
        <v>227</v>
      </c>
      <c r="C1289" s="16">
        <v>45557.0</v>
      </c>
      <c r="D1289" s="16">
        <v>45587.0</v>
      </c>
      <c r="E1289" s="15" t="s">
        <v>684</v>
      </c>
      <c r="F1289" s="19">
        <v>19.99</v>
      </c>
      <c r="G1289" s="15" t="s">
        <v>675</v>
      </c>
    </row>
    <row r="1290" ht="15.75" customHeight="1">
      <c r="A1290" s="17" t="s">
        <v>1961</v>
      </c>
      <c r="B1290" s="17" t="s">
        <v>261</v>
      </c>
      <c r="C1290" s="18">
        <v>45557.0</v>
      </c>
      <c r="D1290" s="18">
        <v>45587.0</v>
      </c>
      <c r="E1290" s="17" t="s">
        <v>684</v>
      </c>
      <c r="F1290" s="20">
        <v>19.99</v>
      </c>
      <c r="G1290" s="17" t="s">
        <v>675</v>
      </c>
    </row>
    <row r="1291" ht="15.75" customHeight="1">
      <c r="A1291" s="15" t="s">
        <v>1962</v>
      </c>
      <c r="B1291" s="15" t="s">
        <v>344</v>
      </c>
      <c r="C1291" s="16">
        <v>45557.0</v>
      </c>
      <c r="D1291" s="16">
        <v>45587.0</v>
      </c>
      <c r="E1291" s="15" t="s">
        <v>684</v>
      </c>
      <c r="F1291" s="19">
        <v>19.99</v>
      </c>
      <c r="G1291" s="15" t="s">
        <v>675</v>
      </c>
    </row>
    <row r="1292" ht="15.75" customHeight="1">
      <c r="A1292" s="17" t="s">
        <v>1963</v>
      </c>
      <c r="B1292" s="17" t="s">
        <v>309</v>
      </c>
      <c r="C1292" s="18">
        <v>45557.0</v>
      </c>
      <c r="D1292" s="18">
        <v>45587.0</v>
      </c>
      <c r="E1292" s="17" t="s">
        <v>684</v>
      </c>
      <c r="F1292" s="20">
        <v>19.99</v>
      </c>
      <c r="G1292" s="17" t="s">
        <v>675</v>
      </c>
    </row>
    <row r="1293" ht="15.75" customHeight="1">
      <c r="A1293" s="15" t="s">
        <v>1964</v>
      </c>
      <c r="B1293" s="15" t="s">
        <v>206</v>
      </c>
      <c r="C1293" s="16">
        <v>45557.0</v>
      </c>
      <c r="D1293" s="16">
        <v>45587.0</v>
      </c>
      <c r="E1293" s="15" t="s">
        <v>684</v>
      </c>
      <c r="F1293" s="19">
        <v>19.99</v>
      </c>
      <c r="G1293" s="15" t="s">
        <v>675</v>
      </c>
    </row>
    <row r="1294" ht="15.75" customHeight="1">
      <c r="A1294" s="17" t="s">
        <v>1965</v>
      </c>
      <c r="B1294" s="17" t="s">
        <v>357</v>
      </c>
      <c r="C1294" s="18">
        <v>45557.0</v>
      </c>
      <c r="D1294" s="18">
        <v>45564.0</v>
      </c>
      <c r="E1294" s="17" t="s">
        <v>674</v>
      </c>
      <c r="F1294" s="20">
        <v>0.0</v>
      </c>
      <c r="G1294" s="17" t="s">
        <v>675</v>
      </c>
    </row>
    <row r="1295" ht="15.75" customHeight="1">
      <c r="A1295" s="15" t="s">
        <v>1966</v>
      </c>
      <c r="B1295" s="15" t="s">
        <v>345</v>
      </c>
      <c r="C1295" s="16">
        <v>45558.0</v>
      </c>
      <c r="D1295" s="16">
        <v>45588.0</v>
      </c>
      <c r="E1295" s="15" t="s">
        <v>684</v>
      </c>
      <c r="F1295" s="19">
        <v>19.99</v>
      </c>
      <c r="G1295" s="15" t="s">
        <v>675</v>
      </c>
    </row>
    <row r="1296" ht="15.75" customHeight="1">
      <c r="A1296" s="17" t="s">
        <v>1967</v>
      </c>
      <c r="B1296" s="17" t="s">
        <v>310</v>
      </c>
      <c r="C1296" s="18">
        <v>45558.0</v>
      </c>
      <c r="D1296" s="18">
        <v>45588.0</v>
      </c>
      <c r="E1296" s="17" t="s">
        <v>684</v>
      </c>
      <c r="F1296" s="20">
        <v>19.99</v>
      </c>
      <c r="G1296" s="17" t="s">
        <v>675</v>
      </c>
    </row>
    <row r="1297" ht="15.75" customHeight="1">
      <c r="A1297" s="15" t="s">
        <v>1968</v>
      </c>
      <c r="B1297" s="15" t="s">
        <v>228</v>
      </c>
      <c r="C1297" s="16">
        <v>45558.0</v>
      </c>
      <c r="D1297" s="16">
        <v>45588.0</v>
      </c>
      <c r="E1297" s="15" t="s">
        <v>684</v>
      </c>
      <c r="F1297" s="19">
        <v>19.99</v>
      </c>
      <c r="G1297" s="15" t="s">
        <v>675</v>
      </c>
    </row>
    <row r="1298" ht="15.75" customHeight="1">
      <c r="A1298" s="17" t="s">
        <v>1969</v>
      </c>
      <c r="B1298" s="17" t="s">
        <v>358</v>
      </c>
      <c r="C1298" s="18">
        <v>45558.0</v>
      </c>
      <c r="D1298" s="18">
        <v>45565.0</v>
      </c>
      <c r="E1298" s="17" t="s">
        <v>674</v>
      </c>
      <c r="F1298" s="20">
        <v>0.0</v>
      </c>
      <c r="G1298" s="17" t="s">
        <v>675</v>
      </c>
    </row>
    <row r="1299" ht="15.75" customHeight="1">
      <c r="A1299" s="15" t="s">
        <v>1970</v>
      </c>
      <c r="B1299" s="15" t="s">
        <v>262</v>
      </c>
      <c r="C1299" s="16">
        <v>45558.0</v>
      </c>
      <c r="D1299" s="16">
        <v>45588.0</v>
      </c>
      <c r="E1299" s="15" t="s">
        <v>684</v>
      </c>
      <c r="F1299" s="19">
        <v>19.99</v>
      </c>
      <c r="G1299" s="15" t="s">
        <v>675</v>
      </c>
    </row>
    <row r="1300" ht="15.75" customHeight="1">
      <c r="A1300" s="17" t="s">
        <v>1971</v>
      </c>
      <c r="B1300" s="17" t="s">
        <v>346</v>
      </c>
      <c r="C1300" s="18">
        <v>45558.0</v>
      </c>
      <c r="D1300" s="18">
        <v>45588.0</v>
      </c>
      <c r="E1300" s="17" t="s">
        <v>684</v>
      </c>
      <c r="F1300" s="20">
        <v>19.99</v>
      </c>
      <c r="G1300" s="17" t="s">
        <v>675</v>
      </c>
    </row>
    <row r="1301" ht="15.75" customHeight="1">
      <c r="A1301" s="15" t="s">
        <v>1972</v>
      </c>
      <c r="B1301" s="15" t="s">
        <v>102</v>
      </c>
      <c r="C1301" s="16">
        <v>45558.0</v>
      </c>
      <c r="D1301" s="16">
        <v>45588.0</v>
      </c>
      <c r="E1301" s="15" t="s">
        <v>684</v>
      </c>
      <c r="F1301" s="19">
        <v>19.99</v>
      </c>
      <c r="G1301" s="15" t="s">
        <v>675</v>
      </c>
    </row>
    <row r="1302" ht="15.75" customHeight="1">
      <c r="A1302" s="17" t="s">
        <v>1973</v>
      </c>
      <c r="B1302" s="17" t="s">
        <v>166</v>
      </c>
      <c r="C1302" s="18">
        <v>45558.0</v>
      </c>
      <c r="D1302" s="18">
        <v>45588.0</v>
      </c>
      <c r="E1302" s="17" t="s">
        <v>684</v>
      </c>
      <c r="F1302" s="20">
        <v>19.99</v>
      </c>
      <c r="G1302" s="17" t="s">
        <v>675</v>
      </c>
    </row>
    <row r="1303" ht="15.75" customHeight="1">
      <c r="A1303" s="15" t="s">
        <v>1974</v>
      </c>
      <c r="B1303" s="15" t="s">
        <v>167</v>
      </c>
      <c r="C1303" s="16">
        <v>45558.0</v>
      </c>
      <c r="D1303" s="16">
        <v>45588.0</v>
      </c>
      <c r="E1303" s="15" t="s">
        <v>684</v>
      </c>
      <c r="F1303" s="19">
        <v>19.99</v>
      </c>
      <c r="G1303" s="15" t="s">
        <v>675</v>
      </c>
    </row>
    <row r="1304" ht="15.75" customHeight="1">
      <c r="A1304" s="17" t="s">
        <v>1975</v>
      </c>
      <c r="B1304" s="17" t="s">
        <v>168</v>
      </c>
      <c r="C1304" s="18">
        <v>45558.0</v>
      </c>
      <c r="D1304" s="18">
        <v>45588.0</v>
      </c>
      <c r="E1304" s="17" t="s">
        <v>684</v>
      </c>
      <c r="F1304" s="20">
        <v>19.99</v>
      </c>
      <c r="G1304" s="17" t="s">
        <v>675</v>
      </c>
    </row>
    <row r="1305" ht="15.75" customHeight="1">
      <c r="A1305" s="15" t="s">
        <v>1976</v>
      </c>
      <c r="B1305" s="15" t="s">
        <v>208</v>
      </c>
      <c r="C1305" s="16">
        <v>45558.0</v>
      </c>
      <c r="D1305" s="16">
        <v>45588.0</v>
      </c>
      <c r="E1305" s="15" t="s">
        <v>684</v>
      </c>
      <c r="F1305" s="19">
        <v>19.99</v>
      </c>
      <c r="G1305" s="15" t="s">
        <v>675</v>
      </c>
    </row>
    <row r="1306" ht="15.75" customHeight="1">
      <c r="A1306" s="17" t="s">
        <v>1977</v>
      </c>
      <c r="B1306" s="17" t="s">
        <v>347</v>
      </c>
      <c r="C1306" s="18">
        <v>45559.0</v>
      </c>
      <c r="D1306" s="18">
        <v>45589.0</v>
      </c>
      <c r="E1306" s="17" t="s">
        <v>684</v>
      </c>
      <c r="F1306" s="20">
        <v>19.99</v>
      </c>
      <c r="G1306" s="17" t="s">
        <v>675</v>
      </c>
    </row>
    <row r="1307" ht="15.75" customHeight="1">
      <c r="A1307" s="15" t="s">
        <v>1978</v>
      </c>
      <c r="B1307" s="15" t="s">
        <v>136</v>
      </c>
      <c r="C1307" s="16">
        <v>45559.0</v>
      </c>
      <c r="D1307" s="16">
        <v>45589.0</v>
      </c>
      <c r="E1307" s="15" t="s">
        <v>684</v>
      </c>
      <c r="F1307" s="19">
        <v>19.99</v>
      </c>
      <c r="G1307" s="15" t="s">
        <v>675</v>
      </c>
    </row>
    <row r="1308" ht="15.75" customHeight="1">
      <c r="A1308" s="17" t="s">
        <v>1979</v>
      </c>
      <c r="B1308" s="17" t="s">
        <v>82</v>
      </c>
      <c r="C1308" s="18">
        <v>45559.0</v>
      </c>
      <c r="D1308" s="18">
        <v>45589.0</v>
      </c>
      <c r="E1308" s="17" t="s">
        <v>684</v>
      </c>
      <c r="F1308" s="20">
        <v>19.99</v>
      </c>
      <c r="G1308" s="17" t="s">
        <v>675</v>
      </c>
    </row>
    <row r="1309" ht="15.75" customHeight="1">
      <c r="A1309" s="15" t="s">
        <v>1980</v>
      </c>
      <c r="B1309" s="15" t="s">
        <v>359</v>
      </c>
      <c r="C1309" s="16">
        <v>45559.0</v>
      </c>
      <c r="D1309" s="16">
        <v>45566.0</v>
      </c>
      <c r="E1309" s="15" t="s">
        <v>674</v>
      </c>
      <c r="F1309" s="19">
        <v>0.0</v>
      </c>
      <c r="G1309" s="15" t="s">
        <v>675</v>
      </c>
    </row>
    <row r="1310" ht="15.75" customHeight="1">
      <c r="A1310" s="17" t="s">
        <v>1981</v>
      </c>
      <c r="B1310" s="17" t="s">
        <v>348</v>
      </c>
      <c r="C1310" s="18">
        <v>45559.0</v>
      </c>
      <c r="D1310" s="18">
        <v>45589.0</v>
      </c>
      <c r="E1310" s="17" t="s">
        <v>684</v>
      </c>
      <c r="F1310" s="20">
        <v>19.99</v>
      </c>
      <c r="G1310" s="17" t="s">
        <v>675</v>
      </c>
    </row>
    <row r="1311" ht="15.75" customHeight="1">
      <c r="A1311" s="15" t="s">
        <v>1982</v>
      </c>
      <c r="B1311" s="15" t="s">
        <v>349</v>
      </c>
      <c r="C1311" s="16">
        <v>45559.0</v>
      </c>
      <c r="D1311" s="16">
        <v>45589.0</v>
      </c>
      <c r="E1311" s="15" t="s">
        <v>684</v>
      </c>
      <c r="F1311" s="19">
        <v>19.99</v>
      </c>
      <c r="G1311" s="15" t="s">
        <v>675</v>
      </c>
    </row>
    <row r="1312" ht="15.75" customHeight="1">
      <c r="A1312" s="17" t="s">
        <v>1983</v>
      </c>
      <c r="B1312" s="17" t="s">
        <v>137</v>
      </c>
      <c r="C1312" s="18">
        <v>45559.0</v>
      </c>
      <c r="D1312" s="18">
        <v>45589.0</v>
      </c>
      <c r="E1312" s="17" t="s">
        <v>684</v>
      </c>
      <c r="F1312" s="20">
        <v>19.99</v>
      </c>
      <c r="G1312" s="17" t="s">
        <v>675</v>
      </c>
    </row>
    <row r="1313" ht="15.75" customHeight="1">
      <c r="A1313" s="15" t="s">
        <v>1984</v>
      </c>
      <c r="B1313" s="15" t="s">
        <v>83</v>
      </c>
      <c r="C1313" s="16">
        <v>45559.0</v>
      </c>
      <c r="D1313" s="16">
        <v>45589.0</v>
      </c>
      <c r="E1313" s="15" t="s">
        <v>684</v>
      </c>
      <c r="F1313" s="19">
        <v>19.99</v>
      </c>
      <c r="G1313" s="15" t="s">
        <v>675</v>
      </c>
    </row>
    <row r="1314" ht="15.75" customHeight="1">
      <c r="A1314" s="17" t="s">
        <v>1985</v>
      </c>
      <c r="B1314" s="17" t="s">
        <v>138</v>
      </c>
      <c r="C1314" s="18">
        <v>45559.0</v>
      </c>
      <c r="D1314" s="18">
        <v>45589.0</v>
      </c>
      <c r="E1314" s="17" t="s">
        <v>684</v>
      </c>
      <c r="F1314" s="20">
        <v>19.99</v>
      </c>
      <c r="G1314" s="17" t="s">
        <v>675</v>
      </c>
    </row>
    <row r="1315" ht="15.75" customHeight="1">
      <c r="A1315" s="15" t="s">
        <v>1986</v>
      </c>
      <c r="B1315" s="15" t="s">
        <v>350</v>
      </c>
      <c r="C1315" s="16">
        <v>45560.0</v>
      </c>
      <c r="D1315" s="16">
        <v>45590.0</v>
      </c>
      <c r="E1315" s="15" t="s">
        <v>684</v>
      </c>
      <c r="F1315" s="19">
        <v>19.99</v>
      </c>
      <c r="G1315" s="15" t="s">
        <v>675</v>
      </c>
    </row>
    <row r="1316" ht="15.75" customHeight="1">
      <c r="A1316" s="17" t="s">
        <v>1987</v>
      </c>
      <c r="B1316" s="17" t="s">
        <v>84</v>
      </c>
      <c r="C1316" s="18">
        <v>45560.0</v>
      </c>
      <c r="D1316" s="18">
        <v>45590.0</v>
      </c>
      <c r="E1316" s="17" t="s">
        <v>684</v>
      </c>
      <c r="F1316" s="20">
        <v>19.99</v>
      </c>
      <c r="G1316" s="17" t="s">
        <v>675</v>
      </c>
    </row>
    <row r="1317" ht="15.75" customHeight="1">
      <c r="A1317" s="15" t="s">
        <v>1988</v>
      </c>
      <c r="B1317" s="15" t="s">
        <v>139</v>
      </c>
      <c r="C1317" s="16">
        <v>45560.0</v>
      </c>
      <c r="D1317" s="16">
        <v>45590.0</v>
      </c>
      <c r="E1317" s="15" t="s">
        <v>684</v>
      </c>
      <c r="F1317" s="19">
        <v>19.99</v>
      </c>
      <c r="G1317" s="15" t="s">
        <v>675</v>
      </c>
    </row>
    <row r="1318" ht="15.75" customHeight="1">
      <c r="A1318" s="17" t="s">
        <v>1989</v>
      </c>
      <c r="B1318" s="17" t="s">
        <v>314</v>
      </c>
      <c r="C1318" s="18">
        <v>45560.0</v>
      </c>
      <c r="D1318" s="18">
        <v>45590.0</v>
      </c>
      <c r="E1318" s="17" t="s">
        <v>684</v>
      </c>
      <c r="F1318" s="20">
        <v>19.99</v>
      </c>
      <c r="G1318" s="17" t="s">
        <v>675</v>
      </c>
    </row>
    <row r="1319" ht="15.75" customHeight="1">
      <c r="A1319" s="15" t="s">
        <v>1990</v>
      </c>
      <c r="B1319" s="15" t="s">
        <v>351</v>
      </c>
      <c r="C1319" s="16">
        <v>45560.0</v>
      </c>
      <c r="D1319" s="16">
        <v>45590.0</v>
      </c>
      <c r="E1319" s="15" t="s">
        <v>684</v>
      </c>
      <c r="F1319" s="19">
        <v>19.99</v>
      </c>
      <c r="G1319" s="15" t="s">
        <v>675</v>
      </c>
    </row>
    <row r="1320" ht="15.75" customHeight="1">
      <c r="A1320" s="17" t="s">
        <v>1991</v>
      </c>
      <c r="B1320" s="17" t="s">
        <v>103</v>
      </c>
      <c r="C1320" s="18">
        <v>45560.0</v>
      </c>
      <c r="D1320" s="18">
        <v>45590.0</v>
      </c>
      <c r="E1320" s="17" t="s">
        <v>684</v>
      </c>
      <c r="F1320" s="20">
        <v>19.99</v>
      </c>
      <c r="G1320" s="17" t="s">
        <v>675</v>
      </c>
    </row>
    <row r="1321" ht="15.75" customHeight="1">
      <c r="A1321" s="15" t="s">
        <v>1992</v>
      </c>
      <c r="B1321" s="15" t="s">
        <v>352</v>
      </c>
      <c r="C1321" s="16">
        <v>45560.0</v>
      </c>
      <c r="D1321" s="16">
        <v>45590.0</v>
      </c>
      <c r="E1321" s="15" t="s">
        <v>684</v>
      </c>
      <c r="F1321" s="19">
        <v>19.99</v>
      </c>
      <c r="G1321" s="15" t="s">
        <v>675</v>
      </c>
    </row>
    <row r="1322" ht="15.75" customHeight="1">
      <c r="A1322" s="17" t="s">
        <v>1993</v>
      </c>
      <c r="B1322" s="17" t="s">
        <v>140</v>
      </c>
      <c r="C1322" s="18">
        <v>45560.0</v>
      </c>
      <c r="D1322" s="18">
        <v>45590.0</v>
      </c>
      <c r="E1322" s="17" t="s">
        <v>684</v>
      </c>
      <c r="F1322" s="20">
        <v>19.99</v>
      </c>
      <c r="G1322" s="17" t="s">
        <v>675</v>
      </c>
    </row>
    <row r="1323" ht="15.75" customHeight="1">
      <c r="A1323" s="15" t="s">
        <v>1994</v>
      </c>
      <c r="B1323" s="15" t="s">
        <v>171</v>
      </c>
      <c r="C1323" s="16">
        <v>45560.0</v>
      </c>
      <c r="D1323" s="16">
        <v>45590.0</v>
      </c>
      <c r="E1323" s="15" t="s">
        <v>684</v>
      </c>
      <c r="F1323" s="19">
        <v>19.99</v>
      </c>
      <c r="G1323" s="15" t="s">
        <v>675</v>
      </c>
    </row>
    <row r="1324" ht="15.75" customHeight="1">
      <c r="A1324" s="17" t="s">
        <v>1995</v>
      </c>
      <c r="B1324" s="17" t="s">
        <v>230</v>
      </c>
      <c r="C1324" s="18">
        <v>45560.0</v>
      </c>
      <c r="D1324" s="18">
        <v>45590.0</v>
      </c>
      <c r="E1324" s="17" t="s">
        <v>684</v>
      </c>
      <c r="F1324" s="20">
        <v>19.99</v>
      </c>
      <c r="G1324" s="17" t="s">
        <v>675</v>
      </c>
    </row>
    <row r="1325" ht="15.75" customHeight="1">
      <c r="A1325" s="15" t="s">
        <v>1996</v>
      </c>
      <c r="B1325" s="15" t="s">
        <v>353</v>
      </c>
      <c r="C1325" s="16">
        <v>45561.0</v>
      </c>
      <c r="D1325" s="16">
        <v>45591.0</v>
      </c>
      <c r="E1325" s="15" t="s">
        <v>684</v>
      </c>
      <c r="F1325" s="19">
        <v>19.99</v>
      </c>
      <c r="G1325" s="15" t="s">
        <v>675</v>
      </c>
    </row>
    <row r="1326" ht="15.75" customHeight="1">
      <c r="A1326" s="17" t="s">
        <v>1997</v>
      </c>
      <c r="B1326" s="17" t="s">
        <v>265</v>
      </c>
      <c r="C1326" s="18">
        <v>45561.0</v>
      </c>
      <c r="D1326" s="18">
        <v>45591.0</v>
      </c>
      <c r="E1326" s="17" t="s">
        <v>684</v>
      </c>
      <c r="F1326" s="20">
        <v>19.99</v>
      </c>
      <c r="G1326" s="17" t="s">
        <v>675</v>
      </c>
    </row>
    <row r="1327" ht="15.75" customHeight="1">
      <c r="A1327" s="15" t="s">
        <v>1998</v>
      </c>
      <c r="B1327" s="15" t="s">
        <v>315</v>
      </c>
      <c r="C1327" s="16">
        <v>45561.0</v>
      </c>
      <c r="D1327" s="16">
        <v>45591.0</v>
      </c>
      <c r="E1327" s="15" t="s">
        <v>684</v>
      </c>
      <c r="F1327" s="19">
        <v>19.99</v>
      </c>
      <c r="G1327" s="15" t="s">
        <v>675</v>
      </c>
    </row>
    <row r="1328" ht="15.75" customHeight="1">
      <c r="A1328" s="17" t="s">
        <v>1999</v>
      </c>
      <c r="B1328" s="17" t="s">
        <v>172</v>
      </c>
      <c r="C1328" s="18">
        <v>45561.0</v>
      </c>
      <c r="D1328" s="18">
        <v>45591.0</v>
      </c>
      <c r="E1328" s="17" t="s">
        <v>684</v>
      </c>
      <c r="F1328" s="20">
        <v>19.99</v>
      </c>
      <c r="G1328" s="17" t="s">
        <v>675</v>
      </c>
    </row>
    <row r="1329" ht="15.75" customHeight="1">
      <c r="A1329" s="15" t="s">
        <v>2000</v>
      </c>
      <c r="B1329" s="15" t="s">
        <v>360</v>
      </c>
      <c r="C1329" s="16">
        <v>45561.0</v>
      </c>
      <c r="D1329" s="16">
        <v>45568.0</v>
      </c>
      <c r="E1329" s="15" t="s">
        <v>674</v>
      </c>
      <c r="F1329" s="19">
        <v>0.0</v>
      </c>
      <c r="G1329" s="15" t="s">
        <v>675</v>
      </c>
    </row>
    <row r="1330" ht="15.75" customHeight="1">
      <c r="A1330" s="17" t="s">
        <v>2001</v>
      </c>
      <c r="B1330" s="17" t="s">
        <v>316</v>
      </c>
      <c r="C1330" s="18">
        <v>45561.0</v>
      </c>
      <c r="D1330" s="18">
        <v>45591.0</v>
      </c>
      <c r="E1330" s="17" t="s">
        <v>684</v>
      </c>
      <c r="F1330" s="20">
        <v>19.99</v>
      </c>
      <c r="G1330" s="17" t="s">
        <v>675</v>
      </c>
    </row>
    <row r="1331" ht="15.75" customHeight="1">
      <c r="A1331" s="15" t="s">
        <v>2002</v>
      </c>
      <c r="B1331" s="15" t="s">
        <v>210</v>
      </c>
      <c r="C1331" s="16">
        <v>45561.0</v>
      </c>
      <c r="D1331" s="16">
        <v>45591.0</v>
      </c>
      <c r="E1331" s="15" t="s">
        <v>684</v>
      </c>
      <c r="F1331" s="19">
        <v>19.99</v>
      </c>
      <c r="G1331" s="15" t="s">
        <v>675</v>
      </c>
    </row>
    <row r="1332" ht="15.75" customHeight="1">
      <c r="A1332" s="17" t="s">
        <v>2003</v>
      </c>
      <c r="B1332" s="17" t="s">
        <v>317</v>
      </c>
      <c r="C1332" s="18">
        <v>45562.0</v>
      </c>
      <c r="D1332" s="18">
        <v>45592.0</v>
      </c>
      <c r="E1332" s="17" t="s">
        <v>684</v>
      </c>
      <c r="F1332" s="20">
        <v>19.99</v>
      </c>
      <c r="G1332" s="17" t="s">
        <v>675</v>
      </c>
    </row>
    <row r="1333" ht="15.75" customHeight="1">
      <c r="A1333" s="15" t="s">
        <v>2004</v>
      </c>
      <c r="B1333" s="15" t="s">
        <v>104</v>
      </c>
      <c r="C1333" s="16">
        <v>45562.0</v>
      </c>
      <c r="D1333" s="16">
        <v>45592.0</v>
      </c>
      <c r="E1333" s="15" t="s">
        <v>684</v>
      </c>
      <c r="F1333" s="19">
        <v>19.99</v>
      </c>
      <c r="G1333" s="15" t="s">
        <v>675</v>
      </c>
    </row>
    <row r="1334" ht="15.75" customHeight="1">
      <c r="A1334" s="17" t="s">
        <v>2005</v>
      </c>
      <c r="B1334" s="17" t="s">
        <v>211</v>
      </c>
      <c r="C1334" s="18">
        <v>45562.0</v>
      </c>
      <c r="D1334" s="18">
        <v>45592.0</v>
      </c>
      <c r="E1334" s="17" t="s">
        <v>684</v>
      </c>
      <c r="F1334" s="20">
        <v>19.99</v>
      </c>
      <c r="G1334" s="17" t="s">
        <v>675</v>
      </c>
    </row>
    <row r="1335" ht="15.75" customHeight="1">
      <c r="A1335" s="15" t="s">
        <v>2006</v>
      </c>
      <c r="B1335" s="15" t="s">
        <v>354</v>
      </c>
      <c r="C1335" s="16">
        <v>45562.0</v>
      </c>
      <c r="D1335" s="16">
        <v>45592.0</v>
      </c>
      <c r="E1335" s="15" t="s">
        <v>684</v>
      </c>
      <c r="F1335" s="19">
        <v>19.99</v>
      </c>
      <c r="G1335" s="15" t="s">
        <v>675</v>
      </c>
    </row>
    <row r="1336" ht="15.75" customHeight="1">
      <c r="A1336" s="17" t="s">
        <v>2007</v>
      </c>
      <c r="B1336" s="17" t="s">
        <v>266</v>
      </c>
      <c r="C1336" s="18">
        <v>45562.0</v>
      </c>
      <c r="D1336" s="18">
        <v>45592.0</v>
      </c>
      <c r="E1336" s="17" t="s">
        <v>684</v>
      </c>
      <c r="F1336" s="20">
        <v>19.99</v>
      </c>
      <c r="G1336" s="17" t="s">
        <v>675</v>
      </c>
    </row>
    <row r="1337" ht="15.75" customHeight="1">
      <c r="A1337" s="15" t="s">
        <v>2008</v>
      </c>
      <c r="B1337" s="15" t="s">
        <v>267</v>
      </c>
      <c r="C1337" s="16">
        <v>45562.0</v>
      </c>
      <c r="D1337" s="16">
        <v>45592.0</v>
      </c>
      <c r="E1337" s="15" t="s">
        <v>684</v>
      </c>
      <c r="F1337" s="19">
        <v>19.99</v>
      </c>
      <c r="G1337" s="15" t="s">
        <v>675</v>
      </c>
    </row>
    <row r="1338" ht="15.75" customHeight="1">
      <c r="A1338" s="17" t="s">
        <v>2009</v>
      </c>
      <c r="B1338" s="17" t="s">
        <v>361</v>
      </c>
      <c r="C1338" s="18">
        <v>45562.0</v>
      </c>
      <c r="D1338" s="18">
        <v>45569.0</v>
      </c>
      <c r="E1338" s="17" t="s">
        <v>674</v>
      </c>
      <c r="F1338" s="20">
        <v>0.0</v>
      </c>
      <c r="G1338" s="17" t="s">
        <v>675</v>
      </c>
    </row>
    <row r="1339" ht="15.75" customHeight="1">
      <c r="A1339" s="15" t="s">
        <v>2010</v>
      </c>
      <c r="B1339" s="15" t="s">
        <v>268</v>
      </c>
      <c r="C1339" s="16">
        <v>45563.0</v>
      </c>
      <c r="D1339" s="16">
        <v>45593.0</v>
      </c>
      <c r="E1339" s="15" t="s">
        <v>684</v>
      </c>
      <c r="F1339" s="19">
        <v>19.99</v>
      </c>
      <c r="G1339" s="15" t="s">
        <v>675</v>
      </c>
    </row>
    <row r="1340" ht="15.75" customHeight="1">
      <c r="A1340" s="17" t="s">
        <v>2011</v>
      </c>
      <c r="B1340" s="17" t="s">
        <v>85</v>
      </c>
      <c r="C1340" s="18">
        <v>45563.0</v>
      </c>
      <c r="D1340" s="18">
        <v>45593.0</v>
      </c>
      <c r="E1340" s="17" t="s">
        <v>684</v>
      </c>
      <c r="F1340" s="20">
        <v>19.99</v>
      </c>
      <c r="G1340" s="17" t="s">
        <v>675</v>
      </c>
    </row>
    <row r="1341" ht="15.75" customHeight="1">
      <c r="A1341" s="15" t="s">
        <v>2012</v>
      </c>
      <c r="B1341" s="15" t="s">
        <v>355</v>
      </c>
      <c r="C1341" s="16">
        <v>45563.0</v>
      </c>
      <c r="D1341" s="16">
        <v>45593.0</v>
      </c>
      <c r="E1341" s="15" t="s">
        <v>684</v>
      </c>
      <c r="F1341" s="19">
        <v>19.99</v>
      </c>
      <c r="G1341" s="15" t="s">
        <v>675</v>
      </c>
    </row>
    <row r="1342" ht="15.75" customHeight="1">
      <c r="A1342" s="17" t="s">
        <v>2013</v>
      </c>
      <c r="B1342" s="17" t="s">
        <v>173</v>
      </c>
      <c r="C1342" s="18">
        <v>45563.0</v>
      </c>
      <c r="D1342" s="18">
        <v>45593.0</v>
      </c>
      <c r="E1342" s="17" t="s">
        <v>684</v>
      </c>
      <c r="F1342" s="20">
        <v>19.99</v>
      </c>
      <c r="G1342" s="17" t="s">
        <v>675</v>
      </c>
    </row>
    <row r="1343" ht="15.75" customHeight="1">
      <c r="A1343" s="15" t="s">
        <v>2014</v>
      </c>
      <c r="B1343" s="15" t="s">
        <v>318</v>
      </c>
      <c r="C1343" s="16">
        <v>45563.0</v>
      </c>
      <c r="D1343" s="16">
        <v>45593.0</v>
      </c>
      <c r="E1343" s="15" t="s">
        <v>684</v>
      </c>
      <c r="F1343" s="19">
        <v>19.99</v>
      </c>
      <c r="G1343" s="15" t="s">
        <v>675</v>
      </c>
    </row>
    <row r="1344" ht="15.75" customHeight="1">
      <c r="A1344" s="17" t="s">
        <v>2015</v>
      </c>
      <c r="B1344" s="17" t="s">
        <v>362</v>
      </c>
      <c r="C1344" s="18">
        <v>45563.0</v>
      </c>
      <c r="D1344" s="18">
        <v>45570.0</v>
      </c>
      <c r="E1344" s="17" t="s">
        <v>674</v>
      </c>
      <c r="F1344" s="20">
        <v>0.0</v>
      </c>
      <c r="G1344" s="17" t="s">
        <v>675</v>
      </c>
    </row>
    <row r="1345" ht="15.75" customHeight="1">
      <c r="A1345" s="15" t="s">
        <v>2016</v>
      </c>
      <c r="B1345" s="15" t="s">
        <v>234</v>
      </c>
      <c r="C1345" s="16">
        <v>45563.0</v>
      </c>
      <c r="D1345" s="16">
        <v>45593.0</v>
      </c>
      <c r="E1345" s="15" t="s">
        <v>684</v>
      </c>
      <c r="F1345" s="19">
        <v>19.99</v>
      </c>
      <c r="G1345" s="15" t="s">
        <v>675</v>
      </c>
    </row>
    <row r="1346" ht="15.75" customHeight="1">
      <c r="A1346" s="17" t="s">
        <v>2017</v>
      </c>
      <c r="B1346" s="17" t="s">
        <v>174</v>
      </c>
      <c r="C1346" s="18">
        <v>45563.0</v>
      </c>
      <c r="D1346" s="18">
        <v>45593.0</v>
      </c>
      <c r="E1346" s="17" t="s">
        <v>684</v>
      </c>
      <c r="F1346" s="20">
        <v>19.99</v>
      </c>
      <c r="G1346" s="17" t="s">
        <v>675</v>
      </c>
    </row>
    <row r="1347" ht="15.75" customHeight="1">
      <c r="A1347" s="15" t="s">
        <v>2018</v>
      </c>
      <c r="B1347" s="15" t="s">
        <v>235</v>
      </c>
      <c r="C1347" s="16">
        <v>45564.0</v>
      </c>
      <c r="D1347" s="16">
        <v>45594.0</v>
      </c>
      <c r="E1347" s="15" t="s">
        <v>684</v>
      </c>
      <c r="F1347" s="19">
        <v>19.99</v>
      </c>
      <c r="G1347" s="15" t="s">
        <v>675</v>
      </c>
    </row>
    <row r="1348" ht="15.75" customHeight="1">
      <c r="A1348" s="17" t="s">
        <v>2019</v>
      </c>
      <c r="B1348" s="17" t="s">
        <v>175</v>
      </c>
      <c r="C1348" s="18">
        <v>45564.0</v>
      </c>
      <c r="D1348" s="18">
        <v>45594.0</v>
      </c>
      <c r="E1348" s="17" t="s">
        <v>684</v>
      </c>
      <c r="F1348" s="20">
        <v>19.99</v>
      </c>
      <c r="G1348" s="17" t="s">
        <v>675</v>
      </c>
    </row>
    <row r="1349" ht="15.75" customHeight="1">
      <c r="A1349" s="15" t="s">
        <v>2020</v>
      </c>
      <c r="B1349" s="15" t="s">
        <v>236</v>
      </c>
      <c r="C1349" s="16">
        <v>45564.0</v>
      </c>
      <c r="D1349" s="16">
        <v>45594.0</v>
      </c>
      <c r="E1349" s="15" t="s">
        <v>684</v>
      </c>
      <c r="F1349" s="19">
        <v>19.99</v>
      </c>
      <c r="G1349" s="15" t="s">
        <v>675</v>
      </c>
    </row>
    <row r="1350" ht="15.75" customHeight="1">
      <c r="A1350" s="17" t="s">
        <v>2021</v>
      </c>
      <c r="B1350" s="17" t="s">
        <v>237</v>
      </c>
      <c r="C1350" s="18">
        <v>45564.0</v>
      </c>
      <c r="D1350" s="18">
        <v>45594.0</v>
      </c>
      <c r="E1350" s="17" t="s">
        <v>684</v>
      </c>
      <c r="F1350" s="20">
        <v>19.99</v>
      </c>
      <c r="G1350" s="17" t="s">
        <v>675</v>
      </c>
    </row>
    <row r="1351" ht="15.75" customHeight="1">
      <c r="A1351" s="15" t="s">
        <v>2022</v>
      </c>
      <c r="B1351" s="15" t="s">
        <v>269</v>
      </c>
      <c r="C1351" s="16">
        <v>45564.0</v>
      </c>
      <c r="D1351" s="16">
        <v>45594.0</v>
      </c>
      <c r="E1351" s="15" t="s">
        <v>684</v>
      </c>
      <c r="F1351" s="19">
        <v>19.99</v>
      </c>
      <c r="G1351" s="15" t="s">
        <v>675</v>
      </c>
    </row>
    <row r="1352" ht="15.75" customHeight="1">
      <c r="A1352" s="17" t="s">
        <v>2023</v>
      </c>
      <c r="B1352" s="17" t="s">
        <v>356</v>
      </c>
      <c r="C1352" s="18">
        <v>45564.0</v>
      </c>
      <c r="D1352" s="18">
        <v>45594.0</v>
      </c>
      <c r="E1352" s="17" t="s">
        <v>684</v>
      </c>
      <c r="F1352" s="20">
        <v>19.99</v>
      </c>
      <c r="G1352" s="17" t="s">
        <v>675</v>
      </c>
    </row>
    <row r="1353" ht="15.75" customHeight="1">
      <c r="A1353" s="15" t="s">
        <v>2024</v>
      </c>
      <c r="B1353" s="15" t="s">
        <v>319</v>
      </c>
      <c r="C1353" s="16">
        <v>45564.0</v>
      </c>
      <c r="D1353" s="16">
        <v>45594.0</v>
      </c>
      <c r="E1353" s="15" t="s">
        <v>684</v>
      </c>
      <c r="F1353" s="19">
        <v>19.99</v>
      </c>
      <c r="G1353" s="15" t="s">
        <v>675</v>
      </c>
    </row>
    <row r="1354" ht="15.75" customHeight="1">
      <c r="A1354" s="17" t="s">
        <v>2025</v>
      </c>
      <c r="B1354" s="17" t="s">
        <v>143</v>
      </c>
      <c r="C1354" s="18">
        <v>45564.0</v>
      </c>
      <c r="D1354" s="18">
        <v>45594.0</v>
      </c>
      <c r="E1354" s="17" t="s">
        <v>684</v>
      </c>
      <c r="F1354" s="20">
        <v>19.99</v>
      </c>
      <c r="G1354" s="17" t="s">
        <v>675</v>
      </c>
    </row>
    <row r="1355" ht="15.75" customHeight="1">
      <c r="A1355" s="15" t="s">
        <v>2026</v>
      </c>
      <c r="B1355" s="15" t="s">
        <v>357</v>
      </c>
      <c r="C1355" s="16">
        <v>45564.0</v>
      </c>
      <c r="D1355" s="16">
        <v>45594.0</v>
      </c>
      <c r="E1355" s="15" t="s">
        <v>684</v>
      </c>
      <c r="F1355" s="19">
        <v>19.99</v>
      </c>
      <c r="G1355" s="15" t="s">
        <v>675</v>
      </c>
    </row>
    <row r="1356" ht="15.75" customHeight="1">
      <c r="A1356" s="17" t="s">
        <v>2027</v>
      </c>
      <c r="B1356" s="17" t="s">
        <v>176</v>
      </c>
      <c r="C1356" s="18">
        <v>45565.0</v>
      </c>
      <c r="D1356" s="18">
        <v>45595.0</v>
      </c>
      <c r="E1356" s="17" t="s">
        <v>684</v>
      </c>
      <c r="F1356" s="20">
        <v>19.99</v>
      </c>
      <c r="G1356" s="17" t="s">
        <v>675</v>
      </c>
    </row>
    <row r="1357" ht="15.75" customHeight="1">
      <c r="A1357" s="15" t="s">
        <v>2028</v>
      </c>
      <c r="B1357" s="15" t="s">
        <v>271</v>
      </c>
      <c r="C1357" s="16">
        <v>45565.0</v>
      </c>
      <c r="D1357" s="16">
        <v>45595.0</v>
      </c>
      <c r="E1357" s="15" t="s">
        <v>684</v>
      </c>
      <c r="F1357" s="19">
        <v>19.99</v>
      </c>
      <c r="G1357" s="15" t="s">
        <v>675</v>
      </c>
    </row>
    <row r="1358" ht="15.75" customHeight="1">
      <c r="A1358" s="17" t="s">
        <v>2029</v>
      </c>
      <c r="B1358" s="17" t="s">
        <v>177</v>
      </c>
      <c r="C1358" s="18">
        <v>45565.0</v>
      </c>
      <c r="D1358" s="18">
        <v>45595.0</v>
      </c>
      <c r="E1358" s="17" t="s">
        <v>684</v>
      </c>
      <c r="F1358" s="20">
        <v>19.99</v>
      </c>
      <c r="G1358" s="17" t="s">
        <v>675</v>
      </c>
    </row>
    <row r="1359" ht="15.75" customHeight="1">
      <c r="A1359" s="15" t="s">
        <v>2030</v>
      </c>
      <c r="B1359" s="15" t="s">
        <v>106</v>
      </c>
      <c r="C1359" s="16">
        <v>45565.0</v>
      </c>
      <c r="D1359" s="16">
        <v>45595.0</v>
      </c>
      <c r="E1359" s="15" t="s">
        <v>684</v>
      </c>
      <c r="F1359" s="19">
        <v>19.99</v>
      </c>
      <c r="G1359" s="15" t="s">
        <v>675</v>
      </c>
    </row>
    <row r="1360" ht="15.75" customHeight="1">
      <c r="A1360" s="17" t="s">
        <v>2031</v>
      </c>
      <c r="B1360" s="17" t="s">
        <v>358</v>
      </c>
      <c r="C1360" s="18">
        <v>45565.0</v>
      </c>
      <c r="D1360" s="18">
        <v>45595.0</v>
      </c>
      <c r="E1360" s="17" t="s">
        <v>684</v>
      </c>
      <c r="F1360" s="20">
        <v>19.99</v>
      </c>
      <c r="G1360" s="17" t="s">
        <v>675</v>
      </c>
    </row>
    <row r="1361" ht="15.75" customHeight="1">
      <c r="A1361" s="15" t="s">
        <v>2032</v>
      </c>
      <c r="B1361" s="15" t="s">
        <v>321</v>
      </c>
      <c r="C1361" s="16">
        <v>45565.0</v>
      </c>
      <c r="D1361" s="16">
        <v>45595.0</v>
      </c>
      <c r="E1361" s="15" t="s">
        <v>684</v>
      </c>
      <c r="F1361" s="19">
        <v>19.99</v>
      </c>
      <c r="G1361" s="15" t="s">
        <v>675</v>
      </c>
    </row>
    <row r="1362" ht="15.75" customHeight="1">
      <c r="A1362" s="17" t="s">
        <v>2033</v>
      </c>
      <c r="B1362" s="17" t="s">
        <v>272</v>
      </c>
      <c r="C1362" s="18">
        <v>45565.0</v>
      </c>
      <c r="D1362" s="18">
        <v>45595.0</v>
      </c>
      <c r="E1362" s="17" t="s">
        <v>684</v>
      </c>
      <c r="F1362" s="20">
        <v>19.99</v>
      </c>
      <c r="G1362" s="17" t="s">
        <v>675</v>
      </c>
    </row>
    <row r="1363" ht="15.75" customHeight="1">
      <c r="A1363" s="15" t="s">
        <v>2034</v>
      </c>
      <c r="B1363" s="15" t="s">
        <v>179</v>
      </c>
      <c r="C1363" s="16">
        <v>45565.0</v>
      </c>
      <c r="D1363" s="16">
        <v>45595.0</v>
      </c>
      <c r="E1363" s="15" t="s">
        <v>684</v>
      </c>
      <c r="F1363" s="19">
        <v>19.99</v>
      </c>
      <c r="G1363" s="15" t="s">
        <v>675</v>
      </c>
    </row>
    <row r="1364" ht="15.75" customHeight="1">
      <c r="A1364" s="17" t="s">
        <v>2035</v>
      </c>
      <c r="B1364" s="17" t="s">
        <v>363</v>
      </c>
      <c r="C1364" s="18">
        <v>45565.0</v>
      </c>
      <c r="D1364" s="18">
        <v>45572.0</v>
      </c>
      <c r="E1364" s="17" t="s">
        <v>674</v>
      </c>
      <c r="F1364" s="20">
        <v>0.0</v>
      </c>
      <c r="G1364" s="17" t="s">
        <v>675</v>
      </c>
    </row>
    <row r="1365" ht="15.75" customHeight="1">
      <c r="A1365" s="15" t="s">
        <v>2036</v>
      </c>
      <c r="B1365" s="15" t="s">
        <v>364</v>
      </c>
      <c r="C1365" s="16">
        <v>45566.0</v>
      </c>
      <c r="D1365" s="16">
        <v>45573.0</v>
      </c>
      <c r="E1365" s="15" t="s">
        <v>674</v>
      </c>
      <c r="F1365" s="19">
        <v>0.0</v>
      </c>
      <c r="G1365" s="15" t="s">
        <v>675</v>
      </c>
    </row>
    <row r="1366" ht="15.75" customHeight="1">
      <c r="A1366" s="17" t="s">
        <v>2037</v>
      </c>
      <c r="B1366" s="17" t="s">
        <v>322</v>
      </c>
      <c r="C1366" s="18">
        <v>45566.0</v>
      </c>
      <c r="D1366" s="18">
        <v>45596.0</v>
      </c>
      <c r="E1366" s="17" t="s">
        <v>684</v>
      </c>
      <c r="F1366" s="20">
        <v>19.99</v>
      </c>
      <c r="G1366" s="17" t="s">
        <v>675</v>
      </c>
    </row>
    <row r="1367" ht="15.75" customHeight="1">
      <c r="A1367" s="15" t="s">
        <v>2038</v>
      </c>
      <c r="B1367" s="15" t="s">
        <v>273</v>
      </c>
      <c r="C1367" s="16">
        <v>45566.0</v>
      </c>
      <c r="D1367" s="16">
        <v>45596.0</v>
      </c>
      <c r="E1367" s="15" t="s">
        <v>684</v>
      </c>
      <c r="F1367" s="19">
        <v>19.99</v>
      </c>
      <c r="G1367" s="15" t="s">
        <v>675</v>
      </c>
    </row>
    <row r="1368" ht="15.75" customHeight="1">
      <c r="A1368" s="17" t="s">
        <v>2039</v>
      </c>
      <c r="B1368" s="17" t="s">
        <v>108</v>
      </c>
      <c r="C1368" s="18">
        <v>45566.0</v>
      </c>
      <c r="D1368" s="18">
        <v>45596.0</v>
      </c>
      <c r="E1368" s="17" t="s">
        <v>684</v>
      </c>
      <c r="F1368" s="20">
        <v>19.99</v>
      </c>
      <c r="G1368" s="17" t="s">
        <v>675</v>
      </c>
    </row>
    <row r="1369" ht="15.75" customHeight="1">
      <c r="A1369" s="15" t="s">
        <v>2040</v>
      </c>
      <c r="B1369" s="15" t="s">
        <v>144</v>
      </c>
      <c r="C1369" s="16">
        <v>45566.0</v>
      </c>
      <c r="D1369" s="16">
        <v>45596.0</v>
      </c>
      <c r="E1369" s="15" t="s">
        <v>684</v>
      </c>
      <c r="F1369" s="19">
        <v>19.99</v>
      </c>
      <c r="G1369" s="15" t="s">
        <v>675</v>
      </c>
    </row>
    <row r="1370" ht="15.75" customHeight="1">
      <c r="A1370" s="17" t="s">
        <v>2041</v>
      </c>
      <c r="B1370" s="17" t="s">
        <v>180</v>
      </c>
      <c r="C1370" s="18">
        <v>45566.0</v>
      </c>
      <c r="D1370" s="18">
        <v>45596.0</v>
      </c>
      <c r="E1370" s="17" t="s">
        <v>684</v>
      </c>
      <c r="F1370" s="20">
        <v>19.99</v>
      </c>
      <c r="G1370" s="17" t="s">
        <v>675</v>
      </c>
    </row>
    <row r="1371" ht="15.75" customHeight="1">
      <c r="A1371" s="15" t="s">
        <v>2042</v>
      </c>
      <c r="B1371" s="15" t="s">
        <v>359</v>
      </c>
      <c r="C1371" s="16">
        <v>45566.0</v>
      </c>
      <c r="D1371" s="16">
        <v>45596.0</v>
      </c>
      <c r="E1371" s="15" t="s">
        <v>684</v>
      </c>
      <c r="F1371" s="19">
        <v>19.99</v>
      </c>
      <c r="G1371" s="15" t="s">
        <v>675</v>
      </c>
    </row>
    <row r="1372" ht="15.75" customHeight="1">
      <c r="A1372" s="17" t="s">
        <v>2043</v>
      </c>
      <c r="B1372" s="17" t="s">
        <v>365</v>
      </c>
      <c r="C1372" s="18">
        <v>45566.0</v>
      </c>
      <c r="D1372" s="18">
        <v>45573.0</v>
      </c>
      <c r="E1372" s="17" t="s">
        <v>674</v>
      </c>
      <c r="F1372" s="20">
        <v>0.0</v>
      </c>
      <c r="G1372" s="17" t="s">
        <v>675</v>
      </c>
    </row>
    <row r="1373" ht="15.75" customHeight="1">
      <c r="A1373" s="15" t="s">
        <v>2044</v>
      </c>
      <c r="B1373" s="15" t="s">
        <v>212</v>
      </c>
      <c r="C1373" s="16">
        <v>45566.0</v>
      </c>
      <c r="D1373" s="16">
        <v>45596.0</v>
      </c>
      <c r="E1373" s="15" t="s">
        <v>684</v>
      </c>
      <c r="F1373" s="19">
        <v>19.99</v>
      </c>
      <c r="G1373" s="15" t="s">
        <v>675</v>
      </c>
    </row>
    <row r="1374" ht="15.75" customHeight="1">
      <c r="A1374" s="17" t="s">
        <v>2045</v>
      </c>
      <c r="B1374" s="17" t="s">
        <v>109</v>
      </c>
      <c r="C1374" s="18">
        <v>45566.0</v>
      </c>
      <c r="D1374" s="18">
        <v>45596.0</v>
      </c>
      <c r="E1374" s="17" t="s">
        <v>684</v>
      </c>
      <c r="F1374" s="20">
        <v>19.99</v>
      </c>
      <c r="G1374" s="17" t="s">
        <v>675</v>
      </c>
    </row>
    <row r="1375" ht="15.75" customHeight="1">
      <c r="A1375" s="15" t="s">
        <v>2046</v>
      </c>
      <c r="B1375" s="15" t="s">
        <v>110</v>
      </c>
      <c r="C1375" s="16">
        <v>45566.0</v>
      </c>
      <c r="D1375" s="16">
        <v>45596.0</v>
      </c>
      <c r="E1375" s="15" t="s">
        <v>684</v>
      </c>
      <c r="F1375" s="19">
        <v>19.99</v>
      </c>
      <c r="G1375" s="15" t="s">
        <v>675</v>
      </c>
    </row>
    <row r="1376" ht="15.75" customHeight="1">
      <c r="A1376" s="17" t="s">
        <v>2047</v>
      </c>
      <c r="B1376" s="17" t="s">
        <v>366</v>
      </c>
      <c r="C1376" s="18">
        <v>45566.0</v>
      </c>
      <c r="D1376" s="18">
        <v>45573.0</v>
      </c>
      <c r="E1376" s="17" t="s">
        <v>674</v>
      </c>
      <c r="F1376" s="20">
        <v>0.0</v>
      </c>
      <c r="G1376" s="17" t="s">
        <v>675</v>
      </c>
    </row>
    <row r="1377" ht="15.75" customHeight="1">
      <c r="A1377" s="15" t="s">
        <v>2048</v>
      </c>
      <c r="B1377" s="15" t="s">
        <v>111</v>
      </c>
      <c r="C1377" s="16">
        <v>45566.0</v>
      </c>
      <c r="D1377" s="16">
        <v>45596.0</v>
      </c>
      <c r="E1377" s="15" t="s">
        <v>684</v>
      </c>
      <c r="F1377" s="19">
        <v>19.99</v>
      </c>
      <c r="G1377" s="15" t="s">
        <v>675</v>
      </c>
    </row>
    <row r="1378" ht="15.75" customHeight="1">
      <c r="A1378" s="17" t="s">
        <v>2049</v>
      </c>
      <c r="B1378" s="17" t="s">
        <v>181</v>
      </c>
      <c r="C1378" s="18">
        <v>45567.0</v>
      </c>
      <c r="D1378" s="18">
        <v>45597.0</v>
      </c>
      <c r="E1378" s="17" t="s">
        <v>684</v>
      </c>
      <c r="F1378" s="20">
        <v>19.99</v>
      </c>
      <c r="G1378" s="17" t="s">
        <v>675</v>
      </c>
    </row>
    <row r="1379" ht="15.75" customHeight="1">
      <c r="A1379" s="15" t="s">
        <v>2050</v>
      </c>
      <c r="B1379" s="15" t="s">
        <v>238</v>
      </c>
      <c r="C1379" s="16">
        <v>45567.0</v>
      </c>
      <c r="D1379" s="16">
        <v>45597.0</v>
      </c>
      <c r="E1379" s="15" t="s">
        <v>684</v>
      </c>
      <c r="F1379" s="19">
        <v>19.99</v>
      </c>
      <c r="G1379" s="15" t="s">
        <v>675</v>
      </c>
    </row>
    <row r="1380" ht="15.75" customHeight="1">
      <c r="A1380" s="17" t="s">
        <v>2051</v>
      </c>
      <c r="B1380" s="17" t="s">
        <v>323</v>
      </c>
      <c r="C1380" s="18">
        <v>45567.0</v>
      </c>
      <c r="D1380" s="18">
        <v>45597.0</v>
      </c>
      <c r="E1380" s="17" t="s">
        <v>684</v>
      </c>
      <c r="F1380" s="20">
        <v>19.99</v>
      </c>
      <c r="G1380" s="17" t="s">
        <v>675</v>
      </c>
    </row>
    <row r="1381" ht="15.75" customHeight="1">
      <c r="A1381" s="15" t="s">
        <v>2052</v>
      </c>
      <c r="B1381" s="15" t="s">
        <v>113</v>
      </c>
      <c r="C1381" s="16">
        <v>45567.0</v>
      </c>
      <c r="D1381" s="16">
        <v>45597.0</v>
      </c>
      <c r="E1381" s="15" t="s">
        <v>684</v>
      </c>
      <c r="F1381" s="19">
        <v>19.99</v>
      </c>
      <c r="G1381" s="15" t="s">
        <v>675</v>
      </c>
    </row>
    <row r="1382" ht="15.75" customHeight="1">
      <c r="A1382" s="17" t="s">
        <v>2053</v>
      </c>
      <c r="B1382" s="17" t="s">
        <v>324</v>
      </c>
      <c r="C1382" s="18">
        <v>45567.0</v>
      </c>
      <c r="D1382" s="18">
        <v>45597.0</v>
      </c>
      <c r="E1382" s="17" t="s">
        <v>684</v>
      </c>
      <c r="F1382" s="20">
        <v>19.99</v>
      </c>
      <c r="G1382" s="17" t="s">
        <v>675</v>
      </c>
    </row>
    <row r="1383" ht="15.75" customHeight="1">
      <c r="A1383" s="15" t="s">
        <v>2054</v>
      </c>
      <c r="B1383" s="15" t="s">
        <v>274</v>
      </c>
      <c r="C1383" s="16">
        <v>45567.0</v>
      </c>
      <c r="D1383" s="16">
        <v>45597.0</v>
      </c>
      <c r="E1383" s="15" t="s">
        <v>684</v>
      </c>
      <c r="F1383" s="19">
        <v>19.99</v>
      </c>
      <c r="G1383" s="15" t="s">
        <v>675</v>
      </c>
    </row>
    <row r="1384" ht="15.75" customHeight="1">
      <c r="A1384" s="17" t="s">
        <v>2055</v>
      </c>
      <c r="B1384" s="17" t="s">
        <v>239</v>
      </c>
      <c r="C1384" s="18">
        <v>45567.0</v>
      </c>
      <c r="D1384" s="18">
        <v>45597.0</v>
      </c>
      <c r="E1384" s="17" t="s">
        <v>684</v>
      </c>
      <c r="F1384" s="20">
        <v>19.99</v>
      </c>
      <c r="G1384" s="17" t="s">
        <v>675</v>
      </c>
    </row>
    <row r="1385" ht="15.75" customHeight="1">
      <c r="A1385" s="15" t="s">
        <v>2056</v>
      </c>
      <c r="B1385" s="15" t="s">
        <v>213</v>
      </c>
      <c r="C1385" s="16">
        <v>45568.0</v>
      </c>
      <c r="D1385" s="16">
        <v>45598.0</v>
      </c>
      <c r="E1385" s="15" t="s">
        <v>684</v>
      </c>
      <c r="F1385" s="19">
        <v>19.99</v>
      </c>
      <c r="G1385" s="15" t="s">
        <v>675</v>
      </c>
    </row>
    <row r="1386" ht="15.75" customHeight="1">
      <c r="A1386" s="17" t="s">
        <v>2057</v>
      </c>
      <c r="B1386" s="17" t="s">
        <v>367</v>
      </c>
      <c r="C1386" s="18">
        <v>45568.0</v>
      </c>
      <c r="D1386" s="18">
        <v>45575.0</v>
      </c>
      <c r="E1386" s="17" t="s">
        <v>674</v>
      </c>
      <c r="F1386" s="20">
        <v>0.0</v>
      </c>
      <c r="G1386" s="17" t="s">
        <v>675</v>
      </c>
    </row>
    <row r="1387" ht="15.75" customHeight="1">
      <c r="A1387" s="15" t="s">
        <v>2058</v>
      </c>
      <c r="B1387" s="15" t="s">
        <v>368</v>
      </c>
      <c r="C1387" s="16">
        <v>45568.0</v>
      </c>
      <c r="D1387" s="16">
        <v>45575.0</v>
      </c>
      <c r="E1387" s="15" t="s">
        <v>674</v>
      </c>
      <c r="F1387" s="19">
        <v>0.0</v>
      </c>
      <c r="G1387" s="15" t="s">
        <v>675</v>
      </c>
    </row>
    <row r="1388" ht="15.75" customHeight="1">
      <c r="A1388" s="17" t="s">
        <v>2059</v>
      </c>
      <c r="B1388" s="17" t="s">
        <v>325</v>
      </c>
      <c r="C1388" s="18">
        <v>45568.0</v>
      </c>
      <c r="D1388" s="18">
        <v>45598.0</v>
      </c>
      <c r="E1388" s="17" t="s">
        <v>684</v>
      </c>
      <c r="F1388" s="20">
        <v>19.99</v>
      </c>
      <c r="G1388" s="17" t="s">
        <v>675</v>
      </c>
    </row>
    <row r="1389" ht="15.75" customHeight="1">
      <c r="A1389" s="15" t="s">
        <v>2060</v>
      </c>
      <c r="B1389" s="15" t="s">
        <v>115</v>
      </c>
      <c r="C1389" s="16">
        <v>45568.0</v>
      </c>
      <c r="D1389" s="16">
        <v>45598.0</v>
      </c>
      <c r="E1389" s="15" t="s">
        <v>684</v>
      </c>
      <c r="F1389" s="19">
        <v>19.99</v>
      </c>
      <c r="G1389" s="15" t="s">
        <v>675</v>
      </c>
    </row>
    <row r="1390" ht="15.75" customHeight="1">
      <c r="A1390" s="17" t="s">
        <v>2061</v>
      </c>
      <c r="B1390" s="17" t="s">
        <v>276</v>
      </c>
      <c r="C1390" s="18">
        <v>45568.0</v>
      </c>
      <c r="D1390" s="18">
        <v>45598.0</v>
      </c>
      <c r="E1390" s="17" t="s">
        <v>684</v>
      </c>
      <c r="F1390" s="20">
        <v>19.99</v>
      </c>
      <c r="G1390" s="17" t="s">
        <v>675</v>
      </c>
    </row>
    <row r="1391" ht="15.75" customHeight="1">
      <c r="A1391" s="15" t="s">
        <v>2062</v>
      </c>
      <c r="B1391" s="15" t="s">
        <v>360</v>
      </c>
      <c r="C1391" s="16">
        <v>45568.0</v>
      </c>
      <c r="D1391" s="16">
        <v>45598.0</v>
      </c>
      <c r="E1391" s="15" t="s">
        <v>684</v>
      </c>
      <c r="F1391" s="19">
        <v>19.99</v>
      </c>
      <c r="G1391" s="15" t="s">
        <v>675</v>
      </c>
    </row>
    <row r="1392" ht="15.75" customHeight="1">
      <c r="A1392" s="17" t="s">
        <v>2063</v>
      </c>
      <c r="B1392" s="17" t="s">
        <v>369</v>
      </c>
      <c r="C1392" s="18">
        <v>45568.0</v>
      </c>
      <c r="D1392" s="18">
        <v>45575.0</v>
      </c>
      <c r="E1392" s="17" t="s">
        <v>674</v>
      </c>
      <c r="F1392" s="20">
        <v>0.0</v>
      </c>
      <c r="G1392" s="17" t="s">
        <v>675</v>
      </c>
    </row>
    <row r="1393" ht="15.75" customHeight="1">
      <c r="A1393" s="15" t="s">
        <v>2064</v>
      </c>
      <c r="B1393" s="15" t="s">
        <v>214</v>
      </c>
      <c r="C1393" s="16">
        <v>45568.0</v>
      </c>
      <c r="D1393" s="16">
        <v>45598.0</v>
      </c>
      <c r="E1393" s="15" t="s">
        <v>684</v>
      </c>
      <c r="F1393" s="19">
        <v>19.99</v>
      </c>
      <c r="G1393" s="15" t="s">
        <v>675</v>
      </c>
    </row>
    <row r="1394" ht="15.75" customHeight="1">
      <c r="A1394" s="17" t="s">
        <v>2065</v>
      </c>
      <c r="B1394" s="17" t="s">
        <v>277</v>
      </c>
      <c r="C1394" s="18">
        <v>45568.0</v>
      </c>
      <c r="D1394" s="18">
        <v>45598.0</v>
      </c>
      <c r="E1394" s="17" t="s">
        <v>684</v>
      </c>
      <c r="F1394" s="20">
        <v>19.99</v>
      </c>
      <c r="G1394" s="17" t="s">
        <v>675</v>
      </c>
    </row>
    <row r="1395" ht="15.75" customHeight="1">
      <c r="A1395" s="15" t="s">
        <v>2066</v>
      </c>
      <c r="B1395" s="15" t="s">
        <v>240</v>
      </c>
      <c r="C1395" s="16">
        <v>45568.0</v>
      </c>
      <c r="D1395" s="16">
        <v>45598.0</v>
      </c>
      <c r="E1395" s="15" t="s">
        <v>684</v>
      </c>
      <c r="F1395" s="19">
        <v>19.99</v>
      </c>
      <c r="G1395" s="15" t="s">
        <v>675</v>
      </c>
    </row>
    <row r="1396" ht="15.75" customHeight="1">
      <c r="A1396" s="17" t="s">
        <v>2067</v>
      </c>
      <c r="B1396" s="17" t="s">
        <v>241</v>
      </c>
      <c r="C1396" s="18">
        <v>45568.0</v>
      </c>
      <c r="D1396" s="18">
        <v>45598.0</v>
      </c>
      <c r="E1396" s="17" t="s">
        <v>684</v>
      </c>
      <c r="F1396" s="20">
        <v>19.99</v>
      </c>
      <c r="G1396" s="17" t="s">
        <v>675</v>
      </c>
    </row>
    <row r="1397" ht="15.75" customHeight="1">
      <c r="A1397" s="15" t="s">
        <v>2068</v>
      </c>
      <c r="B1397" s="15" t="s">
        <v>183</v>
      </c>
      <c r="C1397" s="16">
        <v>45569.0</v>
      </c>
      <c r="D1397" s="16">
        <v>45599.0</v>
      </c>
      <c r="E1397" s="15" t="s">
        <v>684</v>
      </c>
      <c r="F1397" s="19">
        <v>19.99</v>
      </c>
      <c r="G1397" s="15" t="s">
        <v>675</v>
      </c>
    </row>
    <row r="1398" ht="15.75" customHeight="1">
      <c r="A1398" s="17" t="s">
        <v>2069</v>
      </c>
      <c r="B1398" s="17" t="s">
        <v>146</v>
      </c>
      <c r="C1398" s="18">
        <v>45569.0</v>
      </c>
      <c r="D1398" s="18">
        <v>45599.0</v>
      </c>
      <c r="E1398" s="17" t="s">
        <v>684</v>
      </c>
      <c r="F1398" s="20">
        <v>19.99</v>
      </c>
      <c r="G1398" s="17" t="s">
        <v>675</v>
      </c>
    </row>
    <row r="1399" ht="15.75" customHeight="1">
      <c r="A1399" s="15" t="s">
        <v>2070</v>
      </c>
      <c r="B1399" s="15" t="s">
        <v>327</v>
      </c>
      <c r="C1399" s="16">
        <v>45569.0</v>
      </c>
      <c r="D1399" s="16">
        <v>45599.0</v>
      </c>
      <c r="E1399" s="15" t="s">
        <v>684</v>
      </c>
      <c r="F1399" s="19">
        <v>19.99</v>
      </c>
      <c r="G1399" s="15" t="s">
        <v>675</v>
      </c>
    </row>
    <row r="1400" ht="15.75" customHeight="1">
      <c r="A1400" s="17" t="s">
        <v>2071</v>
      </c>
      <c r="B1400" s="17" t="s">
        <v>56</v>
      </c>
      <c r="C1400" s="18">
        <v>45569.0</v>
      </c>
      <c r="D1400" s="18">
        <v>45599.0</v>
      </c>
      <c r="E1400" s="17" t="s">
        <v>684</v>
      </c>
      <c r="F1400" s="20">
        <v>19.99</v>
      </c>
      <c r="G1400" s="17" t="s">
        <v>675</v>
      </c>
    </row>
    <row r="1401" ht="15.75" customHeight="1">
      <c r="A1401" s="15" t="s">
        <v>2072</v>
      </c>
      <c r="B1401" s="15" t="s">
        <v>279</v>
      </c>
      <c r="C1401" s="16">
        <v>45569.0</v>
      </c>
      <c r="D1401" s="16">
        <v>45599.0</v>
      </c>
      <c r="E1401" s="15" t="s">
        <v>684</v>
      </c>
      <c r="F1401" s="19">
        <v>19.99</v>
      </c>
      <c r="G1401" s="15" t="s">
        <v>675</v>
      </c>
    </row>
    <row r="1402" ht="15.75" customHeight="1">
      <c r="A1402" s="17" t="s">
        <v>2073</v>
      </c>
      <c r="B1402" s="17" t="s">
        <v>370</v>
      </c>
      <c r="C1402" s="18">
        <v>45569.0</v>
      </c>
      <c r="D1402" s="18">
        <v>45576.0</v>
      </c>
      <c r="E1402" s="17" t="s">
        <v>674</v>
      </c>
      <c r="F1402" s="20">
        <v>0.0</v>
      </c>
      <c r="G1402" s="17" t="s">
        <v>675</v>
      </c>
    </row>
    <row r="1403" ht="15.75" customHeight="1">
      <c r="A1403" s="15" t="s">
        <v>2074</v>
      </c>
      <c r="B1403" s="15" t="s">
        <v>361</v>
      </c>
      <c r="C1403" s="16">
        <v>45569.0</v>
      </c>
      <c r="D1403" s="16">
        <v>45599.0</v>
      </c>
      <c r="E1403" s="15" t="s">
        <v>684</v>
      </c>
      <c r="F1403" s="19">
        <v>19.99</v>
      </c>
      <c r="G1403" s="15" t="s">
        <v>675</v>
      </c>
    </row>
    <row r="1404" ht="15.75" customHeight="1">
      <c r="A1404" s="17" t="s">
        <v>2075</v>
      </c>
      <c r="B1404" s="17" t="s">
        <v>371</v>
      </c>
      <c r="C1404" s="18">
        <v>45569.0</v>
      </c>
      <c r="D1404" s="18">
        <v>45576.0</v>
      </c>
      <c r="E1404" s="17" t="s">
        <v>674</v>
      </c>
      <c r="F1404" s="20">
        <v>0.0</v>
      </c>
      <c r="G1404" s="17" t="s">
        <v>675</v>
      </c>
    </row>
    <row r="1405" ht="15.75" customHeight="1">
      <c r="A1405" s="15" t="s">
        <v>2076</v>
      </c>
      <c r="B1405" s="15" t="s">
        <v>372</v>
      </c>
      <c r="C1405" s="16">
        <v>45570.0</v>
      </c>
      <c r="D1405" s="16">
        <v>45577.0</v>
      </c>
      <c r="E1405" s="15" t="s">
        <v>674</v>
      </c>
      <c r="F1405" s="19">
        <v>0.0</v>
      </c>
      <c r="G1405" s="15" t="s">
        <v>675</v>
      </c>
    </row>
    <row r="1406" ht="15.75" customHeight="1">
      <c r="A1406" s="17" t="s">
        <v>2077</v>
      </c>
      <c r="B1406" s="17" t="s">
        <v>280</v>
      </c>
      <c r="C1406" s="18">
        <v>45570.0</v>
      </c>
      <c r="D1406" s="18">
        <v>45600.0</v>
      </c>
      <c r="E1406" s="17" t="s">
        <v>684</v>
      </c>
      <c r="F1406" s="20">
        <v>19.99</v>
      </c>
      <c r="G1406" s="17" t="s">
        <v>675</v>
      </c>
    </row>
    <row r="1407" ht="15.75" customHeight="1">
      <c r="A1407" s="15" t="s">
        <v>2078</v>
      </c>
      <c r="B1407" s="15" t="s">
        <v>116</v>
      </c>
      <c r="C1407" s="16">
        <v>45570.0</v>
      </c>
      <c r="D1407" s="16">
        <v>45600.0</v>
      </c>
      <c r="E1407" s="15" t="s">
        <v>684</v>
      </c>
      <c r="F1407" s="19">
        <v>19.99</v>
      </c>
      <c r="G1407" s="15" t="s">
        <v>675</v>
      </c>
    </row>
    <row r="1408" ht="15.75" customHeight="1">
      <c r="A1408" s="17" t="s">
        <v>2079</v>
      </c>
      <c r="B1408" s="17" t="s">
        <v>373</v>
      </c>
      <c r="C1408" s="18">
        <v>45570.0</v>
      </c>
      <c r="D1408" s="18">
        <v>45577.0</v>
      </c>
      <c r="E1408" s="17" t="s">
        <v>674</v>
      </c>
      <c r="F1408" s="20">
        <v>0.0</v>
      </c>
      <c r="G1408" s="17" t="s">
        <v>675</v>
      </c>
    </row>
    <row r="1409" ht="15.75" customHeight="1">
      <c r="A1409" s="15" t="s">
        <v>2080</v>
      </c>
      <c r="B1409" s="15" t="s">
        <v>374</v>
      </c>
      <c r="C1409" s="16">
        <v>45570.0</v>
      </c>
      <c r="D1409" s="16">
        <v>45577.0</v>
      </c>
      <c r="E1409" s="15" t="s">
        <v>674</v>
      </c>
      <c r="F1409" s="19">
        <v>0.0</v>
      </c>
      <c r="G1409" s="15" t="s">
        <v>675</v>
      </c>
    </row>
    <row r="1410" ht="15.75" customHeight="1">
      <c r="A1410" s="17" t="s">
        <v>2081</v>
      </c>
      <c r="B1410" s="17" t="s">
        <v>215</v>
      </c>
      <c r="C1410" s="18">
        <v>45570.0</v>
      </c>
      <c r="D1410" s="18">
        <v>45600.0</v>
      </c>
      <c r="E1410" s="17" t="s">
        <v>684</v>
      </c>
      <c r="F1410" s="20">
        <v>19.99</v>
      </c>
      <c r="G1410" s="17" t="s">
        <v>675</v>
      </c>
    </row>
    <row r="1411" ht="15.75" customHeight="1">
      <c r="A1411" s="15" t="s">
        <v>2082</v>
      </c>
      <c r="B1411" s="15" t="s">
        <v>362</v>
      </c>
      <c r="C1411" s="16">
        <v>45570.0</v>
      </c>
      <c r="D1411" s="16">
        <v>45600.0</v>
      </c>
      <c r="E1411" s="15" t="s">
        <v>684</v>
      </c>
      <c r="F1411" s="19">
        <v>19.99</v>
      </c>
      <c r="G1411" s="15" t="s">
        <v>675</v>
      </c>
    </row>
    <row r="1412" ht="15.75" customHeight="1">
      <c r="A1412" s="17" t="s">
        <v>2083</v>
      </c>
      <c r="B1412" s="17" t="s">
        <v>281</v>
      </c>
      <c r="C1412" s="18">
        <v>45570.0</v>
      </c>
      <c r="D1412" s="18">
        <v>45600.0</v>
      </c>
      <c r="E1412" s="17" t="s">
        <v>684</v>
      </c>
      <c r="F1412" s="20">
        <v>19.99</v>
      </c>
      <c r="G1412" s="17" t="s">
        <v>675</v>
      </c>
    </row>
    <row r="1413" ht="15.75" customHeight="1">
      <c r="A1413" s="15" t="s">
        <v>2084</v>
      </c>
      <c r="B1413" s="15" t="s">
        <v>282</v>
      </c>
      <c r="C1413" s="16">
        <v>45571.0</v>
      </c>
      <c r="D1413" s="16">
        <v>45601.0</v>
      </c>
      <c r="E1413" s="15" t="s">
        <v>684</v>
      </c>
      <c r="F1413" s="19">
        <v>19.99</v>
      </c>
      <c r="G1413" s="15" t="s">
        <v>675</v>
      </c>
    </row>
    <row r="1414" ht="15.75" customHeight="1">
      <c r="A1414" s="17" t="s">
        <v>2085</v>
      </c>
      <c r="B1414" s="17" t="s">
        <v>328</v>
      </c>
      <c r="C1414" s="18">
        <v>45571.0</v>
      </c>
      <c r="D1414" s="18">
        <v>45601.0</v>
      </c>
      <c r="E1414" s="17" t="s">
        <v>684</v>
      </c>
      <c r="F1414" s="20">
        <v>19.99</v>
      </c>
      <c r="G1414" s="17" t="s">
        <v>675</v>
      </c>
    </row>
    <row r="1415" ht="15.75" customHeight="1">
      <c r="A1415" s="15" t="s">
        <v>2086</v>
      </c>
      <c r="B1415" s="15" t="s">
        <v>375</v>
      </c>
      <c r="C1415" s="16">
        <v>45571.0</v>
      </c>
      <c r="D1415" s="16">
        <v>45578.0</v>
      </c>
      <c r="E1415" s="15" t="s">
        <v>674</v>
      </c>
      <c r="F1415" s="19">
        <v>0.0</v>
      </c>
      <c r="G1415" s="15" t="s">
        <v>675</v>
      </c>
    </row>
    <row r="1416" ht="15.75" customHeight="1">
      <c r="A1416" s="17" t="s">
        <v>2087</v>
      </c>
      <c r="B1416" s="17" t="s">
        <v>90</v>
      </c>
      <c r="C1416" s="18">
        <v>45571.0</v>
      </c>
      <c r="D1416" s="18">
        <v>45601.0</v>
      </c>
      <c r="E1416" s="17" t="s">
        <v>684</v>
      </c>
      <c r="F1416" s="20">
        <v>19.99</v>
      </c>
      <c r="G1416" s="17" t="s">
        <v>675</v>
      </c>
    </row>
    <row r="1417" ht="15.75" customHeight="1">
      <c r="A1417" s="15" t="s">
        <v>2088</v>
      </c>
      <c r="B1417" s="15" t="s">
        <v>70</v>
      </c>
      <c r="C1417" s="16">
        <v>45571.0</v>
      </c>
      <c r="D1417" s="16">
        <v>45601.0</v>
      </c>
      <c r="E1417" s="15" t="s">
        <v>684</v>
      </c>
      <c r="F1417" s="19">
        <v>19.99</v>
      </c>
      <c r="G1417" s="15" t="s">
        <v>675</v>
      </c>
    </row>
    <row r="1418" ht="15.75" customHeight="1">
      <c r="A1418" s="17" t="s">
        <v>2089</v>
      </c>
      <c r="B1418" s="17" t="s">
        <v>118</v>
      </c>
      <c r="C1418" s="18">
        <v>45572.0</v>
      </c>
      <c r="D1418" s="18">
        <v>45602.0</v>
      </c>
      <c r="E1418" s="17" t="s">
        <v>684</v>
      </c>
      <c r="F1418" s="20">
        <v>19.99</v>
      </c>
      <c r="G1418" s="17" t="s">
        <v>675</v>
      </c>
    </row>
    <row r="1419" ht="15.75" customHeight="1">
      <c r="A1419" s="15" t="s">
        <v>2090</v>
      </c>
      <c r="B1419" s="15" t="s">
        <v>186</v>
      </c>
      <c r="C1419" s="16">
        <v>45572.0</v>
      </c>
      <c r="D1419" s="16">
        <v>45602.0</v>
      </c>
      <c r="E1419" s="15" t="s">
        <v>684</v>
      </c>
      <c r="F1419" s="19">
        <v>19.99</v>
      </c>
      <c r="G1419" s="15" t="s">
        <v>675</v>
      </c>
    </row>
    <row r="1420" ht="15.75" customHeight="1">
      <c r="A1420" s="17" t="s">
        <v>2091</v>
      </c>
      <c r="B1420" s="17" t="s">
        <v>216</v>
      </c>
      <c r="C1420" s="18">
        <v>45572.0</v>
      </c>
      <c r="D1420" s="18">
        <v>45602.0</v>
      </c>
      <c r="E1420" s="17" t="s">
        <v>684</v>
      </c>
      <c r="F1420" s="20">
        <v>19.99</v>
      </c>
      <c r="G1420" s="17" t="s">
        <v>675</v>
      </c>
    </row>
    <row r="1421" ht="15.75" customHeight="1">
      <c r="A1421" s="15" t="s">
        <v>2092</v>
      </c>
      <c r="B1421" s="15" t="s">
        <v>71</v>
      </c>
      <c r="C1421" s="16">
        <v>45572.0</v>
      </c>
      <c r="D1421" s="16">
        <v>45602.0</v>
      </c>
      <c r="E1421" s="15" t="s">
        <v>684</v>
      </c>
      <c r="F1421" s="19">
        <v>19.99</v>
      </c>
      <c r="G1421" s="15" t="s">
        <v>675</v>
      </c>
    </row>
    <row r="1422" ht="15.75" customHeight="1">
      <c r="A1422" s="17" t="s">
        <v>2093</v>
      </c>
      <c r="B1422" s="17" t="s">
        <v>148</v>
      </c>
      <c r="C1422" s="18">
        <v>45572.0</v>
      </c>
      <c r="D1422" s="18">
        <v>45602.0</v>
      </c>
      <c r="E1422" s="17" t="s">
        <v>684</v>
      </c>
      <c r="F1422" s="20">
        <v>19.99</v>
      </c>
      <c r="G1422" s="17" t="s">
        <v>675</v>
      </c>
    </row>
    <row r="1423" ht="15.75" customHeight="1">
      <c r="A1423" s="15" t="s">
        <v>2094</v>
      </c>
      <c r="B1423" s="15" t="s">
        <v>187</v>
      </c>
      <c r="C1423" s="16">
        <v>45572.0</v>
      </c>
      <c r="D1423" s="16">
        <v>45602.0</v>
      </c>
      <c r="E1423" s="15" t="s">
        <v>684</v>
      </c>
      <c r="F1423" s="19">
        <v>19.99</v>
      </c>
      <c r="G1423" s="15" t="s">
        <v>675</v>
      </c>
    </row>
    <row r="1424" ht="15.75" customHeight="1">
      <c r="A1424" s="17" t="s">
        <v>2095</v>
      </c>
      <c r="B1424" s="17" t="s">
        <v>217</v>
      </c>
      <c r="C1424" s="18">
        <v>45572.0</v>
      </c>
      <c r="D1424" s="18">
        <v>45602.0</v>
      </c>
      <c r="E1424" s="17" t="s">
        <v>684</v>
      </c>
      <c r="F1424" s="20">
        <v>19.99</v>
      </c>
      <c r="G1424" s="17" t="s">
        <v>675</v>
      </c>
    </row>
    <row r="1425" ht="15.75" customHeight="1">
      <c r="A1425" s="15" t="s">
        <v>2096</v>
      </c>
      <c r="B1425" s="15" t="s">
        <v>376</v>
      </c>
      <c r="C1425" s="16">
        <v>45572.0</v>
      </c>
      <c r="D1425" s="16">
        <v>45579.0</v>
      </c>
      <c r="E1425" s="15" t="s">
        <v>674</v>
      </c>
      <c r="F1425" s="19">
        <v>0.0</v>
      </c>
      <c r="G1425" s="15" t="s">
        <v>675</v>
      </c>
    </row>
    <row r="1426" ht="15.75" customHeight="1">
      <c r="A1426" s="17" t="s">
        <v>2097</v>
      </c>
      <c r="B1426" s="17" t="s">
        <v>363</v>
      </c>
      <c r="C1426" s="18">
        <v>45572.0</v>
      </c>
      <c r="D1426" s="18">
        <v>45602.0</v>
      </c>
      <c r="E1426" s="17" t="s">
        <v>684</v>
      </c>
      <c r="F1426" s="20">
        <v>19.99</v>
      </c>
      <c r="G1426" s="17" t="s">
        <v>675</v>
      </c>
    </row>
    <row r="1427" ht="15.75" customHeight="1">
      <c r="A1427" s="15" t="s">
        <v>2098</v>
      </c>
      <c r="B1427" s="15" t="s">
        <v>329</v>
      </c>
      <c r="C1427" s="16">
        <v>45572.0</v>
      </c>
      <c r="D1427" s="16">
        <v>45602.0</v>
      </c>
      <c r="E1427" s="15" t="s">
        <v>684</v>
      </c>
      <c r="F1427" s="19">
        <v>19.99</v>
      </c>
      <c r="G1427" s="15" t="s">
        <v>675</v>
      </c>
    </row>
    <row r="1428" ht="15.75" customHeight="1">
      <c r="A1428" s="17" t="s">
        <v>2099</v>
      </c>
      <c r="B1428" s="17" t="s">
        <v>218</v>
      </c>
      <c r="C1428" s="18">
        <v>45573.0</v>
      </c>
      <c r="D1428" s="18">
        <v>45603.0</v>
      </c>
      <c r="E1428" s="17" t="s">
        <v>684</v>
      </c>
      <c r="F1428" s="20">
        <v>19.99</v>
      </c>
      <c r="G1428" s="17" t="s">
        <v>675</v>
      </c>
    </row>
    <row r="1429" ht="15.75" customHeight="1">
      <c r="A1429" s="15" t="s">
        <v>2100</v>
      </c>
      <c r="B1429" s="15" t="s">
        <v>219</v>
      </c>
      <c r="C1429" s="16">
        <v>45573.0</v>
      </c>
      <c r="D1429" s="16">
        <v>45603.0</v>
      </c>
      <c r="E1429" s="15" t="s">
        <v>684</v>
      </c>
      <c r="F1429" s="19">
        <v>19.99</v>
      </c>
      <c r="G1429" s="15" t="s">
        <v>675</v>
      </c>
    </row>
    <row r="1430" ht="15.75" customHeight="1">
      <c r="A1430" s="17" t="s">
        <v>2101</v>
      </c>
      <c r="B1430" s="17" t="s">
        <v>364</v>
      </c>
      <c r="C1430" s="18">
        <v>45573.0</v>
      </c>
      <c r="D1430" s="18">
        <v>45603.0</v>
      </c>
      <c r="E1430" s="17" t="s">
        <v>684</v>
      </c>
      <c r="F1430" s="20">
        <v>19.99</v>
      </c>
      <c r="G1430" s="17" t="s">
        <v>675</v>
      </c>
    </row>
    <row r="1431" ht="15.75" customHeight="1">
      <c r="A1431" s="15" t="s">
        <v>2102</v>
      </c>
      <c r="B1431" s="15" t="s">
        <v>243</v>
      </c>
      <c r="C1431" s="16">
        <v>45573.0</v>
      </c>
      <c r="D1431" s="16">
        <v>45603.0</v>
      </c>
      <c r="E1431" s="15" t="s">
        <v>684</v>
      </c>
      <c r="F1431" s="19">
        <v>19.99</v>
      </c>
      <c r="G1431" s="15" t="s">
        <v>675</v>
      </c>
    </row>
    <row r="1432" ht="15.75" customHeight="1">
      <c r="A1432" s="17" t="s">
        <v>2103</v>
      </c>
      <c r="B1432" s="17" t="s">
        <v>283</v>
      </c>
      <c r="C1432" s="18">
        <v>45573.0</v>
      </c>
      <c r="D1432" s="18">
        <v>45603.0</v>
      </c>
      <c r="E1432" s="17" t="s">
        <v>684</v>
      </c>
      <c r="F1432" s="20">
        <v>19.99</v>
      </c>
      <c r="G1432" s="17" t="s">
        <v>675</v>
      </c>
    </row>
    <row r="1433" ht="15.75" customHeight="1">
      <c r="A1433" s="15" t="s">
        <v>2104</v>
      </c>
      <c r="B1433" s="15" t="s">
        <v>149</v>
      </c>
      <c r="C1433" s="16">
        <v>45573.0</v>
      </c>
      <c r="D1433" s="16">
        <v>45603.0</v>
      </c>
      <c r="E1433" s="15" t="s">
        <v>684</v>
      </c>
      <c r="F1433" s="19">
        <v>19.99</v>
      </c>
      <c r="G1433" s="15" t="s">
        <v>675</v>
      </c>
    </row>
    <row r="1434" ht="15.75" customHeight="1">
      <c r="A1434" s="17" t="s">
        <v>2105</v>
      </c>
      <c r="B1434" s="17" t="s">
        <v>284</v>
      </c>
      <c r="C1434" s="18">
        <v>45573.0</v>
      </c>
      <c r="D1434" s="18">
        <v>45603.0</v>
      </c>
      <c r="E1434" s="17" t="s">
        <v>684</v>
      </c>
      <c r="F1434" s="20">
        <v>19.99</v>
      </c>
      <c r="G1434" s="17" t="s">
        <v>675</v>
      </c>
    </row>
    <row r="1435" ht="15.75" customHeight="1">
      <c r="A1435" s="15" t="s">
        <v>2106</v>
      </c>
      <c r="B1435" s="15" t="s">
        <v>119</v>
      </c>
      <c r="C1435" s="16">
        <v>45573.0</v>
      </c>
      <c r="D1435" s="16">
        <v>45603.0</v>
      </c>
      <c r="E1435" s="15" t="s">
        <v>684</v>
      </c>
      <c r="F1435" s="19">
        <v>19.99</v>
      </c>
      <c r="G1435" s="15" t="s">
        <v>675</v>
      </c>
    </row>
    <row r="1436" ht="15.75" customHeight="1">
      <c r="A1436" s="17" t="s">
        <v>2107</v>
      </c>
      <c r="B1436" s="17" t="s">
        <v>285</v>
      </c>
      <c r="C1436" s="18">
        <v>45573.0</v>
      </c>
      <c r="D1436" s="18">
        <v>45603.0</v>
      </c>
      <c r="E1436" s="17" t="s">
        <v>684</v>
      </c>
      <c r="F1436" s="20">
        <v>19.99</v>
      </c>
      <c r="G1436" s="17" t="s">
        <v>675</v>
      </c>
    </row>
    <row r="1437" ht="15.75" customHeight="1">
      <c r="A1437" s="15" t="s">
        <v>2108</v>
      </c>
      <c r="B1437" s="15" t="s">
        <v>365</v>
      </c>
      <c r="C1437" s="16">
        <v>45573.0</v>
      </c>
      <c r="D1437" s="16">
        <v>45603.0</v>
      </c>
      <c r="E1437" s="15" t="s">
        <v>684</v>
      </c>
      <c r="F1437" s="19">
        <v>19.99</v>
      </c>
      <c r="G1437" s="15" t="s">
        <v>675</v>
      </c>
    </row>
    <row r="1438" ht="15.75" customHeight="1">
      <c r="A1438" s="17" t="s">
        <v>2109</v>
      </c>
      <c r="B1438" s="17" t="s">
        <v>366</v>
      </c>
      <c r="C1438" s="18">
        <v>45573.0</v>
      </c>
      <c r="D1438" s="18">
        <v>45603.0</v>
      </c>
      <c r="E1438" s="17" t="s">
        <v>684</v>
      </c>
      <c r="F1438" s="20">
        <v>19.99</v>
      </c>
      <c r="G1438" s="17" t="s">
        <v>675</v>
      </c>
    </row>
    <row r="1439" ht="15.75" customHeight="1">
      <c r="A1439" s="15" t="s">
        <v>2110</v>
      </c>
      <c r="B1439" s="15" t="s">
        <v>377</v>
      </c>
      <c r="C1439" s="16">
        <v>45574.0</v>
      </c>
      <c r="D1439" s="16">
        <v>45581.0</v>
      </c>
      <c r="E1439" s="15" t="s">
        <v>674</v>
      </c>
      <c r="F1439" s="19">
        <v>0.0</v>
      </c>
      <c r="G1439" s="15" t="s">
        <v>675</v>
      </c>
    </row>
    <row r="1440" ht="15.75" customHeight="1">
      <c r="A1440" s="17" t="s">
        <v>2111</v>
      </c>
      <c r="B1440" s="17" t="s">
        <v>244</v>
      </c>
      <c r="C1440" s="18">
        <v>45574.0</v>
      </c>
      <c r="D1440" s="18">
        <v>45604.0</v>
      </c>
      <c r="E1440" s="17" t="s">
        <v>684</v>
      </c>
      <c r="F1440" s="20">
        <v>19.99</v>
      </c>
      <c r="G1440" s="17" t="s">
        <v>675</v>
      </c>
    </row>
    <row r="1441" ht="15.75" customHeight="1">
      <c r="A1441" s="15" t="s">
        <v>2112</v>
      </c>
      <c r="B1441" s="15" t="s">
        <v>287</v>
      </c>
      <c r="C1441" s="16">
        <v>45574.0</v>
      </c>
      <c r="D1441" s="16">
        <v>45604.0</v>
      </c>
      <c r="E1441" s="15" t="s">
        <v>684</v>
      </c>
      <c r="F1441" s="19">
        <v>19.99</v>
      </c>
      <c r="G1441" s="15" t="s">
        <v>675</v>
      </c>
    </row>
    <row r="1442" ht="15.75" customHeight="1">
      <c r="A1442" s="17" t="s">
        <v>2113</v>
      </c>
      <c r="B1442" s="17" t="s">
        <v>120</v>
      </c>
      <c r="C1442" s="18">
        <v>45574.0</v>
      </c>
      <c r="D1442" s="18">
        <v>45604.0</v>
      </c>
      <c r="E1442" s="17" t="s">
        <v>684</v>
      </c>
      <c r="F1442" s="20">
        <v>19.99</v>
      </c>
      <c r="G1442" s="17" t="s">
        <v>675</v>
      </c>
    </row>
    <row r="1443" ht="15.75" customHeight="1">
      <c r="A1443" s="15" t="s">
        <v>2114</v>
      </c>
      <c r="B1443" s="15" t="s">
        <v>378</v>
      </c>
      <c r="C1443" s="16">
        <v>45574.0</v>
      </c>
      <c r="D1443" s="16">
        <v>45581.0</v>
      </c>
      <c r="E1443" s="15" t="s">
        <v>674</v>
      </c>
      <c r="F1443" s="19">
        <v>0.0</v>
      </c>
      <c r="G1443" s="15" t="s">
        <v>675</v>
      </c>
    </row>
    <row r="1444" ht="15.75" customHeight="1">
      <c r="A1444" s="17" t="s">
        <v>2115</v>
      </c>
      <c r="B1444" s="17" t="s">
        <v>245</v>
      </c>
      <c r="C1444" s="18">
        <v>45574.0</v>
      </c>
      <c r="D1444" s="18">
        <v>45604.0</v>
      </c>
      <c r="E1444" s="17" t="s">
        <v>684</v>
      </c>
      <c r="F1444" s="20">
        <v>19.99</v>
      </c>
      <c r="G1444" s="17" t="s">
        <v>675</v>
      </c>
    </row>
    <row r="1445" ht="15.75" customHeight="1">
      <c r="A1445" s="15" t="s">
        <v>2116</v>
      </c>
      <c r="B1445" s="15" t="s">
        <v>330</v>
      </c>
      <c r="C1445" s="16">
        <v>45574.0</v>
      </c>
      <c r="D1445" s="16">
        <v>45604.0</v>
      </c>
      <c r="E1445" s="15" t="s">
        <v>684</v>
      </c>
      <c r="F1445" s="19">
        <v>19.99</v>
      </c>
      <c r="G1445" s="15" t="s">
        <v>675</v>
      </c>
    </row>
    <row r="1446" ht="15.75" customHeight="1">
      <c r="A1446" s="17" t="s">
        <v>2117</v>
      </c>
      <c r="B1446" s="17" t="s">
        <v>220</v>
      </c>
      <c r="C1446" s="18">
        <v>45574.0</v>
      </c>
      <c r="D1446" s="18">
        <v>45604.0</v>
      </c>
      <c r="E1446" s="17" t="s">
        <v>684</v>
      </c>
      <c r="F1446" s="20">
        <v>19.99</v>
      </c>
      <c r="G1446" s="17" t="s">
        <v>675</v>
      </c>
    </row>
    <row r="1447" ht="15.75" customHeight="1">
      <c r="A1447" s="15" t="s">
        <v>2118</v>
      </c>
      <c r="B1447" s="15" t="s">
        <v>289</v>
      </c>
      <c r="C1447" s="16">
        <v>45574.0</v>
      </c>
      <c r="D1447" s="16">
        <v>45604.0</v>
      </c>
      <c r="E1447" s="15" t="s">
        <v>684</v>
      </c>
      <c r="F1447" s="19">
        <v>19.99</v>
      </c>
      <c r="G1447" s="15" t="s">
        <v>675</v>
      </c>
    </row>
    <row r="1448" ht="15.75" customHeight="1">
      <c r="A1448" s="17" t="s">
        <v>2119</v>
      </c>
      <c r="B1448" s="17" t="s">
        <v>246</v>
      </c>
      <c r="C1448" s="18">
        <v>45575.0</v>
      </c>
      <c r="D1448" s="18">
        <v>45605.0</v>
      </c>
      <c r="E1448" s="17" t="s">
        <v>684</v>
      </c>
      <c r="F1448" s="20">
        <v>19.99</v>
      </c>
      <c r="G1448" s="17" t="s">
        <v>675</v>
      </c>
    </row>
    <row r="1449" ht="15.75" customHeight="1">
      <c r="A1449" s="15" t="s">
        <v>2120</v>
      </c>
      <c r="B1449" s="15" t="s">
        <v>367</v>
      </c>
      <c r="C1449" s="16">
        <v>45575.0</v>
      </c>
      <c r="D1449" s="16">
        <v>45605.0</v>
      </c>
      <c r="E1449" s="15" t="s">
        <v>684</v>
      </c>
      <c r="F1449" s="19">
        <v>19.99</v>
      </c>
      <c r="G1449" s="15" t="s">
        <v>675</v>
      </c>
    </row>
    <row r="1450" ht="15.75" customHeight="1">
      <c r="A1450" s="17" t="s">
        <v>2121</v>
      </c>
      <c r="B1450" s="17" t="s">
        <v>368</v>
      </c>
      <c r="C1450" s="18">
        <v>45575.0</v>
      </c>
      <c r="D1450" s="18">
        <v>45605.0</v>
      </c>
      <c r="E1450" s="17" t="s">
        <v>684</v>
      </c>
      <c r="F1450" s="20">
        <v>19.99</v>
      </c>
      <c r="G1450" s="17" t="s">
        <v>675</v>
      </c>
    </row>
    <row r="1451" ht="15.75" customHeight="1">
      <c r="A1451" s="15" t="s">
        <v>2122</v>
      </c>
      <c r="B1451" s="15" t="s">
        <v>331</v>
      </c>
      <c r="C1451" s="16">
        <v>45575.0</v>
      </c>
      <c r="D1451" s="16">
        <v>45605.0</v>
      </c>
      <c r="E1451" s="15" t="s">
        <v>684</v>
      </c>
      <c r="F1451" s="19">
        <v>19.99</v>
      </c>
      <c r="G1451" s="15" t="s">
        <v>675</v>
      </c>
    </row>
    <row r="1452" ht="15.75" customHeight="1">
      <c r="A1452" s="17" t="s">
        <v>2123</v>
      </c>
      <c r="B1452" s="17" t="s">
        <v>379</v>
      </c>
      <c r="C1452" s="18">
        <v>45575.0</v>
      </c>
      <c r="D1452" s="18">
        <v>45582.0</v>
      </c>
      <c r="E1452" s="17" t="s">
        <v>674</v>
      </c>
      <c r="F1452" s="20">
        <v>0.0</v>
      </c>
      <c r="G1452" s="17" t="s">
        <v>675</v>
      </c>
    </row>
    <row r="1453" ht="15.75" customHeight="1">
      <c r="A1453" s="15" t="s">
        <v>2124</v>
      </c>
      <c r="B1453" s="15" t="s">
        <v>222</v>
      </c>
      <c r="C1453" s="16">
        <v>45575.0</v>
      </c>
      <c r="D1453" s="16">
        <v>45605.0</v>
      </c>
      <c r="E1453" s="15" t="s">
        <v>684</v>
      </c>
      <c r="F1453" s="19">
        <v>19.99</v>
      </c>
      <c r="G1453" s="15" t="s">
        <v>675</v>
      </c>
    </row>
    <row r="1454" ht="15.75" customHeight="1">
      <c r="A1454" s="17" t="s">
        <v>2125</v>
      </c>
      <c r="B1454" s="17" t="s">
        <v>332</v>
      </c>
      <c r="C1454" s="18">
        <v>45575.0</v>
      </c>
      <c r="D1454" s="18">
        <v>45605.0</v>
      </c>
      <c r="E1454" s="17" t="s">
        <v>684</v>
      </c>
      <c r="F1454" s="20">
        <v>19.99</v>
      </c>
      <c r="G1454" s="17" t="s">
        <v>675</v>
      </c>
    </row>
    <row r="1455" ht="15.75" customHeight="1">
      <c r="A1455" s="15" t="s">
        <v>2126</v>
      </c>
      <c r="B1455" s="15" t="s">
        <v>369</v>
      </c>
      <c r="C1455" s="16">
        <v>45575.0</v>
      </c>
      <c r="D1455" s="16">
        <v>45605.0</v>
      </c>
      <c r="E1455" s="15" t="s">
        <v>684</v>
      </c>
      <c r="F1455" s="19">
        <v>19.99</v>
      </c>
      <c r="G1455" s="15" t="s">
        <v>675</v>
      </c>
    </row>
    <row r="1456" ht="15.75" customHeight="1">
      <c r="A1456" s="17" t="s">
        <v>2127</v>
      </c>
      <c r="B1456" s="17" t="s">
        <v>152</v>
      </c>
      <c r="C1456" s="18">
        <v>45575.0</v>
      </c>
      <c r="D1456" s="18">
        <v>45605.0</v>
      </c>
      <c r="E1456" s="17" t="s">
        <v>684</v>
      </c>
      <c r="F1456" s="20">
        <v>19.99</v>
      </c>
      <c r="G1456" s="17" t="s">
        <v>675</v>
      </c>
    </row>
    <row r="1457" ht="15.75" customHeight="1">
      <c r="A1457" s="15" t="s">
        <v>2128</v>
      </c>
      <c r="B1457" s="15" t="s">
        <v>189</v>
      </c>
      <c r="C1457" s="16">
        <v>45575.0</v>
      </c>
      <c r="D1457" s="16">
        <v>45605.0</v>
      </c>
      <c r="E1457" s="15" t="s">
        <v>684</v>
      </c>
      <c r="F1457" s="19">
        <v>19.99</v>
      </c>
      <c r="G1457" s="15" t="s">
        <v>675</v>
      </c>
    </row>
    <row r="1458" ht="15.75" customHeight="1">
      <c r="A1458" s="17" t="s">
        <v>2129</v>
      </c>
      <c r="B1458" s="17" t="s">
        <v>91</v>
      </c>
      <c r="C1458" s="18">
        <v>45575.0</v>
      </c>
      <c r="D1458" s="18">
        <v>45605.0</v>
      </c>
      <c r="E1458" s="17" t="s">
        <v>684</v>
      </c>
      <c r="F1458" s="20">
        <v>19.99</v>
      </c>
      <c r="G1458" s="17" t="s">
        <v>675</v>
      </c>
    </row>
    <row r="1459" ht="15.75" customHeight="1">
      <c r="A1459" s="15" t="s">
        <v>2130</v>
      </c>
      <c r="B1459" s="15" t="s">
        <v>247</v>
      </c>
      <c r="C1459" s="16">
        <v>45576.0</v>
      </c>
      <c r="D1459" s="16">
        <v>45606.0</v>
      </c>
      <c r="E1459" s="15" t="s">
        <v>684</v>
      </c>
      <c r="F1459" s="19">
        <v>19.99</v>
      </c>
      <c r="G1459" s="15" t="s">
        <v>675</v>
      </c>
    </row>
    <row r="1460" ht="15.75" customHeight="1">
      <c r="A1460" s="17" t="s">
        <v>2131</v>
      </c>
      <c r="B1460" s="17" t="s">
        <v>92</v>
      </c>
      <c r="C1460" s="18">
        <v>45576.0</v>
      </c>
      <c r="D1460" s="18">
        <v>45606.0</v>
      </c>
      <c r="E1460" s="17" t="s">
        <v>684</v>
      </c>
      <c r="F1460" s="20">
        <v>19.99</v>
      </c>
      <c r="G1460" s="17" t="s">
        <v>675</v>
      </c>
    </row>
    <row r="1461" ht="15.75" customHeight="1">
      <c r="A1461" s="15" t="s">
        <v>2132</v>
      </c>
      <c r="B1461" s="15" t="s">
        <v>190</v>
      </c>
      <c r="C1461" s="16">
        <v>45576.0</v>
      </c>
      <c r="D1461" s="16">
        <v>45606.0</v>
      </c>
      <c r="E1461" s="15" t="s">
        <v>684</v>
      </c>
      <c r="F1461" s="19">
        <v>19.99</v>
      </c>
      <c r="G1461" s="15" t="s">
        <v>675</v>
      </c>
    </row>
    <row r="1462" ht="15.75" customHeight="1">
      <c r="A1462" s="17" t="s">
        <v>2133</v>
      </c>
      <c r="B1462" s="17" t="s">
        <v>290</v>
      </c>
      <c r="C1462" s="18">
        <v>45576.0</v>
      </c>
      <c r="D1462" s="18">
        <v>45606.0</v>
      </c>
      <c r="E1462" s="17" t="s">
        <v>684</v>
      </c>
      <c r="F1462" s="20">
        <v>19.99</v>
      </c>
      <c r="G1462" s="17" t="s">
        <v>675</v>
      </c>
    </row>
    <row r="1463" ht="15.75" customHeight="1">
      <c r="A1463" s="15" t="s">
        <v>2134</v>
      </c>
      <c r="B1463" s="15" t="s">
        <v>154</v>
      </c>
      <c r="C1463" s="16">
        <v>45576.0</v>
      </c>
      <c r="D1463" s="16">
        <v>45606.0</v>
      </c>
      <c r="E1463" s="15" t="s">
        <v>684</v>
      </c>
      <c r="F1463" s="19">
        <v>19.99</v>
      </c>
      <c r="G1463" s="15" t="s">
        <v>675</v>
      </c>
    </row>
    <row r="1464" ht="15.75" customHeight="1">
      <c r="A1464" s="17" t="s">
        <v>2135</v>
      </c>
      <c r="B1464" s="17" t="s">
        <v>370</v>
      </c>
      <c r="C1464" s="18">
        <v>45576.0</v>
      </c>
      <c r="D1464" s="18">
        <v>45606.0</v>
      </c>
      <c r="E1464" s="17" t="s">
        <v>684</v>
      </c>
      <c r="F1464" s="20">
        <v>19.99</v>
      </c>
      <c r="G1464" s="17" t="s">
        <v>675</v>
      </c>
    </row>
    <row r="1465" ht="15.75" customHeight="1">
      <c r="A1465" s="15" t="s">
        <v>2136</v>
      </c>
      <c r="B1465" s="15" t="s">
        <v>380</v>
      </c>
      <c r="C1465" s="16">
        <v>45576.0</v>
      </c>
      <c r="D1465" s="16">
        <v>45583.0</v>
      </c>
      <c r="E1465" s="15" t="s">
        <v>674</v>
      </c>
      <c r="F1465" s="19">
        <v>0.0</v>
      </c>
      <c r="G1465" s="15" t="s">
        <v>675</v>
      </c>
    </row>
    <row r="1466" ht="15.75" customHeight="1">
      <c r="A1466" s="17" t="s">
        <v>2137</v>
      </c>
      <c r="B1466" s="17" t="s">
        <v>381</v>
      </c>
      <c r="C1466" s="18">
        <v>45576.0</v>
      </c>
      <c r="D1466" s="18">
        <v>45583.0</v>
      </c>
      <c r="E1466" s="17" t="s">
        <v>674</v>
      </c>
      <c r="F1466" s="20">
        <v>0.0</v>
      </c>
      <c r="G1466" s="17" t="s">
        <v>675</v>
      </c>
    </row>
    <row r="1467" ht="15.75" customHeight="1">
      <c r="A1467" s="15" t="s">
        <v>2138</v>
      </c>
      <c r="B1467" s="15" t="s">
        <v>291</v>
      </c>
      <c r="C1467" s="16">
        <v>45576.0</v>
      </c>
      <c r="D1467" s="16">
        <v>45606.0</v>
      </c>
      <c r="E1467" s="15" t="s">
        <v>684</v>
      </c>
      <c r="F1467" s="19">
        <v>19.99</v>
      </c>
      <c r="G1467" s="15" t="s">
        <v>675</v>
      </c>
    </row>
    <row r="1468" ht="15.75" customHeight="1">
      <c r="A1468" s="17" t="s">
        <v>2139</v>
      </c>
      <c r="B1468" s="17" t="s">
        <v>371</v>
      </c>
      <c r="C1468" s="18">
        <v>45576.0</v>
      </c>
      <c r="D1468" s="18">
        <v>45606.0</v>
      </c>
      <c r="E1468" s="17" t="s">
        <v>684</v>
      </c>
      <c r="F1468" s="20">
        <v>19.99</v>
      </c>
      <c r="G1468" s="17" t="s">
        <v>675</v>
      </c>
    </row>
    <row r="1469" ht="15.75" customHeight="1">
      <c r="A1469" s="15" t="s">
        <v>2140</v>
      </c>
      <c r="B1469" s="15" t="s">
        <v>382</v>
      </c>
      <c r="C1469" s="16">
        <v>45577.0</v>
      </c>
      <c r="D1469" s="16">
        <v>45584.0</v>
      </c>
      <c r="E1469" s="15" t="s">
        <v>674</v>
      </c>
      <c r="F1469" s="19">
        <v>0.0</v>
      </c>
      <c r="G1469" s="15" t="s">
        <v>675</v>
      </c>
    </row>
    <row r="1470" ht="15.75" customHeight="1">
      <c r="A1470" s="17" t="s">
        <v>2141</v>
      </c>
      <c r="B1470" s="17" t="s">
        <v>372</v>
      </c>
      <c r="C1470" s="18">
        <v>45577.0</v>
      </c>
      <c r="D1470" s="18">
        <v>45607.0</v>
      </c>
      <c r="E1470" s="17" t="s">
        <v>684</v>
      </c>
      <c r="F1470" s="20">
        <v>19.99</v>
      </c>
      <c r="G1470" s="17" t="s">
        <v>675</v>
      </c>
    </row>
    <row r="1471" ht="15.75" customHeight="1">
      <c r="A1471" s="15" t="s">
        <v>2142</v>
      </c>
      <c r="B1471" s="15" t="s">
        <v>292</v>
      </c>
      <c r="C1471" s="16">
        <v>45577.0</v>
      </c>
      <c r="D1471" s="16">
        <v>45607.0</v>
      </c>
      <c r="E1471" s="15" t="s">
        <v>684</v>
      </c>
      <c r="F1471" s="19">
        <v>19.99</v>
      </c>
      <c r="G1471" s="15" t="s">
        <v>675</v>
      </c>
    </row>
    <row r="1472" ht="15.75" customHeight="1">
      <c r="A1472" s="17" t="s">
        <v>2143</v>
      </c>
      <c r="B1472" s="17" t="s">
        <v>123</v>
      </c>
      <c r="C1472" s="18">
        <v>45577.0</v>
      </c>
      <c r="D1472" s="18">
        <v>45607.0</v>
      </c>
      <c r="E1472" s="17" t="s">
        <v>684</v>
      </c>
      <c r="F1472" s="20">
        <v>19.99</v>
      </c>
      <c r="G1472" s="17" t="s">
        <v>675</v>
      </c>
    </row>
    <row r="1473" ht="15.75" customHeight="1">
      <c r="A1473" s="15" t="s">
        <v>2144</v>
      </c>
      <c r="B1473" s="15" t="s">
        <v>383</v>
      </c>
      <c r="C1473" s="16">
        <v>45577.0</v>
      </c>
      <c r="D1473" s="16">
        <v>45584.0</v>
      </c>
      <c r="E1473" s="15" t="s">
        <v>674</v>
      </c>
      <c r="F1473" s="19">
        <v>0.0</v>
      </c>
      <c r="G1473" s="15" t="s">
        <v>675</v>
      </c>
    </row>
    <row r="1474" ht="15.75" customHeight="1">
      <c r="A1474" s="17" t="s">
        <v>2145</v>
      </c>
      <c r="B1474" s="17" t="s">
        <v>384</v>
      </c>
      <c r="C1474" s="18">
        <v>45577.0</v>
      </c>
      <c r="D1474" s="18">
        <v>45584.0</v>
      </c>
      <c r="E1474" s="17" t="s">
        <v>674</v>
      </c>
      <c r="F1474" s="20">
        <v>0.0</v>
      </c>
      <c r="G1474" s="17" t="s">
        <v>675</v>
      </c>
    </row>
    <row r="1475" ht="15.75" customHeight="1">
      <c r="A1475" s="15" t="s">
        <v>2146</v>
      </c>
      <c r="B1475" s="15" t="s">
        <v>385</v>
      </c>
      <c r="C1475" s="16">
        <v>45577.0</v>
      </c>
      <c r="D1475" s="16">
        <v>45584.0</v>
      </c>
      <c r="E1475" s="15" t="s">
        <v>674</v>
      </c>
      <c r="F1475" s="19">
        <v>0.0</v>
      </c>
      <c r="G1475" s="15" t="s">
        <v>675</v>
      </c>
    </row>
    <row r="1476" ht="15.75" customHeight="1">
      <c r="A1476" s="17" t="s">
        <v>2147</v>
      </c>
      <c r="B1476" s="17" t="s">
        <v>293</v>
      </c>
      <c r="C1476" s="18">
        <v>45577.0</v>
      </c>
      <c r="D1476" s="18">
        <v>45607.0</v>
      </c>
      <c r="E1476" s="17" t="s">
        <v>684</v>
      </c>
      <c r="F1476" s="20">
        <v>19.99</v>
      </c>
      <c r="G1476" s="17" t="s">
        <v>675</v>
      </c>
    </row>
    <row r="1477" ht="15.75" customHeight="1">
      <c r="A1477" s="15" t="s">
        <v>2148</v>
      </c>
      <c r="B1477" s="15" t="s">
        <v>333</v>
      </c>
      <c r="C1477" s="16">
        <v>45577.0</v>
      </c>
      <c r="D1477" s="16">
        <v>45607.0</v>
      </c>
      <c r="E1477" s="15" t="s">
        <v>684</v>
      </c>
      <c r="F1477" s="19">
        <v>19.99</v>
      </c>
      <c r="G1477" s="15" t="s">
        <v>675</v>
      </c>
    </row>
    <row r="1478" ht="15.75" customHeight="1">
      <c r="A1478" s="17" t="s">
        <v>2149</v>
      </c>
      <c r="B1478" s="17" t="s">
        <v>334</v>
      </c>
      <c r="C1478" s="18">
        <v>45577.0</v>
      </c>
      <c r="D1478" s="18">
        <v>45607.0</v>
      </c>
      <c r="E1478" s="17" t="s">
        <v>684</v>
      </c>
      <c r="F1478" s="20">
        <v>19.99</v>
      </c>
      <c r="G1478" s="17" t="s">
        <v>675</v>
      </c>
    </row>
    <row r="1479" ht="15.75" customHeight="1">
      <c r="A1479" s="15" t="s">
        <v>2150</v>
      </c>
      <c r="B1479" s="15" t="s">
        <v>191</v>
      </c>
      <c r="C1479" s="16">
        <v>45577.0</v>
      </c>
      <c r="D1479" s="16">
        <v>45607.0</v>
      </c>
      <c r="E1479" s="15" t="s">
        <v>684</v>
      </c>
      <c r="F1479" s="19">
        <v>19.99</v>
      </c>
      <c r="G1479" s="15" t="s">
        <v>675</v>
      </c>
    </row>
    <row r="1480" ht="15.75" customHeight="1">
      <c r="A1480" s="17" t="s">
        <v>2151</v>
      </c>
      <c r="B1480" s="17" t="s">
        <v>373</v>
      </c>
      <c r="C1480" s="18">
        <v>45577.0</v>
      </c>
      <c r="D1480" s="18">
        <v>45607.0</v>
      </c>
      <c r="E1480" s="17" t="s">
        <v>684</v>
      </c>
      <c r="F1480" s="20">
        <v>19.99</v>
      </c>
      <c r="G1480" s="17" t="s">
        <v>675</v>
      </c>
    </row>
    <row r="1481" ht="15.75" customHeight="1">
      <c r="A1481" s="15" t="s">
        <v>2152</v>
      </c>
      <c r="B1481" s="15" t="s">
        <v>73</v>
      </c>
      <c r="C1481" s="16">
        <v>45577.0</v>
      </c>
      <c r="D1481" s="16">
        <v>45607.0</v>
      </c>
      <c r="E1481" s="15" t="s">
        <v>684</v>
      </c>
      <c r="F1481" s="19">
        <v>19.99</v>
      </c>
      <c r="G1481" s="15" t="s">
        <v>675</v>
      </c>
    </row>
    <row r="1482" ht="15.75" customHeight="1">
      <c r="A1482" s="17" t="s">
        <v>2153</v>
      </c>
      <c r="B1482" s="17" t="s">
        <v>374</v>
      </c>
      <c r="C1482" s="18">
        <v>45577.0</v>
      </c>
      <c r="D1482" s="18">
        <v>45607.0</v>
      </c>
      <c r="E1482" s="17" t="s">
        <v>684</v>
      </c>
      <c r="F1482" s="20">
        <v>19.99</v>
      </c>
      <c r="G1482" s="17" t="s">
        <v>675</v>
      </c>
    </row>
    <row r="1483" ht="15.75" customHeight="1">
      <c r="A1483" s="15" t="s">
        <v>2154</v>
      </c>
      <c r="B1483" s="15" t="s">
        <v>386</v>
      </c>
      <c r="C1483" s="16">
        <v>45577.0</v>
      </c>
      <c r="D1483" s="16">
        <v>45584.0</v>
      </c>
      <c r="E1483" s="15" t="s">
        <v>674</v>
      </c>
      <c r="F1483" s="19">
        <v>0.0</v>
      </c>
      <c r="G1483" s="15" t="s">
        <v>675</v>
      </c>
    </row>
    <row r="1484" ht="15.75" customHeight="1">
      <c r="A1484" s="17" t="s">
        <v>2155</v>
      </c>
      <c r="B1484" s="17" t="s">
        <v>74</v>
      </c>
      <c r="C1484" s="18">
        <v>45577.0</v>
      </c>
      <c r="D1484" s="18">
        <v>45607.0</v>
      </c>
      <c r="E1484" s="17" t="s">
        <v>684</v>
      </c>
      <c r="F1484" s="20">
        <v>19.99</v>
      </c>
      <c r="G1484" s="17" t="s">
        <v>675</v>
      </c>
    </row>
    <row r="1485" ht="15.75" customHeight="1">
      <c r="A1485" s="15" t="s">
        <v>2156</v>
      </c>
      <c r="B1485" s="15" t="s">
        <v>387</v>
      </c>
      <c r="C1485" s="16">
        <v>45578.0</v>
      </c>
      <c r="D1485" s="16">
        <v>45585.0</v>
      </c>
      <c r="E1485" s="15" t="s">
        <v>674</v>
      </c>
      <c r="F1485" s="19">
        <v>0.0</v>
      </c>
      <c r="G1485" s="15" t="s">
        <v>675</v>
      </c>
    </row>
    <row r="1486" ht="15.75" customHeight="1">
      <c r="A1486" s="17" t="s">
        <v>2157</v>
      </c>
      <c r="B1486" s="17" t="s">
        <v>375</v>
      </c>
      <c r="C1486" s="18">
        <v>45578.0</v>
      </c>
      <c r="D1486" s="18">
        <v>45608.0</v>
      </c>
      <c r="E1486" s="17" t="s">
        <v>684</v>
      </c>
      <c r="F1486" s="20">
        <v>19.99</v>
      </c>
      <c r="G1486" s="17" t="s">
        <v>675</v>
      </c>
    </row>
    <row r="1487" ht="15.75" customHeight="1">
      <c r="A1487" s="15" t="s">
        <v>2158</v>
      </c>
      <c r="B1487" s="15" t="s">
        <v>335</v>
      </c>
      <c r="C1487" s="16">
        <v>45578.0</v>
      </c>
      <c r="D1487" s="16">
        <v>45608.0</v>
      </c>
      <c r="E1487" s="15" t="s">
        <v>684</v>
      </c>
      <c r="F1487" s="19">
        <v>19.99</v>
      </c>
      <c r="G1487" s="15" t="s">
        <v>675</v>
      </c>
    </row>
    <row r="1488" ht="15.75" customHeight="1">
      <c r="A1488" s="17" t="s">
        <v>2159</v>
      </c>
      <c r="B1488" s="17" t="s">
        <v>156</v>
      </c>
      <c r="C1488" s="18">
        <v>45578.0</v>
      </c>
      <c r="D1488" s="18">
        <v>45608.0</v>
      </c>
      <c r="E1488" s="17" t="s">
        <v>684</v>
      </c>
      <c r="F1488" s="20">
        <v>19.99</v>
      </c>
      <c r="G1488" s="17" t="s">
        <v>675</v>
      </c>
    </row>
    <row r="1489" ht="15.75" customHeight="1">
      <c r="A1489" s="15" t="s">
        <v>2160</v>
      </c>
      <c r="B1489" s="15" t="s">
        <v>388</v>
      </c>
      <c r="C1489" s="16">
        <v>45579.0</v>
      </c>
      <c r="D1489" s="16">
        <v>45586.0</v>
      </c>
      <c r="E1489" s="15" t="s">
        <v>674</v>
      </c>
      <c r="F1489" s="19">
        <v>0.0</v>
      </c>
      <c r="G1489" s="15" t="s">
        <v>675</v>
      </c>
    </row>
    <row r="1490" ht="15.75" customHeight="1">
      <c r="A1490" s="17" t="s">
        <v>2161</v>
      </c>
      <c r="B1490" s="17" t="s">
        <v>192</v>
      </c>
      <c r="C1490" s="18">
        <v>45579.0</v>
      </c>
      <c r="D1490" s="18">
        <v>45609.0</v>
      </c>
      <c r="E1490" s="17" t="s">
        <v>684</v>
      </c>
      <c r="F1490" s="20">
        <v>19.99</v>
      </c>
      <c r="G1490" s="17" t="s">
        <v>675</v>
      </c>
    </row>
    <row r="1491" ht="15.75" customHeight="1">
      <c r="A1491" s="15" t="s">
        <v>2162</v>
      </c>
      <c r="B1491" s="15" t="s">
        <v>249</v>
      </c>
      <c r="C1491" s="16">
        <v>45579.0</v>
      </c>
      <c r="D1491" s="16">
        <v>45609.0</v>
      </c>
      <c r="E1491" s="15" t="s">
        <v>684</v>
      </c>
      <c r="F1491" s="19">
        <v>19.99</v>
      </c>
      <c r="G1491" s="15" t="s">
        <v>675</v>
      </c>
    </row>
    <row r="1492" ht="15.75" customHeight="1">
      <c r="A1492" s="17" t="s">
        <v>2163</v>
      </c>
      <c r="B1492" s="17" t="s">
        <v>250</v>
      </c>
      <c r="C1492" s="18">
        <v>45579.0</v>
      </c>
      <c r="D1492" s="18">
        <v>45609.0</v>
      </c>
      <c r="E1492" s="17" t="s">
        <v>684</v>
      </c>
      <c r="F1492" s="20">
        <v>19.99</v>
      </c>
      <c r="G1492" s="17" t="s">
        <v>675</v>
      </c>
    </row>
    <row r="1493" ht="15.75" customHeight="1">
      <c r="A1493" s="15" t="s">
        <v>2164</v>
      </c>
      <c r="B1493" s="15" t="s">
        <v>124</v>
      </c>
      <c r="C1493" s="16">
        <v>45579.0</v>
      </c>
      <c r="D1493" s="16">
        <v>45609.0</v>
      </c>
      <c r="E1493" s="15" t="s">
        <v>684</v>
      </c>
      <c r="F1493" s="19">
        <v>19.99</v>
      </c>
      <c r="G1493" s="15" t="s">
        <v>675</v>
      </c>
    </row>
    <row r="1494" ht="15.75" customHeight="1">
      <c r="A1494" s="17" t="s">
        <v>2165</v>
      </c>
      <c r="B1494" s="17" t="s">
        <v>296</v>
      </c>
      <c r="C1494" s="18">
        <v>45579.0</v>
      </c>
      <c r="D1494" s="18">
        <v>45609.0</v>
      </c>
      <c r="E1494" s="17" t="s">
        <v>684</v>
      </c>
      <c r="F1494" s="20">
        <v>19.99</v>
      </c>
      <c r="G1494" s="17" t="s">
        <v>675</v>
      </c>
    </row>
    <row r="1495" ht="15.75" customHeight="1">
      <c r="A1495" s="15" t="s">
        <v>2166</v>
      </c>
      <c r="B1495" s="15" t="s">
        <v>389</v>
      </c>
      <c r="C1495" s="16">
        <v>45579.0</v>
      </c>
      <c r="D1495" s="16">
        <v>45586.0</v>
      </c>
      <c r="E1495" s="15" t="s">
        <v>674</v>
      </c>
      <c r="F1495" s="19">
        <v>0.0</v>
      </c>
      <c r="G1495" s="15" t="s">
        <v>675</v>
      </c>
    </row>
    <row r="1496" ht="15.75" customHeight="1">
      <c r="A1496" s="17" t="s">
        <v>2167</v>
      </c>
      <c r="B1496" s="17" t="s">
        <v>336</v>
      </c>
      <c r="C1496" s="18">
        <v>45579.0</v>
      </c>
      <c r="D1496" s="18">
        <v>45609.0</v>
      </c>
      <c r="E1496" s="17" t="s">
        <v>684</v>
      </c>
      <c r="F1496" s="20">
        <v>19.99</v>
      </c>
      <c r="G1496" s="17" t="s">
        <v>675</v>
      </c>
    </row>
    <row r="1497" ht="15.75" customHeight="1">
      <c r="A1497" s="15" t="s">
        <v>2168</v>
      </c>
      <c r="B1497" s="15" t="s">
        <v>157</v>
      </c>
      <c r="C1497" s="16">
        <v>45579.0</v>
      </c>
      <c r="D1497" s="16">
        <v>45609.0</v>
      </c>
      <c r="E1497" s="15" t="s">
        <v>684</v>
      </c>
      <c r="F1497" s="19">
        <v>19.99</v>
      </c>
      <c r="G1497" s="15" t="s">
        <v>675</v>
      </c>
    </row>
    <row r="1498" ht="15.75" customHeight="1">
      <c r="A1498" s="17" t="s">
        <v>2169</v>
      </c>
      <c r="B1498" s="17" t="s">
        <v>376</v>
      </c>
      <c r="C1498" s="18">
        <v>45579.0</v>
      </c>
      <c r="D1498" s="18">
        <v>45609.0</v>
      </c>
      <c r="E1498" s="17" t="s">
        <v>684</v>
      </c>
      <c r="F1498" s="20">
        <v>19.99</v>
      </c>
      <c r="G1498" s="17" t="s">
        <v>675</v>
      </c>
    </row>
    <row r="1499" ht="15.75" customHeight="1">
      <c r="A1499" s="15" t="s">
        <v>2170</v>
      </c>
      <c r="B1499" s="15" t="s">
        <v>96</v>
      </c>
      <c r="C1499" s="16">
        <v>45580.0</v>
      </c>
      <c r="D1499" s="16">
        <v>45610.0</v>
      </c>
      <c r="E1499" s="15" t="s">
        <v>684</v>
      </c>
      <c r="F1499" s="19">
        <v>19.99</v>
      </c>
      <c r="G1499" s="15" t="s">
        <v>675</v>
      </c>
    </row>
    <row r="1500" ht="15.75" customHeight="1">
      <c r="A1500" s="17" t="s">
        <v>2171</v>
      </c>
      <c r="B1500" s="17" t="s">
        <v>125</v>
      </c>
      <c r="C1500" s="18">
        <v>45580.0</v>
      </c>
      <c r="D1500" s="18">
        <v>45610.0</v>
      </c>
      <c r="E1500" s="17" t="s">
        <v>684</v>
      </c>
      <c r="F1500" s="20">
        <v>19.99</v>
      </c>
      <c r="G1500" s="17" t="s">
        <v>675</v>
      </c>
    </row>
    <row r="1501" ht="15.75" customHeight="1">
      <c r="A1501" s="15" t="s">
        <v>2172</v>
      </c>
      <c r="B1501" s="15" t="s">
        <v>297</v>
      </c>
      <c r="C1501" s="16">
        <v>45580.0</v>
      </c>
      <c r="D1501" s="16">
        <v>45610.0</v>
      </c>
      <c r="E1501" s="15" t="s">
        <v>684</v>
      </c>
      <c r="F1501" s="19">
        <v>19.99</v>
      </c>
      <c r="G1501" s="15" t="s">
        <v>675</v>
      </c>
    </row>
    <row r="1502" ht="15.75" customHeight="1">
      <c r="A1502" s="17" t="s">
        <v>2173</v>
      </c>
      <c r="B1502" s="17" t="s">
        <v>253</v>
      </c>
      <c r="C1502" s="18">
        <v>45580.0</v>
      </c>
      <c r="D1502" s="18">
        <v>45610.0</v>
      </c>
      <c r="E1502" s="17" t="s">
        <v>684</v>
      </c>
      <c r="F1502" s="20">
        <v>19.99</v>
      </c>
      <c r="G1502" s="17" t="s">
        <v>675</v>
      </c>
    </row>
    <row r="1503" ht="15.75" customHeight="1">
      <c r="A1503" s="15" t="s">
        <v>2174</v>
      </c>
      <c r="B1503" s="15" t="s">
        <v>298</v>
      </c>
      <c r="C1503" s="16">
        <v>45581.0</v>
      </c>
      <c r="D1503" s="16">
        <v>45611.0</v>
      </c>
      <c r="E1503" s="15" t="s">
        <v>684</v>
      </c>
      <c r="F1503" s="19">
        <v>19.99</v>
      </c>
      <c r="G1503" s="15" t="s">
        <v>675</v>
      </c>
    </row>
    <row r="1504" ht="15.75" customHeight="1">
      <c r="A1504" s="17" t="s">
        <v>2175</v>
      </c>
      <c r="B1504" s="17" t="s">
        <v>377</v>
      </c>
      <c r="C1504" s="18">
        <v>45581.0</v>
      </c>
      <c r="D1504" s="18">
        <v>45611.0</v>
      </c>
      <c r="E1504" s="17" t="s">
        <v>684</v>
      </c>
      <c r="F1504" s="20">
        <v>19.99</v>
      </c>
      <c r="G1504" s="17" t="s">
        <v>675</v>
      </c>
    </row>
    <row r="1505" ht="15.75" customHeight="1">
      <c r="A1505" s="15" t="s">
        <v>2176</v>
      </c>
      <c r="B1505" s="15" t="s">
        <v>254</v>
      </c>
      <c r="C1505" s="16">
        <v>45581.0</v>
      </c>
      <c r="D1505" s="16">
        <v>45611.0</v>
      </c>
      <c r="E1505" s="15" t="s">
        <v>684</v>
      </c>
      <c r="F1505" s="19">
        <v>19.99</v>
      </c>
      <c r="G1505" s="15" t="s">
        <v>675</v>
      </c>
    </row>
    <row r="1506" ht="15.75" customHeight="1">
      <c r="A1506" s="17" t="s">
        <v>2177</v>
      </c>
      <c r="B1506" s="17" t="s">
        <v>299</v>
      </c>
      <c r="C1506" s="18">
        <v>45581.0</v>
      </c>
      <c r="D1506" s="18">
        <v>45611.0</v>
      </c>
      <c r="E1506" s="17" t="s">
        <v>684</v>
      </c>
      <c r="F1506" s="20">
        <v>19.99</v>
      </c>
      <c r="G1506" s="17" t="s">
        <v>675</v>
      </c>
    </row>
    <row r="1507" ht="15.75" customHeight="1">
      <c r="A1507" s="15" t="s">
        <v>2178</v>
      </c>
      <c r="B1507" s="15" t="s">
        <v>75</v>
      </c>
      <c r="C1507" s="16">
        <v>45581.0</v>
      </c>
      <c r="D1507" s="16">
        <v>45611.0</v>
      </c>
      <c r="E1507" s="15" t="s">
        <v>684</v>
      </c>
      <c r="F1507" s="19">
        <v>19.99</v>
      </c>
      <c r="G1507" s="15" t="s">
        <v>675</v>
      </c>
    </row>
    <row r="1508" ht="15.75" customHeight="1">
      <c r="A1508" s="17" t="s">
        <v>2179</v>
      </c>
      <c r="B1508" s="17" t="s">
        <v>255</v>
      </c>
      <c r="C1508" s="18">
        <v>45581.0</v>
      </c>
      <c r="D1508" s="18">
        <v>45611.0</v>
      </c>
      <c r="E1508" s="17" t="s">
        <v>684</v>
      </c>
      <c r="F1508" s="20">
        <v>19.99</v>
      </c>
      <c r="G1508" s="17" t="s">
        <v>675</v>
      </c>
    </row>
    <row r="1509" ht="15.75" customHeight="1">
      <c r="A1509" s="15" t="s">
        <v>2180</v>
      </c>
      <c r="B1509" s="15" t="s">
        <v>127</v>
      </c>
      <c r="C1509" s="16">
        <v>45581.0</v>
      </c>
      <c r="D1509" s="16">
        <v>45611.0</v>
      </c>
      <c r="E1509" s="15" t="s">
        <v>684</v>
      </c>
      <c r="F1509" s="19">
        <v>19.99</v>
      </c>
      <c r="G1509" s="15" t="s">
        <v>675</v>
      </c>
    </row>
    <row r="1510" ht="15.75" customHeight="1">
      <c r="A1510" s="17" t="s">
        <v>2181</v>
      </c>
      <c r="B1510" s="17" t="s">
        <v>378</v>
      </c>
      <c r="C1510" s="18">
        <v>45581.0</v>
      </c>
      <c r="D1510" s="18">
        <v>45611.0</v>
      </c>
      <c r="E1510" s="17" t="s">
        <v>684</v>
      </c>
      <c r="F1510" s="20">
        <v>19.99</v>
      </c>
      <c r="G1510" s="17" t="s">
        <v>675</v>
      </c>
    </row>
    <row r="1511" ht="15.75" customHeight="1">
      <c r="A1511" s="15" t="s">
        <v>2182</v>
      </c>
      <c r="B1511" s="15" t="s">
        <v>337</v>
      </c>
      <c r="C1511" s="16">
        <v>45581.0</v>
      </c>
      <c r="D1511" s="16">
        <v>45611.0</v>
      </c>
      <c r="E1511" s="15" t="s">
        <v>684</v>
      </c>
      <c r="F1511" s="19">
        <v>19.99</v>
      </c>
      <c r="G1511" s="15" t="s">
        <v>675</v>
      </c>
    </row>
    <row r="1512" ht="15.75" customHeight="1">
      <c r="A1512" s="17" t="s">
        <v>2183</v>
      </c>
      <c r="B1512" s="17" t="s">
        <v>300</v>
      </c>
      <c r="C1512" s="18">
        <v>45581.0</v>
      </c>
      <c r="D1512" s="18">
        <v>45611.0</v>
      </c>
      <c r="E1512" s="17" t="s">
        <v>684</v>
      </c>
      <c r="F1512" s="20">
        <v>19.99</v>
      </c>
      <c r="G1512" s="17" t="s">
        <v>675</v>
      </c>
    </row>
    <row r="1513" ht="15.75" customHeight="1">
      <c r="A1513" s="15" t="s">
        <v>2184</v>
      </c>
      <c r="B1513" s="15" t="s">
        <v>194</v>
      </c>
      <c r="C1513" s="16">
        <v>45582.0</v>
      </c>
      <c r="D1513" s="16">
        <v>45612.0</v>
      </c>
      <c r="E1513" s="15" t="s">
        <v>684</v>
      </c>
      <c r="F1513" s="19">
        <v>19.99</v>
      </c>
      <c r="G1513" s="15" t="s">
        <v>675</v>
      </c>
    </row>
    <row r="1514" ht="15.75" customHeight="1">
      <c r="A1514" s="17" t="s">
        <v>2185</v>
      </c>
      <c r="B1514" s="17" t="s">
        <v>338</v>
      </c>
      <c r="C1514" s="18">
        <v>45582.0</v>
      </c>
      <c r="D1514" s="18">
        <v>45612.0</v>
      </c>
      <c r="E1514" s="17" t="s">
        <v>684</v>
      </c>
      <c r="F1514" s="20">
        <v>19.99</v>
      </c>
      <c r="G1514" s="17" t="s">
        <v>675</v>
      </c>
    </row>
    <row r="1515" ht="15.75" customHeight="1">
      <c r="A1515" s="15" t="s">
        <v>2186</v>
      </c>
      <c r="B1515" s="15" t="s">
        <v>301</v>
      </c>
      <c r="C1515" s="16">
        <v>45582.0</v>
      </c>
      <c r="D1515" s="16">
        <v>45612.0</v>
      </c>
      <c r="E1515" s="15" t="s">
        <v>684</v>
      </c>
      <c r="F1515" s="19">
        <v>19.99</v>
      </c>
      <c r="G1515" s="15" t="s">
        <v>675</v>
      </c>
    </row>
    <row r="1516" ht="15.75" customHeight="1">
      <c r="A1516" s="17" t="s">
        <v>2187</v>
      </c>
      <c r="B1516" s="17" t="s">
        <v>302</v>
      </c>
      <c r="C1516" s="18">
        <v>45582.0</v>
      </c>
      <c r="D1516" s="18">
        <v>45612.0</v>
      </c>
      <c r="E1516" s="17" t="s">
        <v>684</v>
      </c>
      <c r="F1516" s="20">
        <v>19.99</v>
      </c>
      <c r="G1516" s="17" t="s">
        <v>675</v>
      </c>
    </row>
    <row r="1517" ht="15.75" customHeight="1">
      <c r="A1517" s="15" t="s">
        <v>2188</v>
      </c>
      <c r="B1517" s="15" t="s">
        <v>76</v>
      </c>
      <c r="C1517" s="16">
        <v>45582.0</v>
      </c>
      <c r="D1517" s="16">
        <v>45612.0</v>
      </c>
      <c r="E1517" s="15" t="s">
        <v>684</v>
      </c>
      <c r="F1517" s="19">
        <v>19.99</v>
      </c>
      <c r="G1517" s="15" t="s">
        <v>675</v>
      </c>
    </row>
    <row r="1518" ht="15.75" customHeight="1">
      <c r="A1518" s="17" t="s">
        <v>2189</v>
      </c>
      <c r="B1518" s="17" t="s">
        <v>379</v>
      </c>
      <c r="C1518" s="18">
        <v>45582.0</v>
      </c>
      <c r="D1518" s="18">
        <v>45612.0</v>
      </c>
      <c r="E1518" s="17" t="s">
        <v>684</v>
      </c>
      <c r="F1518" s="20">
        <v>19.99</v>
      </c>
      <c r="G1518" s="17" t="s">
        <v>675</v>
      </c>
    </row>
    <row r="1519" ht="15.75" customHeight="1">
      <c r="A1519" s="15" t="s">
        <v>2190</v>
      </c>
      <c r="B1519" s="15" t="s">
        <v>303</v>
      </c>
      <c r="C1519" s="16">
        <v>45582.0</v>
      </c>
      <c r="D1519" s="16">
        <v>45612.0</v>
      </c>
      <c r="E1519" s="15" t="s">
        <v>684</v>
      </c>
      <c r="F1519" s="19">
        <v>19.99</v>
      </c>
      <c r="G1519" s="15" t="s">
        <v>675</v>
      </c>
    </row>
    <row r="1520" ht="15.75" customHeight="1">
      <c r="A1520" s="17" t="s">
        <v>2191</v>
      </c>
      <c r="B1520" s="17" t="s">
        <v>159</v>
      </c>
      <c r="C1520" s="18">
        <v>45582.0</v>
      </c>
      <c r="D1520" s="18">
        <v>45612.0</v>
      </c>
      <c r="E1520" s="17" t="s">
        <v>684</v>
      </c>
      <c r="F1520" s="20">
        <v>19.99</v>
      </c>
      <c r="G1520" s="17" t="s">
        <v>675</v>
      </c>
    </row>
    <row r="1521" ht="15.75" customHeight="1">
      <c r="A1521" s="15" t="s">
        <v>2192</v>
      </c>
      <c r="B1521" s="15" t="s">
        <v>160</v>
      </c>
      <c r="C1521" s="16">
        <v>45582.0</v>
      </c>
      <c r="D1521" s="16">
        <v>45612.0</v>
      </c>
      <c r="E1521" s="15" t="s">
        <v>684</v>
      </c>
      <c r="F1521" s="19">
        <v>19.99</v>
      </c>
      <c r="G1521" s="15" t="s">
        <v>675</v>
      </c>
    </row>
    <row r="1522" ht="15.75" customHeight="1">
      <c r="A1522" s="17" t="s">
        <v>2193</v>
      </c>
      <c r="B1522" s="17" t="s">
        <v>390</v>
      </c>
      <c r="C1522" s="18">
        <v>45582.0</v>
      </c>
      <c r="D1522" s="18">
        <v>45589.0</v>
      </c>
      <c r="E1522" s="17" t="s">
        <v>674</v>
      </c>
      <c r="F1522" s="20">
        <v>0.0</v>
      </c>
      <c r="G1522" s="17" t="s">
        <v>675</v>
      </c>
    </row>
    <row r="1523" ht="15.75" customHeight="1">
      <c r="A1523" s="15" t="s">
        <v>2194</v>
      </c>
      <c r="B1523" s="15" t="s">
        <v>391</v>
      </c>
      <c r="C1523" s="16">
        <v>45582.0</v>
      </c>
      <c r="D1523" s="16">
        <v>45589.0</v>
      </c>
      <c r="E1523" s="15" t="s">
        <v>674</v>
      </c>
      <c r="F1523" s="19">
        <v>0.0</v>
      </c>
      <c r="G1523" s="15" t="s">
        <v>675</v>
      </c>
    </row>
    <row r="1524" ht="15.75" customHeight="1">
      <c r="A1524" s="17" t="s">
        <v>2195</v>
      </c>
      <c r="B1524" s="17" t="s">
        <v>392</v>
      </c>
      <c r="C1524" s="18">
        <v>45583.0</v>
      </c>
      <c r="D1524" s="18">
        <v>45590.0</v>
      </c>
      <c r="E1524" s="17" t="s">
        <v>674</v>
      </c>
      <c r="F1524" s="20">
        <v>0.0</v>
      </c>
      <c r="G1524" s="17" t="s">
        <v>675</v>
      </c>
    </row>
    <row r="1525" ht="15.75" customHeight="1">
      <c r="A1525" s="15" t="s">
        <v>2196</v>
      </c>
      <c r="B1525" s="15" t="s">
        <v>339</v>
      </c>
      <c r="C1525" s="16">
        <v>45583.0</v>
      </c>
      <c r="D1525" s="16">
        <v>45613.0</v>
      </c>
      <c r="E1525" s="15" t="s">
        <v>684</v>
      </c>
      <c r="F1525" s="19">
        <v>19.99</v>
      </c>
      <c r="G1525" s="15" t="s">
        <v>675</v>
      </c>
    </row>
    <row r="1526" ht="15.75" customHeight="1">
      <c r="A1526" s="17" t="s">
        <v>2197</v>
      </c>
      <c r="B1526" s="17" t="s">
        <v>393</v>
      </c>
      <c r="C1526" s="18">
        <v>45583.0</v>
      </c>
      <c r="D1526" s="18">
        <v>45590.0</v>
      </c>
      <c r="E1526" s="17" t="s">
        <v>674</v>
      </c>
      <c r="F1526" s="20">
        <v>0.0</v>
      </c>
      <c r="G1526" s="17" t="s">
        <v>675</v>
      </c>
    </row>
    <row r="1527" ht="15.75" customHeight="1">
      <c r="A1527" s="15" t="s">
        <v>2198</v>
      </c>
      <c r="B1527" s="15" t="s">
        <v>197</v>
      </c>
      <c r="C1527" s="16">
        <v>45583.0</v>
      </c>
      <c r="D1527" s="16">
        <v>45613.0</v>
      </c>
      <c r="E1527" s="15" t="s">
        <v>684</v>
      </c>
      <c r="F1527" s="19">
        <v>19.99</v>
      </c>
      <c r="G1527" s="15" t="s">
        <v>675</v>
      </c>
    </row>
    <row r="1528" ht="15.75" customHeight="1">
      <c r="A1528" s="17" t="s">
        <v>2199</v>
      </c>
      <c r="B1528" s="17" t="s">
        <v>256</v>
      </c>
      <c r="C1528" s="18">
        <v>45583.0</v>
      </c>
      <c r="D1528" s="18">
        <v>45613.0</v>
      </c>
      <c r="E1528" s="17" t="s">
        <v>684</v>
      </c>
      <c r="F1528" s="20">
        <v>19.99</v>
      </c>
      <c r="G1528" s="17" t="s">
        <v>675</v>
      </c>
    </row>
    <row r="1529" ht="15.75" customHeight="1">
      <c r="A1529" s="15" t="s">
        <v>2200</v>
      </c>
      <c r="B1529" s="15" t="s">
        <v>380</v>
      </c>
      <c r="C1529" s="16">
        <v>45583.0</v>
      </c>
      <c r="D1529" s="16">
        <v>45613.0</v>
      </c>
      <c r="E1529" s="15" t="s">
        <v>684</v>
      </c>
      <c r="F1529" s="19">
        <v>19.99</v>
      </c>
      <c r="G1529" s="15" t="s">
        <v>675</v>
      </c>
    </row>
    <row r="1530" ht="15.75" customHeight="1">
      <c r="A1530" s="17" t="s">
        <v>2201</v>
      </c>
      <c r="B1530" s="17" t="s">
        <v>162</v>
      </c>
      <c r="C1530" s="18">
        <v>45583.0</v>
      </c>
      <c r="D1530" s="18">
        <v>45613.0</v>
      </c>
      <c r="E1530" s="17" t="s">
        <v>684</v>
      </c>
      <c r="F1530" s="20">
        <v>19.99</v>
      </c>
      <c r="G1530" s="17" t="s">
        <v>675</v>
      </c>
    </row>
    <row r="1531" ht="15.75" customHeight="1">
      <c r="A1531" s="15" t="s">
        <v>2202</v>
      </c>
      <c r="B1531" s="15" t="s">
        <v>304</v>
      </c>
      <c r="C1531" s="16">
        <v>45583.0</v>
      </c>
      <c r="D1531" s="16">
        <v>45613.0</v>
      </c>
      <c r="E1531" s="15" t="s">
        <v>684</v>
      </c>
      <c r="F1531" s="19">
        <v>19.99</v>
      </c>
      <c r="G1531" s="15" t="s">
        <v>675</v>
      </c>
    </row>
    <row r="1532" ht="15.75" customHeight="1">
      <c r="A1532" s="17" t="s">
        <v>2203</v>
      </c>
      <c r="B1532" s="17" t="s">
        <v>381</v>
      </c>
      <c r="C1532" s="18">
        <v>45583.0</v>
      </c>
      <c r="D1532" s="18">
        <v>45613.0</v>
      </c>
      <c r="E1532" s="17" t="s">
        <v>684</v>
      </c>
      <c r="F1532" s="20">
        <v>19.99</v>
      </c>
      <c r="G1532" s="17" t="s">
        <v>675</v>
      </c>
    </row>
    <row r="1533" ht="15.75" customHeight="1">
      <c r="A1533" s="15" t="s">
        <v>2204</v>
      </c>
      <c r="B1533" s="15" t="s">
        <v>257</v>
      </c>
      <c r="C1533" s="16">
        <v>45583.0</v>
      </c>
      <c r="D1533" s="16">
        <v>45613.0</v>
      </c>
      <c r="E1533" s="15" t="s">
        <v>684</v>
      </c>
      <c r="F1533" s="19">
        <v>19.99</v>
      </c>
      <c r="G1533" s="15" t="s">
        <v>675</v>
      </c>
    </row>
    <row r="1534" ht="15.75" customHeight="1">
      <c r="A1534" s="17" t="s">
        <v>2205</v>
      </c>
      <c r="B1534" s="17" t="s">
        <v>129</v>
      </c>
      <c r="C1534" s="18">
        <v>45583.0</v>
      </c>
      <c r="D1534" s="18">
        <v>45613.0</v>
      </c>
      <c r="E1534" s="17" t="s">
        <v>684</v>
      </c>
      <c r="F1534" s="20">
        <v>19.99</v>
      </c>
      <c r="G1534" s="17" t="s">
        <v>675</v>
      </c>
    </row>
    <row r="1535" ht="15.75" customHeight="1">
      <c r="A1535" s="15" t="s">
        <v>2206</v>
      </c>
      <c r="B1535" s="15" t="s">
        <v>394</v>
      </c>
      <c r="C1535" s="16">
        <v>45583.0</v>
      </c>
      <c r="D1535" s="16">
        <v>45590.0</v>
      </c>
      <c r="E1535" s="15" t="s">
        <v>674</v>
      </c>
      <c r="F1535" s="19">
        <v>0.0</v>
      </c>
      <c r="G1535" s="15" t="s">
        <v>675</v>
      </c>
    </row>
    <row r="1536" ht="15.75" customHeight="1">
      <c r="A1536" s="17" t="s">
        <v>2207</v>
      </c>
      <c r="B1536" s="17" t="s">
        <v>395</v>
      </c>
      <c r="C1536" s="18">
        <v>45583.0</v>
      </c>
      <c r="D1536" s="18">
        <v>45590.0</v>
      </c>
      <c r="E1536" s="17" t="s">
        <v>674</v>
      </c>
      <c r="F1536" s="20">
        <v>0.0</v>
      </c>
      <c r="G1536" s="17" t="s">
        <v>675</v>
      </c>
    </row>
    <row r="1537" ht="15.75" customHeight="1">
      <c r="A1537" s="15" t="s">
        <v>2208</v>
      </c>
      <c r="B1537" s="15" t="s">
        <v>382</v>
      </c>
      <c r="C1537" s="16">
        <v>45584.0</v>
      </c>
      <c r="D1537" s="16">
        <v>45614.0</v>
      </c>
      <c r="E1537" s="15" t="s">
        <v>684</v>
      </c>
      <c r="F1537" s="19">
        <v>19.99</v>
      </c>
      <c r="G1537" s="15" t="s">
        <v>675</v>
      </c>
    </row>
    <row r="1538" ht="15.75" customHeight="1">
      <c r="A1538" s="17" t="s">
        <v>2209</v>
      </c>
      <c r="B1538" s="17" t="s">
        <v>163</v>
      </c>
      <c r="C1538" s="18">
        <v>45584.0</v>
      </c>
      <c r="D1538" s="18">
        <v>45614.0</v>
      </c>
      <c r="E1538" s="17" t="s">
        <v>684</v>
      </c>
      <c r="F1538" s="20">
        <v>19.99</v>
      </c>
      <c r="G1538" s="17" t="s">
        <v>675</v>
      </c>
    </row>
    <row r="1539" ht="15.75" customHeight="1">
      <c r="A1539" s="15" t="s">
        <v>2210</v>
      </c>
      <c r="B1539" s="15" t="s">
        <v>383</v>
      </c>
      <c r="C1539" s="16">
        <v>45584.0</v>
      </c>
      <c r="D1539" s="16">
        <v>45614.0</v>
      </c>
      <c r="E1539" s="15" t="s">
        <v>684</v>
      </c>
      <c r="F1539" s="19">
        <v>19.99</v>
      </c>
      <c r="G1539" s="15" t="s">
        <v>675</v>
      </c>
    </row>
    <row r="1540" ht="15.75" customHeight="1">
      <c r="A1540" s="17" t="s">
        <v>2211</v>
      </c>
      <c r="B1540" s="17" t="s">
        <v>340</v>
      </c>
      <c r="C1540" s="18">
        <v>45584.0</v>
      </c>
      <c r="D1540" s="18">
        <v>45614.0</v>
      </c>
      <c r="E1540" s="17" t="s">
        <v>684</v>
      </c>
      <c r="F1540" s="20">
        <v>19.99</v>
      </c>
      <c r="G1540" s="17" t="s">
        <v>675</v>
      </c>
    </row>
    <row r="1541" ht="15.75" customHeight="1">
      <c r="A1541" s="15" t="s">
        <v>2212</v>
      </c>
      <c r="B1541" s="15" t="s">
        <v>384</v>
      </c>
      <c r="C1541" s="16">
        <v>45584.0</v>
      </c>
      <c r="D1541" s="16">
        <v>45614.0</v>
      </c>
      <c r="E1541" s="15" t="s">
        <v>684</v>
      </c>
      <c r="F1541" s="19">
        <v>19.99</v>
      </c>
      <c r="G1541" s="15" t="s">
        <v>675</v>
      </c>
    </row>
    <row r="1542" ht="15.75" customHeight="1">
      <c r="A1542" s="17" t="s">
        <v>2213</v>
      </c>
      <c r="B1542" s="17" t="s">
        <v>385</v>
      </c>
      <c r="C1542" s="18">
        <v>45584.0</v>
      </c>
      <c r="D1542" s="18">
        <v>45614.0</v>
      </c>
      <c r="E1542" s="17" t="s">
        <v>684</v>
      </c>
      <c r="F1542" s="20">
        <v>19.99</v>
      </c>
      <c r="G1542" s="17" t="s">
        <v>675</v>
      </c>
    </row>
    <row r="1543" ht="15.75" customHeight="1">
      <c r="A1543" s="15" t="s">
        <v>2214</v>
      </c>
      <c r="B1543" s="15" t="s">
        <v>396</v>
      </c>
      <c r="C1543" s="16">
        <v>45584.0</v>
      </c>
      <c r="D1543" s="16">
        <v>45591.0</v>
      </c>
      <c r="E1543" s="15" t="s">
        <v>674</v>
      </c>
      <c r="F1543" s="19">
        <v>0.0</v>
      </c>
      <c r="G1543" s="15" t="s">
        <v>675</v>
      </c>
    </row>
    <row r="1544" ht="15.75" customHeight="1">
      <c r="A1544" s="17" t="s">
        <v>2215</v>
      </c>
      <c r="B1544" s="17" t="s">
        <v>164</v>
      </c>
      <c r="C1544" s="18">
        <v>45584.0</v>
      </c>
      <c r="D1544" s="18">
        <v>45614.0</v>
      </c>
      <c r="E1544" s="17" t="s">
        <v>684</v>
      </c>
      <c r="F1544" s="20">
        <v>19.99</v>
      </c>
      <c r="G1544" s="17" t="s">
        <v>675</v>
      </c>
    </row>
    <row r="1545" ht="15.75" customHeight="1">
      <c r="A1545" s="15" t="s">
        <v>2216</v>
      </c>
      <c r="B1545" s="15" t="s">
        <v>259</v>
      </c>
      <c r="C1545" s="16">
        <v>45584.0</v>
      </c>
      <c r="D1545" s="16">
        <v>45614.0</v>
      </c>
      <c r="E1545" s="15" t="s">
        <v>684</v>
      </c>
      <c r="F1545" s="19">
        <v>19.99</v>
      </c>
      <c r="G1545" s="15" t="s">
        <v>675</v>
      </c>
    </row>
    <row r="1546" ht="15.75" customHeight="1">
      <c r="A1546" s="17" t="s">
        <v>2217</v>
      </c>
      <c r="B1546" s="17" t="s">
        <v>198</v>
      </c>
      <c r="C1546" s="18">
        <v>45584.0</v>
      </c>
      <c r="D1546" s="18">
        <v>45614.0</v>
      </c>
      <c r="E1546" s="17" t="s">
        <v>684</v>
      </c>
      <c r="F1546" s="20">
        <v>19.99</v>
      </c>
      <c r="G1546" s="17" t="s">
        <v>675</v>
      </c>
    </row>
    <row r="1547" ht="15.75" customHeight="1">
      <c r="A1547" s="15" t="s">
        <v>2218</v>
      </c>
      <c r="B1547" s="15" t="s">
        <v>342</v>
      </c>
      <c r="C1547" s="16">
        <v>45584.0</v>
      </c>
      <c r="D1547" s="16">
        <v>45614.0</v>
      </c>
      <c r="E1547" s="15" t="s">
        <v>684</v>
      </c>
      <c r="F1547" s="19">
        <v>19.99</v>
      </c>
      <c r="G1547" s="15" t="s">
        <v>675</v>
      </c>
    </row>
    <row r="1548" ht="15.75" customHeight="1">
      <c r="A1548" s="17" t="s">
        <v>2219</v>
      </c>
      <c r="B1548" s="17" t="s">
        <v>343</v>
      </c>
      <c r="C1548" s="18">
        <v>45584.0</v>
      </c>
      <c r="D1548" s="18">
        <v>45614.0</v>
      </c>
      <c r="E1548" s="17" t="s">
        <v>684</v>
      </c>
      <c r="F1548" s="20">
        <v>19.99</v>
      </c>
      <c r="G1548" s="17" t="s">
        <v>675</v>
      </c>
    </row>
    <row r="1549" ht="15.75" customHeight="1">
      <c r="A1549" s="15" t="s">
        <v>2220</v>
      </c>
      <c r="B1549" s="15" t="s">
        <v>386</v>
      </c>
      <c r="C1549" s="16">
        <v>45584.0</v>
      </c>
      <c r="D1549" s="16">
        <v>45614.0</v>
      </c>
      <c r="E1549" s="15" t="s">
        <v>684</v>
      </c>
      <c r="F1549" s="19">
        <v>19.99</v>
      </c>
      <c r="G1549" s="15" t="s">
        <v>675</v>
      </c>
    </row>
    <row r="1550" ht="15.75" customHeight="1">
      <c r="A1550" s="17" t="s">
        <v>2221</v>
      </c>
      <c r="B1550" s="17" t="s">
        <v>397</v>
      </c>
      <c r="C1550" s="18">
        <v>45585.0</v>
      </c>
      <c r="D1550" s="18">
        <v>45592.0</v>
      </c>
      <c r="E1550" s="17" t="s">
        <v>674</v>
      </c>
      <c r="F1550" s="20">
        <v>0.0</v>
      </c>
      <c r="G1550" s="17" t="s">
        <v>675</v>
      </c>
    </row>
    <row r="1551" ht="15.75" customHeight="1">
      <c r="A1551" s="15" t="s">
        <v>2222</v>
      </c>
      <c r="B1551" s="15" t="s">
        <v>387</v>
      </c>
      <c r="C1551" s="16">
        <v>45585.0</v>
      </c>
      <c r="D1551" s="16">
        <v>45615.0</v>
      </c>
      <c r="E1551" s="15" t="s">
        <v>684</v>
      </c>
      <c r="F1551" s="19">
        <v>19.99</v>
      </c>
      <c r="G1551" s="15" t="s">
        <v>675</v>
      </c>
    </row>
    <row r="1552" ht="15.75" customHeight="1">
      <c r="A1552" s="17" t="s">
        <v>2223</v>
      </c>
      <c r="B1552" s="17" t="s">
        <v>100</v>
      </c>
      <c r="C1552" s="18">
        <v>45585.0</v>
      </c>
      <c r="D1552" s="18">
        <v>45615.0</v>
      </c>
      <c r="E1552" s="17" t="s">
        <v>684</v>
      </c>
      <c r="F1552" s="20">
        <v>19.99</v>
      </c>
      <c r="G1552" s="17" t="s">
        <v>675</v>
      </c>
    </row>
    <row r="1553" ht="15.75" customHeight="1">
      <c r="A1553" s="15" t="s">
        <v>2224</v>
      </c>
      <c r="B1553" s="15" t="s">
        <v>165</v>
      </c>
      <c r="C1553" s="16">
        <v>45585.0</v>
      </c>
      <c r="D1553" s="16">
        <v>45615.0</v>
      </c>
      <c r="E1553" s="15" t="s">
        <v>684</v>
      </c>
      <c r="F1553" s="19">
        <v>19.99</v>
      </c>
      <c r="G1553" s="15" t="s">
        <v>675</v>
      </c>
    </row>
    <row r="1554" ht="15.75" customHeight="1">
      <c r="A1554" s="17" t="s">
        <v>2225</v>
      </c>
      <c r="B1554" s="17" t="s">
        <v>260</v>
      </c>
      <c r="C1554" s="18">
        <v>45585.0</v>
      </c>
      <c r="D1554" s="18">
        <v>45615.0</v>
      </c>
      <c r="E1554" s="17" t="s">
        <v>684</v>
      </c>
      <c r="F1554" s="20">
        <v>19.99</v>
      </c>
      <c r="G1554" s="17" t="s">
        <v>675</v>
      </c>
    </row>
    <row r="1555" ht="15.75" customHeight="1">
      <c r="A1555" s="15" t="s">
        <v>2226</v>
      </c>
      <c r="B1555" s="15" t="s">
        <v>79</v>
      </c>
      <c r="C1555" s="16">
        <v>45586.0</v>
      </c>
      <c r="D1555" s="16">
        <v>45616.0</v>
      </c>
      <c r="E1555" s="15" t="s">
        <v>684</v>
      </c>
      <c r="F1555" s="19">
        <v>19.99</v>
      </c>
      <c r="G1555" s="15" t="s">
        <v>675</v>
      </c>
    </row>
    <row r="1556" ht="15.75" customHeight="1">
      <c r="A1556" s="17" t="s">
        <v>2227</v>
      </c>
      <c r="B1556" s="17" t="s">
        <v>398</v>
      </c>
      <c r="C1556" s="18">
        <v>45586.0</v>
      </c>
      <c r="D1556" s="18">
        <v>45593.0</v>
      </c>
      <c r="E1556" s="17" t="s">
        <v>674</v>
      </c>
      <c r="F1556" s="20">
        <v>0.0</v>
      </c>
      <c r="G1556" s="17" t="s">
        <v>675</v>
      </c>
    </row>
    <row r="1557" ht="15.75" customHeight="1">
      <c r="A1557" s="15" t="s">
        <v>2228</v>
      </c>
      <c r="B1557" s="15" t="s">
        <v>201</v>
      </c>
      <c r="C1557" s="16">
        <v>45586.0</v>
      </c>
      <c r="D1557" s="16">
        <v>45616.0</v>
      </c>
      <c r="E1557" s="15" t="s">
        <v>684</v>
      </c>
      <c r="F1557" s="19">
        <v>19.99</v>
      </c>
      <c r="G1557" s="15" t="s">
        <v>675</v>
      </c>
    </row>
    <row r="1558" ht="15.75" customHeight="1">
      <c r="A1558" s="17" t="s">
        <v>2229</v>
      </c>
      <c r="B1558" s="17" t="s">
        <v>388</v>
      </c>
      <c r="C1558" s="18">
        <v>45586.0</v>
      </c>
      <c r="D1558" s="18">
        <v>45616.0</v>
      </c>
      <c r="E1558" s="17" t="s">
        <v>684</v>
      </c>
      <c r="F1558" s="20">
        <v>19.99</v>
      </c>
      <c r="G1558" s="17" t="s">
        <v>675</v>
      </c>
    </row>
    <row r="1559" ht="15.75" customHeight="1">
      <c r="A1559" s="15" t="s">
        <v>2230</v>
      </c>
      <c r="B1559" s="15" t="s">
        <v>399</v>
      </c>
      <c r="C1559" s="16">
        <v>45586.0</v>
      </c>
      <c r="D1559" s="16">
        <v>45593.0</v>
      </c>
      <c r="E1559" s="15" t="s">
        <v>674</v>
      </c>
      <c r="F1559" s="19">
        <v>0.0</v>
      </c>
      <c r="G1559" s="15" t="s">
        <v>675</v>
      </c>
    </row>
    <row r="1560" ht="15.75" customHeight="1">
      <c r="A1560" s="17" t="s">
        <v>2231</v>
      </c>
      <c r="B1560" s="17" t="s">
        <v>133</v>
      </c>
      <c r="C1560" s="18">
        <v>45586.0</v>
      </c>
      <c r="D1560" s="18">
        <v>45616.0</v>
      </c>
      <c r="E1560" s="17" t="s">
        <v>684</v>
      </c>
      <c r="F1560" s="20">
        <v>19.99</v>
      </c>
      <c r="G1560" s="17" t="s">
        <v>675</v>
      </c>
    </row>
    <row r="1561" ht="15.75" customHeight="1">
      <c r="A1561" s="15" t="s">
        <v>2232</v>
      </c>
      <c r="B1561" s="15" t="s">
        <v>306</v>
      </c>
      <c r="C1561" s="16">
        <v>45586.0</v>
      </c>
      <c r="D1561" s="16">
        <v>45616.0</v>
      </c>
      <c r="E1561" s="15" t="s">
        <v>684</v>
      </c>
      <c r="F1561" s="19">
        <v>19.99</v>
      </c>
      <c r="G1561" s="15" t="s">
        <v>675</v>
      </c>
    </row>
    <row r="1562" ht="15.75" customHeight="1">
      <c r="A1562" s="17" t="s">
        <v>2233</v>
      </c>
      <c r="B1562" s="17" t="s">
        <v>400</v>
      </c>
      <c r="C1562" s="18">
        <v>45586.0</v>
      </c>
      <c r="D1562" s="18">
        <v>45593.0</v>
      </c>
      <c r="E1562" s="17" t="s">
        <v>674</v>
      </c>
      <c r="F1562" s="20">
        <v>0.0</v>
      </c>
      <c r="G1562" s="17" t="s">
        <v>675</v>
      </c>
    </row>
    <row r="1563" ht="15.75" customHeight="1">
      <c r="A1563" s="15" t="s">
        <v>2234</v>
      </c>
      <c r="B1563" s="15" t="s">
        <v>307</v>
      </c>
      <c r="C1563" s="16">
        <v>45586.0</v>
      </c>
      <c r="D1563" s="16">
        <v>45616.0</v>
      </c>
      <c r="E1563" s="15" t="s">
        <v>684</v>
      </c>
      <c r="F1563" s="19">
        <v>19.99</v>
      </c>
      <c r="G1563" s="15" t="s">
        <v>675</v>
      </c>
    </row>
    <row r="1564" ht="15.75" customHeight="1">
      <c r="A1564" s="17" t="s">
        <v>2235</v>
      </c>
      <c r="B1564" s="17" t="s">
        <v>389</v>
      </c>
      <c r="C1564" s="18">
        <v>45586.0</v>
      </c>
      <c r="D1564" s="18">
        <v>45616.0</v>
      </c>
      <c r="E1564" s="17" t="s">
        <v>684</v>
      </c>
      <c r="F1564" s="20">
        <v>19.99</v>
      </c>
      <c r="G1564" s="17" t="s">
        <v>675</v>
      </c>
    </row>
    <row r="1565" ht="15.75" customHeight="1">
      <c r="A1565" s="15" t="s">
        <v>2236</v>
      </c>
      <c r="B1565" s="15" t="s">
        <v>203</v>
      </c>
      <c r="C1565" s="16">
        <v>45587.0</v>
      </c>
      <c r="D1565" s="16">
        <v>45617.0</v>
      </c>
      <c r="E1565" s="15" t="s">
        <v>684</v>
      </c>
      <c r="F1565" s="19">
        <v>19.99</v>
      </c>
      <c r="G1565" s="15" t="s">
        <v>675</v>
      </c>
    </row>
    <row r="1566" ht="15.75" customHeight="1">
      <c r="A1566" s="17" t="s">
        <v>2237</v>
      </c>
      <c r="B1566" s="17" t="s">
        <v>401</v>
      </c>
      <c r="C1566" s="18">
        <v>45587.0</v>
      </c>
      <c r="D1566" s="18">
        <v>45594.0</v>
      </c>
      <c r="E1566" s="17" t="s">
        <v>674</v>
      </c>
      <c r="F1566" s="20">
        <v>0.0</v>
      </c>
      <c r="G1566" s="17" t="s">
        <v>675</v>
      </c>
    </row>
    <row r="1567" ht="15.75" customHeight="1">
      <c r="A1567" s="15" t="s">
        <v>2238</v>
      </c>
      <c r="B1567" s="15" t="s">
        <v>134</v>
      </c>
      <c r="C1567" s="16">
        <v>45587.0</v>
      </c>
      <c r="D1567" s="16">
        <v>45617.0</v>
      </c>
      <c r="E1567" s="15" t="s">
        <v>684</v>
      </c>
      <c r="F1567" s="19">
        <v>19.99</v>
      </c>
      <c r="G1567" s="15" t="s">
        <v>675</v>
      </c>
    </row>
    <row r="1568" ht="15.75" customHeight="1">
      <c r="A1568" s="17" t="s">
        <v>2239</v>
      </c>
      <c r="B1568" s="17" t="s">
        <v>227</v>
      </c>
      <c r="C1568" s="18">
        <v>45587.0</v>
      </c>
      <c r="D1568" s="18">
        <v>45617.0</v>
      </c>
      <c r="E1568" s="17" t="s">
        <v>684</v>
      </c>
      <c r="F1568" s="20">
        <v>19.99</v>
      </c>
      <c r="G1568" s="17" t="s">
        <v>675</v>
      </c>
    </row>
    <row r="1569" ht="15.75" customHeight="1">
      <c r="A1569" s="15" t="s">
        <v>2240</v>
      </c>
      <c r="B1569" s="15" t="s">
        <v>261</v>
      </c>
      <c r="C1569" s="16">
        <v>45587.0</v>
      </c>
      <c r="D1569" s="16">
        <v>45617.0</v>
      </c>
      <c r="E1569" s="15" t="s">
        <v>684</v>
      </c>
      <c r="F1569" s="19">
        <v>19.99</v>
      </c>
      <c r="G1569" s="15" t="s">
        <v>675</v>
      </c>
    </row>
    <row r="1570" ht="15.75" customHeight="1">
      <c r="A1570" s="17" t="s">
        <v>2241</v>
      </c>
      <c r="B1570" s="17" t="s">
        <v>344</v>
      </c>
      <c r="C1570" s="18">
        <v>45587.0</v>
      </c>
      <c r="D1570" s="18">
        <v>45617.0</v>
      </c>
      <c r="E1570" s="17" t="s">
        <v>684</v>
      </c>
      <c r="F1570" s="20">
        <v>19.99</v>
      </c>
      <c r="G1570" s="17" t="s">
        <v>675</v>
      </c>
    </row>
    <row r="1571" ht="15.75" customHeight="1">
      <c r="A1571" s="15" t="s">
        <v>2242</v>
      </c>
      <c r="B1571" s="15" t="s">
        <v>402</v>
      </c>
      <c r="C1571" s="16">
        <v>45587.0</v>
      </c>
      <c r="D1571" s="16">
        <v>45594.0</v>
      </c>
      <c r="E1571" s="15" t="s">
        <v>674</v>
      </c>
      <c r="F1571" s="19">
        <v>0.0</v>
      </c>
      <c r="G1571" s="15" t="s">
        <v>675</v>
      </c>
    </row>
    <row r="1572" ht="15.75" customHeight="1">
      <c r="A1572" s="17" t="s">
        <v>2243</v>
      </c>
      <c r="B1572" s="17" t="s">
        <v>309</v>
      </c>
      <c r="C1572" s="18">
        <v>45587.0</v>
      </c>
      <c r="D1572" s="18">
        <v>45617.0</v>
      </c>
      <c r="E1572" s="17" t="s">
        <v>684</v>
      </c>
      <c r="F1572" s="20">
        <v>19.99</v>
      </c>
      <c r="G1572" s="17" t="s">
        <v>675</v>
      </c>
    </row>
    <row r="1573" ht="15.75" customHeight="1">
      <c r="A1573" s="15" t="s">
        <v>2244</v>
      </c>
      <c r="B1573" s="15" t="s">
        <v>206</v>
      </c>
      <c r="C1573" s="16">
        <v>45587.0</v>
      </c>
      <c r="D1573" s="16">
        <v>45617.0</v>
      </c>
      <c r="E1573" s="15" t="s">
        <v>684</v>
      </c>
      <c r="F1573" s="19">
        <v>19.99</v>
      </c>
      <c r="G1573" s="15" t="s">
        <v>675</v>
      </c>
    </row>
    <row r="1574" ht="15.75" customHeight="1">
      <c r="A1574" s="17" t="s">
        <v>2245</v>
      </c>
      <c r="B1574" s="17" t="s">
        <v>345</v>
      </c>
      <c r="C1574" s="18">
        <v>45588.0</v>
      </c>
      <c r="D1574" s="18">
        <v>45618.0</v>
      </c>
      <c r="E1574" s="17" t="s">
        <v>684</v>
      </c>
      <c r="F1574" s="20">
        <v>19.99</v>
      </c>
      <c r="G1574" s="17" t="s">
        <v>675</v>
      </c>
    </row>
    <row r="1575" ht="15.75" customHeight="1">
      <c r="A1575" s="15" t="s">
        <v>2246</v>
      </c>
      <c r="B1575" s="15" t="s">
        <v>310</v>
      </c>
      <c r="C1575" s="16">
        <v>45588.0</v>
      </c>
      <c r="D1575" s="16">
        <v>45618.0</v>
      </c>
      <c r="E1575" s="15" t="s">
        <v>684</v>
      </c>
      <c r="F1575" s="19">
        <v>19.99</v>
      </c>
      <c r="G1575" s="15" t="s">
        <v>675</v>
      </c>
    </row>
    <row r="1576" ht="15.75" customHeight="1">
      <c r="A1576" s="17" t="s">
        <v>2247</v>
      </c>
      <c r="B1576" s="17" t="s">
        <v>228</v>
      </c>
      <c r="C1576" s="18">
        <v>45588.0</v>
      </c>
      <c r="D1576" s="18">
        <v>45618.0</v>
      </c>
      <c r="E1576" s="17" t="s">
        <v>684</v>
      </c>
      <c r="F1576" s="20">
        <v>19.99</v>
      </c>
      <c r="G1576" s="17" t="s">
        <v>675</v>
      </c>
    </row>
    <row r="1577" ht="15.75" customHeight="1">
      <c r="A1577" s="15" t="s">
        <v>2248</v>
      </c>
      <c r="B1577" s="15" t="s">
        <v>262</v>
      </c>
      <c r="C1577" s="16">
        <v>45588.0</v>
      </c>
      <c r="D1577" s="16">
        <v>45618.0</v>
      </c>
      <c r="E1577" s="15" t="s">
        <v>684</v>
      </c>
      <c r="F1577" s="19">
        <v>19.99</v>
      </c>
      <c r="G1577" s="15" t="s">
        <v>675</v>
      </c>
    </row>
    <row r="1578" ht="15.75" customHeight="1">
      <c r="A1578" s="17" t="s">
        <v>2249</v>
      </c>
      <c r="B1578" s="17" t="s">
        <v>346</v>
      </c>
      <c r="C1578" s="18">
        <v>45588.0</v>
      </c>
      <c r="D1578" s="18">
        <v>45618.0</v>
      </c>
      <c r="E1578" s="17" t="s">
        <v>684</v>
      </c>
      <c r="F1578" s="20">
        <v>19.99</v>
      </c>
      <c r="G1578" s="17" t="s">
        <v>675</v>
      </c>
    </row>
    <row r="1579" ht="15.75" customHeight="1">
      <c r="A1579" s="15" t="s">
        <v>2250</v>
      </c>
      <c r="B1579" s="15" t="s">
        <v>403</v>
      </c>
      <c r="C1579" s="16">
        <v>45588.0</v>
      </c>
      <c r="D1579" s="16">
        <v>45595.0</v>
      </c>
      <c r="E1579" s="15" t="s">
        <v>674</v>
      </c>
      <c r="F1579" s="19">
        <v>0.0</v>
      </c>
      <c r="G1579" s="15" t="s">
        <v>675</v>
      </c>
    </row>
    <row r="1580" ht="15.75" customHeight="1">
      <c r="A1580" s="17" t="s">
        <v>2251</v>
      </c>
      <c r="B1580" s="17" t="s">
        <v>404</v>
      </c>
      <c r="C1580" s="18">
        <v>45588.0</v>
      </c>
      <c r="D1580" s="18">
        <v>45595.0</v>
      </c>
      <c r="E1580" s="17" t="s">
        <v>674</v>
      </c>
      <c r="F1580" s="20">
        <v>0.0</v>
      </c>
      <c r="G1580" s="17" t="s">
        <v>675</v>
      </c>
    </row>
    <row r="1581" ht="15.75" customHeight="1">
      <c r="A1581" s="15" t="s">
        <v>2252</v>
      </c>
      <c r="B1581" s="15" t="s">
        <v>102</v>
      </c>
      <c r="C1581" s="16">
        <v>45588.0</v>
      </c>
      <c r="D1581" s="16">
        <v>45618.0</v>
      </c>
      <c r="E1581" s="15" t="s">
        <v>684</v>
      </c>
      <c r="F1581" s="19">
        <v>19.99</v>
      </c>
      <c r="G1581" s="15" t="s">
        <v>675</v>
      </c>
    </row>
    <row r="1582" ht="15.75" customHeight="1">
      <c r="A1582" s="17" t="s">
        <v>2253</v>
      </c>
      <c r="B1582" s="17" t="s">
        <v>167</v>
      </c>
      <c r="C1582" s="18">
        <v>45588.0</v>
      </c>
      <c r="D1582" s="18">
        <v>45618.0</v>
      </c>
      <c r="E1582" s="17" t="s">
        <v>684</v>
      </c>
      <c r="F1582" s="20">
        <v>19.99</v>
      </c>
      <c r="G1582" s="17" t="s">
        <v>675</v>
      </c>
    </row>
    <row r="1583" ht="15.75" customHeight="1">
      <c r="A1583" s="15" t="s">
        <v>2254</v>
      </c>
      <c r="B1583" s="15" t="s">
        <v>168</v>
      </c>
      <c r="C1583" s="16">
        <v>45588.0</v>
      </c>
      <c r="D1583" s="16">
        <v>45618.0</v>
      </c>
      <c r="E1583" s="15" t="s">
        <v>684</v>
      </c>
      <c r="F1583" s="19">
        <v>19.99</v>
      </c>
      <c r="G1583" s="15" t="s">
        <v>675</v>
      </c>
    </row>
    <row r="1584" ht="15.75" customHeight="1">
      <c r="A1584" s="17" t="s">
        <v>2255</v>
      </c>
      <c r="B1584" s="17" t="s">
        <v>208</v>
      </c>
      <c r="C1584" s="18">
        <v>45588.0</v>
      </c>
      <c r="D1584" s="18">
        <v>45618.0</v>
      </c>
      <c r="E1584" s="17" t="s">
        <v>684</v>
      </c>
      <c r="F1584" s="20">
        <v>19.99</v>
      </c>
      <c r="G1584" s="17" t="s">
        <v>675</v>
      </c>
    </row>
    <row r="1585" ht="15.75" customHeight="1">
      <c r="A1585" s="15" t="s">
        <v>2256</v>
      </c>
      <c r="B1585" s="15" t="s">
        <v>347</v>
      </c>
      <c r="C1585" s="16">
        <v>45589.0</v>
      </c>
      <c r="D1585" s="16">
        <v>45619.0</v>
      </c>
      <c r="E1585" s="15" t="s">
        <v>684</v>
      </c>
      <c r="F1585" s="19">
        <v>19.99</v>
      </c>
      <c r="G1585" s="15" t="s">
        <v>675</v>
      </c>
    </row>
    <row r="1586" ht="15.75" customHeight="1">
      <c r="A1586" s="17" t="s">
        <v>2257</v>
      </c>
      <c r="B1586" s="17" t="s">
        <v>136</v>
      </c>
      <c r="C1586" s="18">
        <v>45589.0</v>
      </c>
      <c r="D1586" s="18">
        <v>45619.0</v>
      </c>
      <c r="E1586" s="17" t="s">
        <v>684</v>
      </c>
      <c r="F1586" s="20">
        <v>19.99</v>
      </c>
      <c r="G1586" s="17" t="s">
        <v>675</v>
      </c>
    </row>
    <row r="1587" ht="15.75" customHeight="1">
      <c r="A1587" s="15" t="s">
        <v>2258</v>
      </c>
      <c r="B1587" s="15" t="s">
        <v>405</v>
      </c>
      <c r="C1587" s="16">
        <v>45589.0</v>
      </c>
      <c r="D1587" s="16">
        <v>45596.0</v>
      </c>
      <c r="E1587" s="15" t="s">
        <v>674</v>
      </c>
      <c r="F1587" s="19">
        <v>0.0</v>
      </c>
      <c r="G1587" s="15" t="s">
        <v>675</v>
      </c>
    </row>
    <row r="1588" ht="15.75" customHeight="1">
      <c r="A1588" s="17" t="s">
        <v>2259</v>
      </c>
      <c r="B1588" s="17" t="s">
        <v>82</v>
      </c>
      <c r="C1588" s="18">
        <v>45589.0</v>
      </c>
      <c r="D1588" s="18">
        <v>45619.0</v>
      </c>
      <c r="E1588" s="17" t="s">
        <v>684</v>
      </c>
      <c r="F1588" s="20">
        <v>19.99</v>
      </c>
      <c r="G1588" s="17" t="s">
        <v>675</v>
      </c>
    </row>
    <row r="1589" ht="15.75" customHeight="1">
      <c r="A1589" s="15" t="s">
        <v>2260</v>
      </c>
      <c r="B1589" s="15" t="s">
        <v>406</v>
      </c>
      <c r="C1589" s="16">
        <v>45589.0</v>
      </c>
      <c r="D1589" s="16">
        <v>45596.0</v>
      </c>
      <c r="E1589" s="15" t="s">
        <v>674</v>
      </c>
      <c r="F1589" s="19">
        <v>0.0</v>
      </c>
      <c r="G1589" s="15" t="s">
        <v>675</v>
      </c>
    </row>
    <row r="1590" ht="15.75" customHeight="1">
      <c r="A1590" s="17" t="s">
        <v>2261</v>
      </c>
      <c r="B1590" s="17" t="s">
        <v>407</v>
      </c>
      <c r="C1590" s="18">
        <v>45589.0</v>
      </c>
      <c r="D1590" s="18">
        <v>45596.0</v>
      </c>
      <c r="E1590" s="17" t="s">
        <v>674</v>
      </c>
      <c r="F1590" s="20">
        <v>0.0</v>
      </c>
      <c r="G1590" s="17" t="s">
        <v>675</v>
      </c>
    </row>
    <row r="1591" ht="15.75" customHeight="1">
      <c r="A1591" s="15" t="s">
        <v>2262</v>
      </c>
      <c r="B1591" s="15" t="s">
        <v>348</v>
      </c>
      <c r="C1591" s="16">
        <v>45589.0</v>
      </c>
      <c r="D1591" s="16">
        <v>45619.0</v>
      </c>
      <c r="E1591" s="15" t="s">
        <v>684</v>
      </c>
      <c r="F1591" s="19">
        <v>19.99</v>
      </c>
      <c r="G1591" s="15" t="s">
        <v>675</v>
      </c>
    </row>
    <row r="1592" ht="15.75" customHeight="1">
      <c r="A1592" s="17" t="s">
        <v>2263</v>
      </c>
      <c r="B1592" s="17" t="s">
        <v>390</v>
      </c>
      <c r="C1592" s="18">
        <v>45589.0</v>
      </c>
      <c r="D1592" s="18">
        <v>45619.0</v>
      </c>
      <c r="E1592" s="17" t="s">
        <v>684</v>
      </c>
      <c r="F1592" s="20">
        <v>19.99</v>
      </c>
      <c r="G1592" s="17" t="s">
        <v>675</v>
      </c>
    </row>
    <row r="1593" ht="15.75" customHeight="1">
      <c r="A1593" s="15" t="s">
        <v>2264</v>
      </c>
      <c r="B1593" s="15" t="s">
        <v>391</v>
      </c>
      <c r="C1593" s="16">
        <v>45589.0</v>
      </c>
      <c r="D1593" s="16">
        <v>45619.0</v>
      </c>
      <c r="E1593" s="15" t="s">
        <v>684</v>
      </c>
      <c r="F1593" s="19">
        <v>19.99</v>
      </c>
      <c r="G1593" s="15" t="s">
        <v>675</v>
      </c>
    </row>
    <row r="1594" ht="15.75" customHeight="1">
      <c r="A1594" s="17" t="s">
        <v>2265</v>
      </c>
      <c r="B1594" s="17" t="s">
        <v>349</v>
      </c>
      <c r="C1594" s="18">
        <v>45589.0</v>
      </c>
      <c r="D1594" s="18">
        <v>45619.0</v>
      </c>
      <c r="E1594" s="17" t="s">
        <v>684</v>
      </c>
      <c r="F1594" s="20">
        <v>19.99</v>
      </c>
      <c r="G1594" s="17" t="s">
        <v>675</v>
      </c>
    </row>
    <row r="1595" ht="15.75" customHeight="1">
      <c r="A1595" s="15" t="s">
        <v>2266</v>
      </c>
      <c r="B1595" s="15" t="s">
        <v>137</v>
      </c>
      <c r="C1595" s="16">
        <v>45589.0</v>
      </c>
      <c r="D1595" s="16">
        <v>45619.0</v>
      </c>
      <c r="E1595" s="15" t="s">
        <v>684</v>
      </c>
      <c r="F1595" s="19">
        <v>19.99</v>
      </c>
      <c r="G1595" s="15" t="s">
        <v>675</v>
      </c>
    </row>
    <row r="1596" ht="15.75" customHeight="1">
      <c r="A1596" s="17" t="s">
        <v>2267</v>
      </c>
      <c r="B1596" s="17" t="s">
        <v>83</v>
      </c>
      <c r="C1596" s="18">
        <v>45589.0</v>
      </c>
      <c r="D1596" s="18">
        <v>45619.0</v>
      </c>
      <c r="E1596" s="17" t="s">
        <v>684</v>
      </c>
      <c r="F1596" s="20">
        <v>19.99</v>
      </c>
      <c r="G1596" s="17" t="s">
        <v>675</v>
      </c>
    </row>
    <row r="1597" ht="15.75" customHeight="1">
      <c r="A1597" s="15" t="s">
        <v>2268</v>
      </c>
      <c r="B1597" s="15" t="s">
        <v>350</v>
      </c>
      <c r="C1597" s="16">
        <v>45590.0</v>
      </c>
      <c r="D1597" s="16">
        <v>45620.0</v>
      </c>
      <c r="E1597" s="15" t="s">
        <v>684</v>
      </c>
      <c r="F1597" s="19">
        <v>19.99</v>
      </c>
      <c r="G1597" s="15" t="s">
        <v>675</v>
      </c>
    </row>
    <row r="1598" ht="15.75" customHeight="1">
      <c r="A1598" s="17" t="s">
        <v>2269</v>
      </c>
      <c r="B1598" s="17" t="s">
        <v>84</v>
      </c>
      <c r="C1598" s="18">
        <v>45590.0</v>
      </c>
      <c r="D1598" s="18">
        <v>45620.0</v>
      </c>
      <c r="E1598" s="17" t="s">
        <v>684</v>
      </c>
      <c r="F1598" s="20">
        <v>19.99</v>
      </c>
      <c r="G1598" s="17" t="s">
        <v>675</v>
      </c>
    </row>
    <row r="1599" ht="15.75" customHeight="1">
      <c r="A1599" s="15" t="s">
        <v>2270</v>
      </c>
      <c r="B1599" s="15" t="s">
        <v>392</v>
      </c>
      <c r="C1599" s="16">
        <v>45590.0</v>
      </c>
      <c r="D1599" s="16">
        <v>45620.0</v>
      </c>
      <c r="E1599" s="15" t="s">
        <v>684</v>
      </c>
      <c r="F1599" s="19">
        <v>19.99</v>
      </c>
      <c r="G1599" s="15" t="s">
        <v>675</v>
      </c>
    </row>
    <row r="1600" ht="15.75" customHeight="1">
      <c r="A1600" s="17" t="s">
        <v>2271</v>
      </c>
      <c r="B1600" s="17" t="s">
        <v>393</v>
      </c>
      <c r="C1600" s="18">
        <v>45590.0</v>
      </c>
      <c r="D1600" s="18">
        <v>45620.0</v>
      </c>
      <c r="E1600" s="17" t="s">
        <v>684</v>
      </c>
      <c r="F1600" s="20">
        <v>19.99</v>
      </c>
      <c r="G1600" s="17" t="s">
        <v>675</v>
      </c>
    </row>
    <row r="1601" ht="15.75" customHeight="1">
      <c r="A1601" s="15" t="s">
        <v>2272</v>
      </c>
      <c r="B1601" s="15" t="s">
        <v>139</v>
      </c>
      <c r="C1601" s="16">
        <v>45590.0</v>
      </c>
      <c r="D1601" s="16">
        <v>45620.0</v>
      </c>
      <c r="E1601" s="15" t="s">
        <v>684</v>
      </c>
      <c r="F1601" s="19">
        <v>19.99</v>
      </c>
      <c r="G1601" s="15" t="s">
        <v>675</v>
      </c>
    </row>
    <row r="1602" ht="15.75" customHeight="1">
      <c r="A1602" s="17" t="s">
        <v>2273</v>
      </c>
      <c r="B1602" s="17" t="s">
        <v>314</v>
      </c>
      <c r="C1602" s="18">
        <v>45590.0</v>
      </c>
      <c r="D1602" s="18">
        <v>45620.0</v>
      </c>
      <c r="E1602" s="17" t="s">
        <v>684</v>
      </c>
      <c r="F1602" s="20">
        <v>19.99</v>
      </c>
      <c r="G1602" s="17" t="s">
        <v>675</v>
      </c>
    </row>
    <row r="1603" ht="15.75" customHeight="1">
      <c r="A1603" s="15" t="s">
        <v>2274</v>
      </c>
      <c r="B1603" s="15" t="s">
        <v>351</v>
      </c>
      <c r="C1603" s="16">
        <v>45590.0</v>
      </c>
      <c r="D1603" s="16">
        <v>45620.0</v>
      </c>
      <c r="E1603" s="15" t="s">
        <v>684</v>
      </c>
      <c r="F1603" s="19">
        <v>19.99</v>
      </c>
      <c r="G1603" s="15" t="s">
        <v>675</v>
      </c>
    </row>
    <row r="1604" ht="15.75" customHeight="1">
      <c r="A1604" s="17" t="s">
        <v>2275</v>
      </c>
      <c r="B1604" s="17" t="s">
        <v>103</v>
      </c>
      <c r="C1604" s="18">
        <v>45590.0</v>
      </c>
      <c r="D1604" s="18">
        <v>45620.0</v>
      </c>
      <c r="E1604" s="17" t="s">
        <v>684</v>
      </c>
      <c r="F1604" s="20">
        <v>19.99</v>
      </c>
      <c r="G1604" s="17" t="s">
        <v>675</v>
      </c>
    </row>
    <row r="1605" ht="15.75" customHeight="1">
      <c r="A1605" s="15" t="s">
        <v>2276</v>
      </c>
      <c r="B1605" s="15" t="s">
        <v>352</v>
      </c>
      <c r="C1605" s="16">
        <v>45590.0</v>
      </c>
      <c r="D1605" s="16">
        <v>45620.0</v>
      </c>
      <c r="E1605" s="15" t="s">
        <v>684</v>
      </c>
      <c r="F1605" s="19">
        <v>19.99</v>
      </c>
      <c r="G1605" s="15" t="s">
        <v>675</v>
      </c>
    </row>
    <row r="1606" ht="15.75" customHeight="1">
      <c r="A1606" s="17" t="s">
        <v>2277</v>
      </c>
      <c r="B1606" s="17" t="s">
        <v>140</v>
      </c>
      <c r="C1606" s="18">
        <v>45590.0</v>
      </c>
      <c r="D1606" s="18">
        <v>45620.0</v>
      </c>
      <c r="E1606" s="17" t="s">
        <v>684</v>
      </c>
      <c r="F1606" s="20">
        <v>19.99</v>
      </c>
      <c r="G1606" s="17" t="s">
        <v>675</v>
      </c>
    </row>
    <row r="1607" ht="15.75" customHeight="1">
      <c r="A1607" s="15" t="s">
        <v>2278</v>
      </c>
      <c r="B1607" s="15" t="s">
        <v>394</v>
      </c>
      <c r="C1607" s="16">
        <v>45590.0</v>
      </c>
      <c r="D1607" s="16">
        <v>45620.0</v>
      </c>
      <c r="E1607" s="15" t="s">
        <v>684</v>
      </c>
      <c r="F1607" s="19">
        <v>19.99</v>
      </c>
      <c r="G1607" s="15" t="s">
        <v>675</v>
      </c>
    </row>
    <row r="1608" ht="15.75" customHeight="1">
      <c r="A1608" s="17" t="s">
        <v>2279</v>
      </c>
      <c r="B1608" s="17" t="s">
        <v>171</v>
      </c>
      <c r="C1608" s="18">
        <v>45590.0</v>
      </c>
      <c r="D1608" s="18">
        <v>45620.0</v>
      </c>
      <c r="E1608" s="17" t="s">
        <v>684</v>
      </c>
      <c r="F1608" s="20">
        <v>19.99</v>
      </c>
      <c r="G1608" s="17" t="s">
        <v>675</v>
      </c>
    </row>
    <row r="1609" ht="15.75" customHeight="1">
      <c r="A1609" s="15" t="s">
        <v>2280</v>
      </c>
      <c r="B1609" s="15" t="s">
        <v>395</v>
      </c>
      <c r="C1609" s="16">
        <v>45590.0</v>
      </c>
      <c r="D1609" s="16">
        <v>45620.0</v>
      </c>
      <c r="E1609" s="15" t="s">
        <v>684</v>
      </c>
      <c r="F1609" s="19">
        <v>19.99</v>
      </c>
      <c r="G1609" s="15" t="s">
        <v>675</v>
      </c>
    </row>
    <row r="1610" ht="15.75" customHeight="1">
      <c r="A1610" s="17" t="s">
        <v>2281</v>
      </c>
      <c r="B1610" s="17" t="s">
        <v>230</v>
      </c>
      <c r="C1610" s="18">
        <v>45590.0</v>
      </c>
      <c r="D1610" s="18">
        <v>45620.0</v>
      </c>
      <c r="E1610" s="17" t="s">
        <v>684</v>
      </c>
      <c r="F1610" s="20">
        <v>19.99</v>
      </c>
      <c r="G1610" s="17" t="s">
        <v>675</v>
      </c>
    </row>
    <row r="1611" ht="15.75" customHeight="1">
      <c r="A1611" s="15" t="s">
        <v>2282</v>
      </c>
      <c r="B1611" s="15" t="s">
        <v>353</v>
      </c>
      <c r="C1611" s="16">
        <v>45591.0</v>
      </c>
      <c r="D1611" s="16">
        <v>45621.0</v>
      </c>
      <c r="E1611" s="15" t="s">
        <v>684</v>
      </c>
      <c r="F1611" s="19">
        <v>19.99</v>
      </c>
      <c r="G1611" s="15" t="s">
        <v>675</v>
      </c>
    </row>
    <row r="1612" ht="15.75" customHeight="1">
      <c r="A1612" s="17" t="s">
        <v>2283</v>
      </c>
      <c r="B1612" s="17" t="s">
        <v>315</v>
      </c>
      <c r="C1612" s="18">
        <v>45591.0</v>
      </c>
      <c r="D1612" s="18">
        <v>45621.0</v>
      </c>
      <c r="E1612" s="17" t="s">
        <v>684</v>
      </c>
      <c r="F1612" s="20">
        <v>19.99</v>
      </c>
      <c r="G1612" s="17" t="s">
        <v>675</v>
      </c>
    </row>
    <row r="1613" ht="15.75" customHeight="1">
      <c r="A1613" s="15" t="s">
        <v>2284</v>
      </c>
      <c r="B1613" s="15" t="s">
        <v>396</v>
      </c>
      <c r="C1613" s="16">
        <v>45591.0</v>
      </c>
      <c r="D1613" s="16">
        <v>45621.0</v>
      </c>
      <c r="E1613" s="15" t="s">
        <v>684</v>
      </c>
      <c r="F1613" s="19">
        <v>19.99</v>
      </c>
      <c r="G1613" s="15" t="s">
        <v>675</v>
      </c>
    </row>
    <row r="1614" ht="15.75" customHeight="1">
      <c r="A1614" s="17" t="s">
        <v>2285</v>
      </c>
      <c r="B1614" s="17" t="s">
        <v>172</v>
      </c>
      <c r="C1614" s="18">
        <v>45591.0</v>
      </c>
      <c r="D1614" s="18">
        <v>45621.0</v>
      </c>
      <c r="E1614" s="17" t="s">
        <v>684</v>
      </c>
      <c r="F1614" s="20">
        <v>19.99</v>
      </c>
      <c r="G1614" s="17" t="s">
        <v>675</v>
      </c>
    </row>
    <row r="1615" ht="15.75" customHeight="1">
      <c r="A1615" s="15" t="s">
        <v>2286</v>
      </c>
      <c r="B1615" s="15" t="s">
        <v>316</v>
      </c>
      <c r="C1615" s="16">
        <v>45591.0</v>
      </c>
      <c r="D1615" s="16">
        <v>45621.0</v>
      </c>
      <c r="E1615" s="15" t="s">
        <v>684</v>
      </c>
      <c r="F1615" s="19">
        <v>19.99</v>
      </c>
      <c r="G1615" s="15" t="s">
        <v>675</v>
      </c>
    </row>
    <row r="1616" ht="15.75" customHeight="1">
      <c r="A1616" s="17" t="s">
        <v>2287</v>
      </c>
      <c r="B1616" s="17" t="s">
        <v>210</v>
      </c>
      <c r="C1616" s="18">
        <v>45591.0</v>
      </c>
      <c r="D1616" s="18">
        <v>45621.0</v>
      </c>
      <c r="E1616" s="17" t="s">
        <v>684</v>
      </c>
      <c r="F1616" s="20">
        <v>19.99</v>
      </c>
      <c r="G1616" s="17" t="s">
        <v>675</v>
      </c>
    </row>
    <row r="1617" ht="15.75" customHeight="1">
      <c r="A1617" s="15" t="s">
        <v>2288</v>
      </c>
      <c r="B1617" s="15" t="s">
        <v>317</v>
      </c>
      <c r="C1617" s="16">
        <v>45592.0</v>
      </c>
      <c r="D1617" s="16">
        <v>45622.0</v>
      </c>
      <c r="E1617" s="15" t="s">
        <v>684</v>
      </c>
      <c r="F1617" s="19">
        <v>19.99</v>
      </c>
      <c r="G1617" s="15" t="s">
        <v>675</v>
      </c>
    </row>
    <row r="1618" ht="15.75" customHeight="1">
      <c r="A1618" s="17" t="s">
        <v>2289</v>
      </c>
      <c r="B1618" s="17" t="s">
        <v>397</v>
      </c>
      <c r="C1618" s="18">
        <v>45592.0</v>
      </c>
      <c r="D1618" s="18">
        <v>45622.0</v>
      </c>
      <c r="E1618" s="17" t="s">
        <v>684</v>
      </c>
      <c r="F1618" s="20">
        <v>19.99</v>
      </c>
      <c r="G1618" s="17" t="s">
        <v>675</v>
      </c>
    </row>
    <row r="1619" ht="15.75" customHeight="1">
      <c r="A1619" s="15" t="s">
        <v>2290</v>
      </c>
      <c r="B1619" s="15" t="s">
        <v>104</v>
      </c>
      <c r="C1619" s="16">
        <v>45592.0</v>
      </c>
      <c r="D1619" s="16">
        <v>45622.0</v>
      </c>
      <c r="E1619" s="15" t="s">
        <v>684</v>
      </c>
      <c r="F1619" s="19">
        <v>19.99</v>
      </c>
      <c r="G1619" s="15" t="s">
        <v>675</v>
      </c>
    </row>
    <row r="1620" ht="15.75" customHeight="1">
      <c r="A1620" s="17" t="s">
        <v>2291</v>
      </c>
      <c r="B1620" s="17" t="s">
        <v>408</v>
      </c>
      <c r="C1620" s="18">
        <v>45592.0</v>
      </c>
      <c r="D1620" s="18">
        <v>45599.0</v>
      </c>
      <c r="E1620" s="17" t="s">
        <v>674</v>
      </c>
      <c r="F1620" s="20">
        <v>0.0</v>
      </c>
      <c r="G1620" s="17" t="s">
        <v>675</v>
      </c>
    </row>
    <row r="1621" ht="15.75" customHeight="1">
      <c r="A1621" s="15" t="s">
        <v>2292</v>
      </c>
      <c r="B1621" s="15" t="s">
        <v>211</v>
      </c>
      <c r="C1621" s="16">
        <v>45592.0</v>
      </c>
      <c r="D1621" s="16">
        <v>45622.0</v>
      </c>
      <c r="E1621" s="15" t="s">
        <v>684</v>
      </c>
      <c r="F1621" s="19">
        <v>19.99</v>
      </c>
      <c r="G1621" s="15" t="s">
        <v>675</v>
      </c>
    </row>
    <row r="1622" ht="15.75" customHeight="1">
      <c r="A1622" s="17" t="s">
        <v>2293</v>
      </c>
      <c r="B1622" s="17" t="s">
        <v>354</v>
      </c>
      <c r="C1622" s="18">
        <v>45592.0</v>
      </c>
      <c r="D1622" s="18">
        <v>45622.0</v>
      </c>
      <c r="E1622" s="17" t="s">
        <v>684</v>
      </c>
      <c r="F1622" s="20">
        <v>19.99</v>
      </c>
      <c r="G1622" s="17" t="s">
        <v>675</v>
      </c>
    </row>
    <row r="1623" ht="15.75" customHeight="1">
      <c r="A1623" s="15" t="s">
        <v>2294</v>
      </c>
      <c r="B1623" s="15" t="s">
        <v>266</v>
      </c>
      <c r="C1623" s="16">
        <v>45592.0</v>
      </c>
      <c r="D1623" s="16">
        <v>45622.0</v>
      </c>
      <c r="E1623" s="15" t="s">
        <v>684</v>
      </c>
      <c r="F1623" s="19">
        <v>19.99</v>
      </c>
      <c r="G1623" s="15" t="s">
        <v>675</v>
      </c>
    </row>
    <row r="1624" ht="15.75" customHeight="1">
      <c r="A1624" s="17" t="s">
        <v>2295</v>
      </c>
      <c r="B1624" s="17" t="s">
        <v>267</v>
      </c>
      <c r="C1624" s="18">
        <v>45592.0</v>
      </c>
      <c r="D1624" s="18">
        <v>45622.0</v>
      </c>
      <c r="E1624" s="17" t="s">
        <v>684</v>
      </c>
      <c r="F1624" s="20">
        <v>19.99</v>
      </c>
      <c r="G1624" s="17" t="s">
        <v>675</v>
      </c>
    </row>
    <row r="1625" ht="15.75" customHeight="1">
      <c r="A1625" s="15" t="s">
        <v>2296</v>
      </c>
      <c r="B1625" s="15" t="s">
        <v>398</v>
      </c>
      <c r="C1625" s="16">
        <v>45593.0</v>
      </c>
      <c r="D1625" s="16">
        <v>45623.0</v>
      </c>
      <c r="E1625" s="15" t="s">
        <v>684</v>
      </c>
      <c r="F1625" s="19">
        <v>19.99</v>
      </c>
      <c r="G1625" s="15" t="s">
        <v>675</v>
      </c>
    </row>
    <row r="1626" ht="15.75" customHeight="1">
      <c r="A1626" s="17" t="s">
        <v>2297</v>
      </c>
      <c r="B1626" s="17" t="s">
        <v>268</v>
      </c>
      <c r="C1626" s="18">
        <v>45593.0</v>
      </c>
      <c r="D1626" s="18">
        <v>45623.0</v>
      </c>
      <c r="E1626" s="17" t="s">
        <v>684</v>
      </c>
      <c r="F1626" s="20">
        <v>19.99</v>
      </c>
      <c r="G1626" s="17" t="s">
        <v>675</v>
      </c>
    </row>
    <row r="1627" ht="15.75" customHeight="1">
      <c r="A1627" s="15" t="s">
        <v>2298</v>
      </c>
      <c r="B1627" s="15" t="s">
        <v>85</v>
      </c>
      <c r="C1627" s="16">
        <v>45593.0</v>
      </c>
      <c r="D1627" s="16">
        <v>45623.0</v>
      </c>
      <c r="E1627" s="15" t="s">
        <v>684</v>
      </c>
      <c r="F1627" s="19">
        <v>19.99</v>
      </c>
      <c r="G1627" s="15" t="s">
        <v>675</v>
      </c>
    </row>
    <row r="1628" ht="15.75" customHeight="1">
      <c r="A1628" s="17" t="s">
        <v>2299</v>
      </c>
      <c r="B1628" s="17" t="s">
        <v>399</v>
      </c>
      <c r="C1628" s="18">
        <v>45593.0</v>
      </c>
      <c r="D1628" s="18">
        <v>45623.0</v>
      </c>
      <c r="E1628" s="17" t="s">
        <v>684</v>
      </c>
      <c r="F1628" s="20">
        <v>19.99</v>
      </c>
      <c r="G1628" s="17" t="s">
        <v>675</v>
      </c>
    </row>
    <row r="1629" ht="15.75" customHeight="1">
      <c r="A1629" s="15" t="s">
        <v>2300</v>
      </c>
      <c r="B1629" s="15" t="s">
        <v>409</v>
      </c>
      <c r="C1629" s="16">
        <v>45593.0</v>
      </c>
      <c r="D1629" s="16">
        <v>45600.0</v>
      </c>
      <c r="E1629" s="15" t="s">
        <v>674</v>
      </c>
      <c r="F1629" s="19">
        <v>0.0</v>
      </c>
      <c r="G1629" s="15" t="s">
        <v>675</v>
      </c>
    </row>
    <row r="1630" ht="15.75" customHeight="1">
      <c r="A1630" s="17" t="s">
        <v>2301</v>
      </c>
      <c r="B1630" s="17" t="s">
        <v>355</v>
      </c>
      <c r="C1630" s="18">
        <v>45593.0</v>
      </c>
      <c r="D1630" s="18">
        <v>45623.0</v>
      </c>
      <c r="E1630" s="17" t="s">
        <v>684</v>
      </c>
      <c r="F1630" s="20">
        <v>19.99</v>
      </c>
      <c r="G1630" s="17" t="s">
        <v>675</v>
      </c>
    </row>
    <row r="1631" ht="15.75" customHeight="1">
      <c r="A1631" s="15" t="s">
        <v>2302</v>
      </c>
      <c r="B1631" s="15" t="s">
        <v>410</v>
      </c>
      <c r="C1631" s="16">
        <v>45593.0</v>
      </c>
      <c r="D1631" s="16">
        <v>45600.0</v>
      </c>
      <c r="E1631" s="15" t="s">
        <v>674</v>
      </c>
      <c r="F1631" s="19">
        <v>0.0</v>
      </c>
      <c r="G1631" s="15" t="s">
        <v>675</v>
      </c>
    </row>
    <row r="1632" ht="15.75" customHeight="1">
      <c r="A1632" s="17" t="s">
        <v>2303</v>
      </c>
      <c r="B1632" s="17" t="s">
        <v>400</v>
      </c>
      <c r="C1632" s="18">
        <v>45593.0</v>
      </c>
      <c r="D1632" s="18">
        <v>45623.0</v>
      </c>
      <c r="E1632" s="17" t="s">
        <v>684</v>
      </c>
      <c r="F1632" s="20">
        <v>19.99</v>
      </c>
      <c r="G1632" s="17" t="s">
        <v>675</v>
      </c>
    </row>
    <row r="1633" ht="15.75" customHeight="1">
      <c r="A1633" s="15" t="s">
        <v>2304</v>
      </c>
      <c r="B1633" s="15" t="s">
        <v>411</v>
      </c>
      <c r="C1633" s="16">
        <v>45593.0</v>
      </c>
      <c r="D1633" s="16">
        <v>45600.0</v>
      </c>
      <c r="E1633" s="15" t="s">
        <v>674</v>
      </c>
      <c r="F1633" s="19">
        <v>0.0</v>
      </c>
      <c r="G1633" s="15" t="s">
        <v>675</v>
      </c>
    </row>
    <row r="1634" ht="15.75" customHeight="1">
      <c r="A1634" s="17" t="s">
        <v>2305</v>
      </c>
      <c r="B1634" s="17" t="s">
        <v>412</v>
      </c>
      <c r="C1634" s="18">
        <v>45593.0</v>
      </c>
      <c r="D1634" s="18">
        <v>45600.0</v>
      </c>
      <c r="E1634" s="17" t="s">
        <v>674</v>
      </c>
      <c r="F1634" s="20">
        <v>0.0</v>
      </c>
      <c r="G1634" s="17" t="s">
        <v>675</v>
      </c>
    </row>
    <row r="1635" ht="15.75" customHeight="1">
      <c r="A1635" s="15" t="s">
        <v>2306</v>
      </c>
      <c r="B1635" s="15" t="s">
        <v>173</v>
      </c>
      <c r="C1635" s="16">
        <v>45593.0</v>
      </c>
      <c r="D1635" s="16">
        <v>45623.0</v>
      </c>
      <c r="E1635" s="15" t="s">
        <v>684</v>
      </c>
      <c r="F1635" s="19">
        <v>19.99</v>
      </c>
      <c r="G1635" s="15" t="s">
        <v>675</v>
      </c>
    </row>
    <row r="1636" ht="15.75" customHeight="1">
      <c r="A1636" s="17" t="s">
        <v>2307</v>
      </c>
      <c r="B1636" s="17" t="s">
        <v>318</v>
      </c>
      <c r="C1636" s="18">
        <v>45593.0</v>
      </c>
      <c r="D1636" s="18">
        <v>45623.0</v>
      </c>
      <c r="E1636" s="17" t="s">
        <v>684</v>
      </c>
      <c r="F1636" s="20">
        <v>19.99</v>
      </c>
      <c r="G1636" s="17" t="s">
        <v>675</v>
      </c>
    </row>
    <row r="1637" ht="15.75" customHeight="1">
      <c r="A1637" s="15" t="s">
        <v>2308</v>
      </c>
      <c r="B1637" s="15" t="s">
        <v>413</v>
      </c>
      <c r="C1637" s="16">
        <v>45593.0</v>
      </c>
      <c r="D1637" s="16">
        <v>45600.0</v>
      </c>
      <c r="E1637" s="15" t="s">
        <v>674</v>
      </c>
      <c r="F1637" s="19">
        <v>0.0</v>
      </c>
      <c r="G1637" s="15" t="s">
        <v>675</v>
      </c>
    </row>
    <row r="1638" ht="15.75" customHeight="1">
      <c r="A1638" s="17" t="s">
        <v>2309</v>
      </c>
      <c r="B1638" s="17" t="s">
        <v>234</v>
      </c>
      <c r="C1638" s="18">
        <v>45593.0</v>
      </c>
      <c r="D1638" s="18">
        <v>45623.0</v>
      </c>
      <c r="E1638" s="17" t="s">
        <v>684</v>
      </c>
      <c r="F1638" s="20">
        <v>19.99</v>
      </c>
      <c r="G1638" s="17" t="s">
        <v>675</v>
      </c>
    </row>
    <row r="1639" ht="15.75" customHeight="1">
      <c r="A1639" s="15" t="s">
        <v>2310</v>
      </c>
      <c r="B1639" s="15" t="s">
        <v>174</v>
      </c>
      <c r="C1639" s="16">
        <v>45593.0</v>
      </c>
      <c r="D1639" s="16">
        <v>45623.0</v>
      </c>
      <c r="E1639" s="15" t="s">
        <v>684</v>
      </c>
      <c r="F1639" s="19">
        <v>19.99</v>
      </c>
      <c r="G1639" s="15" t="s">
        <v>675</v>
      </c>
    </row>
    <row r="1640" ht="15.75" customHeight="1">
      <c r="A1640" s="17" t="s">
        <v>2311</v>
      </c>
      <c r="B1640" s="17" t="s">
        <v>401</v>
      </c>
      <c r="C1640" s="18">
        <v>45594.0</v>
      </c>
      <c r="D1640" s="18">
        <v>45624.0</v>
      </c>
      <c r="E1640" s="17" t="s">
        <v>684</v>
      </c>
      <c r="F1640" s="20">
        <v>19.99</v>
      </c>
      <c r="G1640" s="17" t="s">
        <v>675</v>
      </c>
    </row>
    <row r="1641" ht="15.75" customHeight="1">
      <c r="A1641" s="15" t="s">
        <v>2312</v>
      </c>
      <c r="B1641" s="15" t="s">
        <v>414</v>
      </c>
      <c r="C1641" s="16">
        <v>45594.0</v>
      </c>
      <c r="D1641" s="16">
        <v>45601.0</v>
      </c>
      <c r="E1641" s="15" t="s">
        <v>674</v>
      </c>
      <c r="F1641" s="19">
        <v>0.0</v>
      </c>
      <c r="G1641" s="15" t="s">
        <v>675</v>
      </c>
    </row>
    <row r="1642" ht="15.75" customHeight="1">
      <c r="A1642" s="17" t="s">
        <v>2313</v>
      </c>
      <c r="B1642" s="17" t="s">
        <v>235</v>
      </c>
      <c r="C1642" s="18">
        <v>45594.0</v>
      </c>
      <c r="D1642" s="18">
        <v>45624.0</v>
      </c>
      <c r="E1642" s="17" t="s">
        <v>684</v>
      </c>
      <c r="F1642" s="20">
        <v>19.99</v>
      </c>
      <c r="G1642" s="17" t="s">
        <v>675</v>
      </c>
    </row>
    <row r="1643" ht="15.75" customHeight="1">
      <c r="A1643" s="15" t="s">
        <v>2314</v>
      </c>
      <c r="B1643" s="15" t="s">
        <v>175</v>
      </c>
      <c r="C1643" s="16">
        <v>45594.0</v>
      </c>
      <c r="D1643" s="16">
        <v>45624.0</v>
      </c>
      <c r="E1643" s="15" t="s">
        <v>684</v>
      </c>
      <c r="F1643" s="19">
        <v>19.99</v>
      </c>
      <c r="G1643" s="15" t="s">
        <v>675</v>
      </c>
    </row>
    <row r="1644" ht="15.75" customHeight="1">
      <c r="A1644" s="17" t="s">
        <v>2315</v>
      </c>
      <c r="B1644" s="17" t="s">
        <v>236</v>
      </c>
      <c r="C1644" s="18">
        <v>45594.0</v>
      </c>
      <c r="D1644" s="18">
        <v>45624.0</v>
      </c>
      <c r="E1644" s="17" t="s">
        <v>684</v>
      </c>
      <c r="F1644" s="20">
        <v>19.99</v>
      </c>
      <c r="G1644" s="17" t="s">
        <v>675</v>
      </c>
    </row>
    <row r="1645" ht="15.75" customHeight="1">
      <c r="A1645" s="15" t="s">
        <v>2316</v>
      </c>
      <c r="B1645" s="15" t="s">
        <v>237</v>
      </c>
      <c r="C1645" s="16">
        <v>45594.0</v>
      </c>
      <c r="D1645" s="16">
        <v>45624.0</v>
      </c>
      <c r="E1645" s="15" t="s">
        <v>684</v>
      </c>
      <c r="F1645" s="19">
        <v>19.99</v>
      </c>
      <c r="G1645" s="15" t="s">
        <v>675</v>
      </c>
    </row>
    <row r="1646" ht="15.75" customHeight="1">
      <c r="A1646" s="17" t="s">
        <v>2317</v>
      </c>
      <c r="B1646" s="17" t="s">
        <v>269</v>
      </c>
      <c r="C1646" s="18">
        <v>45594.0</v>
      </c>
      <c r="D1646" s="18">
        <v>45624.0</v>
      </c>
      <c r="E1646" s="17" t="s">
        <v>684</v>
      </c>
      <c r="F1646" s="20">
        <v>19.99</v>
      </c>
      <c r="G1646" s="17" t="s">
        <v>675</v>
      </c>
    </row>
    <row r="1647" ht="15.75" customHeight="1">
      <c r="A1647" s="15" t="s">
        <v>2318</v>
      </c>
      <c r="B1647" s="15" t="s">
        <v>319</v>
      </c>
      <c r="C1647" s="16">
        <v>45594.0</v>
      </c>
      <c r="D1647" s="16">
        <v>45624.0</v>
      </c>
      <c r="E1647" s="15" t="s">
        <v>684</v>
      </c>
      <c r="F1647" s="19">
        <v>19.99</v>
      </c>
      <c r="G1647" s="15" t="s">
        <v>675</v>
      </c>
    </row>
    <row r="1648" ht="15.75" customHeight="1">
      <c r="A1648" s="17" t="s">
        <v>2319</v>
      </c>
      <c r="B1648" s="17" t="s">
        <v>402</v>
      </c>
      <c r="C1648" s="18">
        <v>45594.0</v>
      </c>
      <c r="D1648" s="18">
        <v>45624.0</v>
      </c>
      <c r="E1648" s="17" t="s">
        <v>684</v>
      </c>
      <c r="F1648" s="20">
        <v>19.99</v>
      </c>
      <c r="G1648" s="17" t="s">
        <v>675</v>
      </c>
    </row>
    <row r="1649" ht="15.75" customHeight="1">
      <c r="A1649" s="15" t="s">
        <v>2320</v>
      </c>
      <c r="B1649" s="15" t="s">
        <v>143</v>
      </c>
      <c r="C1649" s="16">
        <v>45594.0</v>
      </c>
      <c r="D1649" s="16">
        <v>45624.0</v>
      </c>
      <c r="E1649" s="15" t="s">
        <v>684</v>
      </c>
      <c r="F1649" s="19">
        <v>19.99</v>
      </c>
      <c r="G1649" s="15" t="s">
        <v>675</v>
      </c>
    </row>
    <row r="1650" ht="15.75" customHeight="1">
      <c r="A1650" s="17" t="s">
        <v>2321</v>
      </c>
      <c r="B1650" s="17" t="s">
        <v>357</v>
      </c>
      <c r="C1650" s="18">
        <v>45594.0</v>
      </c>
      <c r="D1650" s="18">
        <v>45624.0</v>
      </c>
      <c r="E1650" s="17" t="s">
        <v>684</v>
      </c>
      <c r="F1650" s="20">
        <v>19.99</v>
      </c>
      <c r="G1650" s="17" t="s">
        <v>675</v>
      </c>
    </row>
    <row r="1651" ht="15.75" customHeight="1">
      <c r="A1651" s="15" t="s">
        <v>2322</v>
      </c>
      <c r="B1651" s="15" t="s">
        <v>176</v>
      </c>
      <c r="C1651" s="16">
        <v>45595.0</v>
      </c>
      <c r="D1651" s="16">
        <v>45625.0</v>
      </c>
      <c r="E1651" s="15" t="s">
        <v>684</v>
      </c>
      <c r="F1651" s="19">
        <v>19.99</v>
      </c>
      <c r="G1651" s="15" t="s">
        <v>675</v>
      </c>
    </row>
    <row r="1652" ht="15.75" customHeight="1">
      <c r="A1652" s="17" t="s">
        <v>2323</v>
      </c>
      <c r="B1652" s="17" t="s">
        <v>271</v>
      </c>
      <c r="C1652" s="18">
        <v>45595.0</v>
      </c>
      <c r="D1652" s="18">
        <v>45625.0</v>
      </c>
      <c r="E1652" s="17" t="s">
        <v>684</v>
      </c>
      <c r="F1652" s="20">
        <v>19.99</v>
      </c>
      <c r="G1652" s="17" t="s">
        <v>675</v>
      </c>
    </row>
    <row r="1653" ht="15.75" customHeight="1">
      <c r="A1653" s="15" t="s">
        <v>2324</v>
      </c>
      <c r="B1653" s="15" t="s">
        <v>177</v>
      </c>
      <c r="C1653" s="16">
        <v>45595.0</v>
      </c>
      <c r="D1653" s="16">
        <v>45625.0</v>
      </c>
      <c r="E1653" s="15" t="s">
        <v>684</v>
      </c>
      <c r="F1653" s="19">
        <v>19.99</v>
      </c>
      <c r="G1653" s="15" t="s">
        <v>675</v>
      </c>
    </row>
    <row r="1654" ht="15.75" customHeight="1">
      <c r="A1654" s="17" t="s">
        <v>2325</v>
      </c>
      <c r="B1654" s="17" t="s">
        <v>106</v>
      </c>
      <c r="C1654" s="18">
        <v>45595.0</v>
      </c>
      <c r="D1654" s="18">
        <v>45625.0</v>
      </c>
      <c r="E1654" s="17" t="s">
        <v>684</v>
      </c>
      <c r="F1654" s="20">
        <v>19.99</v>
      </c>
      <c r="G1654" s="17" t="s">
        <v>675</v>
      </c>
    </row>
    <row r="1655" ht="15.75" customHeight="1">
      <c r="A1655" s="15" t="s">
        <v>2326</v>
      </c>
      <c r="B1655" s="15" t="s">
        <v>272</v>
      </c>
      <c r="C1655" s="16">
        <v>45595.0</v>
      </c>
      <c r="D1655" s="16">
        <v>45625.0</v>
      </c>
      <c r="E1655" s="15" t="s">
        <v>684</v>
      </c>
      <c r="F1655" s="19">
        <v>19.99</v>
      </c>
      <c r="G1655" s="15" t="s">
        <v>675</v>
      </c>
    </row>
    <row r="1656" ht="15.75" customHeight="1">
      <c r="A1656" s="17" t="s">
        <v>2327</v>
      </c>
      <c r="B1656" s="17" t="s">
        <v>179</v>
      </c>
      <c r="C1656" s="18">
        <v>45595.0</v>
      </c>
      <c r="D1656" s="18">
        <v>45625.0</v>
      </c>
      <c r="E1656" s="17" t="s">
        <v>684</v>
      </c>
      <c r="F1656" s="20">
        <v>19.99</v>
      </c>
      <c r="G1656" s="17" t="s">
        <v>675</v>
      </c>
    </row>
    <row r="1657" ht="15.75" customHeight="1">
      <c r="A1657" s="15" t="s">
        <v>2328</v>
      </c>
      <c r="B1657" s="15" t="s">
        <v>403</v>
      </c>
      <c r="C1657" s="16">
        <v>45595.0</v>
      </c>
      <c r="D1657" s="16">
        <v>45625.0</v>
      </c>
      <c r="E1657" s="15" t="s">
        <v>684</v>
      </c>
      <c r="F1657" s="19">
        <v>19.99</v>
      </c>
      <c r="G1657" s="15" t="s">
        <v>675</v>
      </c>
    </row>
    <row r="1658" ht="15.75" customHeight="1">
      <c r="A1658" s="17" t="s">
        <v>2329</v>
      </c>
      <c r="B1658" s="17" t="s">
        <v>404</v>
      </c>
      <c r="C1658" s="18">
        <v>45595.0</v>
      </c>
      <c r="D1658" s="18">
        <v>45625.0</v>
      </c>
      <c r="E1658" s="17" t="s">
        <v>684</v>
      </c>
      <c r="F1658" s="20">
        <v>19.99</v>
      </c>
      <c r="G1658" s="17" t="s">
        <v>675</v>
      </c>
    </row>
    <row r="1659" ht="15.75" customHeight="1">
      <c r="A1659" s="15" t="s">
        <v>2330</v>
      </c>
      <c r="B1659" s="15" t="s">
        <v>415</v>
      </c>
      <c r="C1659" s="16">
        <v>45596.0</v>
      </c>
      <c r="D1659" s="16">
        <v>45603.0</v>
      </c>
      <c r="E1659" s="15" t="s">
        <v>674</v>
      </c>
      <c r="F1659" s="19">
        <v>0.0</v>
      </c>
      <c r="G1659" s="15" t="s">
        <v>675</v>
      </c>
    </row>
    <row r="1660" ht="15.75" customHeight="1">
      <c r="A1660" s="17" t="s">
        <v>2331</v>
      </c>
      <c r="B1660" s="17" t="s">
        <v>405</v>
      </c>
      <c r="C1660" s="18">
        <v>45596.0</v>
      </c>
      <c r="D1660" s="18">
        <v>45626.0</v>
      </c>
      <c r="E1660" s="17" t="s">
        <v>684</v>
      </c>
      <c r="F1660" s="20">
        <v>19.99</v>
      </c>
      <c r="G1660" s="17" t="s">
        <v>675</v>
      </c>
    </row>
    <row r="1661" ht="15.75" customHeight="1">
      <c r="A1661" s="15" t="s">
        <v>2332</v>
      </c>
      <c r="B1661" s="15" t="s">
        <v>273</v>
      </c>
      <c r="C1661" s="16">
        <v>45596.0</v>
      </c>
      <c r="D1661" s="16">
        <v>45626.0</v>
      </c>
      <c r="E1661" s="15" t="s">
        <v>684</v>
      </c>
      <c r="F1661" s="19">
        <v>19.99</v>
      </c>
      <c r="G1661" s="15" t="s">
        <v>675</v>
      </c>
    </row>
    <row r="1662" ht="15.75" customHeight="1">
      <c r="A1662" s="17" t="s">
        <v>2333</v>
      </c>
      <c r="B1662" s="17" t="s">
        <v>416</v>
      </c>
      <c r="C1662" s="18">
        <v>45596.0</v>
      </c>
      <c r="D1662" s="18">
        <v>45603.0</v>
      </c>
      <c r="E1662" s="17" t="s">
        <v>674</v>
      </c>
      <c r="F1662" s="20">
        <v>0.0</v>
      </c>
      <c r="G1662" s="17" t="s">
        <v>675</v>
      </c>
    </row>
    <row r="1663" ht="15.75" customHeight="1">
      <c r="A1663" s="15" t="s">
        <v>2334</v>
      </c>
      <c r="B1663" s="15" t="s">
        <v>108</v>
      </c>
      <c r="C1663" s="16">
        <v>45596.0</v>
      </c>
      <c r="D1663" s="16">
        <v>45626.0</v>
      </c>
      <c r="E1663" s="15" t="s">
        <v>684</v>
      </c>
      <c r="F1663" s="19">
        <v>19.99</v>
      </c>
      <c r="G1663" s="15" t="s">
        <v>675</v>
      </c>
    </row>
    <row r="1664" ht="15.75" customHeight="1">
      <c r="A1664" s="17" t="s">
        <v>2335</v>
      </c>
      <c r="B1664" s="17" t="s">
        <v>144</v>
      </c>
      <c r="C1664" s="18">
        <v>45596.0</v>
      </c>
      <c r="D1664" s="18">
        <v>45626.0</v>
      </c>
      <c r="E1664" s="17" t="s">
        <v>684</v>
      </c>
      <c r="F1664" s="20">
        <v>19.99</v>
      </c>
      <c r="G1664" s="17" t="s">
        <v>675</v>
      </c>
    </row>
    <row r="1665" ht="15.75" customHeight="1">
      <c r="A1665" s="15" t="s">
        <v>2336</v>
      </c>
      <c r="B1665" s="15" t="s">
        <v>180</v>
      </c>
      <c r="C1665" s="16">
        <v>45596.0</v>
      </c>
      <c r="D1665" s="16">
        <v>45626.0</v>
      </c>
      <c r="E1665" s="15" t="s">
        <v>684</v>
      </c>
      <c r="F1665" s="19">
        <v>19.99</v>
      </c>
      <c r="G1665" s="15" t="s">
        <v>675</v>
      </c>
    </row>
    <row r="1666" ht="15.75" customHeight="1">
      <c r="A1666" s="17" t="s">
        <v>2337</v>
      </c>
      <c r="B1666" s="17" t="s">
        <v>359</v>
      </c>
      <c r="C1666" s="18">
        <v>45596.0</v>
      </c>
      <c r="D1666" s="18">
        <v>45626.0</v>
      </c>
      <c r="E1666" s="17" t="s">
        <v>684</v>
      </c>
      <c r="F1666" s="20">
        <v>19.99</v>
      </c>
      <c r="G1666" s="17" t="s">
        <v>675</v>
      </c>
    </row>
    <row r="1667" ht="15.75" customHeight="1">
      <c r="A1667" s="15" t="s">
        <v>2338</v>
      </c>
      <c r="B1667" s="15" t="s">
        <v>406</v>
      </c>
      <c r="C1667" s="16">
        <v>45596.0</v>
      </c>
      <c r="D1667" s="16">
        <v>45626.0</v>
      </c>
      <c r="E1667" s="15" t="s">
        <v>684</v>
      </c>
      <c r="F1667" s="19">
        <v>19.99</v>
      </c>
      <c r="G1667" s="15" t="s">
        <v>675</v>
      </c>
    </row>
    <row r="1668" ht="15.75" customHeight="1">
      <c r="A1668" s="17" t="s">
        <v>2339</v>
      </c>
      <c r="B1668" s="17" t="s">
        <v>407</v>
      </c>
      <c r="C1668" s="18">
        <v>45596.0</v>
      </c>
      <c r="D1668" s="18">
        <v>45626.0</v>
      </c>
      <c r="E1668" s="17" t="s">
        <v>684</v>
      </c>
      <c r="F1668" s="20">
        <v>19.99</v>
      </c>
      <c r="G1668" s="17" t="s">
        <v>675</v>
      </c>
    </row>
    <row r="1669" ht="15.75" customHeight="1">
      <c r="A1669" s="15" t="s">
        <v>2340</v>
      </c>
      <c r="B1669" s="15" t="s">
        <v>212</v>
      </c>
      <c r="C1669" s="16">
        <v>45596.0</v>
      </c>
      <c r="D1669" s="16">
        <v>45626.0</v>
      </c>
      <c r="E1669" s="15" t="s">
        <v>684</v>
      </c>
      <c r="F1669" s="19">
        <v>19.99</v>
      </c>
      <c r="G1669" s="15" t="s">
        <v>675</v>
      </c>
    </row>
    <row r="1670" ht="15.75" customHeight="1">
      <c r="A1670" s="17" t="s">
        <v>2341</v>
      </c>
      <c r="B1670" s="17" t="s">
        <v>109</v>
      </c>
      <c r="C1670" s="18">
        <v>45596.0</v>
      </c>
      <c r="D1670" s="18">
        <v>45626.0</v>
      </c>
      <c r="E1670" s="17" t="s">
        <v>684</v>
      </c>
      <c r="F1670" s="20">
        <v>19.99</v>
      </c>
      <c r="G1670" s="17" t="s">
        <v>675</v>
      </c>
    </row>
    <row r="1671" ht="15.75" customHeight="1">
      <c r="A1671" s="15" t="s">
        <v>2342</v>
      </c>
      <c r="B1671" s="15" t="s">
        <v>110</v>
      </c>
      <c r="C1671" s="16">
        <v>45596.0</v>
      </c>
      <c r="D1671" s="16">
        <v>45626.0</v>
      </c>
      <c r="E1671" s="15" t="s">
        <v>684</v>
      </c>
      <c r="F1671" s="19">
        <v>19.99</v>
      </c>
      <c r="G1671" s="15" t="s">
        <v>675</v>
      </c>
    </row>
    <row r="1672" ht="15.75" customHeight="1">
      <c r="A1672" s="17" t="s">
        <v>2343</v>
      </c>
      <c r="B1672" s="17" t="s">
        <v>111</v>
      </c>
      <c r="C1672" s="18">
        <v>45596.0</v>
      </c>
      <c r="D1672" s="18">
        <v>45626.0</v>
      </c>
      <c r="E1672" s="17" t="s">
        <v>684</v>
      </c>
      <c r="F1672" s="20">
        <v>19.99</v>
      </c>
      <c r="G1672" s="17" t="s">
        <v>675</v>
      </c>
    </row>
    <row r="1673" ht="15.75" customHeight="1">
      <c r="A1673" s="15" t="s">
        <v>2344</v>
      </c>
      <c r="B1673" s="15" t="s">
        <v>181</v>
      </c>
      <c r="C1673" s="16">
        <v>45597.0</v>
      </c>
      <c r="D1673" s="16">
        <v>45627.0</v>
      </c>
      <c r="E1673" s="15" t="s">
        <v>684</v>
      </c>
      <c r="F1673" s="19">
        <v>19.99</v>
      </c>
      <c r="G1673" s="15" t="s">
        <v>675</v>
      </c>
    </row>
    <row r="1674" ht="15.75" customHeight="1">
      <c r="A1674" s="17" t="s">
        <v>2345</v>
      </c>
      <c r="B1674" s="17" t="s">
        <v>238</v>
      </c>
      <c r="C1674" s="18">
        <v>45597.0</v>
      </c>
      <c r="D1674" s="18">
        <v>45627.0</v>
      </c>
      <c r="E1674" s="17" t="s">
        <v>684</v>
      </c>
      <c r="F1674" s="20">
        <v>19.99</v>
      </c>
      <c r="G1674" s="17" t="s">
        <v>675</v>
      </c>
    </row>
    <row r="1675" ht="15.75" customHeight="1">
      <c r="A1675" s="15" t="s">
        <v>2346</v>
      </c>
      <c r="B1675" s="15" t="s">
        <v>323</v>
      </c>
      <c r="C1675" s="16">
        <v>45597.0</v>
      </c>
      <c r="D1675" s="16">
        <v>45627.0</v>
      </c>
      <c r="E1675" s="15" t="s">
        <v>684</v>
      </c>
      <c r="F1675" s="19">
        <v>19.99</v>
      </c>
      <c r="G1675" s="15" t="s">
        <v>675</v>
      </c>
    </row>
    <row r="1676" ht="15.75" customHeight="1">
      <c r="A1676" s="17" t="s">
        <v>2347</v>
      </c>
      <c r="B1676" s="17" t="s">
        <v>417</v>
      </c>
      <c r="C1676" s="18">
        <v>45597.0</v>
      </c>
      <c r="D1676" s="18">
        <v>45604.0</v>
      </c>
      <c r="E1676" s="17" t="s">
        <v>674</v>
      </c>
      <c r="F1676" s="20">
        <v>0.0</v>
      </c>
      <c r="G1676" s="17" t="s">
        <v>675</v>
      </c>
    </row>
    <row r="1677" ht="15.75" customHeight="1">
      <c r="A1677" s="15" t="s">
        <v>2348</v>
      </c>
      <c r="B1677" s="15" t="s">
        <v>113</v>
      </c>
      <c r="C1677" s="16">
        <v>45597.0</v>
      </c>
      <c r="D1677" s="16">
        <v>45627.0</v>
      </c>
      <c r="E1677" s="15" t="s">
        <v>684</v>
      </c>
      <c r="F1677" s="19">
        <v>19.99</v>
      </c>
      <c r="G1677" s="15" t="s">
        <v>675</v>
      </c>
    </row>
    <row r="1678" ht="15.75" customHeight="1">
      <c r="A1678" s="17" t="s">
        <v>2349</v>
      </c>
      <c r="B1678" s="17" t="s">
        <v>418</v>
      </c>
      <c r="C1678" s="18">
        <v>45597.0</v>
      </c>
      <c r="D1678" s="18">
        <v>45604.0</v>
      </c>
      <c r="E1678" s="17" t="s">
        <v>674</v>
      </c>
      <c r="F1678" s="20">
        <v>0.0</v>
      </c>
      <c r="G1678" s="17" t="s">
        <v>675</v>
      </c>
    </row>
    <row r="1679" ht="15.75" customHeight="1">
      <c r="A1679" s="15" t="s">
        <v>2350</v>
      </c>
      <c r="B1679" s="15" t="s">
        <v>324</v>
      </c>
      <c r="C1679" s="16">
        <v>45597.0</v>
      </c>
      <c r="D1679" s="16">
        <v>45627.0</v>
      </c>
      <c r="E1679" s="15" t="s">
        <v>684</v>
      </c>
      <c r="F1679" s="19">
        <v>19.99</v>
      </c>
      <c r="G1679" s="15" t="s">
        <v>675</v>
      </c>
    </row>
    <row r="1680" ht="15.75" customHeight="1">
      <c r="A1680" s="17" t="s">
        <v>2351</v>
      </c>
      <c r="B1680" s="17" t="s">
        <v>274</v>
      </c>
      <c r="C1680" s="18">
        <v>45597.0</v>
      </c>
      <c r="D1680" s="18">
        <v>45627.0</v>
      </c>
      <c r="E1680" s="17" t="s">
        <v>684</v>
      </c>
      <c r="F1680" s="20">
        <v>19.99</v>
      </c>
      <c r="G1680" s="17" t="s">
        <v>675</v>
      </c>
    </row>
    <row r="1681" ht="15.75" customHeight="1">
      <c r="A1681" s="15" t="s">
        <v>2352</v>
      </c>
      <c r="B1681" s="15" t="s">
        <v>239</v>
      </c>
      <c r="C1681" s="16">
        <v>45597.0</v>
      </c>
      <c r="D1681" s="16">
        <v>45627.0</v>
      </c>
      <c r="E1681" s="15" t="s">
        <v>684</v>
      </c>
      <c r="F1681" s="19">
        <v>19.99</v>
      </c>
      <c r="G1681" s="15" t="s">
        <v>675</v>
      </c>
    </row>
    <row r="1682" ht="15.75" customHeight="1">
      <c r="A1682" s="17" t="s">
        <v>2353</v>
      </c>
      <c r="B1682" s="17" t="s">
        <v>213</v>
      </c>
      <c r="C1682" s="18">
        <v>45598.0</v>
      </c>
      <c r="D1682" s="18">
        <v>45628.0</v>
      </c>
      <c r="E1682" s="17" t="s">
        <v>684</v>
      </c>
      <c r="F1682" s="20">
        <v>19.99</v>
      </c>
      <c r="G1682" s="17" t="s">
        <v>675</v>
      </c>
    </row>
    <row r="1683" ht="15.75" customHeight="1">
      <c r="A1683" s="15" t="s">
        <v>2354</v>
      </c>
      <c r="B1683" s="15" t="s">
        <v>325</v>
      </c>
      <c r="C1683" s="16">
        <v>45598.0</v>
      </c>
      <c r="D1683" s="16">
        <v>45628.0</v>
      </c>
      <c r="E1683" s="15" t="s">
        <v>684</v>
      </c>
      <c r="F1683" s="19">
        <v>19.99</v>
      </c>
      <c r="G1683" s="15" t="s">
        <v>675</v>
      </c>
    </row>
    <row r="1684" ht="15.75" customHeight="1">
      <c r="A1684" s="17" t="s">
        <v>2355</v>
      </c>
      <c r="B1684" s="17" t="s">
        <v>276</v>
      </c>
      <c r="C1684" s="18">
        <v>45598.0</v>
      </c>
      <c r="D1684" s="18">
        <v>45628.0</v>
      </c>
      <c r="E1684" s="17" t="s">
        <v>684</v>
      </c>
      <c r="F1684" s="20">
        <v>19.99</v>
      </c>
      <c r="G1684" s="17" t="s">
        <v>675</v>
      </c>
    </row>
    <row r="1685" ht="15.75" customHeight="1">
      <c r="A1685" s="15" t="s">
        <v>2356</v>
      </c>
      <c r="B1685" s="15" t="s">
        <v>360</v>
      </c>
      <c r="C1685" s="16">
        <v>45598.0</v>
      </c>
      <c r="D1685" s="16">
        <v>45628.0</v>
      </c>
      <c r="E1685" s="15" t="s">
        <v>684</v>
      </c>
      <c r="F1685" s="19">
        <v>19.99</v>
      </c>
      <c r="G1685" s="15" t="s">
        <v>675</v>
      </c>
    </row>
    <row r="1686" ht="15.75" customHeight="1">
      <c r="A1686" s="17" t="s">
        <v>2357</v>
      </c>
      <c r="B1686" s="17" t="s">
        <v>214</v>
      </c>
      <c r="C1686" s="18">
        <v>45598.0</v>
      </c>
      <c r="D1686" s="18">
        <v>45628.0</v>
      </c>
      <c r="E1686" s="17" t="s">
        <v>684</v>
      </c>
      <c r="F1686" s="20">
        <v>19.99</v>
      </c>
      <c r="G1686" s="17" t="s">
        <v>675</v>
      </c>
    </row>
    <row r="1687" ht="15.75" customHeight="1">
      <c r="A1687" s="15" t="s">
        <v>2358</v>
      </c>
      <c r="B1687" s="15" t="s">
        <v>277</v>
      </c>
      <c r="C1687" s="16">
        <v>45598.0</v>
      </c>
      <c r="D1687" s="16">
        <v>45628.0</v>
      </c>
      <c r="E1687" s="15" t="s">
        <v>684</v>
      </c>
      <c r="F1687" s="19">
        <v>19.99</v>
      </c>
      <c r="G1687" s="15" t="s">
        <v>675</v>
      </c>
    </row>
    <row r="1688" ht="15.75" customHeight="1">
      <c r="A1688" s="17" t="s">
        <v>2359</v>
      </c>
      <c r="B1688" s="17" t="s">
        <v>241</v>
      </c>
      <c r="C1688" s="18">
        <v>45598.0</v>
      </c>
      <c r="D1688" s="18">
        <v>45628.0</v>
      </c>
      <c r="E1688" s="17" t="s">
        <v>684</v>
      </c>
      <c r="F1688" s="20">
        <v>19.99</v>
      </c>
      <c r="G1688" s="17" t="s">
        <v>675</v>
      </c>
    </row>
    <row r="1689" ht="15.75" customHeight="1">
      <c r="A1689" s="15" t="s">
        <v>2360</v>
      </c>
      <c r="B1689" s="15" t="s">
        <v>183</v>
      </c>
      <c r="C1689" s="16">
        <v>45599.0</v>
      </c>
      <c r="D1689" s="16">
        <v>45629.0</v>
      </c>
      <c r="E1689" s="15" t="s">
        <v>684</v>
      </c>
      <c r="F1689" s="19">
        <v>19.99</v>
      </c>
      <c r="G1689" s="15" t="s">
        <v>675</v>
      </c>
    </row>
    <row r="1690" ht="15.75" customHeight="1">
      <c r="A1690" s="17" t="s">
        <v>2361</v>
      </c>
      <c r="B1690" s="17" t="s">
        <v>146</v>
      </c>
      <c r="C1690" s="18">
        <v>45599.0</v>
      </c>
      <c r="D1690" s="18">
        <v>45629.0</v>
      </c>
      <c r="E1690" s="17" t="s">
        <v>684</v>
      </c>
      <c r="F1690" s="20">
        <v>19.99</v>
      </c>
      <c r="G1690" s="17" t="s">
        <v>675</v>
      </c>
    </row>
    <row r="1691" ht="15.75" customHeight="1">
      <c r="A1691" s="15" t="s">
        <v>2362</v>
      </c>
      <c r="B1691" s="15" t="s">
        <v>327</v>
      </c>
      <c r="C1691" s="16">
        <v>45599.0</v>
      </c>
      <c r="D1691" s="16">
        <v>45629.0</v>
      </c>
      <c r="E1691" s="15" t="s">
        <v>684</v>
      </c>
      <c r="F1691" s="19">
        <v>19.99</v>
      </c>
      <c r="G1691" s="15" t="s">
        <v>675</v>
      </c>
    </row>
    <row r="1692" ht="15.75" customHeight="1">
      <c r="A1692" s="17" t="s">
        <v>2363</v>
      </c>
      <c r="B1692" s="17" t="s">
        <v>408</v>
      </c>
      <c r="C1692" s="18">
        <v>45599.0</v>
      </c>
      <c r="D1692" s="18">
        <v>45629.0</v>
      </c>
      <c r="E1692" s="17" t="s">
        <v>684</v>
      </c>
      <c r="F1692" s="20">
        <v>19.99</v>
      </c>
      <c r="G1692" s="17" t="s">
        <v>675</v>
      </c>
    </row>
    <row r="1693" ht="15.75" customHeight="1">
      <c r="A1693" s="15" t="s">
        <v>2364</v>
      </c>
      <c r="B1693" s="15" t="s">
        <v>56</v>
      </c>
      <c r="C1693" s="16">
        <v>45599.0</v>
      </c>
      <c r="D1693" s="16">
        <v>45629.0</v>
      </c>
      <c r="E1693" s="15" t="s">
        <v>684</v>
      </c>
      <c r="F1693" s="19">
        <v>19.99</v>
      </c>
      <c r="G1693" s="15" t="s">
        <v>675</v>
      </c>
    </row>
    <row r="1694" ht="15.75" customHeight="1">
      <c r="A1694" s="17" t="s">
        <v>2365</v>
      </c>
      <c r="B1694" s="17" t="s">
        <v>279</v>
      </c>
      <c r="C1694" s="18">
        <v>45599.0</v>
      </c>
      <c r="D1694" s="18">
        <v>45629.0</v>
      </c>
      <c r="E1694" s="17" t="s">
        <v>684</v>
      </c>
      <c r="F1694" s="20">
        <v>19.99</v>
      </c>
      <c r="G1694" s="17" t="s">
        <v>675</v>
      </c>
    </row>
    <row r="1695" ht="15.75" customHeight="1">
      <c r="A1695" s="15" t="s">
        <v>2366</v>
      </c>
      <c r="B1695" s="15" t="s">
        <v>419</v>
      </c>
      <c r="C1695" s="16">
        <v>45599.0</v>
      </c>
      <c r="D1695" s="16">
        <v>45606.0</v>
      </c>
      <c r="E1695" s="15" t="s">
        <v>674</v>
      </c>
      <c r="F1695" s="19">
        <v>0.0</v>
      </c>
      <c r="G1695" s="15" t="s">
        <v>675</v>
      </c>
    </row>
    <row r="1696" ht="15.75" customHeight="1">
      <c r="A1696" s="17" t="s">
        <v>2367</v>
      </c>
      <c r="B1696" s="17" t="s">
        <v>361</v>
      </c>
      <c r="C1696" s="18">
        <v>45599.0</v>
      </c>
      <c r="D1696" s="18">
        <v>45629.0</v>
      </c>
      <c r="E1696" s="17" t="s">
        <v>684</v>
      </c>
      <c r="F1696" s="20">
        <v>19.99</v>
      </c>
      <c r="G1696" s="17" t="s">
        <v>675</v>
      </c>
    </row>
    <row r="1697" ht="15.75" customHeight="1">
      <c r="A1697" s="15" t="s">
        <v>2368</v>
      </c>
      <c r="B1697" s="15" t="s">
        <v>420</v>
      </c>
      <c r="C1697" s="16">
        <v>45600.0</v>
      </c>
      <c r="D1697" s="16">
        <v>45607.0</v>
      </c>
      <c r="E1697" s="15" t="s">
        <v>674</v>
      </c>
      <c r="F1697" s="19">
        <v>0.0</v>
      </c>
      <c r="G1697" s="15" t="s">
        <v>675</v>
      </c>
    </row>
    <row r="1698" ht="15.75" customHeight="1">
      <c r="A1698" s="17" t="s">
        <v>2369</v>
      </c>
      <c r="B1698" s="17" t="s">
        <v>280</v>
      </c>
      <c r="C1698" s="18">
        <v>45600.0</v>
      </c>
      <c r="D1698" s="18">
        <v>45630.0</v>
      </c>
      <c r="E1698" s="17" t="s">
        <v>684</v>
      </c>
      <c r="F1698" s="20">
        <v>19.99</v>
      </c>
      <c r="G1698" s="17" t="s">
        <v>675</v>
      </c>
    </row>
    <row r="1699" ht="15.75" customHeight="1">
      <c r="A1699" s="15" t="s">
        <v>2370</v>
      </c>
      <c r="B1699" s="15" t="s">
        <v>409</v>
      </c>
      <c r="C1699" s="16">
        <v>45600.0</v>
      </c>
      <c r="D1699" s="16">
        <v>45630.0</v>
      </c>
      <c r="E1699" s="15" t="s">
        <v>684</v>
      </c>
      <c r="F1699" s="19">
        <v>19.99</v>
      </c>
      <c r="G1699" s="15" t="s">
        <v>675</v>
      </c>
    </row>
    <row r="1700" ht="15.75" customHeight="1">
      <c r="A1700" s="17" t="s">
        <v>2371</v>
      </c>
      <c r="B1700" s="17" t="s">
        <v>116</v>
      </c>
      <c r="C1700" s="18">
        <v>45600.0</v>
      </c>
      <c r="D1700" s="18">
        <v>45630.0</v>
      </c>
      <c r="E1700" s="17" t="s">
        <v>684</v>
      </c>
      <c r="F1700" s="20">
        <v>19.99</v>
      </c>
      <c r="G1700" s="17" t="s">
        <v>675</v>
      </c>
    </row>
    <row r="1701" ht="15.75" customHeight="1">
      <c r="A1701" s="15" t="s">
        <v>2372</v>
      </c>
      <c r="B1701" s="15" t="s">
        <v>410</v>
      </c>
      <c r="C1701" s="16">
        <v>45600.0</v>
      </c>
      <c r="D1701" s="16">
        <v>45630.0</v>
      </c>
      <c r="E1701" s="15" t="s">
        <v>684</v>
      </c>
      <c r="F1701" s="19">
        <v>19.99</v>
      </c>
      <c r="G1701" s="15" t="s">
        <v>675</v>
      </c>
    </row>
    <row r="1702" ht="15.75" customHeight="1">
      <c r="A1702" s="17" t="s">
        <v>2373</v>
      </c>
      <c r="B1702" s="17" t="s">
        <v>421</v>
      </c>
      <c r="C1702" s="18">
        <v>45600.0</v>
      </c>
      <c r="D1702" s="18">
        <v>45607.0</v>
      </c>
      <c r="E1702" s="17" t="s">
        <v>674</v>
      </c>
      <c r="F1702" s="20">
        <v>0.0</v>
      </c>
      <c r="G1702" s="17" t="s">
        <v>675</v>
      </c>
    </row>
    <row r="1703" ht="15.75" customHeight="1">
      <c r="A1703" s="15" t="s">
        <v>2374</v>
      </c>
      <c r="B1703" s="15" t="s">
        <v>411</v>
      </c>
      <c r="C1703" s="16">
        <v>45600.0</v>
      </c>
      <c r="D1703" s="16">
        <v>45630.0</v>
      </c>
      <c r="E1703" s="15" t="s">
        <v>684</v>
      </c>
      <c r="F1703" s="19">
        <v>19.99</v>
      </c>
      <c r="G1703" s="15" t="s">
        <v>675</v>
      </c>
    </row>
    <row r="1704" ht="15.75" customHeight="1">
      <c r="A1704" s="17" t="s">
        <v>2375</v>
      </c>
      <c r="B1704" s="17" t="s">
        <v>412</v>
      </c>
      <c r="C1704" s="18">
        <v>45600.0</v>
      </c>
      <c r="D1704" s="18">
        <v>45630.0</v>
      </c>
      <c r="E1704" s="17" t="s">
        <v>684</v>
      </c>
      <c r="F1704" s="20">
        <v>19.99</v>
      </c>
      <c r="G1704" s="17" t="s">
        <v>675</v>
      </c>
    </row>
    <row r="1705" ht="15.75" customHeight="1">
      <c r="A1705" s="15" t="s">
        <v>2376</v>
      </c>
      <c r="B1705" s="15" t="s">
        <v>413</v>
      </c>
      <c r="C1705" s="16">
        <v>45600.0</v>
      </c>
      <c r="D1705" s="16">
        <v>45630.0</v>
      </c>
      <c r="E1705" s="15" t="s">
        <v>684</v>
      </c>
      <c r="F1705" s="19">
        <v>19.99</v>
      </c>
      <c r="G1705" s="15" t="s">
        <v>675</v>
      </c>
    </row>
    <row r="1706" ht="15.75" customHeight="1">
      <c r="A1706" s="17" t="s">
        <v>2377</v>
      </c>
      <c r="B1706" s="17" t="s">
        <v>215</v>
      </c>
      <c r="C1706" s="18">
        <v>45600.0</v>
      </c>
      <c r="D1706" s="18">
        <v>45630.0</v>
      </c>
      <c r="E1706" s="17" t="s">
        <v>684</v>
      </c>
      <c r="F1706" s="20">
        <v>19.99</v>
      </c>
      <c r="G1706" s="17" t="s">
        <v>675</v>
      </c>
    </row>
    <row r="1707" ht="15.75" customHeight="1">
      <c r="A1707" s="15" t="s">
        <v>2378</v>
      </c>
      <c r="B1707" s="15" t="s">
        <v>281</v>
      </c>
      <c r="C1707" s="16">
        <v>45600.0</v>
      </c>
      <c r="D1707" s="16">
        <v>45630.0</v>
      </c>
      <c r="E1707" s="15" t="s">
        <v>684</v>
      </c>
      <c r="F1707" s="19">
        <v>19.99</v>
      </c>
      <c r="G1707" s="15" t="s">
        <v>675</v>
      </c>
    </row>
    <row r="1708" ht="15.75" customHeight="1">
      <c r="A1708" s="17" t="s">
        <v>2379</v>
      </c>
      <c r="B1708" s="17" t="s">
        <v>414</v>
      </c>
      <c r="C1708" s="18">
        <v>45601.0</v>
      </c>
      <c r="D1708" s="18">
        <v>45631.0</v>
      </c>
      <c r="E1708" s="17" t="s">
        <v>684</v>
      </c>
      <c r="F1708" s="20">
        <v>19.99</v>
      </c>
      <c r="G1708" s="17" t="s">
        <v>675</v>
      </c>
    </row>
    <row r="1709" ht="15.75" customHeight="1">
      <c r="A1709" s="15" t="s">
        <v>2380</v>
      </c>
      <c r="B1709" s="15" t="s">
        <v>282</v>
      </c>
      <c r="C1709" s="16">
        <v>45601.0</v>
      </c>
      <c r="D1709" s="16">
        <v>45631.0</v>
      </c>
      <c r="E1709" s="15" t="s">
        <v>684</v>
      </c>
      <c r="F1709" s="19">
        <v>19.99</v>
      </c>
      <c r="G1709" s="15" t="s">
        <v>675</v>
      </c>
    </row>
    <row r="1710" ht="15.75" customHeight="1">
      <c r="A1710" s="17" t="s">
        <v>2381</v>
      </c>
      <c r="B1710" s="17" t="s">
        <v>328</v>
      </c>
      <c r="C1710" s="18">
        <v>45601.0</v>
      </c>
      <c r="D1710" s="18">
        <v>45631.0</v>
      </c>
      <c r="E1710" s="17" t="s">
        <v>684</v>
      </c>
      <c r="F1710" s="20">
        <v>19.99</v>
      </c>
      <c r="G1710" s="17" t="s">
        <v>675</v>
      </c>
    </row>
    <row r="1711" ht="15.75" customHeight="1">
      <c r="A1711" s="15" t="s">
        <v>2382</v>
      </c>
      <c r="B1711" s="15" t="s">
        <v>422</v>
      </c>
      <c r="C1711" s="16">
        <v>45601.0</v>
      </c>
      <c r="D1711" s="16">
        <v>45608.0</v>
      </c>
      <c r="E1711" s="15" t="s">
        <v>674</v>
      </c>
      <c r="F1711" s="19">
        <v>0.0</v>
      </c>
      <c r="G1711" s="15" t="s">
        <v>675</v>
      </c>
    </row>
    <row r="1712" ht="15.75" customHeight="1">
      <c r="A1712" s="17" t="s">
        <v>2383</v>
      </c>
      <c r="B1712" s="17" t="s">
        <v>423</v>
      </c>
      <c r="C1712" s="18">
        <v>45601.0</v>
      </c>
      <c r="D1712" s="18">
        <v>45608.0</v>
      </c>
      <c r="E1712" s="17" t="s">
        <v>674</v>
      </c>
      <c r="F1712" s="20">
        <v>0.0</v>
      </c>
      <c r="G1712" s="17" t="s">
        <v>675</v>
      </c>
    </row>
    <row r="1713" ht="15.75" customHeight="1">
      <c r="A1713" s="15" t="s">
        <v>2384</v>
      </c>
      <c r="B1713" s="15" t="s">
        <v>424</v>
      </c>
      <c r="C1713" s="16">
        <v>45601.0</v>
      </c>
      <c r="D1713" s="16">
        <v>45608.0</v>
      </c>
      <c r="E1713" s="15" t="s">
        <v>674</v>
      </c>
      <c r="F1713" s="19">
        <v>0.0</v>
      </c>
      <c r="G1713" s="15" t="s">
        <v>675</v>
      </c>
    </row>
    <row r="1714" ht="15.75" customHeight="1">
      <c r="A1714" s="17" t="s">
        <v>2385</v>
      </c>
      <c r="B1714" s="17" t="s">
        <v>90</v>
      </c>
      <c r="C1714" s="18">
        <v>45601.0</v>
      </c>
      <c r="D1714" s="18">
        <v>45631.0</v>
      </c>
      <c r="E1714" s="17" t="s">
        <v>684</v>
      </c>
      <c r="F1714" s="20">
        <v>19.99</v>
      </c>
      <c r="G1714" s="17" t="s">
        <v>675</v>
      </c>
    </row>
    <row r="1715" ht="15.75" customHeight="1">
      <c r="A1715" s="15" t="s">
        <v>2386</v>
      </c>
      <c r="B1715" s="15" t="s">
        <v>70</v>
      </c>
      <c r="C1715" s="16">
        <v>45601.0</v>
      </c>
      <c r="D1715" s="16">
        <v>45631.0</v>
      </c>
      <c r="E1715" s="15" t="s">
        <v>684</v>
      </c>
      <c r="F1715" s="19">
        <v>19.99</v>
      </c>
      <c r="G1715" s="15" t="s">
        <v>675</v>
      </c>
    </row>
    <row r="1716" ht="15.75" customHeight="1">
      <c r="A1716" s="17" t="s">
        <v>2387</v>
      </c>
      <c r="B1716" s="17" t="s">
        <v>118</v>
      </c>
      <c r="C1716" s="18">
        <v>45602.0</v>
      </c>
      <c r="D1716" s="18">
        <v>45632.0</v>
      </c>
      <c r="E1716" s="17" t="s">
        <v>684</v>
      </c>
      <c r="F1716" s="20">
        <v>19.99</v>
      </c>
      <c r="G1716" s="17" t="s">
        <v>675</v>
      </c>
    </row>
    <row r="1717" ht="15.75" customHeight="1">
      <c r="A1717" s="15" t="s">
        <v>2388</v>
      </c>
      <c r="B1717" s="15" t="s">
        <v>186</v>
      </c>
      <c r="C1717" s="16">
        <v>45602.0</v>
      </c>
      <c r="D1717" s="16">
        <v>45632.0</v>
      </c>
      <c r="E1717" s="15" t="s">
        <v>684</v>
      </c>
      <c r="F1717" s="19">
        <v>19.99</v>
      </c>
      <c r="G1717" s="15" t="s">
        <v>675</v>
      </c>
    </row>
    <row r="1718" ht="15.75" customHeight="1">
      <c r="A1718" s="17" t="s">
        <v>2389</v>
      </c>
      <c r="B1718" s="17" t="s">
        <v>216</v>
      </c>
      <c r="C1718" s="18">
        <v>45602.0</v>
      </c>
      <c r="D1718" s="18">
        <v>45632.0</v>
      </c>
      <c r="E1718" s="17" t="s">
        <v>684</v>
      </c>
      <c r="F1718" s="20">
        <v>19.99</v>
      </c>
      <c r="G1718" s="17" t="s">
        <v>675</v>
      </c>
    </row>
    <row r="1719" ht="15.75" customHeight="1">
      <c r="A1719" s="15" t="s">
        <v>2390</v>
      </c>
      <c r="B1719" s="15" t="s">
        <v>71</v>
      </c>
      <c r="C1719" s="16">
        <v>45602.0</v>
      </c>
      <c r="D1719" s="16">
        <v>45632.0</v>
      </c>
      <c r="E1719" s="15" t="s">
        <v>684</v>
      </c>
      <c r="F1719" s="19">
        <v>19.99</v>
      </c>
      <c r="G1719" s="15" t="s">
        <v>675</v>
      </c>
    </row>
    <row r="1720" ht="15.75" customHeight="1">
      <c r="A1720" s="17" t="s">
        <v>2391</v>
      </c>
      <c r="B1720" s="17" t="s">
        <v>148</v>
      </c>
      <c r="C1720" s="18">
        <v>45602.0</v>
      </c>
      <c r="D1720" s="18">
        <v>45632.0</v>
      </c>
      <c r="E1720" s="17" t="s">
        <v>684</v>
      </c>
      <c r="F1720" s="20">
        <v>19.99</v>
      </c>
      <c r="G1720" s="17" t="s">
        <v>675</v>
      </c>
    </row>
    <row r="1721" ht="15.75" customHeight="1">
      <c r="A1721" s="15" t="s">
        <v>2392</v>
      </c>
      <c r="B1721" s="15" t="s">
        <v>187</v>
      </c>
      <c r="C1721" s="16">
        <v>45602.0</v>
      </c>
      <c r="D1721" s="16">
        <v>45632.0</v>
      </c>
      <c r="E1721" s="15" t="s">
        <v>684</v>
      </c>
      <c r="F1721" s="19">
        <v>19.99</v>
      </c>
      <c r="G1721" s="15" t="s">
        <v>675</v>
      </c>
    </row>
    <row r="1722" ht="15.75" customHeight="1">
      <c r="A1722" s="17" t="s">
        <v>2393</v>
      </c>
      <c r="B1722" s="17" t="s">
        <v>217</v>
      </c>
      <c r="C1722" s="18">
        <v>45602.0</v>
      </c>
      <c r="D1722" s="18">
        <v>45632.0</v>
      </c>
      <c r="E1722" s="17" t="s">
        <v>684</v>
      </c>
      <c r="F1722" s="20">
        <v>19.99</v>
      </c>
      <c r="G1722" s="17" t="s">
        <v>675</v>
      </c>
    </row>
    <row r="1723" ht="15.75" customHeight="1">
      <c r="A1723" s="15" t="s">
        <v>2394</v>
      </c>
      <c r="B1723" s="15" t="s">
        <v>363</v>
      </c>
      <c r="C1723" s="16">
        <v>45602.0</v>
      </c>
      <c r="D1723" s="16">
        <v>45632.0</v>
      </c>
      <c r="E1723" s="15" t="s">
        <v>684</v>
      </c>
      <c r="F1723" s="19">
        <v>19.99</v>
      </c>
      <c r="G1723" s="15" t="s">
        <v>675</v>
      </c>
    </row>
    <row r="1724" ht="15.75" customHeight="1">
      <c r="A1724" s="17" t="s">
        <v>2395</v>
      </c>
      <c r="B1724" s="17" t="s">
        <v>329</v>
      </c>
      <c r="C1724" s="18">
        <v>45602.0</v>
      </c>
      <c r="D1724" s="18">
        <v>45632.0</v>
      </c>
      <c r="E1724" s="17" t="s">
        <v>684</v>
      </c>
      <c r="F1724" s="20">
        <v>19.99</v>
      </c>
      <c r="G1724" s="17" t="s">
        <v>675</v>
      </c>
    </row>
    <row r="1725" ht="15.75" customHeight="1">
      <c r="A1725" s="15" t="s">
        <v>2396</v>
      </c>
      <c r="B1725" s="15" t="s">
        <v>218</v>
      </c>
      <c r="C1725" s="16">
        <v>45603.0</v>
      </c>
      <c r="D1725" s="16">
        <v>45633.0</v>
      </c>
      <c r="E1725" s="15" t="s">
        <v>684</v>
      </c>
      <c r="F1725" s="19">
        <v>19.99</v>
      </c>
      <c r="G1725" s="15" t="s">
        <v>675</v>
      </c>
    </row>
    <row r="1726" ht="15.75" customHeight="1">
      <c r="A1726" s="17" t="s">
        <v>2397</v>
      </c>
      <c r="B1726" s="17" t="s">
        <v>415</v>
      </c>
      <c r="C1726" s="18">
        <v>45603.0</v>
      </c>
      <c r="D1726" s="18">
        <v>45633.0</v>
      </c>
      <c r="E1726" s="17" t="s">
        <v>684</v>
      </c>
      <c r="F1726" s="20">
        <v>19.99</v>
      </c>
      <c r="G1726" s="17" t="s">
        <v>675</v>
      </c>
    </row>
    <row r="1727" ht="15.75" customHeight="1">
      <c r="A1727" s="15" t="s">
        <v>2398</v>
      </c>
      <c r="B1727" s="15" t="s">
        <v>219</v>
      </c>
      <c r="C1727" s="16">
        <v>45603.0</v>
      </c>
      <c r="D1727" s="16">
        <v>45633.0</v>
      </c>
      <c r="E1727" s="15" t="s">
        <v>684</v>
      </c>
      <c r="F1727" s="19">
        <v>19.99</v>
      </c>
      <c r="G1727" s="15" t="s">
        <v>675</v>
      </c>
    </row>
    <row r="1728" ht="15.75" customHeight="1">
      <c r="A1728" s="17" t="s">
        <v>2399</v>
      </c>
      <c r="B1728" s="17" t="s">
        <v>364</v>
      </c>
      <c r="C1728" s="18">
        <v>45603.0</v>
      </c>
      <c r="D1728" s="18">
        <v>45633.0</v>
      </c>
      <c r="E1728" s="17" t="s">
        <v>684</v>
      </c>
      <c r="F1728" s="20">
        <v>19.99</v>
      </c>
      <c r="G1728" s="17" t="s">
        <v>675</v>
      </c>
    </row>
    <row r="1729" ht="15.75" customHeight="1">
      <c r="A1729" s="15" t="s">
        <v>2400</v>
      </c>
      <c r="B1729" s="15" t="s">
        <v>243</v>
      </c>
      <c r="C1729" s="16">
        <v>45603.0</v>
      </c>
      <c r="D1729" s="16">
        <v>45633.0</v>
      </c>
      <c r="E1729" s="15" t="s">
        <v>684</v>
      </c>
      <c r="F1729" s="19">
        <v>19.99</v>
      </c>
      <c r="G1729" s="15" t="s">
        <v>675</v>
      </c>
    </row>
    <row r="1730" ht="15.75" customHeight="1">
      <c r="A1730" s="17" t="s">
        <v>2401</v>
      </c>
      <c r="B1730" s="17" t="s">
        <v>283</v>
      </c>
      <c r="C1730" s="18">
        <v>45603.0</v>
      </c>
      <c r="D1730" s="18">
        <v>45633.0</v>
      </c>
      <c r="E1730" s="17" t="s">
        <v>684</v>
      </c>
      <c r="F1730" s="20">
        <v>19.99</v>
      </c>
      <c r="G1730" s="17" t="s">
        <v>675</v>
      </c>
    </row>
    <row r="1731" ht="15.75" customHeight="1">
      <c r="A1731" s="15" t="s">
        <v>2402</v>
      </c>
      <c r="B1731" s="15" t="s">
        <v>416</v>
      </c>
      <c r="C1731" s="16">
        <v>45603.0</v>
      </c>
      <c r="D1731" s="16">
        <v>45633.0</v>
      </c>
      <c r="E1731" s="15" t="s">
        <v>684</v>
      </c>
      <c r="F1731" s="19">
        <v>19.99</v>
      </c>
      <c r="G1731" s="15" t="s">
        <v>675</v>
      </c>
    </row>
    <row r="1732" ht="15.75" customHeight="1">
      <c r="A1732" s="17" t="s">
        <v>2403</v>
      </c>
      <c r="B1732" s="17" t="s">
        <v>149</v>
      </c>
      <c r="C1732" s="18">
        <v>45603.0</v>
      </c>
      <c r="D1732" s="18">
        <v>45633.0</v>
      </c>
      <c r="E1732" s="17" t="s">
        <v>684</v>
      </c>
      <c r="F1732" s="20">
        <v>19.99</v>
      </c>
      <c r="G1732" s="17" t="s">
        <v>675</v>
      </c>
    </row>
    <row r="1733" ht="15.75" customHeight="1">
      <c r="A1733" s="15" t="s">
        <v>2404</v>
      </c>
      <c r="B1733" s="15" t="s">
        <v>284</v>
      </c>
      <c r="C1733" s="16">
        <v>45603.0</v>
      </c>
      <c r="D1733" s="16">
        <v>45633.0</v>
      </c>
      <c r="E1733" s="15" t="s">
        <v>684</v>
      </c>
      <c r="F1733" s="19">
        <v>19.99</v>
      </c>
      <c r="G1733" s="15" t="s">
        <v>675</v>
      </c>
    </row>
    <row r="1734" ht="15.75" customHeight="1">
      <c r="A1734" s="17" t="s">
        <v>2405</v>
      </c>
      <c r="B1734" s="17" t="s">
        <v>119</v>
      </c>
      <c r="C1734" s="18">
        <v>45603.0</v>
      </c>
      <c r="D1734" s="18">
        <v>45633.0</v>
      </c>
      <c r="E1734" s="17" t="s">
        <v>684</v>
      </c>
      <c r="F1734" s="20">
        <v>19.99</v>
      </c>
      <c r="G1734" s="17" t="s">
        <v>675</v>
      </c>
    </row>
    <row r="1735" ht="15.75" customHeight="1">
      <c r="A1735" s="15" t="s">
        <v>2406</v>
      </c>
      <c r="B1735" s="15" t="s">
        <v>365</v>
      </c>
      <c r="C1735" s="16">
        <v>45603.0</v>
      </c>
      <c r="D1735" s="16">
        <v>45633.0</v>
      </c>
      <c r="E1735" s="15" t="s">
        <v>684</v>
      </c>
      <c r="F1735" s="19">
        <v>19.99</v>
      </c>
      <c r="G1735" s="15" t="s">
        <v>675</v>
      </c>
    </row>
    <row r="1736" ht="15.75" customHeight="1">
      <c r="A1736" s="17" t="s">
        <v>2407</v>
      </c>
      <c r="B1736" s="17" t="s">
        <v>425</v>
      </c>
      <c r="C1736" s="18">
        <v>45603.0</v>
      </c>
      <c r="D1736" s="18">
        <v>45610.0</v>
      </c>
      <c r="E1736" s="17" t="s">
        <v>674</v>
      </c>
      <c r="F1736" s="20">
        <v>0.0</v>
      </c>
      <c r="G1736" s="17" t="s">
        <v>675</v>
      </c>
    </row>
    <row r="1737" ht="15.75" customHeight="1">
      <c r="A1737" s="15" t="s">
        <v>2408</v>
      </c>
      <c r="B1737" s="15" t="s">
        <v>366</v>
      </c>
      <c r="C1737" s="16">
        <v>45603.0</v>
      </c>
      <c r="D1737" s="16">
        <v>45633.0</v>
      </c>
      <c r="E1737" s="15" t="s">
        <v>684</v>
      </c>
      <c r="F1737" s="19">
        <v>19.99</v>
      </c>
      <c r="G1737" s="15" t="s">
        <v>675</v>
      </c>
    </row>
    <row r="1738" ht="15.75" customHeight="1">
      <c r="A1738" s="17" t="s">
        <v>2409</v>
      </c>
      <c r="B1738" s="17" t="s">
        <v>426</v>
      </c>
      <c r="C1738" s="18">
        <v>45603.0</v>
      </c>
      <c r="D1738" s="18">
        <v>45610.0</v>
      </c>
      <c r="E1738" s="17" t="s">
        <v>674</v>
      </c>
      <c r="F1738" s="20">
        <v>0.0</v>
      </c>
      <c r="G1738" s="17" t="s">
        <v>675</v>
      </c>
    </row>
    <row r="1739" ht="15.75" customHeight="1">
      <c r="A1739" s="15" t="s">
        <v>2410</v>
      </c>
      <c r="B1739" s="15" t="s">
        <v>244</v>
      </c>
      <c r="C1739" s="16">
        <v>45604.0</v>
      </c>
      <c r="D1739" s="16">
        <v>45634.0</v>
      </c>
      <c r="E1739" s="15" t="s">
        <v>684</v>
      </c>
      <c r="F1739" s="19">
        <v>19.99</v>
      </c>
      <c r="G1739" s="15" t="s">
        <v>675</v>
      </c>
    </row>
    <row r="1740" ht="15.75" customHeight="1">
      <c r="A1740" s="17" t="s">
        <v>2411</v>
      </c>
      <c r="B1740" s="17" t="s">
        <v>287</v>
      </c>
      <c r="C1740" s="18">
        <v>45604.0</v>
      </c>
      <c r="D1740" s="18">
        <v>45634.0</v>
      </c>
      <c r="E1740" s="17" t="s">
        <v>684</v>
      </c>
      <c r="F1740" s="20">
        <v>19.99</v>
      </c>
      <c r="G1740" s="17" t="s">
        <v>675</v>
      </c>
    </row>
    <row r="1741" ht="15.75" customHeight="1">
      <c r="A1741" s="15" t="s">
        <v>2412</v>
      </c>
      <c r="B1741" s="15" t="s">
        <v>427</v>
      </c>
      <c r="C1741" s="16">
        <v>45604.0</v>
      </c>
      <c r="D1741" s="16">
        <v>45611.0</v>
      </c>
      <c r="E1741" s="15" t="s">
        <v>674</v>
      </c>
      <c r="F1741" s="19">
        <v>0.0</v>
      </c>
      <c r="G1741" s="15" t="s">
        <v>675</v>
      </c>
    </row>
    <row r="1742" ht="15.75" customHeight="1">
      <c r="A1742" s="17" t="s">
        <v>2413</v>
      </c>
      <c r="B1742" s="17" t="s">
        <v>120</v>
      </c>
      <c r="C1742" s="18">
        <v>45604.0</v>
      </c>
      <c r="D1742" s="18">
        <v>45634.0</v>
      </c>
      <c r="E1742" s="17" t="s">
        <v>684</v>
      </c>
      <c r="F1742" s="20">
        <v>19.99</v>
      </c>
      <c r="G1742" s="17" t="s">
        <v>675</v>
      </c>
    </row>
    <row r="1743" ht="15.75" customHeight="1">
      <c r="A1743" s="15" t="s">
        <v>2414</v>
      </c>
      <c r="B1743" s="15" t="s">
        <v>417</v>
      </c>
      <c r="C1743" s="16">
        <v>45604.0</v>
      </c>
      <c r="D1743" s="16">
        <v>45634.0</v>
      </c>
      <c r="E1743" s="15" t="s">
        <v>684</v>
      </c>
      <c r="F1743" s="19">
        <v>19.99</v>
      </c>
      <c r="G1743" s="15" t="s">
        <v>675</v>
      </c>
    </row>
    <row r="1744" ht="15.75" customHeight="1">
      <c r="A1744" s="17" t="s">
        <v>2415</v>
      </c>
      <c r="B1744" s="17" t="s">
        <v>418</v>
      </c>
      <c r="C1744" s="18">
        <v>45604.0</v>
      </c>
      <c r="D1744" s="18">
        <v>45634.0</v>
      </c>
      <c r="E1744" s="17" t="s">
        <v>684</v>
      </c>
      <c r="F1744" s="20">
        <v>19.99</v>
      </c>
      <c r="G1744" s="17" t="s">
        <v>675</v>
      </c>
    </row>
    <row r="1745" ht="15.75" customHeight="1">
      <c r="A1745" s="15" t="s">
        <v>2416</v>
      </c>
      <c r="B1745" s="15" t="s">
        <v>245</v>
      </c>
      <c r="C1745" s="16">
        <v>45604.0</v>
      </c>
      <c r="D1745" s="16">
        <v>45634.0</v>
      </c>
      <c r="E1745" s="15" t="s">
        <v>684</v>
      </c>
      <c r="F1745" s="19">
        <v>19.99</v>
      </c>
      <c r="G1745" s="15" t="s">
        <v>675</v>
      </c>
    </row>
    <row r="1746" ht="15.75" customHeight="1">
      <c r="A1746" s="17" t="s">
        <v>2417</v>
      </c>
      <c r="B1746" s="17" t="s">
        <v>330</v>
      </c>
      <c r="C1746" s="18">
        <v>45604.0</v>
      </c>
      <c r="D1746" s="18">
        <v>45634.0</v>
      </c>
      <c r="E1746" s="17" t="s">
        <v>684</v>
      </c>
      <c r="F1746" s="20">
        <v>19.99</v>
      </c>
      <c r="G1746" s="17" t="s">
        <v>675</v>
      </c>
    </row>
    <row r="1747" ht="15.75" customHeight="1">
      <c r="A1747" s="15" t="s">
        <v>2418</v>
      </c>
      <c r="B1747" s="15" t="s">
        <v>220</v>
      </c>
      <c r="C1747" s="16">
        <v>45604.0</v>
      </c>
      <c r="D1747" s="16">
        <v>45634.0</v>
      </c>
      <c r="E1747" s="15" t="s">
        <v>684</v>
      </c>
      <c r="F1747" s="19">
        <v>19.99</v>
      </c>
      <c r="G1747" s="15" t="s">
        <v>675</v>
      </c>
    </row>
    <row r="1748" ht="15.75" customHeight="1">
      <c r="A1748" s="17" t="s">
        <v>2419</v>
      </c>
      <c r="B1748" s="17" t="s">
        <v>289</v>
      </c>
      <c r="C1748" s="18">
        <v>45604.0</v>
      </c>
      <c r="D1748" s="18">
        <v>45634.0</v>
      </c>
      <c r="E1748" s="17" t="s">
        <v>684</v>
      </c>
      <c r="F1748" s="20">
        <v>19.99</v>
      </c>
      <c r="G1748" s="17" t="s">
        <v>675</v>
      </c>
    </row>
    <row r="1749" ht="15.75" customHeight="1">
      <c r="A1749" s="15" t="s">
        <v>2420</v>
      </c>
      <c r="B1749" s="15" t="s">
        <v>428</v>
      </c>
      <c r="C1749" s="16">
        <v>45604.0</v>
      </c>
      <c r="D1749" s="16">
        <v>45611.0</v>
      </c>
      <c r="E1749" s="15" t="s">
        <v>674</v>
      </c>
      <c r="F1749" s="19">
        <v>0.0</v>
      </c>
      <c r="G1749" s="15" t="s">
        <v>675</v>
      </c>
    </row>
    <row r="1750" ht="15.75" customHeight="1">
      <c r="A1750" s="17" t="s">
        <v>2421</v>
      </c>
      <c r="B1750" s="17" t="s">
        <v>246</v>
      </c>
      <c r="C1750" s="18">
        <v>45605.0</v>
      </c>
      <c r="D1750" s="18">
        <v>45635.0</v>
      </c>
      <c r="E1750" s="17" t="s">
        <v>684</v>
      </c>
      <c r="F1750" s="20">
        <v>19.99</v>
      </c>
      <c r="G1750" s="17" t="s">
        <v>675</v>
      </c>
    </row>
    <row r="1751" ht="15.75" customHeight="1">
      <c r="A1751" s="15" t="s">
        <v>2422</v>
      </c>
      <c r="B1751" s="15" t="s">
        <v>429</v>
      </c>
      <c r="C1751" s="16">
        <v>45605.0</v>
      </c>
      <c r="D1751" s="16">
        <v>45612.0</v>
      </c>
      <c r="E1751" s="15" t="s">
        <v>674</v>
      </c>
      <c r="F1751" s="19">
        <v>0.0</v>
      </c>
      <c r="G1751" s="15" t="s">
        <v>675</v>
      </c>
    </row>
    <row r="1752" ht="15.75" customHeight="1">
      <c r="A1752" s="17" t="s">
        <v>2423</v>
      </c>
      <c r="B1752" s="17" t="s">
        <v>430</v>
      </c>
      <c r="C1752" s="18">
        <v>45605.0</v>
      </c>
      <c r="D1752" s="18">
        <v>45612.0</v>
      </c>
      <c r="E1752" s="17" t="s">
        <v>674</v>
      </c>
      <c r="F1752" s="20">
        <v>0.0</v>
      </c>
      <c r="G1752" s="17" t="s">
        <v>675</v>
      </c>
    </row>
    <row r="1753" ht="15.75" customHeight="1">
      <c r="A1753" s="15" t="s">
        <v>2424</v>
      </c>
      <c r="B1753" s="15" t="s">
        <v>367</v>
      </c>
      <c r="C1753" s="16">
        <v>45605.0</v>
      </c>
      <c r="D1753" s="16">
        <v>45635.0</v>
      </c>
      <c r="E1753" s="15" t="s">
        <v>684</v>
      </c>
      <c r="F1753" s="19">
        <v>19.99</v>
      </c>
      <c r="G1753" s="15" t="s">
        <v>675</v>
      </c>
    </row>
    <row r="1754" ht="15.75" customHeight="1">
      <c r="A1754" s="17" t="s">
        <v>2425</v>
      </c>
      <c r="B1754" s="17" t="s">
        <v>368</v>
      </c>
      <c r="C1754" s="18">
        <v>45605.0</v>
      </c>
      <c r="D1754" s="18">
        <v>45635.0</v>
      </c>
      <c r="E1754" s="17" t="s">
        <v>684</v>
      </c>
      <c r="F1754" s="20">
        <v>19.99</v>
      </c>
      <c r="G1754" s="17" t="s">
        <v>675</v>
      </c>
    </row>
    <row r="1755" ht="15.75" customHeight="1">
      <c r="A1755" s="15" t="s">
        <v>2426</v>
      </c>
      <c r="B1755" s="15" t="s">
        <v>331</v>
      </c>
      <c r="C1755" s="16">
        <v>45605.0</v>
      </c>
      <c r="D1755" s="16">
        <v>45635.0</v>
      </c>
      <c r="E1755" s="15" t="s">
        <v>684</v>
      </c>
      <c r="F1755" s="19">
        <v>19.99</v>
      </c>
      <c r="G1755" s="15" t="s">
        <v>675</v>
      </c>
    </row>
    <row r="1756" ht="15.75" customHeight="1">
      <c r="A1756" s="17" t="s">
        <v>2427</v>
      </c>
      <c r="B1756" s="17" t="s">
        <v>222</v>
      </c>
      <c r="C1756" s="18">
        <v>45605.0</v>
      </c>
      <c r="D1756" s="18">
        <v>45635.0</v>
      </c>
      <c r="E1756" s="17" t="s">
        <v>684</v>
      </c>
      <c r="F1756" s="20">
        <v>19.99</v>
      </c>
      <c r="G1756" s="17" t="s">
        <v>675</v>
      </c>
    </row>
    <row r="1757" ht="15.75" customHeight="1">
      <c r="A1757" s="15" t="s">
        <v>2428</v>
      </c>
      <c r="B1757" s="15" t="s">
        <v>332</v>
      </c>
      <c r="C1757" s="16">
        <v>45605.0</v>
      </c>
      <c r="D1757" s="16">
        <v>45635.0</v>
      </c>
      <c r="E1757" s="15" t="s">
        <v>684</v>
      </c>
      <c r="F1757" s="19">
        <v>19.99</v>
      </c>
      <c r="G1757" s="15" t="s">
        <v>675</v>
      </c>
    </row>
    <row r="1758" ht="15.75" customHeight="1">
      <c r="A1758" s="17" t="s">
        <v>2429</v>
      </c>
      <c r="B1758" s="17" t="s">
        <v>369</v>
      </c>
      <c r="C1758" s="18">
        <v>45605.0</v>
      </c>
      <c r="D1758" s="18">
        <v>45635.0</v>
      </c>
      <c r="E1758" s="17" t="s">
        <v>684</v>
      </c>
      <c r="F1758" s="20">
        <v>19.99</v>
      </c>
      <c r="G1758" s="17" t="s">
        <v>675</v>
      </c>
    </row>
    <row r="1759" ht="15.75" customHeight="1">
      <c r="A1759" s="15" t="s">
        <v>2430</v>
      </c>
      <c r="B1759" s="15" t="s">
        <v>152</v>
      </c>
      <c r="C1759" s="16">
        <v>45605.0</v>
      </c>
      <c r="D1759" s="16">
        <v>45635.0</v>
      </c>
      <c r="E1759" s="15" t="s">
        <v>684</v>
      </c>
      <c r="F1759" s="19">
        <v>19.99</v>
      </c>
      <c r="G1759" s="15" t="s">
        <v>675</v>
      </c>
    </row>
    <row r="1760" ht="15.75" customHeight="1">
      <c r="A1760" s="17" t="s">
        <v>2431</v>
      </c>
      <c r="B1760" s="17" t="s">
        <v>189</v>
      </c>
      <c r="C1760" s="18">
        <v>45605.0</v>
      </c>
      <c r="D1760" s="18">
        <v>45635.0</v>
      </c>
      <c r="E1760" s="17" t="s">
        <v>684</v>
      </c>
      <c r="F1760" s="20">
        <v>19.99</v>
      </c>
      <c r="G1760" s="17" t="s">
        <v>675</v>
      </c>
    </row>
    <row r="1761" ht="15.75" customHeight="1">
      <c r="A1761" s="15" t="s">
        <v>2432</v>
      </c>
      <c r="B1761" s="15" t="s">
        <v>91</v>
      </c>
      <c r="C1761" s="16">
        <v>45605.0</v>
      </c>
      <c r="D1761" s="16">
        <v>45635.0</v>
      </c>
      <c r="E1761" s="15" t="s">
        <v>684</v>
      </c>
      <c r="F1761" s="19">
        <v>19.99</v>
      </c>
      <c r="G1761" s="15" t="s">
        <v>675</v>
      </c>
    </row>
    <row r="1762" ht="15.75" customHeight="1">
      <c r="A1762" s="17" t="s">
        <v>2433</v>
      </c>
      <c r="B1762" s="17" t="s">
        <v>247</v>
      </c>
      <c r="C1762" s="18">
        <v>45606.0</v>
      </c>
      <c r="D1762" s="18">
        <v>45636.0</v>
      </c>
      <c r="E1762" s="17" t="s">
        <v>684</v>
      </c>
      <c r="F1762" s="20">
        <v>19.99</v>
      </c>
      <c r="G1762" s="17" t="s">
        <v>675</v>
      </c>
    </row>
    <row r="1763" ht="15.75" customHeight="1">
      <c r="A1763" s="15" t="s">
        <v>2434</v>
      </c>
      <c r="B1763" s="15" t="s">
        <v>92</v>
      </c>
      <c r="C1763" s="16">
        <v>45606.0</v>
      </c>
      <c r="D1763" s="16">
        <v>45636.0</v>
      </c>
      <c r="E1763" s="15" t="s">
        <v>684</v>
      </c>
      <c r="F1763" s="19">
        <v>19.99</v>
      </c>
      <c r="G1763" s="15" t="s">
        <v>675</v>
      </c>
    </row>
    <row r="1764" ht="15.75" customHeight="1">
      <c r="A1764" s="17" t="s">
        <v>2435</v>
      </c>
      <c r="B1764" s="17" t="s">
        <v>190</v>
      </c>
      <c r="C1764" s="18">
        <v>45606.0</v>
      </c>
      <c r="D1764" s="18">
        <v>45636.0</v>
      </c>
      <c r="E1764" s="17" t="s">
        <v>684</v>
      </c>
      <c r="F1764" s="20">
        <v>19.99</v>
      </c>
      <c r="G1764" s="17" t="s">
        <v>675</v>
      </c>
    </row>
    <row r="1765" ht="15.75" customHeight="1">
      <c r="A1765" s="15" t="s">
        <v>2436</v>
      </c>
      <c r="B1765" s="15" t="s">
        <v>290</v>
      </c>
      <c r="C1765" s="16">
        <v>45606.0</v>
      </c>
      <c r="D1765" s="16">
        <v>45636.0</v>
      </c>
      <c r="E1765" s="15" t="s">
        <v>684</v>
      </c>
      <c r="F1765" s="19">
        <v>19.99</v>
      </c>
      <c r="G1765" s="15" t="s">
        <v>675</v>
      </c>
    </row>
    <row r="1766" ht="15.75" customHeight="1">
      <c r="A1766" s="17" t="s">
        <v>2437</v>
      </c>
      <c r="B1766" s="17" t="s">
        <v>154</v>
      </c>
      <c r="C1766" s="18">
        <v>45606.0</v>
      </c>
      <c r="D1766" s="18">
        <v>45636.0</v>
      </c>
      <c r="E1766" s="17" t="s">
        <v>684</v>
      </c>
      <c r="F1766" s="20">
        <v>19.99</v>
      </c>
      <c r="G1766" s="17" t="s">
        <v>675</v>
      </c>
    </row>
    <row r="1767" ht="15.75" customHeight="1">
      <c r="A1767" s="15" t="s">
        <v>2438</v>
      </c>
      <c r="B1767" s="15" t="s">
        <v>370</v>
      </c>
      <c r="C1767" s="16">
        <v>45606.0</v>
      </c>
      <c r="D1767" s="16">
        <v>45636.0</v>
      </c>
      <c r="E1767" s="15" t="s">
        <v>684</v>
      </c>
      <c r="F1767" s="19">
        <v>19.99</v>
      </c>
      <c r="G1767" s="15" t="s">
        <v>675</v>
      </c>
    </row>
    <row r="1768" ht="15.75" customHeight="1">
      <c r="A1768" s="17" t="s">
        <v>2439</v>
      </c>
      <c r="B1768" s="17" t="s">
        <v>291</v>
      </c>
      <c r="C1768" s="18">
        <v>45606.0</v>
      </c>
      <c r="D1768" s="18">
        <v>45636.0</v>
      </c>
      <c r="E1768" s="17" t="s">
        <v>684</v>
      </c>
      <c r="F1768" s="20">
        <v>19.99</v>
      </c>
      <c r="G1768" s="17" t="s">
        <v>675</v>
      </c>
    </row>
    <row r="1769" ht="15.75" customHeight="1">
      <c r="A1769" s="15" t="s">
        <v>2440</v>
      </c>
      <c r="B1769" s="15" t="s">
        <v>419</v>
      </c>
      <c r="C1769" s="16">
        <v>45606.0</v>
      </c>
      <c r="D1769" s="16">
        <v>45636.0</v>
      </c>
      <c r="E1769" s="15" t="s">
        <v>684</v>
      </c>
      <c r="F1769" s="19">
        <v>19.99</v>
      </c>
      <c r="G1769" s="15" t="s">
        <v>675</v>
      </c>
    </row>
    <row r="1770" ht="15.75" customHeight="1">
      <c r="A1770" s="17" t="s">
        <v>2441</v>
      </c>
      <c r="B1770" s="17" t="s">
        <v>371</v>
      </c>
      <c r="C1770" s="18">
        <v>45606.0</v>
      </c>
      <c r="D1770" s="18">
        <v>45636.0</v>
      </c>
      <c r="E1770" s="17" t="s">
        <v>684</v>
      </c>
      <c r="F1770" s="20">
        <v>19.99</v>
      </c>
      <c r="G1770" s="17" t="s">
        <v>675</v>
      </c>
    </row>
    <row r="1771" ht="15.75" customHeight="1">
      <c r="A1771" s="15" t="s">
        <v>2442</v>
      </c>
      <c r="B1771" s="15" t="s">
        <v>372</v>
      </c>
      <c r="C1771" s="16">
        <v>45607.0</v>
      </c>
      <c r="D1771" s="16">
        <v>45637.0</v>
      </c>
      <c r="E1771" s="15" t="s">
        <v>684</v>
      </c>
      <c r="F1771" s="19">
        <v>19.99</v>
      </c>
      <c r="G1771" s="15" t="s">
        <v>675</v>
      </c>
    </row>
    <row r="1772" ht="15.75" customHeight="1">
      <c r="A1772" s="17" t="s">
        <v>2443</v>
      </c>
      <c r="B1772" s="17" t="s">
        <v>292</v>
      </c>
      <c r="C1772" s="18">
        <v>45607.0</v>
      </c>
      <c r="D1772" s="18">
        <v>45637.0</v>
      </c>
      <c r="E1772" s="17" t="s">
        <v>684</v>
      </c>
      <c r="F1772" s="20">
        <v>19.99</v>
      </c>
      <c r="G1772" s="17" t="s">
        <v>675</v>
      </c>
    </row>
    <row r="1773" ht="15.75" customHeight="1">
      <c r="A1773" s="15" t="s">
        <v>2444</v>
      </c>
      <c r="B1773" s="15" t="s">
        <v>123</v>
      </c>
      <c r="C1773" s="16">
        <v>45607.0</v>
      </c>
      <c r="D1773" s="16">
        <v>45637.0</v>
      </c>
      <c r="E1773" s="15" t="s">
        <v>684</v>
      </c>
      <c r="F1773" s="19">
        <v>19.99</v>
      </c>
      <c r="G1773" s="15" t="s">
        <v>675</v>
      </c>
    </row>
    <row r="1774" ht="15.75" customHeight="1">
      <c r="A1774" s="17" t="s">
        <v>2445</v>
      </c>
      <c r="B1774" s="17" t="s">
        <v>420</v>
      </c>
      <c r="C1774" s="18">
        <v>45607.0</v>
      </c>
      <c r="D1774" s="18">
        <v>45637.0</v>
      </c>
      <c r="E1774" s="17" t="s">
        <v>684</v>
      </c>
      <c r="F1774" s="20">
        <v>19.99</v>
      </c>
      <c r="G1774" s="17" t="s">
        <v>675</v>
      </c>
    </row>
    <row r="1775" ht="15.75" customHeight="1">
      <c r="A1775" s="15" t="s">
        <v>2446</v>
      </c>
      <c r="B1775" s="15" t="s">
        <v>333</v>
      </c>
      <c r="C1775" s="16">
        <v>45607.0</v>
      </c>
      <c r="D1775" s="16">
        <v>45637.0</v>
      </c>
      <c r="E1775" s="15" t="s">
        <v>684</v>
      </c>
      <c r="F1775" s="19">
        <v>19.99</v>
      </c>
      <c r="G1775" s="15" t="s">
        <v>675</v>
      </c>
    </row>
    <row r="1776" ht="15.75" customHeight="1">
      <c r="A1776" s="17" t="s">
        <v>2447</v>
      </c>
      <c r="B1776" s="17" t="s">
        <v>334</v>
      </c>
      <c r="C1776" s="18">
        <v>45607.0</v>
      </c>
      <c r="D1776" s="18">
        <v>45637.0</v>
      </c>
      <c r="E1776" s="17" t="s">
        <v>684</v>
      </c>
      <c r="F1776" s="20">
        <v>19.99</v>
      </c>
      <c r="G1776" s="17" t="s">
        <v>675</v>
      </c>
    </row>
    <row r="1777" ht="15.75" customHeight="1">
      <c r="A1777" s="15" t="s">
        <v>2448</v>
      </c>
      <c r="B1777" s="15" t="s">
        <v>191</v>
      </c>
      <c r="C1777" s="16">
        <v>45607.0</v>
      </c>
      <c r="D1777" s="16">
        <v>45637.0</v>
      </c>
      <c r="E1777" s="15" t="s">
        <v>684</v>
      </c>
      <c r="F1777" s="19">
        <v>19.99</v>
      </c>
      <c r="G1777" s="15" t="s">
        <v>675</v>
      </c>
    </row>
    <row r="1778" ht="15.75" customHeight="1">
      <c r="A1778" s="17" t="s">
        <v>2449</v>
      </c>
      <c r="B1778" s="17" t="s">
        <v>373</v>
      </c>
      <c r="C1778" s="18">
        <v>45607.0</v>
      </c>
      <c r="D1778" s="18">
        <v>45637.0</v>
      </c>
      <c r="E1778" s="17" t="s">
        <v>684</v>
      </c>
      <c r="F1778" s="20">
        <v>19.99</v>
      </c>
      <c r="G1778" s="17" t="s">
        <v>675</v>
      </c>
    </row>
    <row r="1779" ht="15.75" customHeight="1">
      <c r="A1779" s="15" t="s">
        <v>2450</v>
      </c>
      <c r="B1779" s="15" t="s">
        <v>421</v>
      </c>
      <c r="C1779" s="16">
        <v>45607.0</v>
      </c>
      <c r="D1779" s="16">
        <v>45637.0</v>
      </c>
      <c r="E1779" s="15" t="s">
        <v>684</v>
      </c>
      <c r="F1779" s="19">
        <v>19.99</v>
      </c>
      <c r="G1779" s="15" t="s">
        <v>675</v>
      </c>
    </row>
    <row r="1780" ht="15.75" customHeight="1">
      <c r="A1780" s="17" t="s">
        <v>2451</v>
      </c>
      <c r="B1780" s="17" t="s">
        <v>73</v>
      </c>
      <c r="C1780" s="18">
        <v>45607.0</v>
      </c>
      <c r="D1780" s="18">
        <v>45637.0</v>
      </c>
      <c r="E1780" s="17" t="s">
        <v>684</v>
      </c>
      <c r="F1780" s="20">
        <v>19.99</v>
      </c>
      <c r="G1780" s="17" t="s">
        <v>675</v>
      </c>
    </row>
    <row r="1781" ht="15.75" customHeight="1">
      <c r="A1781" s="15" t="s">
        <v>2452</v>
      </c>
      <c r="B1781" s="15" t="s">
        <v>374</v>
      </c>
      <c r="C1781" s="16">
        <v>45607.0</v>
      </c>
      <c r="D1781" s="16">
        <v>45637.0</v>
      </c>
      <c r="E1781" s="15" t="s">
        <v>684</v>
      </c>
      <c r="F1781" s="19">
        <v>19.99</v>
      </c>
      <c r="G1781" s="15" t="s">
        <v>675</v>
      </c>
    </row>
    <row r="1782" ht="15.75" customHeight="1">
      <c r="A1782" s="17" t="s">
        <v>2453</v>
      </c>
      <c r="B1782" s="17" t="s">
        <v>74</v>
      </c>
      <c r="C1782" s="18">
        <v>45607.0</v>
      </c>
      <c r="D1782" s="18">
        <v>45637.0</v>
      </c>
      <c r="E1782" s="17" t="s">
        <v>684</v>
      </c>
      <c r="F1782" s="20">
        <v>19.99</v>
      </c>
      <c r="G1782" s="17" t="s">
        <v>675</v>
      </c>
    </row>
    <row r="1783" ht="15.75" customHeight="1">
      <c r="A1783" s="15" t="s">
        <v>2454</v>
      </c>
      <c r="B1783" s="15" t="s">
        <v>422</v>
      </c>
      <c r="C1783" s="16">
        <v>45608.0</v>
      </c>
      <c r="D1783" s="16">
        <v>45638.0</v>
      </c>
      <c r="E1783" s="15" t="s">
        <v>684</v>
      </c>
      <c r="F1783" s="19">
        <v>19.99</v>
      </c>
      <c r="G1783" s="15" t="s">
        <v>675</v>
      </c>
    </row>
    <row r="1784" ht="15.75" customHeight="1">
      <c r="A1784" s="17" t="s">
        <v>2455</v>
      </c>
      <c r="B1784" s="17" t="s">
        <v>375</v>
      </c>
      <c r="C1784" s="18">
        <v>45608.0</v>
      </c>
      <c r="D1784" s="18">
        <v>45638.0</v>
      </c>
      <c r="E1784" s="17" t="s">
        <v>684</v>
      </c>
      <c r="F1784" s="20">
        <v>19.99</v>
      </c>
      <c r="G1784" s="17" t="s">
        <v>675</v>
      </c>
    </row>
    <row r="1785" ht="15.75" customHeight="1">
      <c r="A1785" s="15" t="s">
        <v>2456</v>
      </c>
      <c r="B1785" s="15" t="s">
        <v>423</v>
      </c>
      <c r="C1785" s="16">
        <v>45608.0</v>
      </c>
      <c r="D1785" s="16">
        <v>45638.0</v>
      </c>
      <c r="E1785" s="15" t="s">
        <v>684</v>
      </c>
      <c r="F1785" s="19">
        <v>19.99</v>
      </c>
      <c r="G1785" s="15" t="s">
        <v>675</v>
      </c>
    </row>
    <row r="1786" ht="15.75" customHeight="1">
      <c r="A1786" s="17" t="s">
        <v>2457</v>
      </c>
      <c r="B1786" s="17" t="s">
        <v>431</v>
      </c>
      <c r="C1786" s="18">
        <v>45608.0</v>
      </c>
      <c r="D1786" s="18">
        <v>45615.0</v>
      </c>
      <c r="E1786" s="17" t="s">
        <v>674</v>
      </c>
      <c r="F1786" s="20">
        <v>0.0</v>
      </c>
      <c r="G1786" s="17" t="s">
        <v>675</v>
      </c>
    </row>
    <row r="1787" ht="15.75" customHeight="1">
      <c r="A1787" s="15" t="s">
        <v>2458</v>
      </c>
      <c r="B1787" s="15" t="s">
        <v>424</v>
      </c>
      <c r="C1787" s="16">
        <v>45608.0</v>
      </c>
      <c r="D1787" s="16">
        <v>45638.0</v>
      </c>
      <c r="E1787" s="15" t="s">
        <v>684</v>
      </c>
      <c r="F1787" s="19">
        <v>19.99</v>
      </c>
      <c r="G1787" s="15" t="s">
        <v>675</v>
      </c>
    </row>
    <row r="1788" ht="15.75" customHeight="1">
      <c r="A1788" s="17" t="s">
        <v>2459</v>
      </c>
      <c r="B1788" s="17" t="s">
        <v>335</v>
      </c>
      <c r="C1788" s="18">
        <v>45608.0</v>
      </c>
      <c r="D1788" s="18">
        <v>45638.0</v>
      </c>
      <c r="E1788" s="17" t="s">
        <v>684</v>
      </c>
      <c r="F1788" s="20">
        <v>19.99</v>
      </c>
      <c r="G1788" s="17" t="s">
        <v>675</v>
      </c>
    </row>
    <row r="1789" ht="15.75" customHeight="1">
      <c r="A1789" s="15" t="s">
        <v>2460</v>
      </c>
      <c r="B1789" s="15" t="s">
        <v>156</v>
      </c>
      <c r="C1789" s="16">
        <v>45608.0</v>
      </c>
      <c r="D1789" s="16">
        <v>45638.0</v>
      </c>
      <c r="E1789" s="15" t="s">
        <v>684</v>
      </c>
      <c r="F1789" s="19">
        <v>19.99</v>
      </c>
      <c r="G1789" s="15" t="s">
        <v>675</v>
      </c>
    </row>
    <row r="1790" ht="15.75" customHeight="1">
      <c r="A1790" s="17" t="s">
        <v>2461</v>
      </c>
      <c r="B1790" s="17" t="s">
        <v>432</v>
      </c>
      <c r="C1790" s="18">
        <v>45608.0</v>
      </c>
      <c r="D1790" s="18">
        <v>45615.0</v>
      </c>
      <c r="E1790" s="17" t="s">
        <v>674</v>
      </c>
      <c r="F1790" s="20">
        <v>0.0</v>
      </c>
      <c r="G1790" s="17" t="s">
        <v>675</v>
      </c>
    </row>
    <row r="1791" ht="15.75" customHeight="1">
      <c r="A1791" s="15" t="s">
        <v>2462</v>
      </c>
      <c r="B1791" s="15" t="s">
        <v>433</v>
      </c>
      <c r="C1791" s="16">
        <v>45608.0</v>
      </c>
      <c r="D1791" s="16">
        <v>45615.0</v>
      </c>
      <c r="E1791" s="15" t="s">
        <v>674</v>
      </c>
      <c r="F1791" s="19">
        <v>0.0</v>
      </c>
      <c r="G1791" s="15" t="s">
        <v>675</v>
      </c>
    </row>
    <row r="1792" ht="15.75" customHeight="1">
      <c r="A1792" s="17" t="s">
        <v>2463</v>
      </c>
      <c r="B1792" s="17" t="s">
        <v>192</v>
      </c>
      <c r="C1792" s="18">
        <v>45609.0</v>
      </c>
      <c r="D1792" s="18">
        <v>45639.0</v>
      </c>
      <c r="E1792" s="17" t="s">
        <v>684</v>
      </c>
      <c r="F1792" s="20">
        <v>19.99</v>
      </c>
      <c r="G1792" s="17" t="s">
        <v>675</v>
      </c>
    </row>
    <row r="1793" ht="15.75" customHeight="1">
      <c r="A1793" s="15" t="s">
        <v>2464</v>
      </c>
      <c r="B1793" s="15" t="s">
        <v>249</v>
      </c>
      <c r="C1793" s="16">
        <v>45609.0</v>
      </c>
      <c r="D1793" s="16">
        <v>45639.0</v>
      </c>
      <c r="E1793" s="15" t="s">
        <v>684</v>
      </c>
      <c r="F1793" s="19">
        <v>19.99</v>
      </c>
      <c r="G1793" s="15" t="s">
        <v>675</v>
      </c>
    </row>
    <row r="1794" ht="15.75" customHeight="1">
      <c r="A1794" s="17" t="s">
        <v>2465</v>
      </c>
      <c r="B1794" s="17" t="s">
        <v>250</v>
      </c>
      <c r="C1794" s="18">
        <v>45609.0</v>
      </c>
      <c r="D1794" s="18">
        <v>45639.0</v>
      </c>
      <c r="E1794" s="17" t="s">
        <v>684</v>
      </c>
      <c r="F1794" s="20">
        <v>19.99</v>
      </c>
      <c r="G1794" s="17" t="s">
        <v>675</v>
      </c>
    </row>
    <row r="1795" ht="15.75" customHeight="1">
      <c r="A1795" s="15" t="s">
        <v>2466</v>
      </c>
      <c r="B1795" s="15" t="s">
        <v>124</v>
      </c>
      <c r="C1795" s="16">
        <v>45609.0</v>
      </c>
      <c r="D1795" s="16">
        <v>45639.0</v>
      </c>
      <c r="E1795" s="15" t="s">
        <v>684</v>
      </c>
      <c r="F1795" s="19">
        <v>19.99</v>
      </c>
      <c r="G1795" s="15" t="s">
        <v>675</v>
      </c>
    </row>
    <row r="1796" ht="15.75" customHeight="1">
      <c r="A1796" s="17" t="s">
        <v>2467</v>
      </c>
      <c r="B1796" s="17" t="s">
        <v>296</v>
      </c>
      <c r="C1796" s="18">
        <v>45609.0</v>
      </c>
      <c r="D1796" s="18">
        <v>45639.0</v>
      </c>
      <c r="E1796" s="17" t="s">
        <v>684</v>
      </c>
      <c r="F1796" s="20">
        <v>19.99</v>
      </c>
      <c r="G1796" s="17" t="s">
        <v>675</v>
      </c>
    </row>
    <row r="1797" ht="15.75" customHeight="1">
      <c r="A1797" s="15" t="s">
        <v>2468</v>
      </c>
      <c r="B1797" s="15" t="s">
        <v>434</v>
      </c>
      <c r="C1797" s="16">
        <v>45609.0</v>
      </c>
      <c r="D1797" s="16">
        <v>45616.0</v>
      </c>
      <c r="E1797" s="15" t="s">
        <v>674</v>
      </c>
      <c r="F1797" s="19">
        <v>0.0</v>
      </c>
      <c r="G1797" s="15" t="s">
        <v>675</v>
      </c>
    </row>
    <row r="1798" ht="15.75" customHeight="1">
      <c r="A1798" s="17" t="s">
        <v>2469</v>
      </c>
      <c r="B1798" s="17" t="s">
        <v>336</v>
      </c>
      <c r="C1798" s="18">
        <v>45609.0</v>
      </c>
      <c r="D1798" s="18">
        <v>45639.0</v>
      </c>
      <c r="E1798" s="17" t="s">
        <v>684</v>
      </c>
      <c r="F1798" s="20">
        <v>19.99</v>
      </c>
      <c r="G1798" s="17" t="s">
        <v>675</v>
      </c>
    </row>
    <row r="1799" ht="15.75" customHeight="1">
      <c r="A1799" s="15" t="s">
        <v>2470</v>
      </c>
      <c r="B1799" s="15" t="s">
        <v>157</v>
      </c>
      <c r="C1799" s="16">
        <v>45609.0</v>
      </c>
      <c r="D1799" s="16">
        <v>45639.0</v>
      </c>
      <c r="E1799" s="15" t="s">
        <v>684</v>
      </c>
      <c r="F1799" s="19">
        <v>19.99</v>
      </c>
      <c r="G1799" s="15" t="s">
        <v>675</v>
      </c>
    </row>
    <row r="1800" ht="15.75" customHeight="1">
      <c r="A1800" s="17" t="s">
        <v>2471</v>
      </c>
      <c r="B1800" s="17" t="s">
        <v>376</v>
      </c>
      <c r="C1800" s="18">
        <v>45609.0</v>
      </c>
      <c r="D1800" s="18">
        <v>45639.0</v>
      </c>
      <c r="E1800" s="17" t="s">
        <v>684</v>
      </c>
      <c r="F1800" s="20">
        <v>19.99</v>
      </c>
      <c r="G1800" s="17" t="s">
        <v>675</v>
      </c>
    </row>
    <row r="1801" ht="15.75" customHeight="1">
      <c r="A1801" s="15" t="s">
        <v>2472</v>
      </c>
      <c r="B1801" s="15" t="s">
        <v>435</v>
      </c>
      <c r="C1801" s="16">
        <v>45610.0</v>
      </c>
      <c r="D1801" s="16">
        <v>45617.0</v>
      </c>
      <c r="E1801" s="15" t="s">
        <v>674</v>
      </c>
      <c r="F1801" s="19">
        <v>0.0</v>
      </c>
      <c r="G1801" s="15" t="s">
        <v>675</v>
      </c>
    </row>
    <row r="1802" ht="15.75" customHeight="1">
      <c r="A1802" s="17" t="s">
        <v>2473</v>
      </c>
      <c r="B1802" s="17" t="s">
        <v>96</v>
      </c>
      <c r="C1802" s="18">
        <v>45610.0</v>
      </c>
      <c r="D1802" s="18">
        <v>45640.0</v>
      </c>
      <c r="E1802" s="17" t="s">
        <v>684</v>
      </c>
      <c r="F1802" s="20">
        <v>19.99</v>
      </c>
      <c r="G1802" s="17" t="s">
        <v>675</v>
      </c>
    </row>
    <row r="1803" ht="15.75" customHeight="1">
      <c r="A1803" s="15" t="s">
        <v>2474</v>
      </c>
      <c r="B1803" s="15" t="s">
        <v>125</v>
      </c>
      <c r="C1803" s="16">
        <v>45610.0</v>
      </c>
      <c r="D1803" s="16">
        <v>45640.0</v>
      </c>
      <c r="E1803" s="15" t="s">
        <v>684</v>
      </c>
      <c r="F1803" s="19">
        <v>19.99</v>
      </c>
      <c r="G1803" s="15" t="s">
        <v>675</v>
      </c>
    </row>
    <row r="1804" ht="15.75" customHeight="1">
      <c r="A1804" s="17" t="s">
        <v>2475</v>
      </c>
      <c r="B1804" s="17" t="s">
        <v>297</v>
      </c>
      <c r="C1804" s="18">
        <v>45610.0</v>
      </c>
      <c r="D1804" s="18">
        <v>45640.0</v>
      </c>
      <c r="E1804" s="17" t="s">
        <v>684</v>
      </c>
      <c r="F1804" s="20">
        <v>19.99</v>
      </c>
      <c r="G1804" s="17" t="s">
        <v>675</v>
      </c>
    </row>
    <row r="1805" ht="15.75" customHeight="1">
      <c r="A1805" s="15" t="s">
        <v>2476</v>
      </c>
      <c r="B1805" s="15" t="s">
        <v>436</v>
      </c>
      <c r="C1805" s="16">
        <v>45610.0</v>
      </c>
      <c r="D1805" s="16">
        <v>45617.0</v>
      </c>
      <c r="E1805" s="15" t="s">
        <v>674</v>
      </c>
      <c r="F1805" s="19">
        <v>0.0</v>
      </c>
      <c r="G1805" s="15" t="s">
        <v>675</v>
      </c>
    </row>
    <row r="1806" ht="15.75" customHeight="1">
      <c r="A1806" s="17" t="s">
        <v>2477</v>
      </c>
      <c r="B1806" s="17" t="s">
        <v>253</v>
      </c>
      <c r="C1806" s="18">
        <v>45610.0</v>
      </c>
      <c r="D1806" s="18">
        <v>45640.0</v>
      </c>
      <c r="E1806" s="17" t="s">
        <v>684</v>
      </c>
      <c r="F1806" s="20">
        <v>19.99</v>
      </c>
      <c r="G1806" s="17" t="s">
        <v>675</v>
      </c>
    </row>
    <row r="1807" ht="15.75" customHeight="1">
      <c r="A1807" s="15" t="s">
        <v>2478</v>
      </c>
      <c r="B1807" s="15" t="s">
        <v>425</v>
      </c>
      <c r="C1807" s="16">
        <v>45610.0</v>
      </c>
      <c r="D1807" s="16">
        <v>45640.0</v>
      </c>
      <c r="E1807" s="15" t="s">
        <v>684</v>
      </c>
      <c r="F1807" s="19">
        <v>19.99</v>
      </c>
      <c r="G1807" s="15" t="s">
        <v>675</v>
      </c>
    </row>
    <row r="1808" ht="15.75" customHeight="1">
      <c r="A1808" s="17" t="s">
        <v>2479</v>
      </c>
      <c r="B1808" s="17" t="s">
        <v>426</v>
      </c>
      <c r="C1808" s="18">
        <v>45610.0</v>
      </c>
      <c r="D1808" s="18">
        <v>45640.0</v>
      </c>
      <c r="E1808" s="17" t="s">
        <v>684</v>
      </c>
      <c r="F1808" s="20">
        <v>19.99</v>
      </c>
      <c r="G1808" s="17" t="s">
        <v>675</v>
      </c>
    </row>
    <row r="1809" ht="15.75" customHeight="1">
      <c r="A1809" s="15" t="s">
        <v>2480</v>
      </c>
      <c r="B1809" s="15" t="s">
        <v>437</v>
      </c>
      <c r="C1809" s="16">
        <v>45611.0</v>
      </c>
      <c r="D1809" s="16">
        <v>45618.0</v>
      </c>
      <c r="E1809" s="15" t="s">
        <v>674</v>
      </c>
      <c r="F1809" s="19">
        <v>0.0</v>
      </c>
      <c r="G1809" s="15" t="s">
        <v>675</v>
      </c>
    </row>
    <row r="1810" ht="15.75" customHeight="1">
      <c r="A1810" s="17" t="s">
        <v>2481</v>
      </c>
      <c r="B1810" s="17" t="s">
        <v>298</v>
      </c>
      <c r="C1810" s="18">
        <v>45611.0</v>
      </c>
      <c r="D1810" s="18">
        <v>45641.0</v>
      </c>
      <c r="E1810" s="17" t="s">
        <v>684</v>
      </c>
      <c r="F1810" s="20">
        <v>19.99</v>
      </c>
      <c r="G1810" s="17" t="s">
        <v>675</v>
      </c>
    </row>
    <row r="1811" ht="15.75" customHeight="1">
      <c r="A1811" s="15" t="s">
        <v>2482</v>
      </c>
      <c r="B1811" s="15" t="s">
        <v>254</v>
      </c>
      <c r="C1811" s="16">
        <v>45611.0</v>
      </c>
      <c r="D1811" s="16">
        <v>45641.0</v>
      </c>
      <c r="E1811" s="15" t="s">
        <v>684</v>
      </c>
      <c r="F1811" s="19">
        <v>19.99</v>
      </c>
      <c r="G1811" s="15" t="s">
        <v>675</v>
      </c>
    </row>
    <row r="1812" ht="15.75" customHeight="1">
      <c r="A1812" s="17" t="s">
        <v>2483</v>
      </c>
      <c r="B1812" s="17" t="s">
        <v>299</v>
      </c>
      <c r="C1812" s="18">
        <v>45611.0</v>
      </c>
      <c r="D1812" s="18">
        <v>45641.0</v>
      </c>
      <c r="E1812" s="17" t="s">
        <v>684</v>
      </c>
      <c r="F1812" s="20">
        <v>19.99</v>
      </c>
      <c r="G1812" s="17" t="s">
        <v>675</v>
      </c>
    </row>
    <row r="1813" ht="15.75" customHeight="1">
      <c r="A1813" s="15" t="s">
        <v>2484</v>
      </c>
      <c r="B1813" s="15" t="s">
        <v>75</v>
      </c>
      <c r="C1813" s="16">
        <v>45611.0</v>
      </c>
      <c r="D1813" s="16">
        <v>45641.0</v>
      </c>
      <c r="E1813" s="15" t="s">
        <v>684</v>
      </c>
      <c r="F1813" s="19">
        <v>19.99</v>
      </c>
      <c r="G1813" s="15" t="s">
        <v>675</v>
      </c>
    </row>
    <row r="1814" ht="15.75" customHeight="1">
      <c r="A1814" s="17" t="s">
        <v>2485</v>
      </c>
      <c r="B1814" s="17" t="s">
        <v>255</v>
      </c>
      <c r="C1814" s="18">
        <v>45611.0</v>
      </c>
      <c r="D1814" s="18">
        <v>45641.0</v>
      </c>
      <c r="E1814" s="17" t="s">
        <v>684</v>
      </c>
      <c r="F1814" s="20">
        <v>19.99</v>
      </c>
      <c r="G1814" s="17" t="s">
        <v>675</v>
      </c>
    </row>
    <row r="1815" ht="15.75" customHeight="1">
      <c r="A1815" s="15" t="s">
        <v>2486</v>
      </c>
      <c r="B1815" s="15" t="s">
        <v>427</v>
      </c>
      <c r="C1815" s="16">
        <v>45611.0</v>
      </c>
      <c r="D1815" s="16">
        <v>45641.0</v>
      </c>
      <c r="E1815" s="15" t="s">
        <v>684</v>
      </c>
      <c r="F1815" s="19">
        <v>19.99</v>
      </c>
      <c r="G1815" s="15" t="s">
        <v>675</v>
      </c>
    </row>
    <row r="1816" ht="15.75" customHeight="1">
      <c r="A1816" s="17" t="s">
        <v>2487</v>
      </c>
      <c r="B1816" s="17" t="s">
        <v>127</v>
      </c>
      <c r="C1816" s="18">
        <v>45611.0</v>
      </c>
      <c r="D1816" s="18">
        <v>45641.0</v>
      </c>
      <c r="E1816" s="17" t="s">
        <v>684</v>
      </c>
      <c r="F1816" s="20">
        <v>19.99</v>
      </c>
      <c r="G1816" s="17" t="s">
        <v>675</v>
      </c>
    </row>
    <row r="1817" ht="15.75" customHeight="1">
      <c r="A1817" s="15" t="s">
        <v>2488</v>
      </c>
      <c r="B1817" s="15" t="s">
        <v>438</v>
      </c>
      <c r="C1817" s="16">
        <v>45611.0</v>
      </c>
      <c r="D1817" s="16">
        <v>45618.0</v>
      </c>
      <c r="E1817" s="15" t="s">
        <v>674</v>
      </c>
      <c r="F1817" s="19">
        <v>0.0</v>
      </c>
      <c r="G1817" s="15" t="s">
        <v>675</v>
      </c>
    </row>
    <row r="1818" ht="15.75" customHeight="1">
      <c r="A1818" s="17" t="s">
        <v>2489</v>
      </c>
      <c r="B1818" s="17" t="s">
        <v>378</v>
      </c>
      <c r="C1818" s="18">
        <v>45611.0</v>
      </c>
      <c r="D1818" s="18">
        <v>45641.0</v>
      </c>
      <c r="E1818" s="17" t="s">
        <v>684</v>
      </c>
      <c r="F1818" s="20">
        <v>19.99</v>
      </c>
      <c r="G1818" s="17" t="s">
        <v>675</v>
      </c>
    </row>
    <row r="1819" ht="15.75" customHeight="1">
      <c r="A1819" s="15" t="s">
        <v>2490</v>
      </c>
      <c r="B1819" s="15" t="s">
        <v>439</v>
      </c>
      <c r="C1819" s="16">
        <v>45611.0</v>
      </c>
      <c r="D1819" s="16">
        <v>45618.0</v>
      </c>
      <c r="E1819" s="15" t="s">
        <v>674</v>
      </c>
      <c r="F1819" s="19">
        <v>0.0</v>
      </c>
      <c r="G1819" s="15" t="s">
        <v>675</v>
      </c>
    </row>
    <row r="1820" ht="15.75" customHeight="1">
      <c r="A1820" s="17" t="s">
        <v>2491</v>
      </c>
      <c r="B1820" s="17" t="s">
        <v>428</v>
      </c>
      <c r="C1820" s="18">
        <v>45611.0</v>
      </c>
      <c r="D1820" s="18">
        <v>45641.0</v>
      </c>
      <c r="E1820" s="17" t="s">
        <v>684</v>
      </c>
      <c r="F1820" s="20">
        <v>19.99</v>
      </c>
      <c r="G1820" s="17" t="s">
        <v>675</v>
      </c>
    </row>
    <row r="1821" ht="15.75" customHeight="1">
      <c r="A1821" s="15" t="s">
        <v>2492</v>
      </c>
      <c r="B1821" s="15" t="s">
        <v>337</v>
      </c>
      <c r="C1821" s="16">
        <v>45611.0</v>
      </c>
      <c r="D1821" s="16">
        <v>45641.0</v>
      </c>
      <c r="E1821" s="15" t="s">
        <v>684</v>
      </c>
      <c r="F1821" s="19">
        <v>19.99</v>
      </c>
      <c r="G1821" s="15" t="s">
        <v>675</v>
      </c>
    </row>
    <row r="1822" ht="15.75" customHeight="1">
      <c r="A1822" s="17" t="s">
        <v>2493</v>
      </c>
      <c r="B1822" s="17" t="s">
        <v>194</v>
      </c>
      <c r="C1822" s="18">
        <v>45612.0</v>
      </c>
      <c r="D1822" s="18">
        <v>45642.0</v>
      </c>
      <c r="E1822" s="17" t="s">
        <v>684</v>
      </c>
      <c r="F1822" s="20">
        <v>19.99</v>
      </c>
      <c r="G1822" s="17" t="s">
        <v>675</v>
      </c>
    </row>
    <row r="1823" ht="15.75" customHeight="1">
      <c r="A1823" s="15" t="s">
        <v>2494</v>
      </c>
      <c r="B1823" s="15" t="s">
        <v>338</v>
      </c>
      <c r="C1823" s="16">
        <v>45612.0</v>
      </c>
      <c r="D1823" s="16">
        <v>45642.0</v>
      </c>
      <c r="E1823" s="15" t="s">
        <v>684</v>
      </c>
      <c r="F1823" s="19">
        <v>19.99</v>
      </c>
      <c r="G1823" s="15" t="s">
        <v>675</v>
      </c>
    </row>
    <row r="1824" ht="15.75" customHeight="1">
      <c r="A1824" s="17" t="s">
        <v>2495</v>
      </c>
      <c r="B1824" s="17" t="s">
        <v>429</v>
      </c>
      <c r="C1824" s="18">
        <v>45612.0</v>
      </c>
      <c r="D1824" s="18">
        <v>45642.0</v>
      </c>
      <c r="E1824" s="17" t="s">
        <v>684</v>
      </c>
      <c r="F1824" s="20">
        <v>19.99</v>
      </c>
      <c r="G1824" s="17" t="s">
        <v>675</v>
      </c>
    </row>
    <row r="1825" ht="15.75" customHeight="1">
      <c r="A1825" s="15" t="s">
        <v>2496</v>
      </c>
      <c r="B1825" s="15" t="s">
        <v>301</v>
      </c>
      <c r="C1825" s="16">
        <v>45612.0</v>
      </c>
      <c r="D1825" s="16">
        <v>45642.0</v>
      </c>
      <c r="E1825" s="15" t="s">
        <v>684</v>
      </c>
      <c r="F1825" s="19">
        <v>19.99</v>
      </c>
      <c r="G1825" s="15" t="s">
        <v>675</v>
      </c>
    </row>
    <row r="1826" ht="15.75" customHeight="1">
      <c r="A1826" s="17" t="s">
        <v>2497</v>
      </c>
      <c r="B1826" s="17" t="s">
        <v>430</v>
      </c>
      <c r="C1826" s="18">
        <v>45612.0</v>
      </c>
      <c r="D1826" s="18">
        <v>45642.0</v>
      </c>
      <c r="E1826" s="17" t="s">
        <v>684</v>
      </c>
      <c r="F1826" s="20">
        <v>19.99</v>
      </c>
      <c r="G1826" s="17" t="s">
        <v>675</v>
      </c>
    </row>
    <row r="1827" ht="15.75" customHeight="1">
      <c r="A1827" s="15" t="s">
        <v>2498</v>
      </c>
      <c r="B1827" s="15" t="s">
        <v>302</v>
      </c>
      <c r="C1827" s="16">
        <v>45612.0</v>
      </c>
      <c r="D1827" s="16">
        <v>45642.0</v>
      </c>
      <c r="E1827" s="15" t="s">
        <v>684</v>
      </c>
      <c r="F1827" s="19">
        <v>19.99</v>
      </c>
      <c r="G1827" s="15" t="s">
        <v>675</v>
      </c>
    </row>
    <row r="1828" ht="15.75" customHeight="1">
      <c r="A1828" s="17" t="s">
        <v>2499</v>
      </c>
      <c r="B1828" s="17" t="s">
        <v>76</v>
      </c>
      <c r="C1828" s="18">
        <v>45612.0</v>
      </c>
      <c r="D1828" s="18">
        <v>45642.0</v>
      </c>
      <c r="E1828" s="17" t="s">
        <v>684</v>
      </c>
      <c r="F1828" s="20">
        <v>19.99</v>
      </c>
      <c r="G1828" s="17" t="s">
        <v>675</v>
      </c>
    </row>
    <row r="1829" ht="15.75" customHeight="1">
      <c r="A1829" s="15" t="s">
        <v>2500</v>
      </c>
      <c r="B1829" s="15" t="s">
        <v>379</v>
      </c>
      <c r="C1829" s="16">
        <v>45612.0</v>
      </c>
      <c r="D1829" s="16">
        <v>45642.0</v>
      </c>
      <c r="E1829" s="15" t="s">
        <v>684</v>
      </c>
      <c r="F1829" s="19">
        <v>19.99</v>
      </c>
      <c r="G1829" s="15" t="s">
        <v>675</v>
      </c>
    </row>
    <row r="1830" ht="15.75" customHeight="1">
      <c r="A1830" s="17" t="s">
        <v>2501</v>
      </c>
      <c r="B1830" s="17" t="s">
        <v>303</v>
      </c>
      <c r="C1830" s="18">
        <v>45612.0</v>
      </c>
      <c r="D1830" s="18">
        <v>45642.0</v>
      </c>
      <c r="E1830" s="17" t="s">
        <v>684</v>
      </c>
      <c r="F1830" s="20">
        <v>19.99</v>
      </c>
      <c r="G1830" s="17" t="s">
        <v>675</v>
      </c>
    </row>
    <row r="1831" ht="15.75" customHeight="1">
      <c r="A1831" s="15" t="s">
        <v>2502</v>
      </c>
      <c r="B1831" s="15" t="s">
        <v>159</v>
      </c>
      <c r="C1831" s="16">
        <v>45612.0</v>
      </c>
      <c r="D1831" s="16">
        <v>45642.0</v>
      </c>
      <c r="E1831" s="15" t="s">
        <v>684</v>
      </c>
      <c r="F1831" s="19">
        <v>19.99</v>
      </c>
      <c r="G1831" s="15" t="s">
        <v>675</v>
      </c>
    </row>
    <row r="1832" ht="15.75" customHeight="1">
      <c r="A1832" s="17" t="s">
        <v>2503</v>
      </c>
      <c r="B1832" s="17" t="s">
        <v>160</v>
      </c>
      <c r="C1832" s="18">
        <v>45612.0</v>
      </c>
      <c r="D1832" s="18">
        <v>45642.0</v>
      </c>
      <c r="E1832" s="17" t="s">
        <v>684</v>
      </c>
      <c r="F1832" s="20">
        <v>19.99</v>
      </c>
      <c r="G1832" s="17" t="s">
        <v>675</v>
      </c>
    </row>
    <row r="1833" ht="15.75" customHeight="1">
      <c r="A1833" s="15" t="s">
        <v>2504</v>
      </c>
      <c r="B1833" s="15" t="s">
        <v>440</v>
      </c>
      <c r="C1833" s="16">
        <v>45612.0</v>
      </c>
      <c r="D1833" s="16">
        <v>45619.0</v>
      </c>
      <c r="E1833" s="15" t="s">
        <v>674</v>
      </c>
      <c r="F1833" s="19">
        <v>0.0</v>
      </c>
      <c r="G1833" s="15" t="s">
        <v>675</v>
      </c>
    </row>
    <row r="1834" ht="15.75" customHeight="1">
      <c r="A1834" s="17" t="s">
        <v>2505</v>
      </c>
      <c r="B1834" s="17" t="s">
        <v>441</v>
      </c>
      <c r="C1834" s="18">
        <v>45612.0</v>
      </c>
      <c r="D1834" s="18">
        <v>45619.0</v>
      </c>
      <c r="E1834" s="17" t="s">
        <v>674</v>
      </c>
      <c r="F1834" s="20">
        <v>0.0</v>
      </c>
      <c r="G1834" s="17" t="s">
        <v>675</v>
      </c>
    </row>
    <row r="1835" ht="15.75" customHeight="1">
      <c r="A1835" s="15" t="s">
        <v>2506</v>
      </c>
      <c r="B1835" s="15" t="s">
        <v>339</v>
      </c>
      <c r="C1835" s="16">
        <v>45613.0</v>
      </c>
      <c r="D1835" s="16">
        <v>45643.0</v>
      </c>
      <c r="E1835" s="15" t="s">
        <v>684</v>
      </c>
      <c r="F1835" s="19">
        <v>19.99</v>
      </c>
      <c r="G1835" s="15" t="s">
        <v>675</v>
      </c>
    </row>
    <row r="1836" ht="15.75" customHeight="1">
      <c r="A1836" s="17" t="s">
        <v>2507</v>
      </c>
      <c r="B1836" s="17" t="s">
        <v>442</v>
      </c>
      <c r="C1836" s="18">
        <v>45613.0</v>
      </c>
      <c r="D1836" s="18">
        <v>45620.0</v>
      </c>
      <c r="E1836" s="17" t="s">
        <v>674</v>
      </c>
      <c r="F1836" s="20">
        <v>0.0</v>
      </c>
      <c r="G1836" s="17" t="s">
        <v>675</v>
      </c>
    </row>
    <row r="1837" ht="15.75" customHeight="1">
      <c r="A1837" s="15" t="s">
        <v>2508</v>
      </c>
      <c r="B1837" s="15" t="s">
        <v>197</v>
      </c>
      <c r="C1837" s="16">
        <v>45613.0</v>
      </c>
      <c r="D1837" s="16">
        <v>45643.0</v>
      </c>
      <c r="E1837" s="15" t="s">
        <v>684</v>
      </c>
      <c r="F1837" s="19">
        <v>19.99</v>
      </c>
      <c r="G1837" s="15" t="s">
        <v>675</v>
      </c>
    </row>
    <row r="1838" ht="15.75" customHeight="1">
      <c r="A1838" s="17" t="s">
        <v>2509</v>
      </c>
      <c r="B1838" s="17" t="s">
        <v>443</v>
      </c>
      <c r="C1838" s="18">
        <v>45613.0</v>
      </c>
      <c r="D1838" s="18">
        <v>45620.0</v>
      </c>
      <c r="E1838" s="17" t="s">
        <v>674</v>
      </c>
      <c r="F1838" s="20">
        <v>0.0</v>
      </c>
      <c r="G1838" s="17" t="s">
        <v>675</v>
      </c>
    </row>
    <row r="1839" ht="15.75" customHeight="1">
      <c r="A1839" s="15" t="s">
        <v>2510</v>
      </c>
      <c r="B1839" s="15" t="s">
        <v>256</v>
      </c>
      <c r="C1839" s="16">
        <v>45613.0</v>
      </c>
      <c r="D1839" s="16">
        <v>45643.0</v>
      </c>
      <c r="E1839" s="15" t="s">
        <v>684</v>
      </c>
      <c r="F1839" s="19">
        <v>19.99</v>
      </c>
      <c r="G1839" s="15" t="s">
        <v>675</v>
      </c>
    </row>
    <row r="1840" ht="15.75" customHeight="1">
      <c r="A1840" s="17" t="s">
        <v>2511</v>
      </c>
      <c r="B1840" s="17" t="s">
        <v>444</v>
      </c>
      <c r="C1840" s="18">
        <v>45613.0</v>
      </c>
      <c r="D1840" s="18">
        <v>45620.0</v>
      </c>
      <c r="E1840" s="17" t="s">
        <v>674</v>
      </c>
      <c r="F1840" s="20">
        <v>0.0</v>
      </c>
      <c r="G1840" s="17" t="s">
        <v>675</v>
      </c>
    </row>
    <row r="1841" ht="15.75" customHeight="1">
      <c r="A1841" s="15" t="s">
        <v>2512</v>
      </c>
      <c r="B1841" s="15" t="s">
        <v>380</v>
      </c>
      <c r="C1841" s="16">
        <v>45613.0</v>
      </c>
      <c r="D1841" s="16">
        <v>45643.0</v>
      </c>
      <c r="E1841" s="15" t="s">
        <v>684</v>
      </c>
      <c r="F1841" s="19">
        <v>19.99</v>
      </c>
      <c r="G1841" s="15" t="s">
        <v>675</v>
      </c>
    </row>
    <row r="1842" ht="15.75" customHeight="1">
      <c r="A1842" s="17" t="s">
        <v>2513</v>
      </c>
      <c r="B1842" s="17" t="s">
        <v>445</v>
      </c>
      <c r="C1842" s="18">
        <v>45613.0</v>
      </c>
      <c r="D1842" s="18">
        <v>45620.0</v>
      </c>
      <c r="E1842" s="17" t="s">
        <v>674</v>
      </c>
      <c r="F1842" s="20">
        <v>0.0</v>
      </c>
      <c r="G1842" s="17" t="s">
        <v>675</v>
      </c>
    </row>
    <row r="1843" ht="15.75" customHeight="1">
      <c r="A1843" s="15" t="s">
        <v>2514</v>
      </c>
      <c r="B1843" s="15" t="s">
        <v>446</v>
      </c>
      <c r="C1843" s="16">
        <v>45613.0</v>
      </c>
      <c r="D1843" s="16">
        <v>45620.0</v>
      </c>
      <c r="E1843" s="15" t="s">
        <v>674</v>
      </c>
      <c r="F1843" s="19">
        <v>0.0</v>
      </c>
      <c r="G1843" s="15" t="s">
        <v>675</v>
      </c>
    </row>
    <row r="1844" ht="15.75" customHeight="1">
      <c r="A1844" s="17" t="s">
        <v>2515</v>
      </c>
      <c r="B1844" s="17" t="s">
        <v>162</v>
      </c>
      <c r="C1844" s="18">
        <v>45613.0</v>
      </c>
      <c r="D1844" s="18">
        <v>45643.0</v>
      </c>
      <c r="E1844" s="17" t="s">
        <v>684</v>
      </c>
      <c r="F1844" s="20">
        <v>19.99</v>
      </c>
      <c r="G1844" s="17" t="s">
        <v>675</v>
      </c>
    </row>
    <row r="1845" ht="15.75" customHeight="1">
      <c r="A1845" s="15" t="s">
        <v>2516</v>
      </c>
      <c r="B1845" s="15" t="s">
        <v>304</v>
      </c>
      <c r="C1845" s="16">
        <v>45613.0</v>
      </c>
      <c r="D1845" s="16">
        <v>45643.0</v>
      </c>
      <c r="E1845" s="15" t="s">
        <v>684</v>
      </c>
      <c r="F1845" s="19">
        <v>19.99</v>
      </c>
      <c r="G1845" s="15" t="s">
        <v>675</v>
      </c>
    </row>
    <row r="1846" ht="15.75" customHeight="1">
      <c r="A1846" s="17" t="s">
        <v>2517</v>
      </c>
      <c r="B1846" s="17" t="s">
        <v>381</v>
      </c>
      <c r="C1846" s="18">
        <v>45613.0</v>
      </c>
      <c r="D1846" s="18">
        <v>45643.0</v>
      </c>
      <c r="E1846" s="17" t="s">
        <v>684</v>
      </c>
      <c r="F1846" s="20">
        <v>19.99</v>
      </c>
      <c r="G1846" s="17" t="s">
        <v>675</v>
      </c>
    </row>
    <row r="1847" ht="15.75" customHeight="1">
      <c r="A1847" s="15" t="s">
        <v>2518</v>
      </c>
      <c r="B1847" s="15" t="s">
        <v>257</v>
      </c>
      <c r="C1847" s="16">
        <v>45613.0</v>
      </c>
      <c r="D1847" s="16">
        <v>45643.0</v>
      </c>
      <c r="E1847" s="15" t="s">
        <v>684</v>
      </c>
      <c r="F1847" s="19">
        <v>19.99</v>
      </c>
      <c r="G1847" s="15" t="s">
        <v>675</v>
      </c>
    </row>
    <row r="1848" ht="15.75" customHeight="1">
      <c r="A1848" s="17" t="s">
        <v>2519</v>
      </c>
      <c r="B1848" s="17" t="s">
        <v>129</v>
      </c>
      <c r="C1848" s="18">
        <v>45613.0</v>
      </c>
      <c r="D1848" s="18">
        <v>45643.0</v>
      </c>
      <c r="E1848" s="17" t="s">
        <v>684</v>
      </c>
      <c r="F1848" s="20">
        <v>19.99</v>
      </c>
      <c r="G1848" s="17" t="s">
        <v>675</v>
      </c>
    </row>
    <row r="1849" ht="15.75" customHeight="1">
      <c r="A1849" s="15" t="s">
        <v>2520</v>
      </c>
      <c r="B1849" s="15" t="s">
        <v>447</v>
      </c>
      <c r="C1849" s="16">
        <v>45614.0</v>
      </c>
      <c r="D1849" s="16">
        <v>45621.0</v>
      </c>
      <c r="E1849" s="15" t="s">
        <v>674</v>
      </c>
      <c r="F1849" s="19">
        <v>0.0</v>
      </c>
      <c r="G1849" s="15" t="s">
        <v>675</v>
      </c>
    </row>
    <row r="1850" ht="15.75" customHeight="1">
      <c r="A1850" s="17" t="s">
        <v>2521</v>
      </c>
      <c r="B1850" s="17" t="s">
        <v>382</v>
      </c>
      <c r="C1850" s="18">
        <v>45614.0</v>
      </c>
      <c r="D1850" s="18">
        <v>45644.0</v>
      </c>
      <c r="E1850" s="17" t="s">
        <v>684</v>
      </c>
      <c r="F1850" s="20">
        <v>19.99</v>
      </c>
      <c r="G1850" s="17" t="s">
        <v>675</v>
      </c>
    </row>
    <row r="1851" ht="15.75" customHeight="1">
      <c r="A1851" s="15" t="s">
        <v>2522</v>
      </c>
      <c r="B1851" s="15" t="s">
        <v>448</v>
      </c>
      <c r="C1851" s="16">
        <v>45614.0</v>
      </c>
      <c r="D1851" s="16">
        <v>45621.0</v>
      </c>
      <c r="E1851" s="15" t="s">
        <v>674</v>
      </c>
      <c r="F1851" s="19">
        <v>0.0</v>
      </c>
      <c r="G1851" s="15" t="s">
        <v>675</v>
      </c>
    </row>
    <row r="1852" ht="15.75" customHeight="1">
      <c r="A1852" s="17" t="s">
        <v>2523</v>
      </c>
      <c r="B1852" s="17" t="s">
        <v>163</v>
      </c>
      <c r="C1852" s="18">
        <v>45614.0</v>
      </c>
      <c r="D1852" s="18">
        <v>45644.0</v>
      </c>
      <c r="E1852" s="17" t="s">
        <v>684</v>
      </c>
      <c r="F1852" s="20">
        <v>19.99</v>
      </c>
      <c r="G1852" s="17" t="s">
        <v>675</v>
      </c>
    </row>
    <row r="1853" ht="15.75" customHeight="1">
      <c r="A1853" s="15" t="s">
        <v>2524</v>
      </c>
      <c r="B1853" s="15" t="s">
        <v>383</v>
      </c>
      <c r="C1853" s="16">
        <v>45614.0</v>
      </c>
      <c r="D1853" s="16">
        <v>45644.0</v>
      </c>
      <c r="E1853" s="15" t="s">
        <v>684</v>
      </c>
      <c r="F1853" s="19">
        <v>19.99</v>
      </c>
      <c r="G1853" s="15" t="s">
        <v>675</v>
      </c>
    </row>
    <row r="1854" ht="15.75" customHeight="1">
      <c r="A1854" s="17" t="s">
        <v>2525</v>
      </c>
      <c r="B1854" s="17" t="s">
        <v>340</v>
      </c>
      <c r="C1854" s="18">
        <v>45614.0</v>
      </c>
      <c r="D1854" s="18">
        <v>45644.0</v>
      </c>
      <c r="E1854" s="17" t="s">
        <v>684</v>
      </c>
      <c r="F1854" s="20">
        <v>19.99</v>
      </c>
      <c r="G1854" s="17" t="s">
        <v>675</v>
      </c>
    </row>
    <row r="1855" ht="15.75" customHeight="1">
      <c r="A1855" s="15" t="s">
        <v>2526</v>
      </c>
      <c r="B1855" s="15" t="s">
        <v>385</v>
      </c>
      <c r="C1855" s="16">
        <v>45614.0</v>
      </c>
      <c r="D1855" s="16">
        <v>45644.0</v>
      </c>
      <c r="E1855" s="15" t="s">
        <v>684</v>
      </c>
      <c r="F1855" s="19">
        <v>19.99</v>
      </c>
      <c r="G1855" s="15" t="s">
        <v>675</v>
      </c>
    </row>
    <row r="1856" ht="15.75" customHeight="1">
      <c r="A1856" s="17" t="s">
        <v>2527</v>
      </c>
      <c r="B1856" s="17" t="s">
        <v>164</v>
      </c>
      <c r="C1856" s="18">
        <v>45614.0</v>
      </c>
      <c r="D1856" s="18">
        <v>45644.0</v>
      </c>
      <c r="E1856" s="17" t="s">
        <v>684</v>
      </c>
      <c r="F1856" s="20">
        <v>19.99</v>
      </c>
      <c r="G1856" s="17" t="s">
        <v>675</v>
      </c>
    </row>
    <row r="1857" ht="15.75" customHeight="1">
      <c r="A1857" s="15" t="s">
        <v>2528</v>
      </c>
      <c r="B1857" s="15" t="s">
        <v>259</v>
      </c>
      <c r="C1857" s="16">
        <v>45614.0</v>
      </c>
      <c r="D1857" s="16">
        <v>45644.0</v>
      </c>
      <c r="E1857" s="15" t="s">
        <v>684</v>
      </c>
      <c r="F1857" s="19">
        <v>19.99</v>
      </c>
      <c r="G1857" s="15" t="s">
        <v>675</v>
      </c>
    </row>
    <row r="1858" ht="15.75" customHeight="1">
      <c r="A1858" s="17" t="s">
        <v>2529</v>
      </c>
      <c r="B1858" s="17" t="s">
        <v>198</v>
      </c>
      <c r="C1858" s="18">
        <v>45614.0</v>
      </c>
      <c r="D1858" s="18">
        <v>45644.0</v>
      </c>
      <c r="E1858" s="17" t="s">
        <v>684</v>
      </c>
      <c r="F1858" s="20">
        <v>19.99</v>
      </c>
      <c r="G1858" s="17" t="s">
        <v>675</v>
      </c>
    </row>
    <row r="1859" ht="15.75" customHeight="1">
      <c r="A1859" s="15" t="s">
        <v>2530</v>
      </c>
      <c r="B1859" s="15" t="s">
        <v>449</v>
      </c>
      <c r="C1859" s="16">
        <v>45614.0</v>
      </c>
      <c r="D1859" s="16">
        <v>45621.0</v>
      </c>
      <c r="E1859" s="15" t="s">
        <v>674</v>
      </c>
      <c r="F1859" s="19">
        <v>0.0</v>
      </c>
      <c r="G1859" s="15" t="s">
        <v>675</v>
      </c>
    </row>
    <row r="1860" ht="15.75" customHeight="1">
      <c r="A1860" s="17" t="s">
        <v>2531</v>
      </c>
      <c r="B1860" s="17" t="s">
        <v>342</v>
      </c>
      <c r="C1860" s="18">
        <v>45614.0</v>
      </c>
      <c r="D1860" s="18">
        <v>45644.0</v>
      </c>
      <c r="E1860" s="17" t="s">
        <v>684</v>
      </c>
      <c r="F1860" s="20">
        <v>19.99</v>
      </c>
      <c r="G1860" s="17" t="s">
        <v>675</v>
      </c>
    </row>
    <row r="1861" ht="15.75" customHeight="1">
      <c r="A1861" s="15" t="s">
        <v>2532</v>
      </c>
      <c r="B1861" s="15" t="s">
        <v>343</v>
      </c>
      <c r="C1861" s="16">
        <v>45614.0</v>
      </c>
      <c r="D1861" s="16">
        <v>45644.0</v>
      </c>
      <c r="E1861" s="15" t="s">
        <v>684</v>
      </c>
      <c r="F1861" s="19">
        <v>19.99</v>
      </c>
      <c r="G1861" s="15" t="s">
        <v>675</v>
      </c>
    </row>
    <row r="1862" ht="15.75" customHeight="1">
      <c r="A1862" s="17" t="s">
        <v>2533</v>
      </c>
      <c r="B1862" s="17" t="s">
        <v>387</v>
      </c>
      <c r="C1862" s="18">
        <v>45615.0</v>
      </c>
      <c r="D1862" s="18">
        <v>45645.0</v>
      </c>
      <c r="E1862" s="17" t="s">
        <v>684</v>
      </c>
      <c r="F1862" s="20">
        <v>19.99</v>
      </c>
      <c r="G1862" s="17" t="s">
        <v>675</v>
      </c>
    </row>
    <row r="1863" ht="15.75" customHeight="1">
      <c r="A1863" s="15" t="s">
        <v>2534</v>
      </c>
      <c r="B1863" s="15" t="s">
        <v>100</v>
      </c>
      <c r="C1863" s="16">
        <v>45615.0</v>
      </c>
      <c r="D1863" s="16">
        <v>45645.0</v>
      </c>
      <c r="E1863" s="15" t="s">
        <v>684</v>
      </c>
      <c r="F1863" s="19">
        <v>19.99</v>
      </c>
      <c r="G1863" s="15" t="s">
        <v>675</v>
      </c>
    </row>
    <row r="1864" ht="15.75" customHeight="1">
      <c r="A1864" s="17" t="s">
        <v>2535</v>
      </c>
      <c r="B1864" s="17" t="s">
        <v>431</v>
      </c>
      <c r="C1864" s="18">
        <v>45615.0</v>
      </c>
      <c r="D1864" s="18">
        <v>45645.0</v>
      </c>
      <c r="E1864" s="17" t="s">
        <v>684</v>
      </c>
      <c r="F1864" s="20">
        <v>19.99</v>
      </c>
      <c r="G1864" s="17" t="s">
        <v>675</v>
      </c>
    </row>
    <row r="1865" ht="15.75" customHeight="1">
      <c r="A1865" s="15" t="s">
        <v>2536</v>
      </c>
      <c r="B1865" s="15" t="s">
        <v>165</v>
      </c>
      <c r="C1865" s="16">
        <v>45615.0</v>
      </c>
      <c r="D1865" s="16">
        <v>45645.0</v>
      </c>
      <c r="E1865" s="15" t="s">
        <v>684</v>
      </c>
      <c r="F1865" s="19">
        <v>19.99</v>
      </c>
      <c r="G1865" s="15" t="s">
        <v>675</v>
      </c>
    </row>
    <row r="1866" ht="15.75" customHeight="1">
      <c r="A1866" s="17" t="s">
        <v>2537</v>
      </c>
      <c r="B1866" s="17" t="s">
        <v>260</v>
      </c>
      <c r="C1866" s="18">
        <v>45615.0</v>
      </c>
      <c r="D1866" s="18">
        <v>45645.0</v>
      </c>
      <c r="E1866" s="17" t="s">
        <v>684</v>
      </c>
      <c r="F1866" s="20">
        <v>19.99</v>
      </c>
      <c r="G1866" s="17" t="s">
        <v>675</v>
      </c>
    </row>
    <row r="1867" ht="15.75" customHeight="1">
      <c r="A1867" s="15" t="s">
        <v>2538</v>
      </c>
      <c r="B1867" s="15" t="s">
        <v>432</v>
      </c>
      <c r="C1867" s="16">
        <v>45615.0</v>
      </c>
      <c r="D1867" s="16">
        <v>45645.0</v>
      </c>
      <c r="E1867" s="15" t="s">
        <v>684</v>
      </c>
      <c r="F1867" s="19">
        <v>19.99</v>
      </c>
      <c r="G1867" s="15" t="s">
        <v>675</v>
      </c>
    </row>
    <row r="1868" ht="15.75" customHeight="1">
      <c r="A1868" s="17" t="s">
        <v>2539</v>
      </c>
      <c r="B1868" s="17" t="s">
        <v>433</v>
      </c>
      <c r="C1868" s="18">
        <v>45615.0</v>
      </c>
      <c r="D1868" s="18">
        <v>45645.0</v>
      </c>
      <c r="E1868" s="17" t="s">
        <v>684</v>
      </c>
      <c r="F1868" s="20">
        <v>19.99</v>
      </c>
      <c r="G1868" s="17" t="s">
        <v>675</v>
      </c>
    </row>
    <row r="1869" ht="15.75" customHeight="1">
      <c r="A1869" s="15" t="s">
        <v>2540</v>
      </c>
      <c r="B1869" s="15" t="s">
        <v>79</v>
      </c>
      <c r="C1869" s="16">
        <v>45616.0</v>
      </c>
      <c r="D1869" s="16">
        <v>45646.0</v>
      </c>
      <c r="E1869" s="15" t="s">
        <v>684</v>
      </c>
      <c r="F1869" s="19">
        <v>19.99</v>
      </c>
      <c r="G1869" s="15" t="s">
        <v>675</v>
      </c>
    </row>
    <row r="1870" ht="15.75" customHeight="1">
      <c r="A1870" s="17" t="s">
        <v>2541</v>
      </c>
      <c r="B1870" s="17" t="s">
        <v>388</v>
      </c>
      <c r="C1870" s="18">
        <v>45616.0</v>
      </c>
      <c r="D1870" s="18">
        <v>45646.0</v>
      </c>
      <c r="E1870" s="17" t="s">
        <v>684</v>
      </c>
      <c r="F1870" s="20">
        <v>19.99</v>
      </c>
      <c r="G1870" s="17" t="s">
        <v>675</v>
      </c>
    </row>
    <row r="1871" ht="15.75" customHeight="1">
      <c r="A1871" s="15" t="s">
        <v>2542</v>
      </c>
      <c r="B1871" s="15" t="s">
        <v>133</v>
      </c>
      <c r="C1871" s="16">
        <v>45616.0</v>
      </c>
      <c r="D1871" s="16">
        <v>45646.0</v>
      </c>
      <c r="E1871" s="15" t="s">
        <v>684</v>
      </c>
      <c r="F1871" s="19">
        <v>19.99</v>
      </c>
      <c r="G1871" s="15" t="s">
        <v>675</v>
      </c>
    </row>
    <row r="1872" ht="15.75" customHeight="1">
      <c r="A1872" s="17" t="s">
        <v>2543</v>
      </c>
      <c r="B1872" s="17" t="s">
        <v>306</v>
      </c>
      <c r="C1872" s="18">
        <v>45616.0</v>
      </c>
      <c r="D1872" s="18">
        <v>45646.0</v>
      </c>
      <c r="E1872" s="17" t="s">
        <v>684</v>
      </c>
      <c r="F1872" s="20">
        <v>19.99</v>
      </c>
      <c r="G1872" s="17" t="s">
        <v>675</v>
      </c>
    </row>
    <row r="1873" ht="15.75" customHeight="1">
      <c r="A1873" s="15" t="s">
        <v>2544</v>
      </c>
      <c r="B1873" s="15" t="s">
        <v>389</v>
      </c>
      <c r="C1873" s="16">
        <v>45616.0</v>
      </c>
      <c r="D1873" s="16">
        <v>45646.0</v>
      </c>
      <c r="E1873" s="15" t="s">
        <v>684</v>
      </c>
      <c r="F1873" s="19">
        <v>19.99</v>
      </c>
      <c r="G1873" s="15" t="s">
        <v>675</v>
      </c>
    </row>
    <row r="1874" ht="15.75" customHeight="1">
      <c r="A1874" s="17" t="s">
        <v>2545</v>
      </c>
      <c r="B1874" s="17" t="s">
        <v>434</v>
      </c>
      <c r="C1874" s="18">
        <v>45616.0</v>
      </c>
      <c r="D1874" s="18">
        <v>45646.0</v>
      </c>
      <c r="E1874" s="17" t="s">
        <v>684</v>
      </c>
      <c r="F1874" s="20">
        <v>19.99</v>
      </c>
      <c r="G1874" s="17" t="s">
        <v>675</v>
      </c>
    </row>
    <row r="1875" ht="15.75" customHeight="1">
      <c r="A1875" s="15" t="s">
        <v>2546</v>
      </c>
      <c r="B1875" s="15" t="s">
        <v>203</v>
      </c>
      <c r="C1875" s="16">
        <v>45617.0</v>
      </c>
      <c r="D1875" s="16">
        <v>45647.0</v>
      </c>
      <c r="E1875" s="15" t="s">
        <v>684</v>
      </c>
      <c r="F1875" s="19">
        <v>19.99</v>
      </c>
      <c r="G1875" s="15" t="s">
        <v>675</v>
      </c>
    </row>
    <row r="1876" ht="15.75" customHeight="1">
      <c r="A1876" s="17" t="s">
        <v>2547</v>
      </c>
      <c r="B1876" s="17" t="s">
        <v>435</v>
      </c>
      <c r="C1876" s="18">
        <v>45617.0</v>
      </c>
      <c r="D1876" s="18">
        <v>45647.0</v>
      </c>
      <c r="E1876" s="17" t="s">
        <v>684</v>
      </c>
      <c r="F1876" s="20">
        <v>19.99</v>
      </c>
      <c r="G1876" s="17" t="s">
        <v>675</v>
      </c>
    </row>
    <row r="1877" ht="15.75" customHeight="1">
      <c r="A1877" s="15" t="s">
        <v>2548</v>
      </c>
      <c r="B1877" s="15" t="s">
        <v>450</v>
      </c>
      <c r="C1877" s="16">
        <v>45617.0</v>
      </c>
      <c r="D1877" s="16">
        <v>45624.0</v>
      </c>
      <c r="E1877" s="15" t="s">
        <v>674</v>
      </c>
      <c r="F1877" s="19">
        <v>0.0</v>
      </c>
      <c r="G1877" s="15" t="s">
        <v>675</v>
      </c>
    </row>
    <row r="1878" ht="15.75" customHeight="1">
      <c r="A1878" s="17" t="s">
        <v>2549</v>
      </c>
      <c r="B1878" s="17" t="s">
        <v>134</v>
      </c>
      <c r="C1878" s="18">
        <v>45617.0</v>
      </c>
      <c r="D1878" s="18">
        <v>45647.0</v>
      </c>
      <c r="E1878" s="17" t="s">
        <v>684</v>
      </c>
      <c r="F1878" s="20">
        <v>19.99</v>
      </c>
      <c r="G1878" s="17" t="s">
        <v>675</v>
      </c>
    </row>
    <row r="1879" ht="15.75" customHeight="1">
      <c r="A1879" s="15" t="s">
        <v>2550</v>
      </c>
      <c r="B1879" s="15" t="s">
        <v>436</v>
      </c>
      <c r="C1879" s="16">
        <v>45617.0</v>
      </c>
      <c r="D1879" s="16">
        <v>45647.0</v>
      </c>
      <c r="E1879" s="15" t="s">
        <v>684</v>
      </c>
      <c r="F1879" s="19">
        <v>19.99</v>
      </c>
      <c r="G1879" s="15" t="s">
        <v>675</v>
      </c>
    </row>
    <row r="1880" ht="15.75" customHeight="1">
      <c r="A1880" s="17" t="s">
        <v>2551</v>
      </c>
      <c r="B1880" s="17" t="s">
        <v>227</v>
      </c>
      <c r="C1880" s="18">
        <v>45617.0</v>
      </c>
      <c r="D1880" s="18">
        <v>45647.0</v>
      </c>
      <c r="E1880" s="17" t="s">
        <v>684</v>
      </c>
      <c r="F1880" s="20">
        <v>19.99</v>
      </c>
      <c r="G1880" s="17" t="s">
        <v>675</v>
      </c>
    </row>
    <row r="1881" ht="15.75" customHeight="1">
      <c r="A1881" s="15" t="s">
        <v>2552</v>
      </c>
      <c r="B1881" s="15" t="s">
        <v>451</v>
      </c>
      <c r="C1881" s="16">
        <v>45617.0</v>
      </c>
      <c r="D1881" s="16">
        <v>45624.0</v>
      </c>
      <c r="E1881" s="15" t="s">
        <v>674</v>
      </c>
      <c r="F1881" s="19">
        <v>0.0</v>
      </c>
      <c r="G1881" s="15" t="s">
        <v>675</v>
      </c>
    </row>
    <row r="1882" ht="15.75" customHeight="1">
      <c r="A1882" s="17" t="s">
        <v>2553</v>
      </c>
      <c r="B1882" s="17" t="s">
        <v>261</v>
      </c>
      <c r="C1882" s="18">
        <v>45617.0</v>
      </c>
      <c r="D1882" s="18">
        <v>45647.0</v>
      </c>
      <c r="E1882" s="17" t="s">
        <v>684</v>
      </c>
      <c r="F1882" s="20">
        <v>19.99</v>
      </c>
      <c r="G1882" s="17" t="s">
        <v>675</v>
      </c>
    </row>
    <row r="1883" ht="15.75" customHeight="1">
      <c r="A1883" s="15" t="s">
        <v>2554</v>
      </c>
      <c r="B1883" s="15" t="s">
        <v>344</v>
      </c>
      <c r="C1883" s="16">
        <v>45617.0</v>
      </c>
      <c r="D1883" s="16">
        <v>45647.0</v>
      </c>
      <c r="E1883" s="15" t="s">
        <v>684</v>
      </c>
      <c r="F1883" s="19">
        <v>19.99</v>
      </c>
      <c r="G1883" s="15" t="s">
        <v>675</v>
      </c>
    </row>
    <row r="1884" ht="15.75" customHeight="1">
      <c r="A1884" s="17" t="s">
        <v>2555</v>
      </c>
      <c r="B1884" s="17" t="s">
        <v>309</v>
      </c>
      <c r="C1884" s="18">
        <v>45617.0</v>
      </c>
      <c r="D1884" s="18">
        <v>45647.0</v>
      </c>
      <c r="E1884" s="17" t="s">
        <v>684</v>
      </c>
      <c r="F1884" s="20">
        <v>19.99</v>
      </c>
      <c r="G1884" s="17" t="s">
        <v>675</v>
      </c>
    </row>
    <row r="1885" ht="15.75" customHeight="1">
      <c r="A1885" s="15" t="s">
        <v>2556</v>
      </c>
      <c r="B1885" s="15" t="s">
        <v>206</v>
      </c>
      <c r="C1885" s="16">
        <v>45617.0</v>
      </c>
      <c r="D1885" s="16">
        <v>45647.0</v>
      </c>
      <c r="E1885" s="15" t="s">
        <v>684</v>
      </c>
      <c r="F1885" s="19">
        <v>19.99</v>
      </c>
      <c r="G1885" s="15" t="s">
        <v>675</v>
      </c>
    </row>
    <row r="1886" ht="15.75" customHeight="1">
      <c r="A1886" s="17" t="s">
        <v>2557</v>
      </c>
      <c r="B1886" s="17" t="s">
        <v>437</v>
      </c>
      <c r="C1886" s="18">
        <v>45618.0</v>
      </c>
      <c r="D1886" s="18">
        <v>45648.0</v>
      </c>
      <c r="E1886" s="17" t="s">
        <v>684</v>
      </c>
      <c r="F1886" s="20">
        <v>19.99</v>
      </c>
      <c r="G1886" s="17" t="s">
        <v>675</v>
      </c>
    </row>
    <row r="1887" ht="15.75" customHeight="1">
      <c r="A1887" s="15" t="s">
        <v>2558</v>
      </c>
      <c r="B1887" s="15" t="s">
        <v>345</v>
      </c>
      <c r="C1887" s="16">
        <v>45618.0</v>
      </c>
      <c r="D1887" s="16">
        <v>45648.0</v>
      </c>
      <c r="E1887" s="15" t="s">
        <v>684</v>
      </c>
      <c r="F1887" s="19">
        <v>19.99</v>
      </c>
      <c r="G1887" s="15" t="s">
        <v>675</v>
      </c>
    </row>
    <row r="1888" ht="15.75" customHeight="1">
      <c r="A1888" s="17" t="s">
        <v>2559</v>
      </c>
      <c r="B1888" s="17" t="s">
        <v>310</v>
      </c>
      <c r="C1888" s="18">
        <v>45618.0</v>
      </c>
      <c r="D1888" s="18">
        <v>45648.0</v>
      </c>
      <c r="E1888" s="17" t="s">
        <v>684</v>
      </c>
      <c r="F1888" s="20">
        <v>19.99</v>
      </c>
      <c r="G1888" s="17" t="s">
        <v>675</v>
      </c>
    </row>
    <row r="1889" ht="15.75" customHeight="1">
      <c r="A1889" s="15" t="s">
        <v>2560</v>
      </c>
      <c r="B1889" s="15" t="s">
        <v>228</v>
      </c>
      <c r="C1889" s="16">
        <v>45618.0</v>
      </c>
      <c r="D1889" s="16">
        <v>45648.0</v>
      </c>
      <c r="E1889" s="15" t="s">
        <v>684</v>
      </c>
      <c r="F1889" s="19">
        <v>19.99</v>
      </c>
      <c r="G1889" s="15" t="s">
        <v>675</v>
      </c>
    </row>
    <row r="1890" ht="15.75" customHeight="1">
      <c r="A1890" s="17" t="s">
        <v>2561</v>
      </c>
      <c r="B1890" s="17" t="s">
        <v>262</v>
      </c>
      <c r="C1890" s="18">
        <v>45618.0</v>
      </c>
      <c r="D1890" s="18">
        <v>45648.0</v>
      </c>
      <c r="E1890" s="17" t="s">
        <v>684</v>
      </c>
      <c r="F1890" s="20">
        <v>19.99</v>
      </c>
      <c r="G1890" s="17" t="s">
        <v>675</v>
      </c>
    </row>
    <row r="1891" ht="15.75" customHeight="1">
      <c r="A1891" s="15" t="s">
        <v>2562</v>
      </c>
      <c r="B1891" s="15" t="s">
        <v>452</v>
      </c>
      <c r="C1891" s="16">
        <v>45618.0</v>
      </c>
      <c r="D1891" s="16">
        <v>45625.0</v>
      </c>
      <c r="E1891" s="15" t="s">
        <v>674</v>
      </c>
      <c r="F1891" s="19">
        <v>0.0</v>
      </c>
      <c r="G1891" s="15" t="s">
        <v>675</v>
      </c>
    </row>
    <row r="1892" ht="15.75" customHeight="1">
      <c r="A1892" s="17" t="s">
        <v>2563</v>
      </c>
      <c r="B1892" s="17" t="s">
        <v>438</v>
      </c>
      <c r="C1892" s="18">
        <v>45618.0</v>
      </c>
      <c r="D1892" s="18">
        <v>45648.0</v>
      </c>
      <c r="E1892" s="17" t="s">
        <v>684</v>
      </c>
      <c r="F1892" s="20">
        <v>19.99</v>
      </c>
      <c r="G1892" s="17" t="s">
        <v>675</v>
      </c>
    </row>
    <row r="1893" ht="15.75" customHeight="1">
      <c r="A1893" s="15" t="s">
        <v>2564</v>
      </c>
      <c r="B1893" s="15" t="s">
        <v>346</v>
      </c>
      <c r="C1893" s="16">
        <v>45618.0</v>
      </c>
      <c r="D1893" s="16">
        <v>45648.0</v>
      </c>
      <c r="E1893" s="15" t="s">
        <v>684</v>
      </c>
      <c r="F1893" s="19">
        <v>19.99</v>
      </c>
      <c r="G1893" s="15" t="s">
        <v>675</v>
      </c>
    </row>
    <row r="1894" ht="15.75" customHeight="1">
      <c r="A1894" s="17" t="s">
        <v>2565</v>
      </c>
      <c r="B1894" s="17" t="s">
        <v>453</v>
      </c>
      <c r="C1894" s="18">
        <v>45618.0</v>
      </c>
      <c r="D1894" s="18">
        <v>45625.0</v>
      </c>
      <c r="E1894" s="17" t="s">
        <v>674</v>
      </c>
      <c r="F1894" s="20">
        <v>0.0</v>
      </c>
      <c r="G1894" s="17" t="s">
        <v>675</v>
      </c>
    </row>
    <row r="1895" ht="15.75" customHeight="1">
      <c r="A1895" s="15" t="s">
        <v>2566</v>
      </c>
      <c r="B1895" s="15" t="s">
        <v>102</v>
      </c>
      <c r="C1895" s="16">
        <v>45618.0</v>
      </c>
      <c r="D1895" s="16">
        <v>45648.0</v>
      </c>
      <c r="E1895" s="15" t="s">
        <v>684</v>
      </c>
      <c r="F1895" s="19">
        <v>19.99</v>
      </c>
      <c r="G1895" s="15" t="s">
        <v>675</v>
      </c>
    </row>
    <row r="1896" ht="15.75" customHeight="1">
      <c r="A1896" s="17" t="s">
        <v>2567</v>
      </c>
      <c r="B1896" s="17" t="s">
        <v>454</v>
      </c>
      <c r="C1896" s="18">
        <v>45618.0</v>
      </c>
      <c r="D1896" s="18">
        <v>45625.0</v>
      </c>
      <c r="E1896" s="17" t="s">
        <v>674</v>
      </c>
      <c r="F1896" s="20">
        <v>0.0</v>
      </c>
      <c r="G1896" s="17" t="s">
        <v>675</v>
      </c>
    </row>
    <row r="1897" ht="15.75" customHeight="1">
      <c r="A1897" s="15" t="s">
        <v>2568</v>
      </c>
      <c r="B1897" s="15" t="s">
        <v>167</v>
      </c>
      <c r="C1897" s="16">
        <v>45618.0</v>
      </c>
      <c r="D1897" s="16">
        <v>45648.0</v>
      </c>
      <c r="E1897" s="15" t="s">
        <v>684</v>
      </c>
      <c r="F1897" s="19">
        <v>19.99</v>
      </c>
      <c r="G1897" s="15" t="s">
        <v>675</v>
      </c>
    </row>
    <row r="1898" ht="15.75" customHeight="1">
      <c r="A1898" s="17" t="s">
        <v>2569</v>
      </c>
      <c r="B1898" s="17" t="s">
        <v>439</v>
      </c>
      <c r="C1898" s="18">
        <v>45618.0</v>
      </c>
      <c r="D1898" s="18">
        <v>45648.0</v>
      </c>
      <c r="E1898" s="17" t="s">
        <v>684</v>
      </c>
      <c r="F1898" s="20">
        <v>19.99</v>
      </c>
      <c r="G1898" s="17" t="s">
        <v>675</v>
      </c>
    </row>
    <row r="1899" ht="15.75" customHeight="1">
      <c r="A1899" s="15" t="s">
        <v>2570</v>
      </c>
      <c r="B1899" s="15" t="s">
        <v>168</v>
      </c>
      <c r="C1899" s="16">
        <v>45618.0</v>
      </c>
      <c r="D1899" s="16">
        <v>45648.0</v>
      </c>
      <c r="E1899" s="15" t="s">
        <v>684</v>
      </c>
      <c r="F1899" s="19">
        <v>19.99</v>
      </c>
      <c r="G1899" s="15" t="s">
        <v>675</v>
      </c>
    </row>
    <row r="1900" ht="15.75" customHeight="1">
      <c r="A1900" s="17" t="s">
        <v>2571</v>
      </c>
      <c r="B1900" s="17" t="s">
        <v>208</v>
      </c>
      <c r="C1900" s="18">
        <v>45618.0</v>
      </c>
      <c r="D1900" s="18">
        <v>45648.0</v>
      </c>
      <c r="E1900" s="17" t="s">
        <v>684</v>
      </c>
      <c r="F1900" s="20">
        <v>19.99</v>
      </c>
      <c r="G1900" s="17" t="s">
        <v>675</v>
      </c>
    </row>
    <row r="1901" ht="15.75" customHeight="1">
      <c r="A1901" s="15" t="s">
        <v>2572</v>
      </c>
      <c r="B1901" s="15" t="s">
        <v>347</v>
      </c>
      <c r="C1901" s="16">
        <v>45619.0</v>
      </c>
      <c r="D1901" s="16">
        <v>45649.0</v>
      </c>
      <c r="E1901" s="15" t="s">
        <v>684</v>
      </c>
      <c r="F1901" s="19">
        <v>19.99</v>
      </c>
      <c r="G1901" s="15" t="s">
        <v>675</v>
      </c>
    </row>
    <row r="1902" ht="15.75" customHeight="1">
      <c r="A1902" s="17" t="s">
        <v>2573</v>
      </c>
      <c r="B1902" s="17" t="s">
        <v>455</v>
      </c>
      <c r="C1902" s="18">
        <v>45619.0</v>
      </c>
      <c r="D1902" s="18">
        <v>45626.0</v>
      </c>
      <c r="E1902" s="17" t="s">
        <v>674</v>
      </c>
      <c r="F1902" s="20">
        <v>0.0</v>
      </c>
      <c r="G1902" s="17" t="s">
        <v>675</v>
      </c>
    </row>
    <row r="1903" ht="15.75" customHeight="1">
      <c r="A1903" s="15" t="s">
        <v>2574</v>
      </c>
      <c r="B1903" s="15" t="s">
        <v>136</v>
      </c>
      <c r="C1903" s="16">
        <v>45619.0</v>
      </c>
      <c r="D1903" s="16">
        <v>45649.0</v>
      </c>
      <c r="E1903" s="15" t="s">
        <v>684</v>
      </c>
      <c r="F1903" s="19">
        <v>19.99</v>
      </c>
      <c r="G1903" s="15" t="s">
        <v>675</v>
      </c>
    </row>
    <row r="1904" ht="15.75" customHeight="1">
      <c r="A1904" s="17" t="s">
        <v>2575</v>
      </c>
      <c r="B1904" s="17" t="s">
        <v>456</v>
      </c>
      <c r="C1904" s="18">
        <v>45619.0</v>
      </c>
      <c r="D1904" s="18">
        <v>45626.0</v>
      </c>
      <c r="E1904" s="17" t="s">
        <v>674</v>
      </c>
      <c r="F1904" s="20">
        <v>0.0</v>
      </c>
      <c r="G1904" s="17" t="s">
        <v>675</v>
      </c>
    </row>
    <row r="1905" ht="15.75" customHeight="1">
      <c r="A1905" s="15" t="s">
        <v>2576</v>
      </c>
      <c r="B1905" s="15" t="s">
        <v>82</v>
      </c>
      <c r="C1905" s="16">
        <v>45619.0</v>
      </c>
      <c r="D1905" s="16">
        <v>45649.0</v>
      </c>
      <c r="E1905" s="15" t="s">
        <v>684</v>
      </c>
      <c r="F1905" s="19">
        <v>19.99</v>
      </c>
      <c r="G1905" s="15" t="s">
        <v>675</v>
      </c>
    </row>
    <row r="1906" ht="15.75" customHeight="1">
      <c r="A1906" s="17" t="s">
        <v>2577</v>
      </c>
      <c r="B1906" s="17" t="s">
        <v>457</v>
      </c>
      <c r="C1906" s="18">
        <v>45619.0</v>
      </c>
      <c r="D1906" s="18">
        <v>45626.0</v>
      </c>
      <c r="E1906" s="17" t="s">
        <v>674</v>
      </c>
      <c r="F1906" s="20">
        <v>0.0</v>
      </c>
      <c r="G1906" s="17" t="s">
        <v>675</v>
      </c>
    </row>
    <row r="1907" ht="15.75" customHeight="1">
      <c r="A1907" s="15" t="s">
        <v>2578</v>
      </c>
      <c r="B1907" s="15" t="s">
        <v>348</v>
      </c>
      <c r="C1907" s="16">
        <v>45619.0</v>
      </c>
      <c r="D1907" s="16">
        <v>45649.0</v>
      </c>
      <c r="E1907" s="15" t="s">
        <v>684</v>
      </c>
      <c r="F1907" s="19">
        <v>19.99</v>
      </c>
      <c r="G1907" s="15" t="s">
        <v>675</v>
      </c>
    </row>
    <row r="1908" ht="15.75" customHeight="1">
      <c r="A1908" s="17" t="s">
        <v>2579</v>
      </c>
      <c r="B1908" s="17" t="s">
        <v>458</v>
      </c>
      <c r="C1908" s="18">
        <v>45619.0</v>
      </c>
      <c r="D1908" s="18">
        <v>45626.0</v>
      </c>
      <c r="E1908" s="17" t="s">
        <v>674</v>
      </c>
      <c r="F1908" s="20">
        <v>0.0</v>
      </c>
      <c r="G1908" s="17" t="s">
        <v>675</v>
      </c>
    </row>
    <row r="1909" ht="15.75" customHeight="1">
      <c r="A1909" s="15" t="s">
        <v>2580</v>
      </c>
      <c r="B1909" s="15" t="s">
        <v>390</v>
      </c>
      <c r="C1909" s="16">
        <v>45619.0</v>
      </c>
      <c r="D1909" s="16">
        <v>45649.0</v>
      </c>
      <c r="E1909" s="15" t="s">
        <v>684</v>
      </c>
      <c r="F1909" s="19">
        <v>19.99</v>
      </c>
      <c r="G1909" s="15" t="s">
        <v>675</v>
      </c>
    </row>
    <row r="1910" ht="15.75" customHeight="1">
      <c r="A1910" s="17" t="s">
        <v>2581</v>
      </c>
      <c r="B1910" s="17" t="s">
        <v>391</v>
      </c>
      <c r="C1910" s="18">
        <v>45619.0</v>
      </c>
      <c r="D1910" s="18">
        <v>45649.0</v>
      </c>
      <c r="E1910" s="17" t="s">
        <v>684</v>
      </c>
      <c r="F1910" s="20">
        <v>19.99</v>
      </c>
      <c r="G1910" s="17" t="s">
        <v>675</v>
      </c>
    </row>
    <row r="1911" ht="15.75" customHeight="1">
      <c r="A1911" s="15" t="s">
        <v>2582</v>
      </c>
      <c r="B1911" s="15" t="s">
        <v>349</v>
      </c>
      <c r="C1911" s="16">
        <v>45619.0</v>
      </c>
      <c r="D1911" s="16">
        <v>45649.0</v>
      </c>
      <c r="E1911" s="15" t="s">
        <v>684</v>
      </c>
      <c r="F1911" s="19">
        <v>19.99</v>
      </c>
      <c r="G1911" s="15" t="s">
        <v>675</v>
      </c>
    </row>
    <row r="1912" ht="15.75" customHeight="1">
      <c r="A1912" s="17" t="s">
        <v>2583</v>
      </c>
      <c r="B1912" s="17" t="s">
        <v>137</v>
      </c>
      <c r="C1912" s="18">
        <v>45619.0</v>
      </c>
      <c r="D1912" s="18">
        <v>45649.0</v>
      </c>
      <c r="E1912" s="17" t="s">
        <v>684</v>
      </c>
      <c r="F1912" s="20">
        <v>19.99</v>
      </c>
      <c r="G1912" s="17" t="s">
        <v>675</v>
      </c>
    </row>
    <row r="1913" ht="15.75" customHeight="1">
      <c r="A1913" s="15" t="s">
        <v>2584</v>
      </c>
      <c r="B1913" s="15" t="s">
        <v>440</v>
      </c>
      <c r="C1913" s="16">
        <v>45619.0</v>
      </c>
      <c r="D1913" s="16">
        <v>45649.0</v>
      </c>
      <c r="E1913" s="15" t="s">
        <v>684</v>
      </c>
      <c r="F1913" s="19">
        <v>19.99</v>
      </c>
      <c r="G1913" s="15" t="s">
        <v>675</v>
      </c>
    </row>
    <row r="1914" ht="15.75" customHeight="1">
      <c r="A1914" s="17" t="s">
        <v>2585</v>
      </c>
      <c r="B1914" s="17" t="s">
        <v>441</v>
      </c>
      <c r="C1914" s="18">
        <v>45619.0</v>
      </c>
      <c r="D1914" s="18">
        <v>45649.0</v>
      </c>
      <c r="E1914" s="17" t="s">
        <v>684</v>
      </c>
      <c r="F1914" s="20">
        <v>19.99</v>
      </c>
      <c r="G1914" s="17" t="s">
        <v>675</v>
      </c>
    </row>
    <row r="1915" ht="15.75" customHeight="1">
      <c r="A1915" s="15" t="s">
        <v>2586</v>
      </c>
      <c r="B1915" s="15" t="s">
        <v>83</v>
      </c>
      <c r="C1915" s="16">
        <v>45619.0</v>
      </c>
      <c r="D1915" s="16">
        <v>45649.0</v>
      </c>
      <c r="E1915" s="15" t="s">
        <v>684</v>
      </c>
      <c r="F1915" s="19">
        <v>19.99</v>
      </c>
      <c r="G1915" s="15" t="s">
        <v>675</v>
      </c>
    </row>
    <row r="1916" ht="15.75" customHeight="1">
      <c r="A1916" s="17" t="s">
        <v>2587</v>
      </c>
      <c r="B1916" s="17" t="s">
        <v>459</v>
      </c>
      <c r="C1916" s="18">
        <v>45620.0</v>
      </c>
      <c r="D1916" s="18">
        <v>45627.0</v>
      </c>
      <c r="E1916" s="17" t="s">
        <v>674</v>
      </c>
      <c r="F1916" s="20">
        <v>0.0</v>
      </c>
      <c r="G1916" s="17" t="s">
        <v>675</v>
      </c>
    </row>
    <row r="1917" ht="15.75" customHeight="1">
      <c r="A1917" s="15" t="s">
        <v>2588</v>
      </c>
      <c r="B1917" s="15" t="s">
        <v>350</v>
      </c>
      <c r="C1917" s="16">
        <v>45620.0</v>
      </c>
      <c r="D1917" s="16">
        <v>45650.0</v>
      </c>
      <c r="E1917" s="15" t="s">
        <v>684</v>
      </c>
      <c r="F1917" s="19">
        <v>19.99</v>
      </c>
      <c r="G1917" s="15" t="s">
        <v>675</v>
      </c>
    </row>
    <row r="1918" ht="15.75" customHeight="1">
      <c r="A1918" s="17" t="s">
        <v>2589</v>
      </c>
      <c r="B1918" s="17" t="s">
        <v>84</v>
      </c>
      <c r="C1918" s="18">
        <v>45620.0</v>
      </c>
      <c r="D1918" s="18">
        <v>45650.0</v>
      </c>
      <c r="E1918" s="17" t="s">
        <v>684</v>
      </c>
      <c r="F1918" s="20">
        <v>19.99</v>
      </c>
      <c r="G1918" s="17" t="s">
        <v>675</v>
      </c>
    </row>
    <row r="1919" ht="15.75" customHeight="1">
      <c r="A1919" s="15" t="s">
        <v>2590</v>
      </c>
      <c r="B1919" s="15" t="s">
        <v>392</v>
      </c>
      <c r="C1919" s="16">
        <v>45620.0</v>
      </c>
      <c r="D1919" s="16">
        <v>45650.0</v>
      </c>
      <c r="E1919" s="15" t="s">
        <v>684</v>
      </c>
      <c r="F1919" s="19">
        <v>19.99</v>
      </c>
      <c r="G1919" s="15" t="s">
        <v>675</v>
      </c>
    </row>
    <row r="1920" ht="15.75" customHeight="1">
      <c r="A1920" s="17" t="s">
        <v>2591</v>
      </c>
      <c r="B1920" s="17" t="s">
        <v>460</v>
      </c>
      <c r="C1920" s="18">
        <v>45620.0</v>
      </c>
      <c r="D1920" s="18">
        <v>45627.0</v>
      </c>
      <c r="E1920" s="17" t="s">
        <v>674</v>
      </c>
      <c r="F1920" s="20">
        <v>0.0</v>
      </c>
      <c r="G1920" s="17" t="s">
        <v>675</v>
      </c>
    </row>
    <row r="1921" ht="15.75" customHeight="1">
      <c r="A1921" s="15" t="s">
        <v>2592</v>
      </c>
      <c r="B1921" s="15" t="s">
        <v>442</v>
      </c>
      <c r="C1921" s="16">
        <v>45620.0</v>
      </c>
      <c r="D1921" s="16">
        <v>45650.0</v>
      </c>
      <c r="E1921" s="15" t="s">
        <v>684</v>
      </c>
      <c r="F1921" s="19">
        <v>19.99</v>
      </c>
      <c r="G1921" s="15" t="s">
        <v>675</v>
      </c>
    </row>
    <row r="1922" ht="15.75" customHeight="1">
      <c r="A1922" s="17" t="s">
        <v>2593</v>
      </c>
      <c r="B1922" s="17" t="s">
        <v>139</v>
      </c>
      <c r="C1922" s="18">
        <v>45620.0</v>
      </c>
      <c r="D1922" s="18">
        <v>45650.0</v>
      </c>
      <c r="E1922" s="17" t="s">
        <v>684</v>
      </c>
      <c r="F1922" s="20">
        <v>19.99</v>
      </c>
      <c r="G1922" s="17" t="s">
        <v>675</v>
      </c>
    </row>
    <row r="1923" ht="15.75" customHeight="1">
      <c r="A1923" s="15" t="s">
        <v>2594</v>
      </c>
      <c r="B1923" s="15" t="s">
        <v>443</v>
      </c>
      <c r="C1923" s="16">
        <v>45620.0</v>
      </c>
      <c r="D1923" s="16">
        <v>45650.0</v>
      </c>
      <c r="E1923" s="15" t="s">
        <v>684</v>
      </c>
      <c r="F1923" s="19">
        <v>19.99</v>
      </c>
      <c r="G1923" s="15" t="s">
        <v>675</v>
      </c>
    </row>
    <row r="1924" ht="15.75" customHeight="1">
      <c r="A1924" s="17" t="s">
        <v>2595</v>
      </c>
      <c r="B1924" s="17" t="s">
        <v>444</v>
      </c>
      <c r="C1924" s="18">
        <v>45620.0</v>
      </c>
      <c r="D1924" s="18">
        <v>45650.0</v>
      </c>
      <c r="E1924" s="17" t="s">
        <v>684</v>
      </c>
      <c r="F1924" s="20">
        <v>19.99</v>
      </c>
      <c r="G1924" s="17" t="s">
        <v>675</v>
      </c>
    </row>
    <row r="1925" ht="15.75" customHeight="1">
      <c r="A1925" s="15" t="s">
        <v>2596</v>
      </c>
      <c r="B1925" s="15" t="s">
        <v>314</v>
      </c>
      <c r="C1925" s="16">
        <v>45620.0</v>
      </c>
      <c r="D1925" s="16">
        <v>45650.0</v>
      </c>
      <c r="E1925" s="15" t="s">
        <v>684</v>
      </c>
      <c r="F1925" s="19">
        <v>19.99</v>
      </c>
      <c r="G1925" s="15" t="s">
        <v>675</v>
      </c>
    </row>
    <row r="1926" ht="15.75" customHeight="1">
      <c r="A1926" s="17" t="s">
        <v>2597</v>
      </c>
      <c r="B1926" s="17" t="s">
        <v>351</v>
      </c>
      <c r="C1926" s="18">
        <v>45620.0</v>
      </c>
      <c r="D1926" s="18">
        <v>45650.0</v>
      </c>
      <c r="E1926" s="17" t="s">
        <v>684</v>
      </c>
      <c r="F1926" s="20">
        <v>19.99</v>
      </c>
      <c r="G1926" s="17" t="s">
        <v>675</v>
      </c>
    </row>
    <row r="1927" ht="15.75" customHeight="1">
      <c r="A1927" s="15" t="s">
        <v>2598</v>
      </c>
      <c r="B1927" s="15" t="s">
        <v>445</v>
      </c>
      <c r="C1927" s="16">
        <v>45620.0</v>
      </c>
      <c r="D1927" s="16">
        <v>45650.0</v>
      </c>
      <c r="E1927" s="15" t="s">
        <v>684</v>
      </c>
      <c r="F1927" s="19">
        <v>19.99</v>
      </c>
      <c r="G1927" s="15" t="s">
        <v>675</v>
      </c>
    </row>
    <row r="1928" ht="15.75" customHeight="1">
      <c r="A1928" s="17" t="s">
        <v>2599</v>
      </c>
      <c r="B1928" s="17" t="s">
        <v>103</v>
      </c>
      <c r="C1928" s="18">
        <v>45620.0</v>
      </c>
      <c r="D1928" s="18">
        <v>45650.0</v>
      </c>
      <c r="E1928" s="17" t="s">
        <v>684</v>
      </c>
      <c r="F1928" s="20">
        <v>19.99</v>
      </c>
      <c r="G1928" s="17" t="s">
        <v>675</v>
      </c>
    </row>
    <row r="1929" ht="15.75" customHeight="1">
      <c r="A1929" s="15" t="s">
        <v>2600</v>
      </c>
      <c r="B1929" s="15" t="s">
        <v>446</v>
      </c>
      <c r="C1929" s="16">
        <v>45620.0</v>
      </c>
      <c r="D1929" s="16">
        <v>45650.0</v>
      </c>
      <c r="E1929" s="15" t="s">
        <v>684</v>
      </c>
      <c r="F1929" s="19">
        <v>19.99</v>
      </c>
      <c r="G1929" s="15" t="s">
        <v>675</v>
      </c>
    </row>
    <row r="1930" ht="15.75" customHeight="1">
      <c r="A1930" s="17" t="s">
        <v>2601</v>
      </c>
      <c r="B1930" s="17" t="s">
        <v>140</v>
      </c>
      <c r="C1930" s="18">
        <v>45620.0</v>
      </c>
      <c r="D1930" s="18">
        <v>45650.0</v>
      </c>
      <c r="E1930" s="17" t="s">
        <v>684</v>
      </c>
      <c r="F1930" s="20">
        <v>19.99</v>
      </c>
      <c r="G1930" s="17" t="s">
        <v>675</v>
      </c>
    </row>
    <row r="1931" ht="15.75" customHeight="1">
      <c r="A1931" s="15" t="s">
        <v>2602</v>
      </c>
      <c r="B1931" s="15" t="s">
        <v>394</v>
      </c>
      <c r="C1931" s="16">
        <v>45620.0</v>
      </c>
      <c r="D1931" s="16">
        <v>45650.0</v>
      </c>
      <c r="E1931" s="15" t="s">
        <v>684</v>
      </c>
      <c r="F1931" s="19">
        <v>19.99</v>
      </c>
      <c r="G1931" s="15" t="s">
        <v>675</v>
      </c>
    </row>
    <row r="1932" ht="15.75" customHeight="1">
      <c r="A1932" s="17" t="s">
        <v>2603</v>
      </c>
      <c r="B1932" s="17" t="s">
        <v>171</v>
      </c>
      <c r="C1932" s="18">
        <v>45620.0</v>
      </c>
      <c r="D1932" s="18">
        <v>45650.0</v>
      </c>
      <c r="E1932" s="17" t="s">
        <v>684</v>
      </c>
      <c r="F1932" s="20">
        <v>19.99</v>
      </c>
      <c r="G1932" s="17" t="s">
        <v>675</v>
      </c>
    </row>
    <row r="1933" ht="15.75" customHeight="1">
      <c r="A1933" s="15" t="s">
        <v>2604</v>
      </c>
      <c r="B1933" s="15" t="s">
        <v>230</v>
      </c>
      <c r="C1933" s="16">
        <v>45620.0</v>
      </c>
      <c r="D1933" s="16">
        <v>45650.0</v>
      </c>
      <c r="E1933" s="15" t="s">
        <v>684</v>
      </c>
      <c r="F1933" s="19">
        <v>19.99</v>
      </c>
      <c r="G1933" s="15" t="s">
        <v>675</v>
      </c>
    </row>
    <row r="1934" ht="15.75" customHeight="1">
      <c r="A1934" s="17" t="s">
        <v>2605</v>
      </c>
      <c r="B1934" s="17" t="s">
        <v>447</v>
      </c>
      <c r="C1934" s="18">
        <v>45621.0</v>
      </c>
      <c r="D1934" s="18">
        <v>45651.0</v>
      </c>
      <c r="E1934" s="17" t="s">
        <v>684</v>
      </c>
      <c r="F1934" s="20">
        <v>19.99</v>
      </c>
      <c r="G1934" s="17" t="s">
        <v>675</v>
      </c>
    </row>
    <row r="1935" ht="15.75" customHeight="1">
      <c r="A1935" s="15" t="s">
        <v>2606</v>
      </c>
      <c r="B1935" s="15" t="s">
        <v>353</v>
      </c>
      <c r="C1935" s="16">
        <v>45621.0</v>
      </c>
      <c r="D1935" s="16">
        <v>45651.0</v>
      </c>
      <c r="E1935" s="15" t="s">
        <v>684</v>
      </c>
      <c r="F1935" s="19">
        <v>19.99</v>
      </c>
      <c r="G1935" s="15" t="s">
        <v>675</v>
      </c>
    </row>
    <row r="1936" ht="15.75" customHeight="1">
      <c r="A1936" s="17" t="s">
        <v>2607</v>
      </c>
      <c r="B1936" s="17" t="s">
        <v>448</v>
      </c>
      <c r="C1936" s="18">
        <v>45621.0</v>
      </c>
      <c r="D1936" s="18">
        <v>45651.0</v>
      </c>
      <c r="E1936" s="17" t="s">
        <v>684</v>
      </c>
      <c r="F1936" s="20">
        <v>19.99</v>
      </c>
      <c r="G1936" s="17" t="s">
        <v>675</v>
      </c>
    </row>
    <row r="1937" ht="15.75" customHeight="1">
      <c r="A1937" s="15" t="s">
        <v>2608</v>
      </c>
      <c r="B1937" s="15" t="s">
        <v>315</v>
      </c>
      <c r="C1937" s="16">
        <v>45621.0</v>
      </c>
      <c r="D1937" s="16">
        <v>45651.0</v>
      </c>
      <c r="E1937" s="15" t="s">
        <v>684</v>
      </c>
      <c r="F1937" s="19">
        <v>19.99</v>
      </c>
      <c r="G1937" s="15" t="s">
        <v>675</v>
      </c>
    </row>
    <row r="1938" ht="15.75" customHeight="1">
      <c r="A1938" s="17" t="s">
        <v>2609</v>
      </c>
      <c r="B1938" s="17" t="s">
        <v>396</v>
      </c>
      <c r="C1938" s="18">
        <v>45621.0</v>
      </c>
      <c r="D1938" s="18">
        <v>45651.0</v>
      </c>
      <c r="E1938" s="17" t="s">
        <v>684</v>
      </c>
      <c r="F1938" s="20">
        <v>19.99</v>
      </c>
      <c r="G1938" s="17" t="s">
        <v>675</v>
      </c>
    </row>
    <row r="1939" ht="15.75" customHeight="1">
      <c r="A1939" s="15" t="s">
        <v>2610</v>
      </c>
      <c r="B1939" s="15" t="s">
        <v>172</v>
      </c>
      <c r="C1939" s="16">
        <v>45621.0</v>
      </c>
      <c r="D1939" s="16">
        <v>45651.0</v>
      </c>
      <c r="E1939" s="15" t="s">
        <v>684</v>
      </c>
      <c r="F1939" s="19">
        <v>19.99</v>
      </c>
      <c r="G1939" s="15" t="s">
        <v>675</v>
      </c>
    </row>
    <row r="1940" ht="15.75" customHeight="1">
      <c r="A1940" s="17" t="s">
        <v>2611</v>
      </c>
      <c r="B1940" s="17" t="s">
        <v>449</v>
      </c>
      <c r="C1940" s="18">
        <v>45621.0</v>
      </c>
      <c r="D1940" s="18">
        <v>45651.0</v>
      </c>
      <c r="E1940" s="17" t="s">
        <v>684</v>
      </c>
      <c r="F1940" s="20">
        <v>19.99</v>
      </c>
      <c r="G1940" s="17" t="s">
        <v>675</v>
      </c>
    </row>
    <row r="1941" ht="15.75" customHeight="1">
      <c r="A1941" s="15" t="s">
        <v>2612</v>
      </c>
      <c r="B1941" s="15" t="s">
        <v>316</v>
      </c>
      <c r="C1941" s="16">
        <v>45621.0</v>
      </c>
      <c r="D1941" s="16">
        <v>45651.0</v>
      </c>
      <c r="E1941" s="15" t="s">
        <v>684</v>
      </c>
      <c r="F1941" s="19">
        <v>19.99</v>
      </c>
      <c r="G1941" s="15" t="s">
        <v>675</v>
      </c>
    </row>
    <row r="1942" ht="15.75" customHeight="1">
      <c r="A1942" s="17" t="s">
        <v>2613</v>
      </c>
      <c r="B1942" s="17" t="s">
        <v>210</v>
      </c>
      <c r="C1942" s="18">
        <v>45621.0</v>
      </c>
      <c r="D1942" s="18">
        <v>45651.0</v>
      </c>
      <c r="E1942" s="17" t="s">
        <v>684</v>
      </c>
      <c r="F1942" s="20">
        <v>19.99</v>
      </c>
      <c r="G1942" s="17" t="s">
        <v>675</v>
      </c>
    </row>
    <row r="1943" ht="15.75" customHeight="1">
      <c r="A1943" s="15" t="s">
        <v>2614</v>
      </c>
      <c r="B1943" s="15" t="s">
        <v>317</v>
      </c>
      <c r="C1943" s="16">
        <v>45622.0</v>
      </c>
      <c r="D1943" s="16">
        <v>45652.0</v>
      </c>
      <c r="E1943" s="15" t="s">
        <v>684</v>
      </c>
      <c r="F1943" s="19">
        <v>19.99</v>
      </c>
      <c r="G1943" s="15" t="s">
        <v>675</v>
      </c>
    </row>
    <row r="1944" ht="15.75" customHeight="1">
      <c r="A1944" s="17" t="s">
        <v>2615</v>
      </c>
      <c r="B1944" s="17" t="s">
        <v>397</v>
      </c>
      <c r="C1944" s="18">
        <v>45622.0</v>
      </c>
      <c r="D1944" s="18">
        <v>45652.0</v>
      </c>
      <c r="E1944" s="17" t="s">
        <v>684</v>
      </c>
      <c r="F1944" s="20">
        <v>19.99</v>
      </c>
      <c r="G1944" s="17" t="s">
        <v>675</v>
      </c>
    </row>
    <row r="1945" ht="15.75" customHeight="1">
      <c r="A1945" s="15" t="s">
        <v>2616</v>
      </c>
      <c r="B1945" s="15" t="s">
        <v>104</v>
      </c>
      <c r="C1945" s="16">
        <v>45622.0</v>
      </c>
      <c r="D1945" s="16">
        <v>45652.0</v>
      </c>
      <c r="E1945" s="15" t="s">
        <v>684</v>
      </c>
      <c r="F1945" s="19">
        <v>19.99</v>
      </c>
      <c r="G1945" s="15" t="s">
        <v>675</v>
      </c>
    </row>
    <row r="1946" ht="15.75" customHeight="1">
      <c r="A1946" s="17" t="s">
        <v>2617</v>
      </c>
      <c r="B1946" s="17" t="s">
        <v>461</v>
      </c>
      <c r="C1946" s="18">
        <v>45622.0</v>
      </c>
      <c r="D1946" s="18">
        <v>45629.0</v>
      </c>
      <c r="E1946" s="17" t="s">
        <v>674</v>
      </c>
      <c r="F1946" s="20">
        <v>0.0</v>
      </c>
      <c r="G1946" s="17" t="s">
        <v>675</v>
      </c>
    </row>
    <row r="1947" ht="15.75" customHeight="1">
      <c r="A1947" s="15" t="s">
        <v>2618</v>
      </c>
      <c r="B1947" s="15" t="s">
        <v>211</v>
      </c>
      <c r="C1947" s="16">
        <v>45622.0</v>
      </c>
      <c r="D1947" s="16">
        <v>45652.0</v>
      </c>
      <c r="E1947" s="15" t="s">
        <v>684</v>
      </c>
      <c r="F1947" s="19">
        <v>19.99</v>
      </c>
      <c r="G1947" s="15" t="s">
        <v>675</v>
      </c>
    </row>
    <row r="1948" ht="15.75" customHeight="1">
      <c r="A1948" s="17" t="s">
        <v>2619</v>
      </c>
      <c r="B1948" s="17" t="s">
        <v>354</v>
      </c>
      <c r="C1948" s="18">
        <v>45622.0</v>
      </c>
      <c r="D1948" s="18">
        <v>45652.0</v>
      </c>
      <c r="E1948" s="17" t="s">
        <v>684</v>
      </c>
      <c r="F1948" s="20">
        <v>19.99</v>
      </c>
      <c r="G1948" s="17" t="s">
        <v>675</v>
      </c>
    </row>
    <row r="1949" ht="15.75" customHeight="1">
      <c r="A1949" s="15" t="s">
        <v>2620</v>
      </c>
      <c r="B1949" s="15" t="s">
        <v>462</v>
      </c>
      <c r="C1949" s="16">
        <v>45622.0</v>
      </c>
      <c r="D1949" s="16">
        <v>45629.0</v>
      </c>
      <c r="E1949" s="15" t="s">
        <v>674</v>
      </c>
      <c r="F1949" s="19">
        <v>0.0</v>
      </c>
      <c r="G1949" s="15" t="s">
        <v>675</v>
      </c>
    </row>
    <row r="1950" ht="15.75" customHeight="1">
      <c r="A1950" s="17" t="s">
        <v>2621</v>
      </c>
      <c r="B1950" s="17" t="s">
        <v>463</v>
      </c>
      <c r="C1950" s="18">
        <v>45622.0</v>
      </c>
      <c r="D1950" s="18">
        <v>45629.0</v>
      </c>
      <c r="E1950" s="17" t="s">
        <v>674</v>
      </c>
      <c r="F1950" s="20">
        <v>0.0</v>
      </c>
      <c r="G1950" s="17" t="s">
        <v>675</v>
      </c>
    </row>
    <row r="1951" ht="15.75" customHeight="1">
      <c r="A1951" s="15" t="s">
        <v>2622</v>
      </c>
      <c r="B1951" s="15" t="s">
        <v>266</v>
      </c>
      <c r="C1951" s="16">
        <v>45622.0</v>
      </c>
      <c r="D1951" s="16">
        <v>45652.0</v>
      </c>
      <c r="E1951" s="15" t="s">
        <v>684</v>
      </c>
      <c r="F1951" s="19">
        <v>19.99</v>
      </c>
      <c r="G1951" s="15" t="s">
        <v>675</v>
      </c>
    </row>
    <row r="1952" ht="15.75" customHeight="1">
      <c r="A1952" s="17" t="s">
        <v>2623</v>
      </c>
      <c r="B1952" s="17" t="s">
        <v>267</v>
      </c>
      <c r="C1952" s="18">
        <v>45622.0</v>
      </c>
      <c r="D1952" s="18">
        <v>45652.0</v>
      </c>
      <c r="E1952" s="17" t="s">
        <v>684</v>
      </c>
      <c r="F1952" s="20">
        <v>19.99</v>
      </c>
      <c r="G1952" s="17" t="s">
        <v>675</v>
      </c>
    </row>
    <row r="1953" ht="15.75" customHeight="1">
      <c r="A1953" s="15" t="s">
        <v>2624</v>
      </c>
      <c r="B1953" s="15" t="s">
        <v>398</v>
      </c>
      <c r="C1953" s="16">
        <v>45623.0</v>
      </c>
      <c r="D1953" s="16">
        <v>45653.0</v>
      </c>
      <c r="E1953" s="15" t="s">
        <v>684</v>
      </c>
      <c r="F1953" s="19">
        <v>19.99</v>
      </c>
      <c r="G1953" s="15" t="s">
        <v>675</v>
      </c>
    </row>
    <row r="1954" ht="15.75" customHeight="1">
      <c r="A1954" s="17" t="s">
        <v>2625</v>
      </c>
      <c r="B1954" s="17" t="s">
        <v>268</v>
      </c>
      <c r="C1954" s="18">
        <v>45623.0</v>
      </c>
      <c r="D1954" s="18">
        <v>45653.0</v>
      </c>
      <c r="E1954" s="17" t="s">
        <v>684</v>
      </c>
      <c r="F1954" s="20">
        <v>19.99</v>
      </c>
      <c r="G1954" s="17" t="s">
        <v>675</v>
      </c>
    </row>
    <row r="1955" ht="15.75" customHeight="1">
      <c r="A1955" s="15" t="s">
        <v>2626</v>
      </c>
      <c r="B1955" s="15" t="s">
        <v>464</v>
      </c>
      <c r="C1955" s="16">
        <v>45623.0</v>
      </c>
      <c r="D1955" s="16">
        <v>45630.0</v>
      </c>
      <c r="E1955" s="15" t="s">
        <v>674</v>
      </c>
      <c r="F1955" s="19">
        <v>0.0</v>
      </c>
      <c r="G1955" s="15" t="s">
        <v>675</v>
      </c>
    </row>
    <row r="1956" ht="15.75" customHeight="1">
      <c r="A1956" s="17" t="s">
        <v>2627</v>
      </c>
      <c r="B1956" s="17" t="s">
        <v>85</v>
      </c>
      <c r="C1956" s="18">
        <v>45623.0</v>
      </c>
      <c r="D1956" s="18">
        <v>45653.0</v>
      </c>
      <c r="E1956" s="17" t="s">
        <v>684</v>
      </c>
      <c r="F1956" s="20">
        <v>19.99</v>
      </c>
      <c r="G1956" s="17" t="s">
        <v>675</v>
      </c>
    </row>
    <row r="1957" ht="15.75" customHeight="1">
      <c r="A1957" s="15" t="s">
        <v>2628</v>
      </c>
      <c r="B1957" s="15" t="s">
        <v>399</v>
      </c>
      <c r="C1957" s="16">
        <v>45623.0</v>
      </c>
      <c r="D1957" s="16">
        <v>45653.0</v>
      </c>
      <c r="E1957" s="15" t="s">
        <v>684</v>
      </c>
      <c r="F1957" s="19">
        <v>19.99</v>
      </c>
      <c r="G1957" s="15" t="s">
        <v>675</v>
      </c>
    </row>
    <row r="1958" ht="15.75" customHeight="1">
      <c r="A1958" s="17" t="s">
        <v>2629</v>
      </c>
      <c r="B1958" s="17" t="s">
        <v>465</v>
      </c>
      <c r="C1958" s="18">
        <v>45623.0</v>
      </c>
      <c r="D1958" s="18">
        <v>45630.0</v>
      </c>
      <c r="E1958" s="17" t="s">
        <v>674</v>
      </c>
      <c r="F1958" s="20">
        <v>0.0</v>
      </c>
      <c r="G1958" s="17" t="s">
        <v>675</v>
      </c>
    </row>
    <row r="1959" ht="15.75" customHeight="1">
      <c r="A1959" s="15" t="s">
        <v>2630</v>
      </c>
      <c r="B1959" s="15" t="s">
        <v>355</v>
      </c>
      <c r="C1959" s="16">
        <v>45623.0</v>
      </c>
      <c r="D1959" s="16">
        <v>45653.0</v>
      </c>
      <c r="E1959" s="15" t="s">
        <v>684</v>
      </c>
      <c r="F1959" s="19">
        <v>19.99</v>
      </c>
      <c r="G1959" s="15" t="s">
        <v>675</v>
      </c>
    </row>
    <row r="1960" ht="15.75" customHeight="1">
      <c r="A1960" s="17" t="s">
        <v>2631</v>
      </c>
      <c r="B1960" s="17" t="s">
        <v>400</v>
      </c>
      <c r="C1960" s="18">
        <v>45623.0</v>
      </c>
      <c r="D1960" s="18">
        <v>45653.0</v>
      </c>
      <c r="E1960" s="17" t="s">
        <v>684</v>
      </c>
      <c r="F1960" s="20">
        <v>19.99</v>
      </c>
      <c r="G1960" s="17" t="s">
        <v>675</v>
      </c>
    </row>
    <row r="1961" ht="15.75" customHeight="1">
      <c r="A1961" s="15" t="s">
        <v>2632</v>
      </c>
      <c r="B1961" s="15" t="s">
        <v>173</v>
      </c>
      <c r="C1961" s="16">
        <v>45623.0</v>
      </c>
      <c r="D1961" s="16">
        <v>45653.0</v>
      </c>
      <c r="E1961" s="15" t="s">
        <v>684</v>
      </c>
      <c r="F1961" s="19">
        <v>19.99</v>
      </c>
      <c r="G1961" s="15" t="s">
        <v>675</v>
      </c>
    </row>
    <row r="1962" ht="15.75" customHeight="1">
      <c r="A1962" s="17" t="s">
        <v>2633</v>
      </c>
      <c r="B1962" s="17" t="s">
        <v>318</v>
      </c>
      <c r="C1962" s="18">
        <v>45623.0</v>
      </c>
      <c r="D1962" s="18">
        <v>45653.0</v>
      </c>
      <c r="E1962" s="17" t="s">
        <v>684</v>
      </c>
      <c r="F1962" s="20">
        <v>19.99</v>
      </c>
      <c r="G1962" s="17" t="s">
        <v>675</v>
      </c>
    </row>
    <row r="1963" ht="15.75" customHeight="1">
      <c r="A1963" s="15" t="s">
        <v>2634</v>
      </c>
      <c r="B1963" s="15" t="s">
        <v>234</v>
      </c>
      <c r="C1963" s="16">
        <v>45623.0</v>
      </c>
      <c r="D1963" s="16">
        <v>45653.0</v>
      </c>
      <c r="E1963" s="15" t="s">
        <v>684</v>
      </c>
      <c r="F1963" s="19">
        <v>19.99</v>
      </c>
      <c r="G1963" s="15" t="s">
        <v>675</v>
      </c>
    </row>
    <row r="1964" ht="15.75" customHeight="1">
      <c r="A1964" s="17" t="s">
        <v>2635</v>
      </c>
      <c r="B1964" s="17" t="s">
        <v>174</v>
      </c>
      <c r="C1964" s="18">
        <v>45623.0</v>
      </c>
      <c r="D1964" s="18">
        <v>45653.0</v>
      </c>
      <c r="E1964" s="17" t="s">
        <v>684</v>
      </c>
      <c r="F1964" s="20">
        <v>19.99</v>
      </c>
      <c r="G1964" s="17" t="s">
        <v>675</v>
      </c>
    </row>
    <row r="1965" ht="15.75" customHeight="1">
      <c r="A1965" s="15" t="s">
        <v>2636</v>
      </c>
      <c r="B1965" s="15" t="s">
        <v>466</v>
      </c>
      <c r="C1965" s="16">
        <v>45624.0</v>
      </c>
      <c r="D1965" s="16">
        <v>45631.0</v>
      </c>
      <c r="E1965" s="15" t="s">
        <v>674</v>
      </c>
      <c r="F1965" s="19">
        <v>0.0</v>
      </c>
      <c r="G1965" s="15" t="s">
        <v>675</v>
      </c>
    </row>
    <row r="1966" ht="15.75" customHeight="1">
      <c r="A1966" s="17" t="s">
        <v>2637</v>
      </c>
      <c r="B1966" s="17" t="s">
        <v>401</v>
      </c>
      <c r="C1966" s="18">
        <v>45624.0</v>
      </c>
      <c r="D1966" s="18">
        <v>45654.0</v>
      </c>
      <c r="E1966" s="17" t="s">
        <v>684</v>
      </c>
      <c r="F1966" s="20">
        <v>19.99</v>
      </c>
      <c r="G1966" s="17" t="s">
        <v>675</v>
      </c>
    </row>
    <row r="1967" ht="15.75" customHeight="1">
      <c r="A1967" s="15" t="s">
        <v>2638</v>
      </c>
      <c r="B1967" s="15" t="s">
        <v>235</v>
      </c>
      <c r="C1967" s="16">
        <v>45624.0</v>
      </c>
      <c r="D1967" s="16">
        <v>45654.0</v>
      </c>
      <c r="E1967" s="15" t="s">
        <v>684</v>
      </c>
      <c r="F1967" s="19">
        <v>19.99</v>
      </c>
      <c r="G1967" s="15" t="s">
        <v>675</v>
      </c>
    </row>
    <row r="1968" ht="15.75" customHeight="1">
      <c r="A1968" s="17" t="s">
        <v>2639</v>
      </c>
      <c r="B1968" s="17" t="s">
        <v>450</v>
      </c>
      <c r="C1968" s="18">
        <v>45624.0</v>
      </c>
      <c r="D1968" s="18">
        <v>45654.0</v>
      </c>
      <c r="E1968" s="17" t="s">
        <v>684</v>
      </c>
      <c r="F1968" s="20">
        <v>19.99</v>
      </c>
      <c r="G1968" s="17" t="s">
        <v>675</v>
      </c>
    </row>
    <row r="1969" ht="15.75" customHeight="1">
      <c r="A1969" s="15" t="s">
        <v>2640</v>
      </c>
      <c r="B1969" s="15" t="s">
        <v>175</v>
      </c>
      <c r="C1969" s="16">
        <v>45624.0</v>
      </c>
      <c r="D1969" s="16">
        <v>45654.0</v>
      </c>
      <c r="E1969" s="15" t="s">
        <v>684</v>
      </c>
      <c r="F1969" s="19">
        <v>19.99</v>
      </c>
      <c r="G1969" s="15" t="s">
        <v>675</v>
      </c>
    </row>
    <row r="1970" ht="15.75" customHeight="1">
      <c r="A1970" s="17" t="s">
        <v>2641</v>
      </c>
      <c r="B1970" s="17" t="s">
        <v>236</v>
      </c>
      <c r="C1970" s="18">
        <v>45624.0</v>
      </c>
      <c r="D1970" s="18">
        <v>45654.0</v>
      </c>
      <c r="E1970" s="17" t="s">
        <v>684</v>
      </c>
      <c r="F1970" s="20">
        <v>19.99</v>
      </c>
      <c r="G1970" s="17" t="s">
        <v>675</v>
      </c>
    </row>
    <row r="1971" ht="15.75" customHeight="1">
      <c r="A1971" s="15" t="s">
        <v>2642</v>
      </c>
      <c r="B1971" s="15" t="s">
        <v>237</v>
      </c>
      <c r="C1971" s="16">
        <v>45624.0</v>
      </c>
      <c r="D1971" s="16">
        <v>45654.0</v>
      </c>
      <c r="E1971" s="15" t="s">
        <v>684</v>
      </c>
      <c r="F1971" s="19">
        <v>19.99</v>
      </c>
      <c r="G1971" s="15" t="s">
        <v>675</v>
      </c>
    </row>
    <row r="1972" ht="15.75" customHeight="1">
      <c r="A1972" s="17" t="s">
        <v>2643</v>
      </c>
      <c r="B1972" s="17" t="s">
        <v>269</v>
      </c>
      <c r="C1972" s="18">
        <v>45624.0</v>
      </c>
      <c r="D1972" s="18">
        <v>45654.0</v>
      </c>
      <c r="E1972" s="17" t="s">
        <v>684</v>
      </c>
      <c r="F1972" s="20">
        <v>19.99</v>
      </c>
      <c r="G1972" s="17" t="s">
        <v>675</v>
      </c>
    </row>
    <row r="1973" ht="15.75" customHeight="1">
      <c r="A1973" s="15" t="s">
        <v>2644</v>
      </c>
      <c r="B1973" s="15" t="s">
        <v>467</v>
      </c>
      <c r="C1973" s="16">
        <v>45624.0</v>
      </c>
      <c r="D1973" s="16">
        <v>45631.0</v>
      </c>
      <c r="E1973" s="15" t="s">
        <v>674</v>
      </c>
      <c r="F1973" s="19">
        <v>0.0</v>
      </c>
      <c r="G1973" s="15" t="s">
        <v>675</v>
      </c>
    </row>
    <row r="1974" ht="15.75" customHeight="1">
      <c r="A1974" s="17" t="s">
        <v>2645</v>
      </c>
      <c r="B1974" s="17" t="s">
        <v>319</v>
      </c>
      <c r="C1974" s="18">
        <v>45624.0</v>
      </c>
      <c r="D1974" s="18">
        <v>45654.0</v>
      </c>
      <c r="E1974" s="17" t="s">
        <v>684</v>
      </c>
      <c r="F1974" s="20">
        <v>19.99</v>
      </c>
      <c r="G1974" s="17" t="s">
        <v>675</v>
      </c>
    </row>
    <row r="1975" ht="15.75" customHeight="1">
      <c r="A1975" s="15" t="s">
        <v>2646</v>
      </c>
      <c r="B1975" s="15" t="s">
        <v>451</v>
      </c>
      <c r="C1975" s="16">
        <v>45624.0</v>
      </c>
      <c r="D1975" s="16">
        <v>45654.0</v>
      </c>
      <c r="E1975" s="15" t="s">
        <v>684</v>
      </c>
      <c r="F1975" s="19">
        <v>19.99</v>
      </c>
      <c r="G1975" s="15" t="s">
        <v>675</v>
      </c>
    </row>
    <row r="1976" ht="15.75" customHeight="1">
      <c r="A1976" s="17" t="s">
        <v>2647</v>
      </c>
      <c r="B1976" s="17" t="s">
        <v>402</v>
      </c>
      <c r="C1976" s="18">
        <v>45624.0</v>
      </c>
      <c r="D1976" s="18">
        <v>45654.0</v>
      </c>
      <c r="E1976" s="17" t="s">
        <v>684</v>
      </c>
      <c r="F1976" s="20">
        <v>19.99</v>
      </c>
      <c r="G1976" s="17" t="s">
        <v>675</v>
      </c>
    </row>
    <row r="1977" ht="15.75" customHeight="1">
      <c r="A1977" s="15" t="s">
        <v>2648</v>
      </c>
      <c r="B1977" s="15" t="s">
        <v>468</v>
      </c>
      <c r="C1977" s="16">
        <v>45624.0</v>
      </c>
      <c r="D1977" s="16">
        <v>45631.0</v>
      </c>
      <c r="E1977" s="15" t="s">
        <v>674</v>
      </c>
      <c r="F1977" s="19">
        <v>0.0</v>
      </c>
      <c r="G1977" s="15" t="s">
        <v>675</v>
      </c>
    </row>
    <row r="1978" ht="15.75" customHeight="1">
      <c r="A1978" s="17" t="s">
        <v>2649</v>
      </c>
      <c r="B1978" s="17" t="s">
        <v>143</v>
      </c>
      <c r="C1978" s="18">
        <v>45624.0</v>
      </c>
      <c r="D1978" s="18">
        <v>45654.0</v>
      </c>
      <c r="E1978" s="17" t="s">
        <v>684</v>
      </c>
      <c r="F1978" s="20">
        <v>19.99</v>
      </c>
      <c r="G1978" s="17" t="s">
        <v>675</v>
      </c>
    </row>
    <row r="1979" ht="15.75" customHeight="1">
      <c r="A1979" s="15" t="s">
        <v>2650</v>
      </c>
      <c r="B1979" s="15" t="s">
        <v>357</v>
      </c>
      <c r="C1979" s="16">
        <v>45624.0</v>
      </c>
      <c r="D1979" s="16">
        <v>45654.0</v>
      </c>
      <c r="E1979" s="15" t="s">
        <v>684</v>
      </c>
      <c r="F1979" s="19">
        <v>19.99</v>
      </c>
      <c r="G1979" s="15" t="s">
        <v>675</v>
      </c>
    </row>
    <row r="1980" ht="15.75" customHeight="1">
      <c r="A1980" s="17" t="s">
        <v>2651</v>
      </c>
      <c r="B1980" s="17" t="s">
        <v>176</v>
      </c>
      <c r="C1980" s="18">
        <v>45625.0</v>
      </c>
      <c r="D1980" s="18">
        <v>45655.0</v>
      </c>
      <c r="E1980" s="17" t="s">
        <v>684</v>
      </c>
      <c r="F1980" s="20">
        <v>19.99</v>
      </c>
      <c r="G1980" s="17" t="s">
        <v>675</v>
      </c>
    </row>
    <row r="1981" ht="15.75" customHeight="1">
      <c r="A1981" s="15" t="s">
        <v>2652</v>
      </c>
      <c r="B1981" s="15" t="s">
        <v>177</v>
      </c>
      <c r="C1981" s="16">
        <v>45625.0</v>
      </c>
      <c r="D1981" s="16">
        <v>45655.0</v>
      </c>
      <c r="E1981" s="15" t="s">
        <v>684</v>
      </c>
      <c r="F1981" s="19">
        <v>19.99</v>
      </c>
      <c r="G1981" s="15" t="s">
        <v>675</v>
      </c>
    </row>
    <row r="1982" ht="15.75" customHeight="1">
      <c r="A1982" s="17" t="s">
        <v>2653</v>
      </c>
      <c r="B1982" s="17" t="s">
        <v>106</v>
      </c>
      <c r="C1982" s="18">
        <v>45625.0</v>
      </c>
      <c r="D1982" s="18">
        <v>45655.0</v>
      </c>
      <c r="E1982" s="17" t="s">
        <v>684</v>
      </c>
      <c r="F1982" s="20">
        <v>19.99</v>
      </c>
      <c r="G1982" s="17" t="s">
        <v>675</v>
      </c>
    </row>
    <row r="1983" ht="15.75" customHeight="1">
      <c r="A1983" s="15" t="s">
        <v>2654</v>
      </c>
      <c r="B1983" s="15" t="s">
        <v>452</v>
      </c>
      <c r="C1983" s="16">
        <v>45625.0</v>
      </c>
      <c r="D1983" s="16">
        <v>45655.0</v>
      </c>
      <c r="E1983" s="15" t="s">
        <v>684</v>
      </c>
      <c r="F1983" s="19">
        <v>19.99</v>
      </c>
      <c r="G1983" s="15" t="s">
        <v>675</v>
      </c>
    </row>
    <row r="1984" ht="15.75" customHeight="1">
      <c r="A1984" s="17" t="s">
        <v>2655</v>
      </c>
      <c r="B1984" s="17" t="s">
        <v>272</v>
      </c>
      <c r="C1984" s="18">
        <v>45625.0</v>
      </c>
      <c r="D1984" s="18">
        <v>45655.0</v>
      </c>
      <c r="E1984" s="17" t="s">
        <v>684</v>
      </c>
      <c r="F1984" s="20">
        <v>19.99</v>
      </c>
      <c r="G1984" s="17" t="s">
        <v>675</v>
      </c>
    </row>
    <row r="1985" ht="15.75" customHeight="1">
      <c r="A1985" s="15" t="s">
        <v>2656</v>
      </c>
      <c r="B1985" s="15" t="s">
        <v>179</v>
      </c>
      <c r="C1985" s="16">
        <v>45625.0</v>
      </c>
      <c r="D1985" s="16">
        <v>45655.0</v>
      </c>
      <c r="E1985" s="15" t="s">
        <v>684</v>
      </c>
      <c r="F1985" s="19">
        <v>19.99</v>
      </c>
      <c r="G1985" s="15" t="s">
        <v>675</v>
      </c>
    </row>
    <row r="1986" ht="15.75" customHeight="1">
      <c r="A1986" s="17" t="s">
        <v>2657</v>
      </c>
      <c r="B1986" s="17" t="s">
        <v>403</v>
      </c>
      <c r="C1986" s="18">
        <v>45625.0</v>
      </c>
      <c r="D1986" s="18">
        <v>45655.0</v>
      </c>
      <c r="E1986" s="17" t="s">
        <v>684</v>
      </c>
      <c r="F1986" s="20">
        <v>19.99</v>
      </c>
      <c r="G1986" s="17" t="s">
        <v>675</v>
      </c>
    </row>
    <row r="1987" ht="15.75" customHeight="1">
      <c r="A1987" s="15" t="s">
        <v>2658</v>
      </c>
      <c r="B1987" s="15" t="s">
        <v>404</v>
      </c>
      <c r="C1987" s="16">
        <v>45625.0</v>
      </c>
      <c r="D1987" s="16">
        <v>45655.0</v>
      </c>
      <c r="E1987" s="15" t="s">
        <v>684</v>
      </c>
      <c r="F1987" s="19">
        <v>19.99</v>
      </c>
      <c r="G1987" s="15" t="s">
        <v>675</v>
      </c>
    </row>
    <row r="1988" ht="15.75" customHeight="1">
      <c r="A1988" s="17" t="s">
        <v>2659</v>
      </c>
      <c r="B1988" s="17" t="s">
        <v>453</v>
      </c>
      <c r="C1988" s="18">
        <v>45625.0</v>
      </c>
      <c r="D1988" s="18">
        <v>45655.0</v>
      </c>
      <c r="E1988" s="17" t="s">
        <v>684</v>
      </c>
      <c r="F1988" s="20">
        <v>19.99</v>
      </c>
      <c r="G1988" s="17" t="s">
        <v>675</v>
      </c>
    </row>
    <row r="1989" ht="15.75" customHeight="1">
      <c r="A1989" s="15" t="s">
        <v>2660</v>
      </c>
      <c r="B1989" s="15" t="s">
        <v>454</v>
      </c>
      <c r="C1989" s="16">
        <v>45625.0</v>
      </c>
      <c r="D1989" s="16">
        <v>45655.0</v>
      </c>
      <c r="E1989" s="15" t="s">
        <v>684</v>
      </c>
      <c r="F1989" s="19">
        <v>19.99</v>
      </c>
      <c r="G1989" s="15" t="s">
        <v>675</v>
      </c>
    </row>
    <row r="1990" ht="15.75" customHeight="1">
      <c r="A1990" s="17" t="s">
        <v>2661</v>
      </c>
      <c r="B1990" s="17" t="s">
        <v>455</v>
      </c>
      <c r="C1990" s="18">
        <v>45626.0</v>
      </c>
      <c r="D1990" s="18">
        <v>45656.0</v>
      </c>
      <c r="E1990" s="17" t="s">
        <v>684</v>
      </c>
      <c r="F1990" s="20">
        <v>19.99</v>
      </c>
      <c r="G1990" s="17" t="s">
        <v>675</v>
      </c>
    </row>
    <row r="1991" ht="15.75" customHeight="1">
      <c r="A1991" s="15" t="s">
        <v>2662</v>
      </c>
      <c r="B1991" s="15" t="s">
        <v>405</v>
      </c>
      <c r="C1991" s="16">
        <v>45626.0</v>
      </c>
      <c r="D1991" s="16">
        <v>45656.0</v>
      </c>
      <c r="E1991" s="15" t="s">
        <v>684</v>
      </c>
      <c r="F1991" s="19">
        <v>19.99</v>
      </c>
      <c r="G1991" s="15" t="s">
        <v>675</v>
      </c>
    </row>
    <row r="1992" ht="15.75" customHeight="1">
      <c r="A1992" s="17" t="s">
        <v>2663</v>
      </c>
      <c r="B1992" s="17" t="s">
        <v>273</v>
      </c>
      <c r="C1992" s="18">
        <v>45626.0</v>
      </c>
      <c r="D1992" s="18">
        <v>45656.0</v>
      </c>
      <c r="E1992" s="17" t="s">
        <v>684</v>
      </c>
      <c r="F1992" s="20">
        <v>19.99</v>
      </c>
      <c r="G1992" s="17" t="s">
        <v>675</v>
      </c>
    </row>
    <row r="1993" ht="15.75" customHeight="1">
      <c r="A1993" s="15" t="s">
        <v>2664</v>
      </c>
      <c r="B1993" s="15" t="s">
        <v>456</v>
      </c>
      <c r="C1993" s="16">
        <v>45626.0</v>
      </c>
      <c r="D1993" s="16">
        <v>45656.0</v>
      </c>
      <c r="E1993" s="15" t="s">
        <v>684</v>
      </c>
      <c r="F1993" s="19">
        <v>19.99</v>
      </c>
      <c r="G1993" s="15" t="s">
        <v>675</v>
      </c>
    </row>
    <row r="1994" ht="15.75" customHeight="1">
      <c r="A1994" s="17" t="s">
        <v>2665</v>
      </c>
      <c r="B1994" s="17" t="s">
        <v>108</v>
      </c>
      <c r="C1994" s="18">
        <v>45626.0</v>
      </c>
      <c r="D1994" s="18">
        <v>45656.0</v>
      </c>
      <c r="E1994" s="17" t="s">
        <v>684</v>
      </c>
      <c r="F1994" s="20">
        <v>19.99</v>
      </c>
      <c r="G1994" s="17" t="s">
        <v>675</v>
      </c>
    </row>
    <row r="1995" ht="15.75" customHeight="1">
      <c r="A1995" s="15" t="s">
        <v>2666</v>
      </c>
      <c r="B1995" s="15" t="s">
        <v>144</v>
      </c>
      <c r="C1995" s="16">
        <v>45626.0</v>
      </c>
      <c r="D1995" s="16">
        <v>45656.0</v>
      </c>
      <c r="E1995" s="15" t="s">
        <v>684</v>
      </c>
      <c r="F1995" s="19">
        <v>19.99</v>
      </c>
      <c r="G1995" s="15" t="s">
        <v>675</v>
      </c>
    </row>
    <row r="1996" ht="15.75" customHeight="1">
      <c r="A1996" s="17" t="s">
        <v>2667</v>
      </c>
      <c r="B1996" s="17" t="s">
        <v>180</v>
      </c>
      <c r="C1996" s="18">
        <v>45626.0</v>
      </c>
      <c r="D1996" s="18">
        <v>45656.0</v>
      </c>
      <c r="E1996" s="17" t="s">
        <v>684</v>
      </c>
      <c r="F1996" s="20">
        <v>19.99</v>
      </c>
      <c r="G1996" s="17" t="s">
        <v>675</v>
      </c>
    </row>
    <row r="1997" ht="15.75" customHeight="1">
      <c r="A1997" s="15" t="s">
        <v>2668</v>
      </c>
      <c r="B1997" s="15" t="s">
        <v>359</v>
      </c>
      <c r="C1997" s="16">
        <v>45626.0</v>
      </c>
      <c r="D1997" s="16">
        <v>45656.0</v>
      </c>
      <c r="E1997" s="15" t="s">
        <v>684</v>
      </c>
      <c r="F1997" s="19">
        <v>19.99</v>
      </c>
      <c r="G1997" s="15" t="s">
        <v>675</v>
      </c>
    </row>
    <row r="1998" ht="15.75" customHeight="1">
      <c r="A1998" s="17" t="s">
        <v>2669</v>
      </c>
      <c r="B1998" s="17" t="s">
        <v>406</v>
      </c>
      <c r="C1998" s="18">
        <v>45626.0</v>
      </c>
      <c r="D1998" s="18">
        <v>45656.0</v>
      </c>
      <c r="E1998" s="17" t="s">
        <v>684</v>
      </c>
      <c r="F1998" s="20">
        <v>19.99</v>
      </c>
      <c r="G1998" s="17" t="s">
        <v>675</v>
      </c>
    </row>
    <row r="1999" ht="15.75" customHeight="1">
      <c r="A1999" s="15" t="s">
        <v>2670</v>
      </c>
      <c r="B1999" s="15" t="s">
        <v>407</v>
      </c>
      <c r="C1999" s="16">
        <v>45626.0</v>
      </c>
      <c r="D1999" s="16">
        <v>45656.0</v>
      </c>
      <c r="E1999" s="15" t="s">
        <v>684</v>
      </c>
      <c r="F1999" s="19">
        <v>19.99</v>
      </c>
      <c r="G1999" s="15" t="s">
        <v>675</v>
      </c>
    </row>
    <row r="2000" ht="15.75" customHeight="1">
      <c r="A2000" s="17" t="s">
        <v>2671</v>
      </c>
      <c r="B2000" s="17" t="s">
        <v>457</v>
      </c>
      <c r="C2000" s="18">
        <v>45626.0</v>
      </c>
      <c r="D2000" s="18">
        <v>45656.0</v>
      </c>
      <c r="E2000" s="17" t="s">
        <v>684</v>
      </c>
      <c r="F2000" s="20">
        <v>19.99</v>
      </c>
      <c r="G2000" s="17" t="s">
        <v>675</v>
      </c>
    </row>
    <row r="2001" ht="15.75" customHeight="1">
      <c r="A2001" s="15" t="s">
        <v>2672</v>
      </c>
      <c r="B2001" s="15" t="s">
        <v>212</v>
      </c>
      <c r="C2001" s="16">
        <v>45626.0</v>
      </c>
      <c r="D2001" s="16">
        <v>45656.0</v>
      </c>
      <c r="E2001" s="15" t="s">
        <v>684</v>
      </c>
      <c r="F2001" s="19">
        <v>19.99</v>
      </c>
      <c r="G2001" s="15" t="s">
        <v>675</v>
      </c>
    </row>
    <row r="2002" ht="15.75" customHeight="1">
      <c r="A2002" s="17" t="s">
        <v>2673</v>
      </c>
      <c r="B2002" s="17" t="s">
        <v>109</v>
      </c>
      <c r="C2002" s="18">
        <v>45626.0</v>
      </c>
      <c r="D2002" s="18">
        <v>45656.0</v>
      </c>
      <c r="E2002" s="17" t="s">
        <v>684</v>
      </c>
      <c r="F2002" s="20">
        <v>19.99</v>
      </c>
      <c r="G2002" s="17" t="s">
        <v>675</v>
      </c>
    </row>
    <row r="2003" ht="15.75" customHeight="1">
      <c r="A2003" s="15" t="s">
        <v>2674</v>
      </c>
      <c r="B2003" s="15" t="s">
        <v>458</v>
      </c>
      <c r="C2003" s="16">
        <v>45626.0</v>
      </c>
      <c r="D2003" s="16">
        <v>45656.0</v>
      </c>
      <c r="E2003" s="15" t="s">
        <v>684</v>
      </c>
      <c r="F2003" s="19">
        <v>19.99</v>
      </c>
      <c r="G2003" s="15" t="s">
        <v>675</v>
      </c>
    </row>
    <row r="2004" ht="15.75" customHeight="1">
      <c r="A2004" s="17" t="s">
        <v>2675</v>
      </c>
      <c r="B2004" s="17" t="s">
        <v>110</v>
      </c>
      <c r="C2004" s="18">
        <v>45626.0</v>
      </c>
      <c r="D2004" s="18">
        <v>45656.0</v>
      </c>
      <c r="E2004" s="17" t="s">
        <v>684</v>
      </c>
      <c r="F2004" s="20">
        <v>19.99</v>
      </c>
      <c r="G2004" s="17" t="s">
        <v>675</v>
      </c>
    </row>
    <row r="2005" ht="15.75" customHeight="1">
      <c r="A2005" s="15" t="s">
        <v>2676</v>
      </c>
      <c r="B2005" s="15" t="s">
        <v>111</v>
      </c>
      <c r="C2005" s="16">
        <v>45626.0</v>
      </c>
      <c r="D2005" s="16">
        <v>45656.0</v>
      </c>
      <c r="E2005" s="15" t="s">
        <v>684</v>
      </c>
      <c r="F2005" s="19">
        <v>19.99</v>
      </c>
      <c r="G2005" s="15" t="s">
        <v>675</v>
      </c>
    </row>
    <row r="2006" ht="15.75" customHeight="1">
      <c r="A2006" s="17" t="s">
        <v>2677</v>
      </c>
      <c r="B2006" s="17" t="s">
        <v>459</v>
      </c>
      <c r="C2006" s="18">
        <v>45627.0</v>
      </c>
      <c r="D2006" s="18">
        <v>45657.0</v>
      </c>
      <c r="E2006" s="17" t="s">
        <v>684</v>
      </c>
      <c r="F2006" s="20">
        <v>19.99</v>
      </c>
      <c r="G2006" s="17" t="s">
        <v>675</v>
      </c>
    </row>
    <row r="2007" ht="15.75" customHeight="1">
      <c r="A2007" s="15" t="s">
        <v>2678</v>
      </c>
      <c r="B2007" s="15" t="s">
        <v>181</v>
      </c>
      <c r="C2007" s="16">
        <v>45627.0</v>
      </c>
      <c r="D2007" s="16">
        <v>45657.0</v>
      </c>
      <c r="E2007" s="15" t="s">
        <v>684</v>
      </c>
      <c r="F2007" s="19">
        <v>19.99</v>
      </c>
      <c r="G2007" s="15" t="s">
        <v>675</v>
      </c>
    </row>
    <row r="2008" ht="15.75" customHeight="1">
      <c r="A2008" s="17" t="s">
        <v>2679</v>
      </c>
      <c r="B2008" s="17" t="s">
        <v>238</v>
      </c>
      <c r="C2008" s="18">
        <v>45627.0</v>
      </c>
      <c r="D2008" s="18">
        <v>45657.0</v>
      </c>
      <c r="E2008" s="17" t="s">
        <v>684</v>
      </c>
      <c r="F2008" s="20">
        <v>19.99</v>
      </c>
      <c r="G2008" s="17" t="s">
        <v>675</v>
      </c>
    </row>
    <row r="2009" ht="15.75" customHeight="1">
      <c r="A2009" s="15" t="s">
        <v>2680</v>
      </c>
      <c r="B2009" s="15" t="s">
        <v>460</v>
      </c>
      <c r="C2009" s="16">
        <v>45627.0</v>
      </c>
      <c r="D2009" s="16">
        <v>45657.0</v>
      </c>
      <c r="E2009" s="15" t="s">
        <v>684</v>
      </c>
      <c r="F2009" s="19">
        <v>19.99</v>
      </c>
      <c r="G2009" s="15" t="s">
        <v>675</v>
      </c>
    </row>
    <row r="2010" ht="15.75" customHeight="1">
      <c r="A2010" s="17" t="s">
        <v>2681</v>
      </c>
      <c r="B2010" s="17" t="s">
        <v>469</v>
      </c>
      <c r="C2010" s="18">
        <v>45627.0</v>
      </c>
      <c r="D2010" s="18">
        <v>45634.0</v>
      </c>
      <c r="E2010" s="17" t="s">
        <v>674</v>
      </c>
      <c r="F2010" s="20">
        <v>0.0</v>
      </c>
      <c r="G2010" s="17" t="s">
        <v>675</v>
      </c>
    </row>
    <row r="2011" ht="15.75" customHeight="1">
      <c r="A2011" s="15" t="s">
        <v>2682</v>
      </c>
      <c r="B2011" s="15" t="s">
        <v>323</v>
      </c>
      <c r="C2011" s="16">
        <v>45627.0</v>
      </c>
      <c r="D2011" s="16">
        <v>45657.0</v>
      </c>
      <c r="E2011" s="15" t="s">
        <v>684</v>
      </c>
      <c r="F2011" s="19">
        <v>19.99</v>
      </c>
      <c r="G2011" s="15" t="s">
        <v>675</v>
      </c>
    </row>
    <row r="2012" ht="15.75" customHeight="1">
      <c r="A2012" s="17" t="s">
        <v>2683</v>
      </c>
      <c r="B2012" s="17" t="s">
        <v>113</v>
      </c>
      <c r="C2012" s="18">
        <v>45627.0</v>
      </c>
      <c r="D2012" s="18">
        <v>45657.0</v>
      </c>
      <c r="E2012" s="17" t="s">
        <v>684</v>
      </c>
      <c r="F2012" s="20">
        <v>19.99</v>
      </c>
      <c r="G2012" s="17" t="s">
        <v>675</v>
      </c>
    </row>
    <row r="2013" ht="15.75" customHeight="1">
      <c r="A2013" s="15" t="s">
        <v>2684</v>
      </c>
      <c r="B2013" s="15" t="s">
        <v>324</v>
      </c>
      <c r="C2013" s="16">
        <v>45627.0</v>
      </c>
      <c r="D2013" s="16">
        <v>45657.0</v>
      </c>
      <c r="E2013" s="15" t="s">
        <v>684</v>
      </c>
      <c r="F2013" s="19">
        <v>19.99</v>
      </c>
      <c r="G2013" s="15" t="s">
        <v>675</v>
      </c>
    </row>
    <row r="2014" ht="15.75" customHeight="1">
      <c r="A2014" s="17" t="s">
        <v>2685</v>
      </c>
      <c r="B2014" s="17" t="s">
        <v>274</v>
      </c>
      <c r="C2014" s="18">
        <v>45627.0</v>
      </c>
      <c r="D2014" s="18">
        <v>45657.0</v>
      </c>
      <c r="E2014" s="17" t="s">
        <v>684</v>
      </c>
      <c r="F2014" s="20">
        <v>19.99</v>
      </c>
      <c r="G2014" s="17" t="s">
        <v>675</v>
      </c>
    </row>
    <row r="2015" ht="15.75" customHeight="1">
      <c r="A2015" s="15" t="s">
        <v>2686</v>
      </c>
      <c r="B2015" s="15" t="s">
        <v>239</v>
      </c>
      <c r="C2015" s="16">
        <v>45627.0</v>
      </c>
      <c r="D2015" s="16">
        <v>45657.0</v>
      </c>
      <c r="E2015" s="15" t="s">
        <v>684</v>
      </c>
      <c r="F2015" s="19">
        <v>19.99</v>
      </c>
      <c r="G2015" s="15" t="s">
        <v>675</v>
      </c>
    </row>
    <row r="2016" ht="15.75" customHeight="1">
      <c r="A2016" s="17" t="s">
        <v>2687</v>
      </c>
      <c r="B2016" s="17" t="s">
        <v>213</v>
      </c>
      <c r="C2016" s="18">
        <v>45628.0</v>
      </c>
      <c r="D2016" s="18">
        <v>45658.0</v>
      </c>
      <c r="E2016" s="17" t="s">
        <v>684</v>
      </c>
      <c r="F2016" s="20">
        <v>19.99</v>
      </c>
      <c r="G2016" s="17" t="s">
        <v>675</v>
      </c>
    </row>
    <row r="2017" ht="15.75" customHeight="1">
      <c r="A2017" s="15" t="s">
        <v>2688</v>
      </c>
      <c r="B2017" s="15" t="s">
        <v>470</v>
      </c>
      <c r="C2017" s="16">
        <v>45628.0</v>
      </c>
      <c r="D2017" s="16">
        <v>45635.0</v>
      </c>
      <c r="E2017" s="15" t="s">
        <v>674</v>
      </c>
      <c r="F2017" s="19">
        <v>0.0</v>
      </c>
      <c r="G2017" s="15" t="s">
        <v>675</v>
      </c>
    </row>
    <row r="2018" ht="15.75" customHeight="1">
      <c r="A2018" s="17" t="s">
        <v>2689</v>
      </c>
      <c r="B2018" s="17" t="s">
        <v>325</v>
      </c>
      <c r="C2018" s="18">
        <v>45628.0</v>
      </c>
      <c r="D2018" s="18">
        <v>45658.0</v>
      </c>
      <c r="E2018" s="17" t="s">
        <v>684</v>
      </c>
      <c r="F2018" s="20">
        <v>19.99</v>
      </c>
      <c r="G2018" s="17" t="s">
        <v>675</v>
      </c>
    </row>
    <row r="2019" ht="15.75" customHeight="1">
      <c r="A2019" s="15" t="s">
        <v>2690</v>
      </c>
      <c r="B2019" s="15" t="s">
        <v>276</v>
      </c>
      <c r="C2019" s="16">
        <v>45628.0</v>
      </c>
      <c r="D2019" s="16">
        <v>45658.0</v>
      </c>
      <c r="E2019" s="15" t="s">
        <v>684</v>
      </c>
      <c r="F2019" s="19">
        <v>19.99</v>
      </c>
      <c r="G2019" s="15" t="s">
        <v>675</v>
      </c>
    </row>
    <row r="2020" ht="15.75" customHeight="1">
      <c r="A2020" s="17" t="s">
        <v>2691</v>
      </c>
      <c r="B2020" s="17" t="s">
        <v>360</v>
      </c>
      <c r="C2020" s="18">
        <v>45628.0</v>
      </c>
      <c r="D2020" s="18">
        <v>45658.0</v>
      </c>
      <c r="E2020" s="17" t="s">
        <v>684</v>
      </c>
      <c r="F2020" s="20">
        <v>19.99</v>
      </c>
      <c r="G2020" s="17" t="s">
        <v>675</v>
      </c>
    </row>
    <row r="2021" ht="15.75" customHeight="1">
      <c r="A2021" s="15" t="s">
        <v>2692</v>
      </c>
      <c r="B2021" s="15" t="s">
        <v>214</v>
      </c>
      <c r="C2021" s="16">
        <v>45628.0</v>
      </c>
      <c r="D2021" s="16">
        <v>45658.0</v>
      </c>
      <c r="E2021" s="15" t="s">
        <v>684</v>
      </c>
      <c r="F2021" s="19">
        <v>19.99</v>
      </c>
      <c r="G2021" s="15" t="s">
        <v>675</v>
      </c>
    </row>
    <row r="2022" ht="15.75" customHeight="1">
      <c r="A2022" s="17" t="s">
        <v>2693</v>
      </c>
      <c r="B2022" s="17" t="s">
        <v>277</v>
      </c>
      <c r="C2022" s="18">
        <v>45628.0</v>
      </c>
      <c r="D2022" s="18">
        <v>45658.0</v>
      </c>
      <c r="E2022" s="17" t="s">
        <v>684</v>
      </c>
      <c r="F2022" s="20">
        <v>19.99</v>
      </c>
      <c r="G2022" s="17" t="s">
        <v>675</v>
      </c>
    </row>
    <row r="2023" ht="15.75" customHeight="1">
      <c r="A2023" s="15" t="s">
        <v>2694</v>
      </c>
      <c r="B2023" s="15" t="s">
        <v>241</v>
      </c>
      <c r="C2023" s="16">
        <v>45628.0</v>
      </c>
      <c r="D2023" s="16">
        <v>45658.0</v>
      </c>
      <c r="E2023" s="15" t="s">
        <v>684</v>
      </c>
      <c r="F2023" s="19">
        <v>19.99</v>
      </c>
      <c r="G2023" s="15" t="s">
        <v>675</v>
      </c>
    </row>
    <row r="2024" ht="15.75" customHeight="1">
      <c r="A2024" s="17" t="s">
        <v>2695</v>
      </c>
      <c r="B2024" s="17" t="s">
        <v>146</v>
      </c>
      <c r="C2024" s="18">
        <v>45629.0</v>
      </c>
      <c r="D2024" s="18">
        <v>45659.0</v>
      </c>
      <c r="E2024" s="17" t="s">
        <v>684</v>
      </c>
      <c r="F2024" s="20">
        <v>19.99</v>
      </c>
      <c r="G2024" s="17" t="s">
        <v>675</v>
      </c>
    </row>
    <row r="2025" ht="15.75" customHeight="1">
      <c r="A2025" s="15" t="s">
        <v>2696</v>
      </c>
      <c r="B2025" s="15" t="s">
        <v>327</v>
      </c>
      <c r="C2025" s="16">
        <v>45629.0</v>
      </c>
      <c r="D2025" s="16">
        <v>45659.0</v>
      </c>
      <c r="E2025" s="15" t="s">
        <v>684</v>
      </c>
      <c r="F2025" s="19">
        <v>19.99</v>
      </c>
      <c r="G2025" s="15" t="s">
        <v>675</v>
      </c>
    </row>
    <row r="2026" ht="15.75" customHeight="1">
      <c r="A2026" s="17" t="s">
        <v>2697</v>
      </c>
      <c r="B2026" s="17" t="s">
        <v>471</v>
      </c>
      <c r="C2026" s="18">
        <v>45629.0</v>
      </c>
      <c r="D2026" s="18">
        <v>45636.0</v>
      </c>
      <c r="E2026" s="17" t="s">
        <v>674</v>
      </c>
      <c r="F2026" s="20">
        <v>0.0</v>
      </c>
      <c r="G2026" s="17" t="s">
        <v>675</v>
      </c>
    </row>
    <row r="2027" ht="15.75" customHeight="1">
      <c r="A2027" s="15" t="s">
        <v>2698</v>
      </c>
      <c r="B2027" s="15" t="s">
        <v>408</v>
      </c>
      <c r="C2027" s="16">
        <v>45629.0</v>
      </c>
      <c r="D2027" s="16">
        <v>45659.0</v>
      </c>
      <c r="E2027" s="15" t="s">
        <v>684</v>
      </c>
      <c r="F2027" s="19">
        <v>19.99</v>
      </c>
      <c r="G2027" s="15" t="s">
        <v>675</v>
      </c>
    </row>
    <row r="2028" ht="15.75" customHeight="1">
      <c r="A2028" s="17" t="s">
        <v>2699</v>
      </c>
      <c r="B2028" s="17" t="s">
        <v>461</v>
      </c>
      <c r="C2028" s="18">
        <v>45629.0</v>
      </c>
      <c r="D2028" s="18">
        <v>45659.0</v>
      </c>
      <c r="E2028" s="17" t="s">
        <v>684</v>
      </c>
      <c r="F2028" s="20">
        <v>19.99</v>
      </c>
      <c r="G2028" s="17" t="s">
        <v>675</v>
      </c>
    </row>
    <row r="2029" ht="15.75" customHeight="1">
      <c r="A2029" s="15" t="s">
        <v>2700</v>
      </c>
      <c r="B2029" s="15" t="s">
        <v>56</v>
      </c>
      <c r="C2029" s="16">
        <v>45629.0</v>
      </c>
      <c r="D2029" s="16">
        <v>45659.0</v>
      </c>
      <c r="E2029" s="15" t="s">
        <v>684</v>
      </c>
      <c r="F2029" s="19">
        <v>19.99</v>
      </c>
      <c r="G2029" s="15" t="s">
        <v>675</v>
      </c>
    </row>
    <row r="2030" ht="15.75" customHeight="1">
      <c r="A2030" s="17" t="s">
        <v>2701</v>
      </c>
      <c r="B2030" s="17" t="s">
        <v>472</v>
      </c>
      <c r="C2030" s="18">
        <v>45629.0</v>
      </c>
      <c r="D2030" s="18">
        <v>45636.0</v>
      </c>
      <c r="E2030" s="17" t="s">
        <v>674</v>
      </c>
      <c r="F2030" s="20">
        <v>0.0</v>
      </c>
      <c r="G2030" s="17" t="s">
        <v>675</v>
      </c>
    </row>
    <row r="2031" ht="15.75" customHeight="1">
      <c r="A2031" s="15" t="s">
        <v>2702</v>
      </c>
      <c r="B2031" s="15" t="s">
        <v>279</v>
      </c>
      <c r="C2031" s="16">
        <v>45629.0</v>
      </c>
      <c r="D2031" s="16">
        <v>45659.0</v>
      </c>
      <c r="E2031" s="15" t="s">
        <v>684</v>
      </c>
      <c r="F2031" s="19">
        <v>19.99</v>
      </c>
      <c r="G2031" s="15" t="s">
        <v>675</v>
      </c>
    </row>
    <row r="2032" ht="15.75" customHeight="1">
      <c r="A2032" s="17" t="s">
        <v>2703</v>
      </c>
      <c r="B2032" s="17" t="s">
        <v>473</v>
      </c>
      <c r="C2032" s="18">
        <v>45629.0</v>
      </c>
      <c r="D2032" s="18">
        <v>45636.0</v>
      </c>
      <c r="E2032" s="17" t="s">
        <v>674</v>
      </c>
      <c r="F2032" s="20">
        <v>0.0</v>
      </c>
      <c r="G2032" s="17" t="s">
        <v>675</v>
      </c>
    </row>
    <row r="2033" ht="15.75" customHeight="1">
      <c r="A2033" s="15" t="s">
        <v>2704</v>
      </c>
      <c r="B2033" s="15" t="s">
        <v>462</v>
      </c>
      <c r="C2033" s="16">
        <v>45629.0</v>
      </c>
      <c r="D2033" s="16">
        <v>45659.0</v>
      </c>
      <c r="E2033" s="15" t="s">
        <v>684</v>
      </c>
      <c r="F2033" s="19">
        <v>19.99</v>
      </c>
      <c r="G2033" s="15" t="s">
        <v>675</v>
      </c>
    </row>
    <row r="2034" ht="15.75" customHeight="1">
      <c r="A2034" s="17" t="s">
        <v>2705</v>
      </c>
      <c r="B2034" s="17" t="s">
        <v>463</v>
      </c>
      <c r="C2034" s="18">
        <v>45629.0</v>
      </c>
      <c r="D2034" s="18">
        <v>45659.0</v>
      </c>
      <c r="E2034" s="17" t="s">
        <v>684</v>
      </c>
      <c r="F2034" s="20">
        <v>19.99</v>
      </c>
      <c r="G2034" s="17" t="s">
        <v>675</v>
      </c>
    </row>
    <row r="2035" ht="15.75" customHeight="1">
      <c r="A2035" s="15" t="s">
        <v>2706</v>
      </c>
      <c r="B2035" s="15" t="s">
        <v>464</v>
      </c>
      <c r="C2035" s="16">
        <v>45630.0</v>
      </c>
      <c r="D2035" s="16">
        <v>45660.0</v>
      </c>
      <c r="E2035" s="15" t="s">
        <v>684</v>
      </c>
      <c r="F2035" s="19">
        <v>19.99</v>
      </c>
      <c r="G2035" s="15" t="s">
        <v>675</v>
      </c>
    </row>
    <row r="2036" ht="15.75" customHeight="1">
      <c r="A2036" s="17" t="s">
        <v>2707</v>
      </c>
      <c r="B2036" s="17" t="s">
        <v>474</v>
      </c>
      <c r="C2036" s="18">
        <v>45630.0</v>
      </c>
      <c r="D2036" s="18">
        <v>45637.0</v>
      </c>
      <c r="E2036" s="17" t="s">
        <v>674</v>
      </c>
      <c r="F2036" s="20">
        <v>0.0</v>
      </c>
      <c r="G2036" s="17" t="s">
        <v>675</v>
      </c>
    </row>
    <row r="2037" ht="15.75" customHeight="1">
      <c r="A2037" s="15" t="s">
        <v>2708</v>
      </c>
      <c r="B2037" s="15" t="s">
        <v>465</v>
      </c>
      <c r="C2037" s="16">
        <v>45630.0</v>
      </c>
      <c r="D2037" s="16">
        <v>45660.0</v>
      </c>
      <c r="E2037" s="15" t="s">
        <v>684</v>
      </c>
      <c r="F2037" s="19">
        <v>19.99</v>
      </c>
      <c r="G2037" s="15" t="s">
        <v>675</v>
      </c>
    </row>
    <row r="2038" ht="15.75" customHeight="1">
      <c r="A2038" s="17" t="s">
        <v>2709</v>
      </c>
      <c r="B2038" s="17" t="s">
        <v>280</v>
      </c>
      <c r="C2038" s="18">
        <v>45630.0</v>
      </c>
      <c r="D2038" s="18">
        <v>45660.0</v>
      </c>
      <c r="E2038" s="17" t="s">
        <v>684</v>
      </c>
      <c r="F2038" s="20">
        <v>19.99</v>
      </c>
      <c r="G2038" s="17" t="s">
        <v>675</v>
      </c>
    </row>
    <row r="2039" ht="15.75" customHeight="1">
      <c r="A2039" s="15" t="s">
        <v>2710</v>
      </c>
      <c r="B2039" s="15" t="s">
        <v>409</v>
      </c>
      <c r="C2039" s="16">
        <v>45630.0</v>
      </c>
      <c r="D2039" s="16">
        <v>45660.0</v>
      </c>
      <c r="E2039" s="15" t="s">
        <v>684</v>
      </c>
      <c r="F2039" s="19">
        <v>19.99</v>
      </c>
      <c r="G2039" s="15" t="s">
        <v>675</v>
      </c>
    </row>
    <row r="2040" ht="15.75" customHeight="1">
      <c r="A2040" s="17" t="s">
        <v>2711</v>
      </c>
      <c r="B2040" s="17" t="s">
        <v>116</v>
      </c>
      <c r="C2040" s="18">
        <v>45630.0</v>
      </c>
      <c r="D2040" s="18">
        <v>45660.0</v>
      </c>
      <c r="E2040" s="17" t="s">
        <v>684</v>
      </c>
      <c r="F2040" s="20">
        <v>19.99</v>
      </c>
      <c r="G2040" s="17" t="s">
        <v>675</v>
      </c>
    </row>
    <row r="2041" ht="15.75" customHeight="1">
      <c r="A2041" s="15" t="s">
        <v>2712</v>
      </c>
      <c r="B2041" s="15" t="s">
        <v>410</v>
      </c>
      <c r="C2041" s="16">
        <v>45630.0</v>
      </c>
      <c r="D2041" s="16">
        <v>45660.0</v>
      </c>
      <c r="E2041" s="15" t="s">
        <v>684</v>
      </c>
      <c r="F2041" s="19">
        <v>19.99</v>
      </c>
      <c r="G2041" s="15" t="s">
        <v>675</v>
      </c>
    </row>
    <row r="2042" ht="15.75" customHeight="1">
      <c r="A2042" s="17" t="s">
        <v>2713</v>
      </c>
      <c r="B2042" s="17" t="s">
        <v>411</v>
      </c>
      <c r="C2042" s="18">
        <v>45630.0</v>
      </c>
      <c r="D2042" s="18">
        <v>45660.0</v>
      </c>
      <c r="E2042" s="17" t="s">
        <v>684</v>
      </c>
      <c r="F2042" s="20">
        <v>19.99</v>
      </c>
      <c r="G2042" s="17" t="s">
        <v>675</v>
      </c>
    </row>
    <row r="2043" ht="15.75" customHeight="1">
      <c r="A2043" s="15" t="s">
        <v>2714</v>
      </c>
      <c r="B2043" s="15" t="s">
        <v>412</v>
      </c>
      <c r="C2043" s="16">
        <v>45630.0</v>
      </c>
      <c r="D2043" s="16">
        <v>45660.0</v>
      </c>
      <c r="E2043" s="15" t="s">
        <v>684</v>
      </c>
      <c r="F2043" s="19">
        <v>19.99</v>
      </c>
      <c r="G2043" s="15" t="s">
        <v>675</v>
      </c>
    </row>
    <row r="2044" ht="15.75" customHeight="1">
      <c r="A2044" s="17" t="s">
        <v>2715</v>
      </c>
      <c r="B2044" s="17" t="s">
        <v>413</v>
      </c>
      <c r="C2044" s="18">
        <v>45630.0</v>
      </c>
      <c r="D2044" s="18">
        <v>45660.0</v>
      </c>
      <c r="E2044" s="17" t="s">
        <v>684</v>
      </c>
      <c r="F2044" s="20">
        <v>19.99</v>
      </c>
      <c r="G2044" s="17" t="s">
        <v>675</v>
      </c>
    </row>
    <row r="2045" ht="15.75" customHeight="1">
      <c r="A2045" s="15" t="s">
        <v>2716</v>
      </c>
      <c r="B2045" s="15" t="s">
        <v>215</v>
      </c>
      <c r="C2045" s="16">
        <v>45630.0</v>
      </c>
      <c r="D2045" s="16">
        <v>45660.0</v>
      </c>
      <c r="E2045" s="15" t="s">
        <v>684</v>
      </c>
      <c r="F2045" s="19">
        <v>19.99</v>
      </c>
      <c r="G2045" s="15" t="s">
        <v>675</v>
      </c>
    </row>
    <row r="2046" ht="15.75" customHeight="1">
      <c r="A2046" s="17" t="s">
        <v>2717</v>
      </c>
      <c r="B2046" s="17" t="s">
        <v>475</v>
      </c>
      <c r="C2046" s="18">
        <v>45630.0</v>
      </c>
      <c r="D2046" s="18">
        <v>45637.0</v>
      </c>
      <c r="E2046" s="17" t="s">
        <v>674</v>
      </c>
      <c r="F2046" s="20">
        <v>0.0</v>
      </c>
      <c r="G2046" s="17" t="s">
        <v>675</v>
      </c>
    </row>
    <row r="2047" ht="15.75" customHeight="1">
      <c r="A2047" s="15" t="s">
        <v>2718</v>
      </c>
      <c r="B2047" s="15" t="s">
        <v>281</v>
      </c>
      <c r="C2047" s="16">
        <v>45630.0</v>
      </c>
      <c r="D2047" s="16">
        <v>45660.0</v>
      </c>
      <c r="E2047" s="15" t="s">
        <v>684</v>
      </c>
      <c r="F2047" s="19">
        <v>19.99</v>
      </c>
      <c r="G2047" s="15" t="s">
        <v>675</v>
      </c>
    </row>
    <row r="2048" ht="15.75" customHeight="1">
      <c r="A2048" s="17" t="s">
        <v>2719</v>
      </c>
      <c r="B2048" s="17" t="s">
        <v>466</v>
      </c>
      <c r="C2048" s="18">
        <v>45631.0</v>
      </c>
      <c r="D2048" s="18">
        <v>45661.0</v>
      </c>
      <c r="E2048" s="17" t="s">
        <v>684</v>
      </c>
      <c r="F2048" s="20">
        <v>19.99</v>
      </c>
      <c r="G2048" s="17" t="s">
        <v>675</v>
      </c>
    </row>
    <row r="2049" ht="15.75" customHeight="1">
      <c r="A2049" s="15" t="s">
        <v>2720</v>
      </c>
      <c r="B2049" s="15" t="s">
        <v>414</v>
      </c>
      <c r="C2049" s="16">
        <v>45631.0</v>
      </c>
      <c r="D2049" s="16">
        <v>45661.0</v>
      </c>
      <c r="E2049" s="15" t="s">
        <v>684</v>
      </c>
      <c r="F2049" s="19">
        <v>19.99</v>
      </c>
      <c r="G2049" s="15" t="s">
        <v>675</v>
      </c>
    </row>
    <row r="2050" ht="15.75" customHeight="1">
      <c r="A2050" s="17" t="s">
        <v>2721</v>
      </c>
      <c r="B2050" s="17" t="s">
        <v>467</v>
      </c>
      <c r="C2050" s="18">
        <v>45631.0</v>
      </c>
      <c r="D2050" s="18">
        <v>45661.0</v>
      </c>
      <c r="E2050" s="17" t="s">
        <v>684</v>
      </c>
      <c r="F2050" s="20">
        <v>19.99</v>
      </c>
      <c r="G2050" s="17" t="s">
        <v>675</v>
      </c>
    </row>
    <row r="2051" ht="15.75" customHeight="1">
      <c r="A2051" s="15" t="s">
        <v>2722</v>
      </c>
      <c r="B2051" s="15" t="s">
        <v>468</v>
      </c>
      <c r="C2051" s="16">
        <v>45631.0</v>
      </c>
      <c r="D2051" s="16">
        <v>45661.0</v>
      </c>
      <c r="E2051" s="15" t="s">
        <v>684</v>
      </c>
      <c r="F2051" s="19">
        <v>19.99</v>
      </c>
      <c r="G2051" s="15" t="s">
        <v>675</v>
      </c>
    </row>
    <row r="2052" ht="15.75" customHeight="1">
      <c r="A2052" s="17" t="s">
        <v>2723</v>
      </c>
      <c r="B2052" s="17" t="s">
        <v>90</v>
      </c>
      <c r="C2052" s="18">
        <v>45631.0</v>
      </c>
      <c r="D2052" s="18">
        <v>45661.0</v>
      </c>
      <c r="E2052" s="17" t="s">
        <v>684</v>
      </c>
      <c r="F2052" s="20">
        <v>19.99</v>
      </c>
      <c r="G2052" s="17" t="s">
        <v>675</v>
      </c>
    </row>
    <row r="2053" ht="15.75" customHeight="1">
      <c r="A2053" s="15" t="s">
        <v>2724</v>
      </c>
      <c r="B2053" s="15" t="s">
        <v>476</v>
      </c>
      <c r="C2053" s="16">
        <v>45631.0</v>
      </c>
      <c r="D2053" s="16">
        <v>45638.0</v>
      </c>
      <c r="E2053" s="15" t="s">
        <v>674</v>
      </c>
      <c r="F2053" s="19">
        <v>0.0</v>
      </c>
      <c r="G2053" s="15" t="s">
        <v>675</v>
      </c>
    </row>
    <row r="2054" ht="15.75" customHeight="1">
      <c r="A2054" s="17" t="s">
        <v>2725</v>
      </c>
      <c r="B2054" s="17" t="s">
        <v>70</v>
      </c>
      <c r="C2054" s="18">
        <v>45631.0</v>
      </c>
      <c r="D2054" s="18">
        <v>45661.0</v>
      </c>
      <c r="E2054" s="17" t="s">
        <v>684</v>
      </c>
      <c r="F2054" s="20">
        <v>19.99</v>
      </c>
      <c r="G2054" s="17" t="s">
        <v>675</v>
      </c>
    </row>
    <row r="2055" ht="15.75" customHeight="1">
      <c r="A2055" s="15" t="s">
        <v>2726</v>
      </c>
      <c r="B2055" s="15" t="s">
        <v>118</v>
      </c>
      <c r="C2055" s="16">
        <v>45632.0</v>
      </c>
      <c r="D2055" s="16">
        <v>45662.0</v>
      </c>
      <c r="E2055" s="15" t="s">
        <v>684</v>
      </c>
      <c r="F2055" s="19">
        <v>19.99</v>
      </c>
      <c r="G2055" s="15" t="s">
        <v>675</v>
      </c>
    </row>
    <row r="2056" ht="15.75" customHeight="1">
      <c r="A2056" s="17" t="s">
        <v>2727</v>
      </c>
      <c r="B2056" s="17" t="s">
        <v>186</v>
      </c>
      <c r="C2056" s="18">
        <v>45632.0</v>
      </c>
      <c r="D2056" s="18">
        <v>45662.0</v>
      </c>
      <c r="E2056" s="17" t="s">
        <v>684</v>
      </c>
      <c r="F2056" s="20">
        <v>19.99</v>
      </c>
      <c r="G2056" s="17" t="s">
        <v>675</v>
      </c>
    </row>
    <row r="2057" ht="15.75" customHeight="1">
      <c r="A2057" s="15" t="s">
        <v>2728</v>
      </c>
      <c r="B2057" s="15" t="s">
        <v>216</v>
      </c>
      <c r="C2057" s="16">
        <v>45632.0</v>
      </c>
      <c r="D2057" s="16">
        <v>45662.0</v>
      </c>
      <c r="E2057" s="15" t="s">
        <v>684</v>
      </c>
      <c r="F2057" s="19">
        <v>19.99</v>
      </c>
      <c r="G2057" s="15" t="s">
        <v>675</v>
      </c>
    </row>
    <row r="2058" ht="15.75" customHeight="1">
      <c r="A2058" s="17" t="s">
        <v>2729</v>
      </c>
      <c r="B2058" s="17" t="s">
        <v>71</v>
      </c>
      <c r="C2058" s="18">
        <v>45632.0</v>
      </c>
      <c r="D2058" s="18">
        <v>45662.0</v>
      </c>
      <c r="E2058" s="17" t="s">
        <v>684</v>
      </c>
      <c r="F2058" s="20">
        <v>19.99</v>
      </c>
      <c r="G2058" s="17" t="s">
        <v>675</v>
      </c>
    </row>
    <row r="2059" ht="15.75" customHeight="1">
      <c r="A2059" s="15" t="s">
        <v>2730</v>
      </c>
      <c r="B2059" s="15" t="s">
        <v>148</v>
      </c>
      <c r="C2059" s="16">
        <v>45632.0</v>
      </c>
      <c r="D2059" s="16">
        <v>45662.0</v>
      </c>
      <c r="E2059" s="15" t="s">
        <v>684</v>
      </c>
      <c r="F2059" s="19">
        <v>19.99</v>
      </c>
      <c r="G2059" s="15" t="s">
        <v>675</v>
      </c>
    </row>
    <row r="2060" ht="15.75" customHeight="1">
      <c r="A2060" s="17" t="s">
        <v>2731</v>
      </c>
      <c r="B2060" s="17" t="s">
        <v>187</v>
      </c>
      <c r="C2060" s="18">
        <v>45632.0</v>
      </c>
      <c r="D2060" s="18">
        <v>45662.0</v>
      </c>
      <c r="E2060" s="17" t="s">
        <v>684</v>
      </c>
      <c r="F2060" s="20">
        <v>19.99</v>
      </c>
      <c r="G2060" s="17" t="s">
        <v>675</v>
      </c>
    </row>
    <row r="2061" ht="15.75" customHeight="1">
      <c r="A2061" s="15" t="s">
        <v>2732</v>
      </c>
      <c r="B2061" s="15" t="s">
        <v>217</v>
      </c>
      <c r="C2061" s="16">
        <v>45632.0</v>
      </c>
      <c r="D2061" s="16">
        <v>45662.0</v>
      </c>
      <c r="E2061" s="15" t="s">
        <v>684</v>
      </c>
      <c r="F2061" s="19">
        <v>19.99</v>
      </c>
      <c r="G2061" s="15" t="s">
        <v>675</v>
      </c>
    </row>
    <row r="2062" ht="15.75" customHeight="1">
      <c r="A2062" s="17" t="s">
        <v>2733</v>
      </c>
      <c r="B2062" s="17" t="s">
        <v>363</v>
      </c>
      <c r="C2062" s="18">
        <v>45632.0</v>
      </c>
      <c r="D2062" s="18">
        <v>45662.0</v>
      </c>
      <c r="E2062" s="17" t="s">
        <v>684</v>
      </c>
      <c r="F2062" s="20">
        <v>19.99</v>
      </c>
      <c r="G2062" s="17" t="s">
        <v>675</v>
      </c>
    </row>
    <row r="2063" ht="15.75" customHeight="1">
      <c r="A2063" s="15" t="s">
        <v>2734</v>
      </c>
      <c r="B2063" s="15" t="s">
        <v>329</v>
      </c>
      <c r="C2063" s="16">
        <v>45632.0</v>
      </c>
      <c r="D2063" s="16">
        <v>45662.0</v>
      </c>
      <c r="E2063" s="15" t="s">
        <v>684</v>
      </c>
      <c r="F2063" s="19">
        <v>19.99</v>
      </c>
      <c r="G2063" s="15" t="s">
        <v>675</v>
      </c>
    </row>
    <row r="2064" ht="15.75" customHeight="1">
      <c r="A2064" s="17" t="s">
        <v>2735</v>
      </c>
      <c r="B2064" s="17" t="s">
        <v>477</v>
      </c>
      <c r="C2064" s="18">
        <v>45632.0</v>
      </c>
      <c r="D2064" s="18">
        <v>45639.0</v>
      </c>
      <c r="E2064" s="17" t="s">
        <v>674</v>
      </c>
      <c r="F2064" s="20">
        <v>0.0</v>
      </c>
      <c r="G2064" s="17" t="s">
        <v>675</v>
      </c>
    </row>
    <row r="2065" ht="15.75" customHeight="1">
      <c r="A2065" s="15" t="s">
        <v>2736</v>
      </c>
      <c r="B2065" s="15" t="s">
        <v>478</v>
      </c>
      <c r="C2065" s="16">
        <v>45633.0</v>
      </c>
      <c r="D2065" s="16">
        <v>45640.0</v>
      </c>
      <c r="E2065" s="15" t="s">
        <v>674</v>
      </c>
      <c r="F2065" s="19">
        <v>0.0</v>
      </c>
      <c r="G2065" s="15" t="s">
        <v>675</v>
      </c>
    </row>
    <row r="2066" ht="15.75" customHeight="1">
      <c r="A2066" s="17" t="s">
        <v>2737</v>
      </c>
      <c r="B2066" s="17" t="s">
        <v>218</v>
      </c>
      <c r="C2066" s="18">
        <v>45633.0</v>
      </c>
      <c r="D2066" s="18">
        <v>45663.0</v>
      </c>
      <c r="E2066" s="17" t="s">
        <v>684</v>
      </c>
      <c r="F2066" s="20">
        <v>19.99</v>
      </c>
      <c r="G2066" s="17" t="s">
        <v>675</v>
      </c>
    </row>
    <row r="2067" ht="15.75" customHeight="1">
      <c r="A2067" s="15" t="s">
        <v>2738</v>
      </c>
      <c r="B2067" s="15" t="s">
        <v>415</v>
      </c>
      <c r="C2067" s="16">
        <v>45633.0</v>
      </c>
      <c r="D2067" s="16">
        <v>45663.0</v>
      </c>
      <c r="E2067" s="15" t="s">
        <v>684</v>
      </c>
      <c r="F2067" s="19">
        <v>19.99</v>
      </c>
      <c r="G2067" s="15" t="s">
        <v>675</v>
      </c>
    </row>
    <row r="2068" ht="15.75" customHeight="1">
      <c r="A2068" s="17" t="s">
        <v>2739</v>
      </c>
      <c r="B2068" s="17" t="s">
        <v>219</v>
      </c>
      <c r="C2068" s="18">
        <v>45633.0</v>
      </c>
      <c r="D2068" s="18">
        <v>45663.0</v>
      </c>
      <c r="E2068" s="17" t="s">
        <v>684</v>
      </c>
      <c r="F2068" s="20">
        <v>19.99</v>
      </c>
      <c r="G2068" s="17" t="s">
        <v>675</v>
      </c>
    </row>
    <row r="2069" ht="15.75" customHeight="1">
      <c r="A2069" s="15" t="s">
        <v>2740</v>
      </c>
      <c r="B2069" s="15" t="s">
        <v>364</v>
      </c>
      <c r="C2069" s="16">
        <v>45633.0</v>
      </c>
      <c r="D2069" s="16">
        <v>45663.0</v>
      </c>
      <c r="E2069" s="15" t="s">
        <v>684</v>
      </c>
      <c r="F2069" s="19">
        <v>19.99</v>
      </c>
      <c r="G2069" s="15" t="s">
        <v>675</v>
      </c>
    </row>
    <row r="2070" ht="15.75" customHeight="1">
      <c r="A2070" s="17" t="s">
        <v>2741</v>
      </c>
      <c r="B2070" s="17" t="s">
        <v>243</v>
      </c>
      <c r="C2070" s="18">
        <v>45633.0</v>
      </c>
      <c r="D2070" s="18">
        <v>45663.0</v>
      </c>
      <c r="E2070" s="17" t="s">
        <v>684</v>
      </c>
      <c r="F2070" s="20">
        <v>19.99</v>
      </c>
      <c r="G2070" s="17" t="s">
        <v>675</v>
      </c>
    </row>
    <row r="2071" ht="15.75" customHeight="1">
      <c r="A2071" s="15" t="s">
        <v>2742</v>
      </c>
      <c r="B2071" s="15" t="s">
        <v>283</v>
      </c>
      <c r="C2071" s="16">
        <v>45633.0</v>
      </c>
      <c r="D2071" s="16">
        <v>45663.0</v>
      </c>
      <c r="E2071" s="15" t="s">
        <v>684</v>
      </c>
      <c r="F2071" s="19">
        <v>19.99</v>
      </c>
      <c r="G2071" s="15" t="s">
        <v>675</v>
      </c>
    </row>
    <row r="2072" ht="15.75" customHeight="1">
      <c r="A2072" s="17" t="s">
        <v>2743</v>
      </c>
      <c r="B2072" s="17" t="s">
        <v>479</v>
      </c>
      <c r="C2072" s="18">
        <v>45633.0</v>
      </c>
      <c r="D2072" s="18">
        <v>45640.0</v>
      </c>
      <c r="E2072" s="17" t="s">
        <v>674</v>
      </c>
      <c r="F2072" s="20">
        <v>0.0</v>
      </c>
      <c r="G2072" s="17" t="s">
        <v>675</v>
      </c>
    </row>
    <row r="2073" ht="15.75" customHeight="1">
      <c r="A2073" s="15" t="s">
        <v>2744</v>
      </c>
      <c r="B2073" s="15" t="s">
        <v>416</v>
      </c>
      <c r="C2073" s="16">
        <v>45633.0</v>
      </c>
      <c r="D2073" s="16">
        <v>45663.0</v>
      </c>
      <c r="E2073" s="15" t="s">
        <v>684</v>
      </c>
      <c r="F2073" s="19">
        <v>19.99</v>
      </c>
      <c r="G2073" s="15" t="s">
        <v>675</v>
      </c>
    </row>
    <row r="2074" ht="15.75" customHeight="1">
      <c r="A2074" s="17" t="s">
        <v>2745</v>
      </c>
      <c r="B2074" s="17" t="s">
        <v>480</v>
      </c>
      <c r="C2074" s="18">
        <v>45633.0</v>
      </c>
      <c r="D2074" s="18">
        <v>45640.0</v>
      </c>
      <c r="E2074" s="17" t="s">
        <v>674</v>
      </c>
      <c r="F2074" s="20">
        <v>0.0</v>
      </c>
      <c r="G2074" s="17" t="s">
        <v>675</v>
      </c>
    </row>
    <row r="2075" ht="15.75" customHeight="1">
      <c r="A2075" s="15" t="s">
        <v>2746</v>
      </c>
      <c r="B2075" s="15" t="s">
        <v>119</v>
      </c>
      <c r="C2075" s="16">
        <v>45633.0</v>
      </c>
      <c r="D2075" s="16">
        <v>45663.0</v>
      </c>
      <c r="E2075" s="15" t="s">
        <v>684</v>
      </c>
      <c r="F2075" s="19">
        <v>19.99</v>
      </c>
      <c r="G2075" s="15" t="s">
        <v>675</v>
      </c>
    </row>
    <row r="2076" ht="15.75" customHeight="1">
      <c r="A2076" s="17" t="s">
        <v>2747</v>
      </c>
      <c r="B2076" s="17" t="s">
        <v>365</v>
      </c>
      <c r="C2076" s="18">
        <v>45633.0</v>
      </c>
      <c r="D2076" s="18">
        <v>45663.0</v>
      </c>
      <c r="E2076" s="17" t="s">
        <v>684</v>
      </c>
      <c r="F2076" s="20">
        <v>19.99</v>
      </c>
      <c r="G2076" s="17" t="s">
        <v>675</v>
      </c>
    </row>
    <row r="2077" ht="15.75" customHeight="1">
      <c r="A2077" s="15" t="s">
        <v>2748</v>
      </c>
      <c r="B2077" s="15" t="s">
        <v>366</v>
      </c>
      <c r="C2077" s="16">
        <v>45633.0</v>
      </c>
      <c r="D2077" s="16">
        <v>45663.0</v>
      </c>
      <c r="E2077" s="15" t="s">
        <v>684</v>
      </c>
      <c r="F2077" s="19">
        <v>19.99</v>
      </c>
      <c r="G2077" s="15" t="s">
        <v>675</v>
      </c>
    </row>
    <row r="2078" ht="15.75" customHeight="1">
      <c r="A2078" s="17" t="s">
        <v>2749</v>
      </c>
      <c r="B2078" s="17" t="s">
        <v>244</v>
      </c>
      <c r="C2078" s="18">
        <v>45634.0</v>
      </c>
      <c r="D2078" s="18">
        <v>45664.0</v>
      </c>
      <c r="E2078" s="17" t="s">
        <v>684</v>
      </c>
      <c r="F2078" s="20">
        <v>19.99</v>
      </c>
      <c r="G2078" s="17" t="s">
        <v>675</v>
      </c>
    </row>
    <row r="2079" ht="15.75" customHeight="1">
      <c r="A2079" s="15" t="s">
        <v>2750</v>
      </c>
      <c r="B2079" s="15" t="s">
        <v>469</v>
      </c>
      <c r="C2079" s="16">
        <v>45634.0</v>
      </c>
      <c r="D2079" s="16">
        <v>45664.0</v>
      </c>
      <c r="E2079" s="15" t="s">
        <v>684</v>
      </c>
      <c r="F2079" s="19">
        <v>19.99</v>
      </c>
      <c r="G2079" s="15" t="s">
        <v>675</v>
      </c>
    </row>
    <row r="2080" ht="15.75" customHeight="1">
      <c r="A2080" s="17" t="s">
        <v>2751</v>
      </c>
      <c r="B2080" s="17" t="s">
        <v>287</v>
      </c>
      <c r="C2080" s="18">
        <v>45634.0</v>
      </c>
      <c r="D2080" s="18">
        <v>45664.0</v>
      </c>
      <c r="E2080" s="17" t="s">
        <v>684</v>
      </c>
      <c r="F2080" s="20">
        <v>19.99</v>
      </c>
      <c r="G2080" s="17" t="s">
        <v>675</v>
      </c>
    </row>
    <row r="2081" ht="15.75" customHeight="1">
      <c r="A2081" s="15" t="s">
        <v>2752</v>
      </c>
      <c r="B2081" s="15" t="s">
        <v>481</v>
      </c>
      <c r="C2081" s="16">
        <v>45634.0</v>
      </c>
      <c r="D2081" s="16">
        <v>45641.0</v>
      </c>
      <c r="E2081" s="15" t="s">
        <v>674</v>
      </c>
      <c r="F2081" s="19">
        <v>0.0</v>
      </c>
      <c r="G2081" s="15" t="s">
        <v>675</v>
      </c>
    </row>
    <row r="2082" ht="15.75" customHeight="1">
      <c r="A2082" s="17" t="s">
        <v>2753</v>
      </c>
      <c r="B2082" s="17" t="s">
        <v>120</v>
      </c>
      <c r="C2082" s="18">
        <v>45634.0</v>
      </c>
      <c r="D2082" s="18">
        <v>45664.0</v>
      </c>
      <c r="E2082" s="17" t="s">
        <v>684</v>
      </c>
      <c r="F2082" s="20">
        <v>19.99</v>
      </c>
      <c r="G2082" s="17" t="s">
        <v>675</v>
      </c>
    </row>
    <row r="2083" ht="15.75" customHeight="1">
      <c r="A2083" s="15" t="s">
        <v>2754</v>
      </c>
      <c r="B2083" s="15" t="s">
        <v>417</v>
      </c>
      <c r="C2083" s="16">
        <v>45634.0</v>
      </c>
      <c r="D2083" s="16">
        <v>45664.0</v>
      </c>
      <c r="E2083" s="15" t="s">
        <v>684</v>
      </c>
      <c r="F2083" s="19">
        <v>19.99</v>
      </c>
      <c r="G2083" s="15" t="s">
        <v>675</v>
      </c>
    </row>
    <row r="2084" ht="15.75" customHeight="1">
      <c r="A2084" s="17" t="s">
        <v>2755</v>
      </c>
      <c r="B2084" s="17" t="s">
        <v>418</v>
      </c>
      <c r="C2084" s="18">
        <v>45634.0</v>
      </c>
      <c r="D2084" s="18">
        <v>45664.0</v>
      </c>
      <c r="E2084" s="17" t="s">
        <v>684</v>
      </c>
      <c r="F2084" s="20">
        <v>19.99</v>
      </c>
      <c r="G2084" s="17" t="s">
        <v>675</v>
      </c>
    </row>
    <row r="2085" ht="15.75" customHeight="1">
      <c r="A2085" s="15" t="s">
        <v>2756</v>
      </c>
      <c r="B2085" s="15" t="s">
        <v>482</v>
      </c>
      <c r="C2085" s="16">
        <v>45634.0</v>
      </c>
      <c r="D2085" s="16">
        <v>45641.0</v>
      </c>
      <c r="E2085" s="15" t="s">
        <v>674</v>
      </c>
      <c r="F2085" s="19">
        <v>0.0</v>
      </c>
      <c r="G2085" s="15" t="s">
        <v>675</v>
      </c>
    </row>
    <row r="2086" ht="15.75" customHeight="1">
      <c r="A2086" s="17" t="s">
        <v>2757</v>
      </c>
      <c r="B2086" s="17" t="s">
        <v>245</v>
      </c>
      <c r="C2086" s="18">
        <v>45634.0</v>
      </c>
      <c r="D2086" s="18">
        <v>45664.0</v>
      </c>
      <c r="E2086" s="17" t="s">
        <v>684</v>
      </c>
      <c r="F2086" s="20">
        <v>19.99</v>
      </c>
      <c r="G2086" s="17" t="s">
        <v>675</v>
      </c>
    </row>
    <row r="2087" ht="15.75" customHeight="1">
      <c r="A2087" s="15" t="s">
        <v>2758</v>
      </c>
      <c r="B2087" s="15" t="s">
        <v>330</v>
      </c>
      <c r="C2087" s="16">
        <v>45634.0</v>
      </c>
      <c r="D2087" s="16">
        <v>45664.0</v>
      </c>
      <c r="E2087" s="15" t="s">
        <v>684</v>
      </c>
      <c r="F2087" s="19">
        <v>19.99</v>
      </c>
      <c r="G2087" s="15" t="s">
        <v>675</v>
      </c>
    </row>
    <row r="2088" ht="15.75" customHeight="1">
      <c r="A2088" s="17" t="s">
        <v>2759</v>
      </c>
      <c r="B2088" s="17" t="s">
        <v>483</v>
      </c>
      <c r="C2088" s="18">
        <v>45634.0</v>
      </c>
      <c r="D2088" s="18">
        <v>45641.0</v>
      </c>
      <c r="E2088" s="17" t="s">
        <v>674</v>
      </c>
      <c r="F2088" s="20">
        <v>0.0</v>
      </c>
      <c r="G2088" s="17" t="s">
        <v>675</v>
      </c>
    </row>
    <row r="2089" ht="15.75" customHeight="1">
      <c r="A2089" s="15" t="s">
        <v>2760</v>
      </c>
      <c r="B2089" s="15" t="s">
        <v>220</v>
      </c>
      <c r="C2089" s="16">
        <v>45634.0</v>
      </c>
      <c r="D2089" s="16">
        <v>45664.0</v>
      </c>
      <c r="E2089" s="15" t="s">
        <v>684</v>
      </c>
      <c r="F2089" s="19">
        <v>19.99</v>
      </c>
      <c r="G2089" s="15" t="s">
        <v>675</v>
      </c>
    </row>
    <row r="2090" ht="15.75" customHeight="1">
      <c r="A2090" s="17" t="s">
        <v>2761</v>
      </c>
      <c r="B2090" s="17" t="s">
        <v>289</v>
      </c>
      <c r="C2090" s="18">
        <v>45634.0</v>
      </c>
      <c r="D2090" s="18">
        <v>45664.0</v>
      </c>
      <c r="E2090" s="17" t="s">
        <v>684</v>
      </c>
      <c r="F2090" s="20">
        <v>19.99</v>
      </c>
      <c r="G2090" s="17" t="s">
        <v>675</v>
      </c>
    </row>
    <row r="2091" ht="15.75" customHeight="1">
      <c r="A2091" s="15" t="s">
        <v>2762</v>
      </c>
      <c r="B2091" s="15" t="s">
        <v>484</v>
      </c>
      <c r="C2091" s="16">
        <v>45634.0</v>
      </c>
      <c r="D2091" s="16">
        <v>45641.0</v>
      </c>
      <c r="E2091" s="15" t="s">
        <v>674</v>
      </c>
      <c r="F2091" s="19">
        <v>0.0</v>
      </c>
      <c r="G2091" s="15" t="s">
        <v>675</v>
      </c>
    </row>
    <row r="2092" ht="15.75" customHeight="1">
      <c r="A2092" s="17" t="s">
        <v>2763</v>
      </c>
      <c r="B2092" s="17" t="s">
        <v>246</v>
      </c>
      <c r="C2092" s="18">
        <v>45635.0</v>
      </c>
      <c r="D2092" s="18">
        <v>45665.0</v>
      </c>
      <c r="E2092" s="17" t="s">
        <v>684</v>
      </c>
      <c r="F2092" s="20">
        <v>19.99</v>
      </c>
      <c r="G2092" s="17" t="s">
        <v>675</v>
      </c>
    </row>
    <row r="2093" ht="15.75" customHeight="1">
      <c r="A2093" s="15" t="s">
        <v>2764</v>
      </c>
      <c r="B2093" s="15" t="s">
        <v>470</v>
      </c>
      <c r="C2093" s="16">
        <v>45635.0</v>
      </c>
      <c r="D2093" s="16">
        <v>45665.0</v>
      </c>
      <c r="E2093" s="15" t="s">
        <v>684</v>
      </c>
      <c r="F2093" s="19">
        <v>19.99</v>
      </c>
      <c r="G2093" s="15" t="s">
        <v>675</v>
      </c>
    </row>
    <row r="2094" ht="15.75" customHeight="1">
      <c r="A2094" s="17" t="s">
        <v>2765</v>
      </c>
      <c r="B2094" s="17" t="s">
        <v>485</v>
      </c>
      <c r="C2094" s="18">
        <v>45635.0</v>
      </c>
      <c r="D2094" s="18">
        <v>45642.0</v>
      </c>
      <c r="E2094" s="17" t="s">
        <v>674</v>
      </c>
      <c r="F2094" s="20">
        <v>0.0</v>
      </c>
      <c r="G2094" s="17" t="s">
        <v>675</v>
      </c>
    </row>
    <row r="2095" ht="15.75" customHeight="1">
      <c r="A2095" s="15" t="s">
        <v>2766</v>
      </c>
      <c r="B2095" s="15" t="s">
        <v>367</v>
      </c>
      <c r="C2095" s="16">
        <v>45635.0</v>
      </c>
      <c r="D2095" s="16">
        <v>45665.0</v>
      </c>
      <c r="E2095" s="15" t="s">
        <v>684</v>
      </c>
      <c r="F2095" s="19">
        <v>19.99</v>
      </c>
      <c r="G2095" s="15" t="s">
        <v>675</v>
      </c>
    </row>
    <row r="2096" ht="15.75" customHeight="1">
      <c r="A2096" s="17" t="s">
        <v>2767</v>
      </c>
      <c r="B2096" s="17" t="s">
        <v>368</v>
      </c>
      <c r="C2096" s="18">
        <v>45635.0</v>
      </c>
      <c r="D2096" s="18">
        <v>45665.0</v>
      </c>
      <c r="E2096" s="17" t="s">
        <v>684</v>
      </c>
      <c r="F2096" s="20">
        <v>19.99</v>
      </c>
      <c r="G2096" s="17" t="s">
        <v>675</v>
      </c>
    </row>
    <row r="2097" ht="15.75" customHeight="1">
      <c r="A2097" s="15" t="s">
        <v>2768</v>
      </c>
      <c r="B2097" s="15" t="s">
        <v>331</v>
      </c>
      <c r="C2097" s="16">
        <v>45635.0</v>
      </c>
      <c r="D2097" s="16">
        <v>45665.0</v>
      </c>
      <c r="E2097" s="15" t="s">
        <v>684</v>
      </c>
      <c r="F2097" s="19">
        <v>19.99</v>
      </c>
      <c r="G2097" s="15" t="s">
        <v>675</v>
      </c>
    </row>
    <row r="2098" ht="15.75" customHeight="1">
      <c r="A2098" s="17" t="s">
        <v>2769</v>
      </c>
      <c r="B2098" s="17" t="s">
        <v>222</v>
      </c>
      <c r="C2098" s="18">
        <v>45635.0</v>
      </c>
      <c r="D2098" s="18">
        <v>45665.0</v>
      </c>
      <c r="E2098" s="17" t="s">
        <v>684</v>
      </c>
      <c r="F2098" s="20">
        <v>19.99</v>
      </c>
      <c r="G2098" s="17" t="s">
        <v>675</v>
      </c>
    </row>
    <row r="2099" ht="15.75" customHeight="1">
      <c r="A2099" s="15" t="s">
        <v>2770</v>
      </c>
      <c r="B2099" s="15" t="s">
        <v>332</v>
      </c>
      <c r="C2099" s="16">
        <v>45635.0</v>
      </c>
      <c r="D2099" s="16">
        <v>45665.0</v>
      </c>
      <c r="E2099" s="15" t="s">
        <v>684</v>
      </c>
      <c r="F2099" s="19">
        <v>19.99</v>
      </c>
      <c r="G2099" s="15" t="s">
        <v>675</v>
      </c>
    </row>
    <row r="2100" ht="15.75" customHeight="1">
      <c r="A2100" s="17" t="s">
        <v>2771</v>
      </c>
      <c r="B2100" s="17" t="s">
        <v>369</v>
      </c>
      <c r="C2100" s="18">
        <v>45635.0</v>
      </c>
      <c r="D2100" s="18">
        <v>45665.0</v>
      </c>
      <c r="E2100" s="17" t="s">
        <v>684</v>
      </c>
      <c r="F2100" s="20">
        <v>19.99</v>
      </c>
      <c r="G2100" s="17" t="s">
        <v>675</v>
      </c>
    </row>
    <row r="2101" ht="15.75" customHeight="1">
      <c r="A2101" s="15" t="s">
        <v>2772</v>
      </c>
      <c r="B2101" s="15" t="s">
        <v>152</v>
      </c>
      <c r="C2101" s="16">
        <v>45635.0</v>
      </c>
      <c r="D2101" s="16">
        <v>45665.0</v>
      </c>
      <c r="E2101" s="15" t="s">
        <v>684</v>
      </c>
      <c r="F2101" s="19">
        <v>19.99</v>
      </c>
      <c r="G2101" s="15" t="s">
        <v>675</v>
      </c>
    </row>
    <row r="2102" ht="15.75" customHeight="1">
      <c r="A2102" s="17" t="s">
        <v>2773</v>
      </c>
      <c r="B2102" s="17" t="s">
        <v>189</v>
      </c>
      <c r="C2102" s="18">
        <v>45635.0</v>
      </c>
      <c r="D2102" s="18">
        <v>45665.0</v>
      </c>
      <c r="E2102" s="17" t="s">
        <v>684</v>
      </c>
      <c r="F2102" s="20">
        <v>19.99</v>
      </c>
      <c r="G2102" s="17" t="s">
        <v>675</v>
      </c>
    </row>
    <row r="2103" ht="15.75" customHeight="1">
      <c r="A2103" s="15" t="s">
        <v>2774</v>
      </c>
      <c r="B2103" s="15" t="s">
        <v>91</v>
      </c>
      <c r="C2103" s="16">
        <v>45635.0</v>
      </c>
      <c r="D2103" s="16">
        <v>45665.0</v>
      </c>
      <c r="E2103" s="15" t="s">
        <v>684</v>
      </c>
      <c r="F2103" s="19">
        <v>19.99</v>
      </c>
      <c r="G2103" s="15" t="s">
        <v>675</v>
      </c>
    </row>
    <row r="2104" ht="15.75" customHeight="1">
      <c r="A2104" s="17" t="s">
        <v>2775</v>
      </c>
      <c r="B2104" s="17" t="s">
        <v>247</v>
      </c>
      <c r="C2104" s="18">
        <v>45636.0</v>
      </c>
      <c r="D2104" s="18">
        <v>45666.0</v>
      </c>
      <c r="E2104" s="17" t="s">
        <v>684</v>
      </c>
      <c r="F2104" s="20">
        <v>19.99</v>
      </c>
      <c r="G2104" s="17" t="s">
        <v>675</v>
      </c>
    </row>
    <row r="2105" ht="15.75" customHeight="1">
      <c r="A2105" s="15" t="s">
        <v>2776</v>
      </c>
      <c r="B2105" s="15" t="s">
        <v>92</v>
      </c>
      <c r="C2105" s="16">
        <v>45636.0</v>
      </c>
      <c r="D2105" s="16">
        <v>45666.0</v>
      </c>
      <c r="E2105" s="15" t="s">
        <v>684</v>
      </c>
      <c r="F2105" s="19">
        <v>19.99</v>
      </c>
      <c r="G2105" s="15" t="s">
        <v>675</v>
      </c>
    </row>
    <row r="2106" ht="15.75" customHeight="1">
      <c r="A2106" s="17" t="s">
        <v>2777</v>
      </c>
      <c r="B2106" s="17" t="s">
        <v>486</v>
      </c>
      <c r="C2106" s="18">
        <v>45636.0</v>
      </c>
      <c r="D2106" s="18">
        <v>45643.0</v>
      </c>
      <c r="E2106" s="17" t="s">
        <v>674</v>
      </c>
      <c r="F2106" s="20">
        <v>0.0</v>
      </c>
      <c r="G2106" s="17" t="s">
        <v>675</v>
      </c>
    </row>
    <row r="2107" ht="15.75" customHeight="1">
      <c r="A2107" s="15" t="s">
        <v>2778</v>
      </c>
      <c r="B2107" s="15" t="s">
        <v>190</v>
      </c>
      <c r="C2107" s="16">
        <v>45636.0</v>
      </c>
      <c r="D2107" s="16">
        <v>45666.0</v>
      </c>
      <c r="E2107" s="15" t="s">
        <v>684</v>
      </c>
      <c r="F2107" s="19">
        <v>19.99</v>
      </c>
      <c r="G2107" s="15" t="s">
        <v>675</v>
      </c>
    </row>
    <row r="2108" ht="15.75" customHeight="1">
      <c r="A2108" s="17" t="s">
        <v>2779</v>
      </c>
      <c r="B2108" s="17" t="s">
        <v>471</v>
      </c>
      <c r="C2108" s="18">
        <v>45636.0</v>
      </c>
      <c r="D2108" s="18">
        <v>45666.0</v>
      </c>
      <c r="E2108" s="17" t="s">
        <v>684</v>
      </c>
      <c r="F2108" s="20">
        <v>19.99</v>
      </c>
      <c r="G2108" s="17" t="s">
        <v>675</v>
      </c>
    </row>
    <row r="2109" ht="15.75" customHeight="1">
      <c r="A2109" s="15" t="s">
        <v>2780</v>
      </c>
      <c r="B2109" s="15" t="s">
        <v>472</v>
      </c>
      <c r="C2109" s="16">
        <v>45636.0</v>
      </c>
      <c r="D2109" s="16">
        <v>45666.0</v>
      </c>
      <c r="E2109" s="15" t="s">
        <v>684</v>
      </c>
      <c r="F2109" s="19">
        <v>19.99</v>
      </c>
      <c r="G2109" s="15" t="s">
        <v>675</v>
      </c>
    </row>
    <row r="2110" ht="15.75" customHeight="1">
      <c r="A2110" s="17" t="s">
        <v>2781</v>
      </c>
      <c r="B2110" s="17" t="s">
        <v>290</v>
      </c>
      <c r="C2110" s="18">
        <v>45636.0</v>
      </c>
      <c r="D2110" s="18">
        <v>45666.0</v>
      </c>
      <c r="E2110" s="17" t="s">
        <v>684</v>
      </c>
      <c r="F2110" s="20">
        <v>19.99</v>
      </c>
      <c r="G2110" s="17" t="s">
        <v>675</v>
      </c>
    </row>
    <row r="2111" ht="15.75" customHeight="1">
      <c r="A2111" s="15" t="s">
        <v>2782</v>
      </c>
      <c r="B2111" s="15" t="s">
        <v>154</v>
      </c>
      <c r="C2111" s="16">
        <v>45636.0</v>
      </c>
      <c r="D2111" s="16">
        <v>45666.0</v>
      </c>
      <c r="E2111" s="15" t="s">
        <v>684</v>
      </c>
      <c r="F2111" s="19">
        <v>19.99</v>
      </c>
      <c r="G2111" s="15" t="s">
        <v>675</v>
      </c>
    </row>
    <row r="2112" ht="15.75" customHeight="1">
      <c r="A2112" s="17" t="s">
        <v>2783</v>
      </c>
      <c r="B2112" s="17" t="s">
        <v>370</v>
      </c>
      <c r="C2112" s="18">
        <v>45636.0</v>
      </c>
      <c r="D2112" s="18">
        <v>45666.0</v>
      </c>
      <c r="E2112" s="17" t="s">
        <v>684</v>
      </c>
      <c r="F2112" s="20">
        <v>19.99</v>
      </c>
      <c r="G2112" s="17" t="s">
        <v>675</v>
      </c>
    </row>
    <row r="2113" ht="15.75" customHeight="1">
      <c r="A2113" s="15" t="s">
        <v>2784</v>
      </c>
      <c r="B2113" s="15" t="s">
        <v>473</v>
      </c>
      <c r="C2113" s="16">
        <v>45636.0</v>
      </c>
      <c r="D2113" s="16">
        <v>45666.0</v>
      </c>
      <c r="E2113" s="15" t="s">
        <v>684</v>
      </c>
      <c r="F2113" s="19">
        <v>19.99</v>
      </c>
      <c r="G2113" s="15" t="s">
        <v>675</v>
      </c>
    </row>
    <row r="2114" ht="15.75" customHeight="1">
      <c r="A2114" s="17" t="s">
        <v>2785</v>
      </c>
      <c r="B2114" s="17" t="s">
        <v>291</v>
      </c>
      <c r="C2114" s="18">
        <v>45636.0</v>
      </c>
      <c r="D2114" s="18">
        <v>45666.0</v>
      </c>
      <c r="E2114" s="17" t="s">
        <v>684</v>
      </c>
      <c r="F2114" s="20">
        <v>19.99</v>
      </c>
      <c r="G2114" s="17" t="s">
        <v>675</v>
      </c>
    </row>
    <row r="2115" ht="15.75" customHeight="1">
      <c r="A2115" s="15" t="s">
        <v>2786</v>
      </c>
      <c r="B2115" s="15" t="s">
        <v>487</v>
      </c>
      <c r="C2115" s="16">
        <v>45636.0</v>
      </c>
      <c r="D2115" s="16">
        <v>45643.0</v>
      </c>
      <c r="E2115" s="15" t="s">
        <v>674</v>
      </c>
      <c r="F2115" s="19">
        <v>0.0</v>
      </c>
      <c r="G2115" s="15" t="s">
        <v>675</v>
      </c>
    </row>
    <row r="2116" ht="15.75" customHeight="1">
      <c r="A2116" s="17" t="s">
        <v>2787</v>
      </c>
      <c r="B2116" s="17" t="s">
        <v>371</v>
      </c>
      <c r="C2116" s="18">
        <v>45636.0</v>
      </c>
      <c r="D2116" s="18">
        <v>45666.0</v>
      </c>
      <c r="E2116" s="17" t="s">
        <v>684</v>
      </c>
      <c r="F2116" s="20">
        <v>19.99</v>
      </c>
      <c r="G2116" s="17" t="s">
        <v>675</v>
      </c>
    </row>
    <row r="2117" ht="15.75" customHeight="1">
      <c r="A2117" s="15" t="s">
        <v>2788</v>
      </c>
      <c r="B2117" s="15" t="s">
        <v>372</v>
      </c>
      <c r="C2117" s="16">
        <v>45637.0</v>
      </c>
      <c r="D2117" s="16">
        <v>45667.0</v>
      </c>
      <c r="E2117" s="15" t="s">
        <v>684</v>
      </c>
      <c r="F2117" s="19">
        <v>19.99</v>
      </c>
      <c r="G2117" s="15" t="s">
        <v>675</v>
      </c>
    </row>
    <row r="2118" ht="15.75" customHeight="1">
      <c r="A2118" s="17" t="s">
        <v>2789</v>
      </c>
      <c r="B2118" s="17" t="s">
        <v>292</v>
      </c>
      <c r="C2118" s="18">
        <v>45637.0</v>
      </c>
      <c r="D2118" s="18">
        <v>45667.0</v>
      </c>
      <c r="E2118" s="17" t="s">
        <v>684</v>
      </c>
      <c r="F2118" s="20">
        <v>19.99</v>
      </c>
      <c r="G2118" s="17" t="s">
        <v>675</v>
      </c>
    </row>
    <row r="2119" ht="15.75" customHeight="1">
      <c r="A2119" s="15" t="s">
        <v>2790</v>
      </c>
      <c r="B2119" s="15" t="s">
        <v>123</v>
      </c>
      <c r="C2119" s="16">
        <v>45637.0</v>
      </c>
      <c r="D2119" s="16">
        <v>45667.0</v>
      </c>
      <c r="E2119" s="15" t="s">
        <v>684</v>
      </c>
      <c r="F2119" s="19">
        <v>19.99</v>
      </c>
      <c r="G2119" s="15" t="s">
        <v>675</v>
      </c>
    </row>
    <row r="2120" ht="15.75" customHeight="1">
      <c r="A2120" s="17" t="s">
        <v>2791</v>
      </c>
      <c r="B2120" s="17" t="s">
        <v>420</v>
      </c>
      <c r="C2120" s="18">
        <v>45637.0</v>
      </c>
      <c r="D2120" s="18">
        <v>45667.0</v>
      </c>
      <c r="E2120" s="17" t="s">
        <v>684</v>
      </c>
      <c r="F2120" s="20">
        <v>19.99</v>
      </c>
      <c r="G2120" s="17" t="s">
        <v>675</v>
      </c>
    </row>
    <row r="2121" ht="15.75" customHeight="1">
      <c r="A2121" s="15" t="s">
        <v>2792</v>
      </c>
      <c r="B2121" s="15" t="s">
        <v>474</v>
      </c>
      <c r="C2121" s="16">
        <v>45637.0</v>
      </c>
      <c r="D2121" s="16">
        <v>45667.0</v>
      </c>
      <c r="E2121" s="15" t="s">
        <v>684</v>
      </c>
      <c r="F2121" s="19">
        <v>19.99</v>
      </c>
      <c r="G2121" s="15" t="s">
        <v>675</v>
      </c>
    </row>
    <row r="2122" ht="15.75" customHeight="1">
      <c r="A2122" s="17" t="s">
        <v>2793</v>
      </c>
      <c r="B2122" s="17" t="s">
        <v>333</v>
      </c>
      <c r="C2122" s="18">
        <v>45637.0</v>
      </c>
      <c r="D2122" s="18">
        <v>45667.0</v>
      </c>
      <c r="E2122" s="17" t="s">
        <v>684</v>
      </c>
      <c r="F2122" s="20">
        <v>19.99</v>
      </c>
      <c r="G2122" s="17" t="s">
        <v>675</v>
      </c>
    </row>
    <row r="2123" ht="15.75" customHeight="1">
      <c r="A2123" s="15" t="s">
        <v>2794</v>
      </c>
      <c r="B2123" s="15" t="s">
        <v>488</v>
      </c>
      <c r="C2123" s="16">
        <v>45637.0</v>
      </c>
      <c r="D2123" s="16">
        <v>45644.0</v>
      </c>
      <c r="E2123" s="15" t="s">
        <v>674</v>
      </c>
      <c r="F2123" s="19">
        <v>0.0</v>
      </c>
      <c r="G2123" s="15" t="s">
        <v>675</v>
      </c>
    </row>
    <row r="2124" ht="15.75" customHeight="1">
      <c r="A2124" s="17" t="s">
        <v>2795</v>
      </c>
      <c r="B2124" s="17" t="s">
        <v>334</v>
      </c>
      <c r="C2124" s="18">
        <v>45637.0</v>
      </c>
      <c r="D2124" s="18">
        <v>45667.0</v>
      </c>
      <c r="E2124" s="17" t="s">
        <v>684</v>
      </c>
      <c r="F2124" s="20">
        <v>19.99</v>
      </c>
      <c r="G2124" s="17" t="s">
        <v>675</v>
      </c>
    </row>
    <row r="2125" ht="15.75" customHeight="1">
      <c r="A2125" s="15" t="s">
        <v>2796</v>
      </c>
      <c r="B2125" s="15" t="s">
        <v>191</v>
      </c>
      <c r="C2125" s="16">
        <v>45637.0</v>
      </c>
      <c r="D2125" s="16">
        <v>45667.0</v>
      </c>
      <c r="E2125" s="15" t="s">
        <v>684</v>
      </c>
      <c r="F2125" s="19">
        <v>19.99</v>
      </c>
      <c r="G2125" s="15" t="s">
        <v>675</v>
      </c>
    </row>
    <row r="2126" ht="15.75" customHeight="1">
      <c r="A2126" s="17" t="s">
        <v>2797</v>
      </c>
      <c r="B2126" s="17" t="s">
        <v>373</v>
      </c>
      <c r="C2126" s="18">
        <v>45637.0</v>
      </c>
      <c r="D2126" s="18">
        <v>45667.0</v>
      </c>
      <c r="E2126" s="17" t="s">
        <v>684</v>
      </c>
      <c r="F2126" s="20">
        <v>19.99</v>
      </c>
      <c r="G2126" s="17" t="s">
        <v>675</v>
      </c>
    </row>
    <row r="2127" ht="15.75" customHeight="1">
      <c r="A2127" s="15" t="s">
        <v>2798</v>
      </c>
      <c r="B2127" s="15" t="s">
        <v>421</v>
      </c>
      <c r="C2127" s="16">
        <v>45637.0</v>
      </c>
      <c r="D2127" s="16">
        <v>45667.0</v>
      </c>
      <c r="E2127" s="15" t="s">
        <v>684</v>
      </c>
      <c r="F2127" s="19">
        <v>19.99</v>
      </c>
      <c r="G2127" s="15" t="s">
        <v>675</v>
      </c>
    </row>
    <row r="2128" ht="15.75" customHeight="1">
      <c r="A2128" s="17" t="s">
        <v>2799</v>
      </c>
      <c r="B2128" s="17" t="s">
        <v>73</v>
      </c>
      <c r="C2128" s="18">
        <v>45637.0</v>
      </c>
      <c r="D2128" s="18">
        <v>45667.0</v>
      </c>
      <c r="E2128" s="17" t="s">
        <v>684</v>
      </c>
      <c r="F2128" s="20">
        <v>19.99</v>
      </c>
      <c r="G2128" s="17" t="s">
        <v>675</v>
      </c>
    </row>
    <row r="2129" ht="15.75" customHeight="1">
      <c r="A2129" s="15" t="s">
        <v>2800</v>
      </c>
      <c r="B2129" s="15" t="s">
        <v>374</v>
      </c>
      <c r="C2129" s="16">
        <v>45637.0</v>
      </c>
      <c r="D2129" s="16">
        <v>45667.0</v>
      </c>
      <c r="E2129" s="15" t="s">
        <v>684</v>
      </c>
      <c r="F2129" s="19">
        <v>19.99</v>
      </c>
      <c r="G2129" s="15" t="s">
        <v>675</v>
      </c>
    </row>
    <row r="2130" ht="15.75" customHeight="1">
      <c r="A2130" s="17" t="s">
        <v>2801</v>
      </c>
      <c r="B2130" s="17" t="s">
        <v>475</v>
      </c>
      <c r="C2130" s="18">
        <v>45637.0</v>
      </c>
      <c r="D2130" s="18">
        <v>45667.0</v>
      </c>
      <c r="E2130" s="17" t="s">
        <v>684</v>
      </c>
      <c r="F2130" s="20">
        <v>19.99</v>
      </c>
      <c r="G2130" s="17" t="s">
        <v>675</v>
      </c>
    </row>
    <row r="2131" ht="15.75" customHeight="1">
      <c r="A2131" s="15" t="s">
        <v>2802</v>
      </c>
      <c r="B2131" s="15" t="s">
        <v>74</v>
      </c>
      <c r="C2131" s="16">
        <v>45637.0</v>
      </c>
      <c r="D2131" s="16">
        <v>45667.0</v>
      </c>
      <c r="E2131" s="15" t="s">
        <v>684</v>
      </c>
      <c r="F2131" s="19">
        <v>19.99</v>
      </c>
      <c r="G2131" s="15" t="s">
        <v>675</v>
      </c>
    </row>
    <row r="2132" ht="15.75" customHeight="1">
      <c r="A2132" s="17" t="s">
        <v>2803</v>
      </c>
      <c r="B2132" s="17" t="s">
        <v>489</v>
      </c>
      <c r="C2132" s="18">
        <v>45638.0</v>
      </c>
      <c r="D2132" s="18">
        <v>45645.0</v>
      </c>
      <c r="E2132" s="17" t="s">
        <v>674</v>
      </c>
      <c r="F2132" s="20">
        <v>0.0</v>
      </c>
      <c r="G2132" s="17" t="s">
        <v>675</v>
      </c>
    </row>
    <row r="2133" ht="15.75" customHeight="1">
      <c r="A2133" s="15" t="s">
        <v>2804</v>
      </c>
      <c r="B2133" s="15" t="s">
        <v>490</v>
      </c>
      <c r="C2133" s="16">
        <v>45638.0</v>
      </c>
      <c r="D2133" s="16">
        <v>45645.0</v>
      </c>
      <c r="E2133" s="15" t="s">
        <v>674</v>
      </c>
      <c r="F2133" s="19">
        <v>0.0</v>
      </c>
      <c r="G2133" s="15" t="s">
        <v>675</v>
      </c>
    </row>
    <row r="2134" ht="15.75" customHeight="1">
      <c r="A2134" s="17" t="s">
        <v>2805</v>
      </c>
      <c r="B2134" s="17" t="s">
        <v>422</v>
      </c>
      <c r="C2134" s="18">
        <v>45638.0</v>
      </c>
      <c r="D2134" s="18">
        <v>45668.0</v>
      </c>
      <c r="E2134" s="17" t="s">
        <v>684</v>
      </c>
      <c r="F2134" s="20">
        <v>19.99</v>
      </c>
      <c r="G2134" s="17" t="s">
        <v>675</v>
      </c>
    </row>
    <row r="2135" ht="15.75" customHeight="1">
      <c r="A2135" s="15" t="s">
        <v>2806</v>
      </c>
      <c r="B2135" s="15" t="s">
        <v>375</v>
      </c>
      <c r="C2135" s="16">
        <v>45638.0</v>
      </c>
      <c r="D2135" s="16">
        <v>45668.0</v>
      </c>
      <c r="E2135" s="15" t="s">
        <v>684</v>
      </c>
      <c r="F2135" s="19">
        <v>19.99</v>
      </c>
      <c r="G2135" s="15" t="s">
        <v>675</v>
      </c>
    </row>
    <row r="2136" ht="15.75" customHeight="1">
      <c r="A2136" s="17" t="s">
        <v>2807</v>
      </c>
      <c r="B2136" s="17" t="s">
        <v>423</v>
      </c>
      <c r="C2136" s="18">
        <v>45638.0</v>
      </c>
      <c r="D2136" s="18">
        <v>45668.0</v>
      </c>
      <c r="E2136" s="17" t="s">
        <v>684</v>
      </c>
      <c r="F2136" s="20">
        <v>19.99</v>
      </c>
      <c r="G2136" s="17" t="s">
        <v>675</v>
      </c>
    </row>
    <row r="2137" ht="15.75" customHeight="1">
      <c r="A2137" s="15" t="s">
        <v>2808</v>
      </c>
      <c r="B2137" s="15" t="s">
        <v>424</v>
      </c>
      <c r="C2137" s="16">
        <v>45638.0</v>
      </c>
      <c r="D2137" s="16">
        <v>45668.0</v>
      </c>
      <c r="E2137" s="15" t="s">
        <v>684</v>
      </c>
      <c r="F2137" s="19">
        <v>19.99</v>
      </c>
      <c r="G2137" s="15" t="s">
        <v>675</v>
      </c>
    </row>
    <row r="2138" ht="15.75" customHeight="1">
      <c r="A2138" s="17" t="s">
        <v>2809</v>
      </c>
      <c r="B2138" s="17" t="s">
        <v>476</v>
      </c>
      <c r="C2138" s="18">
        <v>45638.0</v>
      </c>
      <c r="D2138" s="18">
        <v>45668.0</v>
      </c>
      <c r="E2138" s="17" t="s">
        <v>684</v>
      </c>
      <c r="F2138" s="20">
        <v>19.99</v>
      </c>
      <c r="G2138" s="17" t="s">
        <v>675</v>
      </c>
    </row>
    <row r="2139" ht="15.75" customHeight="1">
      <c r="A2139" s="15" t="s">
        <v>2810</v>
      </c>
      <c r="B2139" s="15" t="s">
        <v>335</v>
      </c>
      <c r="C2139" s="16">
        <v>45638.0</v>
      </c>
      <c r="D2139" s="16">
        <v>45668.0</v>
      </c>
      <c r="E2139" s="15" t="s">
        <v>684</v>
      </c>
      <c r="F2139" s="19">
        <v>19.99</v>
      </c>
      <c r="G2139" s="15" t="s">
        <v>675</v>
      </c>
    </row>
    <row r="2140" ht="15.75" customHeight="1">
      <c r="A2140" s="17" t="s">
        <v>2811</v>
      </c>
      <c r="B2140" s="17" t="s">
        <v>156</v>
      </c>
      <c r="C2140" s="18">
        <v>45638.0</v>
      </c>
      <c r="D2140" s="18">
        <v>45668.0</v>
      </c>
      <c r="E2140" s="17" t="s">
        <v>684</v>
      </c>
      <c r="F2140" s="20">
        <v>19.99</v>
      </c>
      <c r="G2140" s="17" t="s">
        <v>675</v>
      </c>
    </row>
    <row r="2141" ht="15.75" customHeight="1">
      <c r="A2141" s="15" t="s">
        <v>2812</v>
      </c>
      <c r="B2141" s="15" t="s">
        <v>192</v>
      </c>
      <c r="C2141" s="16">
        <v>45639.0</v>
      </c>
      <c r="D2141" s="16">
        <v>45669.0</v>
      </c>
      <c r="E2141" s="15" t="s">
        <v>684</v>
      </c>
      <c r="F2141" s="19">
        <v>19.99</v>
      </c>
      <c r="G2141" s="15" t="s">
        <v>675</v>
      </c>
    </row>
    <row r="2142" ht="15.75" customHeight="1">
      <c r="A2142" s="17" t="s">
        <v>2813</v>
      </c>
      <c r="B2142" s="17" t="s">
        <v>249</v>
      </c>
      <c r="C2142" s="18">
        <v>45639.0</v>
      </c>
      <c r="D2142" s="18">
        <v>45669.0</v>
      </c>
      <c r="E2142" s="17" t="s">
        <v>684</v>
      </c>
      <c r="F2142" s="20">
        <v>19.99</v>
      </c>
      <c r="G2142" s="17" t="s">
        <v>675</v>
      </c>
    </row>
    <row r="2143" ht="15.75" customHeight="1">
      <c r="A2143" s="15" t="s">
        <v>2814</v>
      </c>
      <c r="B2143" s="15" t="s">
        <v>250</v>
      </c>
      <c r="C2143" s="16">
        <v>45639.0</v>
      </c>
      <c r="D2143" s="16">
        <v>45669.0</v>
      </c>
      <c r="E2143" s="15" t="s">
        <v>684</v>
      </c>
      <c r="F2143" s="19">
        <v>19.99</v>
      </c>
      <c r="G2143" s="15" t="s">
        <v>675</v>
      </c>
    </row>
    <row r="2144" ht="15.75" customHeight="1">
      <c r="A2144" s="17" t="s">
        <v>2815</v>
      </c>
      <c r="B2144" s="17" t="s">
        <v>124</v>
      </c>
      <c r="C2144" s="18">
        <v>45639.0</v>
      </c>
      <c r="D2144" s="18">
        <v>45669.0</v>
      </c>
      <c r="E2144" s="17" t="s">
        <v>684</v>
      </c>
      <c r="F2144" s="20">
        <v>19.99</v>
      </c>
      <c r="G2144" s="17" t="s">
        <v>675</v>
      </c>
    </row>
    <row r="2145" ht="15.75" customHeight="1">
      <c r="A2145" s="15" t="s">
        <v>2816</v>
      </c>
      <c r="B2145" s="15" t="s">
        <v>296</v>
      </c>
      <c r="C2145" s="16">
        <v>45639.0</v>
      </c>
      <c r="D2145" s="16">
        <v>45669.0</v>
      </c>
      <c r="E2145" s="15" t="s">
        <v>684</v>
      </c>
      <c r="F2145" s="19">
        <v>19.99</v>
      </c>
      <c r="G2145" s="15" t="s">
        <v>675</v>
      </c>
    </row>
    <row r="2146" ht="15.75" customHeight="1">
      <c r="A2146" s="17" t="s">
        <v>2817</v>
      </c>
      <c r="B2146" s="17" t="s">
        <v>157</v>
      </c>
      <c r="C2146" s="18">
        <v>45639.0</v>
      </c>
      <c r="D2146" s="18">
        <v>45669.0</v>
      </c>
      <c r="E2146" s="17" t="s">
        <v>684</v>
      </c>
      <c r="F2146" s="20">
        <v>19.99</v>
      </c>
      <c r="G2146" s="17" t="s">
        <v>675</v>
      </c>
    </row>
    <row r="2147" ht="15.75" customHeight="1">
      <c r="A2147" s="15" t="s">
        <v>2818</v>
      </c>
      <c r="B2147" s="15" t="s">
        <v>376</v>
      </c>
      <c r="C2147" s="16">
        <v>45639.0</v>
      </c>
      <c r="D2147" s="16">
        <v>45669.0</v>
      </c>
      <c r="E2147" s="15" t="s">
        <v>684</v>
      </c>
      <c r="F2147" s="19">
        <v>19.99</v>
      </c>
      <c r="G2147" s="15" t="s">
        <v>675</v>
      </c>
    </row>
    <row r="2148" ht="15.75" customHeight="1">
      <c r="A2148" s="17" t="s">
        <v>2819</v>
      </c>
      <c r="B2148" s="17" t="s">
        <v>477</v>
      </c>
      <c r="C2148" s="18">
        <v>45639.0</v>
      </c>
      <c r="D2148" s="18">
        <v>45669.0</v>
      </c>
      <c r="E2148" s="17" t="s">
        <v>684</v>
      </c>
      <c r="F2148" s="20">
        <v>19.99</v>
      </c>
      <c r="G2148" s="17" t="s">
        <v>675</v>
      </c>
    </row>
    <row r="2149" ht="15.75" customHeight="1">
      <c r="A2149" s="15" t="s">
        <v>2820</v>
      </c>
      <c r="B2149" s="15" t="s">
        <v>478</v>
      </c>
      <c r="C2149" s="16">
        <v>45640.0</v>
      </c>
      <c r="D2149" s="16">
        <v>45670.0</v>
      </c>
      <c r="E2149" s="15" t="s">
        <v>684</v>
      </c>
      <c r="F2149" s="19">
        <v>19.99</v>
      </c>
      <c r="G2149" s="15" t="s">
        <v>675</v>
      </c>
    </row>
    <row r="2150" ht="15.75" customHeight="1">
      <c r="A2150" s="17" t="s">
        <v>2821</v>
      </c>
      <c r="B2150" s="17" t="s">
        <v>491</v>
      </c>
      <c r="C2150" s="18">
        <v>45640.0</v>
      </c>
      <c r="D2150" s="18">
        <v>45647.0</v>
      </c>
      <c r="E2150" s="17" t="s">
        <v>674</v>
      </c>
      <c r="F2150" s="20">
        <v>0.0</v>
      </c>
      <c r="G2150" s="17" t="s">
        <v>675</v>
      </c>
    </row>
    <row r="2151" ht="15.75" customHeight="1">
      <c r="A2151" s="15" t="s">
        <v>2822</v>
      </c>
      <c r="B2151" s="15" t="s">
        <v>96</v>
      </c>
      <c r="C2151" s="16">
        <v>45640.0</v>
      </c>
      <c r="D2151" s="16">
        <v>45670.0</v>
      </c>
      <c r="E2151" s="15" t="s">
        <v>684</v>
      </c>
      <c r="F2151" s="19">
        <v>19.99</v>
      </c>
      <c r="G2151" s="15" t="s">
        <v>675</v>
      </c>
    </row>
    <row r="2152" ht="15.75" customHeight="1">
      <c r="A2152" s="17" t="s">
        <v>2823</v>
      </c>
      <c r="B2152" s="17" t="s">
        <v>125</v>
      </c>
      <c r="C2152" s="18">
        <v>45640.0</v>
      </c>
      <c r="D2152" s="18">
        <v>45670.0</v>
      </c>
      <c r="E2152" s="17" t="s">
        <v>684</v>
      </c>
      <c r="F2152" s="20">
        <v>19.99</v>
      </c>
      <c r="G2152" s="17" t="s">
        <v>675</v>
      </c>
    </row>
    <row r="2153" ht="15.75" customHeight="1">
      <c r="A2153" s="15" t="s">
        <v>2824</v>
      </c>
      <c r="B2153" s="15" t="s">
        <v>492</v>
      </c>
      <c r="C2153" s="16">
        <v>45640.0</v>
      </c>
      <c r="D2153" s="16">
        <v>45647.0</v>
      </c>
      <c r="E2153" s="15" t="s">
        <v>674</v>
      </c>
      <c r="F2153" s="19">
        <v>0.0</v>
      </c>
      <c r="G2153" s="15" t="s">
        <v>675</v>
      </c>
    </row>
    <row r="2154" ht="15.75" customHeight="1">
      <c r="A2154" s="17" t="s">
        <v>2825</v>
      </c>
      <c r="B2154" s="17" t="s">
        <v>479</v>
      </c>
      <c r="C2154" s="18">
        <v>45640.0</v>
      </c>
      <c r="D2154" s="18">
        <v>45670.0</v>
      </c>
      <c r="E2154" s="17" t="s">
        <v>684</v>
      </c>
      <c r="F2154" s="20">
        <v>19.99</v>
      </c>
      <c r="G2154" s="17" t="s">
        <v>675</v>
      </c>
    </row>
    <row r="2155" ht="15.75" customHeight="1">
      <c r="A2155" s="15" t="s">
        <v>2826</v>
      </c>
      <c r="B2155" s="15" t="s">
        <v>493</v>
      </c>
      <c r="C2155" s="16">
        <v>45640.0</v>
      </c>
      <c r="D2155" s="16">
        <v>45647.0</v>
      </c>
      <c r="E2155" s="15" t="s">
        <v>674</v>
      </c>
      <c r="F2155" s="19">
        <v>0.0</v>
      </c>
      <c r="G2155" s="15" t="s">
        <v>675</v>
      </c>
    </row>
    <row r="2156" ht="15.75" customHeight="1">
      <c r="A2156" s="17" t="s">
        <v>2827</v>
      </c>
      <c r="B2156" s="17" t="s">
        <v>480</v>
      </c>
      <c r="C2156" s="18">
        <v>45640.0</v>
      </c>
      <c r="D2156" s="18">
        <v>45670.0</v>
      </c>
      <c r="E2156" s="17" t="s">
        <v>684</v>
      </c>
      <c r="F2156" s="20">
        <v>19.99</v>
      </c>
      <c r="G2156" s="17" t="s">
        <v>675</v>
      </c>
    </row>
    <row r="2157" ht="15.75" customHeight="1">
      <c r="A2157" s="15" t="s">
        <v>2828</v>
      </c>
      <c r="B2157" s="15" t="s">
        <v>253</v>
      </c>
      <c r="C2157" s="16">
        <v>45640.0</v>
      </c>
      <c r="D2157" s="16">
        <v>45670.0</v>
      </c>
      <c r="E2157" s="15" t="s">
        <v>684</v>
      </c>
      <c r="F2157" s="19">
        <v>19.99</v>
      </c>
      <c r="G2157" s="15" t="s">
        <v>675</v>
      </c>
    </row>
    <row r="2158" ht="15.75" customHeight="1">
      <c r="A2158" s="17" t="s">
        <v>2829</v>
      </c>
      <c r="B2158" s="17" t="s">
        <v>425</v>
      </c>
      <c r="C2158" s="18">
        <v>45640.0</v>
      </c>
      <c r="D2158" s="18">
        <v>45670.0</v>
      </c>
      <c r="E2158" s="17" t="s">
        <v>684</v>
      </c>
      <c r="F2158" s="20">
        <v>19.99</v>
      </c>
      <c r="G2158" s="17" t="s">
        <v>675</v>
      </c>
    </row>
    <row r="2159" ht="15.75" customHeight="1">
      <c r="A2159" s="15" t="s">
        <v>2830</v>
      </c>
      <c r="B2159" s="15" t="s">
        <v>426</v>
      </c>
      <c r="C2159" s="16">
        <v>45640.0</v>
      </c>
      <c r="D2159" s="16">
        <v>45670.0</v>
      </c>
      <c r="E2159" s="15" t="s">
        <v>684</v>
      </c>
      <c r="F2159" s="19">
        <v>19.99</v>
      </c>
      <c r="G2159" s="15" t="s">
        <v>675</v>
      </c>
    </row>
    <row r="2160" ht="15.75" customHeight="1">
      <c r="A2160" s="17" t="s">
        <v>2831</v>
      </c>
      <c r="B2160" s="17" t="s">
        <v>298</v>
      </c>
      <c r="C2160" s="18">
        <v>45641.0</v>
      </c>
      <c r="D2160" s="18">
        <v>45671.0</v>
      </c>
      <c r="E2160" s="17" t="s">
        <v>684</v>
      </c>
      <c r="F2160" s="20">
        <v>19.99</v>
      </c>
      <c r="G2160" s="17" t="s">
        <v>675</v>
      </c>
    </row>
    <row r="2161" ht="15.75" customHeight="1">
      <c r="A2161" s="15" t="s">
        <v>2832</v>
      </c>
      <c r="B2161" s="15" t="s">
        <v>299</v>
      </c>
      <c r="C2161" s="16">
        <v>45641.0</v>
      </c>
      <c r="D2161" s="16">
        <v>45671.0</v>
      </c>
      <c r="E2161" s="15" t="s">
        <v>684</v>
      </c>
      <c r="F2161" s="19">
        <v>19.99</v>
      </c>
      <c r="G2161" s="15" t="s">
        <v>675</v>
      </c>
    </row>
    <row r="2162" ht="15.75" customHeight="1">
      <c r="A2162" s="17" t="s">
        <v>2833</v>
      </c>
      <c r="B2162" s="17" t="s">
        <v>75</v>
      </c>
      <c r="C2162" s="18">
        <v>45641.0</v>
      </c>
      <c r="D2162" s="18">
        <v>45671.0</v>
      </c>
      <c r="E2162" s="17" t="s">
        <v>684</v>
      </c>
      <c r="F2162" s="20">
        <v>19.99</v>
      </c>
      <c r="G2162" s="17" t="s">
        <v>675</v>
      </c>
    </row>
    <row r="2163" ht="15.75" customHeight="1">
      <c r="A2163" s="15" t="s">
        <v>2834</v>
      </c>
      <c r="B2163" s="15" t="s">
        <v>255</v>
      </c>
      <c r="C2163" s="16">
        <v>45641.0</v>
      </c>
      <c r="D2163" s="16">
        <v>45671.0</v>
      </c>
      <c r="E2163" s="15" t="s">
        <v>684</v>
      </c>
      <c r="F2163" s="19">
        <v>19.99</v>
      </c>
      <c r="G2163" s="15" t="s">
        <v>675</v>
      </c>
    </row>
    <row r="2164" ht="15.75" customHeight="1">
      <c r="A2164" s="17" t="s">
        <v>2835</v>
      </c>
      <c r="B2164" s="17" t="s">
        <v>427</v>
      </c>
      <c r="C2164" s="18">
        <v>45641.0</v>
      </c>
      <c r="D2164" s="18">
        <v>45671.0</v>
      </c>
      <c r="E2164" s="17" t="s">
        <v>684</v>
      </c>
      <c r="F2164" s="20">
        <v>19.99</v>
      </c>
      <c r="G2164" s="17" t="s">
        <v>675</v>
      </c>
    </row>
    <row r="2165" ht="15.75" customHeight="1">
      <c r="A2165" s="15" t="s">
        <v>2836</v>
      </c>
      <c r="B2165" s="15" t="s">
        <v>494</v>
      </c>
      <c r="C2165" s="16">
        <v>45641.0</v>
      </c>
      <c r="D2165" s="16">
        <v>45648.0</v>
      </c>
      <c r="E2165" s="15" t="s">
        <v>674</v>
      </c>
      <c r="F2165" s="19">
        <v>0.0</v>
      </c>
      <c r="G2165" s="15" t="s">
        <v>675</v>
      </c>
    </row>
    <row r="2166" ht="15.75" customHeight="1">
      <c r="A2166" s="17" t="s">
        <v>2837</v>
      </c>
      <c r="B2166" s="17" t="s">
        <v>481</v>
      </c>
      <c r="C2166" s="18">
        <v>45641.0</v>
      </c>
      <c r="D2166" s="18">
        <v>45671.0</v>
      </c>
      <c r="E2166" s="17" t="s">
        <v>684</v>
      </c>
      <c r="F2166" s="20">
        <v>19.99</v>
      </c>
      <c r="G2166" s="17" t="s">
        <v>675</v>
      </c>
    </row>
    <row r="2167" ht="15.75" customHeight="1">
      <c r="A2167" s="15" t="s">
        <v>2838</v>
      </c>
      <c r="B2167" s="15" t="s">
        <v>127</v>
      </c>
      <c r="C2167" s="16">
        <v>45641.0</v>
      </c>
      <c r="D2167" s="16">
        <v>45671.0</v>
      </c>
      <c r="E2167" s="15" t="s">
        <v>684</v>
      </c>
      <c r="F2167" s="19">
        <v>19.99</v>
      </c>
      <c r="G2167" s="15" t="s">
        <v>675</v>
      </c>
    </row>
    <row r="2168" ht="15.75" customHeight="1">
      <c r="A2168" s="17" t="s">
        <v>2839</v>
      </c>
      <c r="B2168" s="17" t="s">
        <v>378</v>
      </c>
      <c r="C2168" s="18">
        <v>45641.0</v>
      </c>
      <c r="D2168" s="18">
        <v>45671.0</v>
      </c>
      <c r="E2168" s="17" t="s">
        <v>684</v>
      </c>
      <c r="F2168" s="20">
        <v>19.99</v>
      </c>
      <c r="G2168" s="17" t="s">
        <v>675</v>
      </c>
    </row>
    <row r="2169" ht="15.75" customHeight="1">
      <c r="A2169" s="15" t="s">
        <v>2840</v>
      </c>
      <c r="B2169" s="15" t="s">
        <v>482</v>
      </c>
      <c r="C2169" s="16">
        <v>45641.0</v>
      </c>
      <c r="D2169" s="16">
        <v>45671.0</v>
      </c>
      <c r="E2169" s="15" t="s">
        <v>684</v>
      </c>
      <c r="F2169" s="19">
        <v>19.99</v>
      </c>
      <c r="G2169" s="15" t="s">
        <v>675</v>
      </c>
    </row>
    <row r="2170" ht="15.75" customHeight="1">
      <c r="A2170" s="17" t="s">
        <v>2841</v>
      </c>
      <c r="B2170" s="17" t="s">
        <v>483</v>
      </c>
      <c r="C2170" s="18">
        <v>45641.0</v>
      </c>
      <c r="D2170" s="18">
        <v>45671.0</v>
      </c>
      <c r="E2170" s="17" t="s">
        <v>684</v>
      </c>
      <c r="F2170" s="20">
        <v>19.99</v>
      </c>
      <c r="G2170" s="17" t="s">
        <v>675</v>
      </c>
    </row>
    <row r="2171" ht="15.75" customHeight="1">
      <c r="A2171" s="15" t="s">
        <v>2842</v>
      </c>
      <c r="B2171" s="15" t="s">
        <v>484</v>
      </c>
      <c r="C2171" s="16">
        <v>45641.0</v>
      </c>
      <c r="D2171" s="16">
        <v>45671.0</v>
      </c>
      <c r="E2171" s="15" t="s">
        <v>684</v>
      </c>
      <c r="F2171" s="19">
        <v>19.99</v>
      </c>
      <c r="G2171" s="15" t="s">
        <v>675</v>
      </c>
    </row>
    <row r="2172" ht="15.75" customHeight="1">
      <c r="A2172" s="17" t="s">
        <v>2843</v>
      </c>
      <c r="B2172" s="17" t="s">
        <v>428</v>
      </c>
      <c r="C2172" s="18">
        <v>45641.0</v>
      </c>
      <c r="D2172" s="18">
        <v>45671.0</v>
      </c>
      <c r="E2172" s="17" t="s">
        <v>684</v>
      </c>
      <c r="F2172" s="20">
        <v>19.99</v>
      </c>
      <c r="G2172" s="17" t="s">
        <v>675</v>
      </c>
    </row>
    <row r="2173" ht="15.75" customHeight="1">
      <c r="A2173" s="15" t="s">
        <v>2844</v>
      </c>
      <c r="B2173" s="15" t="s">
        <v>337</v>
      </c>
      <c r="C2173" s="16">
        <v>45641.0</v>
      </c>
      <c r="D2173" s="16">
        <v>45671.0</v>
      </c>
      <c r="E2173" s="15" t="s">
        <v>684</v>
      </c>
      <c r="F2173" s="19">
        <v>19.99</v>
      </c>
      <c r="G2173" s="15" t="s">
        <v>675</v>
      </c>
    </row>
    <row r="2174" ht="15.75" customHeight="1">
      <c r="A2174" s="17" t="s">
        <v>2845</v>
      </c>
      <c r="B2174" s="17" t="s">
        <v>194</v>
      </c>
      <c r="C2174" s="18">
        <v>45642.0</v>
      </c>
      <c r="D2174" s="18">
        <v>45672.0</v>
      </c>
      <c r="E2174" s="17" t="s">
        <v>684</v>
      </c>
      <c r="F2174" s="20">
        <v>19.99</v>
      </c>
      <c r="G2174" s="17" t="s">
        <v>675</v>
      </c>
    </row>
    <row r="2175" ht="15.75" customHeight="1">
      <c r="A2175" s="15" t="s">
        <v>2846</v>
      </c>
      <c r="B2175" s="15" t="s">
        <v>338</v>
      </c>
      <c r="C2175" s="16">
        <v>45642.0</v>
      </c>
      <c r="D2175" s="16">
        <v>45672.0</v>
      </c>
      <c r="E2175" s="15" t="s">
        <v>684</v>
      </c>
      <c r="F2175" s="19">
        <v>19.99</v>
      </c>
      <c r="G2175" s="15" t="s">
        <v>675</v>
      </c>
    </row>
    <row r="2176" ht="15.75" customHeight="1">
      <c r="A2176" s="17" t="s">
        <v>2847</v>
      </c>
      <c r="B2176" s="17" t="s">
        <v>429</v>
      </c>
      <c r="C2176" s="18">
        <v>45642.0</v>
      </c>
      <c r="D2176" s="18">
        <v>45672.0</v>
      </c>
      <c r="E2176" s="17" t="s">
        <v>684</v>
      </c>
      <c r="F2176" s="20">
        <v>19.99</v>
      </c>
      <c r="G2176" s="17" t="s">
        <v>675</v>
      </c>
    </row>
    <row r="2177" ht="15.75" customHeight="1">
      <c r="A2177" s="15" t="s">
        <v>2848</v>
      </c>
      <c r="B2177" s="15" t="s">
        <v>301</v>
      </c>
      <c r="C2177" s="16">
        <v>45642.0</v>
      </c>
      <c r="D2177" s="16">
        <v>45672.0</v>
      </c>
      <c r="E2177" s="15" t="s">
        <v>684</v>
      </c>
      <c r="F2177" s="19">
        <v>19.99</v>
      </c>
      <c r="G2177" s="15" t="s">
        <v>675</v>
      </c>
    </row>
    <row r="2178" ht="15.75" customHeight="1">
      <c r="A2178" s="17" t="s">
        <v>2849</v>
      </c>
      <c r="B2178" s="17" t="s">
        <v>430</v>
      </c>
      <c r="C2178" s="18">
        <v>45642.0</v>
      </c>
      <c r="D2178" s="18">
        <v>45672.0</v>
      </c>
      <c r="E2178" s="17" t="s">
        <v>684</v>
      </c>
      <c r="F2178" s="20">
        <v>19.99</v>
      </c>
      <c r="G2178" s="17" t="s">
        <v>675</v>
      </c>
    </row>
    <row r="2179" ht="15.75" customHeight="1">
      <c r="A2179" s="15" t="s">
        <v>2850</v>
      </c>
      <c r="B2179" s="15" t="s">
        <v>485</v>
      </c>
      <c r="C2179" s="16">
        <v>45642.0</v>
      </c>
      <c r="D2179" s="16">
        <v>45672.0</v>
      </c>
      <c r="E2179" s="15" t="s">
        <v>684</v>
      </c>
      <c r="F2179" s="19">
        <v>19.99</v>
      </c>
      <c r="G2179" s="15" t="s">
        <v>675</v>
      </c>
    </row>
    <row r="2180" ht="15.75" customHeight="1">
      <c r="A2180" s="17" t="s">
        <v>2851</v>
      </c>
      <c r="B2180" s="17" t="s">
        <v>302</v>
      </c>
      <c r="C2180" s="18">
        <v>45642.0</v>
      </c>
      <c r="D2180" s="18">
        <v>45672.0</v>
      </c>
      <c r="E2180" s="17" t="s">
        <v>684</v>
      </c>
      <c r="F2180" s="20">
        <v>19.99</v>
      </c>
      <c r="G2180" s="17" t="s">
        <v>675</v>
      </c>
    </row>
    <row r="2181" ht="15.75" customHeight="1">
      <c r="A2181" s="15" t="s">
        <v>2852</v>
      </c>
      <c r="B2181" s="15" t="s">
        <v>76</v>
      </c>
      <c r="C2181" s="16">
        <v>45642.0</v>
      </c>
      <c r="D2181" s="16">
        <v>45672.0</v>
      </c>
      <c r="E2181" s="15" t="s">
        <v>684</v>
      </c>
      <c r="F2181" s="19">
        <v>19.99</v>
      </c>
      <c r="G2181" s="15" t="s">
        <v>675</v>
      </c>
    </row>
    <row r="2182" ht="15.75" customHeight="1">
      <c r="A2182" s="17" t="s">
        <v>2853</v>
      </c>
      <c r="B2182" s="17" t="s">
        <v>379</v>
      </c>
      <c r="C2182" s="18">
        <v>45642.0</v>
      </c>
      <c r="D2182" s="18">
        <v>45672.0</v>
      </c>
      <c r="E2182" s="17" t="s">
        <v>684</v>
      </c>
      <c r="F2182" s="20">
        <v>19.99</v>
      </c>
      <c r="G2182" s="17" t="s">
        <v>675</v>
      </c>
    </row>
    <row r="2183" ht="15.75" customHeight="1">
      <c r="A2183" s="15" t="s">
        <v>2854</v>
      </c>
      <c r="B2183" s="15" t="s">
        <v>303</v>
      </c>
      <c r="C2183" s="16">
        <v>45642.0</v>
      </c>
      <c r="D2183" s="16">
        <v>45672.0</v>
      </c>
      <c r="E2183" s="15" t="s">
        <v>684</v>
      </c>
      <c r="F2183" s="19">
        <v>19.99</v>
      </c>
      <c r="G2183" s="15" t="s">
        <v>675</v>
      </c>
    </row>
    <row r="2184" ht="15.75" customHeight="1">
      <c r="A2184" s="17" t="s">
        <v>2855</v>
      </c>
      <c r="B2184" s="17" t="s">
        <v>159</v>
      </c>
      <c r="C2184" s="18">
        <v>45642.0</v>
      </c>
      <c r="D2184" s="18">
        <v>45672.0</v>
      </c>
      <c r="E2184" s="17" t="s">
        <v>684</v>
      </c>
      <c r="F2184" s="20">
        <v>19.99</v>
      </c>
      <c r="G2184" s="17" t="s">
        <v>675</v>
      </c>
    </row>
    <row r="2185" ht="15.75" customHeight="1">
      <c r="A2185" s="15" t="s">
        <v>2856</v>
      </c>
      <c r="B2185" s="15" t="s">
        <v>160</v>
      </c>
      <c r="C2185" s="16">
        <v>45642.0</v>
      </c>
      <c r="D2185" s="16">
        <v>45672.0</v>
      </c>
      <c r="E2185" s="15" t="s">
        <v>684</v>
      </c>
      <c r="F2185" s="19">
        <v>19.99</v>
      </c>
      <c r="G2185" s="15" t="s">
        <v>675</v>
      </c>
    </row>
    <row r="2186" ht="15.75" customHeight="1">
      <c r="A2186" s="17" t="s">
        <v>2857</v>
      </c>
      <c r="B2186" s="17" t="s">
        <v>339</v>
      </c>
      <c r="C2186" s="18">
        <v>45643.0</v>
      </c>
      <c r="D2186" s="18">
        <v>45673.0</v>
      </c>
      <c r="E2186" s="17" t="s">
        <v>684</v>
      </c>
      <c r="F2186" s="20">
        <v>19.99</v>
      </c>
      <c r="G2186" s="17" t="s">
        <v>675</v>
      </c>
    </row>
    <row r="2187" ht="15.75" customHeight="1">
      <c r="A2187" s="15" t="s">
        <v>2858</v>
      </c>
      <c r="B2187" s="15" t="s">
        <v>486</v>
      </c>
      <c r="C2187" s="16">
        <v>45643.0</v>
      </c>
      <c r="D2187" s="16">
        <v>45673.0</v>
      </c>
      <c r="E2187" s="15" t="s">
        <v>684</v>
      </c>
      <c r="F2187" s="19">
        <v>19.99</v>
      </c>
      <c r="G2187" s="15" t="s">
        <v>675</v>
      </c>
    </row>
    <row r="2188" ht="15.75" customHeight="1">
      <c r="A2188" s="17" t="s">
        <v>2859</v>
      </c>
      <c r="B2188" s="17" t="s">
        <v>495</v>
      </c>
      <c r="C2188" s="18">
        <v>45643.0</v>
      </c>
      <c r="D2188" s="18">
        <v>45650.0</v>
      </c>
      <c r="E2188" s="17" t="s">
        <v>674</v>
      </c>
      <c r="F2188" s="20">
        <v>0.0</v>
      </c>
      <c r="G2188" s="17" t="s">
        <v>675</v>
      </c>
    </row>
    <row r="2189" ht="15.75" customHeight="1">
      <c r="A2189" s="15" t="s">
        <v>2860</v>
      </c>
      <c r="B2189" s="15" t="s">
        <v>496</v>
      </c>
      <c r="C2189" s="16">
        <v>45643.0</v>
      </c>
      <c r="D2189" s="16">
        <v>45650.0</v>
      </c>
      <c r="E2189" s="15" t="s">
        <v>674</v>
      </c>
      <c r="F2189" s="19">
        <v>0.0</v>
      </c>
      <c r="G2189" s="15" t="s">
        <v>675</v>
      </c>
    </row>
    <row r="2190" ht="15.75" customHeight="1">
      <c r="A2190" s="17" t="s">
        <v>2861</v>
      </c>
      <c r="B2190" s="17" t="s">
        <v>197</v>
      </c>
      <c r="C2190" s="18">
        <v>45643.0</v>
      </c>
      <c r="D2190" s="18">
        <v>45673.0</v>
      </c>
      <c r="E2190" s="17" t="s">
        <v>684</v>
      </c>
      <c r="F2190" s="20">
        <v>19.99</v>
      </c>
      <c r="G2190" s="17" t="s">
        <v>675</v>
      </c>
    </row>
    <row r="2191" ht="15.75" customHeight="1">
      <c r="A2191" s="15" t="s">
        <v>2862</v>
      </c>
      <c r="B2191" s="15" t="s">
        <v>256</v>
      </c>
      <c r="C2191" s="16">
        <v>45643.0</v>
      </c>
      <c r="D2191" s="16">
        <v>45673.0</v>
      </c>
      <c r="E2191" s="15" t="s">
        <v>684</v>
      </c>
      <c r="F2191" s="19">
        <v>19.99</v>
      </c>
      <c r="G2191" s="15" t="s">
        <v>675</v>
      </c>
    </row>
    <row r="2192" ht="15.75" customHeight="1">
      <c r="A2192" s="17" t="s">
        <v>2863</v>
      </c>
      <c r="B2192" s="17" t="s">
        <v>380</v>
      </c>
      <c r="C2192" s="18">
        <v>45643.0</v>
      </c>
      <c r="D2192" s="18">
        <v>45673.0</v>
      </c>
      <c r="E2192" s="17" t="s">
        <v>684</v>
      </c>
      <c r="F2192" s="20">
        <v>19.99</v>
      </c>
      <c r="G2192" s="17" t="s">
        <v>675</v>
      </c>
    </row>
    <row r="2193" ht="15.75" customHeight="1">
      <c r="A2193" s="15" t="s">
        <v>2864</v>
      </c>
      <c r="B2193" s="15" t="s">
        <v>497</v>
      </c>
      <c r="C2193" s="16">
        <v>45643.0</v>
      </c>
      <c r="D2193" s="16">
        <v>45650.0</v>
      </c>
      <c r="E2193" s="15" t="s">
        <v>674</v>
      </c>
      <c r="F2193" s="19">
        <v>0.0</v>
      </c>
      <c r="G2193" s="15" t="s">
        <v>675</v>
      </c>
    </row>
    <row r="2194" ht="15.75" customHeight="1">
      <c r="A2194" s="17" t="s">
        <v>2865</v>
      </c>
      <c r="B2194" s="17" t="s">
        <v>162</v>
      </c>
      <c r="C2194" s="18">
        <v>45643.0</v>
      </c>
      <c r="D2194" s="18">
        <v>45673.0</v>
      </c>
      <c r="E2194" s="17" t="s">
        <v>684</v>
      </c>
      <c r="F2194" s="20">
        <v>19.99</v>
      </c>
      <c r="G2194" s="17" t="s">
        <v>675</v>
      </c>
    </row>
    <row r="2195" ht="15.75" customHeight="1">
      <c r="A2195" s="15" t="s">
        <v>2866</v>
      </c>
      <c r="B2195" s="15" t="s">
        <v>304</v>
      </c>
      <c r="C2195" s="16">
        <v>45643.0</v>
      </c>
      <c r="D2195" s="16">
        <v>45673.0</v>
      </c>
      <c r="E2195" s="15" t="s">
        <v>684</v>
      </c>
      <c r="F2195" s="19">
        <v>19.99</v>
      </c>
      <c r="G2195" s="15" t="s">
        <v>675</v>
      </c>
    </row>
    <row r="2196" ht="15.75" customHeight="1">
      <c r="A2196" s="17" t="s">
        <v>2867</v>
      </c>
      <c r="B2196" s="17" t="s">
        <v>381</v>
      </c>
      <c r="C2196" s="18">
        <v>45643.0</v>
      </c>
      <c r="D2196" s="18">
        <v>45673.0</v>
      </c>
      <c r="E2196" s="17" t="s">
        <v>684</v>
      </c>
      <c r="F2196" s="20">
        <v>19.99</v>
      </c>
      <c r="G2196" s="17" t="s">
        <v>675</v>
      </c>
    </row>
    <row r="2197" ht="15.75" customHeight="1">
      <c r="A2197" s="15" t="s">
        <v>2868</v>
      </c>
      <c r="B2197" s="15" t="s">
        <v>257</v>
      </c>
      <c r="C2197" s="16">
        <v>45643.0</v>
      </c>
      <c r="D2197" s="16">
        <v>45673.0</v>
      </c>
      <c r="E2197" s="15" t="s">
        <v>684</v>
      </c>
      <c r="F2197" s="19">
        <v>19.99</v>
      </c>
      <c r="G2197" s="15" t="s">
        <v>675</v>
      </c>
    </row>
    <row r="2198" ht="15.75" customHeight="1">
      <c r="A2198" s="17" t="s">
        <v>2869</v>
      </c>
      <c r="B2198" s="17" t="s">
        <v>129</v>
      </c>
      <c r="C2198" s="18">
        <v>45643.0</v>
      </c>
      <c r="D2198" s="18">
        <v>45673.0</v>
      </c>
      <c r="E2198" s="17" t="s">
        <v>684</v>
      </c>
      <c r="F2198" s="20">
        <v>19.99</v>
      </c>
      <c r="G2198" s="17" t="s">
        <v>675</v>
      </c>
    </row>
    <row r="2199" ht="15.75" customHeight="1">
      <c r="A2199" s="15" t="s">
        <v>2870</v>
      </c>
      <c r="B2199" s="15" t="s">
        <v>487</v>
      </c>
      <c r="C2199" s="16">
        <v>45643.0</v>
      </c>
      <c r="D2199" s="16">
        <v>45673.0</v>
      </c>
      <c r="E2199" s="15" t="s">
        <v>684</v>
      </c>
      <c r="F2199" s="19">
        <v>19.99</v>
      </c>
      <c r="G2199" s="15" t="s">
        <v>675</v>
      </c>
    </row>
    <row r="2200" ht="15.75" customHeight="1">
      <c r="A2200" s="17" t="s">
        <v>2871</v>
      </c>
      <c r="B2200" s="17" t="s">
        <v>382</v>
      </c>
      <c r="C2200" s="18">
        <v>45644.0</v>
      </c>
      <c r="D2200" s="18">
        <v>45674.0</v>
      </c>
      <c r="E2200" s="17" t="s">
        <v>684</v>
      </c>
      <c r="F2200" s="20">
        <v>19.99</v>
      </c>
      <c r="G2200" s="17" t="s">
        <v>675</v>
      </c>
    </row>
    <row r="2201" ht="15.75" customHeight="1">
      <c r="A2201" s="15" t="s">
        <v>2872</v>
      </c>
      <c r="B2201" s="15" t="s">
        <v>163</v>
      </c>
      <c r="C2201" s="16">
        <v>45644.0</v>
      </c>
      <c r="D2201" s="16">
        <v>45674.0</v>
      </c>
      <c r="E2201" s="15" t="s">
        <v>684</v>
      </c>
      <c r="F2201" s="19">
        <v>19.99</v>
      </c>
      <c r="G2201" s="15" t="s">
        <v>675</v>
      </c>
    </row>
    <row r="2202" ht="15.75" customHeight="1">
      <c r="A2202" s="17" t="s">
        <v>2873</v>
      </c>
      <c r="B2202" s="17" t="s">
        <v>340</v>
      </c>
      <c r="C2202" s="18">
        <v>45644.0</v>
      </c>
      <c r="D2202" s="18">
        <v>45674.0</v>
      </c>
      <c r="E2202" s="17" t="s">
        <v>684</v>
      </c>
      <c r="F2202" s="20">
        <v>19.99</v>
      </c>
      <c r="G2202" s="17" t="s">
        <v>675</v>
      </c>
    </row>
    <row r="2203" ht="15.75" customHeight="1">
      <c r="A2203" s="15" t="s">
        <v>2874</v>
      </c>
      <c r="B2203" s="15" t="s">
        <v>385</v>
      </c>
      <c r="C2203" s="16">
        <v>45644.0</v>
      </c>
      <c r="D2203" s="16">
        <v>45674.0</v>
      </c>
      <c r="E2203" s="15" t="s">
        <v>684</v>
      </c>
      <c r="F2203" s="19">
        <v>19.99</v>
      </c>
      <c r="G2203" s="15" t="s">
        <v>675</v>
      </c>
    </row>
    <row r="2204" ht="15.75" customHeight="1">
      <c r="A2204" s="17" t="s">
        <v>2875</v>
      </c>
      <c r="B2204" s="17" t="s">
        <v>488</v>
      </c>
      <c r="C2204" s="18">
        <v>45644.0</v>
      </c>
      <c r="D2204" s="18">
        <v>45674.0</v>
      </c>
      <c r="E2204" s="17" t="s">
        <v>684</v>
      </c>
      <c r="F2204" s="20">
        <v>19.99</v>
      </c>
      <c r="G2204" s="17" t="s">
        <v>675</v>
      </c>
    </row>
    <row r="2205" ht="15.75" customHeight="1">
      <c r="A2205" s="15" t="s">
        <v>2876</v>
      </c>
      <c r="B2205" s="15" t="s">
        <v>164</v>
      </c>
      <c r="C2205" s="16">
        <v>45644.0</v>
      </c>
      <c r="D2205" s="16">
        <v>45674.0</v>
      </c>
      <c r="E2205" s="15" t="s">
        <v>684</v>
      </c>
      <c r="F2205" s="19">
        <v>19.99</v>
      </c>
      <c r="G2205" s="15" t="s">
        <v>675</v>
      </c>
    </row>
    <row r="2206" ht="15.75" customHeight="1">
      <c r="A2206" s="17" t="s">
        <v>2877</v>
      </c>
      <c r="B2206" s="17" t="s">
        <v>498</v>
      </c>
      <c r="C2206" s="18">
        <v>45644.0</v>
      </c>
      <c r="D2206" s="18">
        <v>45651.0</v>
      </c>
      <c r="E2206" s="17" t="s">
        <v>674</v>
      </c>
      <c r="F2206" s="20">
        <v>0.0</v>
      </c>
      <c r="G2206" s="17" t="s">
        <v>675</v>
      </c>
    </row>
    <row r="2207" ht="15.75" customHeight="1">
      <c r="A2207" s="15" t="s">
        <v>2878</v>
      </c>
      <c r="B2207" s="15" t="s">
        <v>259</v>
      </c>
      <c r="C2207" s="16">
        <v>45644.0</v>
      </c>
      <c r="D2207" s="16">
        <v>45674.0</v>
      </c>
      <c r="E2207" s="15" t="s">
        <v>684</v>
      </c>
      <c r="F2207" s="19">
        <v>19.99</v>
      </c>
      <c r="G2207" s="15" t="s">
        <v>675</v>
      </c>
    </row>
    <row r="2208" ht="15.75" customHeight="1">
      <c r="A2208" s="17" t="s">
        <v>2879</v>
      </c>
      <c r="B2208" s="17" t="s">
        <v>198</v>
      </c>
      <c r="C2208" s="18">
        <v>45644.0</v>
      </c>
      <c r="D2208" s="18">
        <v>45674.0</v>
      </c>
      <c r="E2208" s="17" t="s">
        <v>684</v>
      </c>
      <c r="F2208" s="20">
        <v>19.99</v>
      </c>
      <c r="G2208" s="17" t="s">
        <v>675</v>
      </c>
    </row>
    <row r="2209" ht="15.75" customHeight="1">
      <c r="A2209" s="15" t="s">
        <v>2880</v>
      </c>
      <c r="B2209" s="15" t="s">
        <v>343</v>
      </c>
      <c r="C2209" s="16">
        <v>45644.0</v>
      </c>
      <c r="D2209" s="16">
        <v>45674.0</v>
      </c>
      <c r="E2209" s="15" t="s">
        <v>684</v>
      </c>
      <c r="F2209" s="19">
        <v>19.99</v>
      </c>
      <c r="G2209" s="15" t="s">
        <v>675</v>
      </c>
    </row>
    <row r="2210" ht="15.75" customHeight="1">
      <c r="A2210" s="17" t="s">
        <v>2881</v>
      </c>
      <c r="B2210" s="17" t="s">
        <v>499</v>
      </c>
      <c r="C2210" s="18">
        <v>45644.0</v>
      </c>
      <c r="D2210" s="18">
        <v>45651.0</v>
      </c>
      <c r="E2210" s="17" t="s">
        <v>674</v>
      </c>
      <c r="F2210" s="20">
        <v>0.0</v>
      </c>
      <c r="G2210" s="17" t="s">
        <v>675</v>
      </c>
    </row>
    <row r="2211" ht="15.75" customHeight="1">
      <c r="A2211" s="15" t="s">
        <v>2882</v>
      </c>
      <c r="B2211" s="15" t="s">
        <v>500</v>
      </c>
      <c r="C2211" s="16">
        <v>45645.0</v>
      </c>
      <c r="D2211" s="16">
        <v>45652.0</v>
      </c>
      <c r="E2211" s="15" t="s">
        <v>674</v>
      </c>
      <c r="F2211" s="19">
        <v>0.0</v>
      </c>
      <c r="G2211" s="15" t="s">
        <v>675</v>
      </c>
    </row>
    <row r="2212" ht="15.75" customHeight="1">
      <c r="A2212" s="17" t="s">
        <v>2883</v>
      </c>
      <c r="B2212" s="17" t="s">
        <v>489</v>
      </c>
      <c r="C2212" s="18">
        <v>45645.0</v>
      </c>
      <c r="D2212" s="18">
        <v>45675.0</v>
      </c>
      <c r="E2212" s="17" t="s">
        <v>684</v>
      </c>
      <c r="F2212" s="20">
        <v>19.99</v>
      </c>
      <c r="G2212" s="17" t="s">
        <v>675</v>
      </c>
    </row>
    <row r="2213" ht="15.75" customHeight="1">
      <c r="A2213" s="15" t="s">
        <v>2884</v>
      </c>
      <c r="B2213" s="15" t="s">
        <v>387</v>
      </c>
      <c r="C2213" s="16">
        <v>45645.0</v>
      </c>
      <c r="D2213" s="16">
        <v>45675.0</v>
      </c>
      <c r="E2213" s="15" t="s">
        <v>684</v>
      </c>
      <c r="F2213" s="19">
        <v>19.99</v>
      </c>
      <c r="G2213" s="15" t="s">
        <v>675</v>
      </c>
    </row>
    <row r="2214" ht="15.75" customHeight="1">
      <c r="A2214" s="17" t="s">
        <v>2885</v>
      </c>
      <c r="B2214" s="17" t="s">
        <v>490</v>
      </c>
      <c r="C2214" s="18">
        <v>45645.0</v>
      </c>
      <c r="D2214" s="18">
        <v>45675.0</v>
      </c>
      <c r="E2214" s="17" t="s">
        <v>684</v>
      </c>
      <c r="F2214" s="20">
        <v>19.99</v>
      </c>
      <c r="G2214" s="17" t="s">
        <v>675</v>
      </c>
    </row>
    <row r="2215" ht="15.75" customHeight="1">
      <c r="A2215" s="15" t="s">
        <v>2886</v>
      </c>
      <c r="B2215" s="15" t="s">
        <v>100</v>
      </c>
      <c r="C2215" s="16">
        <v>45645.0</v>
      </c>
      <c r="D2215" s="16">
        <v>45675.0</v>
      </c>
      <c r="E2215" s="15" t="s">
        <v>684</v>
      </c>
      <c r="F2215" s="19">
        <v>19.99</v>
      </c>
      <c r="G2215" s="15" t="s">
        <v>675</v>
      </c>
    </row>
    <row r="2216" ht="15.75" customHeight="1">
      <c r="A2216" s="17" t="s">
        <v>2887</v>
      </c>
      <c r="B2216" s="17" t="s">
        <v>431</v>
      </c>
      <c r="C2216" s="18">
        <v>45645.0</v>
      </c>
      <c r="D2216" s="18">
        <v>45675.0</v>
      </c>
      <c r="E2216" s="17" t="s">
        <v>684</v>
      </c>
      <c r="F2216" s="20">
        <v>19.99</v>
      </c>
      <c r="G2216" s="17" t="s">
        <v>675</v>
      </c>
    </row>
    <row r="2217" ht="15.75" customHeight="1">
      <c r="A2217" s="15" t="s">
        <v>2888</v>
      </c>
      <c r="B2217" s="15" t="s">
        <v>165</v>
      </c>
      <c r="C2217" s="16">
        <v>45645.0</v>
      </c>
      <c r="D2217" s="16">
        <v>45675.0</v>
      </c>
      <c r="E2217" s="15" t="s">
        <v>684</v>
      </c>
      <c r="F2217" s="19">
        <v>19.99</v>
      </c>
      <c r="G2217" s="15" t="s">
        <v>675</v>
      </c>
    </row>
    <row r="2218" ht="15.75" customHeight="1">
      <c r="A2218" s="17" t="s">
        <v>2889</v>
      </c>
      <c r="B2218" s="17" t="s">
        <v>260</v>
      </c>
      <c r="C2218" s="18">
        <v>45645.0</v>
      </c>
      <c r="D2218" s="18">
        <v>45675.0</v>
      </c>
      <c r="E2218" s="17" t="s">
        <v>684</v>
      </c>
      <c r="F2218" s="20">
        <v>19.99</v>
      </c>
      <c r="G2218" s="17" t="s">
        <v>675</v>
      </c>
    </row>
    <row r="2219" ht="15.75" customHeight="1">
      <c r="A2219" s="15" t="s">
        <v>2890</v>
      </c>
      <c r="B2219" s="15" t="s">
        <v>432</v>
      </c>
      <c r="C2219" s="16">
        <v>45645.0</v>
      </c>
      <c r="D2219" s="16">
        <v>45675.0</v>
      </c>
      <c r="E2219" s="15" t="s">
        <v>684</v>
      </c>
      <c r="F2219" s="19">
        <v>19.99</v>
      </c>
      <c r="G2219" s="15" t="s">
        <v>675</v>
      </c>
    </row>
    <row r="2220" ht="15.75" customHeight="1">
      <c r="A2220" s="17" t="s">
        <v>2891</v>
      </c>
      <c r="B2220" s="17" t="s">
        <v>79</v>
      </c>
      <c r="C2220" s="18">
        <v>45646.0</v>
      </c>
      <c r="D2220" s="18">
        <v>45676.0</v>
      </c>
      <c r="E2220" s="17" t="s">
        <v>684</v>
      </c>
      <c r="F2220" s="20">
        <v>19.99</v>
      </c>
      <c r="G2220" s="17" t="s">
        <v>675</v>
      </c>
    </row>
    <row r="2221" ht="15.75" customHeight="1">
      <c r="A2221" s="15" t="s">
        <v>2892</v>
      </c>
      <c r="B2221" s="15" t="s">
        <v>501</v>
      </c>
      <c r="C2221" s="16">
        <v>45646.0</v>
      </c>
      <c r="D2221" s="16">
        <v>45653.0</v>
      </c>
      <c r="E2221" s="15" t="s">
        <v>674</v>
      </c>
      <c r="F2221" s="19">
        <v>0.0</v>
      </c>
      <c r="G2221" s="15" t="s">
        <v>675</v>
      </c>
    </row>
    <row r="2222" ht="15.75" customHeight="1">
      <c r="A2222" s="17" t="s">
        <v>2893</v>
      </c>
      <c r="B2222" s="17" t="s">
        <v>502</v>
      </c>
      <c r="C2222" s="18">
        <v>45646.0</v>
      </c>
      <c r="D2222" s="18">
        <v>45653.0</v>
      </c>
      <c r="E2222" s="17" t="s">
        <v>674</v>
      </c>
      <c r="F2222" s="20">
        <v>0.0</v>
      </c>
      <c r="G2222" s="17" t="s">
        <v>675</v>
      </c>
    </row>
    <row r="2223" ht="15.75" customHeight="1">
      <c r="A2223" s="15" t="s">
        <v>2894</v>
      </c>
      <c r="B2223" s="15" t="s">
        <v>388</v>
      </c>
      <c r="C2223" s="16">
        <v>45646.0</v>
      </c>
      <c r="D2223" s="16">
        <v>45676.0</v>
      </c>
      <c r="E2223" s="15" t="s">
        <v>684</v>
      </c>
      <c r="F2223" s="19">
        <v>19.99</v>
      </c>
      <c r="G2223" s="15" t="s">
        <v>675</v>
      </c>
    </row>
    <row r="2224" ht="15.75" customHeight="1">
      <c r="A2224" s="17" t="s">
        <v>2895</v>
      </c>
      <c r="B2224" s="17" t="s">
        <v>503</v>
      </c>
      <c r="C2224" s="18">
        <v>45646.0</v>
      </c>
      <c r="D2224" s="18">
        <v>45653.0</v>
      </c>
      <c r="E2224" s="17" t="s">
        <v>674</v>
      </c>
      <c r="F2224" s="20">
        <v>0.0</v>
      </c>
      <c r="G2224" s="17" t="s">
        <v>675</v>
      </c>
    </row>
    <row r="2225" ht="15.75" customHeight="1">
      <c r="A2225" s="15" t="s">
        <v>2896</v>
      </c>
      <c r="B2225" s="15" t="s">
        <v>133</v>
      </c>
      <c r="C2225" s="16">
        <v>45646.0</v>
      </c>
      <c r="D2225" s="16">
        <v>45676.0</v>
      </c>
      <c r="E2225" s="15" t="s">
        <v>684</v>
      </c>
      <c r="F2225" s="19">
        <v>19.99</v>
      </c>
      <c r="G2225" s="15" t="s">
        <v>675</v>
      </c>
    </row>
    <row r="2226" ht="15.75" customHeight="1">
      <c r="A2226" s="17" t="s">
        <v>2897</v>
      </c>
      <c r="B2226" s="17" t="s">
        <v>504</v>
      </c>
      <c r="C2226" s="18">
        <v>45646.0</v>
      </c>
      <c r="D2226" s="18">
        <v>45653.0</v>
      </c>
      <c r="E2226" s="17" t="s">
        <v>674</v>
      </c>
      <c r="F2226" s="20">
        <v>0.0</v>
      </c>
      <c r="G2226" s="17" t="s">
        <v>675</v>
      </c>
    </row>
    <row r="2227" ht="15.75" customHeight="1">
      <c r="A2227" s="15" t="s">
        <v>2898</v>
      </c>
      <c r="B2227" s="15" t="s">
        <v>306</v>
      </c>
      <c r="C2227" s="16">
        <v>45646.0</v>
      </c>
      <c r="D2227" s="16">
        <v>45676.0</v>
      </c>
      <c r="E2227" s="15" t="s">
        <v>684</v>
      </c>
      <c r="F2227" s="19">
        <v>19.99</v>
      </c>
      <c r="G2227" s="15" t="s">
        <v>675</v>
      </c>
    </row>
    <row r="2228" ht="15.75" customHeight="1">
      <c r="A2228" s="17" t="s">
        <v>2899</v>
      </c>
      <c r="B2228" s="17" t="s">
        <v>389</v>
      </c>
      <c r="C2228" s="18">
        <v>45646.0</v>
      </c>
      <c r="D2228" s="18">
        <v>45676.0</v>
      </c>
      <c r="E2228" s="17" t="s">
        <v>684</v>
      </c>
      <c r="F2228" s="20">
        <v>19.99</v>
      </c>
      <c r="G2228" s="17" t="s">
        <v>675</v>
      </c>
    </row>
    <row r="2229" ht="15.75" customHeight="1">
      <c r="A2229" s="15" t="s">
        <v>2900</v>
      </c>
      <c r="B2229" s="15" t="s">
        <v>434</v>
      </c>
      <c r="C2229" s="16">
        <v>45646.0</v>
      </c>
      <c r="D2229" s="16">
        <v>45676.0</v>
      </c>
      <c r="E2229" s="15" t="s">
        <v>684</v>
      </c>
      <c r="F2229" s="19">
        <v>19.99</v>
      </c>
      <c r="G2229" s="15" t="s">
        <v>675</v>
      </c>
    </row>
    <row r="2230" ht="15.75" customHeight="1">
      <c r="A2230" s="17" t="s">
        <v>2901</v>
      </c>
      <c r="B2230" s="17" t="s">
        <v>203</v>
      </c>
      <c r="C2230" s="18">
        <v>45647.0</v>
      </c>
      <c r="D2230" s="18">
        <v>45677.0</v>
      </c>
      <c r="E2230" s="17" t="s">
        <v>684</v>
      </c>
      <c r="F2230" s="20">
        <v>19.99</v>
      </c>
      <c r="G2230" s="17" t="s">
        <v>675</v>
      </c>
    </row>
    <row r="2231" ht="15.75" customHeight="1">
      <c r="A2231" s="15" t="s">
        <v>2902</v>
      </c>
      <c r="B2231" s="15" t="s">
        <v>435</v>
      </c>
      <c r="C2231" s="16">
        <v>45647.0</v>
      </c>
      <c r="D2231" s="16">
        <v>45677.0</v>
      </c>
      <c r="E2231" s="15" t="s">
        <v>684</v>
      </c>
      <c r="F2231" s="19">
        <v>19.99</v>
      </c>
      <c r="G2231" s="15" t="s">
        <v>675</v>
      </c>
    </row>
    <row r="2232" ht="15.75" customHeight="1">
      <c r="A2232" s="17" t="s">
        <v>2903</v>
      </c>
      <c r="B2232" s="17" t="s">
        <v>491</v>
      </c>
      <c r="C2232" s="18">
        <v>45647.0</v>
      </c>
      <c r="D2232" s="18">
        <v>45677.0</v>
      </c>
      <c r="E2232" s="17" t="s">
        <v>684</v>
      </c>
      <c r="F2232" s="20">
        <v>19.99</v>
      </c>
      <c r="G2232" s="17" t="s">
        <v>675</v>
      </c>
    </row>
    <row r="2233" ht="15.75" customHeight="1">
      <c r="A2233" s="15" t="s">
        <v>2904</v>
      </c>
      <c r="B2233" s="15" t="s">
        <v>134</v>
      </c>
      <c r="C2233" s="16">
        <v>45647.0</v>
      </c>
      <c r="D2233" s="16">
        <v>45677.0</v>
      </c>
      <c r="E2233" s="15" t="s">
        <v>684</v>
      </c>
      <c r="F2233" s="19">
        <v>19.99</v>
      </c>
      <c r="G2233" s="15" t="s">
        <v>675</v>
      </c>
    </row>
    <row r="2234" ht="15.75" customHeight="1">
      <c r="A2234" s="17" t="s">
        <v>2905</v>
      </c>
      <c r="B2234" s="17" t="s">
        <v>492</v>
      </c>
      <c r="C2234" s="18">
        <v>45647.0</v>
      </c>
      <c r="D2234" s="18">
        <v>45677.0</v>
      </c>
      <c r="E2234" s="17" t="s">
        <v>684</v>
      </c>
      <c r="F2234" s="20">
        <v>19.99</v>
      </c>
      <c r="G2234" s="17" t="s">
        <v>675</v>
      </c>
    </row>
    <row r="2235" ht="15.75" customHeight="1">
      <c r="A2235" s="15" t="s">
        <v>2906</v>
      </c>
      <c r="B2235" s="15" t="s">
        <v>493</v>
      </c>
      <c r="C2235" s="16">
        <v>45647.0</v>
      </c>
      <c r="D2235" s="16">
        <v>45677.0</v>
      </c>
      <c r="E2235" s="15" t="s">
        <v>684</v>
      </c>
      <c r="F2235" s="19">
        <v>19.99</v>
      </c>
      <c r="G2235" s="15" t="s">
        <v>675</v>
      </c>
    </row>
    <row r="2236" ht="15.75" customHeight="1">
      <c r="A2236" s="17" t="s">
        <v>2907</v>
      </c>
      <c r="B2236" s="17" t="s">
        <v>436</v>
      </c>
      <c r="C2236" s="18">
        <v>45647.0</v>
      </c>
      <c r="D2236" s="18">
        <v>45677.0</v>
      </c>
      <c r="E2236" s="17" t="s">
        <v>684</v>
      </c>
      <c r="F2236" s="20">
        <v>19.99</v>
      </c>
      <c r="G2236" s="17" t="s">
        <v>675</v>
      </c>
    </row>
    <row r="2237" ht="15.75" customHeight="1">
      <c r="A2237" s="15" t="s">
        <v>2908</v>
      </c>
      <c r="B2237" s="15" t="s">
        <v>227</v>
      </c>
      <c r="C2237" s="16">
        <v>45647.0</v>
      </c>
      <c r="D2237" s="16">
        <v>45677.0</v>
      </c>
      <c r="E2237" s="15" t="s">
        <v>684</v>
      </c>
      <c r="F2237" s="19">
        <v>19.99</v>
      </c>
      <c r="G2237" s="15" t="s">
        <v>675</v>
      </c>
    </row>
    <row r="2238" ht="15.75" customHeight="1">
      <c r="A2238" s="17" t="s">
        <v>2909</v>
      </c>
      <c r="B2238" s="17" t="s">
        <v>261</v>
      </c>
      <c r="C2238" s="18">
        <v>45647.0</v>
      </c>
      <c r="D2238" s="18">
        <v>45677.0</v>
      </c>
      <c r="E2238" s="17" t="s">
        <v>684</v>
      </c>
      <c r="F2238" s="20">
        <v>19.99</v>
      </c>
      <c r="G2238" s="17" t="s">
        <v>675</v>
      </c>
    </row>
    <row r="2239" ht="15.75" customHeight="1">
      <c r="A2239" s="15" t="s">
        <v>2910</v>
      </c>
      <c r="B2239" s="15" t="s">
        <v>344</v>
      </c>
      <c r="C2239" s="16">
        <v>45647.0</v>
      </c>
      <c r="D2239" s="16">
        <v>45677.0</v>
      </c>
      <c r="E2239" s="15" t="s">
        <v>684</v>
      </c>
      <c r="F2239" s="19">
        <v>19.99</v>
      </c>
      <c r="G2239" s="15" t="s">
        <v>675</v>
      </c>
    </row>
    <row r="2240" ht="15.75" customHeight="1">
      <c r="A2240" s="17" t="s">
        <v>2911</v>
      </c>
      <c r="B2240" s="17" t="s">
        <v>206</v>
      </c>
      <c r="C2240" s="18">
        <v>45647.0</v>
      </c>
      <c r="D2240" s="18">
        <v>45677.0</v>
      </c>
      <c r="E2240" s="17" t="s">
        <v>684</v>
      </c>
      <c r="F2240" s="20">
        <v>19.99</v>
      </c>
      <c r="G2240" s="17" t="s">
        <v>675</v>
      </c>
    </row>
    <row r="2241" ht="15.75" customHeight="1">
      <c r="A2241" s="15" t="s">
        <v>2912</v>
      </c>
      <c r="B2241" s="15" t="s">
        <v>505</v>
      </c>
      <c r="C2241" s="16">
        <v>45647.0</v>
      </c>
      <c r="D2241" s="16">
        <v>45654.0</v>
      </c>
      <c r="E2241" s="15" t="s">
        <v>674</v>
      </c>
      <c r="F2241" s="19">
        <v>0.0</v>
      </c>
      <c r="G2241" s="15" t="s">
        <v>675</v>
      </c>
    </row>
    <row r="2242" ht="15.75" customHeight="1">
      <c r="A2242" s="17" t="s">
        <v>2913</v>
      </c>
      <c r="B2242" s="17" t="s">
        <v>437</v>
      </c>
      <c r="C2242" s="18">
        <v>45648.0</v>
      </c>
      <c r="D2242" s="18">
        <v>45678.0</v>
      </c>
      <c r="E2242" s="17" t="s">
        <v>684</v>
      </c>
      <c r="F2242" s="20">
        <v>19.99</v>
      </c>
      <c r="G2242" s="17" t="s">
        <v>675</v>
      </c>
    </row>
    <row r="2243" ht="15.75" customHeight="1">
      <c r="A2243" s="15" t="s">
        <v>2914</v>
      </c>
      <c r="B2243" s="15" t="s">
        <v>345</v>
      </c>
      <c r="C2243" s="16">
        <v>45648.0</v>
      </c>
      <c r="D2243" s="16">
        <v>45678.0</v>
      </c>
      <c r="E2243" s="15" t="s">
        <v>684</v>
      </c>
      <c r="F2243" s="19">
        <v>19.99</v>
      </c>
      <c r="G2243" s="15" t="s">
        <v>675</v>
      </c>
    </row>
    <row r="2244" ht="15.75" customHeight="1">
      <c r="A2244" s="17" t="s">
        <v>2915</v>
      </c>
      <c r="B2244" s="17" t="s">
        <v>310</v>
      </c>
      <c r="C2244" s="18">
        <v>45648.0</v>
      </c>
      <c r="D2244" s="18">
        <v>45678.0</v>
      </c>
      <c r="E2244" s="17" t="s">
        <v>684</v>
      </c>
      <c r="F2244" s="20">
        <v>19.99</v>
      </c>
      <c r="G2244" s="17" t="s">
        <v>675</v>
      </c>
    </row>
    <row r="2245" ht="15.75" customHeight="1">
      <c r="A2245" s="15" t="s">
        <v>2916</v>
      </c>
      <c r="B2245" s="15" t="s">
        <v>228</v>
      </c>
      <c r="C2245" s="16">
        <v>45648.0</v>
      </c>
      <c r="D2245" s="16">
        <v>45678.0</v>
      </c>
      <c r="E2245" s="15" t="s">
        <v>684</v>
      </c>
      <c r="F2245" s="19">
        <v>19.99</v>
      </c>
      <c r="G2245" s="15" t="s">
        <v>675</v>
      </c>
    </row>
    <row r="2246" ht="15.75" customHeight="1">
      <c r="A2246" s="17" t="s">
        <v>2917</v>
      </c>
      <c r="B2246" s="17" t="s">
        <v>494</v>
      </c>
      <c r="C2246" s="18">
        <v>45648.0</v>
      </c>
      <c r="D2246" s="18">
        <v>45678.0</v>
      </c>
      <c r="E2246" s="17" t="s">
        <v>684</v>
      </c>
      <c r="F2246" s="20">
        <v>19.99</v>
      </c>
      <c r="G2246" s="17" t="s">
        <v>675</v>
      </c>
    </row>
    <row r="2247" ht="15.75" customHeight="1">
      <c r="A2247" s="15" t="s">
        <v>2918</v>
      </c>
      <c r="B2247" s="15" t="s">
        <v>262</v>
      </c>
      <c r="C2247" s="16">
        <v>45648.0</v>
      </c>
      <c r="D2247" s="16">
        <v>45678.0</v>
      </c>
      <c r="E2247" s="15" t="s">
        <v>684</v>
      </c>
      <c r="F2247" s="19">
        <v>19.99</v>
      </c>
      <c r="G2247" s="15" t="s">
        <v>675</v>
      </c>
    </row>
    <row r="2248" ht="15.75" customHeight="1">
      <c r="A2248" s="17" t="s">
        <v>2919</v>
      </c>
      <c r="B2248" s="17" t="s">
        <v>438</v>
      </c>
      <c r="C2248" s="18">
        <v>45648.0</v>
      </c>
      <c r="D2248" s="18">
        <v>45678.0</v>
      </c>
      <c r="E2248" s="17" t="s">
        <v>684</v>
      </c>
      <c r="F2248" s="20">
        <v>19.99</v>
      </c>
      <c r="G2248" s="17" t="s">
        <v>675</v>
      </c>
    </row>
    <row r="2249" ht="15.75" customHeight="1">
      <c r="A2249" s="15" t="s">
        <v>2920</v>
      </c>
      <c r="B2249" s="15" t="s">
        <v>506</v>
      </c>
      <c r="C2249" s="16">
        <v>45648.0</v>
      </c>
      <c r="D2249" s="16">
        <v>45655.0</v>
      </c>
      <c r="E2249" s="15" t="s">
        <v>674</v>
      </c>
      <c r="F2249" s="19">
        <v>0.0</v>
      </c>
      <c r="G2249" s="15" t="s">
        <v>675</v>
      </c>
    </row>
    <row r="2250" ht="15.75" customHeight="1">
      <c r="A2250" s="17" t="s">
        <v>2921</v>
      </c>
      <c r="B2250" s="17" t="s">
        <v>346</v>
      </c>
      <c r="C2250" s="18">
        <v>45648.0</v>
      </c>
      <c r="D2250" s="18">
        <v>45678.0</v>
      </c>
      <c r="E2250" s="17" t="s">
        <v>684</v>
      </c>
      <c r="F2250" s="20">
        <v>19.99</v>
      </c>
      <c r="G2250" s="17" t="s">
        <v>675</v>
      </c>
    </row>
    <row r="2251" ht="15.75" customHeight="1">
      <c r="A2251" s="15" t="s">
        <v>2922</v>
      </c>
      <c r="B2251" s="15" t="s">
        <v>507</v>
      </c>
      <c r="C2251" s="16">
        <v>45648.0</v>
      </c>
      <c r="D2251" s="16">
        <v>45655.0</v>
      </c>
      <c r="E2251" s="15" t="s">
        <v>674</v>
      </c>
      <c r="F2251" s="19">
        <v>0.0</v>
      </c>
      <c r="G2251" s="15" t="s">
        <v>675</v>
      </c>
    </row>
    <row r="2252" ht="15.75" customHeight="1">
      <c r="A2252" s="17" t="s">
        <v>2923</v>
      </c>
      <c r="B2252" s="17" t="s">
        <v>102</v>
      </c>
      <c r="C2252" s="18">
        <v>45648.0</v>
      </c>
      <c r="D2252" s="18">
        <v>45678.0</v>
      </c>
      <c r="E2252" s="17" t="s">
        <v>684</v>
      </c>
      <c r="F2252" s="20">
        <v>19.99</v>
      </c>
      <c r="G2252" s="17" t="s">
        <v>675</v>
      </c>
    </row>
    <row r="2253" ht="15.75" customHeight="1">
      <c r="A2253" s="15" t="s">
        <v>2924</v>
      </c>
      <c r="B2253" s="15" t="s">
        <v>167</v>
      </c>
      <c r="C2253" s="16">
        <v>45648.0</v>
      </c>
      <c r="D2253" s="16">
        <v>45678.0</v>
      </c>
      <c r="E2253" s="15" t="s">
        <v>684</v>
      </c>
      <c r="F2253" s="19">
        <v>19.99</v>
      </c>
      <c r="G2253" s="15" t="s">
        <v>675</v>
      </c>
    </row>
    <row r="2254" ht="15.75" customHeight="1">
      <c r="A2254" s="17" t="s">
        <v>2925</v>
      </c>
      <c r="B2254" s="17" t="s">
        <v>168</v>
      </c>
      <c r="C2254" s="18">
        <v>45648.0</v>
      </c>
      <c r="D2254" s="18">
        <v>45678.0</v>
      </c>
      <c r="E2254" s="17" t="s">
        <v>684</v>
      </c>
      <c r="F2254" s="20">
        <v>19.99</v>
      </c>
      <c r="G2254" s="17" t="s">
        <v>675</v>
      </c>
    </row>
    <row r="2255" ht="15.75" customHeight="1">
      <c r="A2255" s="15" t="s">
        <v>2926</v>
      </c>
      <c r="B2255" s="15" t="s">
        <v>208</v>
      </c>
      <c r="C2255" s="16">
        <v>45648.0</v>
      </c>
      <c r="D2255" s="16">
        <v>45678.0</v>
      </c>
      <c r="E2255" s="15" t="s">
        <v>684</v>
      </c>
      <c r="F2255" s="19">
        <v>19.99</v>
      </c>
      <c r="G2255" s="15" t="s">
        <v>675</v>
      </c>
    </row>
    <row r="2256" ht="15.75" customHeight="1">
      <c r="A2256" s="17" t="s">
        <v>2927</v>
      </c>
      <c r="B2256" s="17" t="s">
        <v>347</v>
      </c>
      <c r="C2256" s="18">
        <v>45649.0</v>
      </c>
      <c r="D2256" s="18">
        <v>45679.0</v>
      </c>
      <c r="E2256" s="17" t="s">
        <v>684</v>
      </c>
      <c r="F2256" s="20">
        <v>19.99</v>
      </c>
      <c r="G2256" s="17" t="s">
        <v>675</v>
      </c>
    </row>
    <row r="2257" ht="15.75" customHeight="1">
      <c r="A2257" s="15" t="s">
        <v>2928</v>
      </c>
      <c r="B2257" s="15" t="s">
        <v>136</v>
      </c>
      <c r="C2257" s="16">
        <v>45649.0</v>
      </c>
      <c r="D2257" s="16">
        <v>45679.0</v>
      </c>
      <c r="E2257" s="15" t="s">
        <v>684</v>
      </c>
      <c r="F2257" s="19">
        <v>19.99</v>
      </c>
      <c r="G2257" s="15" t="s">
        <v>675</v>
      </c>
    </row>
    <row r="2258" ht="15.75" customHeight="1">
      <c r="A2258" s="17" t="s">
        <v>2929</v>
      </c>
      <c r="B2258" s="17" t="s">
        <v>82</v>
      </c>
      <c r="C2258" s="18">
        <v>45649.0</v>
      </c>
      <c r="D2258" s="18">
        <v>45679.0</v>
      </c>
      <c r="E2258" s="17" t="s">
        <v>684</v>
      </c>
      <c r="F2258" s="20">
        <v>19.99</v>
      </c>
      <c r="G2258" s="17" t="s">
        <v>675</v>
      </c>
    </row>
    <row r="2259" ht="15.75" customHeight="1">
      <c r="A2259" s="15" t="s">
        <v>2930</v>
      </c>
      <c r="B2259" s="15" t="s">
        <v>348</v>
      </c>
      <c r="C2259" s="16">
        <v>45649.0</v>
      </c>
      <c r="D2259" s="16">
        <v>45679.0</v>
      </c>
      <c r="E2259" s="15" t="s">
        <v>684</v>
      </c>
      <c r="F2259" s="19">
        <v>19.99</v>
      </c>
      <c r="G2259" s="15" t="s">
        <v>675</v>
      </c>
    </row>
    <row r="2260" ht="15.75" customHeight="1">
      <c r="A2260" s="17" t="s">
        <v>2931</v>
      </c>
      <c r="B2260" s="17" t="s">
        <v>391</v>
      </c>
      <c r="C2260" s="18">
        <v>45649.0</v>
      </c>
      <c r="D2260" s="18">
        <v>45679.0</v>
      </c>
      <c r="E2260" s="17" t="s">
        <v>684</v>
      </c>
      <c r="F2260" s="20">
        <v>19.99</v>
      </c>
      <c r="G2260" s="17" t="s">
        <v>675</v>
      </c>
    </row>
    <row r="2261" ht="15.75" customHeight="1">
      <c r="A2261" s="15" t="s">
        <v>2932</v>
      </c>
      <c r="B2261" s="15" t="s">
        <v>349</v>
      </c>
      <c r="C2261" s="16">
        <v>45649.0</v>
      </c>
      <c r="D2261" s="16">
        <v>45679.0</v>
      </c>
      <c r="E2261" s="15" t="s">
        <v>684</v>
      </c>
      <c r="F2261" s="19">
        <v>19.99</v>
      </c>
      <c r="G2261" s="15" t="s">
        <v>675</v>
      </c>
    </row>
    <row r="2262" ht="15.75" customHeight="1">
      <c r="A2262" s="17" t="s">
        <v>2933</v>
      </c>
      <c r="B2262" s="17" t="s">
        <v>137</v>
      </c>
      <c r="C2262" s="18">
        <v>45649.0</v>
      </c>
      <c r="D2262" s="18">
        <v>45679.0</v>
      </c>
      <c r="E2262" s="17" t="s">
        <v>684</v>
      </c>
      <c r="F2262" s="20">
        <v>19.99</v>
      </c>
      <c r="G2262" s="17" t="s">
        <v>675</v>
      </c>
    </row>
    <row r="2263" ht="15.75" customHeight="1">
      <c r="A2263" s="15" t="s">
        <v>2934</v>
      </c>
      <c r="B2263" s="15" t="s">
        <v>440</v>
      </c>
      <c r="C2263" s="16">
        <v>45649.0</v>
      </c>
      <c r="D2263" s="16">
        <v>45679.0</v>
      </c>
      <c r="E2263" s="15" t="s">
        <v>684</v>
      </c>
      <c r="F2263" s="19">
        <v>19.99</v>
      </c>
      <c r="G2263" s="15" t="s">
        <v>675</v>
      </c>
    </row>
    <row r="2264" ht="15.75" customHeight="1">
      <c r="A2264" s="17" t="s">
        <v>2935</v>
      </c>
      <c r="B2264" s="17" t="s">
        <v>441</v>
      </c>
      <c r="C2264" s="18">
        <v>45649.0</v>
      </c>
      <c r="D2264" s="18">
        <v>45679.0</v>
      </c>
      <c r="E2264" s="17" t="s">
        <v>684</v>
      </c>
      <c r="F2264" s="20">
        <v>19.99</v>
      </c>
      <c r="G2264" s="17" t="s">
        <v>675</v>
      </c>
    </row>
    <row r="2265" ht="15.75" customHeight="1">
      <c r="A2265" s="15" t="s">
        <v>2936</v>
      </c>
      <c r="B2265" s="15" t="s">
        <v>83</v>
      </c>
      <c r="C2265" s="16">
        <v>45649.0</v>
      </c>
      <c r="D2265" s="16">
        <v>45679.0</v>
      </c>
      <c r="E2265" s="15" t="s">
        <v>684</v>
      </c>
      <c r="F2265" s="19">
        <v>19.99</v>
      </c>
      <c r="G2265" s="15" t="s">
        <v>675</v>
      </c>
    </row>
    <row r="2266" ht="15.75" customHeight="1">
      <c r="A2266" s="17" t="s">
        <v>2937</v>
      </c>
      <c r="B2266" s="17" t="s">
        <v>350</v>
      </c>
      <c r="C2266" s="18">
        <v>45650.0</v>
      </c>
      <c r="D2266" s="18">
        <v>45680.0</v>
      </c>
      <c r="E2266" s="17" t="s">
        <v>684</v>
      </c>
      <c r="F2266" s="20">
        <v>19.99</v>
      </c>
      <c r="G2266" s="17" t="s">
        <v>675</v>
      </c>
    </row>
    <row r="2267" ht="15.75" customHeight="1">
      <c r="A2267" s="15" t="s">
        <v>2938</v>
      </c>
      <c r="B2267" s="15" t="s">
        <v>84</v>
      </c>
      <c r="C2267" s="16">
        <v>45650.0</v>
      </c>
      <c r="D2267" s="16">
        <v>45680.0</v>
      </c>
      <c r="E2267" s="15" t="s">
        <v>684</v>
      </c>
      <c r="F2267" s="19">
        <v>19.99</v>
      </c>
      <c r="G2267" s="15" t="s">
        <v>675</v>
      </c>
    </row>
    <row r="2268" ht="15.75" customHeight="1">
      <c r="A2268" s="17" t="s">
        <v>2939</v>
      </c>
      <c r="B2268" s="17" t="s">
        <v>392</v>
      </c>
      <c r="C2268" s="18">
        <v>45650.0</v>
      </c>
      <c r="D2268" s="18">
        <v>45680.0</v>
      </c>
      <c r="E2268" s="17" t="s">
        <v>684</v>
      </c>
      <c r="F2268" s="20">
        <v>19.99</v>
      </c>
      <c r="G2268" s="17" t="s">
        <v>675</v>
      </c>
    </row>
    <row r="2269" ht="15.75" customHeight="1">
      <c r="A2269" s="15" t="s">
        <v>2940</v>
      </c>
      <c r="B2269" s="15" t="s">
        <v>495</v>
      </c>
      <c r="C2269" s="16">
        <v>45650.0</v>
      </c>
      <c r="D2269" s="16">
        <v>45680.0</v>
      </c>
      <c r="E2269" s="15" t="s">
        <v>684</v>
      </c>
      <c r="F2269" s="19">
        <v>19.99</v>
      </c>
      <c r="G2269" s="15" t="s">
        <v>675</v>
      </c>
    </row>
    <row r="2270" ht="15.75" customHeight="1">
      <c r="A2270" s="17" t="s">
        <v>2941</v>
      </c>
      <c r="B2270" s="17" t="s">
        <v>442</v>
      </c>
      <c r="C2270" s="18">
        <v>45650.0</v>
      </c>
      <c r="D2270" s="18">
        <v>45680.0</v>
      </c>
      <c r="E2270" s="17" t="s">
        <v>684</v>
      </c>
      <c r="F2270" s="20">
        <v>19.99</v>
      </c>
      <c r="G2270" s="17" t="s">
        <v>675</v>
      </c>
    </row>
    <row r="2271" ht="15.75" customHeight="1">
      <c r="A2271" s="15" t="s">
        <v>2942</v>
      </c>
      <c r="B2271" s="15" t="s">
        <v>139</v>
      </c>
      <c r="C2271" s="16">
        <v>45650.0</v>
      </c>
      <c r="D2271" s="16">
        <v>45680.0</v>
      </c>
      <c r="E2271" s="15" t="s">
        <v>684</v>
      </c>
      <c r="F2271" s="19">
        <v>19.99</v>
      </c>
      <c r="G2271" s="15" t="s">
        <v>675</v>
      </c>
    </row>
    <row r="2272" ht="15.75" customHeight="1">
      <c r="A2272" s="17" t="s">
        <v>2943</v>
      </c>
      <c r="B2272" s="17" t="s">
        <v>496</v>
      </c>
      <c r="C2272" s="18">
        <v>45650.0</v>
      </c>
      <c r="D2272" s="18">
        <v>45680.0</v>
      </c>
      <c r="E2272" s="17" t="s">
        <v>684</v>
      </c>
      <c r="F2272" s="20">
        <v>19.99</v>
      </c>
      <c r="G2272" s="17" t="s">
        <v>675</v>
      </c>
    </row>
    <row r="2273" ht="15.75" customHeight="1">
      <c r="A2273" s="15" t="s">
        <v>2944</v>
      </c>
      <c r="B2273" s="15" t="s">
        <v>443</v>
      </c>
      <c r="C2273" s="16">
        <v>45650.0</v>
      </c>
      <c r="D2273" s="16">
        <v>45680.0</v>
      </c>
      <c r="E2273" s="15" t="s">
        <v>684</v>
      </c>
      <c r="F2273" s="19">
        <v>19.99</v>
      </c>
      <c r="G2273" s="15" t="s">
        <v>675</v>
      </c>
    </row>
    <row r="2274" ht="15.75" customHeight="1">
      <c r="A2274" s="17" t="s">
        <v>2945</v>
      </c>
      <c r="B2274" s="17" t="s">
        <v>314</v>
      </c>
      <c r="C2274" s="18">
        <v>45650.0</v>
      </c>
      <c r="D2274" s="18">
        <v>45680.0</v>
      </c>
      <c r="E2274" s="17" t="s">
        <v>684</v>
      </c>
      <c r="F2274" s="20">
        <v>19.99</v>
      </c>
      <c r="G2274" s="17" t="s">
        <v>675</v>
      </c>
    </row>
    <row r="2275" ht="15.75" customHeight="1">
      <c r="A2275" s="15" t="s">
        <v>2946</v>
      </c>
      <c r="B2275" s="15" t="s">
        <v>497</v>
      </c>
      <c r="C2275" s="16">
        <v>45650.0</v>
      </c>
      <c r="D2275" s="16">
        <v>45680.0</v>
      </c>
      <c r="E2275" s="15" t="s">
        <v>684</v>
      </c>
      <c r="F2275" s="19">
        <v>19.99</v>
      </c>
      <c r="G2275" s="15" t="s">
        <v>675</v>
      </c>
    </row>
    <row r="2276" ht="15.75" customHeight="1">
      <c r="A2276" s="17" t="s">
        <v>2947</v>
      </c>
      <c r="B2276" s="17" t="s">
        <v>351</v>
      </c>
      <c r="C2276" s="18">
        <v>45650.0</v>
      </c>
      <c r="D2276" s="18">
        <v>45680.0</v>
      </c>
      <c r="E2276" s="17" t="s">
        <v>684</v>
      </c>
      <c r="F2276" s="20">
        <v>19.99</v>
      </c>
      <c r="G2276" s="17" t="s">
        <v>675</v>
      </c>
    </row>
    <row r="2277" ht="15.75" customHeight="1">
      <c r="A2277" s="15" t="s">
        <v>2948</v>
      </c>
      <c r="B2277" s="15" t="s">
        <v>103</v>
      </c>
      <c r="C2277" s="16">
        <v>45650.0</v>
      </c>
      <c r="D2277" s="16">
        <v>45680.0</v>
      </c>
      <c r="E2277" s="15" t="s">
        <v>684</v>
      </c>
      <c r="F2277" s="19">
        <v>19.99</v>
      </c>
      <c r="G2277" s="15" t="s">
        <v>675</v>
      </c>
    </row>
    <row r="2278" ht="15.75" customHeight="1">
      <c r="A2278" s="17" t="s">
        <v>2949</v>
      </c>
      <c r="B2278" s="17" t="s">
        <v>446</v>
      </c>
      <c r="C2278" s="18">
        <v>45650.0</v>
      </c>
      <c r="D2278" s="18">
        <v>45680.0</v>
      </c>
      <c r="E2278" s="17" t="s">
        <v>684</v>
      </c>
      <c r="F2278" s="20">
        <v>19.99</v>
      </c>
      <c r="G2278" s="17" t="s">
        <v>675</v>
      </c>
    </row>
    <row r="2279" ht="15.75" customHeight="1">
      <c r="A2279" s="15" t="s">
        <v>2950</v>
      </c>
      <c r="B2279" s="15" t="s">
        <v>140</v>
      </c>
      <c r="C2279" s="16">
        <v>45650.0</v>
      </c>
      <c r="D2279" s="16">
        <v>45680.0</v>
      </c>
      <c r="E2279" s="15" t="s">
        <v>684</v>
      </c>
      <c r="F2279" s="19">
        <v>19.99</v>
      </c>
      <c r="G2279" s="15" t="s">
        <v>675</v>
      </c>
    </row>
    <row r="2280" ht="15.75" customHeight="1">
      <c r="A2280" s="17" t="s">
        <v>2951</v>
      </c>
      <c r="B2280" s="17" t="s">
        <v>171</v>
      </c>
      <c r="C2280" s="18">
        <v>45650.0</v>
      </c>
      <c r="D2280" s="18">
        <v>45680.0</v>
      </c>
      <c r="E2280" s="17" t="s">
        <v>684</v>
      </c>
      <c r="F2280" s="20">
        <v>19.99</v>
      </c>
      <c r="G2280" s="17" t="s">
        <v>675</v>
      </c>
    </row>
    <row r="2281" ht="15.75" customHeight="1">
      <c r="A2281" s="15" t="s">
        <v>2952</v>
      </c>
      <c r="B2281" s="15" t="s">
        <v>230</v>
      </c>
      <c r="C2281" s="16">
        <v>45650.0</v>
      </c>
      <c r="D2281" s="16">
        <v>45680.0</v>
      </c>
      <c r="E2281" s="15" t="s">
        <v>684</v>
      </c>
      <c r="F2281" s="19">
        <v>19.99</v>
      </c>
      <c r="G2281" s="15" t="s">
        <v>675</v>
      </c>
    </row>
    <row r="2282" ht="15.75" customHeight="1">
      <c r="A2282" s="17" t="s">
        <v>2953</v>
      </c>
      <c r="B2282" s="17" t="s">
        <v>447</v>
      </c>
      <c r="C2282" s="18">
        <v>45651.0</v>
      </c>
      <c r="D2282" s="18">
        <v>45681.0</v>
      </c>
      <c r="E2282" s="17" t="s">
        <v>684</v>
      </c>
      <c r="F2282" s="20">
        <v>19.99</v>
      </c>
      <c r="G2282" s="17" t="s">
        <v>675</v>
      </c>
    </row>
    <row r="2283" ht="15.75" customHeight="1">
      <c r="A2283" s="15" t="s">
        <v>2954</v>
      </c>
      <c r="B2283" s="15" t="s">
        <v>353</v>
      </c>
      <c r="C2283" s="16">
        <v>45651.0</v>
      </c>
      <c r="D2283" s="16">
        <v>45681.0</v>
      </c>
      <c r="E2283" s="15" t="s">
        <v>684</v>
      </c>
      <c r="F2283" s="19">
        <v>19.99</v>
      </c>
      <c r="G2283" s="15" t="s">
        <v>675</v>
      </c>
    </row>
    <row r="2284" ht="15.75" customHeight="1">
      <c r="A2284" s="17" t="s">
        <v>2955</v>
      </c>
      <c r="B2284" s="17" t="s">
        <v>448</v>
      </c>
      <c r="C2284" s="18">
        <v>45651.0</v>
      </c>
      <c r="D2284" s="18">
        <v>45681.0</v>
      </c>
      <c r="E2284" s="17" t="s">
        <v>684</v>
      </c>
      <c r="F2284" s="20">
        <v>19.99</v>
      </c>
      <c r="G2284" s="17" t="s">
        <v>675</v>
      </c>
    </row>
    <row r="2285" ht="15.75" customHeight="1">
      <c r="A2285" s="15" t="s">
        <v>2956</v>
      </c>
      <c r="B2285" s="15" t="s">
        <v>508</v>
      </c>
      <c r="C2285" s="16">
        <v>45651.0</v>
      </c>
      <c r="D2285" s="16">
        <v>45658.0</v>
      </c>
      <c r="E2285" s="15" t="s">
        <v>674</v>
      </c>
      <c r="F2285" s="19">
        <v>0.0</v>
      </c>
      <c r="G2285" s="15" t="s">
        <v>675</v>
      </c>
    </row>
    <row r="2286" ht="15.75" customHeight="1">
      <c r="A2286" s="17" t="s">
        <v>2957</v>
      </c>
      <c r="B2286" s="17" t="s">
        <v>315</v>
      </c>
      <c r="C2286" s="18">
        <v>45651.0</v>
      </c>
      <c r="D2286" s="18">
        <v>45681.0</v>
      </c>
      <c r="E2286" s="17" t="s">
        <v>684</v>
      </c>
      <c r="F2286" s="20">
        <v>19.99</v>
      </c>
      <c r="G2286" s="17" t="s">
        <v>675</v>
      </c>
    </row>
    <row r="2287" ht="15.75" customHeight="1">
      <c r="A2287" s="15" t="s">
        <v>2958</v>
      </c>
      <c r="B2287" s="15" t="s">
        <v>509</v>
      </c>
      <c r="C2287" s="16">
        <v>45651.0</v>
      </c>
      <c r="D2287" s="16">
        <v>45658.0</v>
      </c>
      <c r="E2287" s="15" t="s">
        <v>674</v>
      </c>
      <c r="F2287" s="19">
        <v>0.0</v>
      </c>
      <c r="G2287" s="15" t="s">
        <v>675</v>
      </c>
    </row>
    <row r="2288" ht="15.75" customHeight="1">
      <c r="A2288" s="17" t="s">
        <v>2959</v>
      </c>
      <c r="B2288" s="17" t="s">
        <v>396</v>
      </c>
      <c r="C2288" s="18">
        <v>45651.0</v>
      </c>
      <c r="D2288" s="18">
        <v>45681.0</v>
      </c>
      <c r="E2288" s="17" t="s">
        <v>684</v>
      </c>
      <c r="F2288" s="20">
        <v>19.99</v>
      </c>
      <c r="G2288" s="17" t="s">
        <v>675</v>
      </c>
    </row>
    <row r="2289" ht="15.75" customHeight="1">
      <c r="A2289" s="15" t="s">
        <v>2960</v>
      </c>
      <c r="B2289" s="15" t="s">
        <v>510</v>
      </c>
      <c r="C2289" s="16">
        <v>45651.0</v>
      </c>
      <c r="D2289" s="16">
        <v>45658.0</v>
      </c>
      <c r="E2289" s="15" t="s">
        <v>674</v>
      </c>
      <c r="F2289" s="19">
        <v>0.0</v>
      </c>
      <c r="G2289" s="15" t="s">
        <v>675</v>
      </c>
    </row>
    <row r="2290" ht="15.75" customHeight="1">
      <c r="A2290" s="17" t="s">
        <v>2961</v>
      </c>
      <c r="B2290" s="17" t="s">
        <v>172</v>
      </c>
      <c r="C2290" s="18">
        <v>45651.0</v>
      </c>
      <c r="D2290" s="18">
        <v>45681.0</v>
      </c>
      <c r="E2290" s="17" t="s">
        <v>684</v>
      </c>
      <c r="F2290" s="20">
        <v>19.99</v>
      </c>
      <c r="G2290" s="17" t="s">
        <v>675</v>
      </c>
    </row>
    <row r="2291" ht="15.75" customHeight="1">
      <c r="A2291" s="15" t="s">
        <v>2962</v>
      </c>
      <c r="B2291" s="15" t="s">
        <v>498</v>
      </c>
      <c r="C2291" s="16">
        <v>45651.0</v>
      </c>
      <c r="D2291" s="16">
        <v>45681.0</v>
      </c>
      <c r="E2291" s="15" t="s">
        <v>684</v>
      </c>
      <c r="F2291" s="19">
        <v>19.99</v>
      </c>
      <c r="G2291" s="15" t="s">
        <v>675</v>
      </c>
    </row>
    <row r="2292" ht="15.75" customHeight="1">
      <c r="A2292" s="17" t="s">
        <v>2963</v>
      </c>
      <c r="B2292" s="17" t="s">
        <v>449</v>
      </c>
      <c r="C2292" s="18">
        <v>45651.0</v>
      </c>
      <c r="D2292" s="18">
        <v>45681.0</v>
      </c>
      <c r="E2292" s="17" t="s">
        <v>684</v>
      </c>
      <c r="F2292" s="20">
        <v>19.99</v>
      </c>
      <c r="G2292" s="17" t="s">
        <v>675</v>
      </c>
    </row>
    <row r="2293" ht="15.75" customHeight="1">
      <c r="A2293" s="15" t="s">
        <v>2964</v>
      </c>
      <c r="B2293" s="15" t="s">
        <v>316</v>
      </c>
      <c r="C2293" s="16">
        <v>45651.0</v>
      </c>
      <c r="D2293" s="16">
        <v>45681.0</v>
      </c>
      <c r="E2293" s="15" t="s">
        <v>684</v>
      </c>
      <c r="F2293" s="19">
        <v>19.99</v>
      </c>
      <c r="G2293" s="15" t="s">
        <v>675</v>
      </c>
    </row>
    <row r="2294" ht="15.75" customHeight="1">
      <c r="A2294" s="17" t="s">
        <v>2965</v>
      </c>
      <c r="B2294" s="17" t="s">
        <v>210</v>
      </c>
      <c r="C2294" s="18">
        <v>45651.0</v>
      </c>
      <c r="D2294" s="18">
        <v>45681.0</v>
      </c>
      <c r="E2294" s="17" t="s">
        <v>684</v>
      </c>
      <c r="F2294" s="20">
        <v>19.99</v>
      </c>
      <c r="G2294" s="17" t="s">
        <v>675</v>
      </c>
    </row>
    <row r="2295" ht="15.75" customHeight="1">
      <c r="A2295" s="15" t="s">
        <v>2966</v>
      </c>
      <c r="B2295" s="15" t="s">
        <v>499</v>
      </c>
      <c r="C2295" s="16">
        <v>45651.0</v>
      </c>
      <c r="D2295" s="16">
        <v>45681.0</v>
      </c>
      <c r="E2295" s="15" t="s">
        <v>684</v>
      </c>
      <c r="F2295" s="19">
        <v>19.99</v>
      </c>
      <c r="G2295" s="15" t="s">
        <v>675</v>
      </c>
    </row>
    <row r="2296" ht="15.75" customHeight="1">
      <c r="A2296" s="17" t="s">
        <v>2967</v>
      </c>
      <c r="B2296" s="17" t="s">
        <v>317</v>
      </c>
      <c r="C2296" s="18">
        <v>45652.0</v>
      </c>
      <c r="D2296" s="18">
        <v>45682.0</v>
      </c>
      <c r="E2296" s="17" t="s">
        <v>684</v>
      </c>
      <c r="F2296" s="20">
        <v>19.99</v>
      </c>
      <c r="G2296" s="17" t="s">
        <v>675</v>
      </c>
    </row>
    <row r="2297" ht="15.75" customHeight="1">
      <c r="A2297" s="15" t="s">
        <v>2968</v>
      </c>
      <c r="B2297" s="15" t="s">
        <v>397</v>
      </c>
      <c r="C2297" s="16">
        <v>45652.0</v>
      </c>
      <c r="D2297" s="16">
        <v>45682.0</v>
      </c>
      <c r="E2297" s="15" t="s">
        <v>684</v>
      </c>
      <c r="F2297" s="19">
        <v>19.99</v>
      </c>
      <c r="G2297" s="15" t="s">
        <v>675</v>
      </c>
    </row>
    <row r="2298" ht="15.75" customHeight="1">
      <c r="A2298" s="17" t="s">
        <v>2969</v>
      </c>
      <c r="B2298" s="17" t="s">
        <v>500</v>
      </c>
      <c r="C2298" s="18">
        <v>45652.0</v>
      </c>
      <c r="D2298" s="18">
        <v>45682.0</v>
      </c>
      <c r="E2298" s="17" t="s">
        <v>684</v>
      </c>
      <c r="F2298" s="20">
        <v>19.99</v>
      </c>
      <c r="G2298" s="17" t="s">
        <v>675</v>
      </c>
    </row>
    <row r="2299" ht="15.75" customHeight="1">
      <c r="A2299" s="15" t="s">
        <v>2970</v>
      </c>
      <c r="B2299" s="15" t="s">
        <v>104</v>
      </c>
      <c r="C2299" s="16">
        <v>45652.0</v>
      </c>
      <c r="D2299" s="16">
        <v>45682.0</v>
      </c>
      <c r="E2299" s="15" t="s">
        <v>684</v>
      </c>
      <c r="F2299" s="19">
        <v>19.99</v>
      </c>
      <c r="G2299" s="15" t="s">
        <v>675</v>
      </c>
    </row>
    <row r="2300" ht="15.75" customHeight="1">
      <c r="A2300" s="17" t="s">
        <v>2971</v>
      </c>
      <c r="B2300" s="17" t="s">
        <v>211</v>
      </c>
      <c r="C2300" s="18">
        <v>45652.0</v>
      </c>
      <c r="D2300" s="18">
        <v>45682.0</v>
      </c>
      <c r="E2300" s="17" t="s">
        <v>684</v>
      </c>
      <c r="F2300" s="20">
        <v>19.99</v>
      </c>
      <c r="G2300" s="17" t="s">
        <v>675</v>
      </c>
    </row>
    <row r="2301" ht="15.75" customHeight="1">
      <c r="A2301" s="15" t="s">
        <v>2972</v>
      </c>
      <c r="B2301" s="15" t="s">
        <v>354</v>
      </c>
      <c r="C2301" s="16">
        <v>45652.0</v>
      </c>
      <c r="D2301" s="16">
        <v>45682.0</v>
      </c>
      <c r="E2301" s="15" t="s">
        <v>684</v>
      </c>
      <c r="F2301" s="19">
        <v>19.99</v>
      </c>
      <c r="G2301" s="15" t="s">
        <v>675</v>
      </c>
    </row>
    <row r="2302" ht="15.75" customHeight="1">
      <c r="A2302" s="17" t="s">
        <v>2973</v>
      </c>
      <c r="B2302" s="17" t="s">
        <v>266</v>
      </c>
      <c r="C2302" s="18">
        <v>45652.0</v>
      </c>
      <c r="D2302" s="18">
        <v>45682.0</v>
      </c>
      <c r="E2302" s="17" t="s">
        <v>684</v>
      </c>
      <c r="F2302" s="20">
        <v>19.99</v>
      </c>
      <c r="G2302" s="17" t="s">
        <v>675</v>
      </c>
    </row>
    <row r="2303" ht="15.75" customHeight="1">
      <c r="A2303" s="15" t="s">
        <v>2974</v>
      </c>
      <c r="B2303" s="15" t="s">
        <v>267</v>
      </c>
      <c r="C2303" s="16">
        <v>45652.0</v>
      </c>
      <c r="D2303" s="16">
        <v>45682.0</v>
      </c>
      <c r="E2303" s="15" t="s">
        <v>684</v>
      </c>
      <c r="F2303" s="19">
        <v>19.99</v>
      </c>
      <c r="G2303" s="15" t="s">
        <v>675</v>
      </c>
    </row>
    <row r="2304" ht="15.75" customHeight="1">
      <c r="A2304" s="17" t="s">
        <v>2975</v>
      </c>
      <c r="B2304" s="17" t="s">
        <v>398</v>
      </c>
      <c r="C2304" s="18">
        <v>45653.0</v>
      </c>
      <c r="D2304" s="18">
        <v>45683.0</v>
      </c>
      <c r="E2304" s="17" t="s">
        <v>684</v>
      </c>
      <c r="F2304" s="20">
        <v>19.99</v>
      </c>
      <c r="G2304" s="17" t="s">
        <v>675</v>
      </c>
    </row>
    <row r="2305" ht="15.75" customHeight="1">
      <c r="A2305" s="15" t="s">
        <v>2976</v>
      </c>
      <c r="B2305" s="15" t="s">
        <v>268</v>
      </c>
      <c r="C2305" s="16">
        <v>45653.0</v>
      </c>
      <c r="D2305" s="16">
        <v>45683.0</v>
      </c>
      <c r="E2305" s="15" t="s">
        <v>684</v>
      </c>
      <c r="F2305" s="19">
        <v>19.99</v>
      </c>
      <c r="G2305" s="15" t="s">
        <v>675</v>
      </c>
    </row>
    <row r="2306" ht="15.75" customHeight="1">
      <c r="A2306" s="17" t="s">
        <v>2977</v>
      </c>
      <c r="B2306" s="17" t="s">
        <v>501</v>
      </c>
      <c r="C2306" s="18">
        <v>45653.0</v>
      </c>
      <c r="D2306" s="18">
        <v>45683.0</v>
      </c>
      <c r="E2306" s="17" t="s">
        <v>684</v>
      </c>
      <c r="F2306" s="20">
        <v>19.99</v>
      </c>
      <c r="G2306" s="17" t="s">
        <v>675</v>
      </c>
    </row>
    <row r="2307" ht="15.75" customHeight="1">
      <c r="A2307" s="15" t="s">
        <v>2978</v>
      </c>
      <c r="B2307" s="15" t="s">
        <v>502</v>
      </c>
      <c r="C2307" s="16">
        <v>45653.0</v>
      </c>
      <c r="D2307" s="16">
        <v>45683.0</v>
      </c>
      <c r="E2307" s="15" t="s">
        <v>684</v>
      </c>
      <c r="F2307" s="19">
        <v>19.99</v>
      </c>
      <c r="G2307" s="15" t="s">
        <v>675</v>
      </c>
    </row>
    <row r="2308" ht="15.75" customHeight="1">
      <c r="A2308" s="17" t="s">
        <v>2979</v>
      </c>
      <c r="B2308" s="17" t="s">
        <v>85</v>
      </c>
      <c r="C2308" s="18">
        <v>45653.0</v>
      </c>
      <c r="D2308" s="18">
        <v>45683.0</v>
      </c>
      <c r="E2308" s="17" t="s">
        <v>684</v>
      </c>
      <c r="F2308" s="20">
        <v>19.99</v>
      </c>
      <c r="G2308" s="17" t="s">
        <v>675</v>
      </c>
    </row>
    <row r="2309" ht="15.75" customHeight="1">
      <c r="A2309" s="15" t="s">
        <v>2980</v>
      </c>
      <c r="B2309" s="15" t="s">
        <v>503</v>
      </c>
      <c r="C2309" s="16">
        <v>45653.0</v>
      </c>
      <c r="D2309" s="16">
        <v>45683.0</v>
      </c>
      <c r="E2309" s="15" t="s">
        <v>684</v>
      </c>
      <c r="F2309" s="19">
        <v>19.99</v>
      </c>
      <c r="G2309" s="15" t="s">
        <v>675</v>
      </c>
    </row>
    <row r="2310" ht="15.75" customHeight="1">
      <c r="A2310" s="17" t="s">
        <v>2981</v>
      </c>
      <c r="B2310" s="17" t="s">
        <v>399</v>
      </c>
      <c r="C2310" s="18">
        <v>45653.0</v>
      </c>
      <c r="D2310" s="18">
        <v>45683.0</v>
      </c>
      <c r="E2310" s="17" t="s">
        <v>684</v>
      </c>
      <c r="F2310" s="20">
        <v>19.99</v>
      </c>
      <c r="G2310" s="17" t="s">
        <v>675</v>
      </c>
    </row>
    <row r="2311" ht="15.75" customHeight="1">
      <c r="A2311" s="15" t="s">
        <v>2982</v>
      </c>
      <c r="B2311" s="15" t="s">
        <v>504</v>
      </c>
      <c r="C2311" s="16">
        <v>45653.0</v>
      </c>
      <c r="D2311" s="16">
        <v>45683.0</v>
      </c>
      <c r="E2311" s="15" t="s">
        <v>684</v>
      </c>
      <c r="F2311" s="19">
        <v>19.99</v>
      </c>
      <c r="G2311" s="15" t="s">
        <v>675</v>
      </c>
    </row>
    <row r="2312" ht="15.75" customHeight="1">
      <c r="A2312" s="17" t="s">
        <v>2983</v>
      </c>
      <c r="B2312" s="17" t="s">
        <v>355</v>
      </c>
      <c r="C2312" s="18">
        <v>45653.0</v>
      </c>
      <c r="D2312" s="18">
        <v>45683.0</v>
      </c>
      <c r="E2312" s="17" t="s">
        <v>684</v>
      </c>
      <c r="F2312" s="20">
        <v>19.99</v>
      </c>
      <c r="G2312" s="17" t="s">
        <v>675</v>
      </c>
    </row>
    <row r="2313" ht="15.75" customHeight="1">
      <c r="A2313" s="15" t="s">
        <v>2984</v>
      </c>
      <c r="B2313" s="15" t="s">
        <v>400</v>
      </c>
      <c r="C2313" s="16">
        <v>45653.0</v>
      </c>
      <c r="D2313" s="16">
        <v>45683.0</v>
      </c>
      <c r="E2313" s="15" t="s">
        <v>684</v>
      </c>
      <c r="F2313" s="19">
        <v>19.99</v>
      </c>
      <c r="G2313" s="15" t="s">
        <v>675</v>
      </c>
    </row>
    <row r="2314" ht="15.75" customHeight="1">
      <c r="A2314" s="17" t="s">
        <v>2985</v>
      </c>
      <c r="B2314" s="17" t="s">
        <v>511</v>
      </c>
      <c r="C2314" s="18">
        <v>45653.0</v>
      </c>
      <c r="D2314" s="18">
        <v>45660.0</v>
      </c>
      <c r="E2314" s="17" t="s">
        <v>674</v>
      </c>
      <c r="F2314" s="20">
        <v>0.0</v>
      </c>
      <c r="G2314" s="17" t="s">
        <v>675</v>
      </c>
    </row>
    <row r="2315" ht="15.75" customHeight="1">
      <c r="A2315" s="15" t="s">
        <v>2986</v>
      </c>
      <c r="B2315" s="15" t="s">
        <v>173</v>
      </c>
      <c r="C2315" s="16">
        <v>45653.0</v>
      </c>
      <c r="D2315" s="16">
        <v>45683.0</v>
      </c>
      <c r="E2315" s="15" t="s">
        <v>684</v>
      </c>
      <c r="F2315" s="19">
        <v>19.99</v>
      </c>
      <c r="G2315" s="15" t="s">
        <v>675</v>
      </c>
    </row>
    <row r="2316" ht="15.75" customHeight="1">
      <c r="A2316" s="17" t="s">
        <v>2987</v>
      </c>
      <c r="B2316" s="17" t="s">
        <v>318</v>
      </c>
      <c r="C2316" s="18">
        <v>45653.0</v>
      </c>
      <c r="D2316" s="18">
        <v>45683.0</v>
      </c>
      <c r="E2316" s="17" t="s">
        <v>684</v>
      </c>
      <c r="F2316" s="20">
        <v>19.99</v>
      </c>
      <c r="G2316" s="17" t="s">
        <v>675</v>
      </c>
    </row>
    <row r="2317" ht="15.75" customHeight="1">
      <c r="A2317" s="15" t="s">
        <v>2988</v>
      </c>
      <c r="B2317" s="15" t="s">
        <v>234</v>
      </c>
      <c r="C2317" s="16">
        <v>45653.0</v>
      </c>
      <c r="D2317" s="16">
        <v>45683.0</v>
      </c>
      <c r="E2317" s="15" t="s">
        <v>684</v>
      </c>
      <c r="F2317" s="19">
        <v>19.99</v>
      </c>
      <c r="G2317" s="15" t="s">
        <v>675</v>
      </c>
    </row>
    <row r="2318" ht="15.75" customHeight="1">
      <c r="A2318" s="17" t="s">
        <v>2989</v>
      </c>
      <c r="B2318" s="17" t="s">
        <v>174</v>
      </c>
      <c r="C2318" s="18">
        <v>45653.0</v>
      </c>
      <c r="D2318" s="18">
        <v>45683.0</v>
      </c>
      <c r="E2318" s="17" t="s">
        <v>684</v>
      </c>
      <c r="F2318" s="20">
        <v>19.99</v>
      </c>
      <c r="G2318" s="17" t="s">
        <v>675</v>
      </c>
    </row>
    <row r="2319" ht="15.75" customHeight="1">
      <c r="A2319" s="15" t="s">
        <v>2990</v>
      </c>
      <c r="B2319" s="15" t="s">
        <v>401</v>
      </c>
      <c r="C2319" s="16">
        <v>45654.0</v>
      </c>
      <c r="D2319" s="16">
        <v>45684.0</v>
      </c>
      <c r="E2319" s="15" t="s">
        <v>684</v>
      </c>
      <c r="F2319" s="19">
        <v>19.99</v>
      </c>
      <c r="G2319" s="15" t="s">
        <v>675</v>
      </c>
    </row>
    <row r="2320" ht="15.75" customHeight="1">
      <c r="A2320" s="17" t="s">
        <v>2991</v>
      </c>
      <c r="B2320" s="17" t="s">
        <v>235</v>
      </c>
      <c r="C2320" s="18">
        <v>45654.0</v>
      </c>
      <c r="D2320" s="18">
        <v>45684.0</v>
      </c>
      <c r="E2320" s="17" t="s">
        <v>684</v>
      </c>
      <c r="F2320" s="20">
        <v>19.99</v>
      </c>
      <c r="G2320" s="17" t="s">
        <v>675</v>
      </c>
    </row>
    <row r="2321" ht="15.75" customHeight="1">
      <c r="A2321" s="15" t="s">
        <v>2992</v>
      </c>
      <c r="B2321" s="15" t="s">
        <v>450</v>
      </c>
      <c r="C2321" s="16">
        <v>45654.0</v>
      </c>
      <c r="D2321" s="16">
        <v>45684.0</v>
      </c>
      <c r="E2321" s="15" t="s">
        <v>684</v>
      </c>
      <c r="F2321" s="19">
        <v>19.99</v>
      </c>
      <c r="G2321" s="15" t="s">
        <v>675</v>
      </c>
    </row>
    <row r="2322" ht="15.75" customHeight="1">
      <c r="A2322" s="17" t="s">
        <v>2993</v>
      </c>
      <c r="B2322" s="17" t="s">
        <v>175</v>
      </c>
      <c r="C2322" s="18">
        <v>45654.0</v>
      </c>
      <c r="D2322" s="18">
        <v>45684.0</v>
      </c>
      <c r="E2322" s="17" t="s">
        <v>684</v>
      </c>
      <c r="F2322" s="20">
        <v>19.99</v>
      </c>
      <c r="G2322" s="17" t="s">
        <v>675</v>
      </c>
    </row>
    <row r="2323" ht="15.75" customHeight="1">
      <c r="A2323" s="15" t="s">
        <v>2994</v>
      </c>
      <c r="B2323" s="15" t="s">
        <v>236</v>
      </c>
      <c r="C2323" s="16">
        <v>45654.0</v>
      </c>
      <c r="D2323" s="16">
        <v>45684.0</v>
      </c>
      <c r="E2323" s="15" t="s">
        <v>684</v>
      </c>
      <c r="F2323" s="19">
        <v>19.99</v>
      </c>
      <c r="G2323" s="15" t="s">
        <v>675</v>
      </c>
    </row>
    <row r="2324" ht="15.75" customHeight="1">
      <c r="A2324" s="17" t="s">
        <v>2995</v>
      </c>
      <c r="B2324" s="17" t="s">
        <v>237</v>
      </c>
      <c r="C2324" s="18">
        <v>45654.0</v>
      </c>
      <c r="D2324" s="18">
        <v>45684.0</v>
      </c>
      <c r="E2324" s="17" t="s">
        <v>684</v>
      </c>
      <c r="F2324" s="20">
        <v>19.99</v>
      </c>
      <c r="G2324" s="17" t="s">
        <v>675</v>
      </c>
    </row>
    <row r="2325" ht="15.75" customHeight="1">
      <c r="A2325" s="15" t="s">
        <v>2996</v>
      </c>
      <c r="B2325" s="15" t="s">
        <v>269</v>
      </c>
      <c r="C2325" s="16">
        <v>45654.0</v>
      </c>
      <c r="D2325" s="16">
        <v>45684.0</v>
      </c>
      <c r="E2325" s="15" t="s">
        <v>684</v>
      </c>
      <c r="F2325" s="19">
        <v>19.99</v>
      </c>
      <c r="G2325" s="15" t="s">
        <v>675</v>
      </c>
    </row>
    <row r="2326" ht="15.75" customHeight="1">
      <c r="A2326" s="17" t="s">
        <v>2997</v>
      </c>
      <c r="B2326" s="17" t="s">
        <v>319</v>
      </c>
      <c r="C2326" s="18">
        <v>45654.0</v>
      </c>
      <c r="D2326" s="18">
        <v>45684.0</v>
      </c>
      <c r="E2326" s="17" t="s">
        <v>684</v>
      </c>
      <c r="F2326" s="20">
        <v>19.99</v>
      </c>
      <c r="G2326" s="17" t="s">
        <v>675</v>
      </c>
    </row>
    <row r="2327" ht="15.75" customHeight="1">
      <c r="A2327" s="15" t="s">
        <v>2998</v>
      </c>
      <c r="B2327" s="15" t="s">
        <v>451</v>
      </c>
      <c r="C2327" s="16">
        <v>45654.0</v>
      </c>
      <c r="D2327" s="16">
        <v>45684.0</v>
      </c>
      <c r="E2327" s="15" t="s">
        <v>684</v>
      </c>
      <c r="F2327" s="19">
        <v>19.99</v>
      </c>
      <c r="G2327" s="15" t="s">
        <v>675</v>
      </c>
    </row>
    <row r="2328" ht="15.75" customHeight="1">
      <c r="A2328" s="17" t="s">
        <v>2999</v>
      </c>
      <c r="B2328" s="17" t="s">
        <v>402</v>
      </c>
      <c r="C2328" s="18">
        <v>45654.0</v>
      </c>
      <c r="D2328" s="18">
        <v>45684.0</v>
      </c>
      <c r="E2328" s="17" t="s">
        <v>684</v>
      </c>
      <c r="F2328" s="20">
        <v>19.99</v>
      </c>
      <c r="G2328" s="17" t="s">
        <v>675</v>
      </c>
    </row>
    <row r="2329" ht="15.75" customHeight="1">
      <c r="A2329" s="15" t="s">
        <v>3000</v>
      </c>
      <c r="B2329" s="15" t="s">
        <v>143</v>
      </c>
      <c r="C2329" s="16">
        <v>45654.0</v>
      </c>
      <c r="D2329" s="16">
        <v>45684.0</v>
      </c>
      <c r="E2329" s="15" t="s">
        <v>684</v>
      </c>
      <c r="F2329" s="19">
        <v>19.99</v>
      </c>
      <c r="G2329" s="15" t="s">
        <v>675</v>
      </c>
    </row>
    <row r="2330" ht="15.75" customHeight="1">
      <c r="A2330" s="17" t="s">
        <v>3001</v>
      </c>
      <c r="B2330" s="17" t="s">
        <v>512</v>
      </c>
      <c r="C2330" s="18">
        <v>45654.0</v>
      </c>
      <c r="D2330" s="18">
        <v>45661.0</v>
      </c>
      <c r="E2330" s="17" t="s">
        <v>674</v>
      </c>
      <c r="F2330" s="20">
        <v>0.0</v>
      </c>
      <c r="G2330" s="17" t="s">
        <v>675</v>
      </c>
    </row>
    <row r="2331" ht="15.75" customHeight="1">
      <c r="A2331" s="15" t="s">
        <v>3002</v>
      </c>
      <c r="B2331" s="15" t="s">
        <v>505</v>
      </c>
      <c r="C2331" s="16">
        <v>45654.0</v>
      </c>
      <c r="D2331" s="16">
        <v>45684.0</v>
      </c>
      <c r="E2331" s="15" t="s">
        <v>684</v>
      </c>
      <c r="F2331" s="19">
        <v>19.99</v>
      </c>
      <c r="G2331" s="15" t="s">
        <v>675</v>
      </c>
    </row>
    <row r="2332" ht="15.75" customHeight="1">
      <c r="A2332" s="17" t="s">
        <v>3003</v>
      </c>
      <c r="B2332" s="17" t="s">
        <v>513</v>
      </c>
      <c r="C2332" s="18">
        <v>45654.0</v>
      </c>
      <c r="D2332" s="18">
        <v>45661.0</v>
      </c>
      <c r="E2332" s="17" t="s">
        <v>674</v>
      </c>
      <c r="F2332" s="20">
        <v>0.0</v>
      </c>
      <c r="G2332" s="17" t="s">
        <v>675</v>
      </c>
    </row>
    <row r="2333" ht="15.75" customHeight="1">
      <c r="A2333" s="15" t="s">
        <v>3004</v>
      </c>
      <c r="B2333" s="15" t="s">
        <v>176</v>
      </c>
      <c r="C2333" s="16">
        <v>45655.0</v>
      </c>
      <c r="D2333" s="16">
        <v>45685.0</v>
      </c>
      <c r="E2333" s="15" t="s">
        <v>684</v>
      </c>
      <c r="F2333" s="19">
        <v>19.99</v>
      </c>
      <c r="G2333" s="15" t="s">
        <v>675</v>
      </c>
    </row>
    <row r="2334" ht="15.75" customHeight="1">
      <c r="A2334" s="17" t="s">
        <v>3005</v>
      </c>
      <c r="B2334" s="17" t="s">
        <v>177</v>
      </c>
      <c r="C2334" s="18">
        <v>45655.0</v>
      </c>
      <c r="D2334" s="18">
        <v>45685.0</v>
      </c>
      <c r="E2334" s="17" t="s">
        <v>684</v>
      </c>
      <c r="F2334" s="20">
        <v>19.99</v>
      </c>
      <c r="G2334" s="17" t="s">
        <v>675</v>
      </c>
    </row>
    <row r="2335" ht="15.75" customHeight="1">
      <c r="A2335" s="15" t="s">
        <v>3006</v>
      </c>
      <c r="B2335" s="15" t="s">
        <v>106</v>
      </c>
      <c r="C2335" s="16">
        <v>45655.0</v>
      </c>
      <c r="D2335" s="16">
        <v>45685.0</v>
      </c>
      <c r="E2335" s="15" t="s">
        <v>684</v>
      </c>
      <c r="F2335" s="19">
        <v>19.99</v>
      </c>
      <c r="G2335" s="15" t="s">
        <v>675</v>
      </c>
    </row>
    <row r="2336" ht="15.75" customHeight="1">
      <c r="A2336" s="17" t="s">
        <v>3007</v>
      </c>
      <c r="B2336" s="17" t="s">
        <v>452</v>
      </c>
      <c r="C2336" s="18">
        <v>45655.0</v>
      </c>
      <c r="D2336" s="18">
        <v>45685.0</v>
      </c>
      <c r="E2336" s="17" t="s">
        <v>684</v>
      </c>
      <c r="F2336" s="20">
        <v>19.99</v>
      </c>
      <c r="G2336" s="17" t="s">
        <v>675</v>
      </c>
    </row>
    <row r="2337" ht="15.75" customHeight="1">
      <c r="A2337" s="15" t="s">
        <v>3008</v>
      </c>
      <c r="B2337" s="15" t="s">
        <v>506</v>
      </c>
      <c r="C2337" s="16">
        <v>45655.0</v>
      </c>
      <c r="D2337" s="16">
        <v>45685.0</v>
      </c>
      <c r="E2337" s="15" t="s">
        <v>684</v>
      </c>
      <c r="F2337" s="19">
        <v>19.99</v>
      </c>
      <c r="G2337" s="15" t="s">
        <v>675</v>
      </c>
    </row>
    <row r="2338" ht="15.75" customHeight="1">
      <c r="A2338" s="17" t="s">
        <v>3009</v>
      </c>
      <c r="B2338" s="17" t="s">
        <v>272</v>
      </c>
      <c r="C2338" s="18">
        <v>45655.0</v>
      </c>
      <c r="D2338" s="18">
        <v>45685.0</v>
      </c>
      <c r="E2338" s="17" t="s">
        <v>684</v>
      </c>
      <c r="F2338" s="20">
        <v>19.99</v>
      </c>
      <c r="G2338" s="17" t="s">
        <v>675</v>
      </c>
    </row>
    <row r="2339" ht="15.75" customHeight="1">
      <c r="A2339" s="15" t="s">
        <v>3010</v>
      </c>
      <c r="B2339" s="15" t="s">
        <v>507</v>
      </c>
      <c r="C2339" s="16">
        <v>45655.0</v>
      </c>
      <c r="D2339" s="16">
        <v>45685.0</v>
      </c>
      <c r="E2339" s="15" t="s">
        <v>684</v>
      </c>
      <c r="F2339" s="19">
        <v>19.99</v>
      </c>
      <c r="G2339" s="15" t="s">
        <v>675</v>
      </c>
    </row>
    <row r="2340" ht="15.75" customHeight="1">
      <c r="A2340" s="17" t="s">
        <v>3011</v>
      </c>
      <c r="B2340" s="17" t="s">
        <v>179</v>
      </c>
      <c r="C2340" s="18">
        <v>45655.0</v>
      </c>
      <c r="D2340" s="18">
        <v>45685.0</v>
      </c>
      <c r="E2340" s="17" t="s">
        <v>684</v>
      </c>
      <c r="F2340" s="20">
        <v>19.99</v>
      </c>
      <c r="G2340" s="17" t="s">
        <v>675</v>
      </c>
    </row>
    <row r="2341" ht="15.75" customHeight="1">
      <c r="A2341" s="15" t="s">
        <v>3012</v>
      </c>
      <c r="B2341" s="15" t="s">
        <v>403</v>
      </c>
      <c r="C2341" s="16">
        <v>45655.0</v>
      </c>
      <c r="D2341" s="16">
        <v>45685.0</v>
      </c>
      <c r="E2341" s="15" t="s">
        <v>684</v>
      </c>
      <c r="F2341" s="19">
        <v>19.99</v>
      </c>
      <c r="G2341" s="15" t="s">
        <v>675</v>
      </c>
    </row>
    <row r="2342" ht="15.75" customHeight="1">
      <c r="A2342" s="17" t="s">
        <v>3013</v>
      </c>
      <c r="B2342" s="17" t="s">
        <v>404</v>
      </c>
      <c r="C2342" s="18">
        <v>45655.0</v>
      </c>
      <c r="D2342" s="18">
        <v>45685.0</v>
      </c>
      <c r="E2342" s="17" t="s">
        <v>684</v>
      </c>
      <c r="F2342" s="20">
        <v>19.99</v>
      </c>
      <c r="G2342" s="17" t="s">
        <v>675</v>
      </c>
    </row>
    <row r="2343" ht="15.75" customHeight="1">
      <c r="A2343" s="15" t="s">
        <v>3014</v>
      </c>
      <c r="B2343" s="15" t="s">
        <v>454</v>
      </c>
      <c r="C2343" s="16">
        <v>45655.0</v>
      </c>
      <c r="D2343" s="16">
        <v>45685.0</v>
      </c>
      <c r="E2343" s="15" t="s">
        <v>684</v>
      </c>
      <c r="F2343" s="19">
        <v>19.99</v>
      </c>
      <c r="G2343" s="15" t="s">
        <v>675</v>
      </c>
    </row>
    <row r="2344" ht="15.75" customHeight="1">
      <c r="A2344" s="17" t="s">
        <v>3015</v>
      </c>
      <c r="B2344" s="17" t="s">
        <v>455</v>
      </c>
      <c r="C2344" s="18">
        <v>45656.0</v>
      </c>
      <c r="D2344" s="18">
        <v>45686.0</v>
      </c>
      <c r="E2344" s="17" t="s">
        <v>684</v>
      </c>
      <c r="F2344" s="20">
        <v>19.99</v>
      </c>
      <c r="G2344" s="17" t="s">
        <v>675</v>
      </c>
    </row>
    <row r="2345" ht="15.75" customHeight="1">
      <c r="A2345" s="15" t="s">
        <v>3016</v>
      </c>
      <c r="B2345" s="15" t="s">
        <v>273</v>
      </c>
      <c r="C2345" s="16">
        <v>45656.0</v>
      </c>
      <c r="D2345" s="16">
        <v>45686.0</v>
      </c>
      <c r="E2345" s="15" t="s">
        <v>684</v>
      </c>
      <c r="F2345" s="19">
        <v>19.99</v>
      </c>
      <c r="G2345" s="15" t="s">
        <v>675</v>
      </c>
    </row>
    <row r="2346" ht="15.75" customHeight="1">
      <c r="A2346" s="17" t="s">
        <v>3017</v>
      </c>
      <c r="B2346" s="17" t="s">
        <v>514</v>
      </c>
      <c r="C2346" s="18">
        <v>45656.0</v>
      </c>
      <c r="D2346" s="18">
        <v>45663.0</v>
      </c>
      <c r="E2346" s="17" t="s">
        <v>674</v>
      </c>
      <c r="F2346" s="20">
        <v>0.0</v>
      </c>
      <c r="G2346" s="17" t="s">
        <v>675</v>
      </c>
    </row>
    <row r="2347" ht="15.75" customHeight="1">
      <c r="A2347" s="15" t="s">
        <v>3018</v>
      </c>
      <c r="B2347" s="15" t="s">
        <v>456</v>
      </c>
      <c r="C2347" s="16">
        <v>45656.0</v>
      </c>
      <c r="D2347" s="16">
        <v>45686.0</v>
      </c>
      <c r="E2347" s="15" t="s">
        <v>684</v>
      </c>
      <c r="F2347" s="19">
        <v>19.99</v>
      </c>
      <c r="G2347" s="15" t="s">
        <v>675</v>
      </c>
    </row>
    <row r="2348" ht="15.75" customHeight="1">
      <c r="A2348" s="17" t="s">
        <v>3019</v>
      </c>
      <c r="B2348" s="17" t="s">
        <v>108</v>
      </c>
      <c r="C2348" s="18">
        <v>45656.0</v>
      </c>
      <c r="D2348" s="18">
        <v>45686.0</v>
      </c>
      <c r="E2348" s="17" t="s">
        <v>684</v>
      </c>
      <c r="F2348" s="20">
        <v>19.99</v>
      </c>
      <c r="G2348" s="17" t="s">
        <v>675</v>
      </c>
    </row>
    <row r="2349" ht="15.75" customHeight="1">
      <c r="A2349" s="15" t="s">
        <v>3020</v>
      </c>
      <c r="B2349" s="15" t="s">
        <v>144</v>
      </c>
      <c r="C2349" s="16">
        <v>45656.0</v>
      </c>
      <c r="D2349" s="16">
        <v>45686.0</v>
      </c>
      <c r="E2349" s="15" t="s">
        <v>684</v>
      </c>
      <c r="F2349" s="19">
        <v>19.99</v>
      </c>
      <c r="G2349" s="15" t="s">
        <v>675</v>
      </c>
    </row>
    <row r="2350" ht="15.75" customHeight="1">
      <c r="A2350" s="17" t="s">
        <v>3021</v>
      </c>
      <c r="B2350" s="17" t="s">
        <v>180</v>
      </c>
      <c r="C2350" s="18">
        <v>45656.0</v>
      </c>
      <c r="D2350" s="18">
        <v>45686.0</v>
      </c>
      <c r="E2350" s="17" t="s">
        <v>684</v>
      </c>
      <c r="F2350" s="20">
        <v>19.99</v>
      </c>
      <c r="G2350" s="17" t="s">
        <v>675</v>
      </c>
    </row>
    <row r="2351" ht="15.75" customHeight="1">
      <c r="A2351" s="15" t="s">
        <v>3022</v>
      </c>
      <c r="B2351" s="15" t="s">
        <v>359</v>
      </c>
      <c r="C2351" s="16">
        <v>45656.0</v>
      </c>
      <c r="D2351" s="16">
        <v>45686.0</v>
      </c>
      <c r="E2351" s="15" t="s">
        <v>684</v>
      </c>
      <c r="F2351" s="19">
        <v>19.99</v>
      </c>
      <c r="G2351" s="15" t="s">
        <v>675</v>
      </c>
    </row>
    <row r="2352" ht="15.75" customHeight="1">
      <c r="A2352" s="17" t="s">
        <v>3023</v>
      </c>
      <c r="B2352" s="17" t="s">
        <v>406</v>
      </c>
      <c r="C2352" s="18">
        <v>45656.0</v>
      </c>
      <c r="D2352" s="18">
        <v>45686.0</v>
      </c>
      <c r="E2352" s="17" t="s">
        <v>684</v>
      </c>
      <c r="F2352" s="20">
        <v>19.99</v>
      </c>
      <c r="G2352" s="17" t="s">
        <v>675</v>
      </c>
    </row>
    <row r="2353" ht="15.75" customHeight="1">
      <c r="A2353" s="15" t="s">
        <v>3024</v>
      </c>
      <c r="B2353" s="15" t="s">
        <v>407</v>
      </c>
      <c r="C2353" s="16">
        <v>45656.0</v>
      </c>
      <c r="D2353" s="16">
        <v>45686.0</v>
      </c>
      <c r="E2353" s="15" t="s">
        <v>684</v>
      </c>
      <c r="F2353" s="19">
        <v>19.99</v>
      </c>
      <c r="G2353" s="15" t="s">
        <v>675</v>
      </c>
    </row>
    <row r="2354" ht="15.75" customHeight="1">
      <c r="A2354" s="17" t="s">
        <v>3025</v>
      </c>
      <c r="B2354" s="17" t="s">
        <v>457</v>
      </c>
      <c r="C2354" s="18">
        <v>45656.0</v>
      </c>
      <c r="D2354" s="18">
        <v>45686.0</v>
      </c>
      <c r="E2354" s="17" t="s">
        <v>684</v>
      </c>
      <c r="F2354" s="20">
        <v>19.99</v>
      </c>
      <c r="G2354" s="17" t="s">
        <v>675</v>
      </c>
    </row>
    <row r="2355" ht="15.75" customHeight="1">
      <c r="A2355" s="15" t="s">
        <v>3026</v>
      </c>
      <c r="B2355" s="15" t="s">
        <v>212</v>
      </c>
      <c r="C2355" s="16">
        <v>45656.0</v>
      </c>
      <c r="D2355" s="16">
        <v>45686.0</v>
      </c>
      <c r="E2355" s="15" t="s">
        <v>684</v>
      </c>
      <c r="F2355" s="19">
        <v>19.99</v>
      </c>
      <c r="G2355" s="15" t="s">
        <v>675</v>
      </c>
    </row>
    <row r="2356" ht="15.75" customHeight="1">
      <c r="A2356" s="17" t="s">
        <v>3027</v>
      </c>
      <c r="B2356" s="17" t="s">
        <v>109</v>
      </c>
      <c r="C2356" s="18">
        <v>45656.0</v>
      </c>
      <c r="D2356" s="18">
        <v>45686.0</v>
      </c>
      <c r="E2356" s="17" t="s">
        <v>684</v>
      </c>
      <c r="F2356" s="20">
        <v>19.99</v>
      </c>
      <c r="G2356" s="17" t="s">
        <v>675</v>
      </c>
    </row>
    <row r="2357" ht="15.75" customHeight="1">
      <c r="A2357" s="15" t="s">
        <v>3028</v>
      </c>
      <c r="B2357" s="15" t="s">
        <v>458</v>
      </c>
      <c r="C2357" s="16">
        <v>45656.0</v>
      </c>
      <c r="D2357" s="16">
        <v>45686.0</v>
      </c>
      <c r="E2357" s="15" t="s">
        <v>684</v>
      </c>
      <c r="F2357" s="19">
        <v>19.99</v>
      </c>
      <c r="G2357" s="15" t="s">
        <v>675</v>
      </c>
    </row>
    <row r="2358" ht="15.75" customHeight="1">
      <c r="A2358" s="17" t="s">
        <v>3029</v>
      </c>
      <c r="B2358" s="17" t="s">
        <v>110</v>
      </c>
      <c r="C2358" s="18">
        <v>45656.0</v>
      </c>
      <c r="D2358" s="18">
        <v>45686.0</v>
      </c>
      <c r="E2358" s="17" t="s">
        <v>684</v>
      </c>
      <c r="F2358" s="20">
        <v>19.99</v>
      </c>
      <c r="G2358" s="17" t="s">
        <v>675</v>
      </c>
    </row>
    <row r="2359" ht="15.75" customHeight="1">
      <c r="A2359" s="15" t="s">
        <v>3030</v>
      </c>
      <c r="B2359" s="15" t="s">
        <v>111</v>
      </c>
      <c r="C2359" s="16">
        <v>45656.0</v>
      </c>
      <c r="D2359" s="16">
        <v>45686.0</v>
      </c>
      <c r="E2359" s="15" t="s">
        <v>684</v>
      </c>
      <c r="F2359" s="19">
        <v>19.99</v>
      </c>
      <c r="G2359" s="15" t="s">
        <v>675</v>
      </c>
    </row>
    <row r="2360" ht="15.75" customHeight="1">
      <c r="A2360" s="17" t="s">
        <v>3031</v>
      </c>
      <c r="B2360" s="17" t="s">
        <v>515</v>
      </c>
      <c r="C2360" s="18">
        <v>45656.0</v>
      </c>
      <c r="D2360" s="18">
        <v>45663.0</v>
      </c>
      <c r="E2360" s="17" t="s">
        <v>674</v>
      </c>
      <c r="F2360" s="20">
        <v>0.0</v>
      </c>
      <c r="G2360" s="17" t="s">
        <v>675</v>
      </c>
    </row>
    <row r="2361" ht="15.75" customHeight="1">
      <c r="A2361" s="15" t="s">
        <v>3032</v>
      </c>
      <c r="B2361" s="15" t="s">
        <v>181</v>
      </c>
      <c r="C2361" s="16">
        <v>45657.0</v>
      </c>
      <c r="D2361" s="16">
        <v>45687.0</v>
      </c>
      <c r="E2361" s="15" t="s">
        <v>684</v>
      </c>
      <c r="F2361" s="19">
        <v>19.99</v>
      </c>
      <c r="G2361" s="15" t="s">
        <v>675</v>
      </c>
    </row>
    <row r="2362" ht="15.75" customHeight="1">
      <c r="A2362" s="17" t="s">
        <v>3033</v>
      </c>
      <c r="B2362" s="17" t="s">
        <v>238</v>
      </c>
      <c r="C2362" s="18">
        <v>45657.0</v>
      </c>
      <c r="D2362" s="18">
        <v>45687.0</v>
      </c>
      <c r="E2362" s="17" t="s">
        <v>684</v>
      </c>
      <c r="F2362" s="20">
        <v>19.99</v>
      </c>
      <c r="G2362" s="17" t="s">
        <v>675</v>
      </c>
    </row>
    <row r="2363" ht="15.75" customHeight="1">
      <c r="A2363" s="15" t="s">
        <v>3034</v>
      </c>
      <c r="B2363" s="15" t="s">
        <v>460</v>
      </c>
      <c r="C2363" s="16">
        <v>45657.0</v>
      </c>
      <c r="D2363" s="16">
        <v>45687.0</v>
      </c>
      <c r="E2363" s="15" t="s">
        <v>684</v>
      </c>
      <c r="F2363" s="19">
        <v>19.99</v>
      </c>
      <c r="G2363" s="15" t="s">
        <v>675</v>
      </c>
    </row>
    <row r="2364" ht="15.75" customHeight="1">
      <c r="A2364" s="17" t="s">
        <v>3035</v>
      </c>
      <c r="B2364" s="17" t="s">
        <v>516</v>
      </c>
      <c r="C2364" s="18">
        <v>45657.0</v>
      </c>
      <c r="D2364" s="18">
        <v>45664.0</v>
      </c>
      <c r="E2364" s="17" t="s">
        <v>674</v>
      </c>
      <c r="F2364" s="20">
        <v>0.0</v>
      </c>
      <c r="G2364" s="17" t="s">
        <v>675</v>
      </c>
    </row>
    <row r="2365" ht="15.75" customHeight="1">
      <c r="A2365" s="15" t="s">
        <v>3036</v>
      </c>
      <c r="B2365" s="15" t="s">
        <v>323</v>
      </c>
      <c r="C2365" s="16">
        <v>45657.0</v>
      </c>
      <c r="D2365" s="16">
        <v>45687.0</v>
      </c>
      <c r="E2365" s="15" t="s">
        <v>684</v>
      </c>
      <c r="F2365" s="19">
        <v>19.99</v>
      </c>
      <c r="G2365" s="15" t="s">
        <v>675</v>
      </c>
    </row>
    <row r="2366" ht="15.75" customHeight="1">
      <c r="A2366" s="17" t="s">
        <v>3037</v>
      </c>
      <c r="B2366" s="17" t="s">
        <v>113</v>
      </c>
      <c r="C2366" s="18">
        <v>45657.0</v>
      </c>
      <c r="D2366" s="18">
        <v>45687.0</v>
      </c>
      <c r="E2366" s="17" t="s">
        <v>684</v>
      </c>
      <c r="F2366" s="20">
        <v>19.99</v>
      </c>
      <c r="G2366" s="17" t="s">
        <v>675</v>
      </c>
    </row>
    <row r="2367" ht="15.75" customHeight="1">
      <c r="A2367" s="15" t="s">
        <v>3038</v>
      </c>
      <c r="B2367" s="15" t="s">
        <v>324</v>
      </c>
      <c r="C2367" s="16">
        <v>45657.0</v>
      </c>
      <c r="D2367" s="16">
        <v>45687.0</v>
      </c>
      <c r="E2367" s="15" t="s">
        <v>684</v>
      </c>
      <c r="F2367" s="19">
        <v>19.99</v>
      </c>
      <c r="G2367" s="15" t="s">
        <v>675</v>
      </c>
    </row>
    <row r="2368" ht="15.75" customHeight="1">
      <c r="A2368" s="17" t="s">
        <v>3039</v>
      </c>
      <c r="B2368" s="17" t="s">
        <v>274</v>
      </c>
      <c r="C2368" s="18">
        <v>45657.0</v>
      </c>
      <c r="D2368" s="18">
        <v>45687.0</v>
      </c>
      <c r="E2368" s="17" t="s">
        <v>684</v>
      </c>
      <c r="F2368" s="20">
        <v>19.99</v>
      </c>
      <c r="G2368" s="17" t="s">
        <v>675</v>
      </c>
    </row>
    <row r="2369" ht="15.75" customHeight="1">
      <c r="A2369" s="15" t="s">
        <v>3040</v>
      </c>
      <c r="B2369" s="15" t="s">
        <v>239</v>
      </c>
      <c r="C2369" s="16">
        <v>45657.0</v>
      </c>
      <c r="D2369" s="16">
        <v>45687.0</v>
      </c>
      <c r="E2369" s="15" t="s">
        <v>684</v>
      </c>
      <c r="F2369" s="19">
        <v>19.99</v>
      </c>
      <c r="G2369" s="15" t="s">
        <v>675</v>
      </c>
    </row>
    <row r="2370" ht="15.75" customHeight="1">
      <c r="A2370" s="17" t="s">
        <v>3041</v>
      </c>
      <c r="B2370" s="17" t="s">
        <v>517</v>
      </c>
      <c r="C2370" s="18">
        <v>45658.0</v>
      </c>
      <c r="D2370" s="18">
        <v>45665.0</v>
      </c>
      <c r="E2370" s="17" t="s">
        <v>674</v>
      </c>
      <c r="F2370" s="20">
        <v>0.0</v>
      </c>
      <c r="G2370" s="17" t="s">
        <v>675</v>
      </c>
    </row>
    <row r="2371" ht="15.75" customHeight="1">
      <c r="A2371" s="15" t="s">
        <v>3042</v>
      </c>
      <c r="B2371" s="15" t="s">
        <v>213</v>
      </c>
      <c r="C2371" s="16">
        <v>45658.0</v>
      </c>
      <c r="D2371" s="16">
        <v>45688.0</v>
      </c>
      <c r="E2371" s="15" t="s">
        <v>684</v>
      </c>
      <c r="F2371" s="19">
        <v>19.99</v>
      </c>
      <c r="G2371" s="15" t="s">
        <v>675</v>
      </c>
    </row>
    <row r="2372" ht="15.75" customHeight="1">
      <c r="A2372" s="17" t="s">
        <v>3043</v>
      </c>
      <c r="B2372" s="17" t="s">
        <v>508</v>
      </c>
      <c r="C2372" s="18">
        <v>45658.0</v>
      </c>
      <c r="D2372" s="18">
        <v>45688.0</v>
      </c>
      <c r="E2372" s="17" t="s">
        <v>684</v>
      </c>
      <c r="F2372" s="20">
        <v>19.99</v>
      </c>
      <c r="G2372" s="17" t="s">
        <v>675</v>
      </c>
    </row>
    <row r="2373" ht="15.75" customHeight="1">
      <c r="A2373" s="15" t="s">
        <v>3044</v>
      </c>
      <c r="B2373" s="15" t="s">
        <v>509</v>
      </c>
      <c r="C2373" s="16">
        <v>45658.0</v>
      </c>
      <c r="D2373" s="16">
        <v>45688.0</v>
      </c>
      <c r="E2373" s="15" t="s">
        <v>684</v>
      </c>
      <c r="F2373" s="19">
        <v>19.99</v>
      </c>
      <c r="G2373" s="15" t="s">
        <v>675</v>
      </c>
    </row>
    <row r="2374" ht="15.75" customHeight="1">
      <c r="A2374" s="17" t="s">
        <v>3045</v>
      </c>
      <c r="B2374" s="17" t="s">
        <v>325</v>
      </c>
      <c r="C2374" s="18">
        <v>45658.0</v>
      </c>
      <c r="D2374" s="18">
        <v>45688.0</v>
      </c>
      <c r="E2374" s="17" t="s">
        <v>684</v>
      </c>
      <c r="F2374" s="20">
        <v>19.99</v>
      </c>
      <c r="G2374" s="17" t="s">
        <v>675</v>
      </c>
    </row>
    <row r="2375" ht="15.75" customHeight="1">
      <c r="A2375" s="15" t="s">
        <v>3046</v>
      </c>
      <c r="B2375" s="15" t="s">
        <v>510</v>
      </c>
      <c r="C2375" s="16">
        <v>45658.0</v>
      </c>
      <c r="D2375" s="16">
        <v>45688.0</v>
      </c>
      <c r="E2375" s="15" t="s">
        <v>684</v>
      </c>
      <c r="F2375" s="19">
        <v>19.99</v>
      </c>
      <c r="G2375" s="15" t="s">
        <v>675</v>
      </c>
    </row>
    <row r="2376" ht="15.75" customHeight="1">
      <c r="A2376" s="17" t="s">
        <v>3047</v>
      </c>
      <c r="B2376" s="17" t="s">
        <v>276</v>
      </c>
      <c r="C2376" s="18">
        <v>45658.0</v>
      </c>
      <c r="D2376" s="18">
        <v>45688.0</v>
      </c>
      <c r="E2376" s="17" t="s">
        <v>684</v>
      </c>
      <c r="F2376" s="20">
        <v>19.99</v>
      </c>
      <c r="G2376" s="17" t="s">
        <v>675</v>
      </c>
    </row>
    <row r="2377" ht="15.75" customHeight="1">
      <c r="A2377" s="15" t="s">
        <v>3048</v>
      </c>
      <c r="B2377" s="15" t="s">
        <v>214</v>
      </c>
      <c r="C2377" s="16">
        <v>45658.0</v>
      </c>
      <c r="D2377" s="16">
        <v>45688.0</v>
      </c>
      <c r="E2377" s="15" t="s">
        <v>684</v>
      </c>
      <c r="F2377" s="19">
        <v>19.99</v>
      </c>
      <c r="G2377" s="15" t="s">
        <v>675</v>
      </c>
    </row>
    <row r="2378" ht="15.75" customHeight="1">
      <c r="A2378" s="17" t="s">
        <v>3049</v>
      </c>
      <c r="B2378" s="17" t="s">
        <v>277</v>
      </c>
      <c r="C2378" s="18">
        <v>45658.0</v>
      </c>
      <c r="D2378" s="18">
        <v>45688.0</v>
      </c>
      <c r="E2378" s="17" t="s">
        <v>684</v>
      </c>
      <c r="F2378" s="20">
        <v>19.99</v>
      </c>
      <c r="G2378" s="17" t="s">
        <v>675</v>
      </c>
    </row>
    <row r="2379" ht="15.75" customHeight="1">
      <c r="A2379" s="15" t="s">
        <v>3050</v>
      </c>
      <c r="B2379" s="15" t="s">
        <v>241</v>
      </c>
      <c r="C2379" s="16">
        <v>45658.0</v>
      </c>
      <c r="D2379" s="16">
        <v>45688.0</v>
      </c>
      <c r="E2379" s="15" t="s">
        <v>684</v>
      </c>
      <c r="F2379" s="19">
        <v>19.99</v>
      </c>
      <c r="G2379" s="15" t="s">
        <v>675</v>
      </c>
    </row>
    <row r="2380" ht="15.75" customHeight="1">
      <c r="A2380" s="17" t="s">
        <v>3051</v>
      </c>
      <c r="B2380" s="17" t="s">
        <v>146</v>
      </c>
      <c r="C2380" s="18">
        <v>45659.0</v>
      </c>
      <c r="D2380" s="18">
        <v>45689.0</v>
      </c>
      <c r="E2380" s="17" t="s">
        <v>684</v>
      </c>
      <c r="F2380" s="20">
        <v>19.99</v>
      </c>
      <c r="G2380" s="17" t="s">
        <v>675</v>
      </c>
    </row>
    <row r="2381" ht="15.75" customHeight="1">
      <c r="A2381" s="15" t="s">
        <v>3052</v>
      </c>
      <c r="B2381" s="15" t="s">
        <v>327</v>
      </c>
      <c r="C2381" s="16">
        <v>45659.0</v>
      </c>
      <c r="D2381" s="16">
        <v>45689.0</v>
      </c>
      <c r="E2381" s="15" t="s">
        <v>684</v>
      </c>
      <c r="F2381" s="19">
        <v>19.99</v>
      </c>
      <c r="G2381" s="15" t="s">
        <v>675</v>
      </c>
    </row>
    <row r="2382" ht="15.75" customHeight="1">
      <c r="A2382" s="17" t="s">
        <v>3053</v>
      </c>
      <c r="B2382" s="17" t="s">
        <v>408</v>
      </c>
      <c r="C2382" s="18">
        <v>45659.0</v>
      </c>
      <c r="D2382" s="18">
        <v>45689.0</v>
      </c>
      <c r="E2382" s="17" t="s">
        <v>684</v>
      </c>
      <c r="F2382" s="20">
        <v>19.99</v>
      </c>
      <c r="G2382" s="17" t="s">
        <v>675</v>
      </c>
    </row>
    <row r="2383" ht="15.75" customHeight="1">
      <c r="A2383" s="15" t="s">
        <v>3054</v>
      </c>
      <c r="B2383" s="15" t="s">
        <v>56</v>
      </c>
      <c r="C2383" s="16">
        <v>45659.0</v>
      </c>
      <c r="D2383" s="16">
        <v>45689.0</v>
      </c>
      <c r="E2383" s="15" t="s">
        <v>684</v>
      </c>
      <c r="F2383" s="19">
        <v>19.99</v>
      </c>
      <c r="G2383" s="15" t="s">
        <v>675</v>
      </c>
    </row>
    <row r="2384" ht="15.75" customHeight="1">
      <c r="A2384" s="17" t="s">
        <v>3055</v>
      </c>
      <c r="B2384" s="17" t="s">
        <v>279</v>
      </c>
      <c r="C2384" s="18">
        <v>45659.0</v>
      </c>
      <c r="D2384" s="18">
        <v>45689.0</v>
      </c>
      <c r="E2384" s="17" t="s">
        <v>684</v>
      </c>
      <c r="F2384" s="20">
        <v>19.99</v>
      </c>
      <c r="G2384" s="17" t="s">
        <v>675</v>
      </c>
    </row>
    <row r="2385" ht="15.75" customHeight="1">
      <c r="A2385" s="15" t="s">
        <v>3056</v>
      </c>
      <c r="B2385" s="15" t="s">
        <v>462</v>
      </c>
      <c r="C2385" s="16">
        <v>45659.0</v>
      </c>
      <c r="D2385" s="16">
        <v>45689.0</v>
      </c>
      <c r="E2385" s="15" t="s">
        <v>684</v>
      </c>
      <c r="F2385" s="19">
        <v>19.99</v>
      </c>
      <c r="G2385" s="15" t="s">
        <v>675</v>
      </c>
    </row>
    <row r="2386" ht="15.75" customHeight="1">
      <c r="A2386" s="17" t="s">
        <v>3057</v>
      </c>
      <c r="B2386" s="17" t="s">
        <v>518</v>
      </c>
      <c r="C2386" s="18">
        <v>45659.0</v>
      </c>
      <c r="D2386" s="18">
        <v>45666.0</v>
      </c>
      <c r="E2386" s="17" t="s">
        <v>674</v>
      </c>
      <c r="F2386" s="20">
        <v>0.0</v>
      </c>
      <c r="G2386" s="17" t="s">
        <v>675</v>
      </c>
    </row>
    <row r="2387" ht="15.75" customHeight="1">
      <c r="A2387" s="15" t="s">
        <v>3058</v>
      </c>
      <c r="B2387" s="15" t="s">
        <v>464</v>
      </c>
      <c r="C2387" s="16">
        <v>45660.0</v>
      </c>
      <c r="D2387" s="16">
        <v>45690.0</v>
      </c>
      <c r="E2387" s="15" t="s">
        <v>684</v>
      </c>
      <c r="F2387" s="19">
        <v>19.99</v>
      </c>
      <c r="G2387" s="15" t="s">
        <v>675</v>
      </c>
    </row>
    <row r="2388" ht="15.75" customHeight="1">
      <c r="A2388" s="17" t="s">
        <v>3059</v>
      </c>
      <c r="B2388" s="17" t="s">
        <v>465</v>
      </c>
      <c r="C2388" s="18">
        <v>45660.0</v>
      </c>
      <c r="D2388" s="18">
        <v>45690.0</v>
      </c>
      <c r="E2388" s="17" t="s">
        <v>684</v>
      </c>
      <c r="F2388" s="20">
        <v>19.99</v>
      </c>
      <c r="G2388" s="17" t="s">
        <v>675</v>
      </c>
    </row>
    <row r="2389" ht="15.75" customHeight="1">
      <c r="A2389" s="15" t="s">
        <v>3060</v>
      </c>
      <c r="B2389" s="15" t="s">
        <v>280</v>
      </c>
      <c r="C2389" s="16">
        <v>45660.0</v>
      </c>
      <c r="D2389" s="16">
        <v>45690.0</v>
      </c>
      <c r="E2389" s="15" t="s">
        <v>684</v>
      </c>
      <c r="F2389" s="19">
        <v>19.99</v>
      </c>
      <c r="G2389" s="15" t="s">
        <v>675</v>
      </c>
    </row>
    <row r="2390" ht="15.75" customHeight="1">
      <c r="A2390" s="17" t="s">
        <v>3061</v>
      </c>
      <c r="B2390" s="17" t="s">
        <v>116</v>
      </c>
      <c r="C2390" s="18">
        <v>45660.0</v>
      </c>
      <c r="D2390" s="18">
        <v>45690.0</v>
      </c>
      <c r="E2390" s="17" t="s">
        <v>684</v>
      </c>
      <c r="F2390" s="20">
        <v>19.99</v>
      </c>
      <c r="G2390" s="17" t="s">
        <v>675</v>
      </c>
    </row>
    <row r="2391" ht="15.75" customHeight="1">
      <c r="A2391" s="15" t="s">
        <v>3062</v>
      </c>
      <c r="B2391" s="15" t="s">
        <v>410</v>
      </c>
      <c r="C2391" s="16">
        <v>45660.0</v>
      </c>
      <c r="D2391" s="16">
        <v>45690.0</v>
      </c>
      <c r="E2391" s="15" t="s">
        <v>684</v>
      </c>
      <c r="F2391" s="19">
        <v>19.99</v>
      </c>
      <c r="G2391" s="15" t="s">
        <v>675</v>
      </c>
    </row>
    <row r="2392" ht="15.75" customHeight="1">
      <c r="A2392" s="17" t="s">
        <v>3063</v>
      </c>
      <c r="B2392" s="17" t="s">
        <v>511</v>
      </c>
      <c r="C2392" s="18">
        <v>45660.0</v>
      </c>
      <c r="D2392" s="18">
        <v>45690.0</v>
      </c>
      <c r="E2392" s="17" t="s">
        <v>684</v>
      </c>
      <c r="F2392" s="20">
        <v>19.99</v>
      </c>
      <c r="G2392" s="17" t="s">
        <v>675</v>
      </c>
    </row>
    <row r="2393" ht="15.75" customHeight="1">
      <c r="A2393" s="15" t="s">
        <v>3064</v>
      </c>
      <c r="B2393" s="15" t="s">
        <v>411</v>
      </c>
      <c r="C2393" s="16">
        <v>45660.0</v>
      </c>
      <c r="D2393" s="16">
        <v>45690.0</v>
      </c>
      <c r="E2393" s="15" t="s">
        <v>684</v>
      </c>
      <c r="F2393" s="19">
        <v>19.99</v>
      </c>
      <c r="G2393" s="15" t="s">
        <v>675</v>
      </c>
    </row>
    <row r="2394" ht="15.75" customHeight="1">
      <c r="A2394" s="17" t="s">
        <v>3065</v>
      </c>
      <c r="B2394" s="17" t="s">
        <v>412</v>
      </c>
      <c r="C2394" s="18">
        <v>45660.0</v>
      </c>
      <c r="D2394" s="18">
        <v>45690.0</v>
      </c>
      <c r="E2394" s="17" t="s">
        <v>684</v>
      </c>
      <c r="F2394" s="20">
        <v>19.99</v>
      </c>
      <c r="G2394" s="17" t="s">
        <v>675</v>
      </c>
    </row>
    <row r="2395" ht="15.75" customHeight="1">
      <c r="A2395" s="15" t="s">
        <v>3066</v>
      </c>
      <c r="B2395" s="15" t="s">
        <v>519</v>
      </c>
      <c r="C2395" s="16">
        <v>45660.0</v>
      </c>
      <c r="D2395" s="16">
        <v>45667.0</v>
      </c>
      <c r="E2395" s="15" t="s">
        <v>674</v>
      </c>
      <c r="F2395" s="19">
        <v>0.0</v>
      </c>
      <c r="G2395" s="15" t="s">
        <v>675</v>
      </c>
    </row>
    <row r="2396" ht="15.75" customHeight="1">
      <c r="A2396" s="17" t="s">
        <v>3067</v>
      </c>
      <c r="B2396" s="17" t="s">
        <v>413</v>
      </c>
      <c r="C2396" s="18">
        <v>45660.0</v>
      </c>
      <c r="D2396" s="18">
        <v>45690.0</v>
      </c>
      <c r="E2396" s="17" t="s">
        <v>684</v>
      </c>
      <c r="F2396" s="20">
        <v>19.99</v>
      </c>
      <c r="G2396" s="17" t="s">
        <v>675</v>
      </c>
    </row>
    <row r="2397" ht="15.75" customHeight="1">
      <c r="A2397" s="15" t="s">
        <v>3068</v>
      </c>
      <c r="B2397" s="15" t="s">
        <v>215</v>
      </c>
      <c r="C2397" s="16">
        <v>45660.0</v>
      </c>
      <c r="D2397" s="16">
        <v>45690.0</v>
      </c>
      <c r="E2397" s="15" t="s">
        <v>684</v>
      </c>
      <c r="F2397" s="19">
        <v>19.99</v>
      </c>
      <c r="G2397" s="15" t="s">
        <v>675</v>
      </c>
    </row>
    <row r="2398" ht="15.75" customHeight="1">
      <c r="A2398" s="17" t="s">
        <v>3069</v>
      </c>
      <c r="B2398" s="17" t="s">
        <v>281</v>
      </c>
      <c r="C2398" s="18">
        <v>45660.0</v>
      </c>
      <c r="D2398" s="18">
        <v>45690.0</v>
      </c>
      <c r="E2398" s="17" t="s">
        <v>684</v>
      </c>
      <c r="F2398" s="20">
        <v>19.99</v>
      </c>
      <c r="G2398" s="17" t="s">
        <v>675</v>
      </c>
    </row>
    <row r="2399" ht="15.75" customHeight="1">
      <c r="A2399" s="15" t="s">
        <v>3070</v>
      </c>
      <c r="B2399" s="15" t="s">
        <v>466</v>
      </c>
      <c r="C2399" s="16">
        <v>45661.0</v>
      </c>
      <c r="D2399" s="16">
        <v>45691.0</v>
      </c>
      <c r="E2399" s="15" t="s">
        <v>684</v>
      </c>
      <c r="F2399" s="19">
        <v>19.99</v>
      </c>
      <c r="G2399" s="15" t="s">
        <v>675</v>
      </c>
    </row>
    <row r="2400" ht="15.75" customHeight="1">
      <c r="A2400" s="17" t="s">
        <v>3071</v>
      </c>
      <c r="B2400" s="17" t="s">
        <v>414</v>
      </c>
      <c r="C2400" s="18">
        <v>45661.0</v>
      </c>
      <c r="D2400" s="18">
        <v>45691.0</v>
      </c>
      <c r="E2400" s="17" t="s">
        <v>684</v>
      </c>
      <c r="F2400" s="20">
        <v>19.99</v>
      </c>
      <c r="G2400" s="17" t="s">
        <v>675</v>
      </c>
    </row>
    <row r="2401" ht="15.75" customHeight="1">
      <c r="A2401" s="15" t="s">
        <v>3072</v>
      </c>
      <c r="B2401" s="15" t="s">
        <v>520</v>
      </c>
      <c r="C2401" s="16">
        <v>45661.0</v>
      </c>
      <c r="D2401" s="16">
        <v>45668.0</v>
      </c>
      <c r="E2401" s="15" t="s">
        <v>674</v>
      </c>
      <c r="F2401" s="19">
        <v>0.0</v>
      </c>
      <c r="G2401" s="15" t="s">
        <v>675</v>
      </c>
    </row>
    <row r="2402" ht="15.75" customHeight="1">
      <c r="A2402" s="17" t="s">
        <v>3073</v>
      </c>
      <c r="B2402" s="17" t="s">
        <v>467</v>
      </c>
      <c r="C2402" s="18">
        <v>45661.0</v>
      </c>
      <c r="D2402" s="18">
        <v>45691.0</v>
      </c>
      <c r="E2402" s="17" t="s">
        <v>684</v>
      </c>
      <c r="F2402" s="20">
        <v>19.99</v>
      </c>
      <c r="G2402" s="17" t="s">
        <v>675</v>
      </c>
    </row>
    <row r="2403" ht="15.75" customHeight="1">
      <c r="A2403" s="15" t="s">
        <v>3074</v>
      </c>
      <c r="B2403" s="15" t="s">
        <v>468</v>
      </c>
      <c r="C2403" s="16">
        <v>45661.0</v>
      </c>
      <c r="D2403" s="16">
        <v>45691.0</v>
      </c>
      <c r="E2403" s="15" t="s">
        <v>684</v>
      </c>
      <c r="F2403" s="19">
        <v>19.99</v>
      </c>
      <c r="G2403" s="15" t="s">
        <v>675</v>
      </c>
    </row>
    <row r="2404" ht="15.75" customHeight="1">
      <c r="A2404" s="17" t="s">
        <v>3075</v>
      </c>
      <c r="B2404" s="17" t="s">
        <v>512</v>
      </c>
      <c r="C2404" s="18">
        <v>45661.0</v>
      </c>
      <c r="D2404" s="18">
        <v>45691.0</v>
      </c>
      <c r="E2404" s="17" t="s">
        <v>684</v>
      </c>
      <c r="F2404" s="20">
        <v>19.99</v>
      </c>
      <c r="G2404" s="17" t="s">
        <v>675</v>
      </c>
    </row>
    <row r="2405" ht="15.75" customHeight="1">
      <c r="A2405" s="15" t="s">
        <v>3076</v>
      </c>
      <c r="B2405" s="15" t="s">
        <v>90</v>
      </c>
      <c r="C2405" s="16">
        <v>45661.0</v>
      </c>
      <c r="D2405" s="16">
        <v>45691.0</v>
      </c>
      <c r="E2405" s="15" t="s">
        <v>684</v>
      </c>
      <c r="F2405" s="19">
        <v>19.99</v>
      </c>
      <c r="G2405" s="15" t="s">
        <v>675</v>
      </c>
    </row>
    <row r="2406" ht="15.75" customHeight="1">
      <c r="A2406" s="17" t="s">
        <v>3077</v>
      </c>
      <c r="B2406" s="17" t="s">
        <v>513</v>
      </c>
      <c r="C2406" s="18">
        <v>45661.0</v>
      </c>
      <c r="D2406" s="18">
        <v>45691.0</v>
      </c>
      <c r="E2406" s="17" t="s">
        <v>684</v>
      </c>
      <c r="F2406" s="20">
        <v>19.99</v>
      </c>
      <c r="G2406" s="17" t="s">
        <v>675</v>
      </c>
    </row>
    <row r="2407" ht="15.75" customHeight="1">
      <c r="A2407" s="15" t="s">
        <v>3078</v>
      </c>
      <c r="B2407" s="15" t="s">
        <v>70</v>
      </c>
      <c r="C2407" s="16">
        <v>45661.0</v>
      </c>
      <c r="D2407" s="16">
        <v>45691.0</v>
      </c>
      <c r="E2407" s="15" t="s">
        <v>684</v>
      </c>
      <c r="F2407" s="19">
        <v>19.99</v>
      </c>
      <c r="G2407" s="15" t="s">
        <v>675</v>
      </c>
    </row>
    <row r="2408" ht="15.75" customHeight="1">
      <c r="A2408" s="17" t="s">
        <v>3079</v>
      </c>
      <c r="B2408" s="17" t="s">
        <v>118</v>
      </c>
      <c r="C2408" s="18">
        <v>45662.0</v>
      </c>
      <c r="D2408" s="18">
        <v>45692.0</v>
      </c>
      <c r="E2408" s="17" t="s">
        <v>684</v>
      </c>
      <c r="F2408" s="20">
        <v>19.99</v>
      </c>
      <c r="G2408" s="17" t="s">
        <v>675</v>
      </c>
    </row>
    <row r="2409" ht="15.75" customHeight="1">
      <c r="A2409" s="15" t="s">
        <v>3080</v>
      </c>
      <c r="B2409" s="15" t="s">
        <v>186</v>
      </c>
      <c r="C2409" s="16">
        <v>45662.0</v>
      </c>
      <c r="D2409" s="16">
        <v>45692.0</v>
      </c>
      <c r="E2409" s="15" t="s">
        <v>684</v>
      </c>
      <c r="F2409" s="19">
        <v>19.99</v>
      </c>
      <c r="G2409" s="15" t="s">
        <v>675</v>
      </c>
    </row>
    <row r="2410" ht="15.75" customHeight="1">
      <c r="A2410" s="17" t="s">
        <v>3081</v>
      </c>
      <c r="B2410" s="17" t="s">
        <v>216</v>
      </c>
      <c r="C2410" s="18">
        <v>45662.0</v>
      </c>
      <c r="D2410" s="18">
        <v>45692.0</v>
      </c>
      <c r="E2410" s="17" t="s">
        <v>684</v>
      </c>
      <c r="F2410" s="20">
        <v>19.99</v>
      </c>
      <c r="G2410" s="17" t="s">
        <v>675</v>
      </c>
    </row>
    <row r="2411" ht="15.75" customHeight="1">
      <c r="A2411" s="15" t="s">
        <v>3082</v>
      </c>
      <c r="B2411" s="15" t="s">
        <v>71</v>
      </c>
      <c r="C2411" s="16">
        <v>45662.0</v>
      </c>
      <c r="D2411" s="16">
        <v>45692.0</v>
      </c>
      <c r="E2411" s="15" t="s">
        <v>684</v>
      </c>
      <c r="F2411" s="19">
        <v>19.99</v>
      </c>
      <c r="G2411" s="15" t="s">
        <v>675</v>
      </c>
    </row>
    <row r="2412" ht="15.75" customHeight="1">
      <c r="A2412" s="17" t="s">
        <v>3083</v>
      </c>
      <c r="B2412" s="17" t="s">
        <v>148</v>
      </c>
      <c r="C2412" s="18">
        <v>45662.0</v>
      </c>
      <c r="D2412" s="18">
        <v>45692.0</v>
      </c>
      <c r="E2412" s="17" t="s">
        <v>684</v>
      </c>
      <c r="F2412" s="20">
        <v>19.99</v>
      </c>
      <c r="G2412" s="17" t="s">
        <v>675</v>
      </c>
    </row>
    <row r="2413" ht="15.75" customHeight="1">
      <c r="A2413" s="15" t="s">
        <v>3084</v>
      </c>
      <c r="B2413" s="15" t="s">
        <v>187</v>
      </c>
      <c r="C2413" s="16">
        <v>45662.0</v>
      </c>
      <c r="D2413" s="16">
        <v>45692.0</v>
      </c>
      <c r="E2413" s="15" t="s">
        <v>684</v>
      </c>
      <c r="F2413" s="19">
        <v>19.99</v>
      </c>
      <c r="G2413" s="15" t="s">
        <v>675</v>
      </c>
    </row>
    <row r="2414" ht="15.75" customHeight="1">
      <c r="A2414" s="17" t="s">
        <v>3085</v>
      </c>
      <c r="B2414" s="17" t="s">
        <v>217</v>
      </c>
      <c r="C2414" s="18">
        <v>45662.0</v>
      </c>
      <c r="D2414" s="18">
        <v>45692.0</v>
      </c>
      <c r="E2414" s="17" t="s">
        <v>684</v>
      </c>
      <c r="F2414" s="20">
        <v>19.99</v>
      </c>
      <c r="G2414" s="17" t="s">
        <v>675</v>
      </c>
    </row>
    <row r="2415" ht="15.75" customHeight="1">
      <c r="A2415" s="15" t="s">
        <v>3086</v>
      </c>
      <c r="B2415" s="15" t="s">
        <v>329</v>
      </c>
      <c r="C2415" s="16">
        <v>45662.0</v>
      </c>
      <c r="D2415" s="16">
        <v>45692.0</v>
      </c>
      <c r="E2415" s="15" t="s">
        <v>684</v>
      </c>
      <c r="F2415" s="19">
        <v>19.99</v>
      </c>
      <c r="G2415" s="15" t="s">
        <v>675</v>
      </c>
    </row>
    <row r="2416" ht="15.75" customHeight="1">
      <c r="A2416" s="17" t="s">
        <v>3087</v>
      </c>
      <c r="B2416" s="17" t="s">
        <v>218</v>
      </c>
      <c r="C2416" s="18">
        <v>45663.0</v>
      </c>
      <c r="D2416" s="18">
        <v>45693.0</v>
      </c>
      <c r="E2416" s="17" t="s">
        <v>684</v>
      </c>
      <c r="F2416" s="20">
        <v>19.99</v>
      </c>
      <c r="G2416" s="17" t="s">
        <v>675</v>
      </c>
    </row>
    <row r="2417" ht="15.75" customHeight="1">
      <c r="A2417" s="15" t="s">
        <v>3088</v>
      </c>
      <c r="B2417" s="15" t="s">
        <v>415</v>
      </c>
      <c r="C2417" s="16">
        <v>45663.0</v>
      </c>
      <c r="D2417" s="16">
        <v>45693.0</v>
      </c>
      <c r="E2417" s="15" t="s">
        <v>684</v>
      </c>
      <c r="F2417" s="19">
        <v>19.99</v>
      </c>
      <c r="G2417" s="15" t="s">
        <v>675</v>
      </c>
    </row>
    <row r="2418" ht="15.75" customHeight="1">
      <c r="A2418" s="17" t="s">
        <v>3089</v>
      </c>
      <c r="B2418" s="17" t="s">
        <v>219</v>
      </c>
      <c r="C2418" s="18">
        <v>45663.0</v>
      </c>
      <c r="D2418" s="18">
        <v>45693.0</v>
      </c>
      <c r="E2418" s="17" t="s">
        <v>684</v>
      </c>
      <c r="F2418" s="20">
        <v>19.99</v>
      </c>
      <c r="G2418" s="17" t="s">
        <v>675</v>
      </c>
    </row>
    <row r="2419" ht="15.75" customHeight="1">
      <c r="A2419" s="15" t="s">
        <v>3090</v>
      </c>
      <c r="B2419" s="15" t="s">
        <v>243</v>
      </c>
      <c r="C2419" s="16">
        <v>45663.0</v>
      </c>
      <c r="D2419" s="16">
        <v>45693.0</v>
      </c>
      <c r="E2419" s="15" t="s">
        <v>684</v>
      </c>
      <c r="F2419" s="19">
        <v>19.99</v>
      </c>
      <c r="G2419" s="15" t="s">
        <v>675</v>
      </c>
    </row>
    <row r="2420" ht="15.75" customHeight="1">
      <c r="A2420" s="17" t="s">
        <v>3091</v>
      </c>
      <c r="B2420" s="17" t="s">
        <v>283</v>
      </c>
      <c r="C2420" s="18">
        <v>45663.0</v>
      </c>
      <c r="D2420" s="18">
        <v>45693.0</v>
      </c>
      <c r="E2420" s="17" t="s">
        <v>684</v>
      </c>
      <c r="F2420" s="20">
        <v>19.99</v>
      </c>
      <c r="G2420" s="17" t="s">
        <v>675</v>
      </c>
    </row>
    <row r="2421" ht="15.75" customHeight="1">
      <c r="A2421" s="15" t="s">
        <v>3092</v>
      </c>
      <c r="B2421" s="15" t="s">
        <v>416</v>
      </c>
      <c r="C2421" s="16">
        <v>45663.0</v>
      </c>
      <c r="D2421" s="16">
        <v>45693.0</v>
      </c>
      <c r="E2421" s="15" t="s">
        <v>684</v>
      </c>
      <c r="F2421" s="19">
        <v>19.99</v>
      </c>
      <c r="G2421" s="15" t="s">
        <v>675</v>
      </c>
    </row>
    <row r="2422" ht="15.75" customHeight="1">
      <c r="A2422" s="17" t="s">
        <v>3093</v>
      </c>
      <c r="B2422" s="17" t="s">
        <v>514</v>
      </c>
      <c r="C2422" s="18">
        <v>45663.0</v>
      </c>
      <c r="D2422" s="18">
        <v>45693.0</v>
      </c>
      <c r="E2422" s="17" t="s">
        <v>684</v>
      </c>
      <c r="F2422" s="20">
        <v>19.99</v>
      </c>
      <c r="G2422" s="17" t="s">
        <v>675</v>
      </c>
    </row>
    <row r="2423" ht="15.75" customHeight="1">
      <c r="A2423" s="15" t="s">
        <v>3094</v>
      </c>
      <c r="B2423" s="15" t="s">
        <v>521</v>
      </c>
      <c r="C2423" s="16">
        <v>45663.0</v>
      </c>
      <c r="D2423" s="16">
        <v>45670.0</v>
      </c>
      <c r="E2423" s="15" t="s">
        <v>674</v>
      </c>
      <c r="F2423" s="19">
        <v>0.0</v>
      </c>
      <c r="G2423" s="15" t="s">
        <v>675</v>
      </c>
    </row>
    <row r="2424" ht="15.75" customHeight="1">
      <c r="A2424" s="17" t="s">
        <v>3095</v>
      </c>
      <c r="B2424" s="17" t="s">
        <v>119</v>
      </c>
      <c r="C2424" s="18">
        <v>45663.0</v>
      </c>
      <c r="D2424" s="18">
        <v>45693.0</v>
      </c>
      <c r="E2424" s="17" t="s">
        <v>684</v>
      </c>
      <c r="F2424" s="20">
        <v>19.99</v>
      </c>
      <c r="G2424" s="17" t="s">
        <v>675</v>
      </c>
    </row>
    <row r="2425" ht="15.75" customHeight="1">
      <c r="A2425" s="15" t="s">
        <v>3096</v>
      </c>
      <c r="B2425" s="15" t="s">
        <v>522</v>
      </c>
      <c r="C2425" s="16">
        <v>45663.0</v>
      </c>
      <c r="D2425" s="16">
        <v>45670.0</v>
      </c>
      <c r="E2425" s="15" t="s">
        <v>674</v>
      </c>
      <c r="F2425" s="19">
        <v>0.0</v>
      </c>
      <c r="G2425" s="15" t="s">
        <v>675</v>
      </c>
    </row>
    <row r="2426" ht="15.75" customHeight="1">
      <c r="A2426" s="17" t="s">
        <v>3097</v>
      </c>
      <c r="B2426" s="17" t="s">
        <v>365</v>
      </c>
      <c r="C2426" s="18">
        <v>45663.0</v>
      </c>
      <c r="D2426" s="18">
        <v>45693.0</v>
      </c>
      <c r="E2426" s="17" t="s">
        <v>684</v>
      </c>
      <c r="F2426" s="20">
        <v>19.99</v>
      </c>
      <c r="G2426" s="17" t="s">
        <v>675</v>
      </c>
    </row>
    <row r="2427" ht="15.75" customHeight="1">
      <c r="A2427" s="15" t="s">
        <v>3098</v>
      </c>
      <c r="B2427" s="15" t="s">
        <v>523</v>
      </c>
      <c r="C2427" s="16">
        <v>45663.0</v>
      </c>
      <c r="D2427" s="16">
        <v>45670.0</v>
      </c>
      <c r="E2427" s="15" t="s">
        <v>674</v>
      </c>
      <c r="F2427" s="19">
        <v>0.0</v>
      </c>
      <c r="G2427" s="15" t="s">
        <v>675</v>
      </c>
    </row>
    <row r="2428" ht="15.75" customHeight="1">
      <c r="A2428" s="17" t="s">
        <v>3099</v>
      </c>
      <c r="B2428" s="17" t="s">
        <v>366</v>
      </c>
      <c r="C2428" s="18">
        <v>45663.0</v>
      </c>
      <c r="D2428" s="18">
        <v>45693.0</v>
      </c>
      <c r="E2428" s="17" t="s">
        <v>684</v>
      </c>
      <c r="F2428" s="20">
        <v>19.99</v>
      </c>
      <c r="G2428" s="17" t="s">
        <v>675</v>
      </c>
    </row>
    <row r="2429" ht="15.75" customHeight="1">
      <c r="A2429" s="15" t="s">
        <v>3100</v>
      </c>
      <c r="B2429" s="15" t="s">
        <v>515</v>
      </c>
      <c r="C2429" s="16">
        <v>45663.0</v>
      </c>
      <c r="D2429" s="16">
        <v>45693.0</v>
      </c>
      <c r="E2429" s="15" t="s">
        <v>684</v>
      </c>
      <c r="F2429" s="19">
        <v>19.99</v>
      </c>
      <c r="G2429" s="15" t="s">
        <v>675</v>
      </c>
    </row>
    <row r="2430" ht="15.75" customHeight="1">
      <c r="A2430" s="17" t="s">
        <v>3101</v>
      </c>
      <c r="B2430" s="17" t="s">
        <v>524</v>
      </c>
      <c r="C2430" s="18">
        <v>45663.0</v>
      </c>
      <c r="D2430" s="18">
        <v>45670.0</v>
      </c>
      <c r="E2430" s="17" t="s">
        <v>674</v>
      </c>
      <c r="F2430" s="20">
        <v>0.0</v>
      </c>
      <c r="G2430" s="17" t="s">
        <v>675</v>
      </c>
    </row>
    <row r="2431" ht="15.75" customHeight="1">
      <c r="A2431" s="15" t="s">
        <v>3102</v>
      </c>
      <c r="B2431" s="15" t="s">
        <v>244</v>
      </c>
      <c r="C2431" s="16">
        <v>45664.0</v>
      </c>
      <c r="D2431" s="16">
        <v>45694.0</v>
      </c>
      <c r="E2431" s="15" t="s">
        <v>684</v>
      </c>
      <c r="F2431" s="19">
        <v>19.99</v>
      </c>
      <c r="G2431" s="15" t="s">
        <v>675</v>
      </c>
    </row>
    <row r="2432" ht="15.75" customHeight="1">
      <c r="A2432" s="17" t="s">
        <v>3103</v>
      </c>
      <c r="B2432" s="17" t="s">
        <v>287</v>
      </c>
      <c r="C2432" s="18">
        <v>45664.0</v>
      </c>
      <c r="D2432" s="18">
        <v>45694.0</v>
      </c>
      <c r="E2432" s="17" t="s">
        <v>684</v>
      </c>
      <c r="F2432" s="20">
        <v>19.99</v>
      </c>
      <c r="G2432" s="17" t="s">
        <v>675</v>
      </c>
    </row>
    <row r="2433" ht="15.75" customHeight="1">
      <c r="A2433" s="15" t="s">
        <v>3104</v>
      </c>
      <c r="B2433" s="15" t="s">
        <v>516</v>
      </c>
      <c r="C2433" s="16">
        <v>45664.0</v>
      </c>
      <c r="D2433" s="16">
        <v>45694.0</v>
      </c>
      <c r="E2433" s="15" t="s">
        <v>684</v>
      </c>
      <c r="F2433" s="19">
        <v>19.99</v>
      </c>
      <c r="G2433" s="15" t="s">
        <v>675</v>
      </c>
    </row>
    <row r="2434" ht="15.75" customHeight="1">
      <c r="A2434" s="17" t="s">
        <v>3105</v>
      </c>
      <c r="B2434" s="17" t="s">
        <v>120</v>
      </c>
      <c r="C2434" s="18">
        <v>45664.0</v>
      </c>
      <c r="D2434" s="18">
        <v>45694.0</v>
      </c>
      <c r="E2434" s="17" t="s">
        <v>684</v>
      </c>
      <c r="F2434" s="20">
        <v>19.99</v>
      </c>
      <c r="G2434" s="17" t="s">
        <v>675</v>
      </c>
    </row>
    <row r="2435" ht="15.75" customHeight="1">
      <c r="A2435" s="15" t="s">
        <v>3106</v>
      </c>
      <c r="B2435" s="15" t="s">
        <v>417</v>
      </c>
      <c r="C2435" s="16">
        <v>45664.0</v>
      </c>
      <c r="D2435" s="16">
        <v>45694.0</v>
      </c>
      <c r="E2435" s="15" t="s">
        <v>684</v>
      </c>
      <c r="F2435" s="19">
        <v>19.99</v>
      </c>
      <c r="G2435" s="15" t="s">
        <v>675</v>
      </c>
    </row>
    <row r="2436" ht="15.75" customHeight="1">
      <c r="A2436" s="17" t="s">
        <v>3107</v>
      </c>
      <c r="B2436" s="17" t="s">
        <v>418</v>
      </c>
      <c r="C2436" s="18">
        <v>45664.0</v>
      </c>
      <c r="D2436" s="18">
        <v>45694.0</v>
      </c>
      <c r="E2436" s="17" t="s">
        <v>684</v>
      </c>
      <c r="F2436" s="20">
        <v>19.99</v>
      </c>
      <c r="G2436" s="17" t="s">
        <v>675</v>
      </c>
    </row>
    <row r="2437" ht="15.75" customHeight="1">
      <c r="A2437" s="15" t="s">
        <v>3108</v>
      </c>
      <c r="B2437" s="15" t="s">
        <v>525</v>
      </c>
      <c r="C2437" s="16">
        <v>45664.0</v>
      </c>
      <c r="D2437" s="16">
        <v>45671.0</v>
      </c>
      <c r="E2437" s="15" t="s">
        <v>674</v>
      </c>
      <c r="F2437" s="19">
        <v>0.0</v>
      </c>
      <c r="G2437" s="15" t="s">
        <v>675</v>
      </c>
    </row>
    <row r="2438" ht="15.75" customHeight="1">
      <c r="A2438" s="17" t="s">
        <v>3109</v>
      </c>
      <c r="B2438" s="17" t="s">
        <v>330</v>
      </c>
      <c r="C2438" s="18">
        <v>45664.0</v>
      </c>
      <c r="D2438" s="18">
        <v>45694.0</v>
      </c>
      <c r="E2438" s="17" t="s">
        <v>684</v>
      </c>
      <c r="F2438" s="20">
        <v>19.99</v>
      </c>
      <c r="G2438" s="17" t="s">
        <v>675</v>
      </c>
    </row>
    <row r="2439" ht="15.75" customHeight="1">
      <c r="A2439" s="15" t="s">
        <v>3110</v>
      </c>
      <c r="B2439" s="15" t="s">
        <v>220</v>
      </c>
      <c r="C2439" s="16">
        <v>45664.0</v>
      </c>
      <c r="D2439" s="16">
        <v>45694.0</v>
      </c>
      <c r="E2439" s="15" t="s">
        <v>684</v>
      </c>
      <c r="F2439" s="19">
        <v>19.99</v>
      </c>
      <c r="G2439" s="15" t="s">
        <v>675</v>
      </c>
    </row>
    <row r="2440" ht="15.75" customHeight="1">
      <c r="A2440" s="17" t="s">
        <v>3111</v>
      </c>
      <c r="B2440" s="17" t="s">
        <v>289</v>
      </c>
      <c r="C2440" s="18">
        <v>45664.0</v>
      </c>
      <c r="D2440" s="18">
        <v>45694.0</v>
      </c>
      <c r="E2440" s="17" t="s">
        <v>684</v>
      </c>
      <c r="F2440" s="20">
        <v>19.99</v>
      </c>
      <c r="G2440" s="17" t="s">
        <v>675</v>
      </c>
    </row>
    <row r="2441" ht="15.75" customHeight="1">
      <c r="A2441" s="15" t="s">
        <v>3112</v>
      </c>
      <c r="B2441" s="15" t="s">
        <v>517</v>
      </c>
      <c r="C2441" s="16">
        <v>45665.0</v>
      </c>
      <c r="D2441" s="16">
        <v>45695.0</v>
      </c>
      <c r="E2441" s="15" t="s">
        <v>684</v>
      </c>
      <c r="F2441" s="19">
        <v>19.99</v>
      </c>
      <c r="G2441" s="15" t="s">
        <v>675</v>
      </c>
    </row>
    <row r="2442" ht="15.75" customHeight="1">
      <c r="A2442" s="17" t="s">
        <v>3113</v>
      </c>
      <c r="B2442" s="17" t="s">
        <v>246</v>
      </c>
      <c r="C2442" s="18">
        <v>45665.0</v>
      </c>
      <c r="D2442" s="18">
        <v>45695.0</v>
      </c>
      <c r="E2442" s="17" t="s">
        <v>684</v>
      </c>
      <c r="F2442" s="20">
        <v>19.99</v>
      </c>
      <c r="G2442" s="17" t="s">
        <v>675</v>
      </c>
    </row>
    <row r="2443" ht="15.75" customHeight="1">
      <c r="A2443" s="15" t="s">
        <v>3114</v>
      </c>
      <c r="B2443" s="15" t="s">
        <v>526</v>
      </c>
      <c r="C2443" s="16">
        <v>45665.0</v>
      </c>
      <c r="D2443" s="16">
        <v>45672.0</v>
      </c>
      <c r="E2443" s="15" t="s">
        <v>674</v>
      </c>
      <c r="F2443" s="19">
        <v>0.0</v>
      </c>
      <c r="G2443" s="15" t="s">
        <v>675</v>
      </c>
    </row>
    <row r="2444" ht="15.75" customHeight="1">
      <c r="A2444" s="17" t="s">
        <v>3115</v>
      </c>
      <c r="B2444" s="17" t="s">
        <v>470</v>
      </c>
      <c r="C2444" s="18">
        <v>45665.0</v>
      </c>
      <c r="D2444" s="18">
        <v>45695.0</v>
      </c>
      <c r="E2444" s="17" t="s">
        <v>684</v>
      </c>
      <c r="F2444" s="20">
        <v>19.99</v>
      </c>
      <c r="G2444" s="17" t="s">
        <v>675</v>
      </c>
    </row>
    <row r="2445" ht="15.75" customHeight="1">
      <c r="A2445" s="15" t="s">
        <v>3116</v>
      </c>
      <c r="B2445" s="15" t="s">
        <v>367</v>
      </c>
      <c r="C2445" s="16">
        <v>45665.0</v>
      </c>
      <c r="D2445" s="16">
        <v>45695.0</v>
      </c>
      <c r="E2445" s="15" t="s">
        <v>684</v>
      </c>
      <c r="F2445" s="19">
        <v>19.99</v>
      </c>
      <c r="G2445" s="15" t="s">
        <v>675</v>
      </c>
    </row>
    <row r="2446" ht="15.75" customHeight="1">
      <c r="A2446" s="17" t="s">
        <v>3117</v>
      </c>
      <c r="B2446" s="17" t="s">
        <v>368</v>
      </c>
      <c r="C2446" s="18">
        <v>45665.0</v>
      </c>
      <c r="D2446" s="18">
        <v>45695.0</v>
      </c>
      <c r="E2446" s="17" t="s">
        <v>684</v>
      </c>
      <c r="F2446" s="20">
        <v>19.99</v>
      </c>
      <c r="G2446" s="17" t="s">
        <v>675</v>
      </c>
    </row>
    <row r="2447" ht="15.75" customHeight="1">
      <c r="A2447" s="15" t="s">
        <v>3118</v>
      </c>
      <c r="B2447" s="15" t="s">
        <v>331</v>
      </c>
      <c r="C2447" s="16">
        <v>45665.0</v>
      </c>
      <c r="D2447" s="16">
        <v>45695.0</v>
      </c>
      <c r="E2447" s="15" t="s">
        <v>684</v>
      </c>
      <c r="F2447" s="19">
        <v>19.99</v>
      </c>
      <c r="G2447" s="15" t="s">
        <v>675</v>
      </c>
    </row>
    <row r="2448" ht="15.75" customHeight="1">
      <c r="A2448" s="17" t="s">
        <v>3119</v>
      </c>
      <c r="B2448" s="17" t="s">
        <v>527</v>
      </c>
      <c r="C2448" s="18">
        <v>45665.0</v>
      </c>
      <c r="D2448" s="18">
        <v>45672.0</v>
      </c>
      <c r="E2448" s="17" t="s">
        <v>674</v>
      </c>
      <c r="F2448" s="20">
        <v>0.0</v>
      </c>
      <c r="G2448" s="17" t="s">
        <v>675</v>
      </c>
    </row>
    <row r="2449" ht="15.75" customHeight="1">
      <c r="A2449" s="15" t="s">
        <v>3120</v>
      </c>
      <c r="B2449" s="15" t="s">
        <v>222</v>
      </c>
      <c r="C2449" s="16">
        <v>45665.0</v>
      </c>
      <c r="D2449" s="16">
        <v>45695.0</v>
      </c>
      <c r="E2449" s="15" t="s">
        <v>684</v>
      </c>
      <c r="F2449" s="19">
        <v>19.99</v>
      </c>
      <c r="G2449" s="15" t="s">
        <v>675</v>
      </c>
    </row>
    <row r="2450" ht="15.75" customHeight="1">
      <c r="A2450" s="17" t="s">
        <v>3121</v>
      </c>
      <c r="B2450" s="17" t="s">
        <v>332</v>
      </c>
      <c r="C2450" s="18">
        <v>45665.0</v>
      </c>
      <c r="D2450" s="18">
        <v>45695.0</v>
      </c>
      <c r="E2450" s="17" t="s">
        <v>684</v>
      </c>
      <c r="F2450" s="20">
        <v>19.99</v>
      </c>
      <c r="G2450" s="17" t="s">
        <v>675</v>
      </c>
    </row>
    <row r="2451" ht="15.75" customHeight="1">
      <c r="A2451" s="15" t="s">
        <v>3122</v>
      </c>
      <c r="B2451" s="15" t="s">
        <v>369</v>
      </c>
      <c r="C2451" s="16">
        <v>45665.0</v>
      </c>
      <c r="D2451" s="16">
        <v>45695.0</v>
      </c>
      <c r="E2451" s="15" t="s">
        <v>684</v>
      </c>
      <c r="F2451" s="19">
        <v>19.99</v>
      </c>
      <c r="G2451" s="15" t="s">
        <v>675</v>
      </c>
    </row>
    <row r="2452" ht="15.75" customHeight="1">
      <c r="A2452" s="17" t="s">
        <v>3123</v>
      </c>
      <c r="B2452" s="17" t="s">
        <v>152</v>
      </c>
      <c r="C2452" s="18">
        <v>45665.0</v>
      </c>
      <c r="D2452" s="18">
        <v>45695.0</v>
      </c>
      <c r="E2452" s="17" t="s">
        <v>684</v>
      </c>
      <c r="F2452" s="20">
        <v>19.99</v>
      </c>
      <c r="G2452" s="17" t="s">
        <v>675</v>
      </c>
    </row>
    <row r="2453" ht="15.75" customHeight="1">
      <c r="A2453" s="15" t="s">
        <v>3124</v>
      </c>
      <c r="B2453" s="15" t="s">
        <v>189</v>
      </c>
      <c r="C2453" s="16">
        <v>45665.0</v>
      </c>
      <c r="D2453" s="16">
        <v>45695.0</v>
      </c>
      <c r="E2453" s="15" t="s">
        <v>684</v>
      </c>
      <c r="F2453" s="19">
        <v>19.99</v>
      </c>
      <c r="G2453" s="15" t="s">
        <v>675</v>
      </c>
    </row>
    <row r="2454" ht="15.75" customHeight="1">
      <c r="A2454" s="17" t="s">
        <v>3125</v>
      </c>
      <c r="B2454" s="17" t="s">
        <v>91</v>
      </c>
      <c r="C2454" s="18">
        <v>45665.0</v>
      </c>
      <c r="D2454" s="18">
        <v>45695.0</v>
      </c>
      <c r="E2454" s="17" t="s">
        <v>684</v>
      </c>
      <c r="F2454" s="20">
        <v>19.99</v>
      </c>
      <c r="G2454" s="17" t="s">
        <v>675</v>
      </c>
    </row>
    <row r="2455" ht="15.75" customHeight="1">
      <c r="A2455" s="15" t="s">
        <v>3126</v>
      </c>
      <c r="B2455" s="15" t="s">
        <v>528</v>
      </c>
      <c r="C2455" s="16">
        <v>45665.0</v>
      </c>
      <c r="D2455" s="16">
        <v>45672.0</v>
      </c>
      <c r="E2455" s="15" t="s">
        <v>674</v>
      </c>
      <c r="F2455" s="19">
        <v>0.0</v>
      </c>
      <c r="G2455" s="15" t="s">
        <v>675</v>
      </c>
    </row>
    <row r="2456" ht="15.75" customHeight="1">
      <c r="A2456" s="17" t="s">
        <v>3127</v>
      </c>
      <c r="B2456" s="17" t="s">
        <v>247</v>
      </c>
      <c r="C2456" s="18">
        <v>45666.0</v>
      </c>
      <c r="D2456" s="18">
        <v>45696.0</v>
      </c>
      <c r="E2456" s="17" t="s">
        <v>684</v>
      </c>
      <c r="F2456" s="20">
        <v>19.99</v>
      </c>
      <c r="G2456" s="17" t="s">
        <v>675</v>
      </c>
    </row>
    <row r="2457" ht="15.75" customHeight="1">
      <c r="A2457" s="15" t="s">
        <v>3128</v>
      </c>
      <c r="B2457" s="15" t="s">
        <v>529</v>
      </c>
      <c r="C2457" s="16">
        <v>45666.0</v>
      </c>
      <c r="D2457" s="16">
        <v>45673.0</v>
      </c>
      <c r="E2457" s="15" t="s">
        <v>674</v>
      </c>
      <c r="F2457" s="19">
        <v>0.0</v>
      </c>
      <c r="G2457" s="15" t="s">
        <v>675</v>
      </c>
    </row>
    <row r="2458" ht="15.75" customHeight="1">
      <c r="A2458" s="17" t="s">
        <v>3129</v>
      </c>
      <c r="B2458" s="17" t="s">
        <v>92</v>
      </c>
      <c r="C2458" s="18">
        <v>45666.0</v>
      </c>
      <c r="D2458" s="18">
        <v>45696.0</v>
      </c>
      <c r="E2458" s="17" t="s">
        <v>684</v>
      </c>
      <c r="F2458" s="20">
        <v>19.99</v>
      </c>
      <c r="G2458" s="17" t="s">
        <v>675</v>
      </c>
    </row>
    <row r="2459" ht="15.75" customHeight="1">
      <c r="A2459" s="15" t="s">
        <v>3130</v>
      </c>
      <c r="B2459" s="15" t="s">
        <v>190</v>
      </c>
      <c r="C2459" s="16">
        <v>45666.0</v>
      </c>
      <c r="D2459" s="16">
        <v>45696.0</v>
      </c>
      <c r="E2459" s="15" t="s">
        <v>684</v>
      </c>
      <c r="F2459" s="19">
        <v>19.99</v>
      </c>
      <c r="G2459" s="15" t="s">
        <v>675</v>
      </c>
    </row>
    <row r="2460" ht="15.75" customHeight="1">
      <c r="A2460" s="17" t="s">
        <v>3131</v>
      </c>
      <c r="B2460" s="17" t="s">
        <v>471</v>
      </c>
      <c r="C2460" s="18">
        <v>45666.0</v>
      </c>
      <c r="D2460" s="18">
        <v>45696.0</v>
      </c>
      <c r="E2460" s="17" t="s">
        <v>684</v>
      </c>
      <c r="F2460" s="20">
        <v>19.99</v>
      </c>
      <c r="G2460" s="17" t="s">
        <v>675</v>
      </c>
    </row>
    <row r="2461" ht="15.75" customHeight="1">
      <c r="A2461" s="15" t="s">
        <v>3132</v>
      </c>
      <c r="B2461" s="15" t="s">
        <v>290</v>
      </c>
      <c r="C2461" s="16">
        <v>45666.0</v>
      </c>
      <c r="D2461" s="16">
        <v>45696.0</v>
      </c>
      <c r="E2461" s="15" t="s">
        <v>684</v>
      </c>
      <c r="F2461" s="19">
        <v>19.99</v>
      </c>
      <c r="G2461" s="15" t="s">
        <v>675</v>
      </c>
    </row>
    <row r="2462" ht="15.75" customHeight="1">
      <c r="A2462" s="17" t="s">
        <v>3133</v>
      </c>
      <c r="B2462" s="17" t="s">
        <v>154</v>
      </c>
      <c r="C2462" s="18">
        <v>45666.0</v>
      </c>
      <c r="D2462" s="18">
        <v>45696.0</v>
      </c>
      <c r="E2462" s="17" t="s">
        <v>684</v>
      </c>
      <c r="F2462" s="20">
        <v>19.99</v>
      </c>
      <c r="G2462" s="17" t="s">
        <v>675</v>
      </c>
    </row>
    <row r="2463" ht="15.75" customHeight="1">
      <c r="A2463" s="15" t="s">
        <v>3134</v>
      </c>
      <c r="B2463" s="15" t="s">
        <v>370</v>
      </c>
      <c r="C2463" s="16">
        <v>45666.0</v>
      </c>
      <c r="D2463" s="16">
        <v>45696.0</v>
      </c>
      <c r="E2463" s="15" t="s">
        <v>684</v>
      </c>
      <c r="F2463" s="19">
        <v>19.99</v>
      </c>
      <c r="G2463" s="15" t="s">
        <v>675</v>
      </c>
    </row>
    <row r="2464" ht="15.75" customHeight="1">
      <c r="A2464" s="17" t="s">
        <v>3135</v>
      </c>
      <c r="B2464" s="17" t="s">
        <v>473</v>
      </c>
      <c r="C2464" s="18">
        <v>45666.0</v>
      </c>
      <c r="D2464" s="18">
        <v>45696.0</v>
      </c>
      <c r="E2464" s="17" t="s">
        <v>684</v>
      </c>
      <c r="F2464" s="20">
        <v>19.99</v>
      </c>
      <c r="G2464" s="17" t="s">
        <v>675</v>
      </c>
    </row>
    <row r="2465" ht="15.75" customHeight="1">
      <c r="A2465" s="15" t="s">
        <v>3136</v>
      </c>
      <c r="B2465" s="15" t="s">
        <v>291</v>
      </c>
      <c r="C2465" s="16">
        <v>45666.0</v>
      </c>
      <c r="D2465" s="16">
        <v>45696.0</v>
      </c>
      <c r="E2465" s="15" t="s">
        <v>684</v>
      </c>
      <c r="F2465" s="19">
        <v>19.99</v>
      </c>
      <c r="G2465" s="15" t="s">
        <v>675</v>
      </c>
    </row>
    <row r="2466" ht="15.75" customHeight="1">
      <c r="A2466" s="17" t="s">
        <v>3137</v>
      </c>
      <c r="B2466" s="17" t="s">
        <v>518</v>
      </c>
      <c r="C2466" s="18">
        <v>45666.0</v>
      </c>
      <c r="D2466" s="18">
        <v>45696.0</v>
      </c>
      <c r="E2466" s="17" t="s">
        <v>684</v>
      </c>
      <c r="F2466" s="20">
        <v>19.99</v>
      </c>
      <c r="G2466" s="17" t="s">
        <v>675</v>
      </c>
    </row>
    <row r="2467" ht="15.75" customHeight="1">
      <c r="A2467" s="15" t="s">
        <v>3138</v>
      </c>
      <c r="B2467" s="15" t="s">
        <v>371</v>
      </c>
      <c r="C2467" s="16">
        <v>45666.0</v>
      </c>
      <c r="D2467" s="16">
        <v>45696.0</v>
      </c>
      <c r="E2467" s="15" t="s">
        <v>684</v>
      </c>
      <c r="F2467" s="19">
        <v>19.99</v>
      </c>
      <c r="G2467" s="15" t="s">
        <v>675</v>
      </c>
    </row>
    <row r="2468" ht="15.75" customHeight="1">
      <c r="A2468" s="17" t="s">
        <v>3139</v>
      </c>
      <c r="B2468" s="17" t="s">
        <v>372</v>
      </c>
      <c r="C2468" s="18">
        <v>45667.0</v>
      </c>
      <c r="D2468" s="18">
        <v>45697.0</v>
      </c>
      <c r="E2468" s="17" t="s">
        <v>684</v>
      </c>
      <c r="F2468" s="20">
        <v>19.99</v>
      </c>
      <c r="G2468" s="17" t="s">
        <v>675</v>
      </c>
    </row>
    <row r="2469" ht="15.75" customHeight="1">
      <c r="A2469" s="15" t="s">
        <v>3140</v>
      </c>
      <c r="B2469" s="15" t="s">
        <v>292</v>
      </c>
      <c r="C2469" s="16">
        <v>45667.0</v>
      </c>
      <c r="D2469" s="16">
        <v>45697.0</v>
      </c>
      <c r="E2469" s="15" t="s">
        <v>684</v>
      </c>
      <c r="F2469" s="19">
        <v>19.99</v>
      </c>
      <c r="G2469" s="15" t="s">
        <v>675</v>
      </c>
    </row>
    <row r="2470" ht="15.75" customHeight="1">
      <c r="A2470" s="17" t="s">
        <v>3141</v>
      </c>
      <c r="B2470" s="17" t="s">
        <v>123</v>
      </c>
      <c r="C2470" s="18">
        <v>45667.0</v>
      </c>
      <c r="D2470" s="18">
        <v>45697.0</v>
      </c>
      <c r="E2470" s="17" t="s">
        <v>684</v>
      </c>
      <c r="F2470" s="20">
        <v>19.99</v>
      </c>
      <c r="G2470" s="17" t="s">
        <v>675</v>
      </c>
    </row>
    <row r="2471" ht="15.75" customHeight="1">
      <c r="A2471" s="15" t="s">
        <v>3142</v>
      </c>
      <c r="B2471" s="15" t="s">
        <v>420</v>
      </c>
      <c r="C2471" s="16">
        <v>45667.0</v>
      </c>
      <c r="D2471" s="16">
        <v>45697.0</v>
      </c>
      <c r="E2471" s="15" t="s">
        <v>684</v>
      </c>
      <c r="F2471" s="19">
        <v>19.99</v>
      </c>
      <c r="G2471" s="15" t="s">
        <v>675</v>
      </c>
    </row>
    <row r="2472" ht="15.75" customHeight="1">
      <c r="A2472" s="17" t="s">
        <v>3143</v>
      </c>
      <c r="B2472" s="17" t="s">
        <v>474</v>
      </c>
      <c r="C2472" s="18">
        <v>45667.0</v>
      </c>
      <c r="D2472" s="18">
        <v>45697.0</v>
      </c>
      <c r="E2472" s="17" t="s">
        <v>684</v>
      </c>
      <c r="F2472" s="20">
        <v>19.99</v>
      </c>
      <c r="G2472" s="17" t="s">
        <v>675</v>
      </c>
    </row>
    <row r="2473" ht="15.75" customHeight="1">
      <c r="A2473" s="15" t="s">
        <v>3144</v>
      </c>
      <c r="B2473" s="15" t="s">
        <v>333</v>
      </c>
      <c r="C2473" s="16">
        <v>45667.0</v>
      </c>
      <c r="D2473" s="16">
        <v>45697.0</v>
      </c>
      <c r="E2473" s="15" t="s">
        <v>684</v>
      </c>
      <c r="F2473" s="19">
        <v>19.99</v>
      </c>
      <c r="G2473" s="15" t="s">
        <v>675</v>
      </c>
    </row>
    <row r="2474" ht="15.75" customHeight="1">
      <c r="A2474" s="17" t="s">
        <v>3145</v>
      </c>
      <c r="B2474" s="17" t="s">
        <v>530</v>
      </c>
      <c r="C2474" s="18">
        <v>45667.0</v>
      </c>
      <c r="D2474" s="18">
        <v>45674.0</v>
      </c>
      <c r="E2474" s="17" t="s">
        <v>674</v>
      </c>
      <c r="F2474" s="20">
        <v>0.0</v>
      </c>
      <c r="G2474" s="17" t="s">
        <v>675</v>
      </c>
    </row>
    <row r="2475" ht="15.75" customHeight="1">
      <c r="A2475" s="15" t="s">
        <v>3146</v>
      </c>
      <c r="B2475" s="15" t="s">
        <v>334</v>
      </c>
      <c r="C2475" s="16">
        <v>45667.0</v>
      </c>
      <c r="D2475" s="16">
        <v>45697.0</v>
      </c>
      <c r="E2475" s="15" t="s">
        <v>684</v>
      </c>
      <c r="F2475" s="19">
        <v>19.99</v>
      </c>
      <c r="G2475" s="15" t="s">
        <v>675</v>
      </c>
    </row>
    <row r="2476" ht="15.75" customHeight="1">
      <c r="A2476" s="17" t="s">
        <v>3147</v>
      </c>
      <c r="B2476" s="17" t="s">
        <v>191</v>
      </c>
      <c r="C2476" s="18">
        <v>45667.0</v>
      </c>
      <c r="D2476" s="18">
        <v>45697.0</v>
      </c>
      <c r="E2476" s="17" t="s">
        <v>684</v>
      </c>
      <c r="F2476" s="20">
        <v>19.99</v>
      </c>
      <c r="G2476" s="17" t="s">
        <v>675</v>
      </c>
    </row>
    <row r="2477" ht="15.75" customHeight="1">
      <c r="A2477" s="15" t="s">
        <v>3148</v>
      </c>
      <c r="B2477" s="15" t="s">
        <v>373</v>
      </c>
      <c r="C2477" s="16">
        <v>45667.0</v>
      </c>
      <c r="D2477" s="16">
        <v>45697.0</v>
      </c>
      <c r="E2477" s="15" t="s">
        <v>684</v>
      </c>
      <c r="F2477" s="19">
        <v>19.99</v>
      </c>
      <c r="G2477" s="15" t="s">
        <v>675</v>
      </c>
    </row>
    <row r="2478" ht="15.75" customHeight="1">
      <c r="A2478" s="17" t="s">
        <v>3149</v>
      </c>
      <c r="B2478" s="17" t="s">
        <v>421</v>
      </c>
      <c r="C2478" s="18">
        <v>45667.0</v>
      </c>
      <c r="D2478" s="18">
        <v>45697.0</v>
      </c>
      <c r="E2478" s="17" t="s">
        <v>684</v>
      </c>
      <c r="F2478" s="20">
        <v>19.99</v>
      </c>
      <c r="G2478" s="17" t="s">
        <v>675</v>
      </c>
    </row>
    <row r="2479" ht="15.75" customHeight="1">
      <c r="A2479" s="15" t="s">
        <v>3150</v>
      </c>
      <c r="B2479" s="15" t="s">
        <v>73</v>
      </c>
      <c r="C2479" s="16">
        <v>45667.0</v>
      </c>
      <c r="D2479" s="16">
        <v>45697.0</v>
      </c>
      <c r="E2479" s="15" t="s">
        <v>684</v>
      </c>
      <c r="F2479" s="19">
        <v>19.99</v>
      </c>
      <c r="G2479" s="15" t="s">
        <v>675</v>
      </c>
    </row>
    <row r="2480" ht="15.75" customHeight="1">
      <c r="A2480" s="17" t="s">
        <v>3151</v>
      </c>
      <c r="B2480" s="17" t="s">
        <v>519</v>
      </c>
      <c r="C2480" s="18">
        <v>45667.0</v>
      </c>
      <c r="D2480" s="18">
        <v>45697.0</v>
      </c>
      <c r="E2480" s="17" t="s">
        <v>684</v>
      </c>
      <c r="F2480" s="20">
        <v>19.99</v>
      </c>
      <c r="G2480" s="17" t="s">
        <v>675</v>
      </c>
    </row>
    <row r="2481" ht="15.75" customHeight="1">
      <c r="A2481" s="15" t="s">
        <v>3152</v>
      </c>
      <c r="B2481" s="15" t="s">
        <v>374</v>
      </c>
      <c r="C2481" s="16">
        <v>45667.0</v>
      </c>
      <c r="D2481" s="16">
        <v>45697.0</v>
      </c>
      <c r="E2481" s="15" t="s">
        <v>684</v>
      </c>
      <c r="F2481" s="19">
        <v>19.99</v>
      </c>
      <c r="G2481" s="15" t="s">
        <v>675</v>
      </c>
    </row>
    <row r="2482" ht="15.75" customHeight="1">
      <c r="A2482" s="17" t="s">
        <v>3153</v>
      </c>
      <c r="B2482" s="17" t="s">
        <v>475</v>
      </c>
      <c r="C2482" s="18">
        <v>45667.0</v>
      </c>
      <c r="D2482" s="18">
        <v>45697.0</v>
      </c>
      <c r="E2482" s="17" t="s">
        <v>684</v>
      </c>
      <c r="F2482" s="20">
        <v>19.99</v>
      </c>
      <c r="G2482" s="17" t="s">
        <v>675</v>
      </c>
    </row>
    <row r="2483" ht="15.75" customHeight="1">
      <c r="A2483" s="15" t="s">
        <v>3154</v>
      </c>
      <c r="B2483" s="15" t="s">
        <v>74</v>
      </c>
      <c r="C2483" s="16">
        <v>45667.0</v>
      </c>
      <c r="D2483" s="16">
        <v>45697.0</v>
      </c>
      <c r="E2483" s="15" t="s">
        <v>684</v>
      </c>
      <c r="F2483" s="19">
        <v>19.99</v>
      </c>
      <c r="G2483" s="15" t="s">
        <v>675</v>
      </c>
    </row>
    <row r="2484" ht="15.75" customHeight="1">
      <c r="A2484" s="17" t="s">
        <v>3155</v>
      </c>
      <c r="B2484" s="17" t="s">
        <v>520</v>
      </c>
      <c r="C2484" s="18">
        <v>45668.0</v>
      </c>
      <c r="D2484" s="18">
        <v>45698.0</v>
      </c>
      <c r="E2484" s="17" t="s">
        <v>684</v>
      </c>
      <c r="F2484" s="20">
        <v>19.99</v>
      </c>
      <c r="G2484" s="17" t="s">
        <v>675</v>
      </c>
    </row>
    <row r="2485" ht="15.75" customHeight="1">
      <c r="A2485" s="15" t="s">
        <v>3156</v>
      </c>
      <c r="B2485" s="15" t="s">
        <v>531</v>
      </c>
      <c r="C2485" s="16">
        <v>45668.0</v>
      </c>
      <c r="D2485" s="16">
        <v>45675.0</v>
      </c>
      <c r="E2485" s="15" t="s">
        <v>674</v>
      </c>
      <c r="F2485" s="19">
        <v>0.0</v>
      </c>
      <c r="G2485" s="15" t="s">
        <v>675</v>
      </c>
    </row>
    <row r="2486" ht="15.75" customHeight="1">
      <c r="A2486" s="17" t="s">
        <v>3157</v>
      </c>
      <c r="B2486" s="17" t="s">
        <v>422</v>
      </c>
      <c r="C2486" s="18">
        <v>45668.0</v>
      </c>
      <c r="D2486" s="18">
        <v>45698.0</v>
      </c>
      <c r="E2486" s="17" t="s">
        <v>684</v>
      </c>
      <c r="F2486" s="20">
        <v>19.99</v>
      </c>
      <c r="G2486" s="17" t="s">
        <v>675</v>
      </c>
    </row>
    <row r="2487" ht="15.75" customHeight="1">
      <c r="A2487" s="15" t="s">
        <v>3158</v>
      </c>
      <c r="B2487" s="15" t="s">
        <v>375</v>
      </c>
      <c r="C2487" s="16">
        <v>45668.0</v>
      </c>
      <c r="D2487" s="16">
        <v>45698.0</v>
      </c>
      <c r="E2487" s="15" t="s">
        <v>684</v>
      </c>
      <c r="F2487" s="19">
        <v>19.99</v>
      </c>
      <c r="G2487" s="15" t="s">
        <v>675</v>
      </c>
    </row>
    <row r="2488" ht="15.75" customHeight="1">
      <c r="A2488" s="17" t="s">
        <v>3159</v>
      </c>
      <c r="B2488" s="17" t="s">
        <v>532</v>
      </c>
      <c r="C2488" s="18">
        <v>45668.0</v>
      </c>
      <c r="D2488" s="18">
        <v>45675.0</v>
      </c>
      <c r="E2488" s="17" t="s">
        <v>674</v>
      </c>
      <c r="F2488" s="20">
        <v>0.0</v>
      </c>
      <c r="G2488" s="17" t="s">
        <v>675</v>
      </c>
    </row>
    <row r="2489" ht="15.75" customHeight="1">
      <c r="A2489" s="15" t="s">
        <v>3160</v>
      </c>
      <c r="B2489" s="15" t="s">
        <v>423</v>
      </c>
      <c r="C2489" s="16">
        <v>45668.0</v>
      </c>
      <c r="D2489" s="16">
        <v>45698.0</v>
      </c>
      <c r="E2489" s="15" t="s">
        <v>684</v>
      </c>
      <c r="F2489" s="19">
        <v>19.99</v>
      </c>
      <c r="G2489" s="15" t="s">
        <v>675</v>
      </c>
    </row>
    <row r="2490" ht="15.75" customHeight="1">
      <c r="A2490" s="17" t="s">
        <v>3161</v>
      </c>
      <c r="B2490" s="17" t="s">
        <v>424</v>
      </c>
      <c r="C2490" s="18">
        <v>45668.0</v>
      </c>
      <c r="D2490" s="18">
        <v>45698.0</v>
      </c>
      <c r="E2490" s="17" t="s">
        <v>684</v>
      </c>
      <c r="F2490" s="20">
        <v>19.99</v>
      </c>
      <c r="G2490" s="17" t="s">
        <v>675</v>
      </c>
    </row>
    <row r="2491" ht="15.75" customHeight="1">
      <c r="A2491" s="15" t="s">
        <v>3162</v>
      </c>
      <c r="B2491" s="15" t="s">
        <v>335</v>
      </c>
      <c r="C2491" s="16">
        <v>45668.0</v>
      </c>
      <c r="D2491" s="16">
        <v>45698.0</v>
      </c>
      <c r="E2491" s="15" t="s">
        <v>684</v>
      </c>
      <c r="F2491" s="19">
        <v>19.99</v>
      </c>
      <c r="G2491" s="15" t="s">
        <v>675</v>
      </c>
    </row>
    <row r="2492" ht="15.75" customHeight="1">
      <c r="A2492" s="17" t="s">
        <v>3163</v>
      </c>
      <c r="B2492" s="17" t="s">
        <v>156</v>
      </c>
      <c r="C2492" s="18">
        <v>45668.0</v>
      </c>
      <c r="D2492" s="18">
        <v>45698.0</v>
      </c>
      <c r="E2492" s="17" t="s">
        <v>684</v>
      </c>
      <c r="F2492" s="20">
        <v>19.99</v>
      </c>
      <c r="G2492" s="17" t="s">
        <v>675</v>
      </c>
    </row>
    <row r="2493" ht="15.75" customHeight="1">
      <c r="A2493" s="15" t="s">
        <v>3164</v>
      </c>
      <c r="B2493" s="15" t="s">
        <v>533</v>
      </c>
      <c r="C2493" s="16">
        <v>45669.0</v>
      </c>
      <c r="D2493" s="16">
        <v>45676.0</v>
      </c>
      <c r="E2493" s="15" t="s">
        <v>674</v>
      </c>
      <c r="F2493" s="19">
        <v>0.0</v>
      </c>
      <c r="G2493" s="15" t="s">
        <v>675</v>
      </c>
    </row>
    <row r="2494" ht="15.75" customHeight="1">
      <c r="A2494" s="17" t="s">
        <v>3165</v>
      </c>
      <c r="B2494" s="17" t="s">
        <v>192</v>
      </c>
      <c r="C2494" s="18">
        <v>45669.0</v>
      </c>
      <c r="D2494" s="18">
        <v>45699.0</v>
      </c>
      <c r="E2494" s="17" t="s">
        <v>684</v>
      </c>
      <c r="F2494" s="20">
        <v>19.99</v>
      </c>
      <c r="G2494" s="17" t="s">
        <v>675</v>
      </c>
    </row>
    <row r="2495" ht="15.75" customHeight="1">
      <c r="A2495" s="15" t="s">
        <v>3166</v>
      </c>
      <c r="B2495" s="15" t="s">
        <v>249</v>
      </c>
      <c r="C2495" s="16">
        <v>45669.0</v>
      </c>
      <c r="D2495" s="16">
        <v>45699.0</v>
      </c>
      <c r="E2495" s="15" t="s">
        <v>684</v>
      </c>
      <c r="F2495" s="19">
        <v>19.99</v>
      </c>
      <c r="G2495" s="15" t="s">
        <v>675</v>
      </c>
    </row>
    <row r="2496" ht="15.75" customHeight="1">
      <c r="A2496" s="17" t="s">
        <v>3167</v>
      </c>
      <c r="B2496" s="17" t="s">
        <v>250</v>
      </c>
      <c r="C2496" s="18">
        <v>45669.0</v>
      </c>
      <c r="D2496" s="18">
        <v>45699.0</v>
      </c>
      <c r="E2496" s="17" t="s">
        <v>684</v>
      </c>
      <c r="F2496" s="20">
        <v>19.99</v>
      </c>
      <c r="G2496" s="17" t="s">
        <v>675</v>
      </c>
    </row>
    <row r="2497" ht="15.75" customHeight="1">
      <c r="A2497" s="15" t="s">
        <v>3168</v>
      </c>
      <c r="B2497" s="15" t="s">
        <v>534</v>
      </c>
      <c r="C2497" s="16">
        <v>45669.0</v>
      </c>
      <c r="D2497" s="16">
        <v>45676.0</v>
      </c>
      <c r="E2497" s="15" t="s">
        <v>674</v>
      </c>
      <c r="F2497" s="19">
        <v>0.0</v>
      </c>
      <c r="G2497" s="15" t="s">
        <v>675</v>
      </c>
    </row>
    <row r="2498" ht="15.75" customHeight="1">
      <c r="A2498" s="17" t="s">
        <v>3169</v>
      </c>
      <c r="B2498" s="17" t="s">
        <v>124</v>
      </c>
      <c r="C2498" s="18">
        <v>45669.0</v>
      </c>
      <c r="D2498" s="18">
        <v>45699.0</v>
      </c>
      <c r="E2498" s="17" t="s">
        <v>684</v>
      </c>
      <c r="F2498" s="20">
        <v>19.99</v>
      </c>
      <c r="G2498" s="17" t="s">
        <v>675</v>
      </c>
    </row>
    <row r="2499" ht="15.75" customHeight="1">
      <c r="A2499" s="15" t="s">
        <v>3170</v>
      </c>
      <c r="B2499" s="15" t="s">
        <v>535</v>
      </c>
      <c r="C2499" s="16">
        <v>45669.0</v>
      </c>
      <c r="D2499" s="16">
        <v>45676.0</v>
      </c>
      <c r="E2499" s="15" t="s">
        <v>674</v>
      </c>
      <c r="F2499" s="19">
        <v>0.0</v>
      </c>
      <c r="G2499" s="15" t="s">
        <v>675</v>
      </c>
    </row>
    <row r="2500" ht="15.75" customHeight="1">
      <c r="A2500" s="17" t="s">
        <v>3171</v>
      </c>
      <c r="B2500" s="17" t="s">
        <v>296</v>
      </c>
      <c r="C2500" s="18">
        <v>45669.0</v>
      </c>
      <c r="D2500" s="18">
        <v>45699.0</v>
      </c>
      <c r="E2500" s="17" t="s">
        <v>684</v>
      </c>
      <c r="F2500" s="20">
        <v>19.99</v>
      </c>
      <c r="G2500" s="17" t="s">
        <v>675</v>
      </c>
    </row>
    <row r="2501" ht="15.75" customHeight="1">
      <c r="A2501" s="15" t="s">
        <v>3172</v>
      </c>
      <c r="B2501" s="15" t="s">
        <v>157</v>
      </c>
      <c r="C2501" s="16">
        <v>45669.0</v>
      </c>
      <c r="D2501" s="16">
        <v>45699.0</v>
      </c>
      <c r="E2501" s="15" t="s">
        <v>684</v>
      </c>
      <c r="F2501" s="19">
        <v>19.99</v>
      </c>
      <c r="G2501" s="15" t="s">
        <v>675</v>
      </c>
    </row>
    <row r="2502" ht="15.75" customHeight="1">
      <c r="A2502" s="17" t="s">
        <v>3173</v>
      </c>
      <c r="B2502" s="17" t="s">
        <v>376</v>
      </c>
      <c r="C2502" s="18">
        <v>45669.0</v>
      </c>
      <c r="D2502" s="18">
        <v>45699.0</v>
      </c>
      <c r="E2502" s="17" t="s">
        <v>684</v>
      </c>
      <c r="F2502" s="20">
        <v>19.99</v>
      </c>
      <c r="G2502" s="17" t="s">
        <v>675</v>
      </c>
    </row>
    <row r="2503" ht="15.75" customHeight="1">
      <c r="A2503" s="15" t="s">
        <v>3174</v>
      </c>
      <c r="B2503" s="15" t="s">
        <v>477</v>
      </c>
      <c r="C2503" s="16">
        <v>45669.0</v>
      </c>
      <c r="D2503" s="16">
        <v>45699.0</v>
      </c>
      <c r="E2503" s="15" t="s">
        <v>684</v>
      </c>
      <c r="F2503" s="19">
        <v>19.99</v>
      </c>
      <c r="G2503" s="15" t="s">
        <v>675</v>
      </c>
    </row>
    <row r="2504" ht="15.75" customHeight="1">
      <c r="A2504" s="17" t="s">
        <v>3175</v>
      </c>
      <c r="B2504" s="17" t="s">
        <v>478</v>
      </c>
      <c r="C2504" s="18">
        <v>45670.0</v>
      </c>
      <c r="D2504" s="18">
        <v>45700.0</v>
      </c>
      <c r="E2504" s="17" t="s">
        <v>684</v>
      </c>
      <c r="F2504" s="20">
        <v>19.99</v>
      </c>
      <c r="G2504" s="17" t="s">
        <v>675</v>
      </c>
    </row>
    <row r="2505" ht="15.75" customHeight="1">
      <c r="A2505" s="15" t="s">
        <v>3176</v>
      </c>
      <c r="B2505" s="15" t="s">
        <v>96</v>
      </c>
      <c r="C2505" s="16">
        <v>45670.0</v>
      </c>
      <c r="D2505" s="16">
        <v>45700.0</v>
      </c>
      <c r="E2505" s="15" t="s">
        <v>684</v>
      </c>
      <c r="F2505" s="19">
        <v>19.99</v>
      </c>
      <c r="G2505" s="15" t="s">
        <v>675</v>
      </c>
    </row>
    <row r="2506" ht="15.75" customHeight="1">
      <c r="A2506" s="17" t="s">
        <v>3177</v>
      </c>
      <c r="B2506" s="17" t="s">
        <v>125</v>
      </c>
      <c r="C2506" s="18">
        <v>45670.0</v>
      </c>
      <c r="D2506" s="18">
        <v>45700.0</v>
      </c>
      <c r="E2506" s="17" t="s">
        <v>684</v>
      </c>
      <c r="F2506" s="20">
        <v>19.99</v>
      </c>
      <c r="G2506" s="17" t="s">
        <v>675</v>
      </c>
    </row>
    <row r="2507" ht="15.75" customHeight="1">
      <c r="A2507" s="15" t="s">
        <v>3178</v>
      </c>
      <c r="B2507" s="15" t="s">
        <v>479</v>
      </c>
      <c r="C2507" s="16">
        <v>45670.0</v>
      </c>
      <c r="D2507" s="16">
        <v>45700.0</v>
      </c>
      <c r="E2507" s="15" t="s">
        <v>684</v>
      </c>
      <c r="F2507" s="19">
        <v>19.99</v>
      </c>
      <c r="G2507" s="15" t="s">
        <v>675</v>
      </c>
    </row>
    <row r="2508" ht="15.75" customHeight="1">
      <c r="A2508" s="17" t="s">
        <v>3179</v>
      </c>
      <c r="B2508" s="17" t="s">
        <v>521</v>
      </c>
      <c r="C2508" s="18">
        <v>45670.0</v>
      </c>
      <c r="D2508" s="18">
        <v>45700.0</v>
      </c>
      <c r="E2508" s="17" t="s">
        <v>684</v>
      </c>
      <c r="F2508" s="20">
        <v>19.99</v>
      </c>
      <c r="G2508" s="17" t="s">
        <v>675</v>
      </c>
    </row>
    <row r="2509" ht="15.75" customHeight="1">
      <c r="A2509" s="15" t="s">
        <v>3180</v>
      </c>
      <c r="B2509" s="15" t="s">
        <v>480</v>
      </c>
      <c r="C2509" s="16">
        <v>45670.0</v>
      </c>
      <c r="D2509" s="16">
        <v>45700.0</v>
      </c>
      <c r="E2509" s="15" t="s">
        <v>684</v>
      </c>
      <c r="F2509" s="19">
        <v>19.99</v>
      </c>
      <c r="G2509" s="15" t="s">
        <v>675</v>
      </c>
    </row>
    <row r="2510" ht="15.75" customHeight="1">
      <c r="A2510" s="17" t="s">
        <v>3181</v>
      </c>
      <c r="B2510" s="17" t="s">
        <v>522</v>
      </c>
      <c r="C2510" s="18">
        <v>45670.0</v>
      </c>
      <c r="D2510" s="18">
        <v>45700.0</v>
      </c>
      <c r="E2510" s="17" t="s">
        <v>684</v>
      </c>
      <c r="F2510" s="20">
        <v>19.99</v>
      </c>
      <c r="G2510" s="17" t="s">
        <v>675</v>
      </c>
    </row>
    <row r="2511" ht="15.75" customHeight="1">
      <c r="A2511" s="15" t="s">
        <v>3182</v>
      </c>
      <c r="B2511" s="15" t="s">
        <v>253</v>
      </c>
      <c r="C2511" s="16">
        <v>45670.0</v>
      </c>
      <c r="D2511" s="16">
        <v>45700.0</v>
      </c>
      <c r="E2511" s="15" t="s">
        <v>684</v>
      </c>
      <c r="F2511" s="19">
        <v>19.99</v>
      </c>
      <c r="G2511" s="15" t="s">
        <v>675</v>
      </c>
    </row>
    <row r="2512" ht="15.75" customHeight="1">
      <c r="A2512" s="17" t="s">
        <v>3183</v>
      </c>
      <c r="B2512" s="17" t="s">
        <v>523</v>
      </c>
      <c r="C2512" s="18">
        <v>45670.0</v>
      </c>
      <c r="D2512" s="18">
        <v>45700.0</v>
      </c>
      <c r="E2512" s="17" t="s">
        <v>684</v>
      </c>
      <c r="F2512" s="20">
        <v>19.99</v>
      </c>
      <c r="G2512" s="17" t="s">
        <v>675</v>
      </c>
    </row>
    <row r="2513" ht="15.75" customHeight="1">
      <c r="A2513" s="15" t="s">
        <v>3184</v>
      </c>
      <c r="B2513" s="15" t="s">
        <v>425</v>
      </c>
      <c r="C2513" s="16">
        <v>45670.0</v>
      </c>
      <c r="D2513" s="16">
        <v>45700.0</v>
      </c>
      <c r="E2513" s="15" t="s">
        <v>684</v>
      </c>
      <c r="F2513" s="19">
        <v>19.99</v>
      </c>
      <c r="G2513" s="15" t="s">
        <v>675</v>
      </c>
    </row>
    <row r="2514" ht="15.75" customHeight="1">
      <c r="A2514" s="17" t="s">
        <v>3185</v>
      </c>
      <c r="B2514" s="17" t="s">
        <v>524</v>
      </c>
      <c r="C2514" s="18">
        <v>45670.0</v>
      </c>
      <c r="D2514" s="18">
        <v>45700.0</v>
      </c>
      <c r="E2514" s="17" t="s">
        <v>684</v>
      </c>
      <c r="F2514" s="20">
        <v>19.99</v>
      </c>
      <c r="G2514" s="17" t="s">
        <v>675</v>
      </c>
    </row>
    <row r="2515" ht="15.75" customHeight="1">
      <c r="A2515" s="15" t="s">
        <v>3186</v>
      </c>
      <c r="B2515" s="15" t="s">
        <v>298</v>
      </c>
      <c r="C2515" s="16">
        <v>45671.0</v>
      </c>
      <c r="D2515" s="16">
        <v>45701.0</v>
      </c>
      <c r="E2515" s="15" t="s">
        <v>684</v>
      </c>
      <c r="F2515" s="19">
        <v>19.99</v>
      </c>
      <c r="G2515" s="15" t="s">
        <v>675</v>
      </c>
    </row>
    <row r="2516" ht="15.75" customHeight="1">
      <c r="A2516" s="17" t="s">
        <v>3187</v>
      </c>
      <c r="B2516" s="17" t="s">
        <v>299</v>
      </c>
      <c r="C2516" s="18">
        <v>45671.0</v>
      </c>
      <c r="D2516" s="18">
        <v>45701.0</v>
      </c>
      <c r="E2516" s="17" t="s">
        <v>684</v>
      </c>
      <c r="F2516" s="20">
        <v>19.99</v>
      </c>
      <c r="G2516" s="17" t="s">
        <v>675</v>
      </c>
    </row>
    <row r="2517" ht="15.75" customHeight="1">
      <c r="A2517" s="15" t="s">
        <v>3188</v>
      </c>
      <c r="B2517" s="15" t="s">
        <v>75</v>
      </c>
      <c r="C2517" s="16">
        <v>45671.0</v>
      </c>
      <c r="D2517" s="16">
        <v>45701.0</v>
      </c>
      <c r="E2517" s="15" t="s">
        <v>684</v>
      </c>
      <c r="F2517" s="19">
        <v>19.99</v>
      </c>
      <c r="G2517" s="15" t="s">
        <v>675</v>
      </c>
    </row>
    <row r="2518" ht="15.75" customHeight="1">
      <c r="A2518" s="17" t="s">
        <v>3189</v>
      </c>
      <c r="B2518" s="17" t="s">
        <v>255</v>
      </c>
      <c r="C2518" s="18">
        <v>45671.0</v>
      </c>
      <c r="D2518" s="18">
        <v>45701.0</v>
      </c>
      <c r="E2518" s="17" t="s">
        <v>684</v>
      </c>
      <c r="F2518" s="20">
        <v>19.99</v>
      </c>
      <c r="G2518" s="17" t="s">
        <v>675</v>
      </c>
    </row>
    <row r="2519" ht="15.75" customHeight="1">
      <c r="A2519" s="15" t="s">
        <v>3190</v>
      </c>
      <c r="B2519" s="15" t="s">
        <v>427</v>
      </c>
      <c r="C2519" s="16">
        <v>45671.0</v>
      </c>
      <c r="D2519" s="16">
        <v>45701.0</v>
      </c>
      <c r="E2519" s="15" t="s">
        <v>684</v>
      </c>
      <c r="F2519" s="19">
        <v>19.99</v>
      </c>
      <c r="G2519" s="15" t="s">
        <v>675</v>
      </c>
    </row>
    <row r="2520" ht="15.75" customHeight="1">
      <c r="A2520" s="17" t="s">
        <v>3191</v>
      </c>
      <c r="B2520" s="17" t="s">
        <v>481</v>
      </c>
      <c r="C2520" s="18">
        <v>45671.0</v>
      </c>
      <c r="D2520" s="18">
        <v>45701.0</v>
      </c>
      <c r="E2520" s="17" t="s">
        <v>684</v>
      </c>
      <c r="F2520" s="20">
        <v>19.99</v>
      </c>
      <c r="G2520" s="17" t="s">
        <v>675</v>
      </c>
    </row>
    <row r="2521" ht="15.75" customHeight="1">
      <c r="A2521" s="15" t="s">
        <v>3192</v>
      </c>
      <c r="B2521" s="15" t="s">
        <v>127</v>
      </c>
      <c r="C2521" s="16">
        <v>45671.0</v>
      </c>
      <c r="D2521" s="16">
        <v>45701.0</v>
      </c>
      <c r="E2521" s="15" t="s">
        <v>684</v>
      </c>
      <c r="F2521" s="19">
        <v>19.99</v>
      </c>
      <c r="G2521" s="15" t="s">
        <v>675</v>
      </c>
    </row>
    <row r="2522" ht="15.75" customHeight="1">
      <c r="A2522" s="17" t="s">
        <v>3193</v>
      </c>
      <c r="B2522" s="17" t="s">
        <v>378</v>
      </c>
      <c r="C2522" s="18">
        <v>45671.0</v>
      </c>
      <c r="D2522" s="18">
        <v>45701.0</v>
      </c>
      <c r="E2522" s="17" t="s">
        <v>684</v>
      </c>
      <c r="F2522" s="20">
        <v>19.99</v>
      </c>
      <c r="G2522" s="17" t="s">
        <v>675</v>
      </c>
    </row>
    <row r="2523" ht="15.75" customHeight="1">
      <c r="A2523" s="15" t="s">
        <v>3194</v>
      </c>
      <c r="B2523" s="15" t="s">
        <v>525</v>
      </c>
      <c r="C2523" s="16">
        <v>45671.0</v>
      </c>
      <c r="D2523" s="16">
        <v>45701.0</v>
      </c>
      <c r="E2523" s="15" t="s">
        <v>684</v>
      </c>
      <c r="F2523" s="19">
        <v>19.99</v>
      </c>
      <c r="G2523" s="15" t="s">
        <v>675</v>
      </c>
    </row>
    <row r="2524" ht="15.75" customHeight="1">
      <c r="A2524" s="17" t="s">
        <v>3195</v>
      </c>
      <c r="B2524" s="17" t="s">
        <v>482</v>
      </c>
      <c r="C2524" s="18">
        <v>45671.0</v>
      </c>
      <c r="D2524" s="18">
        <v>45701.0</v>
      </c>
      <c r="E2524" s="17" t="s">
        <v>684</v>
      </c>
      <c r="F2524" s="20">
        <v>19.99</v>
      </c>
      <c r="G2524" s="17" t="s">
        <v>675</v>
      </c>
    </row>
    <row r="2525" ht="15.75" customHeight="1">
      <c r="A2525" s="15" t="s">
        <v>3196</v>
      </c>
      <c r="B2525" s="15" t="s">
        <v>536</v>
      </c>
      <c r="C2525" s="16">
        <v>45671.0</v>
      </c>
      <c r="D2525" s="16">
        <v>45678.0</v>
      </c>
      <c r="E2525" s="15" t="s">
        <v>674</v>
      </c>
      <c r="F2525" s="19">
        <v>0.0</v>
      </c>
      <c r="G2525" s="15" t="s">
        <v>675</v>
      </c>
    </row>
    <row r="2526" ht="15.75" customHeight="1">
      <c r="A2526" s="17" t="s">
        <v>3197</v>
      </c>
      <c r="B2526" s="17" t="s">
        <v>483</v>
      </c>
      <c r="C2526" s="18">
        <v>45671.0</v>
      </c>
      <c r="D2526" s="18">
        <v>45701.0</v>
      </c>
      <c r="E2526" s="17" t="s">
        <v>684</v>
      </c>
      <c r="F2526" s="20">
        <v>19.99</v>
      </c>
      <c r="G2526" s="17" t="s">
        <v>675</v>
      </c>
    </row>
    <row r="2527" ht="15.75" customHeight="1">
      <c r="A2527" s="15" t="s">
        <v>3198</v>
      </c>
      <c r="B2527" s="15" t="s">
        <v>484</v>
      </c>
      <c r="C2527" s="16">
        <v>45671.0</v>
      </c>
      <c r="D2527" s="16">
        <v>45701.0</v>
      </c>
      <c r="E2527" s="15" t="s">
        <v>684</v>
      </c>
      <c r="F2527" s="19">
        <v>19.99</v>
      </c>
      <c r="G2527" s="15" t="s">
        <v>675</v>
      </c>
    </row>
    <row r="2528" ht="15.75" customHeight="1">
      <c r="A2528" s="17" t="s">
        <v>3199</v>
      </c>
      <c r="B2528" s="17" t="s">
        <v>337</v>
      </c>
      <c r="C2528" s="18">
        <v>45671.0</v>
      </c>
      <c r="D2528" s="18">
        <v>45701.0</v>
      </c>
      <c r="E2528" s="17" t="s">
        <v>684</v>
      </c>
      <c r="F2528" s="20">
        <v>19.99</v>
      </c>
      <c r="G2528" s="17" t="s">
        <v>675</v>
      </c>
    </row>
    <row r="2529" ht="15.75" customHeight="1">
      <c r="A2529" s="15" t="s">
        <v>3200</v>
      </c>
      <c r="B2529" s="15" t="s">
        <v>194</v>
      </c>
      <c r="C2529" s="16">
        <v>45672.0</v>
      </c>
      <c r="D2529" s="16">
        <v>45702.0</v>
      </c>
      <c r="E2529" s="15" t="s">
        <v>684</v>
      </c>
      <c r="F2529" s="19">
        <v>19.99</v>
      </c>
      <c r="G2529" s="15" t="s">
        <v>675</v>
      </c>
    </row>
    <row r="2530" ht="15.75" customHeight="1">
      <c r="A2530" s="17" t="s">
        <v>3201</v>
      </c>
      <c r="B2530" s="17" t="s">
        <v>526</v>
      </c>
      <c r="C2530" s="18">
        <v>45672.0</v>
      </c>
      <c r="D2530" s="18">
        <v>45702.0</v>
      </c>
      <c r="E2530" s="17" t="s">
        <v>684</v>
      </c>
      <c r="F2530" s="20">
        <v>19.99</v>
      </c>
      <c r="G2530" s="17" t="s">
        <v>675</v>
      </c>
    </row>
    <row r="2531" ht="15.75" customHeight="1">
      <c r="A2531" s="15" t="s">
        <v>3202</v>
      </c>
      <c r="B2531" s="15" t="s">
        <v>537</v>
      </c>
      <c r="C2531" s="16">
        <v>45672.0</v>
      </c>
      <c r="D2531" s="16">
        <v>45679.0</v>
      </c>
      <c r="E2531" s="15" t="s">
        <v>674</v>
      </c>
      <c r="F2531" s="19">
        <v>0.0</v>
      </c>
      <c r="G2531" s="15" t="s">
        <v>675</v>
      </c>
    </row>
    <row r="2532" ht="15.75" customHeight="1">
      <c r="A2532" s="17" t="s">
        <v>3203</v>
      </c>
      <c r="B2532" s="17" t="s">
        <v>338</v>
      </c>
      <c r="C2532" s="18">
        <v>45672.0</v>
      </c>
      <c r="D2532" s="18">
        <v>45702.0</v>
      </c>
      <c r="E2532" s="17" t="s">
        <v>684</v>
      </c>
      <c r="F2532" s="20">
        <v>19.99</v>
      </c>
      <c r="G2532" s="17" t="s">
        <v>675</v>
      </c>
    </row>
    <row r="2533" ht="15.75" customHeight="1">
      <c r="A2533" s="15" t="s">
        <v>3204</v>
      </c>
      <c r="B2533" s="15" t="s">
        <v>429</v>
      </c>
      <c r="C2533" s="16">
        <v>45672.0</v>
      </c>
      <c r="D2533" s="16">
        <v>45702.0</v>
      </c>
      <c r="E2533" s="15" t="s">
        <v>684</v>
      </c>
      <c r="F2533" s="19">
        <v>19.99</v>
      </c>
      <c r="G2533" s="15" t="s">
        <v>675</v>
      </c>
    </row>
    <row r="2534" ht="15.75" customHeight="1">
      <c r="A2534" s="17" t="s">
        <v>3205</v>
      </c>
      <c r="B2534" s="17" t="s">
        <v>301</v>
      </c>
      <c r="C2534" s="18">
        <v>45672.0</v>
      </c>
      <c r="D2534" s="18">
        <v>45702.0</v>
      </c>
      <c r="E2534" s="17" t="s">
        <v>684</v>
      </c>
      <c r="F2534" s="20">
        <v>19.99</v>
      </c>
      <c r="G2534" s="17" t="s">
        <v>675</v>
      </c>
    </row>
    <row r="2535" ht="15.75" customHeight="1">
      <c r="A2535" s="15" t="s">
        <v>3206</v>
      </c>
      <c r="B2535" s="15" t="s">
        <v>430</v>
      </c>
      <c r="C2535" s="16">
        <v>45672.0</v>
      </c>
      <c r="D2535" s="16">
        <v>45702.0</v>
      </c>
      <c r="E2535" s="15" t="s">
        <v>684</v>
      </c>
      <c r="F2535" s="19">
        <v>19.99</v>
      </c>
      <c r="G2535" s="15" t="s">
        <v>675</v>
      </c>
    </row>
    <row r="2536" ht="15.75" customHeight="1">
      <c r="A2536" s="17" t="s">
        <v>3207</v>
      </c>
      <c r="B2536" s="17" t="s">
        <v>485</v>
      </c>
      <c r="C2536" s="18">
        <v>45672.0</v>
      </c>
      <c r="D2536" s="18">
        <v>45702.0</v>
      </c>
      <c r="E2536" s="17" t="s">
        <v>684</v>
      </c>
      <c r="F2536" s="20">
        <v>19.99</v>
      </c>
      <c r="G2536" s="17" t="s">
        <v>675</v>
      </c>
    </row>
    <row r="2537" ht="15.75" customHeight="1">
      <c r="A2537" s="15" t="s">
        <v>3208</v>
      </c>
      <c r="B2537" s="15" t="s">
        <v>302</v>
      </c>
      <c r="C2537" s="16">
        <v>45672.0</v>
      </c>
      <c r="D2537" s="16">
        <v>45702.0</v>
      </c>
      <c r="E2537" s="15" t="s">
        <v>684</v>
      </c>
      <c r="F2537" s="19">
        <v>19.99</v>
      </c>
      <c r="G2537" s="15" t="s">
        <v>675</v>
      </c>
    </row>
    <row r="2538" ht="15.75" customHeight="1">
      <c r="A2538" s="17" t="s">
        <v>3209</v>
      </c>
      <c r="B2538" s="17" t="s">
        <v>76</v>
      </c>
      <c r="C2538" s="18">
        <v>45672.0</v>
      </c>
      <c r="D2538" s="18">
        <v>45702.0</v>
      </c>
      <c r="E2538" s="17" t="s">
        <v>684</v>
      </c>
      <c r="F2538" s="20">
        <v>19.99</v>
      </c>
      <c r="G2538" s="17" t="s">
        <v>675</v>
      </c>
    </row>
    <row r="2539" ht="15.75" customHeight="1">
      <c r="A2539" s="15" t="s">
        <v>3210</v>
      </c>
      <c r="B2539" s="15" t="s">
        <v>379</v>
      </c>
      <c r="C2539" s="16">
        <v>45672.0</v>
      </c>
      <c r="D2539" s="16">
        <v>45702.0</v>
      </c>
      <c r="E2539" s="15" t="s">
        <v>684</v>
      </c>
      <c r="F2539" s="19">
        <v>19.99</v>
      </c>
      <c r="G2539" s="15" t="s">
        <v>675</v>
      </c>
    </row>
    <row r="2540" ht="15.75" customHeight="1">
      <c r="A2540" s="17" t="s">
        <v>3211</v>
      </c>
      <c r="B2540" s="17" t="s">
        <v>527</v>
      </c>
      <c r="C2540" s="18">
        <v>45672.0</v>
      </c>
      <c r="D2540" s="18">
        <v>45702.0</v>
      </c>
      <c r="E2540" s="17" t="s">
        <v>684</v>
      </c>
      <c r="F2540" s="20">
        <v>19.99</v>
      </c>
      <c r="G2540" s="17" t="s">
        <v>675</v>
      </c>
    </row>
    <row r="2541" ht="15.75" customHeight="1">
      <c r="A2541" s="15" t="s">
        <v>3212</v>
      </c>
      <c r="B2541" s="15" t="s">
        <v>303</v>
      </c>
      <c r="C2541" s="16">
        <v>45672.0</v>
      </c>
      <c r="D2541" s="16">
        <v>45702.0</v>
      </c>
      <c r="E2541" s="15" t="s">
        <v>684</v>
      </c>
      <c r="F2541" s="19">
        <v>19.99</v>
      </c>
      <c r="G2541" s="15" t="s">
        <v>675</v>
      </c>
    </row>
    <row r="2542" ht="15.75" customHeight="1">
      <c r="A2542" s="17" t="s">
        <v>3213</v>
      </c>
      <c r="B2542" s="17" t="s">
        <v>159</v>
      </c>
      <c r="C2542" s="18">
        <v>45672.0</v>
      </c>
      <c r="D2542" s="18">
        <v>45702.0</v>
      </c>
      <c r="E2542" s="17" t="s">
        <v>684</v>
      </c>
      <c r="F2542" s="20">
        <v>19.99</v>
      </c>
      <c r="G2542" s="17" t="s">
        <v>675</v>
      </c>
    </row>
    <row r="2543" ht="15.75" customHeight="1">
      <c r="A2543" s="15" t="s">
        <v>3214</v>
      </c>
      <c r="B2543" s="15" t="s">
        <v>160</v>
      </c>
      <c r="C2543" s="16">
        <v>45672.0</v>
      </c>
      <c r="D2543" s="16">
        <v>45702.0</v>
      </c>
      <c r="E2543" s="15" t="s">
        <v>684</v>
      </c>
      <c r="F2543" s="19">
        <v>19.99</v>
      </c>
      <c r="G2543" s="15" t="s">
        <v>675</v>
      </c>
    </row>
    <row r="2544" ht="15.75" customHeight="1">
      <c r="A2544" s="17" t="s">
        <v>3215</v>
      </c>
      <c r="B2544" s="17" t="s">
        <v>528</v>
      </c>
      <c r="C2544" s="18">
        <v>45672.0</v>
      </c>
      <c r="D2544" s="18">
        <v>45702.0</v>
      </c>
      <c r="E2544" s="17" t="s">
        <v>684</v>
      </c>
      <c r="F2544" s="20">
        <v>19.99</v>
      </c>
      <c r="G2544" s="17" t="s">
        <v>675</v>
      </c>
    </row>
    <row r="2545" ht="15.75" customHeight="1">
      <c r="A2545" s="15" t="s">
        <v>3216</v>
      </c>
      <c r="B2545" s="15" t="s">
        <v>529</v>
      </c>
      <c r="C2545" s="16">
        <v>45673.0</v>
      </c>
      <c r="D2545" s="16">
        <v>45703.0</v>
      </c>
      <c r="E2545" s="15" t="s">
        <v>684</v>
      </c>
      <c r="F2545" s="19">
        <v>19.99</v>
      </c>
      <c r="G2545" s="15" t="s">
        <v>675</v>
      </c>
    </row>
    <row r="2546" ht="15.75" customHeight="1">
      <c r="A2546" s="17" t="s">
        <v>3217</v>
      </c>
      <c r="B2546" s="17" t="s">
        <v>339</v>
      </c>
      <c r="C2546" s="18">
        <v>45673.0</v>
      </c>
      <c r="D2546" s="18">
        <v>45703.0</v>
      </c>
      <c r="E2546" s="17" t="s">
        <v>684</v>
      </c>
      <c r="F2546" s="20">
        <v>19.99</v>
      </c>
      <c r="G2546" s="17" t="s">
        <v>675</v>
      </c>
    </row>
    <row r="2547" ht="15.75" customHeight="1">
      <c r="A2547" s="15" t="s">
        <v>3218</v>
      </c>
      <c r="B2547" s="15" t="s">
        <v>486</v>
      </c>
      <c r="C2547" s="16">
        <v>45673.0</v>
      </c>
      <c r="D2547" s="16">
        <v>45703.0</v>
      </c>
      <c r="E2547" s="15" t="s">
        <v>684</v>
      </c>
      <c r="F2547" s="19">
        <v>19.99</v>
      </c>
      <c r="G2547" s="15" t="s">
        <v>675</v>
      </c>
    </row>
    <row r="2548" ht="15.75" customHeight="1">
      <c r="A2548" s="17" t="s">
        <v>3219</v>
      </c>
      <c r="B2548" s="17" t="s">
        <v>197</v>
      </c>
      <c r="C2548" s="18">
        <v>45673.0</v>
      </c>
      <c r="D2548" s="18">
        <v>45703.0</v>
      </c>
      <c r="E2548" s="17" t="s">
        <v>684</v>
      </c>
      <c r="F2548" s="20">
        <v>19.99</v>
      </c>
      <c r="G2548" s="17" t="s">
        <v>675</v>
      </c>
    </row>
    <row r="2549" ht="15.75" customHeight="1">
      <c r="A2549" s="15" t="s">
        <v>3220</v>
      </c>
      <c r="B2549" s="15" t="s">
        <v>538</v>
      </c>
      <c r="C2549" s="16">
        <v>45673.0</v>
      </c>
      <c r="D2549" s="16">
        <v>45680.0</v>
      </c>
      <c r="E2549" s="15" t="s">
        <v>674</v>
      </c>
      <c r="F2549" s="19">
        <v>0.0</v>
      </c>
      <c r="G2549" s="15" t="s">
        <v>675</v>
      </c>
    </row>
    <row r="2550" ht="15.75" customHeight="1">
      <c r="A2550" s="17" t="s">
        <v>3221</v>
      </c>
      <c r="B2550" s="17" t="s">
        <v>256</v>
      </c>
      <c r="C2550" s="18">
        <v>45673.0</v>
      </c>
      <c r="D2550" s="18">
        <v>45703.0</v>
      </c>
      <c r="E2550" s="17" t="s">
        <v>684</v>
      </c>
      <c r="F2550" s="20">
        <v>19.99</v>
      </c>
      <c r="G2550" s="17" t="s">
        <v>675</v>
      </c>
    </row>
    <row r="2551" ht="15.75" customHeight="1">
      <c r="A2551" s="15" t="s">
        <v>3222</v>
      </c>
      <c r="B2551" s="15" t="s">
        <v>162</v>
      </c>
      <c r="C2551" s="16">
        <v>45673.0</v>
      </c>
      <c r="D2551" s="16">
        <v>45703.0</v>
      </c>
      <c r="E2551" s="15" t="s">
        <v>684</v>
      </c>
      <c r="F2551" s="19">
        <v>19.99</v>
      </c>
      <c r="G2551" s="15" t="s">
        <v>675</v>
      </c>
    </row>
    <row r="2552" ht="15.75" customHeight="1">
      <c r="A2552" s="17" t="s">
        <v>3223</v>
      </c>
      <c r="B2552" s="17" t="s">
        <v>304</v>
      </c>
      <c r="C2552" s="18">
        <v>45673.0</v>
      </c>
      <c r="D2552" s="18">
        <v>45703.0</v>
      </c>
      <c r="E2552" s="17" t="s">
        <v>684</v>
      </c>
      <c r="F2552" s="20">
        <v>19.99</v>
      </c>
      <c r="G2552" s="17" t="s">
        <v>675</v>
      </c>
    </row>
    <row r="2553" ht="15.75" customHeight="1">
      <c r="A2553" s="15" t="s">
        <v>3224</v>
      </c>
      <c r="B2553" s="15" t="s">
        <v>381</v>
      </c>
      <c r="C2553" s="16">
        <v>45673.0</v>
      </c>
      <c r="D2553" s="16">
        <v>45703.0</v>
      </c>
      <c r="E2553" s="15" t="s">
        <v>684</v>
      </c>
      <c r="F2553" s="19">
        <v>19.99</v>
      </c>
      <c r="G2553" s="15" t="s">
        <v>675</v>
      </c>
    </row>
    <row r="2554" ht="15.75" customHeight="1">
      <c r="A2554" s="17" t="s">
        <v>3225</v>
      </c>
      <c r="B2554" s="17" t="s">
        <v>257</v>
      </c>
      <c r="C2554" s="18">
        <v>45673.0</v>
      </c>
      <c r="D2554" s="18">
        <v>45703.0</v>
      </c>
      <c r="E2554" s="17" t="s">
        <v>684</v>
      </c>
      <c r="F2554" s="20">
        <v>19.99</v>
      </c>
      <c r="G2554" s="17" t="s">
        <v>675</v>
      </c>
    </row>
    <row r="2555" ht="15.75" customHeight="1">
      <c r="A2555" s="15" t="s">
        <v>3226</v>
      </c>
      <c r="B2555" s="15" t="s">
        <v>129</v>
      </c>
      <c r="C2555" s="16">
        <v>45673.0</v>
      </c>
      <c r="D2555" s="16">
        <v>45703.0</v>
      </c>
      <c r="E2555" s="15" t="s">
        <v>684</v>
      </c>
      <c r="F2555" s="19">
        <v>19.99</v>
      </c>
      <c r="G2555" s="15" t="s">
        <v>675</v>
      </c>
    </row>
    <row r="2556" ht="15.75" customHeight="1">
      <c r="A2556" s="17" t="s">
        <v>3227</v>
      </c>
      <c r="B2556" s="17" t="s">
        <v>382</v>
      </c>
      <c r="C2556" s="18">
        <v>45674.0</v>
      </c>
      <c r="D2556" s="18">
        <v>45704.0</v>
      </c>
      <c r="E2556" s="17" t="s">
        <v>684</v>
      </c>
      <c r="F2556" s="20">
        <v>19.99</v>
      </c>
      <c r="G2556" s="17" t="s">
        <v>675</v>
      </c>
    </row>
    <row r="2557" ht="15.75" customHeight="1">
      <c r="A2557" s="15" t="s">
        <v>3228</v>
      </c>
      <c r="B2557" s="15" t="s">
        <v>163</v>
      </c>
      <c r="C2557" s="16">
        <v>45674.0</v>
      </c>
      <c r="D2557" s="16">
        <v>45704.0</v>
      </c>
      <c r="E2557" s="15" t="s">
        <v>684</v>
      </c>
      <c r="F2557" s="19">
        <v>19.99</v>
      </c>
      <c r="G2557" s="15" t="s">
        <v>675</v>
      </c>
    </row>
    <row r="2558" ht="15.75" customHeight="1">
      <c r="A2558" s="17" t="s">
        <v>3229</v>
      </c>
      <c r="B2558" s="17" t="s">
        <v>340</v>
      </c>
      <c r="C2558" s="18">
        <v>45674.0</v>
      </c>
      <c r="D2558" s="18">
        <v>45704.0</v>
      </c>
      <c r="E2558" s="17" t="s">
        <v>684</v>
      </c>
      <c r="F2558" s="20">
        <v>19.99</v>
      </c>
      <c r="G2558" s="17" t="s">
        <v>675</v>
      </c>
    </row>
    <row r="2559" ht="15.75" customHeight="1">
      <c r="A2559" s="15" t="s">
        <v>3230</v>
      </c>
      <c r="B2559" s="15" t="s">
        <v>385</v>
      </c>
      <c r="C2559" s="16">
        <v>45674.0</v>
      </c>
      <c r="D2559" s="16">
        <v>45704.0</v>
      </c>
      <c r="E2559" s="15" t="s">
        <v>684</v>
      </c>
      <c r="F2559" s="19">
        <v>19.99</v>
      </c>
      <c r="G2559" s="15" t="s">
        <v>675</v>
      </c>
    </row>
    <row r="2560" ht="15.75" customHeight="1">
      <c r="A2560" s="17" t="s">
        <v>3231</v>
      </c>
      <c r="B2560" s="17" t="s">
        <v>488</v>
      </c>
      <c r="C2560" s="18">
        <v>45674.0</v>
      </c>
      <c r="D2560" s="18">
        <v>45704.0</v>
      </c>
      <c r="E2560" s="17" t="s">
        <v>684</v>
      </c>
      <c r="F2560" s="20">
        <v>19.99</v>
      </c>
      <c r="G2560" s="17" t="s">
        <v>675</v>
      </c>
    </row>
    <row r="2561" ht="15.75" customHeight="1">
      <c r="A2561" s="15" t="s">
        <v>3232</v>
      </c>
      <c r="B2561" s="15" t="s">
        <v>164</v>
      </c>
      <c r="C2561" s="16">
        <v>45674.0</v>
      </c>
      <c r="D2561" s="16">
        <v>45704.0</v>
      </c>
      <c r="E2561" s="15" t="s">
        <v>684</v>
      </c>
      <c r="F2561" s="19">
        <v>19.99</v>
      </c>
      <c r="G2561" s="15" t="s">
        <v>675</v>
      </c>
    </row>
    <row r="2562" ht="15.75" customHeight="1">
      <c r="A2562" s="17" t="s">
        <v>3233</v>
      </c>
      <c r="B2562" s="17" t="s">
        <v>530</v>
      </c>
      <c r="C2562" s="18">
        <v>45674.0</v>
      </c>
      <c r="D2562" s="18">
        <v>45704.0</v>
      </c>
      <c r="E2562" s="17" t="s">
        <v>684</v>
      </c>
      <c r="F2562" s="20">
        <v>19.99</v>
      </c>
      <c r="G2562" s="17" t="s">
        <v>675</v>
      </c>
    </row>
    <row r="2563" ht="15.75" customHeight="1">
      <c r="A2563" s="15" t="s">
        <v>3234</v>
      </c>
      <c r="B2563" s="15" t="s">
        <v>259</v>
      </c>
      <c r="C2563" s="16">
        <v>45674.0</v>
      </c>
      <c r="D2563" s="16">
        <v>45704.0</v>
      </c>
      <c r="E2563" s="15" t="s">
        <v>684</v>
      </c>
      <c r="F2563" s="19">
        <v>19.99</v>
      </c>
      <c r="G2563" s="15" t="s">
        <v>675</v>
      </c>
    </row>
    <row r="2564" ht="15.75" customHeight="1">
      <c r="A2564" s="17" t="s">
        <v>3235</v>
      </c>
      <c r="B2564" s="17" t="s">
        <v>198</v>
      </c>
      <c r="C2564" s="18">
        <v>45674.0</v>
      </c>
      <c r="D2564" s="18">
        <v>45704.0</v>
      </c>
      <c r="E2564" s="17" t="s">
        <v>684</v>
      </c>
      <c r="F2564" s="20">
        <v>19.99</v>
      </c>
      <c r="G2564" s="17" t="s">
        <v>675</v>
      </c>
    </row>
    <row r="2565" ht="15.75" customHeight="1">
      <c r="A2565" s="15" t="s">
        <v>3236</v>
      </c>
      <c r="B2565" s="15" t="s">
        <v>539</v>
      </c>
      <c r="C2565" s="16">
        <v>45674.0</v>
      </c>
      <c r="D2565" s="16">
        <v>45681.0</v>
      </c>
      <c r="E2565" s="15" t="s">
        <v>674</v>
      </c>
      <c r="F2565" s="19">
        <v>0.0</v>
      </c>
      <c r="G2565" s="15" t="s">
        <v>675</v>
      </c>
    </row>
    <row r="2566" ht="15.75" customHeight="1">
      <c r="A2566" s="17" t="s">
        <v>3237</v>
      </c>
      <c r="B2566" s="17" t="s">
        <v>343</v>
      </c>
      <c r="C2566" s="18">
        <v>45674.0</v>
      </c>
      <c r="D2566" s="18">
        <v>45704.0</v>
      </c>
      <c r="E2566" s="17" t="s">
        <v>684</v>
      </c>
      <c r="F2566" s="20">
        <v>19.99</v>
      </c>
      <c r="G2566" s="17" t="s">
        <v>675</v>
      </c>
    </row>
    <row r="2567" ht="15.75" customHeight="1">
      <c r="A2567" s="15" t="s">
        <v>3238</v>
      </c>
      <c r="B2567" s="15" t="s">
        <v>387</v>
      </c>
      <c r="C2567" s="16">
        <v>45675.0</v>
      </c>
      <c r="D2567" s="16">
        <v>45705.0</v>
      </c>
      <c r="E2567" s="15" t="s">
        <v>684</v>
      </c>
      <c r="F2567" s="19">
        <v>19.99</v>
      </c>
      <c r="G2567" s="15" t="s">
        <v>675</v>
      </c>
    </row>
    <row r="2568" ht="15.75" customHeight="1">
      <c r="A2568" s="17" t="s">
        <v>3239</v>
      </c>
      <c r="B2568" s="17" t="s">
        <v>490</v>
      </c>
      <c r="C2568" s="18">
        <v>45675.0</v>
      </c>
      <c r="D2568" s="18">
        <v>45705.0</v>
      </c>
      <c r="E2568" s="17" t="s">
        <v>684</v>
      </c>
      <c r="F2568" s="20">
        <v>19.99</v>
      </c>
      <c r="G2568" s="17" t="s">
        <v>675</v>
      </c>
    </row>
    <row r="2569" ht="15.75" customHeight="1">
      <c r="A2569" s="15" t="s">
        <v>3240</v>
      </c>
      <c r="B2569" s="15" t="s">
        <v>531</v>
      </c>
      <c r="C2569" s="16">
        <v>45675.0</v>
      </c>
      <c r="D2569" s="16">
        <v>45705.0</v>
      </c>
      <c r="E2569" s="15" t="s">
        <v>684</v>
      </c>
      <c r="F2569" s="19">
        <v>19.99</v>
      </c>
      <c r="G2569" s="15" t="s">
        <v>675</v>
      </c>
    </row>
    <row r="2570" ht="15.75" customHeight="1">
      <c r="A2570" s="17" t="s">
        <v>3241</v>
      </c>
      <c r="B2570" s="17" t="s">
        <v>532</v>
      </c>
      <c r="C2570" s="18">
        <v>45675.0</v>
      </c>
      <c r="D2570" s="18">
        <v>45705.0</v>
      </c>
      <c r="E2570" s="17" t="s">
        <v>684</v>
      </c>
      <c r="F2570" s="20">
        <v>19.99</v>
      </c>
      <c r="G2570" s="17" t="s">
        <v>675</v>
      </c>
    </row>
    <row r="2571" ht="15.75" customHeight="1">
      <c r="A2571" s="15" t="s">
        <v>3242</v>
      </c>
      <c r="B2571" s="15" t="s">
        <v>100</v>
      </c>
      <c r="C2571" s="16">
        <v>45675.0</v>
      </c>
      <c r="D2571" s="16">
        <v>45705.0</v>
      </c>
      <c r="E2571" s="15" t="s">
        <v>684</v>
      </c>
      <c r="F2571" s="19">
        <v>19.99</v>
      </c>
      <c r="G2571" s="15" t="s">
        <v>675</v>
      </c>
    </row>
    <row r="2572" ht="15.75" customHeight="1">
      <c r="A2572" s="17" t="s">
        <v>3243</v>
      </c>
      <c r="B2572" s="17" t="s">
        <v>431</v>
      </c>
      <c r="C2572" s="18">
        <v>45675.0</v>
      </c>
      <c r="D2572" s="18">
        <v>45705.0</v>
      </c>
      <c r="E2572" s="17" t="s">
        <v>684</v>
      </c>
      <c r="F2572" s="20">
        <v>19.99</v>
      </c>
      <c r="G2572" s="17" t="s">
        <v>675</v>
      </c>
    </row>
    <row r="2573" ht="15.75" customHeight="1">
      <c r="A2573" s="15" t="s">
        <v>3244</v>
      </c>
      <c r="B2573" s="15" t="s">
        <v>165</v>
      </c>
      <c r="C2573" s="16">
        <v>45675.0</v>
      </c>
      <c r="D2573" s="16">
        <v>45705.0</v>
      </c>
      <c r="E2573" s="15" t="s">
        <v>684</v>
      </c>
      <c r="F2573" s="19">
        <v>19.99</v>
      </c>
      <c r="G2573" s="15" t="s">
        <v>675</v>
      </c>
    </row>
    <row r="2574" ht="15.75" customHeight="1">
      <c r="A2574" s="17" t="s">
        <v>3245</v>
      </c>
      <c r="B2574" s="17" t="s">
        <v>540</v>
      </c>
      <c r="C2574" s="18">
        <v>45675.0</v>
      </c>
      <c r="D2574" s="18">
        <v>45682.0</v>
      </c>
      <c r="E2574" s="17" t="s">
        <v>674</v>
      </c>
      <c r="F2574" s="20">
        <v>0.0</v>
      </c>
      <c r="G2574" s="17" t="s">
        <v>675</v>
      </c>
    </row>
    <row r="2575" ht="15.75" customHeight="1">
      <c r="A2575" s="15" t="s">
        <v>3246</v>
      </c>
      <c r="B2575" s="15" t="s">
        <v>260</v>
      </c>
      <c r="C2575" s="16">
        <v>45675.0</v>
      </c>
      <c r="D2575" s="16">
        <v>45705.0</v>
      </c>
      <c r="E2575" s="15" t="s">
        <v>684</v>
      </c>
      <c r="F2575" s="19">
        <v>19.99</v>
      </c>
      <c r="G2575" s="15" t="s">
        <v>675</v>
      </c>
    </row>
    <row r="2576" ht="15.75" customHeight="1">
      <c r="A2576" s="17" t="s">
        <v>3247</v>
      </c>
      <c r="B2576" s="17" t="s">
        <v>432</v>
      </c>
      <c r="C2576" s="18">
        <v>45675.0</v>
      </c>
      <c r="D2576" s="18">
        <v>45705.0</v>
      </c>
      <c r="E2576" s="17" t="s">
        <v>684</v>
      </c>
      <c r="F2576" s="20">
        <v>19.99</v>
      </c>
      <c r="G2576" s="17" t="s">
        <v>675</v>
      </c>
    </row>
    <row r="2577" ht="15.75" customHeight="1">
      <c r="A2577" s="15" t="s">
        <v>3248</v>
      </c>
      <c r="B2577" s="15" t="s">
        <v>79</v>
      </c>
      <c r="C2577" s="16">
        <v>45676.0</v>
      </c>
      <c r="D2577" s="16">
        <v>45706.0</v>
      </c>
      <c r="E2577" s="15" t="s">
        <v>684</v>
      </c>
      <c r="F2577" s="19">
        <v>19.99</v>
      </c>
      <c r="G2577" s="15" t="s">
        <v>675</v>
      </c>
    </row>
    <row r="2578" ht="15.75" customHeight="1">
      <c r="A2578" s="17" t="s">
        <v>3249</v>
      </c>
      <c r="B2578" s="17" t="s">
        <v>533</v>
      </c>
      <c r="C2578" s="18">
        <v>45676.0</v>
      </c>
      <c r="D2578" s="18">
        <v>45706.0</v>
      </c>
      <c r="E2578" s="17" t="s">
        <v>684</v>
      </c>
      <c r="F2578" s="20">
        <v>19.99</v>
      </c>
      <c r="G2578" s="17" t="s">
        <v>675</v>
      </c>
    </row>
    <row r="2579" ht="15.75" customHeight="1">
      <c r="A2579" s="15" t="s">
        <v>3250</v>
      </c>
      <c r="B2579" s="15" t="s">
        <v>388</v>
      </c>
      <c r="C2579" s="16">
        <v>45676.0</v>
      </c>
      <c r="D2579" s="16">
        <v>45706.0</v>
      </c>
      <c r="E2579" s="15" t="s">
        <v>684</v>
      </c>
      <c r="F2579" s="19">
        <v>19.99</v>
      </c>
      <c r="G2579" s="15" t="s">
        <v>675</v>
      </c>
    </row>
    <row r="2580" ht="15.75" customHeight="1">
      <c r="A2580" s="17" t="s">
        <v>3251</v>
      </c>
      <c r="B2580" s="17" t="s">
        <v>541</v>
      </c>
      <c r="C2580" s="18">
        <v>45676.0</v>
      </c>
      <c r="D2580" s="18">
        <v>45683.0</v>
      </c>
      <c r="E2580" s="17" t="s">
        <v>674</v>
      </c>
      <c r="F2580" s="20">
        <v>0.0</v>
      </c>
      <c r="G2580" s="17" t="s">
        <v>675</v>
      </c>
    </row>
    <row r="2581" ht="15.75" customHeight="1">
      <c r="A2581" s="15" t="s">
        <v>3252</v>
      </c>
      <c r="B2581" s="15" t="s">
        <v>133</v>
      </c>
      <c r="C2581" s="16">
        <v>45676.0</v>
      </c>
      <c r="D2581" s="16">
        <v>45706.0</v>
      </c>
      <c r="E2581" s="15" t="s">
        <v>684</v>
      </c>
      <c r="F2581" s="19">
        <v>19.99</v>
      </c>
      <c r="G2581" s="15" t="s">
        <v>675</v>
      </c>
    </row>
    <row r="2582" ht="15.75" customHeight="1">
      <c r="A2582" s="17" t="s">
        <v>3253</v>
      </c>
      <c r="B2582" s="17" t="s">
        <v>534</v>
      </c>
      <c r="C2582" s="18">
        <v>45676.0</v>
      </c>
      <c r="D2582" s="18">
        <v>45706.0</v>
      </c>
      <c r="E2582" s="17" t="s">
        <v>684</v>
      </c>
      <c r="F2582" s="20">
        <v>19.99</v>
      </c>
      <c r="G2582" s="17" t="s">
        <v>675</v>
      </c>
    </row>
    <row r="2583" ht="15.75" customHeight="1">
      <c r="A2583" s="15" t="s">
        <v>3254</v>
      </c>
      <c r="B2583" s="15" t="s">
        <v>306</v>
      </c>
      <c r="C2583" s="16">
        <v>45676.0</v>
      </c>
      <c r="D2583" s="16">
        <v>45706.0</v>
      </c>
      <c r="E2583" s="15" t="s">
        <v>684</v>
      </c>
      <c r="F2583" s="19">
        <v>19.99</v>
      </c>
      <c r="G2583" s="15" t="s">
        <v>675</v>
      </c>
    </row>
    <row r="2584" ht="15.75" customHeight="1">
      <c r="A2584" s="17" t="s">
        <v>3255</v>
      </c>
      <c r="B2584" s="17" t="s">
        <v>535</v>
      </c>
      <c r="C2584" s="18">
        <v>45676.0</v>
      </c>
      <c r="D2584" s="18">
        <v>45706.0</v>
      </c>
      <c r="E2584" s="17" t="s">
        <v>684</v>
      </c>
      <c r="F2584" s="20">
        <v>19.99</v>
      </c>
      <c r="G2584" s="17" t="s">
        <v>675</v>
      </c>
    </row>
    <row r="2585" ht="15.75" customHeight="1">
      <c r="A2585" s="15" t="s">
        <v>3256</v>
      </c>
      <c r="B2585" s="15" t="s">
        <v>389</v>
      </c>
      <c r="C2585" s="16">
        <v>45676.0</v>
      </c>
      <c r="D2585" s="16">
        <v>45706.0</v>
      </c>
      <c r="E2585" s="15" t="s">
        <v>684</v>
      </c>
      <c r="F2585" s="19">
        <v>19.99</v>
      </c>
      <c r="G2585" s="15" t="s">
        <v>675</v>
      </c>
    </row>
    <row r="2586" ht="15.75" customHeight="1">
      <c r="A2586" s="17" t="s">
        <v>3257</v>
      </c>
      <c r="B2586" s="17" t="s">
        <v>434</v>
      </c>
      <c r="C2586" s="18">
        <v>45676.0</v>
      </c>
      <c r="D2586" s="18">
        <v>45706.0</v>
      </c>
      <c r="E2586" s="17" t="s">
        <v>684</v>
      </c>
      <c r="F2586" s="20">
        <v>19.99</v>
      </c>
      <c r="G2586" s="17" t="s">
        <v>675</v>
      </c>
    </row>
    <row r="2587" ht="15.75" customHeight="1">
      <c r="A2587" s="15" t="s">
        <v>3258</v>
      </c>
      <c r="B2587" s="15" t="s">
        <v>203</v>
      </c>
      <c r="C2587" s="16">
        <v>45677.0</v>
      </c>
      <c r="D2587" s="16">
        <v>45707.0</v>
      </c>
      <c r="E2587" s="15" t="s">
        <v>684</v>
      </c>
      <c r="F2587" s="19">
        <v>19.99</v>
      </c>
      <c r="G2587" s="15" t="s">
        <v>675</v>
      </c>
    </row>
    <row r="2588" ht="15.75" customHeight="1">
      <c r="A2588" s="17" t="s">
        <v>3259</v>
      </c>
      <c r="B2588" s="17" t="s">
        <v>435</v>
      </c>
      <c r="C2588" s="18">
        <v>45677.0</v>
      </c>
      <c r="D2588" s="18">
        <v>45707.0</v>
      </c>
      <c r="E2588" s="17" t="s">
        <v>684</v>
      </c>
      <c r="F2588" s="20">
        <v>19.99</v>
      </c>
      <c r="G2588" s="17" t="s">
        <v>675</v>
      </c>
    </row>
    <row r="2589" ht="15.75" customHeight="1">
      <c r="A2589" s="15" t="s">
        <v>3260</v>
      </c>
      <c r="B2589" s="15" t="s">
        <v>542</v>
      </c>
      <c r="C2589" s="16">
        <v>45677.0</v>
      </c>
      <c r="D2589" s="16">
        <v>45684.0</v>
      </c>
      <c r="E2589" s="15" t="s">
        <v>674</v>
      </c>
      <c r="F2589" s="19">
        <v>0.0</v>
      </c>
      <c r="G2589" s="15" t="s">
        <v>675</v>
      </c>
    </row>
    <row r="2590" ht="15.75" customHeight="1">
      <c r="A2590" s="17" t="s">
        <v>3261</v>
      </c>
      <c r="B2590" s="17" t="s">
        <v>491</v>
      </c>
      <c r="C2590" s="18">
        <v>45677.0</v>
      </c>
      <c r="D2590" s="18">
        <v>45707.0</v>
      </c>
      <c r="E2590" s="17" t="s">
        <v>684</v>
      </c>
      <c r="F2590" s="20">
        <v>19.99</v>
      </c>
      <c r="G2590" s="17" t="s">
        <v>675</v>
      </c>
    </row>
    <row r="2591" ht="15.75" customHeight="1">
      <c r="A2591" s="15" t="s">
        <v>3262</v>
      </c>
      <c r="B2591" s="15" t="s">
        <v>134</v>
      </c>
      <c r="C2591" s="16">
        <v>45677.0</v>
      </c>
      <c r="D2591" s="16">
        <v>45707.0</v>
      </c>
      <c r="E2591" s="15" t="s">
        <v>684</v>
      </c>
      <c r="F2591" s="19">
        <v>19.99</v>
      </c>
      <c r="G2591" s="15" t="s">
        <v>675</v>
      </c>
    </row>
    <row r="2592" ht="15.75" customHeight="1">
      <c r="A2592" s="17" t="s">
        <v>3263</v>
      </c>
      <c r="B2592" s="17" t="s">
        <v>543</v>
      </c>
      <c r="C2592" s="18">
        <v>45677.0</v>
      </c>
      <c r="D2592" s="18">
        <v>45684.0</v>
      </c>
      <c r="E2592" s="17" t="s">
        <v>674</v>
      </c>
      <c r="F2592" s="20">
        <v>0.0</v>
      </c>
      <c r="G2592" s="17" t="s">
        <v>675</v>
      </c>
    </row>
    <row r="2593" ht="15.75" customHeight="1">
      <c r="A2593" s="15" t="s">
        <v>3264</v>
      </c>
      <c r="B2593" s="15" t="s">
        <v>492</v>
      </c>
      <c r="C2593" s="16">
        <v>45677.0</v>
      </c>
      <c r="D2593" s="16">
        <v>45707.0</v>
      </c>
      <c r="E2593" s="15" t="s">
        <v>684</v>
      </c>
      <c r="F2593" s="19">
        <v>19.99</v>
      </c>
      <c r="G2593" s="15" t="s">
        <v>675</v>
      </c>
    </row>
    <row r="2594" ht="15.75" customHeight="1">
      <c r="A2594" s="17" t="s">
        <v>3265</v>
      </c>
      <c r="B2594" s="17" t="s">
        <v>493</v>
      </c>
      <c r="C2594" s="18">
        <v>45677.0</v>
      </c>
      <c r="D2594" s="18">
        <v>45707.0</v>
      </c>
      <c r="E2594" s="17" t="s">
        <v>684</v>
      </c>
      <c r="F2594" s="20">
        <v>19.99</v>
      </c>
      <c r="G2594" s="17" t="s">
        <v>675</v>
      </c>
    </row>
    <row r="2595" ht="15.75" customHeight="1">
      <c r="A2595" s="15" t="s">
        <v>3266</v>
      </c>
      <c r="B2595" s="15" t="s">
        <v>436</v>
      </c>
      <c r="C2595" s="16">
        <v>45677.0</v>
      </c>
      <c r="D2595" s="16">
        <v>45707.0</v>
      </c>
      <c r="E2595" s="15" t="s">
        <v>684</v>
      </c>
      <c r="F2595" s="19">
        <v>19.99</v>
      </c>
      <c r="G2595" s="15" t="s">
        <v>675</v>
      </c>
    </row>
    <row r="2596" ht="15.75" customHeight="1">
      <c r="A2596" s="17" t="s">
        <v>3267</v>
      </c>
      <c r="B2596" s="17" t="s">
        <v>227</v>
      </c>
      <c r="C2596" s="18">
        <v>45677.0</v>
      </c>
      <c r="D2596" s="18">
        <v>45707.0</v>
      </c>
      <c r="E2596" s="17" t="s">
        <v>684</v>
      </c>
      <c r="F2596" s="20">
        <v>19.99</v>
      </c>
      <c r="G2596" s="17" t="s">
        <v>675</v>
      </c>
    </row>
    <row r="2597" ht="15.75" customHeight="1">
      <c r="A2597" s="15" t="s">
        <v>3268</v>
      </c>
      <c r="B2597" s="15" t="s">
        <v>344</v>
      </c>
      <c r="C2597" s="16">
        <v>45677.0</v>
      </c>
      <c r="D2597" s="16">
        <v>45707.0</v>
      </c>
      <c r="E2597" s="15" t="s">
        <v>684</v>
      </c>
      <c r="F2597" s="19">
        <v>19.99</v>
      </c>
      <c r="G2597" s="15" t="s">
        <v>675</v>
      </c>
    </row>
    <row r="2598" ht="15.75" customHeight="1">
      <c r="A2598" s="17" t="s">
        <v>3269</v>
      </c>
      <c r="B2598" s="17" t="s">
        <v>206</v>
      </c>
      <c r="C2598" s="18">
        <v>45677.0</v>
      </c>
      <c r="D2598" s="18">
        <v>45707.0</v>
      </c>
      <c r="E2598" s="17" t="s">
        <v>684</v>
      </c>
      <c r="F2598" s="20">
        <v>19.99</v>
      </c>
      <c r="G2598" s="17" t="s">
        <v>675</v>
      </c>
    </row>
    <row r="2599" ht="15.75" customHeight="1">
      <c r="A2599" s="15" t="s">
        <v>3270</v>
      </c>
      <c r="B2599" s="15" t="s">
        <v>345</v>
      </c>
      <c r="C2599" s="16">
        <v>45678.0</v>
      </c>
      <c r="D2599" s="16">
        <v>45708.0</v>
      </c>
      <c r="E2599" s="15" t="s">
        <v>684</v>
      </c>
      <c r="F2599" s="19">
        <v>19.99</v>
      </c>
      <c r="G2599" s="15" t="s">
        <v>675</v>
      </c>
    </row>
    <row r="2600" ht="15.75" customHeight="1">
      <c r="A2600" s="17" t="s">
        <v>3271</v>
      </c>
      <c r="B2600" s="17" t="s">
        <v>310</v>
      </c>
      <c r="C2600" s="18">
        <v>45678.0</v>
      </c>
      <c r="D2600" s="18">
        <v>45708.0</v>
      </c>
      <c r="E2600" s="17" t="s">
        <v>684</v>
      </c>
      <c r="F2600" s="20">
        <v>19.99</v>
      </c>
      <c r="G2600" s="17" t="s">
        <v>675</v>
      </c>
    </row>
    <row r="2601" ht="15.75" customHeight="1">
      <c r="A2601" s="15" t="s">
        <v>3272</v>
      </c>
      <c r="B2601" s="15" t="s">
        <v>228</v>
      </c>
      <c r="C2601" s="16">
        <v>45678.0</v>
      </c>
      <c r="D2601" s="16">
        <v>45708.0</v>
      </c>
      <c r="E2601" s="15" t="s">
        <v>684</v>
      </c>
      <c r="F2601" s="19">
        <v>19.99</v>
      </c>
      <c r="G2601" s="15" t="s">
        <v>675</v>
      </c>
    </row>
    <row r="2602" ht="15.75" customHeight="1">
      <c r="A2602" s="17" t="s">
        <v>3273</v>
      </c>
      <c r="B2602" s="17" t="s">
        <v>494</v>
      </c>
      <c r="C2602" s="18">
        <v>45678.0</v>
      </c>
      <c r="D2602" s="18">
        <v>45708.0</v>
      </c>
      <c r="E2602" s="17" t="s">
        <v>684</v>
      </c>
      <c r="F2602" s="20">
        <v>19.99</v>
      </c>
      <c r="G2602" s="17" t="s">
        <v>675</v>
      </c>
    </row>
    <row r="2603" ht="15.75" customHeight="1">
      <c r="A2603" s="15" t="s">
        <v>3274</v>
      </c>
      <c r="B2603" s="15" t="s">
        <v>262</v>
      </c>
      <c r="C2603" s="16">
        <v>45678.0</v>
      </c>
      <c r="D2603" s="16">
        <v>45708.0</v>
      </c>
      <c r="E2603" s="15" t="s">
        <v>684</v>
      </c>
      <c r="F2603" s="19">
        <v>19.99</v>
      </c>
      <c r="G2603" s="15" t="s">
        <v>675</v>
      </c>
    </row>
    <row r="2604" ht="15.75" customHeight="1">
      <c r="A2604" s="17" t="s">
        <v>3275</v>
      </c>
      <c r="B2604" s="17" t="s">
        <v>438</v>
      </c>
      <c r="C2604" s="18">
        <v>45678.0</v>
      </c>
      <c r="D2604" s="18">
        <v>45708.0</v>
      </c>
      <c r="E2604" s="17" t="s">
        <v>684</v>
      </c>
      <c r="F2604" s="20">
        <v>19.99</v>
      </c>
      <c r="G2604" s="17" t="s">
        <v>675</v>
      </c>
    </row>
    <row r="2605" ht="15.75" customHeight="1">
      <c r="A2605" s="15" t="s">
        <v>3276</v>
      </c>
      <c r="B2605" s="15" t="s">
        <v>346</v>
      </c>
      <c r="C2605" s="16">
        <v>45678.0</v>
      </c>
      <c r="D2605" s="16">
        <v>45708.0</v>
      </c>
      <c r="E2605" s="15" t="s">
        <v>684</v>
      </c>
      <c r="F2605" s="19">
        <v>19.99</v>
      </c>
      <c r="G2605" s="15" t="s">
        <v>675</v>
      </c>
    </row>
    <row r="2606" ht="15.75" customHeight="1">
      <c r="A2606" s="17" t="s">
        <v>3277</v>
      </c>
      <c r="B2606" s="17" t="s">
        <v>536</v>
      </c>
      <c r="C2606" s="18">
        <v>45678.0</v>
      </c>
      <c r="D2606" s="18">
        <v>45708.0</v>
      </c>
      <c r="E2606" s="17" t="s">
        <v>684</v>
      </c>
      <c r="F2606" s="20">
        <v>19.99</v>
      </c>
      <c r="G2606" s="17" t="s">
        <v>675</v>
      </c>
    </row>
    <row r="2607" ht="15.75" customHeight="1">
      <c r="A2607" s="15" t="s">
        <v>3278</v>
      </c>
      <c r="B2607" s="15" t="s">
        <v>102</v>
      </c>
      <c r="C2607" s="16">
        <v>45678.0</v>
      </c>
      <c r="D2607" s="16">
        <v>45708.0</v>
      </c>
      <c r="E2607" s="15" t="s">
        <v>684</v>
      </c>
      <c r="F2607" s="19">
        <v>19.99</v>
      </c>
      <c r="G2607" s="15" t="s">
        <v>675</v>
      </c>
    </row>
    <row r="2608" ht="15.75" customHeight="1">
      <c r="A2608" s="17" t="s">
        <v>3279</v>
      </c>
      <c r="B2608" s="17" t="s">
        <v>167</v>
      </c>
      <c r="C2608" s="18">
        <v>45678.0</v>
      </c>
      <c r="D2608" s="18">
        <v>45708.0</v>
      </c>
      <c r="E2608" s="17" t="s">
        <v>684</v>
      </c>
      <c r="F2608" s="20">
        <v>19.99</v>
      </c>
      <c r="G2608" s="17" t="s">
        <v>675</v>
      </c>
    </row>
    <row r="2609" ht="15.75" customHeight="1">
      <c r="A2609" s="15" t="s">
        <v>3280</v>
      </c>
      <c r="B2609" s="15" t="s">
        <v>168</v>
      </c>
      <c r="C2609" s="16">
        <v>45678.0</v>
      </c>
      <c r="D2609" s="16">
        <v>45708.0</v>
      </c>
      <c r="E2609" s="15" t="s">
        <v>684</v>
      </c>
      <c r="F2609" s="19">
        <v>19.99</v>
      </c>
      <c r="G2609" s="15" t="s">
        <v>675</v>
      </c>
    </row>
    <row r="2610" ht="15.75" customHeight="1">
      <c r="A2610" s="17" t="s">
        <v>3281</v>
      </c>
      <c r="B2610" s="17" t="s">
        <v>208</v>
      </c>
      <c r="C2610" s="18">
        <v>45678.0</v>
      </c>
      <c r="D2610" s="18">
        <v>45708.0</v>
      </c>
      <c r="E2610" s="17" t="s">
        <v>684</v>
      </c>
      <c r="F2610" s="20">
        <v>19.99</v>
      </c>
      <c r="G2610" s="17" t="s">
        <v>675</v>
      </c>
    </row>
    <row r="2611" ht="15.75" customHeight="1">
      <c r="A2611" s="15" t="s">
        <v>3282</v>
      </c>
      <c r="B2611" s="15" t="s">
        <v>347</v>
      </c>
      <c r="C2611" s="16">
        <v>45679.0</v>
      </c>
      <c r="D2611" s="16">
        <v>45709.0</v>
      </c>
      <c r="E2611" s="15" t="s">
        <v>684</v>
      </c>
      <c r="F2611" s="19">
        <v>19.99</v>
      </c>
      <c r="G2611" s="15" t="s">
        <v>675</v>
      </c>
    </row>
    <row r="2612" ht="15.75" customHeight="1">
      <c r="A2612" s="17" t="s">
        <v>3283</v>
      </c>
      <c r="B2612" s="17" t="s">
        <v>537</v>
      </c>
      <c r="C2612" s="18">
        <v>45679.0</v>
      </c>
      <c r="D2612" s="18">
        <v>45709.0</v>
      </c>
      <c r="E2612" s="17" t="s">
        <v>684</v>
      </c>
      <c r="F2612" s="20">
        <v>19.99</v>
      </c>
      <c r="G2612" s="17" t="s">
        <v>675</v>
      </c>
    </row>
    <row r="2613" ht="15.75" customHeight="1">
      <c r="A2613" s="15" t="s">
        <v>3284</v>
      </c>
      <c r="B2613" s="15" t="s">
        <v>136</v>
      </c>
      <c r="C2613" s="16">
        <v>45679.0</v>
      </c>
      <c r="D2613" s="16">
        <v>45709.0</v>
      </c>
      <c r="E2613" s="15" t="s">
        <v>684</v>
      </c>
      <c r="F2613" s="19">
        <v>19.99</v>
      </c>
      <c r="G2613" s="15" t="s">
        <v>675</v>
      </c>
    </row>
    <row r="2614" ht="15.75" customHeight="1">
      <c r="A2614" s="17" t="s">
        <v>3285</v>
      </c>
      <c r="B2614" s="17" t="s">
        <v>82</v>
      </c>
      <c r="C2614" s="18">
        <v>45679.0</v>
      </c>
      <c r="D2614" s="18">
        <v>45709.0</v>
      </c>
      <c r="E2614" s="17" t="s">
        <v>684</v>
      </c>
      <c r="F2614" s="20">
        <v>19.99</v>
      </c>
      <c r="G2614" s="17" t="s">
        <v>675</v>
      </c>
    </row>
    <row r="2615" ht="15.75" customHeight="1">
      <c r="A2615" s="15" t="s">
        <v>3286</v>
      </c>
      <c r="B2615" s="15" t="s">
        <v>544</v>
      </c>
      <c r="C2615" s="16">
        <v>45679.0</v>
      </c>
      <c r="D2615" s="16">
        <v>45686.0</v>
      </c>
      <c r="E2615" s="15" t="s">
        <v>674</v>
      </c>
      <c r="F2615" s="19">
        <v>0.0</v>
      </c>
      <c r="G2615" s="15" t="s">
        <v>675</v>
      </c>
    </row>
    <row r="2616" ht="15.75" customHeight="1">
      <c r="A2616" s="17" t="s">
        <v>3287</v>
      </c>
      <c r="B2616" s="17" t="s">
        <v>348</v>
      </c>
      <c r="C2616" s="18">
        <v>45679.0</v>
      </c>
      <c r="D2616" s="18">
        <v>45709.0</v>
      </c>
      <c r="E2616" s="17" t="s">
        <v>684</v>
      </c>
      <c r="F2616" s="20">
        <v>19.99</v>
      </c>
      <c r="G2616" s="17" t="s">
        <v>675</v>
      </c>
    </row>
    <row r="2617" ht="15.75" customHeight="1">
      <c r="A2617" s="15" t="s">
        <v>3288</v>
      </c>
      <c r="B2617" s="15" t="s">
        <v>391</v>
      </c>
      <c r="C2617" s="16">
        <v>45679.0</v>
      </c>
      <c r="D2617" s="16">
        <v>45709.0</v>
      </c>
      <c r="E2617" s="15" t="s">
        <v>684</v>
      </c>
      <c r="F2617" s="19">
        <v>19.99</v>
      </c>
      <c r="G2617" s="15" t="s">
        <v>675</v>
      </c>
    </row>
    <row r="2618" ht="15.75" customHeight="1">
      <c r="A2618" s="17" t="s">
        <v>3289</v>
      </c>
      <c r="B2618" s="17" t="s">
        <v>349</v>
      </c>
      <c r="C2618" s="18">
        <v>45679.0</v>
      </c>
      <c r="D2618" s="18">
        <v>45709.0</v>
      </c>
      <c r="E2618" s="17" t="s">
        <v>684</v>
      </c>
      <c r="F2618" s="20">
        <v>19.99</v>
      </c>
      <c r="G2618" s="17" t="s">
        <v>675</v>
      </c>
    </row>
    <row r="2619" ht="15.75" customHeight="1">
      <c r="A2619" s="15" t="s">
        <v>3290</v>
      </c>
      <c r="B2619" s="15" t="s">
        <v>137</v>
      </c>
      <c r="C2619" s="16">
        <v>45679.0</v>
      </c>
      <c r="D2619" s="16">
        <v>45709.0</v>
      </c>
      <c r="E2619" s="15" t="s">
        <v>684</v>
      </c>
      <c r="F2619" s="19">
        <v>19.99</v>
      </c>
      <c r="G2619" s="15" t="s">
        <v>675</v>
      </c>
    </row>
    <row r="2620" ht="15.75" customHeight="1">
      <c r="A2620" s="17" t="s">
        <v>3291</v>
      </c>
      <c r="B2620" s="17" t="s">
        <v>440</v>
      </c>
      <c r="C2620" s="18">
        <v>45679.0</v>
      </c>
      <c r="D2620" s="18">
        <v>45709.0</v>
      </c>
      <c r="E2620" s="17" t="s">
        <v>684</v>
      </c>
      <c r="F2620" s="20">
        <v>19.99</v>
      </c>
      <c r="G2620" s="17" t="s">
        <v>675</v>
      </c>
    </row>
    <row r="2621" ht="15.75" customHeight="1">
      <c r="A2621" s="15" t="s">
        <v>3292</v>
      </c>
      <c r="B2621" s="15" t="s">
        <v>441</v>
      </c>
      <c r="C2621" s="16">
        <v>45679.0</v>
      </c>
      <c r="D2621" s="16">
        <v>45709.0</v>
      </c>
      <c r="E2621" s="15" t="s">
        <v>684</v>
      </c>
      <c r="F2621" s="19">
        <v>19.99</v>
      </c>
      <c r="G2621" s="15" t="s">
        <v>675</v>
      </c>
    </row>
    <row r="2622" ht="15.75" customHeight="1">
      <c r="A2622" s="17" t="s">
        <v>3293</v>
      </c>
      <c r="B2622" s="17" t="s">
        <v>83</v>
      </c>
      <c r="C2622" s="18">
        <v>45679.0</v>
      </c>
      <c r="D2622" s="18">
        <v>45709.0</v>
      </c>
      <c r="E2622" s="17" t="s">
        <v>684</v>
      </c>
      <c r="F2622" s="20">
        <v>19.99</v>
      </c>
      <c r="G2622" s="17" t="s">
        <v>675</v>
      </c>
    </row>
    <row r="2623" ht="15.75" customHeight="1">
      <c r="A2623" s="15" t="s">
        <v>3294</v>
      </c>
      <c r="B2623" s="15" t="s">
        <v>350</v>
      </c>
      <c r="C2623" s="16">
        <v>45680.0</v>
      </c>
      <c r="D2623" s="16">
        <v>45710.0</v>
      </c>
      <c r="E2623" s="15" t="s">
        <v>684</v>
      </c>
      <c r="F2623" s="19">
        <v>19.99</v>
      </c>
      <c r="G2623" s="15" t="s">
        <v>675</v>
      </c>
    </row>
    <row r="2624" ht="15.75" customHeight="1">
      <c r="A2624" s="17" t="s">
        <v>3295</v>
      </c>
      <c r="B2624" s="17" t="s">
        <v>84</v>
      </c>
      <c r="C2624" s="18">
        <v>45680.0</v>
      </c>
      <c r="D2624" s="18">
        <v>45710.0</v>
      </c>
      <c r="E2624" s="17" t="s">
        <v>684</v>
      </c>
      <c r="F2624" s="20">
        <v>19.99</v>
      </c>
      <c r="G2624" s="17" t="s">
        <v>675</v>
      </c>
    </row>
    <row r="2625" ht="15.75" customHeight="1">
      <c r="A2625" s="15" t="s">
        <v>3296</v>
      </c>
      <c r="B2625" s="15" t="s">
        <v>392</v>
      </c>
      <c r="C2625" s="16">
        <v>45680.0</v>
      </c>
      <c r="D2625" s="16">
        <v>45710.0</v>
      </c>
      <c r="E2625" s="15" t="s">
        <v>684</v>
      </c>
      <c r="F2625" s="19">
        <v>19.99</v>
      </c>
      <c r="G2625" s="15" t="s">
        <v>675</v>
      </c>
    </row>
    <row r="2626" ht="15.75" customHeight="1">
      <c r="A2626" s="17" t="s">
        <v>3297</v>
      </c>
      <c r="B2626" s="17" t="s">
        <v>545</v>
      </c>
      <c r="C2626" s="18">
        <v>45680.0</v>
      </c>
      <c r="D2626" s="18">
        <v>45687.0</v>
      </c>
      <c r="E2626" s="17" t="s">
        <v>674</v>
      </c>
      <c r="F2626" s="20">
        <v>0.0</v>
      </c>
      <c r="G2626" s="17" t="s">
        <v>675</v>
      </c>
    </row>
    <row r="2627" ht="15.75" customHeight="1">
      <c r="A2627" s="15" t="s">
        <v>3298</v>
      </c>
      <c r="B2627" s="15" t="s">
        <v>495</v>
      </c>
      <c r="C2627" s="16">
        <v>45680.0</v>
      </c>
      <c r="D2627" s="16">
        <v>45710.0</v>
      </c>
      <c r="E2627" s="15" t="s">
        <v>684</v>
      </c>
      <c r="F2627" s="19">
        <v>19.99</v>
      </c>
      <c r="G2627" s="15" t="s">
        <v>675</v>
      </c>
    </row>
    <row r="2628" ht="15.75" customHeight="1">
      <c r="A2628" s="17" t="s">
        <v>3299</v>
      </c>
      <c r="B2628" s="17" t="s">
        <v>546</v>
      </c>
      <c r="C2628" s="18">
        <v>45680.0</v>
      </c>
      <c r="D2628" s="18">
        <v>45687.0</v>
      </c>
      <c r="E2628" s="17" t="s">
        <v>674</v>
      </c>
      <c r="F2628" s="20">
        <v>0.0</v>
      </c>
      <c r="G2628" s="17" t="s">
        <v>675</v>
      </c>
    </row>
    <row r="2629" ht="15.75" customHeight="1">
      <c r="A2629" s="15" t="s">
        <v>3300</v>
      </c>
      <c r="B2629" s="15" t="s">
        <v>442</v>
      </c>
      <c r="C2629" s="16">
        <v>45680.0</v>
      </c>
      <c r="D2629" s="16">
        <v>45710.0</v>
      </c>
      <c r="E2629" s="15" t="s">
        <v>684</v>
      </c>
      <c r="F2629" s="19">
        <v>19.99</v>
      </c>
      <c r="G2629" s="15" t="s">
        <v>675</v>
      </c>
    </row>
    <row r="2630" ht="15.75" customHeight="1">
      <c r="A2630" s="17" t="s">
        <v>3301</v>
      </c>
      <c r="B2630" s="17" t="s">
        <v>139</v>
      </c>
      <c r="C2630" s="18">
        <v>45680.0</v>
      </c>
      <c r="D2630" s="18">
        <v>45710.0</v>
      </c>
      <c r="E2630" s="17" t="s">
        <v>684</v>
      </c>
      <c r="F2630" s="20">
        <v>19.99</v>
      </c>
      <c r="G2630" s="17" t="s">
        <v>675</v>
      </c>
    </row>
    <row r="2631" ht="15.75" customHeight="1">
      <c r="A2631" s="15" t="s">
        <v>3302</v>
      </c>
      <c r="B2631" s="15" t="s">
        <v>496</v>
      </c>
      <c r="C2631" s="16">
        <v>45680.0</v>
      </c>
      <c r="D2631" s="16">
        <v>45710.0</v>
      </c>
      <c r="E2631" s="15" t="s">
        <v>684</v>
      </c>
      <c r="F2631" s="19">
        <v>19.99</v>
      </c>
      <c r="G2631" s="15" t="s">
        <v>675</v>
      </c>
    </row>
    <row r="2632" ht="15.75" customHeight="1">
      <c r="A2632" s="17" t="s">
        <v>3303</v>
      </c>
      <c r="B2632" s="17" t="s">
        <v>538</v>
      </c>
      <c r="C2632" s="18">
        <v>45680.0</v>
      </c>
      <c r="D2632" s="18">
        <v>45710.0</v>
      </c>
      <c r="E2632" s="17" t="s">
        <v>684</v>
      </c>
      <c r="F2632" s="20">
        <v>19.99</v>
      </c>
      <c r="G2632" s="17" t="s">
        <v>675</v>
      </c>
    </row>
    <row r="2633" ht="15.75" customHeight="1">
      <c r="A2633" s="15" t="s">
        <v>3304</v>
      </c>
      <c r="B2633" s="15" t="s">
        <v>443</v>
      </c>
      <c r="C2633" s="16">
        <v>45680.0</v>
      </c>
      <c r="D2633" s="16">
        <v>45710.0</v>
      </c>
      <c r="E2633" s="15" t="s">
        <v>684</v>
      </c>
      <c r="F2633" s="19">
        <v>19.99</v>
      </c>
      <c r="G2633" s="15" t="s">
        <v>675</v>
      </c>
    </row>
    <row r="2634" ht="15.75" customHeight="1">
      <c r="A2634" s="17" t="s">
        <v>3305</v>
      </c>
      <c r="B2634" s="17" t="s">
        <v>314</v>
      </c>
      <c r="C2634" s="18">
        <v>45680.0</v>
      </c>
      <c r="D2634" s="18">
        <v>45710.0</v>
      </c>
      <c r="E2634" s="17" t="s">
        <v>684</v>
      </c>
      <c r="F2634" s="20">
        <v>19.99</v>
      </c>
      <c r="G2634" s="17" t="s">
        <v>675</v>
      </c>
    </row>
    <row r="2635" ht="15.75" customHeight="1">
      <c r="A2635" s="15" t="s">
        <v>3306</v>
      </c>
      <c r="B2635" s="15" t="s">
        <v>497</v>
      </c>
      <c r="C2635" s="16">
        <v>45680.0</v>
      </c>
      <c r="D2635" s="16">
        <v>45710.0</v>
      </c>
      <c r="E2635" s="15" t="s">
        <v>684</v>
      </c>
      <c r="F2635" s="19">
        <v>19.99</v>
      </c>
      <c r="G2635" s="15" t="s">
        <v>675</v>
      </c>
    </row>
    <row r="2636" ht="15.75" customHeight="1">
      <c r="A2636" s="17" t="s">
        <v>3307</v>
      </c>
      <c r="B2636" s="17" t="s">
        <v>351</v>
      </c>
      <c r="C2636" s="18">
        <v>45680.0</v>
      </c>
      <c r="D2636" s="18">
        <v>45710.0</v>
      </c>
      <c r="E2636" s="17" t="s">
        <v>684</v>
      </c>
      <c r="F2636" s="20">
        <v>19.99</v>
      </c>
      <c r="G2636" s="17" t="s">
        <v>675</v>
      </c>
    </row>
    <row r="2637" ht="15.75" customHeight="1">
      <c r="A2637" s="15" t="s">
        <v>3308</v>
      </c>
      <c r="B2637" s="15" t="s">
        <v>103</v>
      </c>
      <c r="C2637" s="16">
        <v>45680.0</v>
      </c>
      <c r="D2637" s="16">
        <v>45710.0</v>
      </c>
      <c r="E2637" s="15" t="s">
        <v>684</v>
      </c>
      <c r="F2637" s="19">
        <v>19.99</v>
      </c>
      <c r="G2637" s="15" t="s">
        <v>675</v>
      </c>
    </row>
    <row r="2638" ht="15.75" customHeight="1">
      <c r="A2638" s="17" t="s">
        <v>3309</v>
      </c>
      <c r="B2638" s="17" t="s">
        <v>446</v>
      </c>
      <c r="C2638" s="18">
        <v>45680.0</v>
      </c>
      <c r="D2638" s="18">
        <v>45710.0</v>
      </c>
      <c r="E2638" s="17" t="s">
        <v>684</v>
      </c>
      <c r="F2638" s="20">
        <v>19.99</v>
      </c>
      <c r="G2638" s="17" t="s">
        <v>675</v>
      </c>
    </row>
    <row r="2639" ht="15.75" customHeight="1">
      <c r="A2639" s="15" t="s">
        <v>3310</v>
      </c>
      <c r="B2639" s="15" t="s">
        <v>140</v>
      </c>
      <c r="C2639" s="16">
        <v>45680.0</v>
      </c>
      <c r="D2639" s="16">
        <v>45710.0</v>
      </c>
      <c r="E2639" s="15" t="s">
        <v>684</v>
      </c>
      <c r="F2639" s="19">
        <v>19.99</v>
      </c>
      <c r="G2639" s="15" t="s">
        <v>675</v>
      </c>
    </row>
    <row r="2640" ht="15.75" customHeight="1">
      <c r="A2640" s="17" t="s">
        <v>3311</v>
      </c>
      <c r="B2640" s="17" t="s">
        <v>171</v>
      </c>
      <c r="C2640" s="18">
        <v>45680.0</v>
      </c>
      <c r="D2640" s="18">
        <v>45710.0</v>
      </c>
      <c r="E2640" s="17" t="s">
        <v>684</v>
      </c>
      <c r="F2640" s="20">
        <v>19.99</v>
      </c>
      <c r="G2640" s="17" t="s">
        <v>675</v>
      </c>
    </row>
    <row r="2641" ht="15.75" customHeight="1">
      <c r="A2641" s="15" t="s">
        <v>3312</v>
      </c>
      <c r="B2641" s="15" t="s">
        <v>547</v>
      </c>
      <c r="C2641" s="16">
        <v>45680.0</v>
      </c>
      <c r="D2641" s="16">
        <v>45687.0</v>
      </c>
      <c r="E2641" s="15" t="s">
        <v>674</v>
      </c>
      <c r="F2641" s="19">
        <v>0.0</v>
      </c>
      <c r="G2641" s="15" t="s">
        <v>675</v>
      </c>
    </row>
    <row r="2642" ht="15.75" customHeight="1">
      <c r="A2642" s="17" t="s">
        <v>3313</v>
      </c>
      <c r="B2642" s="17" t="s">
        <v>230</v>
      </c>
      <c r="C2642" s="18">
        <v>45680.0</v>
      </c>
      <c r="D2642" s="18">
        <v>45710.0</v>
      </c>
      <c r="E2642" s="17" t="s">
        <v>684</v>
      </c>
      <c r="F2642" s="20">
        <v>19.99</v>
      </c>
      <c r="G2642" s="17" t="s">
        <v>675</v>
      </c>
    </row>
    <row r="2643" ht="15.75" customHeight="1">
      <c r="A2643" s="15" t="s">
        <v>3314</v>
      </c>
      <c r="B2643" s="15" t="s">
        <v>447</v>
      </c>
      <c r="C2643" s="16">
        <v>45681.0</v>
      </c>
      <c r="D2643" s="16">
        <v>45711.0</v>
      </c>
      <c r="E2643" s="15" t="s">
        <v>684</v>
      </c>
      <c r="F2643" s="19">
        <v>19.99</v>
      </c>
      <c r="G2643" s="15" t="s">
        <v>675</v>
      </c>
    </row>
    <row r="2644" ht="15.75" customHeight="1">
      <c r="A2644" s="17" t="s">
        <v>3315</v>
      </c>
      <c r="B2644" s="17" t="s">
        <v>353</v>
      </c>
      <c r="C2644" s="18">
        <v>45681.0</v>
      </c>
      <c r="D2644" s="18">
        <v>45711.0</v>
      </c>
      <c r="E2644" s="17" t="s">
        <v>684</v>
      </c>
      <c r="F2644" s="20">
        <v>19.99</v>
      </c>
      <c r="G2644" s="17" t="s">
        <v>675</v>
      </c>
    </row>
    <row r="2645" ht="15.75" customHeight="1">
      <c r="A2645" s="15" t="s">
        <v>3316</v>
      </c>
      <c r="B2645" s="15" t="s">
        <v>448</v>
      </c>
      <c r="C2645" s="16">
        <v>45681.0</v>
      </c>
      <c r="D2645" s="16">
        <v>45711.0</v>
      </c>
      <c r="E2645" s="15" t="s">
        <v>684</v>
      </c>
      <c r="F2645" s="19">
        <v>19.99</v>
      </c>
      <c r="G2645" s="15" t="s">
        <v>675</v>
      </c>
    </row>
    <row r="2646" ht="15.75" customHeight="1">
      <c r="A2646" s="17" t="s">
        <v>3317</v>
      </c>
      <c r="B2646" s="17" t="s">
        <v>548</v>
      </c>
      <c r="C2646" s="18">
        <v>45681.0</v>
      </c>
      <c r="D2646" s="18">
        <v>45688.0</v>
      </c>
      <c r="E2646" s="17" t="s">
        <v>674</v>
      </c>
      <c r="F2646" s="20">
        <v>0.0</v>
      </c>
      <c r="G2646" s="17" t="s">
        <v>675</v>
      </c>
    </row>
    <row r="2647" ht="15.75" customHeight="1">
      <c r="A2647" s="15" t="s">
        <v>3318</v>
      </c>
      <c r="B2647" s="15" t="s">
        <v>315</v>
      </c>
      <c r="C2647" s="16">
        <v>45681.0</v>
      </c>
      <c r="D2647" s="16">
        <v>45711.0</v>
      </c>
      <c r="E2647" s="15" t="s">
        <v>684</v>
      </c>
      <c r="F2647" s="19">
        <v>19.99</v>
      </c>
      <c r="G2647" s="15" t="s">
        <v>675</v>
      </c>
    </row>
    <row r="2648" ht="15.75" customHeight="1">
      <c r="A2648" s="17" t="s">
        <v>3319</v>
      </c>
      <c r="B2648" s="17" t="s">
        <v>396</v>
      </c>
      <c r="C2648" s="18">
        <v>45681.0</v>
      </c>
      <c r="D2648" s="18">
        <v>45711.0</v>
      </c>
      <c r="E2648" s="17" t="s">
        <v>684</v>
      </c>
      <c r="F2648" s="20">
        <v>19.99</v>
      </c>
      <c r="G2648" s="17" t="s">
        <v>675</v>
      </c>
    </row>
    <row r="2649" ht="15.75" customHeight="1">
      <c r="A2649" s="15" t="s">
        <v>3320</v>
      </c>
      <c r="B2649" s="15" t="s">
        <v>172</v>
      </c>
      <c r="C2649" s="16">
        <v>45681.0</v>
      </c>
      <c r="D2649" s="16">
        <v>45711.0</v>
      </c>
      <c r="E2649" s="15" t="s">
        <v>684</v>
      </c>
      <c r="F2649" s="19">
        <v>19.99</v>
      </c>
      <c r="G2649" s="15" t="s">
        <v>675</v>
      </c>
    </row>
    <row r="2650" ht="15.75" customHeight="1">
      <c r="A2650" s="17" t="s">
        <v>3321</v>
      </c>
      <c r="B2650" s="17" t="s">
        <v>498</v>
      </c>
      <c r="C2650" s="18">
        <v>45681.0</v>
      </c>
      <c r="D2650" s="18">
        <v>45711.0</v>
      </c>
      <c r="E2650" s="17" t="s">
        <v>684</v>
      </c>
      <c r="F2650" s="20">
        <v>19.99</v>
      </c>
      <c r="G2650" s="17" t="s">
        <v>675</v>
      </c>
    </row>
    <row r="2651" ht="15.75" customHeight="1">
      <c r="A2651" s="15" t="s">
        <v>3322</v>
      </c>
      <c r="B2651" s="15" t="s">
        <v>549</v>
      </c>
      <c r="C2651" s="16">
        <v>45681.0</v>
      </c>
      <c r="D2651" s="16">
        <v>45688.0</v>
      </c>
      <c r="E2651" s="15" t="s">
        <v>674</v>
      </c>
      <c r="F2651" s="19">
        <v>0.0</v>
      </c>
      <c r="G2651" s="15" t="s">
        <v>675</v>
      </c>
    </row>
    <row r="2652" ht="15.75" customHeight="1">
      <c r="A2652" s="17" t="s">
        <v>3323</v>
      </c>
      <c r="B2652" s="17" t="s">
        <v>449</v>
      </c>
      <c r="C2652" s="18">
        <v>45681.0</v>
      </c>
      <c r="D2652" s="18">
        <v>45711.0</v>
      </c>
      <c r="E2652" s="17" t="s">
        <v>684</v>
      </c>
      <c r="F2652" s="20">
        <v>19.99</v>
      </c>
      <c r="G2652" s="17" t="s">
        <v>675</v>
      </c>
    </row>
    <row r="2653" ht="15.75" customHeight="1">
      <c r="A2653" s="15" t="s">
        <v>3324</v>
      </c>
      <c r="B2653" s="15" t="s">
        <v>316</v>
      </c>
      <c r="C2653" s="16">
        <v>45681.0</v>
      </c>
      <c r="D2653" s="16">
        <v>45711.0</v>
      </c>
      <c r="E2653" s="15" t="s">
        <v>684</v>
      </c>
      <c r="F2653" s="19">
        <v>19.99</v>
      </c>
      <c r="G2653" s="15" t="s">
        <v>675</v>
      </c>
    </row>
    <row r="2654" ht="15.75" customHeight="1">
      <c r="A2654" s="17" t="s">
        <v>3325</v>
      </c>
      <c r="B2654" s="17" t="s">
        <v>539</v>
      </c>
      <c r="C2654" s="18">
        <v>45681.0</v>
      </c>
      <c r="D2654" s="18">
        <v>45711.0</v>
      </c>
      <c r="E2654" s="17" t="s">
        <v>684</v>
      </c>
      <c r="F2654" s="20">
        <v>19.99</v>
      </c>
      <c r="G2654" s="17" t="s">
        <v>675</v>
      </c>
    </row>
    <row r="2655" ht="15.75" customHeight="1">
      <c r="A2655" s="15" t="s">
        <v>3326</v>
      </c>
      <c r="B2655" s="15" t="s">
        <v>210</v>
      </c>
      <c r="C2655" s="16">
        <v>45681.0</v>
      </c>
      <c r="D2655" s="16">
        <v>45711.0</v>
      </c>
      <c r="E2655" s="15" t="s">
        <v>684</v>
      </c>
      <c r="F2655" s="19">
        <v>19.99</v>
      </c>
      <c r="G2655" s="15" t="s">
        <v>675</v>
      </c>
    </row>
    <row r="2656" ht="15.75" customHeight="1">
      <c r="A2656" s="17" t="s">
        <v>3327</v>
      </c>
      <c r="B2656" s="17" t="s">
        <v>499</v>
      </c>
      <c r="C2656" s="18">
        <v>45681.0</v>
      </c>
      <c r="D2656" s="18">
        <v>45711.0</v>
      </c>
      <c r="E2656" s="17" t="s">
        <v>684</v>
      </c>
      <c r="F2656" s="20">
        <v>19.99</v>
      </c>
      <c r="G2656" s="17" t="s">
        <v>675</v>
      </c>
    </row>
    <row r="2657" ht="15.75" customHeight="1">
      <c r="A2657" s="15" t="s">
        <v>3328</v>
      </c>
      <c r="B2657" s="15" t="s">
        <v>317</v>
      </c>
      <c r="C2657" s="16">
        <v>45682.0</v>
      </c>
      <c r="D2657" s="16">
        <v>45712.0</v>
      </c>
      <c r="E2657" s="15" t="s">
        <v>684</v>
      </c>
      <c r="F2657" s="19">
        <v>19.99</v>
      </c>
      <c r="G2657" s="15" t="s">
        <v>675</v>
      </c>
    </row>
    <row r="2658" ht="15.75" customHeight="1">
      <c r="A2658" s="17" t="s">
        <v>3329</v>
      </c>
      <c r="B2658" s="17" t="s">
        <v>397</v>
      </c>
      <c r="C2658" s="18">
        <v>45682.0</v>
      </c>
      <c r="D2658" s="18">
        <v>45712.0</v>
      </c>
      <c r="E2658" s="17" t="s">
        <v>684</v>
      </c>
      <c r="F2658" s="20">
        <v>19.99</v>
      </c>
      <c r="G2658" s="17" t="s">
        <v>675</v>
      </c>
    </row>
    <row r="2659" ht="15.75" customHeight="1">
      <c r="A2659" s="15" t="s">
        <v>3330</v>
      </c>
      <c r="B2659" s="15" t="s">
        <v>500</v>
      </c>
      <c r="C2659" s="16">
        <v>45682.0</v>
      </c>
      <c r="D2659" s="16">
        <v>45712.0</v>
      </c>
      <c r="E2659" s="15" t="s">
        <v>684</v>
      </c>
      <c r="F2659" s="19">
        <v>19.99</v>
      </c>
      <c r="G2659" s="15" t="s">
        <v>675</v>
      </c>
    </row>
    <row r="2660" ht="15.75" customHeight="1">
      <c r="A2660" s="17" t="s">
        <v>3331</v>
      </c>
      <c r="B2660" s="17" t="s">
        <v>104</v>
      </c>
      <c r="C2660" s="18">
        <v>45682.0</v>
      </c>
      <c r="D2660" s="18">
        <v>45712.0</v>
      </c>
      <c r="E2660" s="17" t="s">
        <v>684</v>
      </c>
      <c r="F2660" s="20">
        <v>19.99</v>
      </c>
      <c r="G2660" s="17" t="s">
        <v>675</v>
      </c>
    </row>
    <row r="2661" ht="15.75" customHeight="1">
      <c r="A2661" s="15" t="s">
        <v>3332</v>
      </c>
      <c r="B2661" s="15" t="s">
        <v>211</v>
      </c>
      <c r="C2661" s="16">
        <v>45682.0</v>
      </c>
      <c r="D2661" s="16">
        <v>45712.0</v>
      </c>
      <c r="E2661" s="15" t="s">
        <v>684</v>
      </c>
      <c r="F2661" s="19">
        <v>19.99</v>
      </c>
      <c r="G2661" s="15" t="s">
        <v>675</v>
      </c>
    </row>
    <row r="2662" ht="15.75" customHeight="1">
      <c r="A2662" s="17" t="s">
        <v>3333</v>
      </c>
      <c r="B2662" s="17" t="s">
        <v>354</v>
      </c>
      <c r="C2662" s="18">
        <v>45682.0</v>
      </c>
      <c r="D2662" s="18">
        <v>45712.0</v>
      </c>
      <c r="E2662" s="17" t="s">
        <v>684</v>
      </c>
      <c r="F2662" s="20">
        <v>19.99</v>
      </c>
      <c r="G2662" s="17" t="s">
        <v>675</v>
      </c>
    </row>
    <row r="2663" ht="15.75" customHeight="1">
      <c r="A2663" s="15" t="s">
        <v>3334</v>
      </c>
      <c r="B2663" s="15" t="s">
        <v>550</v>
      </c>
      <c r="C2663" s="16">
        <v>45682.0</v>
      </c>
      <c r="D2663" s="16">
        <v>45689.0</v>
      </c>
      <c r="E2663" s="15" t="s">
        <v>674</v>
      </c>
      <c r="F2663" s="19">
        <v>0.0</v>
      </c>
      <c r="G2663" s="15" t="s">
        <v>675</v>
      </c>
    </row>
    <row r="2664" ht="15.75" customHeight="1">
      <c r="A2664" s="17" t="s">
        <v>3335</v>
      </c>
      <c r="B2664" s="17" t="s">
        <v>551</v>
      </c>
      <c r="C2664" s="18">
        <v>45682.0</v>
      </c>
      <c r="D2664" s="18">
        <v>45689.0</v>
      </c>
      <c r="E2664" s="17" t="s">
        <v>674</v>
      </c>
      <c r="F2664" s="20">
        <v>0.0</v>
      </c>
      <c r="G2664" s="17" t="s">
        <v>675</v>
      </c>
    </row>
    <row r="2665" ht="15.75" customHeight="1">
      <c r="A2665" s="15" t="s">
        <v>3336</v>
      </c>
      <c r="B2665" s="15" t="s">
        <v>540</v>
      </c>
      <c r="C2665" s="16">
        <v>45682.0</v>
      </c>
      <c r="D2665" s="16">
        <v>45712.0</v>
      </c>
      <c r="E2665" s="15" t="s">
        <v>684</v>
      </c>
      <c r="F2665" s="19">
        <v>19.99</v>
      </c>
      <c r="G2665" s="15" t="s">
        <v>675</v>
      </c>
    </row>
    <row r="2666" ht="15.75" customHeight="1">
      <c r="A2666" s="17" t="s">
        <v>3337</v>
      </c>
      <c r="B2666" s="17" t="s">
        <v>266</v>
      </c>
      <c r="C2666" s="18">
        <v>45682.0</v>
      </c>
      <c r="D2666" s="18">
        <v>45712.0</v>
      </c>
      <c r="E2666" s="17" t="s">
        <v>684</v>
      </c>
      <c r="F2666" s="20">
        <v>19.99</v>
      </c>
      <c r="G2666" s="17" t="s">
        <v>675</v>
      </c>
    </row>
    <row r="2667" ht="15.75" customHeight="1">
      <c r="A2667" s="15" t="s">
        <v>3338</v>
      </c>
      <c r="B2667" s="15" t="s">
        <v>267</v>
      </c>
      <c r="C2667" s="16">
        <v>45682.0</v>
      </c>
      <c r="D2667" s="16">
        <v>45712.0</v>
      </c>
      <c r="E2667" s="15" t="s">
        <v>684</v>
      </c>
      <c r="F2667" s="19">
        <v>19.99</v>
      </c>
      <c r="G2667" s="15" t="s">
        <v>675</v>
      </c>
    </row>
    <row r="2668" ht="15.75" customHeight="1">
      <c r="A2668" s="17" t="s">
        <v>3339</v>
      </c>
      <c r="B2668" s="17" t="s">
        <v>398</v>
      </c>
      <c r="C2668" s="18">
        <v>45683.0</v>
      </c>
      <c r="D2668" s="18">
        <v>45713.0</v>
      </c>
      <c r="E2668" s="17" t="s">
        <v>684</v>
      </c>
      <c r="F2668" s="20">
        <v>19.99</v>
      </c>
      <c r="G2668" s="17" t="s">
        <v>675</v>
      </c>
    </row>
    <row r="2669" ht="15.75" customHeight="1">
      <c r="A2669" s="15" t="s">
        <v>3340</v>
      </c>
      <c r="B2669" s="15" t="s">
        <v>268</v>
      </c>
      <c r="C2669" s="16">
        <v>45683.0</v>
      </c>
      <c r="D2669" s="16">
        <v>45713.0</v>
      </c>
      <c r="E2669" s="15" t="s">
        <v>684</v>
      </c>
      <c r="F2669" s="19">
        <v>19.99</v>
      </c>
      <c r="G2669" s="15" t="s">
        <v>675</v>
      </c>
    </row>
    <row r="2670" ht="15.75" customHeight="1">
      <c r="A2670" s="17" t="s">
        <v>3341</v>
      </c>
      <c r="B2670" s="17" t="s">
        <v>501</v>
      </c>
      <c r="C2670" s="18">
        <v>45683.0</v>
      </c>
      <c r="D2670" s="18">
        <v>45713.0</v>
      </c>
      <c r="E2670" s="17" t="s">
        <v>684</v>
      </c>
      <c r="F2670" s="20">
        <v>19.99</v>
      </c>
      <c r="G2670" s="17" t="s">
        <v>675</v>
      </c>
    </row>
    <row r="2671" ht="15.75" customHeight="1">
      <c r="A2671" s="15" t="s">
        <v>3342</v>
      </c>
      <c r="B2671" s="15" t="s">
        <v>552</v>
      </c>
      <c r="C2671" s="16">
        <v>45683.0</v>
      </c>
      <c r="D2671" s="16">
        <v>45690.0</v>
      </c>
      <c r="E2671" s="15" t="s">
        <v>674</v>
      </c>
      <c r="F2671" s="19">
        <v>0.0</v>
      </c>
      <c r="G2671" s="15" t="s">
        <v>675</v>
      </c>
    </row>
    <row r="2672" ht="15.75" customHeight="1">
      <c r="A2672" s="17" t="s">
        <v>3343</v>
      </c>
      <c r="B2672" s="17" t="s">
        <v>502</v>
      </c>
      <c r="C2672" s="18">
        <v>45683.0</v>
      </c>
      <c r="D2672" s="18">
        <v>45713.0</v>
      </c>
      <c r="E2672" s="17" t="s">
        <v>684</v>
      </c>
      <c r="F2672" s="20">
        <v>19.99</v>
      </c>
      <c r="G2672" s="17" t="s">
        <v>675</v>
      </c>
    </row>
    <row r="2673" ht="15.75" customHeight="1">
      <c r="A2673" s="15" t="s">
        <v>3344</v>
      </c>
      <c r="B2673" s="15" t="s">
        <v>553</v>
      </c>
      <c r="C2673" s="16">
        <v>45683.0</v>
      </c>
      <c r="D2673" s="16">
        <v>45690.0</v>
      </c>
      <c r="E2673" s="15" t="s">
        <v>674</v>
      </c>
      <c r="F2673" s="19">
        <v>0.0</v>
      </c>
      <c r="G2673" s="15" t="s">
        <v>675</v>
      </c>
    </row>
    <row r="2674" ht="15.75" customHeight="1">
      <c r="A2674" s="17" t="s">
        <v>3345</v>
      </c>
      <c r="B2674" s="17" t="s">
        <v>85</v>
      </c>
      <c r="C2674" s="18">
        <v>45683.0</v>
      </c>
      <c r="D2674" s="18">
        <v>45713.0</v>
      </c>
      <c r="E2674" s="17" t="s">
        <v>684</v>
      </c>
      <c r="F2674" s="20">
        <v>19.99</v>
      </c>
      <c r="G2674" s="17" t="s">
        <v>675</v>
      </c>
    </row>
    <row r="2675" ht="15.75" customHeight="1">
      <c r="A2675" s="15" t="s">
        <v>3346</v>
      </c>
      <c r="B2675" s="15" t="s">
        <v>541</v>
      </c>
      <c r="C2675" s="16">
        <v>45683.0</v>
      </c>
      <c r="D2675" s="16">
        <v>45713.0</v>
      </c>
      <c r="E2675" s="15" t="s">
        <v>684</v>
      </c>
      <c r="F2675" s="19">
        <v>19.99</v>
      </c>
      <c r="G2675" s="15" t="s">
        <v>675</v>
      </c>
    </row>
    <row r="2676" ht="15.75" customHeight="1">
      <c r="A2676" s="17" t="s">
        <v>3347</v>
      </c>
      <c r="B2676" s="17" t="s">
        <v>503</v>
      </c>
      <c r="C2676" s="18">
        <v>45683.0</v>
      </c>
      <c r="D2676" s="18">
        <v>45713.0</v>
      </c>
      <c r="E2676" s="17" t="s">
        <v>684</v>
      </c>
      <c r="F2676" s="20">
        <v>19.99</v>
      </c>
      <c r="G2676" s="17" t="s">
        <v>675</v>
      </c>
    </row>
    <row r="2677" ht="15.75" customHeight="1">
      <c r="A2677" s="15" t="s">
        <v>3348</v>
      </c>
      <c r="B2677" s="15" t="s">
        <v>399</v>
      </c>
      <c r="C2677" s="16">
        <v>45683.0</v>
      </c>
      <c r="D2677" s="16">
        <v>45713.0</v>
      </c>
      <c r="E2677" s="15" t="s">
        <v>684</v>
      </c>
      <c r="F2677" s="19">
        <v>19.99</v>
      </c>
      <c r="G2677" s="15" t="s">
        <v>675</v>
      </c>
    </row>
    <row r="2678" ht="15.75" customHeight="1">
      <c r="A2678" s="17" t="s">
        <v>3349</v>
      </c>
      <c r="B2678" s="17" t="s">
        <v>504</v>
      </c>
      <c r="C2678" s="18">
        <v>45683.0</v>
      </c>
      <c r="D2678" s="18">
        <v>45713.0</v>
      </c>
      <c r="E2678" s="17" t="s">
        <v>684</v>
      </c>
      <c r="F2678" s="20">
        <v>19.99</v>
      </c>
      <c r="G2678" s="17" t="s">
        <v>675</v>
      </c>
    </row>
    <row r="2679" ht="15.75" customHeight="1">
      <c r="A2679" s="15" t="s">
        <v>3350</v>
      </c>
      <c r="B2679" s="15" t="s">
        <v>554</v>
      </c>
      <c r="C2679" s="16">
        <v>45683.0</v>
      </c>
      <c r="D2679" s="16">
        <v>45690.0</v>
      </c>
      <c r="E2679" s="15" t="s">
        <v>674</v>
      </c>
      <c r="F2679" s="19">
        <v>0.0</v>
      </c>
      <c r="G2679" s="15" t="s">
        <v>675</v>
      </c>
    </row>
    <row r="2680" ht="15.75" customHeight="1">
      <c r="A2680" s="17" t="s">
        <v>3351</v>
      </c>
      <c r="B2680" s="17" t="s">
        <v>400</v>
      </c>
      <c r="C2680" s="18">
        <v>45683.0</v>
      </c>
      <c r="D2680" s="18">
        <v>45713.0</v>
      </c>
      <c r="E2680" s="17" t="s">
        <v>684</v>
      </c>
      <c r="F2680" s="20">
        <v>19.99</v>
      </c>
      <c r="G2680" s="17" t="s">
        <v>675</v>
      </c>
    </row>
    <row r="2681" ht="15.75" customHeight="1">
      <c r="A2681" s="15" t="s">
        <v>3352</v>
      </c>
      <c r="B2681" s="15" t="s">
        <v>173</v>
      </c>
      <c r="C2681" s="16">
        <v>45683.0</v>
      </c>
      <c r="D2681" s="16">
        <v>45713.0</v>
      </c>
      <c r="E2681" s="15" t="s">
        <v>684</v>
      </c>
      <c r="F2681" s="19">
        <v>19.99</v>
      </c>
      <c r="G2681" s="15" t="s">
        <v>675</v>
      </c>
    </row>
    <row r="2682" ht="15.75" customHeight="1">
      <c r="A2682" s="17" t="s">
        <v>3353</v>
      </c>
      <c r="B2682" s="17" t="s">
        <v>318</v>
      </c>
      <c r="C2682" s="18">
        <v>45683.0</v>
      </c>
      <c r="D2682" s="18">
        <v>45713.0</v>
      </c>
      <c r="E2682" s="17" t="s">
        <v>684</v>
      </c>
      <c r="F2682" s="20">
        <v>19.99</v>
      </c>
      <c r="G2682" s="17" t="s">
        <v>675</v>
      </c>
    </row>
    <row r="2683" ht="15.75" customHeight="1">
      <c r="A2683" s="15" t="s">
        <v>3354</v>
      </c>
      <c r="B2683" s="15" t="s">
        <v>234</v>
      </c>
      <c r="C2683" s="16">
        <v>45683.0</v>
      </c>
      <c r="D2683" s="16">
        <v>45713.0</v>
      </c>
      <c r="E2683" s="15" t="s">
        <v>684</v>
      </c>
      <c r="F2683" s="19">
        <v>19.99</v>
      </c>
      <c r="G2683" s="15" t="s">
        <v>675</v>
      </c>
    </row>
    <row r="2684" ht="15.75" customHeight="1">
      <c r="A2684" s="17" t="s">
        <v>3355</v>
      </c>
      <c r="B2684" s="17" t="s">
        <v>174</v>
      </c>
      <c r="C2684" s="18">
        <v>45683.0</v>
      </c>
      <c r="D2684" s="18">
        <v>45713.0</v>
      </c>
      <c r="E2684" s="17" t="s">
        <v>684</v>
      </c>
      <c r="F2684" s="20">
        <v>19.99</v>
      </c>
      <c r="G2684" s="17" t="s">
        <v>675</v>
      </c>
    </row>
    <row r="2685" ht="15.75" customHeight="1">
      <c r="A2685" s="15" t="s">
        <v>3356</v>
      </c>
      <c r="B2685" s="15" t="s">
        <v>401</v>
      </c>
      <c r="C2685" s="16">
        <v>45684.0</v>
      </c>
      <c r="D2685" s="16">
        <v>45714.0</v>
      </c>
      <c r="E2685" s="15" t="s">
        <v>684</v>
      </c>
      <c r="F2685" s="19">
        <v>19.99</v>
      </c>
      <c r="G2685" s="15" t="s">
        <v>675</v>
      </c>
    </row>
    <row r="2686" ht="15.75" customHeight="1">
      <c r="A2686" s="17" t="s">
        <v>3357</v>
      </c>
      <c r="B2686" s="17" t="s">
        <v>235</v>
      </c>
      <c r="C2686" s="18">
        <v>45684.0</v>
      </c>
      <c r="D2686" s="18">
        <v>45714.0</v>
      </c>
      <c r="E2686" s="17" t="s">
        <v>684</v>
      </c>
      <c r="F2686" s="20">
        <v>19.99</v>
      </c>
      <c r="G2686" s="17" t="s">
        <v>675</v>
      </c>
    </row>
    <row r="2687" ht="15.75" customHeight="1">
      <c r="A2687" s="15" t="s">
        <v>3358</v>
      </c>
      <c r="B2687" s="15" t="s">
        <v>542</v>
      </c>
      <c r="C2687" s="16">
        <v>45684.0</v>
      </c>
      <c r="D2687" s="16">
        <v>45714.0</v>
      </c>
      <c r="E2687" s="15" t="s">
        <v>684</v>
      </c>
      <c r="F2687" s="19">
        <v>19.99</v>
      </c>
      <c r="G2687" s="15" t="s">
        <v>675</v>
      </c>
    </row>
    <row r="2688" ht="15.75" customHeight="1">
      <c r="A2688" s="17" t="s">
        <v>3359</v>
      </c>
      <c r="B2688" s="17" t="s">
        <v>450</v>
      </c>
      <c r="C2688" s="18">
        <v>45684.0</v>
      </c>
      <c r="D2688" s="18">
        <v>45714.0</v>
      </c>
      <c r="E2688" s="17" t="s">
        <v>684</v>
      </c>
      <c r="F2688" s="20">
        <v>19.99</v>
      </c>
      <c r="G2688" s="17" t="s">
        <v>675</v>
      </c>
    </row>
    <row r="2689" ht="15.75" customHeight="1">
      <c r="A2689" s="15" t="s">
        <v>3360</v>
      </c>
      <c r="B2689" s="15" t="s">
        <v>175</v>
      </c>
      <c r="C2689" s="16">
        <v>45684.0</v>
      </c>
      <c r="D2689" s="16">
        <v>45714.0</v>
      </c>
      <c r="E2689" s="15" t="s">
        <v>684</v>
      </c>
      <c r="F2689" s="19">
        <v>19.99</v>
      </c>
      <c r="G2689" s="15" t="s">
        <v>675</v>
      </c>
    </row>
    <row r="2690" ht="15.75" customHeight="1">
      <c r="A2690" s="17" t="s">
        <v>3361</v>
      </c>
      <c r="B2690" s="17" t="s">
        <v>555</v>
      </c>
      <c r="C2690" s="18">
        <v>45684.0</v>
      </c>
      <c r="D2690" s="18">
        <v>45691.0</v>
      </c>
      <c r="E2690" s="17" t="s">
        <v>674</v>
      </c>
      <c r="F2690" s="20">
        <v>0.0</v>
      </c>
      <c r="G2690" s="17" t="s">
        <v>675</v>
      </c>
    </row>
    <row r="2691" ht="15.75" customHeight="1">
      <c r="A2691" s="15" t="s">
        <v>3362</v>
      </c>
      <c r="B2691" s="15" t="s">
        <v>236</v>
      </c>
      <c r="C2691" s="16">
        <v>45684.0</v>
      </c>
      <c r="D2691" s="16">
        <v>45714.0</v>
      </c>
      <c r="E2691" s="15" t="s">
        <v>684</v>
      </c>
      <c r="F2691" s="19">
        <v>19.99</v>
      </c>
      <c r="G2691" s="15" t="s">
        <v>675</v>
      </c>
    </row>
    <row r="2692" ht="15.75" customHeight="1">
      <c r="A2692" s="17" t="s">
        <v>3363</v>
      </c>
      <c r="B2692" s="17" t="s">
        <v>543</v>
      </c>
      <c r="C2692" s="18">
        <v>45684.0</v>
      </c>
      <c r="D2692" s="18">
        <v>45714.0</v>
      </c>
      <c r="E2692" s="17" t="s">
        <v>684</v>
      </c>
      <c r="F2692" s="20">
        <v>19.99</v>
      </c>
      <c r="G2692" s="17" t="s">
        <v>675</v>
      </c>
    </row>
    <row r="2693" ht="15.75" customHeight="1">
      <c r="A2693" s="15" t="s">
        <v>3364</v>
      </c>
      <c r="B2693" s="15" t="s">
        <v>237</v>
      </c>
      <c r="C2693" s="16">
        <v>45684.0</v>
      </c>
      <c r="D2693" s="16">
        <v>45714.0</v>
      </c>
      <c r="E2693" s="15" t="s">
        <v>684</v>
      </c>
      <c r="F2693" s="19">
        <v>19.99</v>
      </c>
      <c r="G2693" s="15" t="s">
        <v>675</v>
      </c>
    </row>
    <row r="2694" ht="15.75" customHeight="1">
      <c r="A2694" s="17" t="s">
        <v>3365</v>
      </c>
      <c r="B2694" s="17" t="s">
        <v>269</v>
      </c>
      <c r="C2694" s="18">
        <v>45684.0</v>
      </c>
      <c r="D2694" s="18">
        <v>45714.0</v>
      </c>
      <c r="E2694" s="17" t="s">
        <v>684</v>
      </c>
      <c r="F2694" s="20">
        <v>19.99</v>
      </c>
      <c r="G2694" s="17" t="s">
        <v>675</v>
      </c>
    </row>
    <row r="2695" ht="15.75" customHeight="1">
      <c r="A2695" s="15" t="s">
        <v>3366</v>
      </c>
      <c r="B2695" s="15" t="s">
        <v>319</v>
      </c>
      <c r="C2695" s="16">
        <v>45684.0</v>
      </c>
      <c r="D2695" s="16">
        <v>45714.0</v>
      </c>
      <c r="E2695" s="15" t="s">
        <v>684</v>
      </c>
      <c r="F2695" s="19">
        <v>19.99</v>
      </c>
      <c r="G2695" s="15" t="s">
        <v>675</v>
      </c>
    </row>
    <row r="2696" ht="15.75" customHeight="1">
      <c r="A2696" s="17" t="s">
        <v>3367</v>
      </c>
      <c r="B2696" s="17" t="s">
        <v>451</v>
      </c>
      <c r="C2696" s="18">
        <v>45684.0</v>
      </c>
      <c r="D2696" s="18">
        <v>45714.0</v>
      </c>
      <c r="E2696" s="17" t="s">
        <v>684</v>
      </c>
      <c r="F2696" s="20">
        <v>19.99</v>
      </c>
      <c r="G2696" s="17" t="s">
        <v>675</v>
      </c>
    </row>
    <row r="2697" ht="15.75" customHeight="1">
      <c r="A2697" s="15" t="s">
        <v>3368</v>
      </c>
      <c r="B2697" s="15" t="s">
        <v>402</v>
      </c>
      <c r="C2697" s="16">
        <v>45684.0</v>
      </c>
      <c r="D2697" s="16">
        <v>45714.0</v>
      </c>
      <c r="E2697" s="15" t="s">
        <v>684</v>
      </c>
      <c r="F2697" s="19">
        <v>19.99</v>
      </c>
      <c r="G2697" s="15" t="s">
        <v>675</v>
      </c>
    </row>
    <row r="2698" ht="15.75" customHeight="1">
      <c r="A2698" s="17" t="s">
        <v>3369</v>
      </c>
      <c r="B2698" s="17" t="s">
        <v>143</v>
      </c>
      <c r="C2698" s="18">
        <v>45684.0</v>
      </c>
      <c r="D2698" s="18">
        <v>45714.0</v>
      </c>
      <c r="E2698" s="17" t="s">
        <v>684</v>
      </c>
      <c r="F2698" s="20">
        <v>19.99</v>
      </c>
      <c r="G2698" s="17" t="s">
        <v>675</v>
      </c>
    </row>
    <row r="2699" ht="15.75" customHeight="1">
      <c r="A2699" s="15" t="s">
        <v>3370</v>
      </c>
      <c r="B2699" s="15" t="s">
        <v>505</v>
      </c>
      <c r="C2699" s="16">
        <v>45684.0</v>
      </c>
      <c r="D2699" s="16">
        <v>45714.0</v>
      </c>
      <c r="E2699" s="15" t="s">
        <v>684</v>
      </c>
      <c r="F2699" s="19">
        <v>19.99</v>
      </c>
      <c r="G2699" s="15" t="s">
        <v>675</v>
      </c>
    </row>
    <row r="2700" ht="15.75" customHeight="1">
      <c r="A2700" s="17" t="s">
        <v>3371</v>
      </c>
      <c r="B2700" s="17" t="s">
        <v>176</v>
      </c>
      <c r="C2700" s="18">
        <v>45685.0</v>
      </c>
      <c r="D2700" s="18">
        <v>45715.0</v>
      </c>
      <c r="E2700" s="17" t="s">
        <v>684</v>
      </c>
      <c r="F2700" s="20">
        <v>19.99</v>
      </c>
      <c r="G2700" s="17" t="s">
        <v>675</v>
      </c>
    </row>
    <row r="2701" ht="15.75" customHeight="1">
      <c r="A2701" s="15" t="s">
        <v>3372</v>
      </c>
      <c r="B2701" s="15" t="s">
        <v>177</v>
      </c>
      <c r="C2701" s="16">
        <v>45685.0</v>
      </c>
      <c r="D2701" s="16">
        <v>45715.0</v>
      </c>
      <c r="E2701" s="15" t="s">
        <v>684</v>
      </c>
      <c r="F2701" s="19">
        <v>19.99</v>
      </c>
      <c r="G2701" s="15" t="s">
        <v>675</v>
      </c>
    </row>
    <row r="2702" ht="15.75" customHeight="1">
      <c r="A2702" s="17" t="s">
        <v>3373</v>
      </c>
      <c r="B2702" s="17" t="s">
        <v>106</v>
      </c>
      <c r="C2702" s="18">
        <v>45685.0</v>
      </c>
      <c r="D2702" s="18">
        <v>45715.0</v>
      </c>
      <c r="E2702" s="17" t="s">
        <v>684</v>
      </c>
      <c r="F2702" s="20">
        <v>19.99</v>
      </c>
      <c r="G2702" s="17" t="s">
        <v>675</v>
      </c>
    </row>
    <row r="2703" ht="15.75" customHeight="1">
      <c r="A2703" s="15" t="s">
        <v>3374</v>
      </c>
      <c r="B2703" s="15" t="s">
        <v>452</v>
      </c>
      <c r="C2703" s="16">
        <v>45685.0</v>
      </c>
      <c r="D2703" s="16">
        <v>45715.0</v>
      </c>
      <c r="E2703" s="15" t="s">
        <v>684</v>
      </c>
      <c r="F2703" s="19">
        <v>19.99</v>
      </c>
      <c r="G2703" s="15" t="s">
        <v>675</v>
      </c>
    </row>
    <row r="2704" ht="15.75" customHeight="1">
      <c r="A2704" s="17" t="s">
        <v>3375</v>
      </c>
      <c r="B2704" s="17" t="s">
        <v>506</v>
      </c>
      <c r="C2704" s="18">
        <v>45685.0</v>
      </c>
      <c r="D2704" s="18">
        <v>45715.0</v>
      </c>
      <c r="E2704" s="17" t="s">
        <v>684</v>
      </c>
      <c r="F2704" s="20">
        <v>19.99</v>
      </c>
      <c r="G2704" s="17" t="s">
        <v>675</v>
      </c>
    </row>
    <row r="2705" ht="15.75" customHeight="1">
      <c r="A2705" s="15" t="s">
        <v>3376</v>
      </c>
      <c r="B2705" s="15" t="s">
        <v>272</v>
      </c>
      <c r="C2705" s="16">
        <v>45685.0</v>
      </c>
      <c r="D2705" s="16">
        <v>45715.0</v>
      </c>
      <c r="E2705" s="15" t="s">
        <v>684</v>
      </c>
      <c r="F2705" s="19">
        <v>19.99</v>
      </c>
      <c r="G2705" s="15" t="s">
        <v>675</v>
      </c>
    </row>
    <row r="2706" ht="15.75" customHeight="1">
      <c r="A2706" s="17" t="s">
        <v>3377</v>
      </c>
      <c r="B2706" s="17" t="s">
        <v>556</v>
      </c>
      <c r="C2706" s="18">
        <v>45685.0</v>
      </c>
      <c r="D2706" s="18">
        <v>45692.0</v>
      </c>
      <c r="E2706" s="17" t="s">
        <v>674</v>
      </c>
      <c r="F2706" s="20">
        <v>0.0</v>
      </c>
      <c r="G2706" s="17" t="s">
        <v>675</v>
      </c>
    </row>
    <row r="2707" ht="15.75" customHeight="1">
      <c r="A2707" s="15" t="s">
        <v>3378</v>
      </c>
      <c r="B2707" s="15" t="s">
        <v>557</v>
      </c>
      <c r="C2707" s="16">
        <v>45685.0</v>
      </c>
      <c r="D2707" s="16">
        <v>45692.0</v>
      </c>
      <c r="E2707" s="15" t="s">
        <v>674</v>
      </c>
      <c r="F2707" s="19">
        <v>0.0</v>
      </c>
      <c r="G2707" s="15" t="s">
        <v>675</v>
      </c>
    </row>
    <row r="2708" ht="15.75" customHeight="1">
      <c r="A2708" s="17" t="s">
        <v>3379</v>
      </c>
      <c r="B2708" s="17" t="s">
        <v>507</v>
      </c>
      <c r="C2708" s="18">
        <v>45685.0</v>
      </c>
      <c r="D2708" s="18">
        <v>45715.0</v>
      </c>
      <c r="E2708" s="17" t="s">
        <v>684</v>
      </c>
      <c r="F2708" s="20">
        <v>19.99</v>
      </c>
      <c r="G2708" s="17" t="s">
        <v>675</v>
      </c>
    </row>
    <row r="2709" ht="15.75" customHeight="1">
      <c r="A2709" s="15" t="s">
        <v>3380</v>
      </c>
      <c r="B2709" s="15" t="s">
        <v>179</v>
      </c>
      <c r="C2709" s="16">
        <v>45685.0</v>
      </c>
      <c r="D2709" s="16">
        <v>45715.0</v>
      </c>
      <c r="E2709" s="15" t="s">
        <v>684</v>
      </c>
      <c r="F2709" s="19">
        <v>19.99</v>
      </c>
      <c r="G2709" s="15" t="s">
        <v>675</v>
      </c>
    </row>
    <row r="2710" ht="15.75" customHeight="1">
      <c r="A2710" s="17" t="s">
        <v>3381</v>
      </c>
      <c r="B2710" s="17" t="s">
        <v>558</v>
      </c>
      <c r="C2710" s="18">
        <v>45685.0</v>
      </c>
      <c r="D2710" s="18">
        <v>45692.0</v>
      </c>
      <c r="E2710" s="17" t="s">
        <v>674</v>
      </c>
      <c r="F2710" s="20">
        <v>0.0</v>
      </c>
      <c r="G2710" s="17" t="s">
        <v>675</v>
      </c>
    </row>
    <row r="2711" ht="15.75" customHeight="1">
      <c r="A2711" s="15" t="s">
        <v>3382</v>
      </c>
      <c r="B2711" s="15" t="s">
        <v>403</v>
      </c>
      <c r="C2711" s="16">
        <v>45685.0</v>
      </c>
      <c r="D2711" s="16">
        <v>45715.0</v>
      </c>
      <c r="E2711" s="15" t="s">
        <v>684</v>
      </c>
      <c r="F2711" s="19">
        <v>19.99</v>
      </c>
      <c r="G2711" s="15" t="s">
        <v>675</v>
      </c>
    </row>
    <row r="2712" ht="15.75" customHeight="1">
      <c r="A2712" s="17" t="s">
        <v>3383</v>
      </c>
      <c r="B2712" s="17" t="s">
        <v>404</v>
      </c>
      <c r="C2712" s="18">
        <v>45685.0</v>
      </c>
      <c r="D2712" s="18">
        <v>45715.0</v>
      </c>
      <c r="E2712" s="17" t="s">
        <v>684</v>
      </c>
      <c r="F2712" s="20">
        <v>19.99</v>
      </c>
      <c r="G2712" s="17" t="s">
        <v>675</v>
      </c>
    </row>
    <row r="2713" ht="15.75" customHeight="1">
      <c r="A2713" s="15" t="s">
        <v>3384</v>
      </c>
      <c r="B2713" s="15" t="s">
        <v>559</v>
      </c>
      <c r="C2713" s="16">
        <v>45685.0</v>
      </c>
      <c r="D2713" s="16">
        <v>45692.0</v>
      </c>
      <c r="E2713" s="15" t="s">
        <v>674</v>
      </c>
      <c r="F2713" s="19">
        <v>0.0</v>
      </c>
      <c r="G2713" s="15" t="s">
        <v>675</v>
      </c>
    </row>
    <row r="2714" ht="15.75" customHeight="1">
      <c r="A2714" s="17" t="s">
        <v>3385</v>
      </c>
      <c r="B2714" s="17" t="s">
        <v>454</v>
      </c>
      <c r="C2714" s="18">
        <v>45685.0</v>
      </c>
      <c r="D2714" s="18">
        <v>45715.0</v>
      </c>
      <c r="E2714" s="17" t="s">
        <v>684</v>
      </c>
      <c r="F2714" s="20">
        <v>19.99</v>
      </c>
      <c r="G2714" s="17" t="s">
        <v>675</v>
      </c>
    </row>
    <row r="2715" ht="15.75" customHeight="1">
      <c r="A2715" s="15" t="s">
        <v>3386</v>
      </c>
      <c r="B2715" s="15" t="s">
        <v>455</v>
      </c>
      <c r="C2715" s="16">
        <v>45686.0</v>
      </c>
      <c r="D2715" s="16">
        <v>45716.0</v>
      </c>
      <c r="E2715" s="15" t="s">
        <v>684</v>
      </c>
      <c r="F2715" s="19">
        <v>19.99</v>
      </c>
      <c r="G2715" s="15" t="s">
        <v>675</v>
      </c>
    </row>
    <row r="2716" ht="15.75" customHeight="1">
      <c r="A2716" s="17" t="s">
        <v>3387</v>
      </c>
      <c r="B2716" s="17" t="s">
        <v>273</v>
      </c>
      <c r="C2716" s="18">
        <v>45686.0</v>
      </c>
      <c r="D2716" s="18">
        <v>45716.0</v>
      </c>
      <c r="E2716" s="17" t="s">
        <v>684</v>
      </c>
      <c r="F2716" s="20">
        <v>19.99</v>
      </c>
      <c r="G2716" s="17" t="s">
        <v>675</v>
      </c>
    </row>
    <row r="2717" ht="15.75" customHeight="1">
      <c r="A2717" s="15" t="s">
        <v>3388</v>
      </c>
      <c r="B2717" s="15" t="s">
        <v>456</v>
      </c>
      <c r="C2717" s="16">
        <v>45686.0</v>
      </c>
      <c r="D2717" s="16">
        <v>45716.0</v>
      </c>
      <c r="E2717" s="15" t="s">
        <v>684</v>
      </c>
      <c r="F2717" s="19">
        <v>19.99</v>
      </c>
      <c r="G2717" s="15" t="s">
        <v>675</v>
      </c>
    </row>
    <row r="2718" ht="15.75" customHeight="1">
      <c r="A2718" s="17" t="s">
        <v>3389</v>
      </c>
      <c r="B2718" s="17" t="s">
        <v>108</v>
      </c>
      <c r="C2718" s="18">
        <v>45686.0</v>
      </c>
      <c r="D2718" s="18">
        <v>45716.0</v>
      </c>
      <c r="E2718" s="17" t="s">
        <v>684</v>
      </c>
      <c r="F2718" s="20">
        <v>19.99</v>
      </c>
      <c r="G2718" s="17" t="s">
        <v>675</v>
      </c>
    </row>
    <row r="2719" ht="15.75" customHeight="1">
      <c r="A2719" s="15" t="s">
        <v>3390</v>
      </c>
      <c r="B2719" s="15" t="s">
        <v>544</v>
      </c>
      <c r="C2719" s="16">
        <v>45686.0</v>
      </c>
      <c r="D2719" s="16">
        <v>45716.0</v>
      </c>
      <c r="E2719" s="15" t="s">
        <v>684</v>
      </c>
      <c r="F2719" s="19">
        <v>19.99</v>
      </c>
      <c r="G2719" s="15" t="s">
        <v>675</v>
      </c>
    </row>
    <row r="2720" ht="15.75" customHeight="1">
      <c r="A2720" s="17" t="s">
        <v>3391</v>
      </c>
      <c r="B2720" s="17" t="s">
        <v>144</v>
      </c>
      <c r="C2720" s="18">
        <v>45686.0</v>
      </c>
      <c r="D2720" s="18">
        <v>45716.0</v>
      </c>
      <c r="E2720" s="17" t="s">
        <v>684</v>
      </c>
      <c r="F2720" s="20">
        <v>19.99</v>
      </c>
      <c r="G2720" s="17" t="s">
        <v>675</v>
      </c>
    </row>
    <row r="2721" ht="15.75" customHeight="1">
      <c r="A2721" s="15" t="s">
        <v>3392</v>
      </c>
      <c r="B2721" s="15" t="s">
        <v>180</v>
      </c>
      <c r="C2721" s="16">
        <v>45686.0</v>
      </c>
      <c r="D2721" s="16">
        <v>45716.0</v>
      </c>
      <c r="E2721" s="15" t="s">
        <v>684</v>
      </c>
      <c r="F2721" s="19">
        <v>19.99</v>
      </c>
      <c r="G2721" s="15" t="s">
        <v>675</v>
      </c>
    </row>
    <row r="2722" ht="15.75" customHeight="1">
      <c r="A2722" s="17" t="s">
        <v>3393</v>
      </c>
      <c r="B2722" s="17" t="s">
        <v>359</v>
      </c>
      <c r="C2722" s="18">
        <v>45686.0</v>
      </c>
      <c r="D2722" s="18">
        <v>45716.0</v>
      </c>
      <c r="E2722" s="17" t="s">
        <v>684</v>
      </c>
      <c r="F2722" s="20">
        <v>19.99</v>
      </c>
      <c r="G2722" s="17" t="s">
        <v>675</v>
      </c>
    </row>
    <row r="2723" ht="15.75" customHeight="1">
      <c r="A2723" s="15" t="s">
        <v>3394</v>
      </c>
      <c r="B2723" s="15" t="s">
        <v>406</v>
      </c>
      <c r="C2723" s="16">
        <v>45686.0</v>
      </c>
      <c r="D2723" s="16">
        <v>45716.0</v>
      </c>
      <c r="E2723" s="15" t="s">
        <v>684</v>
      </c>
      <c r="F2723" s="19">
        <v>19.99</v>
      </c>
      <c r="G2723" s="15" t="s">
        <v>675</v>
      </c>
    </row>
    <row r="2724" ht="15.75" customHeight="1">
      <c r="A2724" s="17" t="s">
        <v>3395</v>
      </c>
      <c r="B2724" s="17" t="s">
        <v>407</v>
      </c>
      <c r="C2724" s="18">
        <v>45686.0</v>
      </c>
      <c r="D2724" s="18">
        <v>45716.0</v>
      </c>
      <c r="E2724" s="17" t="s">
        <v>684</v>
      </c>
      <c r="F2724" s="20">
        <v>19.99</v>
      </c>
      <c r="G2724" s="17" t="s">
        <v>675</v>
      </c>
    </row>
    <row r="2725" ht="15.75" customHeight="1">
      <c r="A2725" s="15" t="s">
        <v>3396</v>
      </c>
      <c r="B2725" s="15" t="s">
        <v>457</v>
      </c>
      <c r="C2725" s="16">
        <v>45686.0</v>
      </c>
      <c r="D2725" s="16">
        <v>45716.0</v>
      </c>
      <c r="E2725" s="15" t="s">
        <v>684</v>
      </c>
      <c r="F2725" s="19">
        <v>19.99</v>
      </c>
      <c r="G2725" s="15" t="s">
        <v>675</v>
      </c>
    </row>
    <row r="2726" ht="15.75" customHeight="1">
      <c r="A2726" s="17" t="s">
        <v>3397</v>
      </c>
      <c r="B2726" s="17" t="s">
        <v>560</v>
      </c>
      <c r="C2726" s="18">
        <v>45686.0</v>
      </c>
      <c r="D2726" s="18">
        <v>45693.0</v>
      </c>
      <c r="E2726" s="17" t="s">
        <v>674</v>
      </c>
      <c r="F2726" s="20">
        <v>0.0</v>
      </c>
      <c r="G2726" s="17" t="s">
        <v>675</v>
      </c>
    </row>
    <row r="2727" ht="15.75" customHeight="1">
      <c r="A2727" s="15" t="s">
        <v>3398</v>
      </c>
      <c r="B2727" s="15" t="s">
        <v>212</v>
      </c>
      <c r="C2727" s="16">
        <v>45686.0</v>
      </c>
      <c r="D2727" s="16">
        <v>45716.0</v>
      </c>
      <c r="E2727" s="15" t="s">
        <v>684</v>
      </c>
      <c r="F2727" s="19">
        <v>19.99</v>
      </c>
      <c r="G2727" s="15" t="s">
        <v>675</v>
      </c>
    </row>
    <row r="2728" ht="15.75" customHeight="1">
      <c r="A2728" s="17" t="s">
        <v>3399</v>
      </c>
      <c r="B2728" s="17" t="s">
        <v>109</v>
      </c>
      <c r="C2728" s="18">
        <v>45686.0</v>
      </c>
      <c r="D2728" s="18">
        <v>45716.0</v>
      </c>
      <c r="E2728" s="17" t="s">
        <v>684</v>
      </c>
      <c r="F2728" s="20">
        <v>19.99</v>
      </c>
      <c r="G2728" s="17" t="s">
        <v>675</v>
      </c>
    </row>
    <row r="2729" ht="15.75" customHeight="1">
      <c r="A2729" s="15" t="s">
        <v>3400</v>
      </c>
      <c r="B2729" s="15" t="s">
        <v>110</v>
      </c>
      <c r="C2729" s="16">
        <v>45686.0</v>
      </c>
      <c r="D2729" s="16">
        <v>45716.0</v>
      </c>
      <c r="E2729" s="15" t="s">
        <v>684</v>
      </c>
      <c r="F2729" s="19">
        <v>19.99</v>
      </c>
      <c r="G2729" s="15" t="s">
        <v>675</v>
      </c>
    </row>
    <row r="2730" ht="15.75" customHeight="1">
      <c r="A2730" s="17" t="s">
        <v>3401</v>
      </c>
      <c r="B2730" s="17" t="s">
        <v>111</v>
      </c>
      <c r="C2730" s="18">
        <v>45686.0</v>
      </c>
      <c r="D2730" s="18">
        <v>45716.0</v>
      </c>
      <c r="E2730" s="17" t="s">
        <v>684</v>
      </c>
      <c r="F2730" s="20">
        <v>19.99</v>
      </c>
      <c r="G2730" s="17" t="s">
        <v>675</v>
      </c>
    </row>
    <row r="2731" ht="15.75" customHeight="1">
      <c r="A2731" s="15" t="s">
        <v>3402</v>
      </c>
      <c r="B2731" s="15" t="s">
        <v>181</v>
      </c>
      <c r="C2731" s="16">
        <v>45687.0</v>
      </c>
      <c r="D2731" s="16">
        <v>45717.0</v>
      </c>
      <c r="E2731" s="15" t="s">
        <v>684</v>
      </c>
      <c r="F2731" s="19">
        <v>19.99</v>
      </c>
      <c r="G2731" s="15" t="s">
        <v>675</v>
      </c>
    </row>
    <row r="2732" ht="15.75" customHeight="1">
      <c r="A2732" s="17" t="s">
        <v>3403</v>
      </c>
      <c r="B2732" s="17" t="s">
        <v>238</v>
      </c>
      <c r="C2732" s="18">
        <v>45687.0</v>
      </c>
      <c r="D2732" s="18">
        <v>45717.0</v>
      </c>
      <c r="E2732" s="17" t="s">
        <v>684</v>
      </c>
      <c r="F2732" s="20">
        <v>19.99</v>
      </c>
      <c r="G2732" s="17" t="s">
        <v>675</v>
      </c>
    </row>
    <row r="2733" ht="15.75" customHeight="1">
      <c r="A2733" s="15" t="s">
        <v>3404</v>
      </c>
      <c r="B2733" s="15" t="s">
        <v>545</v>
      </c>
      <c r="C2733" s="16">
        <v>45687.0</v>
      </c>
      <c r="D2733" s="16">
        <v>45717.0</v>
      </c>
      <c r="E2733" s="15" t="s">
        <v>684</v>
      </c>
      <c r="F2733" s="19">
        <v>19.99</v>
      </c>
      <c r="G2733" s="15" t="s">
        <v>675</v>
      </c>
    </row>
    <row r="2734" ht="15.75" customHeight="1">
      <c r="A2734" s="17" t="s">
        <v>3405</v>
      </c>
      <c r="B2734" s="17" t="s">
        <v>460</v>
      </c>
      <c r="C2734" s="18">
        <v>45687.0</v>
      </c>
      <c r="D2734" s="18">
        <v>45717.0</v>
      </c>
      <c r="E2734" s="17" t="s">
        <v>684</v>
      </c>
      <c r="F2734" s="20">
        <v>19.99</v>
      </c>
      <c r="G2734" s="17" t="s">
        <v>675</v>
      </c>
    </row>
    <row r="2735" ht="15.75" customHeight="1">
      <c r="A2735" s="15" t="s">
        <v>3406</v>
      </c>
      <c r="B2735" s="15" t="s">
        <v>546</v>
      </c>
      <c r="C2735" s="16">
        <v>45687.0</v>
      </c>
      <c r="D2735" s="16">
        <v>45717.0</v>
      </c>
      <c r="E2735" s="15" t="s">
        <v>684</v>
      </c>
      <c r="F2735" s="19">
        <v>19.99</v>
      </c>
      <c r="G2735" s="15" t="s">
        <v>675</v>
      </c>
    </row>
    <row r="2736" ht="15.75" customHeight="1">
      <c r="A2736" s="17" t="s">
        <v>3407</v>
      </c>
      <c r="B2736" s="17" t="s">
        <v>323</v>
      </c>
      <c r="C2736" s="18">
        <v>45687.0</v>
      </c>
      <c r="D2736" s="18">
        <v>45717.0</v>
      </c>
      <c r="E2736" s="17" t="s">
        <v>684</v>
      </c>
      <c r="F2736" s="20">
        <v>19.99</v>
      </c>
      <c r="G2736" s="17" t="s">
        <v>675</v>
      </c>
    </row>
    <row r="2737" ht="15.75" customHeight="1">
      <c r="A2737" s="15" t="s">
        <v>3408</v>
      </c>
      <c r="B2737" s="15" t="s">
        <v>113</v>
      </c>
      <c r="C2737" s="16">
        <v>45687.0</v>
      </c>
      <c r="D2737" s="16">
        <v>45717.0</v>
      </c>
      <c r="E2737" s="15" t="s">
        <v>684</v>
      </c>
      <c r="F2737" s="19">
        <v>19.99</v>
      </c>
      <c r="G2737" s="15" t="s">
        <v>675</v>
      </c>
    </row>
    <row r="2738" ht="15.75" customHeight="1">
      <c r="A2738" s="17" t="s">
        <v>3409</v>
      </c>
      <c r="B2738" s="17" t="s">
        <v>324</v>
      </c>
      <c r="C2738" s="18">
        <v>45687.0</v>
      </c>
      <c r="D2738" s="18">
        <v>45717.0</v>
      </c>
      <c r="E2738" s="17" t="s">
        <v>684</v>
      </c>
      <c r="F2738" s="20">
        <v>19.99</v>
      </c>
      <c r="G2738" s="17" t="s">
        <v>675</v>
      </c>
    </row>
    <row r="2739" ht="15.75" customHeight="1">
      <c r="A2739" s="15" t="s">
        <v>3410</v>
      </c>
      <c r="B2739" s="15" t="s">
        <v>274</v>
      </c>
      <c r="C2739" s="16">
        <v>45687.0</v>
      </c>
      <c r="D2739" s="16">
        <v>45717.0</v>
      </c>
      <c r="E2739" s="15" t="s">
        <v>684</v>
      </c>
      <c r="F2739" s="19">
        <v>19.99</v>
      </c>
      <c r="G2739" s="15" t="s">
        <v>675</v>
      </c>
    </row>
    <row r="2740" ht="15.75" customHeight="1">
      <c r="A2740" s="17" t="s">
        <v>3411</v>
      </c>
      <c r="B2740" s="17" t="s">
        <v>239</v>
      </c>
      <c r="C2740" s="18">
        <v>45687.0</v>
      </c>
      <c r="D2740" s="18">
        <v>45717.0</v>
      </c>
      <c r="E2740" s="17" t="s">
        <v>684</v>
      </c>
      <c r="F2740" s="20">
        <v>19.99</v>
      </c>
      <c r="G2740" s="17" t="s">
        <v>675</v>
      </c>
    </row>
    <row r="2741" ht="15.75" customHeight="1">
      <c r="A2741" s="15" t="s">
        <v>3412</v>
      </c>
      <c r="B2741" s="15" t="s">
        <v>561</v>
      </c>
      <c r="C2741" s="16">
        <v>45687.0</v>
      </c>
      <c r="D2741" s="16">
        <v>45694.0</v>
      </c>
      <c r="E2741" s="15" t="s">
        <v>674</v>
      </c>
      <c r="F2741" s="19">
        <v>0.0</v>
      </c>
      <c r="G2741" s="15" t="s">
        <v>675</v>
      </c>
    </row>
    <row r="2742" ht="15.75" customHeight="1">
      <c r="A2742" s="17" t="s">
        <v>3413</v>
      </c>
      <c r="B2742" s="17" t="s">
        <v>547</v>
      </c>
      <c r="C2742" s="18">
        <v>45687.0</v>
      </c>
      <c r="D2742" s="18">
        <v>45717.0</v>
      </c>
      <c r="E2742" s="17" t="s">
        <v>684</v>
      </c>
      <c r="F2742" s="20">
        <v>19.99</v>
      </c>
      <c r="G2742" s="17" t="s">
        <v>675</v>
      </c>
    </row>
    <row r="2743" ht="15.75" customHeight="1">
      <c r="A2743" s="15" t="s">
        <v>3414</v>
      </c>
      <c r="B2743" s="15" t="s">
        <v>213</v>
      </c>
      <c r="C2743" s="16">
        <v>45688.0</v>
      </c>
      <c r="D2743" s="16">
        <v>45718.0</v>
      </c>
      <c r="E2743" s="15" t="s">
        <v>684</v>
      </c>
      <c r="F2743" s="19">
        <v>19.99</v>
      </c>
      <c r="G2743" s="15" t="s">
        <v>675</v>
      </c>
    </row>
    <row r="2744" ht="15.75" customHeight="1">
      <c r="A2744" s="17" t="s">
        <v>3415</v>
      </c>
      <c r="B2744" s="17" t="s">
        <v>508</v>
      </c>
      <c r="C2744" s="18">
        <v>45688.0</v>
      </c>
      <c r="D2744" s="18">
        <v>45718.0</v>
      </c>
      <c r="E2744" s="17" t="s">
        <v>684</v>
      </c>
      <c r="F2744" s="20">
        <v>19.99</v>
      </c>
      <c r="G2744" s="17" t="s">
        <v>675</v>
      </c>
    </row>
    <row r="2745" ht="15.75" customHeight="1">
      <c r="A2745" s="15" t="s">
        <v>3416</v>
      </c>
      <c r="B2745" s="15" t="s">
        <v>548</v>
      </c>
      <c r="C2745" s="16">
        <v>45688.0</v>
      </c>
      <c r="D2745" s="16">
        <v>45718.0</v>
      </c>
      <c r="E2745" s="15" t="s">
        <v>684</v>
      </c>
      <c r="F2745" s="19">
        <v>19.99</v>
      </c>
      <c r="G2745" s="15" t="s">
        <v>675</v>
      </c>
    </row>
    <row r="2746" ht="15.75" customHeight="1">
      <c r="A2746" s="17" t="s">
        <v>3417</v>
      </c>
      <c r="B2746" s="17" t="s">
        <v>509</v>
      </c>
      <c r="C2746" s="18">
        <v>45688.0</v>
      </c>
      <c r="D2746" s="18">
        <v>45718.0</v>
      </c>
      <c r="E2746" s="17" t="s">
        <v>684</v>
      </c>
      <c r="F2746" s="20">
        <v>19.99</v>
      </c>
      <c r="G2746" s="17" t="s">
        <v>675</v>
      </c>
    </row>
    <row r="2747" ht="15.75" customHeight="1">
      <c r="A2747" s="15" t="s">
        <v>3418</v>
      </c>
      <c r="B2747" s="15" t="s">
        <v>325</v>
      </c>
      <c r="C2747" s="16">
        <v>45688.0</v>
      </c>
      <c r="D2747" s="16">
        <v>45718.0</v>
      </c>
      <c r="E2747" s="15" t="s">
        <v>684</v>
      </c>
      <c r="F2747" s="19">
        <v>19.99</v>
      </c>
      <c r="G2747" s="15" t="s">
        <v>675</v>
      </c>
    </row>
    <row r="2748" ht="15.75" customHeight="1">
      <c r="A2748" s="17" t="s">
        <v>3419</v>
      </c>
      <c r="B2748" s="17" t="s">
        <v>510</v>
      </c>
      <c r="C2748" s="18">
        <v>45688.0</v>
      </c>
      <c r="D2748" s="18">
        <v>45718.0</v>
      </c>
      <c r="E2748" s="17" t="s">
        <v>684</v>
      </c>
      <c r="F2748" s="20">
        <v>19.99</v>
      </c>
      <c r="G2748" s="17" t="s">
        <v>675</v>
      </c>
    </row>
    <row r="2749" ht="15.75" customHeight="1">
      <c r="A2749" s="15" t="s">
        <v>3420</v>
      </c>
      <c r="B2749" s="15" t="s">
        <v>276</v>
      </c>
      <c r="C2749" s="16">
        <v>45688.0</v>
      </c>
      <c r="D2749" s="16">
        <v>45718.0</v>
      </c>
      <c r="E2749" s="15" t="s">
        <v>684</v>
      </c>
      <c r="F2749" s="19">
        <v>19.99</v>
      </c>
      <c r="G2749" s="15" t="s">
        <v>675</v>
      </c>
    </row>
    <row r="2750" ht="15.75" customHeight="1">
      <c r="A2750" s="17" t="s">
        <v>3421</v>
      </c>
      <c r="B2750" s="17" t="s">
        <v>214</v>
      </c>
      <c r="C2750" s="18">
        <v>45688.0</v>
      </c>
      <c r="D2750" s="18">
        <v>45718.0</v>
      </c>
      <c r="E2750" s="17" t="s">
        <v>684</v>
      </c>
      <c r="F2750" s="20">
        <v>19.99</v>
      </c>
      <c r="G2750" s="17" t="s">
        <v>675</v>
      </c>
    </row>
    <row r="2751" ht="15.75" customHeight="1">
      <c r="A2751" s="15" t="s">
        <v>3422</v>
      </c>
      <c r="B2751" s="15" t="s">
        <v>277</v>
      </c>
      <c r="C2751" s="16">
        <v>45688.0</v>
      </c>
      <c r="D2751" s="16">
        <v>45718.0</v>
      </c>
      <c r="E2751" s="15" t="s">
        <v>684</v>
      </c>
      <c r="F2751" s="19">
        <v>19.99</v>
      </c>
      <c r="G2751" s="15" t="s">
        <v>675</v>
      </c>
    </row>
    <row r="2752" ht="15.75" customHeight="1">
      <c r="A2752" s="17" t="s">
        <v>3423</v>
      </c>
      <c r="B2752" s="17" t="s">
        <v>549</v>
      </c>
      <c r="C2752" s="18">
        <v>45688.0</v>
      </c>
      <c r="D2752" s="18">
        <v>45718.0</v>
      </c>
      <c r="E2752" s="17" t="s">
        <v>684</v>
      </c>
      <c r="F2752" s="20">
        <v>19.99</v>
      </c>
      <c r="G2752" s="17" t="s">
        <v>675</v>
      </c>
    </row>
    <row r="2753" ht="15.75" customHeight="1">
      <c r="A2753" s="15" t="s">
        <v>3424</v>
      </c>
      <c r="B2753" s="15" t="s">
        <v>241</v>
      </c>
      <c r="C2753" s="16">
        <v>45688.0</v>
      </c>
      <c r="D2753" s="16">
        <v>45718.0</v>
      </c>
      <c r="E2753" s="15" t="s">
        <v>684</v>
      </c>
      <c r="F2753" s="19">
        <v>19.99</v>
      </c>
      <c r="G2753" s="15" t="s">
        <v>675</v>
      </c>
    </row>
    <row r="2754" ht="15.75" customHeight="1">
      <c r="A2754" s="17" t="s">
        <v>3425</v>
      </c>
      <c r="B2754" s="17" t="s">
        <v>146</v>
      </c>
      <c r="C2754" s="18">
        <v>45689.0</v>
      </c>
      <c r="D2754" s="18">
        <v>45719.0</v>
      </c>
      <c r="E2754" s="17" t="s">
        <v>684</v>
      </c>
      <c r="F2754" s="20">
        <v>19.99</v>
      </c>
      <c r="G2754" s="17" t="s">
        <v>675</v>
      </c>
    </row>
    <row r="2755" ht="15.75" customHeight="1">
      <c r="A2755" s="15" t="s">
        <v>3426</v>
      </c>
      <c r="B2755" s="15" t="s">
        <v>408</v>
      </c>
      <c r="C2755" s="16">
        <v>45689.0</v>
      </c>
      <c r="D2755" s="16">
        <v>45719.0</v>
      </c>
      <c r="E2755" s="15" t="s">
        <v>684</v>
      </c>
      <c r="F2755" s="19">
        <v>19.99</v>
      </c>
      <c r="G2755" s="15" t="s">
        <v>675</v>
      </c>
    </row>
    <row r="2756" ht="15.75" customHeight="1">
      <c r="A2756" s="17" t="s">
        <v>3427</v>
      </c>
      <c r="B2756" s="17" t="s">
        <v>56</v>
      </c>
      <c r="C2756" s="18">
        <v>45689.0</v>
      </c>
      <c r="D2756" s="18">
        <v>45719.0</v>
      </c>
      <c r="E2756" s="17" t="s">
        <v>684</v>
      </c>
      <c r="F2756" s="20">
        <v>19.99</v>
      </c>
      <c r="G2756" s="17" t="s">
        <v>675</v>
      </c>
    </row>
    <row r="2757" ht="15.75" customHeight="1">
      <c r="A2757" s="15" t="s">
        <v>3428</v>
      </c>
      <c r="B2757" s="15" t="s">
        <v>279</v>
      </c>
      <c r="C2757" s="16">
        <v>45689.0</v>
      </c>
      <c r="D2757" s="16">
        <v>45719.0</v>
      </c>
      <c r="E2757" s="15" t="s">
        <v>684</v>
      </c>
      <c r="F2757" s="19">
        <v>19.99</v>
      </c>
      <c r="G2757" s="15" t="s">
        <v>675</v>
      </c>
    </row>
    <row r="2758" ht="15.75" customHeight="1">
      <c r="A2758" s="17" t="s">
        <v>3429</v>
      </c>
      <c r="B2758" s="17" t="s">
        <v>550</v>
      </c>
      <c r="C2758" s="18">
        <v>45689.0</v>
      </c>
      <c r="D2758" s="18">
        <v>45719.0</v>
      </c>
      <c r="E2758" s="17" t="s">
        <v>684</v>
      </c>
      <c r="F2758" s="20">
        <v>19.99</v>
      </c>
      <c r="G2758" s="17" t="s">
        <v>675</v>
      </c>
    </row>
    <row r="2759" ht="15.75" customHeight="1">
      <c r="A2759" s="15" t="s">
        <v>3430</v>
      </c>
      <c r="B2759" s="15" t="s">
        <v>462</v>
      </c>
      <c r="C2759" s="16">
        <v>45689.0</v>
      </c>
      <c r="D2759" s="16">
        <v>45719.0</v>
      </c>
      <c r="E2759" s="15" t="s">
        <v>684</v>
      </c>
      <c r="F2759" s="19">
        <v>19.99</v>
      </c>
      <c r="G2759" s="15" t="s">
        <v>675</v>
      </c>
    </row>
    <row r="2760" ht="15.75" customHeight="1">
      <c r="A2760" s="17" t="s">
        <v>3431</v>
      </c>
      <c r="B2760" s="17" t="s">
        <v>551</v>
      </c>
      <c r="C2760" s="18">
        <v>45689.0</v>
      </c>
      <c r="D2760" s="18">
        <v>45719.0</v>
      </c>
      <c r="E2760" s="17" t="s">
        <v>684</v>
      </c>
      <c r="F2760" s="20">
        <v>19.99</v>
      </c>
      <c r="G2760" s="17" t="s">
        <v>675</v>
      </c>
    </row>
    <row r="2761" ht="15.75" customHeight="1">
      <c r="A2761" s="15" t="s">
        <v>3432</v>
      </c>
      <c r="B2761" s="15" t="s">
        <v>464</v>
      </c>
      <c r="C2761" s="16">
        <v>45690.0</v>
      </c>
      <c r="D2761" s="16">
        <v>45720.0</v>
      </c>
      <c r="E2761" s="15" t="s">
        <v>684</v>
      </c>
      <c r="F2761" s="19">
        <v>19.99</v>
      </c>
      <c r="G2761" s="15" t="s">
        <v>675</v>
      </c>
    </row>
    <row r="2762" ht="15.75" customHeight="1">
      <c r="A2762" s="17" t="s">
        <v>3433</v>
      </c>
      <c r="B2762" s="17" t="s">
        <v>552</v>
      </c>
      <c r="C2762" s="18">
        <v>45690.0</v>
      </c>
      <c r="D2762" s="18">
        <v>45720.0</v>
      </c>
      <c r="E2762" s="17" t="s">
        <v>684</v>
      </c>
      <c r="F2762" s="20">
        <v>19.99</v>
      </c>
      <c r="G2762" s="17" t="s">
        <v>675</v>
      </c>
    </row>
    <row r="2763" ht="15.75" customHeight="1">
      <c r="A2763" s="15" t="s">
        <v>3434</v>
      </c>
      <c r="B2763" s="15" t="s">
        <v>553</v>
      </c>
      <c r="C2763" s="16">
        <v>45690.0</v>
      </c>
      <c r="D2763" s="16">
        <v>45720.0</v>
      </c>
      <c r="E2763" s="15" t="s">
        <v>684</v>
      </c>
      <c r="F2763" s="19">
        <v>19.99</v>
      </c>
      <c r="G2763" s="15" t="s">
        <v>675</v>
      </c>
    </row>
    <row r="2764" ht="15.75" customHeight="1">
      <c r="A2764" s="17" t="s">
        <v>3435</v>
      </c>
      <c r="B2764" s="17" t="s">
        <v>562</v>
      </c>
      <c r="C2764" s="18">
        <v>45690.0</v>
      </c>
      <c r="D2764" s="18">
        <v>45697.0</v>
      </c>
      <c r="E2764" s="17" t="s">
        <v>674</v>
      </c>
      <c r="F2764" s="20">
        <v>0.0</v>
      </c>
      <c r="G2764" s="17" t="s">
        <v>675</v>
      </c>
    </row>
    <row r="2765" ht="15.75" customHeight="1">
      <c r="A2765" s="15" t="s">
        <v>3436</v>
      </c>
      <c r="B2765" s="15" t="s">
        <v>465</v>
      </c>
      <c r="C2765" s="16">
        <v>45690.0</v>
      </c>
      <c r="D2765" s="16">
        <v>45720.0</v>
      </c>
      <c r="E2765" s="15" t="s">
        <v>684</v>
      </c>
      <c r="F2765" s="19">
        <v>19.99</v>
      </c>
      <c r="G2765" s="15" t="s">
        <v>675</v>
      </c>
    </row>
    <row r="2766" ht="15.75" customHeight="1">
      <c r="A2766" s="17" t="s">
        <v>3437</v>
      </c>
      <c r="B2766" s="17" t="s">
        <v>563</v>
      </c>
      <c r="C2766" s="18">
        <v>45690.0</v>
      </c>
      <c r="D2766" s="18">
        <v>45697.0</v>
      </c>
      <c r="E2766" s="17" t="s">
        <v>674</v>
      </c>
      <c r="F2766" s="20">
        <v>0.0</v>
      </c>
      <c r="G2766" s="17" t="s">
        <v>675</v>
      </c>
    </row>
    <row r="2767" ht="15.75" customHeight="1">
      <c r="A2767" s="15" t="s">
        <v>3438</v>
      </c>
      <c r="B2767" s="15" t="s">
        <v>280</v>
      </c>
      <c r="C2767" s="16">
        <v>45690.0</v>
      </c>
      <c r="D2767" s="16">
        <v>45720.0</v>
      </c>
      <c r="E2767" s="15" t="s">
        <v>684</v>
      </c>
      <c r="F2767" s="19">
        <v>19.99</v>
      </c>
      <c r="G2767" s="15" t="s">
        <v>675</v>
      </c>
    </row>
    <row r="2768" ht="15.75" customHeight="1">
      <c r="A2768" s="17" t="s">
        <v>3439</v>
      </c>
      <c r="B2768" s="17" t="s">
        <v>116</v>
      </c>
      <c r="C2768" s="18">
        <v>45690.0</v>
      </c>
      <c r="D2768" s="18">
        <v>45720.0</v>
      </c>
      <c r="E2768" s="17" t="s">
        <v>684</v>
      </c>
      <c r="F2768" s="20">
        <v>19.99</v>
      </c>
      <c r="G2768" s="17" t="s">
        <v>675</v>
      </c>
    </row>
    <row r="2769" ht="15.75" customHeight="1">
      <c r="A2769" s="15" t="s">
        <v>3440</v>
      </c>
      <c r="B2769" s="15" t="s">
        <v>554</v>
      </c>
      <c r="C2769" s="16">
        <v>45690.0</v>
      </c>
      <c r="D2769" s="16">
        <v>45720.0</v>
      </c>
      <c r="E2769" s="15" t="s">
        <v>684</v>
      </c>
      <c r="F2769" s="19">
        <v>19.99</v>
      </c>
      <c r="G2769" s="15" t="s">
        <v>675</v>
      </c>
    </row>
    <row r="2770" ht="15.75" customHeight="1">
      <c r="A2770" s="17" t="s">
        <v>3441</v>
      </c>
      <c r="B2770" s="17" t="s">
        <v>410</v>
      </c>
      <c r="C2770" s="18">
        <v>45690.0</v>
      </c>
      <c r="D2770" s="18">
        <v>45720.0</v>
      </c>
      <c r="E2770" s="17" t="s">
        <v>684</v>
      </c>
      <c r="F2770" s="20">
        <v>19.99</v>
      </c>
      <c r="G2770" s="17" t="s">
        <v>675</v>
      </c>
    </row>
    <row r="2771" ht="15.75" customHeight="1">
      <c r="A2771" s="15" t="s">
        <v>3442</v>
      </c>
      <c r="B2771" s="15" t="s">
        <v>511</v>
      </c>
      <c r="C2771" s="16">
        <v>45690.0</v>
      </c>
      <c r="D2771" s="16">
        <v>45720.0</v>
      </c>
      <c r="E2771" s="15" t="s">
        <v>684</v>
      </c>
      <c r="F2771" s="19">
        <v>19.99</v>
      </c>
      <c r="G2771" s="15" t="s">
        <v>675</v>
      </c>
    </row>
    <row r="2772" ht="15.75" customHeight="1">
      <c r="A2772" s="17" t="s">
        <v>3443</v>
      </c>
      <c r="B2772" s="17" t="s">
        <v>411</v>
      </c>
      <c r="C2772" s="18">
        <v>45690.0</v>
      </c>
      <c r="D2772" s="18">
        <v>45720.0</v>
      </c>
      <c r="E2772" s="17" t="s">
        <v>684</v>
      </c>
      <c r="F2772" s="20">
        <v>19.99</v>
      </c>
      <c r="G2772" s="17" t="s">
        <v>675</v>
      </c>
    </row>
    <row r="2773" ht="15.75" customHeight="1">
      <c r="A2773" s="15" t="s">
        <v>3444</v>
      </c>
      <c r="B2773" s="15" t="s">
        <v>412</v>
      </c>
      <c r="C2773" s="16">
        <v>45690.0</v>
      </c>
      <c r="D2773" s="16">
        <v>45720.0</v>
      </c>
      <c r="E2773" s="15" t="s">
        <v>684</v>
      </c>
      <c r="F2773" s="19">
        <v>19.99</v>
      </c>
      <c r="G2773" s="15" t="s">
        <v>675</v>
      </c>
    </row>
    <row r="2774" ht="15.75" customHeight="1">
      <c r="A2774" s="17" t="s">
        <v>3445</v>
      </c>
      <c r="B2774" s="17" t="s">
        <v>413</v>
      </c>
      <c r="C2774" s="18">
        <v>45690.0</v>
      </c>
      <c r="D2774" s="18">
        <v>45720.0</v>
      </c>
      <c r="E2774" s="17" t="s">
        <v>684</v>
      </c>
      <c r="F2774" s="20">
        <v>19.99</v>
      </c>
      <c r="G2774" s="17" t="s">
        <v>675</v>
      </c>
    </row>
    <row r="2775" ht="15.75" customHeight="1">
      <c r="A2775" s="15" t="s">
        <v>3446</v>
      </c>
      <c r="B2775" s="15" t="s">
        <v>215</v>
      </c>
      <c r="C2775" s="16">
        <v>45690.0</v>
      </c>
      <c r="D2775" s="16">
        <v>45720.0</v>
      </c>
      <c r="E2775" s="15" t="s">
        <v>684</v>
      </c>
      <c r="F2775" s="19">
        <v>19.99</v>
      </c>
      <c r="G2775" s="15" t="s">
        <v>675</v>
      </c>
    </row>
    <row r="2776" ht="15.75" customHeight="1">
      <c r="A2776" s="17" t="s">
        <v>3447</v>
      </c>
      <c r="B2776" s="17" t="s">
        <v>281</v>
      </c>
      <c r="C2776" s="18">
        <v>45690.0</v>
      </c>
      <c r="D2776" s="18">
        <v>45720.0</v>
      </c>
      <c r="E2776" s="17" t="s">
        <v>684</v>
      </c>
      <c r="F2776" s="20">
        <v>19.99</v>
      </c>
      <c r="G2776" s="17" t="s">
        <v>675</v>
      </c>
    </row>
    <row r="2777" ht="15.75" customHeight="1">
      <c r="A2777" s="15" t="s">
        <v>3448</v>
      </c>
      <c r="B2777" s="15" t="s">
        <v>466</v>
      </c>
      <c r="C2777" s="16">
        <v>45691.0</v>
      </c>
      <c r="D2777" s="16">
        <v>45721.0</v>
      </c>
      <c r="E2777" s="15" t="s">
        <v>684</v>
      </c>
      <c r="F2777" s="19">
        <v>19.99</v>
      </c>
      <c r="G2777" s="15" t="s">
        <v>675</v>
      </c>
    </row>
    <row r="2778" ht="15.75" customHeight="1">
      <c r="A2778" s="17" t="s">
        <v>3449</v>
      </c>
      <c r="B2778" s="17" t="s">
        <v>414</v>
      </c>
      <c r="C2778" s="18">
        <v>45691.0</v>
      </c>
      <c r="D2778" s="18">
        <v>45721.0</v>
      </c>
      <c r="E2778" s="17" t="s">
        <v>684</v>
      </c>
      <c r="F2778" s="20">
        <v>19.99</v>
      </c>
      <c r="G2778" s="17" t="s">
        <v>675</v>
      </c>
    </row>
    <row r="2779" ht="15.75" customHeight="1">
      <c r="A2779" s="15" t="s">
        <v>3450</v>
      </c>
      <c r="B2779" s="15" t="s">
        <v>555</v>
      </c>
      <c r="C2779" s="16">
        <v>45691.0</v>
      </c>
      <c r="D2779" s="16">
        <v>45721.0</v>
      </c>
      <c r="E2779" s="15" t="s">
        <v>684</v>
      </c>
      <c r="F2779" s="19">
        <v>19.99</v>
      </c>
      <c r="G2779" s="15" t="s">
        <v>675</v>
      </c>
    </row>
    <row r="2780" ht="15.75" customHeight="1">
      <c r="A2780" s="17" t="s">
        <v>3451</v>
      </c>
      <c r="B2780" s="17" t="s">
        <v>564</v>
      </c>
      <c r="C2780" s="18">
        <v>45691.0</v>
      </c>
      <c r="D2780" s="18">
        <v>45698.0</v>
      </c>
      <c r="E2780" s="17" t="s">
        <v>674</v>
      </c>
      <c r="F2780" s="20">
        <v>0.0</v>
      </c>
      <c r="G2780" s="17" t="s">
        <v>675</v>
      </c>
    </row>
    <row r="2781" ht="15.75" customHeight="1">
      <c r="A2781" s="15" t="s">
        <v>3452</v>
      </c>
      <c r="B2781" s="15" t="s">
        <v>467</v>
      </c>
      <c r="C2781" s="16">
        <v>45691.0</v>
      </c>
      <c r="D2781" s="16">
        <v>45721.0</v>
      </c>
      <c r="E2781" s="15" t="s">
        <v>684</v>
      </c>
      <c r="F2781" s="19">
        <v>19.99</v>
      </c>
      <c r="G2781" s="15" t="s">
        <v>675</v>
      </c>
    </row>
    <row r="2782" ht="15.75" customHeight="1">
      <c r="A2782" s="17" t="s">
        <v>3453</v>
      </c>
      <c r="B2782" s="17" t="s">
        <v>565</v>
      </c>
      <c r="C2782" s="18">
        <v>45691.0</v>
      </c>
      <c r="D2782" s="18">
        <v>45698.0</v>
      </c>
      <c r="E2782" s="17" t="s">
        <v>674</v>
      </c>
      <c r="F2782" s="20">
        <v>0.0</v>
      </c>
      <c r="G2782" s="17" t="s">
        <v>675</v>
      </c>
    </row>
    <row r="2783" ht="15.75" customHeight="1">
      <c r="A2783" s="15" t="s">
        <v>3454</v>
      </c>
      <c r="B2783" s="15" t="s">
        <v>468</v>
      </c>
      <c r="C2783" s="16">
        <v>45691.0</v>
      </c>
      <c r="D2783" s="16">
        <v>45721.0</v>
      </c>
      <c r="E2783" s="15" t="s">
        <v>684</v>
      </c>
      <c r="F2783" s="19">
        <v>19.99</v>
      </c>
      <c r="G2783" s="15" t="s">
        <v>675</v>
      </c>
    </row>
    <row r="2784" ht="15.75" customHeight="1">
      <c r="A2784" s="17" t="s">
        <v>3455</v>
      </c>
      <c r="B2784" s="17" t="s">
        <v>566</v>
      </c>
      <c r="C2784" s="18">
        <v>45691.0</v>
      </c>
      <c r="D2784" s="18">
        <v>45698.0</v>
      </c>
      <c r="E2784" s="17" t="s">
        <v>674</v>
      </c>
      <c r="F2784" s="20">
        <v>0.0</v>
      </c>
      <c r="G2784" s="17" t="s">
        <v>675</v>
      </c>
    </row>
    <row r="2785" ht="15.75" customHeight="1">
      <c r="A2785" s="15" t="s">
        <v>3456</v>
      </c>
      <c r="B2785" s="15" t="s">
        <v>90</v>
      </c>
      <c r="C2785" s="16">
        <v>45691.0</v>
      </c>
      <c r="D2785" s="16">
        <v>45721.0</v>
      </c>
      <c r="E2785" s="15" t="s">
        <v>684</v>
      </c>
      <c r="F2785" s="19">
        <v>19.99</v>
      </c>
      <c r="G2785" s="15" t="s">
        <v>675</v>
      </c>
    </row>
    <row r="2786" ht="15.75" customHeight="1">
      <c r="A2786" s="17" t="s">
        <v>3457</v>
      </c>
      <c r="B2786" s="17" t="s">
        <v>513</v>
      </c>
      <c r="C2786" s="18">
        <v>45691.0</v>
      </c>
      <c r="D2786" s="18">
        <v>45721.0</v>
      </c>
      <c r="E2786" s="17" t="s">
        <v>684</v>
      </c>
      <c r="F2786" s="20">
        <v>19.99</v>
      </c>
      <c r="G2786" s="17" t="s">
        <v>675</v>
      </c>
    </row>
    <row r="2787" ht="15.75" customHeight="1">
      <c r="A2787" s="15" t="s">
        <v>3458</v>
      </c>
      <c r="B2787" s="15" t="s">
        <v>567</v>
      </c>
      <c r="C2787" s="16">
        <v>45691.0</v>
      </c>
      <c r="D2787" s="16">
        <v>45698.0</v>
      </c>
      <c r="E2787" s="15" t="s">
        <v>674</v>
      </c>
      <c r="F2787" s="19">
        <v>0.0</v>
      </c>
      <c r="G2787" s="15" t="s">
        <v>675</v>
      </c>
    </row>
    <row r="2788" ht="15.75" customHeight="1">
      <c r="A2788" s="17" t="s">
        <v>3459</v>
      </c>
      <c r="B2788" s="17" t="s">
        <v>70</v>
      </c>
      <c r="C2788" s="18">
        <v>45691.0</v>
      </c>
      <c r="D2788" s="18">
        <v>45721.0</v>
      </c>
      <c r="E2788" s="17" t="s">
        <v>684</v>
      </c>
      <c r="F2788" s="20">
        <v>19.99</v>
      </c>
      <c r="G2788" s="17" t="s">
        <v>675</v>
      </c>
    </row>
    <row r="2789" ht="15.75" customHeight="1">
      <c r="A2789" s="15" t="s">
        <v>3460</v>
      </c>
      <c r="B2789" s="15" t="s">
        <v>118</v>
      </c>
      <c r="C2789" s="16">
        <v>45692.0</v>
      </c>
      <c r="D2789" s="16">
        <v>45722.0</v>
      </c>
      <c r="E2789" s="15" t="s">
        <v>684</v>
      </c>
      <c r="F2789" s="19">
        <v>19.99</v>
      </c>
      <c r="G2789" s="15" t="s">
        <v>675</v>
      </c>
    </row>
    <row r="2790" ht="15.75" customHeight="1">
      <c r="A2790" s="17" t="s">
        <v>3461</v>
      </c>
      <c r="B2790" s="17" t="s">
        <v>186</v>
      </c>
      <c r="C2790" s="18">
        <v>45692.0</v>
      </c>
      <c r="D2790" s="18">
        <v>45722.0</v>
      </c>
      <c r="E2790" s="17" t="s">
        <v>684</v>
      </c>
      <c r="F2790" s="20">
        <v>19.99</v>
      </c>
      <c r="G2790" s="17" t="s">
        <v>675</v>
      </c>
    </row>
    <row r="2791" ht="15.75" customHeight="1">
      <c r="A2791" s="15" t="s">
        <v>3462</v>
      </c>
      <c r="B2791" s="15" t="s">
        <v>216</v>
      </c>
      <c r="C2791" s="16">
        <v>45692.0</v>
      </c>
      <c r="D2791" s="16">
        <v>45722.0</v>
      </c>
      <c r="E2791" s="15" t="s">
        <v>684</v>
      </c>
      <c r="F2791" s="19">
        <v>19.99</v>
      </c>
      <c r="G2791" s="15" t="s">
        <v>675</v>
      </c>
    </row>
    <row r="2792" ht="15.75" customHeight="1">
      <c r="A2792" s="17" t="s">
        <v>3463</v>
      </c>
      <c r="B2792" s="17" t="s">
        <v>71</v>
      </c>
      <c r="C2792" s="18">
        <v>45692.0</v>
      </c>
      <c r="D2792" s="18">
        <v>45722.0</v>
      </c>
      <c r="E2792" s="17" t="s">
        <v>684</v>
      </c>
      <c r="F2792" s="20">
        <v>19.99</v>
      </c>
      <c r="G2792" s="17" t="s">
        <v>675</v>
      </c>
    </row>
    <row r="2793" ht="15.75" customHeight="1">
      <c r="A2793" s="15" t="s">
        <v>3464</v>
      </c>
      <c r="B2793" s="15" t="s">
        <v>556</v>
      </c>
      <c r="C2793" s="16">
        <v>45692.0</v>
      </c>
      <c r="D2793" s="16">
        <v>45722.0</v>
      </c>
      <c r="E2793" s="15" t="s">
        <v>684</v>
      </c>
      <c r="F2793" s="19">
        <v>19.99</v>
      </c>
      <c r="G2793" s="15" t="s">
        <v>675</v>
      </c>
    </row>
    <row r="2794" ht="15.75" customHeight="1">
      <c r="A2794" s="17" t="s">
        <v>3465</v>
      </c>
      <c r="B2794" s="17" t="s">
        <v>568</v>
      </c>
      <c r="C2794" s="18">
        <v>45692.0</v>
      </c>
      <c r="D2794" s="18">
        <v>45699.0</v>
      </c>
      <c r="E2794" s="17" t="s">
        <v>674</v>
      </c>
      <c r="F2794" s="20">
        <v>0.0</v>
      </c>
      <c r="G2794" s="17" t="s">
        <v>675</v>
      </c>
    </row>
    <row r="2795" ht="15.75" customHeight="1">
      <c r="A2795" s="15" t="s">
        <v>3466</v>
      </c>
      <c r="B2795" s="15" t="s">
        <v>148</v>
      </c>
      <c r="C2795" s="16">
        <v>45692.0</v>
      </c>
      <c r="D2795" s="16">
        <v>45722.0</v>
      </c>
      <c r="E2795" s="15" t="s">
        <v>684</v>
      </c>
      <c r="F2795" s="19">
        <v>19.99</v>
      </c>
      <c r="G2795" s="15" t="s">
        <v>675</v>
      </c>
    </row>
    <row r="2796" ht="15.75" customHeight="1">
      <c r="A2796" s="17" t="s">
        <v>3467</v>
      </c>
      <c r="B2796" s="17" t="s">
        <v>557</v>
      </c>
      <c r="C2796" s="18">
        <v>45692.0</v>
      </c>
      <c r="D2796" s="18">
        <v>45722.0</v>
      </c>
      <c r="E2796" s="17" t="s">
        <v>684</v>
      </c>
      <c r="F2796" s="20">
        <v>19.99</v>
      </c>
      <c r="G2796" s="17" t="s">
        <v>675</v>
      </c>
    </row>
    <row r="2797" ht="15.75" customHeight="1">
      <c r="A2797" s="15" t="s">
        <v>3468</v>
      </c>
      <c r="B2797" s="15" t="s">
        <v>187</v>
      </c>
      <c r="C2797" s="16">
        <v>45692.0</v>
      </c>
      <c r="D2797" s="16">
        <v>45722.0</v>
      </c>
      <c r="E2797" s="15" t="s">
        <v>684</v>
      </c>
      <c r="F2797" s="19">
        <v>19.99</v>
      </c>
      <c r="G2797" s="15" t="s">
        <v>675</v>
      </c>
    </row>
    <row r="2798" ht="15.75" customHeight="1">
      <c r="A2798" s="17" t="s">
        <v>3469</v>
      </c>
      <c r="B2798" s="17" t="s">
        <v>558</v>
      </c>
      <c r="C2798" s="18">
        <v>45692.0</v>
      </c>
      <c r="D2798" s="18">
        <v>45722.0</v>
      </c>
      <c r="E2798" s="17" t="s">
        <v>684</v>
      </c>
      <c r="F2798" s="20">
        <v>19.99</v>
      </c>
      <c r="G2798" s="17" t="s">
        <v>675</v>
      </c>
    </row>
    <row r="2799" ht="15.75" customHeight="1">
      <c r="A2799" s="15" t="s">
        <v>3470</v>
      </c>
      <c r="B2799" s="15" t="s">
        <v>559</v>
      </c>
      <c r="C2799" s="16">
        <v>45692.0</v>
      </c>
      <c r="D2799" s="16">
        <v>45722.0</v>
      </c>
      <c r="E2799" s="15" t="s">
        <v>684</v>
      </c>
      <c r="F2799" s="19">
        <v>19.99</v>
      </c>
      <c r="G2799" s="15" t="s">
        <v>675</v>
      </c>
    </row>
    <row r="2800" ht="15.75" customHeight="1">
      <c r="A2800" s="17" t="s">
        <v>3471</v>
      </c>
      <c r="B2800" s="17" t="s">
        <v>217</v>
      </c>
      <c r="C2800" s="18">
        <v>45692.0</v>
      </c>
      <c r="D2800" s="18">
        <v>45722.0</v>
      </c>
      <c r="E2800" s="17" t="s">
        <v>684</v>
      </c>
      <c r="F2800" s="20">
        <v>19.99</v>
      </c>
      <c r="G2800" s="17" t="s">
        <v>675</v>
      </c>
    </row>
    <row r="2801" ht="15.75" customHeight="1">
      <c r="A2801" s="15" t="s">
        <v>3472</v>
      </c>
      <c r="B2801" s="15" t="s">
        <v>329</v>
      </c>
      <c r="C2801" s="16">
        <v>45692.0</v>
      </c>
      <c r="D2801" s="16">
        <v>45722.0</v>
      </c>
      <c r="E2801" s="15" t="s">
        <v>684</v>
      </c>
      <c r="F2801" s="19">
        <v>19.99</v>
      </c>
      <c r="G2801" s="15" t="s">
        <v>675</v>
      </c>
    </row>
    <row r="2802" ht="15.75" customHeight="1">
      <c r="A2802" s="17" t="s">
        <v>3473</v>
      </c>
      <c r="B2802" s="17" t="s">
        <v>218</v>
      </c>
      <c r="C2802" s="18">
        <v>45693.0</v>
      </c>
      <c r="D2802" s="18">
        <v>45723.0</v>
      </c>
      <c r="E2802" s="17" t="s">
        <v>684</v>
      </c>
      <c r="F2802" s="20">
        <v>19.99</v>
      </c>
      <c r="G2802" s="17" t="s">
        <v>675</v>
      </c>
    </row>
    <row r="2803" ht="15.75" customHeight="1">
      <c r="A2803" s="15" t="s">
        <v>3474</v>
      </c>
      <c r="B2803" s="15" t="s">
        <v>415</v>
      </c>
      <c r="C2803" s="16">
        <v>45693.0</v>
      </c>
      <c r="D2803" s="16">
        <v>45723.0</v>
      </c>
      <c r="E2803" s="15" t="s">
        <v>684</v>
      </c>
      <c r="F2803" s="19">
        <v>19.99</v>
      </c>
      <c r="G2803" s="15" t="s">
        <v>675</v>
      </c>
    </row>
    <row r="2804" ht="15.75" customHeight="1">
      <c r="A2804" s="17" t="s">
        <v>3475</v>
      </c>
      <c r="B2804" s="17" t="s">
        <v>219</v>
      </c>
      <c r="C2804" s="18">
        <v>45693.0</v>
      </c>
      <c r="D2804" s="18">
        <v>45723.0</v>
      </c>
      <c r="E2804" s="17" t="s">
        <v>684</v>
      </c>
      <c r="F2804" s="20">
        <v>19.99</v>
      </c>
      <c r="G2804" s="17" t="s">
        <v>675</v>
      </c>
    </row>
    <row r="2805" ht="15.75" customHeight="1">
      <c r="A2805" s="15" t="s">
        <v>3476</v>
      </c>
      <c r="B2805" s="15" t="s">
        <v>243</v>
      </c>
      <c r="C2805" s="16">
        <v>45693.0</v>
      </c>
      <c r="D2805" s="16">
        <v>45723.0</v>
      </c>
      <c r="E2805" s="15" t="s">
        <v>684</v>
      </c>
      <c r="F2805" s="19">
        <v>19.99</v>
      </c>
      <c r="G2805" s="15" t="s">
        <v>675</v>
      </c>
    </row>
    <row r="2806" ht="15.75" customHeight="1">
      <c r="A2806" s="17" t="s">
        <v>3477</v>
      </c>
      <c r="B2806" s="17" t="s">
        <v>283</v>
      </c>
      <c r="C2806" s="18">
        <v>45693.0</v>
      </c>
      <c r="D2806" s="18">
        <v>45723.0</v>
      </c>
      <c r="E2806" s="17" t="s">
        <v>684</v>
      </c>
      <c r="F2806" s="20">
        <v>19.99</v>
      </c>
      <c r="G2806" s="17" t="s">
        <v>675</v>
      </c>
    </row>
    <row r="2807" ht="15.75" customHeight="1">
      <c r="A2807" s="15" t="s">
        <v>3478</v>
      </c>
      <c r="B2807" s="15" t="s">
        <v>416</v>
      </c>
      <c r="C2807" s="16">
        <v>45693.0</v>
      </c>
      <c r="D2807" s="16">
        <v>45723.0</v>
      </c>
      <c r="E2807" s="15" t="s">
        <v>684</v>
      </c>
      <c r="F2807" s="19">
        <v>19.99</v>
      </c>
      <c r="G2807" s="15" t="s">
        <v>675</v>
      </c>
    </row>
    <row r="2808" ht="15.75" customHeight="1">
      <c r="A2808" s="17" t="s">
        <v>3479</v>
      </c>
      <c r="B2808" s="17" t="s">
        <v>514</v>
      </c>
      <c r="C2808" s="18">
        <v>45693.0</v>
      </c>
      <c r="D2808" s="18">
        <v>45723.0</v>
      </c>
      <c r="E2808" s="17" t="s">
        <v>684</v>
      </c>
      <c r="F2808" s="20">
        <v>19.99</v>
      </c>
      <c r="G2808" s="17" t="s">
        <v>675</v>
      </c>
    </row>
    <row r="2809" ht="15.75" customHeight="1">
      <c r="A2809" s="15" t="s">
        <v>3480</v>
      </c>
      <c r="B2809" s="15" t="s">
        <v>569</v>
      </c>
      <c r="C2809" s="16">
        <v>45693.0</v>
      </c>
      <c r="D2809" s="16">
        <v>45700.0</v>
      </c>
      <c r="E2809" s="15" t="s">
        <v>674</v>
      </c>
      <c r="F2809" s="19">
        <v>0.0</v>
      </c>
      <c r="G2809" s="15" t="s">
        <v>675</v>
      </c>
    </row>
    <row r="2810" ht="15.75" customHeight="1">
      <c r="A2810" s="17" t="s">
        <v>3481</v>
      </c>
      <c r="B2810" s="17" t="s">
        <v>119</v>
      </c>
      <c r="C2810" s="18">
        <v>45693.0</v>
      </c>
      <c r="D2810" s="18">
        <v>45723.0</v>
      </c>
      <c r="E2810" s="17" t="s">
        <v>684</v>
      </c>
      <c r="F2810" s="20">
        <v>19.99</v>
      </c>
      <c r="G2810" s="17" t="s">
        <v>675</v>
      </c>
    </row>
    <row r="2811" ht="15.75" customHeight="1">
      <c r="A2811" s="15" t="s">
        <v>3482</v>
      </c>
      <c r="B2811" s="15" t="s">
        <v>570</v>
      </c>
      <c r="C2811" s="16">
        <v>45693.0</v>
      </c>
      <c r="D2811" s="16">
        <v>45700.0</v>
      </c>
      <c r="E2811" s="15" t="s">
        <v>674</v>
      </c>
      <c r="F2811" s="19">
        <v>0.0</v>
      </c>
      <c r="G2811" s="15" t="s">
        <v>675</v>
      </c>
    </row>
    <row r="2812" ht="15.75" customHeight="1">
      <c r="A2812" s="17" t="s">
        <v>3483</v>
      </c>
      <c r="B2812" s="17" t="s">
        <v>365</v>
      </c>
      <c r="C2812" s="18">
        <v>45693.0</v>
      </c>
      <c r="D2812" s="18">
        <v>45723.0</v>
      </c>
      <c r="E2812" s="17" t="s">
        <v>684</v>
      </c>
      <c r="F2812" s="20">
        <v>19.99</v>
      </c>
      <c r="G2812" s="17" t="s">
        <v>675</v>
      </c>
    </row>
    <row r="2813" ht="15.75" customHeight="1">
      <c r="A2813" s="15" t="s">
        <v>3484</v>
      </c>
      <c r="B2813" s="15" t="s">
        <v>571</v>
      </c>
      <c r="C2813" s="16">
        <v>45693.0</v>
      </c>
      <c r="D2813" s="16">
        <v>45700.0</v>
      </c>
      <c r="E2813" s="15" t="s">
        <v>674</v>
      </c>
      <c r="F2813" s="19">
        <v>0.0</v>
      </c>
      <c r="G2813" s="15" t="s">
        <v>675</v>
      </c>
    </row>
    <row r="2814" ht="15.75" customHeight="1">
      <c r="A2814" s="17" t="s">
        <v>3485</v>
      </c>
      <c r="B2814" s="17" t="s">
        <v>560</v>
      </c>
      <c r="C2814" s="18">
        <v>45693.0</v>
      </c>
      <c r="D2814" s="18">
        <v>45723.0</v>
      </c>
      <c r="E2814" s="17" t="s">
        <v>684</v>
      </c>
      <c r="F2814" s="20">
        <v>19.99</v>
      </c>
      <c r="G2814" s="17" t="s">
        <v>675</v>
      </c>
    </row>
    <row r="2815" ht="15.75" customHeight="1">
      <c r="A2815" s="15" t="s">
        <v>3486</v>
      </c>
      <c r="B2815" s="15" t="s">
        <v>366</v>
      </c>
      <c r="C2815" s="16">
        <v>45693.0</v>
      </c>
      <c r="D2815" s="16">
        <v>45723.0</v>
      </c>
      <c r="E2815" s="15" t="s">
        <v>684</v>
      </c>
      <c r="F2815" s="19">
        <v>19.99</v>
      </c>
      <c r="G2815" s="15" t="s">
        <v>675</v>
      </c>
    </row>
    <row r="2816" ht="15.75" customHeight="1">
      <c r="A2816" s="17" t="s">
        <v>3487</v>
      </c>
      <c r="B2816" s="17" t="s">
        <v>515</v>
      </c>
      <c r="C2816" s="18">
        <v>45693.0</v>
      </c>
      <c r="D2816" s="18">
        <v>45723.0</v>
      </c>
      <c r="E2816" s="17" t="s">
        <v>684</v>
      </c>
      <c r="F2816" s="20">
        <v>19.99</v>
      </c>
      <c r="G2816" s="17" t="s">
        <v>675</v>
      </c>
    </row>
    <row r="2817" ht="15.75" customHeight="1">
      <c r="A2817" s="15" t="s">
        <v>3488</v>
      </c>
      <c r="B2817" s="15" t="s">
        <v>244</v>
      </c>
      <c r="C2817" s="16">
        <v>45694.0</v>
      </c>
      <c r="D2817" s="16">
        <v>45724.0</v>
      </c>
      <c r="E2817" s="15" t="s">
        <v>684</v>
      </c>
      <c r="F2817" s="19">
        <v>19.99</v>
      </c>
      <c r="G2817" s="15" t="s">
        <v>675</v>
      </c>
    </row>
    <row r="2818" ht="15.75" customHeight="1">
      <c r="A2818" s="17" t="s">
        <v>3489</v>
      </c>
      <c r="B2818" s="17" t="s">
        <v>287</v>
      </c>
      <c r="C2818" s="18">
        <v>45694.0</v>
      </c>
      <c r="D2818" s="18">
        <v>45724.0</v>
      </c>
      <c r="E2818" s="17" t="s">
        <v>684</v>
      </c>
      <c r="F2818" s="20">
        <v>19.99</v>
      </c>
      <c r="G2818" s="17" t="s">
        <v>675</v>
      </c>
    </row>
    <row r="2819" ht="15.75" customHeight="1">
      <c r="A2819" s="15" t="s">
        <v>3490</v>
      </c>
      <c r="B2819" s="15" t="s">
        <v>516</v>
      </c>
      <c r="C2819" s="16">
        <v>45694.0</v>
      </c>
      <c r="D2819" s="16">
        <v>45724.0</v>
      </c>
      <c r="E2819" s="15" t="s">
        <v>684</v>
      </c>
      <c r="F2819" s="19">
        <v>19.99</v>
      </c>
      <c r="G2819" s="15" t="s">
        <v>675</v>
      </c>
    </row>
    <row r="2820" ht="15.75" customHeight="1">
      <c r="A2820" s="17" t="s">
        <v>3491</v>
      </c>
      <c r="B2820" s="17" t="s">
        <v>120</v>
      </c>
      <c r="C2820" s="18">
        <v>45694.0</v>
      </c>
      <c r="D2820" s="18">
        <v>45724.0</v>
      </c>
      <c r="E2820" s="17" t="s">
        <v>684</v>
      </c>
      <c r="F2820" s="20">
        <v>19.99</v>
      </c>
      <c r="G2820" s="17" t="s">
        <v>675</v>
      </c>
    </row>
    <row r="2821" ht="15.75" customHeight="1">
      <c r="A2821" s="15" t="s">
        <v>3492</v>
      </c>
      <c r="B2821" s="15" t="s">
        <v>572</v>
      </c>
      <c r="C2821" s="16">
        <v>45694.0</v>
      </c>
      <c r="D2821" s="16">
        <v>45701.0</v>
      </c>
      <c r="E2821" s="15" t="s">
        <v>674</v>
      </c>
      <c r="F2821" s="19">
        <v>0.0</v>
      </c>
      <c r="G2821" s="15" t="s">
        <v>675</v>
      </c>
    </row>
    <row r="2822" ht="15.75" customHeight="1">
      <c r="A2822" s="17" t="s">
        <v>3493</v>
      </c>
      <c r="B2822" s="17" t="s">
        <v>417</v>
      </c>
      <c r="C2822" s="18">
        <v>45694.0</v>
      </c>
      <c r="D2822" s="18">
        <v>45724.0</v>
      </c>
      <c r="E2822" s="17" t="s">
        <v>684</v>
      </c>
      <c r="F2822" s="20">
        <v>19.99</v>
      </c>
      <c r="G2822" s="17" t="s">
        <v>675</v>
      </c>
    </row>
    <row r="2823" ht="15.75" customHeight="1">
      <c r="A2823" s="15" t="s">
        <v>3494</v>
      </c>
      <c r="B2823" s="15" t="s">
        <v>573</v>
      </c>
      <c r="C2823" s="16">
        <v>45694.0</v>
      </c>
      <c r="D2823" s="16">
        <v>45701.0</v>
      </c>
      <c r="E2823" s="15" t="s">
        <v>674</v>
      </c>
      <c r="F2823" s="19">
        <v>0.0</v>
      </c>
      <c r="G2823" s="15" t="s">
        <v>675</v>
      </c>
    </row>
    <row r="2824" ht="15.75" customHeight="1">
      <c r="A2824" s="17" t="s">
        <v>3495</v>
      </c>
      <c r="B2824" s="17" t="s">
        <v>418</v>
      </c>
      <c r="C2824" s="18">
        <v>45694.0</v>
      </c>
      <c r="D2824" s="18">
        <v>45724.0</v>
      </c>
      <c r="E2824" s="17" t="s">
        <v>684</v>
      </c>
      <c r="F2824" s="20">
        <v>19.99</v>
      </c>
      <c r="G2824" s="17" t="s">
        <v>675</v>
      </c>
    </row>
    <row r="2825" ht="15.75" customHeight="1">
      <c r="A2825" s="15" t="s">
        <v>3496</v>
      </c>
      <c r="B2825" s="15" t="s">
        <v>330</v>
      </c>
      <c r="C2825" s="16">
        <v>45694.0</v>
      </c>
      <c r="D2825" s="16">
        <v>45724.0</v>
      </c>
      <c r="E2825" s="15" t="s">
        <v>684</v>
      </c>
      <c r="F2825" s="19">
        <v>19.99</v>
      </c>
      <c r="G2825" s="15" t="s">
        <v>675</v>
      </c>
    </row>
    <row r="2826" ht="15.75" customHeight="1">
      <c r="A2826" s="17" t="s">
        <v>3497</v>
      </c>
      <c r="B2826" s="17" t="s">
        <v>220</v>
      </c>
      <c r="C2826" s="18">
        <v>45694.0</v>
      </c>
      <c r="D2826" s="18">
        <v>45724.0</v>
      </c>
      <c r="E2826" s="17" t="s">
        <v>684</v>
      </c>
      <c r="F2826" s="20">
        <v>19.99</v>
      </c>
      <c r="G2826" s="17" t="s">
        <v>675</v>
      </c>
    </row>
    <row r="2827" ht="15.75" customHeight="1">
      <c r="A2827" s="15" t="s">
        <v>3498</v>
      </c>
      <c r="B2827" s="15" t="s">
        <v>561</v>
      </c>
      <c r="C2827" s="16">
        <v>45694.0</v>
      </c>
      <c r="D2827" s="16">
        <v>45724.0</v>
      </c>
      <c r="E2827" s="15" t="s">
        <v>684</v>
      </c>
      <c r="F2827" s="19">
        <v>19.99</v>
      </c>
      <c r="G2827" s="15" t="s">
        <v>675</v>
      </c>
    </row>
    <row r="2828" ht="15.75" customHeight="1">
      <c r="A2828" s="17" t="s">
        <v>3499</v>
      </c>
      <c r="B2828" s="17" t="s">
        <v>574</v>
      </c>
      <c r="C2828" s="18">
        <v>45694.0</v>
      </c>
      <c r="D2828" s="18">
        <v>45701.0</v>
      </c>
      <c r="E2828" s="17" t="s">
        <v>674</v>
      </c>
      <c r="F2828" s="20">
        <v>0.0</v>
      </c>
      <c r="G2828" s="17" t="s">
        <v>675</v>
      </c>
    </row>
    <row r="2829" ht="15.75" customHeight="1">
      <c r="A2829" s="15" t="s">
        <v>3500</v>
      </c>
      <c r="B2829" s="15" t="s">
        <v>289</v>
      </c>
      <c r="C2829" s="16">
        <v>45694.0</v>
      </c>
      <c r="D2829" s="16">
        <v>45724.0</v>
      </c>
      <c r="E2829" s="15" t="s">
        <v>684</v>
      </c>
      <c r="F2829" s="19">
        <v>19.99</v>
      </c>
      <c r="G2829" s="15" t="s">
        <v>675</v>
      </c>
    </row>
    <row r="2830" ht="15.75" customHeight="1">
      <c r="A2830" s="17" t="s">
        <v>3501</v>
      </c>
      <c r="B2830" s="17" t="s">
        <v>517</v>
      </c>
      <c r="C2830" s="18">
        <v>45695.0</v>
      </c>
      <c r="D2830" s="18">
        <v>45725.0</v>
      </c>
      <c r="E2830" s="17" t="s">
        <v>684</v>
      </c>
      <c r="F2830" s="20">
        <v>19.99</v>
      </c>
      <c r="G2830" s="17" t="s">
        <v>675</v>
      </c>
    </row>
    <row r="2831" ht="15.75" customHeight="1">
      <c r="A2831" s="15" t="s">
        <v>3502</v>
      </c>
      <c r="B2831" s="15" t="s">
        <v>246</v>
      </c>
      <c r="C2831" s="16">
        <v>45695.0</v>
      </c>
      <c r="D2831" s="16">
        <v>45725.0</v>
      </c>
      <c r="E2831" s="15" t="s">
        <v>684</v>
      </c>
      <c r="F2831" s="19">
        <v>19.99</v>
      </c>
      <c r="G2831" s="15" t="s">
        <v>675</v>
      </c>
    </row>
    <row r="2832" ht="15.75" customHeight="1">
      <c r="A2832" s="17" t="s">
        <v>3503</v>
      </c>
      <c r="B2832" s="17" t="s">
        <v>470</v>
      </c>
      <c r="C2832" s="18">
        <v>45695.0</v>
      </c>
      <c r="D2832" s="18">
        <v>45725.0</v>
      </c>
      <c r="E2832" s="17" t="s">
        <v>684</v>
      </c>
      <c r="F2832" s="20">
        <v>19.99</v>
      </c>
      <c r="G2832" s="17" t="s">
        <v>675</v>
      </c>
    </row>
    <row r="2833" ht="15.75" customHeight="1">
      <c r="A2833" s="15" t="s">
        <v>3504</v>
      </c>
      <c r="B2833" s="15" t="s">
        <v>367</v>
      </c>
      <c r="C2833" s="16">
        <v>45695.0</v>
      </c>
      <c r="D2833" s="16">
        <v>45725.0</v>
      </c>
      <c r="E2833" s="15" t="s">
        <v>684</v>
      </c>
      <c r="F2833" s="19">
        <v>19.99</v>
      </c>
      <c r="G2833" s="15" t="s">
        <v>675</v>
      </c>
    </row>
    <row r="2834" ht="15.75" customHeight="1">
      <c r="A2834" s="17" t="s">
        <v>3505</v>
      </c>
      <c r="B2834" s="17" t="s">
        <v>331</v>
      </c>
      <c r="C2834" s="18">
        <v>45695.0</v>
      </c>
      <c r="D2834" s="18">
        <v>45725.0</v>
      </c>
      <c r="E2834" s="17" t="s">
        <v>684</v>
      </c>
      <c r="F2834" s="20">
        <v>19.99</v>
      </c>
      <c r="G2834" s="17" t="s">
        <v>675</v>
      </c>
    </row>
    <row r="2835" ht="15.75" customHeight="1">
      <c r="A2835" s="15" t="s">
        <v>3506</v>
      </c>
      <c r="B2835" s="15" t="s">
        <v>222</v>
      </c>
      <c r="C2835" s="16">
        <v>45695.0</v>
      </c>
      <c r="D2835" s="16">
        <v>45725.0</v>
      </c>
      <c r="E2835" s="15" t="s">
        <v>684</v>
      </c>
      <c r="F2835" s="19">
        <v>19.99</v>
      </c>
      <c r="G2835" s="15" t="s">
        <v>675</v>
      </c>
    </row>
    <row r="2836" ht="15.75" customHeight="1">
      <c r="A2836" s="17" t="s">
        <v>3507</v>
      </c>
      <c r="B2836" s="17" t="s">
        <v>332</v>
      </c>
      <c r="C2836" s="18">
        <v>45695.0</v>
      </c>
      <c r="D2836" s="18">
        <v>45725.0</v>
      </c>
      <c r="E2836" s="17" t="s">
        <v>684</v>
      </c>
      <c r="F2836" s="20">
        <v>19.99</v>
      </c>
      <c r="G2836" s="17" t="s">
        <v>675</v>
      </c>
    </row>
    <row r="2837" ht="15.75" customHeight="1">
      <c r="A2837" s="15" t="s">
        <v>3508</v>
      </c>
      <c r="B2837" s="15" t="s">
        <v>369</v>
      </c>
      <c r="C2837" s="16">
        <v>45695.0</v>
      </c>
      <c r="D2837" s="16">
        <v>45725.0</v>
      </c>
      <c r="E2837" s="15" t="s">
        <v>684</v>
      </c>
      <c r="F2837" s="19">
        <v>19.99</v>
      </c>
      <c r="G2837" s="15" t="s">
        <v>675</v>
      </c>
    </row>
    <row r="2838" ht="15.75" customHeight="1">
      <c r="A2838" s="17" t="s">
        <v>3509</v>
      </c>
      <c r="B2838" s="17" t="s">
        <v>152</v>
      </c>
      <c r="C2838" s="18">
        <v>45695.0</v>
      </c>
      <c r="D2838" s="18">
        <v>45725.0</v>
      </c>
      <c r="E2838" s="17" t="s">
        <v>684</v>
      </c>
      <c r="F2838" s="20">
        <v>19.99</v>
      </c>
      <c r="G2838" s="17" t="s">
        <v>675</v>
      </c>
    </row>
    <row r="2839" ht="15.75" customHeight="1">
      <c r="A2839" s="15" t="s">
        <v>3510</v>
      </c>
      <c r="B2839" s="15" t="s">
        <v>189</v>
      </c>
      <c r="C2839" s="16">
        <v>45695.0</v>
      </c>
      <c r="D2839" s="16">
        <v>45725.0</v>
      </c>
      <c r="E2839" s="15" t="s">
        <v>684</v>
      </c>
      <c r="F2839" s="19">
        <v>19.99</v>
      </c>
      <c r="G2839" s="15" t="s">
        <v>675</v>
      </c>
    </row>
    <row r="2840" ht="15.75" customHeight="1">
      <c r="A2840" s="17" t="s">
        <v>3511</v>
      </c>
      <c r="B2840" s="17" t="s">
        <v>575</v>
      </c>
      <c r="C2840" s="18">
        <v>45695.0</v>
      </c>
      <c r="D2840" s="18">
        <v>45702.0</v>
      </c>
      <c r="E2840" s="17" t="s">
        <v>674</v>
      </c>
      <c r="F2840" s="20">
        <v>0.0</v>
      </c>
      <c r="G2840" s="17" t="s">
        <v>675</v>
      </c>
    </row>
    <row r="2841" ht="15.75" customHeight="1">
      <c r="A2841" s="15" t="s">
        <v>3512</v>
      </c>
      <c r="B2841" s="15" t="s">
        <v>91</v>
      </c>
      <c r="C2841" s="16">
        <v>45695.0</v>
      </c>
      <c r="D2841" s="16">
        <v>45725.0</v>
      </c>
      <c r="E2841" s="15" t="s">
        <v>684</v>
      </c>
      <c r="F2841" s="19">
        <v>19.99</v>
      </c>
      <c r="G2841" s="15" t="s">
        <v>675</v>
      </c>
    </row>
    <row r="2842" ht="15.75" customHeight="1">
      <c r="A2842" s="17" t="s">
        <v>3513</v>
      </c>
      <c r="B2842" s="17" t="s">
        <v>247</v>
      </c>
      <c r="C2842" s="18">
        <v>45696.0</v>
      </c>
      <c r="D2842" s="18">
        <v>45726.0</v>
      </c>
      <c r="E2842" s="17" t="s">
        <v>684</v>
      </c>
      <c r="F2842" s="20">
        <v>19.99</v>
      </c>
      <c r="G2842" s="17" t="s">
        <v>675</v>
      </c>
    </row>
    <row r="2843" ht="15.75" customHeight="1">
      <c r="A2843" s="15" t="s">
        <v>3514</v>
      </c>
      <c r="B2843" s="15" t="s">
        <v>92</v>
      </c>
      <c r="C2843" s="16">
        <v>45696.0</v>
      </c>
      <c r="D2843" s="16">
        <v>45726.0</v>
      </c>
      <c r="E2843" s="15" t="s">
        <v>684</v>
      </c>
      <c r="F2843" s="19">
        <v>19.99</v>
      </c>
      <c r="G2843" s="15" t="s">
        <v>675</v>
      </c>
    </row>
    <row r="2844" ht="15.75" customHeight="1">
      <c r="A2844" s="17" t="s">
        <v>3515</v>
      </c>
      <c r="B2844" s="17" t="s">
        <v>576</v>
      </c>
      <c r="C2844" s="18">
        <v>45696.0</v>
      </c>
      <c r="D2844" s="18">
        <v>45703.0</v>
      </c>
      <c r="E2844" s="17" t="s">
        <v>674</v>
      </c>
      <c r="F2844" s="20">
        <v>0.0</v>
      </c>
      <c r="G2844" s="17" t="s">
        <v>675</v>
      </c>
    </row>
    <row r="2845" ht="15.75" customHeight="1">
      <c r="A2845" s="15" t="s">
        <v>3516</v>
      </c>
      <c r="B2845" s="15" t="s">
        <v>190</v>
      </c>
      <c r="C2845" s="16">
        <v>45696.0</v>
      </c>
      <c r="D2845" s="16">
        <v>45726.0</v>
      </c>
      <c r="E2845" s="15" t="s">
        <v>684</v>
      </c>
      <c r="F2845" s="19">
        <v>19.99</v>
      </c>
      <c r="G2845" s="15" t="s">
        <v>675</v>
      </c>
    </row>
    <row r="2846" ht="15.75" customHeight="1">
      <c r="A2846" s="17" t="s">
        <v>3517</v>
      </c>
      <c r="B2846" s="17" t="s">
        <v>471</v>
      </c>
      <c r="C2846" s="18">
        <v>45696.0</v>
      </c>
      <c r="D2846" s="18">
        <v>45726.0</v>
      </c>
      <c r="E2846" s="17" t="s">
        <v>684</v>
      </c>
      <c r="F2846" s="20">
        <v>19.99</v>
      </c>
      <c r="G2846" s="17" t="s">
        <v>675</v>
      </c>
    </row>
    <row r="2847" ht="15.75" customHeight="1">
      <c r="A2847" s="15" t="s">
        <v>3518</v>
      </c>
      <c r="B2847" s="15" t="s">
        <v>290</v>
      </c>
      <c r="C2847" s="16">
        <v>45696.0</v>
      </c>
      <c r="D2847" s="16">
        <v>45726.0</v>
      </c>
      <c r="E2847" s="15" t="s">
        <v>684</v>
      </c>
      <c r="F2847" s="19">
        <v>19.99</v>
      </c>
      <c r="G2847" s="15" t="s">
        <v>675</v>
      </c>
    </row>
    <row r="2848" ht="15.75" customHeight="1">
      <c r="A2848" s="17" t="s">
        <v>3519</v>
      </c>
      <c r="B2848" s="17" t="s">
        <v>154</v>
      </c>
      <c r="C2848" s="18">
        <v>45696.0</v>
      </c>
      <c r="D2848" s="18">
        <v>45726.0</v>
      </c>
      <c r="E2848" s="17" t="s">
        <v>684</v>
      </c>
      <c r="F2848" s="20">
        <v>19.99</v>
      </c>
      <c r="G2848" s="17" t="s">
        <v>675</v>
      </c>
    </row>
    <row r="2849" ht="15.75" customHeight="1">
      <c r="A2849" s="15" t="s">
        <v>3520</v>
      </c>
      <c r="B2849" s="15" t="s">
        <v>370</v>
      </c>
      <c r="C2849" s="16">
        <v>45696.0</v>
      </c>
      <c r="D2849" s="16">
        <v>45726.0</v>
      </c>
      <c r="E2849" s="15" t="s">
        <v>684</v>
      </c>
      <c r="F2849" s="19">
        <v>19.99</v>
      </c>
      <c r="G2849" s="15" t="s">
        <v>675</v>
      </c>
    </row>
    <row r="2850" ht="15.75" customHeight="1">
      <c r="A2850" s="17" t="s">
        <v>3521</v>
      </c>
      <c r="B2850" s="17" t="s">
        <v>577</v>
      </c>
      <c r="C2850" s="18">
        <v>45696.0</v>
      </c>
      <c r="D2850" s="18">
        <v>45703.0</v>
      </c>
      <c r="E2850" s="17" t="s">
        <v>674</v>
      </c>
      <c r="F2850" s="20">
        <v>0.0</v>
      </c>
      <c r="G2850" s="17" t="s">
        <v>675</v>
      </c>
    </row>
    <row r="2851" ht="15.75" customHeight="1">
      <c r="A2851" s="15" t="s">
        <v>3522</v>
      </c>
      <c r="B2851" s="15" t="s">
        <v>473</v>
      </c>
      <c r="C2851" s="16">
        <v>45696.0</v>
      </c>
      <c r="D2851" s="16">
        <v>45726.0</v>
      </c>
      <c r="E2851" s="15" t="s">
        <v>684</v>
      </c>
      <c r="F2851" s="19">
        <v>19.99</v>
      </c>
      <c r="G2851" s="15" t="s">
        <v>675</v>
      </c>
    </row>
    <row r="2852" ht="15.75" customHeight="1">
      <c r="A2852" s="17" t="s">
        <v>3523</v>
      </c>
      <c r="B2852" s="17" t="s">
        <v>291</v>
      </c>
      <c r="C2852" s="18">
        <v>45696.0</v>
      </c>
      <c r="D2852" s="18">
        <v>45726.0</v>
      </c>
      <c r="E2852" s="17" t="s">
        <v>684</v>
      </c>
      <c r="F2852" s="20">
        <v>19.99</v>
      </c>
      <c r="G2852" s="17" t="s">
        <v>675</v>
      </c>
    </row>
    <row r="2853" ht="15.75" customHeight="1">
      <c r="A2853" s="15" t="s">
        <v>3524</v>
      </c>
      <c r="B2853" s="15" t="s">
        <v>518</v>
      </c>
      <c r="C2853" s="16">
        <v>45696.0</v>
      </c>
      <c r="D2853" s="16">
        <v>45726.0</v>
      </c>
      <c r="E2853" s="15" t="s">
        <v>684</v>
      </c>
      <c r="F2853" s="19">
        <v>19.99</v>
      </c>
      <c r="G2853" s="15" t="s">
        <v>675</v>
      </c>
    </row>
    <row r="2854" ht="15.75" customHeight="1">
      <c r="A2854" s="17" t="s">
        <v>3525</v>
      </c>
      <c r="B2854" s="17" t="s">
        <v>371</v>
      </c>
      <c r="C2854" s="18">
        <v>45696.0</v>
      </c>
      <c r="D2854" s="18">
        <v>45726.0</v>
      </c>
      <c r="E2854" s="17" t="s">
        <v>684</v>
      </c>
      <c r="F2854" s="20">
        <v>19.99</v>
      </c>
      <c r="G2854" s="17" t="s">
        <v>675</v>
      </c>
    </row>
    <row r="2855" ht="15.75" customHeight="1">
      <c r="A2855" s="15" t="s">
        <v>3526</v>
      </c>
      <c r="B2855" s="15" t="s">
        <v>372</v>
      </c>
      <c r="C2855" s="16">
        <v>45697.0</v>
      </c>
      <c r="D2855" s="16">
        <v>45727.0</v>
      </c>
      <c r="E2855" s="15" t="s">
        <v>684</v>
      </c>
      <c r="F2855" s="19">
        <v>19.99</v>
      </c>
      <c r="G2855" s="15" t="s">
        <v>675</v>
      </c>
    </row>
    <row r="2856" ht="15.75" customHeight="1">
      <c r="A2856" s="17" t="s">
        <v>3527</v>
      </c>
      <c r="B2856" s="17" t="s">
        <v>562</v>
      </c>
      <c r="C2856" s="18">
        <v>45697.0</v>
      </c>
      <c r="D2856" s="18">
        <v>45727.0</v>
      </c>
      <c r="E2856" s="17" t="s">
        <v>684</v>
      </c>
      <c r="F2856" s="20">
        <v>19.99</v>
      </c>
      <c r="G2856" s="17" t="s">
        <v>675</v>
      </c>
    </row>
    <row r="2857" ht="15.75" customHeight="1">
      <c r="A2857" s="15" t="s">
        <v>3528</v>
      </c>
      <c r="B2857" s="15" t="s">
        <v>292</v>
      </c>
      <c r="C2857" s="16">
        <v>45697.0</v>
      </c>
      <c r="D2857" s="16">
        <v>45727.0</v>
      </c>
      <c r="E2857" s="15" t="s">
        <v>684</v>
      </c>
      <c r="F2857" s="19">
        <v>19.99</v>
      </c>
      <c r="G2857" s="15" t="s">
        <v>675</v>
      </c>
    </row>
    <row r="2858" ht="15.75" customHeight="1">
      <c r="A2858" s="17" t="s">
        <v>3529</v>
      </c>
      <c r="B2858" s="17" t="s">
        <v>123</v>
      </c>
      <c r="C2858" s="18">
        <v>45697.0</v>
      </c>
      <c r="D2858" s="18">
        <v>45727.0</v>
      </c>
      <c r="E2858" s="17" t="s">
        <v>684</v>
      </c>
      <c r="F2858" s="20">
        <v>19.99</v>
      </c>
      <c r="G2858" s="17" t="s">
        <v>675</v>
      </c>
    </row>
    <row r="2859" ht="15.75" customHeight="1">
      <c r="A2859" s="15" t="s">
        <v>3530</v>
      </c>
      <c r="B2859" s="15" t="s">
        <v>420</v>
      </c>
      <c r="C2859" s="16">
        <v>45697.0</v>
      </c>
      <c r="D2859" s="16">
        <v>45727.0</v>
      </c>
      <c r="E2859" s="15" t="s">
        <v>684</v>
      </c>
      <c r="F2859" s="19">
        <v>19.99</v>
      </c>
      <c r="G2859" s="15" t="s">
        <v>675</v>
      </c>
    </row>
    <row r="2860" ht="15.75" customHeight="1">
      <c r="A2860" s="17" t="s">
        <v>3531</v>
      </c>
      <c r="B2860" s="17" t="s">
        <v>474</v>
      </c>
      <c r="C2860" s="18">
        <v>45697.0</v>
      </c>
      <c r="D2860" s="18">
        <v>45727.0</v>
      </c>
      <c r="E2860" s="17" t="s">
        <v>684</v>
      </c>
      <c r="F2860" s="20">
        <v>19.99</v>
      </c>
      <c r="G2860" s="17" t="s">
        <v>675</v>
      </c>
    </row>
    <row r="2861" ht="15.75" customHeight="1">
      <c r="A2861" s="15" t="s">
        <v>3532</v>
      </c>
      <c r="B2861" s="15" t="s">
        <v>563</v>
      </c>
      <c r="C2861" s="16">
        <v>45697.0</v>
      </c>
      <c r="D2861" s="16">
        <v>45727.0</v>
      </c>
      <c r="E2861" s="15" t="s">
        <v>684</v>
      </c>
      <c r="F2861" s="19">
        <v>19.99</v>
      </c>
      <c r="G2861" s="15" t="s">
        <v>675</v>
      </c>
    </row>
    <row r="2862" ht="15.75" customHeight="1">
      <c r="A2862" s="17" t="s">
        <v>3533</v>
      </c>
      <c r="B2862" s="17" t="s">
        <v>333</v>
      </c>
      <c r="C2862" s="18">
        <v>45697.0</v>
      </c>
      <c r="D2862" s="18">
        <v>45727.0</v>
      </c>
      <c r="E2862" s="17" t="s">
        <v>684</v>
      </c>
      <c r="F2862" s="20">
        <v>19.99</v>
      </c>
      <c r="G2862" s="17" t="s">
        <v>675</v>
      </c>
    </row>
    <row r="2863" ht="15.75" customHeight="1">
      <c r="A2863" s="15" t="s">
        <v>3534</v>
      </c>
      <c r="B2863" s="15" t="s">
        <v>334</v>
      </c>
      <c r="C2863" s="16">
        <v>45697.0</v>
      </c>
      <c r="D2863" s="16">
        <v>45727.0</v>
      </c>
      <c r="E2863" s="15" t="s">
        <v>684</v>
      </c>
      <c r="F2863" s="19">
        <v>19.99</v>
      </c>
      <c r="G2863" s="15" t="s">
        <v>675</v>
      </c>
    </row>
    <row r="2864" ht="15.75" customHeight="1">
      <c r="A2864" s="17" t="s">
        <v>3535</v>
      </c>
      <c r="B2864" s="17" t="s">
        <v>191</v>
      </c>
      <c r="C2864" s="18">
        <v>45697.0</v>
      </c>
      <c r="D2864" s="18">
        <v>45727.0</v>
      </c>
      <c r="E2864" s="17" t="s">
        <v>684</v>
      </c>
      <c r="F2864" s="20">
        <v>19.99</v>
      </c>
      <c r="G2864" s="17" t="s">
        <v>675</v>
      </c>
    </row>
    <row r="2865" ht="15.75" customHeight="1">
      <c r="A2865" s="15" t="s">
        <v>3536</v>
      </c>
      <c r="B2865" s="15" t="s">
        <v>373</v>
      </c>
      <c r="C2865" s="16">
        <v>45697.0</v>
      </c>
      <c r="D2865" s="16">
        <v>45727.0</v>
      </c>
      <c r="E2865" s="15" t="s">
        <v>684</v>
      </c>
      <c r="F2865" s="19">
        <v>19.99</v>
      </c>
      <c r="G2865" s="15" t="s">
        <v>675</v>
      </c>
    </row>
    <row r="2866" ht="15.75" customHeight="1">
      <c r="A2866" s="17" t="s">
        <v>3537</v>
      </c>
      <c r="B2866" s="17" t="s">
        <v>421</v>
      </c>
      <c r="C2866" s="18">
        <v>45697.0</v>
      </c>
      <c r="D2866" s="18">
        <v>45727.0</v>
      </c>
      <c r="E2866" s="17" t="s">
        <v>684</v>
      </c>
      <c r="F2866" s="20">
        <v>19.99</v>
      </c>
      <c r="G2866" s="17" t="s">
        <v>675</v>
      </c>
    </row>
    <row r="2867" ht="15.75" customHeight="1">
      <c r="A2867" s="15" t="s">
        <v>3538</v>
      </c>
      <c r="B2867" s="15" t="s">
        <v>73</v>
      </c>
      <c r="C2867" s="16">
        <v>45697.0</v>
      </c>
      <c r="D2867" s="16">
        <v>45727.0</v>
      </c>
      <c r="E2867" s="15" t="s">
        <v>684</v>
      </c>
      <c r="F2867" s="19">
        <v>19.99</v>
      </c>
      <c r="G2867" s="15" t="s">
        <v>675</v>
      </c>
    </row>
    <row r="2868" ht="15.75" customHeight="1">
      <c r="A2868" s="17" t="s">
        <v>3539</v>
      </c>
      <c r="B2868" s="17" t="s">
        <v>519</v>
      </c>
      <c r="C2868" s="18">
        <v>45697.0</v>
      </c>
      <c r="D2868" s="18">
        <v>45727.0</v>
      </c>
      <c r="E2868" s="17" t="s">
        <v>684</v>
      </c>
      <c r="F2868" s="20">
        <v>19.99</v>
      </c>
      <c r="G2868" s="17" t="s">
        <v>675</v>
      </c>
    </row>
    <row r="2869" ht="15.75" customHeight="1">
      <c r="A2869" s="15" t="s">
        <v>3540</v>
      </c>
      <c r="B2869" s="15" t="s">
        <v>374</v>
      </c>
      <c r="C2869" s="16">
        <v>45697.0</v>
      </c>
      <c r="D2869" s="16">
        <v>45727.0</v>
      </c>
      <c r="E2869" s="15" t="s">
        <v>684</v>
      </c>
      <c r="F2869" s="19">
        <v>19.99</v>
      </c>
      <c r="G2869" s="15" t="s">
        <v>675</v>
      </c>
    </row>
    <row r="2870" ht="15.75" customHeight="1">
      <c r="A2870" s="17" t="s">
        <v>3541</v>
      </c>
      <c r="B2870" s="17" t="s">
        <v>475</v>
      </c>
      <c r="C2870" s="18">
        <v>45697.0</v>
      </c>
      <c r="D2870" s="18">
        <v>45727.0</v>
      </c>
      <c r="E2870" s="17" t="s">
        <v>684</v>
      </c>
      <c r="F2870" s="20">
        <v>19.99</v>
      </c>
      <c r="G2870" s="17" t="s">
        <v>675</v>
      </c>
    </row>
    <row r="2871" ht="15.75" customHeight="1">
      <c r="A2871" s="15" t="s">
        <v>3542</v>
      </c>
      <c r="B2871" s="15" t="s">
        <v>74</v>
      </c>
      <c r="C2871" s="16">
        <v>45697.0</v>
      </c>
      <c r="D2871" s="16">
        <v>45727.0</v>
      </c>
      <c r="E2871" s="15" t="s">
        <v>684</v>
      </c>
      <c r="F2871" s="19">
        <v>19.99</v>
      </c>
      <c r="G2871" s="15" t="s">
        <v>675</v>
      </c>
    </row>
    <row r="2872" ht="15.75" customHeight="1">
      <c r="A2872" s="17" t="s">
        <v>3543</v>
      </c>
      <c r="B2872" s="17" t="s">
        <v>520</v>
      </c>
      <c r="C2872" s="18">
        <v>45698.0</v>
      </c>
      <c r="D2872" s="18">
        <v>45728.0</v>
      </c>
      <c r="E2872" s="17" t="s">
        <v>684</v>
      </c>
      <c r="F2872" s="20">
        <v>19.99</v>
      </c>
      <c r="G2872" s="17" t="s">
        <v>675</v>
      </c>
    </row>
    <row r="2873" ht="15.75" customHeight="1">
      <c r="A2873" s="15" t="s">
        <v>3544</v>
      </c>
      <c r="B2873" s="15" t="s">
        <v>578</v>
      </c>
      <c r="C2873" s="16">
        <v>45698.0</v>
      </c>
      <c r="D2873" s="16">
        <v>45705.0</v>
      </c>
      <c r="E2873" s="15" t="s">
        <v>674</v>
      </c>
      <c r="F2873" s="19">
        <v>0.0</v>
      </c>
      <c r="G2873" s="15" t="s">
        <v>675</v>
      </c>
    </row>
    <row r="2874" ht="15.75" customHeight="1">
      <c r="A2874" s="17" t="s">
        <v>3545</v>
      </c>
      <c r="B2874" s="17" t="s">
        <v>422</v>
      </c>
      <c r="C2874" s="18">
        <v>45698.0</v>
      </c>
      <c r="D2874" s="18">
        <v>45728.0</v>
      </c>
      <c r="E2874" s="17" t="s">
        <v>684</v>
      </c>
      <c r="F2874" s="20">
        <v>19.99</v>
      </c>
      <c r="G2874" s="17" t="s">
        <v>675</v>
      </c>
    </row>
    <row r="2875" ht="15.75" customHeight="1">
      <c r="A2875" s="15" t="s">
        <v>3546</v>
      </c>
      <c r="B2875" s="15" t="s">
        <v>375</v>
      </c>
      <c r="C2875" s="16">
        <v>45698.0</v>
      </c>
      <c r="D2875" s="16">
        <v>45728.0</v>
      </c>
      <c r="E2875" s="15" t="s">
        <v>684</v>
      </c>
      <c r="F2875" s="19">
        <v>19.99</v>
      </c>
      <c r="G2875" s="15" t="s">
        <v>675</v>
      </c>
    </row>
    <row r="2876" ht="15.75" customHeight="1">
      <c r="A2876" s="17" t="s">
        <v>3547</v>
      </c>
      <c r="B2876" s="17" t="s">
        <v>579</v>
      </c>
      <c r="C2876" s="18">
        <v>45698.0</v>
      </c>
      <c r="D2876" s="18">
        <v>45705.0</v>
      </c>
      <c r="E2876" s="17" t="s">
        <v>674</v>
      </c>
      <c r="F2876" s="20">
        <v>0.0</v>
      </c>
      <c r="G2876" s="17" t="s">
        <v>675</v>
      </c>
    </row>
    <row r="2877" ht="15.75" customHeight="1">
      <c r="A2877" s="15" t="s">
        <v>3548</v>
      </c>
      <c r="B2877" s="15" t="s">
        <v>564</v>
      </c>
      <c r="C2877" s="16">
        <v>45698.0</v>
      </c>
      <c r="D2877" s="16">
        <v>45728.0</v>
      </c>
      <c r="E2877" s="15" t="s">
        <v>684</v>
      </c>
      <c r="F2877" s="19">
        <v>19.99</v>
      </c>
      <c r="G2877" s="15" t="s">
        <v>675</v>
      </c>
    </row>
    <row r="2878" ht="15.75" customHeight="1">
      <c r="A2878" s="17" t="s">
        <v>3549</v>
      </c>
      <c r="B2878" s="17" t="s">
        <v>565</v>
      </c>
      <c r="C2878" s="18">
        <v>45698.0</v>
      </c>
      <c r="D2878" s="18">
        <v>45728.0</v>
      </c>
      <c r="E2878" s="17" t="s">
        <v>684</v>
      </c>
      <c r="F2878" s="20">
        <v>19.99</v>
      </c>
      <c r="G2878" s="17" t="s">
        <v>675</v>
      </c>
    </row>
    <row r="2879" ht="15.75" customHeight="1">
      <c r="A2879" s="15" t="s">
        <v>3550</v>
      </c>
      <c r="B2879" s="15" t="s">
        <v>423</v>
      </c>
      <c r="C2879" s="16">
        <v>45698.0</v>
      </c>
      <c r="D2879" s="16">
        <v>45728.0</v>
      </c>
      <c r="E2879" s="15" t="s">
        <v>684</v>
      </c>
      <c r="F2879" s="19">
        <v>19.99</v>
      </c>
      <c r="G2879" s="15" t="s">
        <v>675</v>
      </c>
    </row>
    <row r="2880" ht="15.75" customHeight="1">
      <c r="A2880" s="17" t="s">
        <v>3551</v>
      </c>
      <c r="B2880" s="17" t="s">
        <v>424</v>
      </c>
      <c r="C2880" s="18">
        <v>45698.0</v>
      </c>
      <c r="D2880" s="18">
        <v>45728.0</v>
      </c>
      <c r="E2880" s="17" t="s">
        <v>684</v>
      </c>
      <c r="F2880" s="20">
        <v>19.99</v>
      </c>
      <c r="G2880" s="17" t="s">
        <v>675</v>
      </c>
    </row>
    <row r="2881" ht="15.75" customHeight="1">
      <c r="A2881" s="15" t="s">
        <v>3552</v>
      </c>
      <c r="B2881" s="15" t="s">
        <v>566</v>
      </c>
      <c r="C2881" s="16">
        <v>45698.0</v>
      </c>
      <c r="D2881" s="16">
        <v>45728.0</v>
      </c>
      <c r="E2881" s="15" t="s">
        <v>684</v>
      </c>
      <c r="F2881" s="19">
        <v>19.99</v>
      </c>
      <c r="G2881" s="15" t="s">
        <v>675</v>
      </c>
    </row>
    <row r="2882" ht="15.75" customHeight="1">
      <c r="A2882" s="17" t="s">
        <v>3553</v>
      </c>
      <c r="B2882" s="17" t="s">
        <v>335</v>
      </c>
      <c r="C2882" s="18">
        <v>45698.0</v>
      </c>
      <c r="D2882" s="18">
        <v>45728.0</v>
      </c>
      <c r="E2882" s="17" t="s">
        <v>684</v>
      </c>
      <c r="F2882" s="20">
        <v>19.99</v>
      </c>
      <c r="G2882" s="17" t="s">
        <v>675</v>
      </c>
    </row>
    <row r="2883" ht="15.75" customHeight="1">
      <c r="A2883" s="15" t="s">
        <v>3554</v>
      </c>
      <c r="B2883" s="15" t="s">
        <v>156</v>
      </c>
      <c r="C2883" s="16">
        <v>45698.0</v>
      </c>
      <c r="D2883" s="16">
        <v>45728.0</v>
      </c>
      <c r="E2883" s="15" t="s">
        <v>684</v>
      </c>
      <c r="F2883" s="19">
        <v>19.99</v>
      </c>
      <c r="G2883" s="15" t="s">
        <v>675</v>
      </c>
    </row>
    <row r="2884" ht="15.75" customHeight="1">
      <c r="A2884" s="17" t="s">
        <v>3555</v>
      </c>
      <c r="B2884" s="17" t="s">
        <v>580</v>
      </c>
      <c r="C2884" s="18">
        <v>45698.0</v>
      </c>
      <c r="D2884" s="18">
        <v>45705.0</v>
      </c>
      <c r="E2884" s="17" t="s">
        <v>674</v>
      </c>
      <c r="F2884" s="20">
        <v>0.0</v>
      </c>
      <c r="G2884" s="17" t="s">
        <v>675</v>
      </c>
    </row>
    <row r="2885" ht="15.75" customHeight="1">
      <c r="A2885" s="15" t="s">
        <v>3556</v>
      </c>
      <c r="B2885" s="15" t="s">
        <v>567</v>
      </c>
      <c r="C2885" s="16">
        <v>45698.0</v>
      </c>
      <c r="D2885" s="16">
        <v>45728.0</v>
      </c>
      <c r="E2885" s="15" t="s">
        <v>684</v>
      </c>
      <c r="F2885" s="19">
        <v>19.99</v>
      </c>
      <c r="G2885" s="15" t="s">
        <v>675</v>
      </c>
    </row>
    <row r="2886" ht="15.75" customHeight="1">
      <c r="A2886" s="17" t="s">
        <v>3557</v>
      </c>
      <c r="B2886" s="17" t="s">
        <v>192</v>
      </c>
      <c r="C2886" s="18">
        <v>45699.0</v>
      </c>
      <c r="D2886" s="18">
        <v>45729.0</v>
      </c>
      <c r="E2886" s="17" t="s">
        <v>684</v>
      </c>
      <c r="F2886" s="20">
        <v>19.99</v>
      </c>
      <c r="G2886" s="17" t="s">
        <v>675</v>
      </c>
    </row>
    <row r="2887" ht="15.75" customHeight="1">
      <c r="A2887" s="15" t="s">
        <v>3558</v>
      </c>
      <c r="B2887" s="15" t="s">
        <v>249</v>
      </c>
      <c r="C2887" s="16">
        <v>45699.0</v>
      </c>
      <c r="D2887" s="16">
        <v>45729.0</v>
      </c>
      <c r="E2887" s="15" t="s">
        <v>684</v>
      </c>
      <c r="F2887" s="19">
        <v>19.99</v>
      </c>
      <c r="G2887" s="15" t="s">
        <v>675</v>
      </c>
    </row>
    <row r="2888" ht="15.75" customHeight="1">
      <c r="A2888" s="17" t="s">
        <v>3559</v>
      </c>
      <c r="B2888" s="17" t="s">
        <v>250</v>
      </c>
      <c r="C2888" s="18">
        <v>45699.0</v>
      </c>
      <c r="D2888" s="18">
        <v>45729.0</v>
      </c>
      <c r="E2888" s="17" t="s">
        <v>684</v>
      </c>
      <c r="F2888" s="20">
        <v>19.99</v>
      </c>
      <c r="G2888" s="17" t="s">
        <v>675</v>
      </c>
    </row>
    <row r="2889" ht="15.75" customHeight="1">
      <c r="A2889" s="15" t="s">
        <v>3560</v>
      </c>
      <c r="B2889" s="15" t="s">
        <v>124</v>
      </c>
      <c r="C2889" s="16">
        <v>45699.0</v>
      </c>
      <c r="D2889" s="16">
        <v>45729.0</v>
      </c>
      <c r="E2889" s="15" t="s">
        <v>684</v>
      </c>
      <c r="F2889" s="19">
        <v>19.99</v>
      </c>
      <c r="G2889" s="15" t="s">
        <v>675</v>
      </c>
    </row>
    <row r="2890" ht="15.75" customHeight="1">
      <c r="A2890" s="17" t="s">
        <v>3561</v>
      </c>
      <c r="B2890" s="17" t="s">
        <v>581</v>
      </c>
      <c r="C2890" s="18">
        <v>45699.0</v>
      </c>
      <c r="D2890" s="18">
        <v>45706.0</v>
      </c>
      <c r="E2890" s="17" t="s">
        <v>674</v>
      </c>
      <c r="F2890" s="20">
        <v>0.0</v>
      </c>
      <c r="G2890" s="17" t="s">
        <v>675</v>
      </c>
    </row>
    <row r="2891" ht="15.75" customHeight="1">
      <c r="A2891" s="15" t="s">
        <v>3562</v>
      </c>
      <c r="B2891" s="15" t="s">
        <v>568</v>
      </c>
      <c r="C2891" s="16">
        <v>45699.0</v>
      </c>
      <c r="D2891" s="16">
        <v>45729.0</v>
      </c>
      <c r="E2891" s="15" t="s">
        <v>684</v>
      </c>
      <c r="F2891" s="19">
        <v>19.99</v>
      </c>
      <c r="G2891" s="15" t="s">
        <v>675</v>
      </c>
    </row>
    <row r="2892" ht="15.75" customHeight="1">
      <c r="A2892" s="17" t="s">
        <v>3563</v>
      </c>
      <c r="B2892" s="17" t="s">
        <v>296</v>
      </c>
      <c r="C2892" s="18">
        <v>45699.0</v>
      </c>
      <c r="D2892" s="18">
        <v>45729.0</v>
      </c>
      <c r="E2892" s="17" t="s">
        <v>684</v>
      </c>
      <c r="F2892" s="20">
        <v>19.99</v>
      </c>
      <c r="G2892" s="17" t="s">
        <v>675</v>
      </c>
    </row>
    <row r="2893" ht="15.75" customHeight="1">
      <c r="A2893" s="15" t="s">
        <v>3564</v>
      </c>
      <c r="B2893" s="15" t="s">
        <v>157</v>
      </c>
      <c r="C2893" s="16">
        <v>45699.0</v>
      </c>
      <c r="D2893" s="16">
        <v>45729.0</v>
      </c>
      <c r="E2893" s="15" t="s">
        <v>684</v>
      </c>
      <c r="F2893" s="19">
        <v>19.99</v>
      </c>
      <c r="G2893" s="15" t="s">
        <v>675</v>
      </c>
    </row>
    <row r="2894" ht="15.75" customHeight="1">
      <c r="A2894" s="17" t="s">
        <v>3565</v>
      </c>
      <c r="B2894" s="17" t="s">
        <v>376</v>
      </c>
      <c r="C2894" s="18">
        <v>45699.0</v>
      </c>
      <c r="D2894" s="18">
        <v>45729.0</v>
      </c>
      <c r="E2894" s="17" t="s">
        <v>684</v>
      </c>
      <c r="F2894" s="20">
        <v>19.99</v>
      </c>
      <c r="G2894" s="17" t="s">
        <v>675</v>
      </c>
    </row>
    <row r="2895" ht="15.75" customHeight="1">
      <c r="A2895" s="15" t="s">
        <v>3566</v>
      </c>
      <c r="B2895" s="15" t="s">
        <v>477</v>
      </c>
      <c r="C2895" s="16">
        <v>45699.0</v>
      </c>
      <c r="D2895" s="16">
        <v>45729.0</v>
      </c>
      <c r="E2895" s="15" t="s">
        <v>684</v>
      </c>
      <c r="F2895" s="19">
        <v>19.99</v>
      </c>
      <c r="G2895" s="15" t="s">
        <v>675</v>
      </c>
    </row>
    <row r="2896" ht="15.75" customHeight="1">
      <c r="A2896" s="17" t="s">
        <v>3567</v>
      </c>
      <c r="B2896" s="17" t="s">
        <v>478</v>
      </c>
      <c r="C2896" s="18">
        <v>45700.0</v>
      </c>
      <c r="D2896" s="18">
        <v>45730.0</v>
      </c>
      <c r="E2896" s="17" t="s">
        <v>684</v>
      </c>
      <c r="F2896" s="20">
        <v>19.99</v>
      </c>
      <c r="G2896" s="17" t="s">
        <v>675</v>
      </c>
    </row>
    <row r="2897" ht="15.75" customHeight="1">
      <c r="A2897" s="15" t="s">
        <v>3568</v>
      </c>
      <c r="B2897" s="15" t="s">
        <v>96</v>
      </c>
      <c r="C2897" s="16">
        <v>45700.0</v>
      </c>
      <c r="D2897" s="16">
        <v>45730.0</v>
      </c>
      <c r="E2897" s="15" t="s">
        <v>684</v>
      </c>
      <c r="F2897" s="19">
        <v>19.99</v>
      </c>
      <c r="G2897" s="15" t="s">
        <v>675</v>
      </c>
    </row>
    <row r="2898" ht="15.75" customHeight="1">
      <c r="A2898" s="17" t="s">
        <v>3569</v>
      </c>
      <c r="B2898" s="17" t="s">
        <v>479</v>
      </c>
      <c r="C2898" s="18">
        <v>45700.0</v>
      </c>
      <c r="D2898" s="18">
        <v>45730.0</v>
      </c>
      <c r="E2898" s="17" t="s">
        <v>684</v>
      </c>
      <c r="F2898" s="20">
        <v>19.99</v>
      </c>
      <c r="G2898" s="17" t="s">
        <v>675</v>
      </c>
    </row>
    <row r="2899" ht="15.75" customHeight="1">
      <c r="A2899" s="15" t="s">
        <v>3570</v>
      </c>
      <c r="B2899" s="15" t="s">
        <v>582</v>
      </c>
      <c r="C2899" s="16">
        <v>45700.0</v>
      </c>
      <c r="D2899" s="16">
        <v>45707.0</v>
      </c>
      <c r="E2899" s="15" t="s">
        <v>674</v>
      </c>
      <c r="F2899" s="19">
        <v>0.0</v>
      </c>
      <c r="G2899" s="15" t="s">
        <v>675</v>
      </c>
    </row>
    <row r="2900" ht="15.75" customHeight="1">
      <c r="A2900" s="17" t="s">
        <v>3571</v>
      </c>
      <c r="B2900" s="17" t="s">
        <v>569</v>
      </c>
      <c r="C2900" s="18">
        <v>45700.0</v>
      </c>
      <c r="D2900" s="18">
        <v>45730.0</v>
      </c>
      <c r="E2900" s="17" t="s">
        <v>684</v>
      </c>
      <c r="F2900" s="20">
        <v>19.99</v>
      </c>
      <c r="G2900" s="17" t="s">
        <v>675</v>
      </c>
    </row>
    <row r="2901" ht="15.75" customHeight="1">
      <c r="A2901" s="15" t="s">
        <v>3572</v>
      </c>
      <c r="B2901" s="15" t="s">
        <v>521</v>
      </c>
      <c r="C2901" s="16">
        <v>45700.0</v>
      </c>
      <c r="D2901" s="16">
        <v>45730.0</v>
      </c>
      <c r="E2901" s="15" t="s">
        <v>684</v>
      </c>
      <c r="F2901" s="19">
        <v>19.99</v>
      </c>
      <c r="G2901" s="15" t="s">
        <v>675</v>
      </c>
    </row>
    <row r="2902" ht="15.75" customHeight="1">
      <c r="A2902" s="17" t="s">
        <v>3573</v>
      </c>
      <c r="B2902" s="17" t="s">
        <v>480</v>
      </c>
      <c r="C2902" s="18">
        <v>45700.0</v>
      </c>
      <c r="D2902" s="18">
        <v>45730.0</v>
      </c>
      <c r="E2902" s="17" t="s">
        <v>684</v>
      </c>
      <c r="F2902" s="20">
        <v>19.99</v>
      </c>
      <c r="G2902" s="17" t="s">
        <v>675</v>
      </c>
    </row>
    <row r="2903" ht="15.75" customHeight="1">
      <c r="A2903" s="15" t="s">
        <v>3574</v>
      </c>
      <c r="B2903" s="15" t="s">
        <v>570</v>
      </c>
      <c r="C2903" s="16">
        <v>45700.0</v>
      </c>
      <c r="D2903" s="16">
        <v>45730.0</v>
      </c>
      <c r="E2903" s="15" t="s">
        <v>684</v>
      </c>
      <c r="F2903" s="19">
        <v>19.99</v>
      </c>
      <c r="G2903" s="15" t="s">
        <v>675</v>
      </c>
    </row>
    <row r="2904" ht="15.75" customHeight="1">
      <c r="A2904" s="17" t="s">
        <v>3575</v>
      </c>
      <c r="B2904" s="17" t="s">
        <v>522</v>
      </c>
      <c r="C2904" s="18">
        <v>45700.0</v>
      </c>
      <c r="D2904" s="18">
        <v>45730.0</v>
      </c>
      <c r="E2904" s="17" t="s">
        <v>684</v>
      </c>
      <c r="F2904" s="20">
        <v>19.99</v>
      </c>
      <c r="G2904" s="17" t="s">
        <v>675</v>
      </c>
    </row>
    <row r="2905" ht="15.75" customHeight="1">
      <c r="A2905" s="15" t="s">
        <v>3576</v>
      </c>
      <c r="B2905" s="15" t="s">
        <v>571</v>
      </c>
      <c r="C2905" s="16">
        <v>45700.0</v>
      </c>
      <c r="D2905" s="16">
        <v>45730.0</v>
      </c>
      <c r="E2905" s="15" t="s">
        <v>684</v>
      </c>
      <c r="F2905" s="19">
        <v>19.99</v>
      </c>
      <c r="G2905" s="15" t="s">
        <v>675</v>
      </c>
    </row>
    <row r="2906" ht="15.75" customHeight="1">
      <c r="A2906" s="17" t="s">
        <v>3577</v>
      </c>
      <c r="B2906" s="17" t="s">
        <v>253</v>
      </c>
      <c r="C2906" s="18">
        <v>45700.0</v>
      </c>
      <c r="D2906" s="18">
        <v>45730.0</v>
      </c>
      <c r="E2906" s="17" t="s">
        <v>684</v>
      </c>
      <c r="F2906" s="20">
        <v>19.99</v>
      </c>
      <c r="G2906" s="17" t="s">
        <v>675</v>
      </c>
    </row>
    <row r="2907" ht="15.75" customHeight="1">
      <c r="A2907" s="15" t="s">
        <v>3578</v>
      </c>
      <c r="B2907" s="15" t="s">
        <v>425</v>
      </c>
      <c r="C2907" s="16">
        <v>45700.0</v>
      </c>
      <c r="D2907" s="16">
        <v>45730.0</v>
      </c>
      <c r="E2907" s="15" t="s">
        <v>684</v>
      </c>
      <c r="F2907" s="19">
        <v>19.99</v>
      </c>
      <c r="G2907" s="15" t="s">
        <v>675</v>
      </c>
    </row>
    <row r="2908" ht="15.75" customHeight="1">
      <c r="A2908" s="17" t="s">
        <v>3579</v>
      </c>
      <c r="B2908" s="17" t="s">
        <v>583</v>
      </c>
      <c r="C2908" s="18">
        <v>45700.0</v>
      </c>
      <c r="D2908" s="18">
        <v>45707.0</v>
      </c>
      <c r="E2908" s="17" t="s">
        <v>674</v>
      </c>
      <c r="F2908" s="20">
        <v>0.0</v>
      </c>
      <c r="G2908" s="17" t="s">
        <v>675</v>
      </c>
    </row>
    <row r="2909" ht="15.75" customHeight="1">
      <c r="A2909" s="15" t="s">
        <v>3580</v>
      </c>
      <c r="B2909" s="15" t="s">
        <v>298</v>
      </c>
      <c r="C2909" s="16">
        <v>45701.0</v>
      </c>
      <c r="D2909" s="16">
        <v>45731.0</v>
      </c>
      <c r="E2909" s="15" t="s">
        <v>684</v>
      </c>
      <c r="F2909" s="19">
        <v>19.99</v>
      </c>
      <c r="G2909" s="15" t="s">
        <v>675</v>
      </c>
    </row>
    <row r="2910" ht="15.75" customHeight="1">
      <c r="A2910" s="17" t="s">
        <v>3581</v>
      </c>
      <c r="B2910" s="17" t="s">
        <v>299</v>
      </c>
      <c r="C2910" s="18">
        <v>45701.0</v>
      </c>
      <c r="D2910" s="18">
        <v>45731.0</v>
      </c>
      <c r="E2910" s="17" t="s">
        <v>684</v>
      </c>
      <c r="F2910" s="20">
        <v>19.99</v>
      </c>
      <c r="G2910" s="17" t="s">
        <v>675</v>
      </c>
    </row>
    <row r="2911" ht="15.75" customHeight="1">
      <c r="A2911" s="15" t="s">
        <v>3582</v>
      </c>
      <c r="B2911" s="15" t="s">
        <v>75</v>
      </c>
      <c r="C2911" s="16">
        <v>45701.0</v>
      </c>
      <c r="D2911" s="16">
        <v>45731.0</v>
      </c>
      <c r="E2911" s="15" t="s">
        <v>684</v>
      </c>
      <c r="F2911" s="19">
        <v>19.99</v>
      </c>
      <c r="G2911" s="15" t="s">
        <v>675</v>
      </c>
    </row>
    <row r="2912" ht="15.75" customHeight="1">
      <c r="A2912" s="17" t="s">
        <v>3583</v>
      </c>
      <c r="B2912" s="17" t="s">
        <v>255</v>
      </c>
      <c r="C2912" s="18">
        <v>45701.0</v>
      </c>
      <c r="D2912" s="18">
        <v>45731.0</v>
      </c>
      <c r="E2912" s="17" t="s">
        <v>684</v>
      </c>
      <c r="F2912" s="20">
        <v>19.99</v>
      </c>
      <c r="G2912" s="17" t="s">
        <v>675</v>
      </c>
    </row>
    <row r="2913" ht="15.75" customHeight="1">
      <c r="A2913" s="15" t="s">
        <v>3584</v>
      </c>
      <c r="B2913" s="15" t="s">
        <v>427</v>
      </c>
      <c r="C2913" s="16">
        <v>45701.0</v>
      </c>
      <c r="D2913" s="16">
        <v>45731.0</v>
      </c>
      <c r="E2913" s="15" t="s">
        <v>684</v>
      </c>
      <c r="F2913" s="19">
        <v>19.99</v>
      </c>
      <c r="G2913" s="15" t="s">
        <v>675</v>
      </c>
    </row>
    <row r="2914" ht="15.75" customHeight="1">
      <c r="A2914" s="17" t="s">
        <v>3585</v>
      </c>
      <c r="B2914" s="17" t="s">
        <v>481</v>
      </c>
      <c r="C2914" s="18">
        <v>45701.0</v>
      </c>
      <c r="D2914" s="18">
        <v>45731.0</v>
      </c>
      <c r="E2914" s="17" t="s">
        <v>684</v>
      </c>
      <c r="F2914" s="20">
        <v>19.99</v>
      </c>
      <c r="G2914" s="17" t="s">
        <v>675</v>
      </c>
    </row>
    <row r="2915" ht="15.75" customHeight="1">
      <c r="A2915" s="15" t="s">
        <v>3586</v>
      </c>
      <c r="B2915" s="15" t="s">
        <v>572</v>
      </c>
      <c r="C2915" s="16">
        <v>45701.0</v>
      </c>
      <c r="D2915" s="16">
        <v>45731.0</v>
      </c>
      <c r="E2915" s="15" t="s">
        <v>684</v>
      </c>
      <c r="F2915" s="19">
        <v>19.99</v>
      </c>
      <c r="G2915" s="15" t="s">
        <v>675</v>
      </c>
    </row>
    <row r="2916" ht="15.75" customHeight="1">
      <c r="A2916" s="17" t="s">
        <v>3587</v>
      </c>
      <c r="B2916" s="17" t="s">
        <v>127</v>
      </c>
      <c r="C2916" s="18">
        <v>45701.0</v>
      </c>
      <c r="D2916" s="18">
        <v>45731.0</v>
      </c>
      <c r="E2916" s="17" t="s">
        <v>684</v>
      </c>
      <c r="F2916" s="20">
        <v>19.99</v>
      </c>
      <c r="G2916" s="17" t="s">
        <v>675</v>
      </c>
    </row>
    <row r="2917" ht="15.75" customHeight="1">
      <c r="A2917" s="15" t="s">
        <v>3588</v>
      </c>
      <c r="B2917" s="15" t="s">
        <v>584</v>
      </c>
      <c r="C2917" s="16">
        <v>45701.0</v>
      </c>
      <c r="D2917" s="16">
        <v>45708.0</v>
      </c>
      <c r="E2917" s="15" t="s">
        <v>674</v>
      </c>
      <c r="F2917" s="19">
        <v>0.0</v>
      </c>
      <c r="G2917" s="15" t="s">
        <v>675</v>
      </c>
    </row>
    <row r="2918" ht="15.75" customHeight="1">
      <c r="A2918" s="17" t="s">
        <v>3589</v>
      </c>
      <c r="B2918" s="17" t="s">
        <v>573</v>
      </c>
      <c r="C2918" s="18">
        <v>45701.0</v>
      </c>
      <c r="D2918" s="18">
        <v>45731.0</v>
      </c>
      <c r="E2918" s="17" t="s">
        <v>684</v>
      </c>
      <c r="F2918" s="20">
        <v>19.99</v>
      </c>
      <c r="G2918" s="17" t="s">
        <v>675</v>
      </c>
    </row>
    <row r="2919" ht="15.75" customHeight="1">
      <c r="A2919" s="15" t="s">
        <v>3590</v>
      </c>
      <c r="B2919" s="15" t="s">
        <v>378</v>
      </c>
      <c r="C2919" s="16">
        <v>45701.0</v>
      </c>
      <c r="D2919" s="16">
        <v>45731.0</v>
      </c>
      <c r="E2919" s="15" t="s">
        <v>684</v>
      </c>
      <c r="F2919" s="19">
        <v>19.99</v>
      </c>
      <c r="G2919" s="15" t="s">
        <v>675</v>
      </c>
    </row>
    <row r="2920" ht="15.75" customHeight="1">
      <c r="A2920" s="17" t="s">
        <v>3591</v>
      </c>
      <c r="B2920" s="17" t="s">
        <v>525</v>
      </c>
      <c r="C2920" s="18">
        <v>45701.0</v>
      </c>
      <c r="D2920" s="18">
        <v>45731.0</v>
      </c>
      <c r="E2920" s="17" t="s">
        <v>684</v>
      </c>
      <c r="F2920" s="20">
        <v>19.99</v>
      </c>
      <c r="G2920" s="17" t="s">
        <v>675</v>
      </c>
    </row>
    <row r="2921" ht="15.75" customHeight="1">
      <c r="A2921" s="15" t="s">
        <v>3592</v>
      </c>
      <c r="B2921" s="15" t="s">
        <v>483</v>
      </c>
      <c r="C2921" s="16">
        <v>45701.0</v>
      </c>
      <c r="D2921" s="16">
        <v>45731.0</v>
      </c>
      <c r="E2921" s="15" t="s">
        <v>684</v>
      </c>
      <c r="F2921" s="19">
        <v>19.99</v>
      </c>
      <c r="G2921" s="15" t="s">
        <v>675</v>
      </c>
    </row>
    <row r="2922" ht="15.75" customHeight="1">
      <c r="A2922" s="17" t="s">
        <v>3593</v>
      </c>
      <c r="B2922" s="17" t="s">
        <v>585</v>
      </c>
      <c r="C2922" s="18">
        <v>45701.0</v>
      </c>
      <c r="D2922" s="18">
        <v>45708.0</v>
      </c>
      <c r="E2922" s="17" t="s">
        <v>674</v>
      </c>
      <c r="F2922" s="20">
        <v>0.0</v>
      </c>
      <c r="G2922" s="17" t="s">
        <v>675</v>
      </c>
    </row>
    <row r="2923" ht="15.75" customHeight="1">
      <c r="A2923" s="15" t="s">
        <v>3594</v>
      </c>
      <c r="B2923" s="15" t="s">
        <v>574</v>
      </c>
      <c r="C2923" s="16">
        <v>45701.0</v>
      </c>
      <c r="D2923" s="16">
        <v>45731.0</v>
      </c>
      <c r="E2923" s="15" t="s">
        <v>684</v>
      </c>
      <c r="F2923" s="19">
        <v>19.99</v>
      </c>
      <c r="G2923" s="15" t="s">
        <v>675</v>
      </c>
    </row>
    <row r="2924" ht="15.75" customHeight="1">
      <c r="A2924" s="17" t="s">
        <v>3595</v>
      </c>
      <c r="B2924" s="17" t="s">
        <v>484</v>
      </c>
      <c r="C2924" s="18">
        <v>45701.0</v>
      </c>
      <c r="D2924" s="18">
        <v>45731.0</v>
      </c>
      <c r="E2924" s="17" t="s">
        <v>684</v>
      </c>
      <c r="F2924" s="20">
        <v>19.99</v>
      </c>
      <c r="G2924" s="17" t="s">
        <v>675</v>
      </c>
    </row>
    <row r="2925" ht="15.75" customHeight="1">
      <c r="A2925" s="15" t="s">
        <v>3596</v>
      </c>
      <c r="B2925" s="15" t="s">
        <v>586</v>
      </c>
      <c r="C2925" s="16">
        <v>45701.0</v>
      </c>
      <c r="D2925" s="16">
        <v>45708.0</v>
      </c>
      <c r="E2925" s="15" t="s">
        <v>674</v>
      </c>
      <c r="F2925" s="19">
        <v>0.0</v>
      </c>
      <c r="G2925" s="15" t="s">
        <v>675</v>
      </c>
    </row>
    <row r="2926" ht="15.75" customHeight="1">
      <c r="A2926" s="17" t="s">
        <v>3597</v>
      </c>
      <c r="B2926" s="17" t="s">
        <v>337</v>
      </c>
      <c r="C2926" s="18">
        <v>45701.0</v>
      </c>
      <c r="D2926" s="18">
        <v>45731.0</v>
      </c>
      <c r="E2926" s="17" t="s">
        <v>684</v>
      </c>
      <c r="F2926" s="20">
        <v>19.99</v>
      </c>
      <c r="G2926" s="17" t="s">
        <v>675</v>
      </c>
    </row>
    <row r="2927" ht="15.75" customHeight="1">
      <c r="A2927" s="15" t="s">
        <v>3598</v>
      </c>
      <c r="B2927" s="15" t="s">
        <v>194</v>
      </c>
      <c r="C2927" s="16">
        <v>45702.0</v>
      </c>
      <c r="D2927" s="16">
        <v>45732.0</v>
      </c>
      <c r="E2927" s="15" t="s">
        <v>684</v>
      </c>
      <c r="F2927" s="19">
        <v>19.99</v>
      </c>
      <c r="G2927" s="15" t="s">
        <v>675</v>
      </c>
    </row>
    <row r="2928" ht="15.75" customHeight="1">
      <c r="A2928" s="17" t="s">
        <v>3599</v>
      </c>
      <c r="B2928" s="17" t="s">
        <v>526</v>
      </c>
      <c r="C2928" s="18">
        <v>45702.0</v>
      </c>
      <c r="D2928" s="18">
        <v>45732.0</v>
      </c>
      <c r="E2928" s="17" t="s">
        <v>684</v>
      </c>
      <c r="F2928" s="20">
        <v>19.99</v>
      </c>
      <c r="G2928" s="17" t="s">
        <v>675</v>
      </c>
    </row>
    <row r="2929" ht="15.75" customHeight="1">
      <c r="A2929" s="15" t="s">
        <v>3600</v>
      </c>
      <c r="B2929" s="15" t="s">
        <v>338</v>
      </c>
      <c r="C2929" s="16">
        <v>45702.0</v>
      </c>
      <c r="D2929" s="16">
        <v>45732.0</v>
      </c>
      <c r="E2929" s="15" t="s">
        <v>684</v>
      </c>
      <c r="F2929" s="19">
        <v>19.99</v>
      </c>
      <c r="G2929" s="15" t="s">
        <v>675</v>
      </c>
    </row>
    <row r="2930" ht="15.75" customHeight="1">
      <c r="A2930" s="17" t="s">
        <v>3601</v>
      </c>
      <c r="B2930" s="17" t="s">
        <v>429</v>
      </c>
      <c r="C2930" s="18">
        <v>45702.0</v>
      </c>
      <c r="D2930" s="18">
        <v>45732.0</v>
      </c>
      <c r="E2930" s="17" t="s">
        <v>684</v>
      </c>
      <c r="F2930" s="20">
        <v>19.99</v>
      </c>
      <c r="G2930" s="17" t="s">
        <v>675</v>
      </c>
    </row>
    <row r="2931" ht="15.75" customHeight="1">
      <c r="A2931" s="15" t="s">
        <v>3602</v>
      </c>
      <c r="B2931" s="15" t="s">
        <v>301</v>
      </c>
      <c r="C2931" s="16">
        <v>45702.0</v>
      </c>
      <c r="D2931" s="16">
        <v>45732.0</v>
      </c>
      <c r="E2931" s="15" t="s">
        <v>684</v>
      </c>
      <c r="F2931" s="19">
        <v>19.99</v>
      </c>
      <c r="G2931" s="15" t="s">
        <v>675</v>
      </c>
    </row>
    <row r="2932" ht="15.75" customHeight="1">
      <c r="A2932" s="17" t="s">
        <v>3603</v>
      </c>
      <c r="B2932" s="17" t="s">
        <v>430</v>
      </c>
      <c r="C2932" s="18">
        <v>45702.0</v>
      </c>
      <c r="D2932" s="18">
        <v>45732.0</v>
      </c>
      <c r="E2932" s="17" t="s">
        <v>684</v>
      </c>
      <c r="F2932" s="20">
        <v>19.99</v>
      </c>
      <c r="G2932" s="17" t="s">
        <v>675</v>
      </c>
    </row>
    <row r="2933" ht="15.75" customHeight="1">
      <c r="A2933" s="15" t="s">
        <v>3604</v>
      </c>
      <c r="B2933" s="15" t="s">
        <v>485</v>
      </c>
      <c r="C2933" s="16">
        <v>45702.0</v>
      </c>
      <c r="D2933" s="16">
        <v>45732.0</v>
      </c>
      <c r="E2933" s="15" t="s">
        <v>684</v>
      </c>
      <c r="F2933" s="19">
        <v>19.99</v>
      </c>
      <c r="G2933" s="15" t="s">
        <v>675</v>
      </c>
    </row>
    <row r="2934" ht="15.75" customHeight="1">
      <c r="A2934" s="17" t="s">
        <v>3605</v>
      </c>
      <c r="B2934" s="17" t="s">
        <v>302</v>
      </c>
      <c r="C2934" s="18">
        <v>45702.0</v>
      </c>
      <c r="D2934" s="18">
        <v>45732.0</v>
      </c>
      <c r="E2934" s="17" t="s">
        <v>684</v>
      </c>
      <c r="F2934" s="20">
        <v>19.99</v>
      </c>
      <c r="G2934" s="17" t="s">
        <v>675</v>
      </c>
    </row>
    <row r="2935" ht="15.75" customHeight="1">
      <c r="A2935" s="15" t="s">
        <v>3606</v>
      </c>
      <c r="B2935" s="15" t="s">
        <v>76</v>
      </c>
      <c r="C2935" s="16">
        <v>45702.0</v>
      </c>
      <c r="D2935" s="16">
        <v>45732.0</v>
      </c>
      <c r="E2935" s="15" t="s">
        <v>684</v>
      </c>
      <c r="F2935" s="19">
        <v>19.99</v>
      </c>
      <c r="G2935" s="15" t="s">
        <v>675</v>
      </c>
    </row>
    <row r="2936" ht="15.75" customHeight="1">
      <c r="A2936" s="17" t="s">
        <v>3607</v>
      </c>
      <c r="B2936" s="17" t="s">
        <v>379</v>
      </c>
      <c r="C2936" s="18">
        <v>45702.0</v>
      </c>
      <c r="D2936" s="18">
        <v>45732.0</v>
      </c>
      <c r="E2936" s="17" t="s">
        <v>684</v>
      </c>
      <c r="F2936" s="20">
        <v>19.99</v>
      </c>
      <c r="G2936" s="17" t="s">
        <v>675</v>
      </c>
    </row>
    <row r="2937" ht="15.75" customHeight="1">
      <c r="A2937" s="15" t="s">
        <v>3608</v>
      </c>
      <c r="B2937" s="15" t="s">
        <v>587</v>
      </c>
      <c r="C2937" s="16">
        <v>45702.0</v>
      </c>
      <c r="D2937" s="16">
        <v>45709.0</v>
      </c>
      <c r="E2937" s="15" t="s">
        <v>674</v>
      </c>
      <c r="F2937" s="19">
        <v>0.0</v>
      </c>
      <c r="G2937" s="15" t="s">
        <v>675</v>
      </c>
    </row>
    <row r="2938" ht="15.75" customHeight="1">
      <c r="A2938" s="17" t="s">
        <v>3609</v>
      </c>
      <c r="B2938" s="17" t="s">
        <v>303</v>
      </c>
      <c r="C2938" s="18">
        <v>45702.0</v>
      </c>
      <c r="D2938" s="18">
        <v>45732.0</v>
      </c>
      <c r="E2938" s="17" t="s">
        <v>684</v>
      </c>
      <c r="F2938" s="20">
        <v>19.99</v>
      </c>
      <c r="G2938" s="17" t="s">
        <v>675</v>
      </c>
    </row>
    <row r="2939" ht="15.75" customHeight="1">
      <c r="A2939" s="15" t="s">
        <v>3610</v>
      </c>
      <c r="B2939" s="15" t="s">
        <v>159</v>
      </c>
      <c r="C2939" s="16">
        <v>45702.0</v>
      </c>
      <c r="D2939" s="16">
        <v>45732.0</v>
      </c>
      <c r="E2939" s="15" t="s">
        <v>684</v>
      </c>
      <c r="F2939" s="19">
        <v>19.99</v>
      </c>
      <c r="G2939" s="15" t="s">
        <v>675</v>
      </c>
    </row>
    <row r="2940" ht="15.75" customHeight="1">
      <c r="A2940" s="17" t="s">
        <v>3611</v>
      </c>
      <c r="B2940" s="17" t="s">
        <v>160</v>
      </c>
      <c r="C2940" s="18">
        <v>45702.0</v>
      </c>
      <c r="D2940" s="18">
        <v>45732.0</v>
      </c>
      <c r="E2940" s="17" t="s">
        <v>684</v>
      </c>
      <c r="F2940" s="20">
        <v>19.99</v>
      </c>
      <c r="G2940" s="17" t="s">
        <v>675</v>
      </c>
    </row>
    <row r="2941" ht="15.75" customHeight="1">
      <c r="A2941" s="15" t="s">
        <v>3612</v>
      </c>
      <c r="B2941" s="15" t="s">
        <v>575</v>
      </c>
      <c r="C2941" s="16">
        <v>45702.0</v>
      </c>
      <c r="D2941" s="16">
        <v>45732.0</v>
      </c>
      <c r="E2941" s="15" t="s">
        <v>684</v>
      </c>
      <c r="F2941" s="19">
        <v>19.99</v>
      </c>
      <c r="G2941" s="15" t="s">
        <v>675</v>
      </c>
    </row>
    <row r="2942" ht="15.75" customHeight="1">
      <c r="A2942" s="17" t="s">
        <v>3613</v>
      </c>
      <c r="B2942" s="17" t="s">
        <v>588</v>
      </c>
      <c r="C2942" s="18">
        <v>45702.0</v>
      </c>
      <c r="D2942" s="18">
        <v>45709.0</v>
      </c>
      <c r="E2942" s="17" t="s">
        <v>674</v>
      </c>
      <c r="F2942" s="20">
        <v>0.0</v>
      </c>
      <c r="G2942" s="17" t="s">
        <v>675</v>
      </c>
    </row>
    <row r="2943" ht="15.75" customHeight="1">
      <c r="A2943" s="15" t="s">
        <v>3614</v>
      </c>
      <c r="B2943" s="15" t="s">
        <v>528</v>
      </c>
      <c r="C2943" s="16">
        <v>45702.0</v>
      </c>
      <c r="D2943" s="16">
        <v>45732.0</v>
      </c>
      <c r="E2943" s="15" t="s">
        <v>684</v>
      </c>
      <c r="F2943" s="19">
        <v>19.99</v>
      </c>
      <c r="G2943" s="15" t="s">
        <v>675</v>
      </c>
    </row>
    <row r="2944" ht="15.75" customHeight="1">
      <c r="A2944" s="17" t="s">
        <v>3615</v>
      </c>
      <c r="B2944" s="17" t="s">
        <v>589</v>
      </c>
      <c r="C2944" s="18">
        <v>45702.0</v>
      </c>
      <c r="D2944" s="18">
        <v>45709.0</v>
      </c>
      <c r="E2944" s="17" t="s">
        <v>674</v>
      </c>
      <c r="F2944" s="20">
        <v>0.0</v>
      </c>
      <c r="G2944" s="17" t="s">
        <v>675</v>
      </c>
    </row>
    <row r="2945" ht="15.75" customHeight="1">
      <c r="A2945" s="15" t="s">
        <v>3616</v>
      </c>
      <c r="B2945" s="15" t="s">
        <v>529</v>
      </c>
      <c r="C2945" s="16">
        <v>45703.0</v>
      </c>
      <c r="D2945" s="16">
        <v>45733.0</v>
      </c>
      <c r="E2945" s="15" t="s">
        <v>684</v>
      </c>
      <c r="F2945" s="19">
        <v>19.99</v>
      </c>
      <c r="G2945" s="15" t="s">
        <v>675</v>
      </c>
    </row>
    <row r="2946" ht="15.75" customHeight="1">
      <c r="A2946" s="17" t="s">
        <v>3617</v>
      </c>
      <c r="B2946" s="17" t="s">
        <v>576</v>
      </c>
      <c r="C2946" s="18">
        <v>45703.0</v>
      </c>
      <c r="D2946" s="18">
        <v>45733.0</v>
      </c>
      <c r="E2946" s="17" t="s">
        <v>684</v>
      </c>
      <c r="F2946" s="20">
        <v>19.99</v>
      </c>
      <c r="G2946" s="17" t="s">
        <v>675</v>
      </c>
    </row>
    <row r="2947" ht="15.75" customHeight="1">
      <c r="A2947" s="15" t="s">
        <v>3618</v>
      </c>
      <c r="B2947" s="15" t="s">
        <v>339</v>
      </c>
      <c r="C2947" s="16">
        <v>45703.0</v>
      </c>
      <c r="D2947" s="16">
        <v>45733.0</v>
      </c>
      <c r="E2947" s="15" t="s">
        <v>684</v>
      </c>
      <c r="F2947" s="19">
        <v>19.99</v>
      </c>
      <c r="G2947" s="15" t="s">
        <v>675</v>
      </c>
    </row>
    <row r="2948" ht="15.75" customHeight="1">
      <c r="A2948" s="17" t="s">
        <v>3619</v>
      </c>
      <c r="B2948" s="17" t="s">
        <v>486</v>
      </c>
      <c r="C2948" s="18">
        <v>45703.0</v>
      </c>
      <c r="D2948" s="18">
        <v>45733.0</v>
      </c>
      <c r="E2948" s="17" t="s">
        <v>684</v>
      </c>
      <c r="F2948" s="20">
        <v>19.99</v>
      </c>
      <c r="G2948" s="17" t="s">
        <v>675</v>
      </c>
    </row>
    <row r="2949" ht="15.75" customHeight="1">
      <c r="A2949" s="15" t="s">
        <v>3620</v>
      </c>
      <c r="B2949" s="15" t="s">
        <v>197</v>
      </c>
      <c r="C2949" s="16">
        <v>45703.0</v>
      </c>
      <c r="D2949" s="16">
        <v>45733.0</v>
      </c>
      <c r="E2949" s="15" t="s">
        <v>684</v>
      </c>
      <c r="F2949" s="19">
        <v>19.99</v>
      </c>
      <c r="G2949" s="15" t="s">
        <v>675</v>
      </c>
    </row>
    <row r="2950" ht="15.75" customHeight="1">
      <c r="A2950" s="17" t="s">
        <v>3621</v>
      </c>
      <c r="B2950" s="17" t="s">
        <v>256</v>
      </c>
      <c r="C2950" s="18">
        <v>45703.0</v>
      </c>
      <c r="D2950" s="18">
        <v>45733.0</v>
      </c>
      <c r="E2950" s="17" t="s">
        <v>684</v>
      </c>
      <c r="F2950" s="20">
        <v>19.99</v>
      </c>
      <c r="G2950" s="17" t="s">
        <v>675</v>
      </c>
    </row>
    <row r="2951" ht="15.75" customHeight="1">
      <c r="A2951" s="15" t="s">
        <v>3622</v>
      </c>
      <c r="B2951" s="15" t="s">
        <v>590</v>
      </c>
      <c r="C2951" s="16">
        <v>45703.0</v>
      </c>
      <c r="D2951" s="16">
        <v>45710.0</v>
      </c>
      <c r="E2951" s="15" t="s">
        <v>674</v>
      </c>
      <c r="F2951" s="19">
        <v>0.0</v>
      </c>
      <c r="G2951" s="15" t="s">
        <v>675</v>
      </c>
    </row>
    <row r="2952" ht="15.75" customHeight="1">
      <c r="A2952" s="17" t="s">
        <v>3623</v>
      </c>
      <c r="B2952" s="17" t="s">
        <v>577</v>
      </c>
      <c r="C2952" s="18">
        <v>45703.0</v>
      </c>
      <c r="D2952" s="18">
        <v>45733.0</v>
      </c>
      <c r="E2952" s="17" t="s">
        <v>684</v>
      </c>
      <c r="F2952" s="20">
        <v>19.99</v>
      </c>
      <c r="G2952" s="17" t="s">
        <v>675</v>
      </c>
    </row>
    <row r="2953" ht="15.75" customHeight="1">
      <c r="A2953" s="15" t="s">
        <v>3624</v>
      </c>
      <c r="B2953" s="15" t="s">
        <v>162</v>
      </c>
      <c r="C2953" s="16">
        <v>45703.0</v>
      </c>
      <c r="D2953" s="16">
        <v>45733.0</v>
      </c>
      <c r="E2953" s="15" t="s">
        <v>684</v>
      </c>
      <c r="F2953" s="19">
        <v>19.99</v>
      </c>
      <c r="G2953" s="15" t="s">
        <v>675</v>
      </c>
    </row>
    <row r="2954" ht="15.75" customHeight="1">
      <c r="A2954" s="17" t="s">
        <v>3625</v>
      </c>
      <c r="B2954" s="17" t="s">
        <v>304</v>
      </c>
      <c r="C2954" s="18">
        <v>45703.0</v>
      </c>
      <c r="D2954" s="18">
        <v>45733.0</v>
      </c>
      <c r="E2954" s="17" t="s">
        <v>684</v>
      </c>
      <c r="F2954" s="20">
        <v>19.99</v>
      </c>
      <c r="G2954" s="17" t="s">
        <v>675</v>
      </c>
    </row>
    <row r="2955" ht="15.75" customHeight="1">
      <c r="A2955" s="15" t="s">
        <v>3626</v>
      </c>
      <c r="B2955" s="15" t="s">
        <v>381</v>
      </c>
      <c r="C2955" s="16">
        <v>45703.0</v>
      </c>
      <c r="D2955" s="16">
        <v>45733.0</v>
      </c>
      <c r="E2955" s="15" t="s">
        <v>684</v>
      </c>
      <c r="F2955" s="19">
        <v>19.99</v>
      </c>
      <c r="G2955" s="15" t="s">
        <v>675</v>
      </c>
    </row>
    <row r="2956" ht="15.75" customHeight="1">
      <c r="A2956" s="17" t="s">
        <v>3627</v>
      </c>
      <c r="B2956" s="17" t="s">
        <v>257</v>
      </c>
      <c r="C2956" s="18">
        <v>45703.0</v>
      </c>
      <c r="D2956" s="18">
        <v>45733.0</v>
      </c>
      <c r="E2956" s="17" t="s">
        <v>684</v>
      </c>
      <c r="F2956" s="20">
        <v>19.99</v>
      </c>
      <c r="G2956" s="17" t="s">
        <v>675</v>
      </c>
    </row>
    <row r="2957" ht="15.75" customHeight="1">
      <c r="A2957" s="15" t="s">
        <v>3628</v>
      </c>
      <c r="B2957" s="15" t="s">
        <v>129</v>
      </c>
      <c r="C2957" s="16">
        <v>45703.0</v>
      </c>
      <c r="D2957" s="16">
        <v>45733.0</v>
      </c>
      <c r="E2957" s="15" t="s">
        <v>684</v>
      </c>
      <c r="F2957" s="19">
        <v>19.99</v>
      </c>
      <c r="G2957" s="15" t="s">
        <v>675</v>
      </c>
    </row>
    <row r="2958" ht="15.75" customHeight="1">
      <c r="A2958" s="17" t="s">
        <v>3629</v>
      </c>
      <c r="B2958" s="17" t="s">
        <v>382</v>
      </c>
      <c r="C2958" s="18">
        <v>45704.0</v>
      </c>
      <c r="D2958" s="18">
        <v>45734.0</v>
      </c>
      <c r="E2958" s="17" t="s">
        <v>684</v>
      </c>
      <c r="F2958" s="20">
        <v>19.99</v>
      </c>
      <c r="G2958" s="17" t="s">
        <v>675</v>
      </c>
    </row>
    <row r="2959" ht="15.75" customHeight="1">
      <c r="A2959" s="15" t="s">
        <v>3630</v>
      </c>
      <c r="B2959" s="15" t="s">
        <v>163</v>
      </c>
      <c r="C2959" s="16">
        <v>45704.0</v>
      </c>
      <c r="D2959" s="16">
        <v>45734.0</v>
      </c>
      <c r="E2959" s="15" t="s">
        <v>684</v>
      </c>
      <c r="F2959" s="19">
        <v>19.99</v>
      </c>
      <c r="G2959" s="15" t="s">
        <v>675</v>
      </c>
    </row>
    <row r="2960" ht="15.75" customHeight="1">
      <c r="A2960" s="17" t="s">
        <v>3631</v>
      </c>
      <c r="B2960" s="17" t="s">
        <v>591</v>
      </c>
      <c r="C2960" s="18">
        <v>45704.0</v>
      </c>
      <c r="D2960" s="18">
        <v>45711.0</v>
      </c>
      <c r="E2960" s="17" t="s">
        <v>674</v>
      </c>
      <c r="F2960" s="20">
        <v>0.0</v>
      </c>
      <c r="G2960" s="17" t="s">
        <v>675</v>
      </c>
    </row>
    <row r="2961" ht="15.75" customHeight="1">
      <c r="A2961" s="15" t="s">
        <v>3632</v>
      </c>
      <c r="B2961" s="15" t="s">
        <v>340</v>
      </c>
      <c r="C2961" s="16">
        <v>45704.0</v>
      </c>
      <c r="D2961" s="16">
        <v>45734.0</v>
      </c>
      <c r="E2961" s="15" t="s">
        <v>684</v>
      </c>
      <c r="F2961" s="19">
        <v>19.99</v>
      </c>
      <c r="G2961" s="15" t="s">
        <v>675</v>
      </c>
    </row>
    <row r="2962" ht="15.75" customHeight="1">
      <c r="A2962" s="17" t="s">
        <v>3633</v>
      </c>
      <c r="B2962" s="17" t="s">
        <v>385</v>
      </c>
      <c r="C2962" s="18">
        <v>45704.0</v>
      </c>
      <c r="D2962" s="18">
        <v>45734.0</v>
      </c>
      <c r="E2962" s="17" t="s">
        <v>684</v>
      </c>
      <c r="F2962" s="20">
        <v>19.99</v>
      </c>
      <c r="G2962" s="17" t="s">
        <v>675</v>
      </c>
    </row>
    <row r="2963" ht="15.75" customHeight="1">
      <c r="A2963" s="15" t="s">
        <v>3634</v>
      </c>
      <c r="B2963" s="15" t="s">
        <v>592</v>
      </c>
      <c r="C2963" s="16">
        <v>45704.0</v>
      </c>
      <c r="D2963" s="16">
        <v>45711.0</v>
      </c>
      <c r="E2963" s="15" t="s">
        <v>674</v>
      </c>
      <c r="F2963" s="19">
        <v>0.0</v>
      </c>
      <c r="G2963" s="15" t="s">
        <v>675</v>
      </c>
    </row>
    <row r="2964" ht="15.75" customHeight="1">
      <c r="A2964" s="17" t="s">
        <v>3635</v>
      </c>
      <c r="B2964" s="17" t="s">
        <v>488</v>
      </c>
      <c r="C2964" s="18">
        <v>45704.0</v>
      </c>
      <c r="D2964" s="18">
        <v>45734.0</v>
      </c>
      <c r="E2964" s="17" t="s">
        <v>684</v>
      </c>
      <c r="F2964" s="20">
        <v>19.99</v>
      </c>
      <c r="G2964" s="17" t="s">
        <v>675</v>
      </c>
    </row>
    <row r="2965" ht="15.75" customHeight="1">
      <c r="A2965" s="15" t="s">
        <v>3636</v>
      </c>
      <c r="B2965" s="15" t="s">
        <v>164</v>
      </c>
      <c r="C2965" s="16">
        <v>45704.0</v>
      </c>
      <c r="D2965" s="16">
        <v>45734.0</v>
      </c>
      <c r="E2965" s="15" t="s">
        <v>684</v>
      </c>
      <c r="F2965" s="19">
        <v>19.99</v>
      </c>
      <c r="G2965" s="15" t="s">
        <v>675</v>
      </c>
    </row>
    <row r="2966" ht="15.75" customHeight="1">
      <c r="A2966" s="17" t="s">
        <v>3637</v>
      </c>
      <c r="B2966" s="17" t="s">
        <v>530</v>
      </c>
      <c r="C2966" s="18">
        <v>45704.0</v>
      </c>
      <c r="D2966" s="18">
        <v>45734.0</v>
      </c>
      <c r="E2966" s="17" t="s">
        <v>684</v>
      </c>
      <c r="F2966" s="20">
        <v>19.99</v>
      </c>
      <c r="G2966" s="17" t="s">
        <v>675</v>
      </c>
    </row>
    <row r="2967" ht="15.75" customHeight="1">
      <c r="A2967" s="15" t="s">
        <v>3638</v>
      </c>
      <c r="B2967" s="15" t="s">
        <v>593</v>
      </c>
      <c r="C2967" s="16">
        <v>45704.0</v>
      </c>
      <c r="D2967" s="16">
        <v>45711.0</v>
      </c>
      <c r="E2967" s="15" t="s">
        <v>674</v>
      </c>
      <c r="F2967" s="19">
        <v>0.0</v>
      </c>
      <c r="G2967" s="15" t="s">
        <v>675</v>
      </c>
    </row>
    <row r="2968" ht="15.75" customHeight="1">
      <c r="A2968" s="17" t="s">
        <v>3639</v>
      </c>
      <c r="B2968" s="17" t="s">
        <v>259</v>
      </c>
      <c r="C2968" s="18">
        <v>45704.0</v>
      </c>
      <c r="D2968" s="18">
        <v>45734.0</v>
      </c>
      <c r="E2968" s="17" t="s">
        <v>684</v>
      </c>
      <c r="F2968" s="20">
        <v>19.99</v>
      </c>
      <c r="G2968" s="17" t="s">
        <v>675</v>
      </c>
    </row>
    <row r="2969" ht="15.75" customHeight="1">
      <c r="A2969" s="15" t="s">
        <v>3640</v>
      </c>
      <c r="B2969" s="15" t="s">
        <v>198</v>
      </c>
      <c r="C2969" s="16">
        <v>45704.0</v>
      </c>
      <c r="D2969" s="16">
        <v>45734.0</v>
      </c>
      <c r="E2969" s="15" t="s">
        <v>684</v>
      </c>
      <c r="F2969" s="19">
        <v>19.99</v>
      </c>
      <c r="G2969" s="15" t="s">
        <v>675</v>
      </c>
    </row>
    <row r="2970" ht="15.75" customHeight="1">
      <c r="A2970" s="17" t="s">
        <v>3641</v>
      </c>
      <c r="B2970" s="17" t="s">
        <v>343</v>
      </c>
      <c r="C2970" s="18">
        <v>45704.0</v>
      </c>
      <c r="D2970" s="18">
        <v>45734.0</v>
      </c>
      <c r="E2970" s="17" t="s">
        <v>684</v>
      </c>
      <c r="F2970" s="20">
        <v>19.99</v>
      </c>
      <c r="G2970" s="17" t="s">
        <v>675</v>
      </c>
    </row>
    <row r="2971" ht="15.75" customHeight="1">
      <c r="A2971" s="15" t="s">
        <v>3642</v>
      </c>
      <c r="B2971" s="15" t="s">
        <v>594</v>
      </c>
      <c r="C2971" s="16">
        <v>45705.0</v>
      </c>
      <c r="D2971" s="16">
        <v>45712.0</v>
      </c>
      <c r="E2971" s="15" t="s">
        <v>674</v>
      </c>
      <c r="F2971" s="19">
        <v>0.0</v>
      </c>
      <c r="G2971" s="15" t="s">
        <v>675</v>
      </c>
    </row>
    <row r="2972" ht="15.75" customHeight="1">
      <c r="A2972" s="17" t="s">
        <v>3643</v>
      </c>
      <c r="B2972" s="17" t="s">
        <v>578</v>
      </c>
      <c r="C2972" s="18">
        <v>45705.0</v>
      </c>
      <c r="D2972" s="18">
        <v>45735.0</v>
      </c>
      <c r="E2972" s="17" t="s">
        <v>684</v>
      </c>
      <c r="F2972" s="20">
        <v>19.99</v>
      </c>
      <c r="G2972" s="17" t="s">
        <v>675</v>
      </c>
    </row>
    <row r="2973" ht="15.75" customHeight="1">
      <c r="A2973" s="15" t="s">
        <v>3644</v>
      </c>
      <c r="B2973" s="15" t="s">
        <v>387</v>
      </c>
      <c r="C2973" s="16">
        <v>45705.0</v>
      </c>
      <c r="D2973" s="16">
        <v>45735.0</v>
      </c>
      <c r="E2973" s="15" t="s">
        <v>684</v>
      </c>
      <c r="F2973" s="19">
        <v>19.99</v>
      </c>
      <c r="G2973" s="15" t="s">
        <v>675</v>
      </c>
    </row>
    <row r="2974" ht="15.75" customHeight="1">
      <c r="A2974" s="17" t="s">
        <v>3645</v>
      </c>
      <c r="B2974" s="17" t="s">
        <v>490</v>
      </c>
      <c r="C2974" s="18">
        <v>45705.0</v>
      </c>
      <c r="D2974" s="18">
        <v>45735.0</v>
      </c>
      <c r="E2974" s="17" t="s">
        <v>684</v>
      </c>
      <c r="F2974" s="20">
        <v>19.99</v>
      </c>
      <c r="G2974" s="17" t="s">
        <v>675</v>
      </c>
    </row>
    <row r="2975" ht="15.75" customHeight="1">
      <c r="A2975" s="15" t="s">
        <v>3646</v>
      </c>
      <c r="B2975" s="15" t="s">
        <v>531</v>
      </c>
      <c r="C2975" s="16">
        <v>45705.0</v>
      </c>
      <c r="D2975" s="16">
        <v>45735.0</v>
      </c>
      <c r="E2975" s="15" t="s">
        <v>684</v>
      </c>
      <c r="F2975" s="19">
        <v>19.99</v>
      </c>
      <c r="G2975" s="15" t="s">
        <v>675</v>
      </c>
    </row>
    <row r="2976" ht="15.75" customHeight="1">
      <c r="A2976" s="17" t="s">
        <v>3647</v>
      </c>
      <c r="B2976" s="17" t="s">
        <v>595</v>
      </c>
      <c r="C2976" s="18">
        <v>45705.0</v>
      </c>
      <c r="D2976" s="18">
        <v>45712.0</v>
      </c>
      <c r="E2976" s="17" t="s">
        <v>674</v>
      </c>
      <c r="F2976" s="20">
        <v>0.0</v>
      </c>
      <c r="G2976" s="17" t="s">
        <v>675</v>
      </c>
    </row>
    <row r="2977" ht="15.75" customHeight="1">
      <c r="A2977" s="15" t="s">
        <v>3648</v>
      </c>
      <c r="B2977" s="15" t="s">
        <v>579</v>
      </c>
      <c r="C2977" s="16">
        <v>45705.0</v>
      </c>
      <c r="D2977" s="16">
        <v>45735.0</v>
      </c>
      <c r="E2977" s="15" t="s">
        <v>684</v>
      </c>
      <c r="F2977" s="19">
        <v>19.99</v>
      </c>
      <c r="G2977" s="15" t="s">
        <v>675</v>
      </c>
    </row>
    <row r="2978" ht="15.75" customHeight="1">
      <c r="A2978" s="17" t="s">
        <v>3649</v>
      </c>
      <c r="B2978" s="17" t="s">
        <v>532</v>
      </c>
      <c r="C2978" s="18">
        <v>45705.0</v>
      </c>
      <c r="D2978" s="18">
        <v>45735.0</v>
      </c>
      <c r="E2978" s="17" t="s">
        <v>684</v>
      </c>
      <c r="F2978" s="20">
        <v>19.99</v>
      </c>
      <c r="G2978" s="17" t="s">
        <v>675</v>
      </c>
    </row>
    <row r="2979" ht="15.75" customHeight="1">
      <c r="A2979" s="15" t="s">
        <v>3650</v>
      </c>
      <c r="B2979" s="15" t="s">
        <v>100</v>
      </c>
      <c r="C2979" s="16">
        <v>45705.0</v>
      </c>
      <c r="D2979" s="16">
        <v>45735.0</v>
      </c>
      <c r="E2979" s="15" t="s">
        <v>684</v>
      </c>
      <c r="F2979" s="19">
        <v>19.99</v>
      </c>
      <c r="G2979" s="15" t="s">
        <v>675</v>
      </c>
    </row>
    <row r="2980" ht="15.75" customHeight="1">
      <c r="A2980" s="17" t="s">
        <v>3651</v>
      </c>
      <c r="B2980" s="17" t="s">
        <v>431</v>
      </c>
      <c r="C2980" s="18">
        <v>45705.0</v>
      </c>
      <c r="D2980" s="18">
        <v>45735.0</v>
      </c>
      <c r="E2980" s="17" t="s">
        <v>684</v>
      </c>
      <c r="F2980" s="20">
        <v>19.99</v>
      </c>
      <c r="G2980" s="17" t="s">
        <v>675</v>
      </c>
    </row>
    <row r="2981" ht="15.75" customHeight="1">
      <c r="A2981" s="15" t="s">
        <v>3652</v>
      </c>
      <c r="B2981" s="15" t="s">
        <v>165</v>
      </c>
      <c r="C2981" s="16">
        <v>45705.0</v>
      </c>
      <c r="D2981" s="16">
        <v>45735.0</v>
      </c>
      <c r="E2981" s="15" t="s">
        <v>684</v>
      </c>
      <c r="F2981" s="19">
        <v>19.99</v>
      </c>
      <c r="G2981" s="15" t="s">
        <v>675</v>
      </c>
    </row>
    <row r="2982" ht="15.75" customHeight="1">
      <c r="A2982" s="17" t="s">
        <v>3653</v>
      </c>
      <c r="B2982" s="17" t="s">
        <v>260</v>
      </c>
      <c r="C2982" s="18">
        <v>45705.0</v>
      </c>
      <c r="D2982" s="18">
        <v>45735.0</v>
      </c>
      <c r="E2982" s="17" t="s">
        <v>684</v>
      </c>
      <c r="F2982" s="20">
        <v>19.99</v>
      </c>
      <c r="G2982" s="17" t="s">
        <v>675</v>
      </c>
    </row>
    <row r="2983" ht="15.75" customHeight="1">
      <c r="A2983" s="15" t="s">
        <v>3654</v>
      </c>
      <c r="B2983" s="15" t="s">
        <v>580</v>
      </c>
      <c r="C2983" s="16">
        <v>45705.0</v>
      </c>
      <c r="D2983" s="16">
        <v>45735.0</v>
      </c>
      <c r="E2983" s="15" t="s">
        <v>684</v>
      </c>
      <c r="F2983" s="19">
        <v>19.99</v>
      </c>
      <c r="G2983" s="15" t="s">
        <v>675</v>
      </c>
    </row>
    <row r="2984" ht="15.75" customHeight="1">
      <c r="A2984" s="17" t="s">
        <v>3655</v>
      </c>
      <c r="B2984" s="17" t="s">
        <v>432</v>
      </c>
      <c r="C2984" s="18">
        <v>45705.0</v>
      </c>
      <c r="D2984" s="18">
        <v>45735.0</v>
      </c>
      <c r="E2984" s="17" t="s">
        <v>684</v>
      </c>
      <c r="F2984" s="20">
        <v>19.99</v>
      </c>
      <c r="G2984" s="17" t="s">
        <v>675</v>
      </c>
    </row>
    <row r="2985" ht="15.75" customHeight="1">
      <c r="A2985" s="15" t="s">
        <v>3656</v>
      </c>
      <c r="B2985" s="15" t="s">
        <v>79</v>
      </c>
      <c r="C2985" s="16">
        <v>45706.0</v>
      </c>
      <c r="D2985" s="16">
        <v>45736.0</v>
      </c>
      <c r="E2985" s="15" t="s">
        <v>684</v>
      </c>
      <c r="F2985" s="19">
        <v>19.99</v>
      </c>
      <c r="G2985" s="15" t="s">
        <v>675</v>
      </c>
    </row>
    <row r="2986" ht="15.75" customHeight="1">
      <c r="A2986" s="17" t="s">
        <v>3657</v>
      </c>
      <c r="B2986" s="17" t="s">
        <v>533</v>
      </c>
      <c r="C2986" s="18">
        <v>45706.0</v>
      </c>
      <c r="D2986" s="18">
        <v>45736.0</v>
      </c>
      <c r="E2986" s="17" t="s">
        <v>684</v>
      </c>
      <c r="F2986" s="20">
        <v>19.99</v>
      </c>
      <c r="G2986" s="17" t="s">
        <v>675</v>
      </c>
    </row>
    <row r="2987" ht="15.75" customHeight="1">
      <c r="A2987" s="15" t="s">
        <v>3658</v>
      </c>
      <c r="B2987" s="15" t="s">
        <v>388</v>
      </c>
      <c r="C2987" s="16">
        <v>45706.0</v>
      </c>
      <c r="D2987" s="16">
        <v>45736.0</v>
      </c>
      <c r="E2987" s="15" t="s">
        <v>684</v>
      </c>
      <c r="F2987" s="19">
        <v>19.99</v>
      </c>
      <c r="G2987" s="15" t="s">
        <v>675</v>
      </c>
    </row>
    <row r="2988" ht="15.75" customHeight="1">
      <c r="A2988" s="17" t="s">
        <v>3659</v>
      </c>
      <c r="B2988" s="17" t="s">
        <v>133</v>
      </c>
      <c r="C2988" s="18">
        <v>45706.0</v>
      </c>
      <c r="D2988" s="18">
        <v>45736.0</v>
      </c>
      <c r="E2988" s="17" t="s">
        <v>684</v>
      </c>
      <c r="F2988" s="20">
        <v>19.99</v>
      </c>
      <c r="G2988" s="17" t="s">
        <v>675</v>
      </c>
    </row>
    <row r="2989" ht="15.75" customHeight="1">
      <c r="A2989" s="15" t="s">
        <v>3660</v>
      </c>
      <c r="B2989" s="15" t="s">
        <v>534</v>
      </c>
      <c r="C2989" s="16">
        <v>45706.0</v>
      </c>
      <c r="D2989" s="16">
        <v>45736.0</v>
      </c>
      <c r="E2989" s="15" t="s">
        <v>684</v>
      </c>
      <c r="F2989" s="19">
        <v>19.99</v>
      </c>
      <c r="G2989" s="15" t="s">
        <v>675</v>
      </c>
    </row>
    <row r="2990" ht="15.75" customHeight="1">
      <c r="A2990" s="17" t="s">
        <v>3661</v>
      </c>
      <c r="B2990" s="17" t="s">
        <v>596</v>
      </c>
      <c r="C2990" s="18">
        <v>45706.0</v>
      </c>
      <c r="D2990" s="18">
        <v>45713.0</v>
      </c>
      <c r="E2990" s="17" t="s">
        <v>674</v>
      </c>
      <c r="F2990" s="20">
        <v>0.0</v>
      </c>
      <c r="G2990" s="17" t="s">
        <v>675</v>
      </c>
    </row>
    <row r="2991" ht="15.75" customHeight="1">
      <c r="A2991" s="15" t="s">
        <v>3662</v>
      </c>
      <c r="B2991" s="15" t="s">
        <v>581</v>
      </c>
      <c r="C2991" s="16">
        <v>45706.0</v>
      </c>
      <c r="D2991" s="16">
        <v>45736.0</v>
      </c>
      <c r="E2991" s="15" t="s">
        <v>684</v>
      </c>
      <c r="F2991" s="19">
        <v>19.99</v>
      </c>
      <c r="G2991" s="15" t="s">
        <v>675</v>
      </c>
    </row>
    <row r="2992" ht="15.75" customHeight="1">
      <c r="A2992" s="17" t="s">
        <v>3663</v>
      </c>
      <c r="B2992" s="17" t="s">
        <v>306</v>
      </c>
      <c r="C2992" s="18">
        <v>45706.0</v>
      </c>
      <c r="D2992" s="18">
        <v>45736.0</v>
      </c>
      <c r="E2992" s="17" t="s">
        <v>684</v>
      </c>
      <c r="F2992" s="20">
        <v>19.99</v>
      </c>
      <c r="G2992" s="17" t="s">
        <v>675</v>
      </c>
    </row>
    <row r="2993" ht="15.75" customHeight="1">
      <c r="A2993" s="15" t="s">
        <v>3664</v>
      </c>
      <c r="B2993" s="15" t="s">
        <v>535</v>
      </c>
      <c r="C2993" s="16">
        <v>45706.0</v>
      </c>
      <c r="D2993" s="16">
        <v>45736.0</v>
      </c>
      <c r="E2993" s="15" t="s">
        <v>684</v>
      </c>
      <c r="F2993" s="19">
        <v>19.99</v>
      </c>
      <c r="G2993" s="15" t="s">
        <v>675</v>
      </c>
    </row>
    <row r="2994" ht="15.75" customHeight="1">
      <c r="A2994" s="17" t="s">
        <v>3665</v>
      </c>
      <c r="B2994" s="17" t="s">
        <v>389</v>
      </c>
      <c r="C2994" s="18">
        <v>45706.0</v>
      </c>
      <c r="D2994" s="18">
        <v>45736.0</v>
      </c>
      <c r="E2994" s="17" t="s">
        <v>684</v>
      </c>
      <c r="F2994" s="20">
        <v>19.99</v>
      </c>
      <c r="G2994" s="17" t="s">
        <v>675</v>
      </c>
    </row>
    <row r="2995" ht="15.75" customHeight="1">
      <c r="A2995" s="15" t="s">
        <v>3666</v>
      </c>
      <c r="B2995" s="15" t="s">
        <v>434</v>
      </c>
      <c r="C2995" s="16">
        <v>45706.0</v>
      </c>
      <c r="D2995" s="16">
        <v>45736.0</v>
      </c>
      <c r="E2995" s="15" t="s">
        <v>684</v>
      </c>
      <c r="F2995" s="19">
        <v>19.99</v>
      </c>
      <c r="G2995" s="15" t="s">
        <v>675</v>
      </c>
    </row>
    <row r="2996" ht="15.75" customHeight="1">
      <c r="A2996" s="17" t="s">
        <v>3667</v>
      </c>
      <c r="B2996" s="17" t="s">
        <v>597</v>
      </c>
      <c r="C2996" s="18">
        <v>45706.0</v>
      </c>
      <c r="D2996" s="18">
        <v>45713.0</v>
      </c>
      <c r="E2996" s="17" t="s">
        <v>674</v>
      </c>
      <c r="F2996" s="20">
        <v>0.0</v>
      </c>
      <c r="G2996" s="17" t="s">
        <v>675</v>
      </c>
    </row>
    <row r="2997" ht="15.75" customHeight="1">
      <c r="A2997" s="15" t="s">
        <v>3668</v>
      </c>
      <c r="B2997" s="15" t="s">
        <v>203</v>
      </c>
      <c r="C2997" s="16">
        <v>45707.0</v>
      </c>
      <c r="D2997" s="16">
        <v>45737.0</v>
      </c>
      <c r="E2997" s="15" t="s">
        <v>684</v>
      </c>
      <c r="F2997" s="19">
        <v>19.99</v>
      </c>
      <c r="G2997" s="15" t="s">
        <v>675</v>
      </c>
    </row>
    <row r="2998" ht="15.75" customHeight="1">
      <c r="A2998" s="17" t="s">
        <v>3669</v>
      </c>
      <c r="B2998" s="17" t="s">
        <v>134</v>
      </c>
      <c r="C2998" s="18">
        <v>45707.0</v>
      </c>
      <c r="D2998" s="18">
        <v>45737.0</v>
      </c>
      <c r="E2998" s="17" t="s">
        <v>684</v>
      </c>
      <c r="F2998" s="20">
        <v>19.99</v>
      </c>
      <c r="G2998" s="17" t="s">
        <v>675</v>
      </c>
    </row>
    <row r="2999" ht="15.75" customHeight="1">
      <c r="A2999" s="15" t="s">
        <v>3670</v>
      </c>
      <c r="B2999" s="15" t="s">
        <v>492</v>
      </c>
      <c r="C2999" s="16">
        <v>45707.0</v>
      </c>
      <c r="D2999" s="16">
        <v>45737.0</v>
      </c>
      <c r="E2999" s="15" t="s">
        <v>684</v>
      </c>
      <c r="F2999" s="19">
        <v>19.99</v>
      </c>
      <c r="G2999" s="15" t="s">
        <v>675</v>
      </c>
    </row>
    <row r="3000" ht="15.75" customHeight="1">
      <c r="A3000" s="17" t="s">
        <v>3671</v>
      </c>
      <c r="B3000" s="17" t="s">
        <v>582</v>
      </c>
      <c r="C3000" s="18">
        <v>45707.0</v>
      </c>
      <c r="D3000" s="18">
        <v>45737.0</v>
      </c>
      <c r="E3000" s="17" t="s">
        <v>684</v>
      </c>
      <c r="F3000" s="20">
        <v>19.99</v>
      </c>
      <c r="G3000" s="17" t="s">
        <v>675</v>
      </c>
    </row>
    <row r="3001" ht="15.75" customHeight="1">
      <c r="A3001" s="15" t="s">
        <v>3672</v>
      </c>
      <c r="B3001" s="15" t="s">
        <v>493</v>
      </c>
      <c r="C3001" s="16">
        <v>45707.0</v>
      </c>
      <c r="D3001" s="16">
        <v>45737.0</v>
      </c>
      <c r="E3001" s="15" t="s">
        <v>684</v>
      </c>
      <c r="F3001" s="19">
        <v>19.99</v>
      </c>
      <c r="G3001" s="15" t="s">
        <v>675</v>
      </c>
    </row>
    <row r="3002" ht="15.75" customHeight="1">
      <c r="A3002" s="17" t="s">
        <v>3673</v>
      </c>
      <c r="B3002" s="17" t="s">
        <v>436</v>
      </c>
      <c r="C3002" s="18">
        <v>45707.0</v>
      </c>
      <c r="D3002" s="18">
        <v>45737.0</v>
      </c>
      <c r="E3002" s="17" t="s">
        <v>684</v>
      </c>
      <c r="F3002" s="20">
        <v>19.99</v>
      </c>
      <c r="G3002" s="17" t="s">
        <v>675</v>
      </c>
    </row>
    <row r="3003" ht="15.75" customHeight="1">
      <c r="A3003" s="15" t="s">
        <v>3674</v>
      </c>
      <c r="B3003" s="15" t="s">
        <v>227</v>
      </c>
      <c r="C3003" s="16">
        <v>45707.0</v>
      </c>
      <c r="D3003" s="16">
        <v>45737.0</v>
      </c>
      <c r="E3003" s="15" t="s">
        <v>684</v>
      </c>
      <c r="F3003" s="19">
        <v>19.99</v>
      </c>
      <c r="G3003" s="15" t="s">
        <v>675</v>
      </c>
    </row>
    <row r="3004" ht="15.75" customHeight="1">
      <c r="A3004" s="17" t="s">
        <v>3675</v>
      </c>
      <c r="B3004" s="17" t="s">
        <v>344</v>
      </c>
      <c r="C3004" s="18">
        <v>45707.0</v>
      </c>
      <c r="D3004" s="18">
        <v>45737.0</v>
      </c>
      <c r="E3004" s="17" t="s">
        <v>684</v>
      </c>
      <c r="F3004" s="20">
        <v>19.99</v>
      </c>
      <c r="G3004" s="17" t="s">
        <v>675</v>
      </c>
    </row>
    <row r="3005" ht="15.75" customHeight="1">
      <c r="A3005" s="15" t="s">
        <v>3676</v>
      </c>
      <c r="B3005" s="15" t="s">
        <v>206</v>
      </c>
      <c r="C3005" s="16">
        <v>45707.0</v>
      </c>
      <c r="D3005" s="16">
        <v>45737.0</v>
      </c>
      <c r="E3005" s="15" t="s">
        <v>684</v>
      </c>
      <c r="F3005" s="19">
        <v>19.99</v>
      </c>
      <c r="G3005" s="15" t="s">
        <v>675</v>
      </c>
    </row>
    <row r="3006" ht="15.75" customHeight="1">
      <c r="A3006" s="17" t="s">
        <v>3677</v>
      </c>
      <c r="B3006" s="17" t="s">
        <v>583</v>
      </c>
      <c r="C3006" s="18">
        <v>45707.0</v>
      </c>
      <c r="D3006" s="18">
        <v>45737.0</v>
      </c>
      <c r="E3006" s="17" t="s">
        <v>684</v>
      </c>
      <c r="F3006" s="20">
        <v>19.99</v>
      </c>
      <c r="G3006" s="17" t="s">
        <v>675</v>
      </c>
    </row>
    <row r="3007" ht="15.75" customHeight="1">
      <c r="A3007" s="15" t="s">
        <v>3678</v>
      </c>
      <c r="B3007" s="15" t="s">
        <v>310</v>
      </c>
      <c r="C3007" s="16">
        <v>45708.0</v>
      </c>
      <c r="D3007" s="16">
        <v>45738.0</v>
      </c>
      <c r="E3007" s="15" t="s">
        <v>684</v>
      </c>
      <c r="F3007" s="19">
        <v>19.99</v>
      </c>
      <c r="G3007" s="15" t="s">
        <v>675</v>
      </c>
    </row>
    <row r="3008" ht="15.75" customHeight="1">
      <c r="A3008" s="17" t="s">
        <v>3679</v>
      </c>
      <c r="B3008" s="17" t="s">
        <v>228</v>
      </c>
      <c r="C3008" s="18">
        <v>45708.0</v>
      </c>
      <c r="D3008" s="18">
        <v>45738.0</v>
      </c>
      <c r="E3008" s="17" t="s">
        <v>684</v>
      </c>
      <c r="F3008" s="20">
        <v>19.99</v>
      </c>
      <c r="G3008" s="17" t="s">
        <v>675</v>
      </c>
    </row>
    <row r="3009" ht="15.75" customHeight="1">
      <c r="A3009" s="15" t="s">
        <v>3680</v>
      </c>
      <c r="B3009" s="15" t="s">
        <v>494</v>
      </c>
      <c r="C3009" s="16">
        <v>45708.0</v>
      </c>
      <c r="D3009" s="16">
        <v>45738.0</v>
      </c>
      <c r="E3009" s="15" t="s">
        <v>684</v>
      </c>
      <c r="F3009" s="19">
        <v>19.99</v>
      </c>
      <c r="G3009" s="15" t="s">
        <v>675</v>
      </c>
    </row>
    <row r="3010" ht="15.75" customHeight="1">
      <c r="A3010" s="17" t="s">
        <v>3681</v>
      </c>
      <c r="B3010" s="17" t="s">
        <v>262</v>
      </c>
      <c r="C3010" s="18">
        <v>45708.0</v>
      </c>
      <c r="D3010" s="18">
        <v>45738.0</v>
      </c>
      <c r="E3010" s="17" t="s">
        <v>684</v>
      </c>
      <c r="F3010" s="20">
        <v>19.99</v>
      </c>
      <c r="G3010" s="17" t="s">
        <v>675</v>
      </c>
    </row>
    <row r="3011" ht="15.75" customHeight="1">
      <c r="A3011" s="15" t="s">
        <v>3682</v>
      </c>
      <c r="B3011" s="15" t="s">
        <v>438</v>
      </c>
      <c r="C3011" s="16">
        <v>45708.0</v>
      </c>
      <c r="D3011" s="16">
        <v>45738.0</v>
      </c>
      <c r="E3011" s="15" t="s">
        <v>684</v>
      </c>
      <c r="F3011" s="19">
        <v>19.99</v>
      </c>
      <c r="G3011" s="15" t="s">
        <v>675</v>
      </c>
    </row>
    <row r="3012" ht="15.75" customHeight="1">
      <c r="A3012" s="17" t="s">
        <v>3683</v>
      </c>
      <c r="B3012" s="17" t="s">
        <v>584</v>
      </c>
      <c r="C3012" s="18">
        <v>45708.0</v>
      </c>
      <c r="D3012" s="18">
        <v>45738.0</v>
      </c>
      <c r="E3012" s="17" t="s">
        <v>684</v>
      </c>
      <c r="F3012" s="20">
        <v>19.99</v>
      </c>
      <c r="G3012" s="17" t="s">
        <v>675</v>
      </c>
    </row>
    <row r="3013" ht="15.75" customHeight="1">
      <c r="A3013" s="15" t="s">
        <v>3684</v>
      </c>
      <c r="B3013" s="15" t="s">
        <v>346</v>
      </c>
      <c r="C3013" s="16">
        <v>45708.0</v>
      </c>
      <c r="D3013" s="16">
        <v>45738.0</v>
      </c>
      <c r="E3013" s="15" t="s">
        <v>684</v>
      </c>
      <c r="F3013" s="19">
        <v>19.99</v>
      </c>
      <c r="G3013" s="15" t="s">
        <v>675</v>
      </c>
    </row>
    <row r="3014" ht="15.75" customHeight="1">
      <c r="A3014" s="17" t="s">
        <v>3685</v>
      </c>
      <c r="B3014" s="17" t="s">
        <v>598</v>
      </c>
      <c r="C3014" s="18">
        <v>45708.0</v>
      </c>
      <c r="D3014" s="18">
        <v>45715.0</v>
      </c>
      <c r="E3014" s="17" t="s">
        <v>674</v>
      </c>
      <c r="F3014" s="20">
        <v>0.0</v>
      </c>
      <c r="G3014" s="17" t="s">
        <v>675</v>
      </c>
    </row>
    <row r="3015" ht="15.75" customHeight="1">
      <c r="A3015" s="15" t="s">
        <v>3686</v>
      </c>
      <c r="B3015" s="15" t="s">
        <v>536</v>
      </c>
      <c r="C3015" s="16">
        <v>45708.0</v>
      </c>
      <c r="D3015" s="16">
        <v>45738.0</v>
      </c>
      <c r="E3015" s="15" t="s">
        <v>684</v>
      </c>
      <c r="F3015" s="19">
        <v>19.99</v>
      </c>
      <c r="G3015" s="15" t="s">
        <v>675</v>
      </c>
    </row>
    <row r="3016" ht="15.75" customHeight="1">
      <c r="A3016" s="17" t="s">
        <v>3687</v>
      </c>
      <c r="B3016" s="17" t="s">
        <v>102</v>
      </c>
      <c r="C3016" s="18">
        <v>45708.0</v>
      </c>
      <c r="D3016" s="18">
        <v>45738.0</v>
      </c>
      <c r="E3016" s="17" t="s">
        <v>684</v>
      </c>
      <c r="F3016" s="20">
        <v>19.99</v>
      </c>
      <c r="G3016" s="17" t="s">
        <v>675</v>
      </c>
    </row>
    <row r="3017" ht="15.75" customHeight="1">
      <c r="A3017" s="15" t="s">
        <v>3688</v>
      </c>
      <c r="B3017" s="15" t="s">
        <v>599</v>
      </c>
      <c r="C3017" s="16">
        <v>45708.0</v>
      </c>
      <c r="D3017" s="16">
        <v>45715.0</v>
      </c>
      <c r="E3017" s="15" t="s">
        <v>674</v>
      </c>
      <c r="F3017" s="19">
        <v>0.0</v>
      </c>
      <c r="G3017" s="15" t="s">
        <v>675</v>
      </c>
    </row>
    <row r="3018" ht="15.75" customHeight="1">
      <c r="A3018" s="17" t="s">
        <v>3689</v>
      </c>
      <c r="B3018" s="17" t="s">
        <v>167</v>
      </c>
      <c r="C3018" s="18">
        <v>45708.0</v>
      </c>
      <c r="D3018" s="18">
        <v>45738.0</v>
      </c>
      <c r="E3018" s="17" t="s">
        <v>684</v>
      </c>
      <c r="F3018" s="20">
        <v>19.99</v>
      </c>
      <c r="G3018" s="17" t="s">
        <v>675</v>
      </c>
    </row>
    <row r="3019" ht="15.75" customHeight="1">
      <c r="A3019" s="15" t="s">
        <v>3690</v>
      </c>
      <c r="B3019" s="15" t="s">
        <v>585</v>
      </c>
      <c r="C3019" s="16">
        <v>45708.0</v>
      </c>
      <c r="D3019" s="16">
        <v>45738.0</v>
      </c>
      <c r="E3019" s="15" t="s">
        <v>684</v>
      </c>
      <c r="F3019" s="19">
        <v>19.99</v>
      </c>
      <c r="G3019" s="15" t="s">
        <v>675</v>
      </c>
    </row>
    <row r="3020" ht="15.75" customHeight="1">
      <c r="A3020" s="17" t="s">
        <v>3691</v>
      </c>
      <c r="B3020" s="17" t="s">
        <v>168</v>
      </c>
      <c r="C3020" s="18">
        <v>45708.0</v>
      </c>
      <c r="D3020" s="18">
        <v>45738.0</v>
      </c>
      <c r="E3020" s="17" t="s">
        <v>684</v>
      </c>
      <c r="F3020" s="20">
        <v>19.99</v>
      </c>
      <c r="G3020" s="17" t="s">
        <v>675</v>
      </c>
    </row>
    <row r="3021" ht="15.75" customHeight="1">
      <c r="A3021" s="15" t="s">
        <v>3692</v>
      </c>
      <c r="B3021" s="15" t="s">
        <v>208</v>
      </c>
      <c r="C3021" s="16">
        <v>45708.0</v>
      </c>
      <c r="D3021" s="16">
        <v>45738.0</v>
      </c>
      <c r="E3021" s="15" t="s">
        <v>684</v>
      </c>
      <c r="F3021" s="19">
        <v>19.99</v>
      </c>
      <c r="G3021" s="15" t="s">
        <v>675</v>
      </c>
    </row>
    <row r="3022" ht="15.75" customHeight="1">
      <c r="A3022" s="17" t="s">
        <v>3693</v>
      </c>
      <c r="B3022" s="17" t="s">
        <v>586</v>
      </c>
      <c r="C3022" s="18">
        <v>45708.0</v>
      </c>
      <c r="D3022" s="18">
        <v>45738.0</v>
      </c>
      <c r="E3022" s="17" t="s">
        <v>684</v>
      </c>
      <c r="F3022" s="20">
        <v>19.99</v>
      </c>
      <c r="G3022" s="17" t="s">
        <v>675</v>
      </c>
    </row>
    <row r="3023" ht="15.75" customHeight="1">
      <c r="A3023" s="15" t="s">
        <v>3694</v>
      </c>
      <c r="B3023" s="15" t="s">
        <v>600</v>
      </c>
      <c r="C3023" s="16">
        <v>45709.0</v>
      </c>
      <c r="D3023" s="16">
        <v>45716.0</v>
      </c>
      <c r="E3023" s="15" t="s">
        <v>674</v>
      </c>
      <c r="F3023" s="19">
        <v>0.0</v>
      </c>
      <c r="G3023" s="15" t="s">
        <v>675</v>
      </c>
    </row>
    <row r="3024" ht="15.75" customHeight="1">
      <c r="A3024" s="17" t="s">
        <v>3695</v>
      </c>
      <c r="B3024" s="17" t="s">
        <v>347</v>
      </c>
      <c r="C3024" s="18">
        <v>45709.0</v>
      </c>
      <c r="D3024" s="18">
        <v>45739.0</v>
      </c>
      <c r="E3024" s="17" t="s">
        <v>684</v>
      </c>
      <c r="F3024" s="20">
        <v>19.99</v>
      </c>
      <c r="G3024" s="17" t="s">
        <v>675</v>
      </c>
    </row>
    <row r="3025" ht="15.75" customHeight="1">
      <c r="A3025" s="15" t="s">
        <v>3696</v>
      </c>
      <c r="B3025" s="15" t="s">
        <v>537</v>
      </c>
      <c r="C3025" s="16">
        <v>45709.0</v>
      </c>
      <c r="D3025" s="16">
        <v>45739.0</v>
      </c>
      <c r="E3025" s="15" t="s">
        <v>684</v>
      </c>
      <c r="F3025" s="19">
        <v>19.99</v>
      </c>
      <c r="G3025" s="15" t="s">
        <v>675</v>
      </c>
    </row>
    <row r="3026" ht="15.75" customHeight="1">
      <c r="A3026" s="17" t="s">
        <v>3697</v>
      </c>
      <c r="B3026" s="17" t="s">
        <v>136</v>
      </c>
      <c r="C3026" s="18">
        <v>45709.0</v>
      </c>
      <c r="D3026" s="18">
        <v>45739.0</v>
      </c>
      <c r="E3026" s="17" t="s">
        <v>684</v>
      </c>
      <c r="F3026" s="20">
        <v>19.99</v>
      </c>
      <c r="G3026" s="17" t="s">
        <v>675</v>
      </c>
    </row>
    <row r="3027" ht="15.75" customHeight="1">
      <c r="A3027" s="15" t="s">
        <v>3698</v>
      </c>
      <c r="B3027" s="15" t="s">
        <v>601</v>
      </c>
      <c r="C3027" s="16">
        <v>45709.0</v>
      </c>
      <c r="D3027" s="16">
        <v>45716.0</v>
      </c>
      <c r="E3027" s="15" t="s">
        <v>674</v>
      </c>
      <c r="F3027" s="19">
        <v>0.0</v>
      </c>
      <c r="G3027" s="15" t="s">
        <v>675</v>
      </c>
    </row>
    <row r="3028" ht="15.75" customHeight="1">
      <c r="A3028" s="17" t="s">
        <v>3699</v>
      </c>
      <c r="B3028" s="17" t="s">
        <v>82</v>
      </c>
      <c r="C3028" s="18">
        <v>45709.0</v>
      </c>
      <c r="D3028" s="18">
        <v>45739.0</v>
      </c>
      <c r="E3028" s="17" t="s">
        <v>684</v>
      </c>
      <c r="F3028" s="20">
        <v>19.99</v>
      </c>
      <c r="G3028" s="17" t="s">
        <v>675</v>
      </c>
    </row>
    <row r="3029" ht="15.75" customHeight="1">
      <c r="A3029" s="15" t="s">
        <v>3700</v>
      </c>
      <c r="B3029" s="15" t="s">
        <v>587</v>
      </c>
      <c r="C3029" s="16">
        <v>45709.0</v>
      </c>
      <c r="D3029" s="16">
        <v>45739.0</v>
      </c>
      <c r="E3029" s="15" t="s">
        <v>684</v>
      </c>
      <c r="F3029" s="19">
        <v>19.99</v>
      </c>
      <c r="G3029" s="15" t="s">
        <v>675</v>
      </c>
    </row>
    <row r="3030" ht="15.75" customHeight="1">
      <c r="A3030" s="17" t="s">
        <v>3701</v>
      </c>
      <c r="B3030" s="17" t="s">
        <v>348</v>
      </c>
      <c r="C3030" s="18">
        <v>45709.0</v>
      </c>
      <c r="D3030" s="18">
        <v>45739.0</v>
      </c>
      <c r="E3030" s="17" t="s">
        <v>684</v>
      </c>
      <c r="F3030" s="20">
        <v>19.99</v>
      </c>
      <c r="G3030" s="17" t="s">
        <v>675</v>
      </c>
    </row>
    <row r="3031" ht="15.75" customHeight="1">
      <c r="A3031" s="15" t="s">
        <v>3702</v>
      </c>
      <c r="B3031" s="15" t="s">
        <v>391</v>
      </c>
      <c r="C3031" s="16">
        <v>45709.0</v>
      </c>
      <c r="D3031" s="16">
        <v>45739.0</v>
      </c>
      <c r="E3031" s="15" t="s">
        <v>684</v>
      </c>
      <c r="F3031" s="19">
        <v>19.99</v>
      </c>
      <c r="G3031" s="15" t="s">
        <v>675</v>
      </c>
    </row>
    <row r="3032" ht="15.75" customHeight="1">
      <c r="A3032" s="17" t="s">
        <v>3703</v>
      </c>
      <c r="B3032" s="17" t="s">
        <v>588</v>
      </c>
      <c r="C3032" s="18">
        <v>45709.0</v>
      </c>
      <c r="D3032" s="18">
        <v>45739.0</v>
      </c>
      <c r="E3032" s="17" t="s">
        <v>684</v>
      </c>
      <c r="F3032" s="20">
        <v>19.99</v>
      </c>
      <c r="G3032" s="17" t="s">
        <v>675</v>
      </c>
    </row>
    <row r="3033" ht="15.75" customHeight="1">
      <c r="A3033" s="15" t="s">
        <v>3704</v>
      </c>
      <c r="B3033" s="15" t="s">
        <v>602</v>
      </c>
      <c r="C3033" s="16">
        <v>45709.0</v>
      </c>
      <c r="D3033" s="16">
        <v>45716.0</v>
      </c>
      <c r="E3033" s="15" t="s">
        <v>674</v>
      </c>
      <c r="F3033" s="19">
        <v>0.0</v>
      </c>
      <c r="G3033" s="15" t="s">
        <v>675</v>
      </c>
    </row>
    <row r="3034" ht="15.75" customHeight="1">
      <c r="A3034" s="17" t="s">
        <v>3705</v>
      </c>
      <c r="B3034" s="17" t="s">
        <v>349</v>
      </c>
      <c r="C3034" s="18">
        <v>45709.0</v>
      </c>
      <c r="D3034" s="18">
        <v>45739.0</v>
      </c>
      <c r="E3034" s="17" t="s">
        <v>684</v>
      </c>
      <c r="F3034" s="20">
        <v>19.99</v>
      </c>
      <c r="G3034" s="17" t="s">
        <v>675</v>
      </c>
    </row>
    <row r="3035" ht="15.75" customHeight="1">
      <c r="A3035" s="15" t="s">
        <v>3706</v>
      </c>
      <c r="B3035" s="15" t="s">
        <v>137</v>
      </c>
      <c r="C3035" s="16">
        <v>45709.0</v>
      </c>
      <c r="D3035" s="16">
        <v>45739.0</v>
      </c>
      <c r="E3035" s="15" t="s">
        <v>684</v>
      </c>
      <c r="F3035" s="19">
        <v>19.99</v>
      </c>
      <c r="G3035" s="15" t="s">
        <v>675</v>
      </c>
    </row>
    <row r="3036" ht="15.75" customHeight="1">
      <c r="A3036" s="17" t="s">
        <v>3707</v>
      </c>
      <c r="B3036" s="17" t="s">
        <v>440</v>
      </c>
      <c r="C3036" s="18">
        <v>45709.0</v>
      </c>
      <c r="D3036" s="18">
        <v>45739.0</v>
      </c>
      <c r="E3036" s="17" t="s">
        <v>684</v>
      </c>
      <c r="F3036" s="20">
        <v>19.99</v>
      </c>
      <c r="G3036" s="17" t="s">
        <v>675</v>
      </c>
    </row>
    <row r="3037" ht="15.75" customHeight="1">
      <c r="A3037" s="15" t="s">
        <v>3708</v>
      </c>
      <c r="B3037" s="15" t="s">
        <v>441</v>
      </c>
      <c r="C3037" s="16">
        <v>45709.0</v>
      </c>
      <c r="D3037" s="16">
        <v>45739.0</v>
      </c>
      <c r="E3037" s="15" t="s">
        <v>684</v>
      </c>
      <c r="F3037" s="19">
        <v>19.99</v>
      </c>
      <c r="G3037" s="15" t="s">
        <v>675</v>
      </c>
    </row>
    <row r="3038" ht="15.75" customHeight="1">
      <c r="A3038" s="17" t="s">
        <v>3709</v>
      </c>
      <c r="B3038" s="17" t="s">
        <v>589</v>
      </c>
      <c r="C3038" s="18">
        <v>45709.0</v>
      </c>
      <c r="D3038" s="18">
        <v>45739.0</v>
      </c>
      <c r="E3038" s="17" t="s">
        <v>684</v>
      </c>
      <c r="F3038" s="20">
        <v>19.99</v>
      </c>
      <c r="G3038" s="17" t="s">
        <v>675</v>
      </c>
    </row>
    <row r="3039" ht="15.75" customHeight="1">
      <c r="A3039" s="15" t="s">
        <v>3710</v>
      </c>
      <c r="B3039" s="15" t="s">
        <v>83</v>
      </c>
      <c r="C3039" s="16">
        <v>45709.0</v>
      </c>
      <c r="D3039" s="16">
        <v>45739.0</v>
      </c>
      <c r="E3039" s="15" t="s">
        <v>684</v>
      </c>
      <c r="F3039" s="19">
        <v>19.99</v>
      </c>
      <c r="G3039" s="15" t="s">
        <v>675</v>
      </c>
    </row>
    <row r="3040" ht="15.75" customHeight="1">
      <c r="A3040" s="17" t="s">
        <v>3711</v>
      </c>
      <c r="B3040" s="17" t="s">
        <v>350</v>
      </c>
      <c r="C3040" s="18">
        <v>45710.0</v>
      </c>
      <c r="D3040" s="18">
        <v>45740.0</v>
      </c>
      <c r="E3040" s="17" t="s">
        <v>684</v>
      </c>
      <c r="F3040" s="20">
        <v>19.99</v>
      </c>
      <c r="G3040" s="17" t="s">
        <v>675</v>
      </c>
    </row>
    <row r="3041" ht="15.75" customHeight="1">
      <c r="A3041" s="15" t="s">
        <v>3712</v>
      </c>
      <c r="B3041" s="15" t="s">
        <v>84</v>
      </c>
      <c r="C3041" s="16">
        <v>45710.0</v>
      </c>
      <c r="D3041" s="16">
        <v>45740.0</v>
      </c>
      <c r="E3041" s="15" t="s">
        <v>684</v>
      </c>
      <c r="F3041" s="19">
        <v>19.99</v>
      </c>
      <c r="G3041" s="15" t="s">
        <v>675</v>
      </c>
    </row>
    <row r="3042" ht="15.75" customHeight="1">
      <c r="A3042" s="17" t="s">
        <v>3713</v>
      </c>
      <c r="B3042" s="17" t="s">
        <v>392</v>
      </c>
      <c r="C3042" s="18">
        <v>45710.0</v>
      </c>
      <c r="D3042" s="18">
        <v>45740.0</v>
      </c>
      <c r="E3042" s="17" t="s">
        <v>684</v>
      </c>
      <c r="F3042" s="20">
        <v>19.99</v>
      </c>
      <c r="G3042" s="17" t="s">
        <v>675</v>
      </c>
    </row>
    <row r="3043" ht="15.75" customHeight="1">
      <c r="A3043" s="15" t="s">
        <v>3714</v>
      </c>
      <c r="B3043" s="15" t="s">
        <v>495</v>
      </c>
      <c r="C3043" s="16">
        <v>45710.0</v>
      </c>
      <c r="D3043" s="16">
        <v>45740.0</v>
      </c>
      <c r="E3043" s="15" t="s">
        <v>684</v>
      </c>
      <c r="F3043" s="19">
        <v>19.99</v>
      </c>
      <c r="G3043" s="15" t="s">
        <v>675</v>
      </c>
    </row>
    <row r="3044" ht="15.75" customHeight="1">
      <c r="A3044" s="17" t="s">
        <v>3715</v>
      </c>
      <c r="B3044" s="17" t="s">
        <v>139</v>
      </c>
      <c r="C3044" s="18">
        <v>45710.0</v>
      </c>
      <c r="D3044" s="18">
        <v>45740.0</v>
      </c>
      <c r="E3044" s="17" t="s">
        <v>684</v>
      </c>
      <c r="F3044" s="20">
        <v>19.99</v>
      </c>
      <c r="G3044" s="17" t="s">
        <v>675</v>
      </c>
    </row>
    <row r="3045" ht="15.75" customHeight="1">
      <c r="A3045" s="15" t="s">
        <v>3716</v>
      </c>
      <c r="B3045" s="15" t="s">
        <v>496</v>
      </c>
      <c r="C3045" s="16">
        <v>45710.0</v>
      </c>
      <c r="D3045" s="16">
        <v>45740.0</v>
      </c>
      <c r="E3045" s="15" t="s">
        <v>684</v>
      </c>
      <c r="F3045" s="19">
        <v>19.99</v>
      </c>
      <c r="G3045" s="15" t="s">
        <v>675</v>
      </c>
    </row>
    <row r="3046" ht="15.75" customHeight="1">
      <c r="A3046" s="17" t="s">
        <v>3717</v>
      </c>
      <c r="B3046" s="17" t="s">
        <v>443</v>
      </c>
      <c r="C3046" s="18">
        <v>45710.0</v>
      </c>
      <c r="D3046" s="18">
        <v>45740.0</v>
      </c>
      <c r="E3046" s="17" t="s">
        <v>684</v>
      </c>
      <c r="F3046" s="20">
        <v>19.99</v>
      </c>
      <c r="G3046" s="17" t="s">
        <v>675</v>
      </c>
    </row>
    <row r="3047" ht="15.75" customHeight="1">
      <c r="A3047" s="15" t="s">
        <v>3718</v>
      </c>
      <c r="B3047" s="15" t="s">
        <v>590</v>
      </c>
      <c r="C3047" s="16">
        <v>45710.0</v>
      </c>
      <c r="D3047" s="16">
        <v>45740.0</v>
      </c>
      <c r="E3047" s="15" t="s">
        <v>684</v>
      </c>
      <c r="F3047" s="19">
        <v>19.99</v>
      </c>
      <c r="G3047" s="15" t="s">
        <v>675</v>
      </c>
    </row>
    <row r="3048" ht="15.75" customHeight="1">
      <c r="A3048" s="17" t="s">
        <v>3719</v>
      </c>
      <c r="B3048" s="17" t="s">
        <v>314</v>
      </c>
      <c r="C3048" s="18">
        <v>45710.0</v>
      </c>
      <c r="D3048" s="18">
        <v>45740.0</v>
      </c>
      <c r="E3048" s="17" t="s">
        <v>684</v>
      </c>
      <c r="F3048" s="20">
        <v>19.99</v>
      </c>
      <c r="G3048" s="17" t="s">
        <v>675</v>
      </c>
    </row>
    <row r="3049" ht="15.75" customHeight="1">
      <c r="A3049" s="15" t="s">
        <v>3720</v>
      </c>
      <c r="B3049" s="15" t="s">
        <v>497</v>
      </c>
      <c r="C3049" s="16">
        <v>45710.0</v>
      </c>
      <c r="D3049" s="16">
        <v>45740.0</v>
      </c>
      <c r="E3049" s="15" t="s">
        <v>684</v>
      </c>
      <c r="F3049" s="19">
        <v>19.99</v>
      </c>
      <c r="G3049" s="15" t="s">
        <v>675</v>
      </c>
    </row>
    <row r="3050" ht="15.75" customHeight="1">
      <c r="A3050" s="17" t="s">
        <v>3721</v>
      </c>
      <c r="B3050" s="17" t="s">
        <v>351</v>
      </c>
      <c r="C3050" s="18">
        <v>45710.0</v>
      </c>
      <c r="D3050" s="18">
        <v>45740.0</v>
      </c>
      <c r="E3050" s="17" t="s">
        <v>684</v>
      </c>
      <c r="F3050" s="20">
        <v>19.99</v>
      </c>
      <c r="G3050" s="17" t="s">
        <v>675</v>
      </c>
    </row>
    <row r="3051" ht="15.75" customHeight="1">
      <c r="A3051" s="15" t="s">
        <v>3722</v>
      </c>
      <c r="B3051" s="15" t="s">
        <v>103</v>
      </c>
      <c r="C3051" s="16">
        <v>45710.0</v>
      </c>
      <c r="D3051" s="16">
        <v>45740.0</v>
      </c>
      <c r="E3051" s="15" t="s">
        <v>684</v>
      </c>
      <c r="F3051" s="19">
        <v>19.99</v>
      </c>
      <c r="G3051" s="15" t="s">
        <v>675</v>
      </c>
    </row>
    <row r="3052" ht="15.75" customHeight="1">
      <c r="A3052" s="17" t="s">
        <v>3723</v>
      </c>
      <c r="B3052" s="17" t="s">
        <v>446</v>
      </c>
      <c r="C3052" s="18">
        <v>45710.0</v>
      </c>
      <c r="D3052" s="18">
        <v>45740.0</v>
      </c>
      <c r="E3052" s="17" t="s">
        <v>684</v>
      </c>
      <c r="F3052" s="20">
        <v>19.99</v>
      </c>
      <c r="G3052" s="17" t="s">
        <v>675</v>
      </c>
    </row>
    <row r="3053" ht="15.75" customHeight="1">
      <c r="A3053" s="15" t="s">
        <v>3724</v>
      </c>
      <c r="B3053" s="15" t="s">
        <v>603</v>
      </c>
      <c r="C3053" s="16">
        <v>45710.0</v>
      </c>
      <c r="D3053" s="16">
        <v>45717.0</v>
      </c>
      <c r="E3053" s="15" t="s">
        <v>674</v>
      </c>
      <c r="F3053" s="19">
        <v>0.0</v>
      </c>
      <c r="G3053" s="15" t="s">
        <v>675</v>
      </c>
    </row>
    <row r="3054" ht="15.75" customHeight="1">
      <c r="A3054" s="17" t="s">
        <v>3725</v>
      </c>
      <c r="B3054" s="17" t="s">
        <v>140</v>
      </c>
      <c r="C3054" s="18">
        <v>45710.0</v>
      </c>
      <c r="D3054" s="18">
        <v>45740.0</v>
      </c>
      <c r="E3054" s="17" t="s">
        <v>684</v>
      </c>
      <c r="F3054" s="20">
        <v>19.99</v>
      </c>
      <c r="G3054" s="17" t="s">
        <v>675</v>
      </c>
    </row>
    <row r="3055" ht="15.75" customHeight="1">
      <c r="A3055" s="15" t="s">
        <v>3726</v>
      </c>
      <c r="B3055" s="15" t="s">
        <v>171</v>
      </c>
      <c r="C3055" s="16">
        <v>45710.0</v>
      </c>
      <c r="D3055" s="16">
        <v>45740.0</v>
      </c>
      <c r="E3055" s="15" t="s">
        <v>684</v>
      </c>
      <c r="F3055" s="19">
        <v>19.99</v>
      </c>
      <c r="G3055" s="15" t="s">
        <v>675</v>
      </c>
    </row>
    <row r="3056" ht="15.75" customHeight="1">
      <c r="A3056" s="17" t="s">
        <v>3727</v>
      </c>
      <c r="B3056" s="17" t="s">
        <v>230</v>
      </c>
      <c r="C3056" s="18">
        <v>45710.0</v>
      </c>
      <c r="D3056" s="18">
        <v>45740.0</v>
      </c>
      <c r="E3056" s="17" t="s">
        <v>684</v>
      </c>
      <c r="F3056" s="20">
        <v>19.99</v>
      </c>
      <c r="G3056" s="17" t="s">
        <v>675</v>
      </c>
    </row>
    <row r="3057" ht="15.75" customHeight="1">
      <c r="A3057" s="15" t="s">
        <v>3728</v>
      </c>
      <c r="B3057" s="15" t="s">
        <v>353</v>
      </c>
      <c r="C3057" s="16">
        <v>45711.0</v>
      </c>
      <c r="D3057" s="16">
        <v>45741.0</v>
      </c>
      <c r="E3057" s="15" t="s">
        <v>684</v>
      </c>
      <c r="F3057" s="19">
        <v>19.99</v>
      </c>
      <c r="G3057" s="15" t="s">
        <v>675</v>
      </c>
    </row>
    <row r="3058" ht="15.75" customHeight="1">
      <c r="A3058" s="17" t="s">
        <v>3729</v>
      </c>
      <c r="B3058" s="17" t="s">
        <v>315</v>
      </c>
      <c r="C3058" s="18">
        <v>45711.0</v>
      </c>
      <c r="D3058" s="18">
        <v>45741.0</v>
      </c>
      <c r="E3058" s="17" t="s">
        <v>684</v>
      </c>
      <c r="F3058" s="20">
        <v>19.99</v>
      </c>
      <c r="G3058" s="17" t="s">
        <v>675</v>
      </c>
    </row>
    <row r="3059" ht="15.75" customHeight="1">
      <c r="A3059" s="15" t="s">
        <v>3730</v>
      </c>
      <c r="B3059" s="15" t="s">
        <v>591</v>
      </c>
      <c r="C3059" s="16">
        <v>45711.0</v>
      </c>
      <c r="D3059" s="16">
        <v>45741.0</v>
      </c>
      <c r="E3059" s="15" t="s">
        <v>684</v>
      </c>
      <c r="F3059" s="19">
        <v>19.99</v>
      </c>
      <c r="G3059" s="15" t="s">
        <v>675</v>
      </c>
    </row>
    <row r="3060" ht="15.75" customHeight="1">
      <c r="A3060" s="17" t="s">
        <v>3731</v>
      </c>
      <c r="B3060" s="17" t="s">
        <v>396</v>
      </c>
      <c r="C3060" s="18">
        <v>45711.0</v>
      </c>
      <c r="D3060" s="18">
        <v>45741.0</v>
      </c>
      <c r="E3060" s="17" t="s">
        <v>684</v>
      </c>
      <c r="F3060" s="20">
        <v>19.99</v>
      </c>
      <c r="G3060" s="17" t="s">
        <v>675</v>
      </c>
    </row>
    <row r="3061" ht="15.75" customHeight="1">
      <c r="A3061" s="15" t="s">
        <v>3732</v>
      </c>
      <c r="B3061" s="15" t="s">
        <v>592</v>
      </c>
      <c r="C3061" s="16">
        <v>45711.0</v>
      </c>
      <c r="D3061" s="16">
        <v>45741.0</v>
      </c>
      <c r="E3061" s="15" t="s">
        <v>684</v>
      </c>
      <c r="F3061" s="19">
        <v>19.99</v>
      </c>
      <c r="G3061" s="15" t="s">
        <v>675</v>
      </c>
    </row>
    <row r="3062" ht="15.75" customHeight="1">
      <c r="A3062" s="17" t="s">
        <v>3733</v>
      </c>
      <c r="B3062" s="17" t="s">
        <v>172</v>
      </c>
      <c r="C3062" s="18">
        <v>45711.0</v>
      </c>
      <c r="D3062" s="18">
        <v>45741.0</v>
      </c>
      <c r="E3062" s="17" t="s">
        <v>684</v>
      </c>
      <c r="F3062" s="20">
        <v>19.99</v>
      </c>
      <c r="G3062" s="17" t="s">
        <v>675</v>
      </c>
    </row>
    <row r="3063" ht="15.75" customHeight="1">
      <c r="A3063" s="15" t="s">
        <v>3734</v>
      </c>
      <c r="B3063" s="15" t="s">
        <v>498</v>
      </c>
      <c r="C3063" s="16">
        <v>45711.0</v>
      </c>
      <c r="D3063" s="16">
        <v>45741.0</v>
      </c>
      <c r="E3063" s="15" t="s">
        <v>684</v>
      </c>
      <c r="F3063" s="19">
        <v>19.99</v>
      </c>
      <c r="G3063" s="15" t="s">
        <v>675</v>
      </c>
    </row>
    <row r="3064" ht="15.75" customHeight="1">
      <c r="A3064" s="17" t="s">
        <v>3735</v>
      </c>
      <c r="B3064" s="17" t="s">
        <v>593</v>
      </c>
      <c r="C3064" s="18">
        <v>45711.0</v>
      </c>
      <c r="D3064" s="18">
        <v>45741.0</v>
      </c>
      <c r="E3064" s="17" t="s">
        <v>684</v>
      </c>
      <c r="F3064" s="20">
        <v>19.99</v>
      </c>
      <c r="G3064" s="17" t="s">
        <v>675</v>
      </c>
    </row>
    <row r="3065" ht="15.75" customHeight="1">
      <c r="A3065" s="15" t="s">
        <v>3736</v>
      </c>
      <c r="B3065" s="15" t="s">
        <v>449</v>
      </c>
      <c r="C3065" s="16">
        <v>45711.0</v>
      </c>
      <c r="D3065" s="16">
        <v>45741.0</v>
      </c>
      <c r="E3065" s="15" t="s">
        <v>684</v>
      </c>
      <c r="F3065" s="19">
        <v>19.99</v>
      </c>
      <c r="G3065" s="15" t="s">
        <v>675</v>
      </c>
    </row>
    <row r="3066" ht="15.75" customHeight="1">
      <c r="A3066" s="17" t="s">
        <v>3737</v>
      </c>
      <c r="B3066" s="17" t="s">
        <v>316</v>
      </c>
      <c r="C3066" s="18">
        <v>45711.0</v>
      </c>
      <c r="D3066" s="18">
        <v>45741.0</v>
      </c>
      <c r="E3066" s="17" t="s">
        <v>684</v>
      </c>
      <c r="F3066" s="20">
        <v>19.99</v>
      </c>
      <c r="G3066" s="17" t="s">
        <v>675</v>
      </c>
    </row>
    <row r="3067" ht="15.75" customHeight="1">
      <c r="A3067" s="15" t="s">
        <v>3738</v>
      </c>
      <c r="B3067" s="15" t="s">
        <v>539</v>
      </c>
      <c r="C3067" s="16">
        <v>45711.0</v>
      </c>
      <c r="D3067" s="16">
        <v>45741.0</v>
      </c>
      <c r="E3067" s="15" t="s">
        <v>684</v>
      </c>
      <c r="F3067" s="19">
        <v>19.99</v>
      </c>
      <c r="G3067" s="15" t="s">
        <v>675</v>
      </c>
    </row>
    <row r="3068" ht="15.75" customHeight="1">
      <c r="A3068" s="17" t="s">
        <v>3739</v>
      </c>
      <c r="B3068" s="17" t="s">
        <v>210</v>
      </c>
      <c r="C3068" s="18">
        <v>45711.0</v>
      </c>
      <c r="D3068" s="18">
        <v>45741.0</v>
      </c>
      <c r="E3068" s="17" t="s">
        <v>684</v>
      </c>
      <c r="F3068" s="20">
        <v>19.99</v>
      </c>
      <c r="G3068" s="17" t="s">
        <v>675</v>
      </c>
    </row>
    <row r="3069" ht="15.75" customHeight="1">
      <c r="A3069" s="15" t="s">
        <v>3740</v>
      </c>
      <c r="B3069" s="15" t="s">
        <v>499</v>
      </c>
      <c r="C3069" s="16">
        <v>45711.0</v>
      </c>
      <c r="D3069" s="16">
        <v>45741.0</v>
      </c>
      <c r="E3069" s="15" t="s">
        <v>684</v>
      </c>
      <c r="F3069" s="19">
        <v>19.99</v>
      </c>
      <c r="G3069" s="15" t="s">
        <v>675</v>
      </c>
    </row>
    <row r="3070" ht="15.75" customHeight="1">
      <c r="A3070" s="17" t="s">
        <v>3741</v>
      </c>
      <c r="B3070" s="17" t="s">
        <v>317</v>
      </c>
      <c r="C3070" s="18">
        <v>45712.0</v>
      </c>
      <c r="D3070" s="18">
        <v>45742.0</v>
      </c>
      <c r="E3070" s="17" t="s">
        <v>684</v>
      </c>
      <c r="F3070" s="20">
        <v>19.99</v>
      </c>
      <c r="G3070" s="17" t="s">
        <v>675</v>
      </c>
    </row>
    <row r="3071" ht="15.75" customHeight="1">
      <c r="A3071" s="15" t="s">
        <v>3742</v>
      </c>
      <c r="B3071" s="15" t="s">
        <v>397</v>
      </c>
      <c r="C3071" s="16">
        <v>45712.0</v>
      </c>
      <c r="D3071" s="16">
        <v>45742.0</v>
      </c>
      <c r="E3071" s="15" t="s">
        <v>684</v>
      </c>
      <c r="F3071" s="19">
        <v>19.99</v>
      </c>
      <c r="G3071" s="15" t="s">
        <v>675</v>
      </c>
    </row>
    <row r="3072" ht="15.75" customHeight="1">
      <c r="A3072" s="17" t="s">
        <v>3743</v>
      </c>
      <c r="B3072" s="17" t="s">
        <v>500</v>
      </c>
      <c r="C3072" s="18">
        <v>45712.0</v>
      </c>
      <c r="D3072" s="18">
        <v>45742.0</v>
      </c>
      <c r="E3072" s="17" t="s">
        <v>684</v>
      </c>
      <c r="F3072" s="20">
        <v>19.99</v>
      </c>
      <c r="G3072" s="17" t="s">
        <v>675</v>
      </c>
    </row>
    <row r="3073" ht="15.75" customHeight="1">
      <c r="A3073" s="15" t="s">
        <v>3744</v>
      </c>
      <c r="B3073" s="15" t="s">
        <v>594</v>
      </c>
      <c r="C3073" s="16">
        <v>45712.0</v>
      </c>
      <c r="D3073" s="16">
        <v>45742.0</v>
      </c>
      <c r="E3073" s="15" t="s">
        <v>684</v>
      </c>
      <c r="F3073" s="19">
        <v>19.99</v>
      </c>
      <c r="G3073" s="15" t="s">
        <v>675</v>
      </c>
    </row>
    <row r="3074" ht="15.75" customHeight="1">
      <c r="A3074" s="17" t="s">
        <v>3745</v>
      </c>
      <c r="B3074" s="17" t="s">
        <v>104</v>
      </c>
      <c r="C3074" s="18">
        <v>45712.0</v>
      </c>
      <c r="D3074" s="18">
        <v>45742.0</v>
      </c>
      <c r="E3074" s="17" t="s">
        <v>684</v>
      </c>
      <c r="F3074" s="20">
        <v>19.99</v>
      </c>
      <c r="G3074" s="17" t="s">
        <v>675</v>
      </c>
    </row>
    <row r="3075" ht="15.75" customHeight="1">
      <c r="A3075" s="15" t="s">
        <v>3746</v>
      </c>
      <c r="B3075" s="15" t="s">
        <v>604</v>
      </c>
      <c r="C3075" s="16">
        <v>45712.0</v>
      </c>
      <c r="D3075" s="16">
        <v>45719.0</v>
      </c>
      <c r="E3075" s="15" t="s">
        <v>674</v>
      </c>
      <c r="F3075" s="19">
        <v>0.0</v>
      </c>
      <c r="G3075" s="15" t="s">
        <v>675</v>
      </c>
    </row>
    <row r="3076" ht="15.75" customHeight="1">
      <c r="A3076" s="17" t="s">
        <v>3747</v>
      </c>
      <c r="B3076" s="17" t="s">
        <v>211</v>
      </c>
      <c r="C3076" s="18">
        <v>45712.0</v>
      </c>
      <c r="D3076" s="18">
        <v>45742.0</v>
      </c>
      <c r="E3076" s="17" t="s">
        <v>684</v>
      </c>
      <c r="F3076" s="20">
        <v>19.99</v>
      </c>
      <c r="G3076" s="17" t="s">
        <v>675</v>
      </c>
    </row>
    <row r="3077" ht="15.75" customHeight="1">
      <c r="A3077" s="15" t="s">
        <v>3748</v>
      </c>
      <c r="B3077" s="15" t="s">
        <v>595</v>
      </c>
      <c r="C3077" s="16">
        <v>45712.0</v>
      </c>
      <c r="D3077" s="16">
        <v>45742.0</v>
      </c>
      <c r="E3077" s="15" t="s">
        <v>684</v>
      </c>
      <c r="F3077" s="19">
        <v>19.99</v>
      </c>
      <c r="G3077" s="15" t="s">
        <v>675</v>
      </c>
    </row>
    <row r="3078" ht="15.75" customHeight="1">
      <c r="A3078" s="17" t="s">
        <v>3749</v>
      </c>
      <c r="B3078" s="17" t="s">
        <v>354</v>
      </c>
      <c r="C3078" s="18">
        <v>45712.0</v>
      </c>
      <c r="D3078" s="18">
        <v>45742.0</v>
      </c>
      <c r="E3078" s="17" t="s">
        <v>684</v>
      </c>
      <c r="F3078" s="20">
        <v>19.99</v>
      </c>
      <c r="G3078" s="17" t="s">
        <v>675</v>
      </c>
    </row>
    <row r="3079" ht="15.75" customHeight="1">
      <c r="A3079" s="15" t="s">
        <v>3750</v>
      </c>
      <c r="B3079" s="15" t="s">
        <v>605</v>
      </c>
      <c r="C3079" s="16">
        <v>45712.0</v>
      </c>
      <c r="D3079" s="16">
        <v>45719.0</v>
      </c>
      <c r="E3079" s="15" t="s">
        <v>674</v>
      </c>
      <c r="F3079" s="19">
        <v>0.0</v>
      </c>
      <c r="G3079" s="15" t="s">
        <v>675</v>
      </c>
    </row>
    <row r="3080" ht="15.75" customHeight="1">
      <c r="A3080" s="17" t="s">
        <v>3751</v>
      </c>
      <c r="B3080" s="17" t="s">
        <v>540</v>
      </c>
      <c r="C3080" s="18">
        <v>45712.0</v>
      </c>
      <c r="D3080" s="18">
        <v>45742.0</v>
      </c>
      <c r="E3080" s="17" t="s">
        <v>684</v>
      </c>
      <c r="F3080" s="20">
        <v>19.99</v>
      </c>
      <c r="G3080" s="17" t="s">
        <v>675</v>
      </c>
    </row>
    <row r="3081" ht="15.75" customHeight="1">
      <c r="A3081" s="15" t="s">
        <v>3752</v>
      </c>
      <c r="B3081" s="15" t="s">
        <v>266</v>
      </c>
      <c r="C3081" s="16">
        <v>45712.0</v>
      </c>
      <c r="D3081" s="16">
        <v>45742.0</v>
      </c>
      <c r="E3081" s="15" t="s">
        <v>684</v>
      </c>
      <c r="F3081" s="19">
        <v>19.99</v>
      </c>
      <c r="G3081" s="15" t="s">
        <v>675</v>
      </c>
    </row>
    <row r="3082" ht="15.75" customHeight="1">
      <c r="A3082" s="17" t="s">
        <v>3753</v>
      </c>
      <c r="B3082" s="17" t="s">
        <v>267</v>
      </c>
      <c r="C3082" s="18">
        <v>45712.0</v>
      </c>
      <c r="D3082" s="18">
        <v>45742.0</v>
      </c>
      <c r="E3082" s="17" t="s">
        <v>684</v>
      </c>
      <c r="F3082" s="20">
        <v>19.99</v>
      </c>
      <c r="G3082" s="17" t="s">
        <v>675</v>
      </c>
    </row>
    <row r="3083" ht="15.75" customHeight="1">
      <c r="A3083" s="15" t="s">
        <v>3754</v>
      </c>
      <c r="B3083" s="15" t="s">
        <v>606</v>
      </c>
      <c r="C3083" s="16">
        <v>45712.0</v>
      </c>
      <c r="D3083" s="16">
        <v>45719.0</v>
      </c>
      <c r="E3083" s="15" t="s">
        <v>674</v>
      </c>
      <c r="F3083" s="19">
        <v>0.0</v>
      </c>
      <c r="G3083" s="15" t="s">
        <v>675</v>
      </c>
    </row>
    <row r="3084" ht="15.75" customHeight="1">
      <c r="A3084" s="17" t="s">
        <v>3755</v>
      </c>
      <c r="B3084" s="17" t="s">
        <v>398</v>
      </c>
      <c r="C3084" s="18">
        <v>45713.0</v>
      </c>
      <c r="D3084" s="18">
        <v>45743.0</v>
      </c>
      <c r="E3084" s="17" t="s">
        <v>684</v>
      </c>
      <c r="F3084" s="20">
        <v>19.99</v>
      </c>
      <c r="G3084" s="17" t="s">
        <v>675</v>
      </c>
    </row>
    <row r="3085" ht="15.75" customHeight="1">
      <c r="A3085" s="15" t="s">
        <v>3756</v>
      </c>
      <c r="B3085" s="15" t="s">
        <v>268</v>
      </c>
      <c r="C3085" s="16">
        <v>45713.0</v>
      </c>
      <c r="D3085" s="16">
        <v>45743.0</v>
      </c>
      <c r="E3085" s="15" t="s">
        <v>684</v>
      </c>
      <c r="F3085" s="19">
        <v>19.99</v>
      </c>
      <c r="G3085" s="15" t="s">
        <v>675</v>
      </c>
    </row>
    <row r="3086" ht="15.75" customHeight="1">
      <c r="A3086" s="17" t="s">
        <v>3757</v>
      </c>
      <c r="B3086" s="17" t="s">
        <v>501</v>
      </c>
      <c r="C3086" s="18">
        <v>45713.0</v>
      </c>
      <c r="D3086" s="18">
        <v>45743.0</v>
      </c>
      <c r="E3086" s="17" t="s">
        <v>684</v>
      </c>
      <c r="F3086" s="20">
        <v>19.99</v>
      </c>
      <c r="G3086" s="17" t="s">
        <v>675</v>
      </c>
    </row>
    <row r="3087" ht="15.75" customHeight="1">
      <c r="A3087" s="15" t="s">
        <v>3758</v>
      </c>
      <c r="B3087" s="15" t="s">
        <v>607</v>
      </c>
      <c r="C3087" s="16">
        <v>45713.0</v>
      </c>
      <c r="D3087" s="16">
        <v>45720.0</v>
      </c>
      <c r="E3087" s="15" t="s">
        <v>674</v>
      </c>
      <c r="F3087" s="19">
        <v>0.0</v>
      </c>
      <c r="G3087" s="15" t="s">
        <v>675</v>
      </c>
    </row>
    <row r="3088" ht="15.75" customHeight="1">
      <c r="A3088" s="17" t="s">
        <v>3759</v>
      </c>
      <c r="B3088" s="17" t="s">
        <v>502</v>
      </c>
      <c r="C3088" s="18">
        <v>45713.0</v>
      </c>
      <c r="D3088" s="18">
        <v>45743.0</v>
      </c>
      <c r="E3088" s="17" t="s">
        <v>684</v>
      </c>
      <c r="F3088" s="20">
        <v>19.99</v>
      </c>
      <c r="G3088" s="17" t="s">
        <v>675</v>
      </c>
    </row>
    <row r="3089" ht="15.75" customHeight="1">
      <c r="A3089" s="15" t="s">
        <v>3760</v>
      </c>
      <c r="B3089" s="15" t="s">
        <v>85</v>
      </c>
      <c r="C3089" s="16">
        <v>45713.0</v>
      </c>
      <c r="D3089" s="16">
        <v>45743.0</v>
      </c>
      <c r="E3089" s="15" t="s">
        <v>684</v>
      </c>
      <c r="F3089" s="19">
        <v>19.99</v>
      </c>
      <c r="G3089" s="15" t="s">
        <v>675</v>
      </c>
    </row>
    <row r="3090" ht="15.75" customHeight="1">
      <c r="A3090" s="17" t="s">
        <v>3761</v>
      </c>
      <c r="B3090" s="17" t="s">
        <v>541</v>
      </c>
      <c r="C3090" s="18">
        <v>45713.0</v>
      </c>
      <c r="D3090" s="18">
        <v>45743.0</v>
      </c>
      <c r="E3090" s="17" t="s">
        <v>684</v>
      </c>
      <c r="F3090" s="20">
        <v>19.99</v>
      </c>
      <c r="G3090" s="17" t="s">
        <v>675</v>
      </c>
    </row>
    <row r="3091" ht="15.75" customHeight="1">
      <c r="A3091" s="15" t="s">
        <v>3762</v>
      </c>
      <c r="B3091" s="15" t="s">
        <v>608</v>
      </c>
      <c r="C3091" s="16">
        <v>45713.0</v>
      </c>
      <c r="D3091" s="16">
        <v>45720.0</v>
      </c>
      <c r="E3091" s="15" t="s">
        <v>674</v>
      </c>
      <c r="F3091" s="19">
        <v>0.0</v>
      </c>
      <c r="G3091" s="15" t="s">
        <v>675</v>
      </c>
    </row>
    <row r="3092" ht="15.75" customHeight="1">
      <c r="A3092" s="17" t="s">
        <v>3763</v>
      </c>
      <c r="B3092" s="17" t="s">
        <v>399</v>
      </c>
      <c r="C3092" s="18">
        <v>45713.0</v>
      </c>
      <c r="D3092" s="18">
        <v>45743.0</v>
      </c>
      <c r="E3092" s="17" t="s">
        <v>684</v>
      </c>
      <c r="F3092" s="20">
        <v>19.99</v>
      </c>
      <c r="G3092" s="17" t="s">
        <v>675</v>
      </c>
    </row>
    <row r="3093" ht="15.75" customHeight="1">
      <c r="A3093" s="15" t="s">
        <v>3764</v>
      </c>
      <c r="B3093" s="15" t="s">
        <v>504</v>
      </c>
      <c r="C3093" s="16">
        <v>45713.0</v>
      </c>
      <c r="D3093" s="16">
        <v>45743.0</v>
      </c>
      <c r="E3093" s="15" t="s">
        <v>684</v>
      </c>
      <c r="F3093" s="19">
        <v>19.99</v>
      </c>
      <c r="G3093" s="15" t="s">
        <v>675</v>
      </c>
    </row>
    <row r="3094" ht="15.75" customHeight="1">
      <c r="A3094" s="17" t="s">
        <v>3765</v>
      </c>
      <c r="B3094" s="17" t="s">
        <v>596</v>
      </c>
      <c r="C3094" s="18">
        <v>45713.0</v>
      </c>
      <c r="D3094" s="18">
        <v>45743.0</v>
      </c>
      <c r="E3094" s="17" t="s">
        <v>684</v>
      </c>
      <c r="F3094" s="20">
        <v>19.99</v>
      </c>
      <c r="G3094" s="17" t="s">
        <v>675</v>
      </c>
    </row>
    <row r="3095" ht="15.75" customHeight="1">
      <c r="A3095" s="15" t="s">
        <v>3766</v>
      </c>
      <c r="B3095" s="15" t="s">
        <v>400</v>
      </c>
      <c r="C3095" s="16">
        <v>45713.0</v>
      </c>
      <c r="D3095" s="16">
        <v>45743.0</v>
      </c>
      <c r="E3095" s="15" t="s">
        <v>684</v>
      </c>
      <c r="F3095" s="19">
        <v>19.99</v>
      </c>
      <c r="G3095" s="15" t="s">
        <v>675</v>
      </c>
    </row>
    <row r="3096" ht="15.75" customHeight="1">
      <c r="A3096" s="17" t="s">
        <v>3767</v>
      </c>
      <c r="B3096" s="17" t="s">
        <v>173</v>
      </c>
      <c r="C3096" s="18">
        <v>45713.0</v>
      </c>
      <c r="D3096" s="18">
        <v>45743.0</v>
      </c>
      <c r="E3096" s="17" t="s">
        <v>684</v>
      </c>
      <c r="F3096" s="20">
        <v>19.99</v>
      </c>
      <c r="G3096" s="17" t="s">
        <v>675</v>
      </c>
    </row>
    <row r="3097" ht="15.75" customHeight="1">
      <c r="A3097" s="15" t="s">
        <v>3768</v>
      </c>
      <c r="B3097" s="15" t="s">
        <v>318</v>
      </c>
      <c r="C3097" s="16">
        <v>45713.0</v>
      </c>
      <c r="D3097" s="16">
        <v>45743.0</v>
      </c>
      <c r="E3097" s="15" t="s">
        <v>684</v>
      </c>
      <c r="F3097" s="19">
        <v>19.99</v>
      </c>
      <c r="G3097" s="15" t="s">
        <v>675</v>
      </c>
    </row>
    <row r="3098" ht="15.75" customHeight="1">
      <c r="A3098" s="17" t="s">
        <v>3769</v>
      </c>
      <c r="B3098" s="17" t="s">
        <v>234</v>
      </c>
      <c r="C3098" s="18">
        <v>45713.0</v>
      </c>
      <c r="D3098" s="18">
        <v>45743.0</v>
      </c>
      <c r="E3098" s="17" t="s">
        <v>684</v>
      </c>
      <c r="F3098" s="20">
        <v>19.99</v>
      </c>
      <c r="G3098" s="17" t="s">
        <v>675</v>
      </c>
    </row>
    <row r="3099" ht="15.75" customHeight="1">
      <c r="A3099" s="15" t="s">
        <v>3770</v>
      </c>
      <c r="B3099" s="15" t="s">
        <v>174</v>
      </c>
      <c r="C3099" s="16">
        <v>45713.0</v>
      </c>
      <c r="D3099" s="16">
        <v>45743.0</v>
      </c>
      <c r="E3099" s="15" t="s">
        <v>684</v>
      </c>
      <c r="F3099" s="19">
        <v>19.99</v>
      </c>
      <c r="G3099" s="15" t="s">
        <v>675</v>
      </c>
    </row>
    <row r="3100" ht="15.75" customHeight="1">
      <c r="A3100" s="17" t="s">
        <v>3771</v>
      </c>
      <c r="B3100" s="17" t="s">
        <v>597</v>
      </c>
      <c r="C3100" s="18">
        <v>45713.0</v>
      </c>
      <c r="D3100" s="18">
        <v>45743.0</v>
      </c>
      <c r="E3100" s="17" t="s">
        <v>684</v>
      </c>
      <c r="F3100" s="20">
        <v>19.99</v>
      </c>
      <c r="G3100" s="17" t="s">
        <v>675</v>
      </c>
    </row>
    <row r="3101" ht="15.75" customHeight="1">
      <c r="A3101" s="15" t="s">
        <v>3772</v>
      </c>
      <c r="B3101" s="15" t="s">
        <v>401</v>
      </c>
      <c r="C3101" s="16">
        <v>45714.0</v>
      </c>
      <c r="D3101" s="16">
        <v>45744.0</v>
      </c>
      <c r="E3101" s="15" t="s">
        <v>684</v>
      </c>
      <c r="F3101" s="19">
        <v>19.99</v>
      </c>
      <c r="G3101" s="15" t="s">
        <v>675</v>
      </c>
    </row>
    <row r="3102" ht="15.75" customHeight="1">
      <c r="A3102" s="17" t="s">
        <v>3773</v>
      </c>
      <c r="B3102" s="17" t="s">
        <v>235</v>
      </c>
      <c r="C3102" s="18">
        <v>45714.0</v>
      </c>
      <c r="D3102" s="18">
        <v>45744.0</v>
      </c>
      <c r="E3102" s="17" t="s">
        <v>684</v>
      </c>
      <c r="F3102" s="20">
        <v>19.99</v>
      </c>
      <c r="G3102" s="17" t="s">
        <v>675</v>
      </c>
    </row>
    <row r="3103" ht="15.75" customHeight="1">
      <c r="A3103" s="15" t="s">
        <v>3774</v>
      </c>
      <c r="B3103" s="15" t="s">
        <v>542</v>
      </c>
      <c r="C3103" s="16">
        <v>45714.0</v>
      </c>
      <c r="D3103" s="16">
        <v>45744.0</v>
      </c>
      <c r="E3103" s="15" t="s">
        <v>684</v>
      </c>
      <c r="F3103" s="19">
        <v>19.99</v>
      </c>
      <c r="G3103" s="15" t="s">
        <v>675</v>
      </c>
    </row>
    <row r="3104" ht="15.75" customHeight="1">
      <c r="A3104" s="17" t="s">
        <v>3775</v>
      </c>
      <c r="B3104" s="17" t="s">
        <v>450</v>
      </c>
      <c r="C3104" s="18">
        <v>45714.0</v>
      </c>
      <c r="D3104" s="18">
        <v>45744.0</v>
      </c>
      <c r="E3104" s="17" t="s">
        <v>684</v>
      </c>
      <c r="F3104" s="20">
        <v>19.99</v>
      </c>
      <c r="G3104" s="17" t="s">
        <v>675</v>
      </c>
    </row>
    <row r="3105" ht="15.75" customHeight="1">
      <c r="A3105" s="15" t="s">
        <v>3776</v>
      </c>
      <c r="B3105" s="15" t="s">
        <v>175</v>
      </c>
      <c r="C3105" s="16">
        <v>45714.0</v>
      </c>
      <c r="D3105" s="16">
        <v>45744.0</v>
      </c>
      <c r="E3105" s="15" t="s">
        <v>684</v>
      </c>
      <c r="F3105" s="19">
        <v>19.99</v>
      </c>
      <c r="G3105" s="15" t="s">
        <v>675</v>
      </c>
    </row>
    <row r="3106" ht="15.75" customHeight="1">
      <c r="A3106" s="17" t="s">
        <v>3777</v>
      </c>
      <c r="B3106" s="17" t="s">
        <v>236</v>
      </c>
      <c r="C3106" s="18">
        <v>45714.0</v>
      </c>
      <c r="D3106" s="18">
        <v>45744.0</v>
      </c>
      <c r="E3106" s="17" t="s">
        <v>684</v>
      </c>
      <c r="F3106" s="20">
        <v>19.99</v>
      </c>
      <c r="G3106" s="17" t="s">
        <v>675</v>
      </c>
    </row>
    <row r="3107" ht="15.75" customHeight="1">
      <c r="A3107" s="15" t="s">
        <v>3778</v>
      </c>
      <c r="B3107" s="15" t="s">
        <v>543</v>
      </c>
      <c r="C3107" s="16">
        <v>45714.0</v>
      </c>
      <c r="D3107" s="16">
        <v>45744.0</v>
      </c>
      <c r="E3107" s="15" t="s">
        <v>684</v>
      </c>
      <c r="F3107" s="19">
        <v>19.99</v>
      </c>
      <c r="G3107" s="15" t="s">
        <v>675</v>
      </c>
    </row>
    <row r="3108" ht="15.75" customHeight="1">
      <c r="A3108" s="17" t="s">
        <v>3779</v>
      </c>
      <c r="B3108" s="17" t="s">
        <v>237</v>
      </c>
      <c r="C3108" s="18">
        <v>45714.0</v>
      </c>
      <c r="D3108" s="18">
        <v>45744.0</v>
      </c>
      <c r="E3108" s="17" t="s">
        <v>684</v>
      </c>
      <c r="F3108" s="20">
        <v>19.99</v>
      </c>
      <c r="G3108" s="17" t="s">
        <v>675</v>
      </c>
    </row>
    <row r="3109" ht="15.75" customHeight="1">
      <c r="A3109" s="15" t="s">
        <v>3780</v>
      </c>
      <c r="B3109" s="15" t="s">
        <v>269</v>
      </c>
      <c r="C3109" s="16">
        <v>45714.0</v>
      </c>
      <c r="D3109" s="16">
        <v>45744.0</v>
      </c>
      <c r="E3109" s="15" t="s">
        <v>684</v>
      </c>
      <c r="F3109" s="19">
        <v>19.99</v>
      </c>
      <c r="G3109" s="15" t="s">
        <v>675</v>
      </c>
    </row>
    <row r="3110" ht="15.75" customHeight="1">
      <c r="A3110" s="17" t="s">
        <v>3781</v>
      </c>
      <c r="B3110" s="17" t="s">
        <v>319</v>
      </c>
      <c r="C3110" s="18">
        <v>45714.0</v>
      </c>
      <c r="D3110" s="18">
        <v>45744.0</v>
      </c>
      <c r="E3110" s="17" t="s">
        <v>684</v>
      </c>
      <c r="F3110" s="20">
        <v>19.99</v>
      </c>
      <c r="G3110" s="17" t="s">
        <v>675</v>
      </c>
    </row>
    <row r="3111" ht="15.75" customHeight="1">
      <c r="A3111" s="15" t="s">
        <v>3782</v>
      </c>
      <c r="B3111" s="15" t="s">
        <v>451</v>
      </c>
      <c r="C3111" s="16">
        <v>45714.0</v>
      </c>
      <c r="D3111" s="16">
        <v>45744.0</v>
      </c>
      <c r="E3111" s="15" t="s">
        <v>684</v>
      </c>
      <c r="F3111" s="19">
        <v>19.99</v>
      </c>
      <c r="G3111" s="15" t="s">
        <v>675</v>
      </c>
    </row>
    <row r="3112" ht="15.75" customHeight="1">
      <c r="A3112" s="17" t="s">
        <v>3783</v>
      </c>
      <c r="B3112" s="17" t="s">
        <v>402</v>
      </c>
      <c r="C3112" s="18">
        <v>45714.0</v>
      </c>
      <c r="D3112" s="18">
        <v>45744.0</v>
      </c>
      <c r="E3112" s="17" t="s">
        <v>684</v>
      </c>
      <c r="F3112" s="20">
        <v>19.99</v>
      </c>
      <c r="G3112" s="17" t="s">
        <v>675</v>
      </c>
    </row>
    <row r="3113" ht="15.75" customHeight="1">
      <c r="A3113" s="15" t="s">
        <v>3784</v>
      </c>
      <c r="B3113" s="15" t="s">
        <v>143</v>
      </c>
      <c r="C3113" s="16">
        <v>45714.0</v>
      </c>
      <c r="D3113" s="16">
        <v>45744.0</v>
      </c>
      <c r="E3113" s="15" t="s">
        <v>684</v>
      </c>
      <c r="F3113" s="19">
        <v>19.99</v>
      </c>
      <c r="G3113" s="15" t="s">
        <v>675</v>
      </c>
    </row>
    <row r="3114" ht="15.75" customHeight="1">
      <c r="A3114" s="17" t="s">
        <v>3785</v>
      </c>
      <c r="B3114" s="17" t="s">
        <v>609</v>
      </c>
      <c r="C3114" s="18">
        <v>45714.0</v>
      </c>
      <c r="D3114" s="18">
        <v>45721.0</v>
      </c>
      <c r="E3114" s="17" t="s">
        <v>674</v>
      </c>
      <c r="F3114" s="20">
        <v>0.0</v>
      </c>
      <c r="G3114" s="17" t="s">
        <v>675</v>
      </c>
    </row>
    <row r="3115" ht="15.75" customHeight="1">
      <c r="A3115" s="15" t="s">
        <v>3786</v>
      </c>
      <c r="B3115" s="15" t="s">
        <v>505</v>
      </c>
      <c r="C3115" s="16">
        <v>45714.0</v>
      </c>
      <c r="D3115" s="16">
        <v>45744.0</v>
      </c>
      <c r="E3115" s="15" t="s">
        <v>684</v>
      </c>
      <c r="F3115" s="19">
        <v>19.99</v>
      </c>
      <c r="G3115" s="15" t="s">
        <v>675</v>
      </c>
    </row>
    <row r="3116" ht="15.75" customHeight="1">
      <c r="A3116" s="17" t="s">
        <v>3787</v>
      </c>
      <c r="B3116" s="17" t="s">
        <v>610</v>
      </c>
      <c r="C3116" s="18">
        <v>45714.0</v>
      </c>
      <c r="D3116" s="18">
        <v>45721.0</v>
      </c>
      <c r="E3116" s="17" t="s">
        <v>674</v>
      </c>
      <c r="F3116" s="20">
        <v>0.0</v>
      </c>
      <c r="G3116" s="17" t="s">
        <v>675</v>
      </c>
    </row>
    <row r="3117" ht="15.75" customHeight="1">
      <c r="A3117" s="15" t="s">
        <v>3788</v>
      </c>
      <c r="B3117" s="15" t="s">
        <v>176</v>
      </c>
      <c r="C3117" s="16">
        <v>45715.0</v>
      </c>
      <c r="D3117" s="16">
        <v>45745.0</v>
      </c>
      <c r="E3117" s="15" t="s">
        <v>684</v>
      </c>
      <c r="F3117" s="19">
        <v>19.99</v>
      </c>
      <c r="G3117" s="15" t="s">
        <v>675</v>
      </c>
    </row>
    <row r="3118" ht="15.75" customHeight="1">
      <c r="A3118" s="17" t="s">
        <v>3789</v>
      </c>
      <c r="B3118" s="17" t="s">
        <v>177</v>
      </c>
      <c r="C3118" s="18">
        <v>45715.0</v>
      </c>
      <c r="D3118" s="18">
        <v>45745.0</v>
      </c>
      <c r="E3118" s="17" t="s">
        <v>684</v>
      </c>
      <c r="F3118" s="20">
        <v>19.99</v>
      </c>
      <c r="G3118" s="17" t="s">
        <v>675</v>
      </c>
    </row>
    <row r="3119" ht="15.75" customHeight="1">
      <c r="A3119" s="15" t="s">
        <v>3790</v>
      </c>
      <c r="B3119" s="15" t="s">
        <v>611</v>
      </c>
      <c r="C3119" s="16">
        <v>45715.0</v>
      </c>
      <c r="D3119" s="16">
        <v>45722.0</v>
      </c>
      <c r="E3119" s="15" t="s">
        <v>674</v>
      </c>
      <c r="F3119" s="19">
        <v>0.0</v>
      </c>
      <c r="G3119" s="15" t="s">
        <v>675</v>
      </c>
    </row>
    <row r="3120" ht="15.75" customHeight="1">
      <c r="A3120" s="17" t="s">
        <v>3791</v>
      </c>
      <c r="B3120" s="17" t="s">
        <v>106</v>
      </c>
      <c r="C3120" s="18">
        <v>45715.0</v>
      </c>
      <c r="D3120" s="18">
        <v>45745.0</v>
      </c>
      <c r="E3120" s="17" t="s">
        <v>684</v>
      </c>
      <c r="F3120" s="20">
        <v>19.99</v>
      </c>
      <c r="G3120" s="17" t="s">
        <v>675</v>
      </c>
    </row>
    <row r="3121" ht="15.75" customHeight="1">
      <c r="A3121" s="15" t="s">
        <v>3792</v>
      </c>
      <c r="B3121" s="15" t="s">
        <v>612</v>
      </c>
      <c r="C3121" s="16">
        <v>45715.0</v>
      </c>
      <c r="D3121" s="16">
        <v>45722.0</v>
      </c>
      <c r="E3121" s="15" t="s">
        <v>674</v>
      </c>
      <c r="F3121" s="19">
        <v>0.0</v>
      </c>
      <c r="G3121" s="15" t="s">
        <v>675</v>
      </c>
    </row>
    <row r="3122" ht="15.75" customHeight="1">
      <c r="A3122" s="17" t="s">
        <v>3793</v>
      </c>
      <c r="B3122" s="17" t="s">
        <v>452</v>
      </c>
      <c r="C3122" s="18">
        <v>45715.0</v>
      </c>
      <c r="D3122" s="18">
        <v>45745.0</v>
      </c>
      <c r="E3122" s="17" t="s">
        <v>684</v>
      </c>
      <c r="F3122" s="20">
        <v>19.99</v>
      </c>
      <c r="G3122" s="17" t="s">
        <v>675</v>
      </c>
    </row>
    <row r="3123" ht="15.75" customHeight="1">
      <c r="A3123" s="15" t="s">
        <v>3794</v>
      </c>
      <c r="B3123" s="15" t="s">
        <v>506</v>
      </c>
      <c r="C3123" s="16">
        <v>45715.0</v>
      </c>
      <c r="D3123" s="16">
        <v>45745.0</v>
      </c>
      <c r="E3123" s="15" t="s">
        <v>684</v>
      </c>
      <c r="F3123" s="19">
        <v>19.99</v>
      </c>
      <c r="G3123" s="15" t="s">
        <v>675</v>
      </c>
    </row>
    <row r="3124" ht="15.75" customHeight="1">
      <c r="A3124" s="17" t="s">
        <v>3795</v>
      </c>
      <c r="B3124" s="17" t="s">
        <v>272</v>
      </c>
      <c r="C3124" s="18">
        <v>45715.0</v>
      </c>
      <c r="D3124" s="18">
        <v>45745.0</v>
      </c>
      <c r="E3124" s="17" t="s">
        <v>684</v>
      </c>
      <c r="F3124" s="20">
        <v>19.99</v>
      </c>
      <c r="G3124" s="17" t="s">
        <v>675</v>
      </c>
    </row>
    <row r="3125" ht="15.75" customHeight="1">
      <c r="A3125" s="15" t="s">
        <v>3796</v>
      </c>
      <c r="B3125" s="15" t="s">
        <v>613</v>
      </c>
      <c r="C3125" s="16">
        <v>45715.0</v>
      </c>
      <c r="D3125" s="16">
        <v>45722.0</v>
      </c>
      <c r="E3125" s="15" t="s">
        <v>674</v>
      </c>
      <c r="F3125" s="19">
        <v>0.0</v>
      </c>
      <c r="G3125" s="15" t="s">
        <v>675</v>
      </c>
    </row>
    <row r="3126" ht="15.75" customHeight="1">
      <c r="A3126" s="17" t="s">
        <v>3797</v>
      </c>
      <c r="B3126" s="17" t="s">
        <v>507</v>
      </c>
      <c r="C3126" s="18">
        <v>45715.0</v>
      </c>
      <c r="D3126" s="18">
        <v>45745.0</v>
      </c>
      <c r="E3126" s="17" t="s">
        <v>684</v>
      </c>
      <c r="F3126" s="20">
        <v>19.99</v>
      </c>
      <c r="G3126" s="17" t="s">
        <v>675</v>
      </c>
    </row>
    <row r="3127" ht="15.75" customHeight="1">
      <c r="A3127" s="15" t="s">
        <v>3798</v>
      </c>
      <c r="B3127" s="15" t="s">
        <v>179</v>
      </c>
      <c r="C3127" s="16">
        <v>45715.0</v>
      </c>
      <c r="D3127" s="16">
        <v>45745.0</v>
      </c>
      <c r="E3127" s="15" t="s">
        <v>684</v>
      </c>
      <c r="F3127" s="19">
        <v>19.99</v>
      </c>
      <c r="G3127" s="15" t="s">
        <v>675</v>
      </c>
    </row>
    <row r="3128" ht="15.75" customHeight="1">
      <c r="A3128" s="17" t="s">
        <v>3799</v>
      </c>
      <c r="B3128" s="17" t="s">
        <v>598</v>
      </c>
      <c r="C3128" s="18">
        <v>45715.0</v>
      </c>
      <c r="D3128" s="18">
        <v>45745.0</v>
      </c>
      <c r="E3128" s="17" t="s">
        <v>684</v>
      </c>
      <c r="F3128" s="20">
        <v>19.99</v>
      </c>
      <c r="G3128" s="17" t="s">
        <v>675</v>
      </c>
    </row>
    <row r="3129" ht="15.75" customHeight="1">
      <c r="A3129" s="15" t="s">
        <v>3800</v>
      </c>
      <c r="B3129" s="15" t="s">
        <v>403</v>
      </c>
      <c r="C3129" s="16">
        <v>45715.0</v>
      </c>
      <c r="D3129" s="16">
        <v>45745.0</v>
      </c>
      <c r="E3129" s="15" t="s">
        <v>684</v>
      </c>
      <c r="F3129" s="19">
        <v>19.99</v>
      </c>
      <c r="G3129" s="15" t="s">
        <v>675</v>
      </c>
    </row>
    <row r="3130" ht="15.75" customHeight="1">
      <c r="A3130" s="17" t="s">
        <v>3801</v>
      </c>
      <c r="B3130" s="17" t="s">
        <v>404</v>
      </c>
      <c r="C3130" s="18">
        <v>45715.0</v>
      </c>
      <c r="D3130" s="18">
        <v>45745.0</v>
      </c>
      <c r="E3130" s="17" t="s">
        <v>684</v>
      </c>
      <c r="F3130" s="20">
        <v>19.99</v>
      </c>
      <c r="G3130" s="17" t="s">
        <v>675</v>
      </c>
    </row>
    <row r="3131" ht="15.75" customHeight="1">
      <c r="A3131" s="15" t="s">
        <v>3802</v>
      </c>
      <c r="B3131" s="15" t="s">
        <v>614</v>
      </c>
      <c r="C3131" s="16">
        <v>45715.0</v>
      </c>
      <c r="D3131" s="16">
        <v>45722.0</v>
      </c>
      <c r="E3131" s="15" t="s">
        <v>674</v>
      </c>
      <c r="F3131" s="19">
        <v>0.0</v>
      </c>
      <c r="G3131" s="15" t="s">
        <v>675</v>
      </c>
    </row>
    <row r="3132" ht="15.75" customHeight="1">
      <c r="A3132" s="17" t="s">
        <v>3803</v>
      </c>
      <c r="B3132" s="17" t="s">
        <v>599</v>
      </c>
      <c r="C3132" s="18">
        <v>45715.0</v>
      </c>
      <c r="D3132" s="18">
        <v>45745.0</v>
      </c>
      <c r="E3132" s="17" t="s">
        <v>684</v>
      </c>
      <c r="F3132" s="20">
        <v>19.99</v>
      </c>
      <c r="G3132" s="17" t="s">
        <v>675</v>
      </c>
    </row>
    <row r="3133" ht="15.75" customHeight="1">
      <c r="A3133" s="15" t="s">
        <v>3804</v>
      </c>
      <c r="B3133" s="15" t="s">
        <v>454</v>
      </c>
      <c r="C3133" s="16">
        <v>45715.0</v>
      </c>
      <c r="D3133" s="16">
        <v>45745.0</v>
      </c>
      <c r="E3133" s="15" t="s">
        <v>684</v>
      </c>
      <c r="F3133" s="19">
        <v>19.99</v>
      </c>
      <c r="G3133" s="15" t="s">
        <v>675</v>
      </c>
    </row>
    <row r="3134" ht="15.75" customHeight="1">
      <c r="A3134" s="17" t="s">
        <v>3805</v>
      </c>
      <c r="B3134" s="17" t="s">
        <v>600</v>
      </c>
      <c r="C3134" s="18">
        <v>45716.0</v>
      </c>
      <c r="D3134" s="18">
        <v>45746.0</v>
      </c>
      <c r="E3134" s="17" t="s">
        <v>684</v>
      </c>
      <c r="F3134" s="20">
        <v>19.99</v>
      </c>
      <c r="G3134" s="17" t="s">
        <v>675</v>
      </c>
    </row>
    <row r="3135" ht="15.75" customHeight="1">
      <c r="A3135" s="15" t="s">
        <v>3806</v>
      </c>
      <c r="B3135" s="15" t="s">
        <v>455</v>
      </c>
      <c r="C3135" s="16">
        <v>45716.0</v>
      </c>
      <c r="D3135" s="16">
        <v>45746.0</v>
      </c>
      <c r="E3135" s="15" t="s">
        <v>684</v>
      </c>
      <c r="F3135" s="19">
        <v>19.99</v>
      </c>
      <c r="G3135" s="15" t="s">
        <v>675</v>
      </c>
    </row>
    <row r="3136" ht="15.75" customHeight="1">
      <c r="A3136" s="17" t="s">
        <v>3807</v>
      </c>
      <c r="B3136" s="17" t="s">
        <v>601</v>
      </c>
      <c r="C3136" s="18">
        <v>45716.0</v>
      </c>
      <c r="D3136" s="18">
        <v>45746.0</v>
      </c>
      <c r="E3136" s="17" t="s">
        <v>684</v>
      </c>
      <c r="F3136" s="20">
        <v>19.99</v>
      </c>
      <c r="G3136" s="17" t="s">
        <v>675</v>
      </c>
    </row>
    <row r="3137" ht="15.75" customHeight="1">
      <c r="A3137" s="15" t="s">
        <v>3808</v>
      </c>
      <c r="B3137" s="15" t="s">
        <v>273</v>
      </c>
      <c r="C3137" s="16">
        <v>45716.0</v>
      </c>
      <c r="D3137" s="16">
        <v>45746.0</v>
      </c>
      <c r="E3137" s="15" t="s">
        <v>684</v>
      </c>
      <c r="F3137" s="19">
        <v>19.99</v>
      </c>
      <c r="G3137" s="15" t="s">
        <v>675</v>
      </c>
    </row>
    <row r="3138" ht="15.75" customHeight="1">
      <c r="A3138" s="17" t="s">
        <v>3809</v>
      </c>
      <c r="B3138" s="17" t="s">
        <v>456</v>
      </c>
      <c r="C3138" s="18">
        <v>45716.0</v>
      </c>
      <c r="D3138" s="18">
        <v>45746.0</v>
      </c>
      <c r="E3138" s="17" t="s">
        <v>684</v>
      </c>
      <c r="F3138" s="20">
        <v>19.99</v>
      </c>
      <c r="G3138" s="17" t="s">
        <v>675</v>
      </c>
    </row>
    <row r="3139" ht="15.75" customHeight="1">
      <c r="A3139" s="15" t="s">
        <v>3810</v>
      </c>
      <c r="B3139" s="15" t="s">
        <v>108</v>
      </c>
      <c r="C3139" s="16">
        <v>45716.0</v>
      </c>
      <c r="D3139" s="16">
        <v>45746.0</v>
      </c>
      <c r="E3139" s="15" t="s">
        <v>684</v>
      </c>
      <c r="F3139" s="19">
        <v>19.99</v>
      </c>
      <c r="G3139" s="15" t="s">
        <v>675</v>
      </c>
    </row>
    <row r="3140" ht="15.75" customHeight="1">
      <c r="A3140" s="17" t="s">
        <v>3811</v>
      </c>
      <c r="B3140" s="17" t="s">
        <v>544</v>
      </c>
      <c r="C3140" s="18">
        <v>45716.0</v>
      </c>
      <c r="D3140" s="18">
        <v>45746.0</v>
      </c>
      <c r="E3140" s="17" t="s">
        <v>684</v>
      </c>
      <c r="F3140" s="20">
        <v>19.99</v>
      </c>
      <c r="G3140" s="17" t="s">
        <v>675</v>
      </c>
    </row>
    <row r="3141" ht="15.75" customHeight="1">
      <c r="A3141" s="15" t="s">
        <v>3812</v>
      </c>
      <c r="B3141" s="15" t="s">
        <v>144</v>
      </c>
      <c r="C3141" s="16">
        <v>45716.0</v>
      </c>
      <c r="D3141" s="16">
        <v>45746.0</v>
      </c>
      <c r="E3141" s="15" t="s">
        <v>684</v>
      </c>
      <c r="F3141" s="19">
        <v>19.99</v>
      </c>
      <c r="G3141" s="15" t="s">
        <v>675</v>
      </c>
    </row>
    <row r="3142" ht="15.75" customHeight="1">
      <c r="A3142" s="17" t="s">
        <v>3813</v>
      </c>
      <c r="B3142" s="17" t="s">
        <v>180</v>
      </c>
      <c r="C3142" s="18">
        <v>45716.0</v>
      </c>
      <c r="D3142" s="18">
        <v>45746.0</v>
      </c>
      <c r="E3142" s="17" t="s">
        <v>684</v>
      </c>
      <c r="F3142" s="20">
        <v>19.99</v>
      </c>
      <c r="G3142" s="17" t="s">
        <v>675</v>
      </c>
    </row>
    <row r="3143" ht="15.75" customHeight="1">
      <c r="A3143" s="15" t="s">
        <v>3814</v>
      </c>
      <c r="B3143" s="15" t="s">
        <v>359</v>
      </c>
      <c r="C3143" s="16">
        <v>45716.0</v>
      </c>
      <c r="D3143" s="16">
        <v>45746.0</v>
      </c>
      <c r="E3143" s="15" t="s">
        <v>684</v>
      </c>
      <c r="F3143" s="19">
        <v>19.99</v>
      </c>
      <c r="G3143" s="15" t="s">
        <v>675</v>
      </c>
    </row>
    <row r="3144" ht="15.75" customHeight="1">
      <c r="A3144" s="17" t="s">
        <v>3815</v>
      </c>
      <c r="B3144" s="17" t="s">
        <v>406</v>
      </c>
      <c r="C3144" s="18">
        <v>45716.0</v>
      </c>
      <c r="D3144" s="18">
        <v>45746.0</v>
      </c>
      <c r="E3144" s="17" t="s">
        <v>684</v>
      </c>
      <c r="F3144" s="20">
        <v>19.99</v>
      </c>
      <c r="G3144" s="17" t="s">
        <v>675</v>
      </c>
    </row>
    <row r="3145" ht="15.75" customHeight="1">
      <c r="A3145" s="15" t="s">
        <v>3816</v>
      </c>
      <c r="B3145" s="15" t="s">
        <v>407</v>
      </c>
      <c r="C3145" s="16">
        <v>45716.0</v>
      </c>
      <c r="D3145" s="16">
        <v>45746.0</v>
      </c>
      <c r="E3145" s="15" t="s">
        <v>684</v>
      </c>
      <c r="F3145" s="19">
        <v>19.99</v>
      </c>
      <c r="G3145" s="15" t="s">
        <v>675</v>
      </c>
    </row>
    <row r="3146" ht="15.75" customHeight="1">
      <c r="A3146" s="17" t="s">
        <v>3817</v>
      </c>
      <c r="B3146" s="17" t="s">
        <v>457</v>
      </c>
      <c r="C3146" s="18">
        <v>45716.0</v>
      </c>
      <c r="D3146" s="18">
        <v>45746.0</v>
      </c>
      <c r="E3146" s="17" t="s">
        <v>684</v>
      </c>
      <c r="F3146" s="20">
        <v>19.99</v>
      </c>
      <c r="G3146" s="17" t="s">
        <v>675</v>
      </c>
    </row>
    <row r="3147" ht="15.75" customHeight="1">
      <c r="A3147" s="15" t="s">
        <v>3818</v>
      </c>
      <c r="B3147" s="15" t="s">
        <v>212</v>
      </c>
      <c r="C3147" s="16">
        <v>45716.0</v>
      </c>
      <c r="D3147" s="16">
        <v>45746.0</v>
      </c>
      <c r="E3147" s="15" t="s">
        <v>684</v>
      </c>
      <c r="F3147" s="19">
        <v>19.99</v>
      </c>
      <c r="G3147" s="15" t="s">
        <v>675</v>
      </c>
    </row>
    <row r="3148" ht="15.75" customHeight="1">
      <c r="A3148" s="17" t="s">
        <v>3819</v>
      </c>
      <c r="B3148" s="17" t="s">
        <v>109</v>
      </c>
      <c r="C3148" s="18">
        <v>45716.0</v>
      </c>
      <c r="D3148" s="18">
        <v>45746.0</v>
      </c>
      <c r="E3148" s="17" t="s">
        <v>684</v>
      </c>
      <c r="F3148" s="20">
        <v>19.99</v>
      </c>
      <c r="G3148" s="17" t="s">
        <v>675</v>
      </c>
    </row>
    <row r="3149" ht="15.75" customHeight="1">
      <c r="A3149" s="15" t="s">
        <v>3820</v>
      </c>
      <c r="B3149" s="15" t="s">
        <v>110</v>
      </c>
      <c r="C3149" s="16">
        <v>45716.0</v>
      </c>
      <c r="D3149" s="16">
        <v>45746.0</v>
      </c>
      <c r="E3149" s="15" t="s">
        <v>684</v>
      </c>
      <c r="F3149" s="19">
        <v>19.99</v>
      </c>
      <c r="G3149" s="15" t="s">
        <v>675</v>
      </c>
    </row>
    <row r="3150" ht="15.75" customHeight="1">
      <c r="A3150" s="17" t="s">
        <v>3821</v>
      </c>
      <c r="B3150" s="17" t="s">
        <v>602</v>
      </c>
      <c r="C3150" s="18">
        <v>45716.0</v>
      </c>
      <c r="D3150" s="18">
        <v>45746.0</v>
      </c>
      <c r="E3150" s="17" t="s">
        <v>684</v>
      </c>
      <c r="F3150" s="20">
        <v>19.99</v>
      </c>
      <c r="G3150" s="17" t="s">
        <v>675</v>
      </c>
    </row>
    <row r="3151" ht="15.75" customHeight="1">
      <c r="A3151" s="15" t="s">
        <v>3822</v>
      </c>
      <c r="B3151" s="15" t="s">
        <v>111</v>
      </c>
      <c r="C3151" s="16">
        <v>45716.0</v>
      </c>
      <c r="D3151" s="16">
        <v>45746.0</v>
      </c>
      <c r="E3151" s="15" t="s">
        <v>684</v>
      </c>
      <c r="F3151" s="19">
        <v>19.99</v>
      </c>
      <c r="G3151" s="15" t="s">
        <v>675</v>
      </c>
    </row>
    <row r="3152" ht="15.75" customHeight="1">
      <c r="A3152" s="17" t="s">
        <v>3823</v>
      </c>
      <c r="B3152" s="17" t="s">
        <v>181</v>
      </c>
      <c r="C3152" s="18">
        <v>45717.0</v>
      </c>
      <c r="D3152" s="18">
        <v>45747.0</v>
      </c>
      <c r="E3152" s="17" t="s">
        <v>684</v>
      </c>
      <c r="F3152" s="20">
        <v>19.99</v>
      </c>
      <c r="G3152" s="17" t="s">
        <v>675</v>
      </c>
    </row>
    <row r="3153" ht="15.75" customHeight="1">
      <c r="A3153" s="15" t="s">
        <v>3824</v>
      </c>
      <c r="B3153" s="15" t="s">
        <v>238</v>
      </c>
      <c r="C3153" s="16">
        <v>45717.0</v>
      </c>
      <c r="D3153" s="16">
        <v>45747.0</v>
      </c>
      <c r="E3153" s="15" t="s">
        <v>684</v>
      </c>
      <c r="F3153" s="19">
        <v>19.99</v>
      </c>
      <c r="G3153" s="15" t="s">
        <v>675</v>
      </c>
    </row>
    <row r="3154" ht="15.75" customHeight="1">
      <c r="A3154" s="17" t="s">
        <v>3825</v>
      </c>
      <c r="B3154" s="17" t="s">
        <v>545</v>
      </c>
      <c r="C3154" s="18">
        <v>45717.0</v>
      </c>
      <c r="D3154" s="18">
        <v>45747.0</v>
      </c>
      <c r="E3154" s="17" t="s">
        <v>684</v>
      </c>
      <c r="F3154" s="20">
        <v>19.99</v>
      </c>
      <c r="G3154" s="17" t="s">
        <v>675</v>
      </c>
    </row>
    <row r="3155" ht="15.75" customHeight="1">
      <c r="A3155" s="15" t="s">
        <v>3826</v>
      </c>
      <c r="B3155" s="15" t="s">
        <v>460</v>
      </c>
      <c r="C3155" s="16">
        <v>45717.0</v>
      </c>
      <c r="D3155" s="16">
        <v>45747.0</v>
      </c>
      <c r="E3155" s="15" t="s">
        <v>684</v>
      </c>
      <c r="F3155" s="19">
        <v>19.99</v>
      </c>
      <c r="G3155" s="15" t="s">
        <v>675</v>
      </c>
    </row>
    <row r="3156" ht="15.75" customHeight="1">
      <c r="A3156" s="17" t="s">
        <v>3827</v>
      </c>
      <c r="B3156" s="17" t="s">
        <v>546</v>
      </c>
      <c r="C3156" s="18">
        <v>45717.0</v>
      </c>
      <c r="D3156" s="18">
        <v>45747.0</v>
      </c>
      <c r="E3156" s="17" t="s">
        <v>684</v>
      </c>
      <c r="F3156" s="20">
        <v>19.99</v>
      </c>
      <c r="G3156" s="17" t="s">
        <v>675</v>
      </c>
    </row>
    <row r="3157" ht="15.75" customHeight="1">
      <c r="A3157" s="15" t="s">
        <v>3828</v>
      </c>
      <c r="B3157" s="15" t="s">
        <v>323</v>
      </c>
      <c r="C3157" s="16">
        <v>45717.0</v>
      </c>
      <c r="D3157" s="16">
        <v>45747.0</v>
      </c>
      <c r="E3157" s="15" t="s">
        <v>684</v>
      </c>
      <c r="F3157" s="19">
        <v>19.99</v>
      </c>
      <c r="G3157" s="15" t="s">
        <v>675</v>
      </c>
    </row>
    <row r="3158" ht="15.75" customHeight="1">
      <c r="A3158" s="17" t="s">
        <v>3829</v>
      </c>
      <c r="B3158" s="17" t="s">
        <v>113</v>
      </c>
      <c r="C3158" s="18">
        <v>45717.0</v>
      </c>
      <c r="D3158" s="18">
        <v>45747.0</v>
      </c>
      <c r="E3158" s="17" t="s">
        <v>684</v>
      </c>
      <c r="F3158" s="20">
        <v>19.99</v>
      </c>
      <c r="G3158" s="17" t="s">
        <v>675</v>
      </c>
    </row>
    <row r="3159" ht="15.75" customHeight="1">
      <c r="A3159" s="15" t="s">
        <v>3830</v>
      </c>
      <c r="B3159" s="15" t="s">
        <v>603</v>
      </c>
      <c r="C3159" s="16">
        <v>45717.0</v>
      </c>
      <c r="D3159" s="16">
        <v>45747.0</v>
      </c>
      <c r="E3159" s="15" t="s">
        <v>684</v>
      </c>
      <c r="F3159" s="19">
        <v>19.99</v>
      </c>
      <c r="G3159" s="15" t="s">
        <v>675</v>
      </c>
    </row>
    <row r="3160" ht="15.75" customHeight="1">
      <c r="A3160" s="17" t="s">
        <v>3831</v>
      </c>
      <c r="B3160" s="17" t="s">
        <v>324</v>
      </c>
      <c r="C3160" s="18">
        <v>45717.0</v>
      </c>
      <c r="D3160" s="18">
        <v>45747.0</v>
      </c>
      <c r="E3160" s="17" t="s">
        <v>684</v>
      </c>
      <c r="F3160" s="20">
        <v>19.99</v>
      </c>
      <c r="G3160" s="17" t="s">
        <v>675</v>
      </c>
    </row>
    <row r="3161" ht="15.75" customHeight="1">
      <c r="A3161" s="15" t="s">
        <v>3832</v>
      </c>
      <c r="B3161" s="15" t="s">
        <v>274</v>
      </c>
      <c r="C3161" s="16">
        <v>45717.0</v>
      </c>
      <c r="D3161" s="16">
        <v>45747.0</v>
      </c>
      <c r="E3161" s="15" t="s">
        <v>684</v>
      </c>
      <c r="F3161" s="19">
        <v>19.99</v>
      </c>
      <c r="G3161" s="15" t="s">
        <v>675</v>
      </c>
    </row>
    <row r="3162" ht="15.75" customHeight="1">
      <c r="A3162" s="17" t="s">
        <v>3833</v>
      </c>
      <c r="B3162" s="17" t="s">
        <v>239</v>
      </c>
      <c r="C3162" s="18">
        <v>45717.0</v>
      </c>
      <c r="D3162" s="18">
        <v>45747.0</v>
      </c>
      <c r="E3162" s="17" t="s">
        <v>684</v>
      </c>
      <c r="F3162" s="20">
        <v>19.99</v>
      </c>
      <c r="G3162" s="17" t="s">
        <v>675</v>
      </c>
    </row>
    <row r="3163" ht="15.75" customHeight="1">
      <c r="A3163" s="15" t="s">
        <v>3834</v>
      </c>
      <c r="B3163" s="15" t="s">
        <v>615</v>
      </c>
      <c r="C3163" s="16">
        <v>45717.0</v>
      </c>
      <c r="D3163" s="16">
        <v>45724.0</v>
      </c>
      <c r="E3163" s="15" t="s">
        <v>674</v>
      </c>
      <c r="F3163" s="19">
        <v>0.0</v>
      </c>
      <c r="G3163" s="15" t="s">
        <v>675</v>
      </c>
    </row>
    <row r="3164" ht="15.75" customHeight="1">
      <c r="A3164" s="17" t="s">
        <v>3835</v>
      </c>
      <c r="B3164" s="17" t="s">
        <v>547</v>
      </c>
      <c r="C3164" s="18">
        <v>45717.0</v>
      </c>
      <c r="D3164" s="18">
        <v>45747.0</v>
      </c>
      <c r="E3164" s="17" t="s">
        <v>684</v>
      </c>
      <c r="F3164" s="20">
        <v>19.99</v>
      </c>
      <c r="G3164" s="17" t="s">
        <v>675</v>
      </c>
    </row>
    <row r="3165" ht="15.75" customHeight="1">
      <c r="A3165" s="15" t="s">
        <v>3836</v>
      </c>
      <c r="B3165" s="15" t="s">
        <v>213</v>
      </c>
      <c r="C3165" s="16">
        <v>45718.0</v>
      </c>
      <c r="D3165" s="16">
        <v>45748.0</v>
      </c>
      <c r="E3165" s="15" t="s">
        <v>684</v>
      </c>
      <c r="F3165" s="19">
        <v>19.99</v>
      </c>
      <c r="G3165" s="15" t="s">
        <v>3837</v>
      </c>
    </row>
    <row r="3166" ht="15.75" customHeight="1">
      <c r="A3166" s="17" t="s">
        <v>3838</v>
      </c>
      <c r="B3166" s="17" t="s">
        <v>508</v>
      </c>
      <c r="C3166" s="18">
        <v>45718.0</v>
      </c>
      <c r="D3166" s="18">
        <v>45748.0</v>
      </c>
      <c r="E3166" s="17" t="s">
        <v>684</v>
      </c>
      <c r="F3166" s="20">
        <v>19.99</v>
      </c>
      <c r="G3166" s="17" t="s">
        <v>3837</v>
      </c>
    </row>
    <row r="3167" ht="15.75" customHeight="1">
      <c r="A3167" s="15" t="s">
        <v>3839</v>
      </c>
      <c r="B3167" s="15" t="s">
        <v>548</v>
      </c>
      <c r="C3167" s="16">
        <v>45718.0</v>
      </c>
      <c r="D3167" s="16">
        <v>45748.0</v>
      </c>
      <c r="E3167" s="15" t="s">
        <v>684</v>
      </c>
      <c r="F3167" s="19">
        <v>19.99</v>
      </c>
      <c r="G3167" s="15" t="s">
        <v>3837</v>
      </c>
    </row>
    <row r="3168" ht="15.75" customHeight="1">
      <c r="A3168" s="17" t="s">
        <v>3840</v>
      </c>
      <c r="B3168" s="17" t="s">
        <v>510</v>
      </c>
      <c r="C3168" s="18">
        <v>45718.0</v>
      </c>
      <c r="D3168" s="18">
        <v>45748.0</v>
      </c>
      <c r="E3168" s="17" t="s">
        <v>684</v>
      </c>
      <c r="F3168" s="20">
        <v>19.99</v>
      </c>
      <c r="G3168" s="17" t="s">
        <v>3837</v>
      </c>
    </row>
    <row r="3169" ht="15.75" customHeight="1">
      <c r="A3169" s="15" t="s">
        <v>3841</v>
      </c>
      <c r="B3169" s="15" t="s">
        <v>616</v>
      </c>
      <c r="C3169" s="16">
        <v>45718.0</v>
      </c>
      <c r="D3169" s="16">
        <v>45725.0</v>
      </c>
      <c r="E3169" s="15" t="s">
        <v>674</v>
      </c>
      <c r="F3169" s="19">
        <v>0.0</v>
      </c>
      <c r="G3169" s="15" t="s">
        <v>675</v>
      </c>
    </row>
    <row r="3170" ht="15.75" customHeight="1">
      <c r="A3170" s="17" t="s">
        <v>3842</v>
      </c>
      <c r="B3170" s="17" t="s">
        <v>276</v>
      </c>
      <c r="C3170" s="18">
        <v>45718.0</v>
      </c>
      <c r="D3170" s="18">
        <v>45748.0</v>
      </c>
      <c r="E3170" s="17" t="s">
        <v>684</v>
      </c>
      <c r="F3170" s="20">
        <v>19.99</v>
      </c>
      <c r="G3170" s="17" t="s">
        <v>3837</v>
      </c>
    </row>
    <row r="3171" ht="15.75" customHeight="1">
      <c r="A3171" s="15" t="s">
        <v>3843</v>
      </c>
      <c r="B3171" s="15" t="s">
        <v>214</v>
      </c>
      <c r="C3171" s="16">
        <v>45718.0</v>
      </c>
      <c r="D3171" s="16">
        <v>45748.0</v>
      </c>
      <c r="E3171" s="15" t="s">
        <v>684</v>
      </c>
      <c r="F3171" s="19">
        <v>19.99</v>
      </c>
      <c r="G3171" s="15" t="s">
        <v>3837</v>
      </c>
    </row>
    <row r="3172" ht="15.75" customHeight="1">
      <c r="A3172" s="17" t="s">
        <v>3844</v>
      </c>
      <c r="B3172" s="17" t="s">
        <v>277</v>
      </c>
      <c r="C3172" s="18">
        <v>45718.0</v>
      </c>
      <c r="D3172" s="18">
        <v>45748.0</v>
      </c>
      <c r="E3172" s="17" t="s">
        <v>684</v>
      </c>
      <c r="F3172" s="20">
        <v>19.99</v>
      </c>
      <c r="G3172" s="17" t="s">
        <v>3837</v>
      </c>
    </row>
    <row r="3173" ht="15.75" customHeight="1">
      <c r="A3173" s="15" t="s">
        <v>3845</v>
      </c>
      <c r="B3173" s="15" t="s">
        <v>549</v>
      </c>
      <c r="C3173" s="16">
        <v>45718.0</v>
      </c>
      <c r="D3173" s="16">
        <v>45748.0</v>
      </c>
      <c r="E3173" s="15" t="s">
        <v>684</v>
      </c>
      <c r="F3173" s="19">
        <v>19.99</v>
      </c>
      <c r="G3173" s="15" t="s">
        <v>3837</v>
      </c>
    </row>
    <row r="3174" ht="15.75" customHeight="1">
      <c r="A3174" s="17" t="s">
        <v>3846</v>
      </c>
      <c r="B3174" s="17" t="s">
        <v>241</v>
      </c>
      <c r="C3174" s="18">
        <v>45718.0</v>
      </c>
      <c r="D3174" s="18">
        <v>45748.0</v>
      </c>
      <c r="E3174" s="17" t="s">
        <v>684</v>
      </c>
      <c r="F3174" s="20">
        <v>19.99</v>
      </c>
      <c r="G3174" s="17" t="s">
        <v>3837</v>
      </c>
    </row>
    <row r="3175" ht="15.75" customHeight="1">
      <c r="A3175" s="15" t="s">
        <v>3847</v>
      </c>
      <c r="B3175" s="15" t="s">
        <v>617</v>
      </c>
      <c r="C3175" s="16">
        <v>45719.0</v>
      </c>
      <c r="D3175" s="16">
        <v>45726.0</v>
      </c>
      <c r="E3175" s="15" t="s">
        <v>674</v>
      </c>
      <c r="F3175" s="19">
        <v>0.0</v>
      </c>
      <c r="G3175" s="15" t="s">
        <v>675</v>
      </c>
    </row>
    <row r="3176" ht="15.75" customHeight="1">
      <c r="A3176" s="17" t="s">
        <v>3848</v>
      </c>
      <c r="B3176" s="17" t="s">
        <v>146</v>
      </c>
      <c r="C3176" s="18">
        <v>45719.0</v>
      </c>
      <c r="D3176" s="18">
        <v>45749.0</v>
      </c>
      <c r="E3176" s="17" t="s">
        <v>684</v>
      </c>
      <c r="F3176" s="20">
        <v>19.99</v>
      </c>
      <c r="G3176" s="17" t="s">
        <v>3837</v>
      </c>
    </row>
    <row r="3177" ht="15.75" customHeight="1">
      <c r="A3177" s="15" t="s">
        <v>3849</v>
      </c>
      <c r="B3177" s="15" t="s">
        <v>408</v>
      </c>
      <c r="C3177" s="16">
        <v>45719.0</v>
      </c>
      <c r="D3177" s="16">
        <v>45749.0</v>
      </c>
      <c r="E3177" s="15" t="s">
        <v>684</v>
      </c>
      <c r="F3177" s="19">
        <v>19.99</v>
      </c>
      <c r="G3177" s="15" t="s">
        <v>3837</v>
      </c>
    </row>
    <row r="3178" ht="15.75" customHeight="1">
      <c r="A3178" s="17" t="s">
        <v>3850</v>
      </c>
      <c r="B3178" s="17" t="s">
        <v>604</v>
      </c>
      <c r="C3178" s="18">
        <v>45719.0</v>
      </c>
      <c r="D3178" s="18">
        <v>45749.0</v>
      </c>
      <c r="E3178" s="17" t="s">
        <v>684</v>
      </c>
      <c r="F3178" s="20">
        <v>19.99</v>
      </c>
      <c r="G3178" s="17" t="s">
        <v>3837</v>
      </c>
    </row>
    <row r="3179" ht="15.75" customHeight="1">
      <c r="A3179" s="15" t="s">
        <v>3851</v>
      </c>
      <c r="B3179" s="15" t="s">
        <v>56</v>
      </c>
      <c r="C3179" s="16">
        <v>45719.0</v>
      </c>
      <c r="D3179" s="16">
        <v>45749.0</v>
      </c>
      <c r="E3179" s="15" t="s">
        <v>684</v>
      </c>
      <c r="F3179" s="19">
        <v>19.99</v>
      </c>
      <c r="G3179" s="15" t="s">
        <v>3837</v>
      </c>
    </row>
    <row r="3180" ht="15.75" customHeight="1">
      <c r="A3180" s="17" t="s">
        <v>3852</v>
      </c>
      <c r="B3180" s="17" t="s">
        <v>279</v>
      </c>
      <c r="C3180" s="18">
        <v>45719.0</v>
      </c>
      <c r="D3180" s="18">
        <v>45749.0</v>
      </c>
      <c r="E3180" s="17" t="s">
        <v>684</v>
      </c>
      <c r="F3180" s="20">
        <v>19.99</v>
      </c>
      <c r="G3180" s="17" t="s">
        <v>3837</v>
      </c>
    </row>
    <row r="3181" ht="15.75" customHeight="1">
      <c r="A3181" s="15" t="s">
        <v>3853</v>
      </c>
      <c r="B3181" s="15" t="s">
        <v>550</v>
      </c>
      <c r="C3181" s="16">
        <v>45719.0</v>
      </c>
      <c r="D3181" s="16">
        <v>45749.0</v>
      </c>
      <c r="E3181" s="15" t="s">
        <v>684</v>
      </c>
      <c r="F3181" s="19">
        <v>19.99</v>
      </c>
      <c r="G3181" s="15" t="s">
        <v>3837</v>
      </c>
    </row>
    <row r="3182" ht="15.75" customHeight="1">
      <c r="A3182" s="17" t="s">
        <v>3854</v>
      </c>
      <c r="B3182" s="17" t="s">
        <v>605</v>
      </c>
      <c r="C3182" s="18">
        <v>45719.0</v>
      </c>
      <c r="D3182" s="18">
        <v>45749.0</v>
      </c>
      <c r="E3182" s="17" t="s">
        <v>684</v>
      </c>
      <c r="F3182" s="20">
        <v>19.99</v>
      </c>
      <c r="G3182" s="17" t="s">
        <v>3837</v>
      </c>
    </row>
    <row r="3183" ht="15.75" customHeight="1">
      <c r="A3183" s="15" t="s">
        <v>3855</v>
      </c>
      <c r="B3183" s="15" t="s">
        <v>462</v>
      </c>
      <c r="C3183" s="16">
        <v>45719.0</v>
      </c>
      <c r="D3183" s="16">
        <v>45749.0</v>
      </c>
      <c r="E3183" s="15" t="s">
        <v>684</v>
      </c>
      <c r="F3183" s="19">
        <v>19.99</v>
      </c>
      <c r="G3183" s="15" t="s">
        <v>3837</v>
      </c>
    </row>
    <row r="3184" ht="15.75" customHeight="1">
      <c r="A3184" s="17" t="s">
        <v>3856</v>
      </c>
      <c r="B3184" s="17" t="s">
        <v>551</v>
      </c>
      <c r="C3184" s="18">
        <v>45719.0</v>
      </c>
      <c r="D3184" s="18">
        <v>45749.0</v>
      </c>
      <c r="E3184" s="17" t="s">
        <v>684</v>
      </c>
      <c r="F3184" s="20">
        <v>19.99</v>
      </c>
      <c r="G3184" s="17" t="s">
        <v>3837</v>
      </c>
    </row>
    <row r="3185" ht="15.75" customHeight="1">
      <c r="A3185" s="15" t="s">
        <v>3857</v>
      </c>
      <c r="B3185" s="15" t="s">
        <v>606</v>
      </c>
      <c r="C3185" s="16">
        <v>45719.0</v>
      </c>
      <c r="D3185" s="16">
        <v>45749.0</v>
      </c>
      <c r="E3185" s="15" t="s">
        <v>684</v>
      </c>
      <c r="F3185" s="19">
        <v>19.99</v>
      </c>
      <c r="G3185" s="15" t="s">
        <v>3837</v>
      </c>
    </row>
    <row r="3186" ht="15.75" customHeight="1">
      <c r="A3186" s="17" t="s">
        <v>3858</v>
      </c>
      <c r="B3186" s="17" t="s">
        <v>618</v>
      </c>
      <c r="C3186" s="18">
        <v>45720.0</v>
      </c>
      <c r="D3186" s="18">
        <v>45727.0</v>
      </c>
      <c r="E3186" s="17" t="s">
        <v>674</v>
      </c>
      <c r="F3186" s="20">
        <v>0.0</v>
      </c>
      <c r="G3186" s="17" t="s">
        <v>675</v>
      </c>
    </row>
    <row r="3187" ht="15.75" customHeight="1">
      <c r="A3187" s="15" t="s">
        <v>3859</v>
      </c>
      <c r="B3187" s="15" t="s">
        <v>552</v>
      </c>
      <c r="C3187" s="16">
        <v>45720.0</v>
      </c>
      <c r="D3187" s="16">
        <v>45750.0</v>
      </c>
      <c r="E3187" s="15" t="s">
        <v>684</v>
      </c>
      <c r="F3187" s="19">
        <v>19.99</v>
      </c>
      <c r="G3187" s="15" t="s">
        <v>3837</v>
      </c>
    </row>
    <row r="3188" ht="15.75" customHeight="1">
      <c r="A3188" s="17" t="s">
        <v>3860</v>
      </c>
      <c r="B3188" s="17" t="s">
        <v>607</v>
      </c>
      <c r="C3188" s="18">
        <v>45720.0</v>
      </c>
      <c r="D3188" s="18">
        <v>45750.0</v>
      </c>
      <c r="E3188" s="17" t="s">
        <v>684</v>
      </c>
      <c r="F3188" s="20">
        <v>19.99</v>
      </c>
      <c r="G3188" s="17" t="s">
        <v>3837</v>
      </c>
    </row>
    <row r="3189" ht="15.75" customHeight="1">
      <c r="A3189" s="15" t="s">
        <v>3861</v>
      </c>
      <c r="B3189" s="15" t="s">
        <v>553</v>
      </c>
      <c r="C3189" s="16">
        <v>45720.0</v>
      </c>
      <c r="D3189" s="16">
        <v>45750.0</v>
      </c>
      <c r="E3189" s="15" t="s">
        <v>684</v>
      </c>
      <c r="F3189" s="19">
        <v>19.99</v>
      </c>
      <c r="G3189" s="15" t="s">
        <v>3837</v>
      </c>
    </row>
    <row r="3190" ht="15.75" customHeight="1">
      <c r="A3190" s="17" t="s">
        <v>3862</v>
      </c>
      <c r="B3190" s="17" t="s">
        <v>608</v>
      </c>
      <c r="C3190" s="18">
        <v>45720.0</v>
      </c>
      <c r="D3190" s="18">
        <v>45750.0</v>
      </c>
      <c r="E3190" s="17" t="s">
        <v>684</v>
      </c>
      <c r="F3190" s="20">
        <v>19.99</v>
      </c>
      <c r="G3190" s="17" t="s">
        <v>3837</v>
      </c>
    </row>
    <row r="3191" ht="15.75" customHeight="1">
      <c r="A3191" s="15" t="s">
        <v>3863</v>
      </c>
      <c r="B3191" s="15" t="s">
        <v>465</v>
      </c>
      <c r="C3191" s="16">
        <v>45720.0</v>
      </c>
      <c r="D3191" s="16">
        <v>45750.0</v>
      </c>
      <c r="E3191" s="15" t="s">
        <v>684</v>
      </c>
      <c r="F3191" s="19">
        <v>19.99</v>
      </c>
      <c r="G3191" s="15" t="s">
        <v>3837</v>
      </c>
    </row>
    <row r="3192" ht="15.75" customHeight="1">
      <c r="A3192" s="17" t="s">
        <v>3864</v>
      </c>
      <c r="B3192" s="17" t="s">
        <v>280</v>
      </c>
      <c r="C3192" s="18">
        <v>45720.0</v>
      </c>
      <c r="D3192" s="18">
        <v>45750.0</v>
      </c>
      <c r="E3192" s="17" t="s">
        <v>684</v>
      </c>
      <c r="F3192" s="20">
        <v>19.99</v>
      </c>
      <c r="G3192" s="17" t="s">
        <v>3837</v>
      </c>
    </row>
    <row r="3193" ht="15.75" customHeight="1">
      <c r="A3193" s="15" t="s">
        <v>3865</v>
      </c>
      <c r="B3193" s="15" t="s">
        <v>619</v>
      </c>
      <c r="C3193" s="16">
        <v>45720.0</v>
      </c>
      <c r="D3193" s="16">
        <v>45727.0</v>
      </c>
      <c r="E3193" s="15" t="s">
        <v>674</v>
      </c>
      <c r="F3193" s="19">
        <v>0.0</v>
      </c>
      <c r="G3193" s="15" t="s">
        <v>675</v>
      </c>
    </row>
    <row r="3194" ht="15.75" customHeight="1">
      <c r="A3194" s="17" t="s">
        <v>3866</v>
      </c>
      <c r="B3194" s="17" t="s">
        <v>554</v>
      </c>
      <c r="C3194" s="18">
        <v>45720.0</v>
      </c>
      <c r="D3194" s="18">
        <v>45750.0</v>
      </c>
      <c r="E3194" s="17" t="s">
        <v>684</v>
      </c>
      <c r="F3194" s="20">
        <v>19.99</v>
      </c>
      <c r="G3194" s="17" t="s">
        <v>3837</v>
      </c>
    </row>
    <row r="3195" ht="15.75" customHeight="1">
      <c r="A3195" s="15" t="s">
        <v>3867</v>
      </c>
      <c r="B3195" s="15" t="s">
        <v>410</v>
      </c>
      <c r="C3195" s="16">
        <v>45720.0</v>
      </c>
      <c r="D3195" s="16">
        <v>45750.0</v>
      </c>
      <c r="E3195" s="15" t="s">
        <v>684</v>
      </c>
      <c r="F3195" s="19">
        <v>19.99</v>
      </c>
      <c r="G3195" s="15" t="s">
        <v>3837</v>
      </c>
    </row>
    <row r="3196" ht="15.75" customHeight="1">
      <c r="A3196" s="17" t="s">
        <v>3868</v>
      </c>
      <c r="B3196" s="17" t="s">
        <v>411</v>
      </c>
      <c r="C3196" s="18">
        <v>45720.0</v>
      </c>
      <c r="D3196" s="18">
        <v>45750.0</v>
      </c>
      <c r="E3196" s="17" t="s">
        <v>684</v>
      </c>
      <c r="F3196" s="20">
        <v>19.99</v>
      </c>
      <c r="G3196" s="17" t="s">
        <v>3837</v>
      </c>
    </row>
    <row r="3197" ht="15.75" customHeight="1">
      <c r="A3197" s="15" t="s">
        <v>3869</v>
      </c>
      <c r="B3197" s="15" t="s">
        <v>412</v>
      </c>
      <c r="C3197" s="16">
        <v>45720.0</v>
      </c>
      <c r="D3197" s="16">
        <v>45750.0</v>
      </c>
      <c r="E3197" s="15" t="s">
        <v>684</v>
      </c>
      <c r="F3197" s="19">
        <v>19.99</v>
      </c>
      <c r="G3197" s="15" t="s">
        <v>3837</v>
      </c>
    </row>
    <row r="3198" ht="15.75" customHeight="1">
      <c r="A3198" s="17" t="s">
        <v>3870</v>
      </c>
      <c r="B3198" s="17" t="s">
        <v>413</v>
      </c>
      <c r="C3198" s="18">
        <v>45720.0</v>
      </c>
      <c r="D3198" s="18">
        <v>45750.0</v>
      </c>
      <c r="E3198" s="17" t="s">
        <v>684</v>
      </c>
      <c r="F3198" s="20">
        <v>19.99</v>
      </c>
      <c r="G3198" s="17" t="s">
        <v>3837</v>
      </c>
    </row>
    <row r="3199" ht="15.75" customHeight="1">
      <c r="A3199" s="15" t="s">
        <v>3871</v>
      </c>
      <c r="B3199" s="15" t="s">
        <v>215</v>
      </c>
      <c r="C3199" s="16">
        <v>45720.0</v>
      </c>
      <c r="D3199" s="16">
        <v>45750.0</v>
      </c>
      <c r="E3199" s="15" t="s">
        <v>684</v>
      </c>
      <c r="F3199" s="19">
        <v>19.99</v>
      </c>
      <c r="G3199" s="15" t="s">
        <v>3837</v>
      </c>
    </row>
    <row r="3200" ht="15.75" customHeight="1">
      <c r="A3200" s="17" t="s">
        <v>3872</v>
      </c>
      <c r="B3200" s="17" t="s">
        <v>281</v>
      </c>
      <c r="C3200" s="18">
        <v>45720.0</v>
      </c>
      <c r="D3200" s="18">
        <v>45750.0</v>
      </c>
      <c r="E3200" s="17" t="s">
        <v>684</v>
      </c>
      <c r="F3200" s="20">
        <v>19.99</v>
      </c>
      <c r="G3200" s="17" t="s">
        <v>3837</v>
      </c>
    </row>
    <row r="3201" ht="15.75" customHeight="1">
      <c r="A3201" s="15" t="s">
        <v>3873</v>
      </c>
      <c r="B3201" s="15" t="s">
        <v>466</v>
      </c>
      <c r="C3201" s="16">
        <v>45721.0</v>
      </c>
      <c r="D3201" s="16">
        <v>45751.0</v>
      </c>
      <c r="E3201" s="15" t="s">
        <v>684</v>
      </c>
      <c r="F3201" s="19">
        <v>19.99</v>
      </c>
      <c r="G3201" s="15" t="s">
        <v>3837</v>
      </c>
    </row>
    <row r="3202" ht="15.75" customHeight="1">
      <c r="A3202" s="17" t="s">
        <v>3874</v>
      </c>
      <c r="B3202" s="17" t="s">
        <v>414</v>
      </c>
      <c r="C3202" s="18">
        <v>45721.0</v>
      </c>
      <c r="D3202" s="18">
        <v>45751.0</v>
      </c>
      <c r="E3202" s="17" t="s">
        <v>684</v>
      </c>
      <c r="F3202" s="20">
        <v>19.99</v>
      </c>
      <c r="G3202" s="17" t="s">
        <v>3837</v>
      </c>
    </row>
    <row r="3203" ht="15.75" customHeight="1">
      <c r="A3203" s="15" t="s">
        <v>3875</v>
      </c>
      <c r="B3203" s="15" t="s">
        <v>555</v>
      </c>
      <c r="C3203" s="16">
        <v>45721.0</v>
      </c>
      <c r="D3203" s="16">
        <v>45751.0</v>
      </c>
      <c r="E3203" s="15" t="s">
        <v>684</v>
      </c>
      <c r="F3203" s="19">
        <v>19.99</v>
      </c>
      <c r="G3203" s="15" t="s">
        <v>3837</v>
      </c>
    </row>
    <row r="3204" ht="15.75" customHeight="1">
      <c r="A3204" s="17" t="s">
        <v>3876</v>
      </c>
      <c r="B3204" s="17" t="s">
        <v>620</v>
      </c>
      <c r="C3204" s="18">
        <v>45721.0</v>
      </c>
      <c r="D3204" s="18">
        <v>45728.0</v>
      </c>
      <c r="E3204" s="17" t="s">
        <v>674</v>
      </c>
      <c r="F3204" s="20">
        <v>0.0</v>
      </c>
      <c r="G3204" s="17" t="s">
        <v>675</v>
      </c>
    </row>
    <row r="3205" ht="15.75" customHeight="1">
      <c r="A3205" s="15" t="s">
        <v>3877</v>
      </c>
      <c r="B3205" s="15" t="s">
        <v>467</v>
      </c>
      <c r="C3205" s="16">
        <v>45721.0</v>
      </c>
      <c r="D3205" s="16">
        <v>45751.0</v>
      </c>
      <c r="E3205" s="15" t="s">
        <v>684</v>
      </c>
      <c r="F3205" s="19">
        <v>19.99</v>
      </c>
      <c r="G3205" s="15" t="s">
        <v>3837</v>
      </c>
    </row>
    <row r="3206" ht="15.75" customHeight="1">
      <c r="A3206" s="17" t="s">
        <v>3878</v>
      </c>
      <c r="B3206" s="17" t="s">
        <v>468</v>
      </c>
      <c r="C3206" s="18">
        <v>45721.0</v>
      </c>
      <c r="D3206" s="18">
        <v>45751.0</v>
      </c>
      <c r="E3206" s="17" t="s">
        <v>684</v>
      </c>
      <c r="F3206" s="20">
        <v>19.99</v>
      </c>
      <c r="G3206" s="17" t="s">
        <v>3837</v>
      </c>
    </row>
    <row r="3207" ht="15.75" customHeight="1">
      <c r="A3207" s="15" t="s">
        <v>3879</v>
      </c>
      <c r="B3207" s="15" t="s">
        <v>609</v>
      </c>
      <c r="C3207" s="16">
        <v>45721.0</v>
      </c>
      <c r="D3207" s="16">
        <v>45751.0</v>
      </c>
      <c r="E3207" s="15" t="s">
        <v>684</v>
      </c>
      <c r="F3207" s="19">
        <v>19.99</v>
      </c>
      <c r="G3207" s="15" t="s">
        <v>3837</v>
      </c>
    </row>
    <row r="3208" ht="15.75" customHeight="1">
      <c r="A3208" s="17" t="s">
        <v>3880</v>
      </c>
      <c r="B3208" s="17" t="s">
        <v>90</v>
      </c>
      <c r="C3208" s="18">
        <v>45721.0</v>
      </c>
      <c r="D3208" s="18">
        <v>45751.0</v>
      </c>
      <c r="E3208" s="17" t="s">
        <v>684</v>
      </c>
      <c r="F3208" s="20">
        <v>19.99</v>
      </c>
      <c r="G3208" s="17" t="s">
        <v>3837</v>
      </c>
    </row>
    <row r="3209" ht="15.75" customHeight="1">
      <c r="A3209" s="15" t="s">
        <v>3881</v>
      </c>
      <c r="B3209" s="15" t="s">
        <v>610</v>
      </c>
      <c r="C3209" s="16">
        <v>45721.0</v>
      </c>
      <c r="D3209" s="16">
        <v>45751.0</v>
      </c>
      <c r="E3209" s="15" t="s">
        <v>684</v>
      </c>
      <c r="F3209" s="19">
        <v>19.99</v>
      </c>
      <c r="G3209" s="15" t="s">
        <v>3837</v>
      </c>
    </row>
    <row r="3210" ht="15.75" customHeight="1">
      <c r="A3210" s="17" t="s">
        <v>3882</v>
      </c>
      <c r="B3210" s="17" t="s">
        <v>513</v>
      </c>
      <c r="C3210" s="18">
        <v>45721.0</v>
      </c>
      <c r="D3210" s="18">
        <v>45751.0</v>
      </c>
      <c r="E3210" s="17" t="s">
        <v>684</v>
      </c>
      <c r="F3210" s="20">
        <v>19.99</v>
      </c>
      <c r="G3210" s="17" t="s">
        <v>3837</v>
      </c>
    </row>
    <row r="3211" ht="15.75" customHeight="1">
      <c r="A3211" s="15" t="s">
        <v>3883</v>
      </c>
      <c r="B3211" s="15" t="s">
        <v>70</v>
      </c>
      <c r="C3211" s="16">
        <v>45721.0</v>
      </c>
      <c r="D3211" s="16">
        <v>45751.0</v>
      </c>
      <c r="E3211" s="15" t="s">
        <v>684</v>
      </c>
      <c r="F3211" s="19">
        <v>19.99</v>
      </c>
      <c r="G3211" s="15" t="s">
        <v>3837</v>
      </c>
    </row>
    <row r="3212" ht="15.75" customHeight="1">
      <c r="A3212" s="17" t="s">
        <v>3884</v>
      </c>
      <c r="B3212" s="17" t="s">
        <v>118</v>
      </c>
      <c r="C3212" s="18">
        <v>45722.0</v>
      </c>
      <c r="D3212" s="18">
        <v>45752.0</v>
      </c>
      <c r="E3212" s="17" t="s">
        <v>684</v>
      </c>
      <c r="F3212" s="20">
        <v>19.99</v>
      </c>
      <c r="G3212" s="17" t="s">
        <v>3837</v>
      </c>
    </row>
    <row r="3213" ht="15.75" customHeight="1">
      <c r="A3213" s="15" t="s">
        <v>3885</v>
      </c>
      <c r="B3213" s="15" t="s">
        <v>186</v>
      </c>
      <c r="C3213" s="16">
        <v>45722.0</v>
      </c>
      <c r="D3213" s="16">
        <v>45752.0</v>
      </c>
      <c r="E3213" s="15" t="s">
        <v>684</v>
      </c>
      <c r="F3213" s="19">
        <v>19.99</v>
      </c>
      <c r="G3213" s="15" t="s">
        <v>3837</v>
      </c>
    </row>
    <row r="3214" ht="15.75" customHeight="1">
      <c r="A3214" s="17" t="s">
        <v>3886</v>
      </c>
      <c r="B3214" s="17" t="s">
        <v>216</v>
      </c>
      <c r="C3214" s="18">
        <v>45722.0</v>
      </c>
      <c r="D3214" s="18">
        <v>45752.0</v>
      </c>
      <c r="E3214" s="17" t="s">
        <v>684</v>
      </c>
      <c r="F3214" s="20">
        <v>19.99</v>
      </c>
      <c r="G3214" s="17" t="s">
        <v>3837</v>
      </c>
    </row>
    <row r="3215" ht="15.75" customHeight="1">
      <c r="A3215" s="15" t="s">
        <v>3887</v>
      </c>
      <c r="B3215" s="15" t="s">
        <v>611</v>
      </c>
      <c r="C3215" s="16">
        <v>45722.0</v>
      </c>
      <c r="D3215" s="16">
        <v>45752.0</v>
      </c>
      <c r="E3215" s="15" t="s">
        <v>684</v>
      </c>
      <c r="F3215" s="19">
        <v>19.99</v>
      </c>
      <c r="G3215" s="15" t="s">
        <v>3837</v>
      </c>
    </row>
    <row r="3216" ht="15.75" customHeight="1">
      <c r="A3216" s="17" t="s">
        <v>3888</v>
      </c>
      <c r="B3216" s="17" t="s">
        <v>71</v>
      </c>
      <c r="C3216" s="18">
        <v>45722.0</v>
      </c>
      <c r="D3216" s="18">
        <v>45752.0</v>
      </c>
      <c r="E3216" s="17" t="s">
        <v>684</v>
      </c>
      <c r="F3216" s="20">
        <v>19.99</v>
      </c>
      <c r="G3216" s="17" t="s">
        <v>3837</v>
      </c>
    </row>
    <row r="3217" ht="15.75" customHeight="1">
      <c r="A3217" s="15" t="s">
        <v>3889</v>
      </c>
      <c r="B3217" s="15" t="s">
        <v>612</v>
      </c>
      <c r="C3217" s="16">
        <v>45722.0</v>
      </c>
      <c r="D3217" s="16">
        <v>45752.0</v>
      </c>
      <c r="E3217" s="15" t="s">
        <v>684</v>
      </c>
      <c r="F3217" s="19">
        <v>19.99</v>
      </c>
      <c r="G3217" s="15" t="s">
        <v>3837</v>
      </c>
    </row>
    <row r="3218" ht="15.75" customHeight="1">
      <c r="A3218" s="17" t="s">
        <v>3890</v>
      </c>
      <c r="B3218" s="17" t="s">
        <v>621</v>
      </c>
      <c r="C3218" s="18">
        <v>45722.0</v>
      </c>
      <c r="D3218" s="18">
        <v>45729.0</v>
      </c>
      <c r="E3218" s="17" t="s">
        <v>674</v>
      </c>
      <c r="F3218" s="20">
        <v>0.0</v>
      </c>
      <c r="G3218" s="17" t="s">
        <v>675</v>
      </c>
    </row>
    <row r="3219" ht="15.75" customHeight="1">
      <c r="A3219" s="15" t="s">
        <v>3891</v>
      </c>
      <c r="B3219" s="15" t="s">
        <v>556</v>
      </c>
      <c r="C3219" s="16">
        <v>45722.0</v>
      </c>
      <c r="D3219" s="16">
        <v>45752.0</v>
      </c>
      <c r="E3219" s="15" t="s">
        <v>684</v>
      </c>
      <c r="F3219" s="19">
        <v>19.99</v>
      </c>
      <c r="G3219" s="15" t="s">
        <v>3837</v>
      </c>
    </row>
    <row r="3220" ht="15.75" customHeight="1">
      <c r="A3220" s="17" t="s">
        <v>3892</v>
      </c>
      <c r="B3220" s="17" t="s">
        <v>613</v>
      </c>
      <c r="C3220" s="18">
        <v>45722.0</v>
      </c>
      <c r="D3220" s="18">
        <v>45752.0</v>
      </c>
      <c r="E3220" s="17" t="s">
        <v>684</v>
      </c>
      <c r="F3220" s="20">
        <v>19.99</v>
      </c>
      <c r="G3220" s="17" t="s">
        <v>3837</v>
      </c>
    </row>
    <row r="3221" ht="15.75" customHeight="1">
      <c r="A3221" s="15" t="s">
        <v>3893</v>
      </c>
      <c r="B3221" s="15" t="s">
        <v>148</v>
      </c>
      <c r="C3221" s="16">
        <v>45722.0</v>
      </c>
      <c r="D3221" s="16">
        <v>45752.0</v>
      </c>
      <c r="E3221" s="15" t="s">
        <v>684</v>
      </c>
      <c r="F3221" s="19">
        <v>19.99</v>
      </c>
      <c r="G3221" s="15" t="s">
        <v>3837</v>
      </c>
    </row>
    <row r="3222" ht="15.75" customHeight="1">
      <c r="A3222" s="17" t="s">
        <v>3894</v>
      </c>
      <c r="B3222" s="17" t="s">
        <v>557</v>
      </c>
      <c r="C3222" s="18">
        <v>45722.0</v>
      </c>
      <c r="D3222" s="18">
        <v>45752.0</v>
      </c>
      <c r="E3222" s="17" t="s">
        <v>684</v>
      </c>
      <c r="F3222" s="20">
        <v>19.99</v>
      </c>
      <c r="G3222" s="17" t="s">
        <v>3837</v>
      </c>
    </row>
    <row r="3223" ht="15.75" customHeight="1">
      <c r="A3223" s="15" t="s">
        <v>3895</v>
      </c>
      <c r="B3223" s="15" t="s">
        <v>187</v>
      </c>
      <c r="C3223" s="16">
        <v>45722.0</v>
      </c>
      <c r="D3223" s="16">
        <v>45752.0</v>
      </c>
      <c r="E3223" s="15" t="s">
        <v>684</v>
      </c>
      <c r="F3223" s="19">
        <v>19.99</v>
      </c>
      <c r="G3223" s="15" t="s">
        <v>3837</v>
      </c>
    </row>
    <row r="3224" ht="15.75" customHeight="1">
      <c r="A3224" s="17" t="s">
        <v>3896</v>
      </c>
      <c r="B3224" s="17" t="s">
        <v>559</v>
      </c>
      <c r="C3224" s="18">
        <v>45722.0</v>
      </c>
      <c r="D3224" s="18">
        <v>45752.0</v>
      </c>
      <c r="E3224" s="17" t="s">
        <v>684</v>
      </c>
      <c r="F3224" s="20">
        <v>19.99</v>
      </c>
      <c r="G3224" s="17" t="s">
        <v>3837</v>
      </c>
    </row>
    <row r="3225" ht="15.75" customHeight="1">
      <c r="A3225" s="15" t="s">
        <v>3897</v>
      </c>
      <c r="B3225" s="15" t="s">
        <v>614</v>
      </c>
      <c r="C3225" s="16">
        <v>45722.0</v>
      </c>
      <c r="D3225" s="16">
        <v>45752.0</v>
      </c>
      <c r="E3225" s="15" t="s">
        <v>684</v>
      </c>
      <c r="F3225" s="19">
        <v>19.99</v>
      </c>
      <c r="G3225" s="15" t="s">
        <v>3837</v>
      </c>
    </row>
    <row r="3226" ht="15.75" customHeight="1">
      <c r="A3226" s="17" t="s">
        <v>3898</v>
      </c>
      <c r="B3226" s="17" t="s">
        <v>329</v>
      </c>
      <c r="C3226" s="18">
        <v>45722.0</v>
      </c>
      <c r="D3226" s="18">
        <v>45752.0</v>
      </c>
      <c r="E3226" s="17" t="s">
        <v>684</v>
      </c>
      <c r="F3226" s="20">
        <v>19.99</v>
      </c>
      <c r="G3226" s="17" t="s">
        <v>3837</v>
      </c>
    </row>
    <row r="3227" ht="15.75" customHeight="1">
      <c r="A3227" s="15" t="s">
        <v>3899</v>
      </c>
      <c r="B3227" s="15" t="s">
        <v>218</v>
      </c>
      <c r="C3227" s="16">
        <v>45723.0</v>
      </c>
      <c r="D3227" s="16">
        <v>45753.0</v>
      </c>
      <c r="E3227" s="15" t="s">
        <v>684</v>
      </c>
      <c r="F3227" s="19">
        <v>19.99</v>
      </c>
      <c r="G3227" s="15" t="s">
        <v>3837</v>
      </c>
    </row>
    <row r="3228" ht="15.75" customHeight="1">
      <c r="A3228" s="17" t="s">
        <v>3900</v>
      </c>
      <c r="B3228" s="17" t="s">
        <v>415</v>
      </c>
      <c r="C3228" s="18">
        <v>45723.0</v>
      </c>
      <c r="D3228" s="18">
        <v>45753.0</v>
      </c>
      <c r="E3228" s="17" t="s">
        <v>684</v>
      </c>
      <c r="F3228" s="20">
        <v>19.99</v>
      </c>
      <c r="G3228" s="17" t="s">
        <v>3837</v>
      </c>
    </row>
    <row r="3229" ht="15.75" customHeight="1">
      <c r="A3229" s="15" t="s">
        <v>3901</v>
      </c>
      <c r="B3229" s="15" t="s">
        <v>219</v>
      </c>
      <c r="C3229" s="16">
        <v>45723.0</v>
      </c>
      <c r="D3229" s="16">
        <v>45753.0</v>
      </c>
      <c r="E3229" s="15" t="s">
        <v>684</v>
      </c>
      <c r="F3229" s="19">
        <v>19.99</v>
      </c>
      <c r="G3229" s="15" t="s">
        <v>3837</v>
      </c>
    </row>
    <row r="3230" ht="15.75" customHeight="1">
      <c r="A3230" s="17" t="s">
        <v>3902</v>
      </c>
      <c r="B3230" s="17" t="s">
        <v>243</v>
      </c>
      <c r="C3230" s="18">
        <v>45723.0</v>
      </c>
      <c r="D3230" s="18">
        <v>45753.0</v>
      </c>
      <c r="E3230" s="17" t="s">
        <v>684</v>
      </c>
      <c r="F3230" s="20">
        <v>19.99</v>
      </c>
      <c r="G3230" s="17" t="s">
        <v>3837</v>
      </c>
    </row>
    <row r="3231" ht="15.75" customHeight="1">
      <c r="A3231" s="15" t="s">
        <v>3903</v>
      </c>
      <c r="B3231" s="15" t="s">
        <v>283</v>
      </c>
      <c r="C3231" s="16">
        <v>45723.0</v>
      </c>
      <c r="D3231" s="16">
        <v>45753.0</v>
      </c>
      <c r="E3231" s="15" t="s">
        <v>684</v>
      </c>
      <c r="F3231" s="19">
        <v>19.99</v>
      </c>
      <c r="G3231" s="15" t="s">
        <v>3837</v>
      </c>
    </row>
    <row r="3232" ht="15.75" customHeight="1">
      <c r="A3232" s="17" t="s">
        <v>3904</v>
      </c>
      <c r="B3232" s="17" t="s">
        <v>416</v>
      </c>
      <c r="C3232" s="18">
        <v>45723.0</v>
      </c>
      <c r="D3232" s="18">
        <v>45753.0</v>
      </c>
      <c r="E3232" s="17" t="s">
        <v>684</v>
      </c>
      <c r="F3232" s="20">
        <v>19.99</v>
      </c>
      <c r="G3232" s="17" t="s">
        <v>3837</v>
      </c>
    </row>
    <row r="3233" ht="15.75" customHeight="1">
      <c r="A3233" s="15" t="s">
        <v>3905</v>
      </c>
      <c r="B3233" s="15" t="s">
        <v>514</v>
      </c>
      <c r="C3233" s="16">
        <v>45723.0</v>
      </c>
      <c r="D3233" s="16">
        <v>45753.0</v>
      </c>
      <c r="E3233" s="15" t="s">
        <v>684</v>
      </c>
      <c r="F3233" s="19">
        <v>19.99</v>
      </c>
      <c r="G3233" s="15" t="s">
        <v>3837</v>
      </c>
    </row>
    <row r="3234" ht="15.75" customHeight="1">
      <c r="A3234" s="17" t="s">
        <v>3906</v>
      </c>
      <c r="B3234" s="17" t="s">
        <v>119</v>
      </c>
      <c r="C3234" s="18">
        <v>45723.0</v>
      </c>
      <c r="D3234" s="18">
        <v>45753.0</v>
      </c>
      <c r="E3234" s="17" t="s">
        <v>684</v>
      </c>
      <c r="F3234" s="20">
        <v>19.99</v>
      </c>
      <c r="G3234" s="17" t="s">
        <v>3837</v>
      </c>
    </row>
    <row r="3235" ht="15.75" customHeight="1">
      <c r="A3235" s="15" t="s">
        <v>3907</v>
      </c>
      <c r="B3235" s="15" t="s">
        <v>622</v>
      </c>
      <c r="C3235" s="16">
        <v>45723.0</v>
      </c>
      <c r="D3235" s="16">
        <v>45730.0</v>
      </c>
      <c r="E3235" s="15" t="s">
        <v>674</v>
      </c>
      <c r="F3235" s="19">
        <v>0.0</v>
      </c>
      <c r="G3235" s="15" t="s">
        <v>675</v>
      </c>
    </row>
    <row r="3236" ht="15.75" customHeight="1">
      <c r="A3236" s="17" t="s">
        <v>3908</v>
      </c>
      <c r="B3236" s="17" t="s">
        <v>560</v>
      </c>
      <c r="C3236" s="18">
        <v>45723.0</v>
      </c>
      <c r="D3236" s="18">
        <v>45753.0</v>
      </c>
      <c r="E3236" s="17" t="s">
        <v>684</v>
      </c>
      <c r="F3236" s="20">
        <v>19.99</v>
      </c>
      <c r="G3236" s="17" t="s">
        <v>3837</v>
      </c>
    </row>
    <row r="3237" ht="15.75" customHeight="1">
      <c r="A3237" s="15" t="s">
        <v>3909</v>
      </c>
      <c r="B3237" s="15" t="s">
        <v>366</v>
      </c>
      <c r="C3237" s="16">
        <v>45723.0</v>
      </c>
      <c r="D3237" s="16">
        <v>45753.0</v>
      </c>
      <c r="E3237" s="15" t="s">
        <v>684</v>
      </c>
      <c r="F3237" s="19">
        <v>19.99</v>
      </c>
      <c r="G3237" s="15" t="s">
        <v>3837</v>
      </c>
    </row>
    <row r="3238" ht="15.75" customHeight="1">
      <c r="A3238" s="17" t="s">
        <v>3910</v>
      </c>
      <c r="B3238" s="17" t="s">
        <v>515</v>
      </c>
      <c r="C3238" s="18">
        <v>45723.0</v>
      </c>
      <c r="D3238" s="18">
        <v>45753.0</v>
      </c>
      <c r="E3238" s="17" t="s">
        <v>684</v>
      </c>
      <c r="F3238" s="20">
        <v>19.99</v>
      </c>
      <c r="G3238" s="17" t="s">
        <v>3837</v>
      </c>
    </row>
    <row r="3239" ht="15.75" customHeight="1">
      <c r="A3239" s="15" t="s">
        <v>3911</v>
      </c>
      <c r="B3239" s="15" t="s">
        <v>244</v>
      </c>
      <c r="C3239" s="16">
        <v>45724.0</v>
      </c>
      <c r="D3239" s="16">
        <v>45754.0</v>
      </c>
      <c r="E3239" s="15" t="s">
        <v>684</v>
      </c>
      <c r="F3239" s="19">
        <v>19.99</v>
      </c>
      <c r="G3239" s="15" t="s">
        <v>3837</v>
      </c>
    </row>
    <row r="3240" ht="15.75" customHeight="1">
      <c r="A3240" s="17" t="s">
        <v>3912</v>
      </c>
      <c r="B3240" s="17" t="s">
        <v>287</v>
      </c>
      <c r="C3240" s="18">
        <v>45724.0</v>
      </c>
      <c r="D3240" s="18">
        <v>45754.0</v>
      </c>
      <c r="E3240" s="17" t="s">
        <v>684</v>
      </c>
      <c r="F3240" s="20">
        <v>19.99</v>
      </c>
      <c r="G3240" s="17" t="s">
        <v>3837</v>
      </c>
    </row>
    <row r="3241" ht="15.75" customHeight="1">
      <c r="A3241" s="15" t="s">
        <v>3913</v>
      </c>
      <c r="B3241" s="15" t="s">
        <v>120</v>
      </c>
      <c r="C3241" s="16">
        <v>45724.0</v>
      </c>
      <c r="D3241" s="16">
        <v>45754.0</v>
      </c>
      <c r="E3241" s="15" t="s">
        <v>684</v>
      </c>
      <c r="F3241" s="19">
        <v>19.99</v>
      </c>
      <c r="G3241" s="15" t="s">
        <v>3837</v>
      </c>
    </row>
    <row r="3242" ht="15.75" customHeight="1">
      <c r="A3242" s="17" t="s">
        <v>3914</v>
      </c>
      <c r="B3242" s="17" t="s">
        <v>623</v>
      </c>
      <c r="C3242" s="18">
        <v>45724.0</v>
      </c>
      <c r="D3242" s="18">
        <v>45731.0</v>
      </c>
      <c r="E3242" s="17" t="s">
        <v>674</v>
      </c>
      <c r="F3242" s="20">
        <v>0.0</v>
      </c>
      <c r="G3242" s="17" t="s">
        <v>675</v>
      </c>
    </row>
    <row r="3243" ht="15.75" customHeight="1">
      <c r="A3243" s="15" t="s">
        <v>3915</v>
      </c>
      <c r="B3243" s="15" t="s">
        <v>417</v>
      </c>
      <c r="C3243" s="16">
        <v>45724.0</v>
      </c>
      <c r="D3243" s="16">
        <v>45754.0</v>
      </c>
      <c r="E3243" s="15" t="s">
        <v>684</v>
      </c>
      <c r="F3243" s="19">
        <v>19.99</v>
      </c>
      <c r="G3243" s="15" t="s">
        <v>3837</v>
      </c>
    </row>
    <row r="3244" ht="15.75" customHeight="1">
      <c r="A3244" s="17" t="s">
        <v>3916</v>
      </c>
      <c r="B3244" s="17" t="s">
        <v>418</v>
      </c>
      <c r="C3244" s="18">
        <v>45724.0</v>
      </c>
      <c r="D3244" s="18">
        <v>45754.0</v>
      </c>
      <c r="E3244" s="17" t="s">
        <v>684</v>
      </c>
      <c r="F3244" s="20">
        <v>19.99</v>
      </c>
      <c r="G3244" s="17" t="s">
        <v>3837</v>
      </c>
    </row>
    <row r="3245" ht="15.75" customHeight="1">
      <c r="A3245" s="15" t="s">
        <v>3917</v>
      </c>
      <c r="B3245" s="15" t="s">
        <v>624</v>
      </c>
      <c r="C3245" s="16">
        <v>45724.0</v>
      </c>
      <c r="D3245" s="16">
        <v>45731.0</v>
      </c>
      <c r="E3245" s="15" t="s">
        <v>674</v>
      </c>
      <c r="F3245" s="19">
        <v>0.0</v>
      </c>
      <c r="G3245" s="15" t="s">
        <v>675</v>
      </c>
    </row>
    <row r="3246" ht="15.75" customHeight="1">
      <c r="A3246" s="17" t="s">
        <v>3918</v>
      </c>
      <c r="B3246" s="17" t="s">
        <v>330</v>
      </c>
      <c r="C3246" s="18">
        <v>45724.0</v>
      </c>
      <c r="D3246" s="18">
        <v>45754.0</v>
      </c>
      <c r="E3246" s="17" t="s">
        <v>684</v>
      </c>
      <c r="F3246" s="20">
        <v>19.99</v>
      </c>
      <c r="G3246" s="17" t="s">
        <v>3837</v>
      </c>
    </row>
    <row r="3247" ht="15.75" customHeight="1">
      <c r="A3247" s="15" t="s">
        <v>3919</v>
      </c>
      <c r="B3247" s="15" t="s">
        <v>220</v>
      </c>
      <c r="C3247" s="16">
        <v>45724.0</v>
      </c>
      <c r="D3247" s="16">
        <v>45754.0</v>
      </c>
      <c r="E3247" s="15" t="s">
        <v>684</v>
      </c>
      <c r="F3247" s="19">
        <v>19.99</v>
      </c>
      <c r="G3247" s="15" t="s">
        <v>3837</v>
      </c>
    </row>
    <row r="3248" ht="15.75" customHeight="1">
      <c r="A3248" s="17" t="s">
        <v>3920</v>
      </c>
      <c r="B3248" s="17" t="s">
        <v>561</v>
      </c>
      <c r="C3248" s="18">
        <v>45724.0</v>
      </c>
      <c r="D3248" s="18">
        <v>45754.0</v>
      </c>
      <c r="E3248" s="17" t="s">
        <v>684</v>
      </c>
      <c r="F3248" s="20">
        <v>19.99</v>
      </c>
      <c r="G3248" s="17" t="s">
        <v>3837</v>
      </c>
    </row>
    <row r="3249" ht="15.75" customHeight="1">
      <c r="A3249" s="15" t="s">
        <v>3921</v>
      </c>
      <c r="B3249" s="15" t="s">
        <v>615</v>
      </c>
      <c r="C3249" s="16">
        <v>45724.0</v>
      </c>
      <c r="D3249" s="16">
        <v>45754.0</v>
      </c>
      <c r="E3249" s="15" t="s">
        <v>684</v>
      </c>
      <c r="F3249" s="19">
        <v>19.99</v>
      </c>
      <c r="G3249" s="15" t="s">
        <v>3837</v>
      </c>
    </row>
    <row r="3250" ht="15.75" customHeight="1">
      <c r="A3250" s="17" t="s">
        <v>3922</v>
      </c>
      <c r="B3250" s="17" t="s">
        <v>289</v>
      </c>
      <c r="C3250" s="18">
        <v>45724.0</v>
      </c>
      <c r="D3250" s="18">
        <v>45754.0</v>
      </c>
      <c r="E3250" s="17" t="s">
        <v>684</v>
      </c>
      <c r="F3250" s="20">
        <v>19.99</v>
      </c>
      <c r="G3250" s="17" t="s">
        <v>3837</v>
      </c>
    </row>
    <row r="3251" ht="15.75" customHeight="1">
      <c r="A3251" s="15" t="s">
        <v>3923</v>
      </c>
      <c r="B3251" s="15" t="s">
        <v>517</v>
      </c>
      <c r="C3251" s="16">
        <v>45725.0</v>
      </c>
      <c r="D3251" s="16">
        <v>45755.0</v>
      </c>
      <c r="E3251" s="15" t="s">
        <v>684</v>
      </c>
      <c r="F3251" s="19">
        <v>19.99</v>
      </c>
      <c r="G3251" s="15" t="s">
        <v>3837</v>
      </c>
    </row>
    <row r="3252" ht="15.75" customHeight="1">
      <c r="A3252" s="17" t="s">
        <v>3924</v>
      </c>
      <c r="B3252" s="17" t="s">
        <v>246</v>
      </c>
      <c r="C3252" s="18">
        <v>45725.0</v>
      </c>
      <c r="D3252" s="18">
        <v>45755.0</v>
      </c>
      <c r="E3252" s="17" t="s">
        <v>684</v>
      </c>
      <c r="F3252" s="20">
        <v>19.99</v>
      </c>
      <c r="G3252" s="17" t="s">
        <v>3837</v>
      </c>
    </row>
    <row r="3253" ht="15.75" customHeight="1">
      <c r="A3253" s="15" t="s">
        <v>3925</v>
      </c>
      <c r="B3253" s="15" t="s">
        <v>470</v>
      </c>
      <c r="C3253" s="16">
        <v>45725.0</v>
      </c>
      <c r="D3253" s="16">
        <v>45755.0</v>
      </c>
      <c r="E3253" s="15" t="s">
        <v>684</v>
      </c>
      <c r="F3253" s="19">
        <v>19.99</v>
      </c>
      <c r="G3253" s="15" t="s">
        <v>3837</v>
      </c>
    </row>
    <row r="3254" ht="15.75" customHeight="1">
      <c r="A3254" s="17" t="s">
        <v>3926</v>
      </c>
      <c r="B3254" s="17" t="s">
        <v>367</v>
      </c>
      <c r="C3254" s="18">
        <v>45725.0</v>
      </c>
      <c r="D3254" s="18">
        <v>45755.0</v>
      </c>
      <c r="E3254" s="17" t="s">
        <v>684</v>
      </c>
      <c r="F3254" s="20">
        <v>19.99</v>
      </c>
      <c r="G3254" s="17" t="s">
        <v>3837</v>
      </c>
    </row>
    <row r="3255" ht="15.75" customHeight="1">
      <c r="A3255" s="15" t="s">
        <v>3927</v>
      </c>
      <c r="B3255" s="15" t="s">
        <v>331</v>
      </c>
      <c r="C3255" s="16">
        <v>45725.0</v>
      </c>
      <c r="D3255" s="16">
        <v>45755.0</v>
      </c>
      <c r="E3255" s="15" t="s">
        <v>684</v>
      </c>
      <c r="F3255" s="19">
        <v>19.99</v>
      </c>
      <c r="G3255" s="15" t="s">
        <v>3837</v>
      </c>
    </row>
    <row r="3256" ht="15.75" customHeight="1">
      <c r="A3256" s="17" t="s">
        <v>3928</v>
      </c>
      <c r="B3256" s="17" t="s">
        <v>625</v>
      </c>
      <c r="C3256" s="18">
        <v>45725.0</v>
      </c>
      <c r="D3256" s="18">
        <v>45732.0</v>
      </c>
      <c r="E3256" s="17" t="s">
        <v>674</v>
      </c>
      <c r="F3256" s="20">
        <v>0.0</v>
      </c>
      <c r="G3256" s="17" t="s">
        <v>675</v>
      </c>
    </row>
    <row r="3257" ht="15.75" customHeight="1">
      <c r="A3257" s="15" t="s">
        <v>3929</v>
      </c>
      <c r="B3257" s="15" t="s">
        <v>626</v>
      </c>
      <c r="C3257" s="16">
        <v>45725.0</v>
      </c>
      <c r="D3257" s="16">
        <v>45732.0</v>
      </c>
      <c r="E3257" s="15" t="s">
        <v>674</v>
      </c>
      <c r="F3257" s="19">
        <v>0.0</v>
      </c>
      <c r="G3257" s="15" t="s">
        <v>675</v>
      </c>
    </row>
    <row r="3258" ht="15.75" customHeight="1">
      <c r="A3258" s="17" t="s">
        <v>3930</v>
      </c>
      <c r="B3258" s="17" t="s">
        <v>616</v>
      </c>
      <c r="C3258" s="18">
        <v>45725.0</v>
      </c>
      <c r="D3258" s="18">
        <v>45755.0</v>
      </c>
      <c r="E3258" s="17" t="s">
        <v>684</v>
      </c>
      <c r="F3258" s="20">
        <v>19.99</v>
      </c>
      <c r="G3258" s="17" t="s">
        <v>3837</v>
      </c>
    </row>
    <row r="3259" ht="15.75" customHeight="1">
      <c r="A3259" s="15" t="s">
        <v>3931</v>
      </c>
      <c r="B3259" s="15" t="s">
        <v>222</v>
      </c>
      <c r="C3259" s="16">
        <v>45725.0</v>
      </c>
      <c r="D3259" s="16">
        <v>45755.0</v>
      </c>
      <c r="E3259" s="15" t="s">
        <v>684</v>
      </c>
      <c r="F3259" s="19">
        <v>19.99</v>
      </c>
      <c r="G3259" s="15" t="s">
        <v>3837</v>
      </c>
    </row>
    <row r="3260" ht="15.75" customHeight="1">
      <c r="A3260" s="17" t="s">
        <v>3932</v>
      </c>
      <c r="B3260" s="17" t="s">
        <v>369</v>
      </c>
      <c r="C3260" s="18">
        <v>45725.0</v>
      </c>
      <c r="D3260" s="18">
        <v>45755.0</v>
      </c>
      <c r="E3260" s="17" t="s">
        <v>684</v>
      </c>
      <c r="F3260" s="20">
        <v>19.99</v>
      </c>
      <c r="G3260" s="17" t="s">
        <v>3837</v>
      </c>
    </row>
    <row r="3261" ht="15.75" customHeight="1">
      <c r="A3261" s="15" t="s">
        <v>3933</v>
      </c>
      <c r="B3261" s="15" t="s">
        <v>152</v>
      </c>
      <c r="C3261" s="16">
        <v>45725.0</v>
      </c>
      <c r="D3261" s="16">
        <v>45755.0</v>
      </c>
      <c r="E3261" s="15" t="s">
        <v>684</v>
      </c>
      <c r="F3261" s="19">
        <v>19.99</v>
      </c>
      <c r="G3261" s="15" t="s">
        <v>3837</v>
      </c>
    </row>
    <row r="3262" ht="15.75" customHeight="1">
      <c r="A3262" s="17" t="s">
        <v>3934</v>
      </c>
      <c r="B3262" s="17" t="s">
        <v>189</v>
      </c>
      <c r="C3262" s="18">
        <v>45725.0</v>
      </c>
      <c r="D3262" s="18">
        <v>45755.0</v>
      </c>
      <c r="E3262" s="17" t="s">
        <v>684</v>
      </c>
      <c r="F3262" s="20">
        <v>19.99</v>
      </c>
      <c r="G3262" s="17" t="s">
        <v>3837</v>
      </c>
    </row>
    <row r="3263" ht="15.75" customHeight="1">
      <c r="A3263" s="15" t="s">
        <v>3935</v>
      </c>
      <c r="B3263" s="15" t="s">
        <v>91</v>
      </c>
      <c r="C3263" s="16">
        <v>45725.0</v>
      </c>
      <c r="D3263" s="16">
        <v>45755.0</v>
      </c>
      <c r="E3263" s="15" t="s">
        <v>684</v>
      </c>
      <c r="F3263" s="19">
        <v>19.99</v>
      </c>
      <c r="G3263" s="15" t="s">
        <v>3837</v>
      </c>
    </row>
    <row r="3264" ht="15.75" customHeight="1">
      <c r="A3264" s="17" t="s">
        <v>3936</v>
      </c>
      <c r="B3264" s="17" t="s">
        <v>617</v>
      </c>
      <c r="C3264" s="18">
        <v>45726.0</v>
      </c>
      <c r="D3264" s="18">
        <v>45756.0</v>
      </c>
      <c r="E3264" s="17" t="s">
        <v>684</v>
      </c>
      <c r="F3264" s="20">
        <v>19.99</v>
      </c>
      <c r="G3264" s="17" t="s">
        <v>3837</v>
      </c>
    </row>
    <row r="3265" ht="15.75" customHeight="1">
      <c r="A3265" s="15" t="s">
        <v>3937</v>
      </c>
      <c r="B3265" s="15" t="s">
        <v>247</v>
      </c>
      <c r="C3265" s="16">
        <v>45726.0</v>
      </c>
      <c r="D3265" s="16">
        <v>45756.0</v>
      </c>
      <c r="E3265" s="15" t="s">
        <v>684</v>
      </c>
      <c r="F3265" s="19">
        <v>19.99</v>
      </c>
      <c r="G3265" s="15" t="s">
        <v>3837</v>
      </c>
    </row>
    <row r="3266" ht="15.75" customHeight="1">
      <c r="A3266" s="17" t="s">
        <v>3938</v>
      </c>
      <c r="B3266" s="17" t="s">
        <v>92</v>
      </c>
      <c r="C3266" s="18">
        <v>45726.0</v>
      </c>
      <c r="D3266" s="18">
        <v>45756.0</v>
      </c>
      <c r="E3266" s="17" t="s">
        <v>684</v>
      </c>
      <c r="F3266" s="20">
        <v>19.99</v>
      </c>
      <c r="G3266" s="17" t="s">
        <v>3837</v>
      </c>
    </row>
    <row r="3267" ht="15.75" customHeight="1">
      <c r="A3267" s="15" t="s">
        <v>3939</v>
      </c>
      <c r="B3267" s="15" t="s">
        <v>190</v>
      </c>
      <c r="C3267" s="16">
        <v>45726.0</v>
      </c>
      <c r="D3267" s="16">
        <v>45756.0</v>
      </c>
      <c r="E3267" s="15" t="s">
        <v>684</v>
      </c>
      <c r="F3267" s="19">
        <v>19.99</v>
      </c>
      <c r="G3267" s="15" t="s">
        <v>3837</v>
      </c>
    </row>
    <row r="3268" ht="15.75" customHeight="1">
      <c r="A3268" s="17" t="s">
        <v>3940</v>
      </c>
      <c r="B3268" s="17" t="s">
        <v>471</v>
      </c>
      <c r="C3268" s="18">
        <v>45726.0</v>
      </c>
      <c r="D3268" s="18">
        <v>45756.0</v>
      </c>
      <c r="E3268" s="17" t="s">
        <v>684</v>
      </c>
      <c r="F3268" s="20">
        <v>19.99</v>
      </c>
      <c r="G3268" s="17" t="s">
        <v>3837</v>
      </c>
    </row>
    <row r="3269" ht="15.75" customHeight="1">
      <c r="A3269" s="15" t="s">
        <v>3941</v>
      </c>
      <c r="B3269" s="15" t="s">
        <v>290</v>
      </c>
      <c r="C3269" s="16">
        <v>45726.0</v>
      </c>
      <c r="D3269" s="16">
        <v>45756.0</v>
      </c>
      <c r="E3269" s="15" t="s">
        <v>684</v>
      </c>
      <c r="F3269" s="19">
        <v>19.99</v>
      </c>
      <c r="G3269" s="15" t="s">
        <v>3837</v>
      </c>
    </row>
    <row r="3270" ht="15.75" customHeight="1">
      <c r="A3270" s="17" t="s">
        <v>3942</v>
      </c>
      <c r="B3270" s="17" t="s">
        <v>154</v>
      </c>
      <c r="C3270" s="18">
        <v>45726.0</v>
      </c>
      <c r="D3270" s="18">
        <v>45756.0</v>
      </c>
      <c r="E3270" s="17" t="s">
        <v>684</v>
      </c>
      <c r="F3270" s="20">
        <v>19.99</v>
      </c>
      <c r="G3270" s="17" t="s">
        <v>3837</v>
      </c>
    </row>
    <row r="3271" ht="15.75" customHeight="1">
      <c r="A3271" s="15" t="s">
        <v>3943</v>
      </c>
      <c r="B3271" s="15" t="s">
        <v>370</v>
      </c>
      <c r="C3271" s="16">
        <v>45726.0</v>
      </c>
      <c r="D3271" s="16">
        <v>45756.0</v>
      </c>
      <c r="E3271" s="15" t="s">
        <v>684</v>
      </c>
      <c r="F3271" s="19">
        <v>19.99</v>
      </c>
      <c r="G3271" s="15" t="s">
        <v>3837</v>
      </c>
    </row>
    <row r="3272" ht="15.75" customHeight="1">
      <c r="A3272" s="17" t="s">
        <v>3944</v>
      </c>
      <c r="B3272" s="17" t="s">
        <v>473</v>
      </c>
      <c r="C3272" s="18">
        <v>45726.0</v>
      </c>
      <c r="D3272" s="18">
        <v>45756.0</v>
      </c>
      <c r="E3272" s="17" t="s">
        <v>684</v>
      </c>
      <c r="F3272" s="20">
        <v>19.99</v>
      </c>
      <c r="G3272" s="17" t="s">
        <v>3837</v>
      </c>
    </row>
    <row r="3273" ht="15.75" customHeight="1">
      <c r="A3273" s="15" t="s">
        <v>3945</v>
      </c>
      <c r="B3273" s="15" t="s">
        <v>291</v>
      </c>
      <c r="C3273" s="16">
        <v>45726.0</v>
      </c>
      <c r="D3273" s="16">
        <v>45756.0</v>
      </c>
      <c r="E3273" s="15" t="s">
        <v>684</v>
      </c>
      <c r="F3273" s="19">
        <v>19.99</v>
      </c>
      <c r="G3273" s="15" t="s">
        <v>3837</v>
      </c>
    </row>
    <row r="3274" ht="15.75" customHeight="1">
      <c r="A3274" s="17" t="s">
        <v>3946</v>
      </c>
      <c r="B3274" s="17" t="s">
        <v>627</v>
      </c>
      <c r="C3274" s="18">
        <v>45726.0</v>
      </c>
      <c r="D3274" s="18">
        <v>45733.0</v>
      </c>
      <c r="E3274" s="17" t="s">
        <v>674</v>
      </c>
      <c r="F3274" s="20">
        <v>0.0</v>
      </c>
      <c r="G3274" s="17" t="s">
        <v>675</v>
      </c>
    </row>
    <row r="3275" ht="15.75" customHeight="1">
      <c r="A3275" s="15" t="s">
        <v>3947</v>
      </c>
      <c r="B3275" s="15" t="s">
        <v>371</v>
      </c>
      <c r="C3275" s="16">
        <v>45726.0</v>
      </c>
      <c r="D3275" s="16">
        <v>45756.0</v>
      </c>
      <c r="E3275" s="15" t="s">
        <v>684</v>
      </c>
      <c r="F3275" s="19">
        <v>19.99</v>
      </c>
      <c r="G3275" s="15" t="s">
        <v>3837</v>
      </c>
    </row>
    <row r="3276" ht="15.75" customHeight="1">
      <c r="A3276" s="17" t="s">
        <v>3948</v>
      </c>
      <c r="B3276" s="17" t="s">
        <v>628</v>
      </c>
      <c r="C3276" s="18">
        <v>45727.0</v>
      </c>
      <c r="D3276" s="18">
        <v>45734.0</v>
      </c>
      <c r="E3276" s="17" t="s">
        <v>674</v>
      </c>
      <c r="F3276" s="20">
        <v>0.0</v>
      </c>
      <c r="G3276" s="17" t="s">
        <v>675</v>
      </c>
    </row>
    <row r="3277" ht="15.75" customHeight="1">
      <c r="A3277" s="15" t="s">
        <v>3949</v>
      </c>
      <c r="B3277" s="15" t="s">
        <v>618</v>
      </c>
      <c r="C3277" s="16">
        <v>45727.0</v>
      </c>
      <c r="D3277" s="16">
        <v>45757.0</v>
      </c>
      <c r="E3277" s="15" t="s">
        <v>684</v>
      </c>
      <c r="F3277" s="19">
        <v>19.99</v>
      </c>
      <c r="G3277" s="15" t="s">
        <v>3837</v>
      </c>
    </row>
    <row r="3278" ht="15.75" customHeight="1">
      <c r="A3278" s="17" t="s">
        <v>3950</v>
      </c>
      <c r="B3278" s="17" t="s">
        <v>372</v>
      </c>
      <c r="C3278" s="18">
        <v>45727.0</v>
      </c>
      <c r="D3278" s="18">
        <v>45757.0</v>
      </c>
      <c r="E3278" s="17" t="s">
        <v>684</v>
      </c>
      <c r="F3278" s="20">
        <v>19.99</v>
      </c>
      <c r="G3278" s="17" t="s">
        <v>3837</v>
      </c>
    </row>
    <row r="3279" ht="15.75" customHeight="1">
      <c r="A3279" s="15" t="s">
        <v>3951</v>
      </c>
      <c r="B3279" s="15" t="s">
        <v>562</v>
      </c>
      <c r="C3279" s="16">
        <v>45727.0</v>
      </c>
      <c r="D3279" s="16">
        <v>45757.0</v>
      </c>
      <c r="E3279" s="15" t="s">
        <v>684</v>
      </c>
      <c r="F3279" s="19">
        <v>19.99</v>
      </c>
      <c r="G3279" s="15" t="s">
        <v>3837</v>
      </c>
    </row>
    <row r="3280" ht="15.75" customHeight="1">
      <c r="A3280" s="17" t="s">
        <v>3952</v>
      </c>
      <c r="B3280" s="17" t="s">
        <v>292</v>
      </c>
      <c r="C3280" s="18">
        <v>45727.0</v>
      </c>
      <c r="D3280" s="18">
        <v>45757.0</v>
      </c>
      <c r="E3280" s="17" t="s">
        <v>684</v>
      </c>
      <c r="F3280" s="20">
        <v>19.99</v>
      </c>
      <c r="G3280" s="17" t="s">
        <v>3837</v>
      </c>
    </row>
    <row r="3281" ht="15.75" customHeight="1">
      <c r="A3281" s="15" t="s">
        <v>3953</v>
      </c>
      <c r="B3281" s="15" t="s">
        <v>123</v>
      </c>
      <c r="C3281" s="16">
        <v>45727.0</v>
      </c>
      <c r="D3281" s="16">
        <v>45757.0</v>
      </c>
      <c r="E3281" s="15" t="s">
        <v>684</v>
      </c>
      <c r="F3281" s="19">
        <v>19.99</v>
      </c>
      <c r="G3281" s="15" t="s">
        <v>3837</v>
      </c>
    </row>
    <row r="3282" ht="15.75" customHeight="1">
      <c r="A3282" s="17" t="s">
        <v>3954</v>
      </c>
      <c r="B3282" s="17" t="s">
        <v>420</v>
      </c>
      <c r="C3282" s="18">
        <v>45727.0</v>
      </c>
      <c r="D3282" s="18">
        <v>45757.0</v>
      </c>
      <c r="E3282" s="17" t="s">
        <v>684</v>
      </c>
      <c r="F3282" s="20">
        <v>19.99</v>
      </c>
      <c r="G3282" s="17" t="s">
        <v>3837</v>
      </c>
    </row>
    <row r="3283" ht="15.75" customHeight="1">
      <c r="A3283" s="15" t="s">
        <v>3955</v>
      </c>
      <c r="B3283" s="15" t="s">
        <v>474</v>
      </c>
      <c r="C3283" s="16">
        <v>45727.0</v>
      </c>
      <c r="D3283" s="16">
        <v>45757.0</v>
      </c>
      <c r="E3283" s="15" t="s">
        <v>684</v>
      </c>
      <c r="F3283" s="19">
        <v>19.99</v>
      </c>
      <c r="G3283" s="15" t="s">
        <v>3837</v>
      </c>
    </row>
    <row r="3284" ht="15.75" customHeight="1">
      <c r="A3284" s="17" t="s">
        <v>3956</v>
      </c>
      <c r="B3284" s="17" t="s">
        <v>563</v>
      </c>
      <c r="C3284" s="18">
        <v>45727.0</v>
      </c>
      <c r="D3284" s="18">
        <v>45757.0</v>
      </c>
      <c r="E3284" s="17" t="s">
        <v>684</v>
      </c>
      <c r="F3284" s="20">
        <v>19.99</v>
      </c>
      <c r="G3284" s="17" t="s">
        <v>3837</v>
      </c>
    </row>
    <row r="3285" ht="15.75" customHeight="1">
      <c r="A3285" s="15" t="s">
        <v>3957</v>
      </c>
      <c r="B3285" s="15" t="s">
        <v>333</v>
      </c>
      <c r="C3285" s="16">
        <v>45727.0</v>
      </c>
      <c r="D3285" s="16">
        <v>45757.0</v>
      </c>
      <c r="E3285" s="15" t="s">
        <v>684</v>
      </c>
      <c r="F3285" s="19">
        <v>19.99</v>
      </c>
      <c r="G3285" s="15" t="s">
        <v>3837</v>
      </c>
    </row>
    <row r="3286" ht="15.75" customHeight="1">
      <c r="A3286" s="17" t="s">
        <v>3958</v>
      </c>
      <c r="B3286" s="17" t="s">
        <v>619</v>
      </c>
      <c r="C3286" s="18">
        <v>45727.0</v>
      </c>
      <c r="D3286" s="18">
        <v>45757.0</v>
      </c>
      <c r="E3286" s="17" t="s">
        <v>684</v>
      </c>
      <c r="F3286" s="20">
        <v>19.99</v>
      </c>
      <c r="G3286" s="17" t="s">
        <v>3837</v>
      </c>
    </row>
    <row r="3287" ht="15.75" customHeight="1">
      <c r="A3287" s="15" t="s">
        <v>3959</v>
      </c>
      <c r="B3287" s="15" t="s">
        <v>334</v>
      </c>
      <c r="C3287" s="16">
        <v>45727.0</v>
      </c>
      <c r="D3287" s="16">
        <v>45757.0</v>
      </c>
      <c r="E3287" s="15" t="s">
        <v>684</v>
      </c>
      <c r="F3287" s="19">
        <v>19.99</v>
      </c>
      <c r="G3287" s="15" t="s">
        <v>3837</v>
      </c>
    </row>
    <row r="3288" ht="15.75" customHeight="1">
      <c r="A3288" s="17" t="s">
        <v>3960</v>
      </c>
      <c r="B3288" s="17" t="s">
        <v>191</v>
      </c>
      <c r="C3288" s="18">
        <v>45727.0</v>
      </c>
      <c r="D3288" s="18">
        <v>45757.0</v>
      </c>
      <c r="E3288" s="17" t="s">
        <v>684</v>
      </c>
      <c r="F3288" s="20">
        <v>19.99</v>
      </c>
      <c r="G3288" s="17" t="s">
        <v>3837</v>
      </c>
    </row>
    <row r="3289" ht="15.75" customHeight="1">
      <c r="A3289" s="15" t="s">
        <v>3961</v>
      </c>
      <c r="B3289" s="15" t="s">
        <v>373</v>
      </c>
      <c r="C3289" s="16">
        <v>45727.0</v>
      </c>
      <c r="D3289" s="16">
        <v>45757.0</v>
      </c>
      <c r="E3289" s="15" t="s">
        <v>684</v>
      </c>
      <c r="F3289" s="19">
        <v>19.99</v>
      </c>
      <c r="G3289" s="15" t="s">
        <v>3837</v>
      </c>
    </row>
    <row r="3290" ht="15.75" customHeight="1">
      <c r="A3290" s="17" t="s">
        <v>3962</v>
      </c>
      <c r="B3290" s="17" t="s">
        <v>421</v>
      </c>
      <c r="C3290" s="18">
        <v>45727.0</v>
      </c>
      <c r="D3290" s="18">
        <v>45757.0</v>
      </c>
      <c r="E3290" s="17" t="s">
        <v>684</v>
      </c>
      <c r="F3290" s="20">
        <v>19.99</v>
      </c>
      <c r="G3290" s="17" t="s">
        <v>3837</v>
      </c>
    </row>
    <row r="3291" ht="15.75" customHeight="1">
      <c r="A3291" s="15" t="s">
        <v>3963</v>
      </c>
      <c r="B3291" s="15" t="s">
        <v>73</v>
      </c>
      <c r="C3291" s="16">
        <v>45727.0</v>
      </c>
      <c r="D3291" s="16">
        <v>45757.0</v>
      </c>
      <c r="E3291" s="15" t="s">
        <v>684</v>
      </c>
      <c r="F3291" s="19">
        <v>19.99</v>
      </c>
      <c r="G3291" s="15" t="s">
        <v>3837</v>
      </c>
    </row>
    <row r="3292" ht="15.75" customHeight="1">
      <c r="A3292" s="17" t="s">
        <v>3964</v>
      </c>
      <c r="B3292" s="17" t="s">
        <v>519</v>
      </c>
      <c r="C3292" s="18">
        <v>45727.0</v>
      </c>
      <c r="D3292" s="18">
        <v>45757.0</v>
      </c>
      <c r="E3292" s="17" t="s">
        <v>684</v>
      </c>
      <c r="F3292" s="20">
        <v>19.99</v>
      </c>
      <c r="G3292" s="17" t="s">
        <v>3837</v>
      </c>
    </row>
    <row r="3293" ht="15.75" customHeight="1">
      <c r="A3293" s="15" t="s">
        <v>3965</v>
      </c>
      <c r="B3293" s="15" t="s">
        <v>374</v>
      </c>
      <c r="C3293" s="16">
        <v>45727.0</v>
      </c>
      <c r="D3293" s="16">
        <v>45757.0</v>
      </c>
      <c r="E3293" s="15" t="s">
        <v>684</v>
      </c>
      <c r="F3293" s="19">
        <v>19.99</v>
      </c>
      <c r="G3293" s="15" t="s">
        <v>3837</v>
      </c>
    </row>
    <row r="3294" ht="15.75" customHeight="1">
      <c r="A3294" s="17" t="s">
        <v>3966</v>
      </c>
      <c r="B3294" s="17" t="s">
        <v>475</v>
      </c>
      <c r="C3294" s="18">
        <v>45727.0</v>
      </c>
      <c r="D3294" s="18">
        <v>45757.0</v>
      </c>
      <c r="E3294" s="17" t="s">
        <v>684</v>
      </c>
      <c r="F3294" s="20">
        <v>19.99</v>
      </c>
      <c r="G3294" s="17" t="s">
        <v>3837</v>
      </c>
    </row>
    <row r="3295" ht="15.75" customHeight="1">
      <c r="A3295" s="15" t="s">
        <v>3967</v>
      </c>
      <c r="B3295" s="15" t="s">
        <v>74</v>
      </c>
      <c r="C3295" s="16">
        <v>45727.0</v>
      </c>
      <c r="D3295" s="16">
        <v>45757.0</v>
      </c>
      <c r="E3295" s="15" t="s">
        <v>684</v>
      </c>
      <c r="F3295" s="19">
        <v>19.99</v>
      </c>
      <c r="G3295" s="15" t="s">
        <v>3837</v>
      </c>
    </row>
    <row r="3296" ht="15.75" customHeight="1">
      <c r="A3296" s="17" t="s">
        <v>3968</v>
      </c>
      <c r="B3296" s="17" t="s">
        <v>520</v>
      </c>
      <c r="C3296" s="18">
        <v>45728.0</v>
      </c>
      <c r="D3296" s="18">
        <v>45758.0</v>
      </c>
      <c r="E3296" s="17" t="s">
        <v>684</v>
      </c>
      <c r="F3296" s="20">
        <v>19.99</v>
      </c>
      <c r="G3296" s="17" t="s">
        <v>3837</v>
      </c>
    </row>
    <row r="3297" ht="15.75" customHeight="1">
      <c r="A3297" s="15" t="s">
        <v>3969</v>
      </c>
      <c r="B3297" s="15" t="s">
        <v>620</v>
      </c>
      <c r="C3297" s="16">
        <v>45728.0</v>
      </c>
      <c r="D3297" s="16">
        <v>45758.0</v>
      </c>
      <c r="E3297" s="15" t="s">
        <v>684</v>
      </c>
      <c r="F3297" s="19">
        <v>19.99</v>
      </c>
      <c r="G3297" s="15" t="s">
        <v>3837</v>
      </c>
    </row>
    <row r="3298" ht="15.75" customHeight="1">
      <c r="A3298" s="17" t="s">
        <v>3970</v>
      </c>
      <c r="B3298" s="17" t="s">
        <v>422</v>
      </c>
      <c r="C3298" s="18">
        <v>45728.0</v>
      </c>
      <c r="D3298" s="18">
        <v>45758.0</v>
      </c>
      <c r="E3298" s="17" t="s">
        <v>684</v>
      </c>
      <c r="F3298" s="20">
        <v>19.99</v>
      </c>
      <c r="G3298" s="17" t="s">
        <v>3837</v>
      </c>
    </row>
    <row r="3299" ht="15.75" customHeight="1">
      <c r="A3299" s="15" t="s">
        <v>3971</v>
      </c>
      <c r="B3299" s="15" t="s">
        <v>375</v>
      </c>
      <c r="C3299" s="16">
        <v>45728.0</v>
      </c>
      <c r="D3299" s="16">
        <v>45758.0</v>
      </c>
      <c r="E3299" s="15" t="s">
        <v>684</v>
      </c>
      <c r="F3299" s="19">
        <v>19.99</v>
      </c>
      <c r="G3299" s="15" t="s">
        <v>3837</v>
      </c>
    </row>
    <row r="3300" ht="15.75" customHeight="1">
      <c r="A3300" s="17" t="s">
        <v>3972</v>
      </c>
      <c r="B3300" s="17" t="s">
        <v>564</v>
      </c>
      <c r="C3300" s="18">
        <v>45728.0</v>
      </c>
      <c r="D3300" s="18">
        <v>45758.0</v>
      </c>
      <c r="E3300" s="17" t="s">
        <v>684</v>
      </c>
      <c r="F3300" s="20">
        <v>19.99</v>
      </c>
      <c r="G3300" s="17" t="s">
        <v>3837</v>
      </c>
    </row>
    <row r="3301" ht="15.75" customHeight="1">
      <c r="A3301" s="15" t="s">
        <v>3973</v>
      </c>
      <c r="B3301" s="15" t="s">
        <v>565</v>
      </c>
      <c r="C3301" s="16">
        <v>45728.0</v>
      </c>
      <c r="D3301" s="16">
        <v>45758.0</v>
      </c>
      <c r="E3301" s="15" t="s">
        <v>684</v>
      </c>
      <c r="F3301" s="19">
        <v>19.99</v>
      </c>
      <c r="G3301" s="15" t="s">
        <v>3837</v>
      </c>
    </row>
    <row r="3302" ht="15.75" customHeight="1">
      <c r="A3302" s="17" t="s">
        <v>3974</v>
      </c>
      <c r="B3302" s="17" t="s">
        <v>423</v>
      </c>
      <c r="C3302" s="18">
        <v>45728.0</v>
      </c>
      <c r="D3302" s="18">
        <v>45758.0</v>
      </c>
      <c r="E3302" s="17" t="s">
        <v>684</v>
      </c>
      <c r="F3302" s="20">
        <v>19.99</v>
      </c>
      <c r="G3302" s="17" t="s">
        <v>3837</v>
      </c>
    </row>
    <row r="3303" ht="15.75" customHeight="1">
      <c r="A3303" s="15" t="s">
        <v>3975</v>
      </c>
      <c r="B3303" s="15" t="s">
        <v>424</v>
      </c>
      <c r="C3303" s="16">
        <v>45728.0</v>
      </c>
      <c r="D3303" s="16">
        <v>45758.0</v>
      </c>
      <c r="E3303" s="15" t="s">
        <v>684</v>
      </c>
      <c r="F3303" s="19">
        <v>19.99</v>
      </c>
      <c r="G3303" s="15" t="s">
        <v>3837</v>
      </c>
    </row>
    <row r="3304" ht="15.75" customHeight="1">
      <c r="A3304" s="17" t="s">
        <v>3976</v>
      </c>
      <c r="B3304" s="17" t="s">
        <v>566</v>
      </c>
      <c r="C3304" s="18">
        <v>45728.0</v>
      </c>
      <c r="D3304" s="18">
        <v>45758.0</v>
      </c>
      <c r="E3304" s="17" t="s">
        <v>684</v>
      </c>
      <c r="F3304" s="20">
        <v>19.99</v>
      </c>
      <c r="G3304" s="17" t="s">
        <v>3837</v>
      </c>
    </row>
    <row r="3305" ht="15.75" customHeight="1">
      <c r="A3305" s="15" t="s">
        <v>3977</v>
      </c>
      <c r="B3305" s="15" t="s">
        <v>335</v>
      </c>
      <c r="C3305" s="16">
        <v>45728.0</v>
      </c>
      <c r="D3305" s="16">
        <v>45758.0</v>
      </c>
      <c r="E3305" s="15" t="s">
        <v>684</v>
      </c>
      <c r="F3305" s="19">
        <v>19.99</v>
      </c>
      <c r="G3305" s="15" t="s">
        <v>3837</v>
      </c>
    </row>
    <row r="3306" ht="15.75" customHeight="1">
      <c r="A3306" s="17" t="s">
        <v>3978</v>
      </c>
      <c r="B3306" s="17" t="s">
        <v>156</v>
      </c>
      <c r="C3306" s="18">
        <v>45728.0</v>
      </c>
      <c r="D3306" s="18">
        <v>45758.0</v>
      </c>
      <c r="E3306" s="17" t="s">
        <v>684</v>
      </c>
      <c r="F3306" s="20">
        <v>19.99</v>
      </c>
      <c r="G3306" s="17" t="s">
        <v>3837</v>
      </c>
    </row>
    <row r="3307" ht="15.75" customHeight="1">
      <c r="A3307" s="15" t="s">
        <v>3979</v>
      </c>
      <c r="B3307" s="15" t="s">
        <v>629</v>
      </c>
      <c r="C3307" s="16">
        <v>45728.0</v>
      </c>
      <c r="D3307" s="16">
        <v>45735.0</v>
      </c>
      <c r="E3307" s="15" t="s">
        <v>674</v>
      </c>
      <c r="F3307" s="19">
        <v>0.0</v>
      </c>
      <c r="G3307" s="15" t="s">
        <v>675</v>
      </c>
    </row>
    <row r="3308" ht="15.75" customHeight="1">
      <c r="A3308" s="17" t="s">
        <v>3980</v>
      </c>
      <c r="B3308" s="17" t="s">
        <v>567</v>
      </c>
      <c r="C3308" s="18">
        <v>45728.0</v>
      </c>
      <c r="D3308" s="18">
        <v>45758.0</v>
      </c>
      <c r="E3308" s="17" t="s">
        <v>684</v>
      </c>
      <c r="F3308" s="20">
        <v>19.99</v>
      </c>
      <c r="G3308" s="17" t="s">
        <v>3837</v>
      </c>
    </row>
    <row r="3309" ht="15.75" customHeight="1">
      <c r="A3309" s="15" t="s">
        <v>3981</v>
      </c>
      <c r="B3309" s="15" t="s">
        <v>630</v>
      </c>
      <c r="C3309" s="16">
        <v>45729.0</v>
      </c>
      <c r="D3309" s="16">
        <v>45736.0</v>
      </c>
      <c r="E3309" s="15" t="s">
        <v>674</v>
      </c>
      <c r="F3309" s="19">
        <v>0.0</v>
      </c>
      <c r="G3309" s="15" t="s">
        <v>675</v>
      </c>
    </row>
    <row r="3310" ht="15.75" customHeight="1">
      <c r="A3310" s="17" t="s">
        <v>3982</v>
      </c>
      <c r="B3310" s="17" t="s">
        <v>192</v>
      </c>
      <c r="C3310" s="18">
        <v>45729.0</v>
      </c>
      <c r="D3310" s="18">
        <v>45759.0</v>
      </c>
      <c r="E3310" s="17" t="s">
        <v>684</v>
      </c>
      <c r="F3310" s="20">
        <v>19.99</v>
      </c>
      <c r="G3310" s="17" t="s">
        <v>3837</v>
      </c>
    </row>
    <row r="3311" ht="15.75" customHeight="1">
      <c r="A3311" s="15" t="s">
        <v>3983</v>
      </c>
      <c r="B3311" s="15" t="s">
        <v>631</v>
      </c>
      <c r="C3311" s="16">
        <v>45729.0</v>
      </c>
      <c r="D3311" s="16">
        <v>45736.0</v>
      </c>
      <c r="E3311" s="15" t="s">
        <v>674</v>
      </c>
      <c r="F3311" s="19">
        <v>0.0</v>
      </c>
      <c r="G3311" s="15" t="s">
        <v>675</v>
      </c>
    </row>
    <row r="3312" ht="15.75" customHeight="1">
      <c r="A3312" s="17" t="s">
        <v>3984</v>
      </c>
      <c r="B3312" s="17" t="s">
        <v>249</v>
      </c>
      <c r="C3312" s="18">
        <v>45729.0</v>
      </c>
      <c r="D3312" s="18">
        <v>45759.0</v>
      </c>
      <c r="E3312" s="17" t="s">
        <v>684</v>
      </c>
      <c r="F3312" s="20">
        <v>19.99</v>
      </c>
      <c r="G3312" s="17" t="s">
        <v>3837</v>
      </c>
    </row>
    <row r="3313" ht="15.75" customHeight="1">
      <c r="A3313" s="15" t="s">
        <v>3985</v>
      </c>
      <c r="B3313" s="15" t="s">
        <v>632</v>
      </c>
      <c r="C3313" s="16">
        <v>45729.0</v>
      </c>
      <c r="D3313" s="16">
        <v>45736.0</v>
      </c>
      <c r="E3313" s="15" t="s">
        <v>674</v>
      </c>
      <c r="F3313" s="19">
        <v>0.0</v>
      </c>
      <c r="G3313" s="15" t="s">
        <v>675</v>
      </c>
    </row>
    <row r="3314" ht="15.75" customHeight="1">
      <c r="A3314" s="17" t="s">
        <v>3986</v>
      </c>
      <c r="B3314" s="17" t="s">
        <v>250</v>
      </c>
      <c r="C3314" s="18">
        <v>45729.0</v>
      </c>
      <c r="D3314" s="18">
        <v>45759.0</v>
      </c>
      <c r="E3314" s="17" t="s">
        <v>684</v>
      </c>
      <c r="F3314" s="20">
        <v>19.99</v>
      </c>
      <c r="G3314" s="17" t="s">
        <v>3837</v>
      </c>
    </row>
    <row r="3315" ht="15.75" customHeight="1">
      <c r="A3315" s="15" t="s">
        <v>3987</v>
      </c>
      <c r="B3315" s="15" t="s">
        <v>124</v>
      </c>
      <c r="C3315" s="16">
        <v>45729.0</v>
      </c>
      <c r="D3315" s="16">
        <v>45759.0</v>
      </c>
      <c r="E3315" s="15" t="s">
        <v>684</v>
      </c>
      <c r="F3315" s="19">
        <v>19.99</v>
      </c>
      <c r="G3315" s="15" t="s">
        <v>3837</v>
      </c>
    </row>
    <row r="3316" ht="15.75" customHeight="1">
      <c r="A3316" s="17" t="s">
        <v>3988</v>
      </c>
      <c r="B3316" s="17" t="s">
        <v>621</v>
      </c>
      <c r="C3316" s="18">
        <v>45729.0</v>
      </c>
      <c r="D3316" s="18">
        <v>45759.0</v>
      </c>
      <c r="E3316" s="17" t="s">
        <v>684</v>
      </c>
      <c r="F3316" s="20">
        <v>19.99</v>
      </c>
      <c r="G3316" s="17" t="s">
        <v>3837</v>
      </c>
    </row>
    <row r="3317" ht="15.75" customHeight="1">
      <c r="A3317" s="15" t="s">
        <v>3989</v>
      </c>
      <c r="B3317" s="15" t="s">
        <v>633</v>
      </c>
      <c r="C3317" s="16">
        <v>45729.0</v>
      </c>
      <c r="D3317" s="16">
        <v>45736.0</v>
      </c>
      <c r="E3317" s="15" t="s">
        <v>674</v>
      </c>
      <c r="F3317" s="19">
        <v>0.0</v>
      </c>
      <c r="G3317" s="15" t="s">
        <v>675</v>
      </c>
    </row>
    <row r="3318" ht="15.75" customHeight="1">
      <c r="A3318" s="17" t="s">
        <v>3990</v>
      </c>
      <c r="B3318" s="17" t="s">
        <v>568</v>
      </c>
      <c r="C3318" s="18">
        <v>45729.0</v>
      </c>
      <c r="D3318" s="18">
        <v>45759.0</v>
      </c>
      <c r="E3318" s="17" t="s">
        <v>684</v>
      </c>
      <c r="F3318" s="20">
        <v>19.99</v>
      </c>
      <c r="G3318" s="17" t="s">
        <v>3837</v>
      </c>
    </row>
    <row r="3319" ht="15.75" customHeight="1">
      <c r="A3319" s="15" t="s">
        <v>3991</v>
      </c>
      <c r="B3319" s="15" t="s">
        <v>296</v>
      </c>
      <c r="C3319" s="16">
        <v>45729.0</v>
      </c>
      <c r="D3319" s="16">
        <v>45759.0</v>
      </c>
      <c r="E3319" s="15" t="s">
        <v>684</v>
      </c>
      <c r="F3319" s="19">
        <v>19.99</v>
      </c>
      <c r="G3319" s="15" t="s">
        <v>3837</v>
      </c>
    </row>
    <row r="3320" ht="15.75" customHeight="1">
      <c r="A3320" s="17" t="s">
        <v>3992</v>
      </c>
      <c r="B3320" s="17" t="s">
        <v>634</v>
      </c>
      <c r="C3320" s="18">
        <v>45729.0</v>
      </c>
      <c r="D3320" s="18">
        <v>45736.0</v>
      </c>
      <c r="E3320" s="17" t="s">
        <v>674</v>
      </c>
      <c r="F3320" s="20">
        <v>0.0</v>
      </c>
      <c r="G3320" s="17" t="s">
        <v>675</v>
      </c>
    </row>
    <row r="3321" ht="15.75" customHeight="1">
      <c r="A3321" s="15" t="s">
        <v>3993</v>
      </c>
      <c r="B3321" s="15" t="s">
        <v>157</v>
      </c>
      <c r="C3321" s="16">
        <v>45729.0</v>
      </c>
      <c r="D3321" s="16">
        <v>45759.0</v>
      </c>
      <c r="E3321" s="15" t="s">
        <v>684</v>
      </c>
      <c r="F3321" s="19">
        <v>19.99</v>
      </c>
      <c r="G3321" s="15" t="s">
        <v>3837</v>
      </c>
    </row>
    <row r="3322" ht="15.75" customHeight="1">
      <c r="A3322" s="17" t="s">
        <v>3994</v>
      </c>
      <c r="B3322" s="17" t="s">
        <v>477</v>
      </c>
      <c r="C3322" s="18">
        <v>45729.0</v>
      </c>
      <c r="D3322" s="18">
        <v>45759.0</v>
      </c>
      <c r="E3322" s="17" t="s">
        <v>684</v>
      </c>
      <c r="F3322" s="20">
        <v>19.99</v>
      </c>
      <c r="G3322" s="17" t="s">
        <v>3837</v>
      </c>
    </row>
    <row r="3323" ht="15.75" customHeight="1">
      <c r="A3323" s="15" t="s">
        <v>3995</v>
      </c>
      <c r="B3323" s="15" t="s">
        <v>478</v>
      </c>
      <c r="C3323" s="16">
        <v>45730.0</v>
      </c>
      <c r="D3323" s="16">
        <v>45760.0</v>
      </c>
      <c r="E3323" s="15" t="s">
        <v>684</v>
      </c>
      <c r="F3323" s="19">
        <v>19.99</v>
      </c>
      <c r="G3323" s="15" t="s">
        <v>3837</v>
      </c>
    </row>
    <row r="3324" ht="15.75" customHeight="1">
      <c r="A3324" s="17" t="s">
        <v>3996</v>
      </c>
      <c r="B3324" s="17" t="s">
        <v>635</v>
      </c>
      <c r="C3324" s="18">
        <v>45730.0</v>
      </c>
      <c r="D3324" s="18">
        <v>45737.0</v>
      </c>
      <c r="E3324" s="17" t="s">
        <v>674</v>
      </c>
      <c r="F3324" s="20">
        <v>0.0</v>
      </c>
      <c r="G3324" s="17" t="s">
        <v>675</v>
      </c>
    </row>
    <row r="3325" ht="15.75" customHeight="1">
      <c r="A3325" s="15" t="s">
        <v>3997</v>
      </c>
      <c r="B3325" s="15" t="s">
        <v>96</v>
      </c>
      <c r="C3325" s="16">
        <v>45730.0</v>
      </c>
      <c r="D3325" s="16">
        <v>45760.0</v>
      </c>
      <c r="E3325" s="15" t="s">
        <v>684</v>
      </c>
      <c r="F3325" s="19">
        <v>19.99</v>
      </c>
      <c r="G3325" s="15" t="s">
        <v>3837</v>
      </c>
    </row>
    <row r="3326" ht="15.75" customHeight="1">
      <c r="A3326" s="17" t="s">
        <v>3998</v>
      </c>
      <c r="B3326" s="17" t="s">
        <v>569</v>
      </c>
      <c r="C3326" s="18">
        <v>45730.0</v>
      </c>
      <c r="D3326" s="18">
        <v>45760.0</v>
      </c>
      <c r="E3326" s="17" t="s">
        <v>684</v>
      </c>
      <c r="F3326" s="20">
        <v>19.99</v>
      </c>
      <c r="G3326" s="17" t="s">
        <v>3837</v>
      </c>
    </row>
    <row r="3327" ht="15.75" customHeight="1">
      <c r="A3327" s="15" t="s">
        <v>3999</v>
      </c>
      <c r="B3327" s="15" t="s">
        <v>521</v>
      </c>
      <c r="C3327" s="16">
        <v>45730.0</v>
      </c>
      <c r="D3327" s="16">
        <v>45760.0</v>
      </c>
      <c r="E3327" s="15" t="s">
        <v>684</v>
      </c>
      <c r="F3327" s="19">
        <v>19.99</v>
      </c>
      <c r="G3327" s="15" t="s">
        <v>3837</v>
      </c>
    </row>
    <row r="3328" ht="15.75" customHeight="1">
      <c r="A3328" s="17" t="s">
        <v>4000</v>
      </c>
      <c r="B3328" s="17" t="s">
        <v>480</v>
      </c>
      <c r="C3328" s="18">
        <v>45730.0</v>
      </c>
      <c r="D3328" s="18">
        <v>45760.0</v>
      </c>
      <c r="E3328" s="17" t="s">
        <v>684</v>
      </c>
      <c r="F3328" s="20">
        <v>19.99</v>
      </c>
      <c r="G3328" s="17" t="s">
        <v>3837</v>
      </c>
    </row>
    <row r="3329" ht="15.75" customHeight="1">
      <c r="A3329" s="15" t="s">
        <v>4001</v>
      </c>
      <c r="B3329" s="15" t="s">
        <v>636</v>
      </c>
      <c r="C3329" s="16">
        <v>45730.0</v>
      </c>
      <c r="D3329" s="16">
        <v>45737.0</v>
      </c>
      <c r="E3329" s="15" t="s">
        <v>674</v>
      </c>
      <c r="F3329" s="19">
        <v>0.0</v>
      </c>
      <c r="G3329" s="15" t="s">
        <v>675</v>
      </c>
    </row>
    <row r="3330" ht="15.75" customHeight="1">
      <c r="A3330" s="17" t="s">
        <v>4002</v>
      </c>
      <c r="B3330" s="17" t="s">
        <v>570</v>
      </c>
      <c r="C3330" s="18">
        <v>45730.0</v>
      </c>
      <c r="D3330" s="18">
        <v>45760.0</v>
      </c>
      <c r="E3330" s="17" t="s">
        <v>684</v>
      </c>
      <c r="F3330" s="20">
        <v>19.99</v>
      </c>
      <c r="G3330" s="17" t="s">
        <v>3837</v>
      </c>
    </row>
    <row r="3331" ht="15.75" customHeight="1">
      <c r="A3331" s="15" t="s">
        <v>4003</v>
      </c>
      <c r="B3331" s="15" t="s">
        <v>622</v>
      </c>
      <c r="C3331" s="16">
        <v>45730.0</v>
      </c>
      <c r="D3331" s="16">
        <v>45760.0</v>
      </c>
      <c r="E3331" s="15" t="s">
        <v>684</v>
      </c>
      <c r="F3331" s="19">
        <v>19.99</v>
      </c>
      <c r="G3331" s="15" t="s">
        <v>3837</v>
      </c>
    </row>
    <row r="3332" ht="15.75" customHeight="1">
      <c r="A3332" s="17" t="s">
        <v>4004</v>
      </c>
      <c r="B3332" s="17" t="s">
        <v>522</v>
      </c>
      <c r="C3332" s="18">
        <v>45730.0</v>
      </c>
      <c r="D3332" s="18">
        <v>45760.0</v>
      </c>
      <c r="E3332" s="17" t="s">
        <v>684</v>
      </c>
      <c r="F3332" s="20">
        <v>19.99</v>
      </c>
      <c r="G3332" s="17" t="s">
        <v>3837</v>
      </c>
    </row>
    <row r="3333" ht="15.75" customHeight="1">
      <c r="A3333" s="15" t="s">
        <v>4005</v>
      </c>
      <c r="B3333" s="15" t="s">
        <v>571</v>
      </c>
      <c r="C3333" s="16">
        <v>45730.0</v>
      </c>
      <c r="D3333" s="16">
        <v>45760.0</v>
      </c>
      <c r="E3333" s="15" t="s">
        <v>684</v>
      </c>
      <c r="F3333" s="19">
        <v>19.99</v>
      </c>
      <c r="G3333" s="15" t="s">
        <v>3837</v>
      </c>
    </row>
    <row r="3334" ht="15.75" customHeight="1">
      <c r="A3334" s="17" t="s">
        <v>4006</v>
      </c>
      <c r="B3334" s="17" t="s">
        <v>253</v>
      </c>
      <c r="C3334" s="18">
        <v>45730.0</v>
      </c>
      <c r="D3334" s="18">
        <v>45760.0</v>
      </c>
      <c r="E3334" s="17" t="s">
        <v>684</v>
      </c>
      <c r="F3334" s="20">
        <v>19.99</v>
      </c>
      <c r="G3334" s="17" t="s">
        <v>3837</v>
      </c>
    </row>
    <row r="3335" ht="15.75" customHeight="1">
      <c r="A3335" s="15" t="s">
        <v>4007</v>
      </c>
      <c r="B3335" s="15" t="s">
        <v>425</v>
      </c>
      <c r="C3335" s="16">
        <v>45730.0</v>
      </c>
      <c r="D3335" s="16">
        <v>45760.0</v>
      </c>
      <c r="E3335" s="15" t="s">
        <v>684</v>
      </c>
      <c r="F3335" s="19">
        <v>19.99</v>
      </c>
      <c r="G3335" s="15" t="s">
        <v>3837</v>
      </c>
    </row>
    <row r="3336" ht="15.75" customHeight="1">
      <c r="A3336" s="17" t="s">
        <v>4008</v>
      </c>
      <c r="B3336" s="17" t="s">
        <v>637</v>
      </c>
      <c r="C3336" s="18">
        <v>45731.0</v>
      </c>
      <c r="D3336" s="18">
        <v>45738.0</v>
      </c>
      <c r="E3336" s="17" t="s">
        <v>674</v>
      </c>
      <c r="F3336" s="20">
        <v>0.0</v>
      </c>
      <c r="G3336" s="17" t="s">
        <v>675</v>
      </c>
    </row>
    <row r="3337" ht="15.75" customHeight="1">
      <c r="A3337" s="15" t="s">
        <v>4009</v>
      </c>
      <c r="B3337" s="15" t="s">
        <v>638</v>
      </c>
      <c r="C3337" s="16">
        <v>45731.0</v>
      </c>
      <c r="D3337" s="16">
        <v>45738.0</v>
      </c>
      <c r="E3337" s="15" t="s">
        <v>674</v>
      </c>
      <c r="F3337" s="19">
        <v>0.0</v>
      </c>
      <c r="G3337" s="15" t="s">
        <v>675</v>
      </c>
    </row>
    <row r="3338" ht="15.75" customHeight="1">
      <c r="A3338" s="17" t="s">
        <v>4010</v>
      </c>
      <c r="B3338" s="17" t="s">
        <v>299</v>
      </c>
      <c r="C3338" s="18">
        <v>45731.0</v>
      </c>
      <c r="D3338" s="18">
        <v>45761.0</v>
      </c>
      <c r="E3338" s="17" t="s">
        <v>684</v>
      </c>
      <c r="F3338" s="20">
        <v>19.99</v>
      </c>
      <c r="G3338" s="17" t="s">
        <v>3837</v>
      </c>
    </row>
    <row r="3339" ht="15.75" customHeight="1">
      <c r="A3339" s="15" t="s">
        <v>4011</v>
      </c>
      <c r="B3339" s="15" t="s">
        <v>75</v>
      </c>
      <c r="C3339" s="16">
        <v>45731.0</v>
      </c>
      <c r="D3339" s="16">
        <v>45761.0</v>
      </c>
      <c r="E3339" s="15" t="s">
        <v>684</v>
      </c>
      <c r="F3339" s="19">
        <v>19.99</v>
      </c>
      <c r="G3339" s="15" t="s">
        <v>3837</v>
      </c>
    </row>
    <row r="3340" ht="15.75" customHeight="1">
      <c r="A3340" s="17" t="s">
        <v>4012</v>
      </c>
      <c r="B3340" s="17" t="s">
        <v>255</v>
      </c>
      <c r="C3340" s="18">
        <v>45731.0</v>
      </c>
      <c r="D3340" s="18">
        <v>45761.0</v>
      </c>
      <c r="E3340" s="17" t="s">
        <v>684</v>
      </c>
      <c r="F3340" s="20">
        <v>19.99</v>
      </c>
      <c r="G3340" s="17" t="s">
        <v>3837</v>
      </c>
    </row>
    <row r="3341" ht="15.75" customHeight="1">
      <c r="A3341" s="15" t="s">
        <v>4013</v>
      </c>
      <c r="B3341" s="15" t="s">
        <v>639</v>
      </c>
      <c r="C3341" s="16">
        <v>45731.0</v>
      </c>
      <c r="D3341" s="16">
        <v>45738.0</v>
      </c>
      <c r="E3341" s="15" t="s">
        <v>674</v>
      </c>
      <c r="F3341" s="19">
        <v>0.0</v>
      </c>
      <c r="G3341" s="15" t="s">
        <v>675</v>
      </c>
    </row>
    <row r="3342" ht="15.75" customHeight="1">
      <c r="A3342" s="17" t="s">
        <v>4014</v>
      </c>
      <c r="B3342" s="17" t="s">
        <v>427</v>
      </c>
      <c r="C3342" s="18">
        <v>45731.0</v>
      </c>
      <c r="D3342" s="18">
        <v>45761.0</v>
      </c>
      <c r="E3342" s="17" t="s">
        <v>684</v>
      </c>
      <c r="F3342" s="20">
        <v>19.99</v>
      </c>
      <c r="G3342" s="17" t="s">
        <v>3837</v>
      </c>
    </row>
    <row r="3343" ht="15.75" customHeight="1">
      <c r="A3343" s="15" t="s">
        <v>4015</v>
      </c>
      <c r="B3343" s="15" t="s">
        <v>481</v>
      </c>
      <c r="C3343" s="16">
        <v>45731.0</v>
      </c>
      <c r="D3343" s="16">
        <v>45761.0</v>
      </c>
      <c r="E3343" s="15" t="s">
        <v>684</v>
      </c>
      <c r="F3343" s="19">
        <v>19.99</v>
      </c>
      <c r="G3343" s="15" t="s">
        <v>3837</v>
      </c>
    </row>
    <row r="3344" ht="15.75" customHeight="1">
      <c r="A3344" s="17" t="s">
        <v>4016</v>
      </c>
      <c r="B3344" s="17" t="s">
        <v>640</v>
      </c>
      <c r="C3344" s="18">
        <v>45731.0</v>
      </c>
      <c r="D3344" s="18">
        <v>45738.0</v>
      </c>
      <c r="E3344" s="17" t="s">
        <v>674</v>
      </c>
      <c r="F3344" s="20">
        <v>0.0</v>
      </c>
      <c r="G3344" s="17" t="s">
        <v>675</v>
      </c>
    </row>
    <row r="3345" ht="15.75" customHeight="1">
      <c r="A3345" s="15" t="s">
        <v>4017</v>
      </c>
      <c r="B3345" s="15" t="s">
        <v>641</v>
      </c>
      <c r="C3345" s="16">
        <v>45731.0</v>
      </c>
      <c r="D3345" s="16">
        <v>45738.0</v>
      </c>
      <c r="E3345" s="15" t="s">
        <v>674</v>
      </c>
      <c r="F3345" s="19">
        <v>0.0</v>
      </c>
      <c r="G3345" s="15" t="s">
        <v>675</v>
      </c>
    </row>
    <row r="3346" ht="15.75" customHeight="1">
      <c r="A3346" s="17" t="s">
        <v>4018</v>
      </c>
      <c r="B3346" s="17" t="s">
        <v>572</v>
      </c>
      <c r="C3346" s="18">
        <v>45731.0</v>
      </c>
      <c r="D3346" s="18">
        <v>45761.0</v>
      </c>
      <c r="E3346" s="17" t="s">
        <v>684</v>
      </c>
      <c r="F3346" s="20">
        <v>19.99</v>
      </c>
      <c r="G3346" s="17" t="s">
        <v>3837</v>
      </c>
    </row>
    <row r="3347" ht="15.75" customHeight="1">
      <c r="A3347" s="15" t="s">
        <v>4019</v>
      </c>
      <c r="B3347" s="15" t="s">
        <v>623</v>
      </c>
      <c r="C3347" s="16">
        <v>45731.0</v>
      </c>
      <c r="D3347" s="16">
        <v>45761.0</v>
      </c>
      <c r="E3347" s="15" t="s">
        <v>684</v>
      </c>
      <c r="F3347" s="19">
        <v>19.99</v>
      </c>
      <c r="G3347" s="15" t="s">
        <v>3837</v>
      </c>
    </row>
    <row r="3348" ht="15.75" customHeight="1">
      <c r="A3348" s="17" t="s">
        <v>4020</v>
      </c>
      <c r="B3348" s="17" t="s">
        <v>642</v>
      </c>
      <c r="C3348" s="18">
        <v>45731.0</v>
      </c>
      <c r="D3348" s="18">
        <v>45738.0</v>
      </c>
      <c r="E3348" s="17" t="s">
        <v>674</v>
      </c>
      <c r="F3348" s="20">
        <v>0.0</v>
      </c>
      <c r="G3348" s="17" t="s">
        <v>675</v>
      </c>
    </row>
    <row r="3349" ht="15.75" customHeight="1">
      <c r="A3349" s="15" t="s">
        <v>4021</v>
      </c>
      <c r="B3349" s="15" t="s">
        <v>127</v>
      </c>
      <c r="C3349" s="16">
        <v>45731.0</v>
      </c>
      <c r="D3349" s="16">
        <v>45761.0</v>
      </c>
      <c r="E3349" s="15" t="s">
        <v>684</v>
      </c>
      <c r="F3349" s="19">
        <v>19.99</v>
      </c>
      <c r="G3349" s="15" t="s">
        <v>3837</v>
      </c>
    </row>
    <row r="3350" ht="15.75" customHeight="1">
      <c r="A3350" s="17" t="s">
        <v>4022</v>
      </c>
      <c r="B3350" s="17" t="s">
        <v>643</v>
      </c>
      <c r="C3350" s="18">
        <v>45731.0</v>
      </c>
      <c r="D3350" s="18">
        <v>45738.0</v>
      </c>
      <c r="E3350" s="17" t="s">
        <v>674</v>
      </c>
      <c r="F3350" s="20">
        <v>0.0</v>
      </c>
      <c r="G3350" s="17" t="s">
        <v>675</v>
      </c>
    </row>
    <row r="3351" ht="15.75" customHeight="1">
      <c r="A3351" s="15" t="s">
        <v>4023</v>
      </c>
      <c r="B3351" s="15" t="s">
        <v>573</v>
      </c>
      <c r="C3351" s="16">
        <v>45731.0</v>
      </c>
      <c r="D3351" s="16">
        <v>45761.0</v>
      </c>
      <c r="E3351" s="15" t="s">
        <v>684</v>
      </c>
      <c r="F3351" s="19">
        <v>19.99</v>
      </c>
      <c r="G3351" s="15" t="s">
        <v>3837</v>
      </c>
    </row>
    <row r="3352" ht="15.75" customHeight="1">
      <c r="A3352" s="17" t="s">
        <v>4024</v>
      </c>
      <c r="B3352" s="17" t="s">
        <v>378</v>
      </c>
      <c r="C3352" s="18">
        <v>45731.0</v>
      </c>
      <c r="D3352" s="18">
        <v>45761.0</v>
      </c>
      <c r="E3352" s="17" t="s">
        <v>684</v>
      </c>
      <c r="F3352" s="20">
        <v>19.99</v>
      </c>
      <c r="G3352" s="17" t="s">
        <v>3837</v>
      </c>
    </row>
    <row r="3353" ht="15.75" customHeight="1">
      <c r="A3353" s="15" t="s">
        <v>4025</v>
      </c>
      <c r="B3353" s="15" t="s">
        <v>525</v>
      </c>
      <c r="C3353" s="16">
        <v>45731.0</v>
      </c>
      <c r="D3353" s="16">
        <v>45761.0</v>
      </c>
      <c r="E3353" s="15" t="s">
        <v>684</v>
      </c>
      <c r="F3353" s="19">
        <v>19.99</v>
      </c>
      <c r="G3353" s="15" t="s">
        <v>3837</v>
      </c>
    </row>
    <row r="3354" ht="15.75" customHeight="1">
      <c r="A3354" s="17" t="s">
        <v>4026</v>
      </c>
      <c r="B3354" s="17" t="s">
        <v>624</v>
      </c>
      <c r="C3354" s="18">
        <v>45731.0</v>
      </c>
      <c r="D3354" s="18">
        <v>45761.0</v>
      </c>
      <c r="E3354" s="17" t="s">
        <v>684</v>
      </c>
      <c r="F3354" s="20">
        <v>19.99</v>
      </c>
      <c r="G3354" s="17" t="s">
        <v>3837</v>
      </c>
    </row>
    <row r="3355" ht="15.75" customHeight="1">
      <c r="A3355" s="15" t="s">
        <v>4027</v>
      </c>
      <c r="B3355" s="15" t="s">
        <v>483</v>
      </c>
      <c r="C3355" s="16">
        <v>45731.0</v>
      </c>
      <c r="D3355" s="16">
        <v>45761.0</v>
      </c>
      <c r="E3355" s="15" t="s">
        <v>684</v>
      </c>
      <c r="F3355" s="19">
        <v>19.99</v>
      </c>
      <c r="G3355" s="15" t="s">
        <v>3837</v>
      </c>
    </row>
    <row r="3356" ht="15.75" customHeight="1">
      <c r="A3356" s="17" t="s">
        <v>4028</v>
      </c>
      <c r="B3356" s="17" t="s">
        <v>574</v>
      </c>
      <c r="C3356" s="18">
        <v>45731.0</v>
      </c>
      <c r="D3356" s="18">
        <v>45761.0</v>
      </c>
      <c r="E3356" s="17" t="s">
        <v>684</v>
      </c>
      <c r="F3356" s="20">
        <v>19.99</v>
      </c>
      <c r="G3356" s="17" t="s">
        <v>3837</v>
      </c>
    </row>
    <row r="3357" ht="15.75" customHeight="1">
      <c r="A3357" s="15" t="s">
        <v>4029</v>
      </c>
      <c r="B3357" s="15" t="s">
        <v>484</v>
      </c>
      <c r="C3357" s="16">
        <v>45731.0</v>
      </c>
      <c r="D3357" s="16">
        <v>45761.0</v>
      </c>
      <c r="E3357" s="15" t="s">
        <v>684</v>
      </c>
      <c r="F3357" s="19">
        <v>19.99</v>
      </c>
      <c r="G3357" s="15" t="s">
        <v>3837</v>
      </c>
    </row>
    <row r="3358" ht="15.75" customHeight="1">
      <c r="A3358" s="17" t="s">
        <v>4030</v>
      </c>
      <c r="B3358" s="17" t="s">
        <v>337</v>
      </c>
      <c r="C3358" s="18">
        <v>45731.0</v>
      </c>
      <c r="D3358" s="18">
        <v>45761.0</v>
      </c>
      <c r="E3358" s="17" t="s">
        <v>684</v>
      </c>
      <c r="F3358" s="20">
        <v>19.99</v>
      </c>
      <c r="G3358" s="17" t="s">
        <v>3837</v>
      </c>
    </row>
    <row r="3359" ht="15.75" customHeight="1">
      <c r="A3359" s="15" t="s">
        <v>4031</v>
      </c>
      <c r="B3359" s="15" t="s">
        <v>194</v>
      </c>
      <c r="C3359" s="16">
        <v>45732.0</v>
      </c>
      <c r="D3359" s="16">
        <v>45762.0</v>
      </c>
      <c r="E3359" s="15" t="s">
        <v>684</v>
      </c>
      <c r="F3359" s="19">
        <v>19.99</v>
      </c>
      <c r="G3359" s="15" t="s">
        <v>3837</v>
      </c>
    </row>
    <row r="3360" ht="15.75" customHeight="1">
      <c r="A3360" s="17" t="s">
        <v>4032</v>
      </c>
      <c r="B3360" s="17" t="s">
        <v>526</v>
      </c>
      <c r="C3360" s="18">
        <v>45732.0</v>
      </c>
      <c r="D3360" s="18">
        <v>45762.0</v>
      </c>
      <c r="E3360" s="17" t="s">
        <v>684</v>
      </c>
      <c r="F3360" s="20">
        <v>19.99</v>
      </c>
      <c r="G3360" s="17" t="s">
        <v>3837</v>
      </c>
    </row>
    <row r="3361" ht="15.75" customHeight="1">
      <c r="A3361" s="15" t="s">
        <v>4033</v>
      </c>
      <c r="B3361" s="15" t="s">
        <v>338</v>
      </c>
      <c r="C3361" s="16">
        <v>45732.0</v>
      </c>
      <c r="D3361" s="16">
        <v>45762.0</v>
      </c>
      <c r="E3361" s="15" t="s">
        <v>684</v>
      </c>
      <c r="F3361" s="19">
        <v>19.99</v>
      </c>
      <c r="G3361" s="15" t="s">
        <v>3837</v>
      </c>
    </row>
    <row r="3362" ht="15.75" customHeight="1">
      <c r="A3362" s="17" t="s">
        <v>4034</v>
      </c>
      <c r="B3362" s="17" t="s">
        <v>429</v>
      </c>
      <c r="C3362" s="18">
        <v>45732.0</v>
      </c>
      <c r="D3362" s="18">
        <v>45762.0</v>
      </c>
      <c r="E3362" s="17" t="s">
        <v>684</v>
      </c>
      <c r="F3362" s="20">
        <v>19.99</v>
      </c>
      <c r="G3362" s="17" t="s">
        <v>3837</v>
      </c>
    </row>
    <row r="3363" ht="15.75" customHeight="1">
      <c r="A3363" s="15" t="s">
        <v>4035</v>
      </c>
      <c r="B3363" s="15" t="s">
        <v>301</v>
      </c>
      <c r="C3363" s="16">
        <v>45732.0</v>
      </c>
      <c r="D3363" s="16">
        <v>45762.0</v>
      </c>
      <c r="E3363" s="15" t="s">
        <v>684</v>
      </c>
      <c r="F3363" s="19">
        <v>19.99</v>
      </c>
      <c r="G3363" s="15" t="s">
        <v>3837</v>
      </c>
    </row>
    <row r="3364" ht="15.75" customHeight="1">
      <c r="A3364" s="17" t="s">
        <v>4036</v>
      </c>
      <c r="B3364" s="17" t="s">
        <v>430</v>
      </c>
      <c r="C3364" s="18">
        <v>45732.0</v>
      </c>
      <c r="D3364" s="18">
        <v>45762.0</v>
      </c>
      <c r="E3364" s="17" t="s">
        <v>684</v>
      </c>
      <c r="F3364" s="20">
        <v>19.99</v>
      </c>
      <c r="G3364" s="17" t="s">
        <v>3837</v>
      </c>
    </row>
    <row r="3365" ht="15.75" customHeight="1">
      <c r="A3365" s="15" t="s">
        <v>4037</v>
      </c>
      <c r="B3365" s="15" t="s">
        <v>485</v>
      </c>
      <c r="C3365" s="16">
        <v>45732.0</v>
      </c>
      <c r="D3365" s="16">
        <v>45762.0</v>
      </c>
      <c r="E3365" s="15" t="s">
        <v>684</v>
      </c>
      <c r="F3365" s="19">
        <v>19.99</v>
      </c>
      <c r="G3365" s="15" t="s">
        <v>3837</v>
      </c>
    </row>
    <row r="3366" ht="15.75" customHeight="1">
      <c r="A3366" s="17" t="s">
        <v>4038</v>
      </c>
      <c r="B3366" s="17" t="s">
        <v>644</v>
      </c>
      <c r="C3366" s="18">
        <v>45732.0</v>
      </c>
      <c r="D3366" s="18">
        <v>45739.0</v>
      </c>
      <c r="E3366" s="17" t="s">
        <v>674</v>
      </c>
      <c r="F3366" s="20">
        <v>0.0</v>
      </c>
      <c r="G3366" s="17" t="s">
        <v>675</v>
      </c>
    </row>
    <row r="3367" ht="15.75" customHeight="1">
      <c r="A3367" s="15" t="s">
        <v>4039</v>
      </c>
      <c r="B3367" s="15" t="s">
        <v>645</v>
      </c>
      <c r="C3367" s="16">
        <v>45732.0</v>
      </c>
      <c r="D3367" s="16">
        <v>45739.0</v>
      </c>
      <c r="E3367" s="15" t="s">
        <v>674</v>
      </c>
      <c r="F3367" s="19">
        <v>0.0</v>
      </c>
      <c r="G3367" s="15" t="s">
        <v>675</v>
      </c>
    </row>
    <row r="3368" ht="15.75" customHeight="1">
      <c r="A3368" s="17" t="s">
        <v>4040</v>
      </c>
      <c r="B3368" s="17" t="s">
        <v>302</v>
      </c>
      <c r="C3368" s="18">
        <v>45732.0</v>
      </c>
      <c r="D3368" s="18">
        <v>45762.0</v>
      </c>
      <c r="E3368" s="17" t="s">
        <v>684</v>
      </c>
      <c r="F3368" s="20">
        <v>19.99</v>
      </c>
      <c r="G3368" s="17" t="s">
        <v>3837</v>
      </c>
    </row>
    <row r="3369" ht="15.75" customHeight="1">
      <c r="A3369" s="15" t="s">
        <v>4041</v>
      </c>
      <c r="B3369" s="15" t="s">
        <v>76</v>
      </c>
      <c r="C3369" s="16">
        <v>45732.0</v>
      </c>
      <c r="D3369" s="16">
        <v>45762.0</v>
      </c>
      <c r="E3369" s="15" t="s">
        <v>684</v>
      </c>
      <c r="F3369" s="19">
        <v>19.99</v>
      </c>
      <c r="G3369" s="15" t="s">
        <v>3837</v>
      </c>
    </row>
    <row r="3370" ht="15.75" customHeight="1">
      <c r="A3370" s="17" t="s">
        <v>4042</v>
      </c>
      <c r="B3370" s="17" t="s">
        <v>379</v>
      </c>
      <c r="C3370" s="18">
        <v>45732.0</v>
      </c>
      <c r="D3370" s="18">
        <v>45762.0</v>
      </c>
      <c r="E3370" s="17" t="s">
        <v>684</v>
      </c>
      <c r="F3370" s="20">
        <v>19.99</v>
      </c>
      <c r="G3370" s="17" t="s">
        <v>3837</v>
      </c>
    </row>
    <row r="3371" ht="15.75" customHeight="1">
      <c r="A3371" s="15" t="s">
        <v>4043</v>
      </c>
      <c r="B3371" s="15" t="s">
        <v>625</v>
      </c>
      <c r="C3371" s="16">
        <v>45732.0</v>
      </c>
      <c r="D3371" s="16">
        <v>45762.0</v>
      </c>
      <c r="E3371" s="15" t="s">
        <v>684</v>
      </c>
      <c r="F3371" s="19">
        <v>19.99</v>
      </c>
      <c r="G3371" s="15" t="s">
        <v>3837</v>
      </c>
    </row>
    <row r="3372" ht="15.75" customHeight="1">
      <c r="A3372" s="17" t="s">
        <v>4044</v>
      </c>
      <c r="B3372" s="17" t="s">
        <v>626</v>
      </c>
      <c r="C3372" s="18">
        <v>45732.0</v>
      </c>
      <c r="D3372" s="18">
        <v>45762.0</v>
      </c>
      <c r="E3372" s="17" t="s">
        <v>684</v>
      </c>
      <c r="F3372" s="20">
        <v>19.99</v>
      </c>
      <c r="G3372" s="17" t="s">
        <v>3837</v>
      </c>
    </row>
    <row r="3373" ht="15.75" customHeight="1">
      <c r="A3373" s="15" t="s">
        <v>4045</v>
      </c>
      <c r="B3373" s="15" t="s">
        <v>646</v>
      </c>
      <c r="C3373" s="16">
        <v>45732.0</v>
      </c>
      <c r="D3373" s="16">
        <v>45739.0</v>
      </c>
      <c r="E3373" s="15" t="s">
        <v>674</v>
      </c>
      <c r="F3373" s="19">
        <v>0.0</v>
      </c>
      <c r="G3373" s="15" t="s">
        <v>675</v>
      </c>
    </row>
    <row r="3374" ht="15.75" customHeight="1">
      <c r="A3374" s="17" t="s">
        <v>4046</v>
      </c>
      <c r="B3374" s="17" t="s">
        <v>303</v>
      </c>
      <c r="C3374" s="18">
        <v>45732.0</v>
      </c>
      <c r="D3374" s="18">
        <v>45762.0</v>
      </c>
      <c r="E3374" s="17" t="s">
        <v>684</v>
      </c>
      <c r="F3374" s="20">
        <v>19.99</v>
      </c>
      <c r="G3374" s="17" t="s">
        <v>3837</v>
      </c>
    </row>
    <row r="3375" ht="15.75" customHeight="1">
      <c r="A3375" s="15" t="s">
        <v>4047</v>
      </c>
      <c r="B3375" s="15" t="s">
        <v>159</v>
      </c>
      <c r="C3375" s="16">
        <v>45732.0</v>
      </c>
      <c r="D3375" s="16">
        <v>45762.0</v>
      </c>
      <c r="E3375" s="15" t="s">
        <v>684</v>
      </c>
      <c r="F3375" s="19">
        <v>19.99</v>
      </c>
      <c r="G3375" s="15" t="s">
        <v>3837</v>
      </c>
    </row>
    <row r="3376" ht="15.75" customHeight="1">
      <c r="A3376" s="17" t="s">
        <v>4048</v>
      </c>
      <c r="B3376" s="17" t="s">
        <v>160</v>
      </c>
      <c r="C3376" s="18">
        <v>45732.0</v>
      </c>
      <c r="D3376" s="18">
        <v>45762.0</v>
      </c>
      <c r="E3376" s="17" t="s">
        <v>684</v>
      </c>
      <c r="F3376" s="20">
        <v>19.99</v>
      </c>
      <c r="G3376" s="17" t="s">
        <v>3837</v>
      </c>
    </row>
    <row r="3377" ht="15.75" customHeight="1">
      <c r="A3377" s="15" t="s">
        <v>4049</v>
      </c>
      <c r="B3377" s="15" t="s">
        <v>575</v>
      </c>
      <c r="C3377" s="16">
        <v>45732.0</v>
      </c>
      <c r="D3377" s="16">
        <v>45762.0</v>
      </c>
      <c r="E3377" s="15" t="s">
        <v>684</v>
      </c>
      <c r="F3377" s="19">
        <v>19.99</v>
      </c>
      <c r="G3377" s="15" t="s">
        <v>3837</v>
      </c>
    </row>
    <row r="3378" ht="15.75" customHeight="1">
      <c r="A3378" s="17" t="s">
        <v>4050</v>
      </c>
      <c r="B3378" s="17" t="s">
        <v>528</v>
      </c>
      <c r="C3378" s="18">
        <v>45732.0</v>
      </c>
      <c r="D3378" s="18">
        <v>45762.0</v>
      </c>
      <c r="E3378" s="17" t="s">
        <v>684</v>
      </c>
      <c r="F3378" s="20">
        <v>19.99</v>
      </c>
      <c r="G3378" s="17" t="s">
        <v>3837</v>
      </c>
    </row>
    <row r="3379" ht="15.75" customHeight="1">
      <c r="A3379" s="15" t="s">
        <v>4051</v>
      </c>
      <c r="B3379" s="15" t="s">
        <v>529</v>
      </c>
      <c r="C3379" s="16">
        <v>45733.0</v>
      </c>
      <c r="D3379" s="16">
        <v>45763.0</v>
      </c>
      <c r="E3379" s="15" t="s">
        <v>684</v>
      </c>
      <c r="F3379" s="19">
        <v>19.99</v>
      </c>
      <c r="G3379" s="15" t="s">
        <v>3837</v>
      </c>
    </row>
    <row r="3380" ht="15.75" customHeight="1">
      <c r="A3380" s="17" t="s">
        <v>4052</v>
      </c>
      <c r="B3380" s="17" t="s">
        <v>576</v>
      </c>
      <c r="C3380" s="18">
        <v>45733.0</v>
      </c>
      <c r="D3380" s="18">
        <v>45763.0</v>
      </c>
      <c r="E3380" s="17" t="s">
        <v>684</v>
      </c>
      <c r="F3380" s="20">
        <v>19.99</v>
      </c>
      <c r="G3380" s="17" t="s">
        <v>3837</v>
      </c>
    </row>
    <row r="3381" ht="15.75" customHeight="1">
      <c r="A3381" s="15" t="s">
        <v>4053</v>
      </c>
      <c r="B3381" s="15" t="s">
        <v>339</v>
      </c>
      <c r="C3381" s="16">
        <v>45733.0</v>
      </c>
      <c r="D3381" s="16">
        <v>45763.0</v>
      </c>
      <c r="E3381" s="15" t="s">
        <v>684</v>
      </c>
      <c r="F3381" s="19">
        <v>19.99</v>
      </c>
      <c r="G3381" s="15" t="s">
        <v>3837</v>
      </c>
    </row>
    <row r="3382" ht="15.75" customHeight="1">
      <c r="A3382" s="17" t="s">
        <v>4054</v>
      </c>
      <c r="B3382" s="17" t="s">
        <v>486</v>
      </c>
      <c r="C3382" s="18">
        <v>45733.0</v>
      </c>
      <c r="D3382" s="18">
        <v>45763.0</v>
      </c>
      <c r="E3382" s="17" t="s">
        <v>684</v>
      </c>
      <c r="F3382" s="20">
        <v>19.99</v>
      </c>
      <c r="G3382" s="17" t="s">
        <v>3837</v>
      </c>
    </row>
    <row r="3383" ht="15.75" customHeight="1">
      <c r="A3383" s="15" t="s">
        <v>4055</v>
      </c>
      <c r="B3383" s="15" t="s">
        <v>647</v>
      </c>
      <c r="C3383" s="16">
        <v>45733.0</v>
      </c>
      <c r="D3383" s="16">
        <v>45740.0</v>
      </c>
      <c r="E3383" s="15" t="s">
        <v>674</v>
      </c>
      <c r="F3383" s="19">
        <v>0.0</v>
      </c>
      <c r="G3383" s="15" t="s">
        <v>675</v>
      </c>
    </row>
    <row r="3384" ht="15.75" customHeight="1">
      <c r="A3384" s="17" t="s">
        <v>4056</v>
      </c>
      <c r="B3384" s="17" t="s">
        <v>197</v>
      </c>
      <c r="C3384" s="18">
        <v>45733.0</v>
      </c>
      <c r="D3384" s="18">
        <v>45763.0</v>
      </c>
      <c r="E3384" s="17" t="s">
        <v>684</v>
      </c>
      <c r="F3384" s="20">
        <v>19.99</v>
      </c>
      <c r="G3384" s="17" t="s">
        <v>3837</v>
      </c>
    </row>
    <row r="3385" ht="15.75" customHeight="1">
      <c r="A3385" s="15" t="s">
        <v>4057</v>
      </c>
      <c r="B3385" s="15" t="s">
        <v>256</v>
      </c>
      <c r="C3385" s="16">
        <v>45733.0</v>
      </c>
      <c r="D3385" s="16">
        <v>45763.0</v>
      </c>
      <c r="E3385" s="15" t="s">
        <v>684</v>
      </c>
      <c r="F3385" s="19">
        <v>19.99</v>
      </c>
      <c r="G3385" s="15" t="s">
        <v>3837</v>
      </c>
    </row>
    <row r="3386" ht="15.75" customHeight="1">
      <c r="A3386" s="17" t="s">
        <v>4058</v>
      </c>
      <c r="B3386" s="17" t="s">
        <v>577</v>
      </c>
      <c r="C3386" s="18">
        <v>45733.0</v>
      </c>
      <c r="D3386" s="18">
        <v>45763.0</v>
      </c>
      <c r="E3386" s="17" t="s">
        <v>684</v>
      </c>
      <c r="F3386" s="20">
        <v>19.99</v>
      </c>
      <c r="G3386" s="17" t="s">
        <v>3837</v>
      </c>
    </row>
    <row r="3387" ht="15.75" customHeight="1">
      <c r="A3387" s="15" t="s">
        <v>4059</v>
      </c>
      <c r="B3387" s="15" t="s">
        <v>648</v>
      </c>
      <c r="C3387" s="16">
        <v>45733.0</v>
      </c>
      <c r="D3387" s="16">
        <v>45740.0</v>
      </c>
      <c r="E3387" s="15" t="s">
        <v>674</v>
      </c>
      <c r="F3387" s="19">
        <v>0.0</v>
      </c>
      <c r="G3387" s="15" t="s">
        <v>675</v>
      </c>
    </row>
    <row r="3388" ht="15.75" customHeight="1">
      <c r="A3388" s="17" t="s">
        <v>4060</v>
      </c>
      <c r="B3388" s="17" t="s">
        <v>162</v>
      </c>
      <c r="C3388" s="18">
        <v>45733.0</v>
      </c>
      <c r="D3388" s="18">
        <v>45763.0</v>
      </c>
      <c r="E3388" s="17" t="s">
        <v>684</v>
      </c>
      <c r="F3388" s="20">
        <v>19.99</v>
      </c>
      <c r="G3388" s="17" t="s">
        <v>3837</v>
      </c>
    </row>
    <row r="3389" ht="15.75" customHeight="1">
      <c r="A3389" s="15" t="s">
        <v>4061</v>
      </c>
      <c r="B3389" s="15" t="s">
        <v>304</v>
      </c>
      <c r="C3389" s="16">
        <v>45733.0</v>
      </c>
      <c r="D3389" s="16">
        <v>45763.0</v>
      </c>
      <c r="E3389" s="15" t="s">
        <v>684</v>
      </c>
      <c r="F3389" s="19">
        <v>19.99</v>
      </c>
      <c r="G3389" s="15" t="s">
        <v>3837</v>
      </c>
    </row>
    <row r="3390" ht="15.75" customHeight="1">
      <c r="A3390" s="17" t="s">
        <v>4062</v>
      </c>
      <c r="B3390" s="17" t="s">
        <v>381</v>
      </c>
      <c r="C3390" s="18">
        <v>45733.0</v>
      </c>
      <c r="D3390" s="18">
        <v>45763.0</v>
      </c>
      <c r="E3390" s="17" t="s">
        <v>684</v>
      </c>
      <c r="F3390" s="20">
        <v>19.99</v>
      </c>
      <c r="G3390" s="17" t="s">
        <v>3837</v>
      </c>
    </row>
    <row r="3391" ht="15.75" customHeight="1">
      <c r="A3391" s="15" t="s">
        <v>4063</v>
      </c>
      <c r="B3391" s="15" t="s">
        <v>257</v>
      </c>
      <c r="C3391" s="16">
        <v>45733.0</v>
      </c>
      <c r="D3391" s="16">
        <v>45763.0</v>
      </c>
      <c r="E3391" s="15" t="s">
        <v>684</v>
      </c>
      <c r="F3391" s="19">
        <v>19.99</v>
      </c>
      <c r="G3391" s="15" t="s">
        <v>3837</v>
      </c>
    </row>
    <row r="3392" ht="15.75" customHeight="1">
      <c r="A3392" s="17" t="s">
        <v>4064</v>
      </c>
      <c r="B3392" s="17" t="s">
        <v>129</v>
      </c>
      <c r="C3392" s="18">
        <v>45733.0</v>
      </c>
      <c r="D3392" s="18">
        <v>45763.0</v>
      </c>
      <c r="E3392" s="17" t="s">
        <v>684</v>
      </c>
      <c r="F3392" s="20">
        <v>19.99</v>
      </c>
      <c r="G3392" s="17" t="s">
        <v>3837</v>
      </c>
    </row>
    <row r="3393" ht="15.75" customHeight="1">
      <c r="A3393" s="15" t="s">
        <v>4065</v>
      </c>
      <c r="B3393" s="15" t="s">
        <v>649</v>
      </c>
      <c r="C3393" s="16">
        <v>45733.0</v>
      </c>
      <c r="D3393" s="16">
        <v>45740.0</v>
      </c>
      <c r="E3393" s="15" t="s">
        <v>674</v>
      </c>
      <c r="F3393" s="19">
        <v>0.0</v>
      </c>
      <c r="G3393" s="15" t="s">
        <v>675</v>
      </c>
    </row>
    <row r="3394" ht="15.75" customHeight="1">
      <c r="A3394" s="17" t="s">
        <v>4066</v>
      </c>
      <c r="B3394" s="17" t="s">
        <v>650</v>
      </c>
      <c r="C3394" s="18">
        <v>45733.0</v>
      </c>
      <c r="D3394" s="18">
        <v>45740.0</v>
      </c>
      <c r="E3394" s="17" t="s">
        <v>674</v>
      </c>
      <c r="F3394" s="20">
        <v>0.0</v>
      </c>
      <c r="G3394" s="17" t="s">
        <v>675</v>
      </c>
    </row>
    <row r="3395" ht="15.75" customHeight="1">
      <c r="A3395" s="15" t="s">
        <v>4067</v>
      </c>
      <c r="B3395" s="15" t="s">
        <v>627</v>
      </c>
      <c r="C3395" s="16">
        <v>45733.0</v>
      </c>
      <c r="D3395" s="16">
        <v>45763.0</v>
      </c>
      <c r="E3395" s="15" t="s">
        <v>684</v>
      </c>
      <c r="F3395" s="19">
        <v>19.99</v>
      </c>
      <c r="G3395" s="15" t="s">
        <v>3837</v>
      </c>
    </row>
    <row r="3396" ht="15.75" customHeight="1">
      <c r="A3396" s="17" t="s">
        <v>4068</v>
      </c>
      <c r="B3396" s="17" t="s">
        <v>628</v>
      </c>
      <c r="C3396" s="18">
        <v>45734.0</v>
      </c>
      <c r="D3396" s="18">
        <v>45764.0</v>
      </c>
      <c r="E3396" s="17" t="s">
        <v>684</v>
      </c>
      <c r="F3396" s="20">
        <v>19.99</v>
      </c>
      <c r="G3396" s="17" t="s">
        <v>3837</v>
      </c>
    </row>
    <row r="3397" ht="15.75" customHeight="1">
      <c r="A3397" s="15" t="s">
        <v>4069</v>
      </c>
      <c r="B3397" s="15" t="s">
        <v>382</v>
      </c>
      <c r="C3397" s="16">
        <v>45734.0</v>
      </c>
      <c r="D3397" s="16">
        <v>45764.0</v>
      </c>
      <c r="E3397" s="15" t="s">
        <v>684</v>
      </c>
      <c r="F3397" s="19">
        <v>19.99</v>
      </c>
      <c r="G3397" s="15" t="s">
        <v>3837</v>
      </c>
    </row>
    <row r="3398" ht="15.75" customHeight="1">
      <c r="A3398" s="17" t="s">
        <v>4070</v>
      </c>
      <c r="B3398" s="17" t="s">
        <v>651</v>
      </c>
      <c r="C3398" s="18">
        <v>45734.0</v>
      </c>
      <c r="D3398" s="18">
        <v>45741.0</v>
      </c>
      <c r="E3398" s="17" t="s">
        <v>674</v>
      </c>
      <c r="F3398" s="20">
        <v>0.0</v>
      </c>
      <c r="G3398" s="17" t="s">
        <v>675</v>
      </c>
    </row>
    <row r="3399" ht="15.75" customHeight="1">
      <c r="A3399" s="15" t="s">
        <v>4071</v>
      </c>
      <c r="B3399" s="15" t="s">
        <v>163</v>
      </c>
      <c r="C3399" s="16">
        <v>45734.0</v>
      </c>
      <c r="D3399" s="16">
        <v>45764.0</v>
      </c>
      <c r="E3399" s="15" t="s">
        <v>684</v>
      </c>
      <c r="F3399" s="19">
        <v>19.99</v>
      </c>
      <c r="G3399" s="15" t="s">
        <v>3837</v>
      </c>
    </row>
    <row r="3400" ht="15.75" customHeight="1">
      <c r="A3400" s="17" t="s">
        <v>4072</v>
      </c>
      <c r="B3400" s="17" t="s">
        <v>340</v>
      </c>
      <c r="C3400" s="18">
        <v>45734.0</v>
      </c>
      <c r="D3400" s="18">
        <v>45764.0</v>
      </c>
      <c r="E3400" s="17" t="s">
        <v>684</v>
      </c>
      <c r="F3400" s="20">
        <v>19.99</v>
      </c>
      <c r="G3400" s="17" t="s">
        <v>3837</v>
      </c>
    </row>
    <row r="3401" ht="15.75" customHeight="1">
      <c r="A3401" s="15" t="s">
        <v>4073</v>
      </c>
      <c r="B3401" s="15" t="s">
        <v>385</v>
      </c>
      <c r="C3401" s="16">
        <v>45734.0</v>
      </c>
      <c r="D3401" s="16">
        <v>45764.0</v>
      </c>
      <c r="E3401" s="15" t="s">
        <v>684</v>
      </c>
      <c r="F3401" s="19">
        <v>19.99</v>
      </c>
      <c r="G3401" s="15" t="s">
        <v>3837</v>
      </c>
    </row>
    <row r="3402" ht="15.75" customHeight="1">
      <c r="A3402" s="17" t="s">
        <v>4074</v>
      </c>
      <c r="B3402" s="17" t="s">
        <v>652</v>
      </c>
      <c r="C3402" s="18">
        <v>45734.0</v>
      </c>
      <c r="D3402" s="18">
        <v>45741.0</v>
      </c>
      <c r="E3402" s="17" t="s">
        <v>674</v>
      </c>
      <c r="F3402" s="20">
        <v>0.0</v>
      </c>
      <c r="G3402" s="17" t="s">
        <v>675</v>
      </c>
    </row>
    <row r="3403" ht="15.75" customHeight="1">
      <c r="A3403" s="15" t="s">
        <v>4075</v>
      </c>
      <c r="B3403" s="15" t="s">
        <v>488</v>
      </c>
      <c r="C3403" s="16">
        <v>45734.0</v>
      </c>
      <c r="D3403" s="16">
        <v>45764.0</v>
      </c>
      <c r="E3403" s="15" t="s">
        <v>684</v>
      </c>
      <c r="F3403" s="19">
        <v>19.99</v>
      </c>
      <c r="G3403" s="15" t="s">
        <v>3837</v>
      </c>
    </row>
    <row r="3404" ht="15.75" customHeight="1">
      <c r="A3404" s="17" t="s">
        <v>4076</v>
      </c>
      <c r="B3404" s="17" t="s">
        <v>164</v>
      </c>
      <c r="C3404" s="18">
        <v>45734.0</v>
      </c>
      <c r="D3404" s="18">
        <v>45764.0</v>
      </c>
      <c r="E3404" s="17" t="s">
        <v>684</v>
      </c>
      <c r="F3404" s="20">
        <v>19.99</v>
      </c>
      <c r="G3404" s="17" t="s">
        <v>3837</v>
      </c>
    </row>
    <row r="3405" ht="15.75" customHeight="1">
      <c r="A3405" s="15" t="s">
        <v>4077</v>
      </c>
      <c r="B3405" s="15" t="s">
        <v>530</v>
      </c>
      <c r="C3405" s="16">
        <v>45734.0</v>
      </c>
      <c r="D3405" s="16">
        <v>45764.0</v>
      </c>
      <c r="E3405" s="15" t="s">
        <v>684</v>
      </c>
      <c r="F3405" s="19">
        <v>19.99</v>
      </c>
      <c r="G3405" s="15" t="s">
        <v>3837</v>
      </c>
    </row>
    <row r="3406" ht="15.75" customHeight="1">
      <c r="A3406" s="17" t="s">
        <v>4078</v>
      </c>
      <c r="B3406" s="17" t="s">
        <v>259</v>
      </c>
      <c r="C3406" s="18">
        <v>45734.0</v>
      </c>
      <c r="D3406" s="18">
        <v>45764.0</v>
      </c>
      <c r="E3406" s="17" t="s">
        <v>684</v>
      </c>
      <c r="F3406" s="20">
        <v>19.99</v>
      </c>
      <c r="G3406" s="17" t="s">
        <v>3837</v>
      </c>
    </row>
    <row r="3407" ht="15.75" customHeight="1">
      <c r="A3407" s="15" t="s">
        <v>4079</v>
      </c>
      <c r="B3407" s="15" t="s">
        <v>198</v>
      </c>
      <c r="C3407" s="16">
        <v>45734.0</v>
      </c>
      <c r="D3407" s="16">
        <v>45764.0</v>
      </c>
      <c r="E3407" s="15" t="s">
        <v>684</v>
      </c>
      <c r="F3407" s="19">
        <v>19.99</v>
      </c>
      <c r="G3407" s="15" t="s">
        <v>3837</v>
      </c>
    </row>
    <row r="3408" ht="15.75" customHeight="1">
      <c r="A3408" s="17" t="s">
        <v>4080</v>
      </c>
      <c r="B3408" s="17" t="s">
        <v>653</v>
      </c>
      <c r="C3408" s="18">
        <v>45734.0</v>
      </c>
      <c r="D3408" s="18">
        <v>45741.0</v>
      </c>
      <c r="E3408" s="17" t="s">
        <v>674</v>
      </c>
      <c r="F3408" s="20">
        <v>0.0</v>
      </c>
      <c r="G3408" s="17" t="s">
        <v>675</v>
      </c>
    </row>
    <row r="3409" ht="15.75" customHeight="1">
      <c r="A3409" s="15" t="s">
        <v>4081</v>
      </c>
      <c r="B3409" s="15" t="s">
        <v>343</v>
      </c>
      <c r="C3409" s="16">
        <v>45734.0</v>
      </c>
      <c r="D3409" s="16">
        <v>45764.0</v>
      </c>
      <c r="E3409" s="15" t="s">
        <v>684</v>
      </c>
      <c r="F3409" s="19">
        <v>19.99</v>
      </c>
      <c r="G3409" s="15" t="s">
        <v>3837</v>
      </c>
    </row>
    <row r="3410" ht="15.75" customHeight="1">
      <c r="A3410" s="17" t="s">
        <v>4082</v>
      </c>
      <c r="B3410" s="17" t="s">
        <v>578</v>
      </c>
      <c r="C3410" s="18">
        <v>45735.0</v>
      </c>
      <c r="D3410" s="18">
        <v>45765.0</v>
      </c>
      <c r="E3410" s="17" t="s">
        <v>684</v>
      </c>
      <c r="F3410" s="20">
        <v>19.99</v>
      </c>
      <c r="G3410" s="17" t="s">
        <v>3837</v>
      </c>
    </row>
    <row r="3411" ht="15.75" customHeight="1">
      <c r="A3411" s="15" t="s">
        <v>4083</v>
      </c>
      <c r="B3411" s="15" t="s">
        <v>387</v>
      </c>
      <c r="C3411" s="16">
        <v>45735.0</v>
      </c>
      <c r="D3411" s="16">
        <v>45765.0</v>
      </c>
      <c r="E3411" s="15" t="s">
        <v>684</v>
      </c>
      <c r="F3411" s="19">
        <v>19.99</v>
      </c>
      <c r="G3411" s="15" t="s">
        <v>3837</v>
      </c>
    </row>
    <row r="3412" ht="15.75" customHeight="1">
      <c r="A3412" s="17" t="s">
        <v>4084</v>
      </c>
      <c r="B3412" s="17" t="s">
        <v>490</v>
      </c>
      <c r="C3412" s="18">
        <v>45735.0</v>
      </c>
      <c r="D3412" s="18">
        <v>45765.0</v>
      </c>
      <c r="E3412" s="17" t="s">
        <v>684</v>
      </c>
      <c r="F3412" s="20">
        <v>19.99</v>
      </c>
      <c r="G3412" s="17" t="s">
        <v>3837</v>
      </c>
    </row>
    <row r="3413" ht="15.75" customHeight="1">
      <c r="A3413" s="15" t="s">
        <v>4085</v>
      </c>
      <c r="B3413" s="15" t="s">
        <v>531</v>
      </c>
      <c r="C3413" s="16">
        <v>45735.0</v>
      </c>
      <c r="D3413" s="16">
        <v>45765.0</v>
      </c>
      <c r="E3413" s="15" t="s">
        <v>684</v>
      </c>
      <c r="F3413" s="19">
        <v>19.99</v>
      </c>
      <c r="G3413" s="15" t="s">
        <v>3837</v>
      </c>
    </row>
    <row r="3414" ht="15.75" customHeight="1">
      <c r="A3414" s="17" t="s">
        <v>4086</v>
      </c>
      <c r="B3414" s="17" t="s">
        <v>654</v>
      </c>
      <c r="C3414" s="18">
        <v>45735.0</v>
      </c>
      <c r="D3414" s="18">
        <v>45742.0</v>
      </c>
      <c r="E3414" s="17" t="s">
        <v>674</v>
      </c>
      <c r="F3414" s="20">
        <v>0.0</v>
      </c>
      <c r="G3414" s="17" t="s">
        <v>675</v>
      </c>
    </row>
    <row r="3415" ht="15.75" customHeight="1">
      <c r="A3415" s="15" t="s">
        <v>4087</v>
      </c>
      <c r="B3415" s="15" t="s">
        <v>579</v>
      </c>
      <c r="C3415" s="16">
        <v>45735.0</v>
      </c>
      <c r="D3415" s="16">
        <v>45765.0</v>
      </c>
      <c r="E3415" s="15" t="s">
        <v>684</v>
      </c>
      <c r="F3415" s="19">
        <v>19.99</v>
      </c>
      <c r="G3415" s="15" t="s">
        <v>3837</v>
      </c>
    </row>
    <row r="3416" ht="15.75" customHeight="1">
      <c r="A3416" s="17" t="s">
        <v>4088</v>
      </c>
      <c r="B3416" s="17" t="s">
        <v>532</v>
      </c>
      <c r="C3416" s="18">
        <v>45735.0</v>
      </c>
      <c r="D3416" s="18">
        <v>45765.0</v>
      </c>
      <c r="E3416" s="17" t="s">
        <v>684</v>
      </c>
      <c r="F3416" s="20">
        <v>19.99</v>
      </c>
      <c r="G3416" s="17" t="s">
        <v>3837</v>
      </c>
    </row>
    <row r="3417" ht="15.75" customHeight="1">
      <c r="A3417" s="15" t="s">
        <v>4089</v>
      </c>
      <c r="B3417" s="15" t="s">
        <v>655</v>
      </c>
      <c r="C3417" s="16">
        <v>45735.0</v>
      </c>
      <c r="D3417" s="16">
        <v>45742.0</v>
      </c>
      <c r="E3417" s="15" t="s">
        <v>674</v>
      </c>
      <c r="F3417" s="19">
        <v>0.0</v>
      </c>
      <c r="G3417" s="15" t="s">
        <v>675</v>
      </c>
    </row>
    <row r="3418" ht="15.75" customHeight="1">
      <c r="A3418" s="17" t="s">
        <v>4090</v>
      </c>
      <c r="B3418" s="17" t="s">
        <v>431</v>
      </c>
      <c r="C3418" s="18">
        <v>45735.0</v>
      </c>
      <c r="D3418" s="18">
        <v>45765.0</v>
      </c>
      <c r="E3418" s="17" t="s">
        <v>684</v>
      </c>
      <c r="F3418" s="20">
        <v>19.99</v>
      </c>
      <c r="G3418" s="17" t="s">
        <v>3837</v>
      </c>
    </row>
    <row r="3419" ht="15.75" customHeight="1">
      <c r="A3419" s="15" t="s">
        <v>4091</v>
      </c>
      <c r="B3419" s="15" t="s">
        <v>656</v>
      </c>
      <c r="C3419" s="16">
        <v>45735.0</v>
      </c>
      <c r="D3419" s="16">
        <v>45742.0</v>
      </c>
      <c r="E3419" s="15" t="s">
        <v>674</v>
      </c>
      <c r="F3419" s="19">
        <v>0.0</v>
      </c>
      <c r="G3419" s="15" t="s">
        <v>675</v>
      </c>
    </row>
    <row r="3420" ht="15.75" customHeight="1">
      <c r="A3420" s="17" t="s">
        <v>4092</v>
      </c>
      <c r="B3420" s="17" t="s">
        <v>165</v>
      </c>
      <c r="C3420" s="18">
        <v>45735.0</v>
      </c>
      <c r="D3420" s="18">
        <v>45765.0</v>
      </c>
      <c r="E3420" s="17" t="s">
        <v>684</v>
      </c>
      <c r="F3420" s="20">
        <v>19.99</v>
      </c>
      <c r="G3420" s="17" t="s">
        <v>3837</v>
      </c>
    </row>
    <row r="3421" ht="15.75" customHeight="1">
      <c r="A3421" s="15" t="s">
        <v>4093</v>
      </c>
      <c r="B3421" s="15" t="s">
        <v>260</v>
      </c>
      <c r="C3421" s="16">
        <v>45735.0</v>
      </c>
      <c r="D3421" s="16">
        <v>45765.0</v>
      </c>
      <c r="E3421" s="15" t="s">
        <v>684</v>
      </c>
      <c r="F3421" s="19">
        <v>19.99</v>
      </c>
      <c r="G3421" s="15" t="s">
        <v>3837</v>
      </c>
    </row>
    <row r="3422" ht="15.75" customHeight="1">
      <c r="A3422" s="17" t="s">
        <v>4094</v>
      </c>
      <c r="B3422" s="17" t="s">
        <v>580</v>
      </c>
      <c r="C3422" s="18">
        <v>45735.0</v>
      </c>
      <c r="D3422" s="18">
        <v>45765.0</v>
      </c>
      <c r="E3422" s="17" t="s">
        <v>684</v>
      </c>
      <c r="F3422" s="20">
        <v>19.99</v>
      </c>
      <c r="G3422" s="17" t="s">
        <v>3837</v>
      </c>
    </row>
    <row r="3423" ht="15.75" customHeight="1">
      <c r="A3423" s="15" t="s">
        <v>4095</v>
      </c>
      <c r="B3423" s="15" t="s">
        <v>432</v>
      </c>
      <c r="C3423" s="16">
        <v>45735.0</v>
      </c>
      <c r="D3423" s="16">
        <v>45765.0</v>
      </c>
      <c r="E3423" s="15" t="s">
        <v>684</v>
      </c>
      <c r="F3423" s="19">
        <v>19.99</v>
      </c>
      <c r="G3423" s="15" t="s">
        <v>3837</v>
      </c>
    </row>
    <row r="3424" ht="15.75" customHeight="1">
      <c r="A3424" s="17" t="s">
        <v>4096</v>
      </c>
      <c r="B3424" s="17" t="s">
        <v>629</v>
      </c>
      <c r="C3424" s="18">
        <v>45735.0</v>
      </c>
      <c r="D3424" s="18">
        <v>45765.0</v>
      </c>
      <c r="E3424" s="17" t="s">
        <v>684</v>
      </c>
      <c r="F3424" s="20">
        <v>19.99</v>
      </c>
      <c r="G3424" s="17" t="s">
        <v>3837</v>
      </c>
    </row>
    <row r="3425" ht="15.75" customHeight="1">
      <c r="A3425" s="15" t="s">
        <v>4097</v>
      </c>
      <c r="B3425" s="15" t="s">
        <v>79</v>
      </c>
      <c r="C3425" s="16">
        <v>45736.0</v>
      </c>
      <c r="D3425" s="16">
        <v>45766.0</v>
      </c>
      <c r="E3425" s="15" t="s">
        <v>684</v>
      </c>
      <c r="F3425" s="19">
        <v>19.99</v>
      </c>
      <c r="G3425" s="15" t="s">
        <v>3837</v>
      </c>
    </row>
    <row r="3426" ht="15.75" customHeight="1">
      <c r="A3426" s="17" t="s">
        <v>4098</v>
      </c>
      <c r="B3426" s="17" t="s">
        <v>630</v>
      </c>
      <c r="C3426" s="18">
        <v>45736.0</v>
      </c>
      <c r="D3426" s="18">
        <v>45766.0</v>
      </c>
      <c r="E3426" s="17" t="s">
        <v>684</v>
      </c>
      <c r="F3426" s="20">
        <v>19.99</v>
      </c>
      <c r="G3426" s="17" t="s">
        <v>3837</v>
      </c>
    </row>
    <row r="3427" ht="15.75" customHeight="1">
      <c r="A3427" s="15" t="s">
        <v>4099</v>
      </c>
      <c r="B3427" s="15" t="s">
        <v>533</v>
      </c>
      <c r="C3427" s="16">
        <v>45736.0</v>
      </c>
      <c r="D3427" s="16">
        <v>45766.0</v>
      </c>
      <c r="E3427" s="15" t="s">
        <v>684</v>
      </c>
      <c r="F3427" s="19">
        <v>19.99</v>
      </c>
      <c r="G3427" s="15" t="s">
        <v>3837</v>
      </c>
    </row>
    <row r="3428" ht="15.75" customHeight="1">
      <c r="A3428" s="17" t="s">
        <v>4100</v>
      </c>
      <c r="B3428" s="17" t="s">
        <v>388</v>
      </c>
      <c r="C3428" s="18">
        <v>45736.0</v>
      </c>
      <c r="D3428" s="18">
        <v>45766.0</v>
      </c>
      <c r="E3428" s="17" t="s">
        <v>684</v>
      </c>
      <c r="F3428" s="20">
        <v>19.99</v>
      </c>
      <c r="G3428" s="17" t="s">
        <v>3837</v>
      </c>
    </row>
    <row r="3429" ht="15.75" customHeight="1">
      <c r="A3429" s="15" t="s">
        <v>4101</v>
      </c>
      <c r="B3429" s="15" t="s">
        <v>657</v>
      </c>
      <c r="C3429" s="16">
        <v>45736.0</v>
      </c>
      <c r="D3429" s="16">
        <v>45743.0</v>
      </c>
      <c r="E3429" s="15" t="s">
        <v>674</v>
      </c>
      <c r="F3429" s="19">
        <v>0.0</v>
      </c>
      <c r="G3429" s="15" t="s">
        <v>675</v>
      </c>
    </row>
    <row r="3430" ht="15.75" customHeight="1">
      <c r="A3430" s="17" t="s">
        <v>4102</v>
      </c>
      <c r="B3430" s="17" t="s">
        <v>658</v>
      </c>
      <c r="C3430" s="18">
        <v>45736.0</v>
      </c>
      <c r="D3430" s="18">
        <v>45743.0</v>
      </c>
      <c r="E3430" s="17" t="s">
        <v>674</v>
      </c>
      <c r="F3430" s="20">
        <v>0.0</v>
      </c>
      <c r="G3430" s="17" t="s">
        <v>675</v>
      </c>
    </row>
    <row r="3431" ht="15.75" customHeight="1">
      <c r="A3431" s="15" t="s">
        <v>4103</v>
      </c>
      <c r="B3431" s="15" t="s">
        <v>631</v>
      </c>
      <c r="C3431" s="16">
        <v>45736.0</v>
      </c>
      <c r="D3431" s="16">
        <v>45766.0</v>
      </c>
      <c r="E3431" s="15" t="s">
        <v>684</v>
      </c>
      <c r="F3431" s="19">
        <v>19.99</v>
      </c>
      <c r="G3431" s="15" t="s">
        <v>3837</v>
      </c>
    </row>
    <row r="3432" ht="15.75" customHeight="1">
      <c r="A3432" s="17" t="s">
        <v>4104</v>
      </c>
      <c r="B3432" s="17" t="s">
        <v>133</v>
      </c>
      <c r="C3432" s="18">
        <v>45736.0</v>
      </c>
      <c r="D3432" s="18">
        <v>45766.0</v>
      </c>
      <c r="E3432" s="17" t="s">
        <v>684</v>
      </c>
      <c r="F3432" s="20">
        <v>19.99</v>
      </c>
      <c r="G3432" s="17" t="s">
        <v>3837</v>
      </c>
    </row>
    <row r="3433" ht="15.75" customHeight="1">
      <c r="A3433" s="15" t="s">
        <v>4105</v>
      </c>
      <c r="B3433" s="15" t="s">
        <v>632</v>
      </c>
      <c r="C3433" s="16">
        <v>45736.0</v>
      </c>
      <c r="D3433" s="16">
        <v>45766.0</v>
      </c>
      <c r="E3433" s="15" t="s">
        <v>684</v>
      </c>
      <c r="F3433" s="19">
        <v>19.99</v>
      </c>
      <c r="G3433" s="15" t="s">
        <v>3837</v>
      </c>
    </row>
    <row r="3434" ht="15.75" customHeight="1">
      <c r="A3434" s="17" t="s">
        <v>4106</v>
      </c>
      <c r="B3434" s="17" t="s">
        <v>534</v>
      </c>
      <c r="C3434" s="18">
        <v>45736.0</v>
      </c>
      <c r="D3434" s="18">
        <v>45766.0</v>
      </c>
      <c r="E3434" s="17" t="s">
        <v>684</v>
      </c>
      <c r="F3434" s="20">
        <v>19.99</v>
      </c>
      <c r="G3434" s="17" t="s">
        <v>3837</v>
      </c>
    </row>
    <row r="3435" ht="15.75" customHeight="1">
      <c r="A3435" s="15" t="s">
        <v>4107</v>
      </c>
      <c r="B3435" s="15" t="s">
        <v>581</v>
      </c>
      <c r="C3435" s="16">
        <v>45736.0</v>
      </c>
      <c r="D3435" s="16">
        <v>45766.0</v>
      </c>
      <c r="E3435" s="15" t="s">
        <v>684</v>
      </c>
      <c r="F3435" s="19">
        <v>19.99</v>
      </c>
      <c r="G3435" s="15" t="s">
        <v>3837</v>
      </c>
    </row>
    <row r="3436" ht="15.75" customHeight="1">
      <c r="A3436" s="17" t="s">
        <v>4108</v>
      </c>
      <c r="B3436" s="17" t="s">
        <v>633</v>
      </c>
      <c r="C3436" s="18">
        <v>45736.0</v>
      </c>
      <c r="D3436" s="18">
        <v>45766.0</v>
      </c>
      <c r="E3436" s="17" t="s">
        <v>684</v>
      </c>
      <c r="F3436" s="20">
        <v>19.99</v>
      </c>
      <c r="G3436" s="17" t="s">
        <v>3837</v>
      </c>
    </row>
    <row r="3437" ht="15.75" customHeight="1">
      <c r="A3437" s="15" t="s">
        <v>4109</v>
      </c>
      <c r="B3437" s="15" t="s">
        <v>306</v>
      </c>
      <c r="C3437" s="16">
        <v>45736.0</v>
      </c>
      <c r="D3437" s="16">
        <v>45766.0</v>
      </c>
      <c r="E3437" s="15" t="s">
        <v>684</v>
      </c>
      <c r="F3437" s="19">
        <v>19.99</v>
      </c>
      <c r="G3437" s="15" t="s">
        <v>3837</v>
      </c>
    </row>
    <row r="3438" ht="15.75" customHeight="1">
      <c r="A3438" s="17" t="s">
        <v>4110</v>
      </c>
      <c r="B3438" s="17" t="s">
        <v>535</v>
      </c>
      <c r="C3438" s="18">
        <v>45736.0</v>
      </c>
      <c r="D3438" s="18">
        <v>45766.0</v>
      </c>
      <c r="E3438" s="17" t="s">
        <v>684</v>
      </c>
      <c r="F3438" s="20">
        <v>19.99</v>
      </c>
      <c r="G3438" s="17" t="s">
        <v>3837</v>
      </c>
    </row>
    <row r="3439" ht="15.75" customHeight="1">
      <c r="A3439" s="15" t="s">
        <v>4111</v>
      </c>
      <c r="B3439" s="15" t="s">
        <v>634</v>
      </c>
      <c r="C3439" s="16">
        <v>45736.0</v>
      </c>
      <c r="D3439" s="16">
        <v>45766.0</v>
      </c>
      <c r="E3439" s="15" t="s">
        <v>684</v>
      </c>
      <c r="F3439" s="19">
        <v>19.99</v>
      </c>
      <c r="G3439" s="15" t="s">
        <v>3837</v>
      </c>
    </row>
    <row r="3440" ht="15.75" customHeight="1">
      <c r="A3440" s="17" t="s">
        <v>4112</v>
      </c>
      <c r="B3440" s="17" t="s">
        <v>389</v>
      </c>
      <c r="C3440" s="18">
        <v>45736.0</v>
      </c>
      <c r="D3440" s="18">
        <v>45766.0</v>
      </c>
      <c r="E3440" s="17" t="s">
        <v>684</v>
      </c>
      <c r="F3440" s="20">
        <v>19.99</v>
      </c>
      <c r="G3440" s="17" t="s">
        <v>3837</v>
      </c>
    </row>
    <row r="3441" ht="15.75" customHeight="1">
      <c r="A3441" s="15" t="s">
        <v>4113</v>
      </c>
      <c r="B3441" s="15" t="s">
        <v>659</v>
      </c>
      <c r="C3441" s="16">
        <v>45736.0</v>
      </c>
      <c r="D3441" s="16">
        <v>45743.0</v>
      </c>
      <c r="E3441" s="15" t="s">
        <v>674</v>
      </c>
      <c r="F3441" s="19">
        <v>0.0</v>
      </c>
      <c r="G3441" s="15" t="s">
        <v>675</v>
      </c>
    </row>
    <row r="3442" ht="15.75" customHeight="1">
      <c r="A3442" s="17" t="s">
        <v>4114</v>
      </c>
      <c r="B3442" s="17" t="s">
        <v>203</v>
      </c>
      <c r="C3442" s="18">
        <v>45737.0</v>
      </c>
      <c r="D3442" s="18">
        <v>45767.0</v>
      </c>
      <c r="E3442" s="17" t="s">
        <v>684</v>
      </c>
      <c r="F3442" s="20">
        <v>19.99</v>
      </c>
      <c r="G3442" s="17" t="s">
        <v>3837</v>
      </c>
    </row>
    <row r="3443" ht="15.75" customHeight="1">
      <c r="A3443" s="15" t="s">
        <v>4115</v>
      </c>
      <c r="B3443" s="15" t="s">
        <v>635</v>
      </c>
      <c r="C3443" s="16">
        <v>45737.0</v>
      </c>
      <c r="D3443" s="16">
        <v>45767.0</v>
      </c>
      <c r="E3443" s="15" t="s">
        <v>684</v>
      </c>
      <c r="F3443" s="19">
        <v>19.99</v>
      </c>
      <c r="G3443" s="15" t="s">
        <v>3837</v>
      </c>
    </row>
    <row r="3444" ht="15.75" customHeight="1">
      <c r="A3444" s="17" t="s">
        <v>4116</v>
      </c>
      <c r="B3444" s="17" t="s">
        <v>134</v>
      </c>
      <c r="C3444" s="18">
        <v>45737.0</v>
      </c>
      <c r="D3444" s="18">
        <v>45767.0</v>
      </c>
      <c r="E3444" s="17" t="s">
        <v>684</v>
      </c>
      <c r="F3444" s="20">
        <v>19.99</v>
      </c>
      <c r="G3444" s="17" t="s">
        <v>3837</v>
      </c>
    </row>
    <row r="3445" ht="15.75" customHeight="1">
      <c r="A3445" s="15" t="s">
        <v>4117</v>
      </c>
      <c r="B3445" s="15" t="s">
        <v>492</v>
      </c>
      <c r="C3445" s="16">
        <v>45737.0</v>
      </c>
      <c r="D3445" s="16">
        <v>45767.0</v>
      </c>
      <c r="E3445" s="15" t="s">
        <v>684</v>
      </c>
      <c r="F3445" s="19">
        <v>19.99</v>
      </c>
      <c r="G3445" s="15" t="s">
        <v>3837</v>
      </c>
    </row>
    <row r="3446" ht="15.75" customHeight="1">
      <c r="A3446" s="17" t="s">
        <v>4118</v>
      </c>
      <c r="B3446" s="17" t="s">
        <v>582</v>
      </c>
      <c r="C3446" s="18">
        <v>45737.0</v>
      </c>
      <c r="D3446" s="18">
        <v>45767.0</v>
      </c>
      <c r="E3446" s="17" t="s">
        <v>684</v>
      </c>
      <c r="F3446" s="20">
        <v>19.99</v>
      </c>
      <c r="G3446" s="17" t="s">
        <v>3837</v>
      </c>
    </row>
    <row r="3447" ht="15.75" customHeight="1">
      <c r="A3447" s="15" t="s">
        <v>4119</v>
      </c>
      <c r="B3447" s="15" t="s">
        <v>493</v>
      </c>
      <c r="C3447" s="16">
        <v>45737.0</v>
      </c>
      <c r="D3447" s="16">
        <v>45767.0</v>
      </c>
      <c r="E3447" s="15" t="s">
        <v>684</v>
      </c>
      <c r="F3447" s="19">
        <v>19.99</v>
      </c>
      <c r="G3447" s="15" t="s">
        <v>3837</v>
      </c>
    </row>
    <row r="3448" ht="15.75" customHeight="1">
      <c r="A3448" s="17" t="s">
        <v>4120</v>
      </c>
      <c r="B3448" s="17" t="s">
        <v>436</v>
      </c>
      <c r="C3448" s="18">
        <v>45737.0</v>
      </c>
      <c r="D3448" s="18">
        <v>45767.0</v>
      </c>
      <c r="E3448" s="17" t="s">
        <v>684</v>
      </c>
      <c r="F3448" s="20">
        <v>19.99</v>
      </c>
      <c r="G3448" s="17" t="s">
        <v>3837</v>
      </c>
    </row>
    <row r="3449" ht="15.75" customHeight="1">
      <c r="A3449" s="15" t="s">
        <v>4121</v>
      </c>
      <c r="B3449" s="15" t="s">
        <v>227</v>
      </c>
      <c r="C3449" s="16">
        <v>45737.0</v>
      </c>
      <c r="D3449" s="16">
        <v>45767.0</v>
      </c>
      <c r="E3449" s="15" t="s">
        <v>684</v>
      </c>
      <c r="F3449" s="19">
        <v>19.99</v>
      </c>
      <c r="G3449" s="15" t="s">
        <v>3837</v>
      </c>
    </row>
    <row r="3450" ht="15.75" customHeight="1">
      <c r="A3450" s="17" t="s">
        <v>4122</v>
      </c>
      <c r="B3450" s="17" t="s">
        <v>344</v>
      </c>
      <c r="C3450" s="18">
        <v>45737.0</v>
      </c>
      <c r="D3450" s="18">
        <v>45767.0</v>
      </c>
      <c r="E3450" s="17" t="s">
        <v>684</v>
      </c>
      <c r="F3450" s="20">
        <v>19.99</v>
      </c>
      <c r="G3450" s="17" t="s">
        <v>3837</v>
      </c>
    </row>
    <row r="3451" ht="15.75" customHeight="1">
      <c r="A3451" s="15" t="s">
        <v>4123</v>
      </c>
      <c r="B3451" s="15" t="s">
        <v>636</v>
      </c>
      <c r="C3451" s="16">
        <v>45737.0</v>
      </c>
      <c r="D3451" s="16">
        <v>45767.0</v>
      </c>
      <c r="E3451" s="15" t="s">
        <v>684</v>
      </c>
      <c r="F3451" s="19">
        <v>19.99</v>
      </c>
      <c r="G3451" s="15" t="s">
        <v>3837</v>
      </c>
    </row>
    <row r="3452" ht="15.75" customHeight="1">
      <c r="A3452" s="17" t="s">
        <v>4124</v>
      </c>
      <c r="B3452" s="17" t="s">
        <v>206</v>
      </c>
      <c r="C3452" s="18">
        <v>45737.0</v>
      </c>
      <c r="D3452" s="18">
        <v>45767.0</v>
      </c>
      <c r="E3452" s="17" t="s">
        <v>684</v>
      </c>
      <c r="F3452" s="20">
        <v>19.99</v>
      </c>
      <c r="G3452" s="17" t="s">
        <v>3837</v>
      </c>
    </row>
    <row r="3453" ht="15.75" customHeight="1">
      <c r="A3453" s="15" t="s">
        <v>4125</v>
      </c>
      <c r="B3453" s="15" t="s">
        <v>660</v>
      </c>
      <c r="C3453" s="16">
        <v>45737.0</v>
      </c>
      <c r="D3453" s="16">
        <v>45744.0</v>
      </c>
      <c r="E3453" s="15" t="s">
        <v>674</v>
      </c>
      <c r="F3453" s="19">
        <v>0.0</v>
      </c>
      <c r="G3453" s="15" t="s">
        <v>675</v>
      </c>
    </row>
    <row r="3454" ht="15.75" customHeight="1">
      <c r="A3454" s="17" t="s">
        <v>4126</v>
      </c>
      <c r="B3454" s="17" t="s">
        <v>583</v>
      </c>
      <c r="C3454" s="18">
        <v>45737.0</v>
      </c>
      <c r="D3454" s="18">
        <v>45767.0</v>
      </c>
      <c r="E3454" s="17" t="s">
        <v>684</v>
      </c>
      <c r="F3454" s="20">
        <v>19.99</v>
      </c>
      <c r="G3454" s="17" t="s">
        <v>3837</v>
      </c>
    </row>
    <row r="3455" ht="15.75" customHeight="1">
      <c r="A3455" s="15" t="s">
        <v>4127</v>
      </c>
      <c r="B3455" s="15" t="s">
        <v>637</v>
      </c>
      <c r="C3455" s="16">
        <v>45738.0</v>
      </c>
      <c r="D3455" s="16">
        <v>45768.0</v>
      </c>
      <c r="E3455" s="15" t="s">
        <v>684</v>
      </c>
      <c r="F3455" s="19">
        <v>19.99</v>
      </c>
      <c r="G3455" s="15" t="s">
        <v>3837</v>
      </c>
    </row>
    <row r="3456" ht="15.75" customHeight="1">
      <c r="A3456" s="17" t="s">
        <v>4128</v>
      </c>
      <c r="B3456" s="17" t="s">
        <v>638</v>
      </c>
      <c r="C3456" s="18">
        <v>45738.0</v>
      </c>
      <c r="D3456" s="18">
        <v>45768.0</v>
      </c>
      <c r="E3456" s="17" t="s">
        <v>684</v>
      </c>
      <c r="F3456" s="20">
        <v>19.99</v>
      </c>
      <c r="G3456" s="17" t="s">
        <v>3837</v>
      </c>
    </row>
    <row r="3457" ht="15.75" customHeight="1">
      <c r="A3457" s="15" t="s">
        <v>4129</v>
      </c>
      <c r="B3457" s="15" t="s">
        <v>310</v>
      </c>
      <c r="C3457" s="16">
        <v>45738.0</v>
      </c>
      <c r="D3457" s="16">
        <v>45768.0</v>
      </c>
      <c r="E3457" s="15" t="s">
        <v>684</v>
      </c>
      <c r="F3457" s="19">
        <v>19.99</v>
      </c>
      <c r="G3457" s="15" t="s">
        <v>3837</v>
      </c>
    </row>
    <row r="3458" ht="15.75" customHeight="1">
      <c r="A3458" s="17" t="s">
        <v>4130</v>
      </c>
      <c r="B3458" s="17" t="s">
        <v>228</v>
      </c>
      <c r="C3458" s="18">
        <v>45738.0</v>
      </c>
      <c r="D3458" s="18">
        <v>45768.0</v>
      </c>
      <c r="E3458" s="17" t="s">
        <v>684</v>
      </c>
      <c r="F3458" s="20">
        <v>19.99</v>
      </c>
      <c r="G3458" s="17" t="s">
        <v>3837</v>
      </c>
    </row>
    <row r="3459" ht="15.75" customHeight="1">
      <c r="A3459" s="15" t="s">
        <v>4131</v>
      </c>
      <c r="B3459" s="15" t="s">
        <v>661</v>
      </c>
      <c r="C3459" s="16">
        <v>45738.0</v>
      </c>
      <c r="D3459" s="16">
        <v>45745.0</v>
      </c>
      <c r="E3459" s="15" t="s">
        <v>674</v>
      </c>
      <c r="F3459" s="19">
        <v>0.0</v>
      </c>
      <c r="G3459" s="15" t="s">
        <v>675</v>
      </c>
    </row>
    <row r="3460" ht="15.75" customHeight="1">
      <c r="A3460" s="17" t="s">
        <v>4132</v>
      </c>
      <c r="B3460" s="17" t="s">
        <v>639</v>
      </c>
      <c r="C3460" s="18">
        <v>45738.0</v>
      </c>
      <c r="D3460" s="18">
        <v>45768.0</v>
      </c>
      <c r="E3460" s="17" t="s">
        <v>684</v>
      </c>
      <c r="F3460" s="20">
        <v>19.99</v>
      </c>
      <c r="G3460" s="17" t="s">
        <v>3837</v>
      </c>
    </row>
    <row r="3461" ht="15.75" customHeight="1">
      <c r="A3461" s="15" t="s">
        <v>4133</v>
      </c>
      <c r="B3461" s="15" t="s">
        <v>494</v>
      </c>
      <c r="C3461" s="16">
        <v>45738.0</v>
      </c>
      <c r="D3461" s="16">
        <v>45768.0</v>
      </c>
      <c r="E3461" s="15" t="s">
        <v>684</v>
      </c>
      <c r="F3461" s="19">
        <v>19.99</v>
      </c>
      <c r="G3461" s="15" t="s">
        <v>3837</v>
      </c>
    </row>
    <row r="3462" ht="15.75" customHeight="1">
      <c r="A3462" s="17" t="s">
        <v>4134</v>
      </c>
      <c r="B3462" s="17" t="s">
        <v>640</v>
      </c>
      <c r="C3462" s="18">
        <v>45738.0</v>
      </c>
      <c r="D3462" s="18">
        <v>45768.0</v>
      </c>
      <c r="E3462" s="17" t="s">
        <v>684</v>
      </c>
      <c r="F3462" s="20">
        <v>19.99</v>
      </c>
      <c r="G3462" s="17" t="s">
        <v>3837</v>
      </c>
    </row>
    <row r="3463" ht="15.75" customHeight="1">
      <c r="A3463" s="15" t="s">
        <v>4135</v>
      </c>
      <c r="B3463" s="15" t="s">
        <v>262</v>
      </c>
      <c r="C3463" s="16">
        <v>45738.0</v>
      </c>
      <c r="D3463" s="16">
        <v>45768.0</v>
      </c>
      <c r="E3463" s="15" t="s">
        <v>684</v>
      </c>
      <c r="F3463" s="19">
        <v>19.99</v>
      </c>
      <c r="G3463" s="15" t="s">
        <v>3837</v>
      </c>
    </row>
    <row r="3464" ht="15.75" customHeight="1">
      <c r="A3464" s="17" t="s">
        <v>4136</v>
      </c>
      <c r="B3464" s="17" t="s">
        <v>641</v>
      </c>
      <c r="C3464" s="18">
        <v>45738.0</v>
      </c>
      <c r="D3464" s="18">
        <v>45768.0</v>
      </c>
      <c r="E3464" s="17" t="s">
        <v>684</v>
      </c>
      <c r="F3464" s="20">
        <v>19.99</v>
      </c>
      <c r="G3464" s="17" t="s">
        <v>3837</v>
      </c>
    </row>
    <row r="3465" ht="15.75" customHeight="1">
      <c r="A3465" s="15" t="s">
        <v>4137</v>
      </c>
      <c r="B3465" s="15" t="s">
        <v>642</v>
      </c>
      <c r="C3465" s="16">
        <v>45738.0</v>
      </c>
      <c r="D3465" s="16">
        <v>45768.0</v>
      </c>
      <c r="E3465" s="15" t="s">
        <v>684</v>
      </c>
      <c r="F3465" s="19">
        <v>19.99</v>
      </c>
      <c r="G3465" s="15" t="s">
        <v>3837</v>
      </c>
    </row>
    <row r="3466" ht="15.75" customHeight="1">
      <c r="A3466" s="17" t="s">
        <v>4138</v>
      </c>
      <c r="B3466" s="17" t="s">
        <v>438</v>
      </c>
      <c r="C3466" s="18">
        <v>45738.0</v>
      </c>
      <c r="D3466" s="18">
        <v>45768.0</v>
      </c>
      <c r="E3466" s="17" t="s">
        <v>684</v>
      </c>
      <c r="F3466" s="20">
        <v>19.99</v>
      </c>
      <c r="G3466" s="17" t="s">
        <v>3837</v>
      </c>
    </row>
    <row r="3467" ht="15.75" customHeight="1">
      <c r="A3467" s="15" t="s">
        <v>4139</v>
      </c>
      <c r="B3467" s="15" t="s">
        <v>584</v>
      </c>
      <c r="C3467" s="16">
        <v>45738.0</v>
      </c>
      <c r="D3467" s="16">
        <v>45768.0</v>
      </c>
      <c r="E3467" s="15" t="s">
        <v>684</v>
      </c>
      <c r="F3467" s="19">
        <v>19.99</v>
      </c>
      <c r="G3467" s="15" t="s">
        <v>3837</v>
      </c>
    </row>
    <row r="3468" ht="15.75" customHeight="1">
      <c r="A3468" s="17" t="s">
        <v>4140</v>
      </c>
      <c r="B3468" s="17" t="s">
        <v>643</v>
      </c>
      <c r="C3468" s="18">
        <v>45738.0</v>
      </c>
      <c r="D3468" s="18">
        <v>45768.0</v>
      </c>
      <c r="E3468" s="17" t="s">
        <v>684</v>
      </c>
      <c r="F3468" s="20">
        <v>19.99</v>
      </c>
      <c r="G3468" s="17" t="s">
        <v>3837</v>
      </c>
    </row>
    <row r="3469" ht="15.75" customHeight="1">
      <c r="A3469" s="15" t="s">
        <v>4141</v>
      </c>
      <c r="B3469" s="15" t="s">
        <v>346</v>
      </c>
      <c r="C3469" s="16">
        <v>45738.0</v>
      </c>
      <c r="D3469" s="16">
        <v>45768.0</v>
      </c>
      <c r="E3469" s="15" t="s">
        <v>684</v>
      </c>
      <c r="F3469" s="19">
        <v>19.99</v>
      </c>
      <c r="G3469" s="15" t="s">
        <v>3837</v>
      </c>
    </row>
    <row r="3470" ht="15.75" customHeight="1">
      <c r="A3470" s="17" t="s">
        <v>4142</v>
      </c>
      <c r="B3470" s="17" t="s">
        <v>536</v>
      </c>
      <c r="C3470" s="18">
        <v>45738.0</v>
      </c>
      <c r="D3470" s="18">
        <v>45768.0</v>
      </c>
      <c r="E3470" s="17" t="s">
        <v>684</v>
      </c>
      <c r="F3470" s="20">
        <v>19.99</v>
      </c>
      <c r="G3470" s="17" t="s">
        <v>3837</v>
      </c>
    </row>
    <row r="3471" ht="15.75" customHeight="1">
      <c r="A3471" s="15" t="s">
        <v>4143</v>
      </c>
      <c r="B3471" s="15" t="s">
        <v>662</v>
      </c>
      <c r="C3471" s="16">
        <v>45738.0</v>
      </c>
      <c r="D3471" s="16">
        <v>45745.0</v>
      </c>
      <c r="E3471" s="15" t="s">
        <v>674</v>
      </c>
      <c r="F3471" s="19">
        <v>0.0</v>
      </c>
      <c r="G3471" s="15" t="s">
        <v>675</v>
      </c>
    </row>
    <row r="3472" ht="15.75" customHeight="1">
      <c r="A3472" s="17" t="s">
        <v>4144</v>
      </c>
      <c r="B3472" s="17" t="s">
        <v>102</v>
      </c>
      <c r="C3472" s="18">
        <v>45738.0</v>
      </c>
      <c r="D3472" s="18">
        <v>45768.0</v>
      </c>
      <c r="E3472" s="17" t="s">
        <v>684</v>
      </c>
      <c r="F3472" s="20">
        <v>19.99</v>
      </c>
      <c r="G3472" s="17" t="s">
        <v>3837</v>
      </c>
    </row>
    <row r="3473" ht="15.75" customHeight="1">
      <c r="A3473" s="15" t="s">
        <v>4145</v>
      </c>
      <c r="B3473" s="15" t="s">
        <v>167</v>
      </c>
      <c r="C3473" s="16">
        <v>45738.0</v>
      </c>
      <c r="D3473" s="16">
        <v>45768.0</v>
      </c>
      <c r="E3473" s="15" t="s">
        <v>684</v>
      </c>
      <c r="F3473" s="19">
        <v>19.99</v>
      </c>
      <c r="G3473" s="15" t="s">
        <v>3837</v>
      </c>
    </row>
    <row r="3474" ht="15.75" customHeight="1">
      <c r="A3474" s="17" t="s">
        <v>4146</v>
      </c>
      <c r="B3474" s="17" t="s">
        <v>585</v>
      </c>
      <c r="C3474" s="18">
        <v>45738.0</v>
      </c>
      <c r="D3474" s="18">
        <v>45768.0</v>
      </c>
      <c r="E3474" s="17" t="s">
        <v>684</v>
      </c>
      <c r="F3474" s="20">
        <v>19.99</v>
      </c>
      <c r="G3474" s="17" t="s">
        <v>3837</v>
      </c>
    </row>
    <row r="3475" ht="15.75" customHeight="1">
      <c r="A3475" s="15" t="s">
        <v>4147</v>
      </c>
      <c r="B3475" s="15" t="s">
        <v>168</v>
      </c>
      <c r="C3475" s="16">
        <v>45738.0</v>
      </c>
      <c r="D3475" s="16">
        <v>45768.0</v>
      </c>
      <c r="E3475" s="15" t="s">
        <v>684</v>
      </c>
      <c r="F3475" s="19">
        <v>19.99</v>
      </c>
      <c r="G3475" s="15" t="s">
        <v>3837</v>
      </c>
    </row>
    <row r="3476" ht="15.75" customHeight="1">
      <c r="A3476" s="17" t="s">
        <v>4148</v>
      </c>
      <c r="B3476" s="17" t="s">
        <v>208</v>
      </c>
      <c r="C3476" s="18">
        <v>45738.0</v>
      </c>
      <c r="D3476" s="18">
        <v>45768.0</v>
      </c>
      <c r="E3476" s="17" t="s">
        <v>684</v>
      </c>
      <c r="F3476" s="20">
        <v>19.99</v>
      </c>
      <c r="G3476" s="17" t="s">
        <v>3837</v>
      </c>
    </row>
    <row r="3477" ht="15.75" customHeight="1">
      <c r="A3477" s="15" t="s">
        <v>4149</v>
      </c>
      <c r="B3477" s="15" t="s">
        <v>586</v>
      </c>
      <c r="C3477" s="16">
        <v>45738.0</v>
      </c>
      <c r="D3477" s="16">
        <v>45768.0</v>
      </c>
      <c r="E3477" s="15" t="s">
        <v>684</v>
      </c>
      <c r="F3477" s="19">
        <v>19.99</v>
      </c>
      <c r="G3477" s="15" t="s">
        <v>3837</v>
      </c>
    </row>
    <row r="3478" ht="15.75" customHeight="1">
      <c r="A3478" s="17" t="s">
        <v>4150</v>
      </c>
      <c r="B3478" s="17" t="s">
        <v>347</v>
      </c>
      <c r="C3478" s="18">
        <v>45739.0</v>
      </c>
      <c r="D3478" s="18">
        <v>45769.0</v>
      </c>
      <c r="E3478" s="17" t="s">
        <v>684</v>
      </c>
      <c r="F3478" s="20">
        <v>19.99</v>
      </c>
      <c r="G3478" s="17" t="s">
        <v>3837</v>
      </c>
    </row>
    <row r="3479" ht="15.75" customHeight="1">
      <c r="A3479" s="15" t="s">
        <v>4151</v>
      </c>
      <c r="B3479" s="15" t="s">
        <v>537</v>
      </c>
      <c r="C3479" s="16">
        <v>45739.0</v>
      </c>
      <c r="D3479" s="16">
        <v>45769.0</v>
      </c>
      <c r="E3479" s="15" t="s">
        <v>684</v>
      </c>
      <c r="F3479" s="19">
        <v>19.99</v>
      </c>
      <c r="G3479" s="15" t="s">
        <v>3837</v>
      </c>
    </row>
    <row r="3480" ht="15.75" customHeight="1">
      <c r="A3480" s="17" t="s">
        <v>4152</v>
      </c>
      <c r="B3480" s="17" t="s">
        <v>136</v>
      </c>
      <c r="C3480" s="18">
        <v>45739.0</v>
      </c>
      <c r="D3480" s="18">
        <v>45769.0</v>
      </c>
      <c r="E3480" s="17" t="s">
        <v>684</v>
      </c>
      <c r="F3480" s="20">
        <v>19.99</v>
      </c>
      <c r="G3480" s="17" t="s">
        <v>3837</v>
      </c>
    </row>
    <row r="3481" ht="15.75" customHeight="1">
      <c r="A3481" s="15" t="s">
        <v>4153</v>
      </c>
      <c r="B3481" s="15" t="s">
        <v>644</v>
      </c>
      <c r="C3481" s="16">
        <v>45739.0</v>
      </c>
      <c r="D3481" s="16">
        <v>45769.0</v>
      </c>
      <c r="E3481" s="15" t="s">
        <v>684</v>
      </c>
      <c r="F3481" s="19">
        <v>19.99</v>
      </c>
      <c r="G3481" s="15" t="s">
        <v>3837</v>
      </c>
    </row>
    <row r="3482" ht="15.75" customHeight="1">
      <c r="A3482" s="17" t="s">
        <v>4154</v>
      </c>
      <c r="B3482" s="17" t="s">
        <v>645</v>
      </c>
      <c r="C3482" s="18">
        <v>45739.0</v>
      </c>
      <c r="D3482" s="18">
        <v>45769.0</v>
      </c>
      <c r="E3482" s="17" t="s">
        <v>684</v>
      </c>
      <c r="F3482" s="20">
        <v>19.99</v>
      </c>
      <c r="G3482" s="17" t="s">
        <v>3837</v>
      </c>
    </row>
    <row r="3483" ht="15.75" customHeight="1">
      <c r="A3483" s="15" t="s">
        <v>4155</v>
      </c>
      <c r="B3483" s="15" t="s">
        <v>82</v>
      </c>
      <c r="C3483" s="16">
        <v>45739.0</v>
      </c>
      <c r="D3483" s="16">
        <v>45769.0</v>
      </c>
      <c r="E3483" s="15" t="s">
        <v>684</v>
      </c>
      <c r="F3483" s="19">
        <v>19.99</v>
      </c>
      <c r="G3483" s="15" t="s">
        <v>3837</v>
      </c>
    </row>
    <row r="3484" ht="15.75" customHeight="1">
      <c r="A3484" s="17" t="s">
        <v>4156</v>
      </c>
      <c r="B3484" s="17" t="s">
        <v>587</v>
      </c>
      <c r="C3484" s="18">
        <v>45739.0</v>
      </c>
      <c r="D3484" s="18">
        <v>45769.0</v>
      </c>
      <c r="E3484" s="17" t="s">
        <v>684</v>
      </c>
      <c r="F3484" s="20">
        <v>19.99</v>
      </c>
      <c r="G3484" s="17" t="s">
        <v>3837</v>
      </c>
    </row>
    <row r="3485" ht="15.75" customHeight="1">
      <c r="A3485" s="15" t="s">
        <v>4157</v>
      </c>
      <c r="B3485" s="15" t="s">
        <v>646</v>
      </c>
      <c r="C3485" s="16">
        <v>45739.0</v>
      </c>
      <c r="D3485" s="16">
        <v>45769.0</v>
      </c>
      <c r="E3485" s="15" t="s">
        <v>684</v>
      </c>
      <c r="F3485" s="19">
        <v>19.99</v>
      </c>
      <c r="G3485" s="15" t="s">
        <v>3837</v>
      </c>
    </row>
    <row r="3486" ht="15.75" customHeight="1">
      <c r="A3486" s="17" t="s">
        <v>4158</v>
      </c>
      <c r="B3486" s="17" t="s">
        <v>663</v>
      </c>
      <c r="C3486" s="18">
        <v>45739.0</v>
      </c>
      <c r="D3486" s="18">
        <v>45746.0</v>
      </c>
      <c r="E3486" s="17" t="s">
        <v>674</v>
      </c>
      <c r="F3486" s="20">
        <v>0.0</v>
      </c>
      <c r="G3486" s="17" t="s">
        <v>675</v>
      </c>
    </row>
    <row r="3487" ht="15.75" customHeight="1">
      <c r="A3487" s="15" t="s">
        <v>4159</v>
      </c>
      <c r="B3487" s="15" t="s">
        <v>348</v>
      </c>
      <c r="C3487" s="16">
        <v>45739.0</v>
      </c>
      <c r="D3487" s="16">
        <v>45769.0</v>
      </c>
      <c r="E3487" s="15" t="s">
        <v>684</v>
      </c>
      <c r="F3487" s="19">
        <v>19.99</v>
      </c>
      <c r="G3487" s="15" t="s">
        <v>3837</v>
      </c>
    </row>
    <row r="3488" ht="15.75" customHeight="1">
      <c r="A3488" s="17" t="s">
        <v>4160</v>
      </c>
      <c r="B3488" s="17" t="s">
        <v>664</v>
      </c>
      <c r="C3488" s="18">
        <v>45739.0</v>
      </c>
      <c r="D3488" s="18">
        <v>45746.0</v>
      </c>
      <c r="E3488" s="17" t="s">
        <v>674</v>
      </c>
      <c r="F3488" s="20">
        <v>0.0</v>
      </c>
      <c r="G3488" s="17" t="s">
        <v>675</v>
      </c>
    </row>
    <row r="3489" ht="15.75" customHeight="1">
      <c r="A3489" s="15" t="s">
        <v>4161</v>
      </c>
      <c r="B3489" s="15" t="s">
        <v>391</v>
      </c>
      <c r="C3489" s="16">
        <v>45739.0</v>
      </c>
      <c r="D3489" s="16">
        <v>45769.0</v>
      </c>
      <c r="E3489" s="15" t="s">
        <v>684</v>
      </c>
      <c r="F3489" s="19">
        <v>19.99</v>
      </c>
      <c r="G3489" s="15" t="s">
        <v>3837</v>
      </c>
    </row>
    <row r="3490" ht="15.75" customHeight="1">
      <c r="A3490" s="17" t="s">
        <v>4162</v>
      </c>
      <c r="B3490" s="17" t="s">
        <v>588</v>
      </c>
      <c r="C3490" s="18">
        <v>45739.0</v>
      </c>
      <c r="D3490" s="18">
        <v>45769.0</v>
      </c>
      <c r="E3490" s="17" t="s">
        <v>684</v>
      </c>
      <c r="F3490" s="20">
        <v>19.99</v>
      </c>
      <c r="G3490" s="17" t="s">
        <v>3837</v>
      </c>
    </row>
    <row r="3491" ht="15.75" customHeight="1">
      <c r="A3491" s="15" t="s">
        <v>4163</v>
      </c>
      <c r="B3491" s="15" t="s">
        <v>349</v>
      </c>
      <c r="C3491" s="16">
        <v>45739.0</v>
      </c>
      <c r="D3491" s="16">
        <v>45769.0</v>
      </c>
      <c r="E3491" s="15" t="s">
        <v>684</v>
      </c>
      <c r="F3491" s="19">
        <v>19.99</v>
      </c>
      <c r="G3491" s="15" t="s">
        <v>3837</v>
      </c>
    </row>
    <row r="3492" ht="15.75" customHeight="1">
      <c r="A3492" s="17" t="s">
        <v>4164</v>
      </c>
      <c r="B3492" s="17" t="s">
        <v>137</v>
      </c>
      <c r="C3492" s="18">
        <v>45739.0</v>
      </c>
      <c r="D3492" s="18">
        <v>45769.0</v>
      </c>
      <c r="E3492" s="17" t="s">
        <v>684</v>
      </c>
      <c r="F3492" s="20">
        <v>19.99</v>
      </c>
      <c r="G3492" s="17" t="s">
        <v>3837</v>
      </c>
    </row>
    <row r="3493" ht="15.75" customHeight="1">
      <c r="A3493" s="15" t="s">
        <v>4165</v>
      </c>
      <c r="B3493" s="15" t="s">
        <v>440</v>
      </c>
      <c r="C3493" s="16">
        <v>45739.0</v>
      </c>
      <c r="D3493" s="16">
        <v>45769.0</v>
      </c>
      <c r="E3493" s="15" t="s">
        <v>684</v>
      </c>
      <c r="F3493" s="19">
        <v>19.99</v>
      </c>
      <c r="G3493" s="15" t="s">
        <v>3837</v>
      </c>
    </row>
    <row r="3494" ht="15.75" customHeight="1">
      <c r="A3494" s="17" t="s">
        <v>4166</v>
      </c>
      <c r="B3494" s="17" t="s">
        <v>441</v>
      </c>
      <c r="C3494" s="18">
        <v>45739.0</v>
      </c>
      <c r="D3494" s="18">
        <v>45769.0</v>
      </c>
      <c r="E3494" s="17" t="s">
        <v>684</v>
      </c>
      <c r="F3494" s="20">
        <v>19.99</v>
      </c>
      <c r="G3494" s="17" t="s">
        <v>3837</v>
      </c>
    </row>
    <row r="3495" ht="15.75" customHeight="1">
      <c r="A3495" s="15" t="s">
        <v>4167</v>
      </c>
      <c r="B3495" s="15" t="s">
        <v>589</v>
      </c>
      <c r="C3495" s="16">
        <v>45739.0</v>
      </c>
      <c r="D3495" s="16">
        <v>45769.0</v>
      </c>
      <c r="E3495" s="15" t="s">
        <v>684</v>
      </c>
      <c r="F3495" s="19">
        <v>19.99</v>
      </c>
      <c r="G3495" s="15" t="s">
        <v>3837</v>
      </c>
    </row>
    <row r="3496" ht="15.75" customHeight="1">
      <c r="A3496" s="17" t="s">
        <v>4168</v>
      </c>
      <c r="B3496" s="17" t="s">
        <v>83</v>
      </c>
      <c r="C3496" s="18">
        <v>45739.0</v>
      </c>
      <c r="D3496" s="18">
        <v>45769.0</v>
      </c>
      <c r="E3496" s="17" t="s">
        <v>684</v>
      </c>
      <c r="F3496" s="20">
        <v>19.99</v>
      </c>
      <c r="G3496" s="17" t="s">
        <v>3837</v>
      </c>
    </row>
    <row r="3497" ht="15.75" customHeight="1">
      <c r="A3497" s="15" t="s">
        <v>4169</v>
      </c>
      <c r="B3497" s="15" t="s">
        <v>350</v>
      </c>
      <c r="C3497" s="16">
        <v>45740.0</v>
      </c>
      <c r="D3497" s="16">
        <v>45770.0</v>
      </c>
      <c r="E3497" s="15" t="s">
        <v>684</v>
      </c>
      <c r="F3497" s="19">
        <v>19.99</v>
      </c>
      <c r="G3497" s="15" t="s">
        <v>3837</v>
      </c>
    </row>
    <row r="3498" ht="15.75" customHeight="1">
      <c r="A3498" s="17" t="s">
        <v>4170</v>
      </c>
      <c r="B3498" s="17" t="s">
        <v>84</v>
      </c>
      <c r="C3498" s="18">
        <v>45740.0</v>
      </c>
      <c r="D3498" s="18">
        <v>45770.0</v>
      </c>
      <c r="E3498" s="17" t="s">
        <v>684</v>
      </c>
      <c r="F3498" s="20">
        <v>19.99</v>
      </c>
      <c r="G3498" s="17" t="s">
        <v>3837</v>
      </c>
    </row>
    <row r="3499" ht="15.75" customHeight="1">
      <c r="A3499" s="15" t="s">
        <v>4171</v>
      </c>
      <c r="B3499" s="15" t="s">
        <v>392</v>
      </c>
      <c r="C3499" s="16">
        <v>45740.0</v>
      </c>
      <c r="D3499" s="16">
        <v>45770.0</v>
      </c>
      <c r="E3499" s="15" t="s">
        <v>684</v>
      </c>
      <c r="F3499" s="19">
        <v>19.99</v>
      </c>
      <c r="G3499" s="15" t="s">
        <v>3837</v>
      </c>
    </row>
    <row r="3500" ht="15.75" customHeight="1">
      <c r="A3500" s="17" t="s">
        <v>4172</v>
      </c>
      <c r="B3500" s="17" t="s">
        <v>647</v>
      </c>
      <c r="C3500" s="18">
        <v>45740.0</v>
      </c>
      <c r="D3500" s="18">
        <v>45770.0</v>
      </c>
      <c r="E3500" s="17" t="s">
        <v>684</v>
      </c>
      <c r="F3500" s="20">
        <v>19.99</v>
      </c>
      <c r="G3500" s="17" t="s">
        <v>3837</v>
      </c>
    </row>
    <row r="3501" ht="15.75" customHeight="1">
      <c r="A3501" s="15" t="s">
        <v>4173</v>
      </c>
      <c r="B3501" s="15" t="s">
        <v>139</v>
      </c>
      <c r="C3501" s="16">
        <v>45740.0</v>
      </c>
      <c r="D3501" s="16">
        <v>45770.0</v>
      </c>
      <c r="E3501" s="15" t="s">
        <v>684</v>
      </c>
      <c r="F3501" s="19">
        <v>19.99</v>
      </c>
      <c r="G3501" s="15" t="s">
        <v>3837</v>
      </c>
    </row>
    <row r="3502" ht="15.75" customHeight="1">
      <c r="A3502" s="17" t="s">
        <v>4174</v>
      </c>
      <c r="B3502" s="17" t="s">
        <v>496</v>
      </c>
      <c r="C3502" s="18">
        <v>45740.0</v>
      </c>
      <c r="D3502" s="18">
        <v>45770.0</v>
      </c>
      <c r="E3502" s="17" t="s">
        <v>684</v>
      </c>
      <c r="F3502" s="20">
        <v>19.99</v>
      </c>
      <c r="G3502" s="17" t="s">
        <v>3837</v>
      </c>
    </row>
    <row r="3503" ht="15.75" customHeight="1">
      <c r="A3503" s="15" t="s">
        <v>4175</v>
      </c>
      <c r="B3503" s="15" t="s">
        <v>443</v>
      </c>
      <c r="C3503" s="16">
        <v>45740.0</v>
      </c>
      <c r="D3503" s="16">
        <v>45770.0</v>
      </c>
      <c r="E3503" s="15" t="s">
        <v>684</v>
      </c>
      <c r="F3503" s="19">
        <v>19.99</v>
      </c>
      <c r="G3503" s="15" t="s">
        <v>3837</v>
      </c>
    </row>
    <row r="3504" ht="15.75" customHeight="1">
      <c r="A3504" s="17" t="s">
        <v>4176</v>
      </c>
      <c r="B3504" s="17" t="s">
        <v>590</v>
      </c>
      <c r="C3504" s="18">
        <v>45740.0</v>
      </c>
      <c r="D3504" s="18">
        <v>45770.0</v>
      </c>
      <c r="E3504" s="17" t="s">
        <v>684</v>
      </c>
      <c r="F3504" s="20">
        <v>19.99</v>
      </c>
      <c r="G3504" s="17" t="s">
        <v>3837</v>
      </c>
    </row>
    <row r="3505" ht="15.75" customHeight="1">
      <c r="A3505" s="15" t="s">
        <v>4177</v>
      </c>
      <c r="B3505" s="15" t="s">
        <v>314</v>
      </c>
      <c r="C3505" s="16">
        <v>45740.0</v>
      </c>
      <c r="D3505" s="16">
        <v>45770.0</v>
      </c>
      <c r="E3505" s="15" t="s">
        <v>684</v>
      </c>
      <c r="F3505" s="19">
        <v>19.99</v>
      </c>
      <c r="G3505" s="15" t="s">
        <v>3837</v>
      </c>
    </row>
    <row r="3506" ht="15.75" customHeight="1">
      <c r="A3506" s="17" t="s">
        <v>4178</v>
      </c>
      <c r="B3506" s="17" t="s">
        <v>648</v>
      </c>
      <c r="C3506" s="18">
        <v>45740.0</v>
      </c>
      <c r="D3506" s="18">
        <v>45770.0</v>
      </c>
      <c r="E3506" s="17" t="s">
        <v>684</v>
      </c>
      <c r="F3506" s="20">
        <v>19.99</v>
      </c>
      <c r="G3506" s="17" t="s">
        <v>3837</v>
      </c>
    </row>
    <row r="3507" ht="15.75" customHeight="1">
      <c r="A3507" s="15" t="s">
        <v>4179</v>
      </c>
      <c r="B3507" s="15" t="s">
        <v>497</v>
      </c>
      <c r="C3507" s="16">
        <v>45740.0</v>
      </c>
      <c r="D3507" s="16">
        <v>45770.0</v>
      </c>
      <c r="E3507" s="15" t="s">
        <v>684</v>
      </c>
      <c r="F3507" s="19">
        <v>19.99</v>
      </c>
      <c r="G3507" s="15" t="s">
        <v>3837</v>
      </c>
    </row>
    <row r="3508" ht="15.75" customHeight="1">
      <c r="A3508" s="17" t="s">
        <v>4180</v>
      </c>
      <c r="B3508" s="17" t="s">
        <v>351</v>
      </c>
      <c r="C3508" s="18">
        <v>45740.0</v>
      </c>
      <c r="D3508" s="18">
        <v>45770.0</v>
      </c>
      <c r="E3508" s="17" t="s">
        <v>684</v>
      </c>
      <c r="F3508" s="20">
        <v>19.99</v>
      </c>
      <c r="G3508" s="17" t="s">
        <v>3837</v>
      </c>
    </row>
    <row r="3509" ht="15.75" customHeight="1">
      <c r="A3509" s="15" t="s">
        <v>4181</v>
      </c>
      <c r="B3509" s="15" t="s">
        <v>103</v>
      </c>
      <c r="C3509" s="16">
        <v>45740.0</v>
      </c>
      <c r="D3509" s="16">
        <v>45770.0</v>
      </c>
      <c r="E3509" s="15" t="s">
        <v>684</v>
      </c>
      <c r="F3509" s="19">
        <v>19.99</v>
      </c>
      <c r="G3509" s="15" t="s">
        <v>3837</v>
      </c>
    </row>
    <row r="3510" ht="15.75" customHeight="1">
      <c r="A3510" s="17" t="s">
        <v>4182</v>
      </c>
      <c r="B3510" s="17" t="s">
        <v>446</v>
      </c>
      <c r="C3510" s="18">
        <v>45740.0</v>
      </c>
      <c r="D3510" s="18">
        <v>45770.0</v>
      </c>
      <c r="E3510" s="17" t="s">
        <v>684</v>
      </c>
      <c r="F3510" s="20">
        <v>19.99</v>
      </c>
      <c r="G3510" s="17" t="s">
        <v>3837</v>
      </c>
    </row>
    <row r="3511" ht="15.75" customHeight="1">
      <c r="A3511" s="15" t="s">
        <v>4183</v>
      </c>
      <c r="B3511" s="15" t="s">
        <v>140</v>
      </c>
      <c r="C3511" s="16">
        <v>45740.0</v>
      </c>
      <c r="D3511" s="16">
        <v>45770.0</v>
      </c>
      <c r="E3511" s="15" t="s">
        <v>684</v>
      </c>
      <c r="F3511" s="19">
        <v>19.99</v>
      </c>
      <c r="G3511" s="15" t="s">
        <v>3837</v>
      </c>
    </row>
    <row r="3512" ht="15.75" customHeight="1">
      <c r="A3512" s="17" t="s">
        <v>4184</v>
      </c>
      <c r="B3512" s="17" t="s">
        <v>649</v>
      </c>
      <c r="C3512" s="18">
        <v>45740.0</v>
      </c>
      <c r="D3512" s="18">
        <v>45770.0</v>
      </c>
      <c r="E3512" s="17" t="s">
        <v>684</v>
      </c>
      <c r="F3512" s="20">
        <v>19.99</v>
      </c>
      <c r="G3512" s="17" t="s">
        <v>3837</v>
      </c>
    </row>
    <row r="3513" ht="15.75" customHeight="1">
      <c r="A3513" s="15" t="s">
        <v>4185</v>
      </c>
      <c r="B3513" s="15" t="s">
        <v>665</v>
      </c>
      <c r="C3513" s="16">
        <v>45740.0</v>
      </c>
      <c r="D3513" s="16">
        <v>45747.0</v>
      </c>
      <c r="E3513" s="15" t="s">
        <v>674</v>
      </c>
      <c r="F3513" s="19">
        <v>0.0</v>
      </c>
      <c r="G3513" s="15" t="s">
        <v>675</v>
      </c>
    </row>
    <row r="3514" ht="15.75" customHeight="1">
      <c r="A3514" s="17" t="s">
        <v>4186</v>
      </c>
      <c r="B3514" s="17" t="s">
        <v>650</v>
      </c>
      <c r="C3514" s="18">
        <v>45740.0</v>
      </c>
      <c r="D3514" s="18">
        <v>45770.0</v>
      </c>
      <c r="E3514" s="17" t="s">
        <v>684</v>
      </c>
      <c r="F3514" s="20">
        <v>19.99</v>
      </c>
      <c r="G3514" s="17" t="s">
        <v>3837</v>
      </c>
    </row>
    <row r="3515" ht="15.75" customHeight="1">
      <c r="A3515" s="15" t="s">
        <v>4187</v>
      </c>
      <c r="B3515" s="15" t="s">
        <v>171</v>
      </c>
      <c r="C3515" s="16">
        <v>45740.0</v>
      </c>
      <c r="D3515" s="16">
        <v>45770.0</v>
      </c>
      <c r="E3515" s="15" t="s">
        <v>684</v>
      </c>
      <c r="F3515" s="19">
        <v>19.99</v>
      </c>
      <c r="G3515" s="15" t="s">
        <v>3837</v>
      </c>
    </row>
    <row r="3516" ht="15.75" customHeight="1">
      <c r="A3516" s="17" t="s">
        <v>4188</v>
      </c>
      <c r="B3516" s="17" t="s">
        <v>230</v>
      </c>
      <c r="C3516" s="18">
        <v>45740.0</v>
      </c>
      <c r="D3516" s="18">
        <v>45770.0</v>
      </c>
      <c r="E3516" s="17" t="s">
        <v>684</v>
      </c>
      <c r="F3516" s="20">
        <v>19.99</v>
      </c>
      <c r="G3516" s="17" t="s">
        <v>3837</v>
      </c>
    </row>
    <row r="3517" ht="15.75" customHeight="1">
      <c r="A3517" s="15" t="s">
        <v>4189</v>
      </c>
      <c r="B3517" s="15" t="s">
        <v>353</v>
      </c>
      <c r="C3517" s="16">
        <v>45741.0</v>
      </c>
      <c r="D3517" s="16">
        <v>45771.0</v>
      </c>
      <c r="E3517" s="15" t="s">
        <v>684</v>
      </c>
      <c r="F3517" s="19">
        <v>19.99</v>
      </c>
      <c r="G3517" s="15" t="s">
        <v>3837</v>
      </c>
    </row>
    <row r="3518" ht="15.75" customHeight="1">
      <c r="A3518" s="17" t="s">
        <v>4190</v>
      </c>
      <c r="B3518" s="17" t="s">
        <v>651</v>
      </c>
      <c r="C3518" s="18">
        <v>45741.0</v>
      </c>
      <c r="D3518" s="18">
        <v>45771.0</v>
      </c>
      <c r="E3518" s="17" t="s">
        <v>684</v>
      </c>
      <c r="F3518" s="20">
        <v>19.99</v>
      </c>
      <c r="G3518" s="17" t="s">
        <v>3837</v>
      </c>
    </row>
    <row r="3519" ht="15.75" customHeight="1">
      <c r="A3519" s="15" t="s">
        <v>4191</v>
      </c>
      <c r="B3519" s="15" t="s">
        <v>315</v>
      </c>
      <c r="C3519" s="16">
        <v>45741.0</v>
      </c>
      <c r="D3519" s="16">
        <v>45771.0</v>
      </c>
      <c r="E3519" s="15" t="s">
        <v>684</v>
      </c>
      <c r="F3519" s="19">
        <v>19.99</v>
      </c>
      <c r="G3519" s="15" t="s">
        <v>3837</v>
      </c>
    </row>
    <row r="3520" ht="15.75" customHeight="1">
      <c r="A3520" s="17" t="s">
        <v>4192</v>
      </c>
      <c r="B3520" s="17" t="s">
        <v>591</v>
      </c>
      <c r="C3520" s="18">
        <v>45741.0</v>
      </c>
      <c r="D3520" s="18">
        <v>45771.0</v>
      </c>
      <c r="E3520" s="17" t="s">
        <v>684</v>
      </c>
      <c r="F3520" s="20">
        <v>19.99</v>
      </c>
      <c r="G3520" s="17" t="s">
        <v>3837</v>
      </c>
    </row>
    <row r="3521" ht="15.75" customHeight="1">
      <c r="A3521" s="15" t="s">
        <v>4193</v>
      </c>
      <c r="B3521" s="15" t="s">
        <v>652</v>
      </c>
      <c r="C3521" s="16">
        <v>45741.0</v>
      </c>
      <c r="D3521" s="16">
        <v>45771.0</v>
      </c>
      <c r="E3521" s="15" t="s">
        <v>684</v>
      </c>
      <c r="F3521" s="19">
        <v>19.99</v>
      </c>
      <c r="G3521" s="15" t="s">
        <v>3837</v>
      </c>
    </row>
    <row r="3522" ht="15.75" customHeight="1">
      <c r="A3522" s="17" t="s">
        <v>4194</v>
      </c>
      <c r="B3522" s="17" t="s">
        <v>396</v>
      </c>
      <c r="C3522" s="18">
        <v>45741.0</v>
      </c>
      <c r="D3522" s="18">
        <v>45771.0</v>
      </c>
      <c r="E3522" s="17" t="s">
        <v>684</v>
      </c>
      <c r="F3522" s="20">
        <v>19.99</v>
      </c>
      <c r="G3522" s="17" t="s">
        <v>3837</v>
      </c>
    </row>
    <row r="3523" ht="15.75" customHeight="1">
      <c r="A3523" s="15" t="s">
        <v>4195</v>
      </c>
      <c r="B3523" s="15" t="s">
        <v>592</v>
      </c>
      <c r="C3523" s="16">
        <v>45741.0</v>
      </c>
      <c r="D3523" s="16">
        <v>45771.0</v>
      </c>
      <c r="E3523" s="15" t="s">
        <v>684</v>
      </c>
      <c r="F3523" s="19">
        <v>19.99</v>
      </c>
      <c r="G3523" s="15" t="s">
        <v>3837</v>
      </c>
    </row>
    <row r="3524" ht="15.75" customHeight="1">
      <c r="A3524" s="17" t="s">
        <v>4196</v>
      </c>
      <c r="B3524" s="17" t="s">
        <v>172</v>
      </c>
      <c r="C3524" s="18">
        <v>45741.0</v>
      </c>
      <c r="D3524" s="18">
        <v>45771.0</v>
      </c>
      <c r="E3524" s="17" t="s">
        <v>684</v>
      </c>
      <c r="F3524" s="20">
        <v>19.99</v>
      </c>
      <c r="G3524" s="17" t="s">
        <v>3837</v>
      </c>
    </row>
    <row r="3525" ht="15.75" customHeight="1">
      <c r="A3525" s="15" t="s">
        <v>4197</v>
      </c>
      <c r="B3525" s="15" t="s">
        <v>498</v>
      </c>
      <c r="C3525" s="16">
        <v>45741.0</v>
      </c>
      <c r="D3525" s="16">
        <v>45771.0</v>
      </c>
      <c r="E3525" s="15" t="s">
        <v>684</v>
      </c>
      <c r="F3525" s="19">
        <v>19.99</v>
      </c>
      <c r="G3525" s="15" t="s">
        <v>3837</v>
      </c>
    </row>
    <row r="3526" ht="15.75" customHeight="1">
      <c r="A3526" s="17" t="s">
        <v>4198</v>
      </c>
      <c r="B3526" s="17" t="s">
        <v>593</v>
      </c>
      <c r="C3526" s="18">
        <v>45741.0</v>
      </c>
      <c r="D3526" s="18">
        <v>45771.0</v>
      </c>
      <c r="E3526" s="17" t="s">
        <v>684</v>
      </c>
      <c r="F3526" s="20">
        <v>19.99</v>
      </c>
      <c r="G3526" s="17" t="s">
        <v>3837</v>
      </c>
    </row>
    <row r="3527" ht="15.75" customHeight="1">
      <c r="A3527" s="15" t="s">
        <v>4199</v>
      </c>
      <c r="B3527" s="15" t="s">
        <v>449</v>
      </c>
      <c r="C3527" s="16">
        <v>45741.0</v>
      </c>
      <c r="D3527" s="16">
        <v>45771.0</v>
      </c>
      <c r="E3527" s="15" t="s">
        <v>684</v>
      </c>
      <c r="F3527" s="19">
        <v>19.99</v>
      </c>
      <c r="G3527" s="15" t="s">
        <v>3837</v>
      </c>
    </row>
    <row r="3528" ht="15.75" customHeight="1">
      <c r="A3528" s="17" t="s">
        <v>4200</v>
      </c>
      <c r="B3528" s="17" t="s">
        <v>653</v>
      </c>
      <c r="C3528" s="18">
        <v>45741.0</v>
      </c>
      <c r="D3528" s="18">
        <v>45771.0</v>
      </c>
      <c r="E3528" s="17" t="s">
        <v>684</v>
      </c>
      <c r="F3528" s="20">
        <v>19.99</v>
      </c>
      <c r="G3528" s="17" t="s">
        <v>3837</v>
      </c>
    </row>
    <row r="3529" ht="15.75" customHeight="1">
      <c r="A3529" s="15" t="s">
        <v>4201</v>
      </c>
      <c r="B3529" s="15" t="s">
        <v>316</v>
      </c>
      <c r="C3529" s="16">
        <v>45741.0</v>
      </c>
      <c r="D3529" s="16">
        <v>45771.0</v>
      </c>
      <c r="E3529" s="15" t="s">
        <v>684</v>
      </c>
      <c r="F3529" s="19">
        <v>19.99</v>
      </c>
      <c r="G3529" s="15" t="s">
        <v>3837</v>
      </c>
    </row>
    <row r="3530" ht="15.75" customHeight="1">
      <c r="A3530" s="17" t="s">
        <v>4202</v>
      </c>
      <c r="B3530" s="17" t="s">
        <v>539</v>
      </c>
      <c r="C3530" s="18">
        <v>45741.0</v>
      </c>
      <c r="D3530" s="18">
        <v>45771.0</v>
      </c>
      <c r="E3530" s="17" t="s">
        <v>684</v>
      </c>
      <c r="F3530" s="20">
        <v>19.99</v>
      </c>
      <c r="G3530" s="17" t="s">
        <v>3837</v>
      </c>
    </row>
    <row r="3531" ht="15.75" customHeight="1">
      <c r="A3531" s="15" t="s">
        <v>4203</v>
      </c>
      <c r="B3531" s="15" t="s">
        <v>210</v>
      </c>
      <c r="C3531" s="16">
        <v>45741.0</v>
      </c>
      <c r="D3531" s="16">
        <v>45771.0</v>
      </c>
      <c r="E3531" s="15" t="s">
        <v>684</v>
      </c>
      <c r="F3531" s="19">
        <v>19.99</v>
      </c>
      <c r="G3531" s="15" t="s">
        <v>3837</v>
      </c>
    </row>
    <row r="3532" ht="15.75" customHeight="1">
      <c r="A3532" s="17" t="s">
        <v>4204</v>
      </c>
      <c r="B3532" s="17" t="s">
        <v>499</v>
      </c>
      <c r="C3532" s="18">
        <v>45741.0</v>
      </c>
      <c r="D3532" s="18">
        <v>45771.0</v>
      </c>
      <c r="E3532" s="17" t="s">
        <v>684</v>
      </c>
      <c r="F3532" s="20">
        <v>19.99</v>
      </c>
      <c r="G3532" s="17" t="s">
        <v>3837</v>
      </c>
    </row>
    <row r="3533" ht="15.75" customHeight="1">
      <c r="A3533" s="15" t="s">
        <v>4205</v>
      </c>
      <c r="B3533" s="15" t="s">
        <v>317</v>
      </c>
      <c r="C3533" s="16">
        <v>45742.0</v>
      </c>
      <c r="D3533" s="16">
        <v>45772.0</v>
      </c>
      <c r="E3533" s="15" t="s">
        <v>684</v>
      </c>
      <c r="F3533" s="19">
        <v>19.99</v>
      </c>
      <c r="G3533" s="15" t="s">
        <v>3837</v>
      </c>
    </row>
    <row r="3534" ht="15.75" customHeight="1">
      <c r="A3534" s="17" t="s">
        <v>4206</v>
      </c>
      <c r="B3534" s="17" t="s">
        <v>397</v>
      </c>
      <c r="C3534" s="18">
        <v>45742.0</v>
      </c>
      <c r="D3534" s="18">
        <v>45772.0</v>
      </c>
      <c r="E3534" s="17" t="s">
        <v>684</v>
      </c>
      <c r="F3534" s="20">
        <v>19.99</v>
      </c>
      <c r="G3534" s="17" t="s">
        <v>3837</v>
      </c>
    </row>
    <row r="3535" ht="15.75" customHeight="1">
      <c r="A3535" s="15" t="s">
        <v>4207</v>
      </c>
      <c r="B3535" s="15" t="s">
        <v>594</v>
      </c>
      <c r="C3535" s="16">
        <v>45742.0</v>
      </c>
      <c r="D3535" s="16">
        <v>45772.0</v>
      </c>
      <c r="E3535" s="15" t="s">
        <v>684</v>
      </c>
      <c r="F3535" s="19">
        <v>19.99</v>
      </c>
      <c r="G3535" s="15" t="s">
        <v>3837</v>
      </c>
    </row>
    <row r="3536" ht="15.75" customHeight="1">
      <c r="A3536" s="17" t="s">
        <v>4208</v>
      </c>
      <c r="B3536" s="17" t="s">
        <v>104</v>
      </c>
      <c r="C3536" s="18">
        <v>45742.0</v>
      </c>
      <c r="D3536" s="18">
        <v>45772.0</v>
      </c>
      <c r="E3536" s="17" t="s">
        <v>684</v>
      </c>
      <c r="F3536" s="20">
        <v>19.99</v>
      </c>
      <c r="G3536" s="17" t="s">
        <v>3837</v>
      </c>
    </row>
    <row r="3537" ht="15.75" customHeight="1">
      <c r="A3537" s="15" t="s">
        <v>4209</v>
      </c>
      <c r="B3537" s="15" t="s">
        <v>654</v>
      </c>
      <c r="C3537" s="16">
        <v>45742.0</v>
      </c>
      <c r="D3537" s="16">
        <v>45772.0</v>
      </c>
      <c r="E3537" s="15" t="s">
        <v>684</v>
      </c>
      <c r="F3537" s="19">
        <v>19.99</v>
      </c>
      <c r="G3537" s="15" t="s">
        <v>3837</v>
      </c>
    </row>
    <row r="3538" ht="15.75" customHeight="1">
      <c r="A3538" s="17" t="s">
        <v>4210</v>
      </c>
      <c r="B3538" s="17" t="s">
        <v>211</v>
      </c>
      <c r="C3538" s="18">
        <v>45742.0</v>
      </c>
      <c r="D3538" s="18">
        <v>45772.0</v>
      </c>
      <c r="E3538" s="17" t="s">
        <v>684</v>
      </c>
      <c r="F3538" s="20">
        <v>19.99</v>
      </c>
      <c r="G3538" s="17" t="s">
        <v>3837</v>
      </c>
    </row>
    <row r="3539" ht="15.75" customHeight="1">
      <c r="A3539" s="15" t="s">
        <v>4211</v>
      </c>
      <c r="B3539" s="15" t="s">
        <v>595</v>
      </c>
      <c r="C3539" s="16">
        <v>45742.0</v>
      </c>
      <c r="D3539" s="16">
        <v>45772.0</v>
      </c>
      <c r="E3539" s="15" t="s">
        <v>684</v>
      </c>
      <c r="F3539" s="19">
        <v>19.99</v>
      </c>
      <c r="G3539" s="15" t="s">
        <v>3837</v>
      </c>
    </row>
    <row r="3540" ht="15.75" customHeight="1">
      <c r="A3540" s="17" t="s">
        <v>4212</v>
      </c>
      <c r="B3540" s="17" t="s">
        <v>354</v>
      </c>
      <c r="C3540" s="18">
        <v>45742.0</v>
      </c>
      <c r="D3540" s="18">
        <v>45772.0</v>
      </c>
      <c r="E3540" s="17" t="s">
        <v>684</v>
      </c>
      <c r="F3540" s="20">
        <v>19.99</v>
      </c>
      <c r="G3540" s="17" t="s">
        <v>3837</v>
      </c>
    </row>
    <row r="3541" ht="15.75" customHeight="1">
      <c r="A3541" s="15" t="s">
        <v>4213</v>
      </c>
      <c r="B3541" s="15" t="s">
        <v>655</v>
      </c>
      <c r="C3541" s="16">
        <v>45742.0</v>
      </c>
      <c r="D3541" s="16">
        <v>45772.0</v>
      </c>
      <c r="E3541" s="15" t="s">
        <v>684</v>
      </c>
      <c r="F3541" s="19">
        <v>19.99</v>
      </c>
      <c r="G3541" s="15" t="s">
        <v>3837</v>
      </c>
    </row>
    <row r="3542" ht="15.75" customHeight="1">
      <c r="A3542" s="17" t="s">
        <v>4214</v>
      </c>
      <c r="B3542" s="17" t="s">
        <v>656</v>
      </c>
      <c r="C3542" s="18">
        <v>45742.0</v>
      </c>
      <c r="D3542" s="18">
        <v>45772.0</v>
      </c>
      <c r="E3542" s="17" t="s">
        <v>684</v>
      </c>
      <c r="F3542" s="20">
        <v>19.99</v>
      </c>
      <c r="G3542" s="17" t="s">
        <v>3837</v>
      </c>
    </row>
    <row r="3543" ht="15.75" customHeight="1">
      <c r="A3543" s="15" t="s">
        <v>4215</v>
      </c>
      <c r="B3543" s="15" t="s">
        <v>540</v>
      </c>
      <c r="C3543" s="16">
        <v>45742.0</v>
      </c>
      <c r="D3543" s="16">
        <v>45772.0</v>
      </c>
      <c r="E3543" s="15" t="s">
        <v>684</v>
      </c>
      <c r="F3543" s="19">
        <v>19.99</v>
      </c>
      <c r="G3543" s="15" t="s">
        <v>3837</v>
      </c>
    </row>
    <row r="3544" ht="15.75" customHeight="1">
      <c r="A3544" s="17" t="s">
        <v>4216</v>
      </c>
      <c r="B3544" s="17" t="s">
        <v>266</v>
      </c>
      <c r="C3544" s="18">
        <v>45742.0</v>
      </c>
      <c r="D3544" s="18">
        <v>45772.0</v>
      </c>
      <c r="E3544" s="17" t="s">
        <v>684</v>
      </c>
      <c r="F3544" s="20">
        <v>19.99</v>
      </c>
      <c r="G3544" s="17" t="s">
        <v>3837</v>
      </c>
    </row>
    <row r="3545" ht="15.75" customHeight="1">
      <c r="A3545" s="15" t="s">
        <v>4217</v>
      </c>
      <c r="B3545" s="15" t="s">
        <v>267</v>
      </c>
      <c r="C3545" s="16">
        <v>45742.0</v>
      </c>
      <c r="D3545" s="16">
        <v>45772.0</v>
      </c>
      <c r="E3545" s="15" t="s">
        <v>684</v>
      </c>
      <c r="F3545" s="19">
        <v>19.99</v>
      </c>
      <c r="G3545" s="15" t="s">
        <v>3837</v>
      </c>
    </row>
    <row r="3546" ht="15.75" customHeight="1">
      <c r="A3546" s="17" t="s">
        <v>4218</v>
      </c>
      <c r="B3546" s="17" t="s">
        <v>398</v>
      </c>
      <c r="C3546" s="18">
        <v>45743.0</v>
      </c>
      <c r="D3546" s="18">
        <v>45773.0</v>
      </c>
      <c r="E3546" s="17" t="s">
        <v>684</v>
      </c>
      <c r="F3546" s="20">
        <v>19.99</v>
      </c>
      <c r="G3546" s="17" t="s">
        <v>3837</v>
      </c>
    </row>
    <row r="3547" ht="15.75" customHeight="1">
      <c r="A3547" s="15" t="s">
        <v>4219</v>
      </c>
      <c r="B3547" s="15" t="s">
        <v>268</v>
      </c>
      <c r="C3547" s="16">
        <v>45743.0</v>
      </c>
      <c r="D3547" s="16">
        <v>45773.0</v>
      </c>
      <c r="E3547" s="15" t="s">
        <v>684</v>
      </c>
      <c r="F3547" s="19">
        <v>19.99</v>
      </c>
      <c r="G3547" s="15" t="s">
        <v>3837</v>
      </c>
    </row>
    <row r="3548" ht="15.75" customHeight="1">
      <c r="A3548" s="17" t="s">
        <v>4220</v>
      </c>
      <c r="B3548" s="17" t="s">
        <v>501</v>
      </c>
      <c r="C3548" s="18">
        <v>45743.0</v>
      </c>
      <c r="D3548" s="18">
        <v>45773.0</v>
      </c>
      <c r="E3548" s="17" t="s">
        <v>684</v>
      </c>
      <c r="F3548" s="20">
        <v>19.99</v>
      </c>
      <c r="G3548" s="17" t="s">
        <v>3837</v>
      </c>
    </row>
    <row r="3549" ht="15.75" customHeight="1">
      <c r="A3549" s="15" t="s">
        <v>4221</v>
      </c>
      <c r="B3549" s="15" t="s">
        <v>502</v>
      </c>
      <c r="C3549" s="16">
        <v>45743.0</v>
      </c>
      <c r="D3549" s="16">
        <v>45773.0</v>
      </c>
      <c r="E3549" s="15" t="s">
        <v>684</v>
      </c>
      <c r="F3549" s="19">
        <v>19.99</v>
      </c>
      <c r="G3549" s="15" t="s">
        <v>3837</v>
      </c>
    </row>
    <row r="3550" ht="15.75" customHeight="1">
      <c r="A3550" s="17" t="s">
        <v>4222</v>
      </c>
      <c r="B3550" s="17" t="s">
        <v>85</v>
      </c>
      <c r="C3550" s="18">
        <v>45743.0</v>
      </c>
      <c r="D3550" s="18">
        <v>45773.0</v>
      </c>
      <c r="E3550" s="17" t="s">
        <v>684</v>
      </c>
      <c r="F3550" s="20">
        <v>19.99</v>
      </c>
      <c r="G3550" s="17" t="s">
        <v>3837</v>
      </c>
    </row>
    <row r="3551" ht="15.75" customHeight="1">
      <c r="A3551" s="15" t="s">
        <v>4223</v>
      </c>
      <c r="B3551" s="15" t="s">
        <v>541</v>
      </c>
      <c r="C3551" s="16">
        <v>45743.0</v>
      </c>
      <c r="D3551" s="16">
        <v>45773.0</v>
      </c>
      <c r="E3551" s="15" t="s">
        <v>684</v>
      </c>
      <c r="F3551" s="19">
        <v>19.99</v>
      </c>
      <c r="G3551" s="15" t="s">
        <v>3837</v>
      </c>
    </row>
    <row r="3552" ht="15.75" customHeight="1">
      <c r="A3552" s="17" t="s">
        <v>4224</v>
      </c>
      <c r="B3552" s="17" t="s">
        <v>657</v>
      </c>
      <c r="C3552" s="18">
        <v>45743.0</v>
      </c>
      <c r="D3552" s="18">
        <v>45773.0</v>
      </c>
      <c r="E3552" s="17" t="s">
        <v>684</v>
      </c>
      <c r="F3552" s="20">
        <v>19.99</v>
      </c>
      <c r="G3552" s="17" t="s">
        <v>3837</v>
      </c>
    </row>
    <row r="3553" ht="15.75" customHeight="1">
      <c r="A3553" s="15" t="s">
        <v>4225</v>
      </c>
      <c r="B3553" s="15" t="s">
        <v>658</v>
      </c>
      <c r="C3553" s="16">
        <v>45743.0</v>
      </c>
      <c r="D3553" s="16">
        <v>45773.0</v>
      </c>
      <c r="E3553" s="15" t="s">
        <v>684</v>
      </c>
      <c r="F3553" s="19">
        <v>19.99</v>
      </c>
      <c r="G3553" s="15" t="s">
        <v>3837</v>
      </c>
    </row>
    <row r="3554" ht="15.75" customHeight="1">
      <c r="A3554" s="17" t="s">
        <v>4226</v>
      </c>
      <c r="B3554" s="17" t="s">
        <v>399</v>
      </c>
      <c r="C3554" s="18">
        <v>45743.0</v>
      </c>
      <c r="D3554" s="18">
        <v>45773.0</v>
      </c>
      <c r="E3554" s="17" t="s">
        <v>684</v>
      </c>
      <c r="F3554" s="20">
        <v>19.99</v>
      </c>
      <c r="G3554" s="17" t="s">
        <v>3837</v>
      </c>
    </row>
    <row r="3555" ht="15.75" customHeight="1">
      <c r="A3555" s="15" t="s">
        <v>4227</v>
      </c>
      <c r="B3555" s="15" t="s">
        <v>504</v>
      </c>
      <c r="C3555" s="16">
        <v>45743.0</v>
      </c>
      <c r="D3555" s="16">
        <v>45773.0</v>
      </c>
      <c r="E3555" s="15" t="s">
        <v>684</v>
      </c>
      <c r="F3555" s="19">
        <v>19.99</v>
      </c>
      <c r="G3555" s="15" t="s">
        <v>3837</v>
      </c>
    </row>
    <row r="3556" ht="15.75" customHeight="1">
      <c r="A3556" s="17" t="s">
        <v>4228</v>
      </c>
      <c r="B3556" s="17" t="s">
        <v>400</v>
      </c>
      <c r="C3556" s="18">
        <v>45743.0</v>
      </c>
      <c r="D3556" s="18">
        <v>45773.0</v>
      </c>
      <c r="E3556" s="17" t="s">
        <v>684</v>
      </c>
      <c r="F3556" s="20">
        <v>19.99</v>
      </c>
      <c r="G3556" s="17" t="s">
        <v>3837</v>
      </c>
    </row>
    <row r="3557" ht="15.75" customHeight="1">
      <c r="A3557" s="15" t="s">
        <v>4229</v>
      </c>
      <c r="B3557" s="15" t="s">
        <v>173</v>
      </c>
      <c r="C3557" s="16">
        <v>45743.0</v>
      </c>
      <c r="D3557" s="16">
        <v>45773.0</v>
      </c>
      <c r="E3557" s="15" t="s">
        <v>684</v>
      </c>
      <c r="F3557" s="19">
        <v>19.99</v>
      </c>
      <c r="G3557" s="15" t="s">
        <v>3837</v>
      </c>
    </row>
    <row r="3558" ht="15.75" customHeight="1">
      <c r="A3558" s="17" t="s">
        <v>4230</v>
      </c>
      <c r="B3558" s="17" t="s">
        <v>659</v>
      </c>
      <c r="C3558" s="18">
        <v>45743.0</v>
      </c>
      <c r="D3558" s="18">
        <v>45773.0</v>
      </c>
      <c r="E3558" s="17" t="s">
        <v>684</v>
      </c>
      <c r="F3558" s="20">
        <v>19.99</v>
      </c>
      <c r="G3558" s="17" t="s">
        <v>3837</v>
      </c>
    </row>
    <row r="3559" ht="15.75" customHeight="1">
      <c r="A3559" s="15" t="s">
        <v>4231</v>
      </c>
      <c r="B3559" s="15" t="s">
        <v>318</v>
      </c>
      <c r="C3559" s="16">
        <v>45743.0</v>
      </c>
      <c r="D3559" s="16">
        <v>45773.0</v>
      </c>
      <c r="E3559" s="15" t="s">
        <v>684</v>
      </c>
      <c r="F3559" s="19">
        <v>19.99</v>
      </c>
      <c r="G3559" s="15" t="s">
        <v>3837</v>
      </c>
    </row>
    <row r="3560" ht="15.75" customHeight="1">
      <c r="A3560" s="17" t="s">
        <v>4232</v>
      </c>
      <c r="B3560" s="17" t="s">
        <v>234</v>
      </c>
      <c r="C3560" s="18">
        <v>45743.0</v>
      </c>
      <c r="D3560" s="18">
        <v>45773.0</v>
      </c>
      <c r="E3560" s="17" t="s">
        <v>684</v>
      </c>
      <c r="F3560" s="20">
        <v>19.99</v>
      </c>
      <c r="G3560" s="17" t="s">
        <v>3837</v>
      </c>
    </row>
    <row r="3561" ht="15.75" customHeight="1">
      <c r="A3561" s="15" t="s">
        <v>4233</v>
      </c>
      <c r="B3561" s="15" t="s">
        <v>174</v>
      </c>
      <c r="C3561" s="16">
        <v>45743.0</v>
      </c>
      <c r="D3561" s="16">
        <v>45773.0</v>
      </c>
      <c r="E3561" s="15" t="s">
        <v>684</v>
      </c>
      <c r="F3561" s="19">
        <v>19.99</v>
      </c>
      <c r="G3561" s="15" t="s">
        <v>3837</v>
      </c>
    </row>
    <row r="3562" ht="15.75" customHeight="1">
      <c r="A3562" s="17" t="s">
        <v>4234</v>
      </c>
      <c r="B3562" s="17" t="s">
        <v>597</v>
      </c>
      <c r="C3562" s="18">
        <v>45743.0</v>
      </c>
      <c r="D3562" s="18">
        <v>45773.0</v>
      </c>
      <c r="E3562" s="17" t="s">
        <v>684</v>
      </c>
      <c r="F3562" s="20">
        <v>19.99</v>
      </c>
      <c r="G3562" s="17" t="s">
        <v>3837</v>
      </c>
    </row>
    <row r="3563" ht="15.75" customHeight="1">
      <c r="A3563" s="15" t="s">
        <v>4235</v>
      </c>
      <c r="B3563" s="15" t="s">
        <v>401</v>
      </c>
      <c r="C3563" s="16">
        <v>45744.0</v>
      </c>
      <c r="D3563" s="16">
        <v>45774.0</v>
      </c>
      <c r="E3563" s="15" t="s">
        <v>684</v>
      </c>
      <c r="F3563" s="19">
        <v>19.99</v>
      </c>
      <c r="G3563" s="15" t="s">
        <v>3837</v>
      </c>
    </row>
    <row r="3564" ht="15.75" customHeight="1">
      <c r="A3564" s="17" t="s">
        <v>4236</v>
      </c>
      <c r="B3564" s="17" t="s">
        <v>235</v>
      </c>
      <c r="C3564" s="18">
        <v>45744.0</v>
      </c>
      <c r="D3564" s="18">
        <v>45774.0</v>
      </c>
      <c r="E3564" s="17" t="s">
        <v>684</v>
      </c>
      <c r="F3564" s="20">
        <v>19.99</v>
      </c>
      <c r="G3564" s="17" t="s">
        <v>3837</v>
      </c>
    </row>
    <row r="3565" ht="15.75" customHeight="1">
      <c r="A3565" s="15" t="s">
        <v>4237</v>
      </c>
      <c r="B3565" s="15" t="s">
        <v>542</v>
      </c>
      <c r="C3565" s="16">
        <v>45744.0</v>
      </c>
      <c r="D3565" s="16">
        <v>45774.0</v>
      </c>
      <c r="E3565" s="15" t="s">
        <v>684</v>
      </c>
      <c r="F3565" s="19">
        <v>19.99</v>
      </c>
      <c r="G3565" s="15" t="s">
        <v>3837</v>
      </c>
    </row>
    <row r="3566" ht="15.75" customHeight="1">
      <c r="A3566" s="17" t="s">
        <v>4238</v>
      </c>
      <c r="B3566" s="17" t="s">
        <v>450</v>
      </c>
      <c r="C3566" s="18">
        <v>45744.0</v>
      </c>
      <c r="D3566" s="18">
        <v>45774.0</v>
      </c>
      <c r="E3566" s="17" t="s">
        <v>684</v>
      </c>
      <c r="F3566" s="20">
        <v>19.99</v>
      </c>
      <c r="G3566" s="17" t="s">
        <v>3837</v>
      </c>
    </row>
    <row r="3567" ht="15.75" customHeight="1">
      <c r="A3567" s="15" t="s">
        <v>4239</v>
      </c>
      <c r="B3567" s="15" t="s">
        <v>175</v>
      </c>
      <c r="C3567" s="16">
        <v>45744.0</v>
      </c>
      <c r="D3567" s="16">
        <v>45774.0</v>
      </c>
      <c r="E3567" s="15" t="s">
        <v>684</v>
      </c>
      <c r="F3567" s="19">
        <v>19.99</v>
      </c>
      <c r="G3567" s="15" t="s">
        <v>3837</v>
      </c>
    </row>
    <row r="3568" ht="15.75" customHeight="1">
      <c r="A3568" s="17" t="s">
        <v>4240</v>
      </c>
      <c r="B3568" s="17" t="s">
        <v>236</v>
      </c>
      <c r="C3568" s="18">
        <v>45744.0</v>
      </c>
      <c r="D3568" s="18">
        <v>45774.0</v>
      </c>
      <c r="E3568" s="17" t="s">
        <v>684</v>
      </c>
      <c r="F3568" s="20">
        <v>19.99</v>
      </c>
      <c r="G3568" s="17" t="s">
        <v>3837</v>
      </c>
    </row>
    <row r="3569" ht="15.75" customHeight="1">
      <c r="A3569" s="15" t="s">
        <v>4241</v>
      </c>
      <c r="B3569" s="15" t="s">
        <v>237</v>
      </c>
      <c r="C3569" s="16">
        <v>45744.0</v>
      </c>
      <c r="D3569" s="16">
        <v>45774.0</v>
      </c>
      <c r="E3569" s="15" t="s">
        <v>684</v>
      </c>
      <c r="F3569" s="19">
        <v>19.99</v>
      </c>
      <c r="G3569" s="15" t="s">
        <v>3837</v>
      </c>
    </row>
    <row r="3570" ht="15.75" customHeight="1">
      <c r="A3570" s="17" t="s">
        <v>4242</v>
      </c>
      <c r="B3570" s="17" t="s">
        <v>269</v>
      </c>
      <c r="C3570" s="18">
        <v>45744.0</v>
      </c>
      <c r="D3570" s="18">
        <v>45774.0</v>
      </c>
      <c r="E3570" s="17" t="s">
        <v>684</v>
      </c>
      <c r="F3570" s="20">
        <v>19.99</v>
      </c>
      <c r="G3570" s="17" t="s">
        <v>3837</v>
      </c>
    </row>
    <row r="3571" ht="15.75" customHeight="1">
      <c r="A3571" s="15" t="s">
        <v>4243</v>
      </c>
      <c r="B3571" s="15" t="s">
        <v>319</v>
      </c>
      <c r="C3571" s="16">
        <v>45744.0</v>
      </c>
      <c r="D3571" s="16">
        <v>45774.0</v>
      </c>
      <c r="E3571" s="15" t="s">
        <v>684</v>
      </c>
      <c r="F3571" s="19">
        <v>19.99</v>
      </c>
      <c r="G3571" s="15" t="s">
        <v>3837</v>
      </c>
    </row>
    <row r="3572" ht="15.75" customHeight="1">
      <c r="A3572" s="17" t="s">
        <v>4244</v>
      </c>
      <c r="B3572" s="17" t="s">
        <v>451</v>
      </c>
      <c r="C3572" s="18">
        <v>45744.0</v>
      </c>
      <c r="D3572" s="18">
        <v>45774.0</v>
      </c>
      <c r="E3572" s="17" t="s">
        <v>684</v>
      </c>
      <c r="F3572" s="20">
        <v>19.99</v>
      </c>
      <c r="G3572" s="17" t="s">
        <v>3837</v>
      </c>
    </row>
    <row r="3573" ht="15.75" customHeight="1">
      <c r="A3573" s="15" t="s">
        <v>4245</v>
      </c>
      <c r="B3573" s="15" t="s">
        <v>402</v>
      </c>
      <c r="C3573" s="16">
        <v>45744.0</v>
      </c>
      <c r="D3573" s="16">
        <v>45774.0</v>
      </c>
      <c r="E3573" s="15" t="s">
        <v>684</v>
      </c>
      <c r="F3573" s="19">
        <v>19.99</v>
      </c>
      <c r="G3573" s="15" t="s">
        <v>3837</v>
      </c>
    </row>
    <row r="3574" ht="15.75" customHeight="1">
      <c r="A3574" s="17" t="s">
        <v>4246</v>
      </c>
      <c r="B3574" s="17" t="s">
        <v>143</v>
      </c>
      <c r="C3574" s="18">
        <v>45744.0</v>
      </c>
      <c r="D3574" s="18">
        <v>45774.0</v>
      </c>
      <c r="E3574" s="17" t="s">
        <v>684</v>
      </c>
      <c r="F3574" s="20">
        <v>19.99</v>
      </c>
      <c r="G3574" s="17" t="s">
        <v>3837</v>
      </c>
    </row>
    <row r="3575" ht="15.75" customHeight="1">
      <c r="A3575" s="15" t="s">
        <v>4247</v>
      </c>
      <c r="B3575" s="15" t="s">
        <v>505</v>
      </c>
      <c r="C3575" s="16">
        <v>45744.0</v>
      </c>
      <c r="D3575" s="16">
        <v>45774.0</v>
      </c>
      <c r="E3575" s="15" t="s">
        <v>684</v>
      </c>
      <c r="F3575" s="19">
        <v>19.99</v>
      </c>
      <c r="G3575" s="15" t="s">
        <v>3837</v>
      </c>
    </row>
    <row r="3576" ht="15.75" customHeight="1">
      <c r="A3576" s="17" t="s">
        <v>4248</v>
      </c>
      <c r="B3576" s="17" t="s">
        <v>660</v>
      </c>
      <c r="C3576" s="18">
        <v>45744.0</v>
      </c>
      <c r="D3576" s="18">
        <v>45774.0</v>
      </c>
      <c r="E3576" s="17" t="s">
        <v>684</v>
      </c>
      <c r="F3576" s="20">
        <v>19.99</v>
      </c>
      <c r="G3576" s="17" t="s">
        <v>3837</v>
      </c>
    </row>
    <row r="3577" ht="15.75" customHeight="1">
      <c r="A3577" s="15" t="s">
        <v>4249</v>
      </c>
      <c r="B3577" s="15" t="s">
        <v>176</v>
      </c>
      <c r="C3577" s="16">
        <v>45745.0</v>
      </c>
      <c r="D3577" s="16">
        <v>45775.0</v>
      </c>
      <c r="E3577" s="15" t="s">
        <v>684</v>
      </c>
      <c r="F3577" s="19">
        <v>19.99</v>
      </c>
      <c r="G3577" s="15" t="s">
        <v>3837</v>
      </c>
    </row>
    <row r="3578" ht="15.75" customHeight="1">
      <c r="A3578" s="17" t="s">
        <v>4250</v>
      </c>
      <c r="B3578" s="17" t="s">
        <v>177</v>
      </c>
      <c r="C3578" s="18">
        <v>45745.0</v>
      </c>
      <c r="D3578" s="18">
        <v>45775.0</v>
      </c>
      <c r="E3578" s="17" t="s">
        <v>684</v>
      </c>
      <c r="F3578" s="20">
        <v>19.99</v>
      </c>
      <c r="G3578" s="17" t="s">
        <v>3837</v>
      </c>
    </row>
    <row r="3579" ht="15.75" customHeight="1">
      <c r="A3579" s="15" t="s">
        <v>4251</v>
      </c>
      <c r="B3579" s="15" t="s">
        <v>661</v>
      </c>
      <c r="C3579" s="16">
        <v>45745.0</v>
      </c>
      <c r="D3579" s="16">
        <v>45775.0</v>
      </c>
      <c r="E3579" s="15" t="s">
        <v>684</v>
      </c>
      <c r="F3579" s="19">
        <v>19.99</v>
      </c>
      <c r="G3579" s="15" t="s">
        <v>3837</v>
      </c>
    </row>
    <row r="3580" ht="15.75" customHeight="1">
      <c r="A3580" s="17" t="s">
        <v>4252</v>
      </c>
      <c r="B3580" s="17" t="s">
        <v>106</v>
      </c>
      <c r="C3580" s="18">
        <v>45745.0</v>
      </c>
      <c r="D3580" s="18">
        <v>45775.0</v>
      </c>
      <c r="E3580" s="17" t="s">
        <v>684</v>
      </c>
      <c r="F3580" s="20">
        <v>19.99</v>
      </c>
      <c r="G3580" s="17" t="s">
        <v>3837</v>
      </c>
    </row>
    <row r="3581" ht="15.75" customHeight="1">
      <c r="A3581" s="15" t="s">
        <v>4253</v>
      </c>
      <c r="B3581" s="15" t="s">
        <v>452</v>
      </c>
      <c r="C3581" s="16">
        <v>45745.0</v>
      </c>
      <c r="D3581" s="16">
        <v>45775.0</v>
      </c>
      <c r="E3581" s="15" t="s">
        <v>684</v>
      </c>
      <c r="F3581" s="19">
        <v>19.99</v>
      </c>
      <c r="G3581" s="15" t="s">
        <v>3837</v>
      </c>
    </row>
    <row r="3582" ht="15.75" customHeight="1">
      <c r="A3582" s="17" t="s">
        <v>4254</v>
      </c>
      <c r="B3582" s="17" t="s">
        <v>506</v>
      </c>
      <c r="C3582" s="18">
        <v>45745.0</v>
      </c>
      <c r="D3582" s="18">
        <v>45775.0</v>
      </c>
      <c r="E3582" s="17" t="s">
        <v>684</v>
      </c>
      <c r="F3582" s="20">
        <v>19.99</v>
      </c>
      <c r="G3582" s="17" t="s">
        <v>3837</v>
      </c>
    </row>
    <row r="3583" ht="15.75" customHeight="1">
      <c r="A3583" s="15" t="s">
        <v>4255</v>
      </c>
      <c r="B3583" s="15" t="s">
        <v>272</v>
      </c>
      <c r="C3583" s="16">
        <v>45745.0</v>
      </c>
      <c r="D3583" s="16">
        <v>45775.0</v>
      </c>
      <c r="E3583" s="15" t="s">
        <v>684</v>
      </c>
      <c r="F3583" s="19">
        <v>19.99</v>
      </c>
      <c r="G3583" s="15" t="s">
        <v>3837</v>
      </c>
    </row>
    <row r="3584" ht="15.75" customHeight="1">
      <c r="A3584" s="17" t="s">
        <v>4256</v>
      </c>
      <c r="B3584" s="17" t="s">
        <v>507</v>
      </c>
      <c r="C3584" s="18">
        <v>45745.0</v>
      </c>
      <c r="D3584" s="18">
        <v>45775.0</v>
      </c>
      <c r="E3584" s="17" t="s">
        <v>684</v>
      </c>
      <c r="F3584" s="20">
        <v>19.99</v>
      </c>
      <c r="G3584" s="17" t="s">
        <v>3837</v>
      </c>
    </row>
    <row r="3585" ht="15.75" customHeight="1">
      <c r="A3585" s="15" t="s">
        <v>4257</v>
      </c>
      <c r="B3585" s="15" t="s">
        <v>179</v>
      </c>
      <c r="C3585" s="16">
        <v>45745.0</v>
      </c>
      <c r="D3585" s="16">
        <v>45775.0</v>
      </c>
      <c r="E3585" s="15" t="s">
        <v>684</v>
      </c>
      <c r="F3585" s="19">
        <v>19.99</v>
      </c>
      <c r="G3585" s="15" t="s">
        <v>3837</v>
      </c>
    </row>
    <row r="3586" ht="15.75" customHeight="1">
      <c r="A3586" s="17" t="s">
        <v>4258</v>
      </c>
      <c r="B3586" s="17" t="s">
        <v>598</v>
      </c>
      <c r="C3586" s="18">
        <v>45745.0</v>
      </c>
      <c r="D3586" s="18">
        <v>45775.0</v>
      </c>
      <c r="E3586" s="17" t="s">
        <v>684</v>
      </c>
      <c r="F3586" s="20">
        <v>19.99</v>
      </c>
      <c r="G3586" s="17" t="s">
        <v>3837</v>
      </c>
    </row>
    <row r="3587" ht="15.75" customHeight="1">
      <c r="A3587" s="15" t="s">
        <v>4259</v>
      </c>
      <c r="B3587" s="15" t="s">
        <v>403</v>
      </c>
      <c r="C3587" s="16">
        <v>45745.0</v>
      </c>
      <c r="D3587" s="16">
        <v>45775.0</v>
      </c>
      <c r="E3587" s="15" t="s">
        <v>684</v>
      </c>
      <c r="F3587" s="19">
        <v>19.99</v>
      </c>
      <c r="G3587" s="15" t="s">
        <v>3837</v>
      </c>
    </row>
    <row r="3588" ht="15.75" customHeight="1">
      <c r="A3588" s="17" t="s">
        <v>4260</v>
      </c>
      <c r="B3588" s="17" t="s">
        <v>404</v>
      </c>
      <c r="C3588" s="18">
        <v>45745.0</v>
      </c>
      <c r="D3588" s="18">
        <v>45775.0</v>
      </c>
      <c r="E3588" s="17" t="s">
        <v>684</v>
      </c>
      <c r="F3588" s="20">
        <v>19.99</v>
      </c>
      <c r="G3588" s="17" t="s">
        <v>3837</v>
      </c>
    </row>
    <row r="3589" ht="15.75" customHeight="1">
      <c r="A3589" s="15" t="s">
        <v>4261</v>
      </c>
      <c r="B3589" s="15" t="s">
        <v>662</v>
      </c>
      <c r="C3589" s="16">
        <v>45745.0</v>
      </c>
      <c r="D3589" s="16">
        <v>45775.0</v>
      </c>
      <c r="E3589" s="15" t="s">
        <v>684</v>
      </c>
      <c r="F3589" s="19">
        <v>19.99</v>
      </c>
      <c r="G3589" s="15" t="s">
        <v>3837</v>
      </c>
    </row>
    <row r="3590" ht="15.75" customHeight="1">
      <c r="A3590" s="17" t="s">
        <v>4262</v>
      </c>
      <c r="B3590" s="17" t="s">
        <v>599</v>
      </c>
      <c r="C3590" s="18">
        <v>45745.0</v>
      </c>
      <c r="D3590" s="18">
        <v>45775.0</v>
      </c>
      <c r="E3590" s="17" t="s">
        <v>684</v>
      </c>
      <c r="F3590" s="20">
        <v>19.99</v>
      </c>
      <c r="G3590" s="17" t="s">
        <v>3837</v>
      </c>
    </row>
    <row r="3591" ht="15.75" customHeight="1">
      <c r="A3591" s="15" t="s">
        <v>4263</v>
      </c>
      <c r="B3591" s="15" t="s">
        <v>454</v>
      </c>
      <c r="C3591" s="16">
        <v>45745.0</v>
      </c>
      <c r="D3591" s="16">
        <v>45775.0</v>
      </c>
      <c r="E3591" s="15" t="s">
        <v>684</v>
      </c>
      <c r="F3591" s="19">
        <v>19.99</v>
      </c>
      <c r="G3591" s="15" t="s">
        <v>3837</v>
      </c>
    </row>
    <row r="3592" ht="15.75" customHeight="1">
      <c r="A3592" s="17" t="s">
        <v>4264</v>
      </c>
      <c r="B3592" s="17" t="s">
        <v>600</v>
      </c>
      <c r="C3592" s="18">
        <v>45746.0</v>
      </c>
      <c r="D3592" s="18">
        <v>45776.0</v>
      </c>
      <c r="E3592" s="17" t="s">
        <v>684</v>
      </c>
      <c r="F3592" s="20">
        <v>19.99</v>
      </c>
      <c r="G3592" s="17" t="s">
        <v>3837</v>
      </c>
    </row>
    <row r="3593" ht="15.75" customHeight="1">
      <c r="A3593" s="15" t="s">
        <v>4265</v>
      </c>
      <c r="B3593" s="15" t="s">
        <v>455</v>
      </c>
      <c r="C3593" s="16">
        <v>45746.0</v>
      </c>
      <c r="D3593" s="16">
        <v>45776.0</v>
      </c>
      <c r="E3593" s="15" t="s">
        <v>684</v>
      </c>
      <c r="F3593" s="19">
        <v>19.99</v>
      </c>
      <c r="G3593" s="15" t="s">
        <v>3837</v>
      </c>
    </row>
    <row r="3594" ht="15.75" customHeight="1">
      <c r="A3594" s="17" t="s">
        <v>4266</v>
      </c>
      <c r="B3594" s="17" t="s">
        <v>601</v>
      </c>
      <c r="C3594" s="18">
        <v>45746.0</v>
      </c>
      <c r="D3594" s="18">
        <v>45776.0</v>
      </c>
      <c r="E3594" s="17" t="s">
        <v>684</v>
      </c>
      <c r="F3594" s="20">
        <v>19.99</v>
      </c>
      <c r="G3594" s="17" t="s">
        <v>3837</v>
      </c>
    </row>
    <row r="3595" ht="15.75" customHeight="1">
      <c r="A3595" s="15" t="s">
        <v>4267</v>
      </c>
      <c r="B3595" s="15" t="s">
        <v>273</v>
      </c>
      <c r="C3595" s="16">
        <v>45746.0</v>
      </c>
      <c r="D3595" s="16">
        <v>45776.0</v>
      </c>
      <c r="E3595" s="15" t="s">
        <v>684</v>
      </c>
      <c r="F3595" s="19">
        <v>19.99</v>
      </c>
      <c r="G3595" s="15" t="s">
        <v>3837</v>
      </c>
    </row>
    <row r="3596" ht="15.75" customHeight="1">
      <c r="A3596" s="17" t="s">
        <v>4268</v>
      </c>
      <c r="B3596" s="17" t="s">
        <v>456</v>
      </c>
      <c r="C3596" s="18">
        <v>45746.0</v>
      </c>
      <c r="D3596" s="18">
        <v>45776.0</v>
      </c>
      <c r="E3596" s="17" t="s">
        <v>684</v>
      </c>
      <c r="F3596" s="20">
        <v>19.99</v>
      </c>
      <c r="G3596" s="17" t="s">
        <v>3837</v>
      </c>
    </row>
    <row r="3597" ht="15.75" customHeight="1">
      <c r="A3597" s="15" t="s">
        <v>4269</v>
      </c>
      <c r="B3597" s="15" t="s">
        <v>108</v>
      </c>
      <c r="C3597" s="16">
        <v>45746.0</v>
      </c>
      <c r="D3597" s="16">
        <v>45776.0</v>
      </c>
      <c r="E3597" s="15" t="s">
        <v>684</v>
      </c>
      <c r="F3597" s="19">
        <v>19.99</v>
      </c>
      <c r="G3597" s="15" t="s">
        <v>3837</v>
      </c>
    </row>
    <row r="3598" ht="15.75" customHeight="1">
      <c r="A3598" s="17" t="s">
        <v>4270</v>
      </c>
      <c r="B3598" s="17" t="s">
        <v>544</v>
      </c>
      <c r="C3598" s="18">
        <v>45746.0</v>
      </c>
      <c r="D3598" s="18">
        <v>45776.0</v>
      </c>
      <c r="E3598" s="17" t="s">
        <v>684</v>
      </c>
      <c r="F3598" s="20">
        <v>19.99</v>
      </c>
      <c r="G3598" s="17" t="s">
        <v>3837</v>
      </c>
    </row>
    <row r="3599" ht="15.75" customHeight="1">
      <c r="A3599" s="15" t="s">
        <v>4271</v>
      </c>
      <c r="B3599" s="15" t="s">
        <v>144</v>
      </c>
      <c r="C3599" s="16">
        <v>45746.0</v>
      </c>
      <c r="D3599" s="16">
        <v>45776.0</v>
      </c>
      <c r="E3599" s="15" t="s">
        <v>684</v>
      </c>
      <c r="F3599" s="19">
        <v>19.99</v>
      </c>
      <c r="G3599" s="15" t="s">
        <v>3837</v>
      </c>
    </row>
    <row r="3600" ht="15.75" customHeight="1">
      <c r="A3600" s="17" t="s">
        <v>4272</v>
      </c>
      <c r="B3600" s="17" t="s">
        <v>180</v>
      </c>
      <c r="C3600" s="18">
        <v>45746.0</v>
      </c>
      <c r="D3600" s="18">
        <v>45776.0</v>
      </c>
      <c r="E3600" s="17" t="s">
        <v>684</v>
      </c>
      <c r="F3600" s="20">
        <v>19.99</v>
      </c>
      <c r="G3600" s="17" t="s">
        <v>3837</v>
      </c>
    </row>
    <row r="3601" ht="15.75" customHeight="1">
      <c r="A3601" s="15" t="s">
        <v>4273</v>
      </c>
      <c r="B3601" s="15" t="s">
        <v>359</v>
      </c>
      <c r="C3601" s="16">
        <v>45746.0</v>
      </c>
      <c r="D3601" s="16">
        <v>45776.0</v>
      </c>
      <c r="E3601" s="15" t="s">
        <v>684</v>
      </c>
      <c r="F3601" s="19">
        <v>19.99</v>
      </c>
      <c r="G3601" s="15" t="s">
        <v>3837</v>
      </c>
    </row>
    <row r="3602" ht="15.75" customHeight="1">
      <c r="A3602" s="17" t="s">
        <v>4274</v>
      </c>
      <c r="B3602" s="17" t="s">
        <v>406</v>
      </c>
      <c r="C3602" s="18">
        <v>45746.0</v>
      </c>
      <c r="D3602" s="18">
        <v>45776.0</v>
      </c>
      <c r="E3602" s="17" t="s">
        <v>684</v>
      </c>
      <c r="F3602" s="20">
        <v>19.99</v>
      </c>
      <c r="G3602" s="17" t="s">
        <v>3837</v>
      </c>
    </row>
    <row r="3603" ht="15.75" customHeight="1">
      <c r="A3603" s="15" t="s">
        <v>4275</v>
      </c>
      <c r="B3603" s="15" t="s">
        <v>407</v>
      </c>
      <c r="C3603" s="16">
        <v>45746.0</v>
      </c>
      <c r="D3603" s="16">
        <v>45776.0</v>
      </c>
      <c r="E3603" s="15" t="s">
        <v>684</v>
      </c>
      <c r="F3603" s="19">
        <v>19.99</v>
      </c>
      <c r="G3603" s="15" t="s">
        <v>3837</v>
      </c>
    </row>
    <row r="3604" ht="15.75" customHeight="1">
      <c r="A3604" s="17" t="s">
        <v>4276</v>
      </c>
      <c r="B3604" s="17" t="s">
        <v>663</v>
      </c>
      <c r="C3604" s="18">
        <v>45746.0</v>
      </c>
      <c r="D3604" s="18">
        <v>45776.0</v>
      </c>
      <c r="E3604" s="17" t="s">
        <v>684</v>
      </c>
      <c r="F3604" s="20">
        <v>19.99</v>
      </c>
      <c r="G3604" s="17" t="s">
        <v>3837</v>
      </c>
    </row>
    <row r="3605" ht="15.75" customHeight="1">
      <c r="A3605" s="15" t="s">
        <v>4277</v>
      </c>
      <c r="B3605" s="15" t="s">
        <v>457</v>
      </c>
      <c r="C3605" s="16">
        <v>45746.0</v>
      </c>
      <c r="D3605" s="16">
        <v>45776.0</v>
      </c>
      <c r="E3605" s="15" t="s">
        <v>684</v>
      </c>
      <c r="F3605" s="19">
        <v>19.99</v>
      </c>
      <c r="G3605" s="15" t="s">
        <v>3837</v>
      </c>
    </row>
    <row r="3606" ht="15.75" customHeight="1">
      <c r="A3606" s="17" t="s">
        <v>4278</v>
      </c>
      <c r="B3606" s="17" t="s">
        <v>212</v>
      </c>
      <c r="C3606" s="18">
        <v>45746.0</v>
      </c>
      <c r="D3606" s="18">
        <v>45776.0</v>
      </c>
      <c r="E3606" s="17" t="s">
        <v>684</v>
      </c>
      <c r="F3606" s="20">
        <v>19.99</v>
      </c>
      <c r="G3606" s="17" t="s">
        <v>3837</v>
      </c>
    </row>
    <row r="3607" ht="15.75" customHeight="1">
      <c r="A3607" s="15" t="s">
        <v>4279</v>
      </c>
      <c r="B3607" s="15" t="s">
        <v>109</v>
      </c>
      <c r="C3607" s="16">
        <v>45746.0</v>
      </c>
      <c r="D3607" s="16">
        <v>45776.0</v>
      </c>
      <c r="E3607" s="15" t="s">
        <v>684</v>
      </c>
      <c r="F3607" s="19">
        <v>19.99</v>
      </c>
      <c r="G3607" s="15" t="s">
        <v>3837</v>
      </c>
    </row>
    <row r="3608" ht="15.75" customHeight="1">
      <c r="A3608" s="17" t="s">
        <v>4280</v>
      </c>
      <c r="B3608" s="17" t="s">
        <v>664</v>
      </c>
      <c r="C3608" s="18">
        <v>45746.0</v>
      </c>
      <c r="D3608" s="18">
        <v>45776.0</v>
      </c>
      <c r="E3608" s="17" t="s">
        <v>684</v>
      </c>
      <c r="F3608" s="20">
        <v>19.99</v>
      </c>
      <c r="G3608" s="17" t="s">
        <v>3837</v>
      </c>
    </row>
    <row r="3609" ht="15.75" customHeight="1">
      <c r="A3609" s="15" t="s">
        <v>4281</v>
      </c>
      <c r="B3609" s="15" t="s">
        <v>110</v>
      </c>
      <c r="C3609" s="16">
        <v>45746.0</v>
      </c>
      <c r="D3609" s="16">
        <v>45776.0</v>
      </c>
      <c r="E3609" s="15" t="s">
        <v>684</v>
      </c>
      <c r="F3609" s="19">
        <v>19.99</v>
      </c>
      <c r="G3609" s="15" t="s">
        <v>3837</v>
      </c>
    </row>
    <row r="3610" ht="15.75" customHeight="1">
      <c r="A3610" s="17" t="s">
        <v>4282</v>
      </c>
      <c r="B3610" s="17" t="s">
        <v>602</v>
      </c>
      <c r="C3610" s="18">
        <v>45746.0</v>
      </c>
      <c r="D3610" s="18">
        <v>45776.0</v>
      </c>
      <c r="E3610" s="17" t="s">
        <v>684</v>
      </c>
      <c r="F3610" s="20">
        <v>19.99</v>
      </c>
      <c r="G3610" s="17" t="s">
        <v>3837</v>
      </c>
    </row>
    <row r="3611" ht="15.75" customHeight="1">
      <c r="A3611" s="15" t="s">
        <v>4283</v>
      </c>
      <c r="B3611" s="15" t="s">
        <v>111</v>
      </c>
      <c r="C3611" s="16">
        <v>45746.0</v>
      </c>
      <c r="D3611" s="16">
        <v>45776.0</v>
      </c>
      <c r="E3611" s="15" t="s">
        <v>684</v>
      </c>
      <c r="F3611" s="19">
        <v>19.99</v>
      </c>
      <c r="G3611" s="15" t="s">
        <v>3837</v>
      </c>
    </row>
    <row r="3612" ht="15.75" customHeight="1">
      <c r="A3612" s="17" t="s">
        <v>4284</v>
      </c>
      <c r="B3612" s="17" t="s">
        <v>181</v>
      </c>
      <c r="C3612" s="18">
        <v>45747.0</v>
      </c>
      <c r="D3612" s="18">
        <v>45777.0</v>
      </c>
      <c r="E3612" s="17" t="s">
        <v>684</v>
      </c>
      <c r="F3612" s="20">
        <v>19.99</v>
      </c>
      <c r="G3612" s="17" t="s">
        <v>3837</v>
      </c>
    </row>
    <row r="3613" ht="15.75" customHeight="1">
      <c r="A3613" s="15" t="s">
        <v>4285</v>
      </c>
      <c r="B3613" s="15" t="s">
        <v>238</v>
      </c>
      <c r="C3613" s="16">
        <v>45747.0</v>
      </c>
      <c r="D3613" s="16">
        <v>45777.0</v>
      </c>
      <c r="E3613" s="15" t="s">
        <v>684</v>
      </c>
      <c r="F3613" s="19">
        <v>19.99</v>
      </c>
      <c r="G3613" s="15" t="s">
        <v>3837</v>
      </c>
    </row>
    <row r="3614" ht="15.75" customHeight="1">
      <c r="A3614" s="17" t="s">
        <v>4286</v>
      </c>
      <c r="B3614" s="17" t="s">
        <v>545</v>
      </c>
      <c r="C3614" s="18">
        <v>45747.0</v>
      </c>
      <c r="D3614" s="18">
        <v>45777.0</v>
      </c>
      <c r="E3614" s="17" t="s">
        <v>684</v>
      </c>
      <c r="F3614" s="20">
        <v>19.99</v>
      </c>
      <c r="G3614" s="17" t="s">
        <v>3837</v>
      </c>
    </row>
    <row r="3615" ht="15.75" customHeight="1">
      <c r="A3615" s="15" t="s">
        <v>4287</v>
      </c>
      <c r="B3615" s="15" t="s">
        <v>460</v>
      </c>
      <c r="C3615" s="16">
        <v>45747.0</v>
      </c>
      <c r="D3615" s="16">
        <v>45777.0</v>
      </c>
      <c r="E3615" s="15" t="s">
        <v>684</v>
      </c>
      <c r="F3615" s="19">
        <v>19.99</v>
      </c>
      <c r="G3615" s="15" t="s">
        <v>3837</v>
      </c>
    </row>
    <row r="3616" ht="15.75" customHeight="1">
      <c r="A3616" s="17" t="s">
        <v>4288</v>
      </c>
      <c r="B3616" s="17" t="s">
        <v>546</v>
      </c>
      <c r="C3616" s="18">
        <v>45747.0</v>
      </c>
      <c r="D3616" s="18">
        <v>45777.0</v>
      </c>
      <c r="E3616" s="17" t="s">
        <v>684</v>
      </c>
      <c r="F3616" s="20">
        <v>19.99</v>
      </c>
      <c r="G3616" s="17" t="s">
        <v>3837</v>
      </c>
    </row>
    <row r="3617" ht="15.75" customHeight="1">
      <c r="A3617" s="15" t="s">
        <v>4289</v>
      </c>
      <c r="B3617" s="15" t="s">
        <v>323</v>
      </c>
      <c r="C3617" s="16">
        <v>45747.0</v>
      </c>
      <c r="D3617" s="16">
        <v>45777.0</v>
      </c>
      <c r="E3617" s="15" t="s">
        <v>684</v>
      </c>
      <c r="F3617" s="19">
        <v>19.99</v>
      </c>
      <c r="G3617" s="15" t="s">
        <v>3837</v>
      </c>
    </row>
    <row r="3618" ht="15.75" customHeight="1">
      <c r="A3618" s="17" t="s">
        <v>4290</v>
      </c>
      <c r="B3618" s="17" t="s">
        <v>113</v>
      </c>
      <c r="C3618" s="18">
        <v>45747.0</v>
      </c>
      <c r="D3618" s="18">
        <v>45777.0</v>
      </c>
      <c r="E3618" s="17" t="s">
        <v>684</v>
      </c>
      <c r="F3618" s="20">
        <v>19.99</v>
      </c>
      <c r="G3618" s="17" t="s">
        <v>3837</v>
      </c>
    </row>
    <row r="3619" ht="15.75" customHeight="1">
      <c r="A3619" s="15" t="s">
        <v>4291</v>
      </c>
      <c r="B3619" s="15" t="s">
        <v>603</v>
      </c>
      <c r="C3619" s="16">
        <v>45747.0</v>
      </c>
      <c r="D3619" s="16">
        <v>45777.0</v>
      </c>
      <c r="E3619" s="15" t="s">
        <v>684</v>
      </c>
      <c r="F3619" s="19">
        <v>19.99</v>
      </c>
      <c r="G3619" s="15" t="s">
        <v>3837</v>
      </c>
    </row>
    <row r="3620" ht="15.75" customHeight="1">
      <c r="A3620" s="17" t="s">
        <v>4292</v>
      </c>
      <c r="B3620" s="17" t="s">
        <v>274</v>
      </c>
      <c r="C3620" s="18">
        <v>45747.0</v>
      </c>
      <c r="D3620" s="18">
        <v>45777.0</v>
      </c>
      <c r="E3620" s="17" t="s">
        <v>684</v>
      </c>
      <c r="F3620" s="20">
        <v>19.99</v>
      </c>
      <c r="G3620" s="17" t="s">
        <v>3837</v>
      </c>
    </row>
    <row r="3621" ht="15.75" customHeight="1">
      <c r="A3621" s="15" t="s">
        <v>4293</v>
      </c>
      <c r="B3621" s="15" t="s">
        <v>239</v>
      </c>
      <c r="C3621" s="16">
        <v>45747.0</v>
      </c>
      <c r="D3621" s="16">
        <v>45777.0</v>
      </c>
      <c r="E3621" s="15" t="s">
        <v>684</v>
      </c>
      <c r="F3621" s="19">
        <v>19.99</v>
      </c>
      <c r="G3621" s="15" t="s">
        <v>3837</v>
      </c>
    </row>
    <row r="3622" ht="15.75" customHeight="1">
      <c r="A3622" s="17" t="s">
        <v>4294</v>
      </c>
      <c r="B3622" s="17" t="s">
        <v>665</v>
      </c>
      <c r="C3622" s="18">
        <v>45747.0</v>
      </c>
      <c r="D3622" s="18">
        <v>45777.0</v>
      </c>
      <c r="E3622" s="17" t="s">
        <v>684</v>
      </c>
      <c r="F3622" s="20">
        <v>19.99</v>
      </c>
      <c r="G3622" s="17" t="s">
        <v>3837</v>
      </c>
    </row>
    <row r="3623" ht="15.75" customHeight="1">
      <c r="A3623" s="15" t="s">
        <v>4295</v>
      </c>
      <c r="B3623" s="15" t="s">
        <v>547</v>
      </c>
      <c r="C3623" s="16">
        <v>45747.0</v>
      </c>
      <c r="D3623" s="16">
        <v>45777.0</v>
      </c>
      <c r="E3623" s="15" t="s">
        <v>684</v>
      </c>
      <c r="F3623" s="19">
        <v>19.99</v>
      </c>
      <c r="G3623" s="15" t="s">
        <v>3837</v>
      </c>
    </row>
  </sheetData>
  <mergeCells count="1">
    <mergeCell ref="A2:G2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2.0"/>
    <col customWidth="1" min="2" max="2" width="16.0"/>
    <col customWidth="1" min="3" max="3" width="14.0"/>
    <col customWidth="1" min="4" max="26" width="8.71"/>
  </cols>
  <sheetData>
    <row r="2" ht="27.75" customHeight="1">
      <c r="A2" s="21" t="s">
        <v>4296</v>
      </c>
      <c r="B2" s="13"/>
      <c r="C2" s="2"/>
    </row>
    <row r="4" ht="21.75" customHeight="1">
      <c r="A4" s="22" t="s">
        <v>4297</v>
      </c>
      <c r="B4" s="22" t="s">
        <v>52</v>
      </c>
      <c r="C4" s="22" t="s">
        <v>4298</v>
      </c>
    </row>
    <row r="5">
      <c r="A5" s="23" t="s">
        <v>4299</v>
      </c>
      <c r="B5" s="23" t="s">
        <v>55</v>
      </c>
      <c r="C5" s="24">
        <v>619.89</v>
      </c>
    </row>
    <row r="6">
      <c r="A6" s="25" t="s">
        <v>4299</v>
      </c>
      <c r="B6" s="25" t="s">
        <v>58</v>
      </c>
      <c r="C6" s="26">
        <v>396.17</v>
      </c>
    </row>
    <row r="7">
      <c r="A7" s="23" t="s">
        <v>4299</v>
      </c>
      <c r="B7" s="23" t="s">
        <v>61</v>
      </c>
      <c r="C7" s="24">
        <v>554.84</v>
      </c>
    </row>
    <row r="8">
      <c r="A8" s="25" t="s">
        <v>4300</v>
      </c>
      <c r="B8" s="25" t="s">
        <v>55</v>
      </c>
      <c r="C8" s="26">
        <v>576.77</v>
      </c>
    </row>
    <row r="9">
      <c r="A9" s="23" t="s">
        <v>4300</v>
      </c>
      <c r="B9" s="23" t="s">
        <v>58</v>
      </c>
      <c r="C9" s="24">
        <v>523.05</v>
      </c>
    </row>
    <row r="10">
      <c r="A10" s="25" t="s">
        <v>4300</v>
      </c>
      <c r="B10" s="25" t="s">
        <v>61</v>
      </c>
      <c r="C10" s="26">
        <v>662.34</v>
      </c>
    </row>
    <row r="11">
      <c r="A11" s="23" t="s">
        <v>4301</v>
      </c>
      <c r="B11" s="23" t="s">
        <v>55</v>
      </c>
      <c r="C11" s="24">
        <v>741.0</v>
      </c>
    </row>
    <row r="12">
      <c r="A12" s="25" t="s">
        <v>4301</v>
      </c>
      <c r="B12" s="25" t="s">
        <v>58</v>
      </c>
      <c r="C12" s="26">
        <v>451.01</v>
      </c>
    </row>
    <row r="13">
      <c r="A13" s="23" t="s">
        <v>4301</v>
      </c>
      <c r="B13" s="23" t="s">
        <v>61</v>
      </c>
      <c r="C13" s="24">
        <v>647.47</v>
      </c>
    </row>
    <row r="14">
      <c r="A14" s="25" t="s">
        <v>4302</v>
      </c>
      <c r="B14" s="25" t="s">
        <v>55</v>
      </c>
      <c r="C14" s="26">
        <v>598.68</v>
      </c>
    </row>
    <row r="15">
      <c r="A15" s="23" t="s">
        <v>4302</v>
      </c>
      <c r="B15" s="23" t="s">
        <v>58</v>
      </c>
      <c r="C15" s="24">
        <v>495.52</v>
      </c>
    </row>
    <row r="16">
      <c r="A16" s="25" t="s">
        <v>4302</v>
      </c>
      <c r="B16" s="25" t="s">
        <v>61</v>
      </c>
      <c r="C16" s="26">
        <v>698.12</v>
      </c>
    </row>
    <row r="17">
      <c r="A17" s="23" t="s">
        <v>4303</v>
      </c>
      <c r="B17" s="23" t="s">
        <v>55</v>
      </c>
      <c r="C17" s="24">
        <v>627.17</v>
      </c>
    </row>
    <row r="18">
      <c r="A18" s="25" t="s">
        <v>4303</v>
      </c>
      <c r="B18" s="25" t="s">
        <v>58</v>
      </c>
      <c r="C18" s="26">
        <v>516.32</v>
      </c>
    </row>
    <row r="19">
      <c r="A19" s="23" t="s">
        <v>4303</v>
      </c>
      <c r="B19" s="23" t="s">
        <v>61</v>
      </c>
      <c r="C19" s="24">
        <v>763.87</v>
      </c>
    </row>
    <row r="20">
      <c r="A20" s="25" t="s">
        <v>4304</v>
      </c>
      <c r="B20" s="25" t="s">
        <v>55</v>
      </c>
      <c r="C20" s="26">
        <v>775.31</v>
      </c>
    </row>
    <row r="21" ht="15.75" customHeight="1">
      <c r="A21" s="23" t="s">
        <v>4304</v>
      </c>
      <c r="B21" s="23" t="s">
        <v>58</v>
      </c>
      <c r="C21" s="24">
        <v>544.18</v>
      </c>
    </row>
    <row r="22" ht="15.75" customHeight="1">
      <c r="A22" s="25" t="s">
        <v>4304</v>
      </c>
      <c r="B22" s="25" t="s">
        <v>61</v>
      </c>
      <c r="C22" s="26">
        <v>785.49</v>
      </c>
    </row>
    <row r="23" ht="15.75" customHeight="1">
      <c r="A23" s="23" t="s">
        <v>4305</v>
      </c>
      <c r="B23" s="23" t="s">
        <v>55</v>
      </c>
      <c r="C23" s="24">
        <v>873.17</v>
      </c>
    </row>
    <row r="24" ht="15.75" customHeight="1">
      <c r="A24" s="25" t="s">
        <v>4305</v>
      </c>
      <c r="B24" s="25" t="s">
        <v>58</v>
      </c>
      <c r="C24" s="26">
        <v>528.55</v>
      </c>
    </row>
    <row r="25" ht="15.75" customHeight="1">
      <c r="A25" s="23" t="s">
        <v>4305</v>
      </c>
      <c r="B25" s="23" t="s">
        <v>61</v>
      </c>
      <c r="C25" s="24">
        <v>872.3</v>
      </c>
    </row>
    <row r="26" ht="15.75" customHeight="1">
      <c r="A26" s="25" t="s">
        <v>4306</v>
      </c>
      <c r="B26" s="25" t="s">
        <v>55</v>
      </c>
      <c r="C26" s="26">
        <v>882.52</v>
      </c>
    </row>
    <row r="27" ht="15.75" customHeight="1">
      <c r="A27" s="23" t="s">
        <v>4306</v>
      </c>
      <c r="B27" s="23" t="s">
        <v>58</v>
      </c>
      <c r="C27" s="24">
        <v>615.8</v>
      </c>
    </row>
    <row r="28" ht="15.75" customHeight="1">
      <c r="A28" s="25" t="s">
        <v>4306</v>
      </c>
      <c r="B28" s="25" t="s">
        <v>61</v>
      </c>
      <c r="C28" s="26">
        <v>746.9</v>
      </c>
    </row>
    <row r="29" ht="15.75" customHeight="1">
      <c r="A29" s="23" t="s">
        <v>4307</v>
      </c>
      <c r="B29" s="23" t="s">
        <v>55</v>
      </c>
      <c r="C29" s="24">
        <v>985.92</v>
      </c>
    </row>
    <row r="30" ht="15.75" customHeight="1">
      <c r="A30" s="25" t="s">
        <v>4307</v>
      </c>
      <c r="B30" s="25" t="s">
        <v>58</v>
      </c>
      <c r="C30" s="26">
        <v>640.2</v>
      </c>
    </row>
    <row r="31" ht="15.75" customHeight="1">
      <c r="A31" s="23" t="s">
        <v>4307</v>
      </c>
      <c r="B31" s="23" t="s">
        <v>61</v>
      </c>
      <c r="C31" s="24">
        <v>761.07</v>
      </c>
    </row>
    <row r="32" ht="15.75" customHeight="1">
      <c r="A32" s="25" t="s">
        <v>4308</v>
      </c>
      <c r="B32" s="25" t="s">
        <v>55</v>
      </c>
      <c r="C32" s="26">
        <v>791.99</v>
      </c>
    </row>
    <row r="33" ht="15.75" customHeight="1">
      <c r="A33" s="23" t="s">
        <v>4308</v>
      </c>
      <c r="B33" s="23" t="s">
        <v>58</v>
      </c>
      <c r="C33" s="24">
        <v>772.53</v>
      </c>
    </row>
    <row r="34" ht="15.75" customHeight="1">
      <c r="A34" s="25" t="s">
        <v>4308</v>
      </c>
      <c r="B34" s="25" t="s">
        <v>61</v>
      </c>
      <c r="C34" s="26">
        <v>929.04</v>
      </c>
    </row>
    <row r="35" ht="15.75" customHeight="1">
      <c r="A35" s="23" t="s">
        <v>4309</v>
      </c>
      <c r="B35" s="23" t="s">
        <v>55</v>
      </c>
      <c r="C35" s="24">
        <v>1021.15</v>
      </c>
    </row>
    <row r="36" ht="15.75" customHeight="1">
      <c r="A36" s="25" t="s">
        <v>4309</v>
      </c>
      <c r="B36" s="25" t="s">
        <v>58</v>
      </c>
      <c r="C36" s="26">
        <v>776.04</v>
      </c>
    </row>
    <row r="37" ht="15.75" customHeight="1">
      <c r="A37" s="23" t="s">
        <v>4309</v>
      </c>
      <c r="B37" s="23" t="s">
        <v>61</v>
      </c>
      <c r="C37" s="24">
        <v>945.16</v>
      </c>
    </row>
    <row r="38" ht="15.75" customHeight="1">
      <c r="A38" s="25" t="s">
        <v>4310</v>
      </c>
      <c r="B38" s="25" t="s">
        <v>55</v>
      </c>
      <c r="C38" s="26">
        <v>1106.53</v>
      </c>
    </row>
    <row r="39" ht="15.75" customHeight="1">
      <c r="A39" s="23" t="s">
        <v>4310</v>
      </c>
      <c r="B39" s="23" t="s">
        <v>58</v>
      </c>
      <c r="C39" s="24">
        <v>724.98</v>
      </c>
    </row>
    <row r="40" ht="15.75" customHeight="1">
      <c r="A40" s="25" t="s">
        <v>4310</v>
      </c>
      <c r="B40" s="25" t="s">
        <v>61</v>
      </c>
      <c r="C40" s="26">
        <v>984.13</v>
      </c>
    </row>
    <row r="41" ht="15.75" customHeight="1">
      <c r="A41" s="23" t="s">
        <v>4311</v>
      </c>
      <c r="B41" s="23" t="s">
        <v>55</v>
      </c>
      <c r="C41" s="24">
        <v>1102.12</v>
      </c>
    </row>
    <row r="42" ht="15.75" customHeight="1">
      <c r="A42" s="25" t="s">
        <v>4311</v>
      </c>
      <c r="B42" s="25" t="s">
        <v>58</v>
      </c>
      <c r="C42" s="26">
        <v>806.49</v>
      </c>
    </row>
    <row r="43" ht="15.75" customHeight="1">
      <c r="A43" s="23" t="s">
        <v>4311</v>
      </c>
      <c r="B43" s="23" t="s">
        <v>61</v>
      </c>
      <c r="C43" s="24">
        <v>1111.84</v>
      </c>
    </row>
    <row r="44" ht="15.75" customHeight="1">
      <c r="A44" s="25" t="s">
        <v>4312</v>
      </c>
      <c r="B44" s="25" t="s">
        <v>55</v>
      </c>
      <c r="C44" s="26">
        <v>1061.06</v>
      </c>
    </row>
    <row r="45" ht="15.75" customHeight="1">
      <c r="A45" s="23" t="s">
        <v>4312</v>
      </c>
      <c r="B45" s="23" t="s">
        <v>58</v>
      </c>
      <c r="C45" s="24">
        <v>854.62</v>
      </c>
    </row>
    <row r="46" ht="15.75" customHeight="1">
      <c r="A46" s="25" t="s">
        <v>4312</v>
      </c>
      <c r="B46" s="25" t="s">
        <v>61</v>
      </c>
      <c r="C46" s="26">
        <v>895.71</v>
      </c>
    </row>
    <row r="47" ht="15.75" customHeight="1">
      <c r="A47" s="23" t="s">
        <v>4313</v>
      </c>
      <c r="B47" s="23" t="s">
        <v>55</v>
      </c>
      <c r="C47" s="24">
        <v>983.57</v>
      </c>
    </row>
    <row r="48" ht="15.75" customHeight="1">
      <c r="A48" s="25" t="s">
        <v>4313</v>
      </c>
      <c r="B48" s="25" t="s">
        <v>58</v>
      </c>
      <c r="C48" s="26">
        <v>779.06</v>
      </c>
    </row>
    <row r="49" ht="15.75" customHeight="1">
      <c r="A49" s="23" t="s">
        <v>4313</v>
      </c>
      <c r="B49" s="23" t="s">
        <v>61</v>
      </c>
      <c r="C49" s="24">
        <v>935.99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:C2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2.0"/>
    <col customWidth="1" min="2" max="2" width="14.0"/>
    <col customWidth="1" min="3" max="4" width="13.0"/>
    <col customWidth="1" min="5" max="5" width="16.0"/>
    <col customWidth="1" min="6" max="6" width="13.0"/>
    <col customWidth="1" min="7" max="18" width="6.0"/>
    <col customWidth="1" min="19" max="30" width="9.0"/>
  </cols>
  <sheetData>
    <row r="1">
      <c r="A1" s="27">
        <v>45747.0</v>
      </c>
      <c r="B1" s="28" t="s">
        <v>4314</v>
      </c>
    </row>
    <row r="2" ht="25.5" customHeight="1">
      <c r="A2" s="12" t="s">
        <v>4315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2"/>
    </row>
    <row r="3">
      <c r="G3" s="29" t="s">
        <v>4316</v>
      </c>
      <c r="H3" s="13"/>
      <c r="I3" s="13"/>
      <c r="J3" s="13"/>
      <c r="K3" s="13"/>
      <c r="L3" s="13"/>
      <c r="M3" s="13"/>
      <c r="N3" s="13"/>
      <c r="O3" s="13"/>
      <c r="P3" s="13"/>
      <c r="Q3" s="13"/>
      <c r="R3" s="2"/>
      <c r="S3" s="30" t="s">
        <v>4317</v>
      </c>
      <c r="T3" s="13"/>
      <c r="U3" s="13"/>
      <c r="V3" s="13"/>
      <c r="W3" s="13"/>
      <c r="X3" s="13"/>
      <c r="Y3" s="13"/>
      <c r="Z3" s="13"/>
      <c r="AA3" s="13"/>
      <c r="AB3" s="13"/>
      <c r="AC3" s="13"/>
      <c r="AD3" s="2"/>
    </row>
    <row r="4" ht="24.0" customHeight="1">
      <c r="A4" s="14" t="s">
        <v>4318</v>
      </c>
      <c r="B4" s="14" t="s">
        <v>4319</v>
      </c>
      <c r="C4" s="14" t="s">
        <v>4320</v>
      </c>
      <c r="D4" s="14" t="s">
        <v>4321</v>
      </c>
      <c r="E4" s="14" t="s">
        <v>4322</v>
      </c>
      <c r="F4" s="14" t="s">
        <v>4323</v>
      </c>
      <c r="G4" s="31" t="s">
        <v>4324</v>
      </c>
      <c r="H4" s="31" t="s">
        <v>4325</v>
      </c>
      <c r="I4" s="31" t="s">
        <v>4326</v>
      </c>
      <c r="J4" s="31" t="s">
        <v>4327</v>
      </c>
      <c r="K4" s="31" t="s">
        <v>4328</v>
      </c>
      <c r="L4" s="31" t="s">
        <v>4329</v>
      </c>
      <c r="M4" s="31" t="s">
        <v>4330</v>
      </c>
      <c r="N4" s="31" t="s">
        <v>4331</v>
      </c>
      <c r="O4" s="31" t="s">
        <v>4332</v>
      </c>
      <c r="P4" s="31" t="s">
        <v>4333</v>
      </c>
      <c r="Q4" s="31" t="s">
        <v>4334</v>
      </c>
      <c r="R4" s="31" t="s">
        <v>4335</v>
      </c>
      <c r="S4" s="32" t="s">
        <v>4336</v>
      </c>
      <c r="T4" s="32" t="s">
        <v>4337</v>
      </c>
      <c r="U4" s="32" t="s">
        <v>4338</v>
      </c>
      <c r="V4" s="32" t="s">
        <v>4339</v>
      </c>
      <c r="W4" s="32" t="s">
        <v>4340</v>
      </c>
      <c r="X4" s="32" t="s">
        <v>4341</v>
      </c>
      <c r="Y4" s="32" t="s">
        <v>4342</v>
      </c>
      <c r="Z4" s="32" t="s">
        <v>4343</v>
      </c>
      <c r="AA4" s="32" t="s">
        <v>4344</v>
      </c>
      <c r="AB4" s="32" t="s">
        <v>4345</v>
      </c>
      <c r="AC4" s="32" t="s">
        <v>4346</v>
      </c>
      <c r="AD4" s="32" t="s">
        <v>4347</v>
      </c>
    </row>
    <row r="5">
      <c r="A5" s="33" t="str">
        <f>'📋 Реєстрації'!A5:A606</f>
        <v>U0206</v>
      </c>
      <c r="B5" s="34">
        <f t="array" ref="B5">INDEX('📋 Транзакції'!$C$5:$C$3623,MATCH(A5,'📋 Транзакції'!$B$5:$B$3623,0))</f>
        <v>45292</v>
      </c>
      <c r="C5" s="35" t="str">
        <f t="shared" ref="C5:C606" si="1">TEXT(B5,"YYYY-MM")</f>
        <v>2024-01</v>
      </c>
      <c r="D5" s="36">
        <f>COUNTIF('📋 Транзакції'!$B$5:$B$3623,A5)</f>
        <v>4</v>
      </c>
      <c r="E5" s="36">
        <f>SUMIF('📋 Транзакції'!$B$5:$B$3623,A5,'📋 Транзакції'!$F$5:$F$3623)</f>
        <v>59.97</v>
      </c>
      <c r="F5" s="35">
        <f>INT($A$1-MAXIFS('📋 Транзакції'!$C$5:$C$3623,'📋 Транзакції'!$B$5:$B$3623,A5))</f>
        <v>388</v>
      </c>
      <c r="G5" s="37">
        <f>IF(COUNTIFS('📋 Транзакції'!$B$5:$B$3623,A5,'📋 Транзакції'!$C$5:$C$3623,"&gt;="&amp;EDATE(DATEVALUE(C5&amp;"-01"),0),'📋 Транзакції'!$C$5:$C$3623,"&lt;"&amp;EDATE(DATEVALUE(C5&amp;"-01"),1))&gt;0,1,0)</f>
        <v>1</v>
      </c>
      <c r="H5" s="37">
        <f>IF(COUNTIFS('📋 Транзакції'!$B$5:$B$3623,A5,'📋 Транзакції'!$C$5:$C$3623,"&gt;="&amp;EDATE(DATEVALUE(C5&amp;"-01"),1),'📋 Транзакції'!$C$5:$C$3623,"&lt;"&amp;EDATE(DATEVALUE(C5&amp;"-01"),2))&gt;0,1,0)</f>
        <v>1</v>
      </c>
      <c r="I5" s="37">
        <f>IF(COUNTIFS('📋 Транзакції'!$B$5:$B$3623,A5,'📋 Транзакції'!$C$5:$C$3623,"&gt;="&amp;EDATE(DATEVALUE(C5&amp;"-01"),2),'📋 Транзакції'!$C$5:$C$3623,"&lt;"&amp;EDATE(DATEVALUE(C5&amp;"-01"),3))&gt;0,1,0)</f>
        <v>1</v>
      </c>
      <c r="J5" s="37">
        <f>IF(COUNTIFS('📋 Транзакції'!$B$5:$B$3623,A5,'📋 Транзакції'!$C$5:$C$3623,"&gt;="&amp;EDATE(DATEVALUE(C5&amp;"-01"),3),'📋 Транзакції'!$C$5:$C$3623,"&lt;"&amp;EDATE(DATEVALUE(C5&amp;"-01"),4))&gt;0,1,0)</f>
        <v>0</v>
      </c>
      <c r="K5" s="37">
        <f>IF(COUNTIFS('📋 Транзакції'!$B$5:$B$3623,A5,'📋 Транзакції'!$C$5:$C$3623,"&gt;="&amp;EDATE(DATEVALUE(C5&amp;"-01"),4),'📋 Транзакції'!$C$5:$C$3623,"&lt;"&amp;EDATE(DATEVALUE(C5&amp;"-01"),5))&gt;0,1,0)</f>
        <v>0</v>
      </c>
      <c r="L5" s="37">
        <f>IF(COUNTIFS('📋 Транзакції'!$B$5:$B$3623,A5,'📋 Транзакції'!$C$5:$C$3623,"&gt;="&amp;EDATE(DATEVALUE(C5&amp;"-01"),5),'📋 Транзакції'!$C$5:$C$3623,"&lt;"&amp;EDATE(DATEVALUE(C5&amp;"-01"),6))&gt;0,1,0)</f>
        <v>0</v>
      </c>
      <c r="M5" s="37">
        <f>IF(COUNTIFS('📋 Транзакції'!$B$5:$B$3623,A5,'📋 Транзакції'!$C$5:$C$3623,"&gt;="&amp;EDATE(DATEVALUE(C5&amp;"-01"),6),'📋 Транзакції'!$C$5:$C$3623,"&lt;"&amp;EDATE(DATEVALUE(C5&amp;"-01"),7))&gt;0,1,0)</f>
        <v>0</v>
      </c>
      <c r="N5" s="37">
        <f>IF(COUNTIFS('📋 Транзакції'!$B$5:$B$3623,A5,'📋 Транзакції'!$C$5:$C$3623,"&gt;="&amp;EDATE(DATEVALUE(C5&amp;"-01"),7),'📋 Транзакції'!$C$5:$C$3623,"&lt;"&amp;EDATE(DATEVALUE(C5&amp;"-01"),8))&gt;0,1,0)</f>
        <v>0</v>
      </c>
      <c r="O5" s="37">
        <f>IF(COUNTIFS('📋 Транзакції'!$B$5:$B$3623,A5,'📋 Транзакції'!$C$5:$C$3623,"&gt;="&amp;EDATE(DATEVALUE(C5&amp;"-01"),8),'📋 Транзакції'!$C$5:$C$3623,"&lt;"&amp;EDATE(DATEVALUE(C5&amp;"-01"),9))&gt;0,1,0)</f>
        <v>0</v>
      </c>
      <c r="P5" s="37">
        <f>IF(COUNTIFS('📋 Транзакції'!$B$5:$B$3623,A5,'📋 Транзакції'!$C$5:$C$3623,"&gt;="&amp;EDATE(DATEVALUE(C5&amp;"-01"),9),'📋 Транзакції'!$C$5:$C$3623,"&lt;"&amp;EDATE(DATEVALUE(C5&amp;"-01"),10))&gt;0,1,0)</f>
        <v>0</v>
      </c>
      <c r="Q5" s="37">
        <f>IF(COUNTIFS('📋 Транзакції'!$B$5:$B$3623,A5,'📋 Транзакції'!$C$5:$C$3623,"&gt;="&amp;EDATE(DATEVALUE(C5&amp;"-01"),10),'📋 Транзакції'!$C$5:$C$3623,"&lt;"&amp;EDATE(DATEVALUE(C5&amp;"-01"),11))&gt;0,1,0)</f>
        <v>0</v>
      </c>
      <c r="R5" s="37">
        <f>IF(COUNTIFS('📋 Транзакції'!$B$5:$B$3623,A5,'📋 Транзакції'!$C$5:$C$3623,"&gt;="&amp;EDATE(DATEVALUE(C5&amp;"-01"),11),'📋 Транзакції'!$C$5:$C$3623,"&lt;"&amp;EDATE(DATEVALUE(C5&amp;"-01"),12))&gt;0,1,0)</f>
        <v>0</v>
      </c>
      <c r="S5" s="37">
        <f>SUMIFS('📋 Транзакції'!$F$5:$F$3623,'📋 Транзакції'!$B$5:$B$3623,A5,'📋 Транзакції'!$C$5:$C$3623,"&gt;="&amp;EDATE(DATEVALUE(C5&amp;"-01"),0),'📋 Транзакції'!$C$5:$C$3623,"&lt;"&amp;EDATE(DATEVALUE(C5&amp;"-01"),1))</f>
        <v>19.99</v>
      </c>
      <c r="T5" s="37">
        <f>SUMIFS('📋 Транзакції'!$F$5:$F$3623,'📋 Транзакції'!$B$5:$B$3623,A5,'📋 Транзакції'!$C$5:$C$3623,"&gt;="&amp;EDATE(DATEVALUE(C5&amp;"-01"),1),'📋 Транзакції'!$C$5:$C$3623,"&lt;"&amp;EDATE(DATEVALUE(C5&amp;"-01"),2))</f>
        <v>19.99</v>
      </c>
      <c r="U5" s="37">
        <f>SUMIFS('📋 Транзакції'!$F$5:$F$3623,'📋 Транзакції'!$B$5:$B$3623,A5,'📋 Транзакції'!$C$5:$C$3623,"&gt;="&amp;EDATE(DATEVALUE(C5&amp;"-01"),2),'📋 Транзакції'!$C$5:$C$3623,"&lt;"&amp;EDATE(DATEVALUE(C5&amp;"-01"),3))</f>
        <v>19.99</v>
      </c>
      <c r="V5" s="37">
        <f>SUMIFS('📋 Транзакції'!$F$5:$F$3623,'📋 Транзакції'!$B$5:$B$3623,A5,'📋 Транзакції'!$C$5:$C$3623,"&gt;="&amp;EDATE(DATEVALUE(C5&amp;"-01"),3),'📋 Транзакції'!$C$5:$C$3623,"&lt;"&amp;EDATE(DATEVALUE(C5&amp;"-01"),4))</f>
        <v>0</v>
      </c>
      <c r="W5" s="37">
        <f>SUMIFS('📋 Транзакції'!$F$5:$F$3623,'📋 Транзакції'!$B$5:$B$3623,A5,'📋 Транзакції'!$C$5:$C$3623,"&gt;="&amp;EDATE(DATEVALUE(C5&amp;"-01"),4),'📋 Транзакції'!$C$5:$C$3623,"&lt;"&amp;EDATE(DATEVALUE(C5&amp;"-01"),5))</f>
        <v>0</v>
      </c>
      <c r="X5" s="37">
        <f>SUMIFS('📋 Транзакції'!$F$5:$F$3623,'📋 Транзакції'!$B$5:$B$3623,A5,'📋 Транзакції'!$C$5:$C$3623,"&gt;="&amp;EDATE(DATEVALUE(C5&amp;"-01"),5),'📋 Транзакції'!$C$5:$C$3623,"&lt;"&amp;EDATE(DATEVALUE(C5&amp;"-01"),6))</f>
        <v>0</v>
      </c>
      <c r="Y5" s="37">
        <f>SUMIFS('📋 Транзакції'!$F$5:$F$3623,'📋 Транзакції'!$B$5:$B$3623,A5,'📋 Транзакції'!$C$5:$C$3623,"&gt;="&amp;EDATE(DATEVALUE(C5&amp;"-01"),6),'📋 Транзакції'!$C$5:$C$3623,"&lt;"&amp;EDATE(DATEVALUE(C5&amp;"-01"),7))</f>
        <v>0</v>
      </c>
      <c r="Z5" s="37">
        <f>SUMIFS('📋 Транзакції'!$F$5:$F$3623,'📋 Транзакції'!$B$5:$B$3623,A5,'📋 Транзакції'!$C$5:$C$3623,"&gt;="&amp;EDATE(DATEVALUE(C5&amp;"-01"),7),'📋 Транзакції'!$C$5:$C$3623,"&lt;"&amp;EDATE(DATEVALUE(C5&amp;"-01"),8))</f>
        <v>0</v>
      </c>
      <c r="AA5" s="37">
        <f>SUMIFS('📋 Транзакції'!$F$5:$F$3623,'📋 Транзакції'!$B$5:$B$3623,A5,'📋 Транзакції'!$C$5:$C$3623,"&gt;="&amp;EDATE(DATEVALUE(C5&amp;"-01"),8),'📋 Транзакції'!$C$5:$C$3623,"&lt;"&amp;EDATE(DATEVALUE(C5&amp;"-01"),9))</f>
        <v>0</v>
      </c>
      <c r="AB5" s="37">
        <f>SUMIFS('📋 Транзакції'!$F$5:$F$3623,'📋 Транзакції'!$B$5:$B$3623,A5,'📋 Транзакції'!$C$5:$C$3623,"&gt;="&amp;EDATE(DATEVALUE(C5&amp;"-01"),9),'📋 Транзакції'!$C$5:$C$3623,"&lt;"&amp;EDATE(DATEVALUE(C5&amp;"-01"),10))</f>
        <v>0</v>
      </c>
      <c r="AC5" s="37">
        <f>SUMIFS('📋 Транзакції'!$F$5:$F$3623,'📋 Транзакції'!$B$5:$B$3623,A5,'📋 Транзакції'!$C$5:$C$3623,"&gt;="&amp;EDATE(DATEVALUE(C5&amp;"-01"),10),'📋 Транзакції'!$C$5:$C$3623,"&lt;"&amp;EDATE(DATEVALUE(C5&amp;"-01"),11))</f>
        <v>0</v>
      </c>
      <c r="AD5" s="37">
        <f>SUMIFS('📋 Транзакції'!$F$5:$F$3623,'📋 Транзакції'!$B$5:$B$3623,A5,'📋 Транзакції'!$C$5:$C$3623,"&gt;="&amp;EDATE(DATEVALUE(C5&amp;"-01"),11),'📋 Транзакції'!$C$5:$C$3623,"&lt;"&amp;EDATE(DATEVALUE(C5&amp;"-01"),12))</f>
        <v>0</v>
      </c>
    </row>
    <row r="6">
      <c r="A6" s="33" t="str">
        <f>'📋 Реєстрації'!A6:A607</f>
        <v>U0209</v>
      </c>
      <c r="B6" s="34">
        <f t="array" ref="B6">INDEX('📋 Транзакції'!$C$5:$C$3623,MATCH(A6,'📋 Транзакції'!$B$5:$B$3623,0))</f>
        <v>45292</v>
      </c>
      <c r="C6" s="35" t="str">
        <f t="shared" si="1"/>
        <v>2024-01</v>
      </c>
      <c r="D6" s="36">
        <f>COUNTIF('📋 Транзакції'!$B$5:$B$3623,A6)</f>
        <v>16</v>
      </c>
      <c r="E6" s="36">
        <f>SUMIF('📋 Транзакції'!$B$5:$B$3623,A6,'📋 Транзакції'!$F$5:$F$3623)</f>
        <v>299.85</v>
      </c>
      <c r="F6" s="35">
        <f>INT($A$1-MAXIFS('📋 Транзакції'!$C$5:$C$3623,'📋 Транзакції'!$B$5:$B$3623,A6))</f>
        <v>28</v>
      </c>
      <c r="G6" s="37">
        <f>IF(COUNTIFS('📋 Транзакції'!$B$5:$B$3623,A6,'📋 Транзакції'!$C$5:$C$3623,"&gt;="&amp;EDATE(DATEVALUE(C6&amp;"-01"),0),'📋 Транзакції'!$C$5:$C$3623,"&lt;"&amp;EDATE(DATEVALUE(C6&amp;"-01"),1))&gt;0,1,0)</f>
        <v>1</v>
      </c>
      <c r="H6" s="37">
        <f>IF(COUNTIFS('📋 Транзакції'!$B$5:$B$3623,A6,'📋 Транзакції'!$C$5:$C$3623,"&gt;="&amp;EDATE(DATEVALUE(C6&amp;"-01"),1),'📋 Транзакції'!$C$5:$C$3623,"&lt;"&amp;EDATE(DATEVALUE(C6&amp;"-01"),2))&gt;0,1,0)</f>
        <v>1</v>
      </c>
      <c r="I6" s="37">
        <f>IF(COUNTIFS('📋 Транзакції'!$B$5:$B$3623,A6,'📋 Транзакції'!$C$5:$C$3623,"&gt;="&amp;EDATE(DATEVALUE(C6&amp;"-01"),2),'📋 Транзакції'!$C$5:$C$3623,"&lt;"&amp;EDATE(DATEVALUE(C6&amp;"-01"),3))&gt;0,1,0)</f>
        <v>1</v>
      </c>
      <c r="J6" s="37">
        <f>IF(COUNTIFS('📋 Транзакції'!$B$5:$B$3623,A6,'📋 Транзакції'!$C$5:$C$3623,"&gt;="&amp;EDATE(DATEVALUE(C6&amp;"-01"),3),'📋 Транзакції'!$C$5:$C$3623,"&lt;"&amp;EDATE(DATEVALUE(C6&amp;"-01"),4))&gt;0,1,0)</f>
        <v>1</v>
      </c>
      <c r="K6" s="37">
        <f>IF(COUNTIFS('📋 Транзакції'!$B$5:$B$3623,A6,'📋 Транзакції'!$C$5:$C$3623,"&gt;="&amp;EDATE(DATEVALUE(C6&amp;"-01"),4),'📋 Транзакції'!$C$5:$C$3623,"&lt;"&amp;EDATE(DATEVALUE(C6&amp;"-01"),5))&gt;0,1,0)</f>
        <v>1</v>
      </c>
      <c r="L6" s="37">
        <f>IF(COUNTIFS('📋 Транзакції'!$B$5:$B$3623,A6,'📋 Транзакції'!$C$5:$C$3623,"&gt;="&amp;EDATE(DATEVALUE(C6&amp;"-01"),5),'📋 Транзакції'!$C$5:$C$3623,"&lt;"&amp;EDATE(DATEVALUE(C6&amp;"-01"),6))&gt;0,1,0)</f>
        <v>1</v>
      </c>
      <c r="M6" s="37">
        <f>IF(COUNTIFS('📋 Транзакції'!$B$5:$B$3623,A6,'📋 Транзакції'!$C$5:$C$3623,"&gt;="&amp;EDATE(DATEVALUE(C6&amp;"-01"),6),'📋 Транзакції'!$C$5:$C$3623,"&lt;"&amp;EDATE(DATEVALUE(C6&amp;"-01"),7))&gt;0,1,0)</f>
        <v>1</v>
      </c>
      <c r="N6" s="37">
        <f>IF(COUNTIFS('📋 Транзакції'!$B$5:$B$3623,A6,'📋 Транзакції'!$C$5:$C$3623,"&gt;="&amp;EDATE(DATEVALUE(C6&amp;"-01"),7),'📋 Транзакції'!$C$5:$C$3623,"&lt;"&amp;EDATE(DATEVALUE(C6&amp;"-01"),8))&gt;0,1,0)</f>
        <v>1</v>
      </c>
      <c r="O6" s="37">
        <f>IF(COUNTIFS('📋 Транзакції'!$B$5:$B$3623,A6,'📋 Транзакції'!$C$5:$C$3623,"&gt;="&amp;EDATE(DATEVALUE(C6&amp;"-01"),8),'📋 Транзакції'!$C$5:$C$3623,"&lt;"&amp;EDATE(DATEVALUE(C6&amp;"-01"),9))&gt;0,1,0)</f>
        <v>1</v>
      </c>
      <c r="P6" s="37">
        <f>IF(COUNTIFS('📋 Транзакції'!$B$5:$B$3623,A6,'📋 Транзакції'!$C$5:$C$3623,"&gt;="&amp;EDATE(DATEVALUE(C6&amp;"-01"),9),'📋 Транзакції'!$C$5:$C$3623,"&lt;"&amp;EDATE(DATEVALUE(C6&amp;"-01"),10))&gt;0,1,0)</f>
        <v>1</v>
      </c>
      <c r="Q6" s="37">
        <f>IF(COUNTIFS('📋 Транзакції'!$B$5:$B$3623,A6,'📋 Транзакції'!$C$5:$C$3623,"&gt;="&amp;EDATE(DATEVALUE(C6&amp;"-01"),10),'📋 Транзакції'!$C$5:$C$3623,"&lt;"&amp;EDATE(DATEVALUE(C6&amp;"-01"),11))&gt;0,1,0)</f>
        <v>1</v>
      </c>
      <c r="R6" s="37">
        <f>IF(COUNTIFS('📋 Транзакції'!$B$5:$B$3623,A6,'📋 Транзакції'!$C$5:$C$3623,"&gt;="&amp;EDATE(DATEVALUE(C6&amp;"-01"),11),'📋 Транзакції'!$C$5:$C$3623,"&lt;"&amp;EDATE(DATEVALUE(C6&amp;"-01"),12))&gt;0,1,0)</f>
        <v>1</v>
      </c>
      <c r="S6" s="37">
        <f>SUMIFS('📋 Транзакції'!$F$5:$F$3623,'📋 Транзакції'!$B$5:$B$3623,A6,'📋 Транзакції'!$C$5:$C$3623,"&gt;="&amp;EDATE(DATEVALUE(C6&amp;"-01"),0),'📋 Транзакції'!$C$5:$C$3623,"&lt;"&amp;EDATE(DATEVALUE(C6&amp;"-01"),1))</f>
        <v>19.99</v>
      </c>
      <c r="T6" s="37">
        <f>SUMIFS('📋 Транзакції'!$F$5:$F$3623,'📋 Транзакції'!$B$5:$B$3623,A6,'📋 Транзакції'!$C$5:$C$3623,"&gt;="&amp;EDATE(DATEVALUE(C6&amp;"-01"),1),'📋 Транзакції'!$C$5:$C$3623,"&lt;"&amp;EDATE(DATEVALUE(C6&amp;"-01"),2))</f>
        <v>19.99</v>
      </c>
      <c r="U6" s="37">
        <f>SUMIFS('📋 Транзакції'!$F$5:$F$3623,'📋 Транзакції'!$B$5:$B$3623,A6,'📋 Транзакції'!$C$5:$C$3623,"&gt;="&amp;EDATE(DATEVALUE(C6&amp;"-01"),2),'📋 Транзакції'!$C$5:$C$3623,"&lt;"&amp;EDATE(DATEVALUE(C6&amp;"-01"),3))</f>
        <v>19.99</v>
      </c>
      <c r="V6" s="37">
        <f>SUMIFS('📋 Транзакції'!$F$5:$F$3623,'📋 Транзакції'!$B$5:$B$3623,A6,'📋 Транзакції'!$C$5:$C$3623,"&gt;="&amp;EDATE(DATEVALUE(C6&amp;"-01"),3),'📋 Транзакції'!$C$5:$C$3623,"&lt;"&amp;EDATE(DATEVALUE(C6&amp;"-01"),4))</f>
        <v>19.99</v>
      </c>
      <c r="W6" s="37">
        <f>SUMIFS('📋 Транзакції'!$F$5:$F$3623,'📋 Транзакції'!$B$5:$B$3623,A6,'📋 Транзакції'!$C$5:$C$3623,"&gt;="&amp;EDATE(DATEVALUE(C6&amp;"-01"),4),'📋 Транзакції'!$C$5:$C$3623,"&lt;"&amp;EDATE(DATEVALUE(C6&amp;"-01"),5))</f>
        <v>19.99</v>
      </c>
      <c r="X6" s="37">
        <f>SUMIFS('📋 Транзакції'!$F$5:$F$3623,'📋 Транзакції'!$B$5:$B$3623,A6,'📋 Транзакції'!$C$5:$C$3623,"&gt;="&amp;EDATE(DATEVALUE(C6&amp;"-01"),5),'📋 Транзакції'!$C$5:$C$3623,"&lt;"&amp;EDATE(DATEVALUE(C6&amp;"-01"),6))</f>
        <v>19.99</v>
      </c>
      <c r="Y6" s="37">
        <f>SUMIFS('📋 Транзакції'!$F$5:$F$3623,'📋 Транзакції'!$B$5:$B$3623,A6,'📋 Транзакції'!$C$5:$C$3623,"&gt;="&amp;EDATE(DATEVALUE(C6&amp;"-01"),6),'📋 Транзакції'!$C$5:$C$3623,"&lt;"&amp;EDATE(DATEVALUE(C6&amp;"-01"),7))</f>
        <v>19.99</v>
      </c>
      <c r="Z6" s="37">
        <f>SUMIFS('📋 Транзакції'!$F$5:$F$3623,'📋 Транзакції'!$B$5:$B$3623,A6,'📋 Транзакції'!$C$5:$C$3623,"&gt;="&amp;EDATE(DATEVALUE(C6&amp;"-01"),7),'📋 Транзакції'!$C$5:$C$3623,"&lt;"&amp;EDATE(DATEVALUE(C6&amp;"-01"),8))</f>
        <v>19.99</v>
      </c>
      <c r="AA6" s="37">
        <f>SUMIFS('📋 Транзакції'!$F$5:$F$3623,'📋 Транзакції'!$B$5:$B$3623,A6,'📋 Транзакції'!$C$5:$C$3623,"&gt;="&amp;EDATE(DATEVALUE(C6&amp;"-01"),8),'📋 Транзакції'!$C$5:$C$3623,"&lt;"&amp;EDATE(DATEVALUE(C6&amp;"-01"),9))</f>
        <v>19.99</v>
      </c>
      <c r="AB6" s="37">
        <f>SUMIFS('📋 Транзакції'!$F$5:$F$3623,'📋 Транзакції'!$B$5:$B$3623,A6,'📋 Транзакції'!$C$5:$C$3623,"&gt;="&amp;EDATE(DATEVALUE(C6&amp;"-01"),9),'📋 Транзакції'!$C$5:$C$3623,"&lt;"&amp;EDATE(DATEVALUE(C6&amp;"-01"),10))</f>
        <v>19.99</v>
      </c>
      <c r="AC6" s="37">
        <f>SUMIFS('📋 Транзакції'!$F$5:$F$3623,'📋 Транзакції'!$B$5:$B$3623,A6,'📋 Транзакції'!$C$5:$C$3623,"&gt;="&amp;EDATE(DATEVALUE(C6&amp;"-01"),10),'📋 Транзакції'!$C$5:$C$3623,"&lt;"&amp;EDATE(DATEVALUE(C6&amp;"-01"),11))</f>
        <v>19.99</v>
      </c>
      <c r="AD6" s="37">
        <f>SUMIFS('📋 Транзакції'!$F$5:$F$3623,'📋 Транзакції'!$B$5:$B$3623,A6,'📋 Транзакції'!$C$5:$C$3623,"&gt;="&amp;EDATE(DATEVALUE(C6&amp;"-01"),11),'📋 Транзакції'!$C$5:$C$3623,"&lt;"&amp;EDATE(DATEVALUE(C6&amp;"-01"),12))</f>
        <v>19.99</v>
      </c>
    </row>
    <row r="7">
      <c r="A7" s="33" t="str">
        <f>'📋 Реєстрації'!A7:A608</f>
        <v>U0516</v>
      </c>
      <c r="B7" s="34">
        <f t="array" ref="B7">INDEX('📋 Транзакції'!$C$5:$C$3623,MATCH(A7,'📋 Транзакції'!$B$5:$B$3623,0))</f>
        <v>45293</v>
      </c>
      <c r="C7" s="35" t="str">
        <f t="shared" si="1"/>
        <v>2024-01</v>
      </c>
      <c r="D7" s="36">
        <f>COUNTIF('📋 Транзакції'!$B$5:$B$3623,A7)</f>
        <v>7</v>
      </c>
      <c r="E7" s="36">
        <f>SUMIF('📋 Транзакції'!$B$5:$B$3623,A7,'📋 Транзакції'!$F$5:$F$3623)</f>
        <v>119.94</v>
      </c>
      <c r="F7" s="35">
        <f>INT($A$1-MAXIFS('📋 Транзакції'!$C$5:$C$3623,'📋 Транзакції'!$B$5:$B$3623,A7))</f>
        <v>297</v>
      </c>
      <c r="G7" s="37">
        <f>IF(COUNTIFS('📋 Транзакції'!$B$5:$B$3623,A7,'📋 Транзакції'!$C$5:$C$3623,"&gt;="&amp;EDATE(DATEVALUE(C7&amp;"-01"),0),'📋 Транзакції'!$C$5:$C$3623,"&lt;"&amp;EDATE(DATEVALUE(C7&amp;"-01"),1))&gt;0,1,0)</f>
        <v>1</v>
      </c>
      <c r="H7" s="37">
        <f>IF(COUNTIFS('📋 Транзакції'!$B$5:$B$3623,A7,'📋 Транзакції'!$C$5:$C$3623,"&gt;="&amp;EDATE(DATEVALUE(C7&amp;"-01"),1),'📋 Транзакції'!$C$5:$C$3623,"&lt;"&amp;EDATE(DATEVALUE(C7&amp;"-01"),2))&gt;0,1,0)</f>
        <v>1</v>
      </c>
      <c r="I7" s="37">
        <f>IF(COUNTIFS('📋 Транзакції'!$B$5:$B$3623,A7,'📋 Транзакції'!$C$5:$C$3623,"&gt;="&amp;EDATE(DATEVALUE(C7&amp;"-01"),2),'📋 Транзакції'!$C$5:$C$3623,"&lt;"&amp;EDATE(DATEVALUE(C7&amp;"-01"),3))&gt;0,1,0)</f>
        <v>1</v>
      </c>
      <c r="J7" s="37">
        <f>IF(COUNTIFS('📋 Транзакції'!$B$5:$B$3623,A7,'📋 Транзакції'!$C$5:$C$3623,"&gt;="&amp;EDATE(DATEVALUE(C7&amp;"-01"),3),'📋 Транзакції'!$C$5:$C$3623,"&lt;"&amp;EDATE(DATEVALUE(C7&amp;"-01"),4))&gt;0,1,0)</f>
        <v>1</v>
      </c>
      <c r="K7" s="37">
        <f>IF(COUNTIFS('📋 Транзакції'!$B$5:$B$3623,A7,'📋 Транзакції'!$C$5:$C$3623,"&gt;="&amp;EDATE(DATEVALUE(C7&amp;"-01"),4),'📋 Транзакції'!$C$5:$C$3623,"&lt;"&amp;EDATE(DATEVALUE(C7&amp;"-01"),5))&gt;0,1,0)</f>
        <v>1</v>
      </c>
      <c r="L7" s="37">
        <f>IF(COUNTIFS('📋 Транзакції'!$B$5:$B$3623,A7,'📋 Транзакції'!$C$5:$C$3623,"&gt;="&amp;EDATE(DATEVALUE(C7&amp;"-01"),5),'📋 Транзакції'!$C$5:$C$3623,"&lt;"&amp;EDATE(DATEVALUE(C7&amp;"-01"),6))&gt;0,1,0)</f>
        <v>1</v>
      </c>
      <c r="M7" s="37">
        <f>IF(COUNTIFS('📋 Транзакції'!$B$5:$B$3623,A7,'📋 Транзакції'!$C$5:$C$3623,"&gt;="&amp;EDATE(DATEVALUE(C7&amp;"-01"),6),'📋 Транзакції'!$C$5:$C$3623,"&lt;"&amp;EDATE(DATEVALUE(C7&amp;"-01"),7))&gt;0,1,0)</f>
        <v>0</v>
      </c>
      <c r="N7" s="37">
        <f>IF(COUNTIFS('📋 Транзакції'!$B$5:$B$3623,A7,'📋 Транзакції'!$C$5:$C$3623,"&gt;="&amp;EDATE(DATEVALUE(C7&amp;"-01"),7),'📋 Транзакції'!$C$5:$C$3623,"&lt;"&amp;EDATE(DATEVALUE(C7&amp;"-01"),8))&gt;0,1,0)</f>
        <v>0</v>
      </c>
      <c r="O7" s="37">
        <f>IF(COUNTIFS('📋 Транзакції'!$B$5:$B$3623,A7,'📋 Транзакції'!$C$5:$C$3623,"&gt;="&amp;EDATE(DATEVALUE(C7&amp;"-01"),8),'📋 Транзакції'!$C$5:$C$3623,"&lt;"&amp;EDATE(DATEVALUE(C7&amp;"-01"),9))&gt;0,1,0)</f>
        <v>0</v>
      </c>
      <c r="P7" s="37">
        <f>IF(COUNTIFS('📋 Транзакції'!$B$5:$B$3623,A7,'📋 Транзакції'!$C$5:$C$3623,"&gt;="&amp;EDATE(DATEVALUE(C7&amp;"-01"),9),'📋 Транзакції'!$C$5:$C$3623,"&lt;"&amp;EDATE(DATEVALUE(C7&amp;"-01"),10))&gt;0,1,0)</f>
        <v>0</v>
      </c>
      <c r="Q7" s="37">
        <f>IF(COUNTIFS('📋 Транзакції'!$B$5:$B$3623,A7,'📋 Транзакції'!$C$5:$C$3623,"&gt;="&amp;EDATE(DATEVALUE(C7&amp;"-01"),10),'📋 Транзакції'!$C$5:$C$3623,"&lt;"&amp;EDATE(DATEVALUE(C7&amp;"-01"),11))&gt;0,1,0)</f>
        <v>0</v>
      </c>
      <c r="R7" s="37">
        <f>IF(COUNTIFS('📋 Транзакції'!$B$5:$B$3623,A7,'📋 Транзакції'!$C$5:$C$3623,"&gt;="&amp;EDATE(DATEVALUE(C7&amp;"-01"),11),'📋 Транзакції'!$C$5:$C$3623,"&lt;"&amp;EDATE(DATEVALUE(C7&amp;"-01"),12))&gt;0,1,0)</f>
        <v>0</v>
      </c>
      <c r="S7" s="37">
        <f>SUMIFS('📋 Транзакції'!$F$5:$F$3623,'📋 Транзакції'!$B$5:$B$3623,A7,'📋 Транзакції'!$C$5:$C$3623,"&gt;="&amp;EDATE(DATEVALUE(C7&amp;"-01"),0),'📋 Транзакції'!$C$5:$C$3623,"&lt;"&amp;EDATE(DATEVALUE(C7&amp;"-01"),1))</f>
        <v>19.99</v>
      </c>
      <c r="T7" s="37">
        <f>SUMIFS('📋 Транзакції'!$F$5:$F$3623,'📋 Транзакції'!$B$5:$B$3623,A7,'📋 Транзакції'!$C$5:$C$3623,"&gt;="&amp;EDATE(DATEVALUE(C7&amp;"-01"),1),'📋 Транзакції'!$C$5:$C$3623,"&lt;"&amp;EDATE(DATEVALUE(C7&amp;"-01"),2))</f>
        <v>19.99</v>
      </c>
      <c r="U7" s="37">
        <f>SUMIFS('📋 Транзакції'!$F$5:$F$3623,'📋 Транзакції'!$B$5:$B$3623,A7,'📋 Транзакції'!$C$5:$C$3623,"&gt;="&amp;EDATE(DATEVALUE(C7&amp;"-01"),2),'📋 Транзакції'!$C$5:$C$3623,"&lt;"&amp;EDATE(DATEVALUE(C7&amp;"-01"),3))</f>
        <v>19.99</v>
      </c>
      <c r="V7" s="37">
        <f>SUMIFS('📋 Транзакції'!$F$5:$F$3623,'📋 Транзакції'!$B$5:$B$3623,A7,'📋 Транзакції'!$C$5:$C$3623,"&gt;="&amp;EDATE(DATEVALUE(C7&amp;"-01"),3),'📋 Транзакції'!$C$5:$C$3623,"&lt;"&amp;EDATE(DATEVALUE(C7&amp;"-01"),4))</f>
        <v>19.99</v>
      </c>
      <c r="W7" s="37">
        <f>SUMIFS('📋 Транзакції'!$F$5:$F$3623,'📋 Транзакції'!$B$5:$B$3623,A7,'📋 Транзакції'!$C$5:$C$3623,"&gt;="&amp;EDATE(DATEVALUE(C7&amp;"-01"),4),'📋 Транзакції'!$C$5:$C$3623,"&lt;"&amp;EDATE(DATEVALUE(C7&amp;"-01"),5))</f>
        <v>19.99</v>
      </c>
      <c r="X7" s="37">
        <f>SUMIFS('📋 Транзакції'!$F$5:$F$3623,'📋 Транзакції'!$B$5:$B$3623,A7,'📋 Транзакції'!$C$5:$C$3623,"&gt;="&amp;EDATE(DATEVALUE(C7&amp;"-01"),5),'📋 Транзакції'!$C$5:$C$3623,"&lt;"&amp;EDATE(DATEVALUE(C7&amp;"-01"),6))</f>
        <v>19.99</v>
      </c>
      <c r="Y7" s="37">
        <f>SUMIFS('📋 Транзакції'!$F$5:$F$3623,'📋 Транзакції'!$B$5:$B$3623,A7,'📋 Транзакції'!$C$5:$C$3623,"&gt;="&amp;EDATE(DATEVALUE(C7&amp;"-01"),6),'📋 Транзакції'!$C$5:$C$3623,"&lt;"&amp;EDATE(DATEVALUE(C7&amp;"-01"),7))</f>
        <v>0</v>
      </c>
      <c r="Z7" s="37">
        <f>SUMIFS('📋 Транзакції'!$F$5:$F$3623,'📋 Транзакції'!$B$5:$B$3623,A7,'📋 Транзакції'!$C$5:$C$3623,"&gt;="&amp;EDATE(DATEVALUE(C7&amp;"-01"),7),'📋 Транзакції'!$C$5:$C$3623,"&lt;"&amp;EDATE(DATEVALUE(C7&amp;"-01"),8))</f>
        <v>0</v>
      </c>
      <c r="AA7" s="37">
        <f>SUMIFS('📋 Транзакції'!$F$5:$F$3623,'📋 Транзакції'!$B$5:$B$3623,A7,'📋 Транзакції'!$C$5:$C$3623,"&gt;="&amp;EDATE(DATEVALUE(C7&amp;"-01"),8),'📋 Транзакції'!$C$5:$C$3623,"&lt;"&amp;EDATE(DATEVALUE(C7&amp;"-01"),9))</f>
        <v>0</v>
      </c>
      <c r="AB7" s="37">
        <f>SUMIFS('📋 Транзакції'!$F$5:$F$3623,'📋 Транзакції'!$B$5:$B$3623,A7,'📋 Транзакції'!$C$5:$C$3623,"&gt;="&amp;EDATE(DATEVALUE(C7&amp;"-01"),9),'📋 Транзакції'!$C$5:$C$3623,"&lt;"&amp;EDATE(DATEVALUE(C7&amp;"-01"),10))</f>
        <v>0</v>
      </c>
      <c r="AC7" s="37">
        <f>SUMIFS('📋 Транзакції'!$F$5:$F$3623,'📋 Транзакції'!$B$5:$B$3623,A7,'📋 Транзакції'!$C$5:$C$3623,"&gt;="&amp;EDATE(DATEVALUE(C7&amp;"-01"),10),'📋 Транзакції'!$C$5:$C$3623,"&lt;"&amp;EDATE(DATEVALUE(C7&amp;"-01"),11))</f>
        <v>0</v>
      </c>
      <c r="AD7" s="37">
        <f>SUMIFS('📋 Транзакції'!$F$5:$F$3623,'📋 Транзакції'!$B$5:$B$3623,A7,'📋 Транзакції'!$C$5:$C$3623,"&gt;="&amp;EDATE(DATEVALUE(C7&amp;"-01"),11),'📋 Транзакції'!$C$5:$C$3623,"&lt;"&amp;EDATE(DATEVALUE(C7&amp;"-01"),12))</f>
        <v>0</v>
      </c>
    </row>
    <row r="8">
      <c r="A8" s="33" t="str">
        <f>'📋 Реєстрації'!A8:A609</f>
        <v>U0245</v>
      </c>
      <c r="B8" s="34">
        <f t="array" ref="B8">INDEX('📋 Транзакції'!$C$5:$C$3623,MATCH(A8,'📋 Транзакції'!$B$5:$B$3623,0))</f>
        <v>45294</v>
      </c>
      <c r="C8" s="35" t="str">
        <f t="shared" si="1"/>
        <v>2024-01</v>
      </c>
      <c r="D8" s="36">
        <f>COUNTIF('📋 Транзакції'!$B$5:$B$3623,A8)</f>
        <v>3</v>
      </c>
      <c r="E8" s="36">
        <f>SUMIF('📋 Транзакції'!$B$5:$B$3623,A8,'📋 Транзакції'!$F$5:$F$3623)</f>
        <v>39.98</v>
      </c>
      <c r="F8" s="35">
        <f>INT($A$1-MAXIFS('📋 Транзакції'!$C$5:$C$3623,'📋 Транзакції'!$B$5:$B$3623,A8))</f>
        <v>416</v>
      </c>
      <c r="G8" s="37">
        <f>IF(COUNTIFS('📋 Транзакції'!$B$5:$B$3623,A8,'📋 Транзакції'!$C$5:$C$3623,"&gt;="&amp;EDATE(DATEVALUE(C8&amp;"-01"),0),'📋 Транзакції'!$C$5:$C$3623,"&lt;"&amp;EDATE(DATEVALUE(C8&amp;"-01"),1))&gt;0,1,0)</f>
        <v>1</v>
      </c>
      <c r="H8" s="37">
        <f>IF(COUNTIFS('📋 Транзакції'!$B$5:$B$3623,A8,'📋 Транзакції'!$C$5:$C$3623,"&gt;="&amp;EDATE(DATEVALUE(C8&amp;"-01"),1),'📋 Транзакції'!$C$5:$C$3623,"&lt;"&amp;EDATE(DATEVALUE(C8&amp;"-01"),2))&gt;0,1,0)</f>
        <v>1</v>
      </c>
      <c r="I8" s="37">
        <f>IF(COUNTIFS('📋 Транзакції'!$B$5:$B$3623,A8,'📋 Транзакції'!$C$5:$C$3623,"&gt;="&amp;EDATE(DATEVALUE(C8&amp;"-01"),2),'📋 Транзакції'!$C$5:$C$3623,"&lt;"&amp;EDATE(DATEVALUE(C8&amp;"-01"),3))&gt;0,1,0)</f>
        <v>0</v>
      </c>
      <c r="J8" s="37">
        <f>IF(COUNTIFS('📋 Транзакції'!$B$5:$B$3623,A8,'📋 Транзакції'!$C$5:$C$3623,"&gt;="&amp;EDATE(DATEVALUE(C8&amp;"-01"),3),'📋 Транзакції'!$C$5:$C$3623,"&lt;"&amp;EDATE(DATEVALUE(C8&amp;"-01"),4))&gt;0,1,0)</f>
        <v>0</v>
      </c>
      <c r="K8" s="37">
        <f>IF(COUNTIFS('📋 Транзакції'!$B$5:$B$3623,A8,'📋 Транзакції'!$C$5:$C$3623,"&gt;="&amp;EDATE(DATEVALUE(C8&amp;"-01"),4),'📋 Транзакції'!$C$5:$C$3623,"&lt;"&amp;EDATE(DATEVALUE(C8&amp;"-01"),5))&gt;0,1,0)</f>
        <v>0</v>
      </c>
      <c r="L8" s="37">
        <f>IF(COUNTIFS('📋 Транзакції'!$B$5:$B$3623,A8,'📋 Транзакції'!$C$5:$C$3623,"&gt;="&amp;EDATE(DATEVALUE(C8&amp;"-01"),5),'📋 Транзакції'!$C$5:$C$3623,"&lt;"&amp;EDATE(DATEVALUE(C8&amp;"-01"),6))&gt;0,1,0)</f>
        <v>0</v>
      </c>
      <c r="M8" s="37">
        <f>IF(COUNTIFS('📋 Транзакції'!$B$5:$B$3623,A8,'📋 Транзакції'!$C$5:$C$3623,"&gt;="&amp;EDATE(DATEVALUE(C8&amp;"-01"),6),'📋 Транзакції'!$C$5:$C$3623,"&lt;"&amp;EDATE(DATEVALUE(C8&amp;"-01"),7))&gt;0,1,0)</f>
        <v>0</v>
      </c>
      <c r="N8" s="37">
        <f>IF(COUNTIFS('📋 Транзакції'!$B$5:$B$3623,A8,'📋 Транзакції'!$C$5:$C$3623,"&gt;="&amp;EDATE(DATEVALUE(C8&amp;"-01"),7),'📋 Транзакції'!$C$5:$C$3623,"&lt;"&amp;EDATE(DATEVALUE(C8&amp;"-01"),8))&gt;0,1,0)</f>
        <v>0</v>
      </c>
      <c r="O8" s="37">
        <f>IF(COUNTIFS('📋 Транзакції'!$B$5:$B$3623,A8,'📋 Транзакції'!$C$5:$C$3623,"&gt;="&amp;EDATE(DATEVALUE(C8&amp;"-01"),8),'📋 Транзакції'!$C$5:$C$3623,"&lt;"&amp;EDATE(DATEVALUE(C8&amp;"-01"),9))&gt;0,1,0)</f>
        <v>0</v>
      </c>
      <c r="P8" s="37">
        <f>IF(COUNTIFS('📋 Транзакції'!$B$5:$B$3623,A8,'📋 Транзакції'!$C$5:$C$3623,"&gt;="&amp;EDATE(DATEVALUE(C8&amp;"-01"),9),'📋 Транзакції'!$C$5:$C$3623,"&lt;"&amp;EDATE(DATEVALUE(C8&amp;"-01"),10))&gt;0,1,0)</f>
        <v>0</v>
      </c>
      <c r="Q8" s="37">
        <f>IF(COUNTIFS('📋 Транзакції'!$B$5:$B$3623,A8,'📋 Транзакції'!$C$5:$C$3623,"&gt;="&amp;EDATE(DATEVALUE(C8&amp;"-01"),10),'📋 Транзакції'!$C$5:$C$3623,"&lt;"&amp;EDATE(DATEVALUE(C8&amp;"-01"),11))&gt;0,1,0)</f>
        <v>0</v>
      </c>
      <c r="R8" s="37">
        <f>IF(COUNTIFS('📋 Транзакції'!$B$5:$B$3623,A8,'📋 Транзакції'!$C$5:$C$3623,"&gt;="&amp;EDATE(DATEVALUE(C8&amp;"-01"),11),'📋 Транзакції'!$C$5:$C$3623,"&lt;"&amp;EDATE(DATEVALUE(C8&amp;"-01"),12))&gt;0,1,0)</f>
        <v>0</v>
      </c>
      <c r="S8" s="37">
        <f>SUMIFS('📋 Транзакції'!$F$5:$F$3623,'📋 Транзакції'!$B$5:$B$3623,A8,'📋 Транзакції'!$C$5:$C$3623,"&gt;="&amp;EDATE(DATEVALUE(C8&amp;"-01"),0),'📋 Транзакції'!$C$5:$C$3623,"&lt;"&amp;EDATE(DATEVALUE(C8&amp;"-01"),1))</f>
        <v>19.99</v>
      </c>
      <c r="T8" s="37">
        <f>SUMIFS('📋 Транзакції'!$F$5:$F$3623,'📋 Транзакції'!$B$5:$B$3623,A8,'📋 Транзакції'!$C$5:$C$3623,"&gt;="&amp;EDATE(DATEVALUE(C8&amp;"-01"),1),'📋 Транзакції'!$C$5:$C$3623,"&lt;"&amp;EDATE(DATEVALUE(C8&amp;"-01"),2))</f>
        <v>19.99</v>
      </c>
      <c r="U8" s="37">
        <f>SUMIFS('📋 Транзакції'!$F$5:$F$3623,'📋 Транзакції'!$B$5:$B$3623,A8,'📋 Транзакції'!$C$5:$C$3623,"&gt;="&amp;EDATE(DATEVALUE(C8&amp;"-01"),2),'📋 Транзакції'!$C$5:$C$3623,"&lt;"&amp;EDATE(DATEVALUE(C8&amp;"-01"),3))</f>
        <v>0</v>
      </c>
      <c r="V8" s="37">
        <f>SUMIFS('📋 Транзакції'!$F$5:$F$3623,'📋 Транзакції'!$B$5:$B$3623,A8,'📋 Транзакції'!$C$5:$C$3623,"&gt;="&amp;EDATE(DATEVALUE(C8&amp;"-01"),3),'📋 Транзакції'!$C$5:$C$3623,"&lt;"&amp;EDATE(DATEVALUE(C8&amp;"-01"),4))</f>
        <v>0</v>
      </c>
      <c r="W8" s="37">
        <f>SUMIFS('📋 Транзакції'!$F$5:$F$3623,'📋 Транзакції'!$B$5:$B$3623,A8,'📋 Транзакції'!$C$5:$C$3623,"&gt;="&amp;EDATE(DATEVALUE(C8&amp;"-01"),4),'📋 Транзакції'!$C$5:$C$3623,"&lt;"&amp;EDATE(DATEVALUE(C8&amp;"-01"),5))</f>
        <v>0</v>
      </c>
      <c r="X8" s="37">
        <f>SUMIFS('📋 Транзакції'!$F$5:$F$3623,'📋 Транзакції'!$B$5:$B$3623,A8,'📋 Транзакції'!$C$5:$C$3623,"&gt;="&amp;EDATE(DATEVALUE(C8&amp;"-01"),5),'📋 Транзакції'!$C$5:$C$3623,"&lt;"&amp;EDATE(DATEVALUE(C8&amp;"-01"),6))</f>
        <v>0</v>
      </c>
      <c r="Y8" s="37">
        <f>SUMIFS('📋 Транзакції'!$F$5:$F$3623,'📋 Транзакції'!$B$5:$B$3623,A8,'📋 Транзакції'!$C$5:$C$3623,"&gt;="&amp;EDATE(DATEVALUE(C8&amp;"-01"),6),'📋 Транзакції'!$C$5:$C$3623,"&lt;"&amp;EDATE(DATEVALUE(C8&amp;"-01"),7))</f>
        <v>0</v>
      </c>
      <c r="Z8" s="37">
        <f>SUMIFS('📋 Транзакції'!$F$5:$F$3623,'📋 Транзакції'!$B$5:$B$3623,A8,'📋 Транзакції'!$C$5:$C$3623,"&gt;="&amp;EDATE(DATEVALUE(C8&amp;"-01"),7),'📋 Транзакції'!$C$5:$C$3623,"&lt;"&amp;EDATE(DATEVALUE(C8&amp;"-01"),8))</f>
        <v>0</v>
      </c>
      <c r="AA8" s="37">
        <f>SUMIFS('📋 Транзакції'!$F$5:$F$3623,'📋 Транзакції'!$B$5:$B$3623,A8,'📋 Транзакції'!$C$5:$C$3623,"&gt;="&amp;EDATE(DATEVALUE(C8&amp;"-01"),8),'📋 Транзакції'!$C$5:$C$3623,"&lt;"&amp;EDATE(DATEVALUE(C8&amp;"-01"),9))</f>
        <v>0</v>
      </c>
      <c r="AB8" s="37">
        <f>SUMIFS('📋 Транзакції'!$F$5:$F$3623,'📋 Транзакції'!$B$5:$B$3623,A8,'📋 Транзакції'!$C$5:$C$3623,"&gt;="&amp;EDATE(DATEVALUE(C8&amp;"-01"),9),'📋 Транзакції'!$C$5:$C$3623,"&lt;"&amp;EDATE(DATEVALUE(C8&amp;"-01"),10))</f>
        <v>0</v>
      </c>
      <c r="AC8" s="37">
        <f>SUMIFS('📋 Транзакції'!$F$5:$F$3623,'📋 Транзакції'!$B$5:$B$3623,A8,'📋 Транзакції'!$C$5:$C$3623,"&gt;="&amp;EDATE(DATEVALUE(C8&amp;"-01"),10),'📋 Транзакції'!$C$5:$C$3623,"&lt;"&amp;EDATE(DATEVALUE(C8&amp;"-01"),11))</f>
        <v>0</v>
      </c>
      <c r="AD8" s="37">
        <f>SUMIFS('📋 Транзакції'!$F$5:$F$3623,'📋 Транзакції'!$B$5:$B$3623,A8,'📋 Транзакції'!$C$5:$C$3623,"&gt;="&amp;EDATE(DATEVALUE(C8&amp;"-01"),11),'📋 Транзакції'!$C$5:$C$3623,"&lt;"&amp;EDATE(DATEVALUE(C8&amp;"-01"),12))</f>
        <v>0</v>
      </c>
    </row>
    <row r="9">
      <c r="A9" s="33" t="str">
        <f>'📋 Реєстрації'!A9:A610</f>
        <v>U0291</v>
      </c>
      <c r="B9" s="34">
        <f t="array" ref="B9">INDEX('📋 Транзакції'!$C$5:$C$3623,MATCH(A9,'📋 Транзакції'!$B$5:$B$3623,0))</f>
        <v>45294</v>
      </c>
      <c r="C9" s="35" t="str">
        <f t="shared" si="1"/>
        <v>2024-01</v>
      </c>
      <c r="D9" s="36">
        <f>COUNTIF('📋 Транзакції'!$B$5:$B$3623,A9)</f>
        <v>3</v>
      </c>
      <c r="E9" s="36">
        <f>SUMIF('📋 Транзакції'!$B$5:$B$3623,A9,'📋 Транзакції'!$F$5:$F$3623)</f>
        <v>39.98</v>
      </c>
      <c r="F9" s="35">
        <f>INT($A$1-MAXIFS('📋 Транзакції'!$C$5:$C$3623,'📋 Транзакції'!$B$5:$B$3623,A9))</f>
        <v>416</v>
      </c>
      <c r="G9" s="37">
        <f>IF(COUNTIFS('📋 Транзакції'!$B$5:$B$3623,A9,'📋 Транзакції'!$C$5:$C$3623,"&gt;="&amp;EDATE(DATEVALUE(C9&amp;"-01"),0),'📋 Транзакції'!$C$5:$C$3623,"&lt;"&amp;EDATE(DATEVALUE(C9&amp;"-01"),1))&gt;0,1,0)</f>
        <v>1</v>
      </c>
      <c r="H9" s="37">
        <f>IF(COUNTIFS('📋 Транзакції'!$B$5:$B$3623,A9,'📋 Транзакції'!$C$5:$C$3623,"&gt;="&amp;EDATE(DATEVALUE(C9&amp;"-01"),1),'📋 Транзакції'!$C$5:$C$3623,"&lt;"&amp;EDATE(DATEVALUE(C9&amp;"-01"),2))&gt;0,1,0)</f>
        <v>1</v>
      </c>
      <c r="I9" s="37">
        <f>IF(COUNTIFS('📋 Транзакції'!$B$5:$B$3623,A9,'📋 Транзакції'!$C$5:$C$3623,"&gt;="&amp;EDATE(DATEVALUE(C9&amp;"-01"),2),'📋 Транзакції'!$C$5:$C$3623,"&lt;"&amp;EDATE(DATEVALUE(C9&amp;"-01"),3))&gt;0,1,0)</f>
        <v>0</v>
      </c>
      <c r="J9" s="37">
        <f>IF(COUNTIFS('📋 Транзакції'!$B$5:$B$3623,A9,'📋 Транзакції'!$C$5:$C$3623,"&gt;="&amp;EDATE(DATEVALUE(C9&amp;"-01"),3),'📋 Транзакції'!$C$5:$C$3623,"&lt;"&amp;EDATE(DATEVALUE(C9&amp;"-01"),4))&gt;0,1,0)</f>
        <v>0</v>
      </c>
      <c r="K9" s="37">
        <f>IF(COUNTIFS('📋 Транзакції'!$B$5:$B$3623,A9,'📋 Транзакції'!$C$5:$C$3623,"&gt;="&amp;EDATE(DATEVALUE(C9&amp;"-01"),4),'📋 Транзакції'!$C$5:$C$3623,"&lt;"&amp;EDATE(DATEVALUE(C9&amp;"-01"),5))&gt;0,1,0)</f>
        <v>0</v>
      </c>
      <c r="L9" s="37">
        <f>IF(COUNTIFS('📋 Транзакції'!$B$5:$B$3623,A9,'📋 Транзакції'!$C$5:$C$3623,"&gt;="&amp;EDATE(DATEVALUE(C9&amp;"-01"),5),'📋 Транзакції'!$C$5:$C$3623,"&lt;"&amp;EDATE(DATEVALUE(C9&amp;"-01"),6))&gt;0,1,0)</f>
        <v>0</v>
      </c>
      <c r="M9" s="37">
        <f>IF(COUNTIFS('📋 Транзакції'!$B$5:$B$3623,A9,'📋 Транзакції'!$C$5:$C$3623,"&gt;="&amp;EDATE(DATEVALUE(C9&amp;"-01"),6),'📋 Транзакції'!$C$5:$C$3623,"&lt;"&amp;EDATE(DATEVALUE(C9&amp;"-01"),7))&gt;0,1,0)</f>
        <v>0</v>
      </c>
      <c r="N9" s="37">
        <f>IF(COUNTIFS('📋 Транзакції'!$B$5:$B$3623,A9,'📋 Транзакції'!$C$5:$C$3623,"&gt;="&amp;EDATE(DATEVALUE(C9&amp;"-01"),7),'📋 Транзакції'!$C$5:$C$3623,"&lt;"&amp;EDATE(DATEVALUE(C9&amp;"-01"),8))&gt;0,1,0)</f>
        <v>0</v>
      </c>
      <c r="O9" s="37">
        <f>IF(COUNTIFS('📋 Транзакції'!$B$5:$B$3623,A9,'📋 Транзакції'!$C$5:$C$3623,"&gt;="&amp;EDATE(DATEVALUE(C9&amp;"-01"),8),'📋 Транзакції'!$C$5:$C$3623,"&lt;"&amp;EDATE(DATEVALUE(C9&amp;"-01"),9))&gt;0,1,0)</f>
        <v>0</v>
      </c>
      <c r="P9" s="37">
        <f>IF(COUNTIFS('📋 Транзакції'!$B$5:$B$3623,A9,'📋 Транзакції'!$C$5:$C$3623,"&gt;="&amp;EDATE(DATEVALUE(C9&amp;"-01"),9),'📋 Транзакції'!$C$5:$C$3623,"&lt;"&amp;EDATE(DATEVALUE(C9&amp;"-01"),10))&gt;0,1,0)</f>
        <v>0</v>
      </c>
      <c r="Q9" s="37">
        <f>IF(COUNTIFS('📋 Транзакції'!$B$5:$B$3623,A9,'📋 Транзакції'!$C$5:$C$3623,"&gt;="&amp;EDATE(DATEVALUE(C9&amp;"-01"),10),'📋 Транзакції'!$C$5:$C$3623,"&lt;"&amp;EDATE(DATEVALUE(C9&amp;"-01"),11))&gt;0,1,0)</f>
        <v>0</v>
      </c>
      <c r="R9" s="37">
        <f>IF(COUNTIFS('📋 Транзакції'!$B$5:$B$3623,A9,'📋 Транзакції'!$C$5:$C$3623,"&gt;="&amp;EDATE(DATEVALUE(C9&amp;"-01"),11),'📋 Транзакції'!$C$5:$C$3623,"&lt;"&amp;EDATE(DATEVALUE(C9&amp;"-01"),12))&gt;0,1,0)</f>
        <v>0</v>
      </c>
      <c r="S9" s="37">
        <f>SUMIFS('📋 Транзакції'!$F$5:$F$3623,'📋 Транзакції'!$B$5:$B$3623,A9,'📋 Транзакції'!$C$5:$C$3623,"&gt;="&amp;EDATE(DATEVALUE(C9&amp;"-01"),0),'📋 Транзакції'!$C$5:$C$3623,"&lt;"&amp;EDATE(DATEVALUE(C9&amp;"-01"),1))</f>
        <v>19.99</v>
      </c>
      <c r="T9" s="37">
        <f>SUMIFS('📋 Транзакції'!$F$5:$F$3623,'📋 Транзакції'!$B$5:$B$3623,A9,'📋 Транзакції'!$C$5:$C$3623,"&gt;="&amp;EDATE(DATEVALUE(C9&amp;"-01"),1),'📋 Транзакції'!$C$5:$C$3623,"&lt;"&amp;EDATE(DATEVALUE(C9&amp;"-01"),2))</f>
        <v>19.99</v>
      </c>
      <c r="U9" s="37">
        <f>SUMIFS('📋 Транзакції'!$F$5:$F$3623,'📋 Транзакції'!$B$5:$B$3623,A9,'📋 Транзакції'!$C$5:$C$3623,"&gt;="&amp;EDATE(DATEVALUE(C9&amp;"-01"),2),'📋 Транзакції'!$C$5:$C$3623,"&lt;"&amp;EDATE(DATEVALUE(C9&amp;"-01"),3))</f>
        <v>0</v>
      </c>
      <c r="V9" s="37">
        <f>SUMIFS('📋 Транзакції'!$F$5:$F$3623,'📋 Транзакції'!$B$5:$B$3623,A9,'📋 Транзакції'!$C$5:$C$3623,"&gt;="&amp;EDATE(DATEVALUE(C9&amp;"-01"),3),'📋 Транзакції'!$C$5:$C$3623,"&lt;"&amp;EDATE(DATEVALUE(C9&amp;"-01"),4))</f>
        <v>0</v>
      </c>
      <c r="W9" s="37">
        <f>SUMIFS('📋 Транзакції'!$F$5:$F$3623,'📋 Транзакції'!$B$5:$B$3623,A9,'📋 Транзакції'!$C$5:$C$3623,"&gt;="&amp;EDATE(DATEVALUE(C9&amp;"-01"),4),'📋 Транзакції'!$C$5:$C$3623,"&lt;"&amp;EDATE(DATEVALUE(C9&amp;"-01"),5))</f>
        <v>0</v>
      </c>
      <c r="X9" s="37">
        <f>SUMIFS('📋 Транзакції'!$F$5:$F$3623,'📋 Транзакції'!$B$5:$B$3623,A9,'📋 Транзакції'!$C$5:$C$3623,"&gt;="&amp;EDATE(DATEVALUE(C9&amp;"-01"),5),'📋 Транзакції'!$C$5:$C$3623,"&lt;"&amp;EDATE(DATEVALUE(C9&amp;"-01"),6))</f>
        <v>0</v>
      </c>
      <c r="Y9" s="37">
        <f>SUMIFS('📋 Транзакції'!$F$5:$F$3623,'📋 Транзакції'!$B$5:$B$3623,A9,'📋 Транзакції'!$C$5:$C$3623,"&gt;="&amp;EDATE(DATEVALUE(C9&amp;"-01"),6),'📋 Транзакції'!$C$5:$C$3623,"&lt;"&amp;EDATE(DATEVALUE(C9&amp;"-01"),7))</f>
        <v>0</v>
      </c>
      <c r="Z9" s="37">
        <f>SUMIFS('📋 Транзакції'!$F$5:$F$3623,'📋 Транзакції'!$B$5:$B$3623,A9,'📋 Транзакції'!$C$5:$C$3623,"&gt;="&amp;EDATE(DATEVALUE(C9&amp;"-01"),7),'📋 Транзакції'!$C$5:$C$3623,"&lt;"&amp;EDATE(DATEVALUE(C9&amp;"-01"),8))</f>
        <v>0</v>
      </c>
      <c r="AA9" s="37">
        <f>SUMIFS('📋 Транзакції'!$F$5:$F$3623,'📋 Транзакції'!$B$5:$B$3623,A9,'📋 Транзакції'!$C$5:$C$3623,"&gt;="&amp;EDATE(DATEVALUE(C9&amp;"-01"),8),'📋 Транзакції'!$C$5:$C$3623,"&lt;"&amp;EDATE(DATEVALUE(C9&amp;"-01"),9))</f>
        <v>0</v>
      </c>
      <c r="AB9" s="37">
        <f>SUMIFS('📋 Транзакції'!$F$5:$F$3623,'📋 Транзакції'!$B$5:$B$3623,A9,'📋 Транзакції'!$C$5:$C$3623,"&gt;="&amp;EDATE(DATEVALUE(C9&amp;"-01"),9),'📋 Транзакції'!$C$5:$C$3623,"&lt;"&amp;EDATE(DATEVALUE(C9&amp;"-01"),10))</f>
        <v>0</v>
      </c>
      <c r="AC9" s="37">
        <f>SUMIFS('📋 Транзакції'!$F$5:$F$3623,'📋 Транзакції'!$B$5:$B$3623,A9,'📋 Транзакції'!$C$5:$C$3623,"&gt;="&amp;EDATE(DATEVALUE(C9&amp;"-01"),10),'📋 Транзакції'!$C$5:$C$3623,"&lt;"&amp;EDATE(DATEVALUE(C9&amp;"-01"),11))</f>
        <v>0</v>
      </c>
      <c r="AD9" s="37">
        <f>SUMIFS('📋 Транзакції'!$F$5:$F$3623,'📋 Транзакції'!$B$5:$B$3623,A9,'📋 Транзакції'!$C$5:$C$3623,"&gt;="&amp;EDATE(DATEVALUE(C9&amp;"-01"),11),'📋 Транзакції'!$C$5:$C$3623,"&lt;"&amp;EDATE(DATEVALUE(C9&amp;"-01"),12))</f>
        <v>0</v>
      </c>
    </row>
    <row r="10">
      <c r="A10" s="33" t="str">
        <f>'📋 Реєстрації'!A10:A611</f>
        <v>U0408</v>
      </c>
      <c r="B10" s="34">
        <f t="array" ref="B10">INDEX('📋 Транзакції'!$C$5:$C$3623,MATCH(A10,'📋 Транзакції'!$B$5:$B$3623,0))</f>
        <v>45294</v>
      </c>
      <c r="C10" s="35" t="str">
        <f t="shared" si="1"/>
        <v>2024-01</v>
      </c>
      <c r="D10" s="36">
        <f>COUNTIF('📋 Транзакції'!$B$5:$B$3623,A10)</f>
        <v>3</v>
      </c>
      <c r="E10" s="36">
        <f>SUMIF('📋 Транзакції'!$B$5:$B$3623,A10,'📋 Транзакції'!$F$5:$F$3623)</f>
        <v>39.98</v>
      </c>
      <c r="F10" s="35">
        <f>INT($A$1-MAXIFS('📋 Транзакції'!$C$5:$C$3623,'📋 Транзакції'!$B$5:$B$3623,A10))</f>
        <v>416</v>
      </c>
      <c r="G10" s="37">
        <f>IF(COUNTIFS('📋 Транзакції'!$B$5:$B$3623,A10,'📋 Транзакції'!$C$5:$C$3623,"&gt;="&amp;EDATE(DATEVALUE(C10&amp;"-01"),0),'📋 Транзакції'!$C$5:$C$3623,"&lt;"&amp;EDATE(DATEVALUE(C10&amp;"-01"),1))&gt;0,1,0)</f>
        <v>1</v>
      </c>
      <c r="H10" s="37">
        <f>IF(COUNTIFS('📋 Транзакції'!$B$5:$B$3623,A10,'📋 Транзакції'!$C$5:$C$3623,"&gt;="&amp;EDATE(DATEVALUE(C10&amp;"-01"),1),'📋 Транзакції'!$C$5:$C$3623,"&lt;"&amp;EDATE(DATEVALUE(C10&amp;"-01"),2))&gt;0,1,0)</f>
        <v>1</v>
      </c>
      <c r="I10" s="37">
        <f>IF(COUNTIFS('📋 Транзакції'!$B$5:$B$3623,A10,'📋 Транзакції'!$C$5:$C$3623,"&gt;="&amp;EDATE(DATEVALUE(C10&amp;"-01"),2),'📋 Транзакції'!$C$5:$C$3623,"&lt;"&amp;EDATE(DATEVALUE(C10&amp;"-01"),3))&gt;0,1,0)</f>
        <v>0</v>
      </c>
      <c r="J10" s="37">
        <f>IF(COUNTIFS('📋 Транзакції'!$B$5:$B$3623,A10,'📋 Транзакції'!$C$5:$C$3623,"&gt;="&amp;EDATE(DATEVALUE(C10&amp;"-01"),3),'📋 Транзакції'!$C$5:$C$3623,"&lt;"&amp;EDATE(DATEVALUE(C10&amp;"-01"),4))&gt;0,1,0)</f>
        <v>0</v>
      </c>
      <c r="K10" s="37">
        <f>IF(COUNTIFS('📋 Транзакції'!$B$5:$B$3623,A10,'📋 Транзакції'!$C$5:$C$3623,"&gt;="&amp;EDATE(DATEVALUE(C10&amp;"-01"),4),'📋 Транзакції'!$C$5:$C$3623,"&lt;"&amp;EDATE(DATEVALUE(C10&amp;"-01"),5))&gt;0,1,0)</f>
        <v>0</v>
      </c>
      <c r="L10" s="37">
        <f>IF(COUNTIFS('📋 Транзакції'!$B$5:$B$3623,A10,'📋 Транзакції'!$C$5:$C$3623,"&gt;="&amp;EDATE(DATEVALUE(C10&amp;"-01"),5),'📋 Транзакції'!$C$5:$C$3623,"&lt;"&amp;EDATE(DATEVALUE(C10&amp;"-01"),6))&gt;0,1,0)</f>
        <v>0</v>
      </c>
      <c r="M10" s="37">
        <f>IF(COUNTIFS('📋 Транзакції'!$B$5:$B$3623,A10,'📋 Транзакції'!$C$5:$C$3623,"&gt;="&amp;EDATE(DATEVALUE(C10&amp;"-01"),6),'📋 Транзакції'!$C$5:$C$3623,"&lt;"&amp;EDATE(DATEVALUE(C10&amp;"-01"),7))&gt;0,1,0)</f>
        <v>0</v>
      </c>
      <c r="N10" s="37">
        <f>IF(COUNTIFS('📋 Транзакції'!$B$5:$B$3623,A10,'📋 Транзакції'!$C$5:$C$3623,"&gt;="&amp;EDATE(DATEVALUE(C10&amp;"-01"),7),'📋 Транзакції'!$C$5:$C$3623,"&lt;"&amp;EDATE(DATEVALUE(C10&amp;"-01"),8))&gt;0,1,0)</f>
        <v>0</v>
      </c>
      <c r="O10" s="37">
        <f>IF(COUNTIFS('📋 Транзакції'!$B$5:$B$3623,A10,'📋 Транзакції'!$C$5:$C$3623,"&gt;="&amp;EDATE(DATEVALUE(C10&amp;"-01"),8),'📋 Транзакції'!$C$5:$C$3623,"&lt;"&amp;EDATE(DATEVALUE(C10&amp;"-01"),9))&gt;0,1,0)</f>
        <v>0</v>
      </c>
      <c r="P10" s="37">
        <f>IF(COUNTIFS('📋 Транзакції'!$B$5:$B$3623,A10,'📋 Транзакції'!$C$5:$C$3623,"&gt;="&amp;EDATE(DATEVALUE(C10&amp;"-01"),9),'📋 Транзакції'!$C$5:$C$3623,"&lt;"&amp;EDATE(DATEVALUE(C10&amp;"-01"),10))&gt;0,1,0)</f>
        <v>0</v>
      </c>
      <c r="Q10" s="37">
        <f>IF(COUNTIFS('📋 Транзакції'!$B$5:$B$3623,A10,'📋 Транзакції'!$C$5:$C$3623,"&gt;="&amp;EDATE(DATEVALUE(C10&amp;"-01"),10),'📋 Транзакції'!$C$5:$C$3623,"&lt;"&amp;EDATE(DATEVALUE(C10&amp;"-01"),11))&gt;0,1,0)</f>
        <v>0</v>
      </c>
      <c r="R10" s="37">
        <f>IF(COUNTIFS('📋 Транзакції'!$B$5:$B$3623,A10,'📋 Транзакції'!$C$5:$C$3623,"&gt;="&amp;EDATE(DATEVALUE(C10&amp;"-01"),11),'📋 Транзакції'!$C$5:$C$3623,"&lt;"&amp;EDATE(DATEVALUE(C10&amp;"-01"),12))&gt;0,1,0)</f>
        <v>0</v>
      </c>
      <c r="S10" s="37">
        <f>SUMIFS('📋 Транзакції'!$F$5:$F$3623,'📋 Транзакції'!$B$5:$B$3623,A10,'📋 Транзакції'!$C$5:$C$3623,"&gt;="&amp;EDATE(DATEVALUE(C10&amp;"-01"),0),'📋 Транзакції'!$C$5:$C$3623,"&lt;"&amp;EDATE(DATEVALUE(C10&amp;"-01"),1))</f>
        <v>19.99</v>
      </c>
      <c r="T10" s="37">
        <f>SUMIFS('📋 Транзакції'!$F$5:$F$3623,'📋 Транзакції'!$B$5:$B$3623,A10,'📋 Транзакції'!$C$5:$C$3623,"&gt;="&amp;EDATE(DATEVALUE(C10&amp;"-01"),1),'📋 Транзакції'!$C$5:$C$3623,"&lt;"&amp;EDATE(DATEVALUE(C10&amp;"-01"),2))</f>
        <v>19.99</v>
      </c>
      <c r="U10" s="37">
        <f>SUMIFS('📋 Транзакції'!$F$5:$F$3623,'📋 Транзакції'!$B$5:$B$3623,A10,'📋 Транзакції'!$C$5:$C$3623,"&gt;="&amp;EDATE(DATEVALUE(C10&amp;"-01"),2),'📋 Транзакції'!$C$5:$C$3623,"&lt;"&amp;EDATE(DATEVALUE(C10&amp;"-01"),3))</f>
        <v>0</v>
      </c>
      <c r="V10" s="37">
        <f>SUMIFS('📋 Транзакції'!$F$5:$F$3623,'📋 Транзакції'!$B$5:$B$3623,A10,'📋 Транзакції'!$C$5:$C$3623,"&gt;="&amp;EDATE(DATEVALUE(C10&amp;"-01"),3),'📋 Транзакції'!$C$5:$C$3623,"&lt;"&amp;EDATE(DATEVALUE(C10&amp;"-01"),4))</f>
        <v>0</v>
      </c>
      <c r="W10" s="37">
        <f>SUMIFS('📋 Транзакції'!$F$5:$F$3623,'📋 Транзакції'!$B$5:$B$3623,A10,'📋 Транзакції'!$C$5:$C$3623,"&gt;="&amp;EDATE(DATEVALUE(C10&amp;"-01"),4),'📋 Транзакції'!$C$5:$C$3623,"&lt;"&amp;EDATE(DATEVALUE(C10&amp;"-01"),5))</f>
        <v>0</v>
      </c>
      <c r="X10" s="37">
        <f>SUMIFS('📋 Транзакції'!$F$5:$F$3623,'📋 Транзакції'!$B$5:$B$3623,A10,'📋 Транзакції'!$C$5:$C$3623,"&gt;="&amp;EDATE(DATEVALUE(C10&amp;"-01"),5),'📋 Транзакції'!$C$5:$C$3623,"&lt;"&amp;EDATE(DATEVALUE(C10&amp;"-01"),6))</f>
        <v>0</v>
      </c>
      <c r="Y10" s="37">
        <f>SUMIFS('📋 Транзакції'!$F$5:$F$3623,'📋 Транзакції'!$B$5:$B$3623,A10,'📋 Транзакції'!$C$5:$C$3623,"&gt;="&amp;EDATE(DATEVALUE(C10&amp;"-01"),6),'📋 Транзакції'!$C$5:$C$3623,"&lt;"&amp;EDATE(DATEVALUE(C10&amp;"-01"),7))</f>
        <v>0</v>
      </c>
      <c r="Z10" s="37">
        <f>SUMIFS('📋 Транзакції'!$F$5:$F$3623,'📋 Транзакції'!$B$5:$B$3623,A10,'📋 Транзакції'!$C$5:$C$3623,"&gt;="&amp;EDATE(DATEVALUE(C10&amp;"-01"),7),'📋 Транзакції'!$C$5:$C$3623,"&lt;"&amp;EDATE(DATEVALUE(C10&amp;"-01"),8))</f>
        <v>0</v>
      </c>
      <c r="AA10" s="37">
        <f>SUMIFS('📋 Транзакції'!$F$5:$F$3623,'📋 Транзакції'!$B$5:$B$3623,A10,'📋 Транзакції'!$C$5:$C$3623,"&gt;="&amp;EDATE(DATEVALUE(C10&amp;"-01"),8),'📋 Транзакції'!$C$5:$C$3623,"&lt;"&amp;EDATE(DATEVALUE(C10&amp;"-01"),9))</f>
        <v>0</v>
      </c>
      <c r="AB10" s="37">
        <f>SUMIFS('📋 Транзакції'!$F$5:$F$3623,'📋 Транзакції'!$B$5:$B$3623,A10,'📋 Транзакції'!$C$5:$C$3623,"&gt;="&amp;EDATE(DATEVALUE(C10&amp;"-01"),9),'📋 Транзакції'!$C$5:$C$3623,"&lt;"&amp;EDATE(DATEVALUE(C10&amp;"-01"),10))</f>
        <v>0</v>
      </c>
      <c r="AC10" s="37">
        <f>SUMIFS('📋 Транзакції'!$F$5:$F$3623,'📋 Транзакції'!$B$5:$B$3623,A10,'📋 Транзакції'!$C$5:$C$3623,"&gt;="&amp;EDATE(DATEVALUE(C10&amp;"-01"),10),'📋 Транзакції'!$C$5:$C$3623,"&lt;"&amp;EDATE(DATEVALUE(C10&amp;"-01"),11))</f>
        <v>0</v>
      </c>
      <c r="AD10" s="37">
        <f>SUMIFS('📋 Транзакції'!$F$5:$F$3623,'📋 Транзакції'!$B$5:$B$3623,A10,'📋 Транзакції'!$C$5:$C$3623,"&gt;="&amp;EDATE(DATEVALUE(C10&amp;"-01"),11),'📋 Транзакції'!$C$5:$C$3623,"&lt;"&amp;EDATE(DATEVALUE(C10&amp;"-01"),12))</f>
        <v>0</v>
      </c>
    </row>
    <row r="11">
      <c r="A11" s="33" t="str">
        <f>'📋 Реєстрації'!A11:A612</f>
        <v>U0883</v>
      </c>
      <c r="B11" s="34">
        <f t="array" ref="B11">INDEX('📋 Транзакції'!$C$5:$C$3623,MATCH(A11,'📋 Транзакції'!$B$5:$B$3623,0))</f>
        <v>45294</v>
      </c>
      <c r="C11" s="35" t="str">
        <f t="shared" si="1"/>
        <v>2024-01</v>
      </c>
      <c r="D11" s="36">
        <f>COUNTIF('📋 Транзакції'!$B$5:$B$3623,A11)</f>
        <v>16</v>
      </c>
      <c r="E11" s="36">
        <f>SUMIF('📋 Транзакції'!$B$5:$B$3623,A11,'📋 Транзакції'!$F$5:$F$3623)</f>
        <v>299.85</v>
      </c>
      <c r="F11" s="35">
        <f>INT($A$1-MAXIFS('📋 Транзакції'!$C$5:$C$3623,'📋 Транзакції'!$B$5:$B$3623,A11))</f>
        <v>26</v>
      </c>
      <c r="G11" s="37">
        <f>IF(COUNTIFS('📋 Транзакції'!$B$5:$B$3623,A11,'📋 Транзакції'!$C$5:$C$3623,"&gt;="&amp;EDATE(DATEVALUE(C11&amp;"-01"),0),'📋 Транзакції'!$C$5:$C$3623,"&lt;"&amp;EDATE(DATEVALUE(C11&amp;"-01"),1))&gt;0,1,0)</f>
        <v>1</v>
      </c>
      <c r="H11" s="37">
        <f>IF(COUNTIFS('📋 Транзакції'!$B$5:$B$3623,A11,'📋 Транзакції'!$C$5:$C$3623,"&gt;="&amp;EDATE(DATEVALUE(C11&amp;"-01"),1),'📋 Транзакції'!$C$5:$C$3623,"&lt;"&amp;EDATE(DATEVALUE(C11&amp;"-01"),2))&gt;0,1,0)</f>
        <v>1</v>
      </c>
      <c r="I11" s="37">
        <f>IF(COUNTIFS('📋 Транзакції'!$B$5:$B$3623,A11,'📋 Транзакції'!$C$5:$C$3623,"&gt;="&amp;EDATE(DATEVALUE(C11&amp;"-01"),2),'📋 Транзакції'!$C$5:$C$3623,"&lt;"&amp;EDATE(DATEVALUE(C11&amp;"-01"),3))&gt;0,1,0)</f>
        <v>1</v>
      </c>
      <c r="J11" s="37">
        <f>IF(COUNTIFS('📋 Транзакції'!$B$5:$B$3623,A11,'📋 Транзакції'!$C$5:$C$3623,"&gt;="&amp;EDATE(DATEVALUE(C11&amp;"-01"),3),'📋 Транзакції'!$C$5:$C$3623,"&lt;"&amp;EDATE(DATEVALUE(C11&amp;"-01"),4))&gt;0,1,0)</f>
        <v>1</v>
      </c>
      <c r="K11" s="37">
        <f>IF(COUNTIFS('📋 Транзакції'!$B$5:$B$3623,A11,'📋 Транзакції'!$C$5:$C$3623,"&gt;="&amp;EDATE(DATEVALUE(C11&amp;"-01"),4),'📋 Транзакції'!$C$5:$C$3623,"&lt;"&amp;EDATE(DATEVALUE(C11&amp;"-01"),5))&gt;0,1,0)</f>
        <v>1</v>
      </c>
      <c r="L11" s="37">
        <f>IF(COUNTIFS('📋 Транзакції'!$B$5:$B$3623,A11,'📋 Транзакції'!$C$5:$C$3623,"&gt;="&amp;EDATE(DATEVALUE(C11&amp;"-01"),5),'📋 Транзакції'!$C$5:$C$3623,"&lt;"&amp;EDATE(DATEVALUE(C11&amp;"-01"),6))&gt;0,1,0)</f>
        <v>1</v>
      </c>
      <c r="M11" s="37">
        <f>IF(COUNTIFS('📋 Транзакції'!$B$5:$B$3623,A11,'📋 Транзакції'!$C$5:$C$3623,"&gt;="&amp;EDATE(DATEVALUE(C11&amp;"-01"),6),'📋 Транзакції'!$C$5:$C$3623,"&lt;"&amp;EDATE(DATEVALUE(C11&amp;"-01"),7))&gt;0,1,0)</f>
        <v>1</v>
      </c>
      <c r="N11" s="37">
        <f>IF(COUNTIFS('📋 Транзакції'!$B$5:$B$3623,A11,'📋 Транзакції'!$C$5:$C$3623,"&gt;="&amp;EDATE(DATEVALUE(C11&amp;"-01"),7),'📋 Транзакції'!$C$5:$C$3623,"&lt;"&amp;EDATE(DATEVALUE(C11&amp;"-01"),8))&gt;0,1,0)</f>
        <v>1</v>
      </c>
      <c r="O11" s="37">
        <f>IF(COUNTIFS('📋 Транзакції'!$B$5:$B$3623,A11,'📋 Транзакції'!$C$5:$C$3623,"&gt;="&amp;EDATE(DATEVALUE(C11&amp;"-01"),8),'📋 Транзакції'!$C$5:$C$3623,"&lt;"&amp;EDATE(DATEVALUE(C11&amp;"-01"),9))&gt;0,1,0)</f>
        <v>1</v>
      </c>
      <c r="P11" s="37">
        <f>IF(COUNTIFS('📋 Транзакції'!$B$5:$B$3623,A11,'📋 Транзакції'!$C$5:$C$3623,"&gt;="&amp;EDATE(DATEVALUE(C11&amp;"-01"),9),'📋 Транзакції'!$C$5:$C$3623,"&lt;"&amp;EDATE(DATEVALUE(C11&amp;"-01"),10))&gt;0,1,0)</f>
        <v>1</v>
      </c>
      <c r="Q11" s="37">
        <f>IF(COUNTIFS('📋 Транзакції'!$B$5:$B$3623,A11,'📋 Транзакції'!$C$5:$C$3623,"&gt;="&amp;EDATE(DATEVALUE(C11&amp;"-01"),10),'📋 Транзакції'!$C$5:$C$3623,"&lt;"&amp;EDATE(DATEVALUE(C11&amp;"-01"),11))&gt;0,1,0)</f>
        <v>1</v>
      </c>
      <c r="R11" s="37">
        <f>IF(COUNTIFS('📋 Транзакції'!$B$5:$B$3623,A11,'📋 Транзакції'!$C$5:$C$3623,"&gt;="&amp;EDATE(DATEVALUE(C11&amp;"-01"),11),'📋 Транзакції'!$C$5:$C$3623,"&lt;"&amp;EDATE(DATEVALUE(C11&amp;"-01"),12))&gt;0,1,0)</f>
        <v>1</v>
      </c>
      <c r="S11" s="37">
        <f>SUMIFS('📋 Транзакції'!$F$5:$F$3623,'📋 Транзакції'!$B$5:$B$3623,A11,'📋 Транзакції'!$C$5:$C$3623,"&gt;="&amp;EDATE(DATEVALUE(C11&amp;"-01"),0),'📋 Транзакції'!$C$5:$C$3623,"&lt;"&amp;EDATE(DATEVALUE(C11&amp;"-01"),1))</f>
        <v>19.99</v>
      </c>
      <c r="T11" s="37">
        <f>SUMIFS('📋 Транзакції'!$F$5:$F$3623,'📋 Транзакції'!$B$5:$B$3623,A11,'📋 Транзакції'!$C$5:$C$3623,"&gt;="&amp;EDATE(DATEVALUE(C11&amp;"-01"),1),'📋 Транзакції'!$C$5:$C$3623,"&lt;"&amp;EDATE(DATEVALUE(C11&amp;"-01"),2))</f>
        <v>19.99</v>
      </c>
      <c r="U11" s="37">
        <f>SUMIFS('📋 Транзакції'!$F$5:$F$3623,'📋 Транзакції'!$B$5:$B$3623,A11,'📋 Транзакції'!$C$5:$C$3623,"&gt;="&amp;EDATE(DATEVALUE(C11&amp;"-01"),2),'📋 Транзакції'!$C$5:$C$3623,"&lt;"&amp;EDATE(DATEVALUE(C11&amp;"-01"),3))</f>
        <v>19.99</v>
      </c>
      <c r="V11" s="37">
        <f>SUMIFS('📋 Транзакції'!$F$5:$F$3623,'📋 Транзакції'!$B$5:$B$3623,A11,'📋 Транзакції'!$C$5:$C$3623,"&gt;="&amp;EDATE(DATEVALUE(C11&amp;"-01"),3),'📋 Транзакції'!$C$5:$C$3623,"&lt;"&amp;EDATE(DATEVALUE(C11&amp;"-01"),4))</f>
        <v>19.99</v>
      </c>
      <c r="W11" s="37">
        <f>SUMIFS('📋 Транзакції'!$F$5:$F$3623,'📋 Транзакції'!$B$5:$B$3623,A11,'📋 Транзакції'!$C$5:$C$3623,"&gt;="&amp;EDATE(DATEVALUE(C11&amp;"-01"),4),'📋 Транзакції'!$C$5:$C$3623,"&lt;"&amp;EDATE(DATEVALUE(C11&amp;"-01"),5))</f>
        <v>19.99</v>
      </c>
      <c r="X11" s="37">
        <f>SUMIFS('📋 Транзакції'!$F$5:$F$3623,'📋 Транзакції'!$B$5:$B$3623,A11,'📋 Транзакції'!$C$5:$C$3623,"&gt;="&amp;EDATE(DATEVALUE(C11&amp;"-01"),5),'📋 Транзакції'!$C$5:$C$3623,"&lt;"&amp;EDATE(DATEVALUE(C11&amp;"-01"),6))</f>
        <v>19.99</v>
      </c>
      <c r="Y11" s="37">
        <f>SUMIFS('📋 Транзакції'!$F$5:$F$3623,'📋 Транзакції'!$B$5:$B$3623,A11,'📋 Транзакції'!$C$5:$C$3623,"&gt;="&amp;EDATE(DATEVALUE(C11&amp;"-01"),6),'📋 Транзакції'!$C$5:$C$3623,"&lt;"&amp;EDATE(DATEVALUE(C11&amp;"-01"),7))</f>
        <v>19.99</v>
      </c>
      <c r="Z11" s="37">
        <f>SUMIFS('📋 Транзакції'!$F$5:$F$3623,'📋 Транзакції'!$B$5:$B$3623,A11,'📋 Транзакції'!$C$5:$C$3623,"&gt;="&amp;EDATE(DATEVALUE(C11&amp;"-01"),7),'📋 Транзакції'!$C$5:$C$3623,"&lt;"&amp;EDATE(DATEVALUE(C11&amp;"-01"),8))</f>
        <v>19.99</v>
      </c>
      <c r="AA11" s="37">
        <f>SUMIFS('📋 Транзакції'!$F$5:$F$3623,'📋 Транзакції'!$B$5:$B$3623,A11,'📋 Транзакції'!$C$5:$C$3623,"&gt;="&amp;EDATE(DATEVALUE(C11&amp;"-01"),8),'📋 Транзакції'!$C$5:$C$3623,"&lt;"&amp;EDATE(DATEVALUE(C11&amp;"-01"),9))</f>
        <v>19.99</v>
      </c>
      <c r="AB11" s="37">
        <f>SUMIFS('📋 Транзакції'!$F$5:$F$3623,'📋 Транзакції'!$B$5:$B$3623,A11,'📋 Транзакції'!$C$5:$C$3623,"&gt;="&amp;EDATE(DATEVALUE(C11&amp;"-01"),9),'📋 Транзакції'!$C$5:$C$3623,"&lt;"&amp;EDATE(DATEVALUE(C11&amp;"-01"),10))</f>
        <v>19.99</v>
      </c>
      <c r="AC11" s="37">
        <f>SUMIFS('📋 Транзакції'!$F$5:$F$3623,'📋 Транзакції'!$B$5:$B$3623,A11,'📋 Транзакції'!$C$5:$C$3623,"&gt;="&amp;EDATE(DATEVALUE(C11&amp;"-01"),10),'📋 Транзакції'!$C$5:$C$3623,"&lt;"&amp;EDATE(DATEVALUE(C11&amp;"-01"),11))</f>
        <v>19.99</v>
      </c>
      <c r="AD11" s="37">
        <f>SUMIFS('📋 Транзакції'!$F$5:$F$3623,'📋 Транзакції'!$B$5:$B$3623,A11,'📋 Транзакції'!$C$5:$C$3623,"&gt;="&amp;EDATE(DATEVALUE(C11&amp;"-01"),11),'📋 Транзакції'!$C$5:$C$3623,"&lt;"&amp;EDATE(DATEVALUE(C11&amp;"-01"),12))</f>
        <v>19.99</v>
      </c>
    </row>
    <row r="12">
      <c r="A12" s="33" t="str">
        <f>'📋 Реєстрації'!A12:A613</f>
        <v>U0333</v>
      </c>
      <c r="B12" s="34">
        <f t="array" ref="B12">INDEX('📋 Транзакції'!$C$5:$C$3623,MATCH(A12,'📋 Транзакції'!$B$5:$B$3623,0))</f>
        <v>45295</v>
      </c>
      <c r="C12" s="35" t="str">
        <f t="shared" si="1"/>
        <v>2024-01</v>
      </c>
      <c r="D12" s="36">
        <f>COUNTIF('📋 Транзакції'!$B$5:$B$3623,A12)</f>
        <v>16</v>
      </c>
      <c r="E12" s="36">
        <f>SUMIF('📋 Транзакції'!$B$5:$B$3623,A12,'📋 Транзакції'!$F$5:$F$3623)</f>
        <v>299.85</v>
      </c>
      <c r="F12" s="35">
        <f>INT($A$1-MAXIFS('📋 Транзакції'!$C$5:$C$3623,'📋 Транзакції'!$B$5:$B$3623,A12))</f>
        <v>25</v>
      </c>
      <c r="G12" s="37">
        <f>IF(COUNTIFS('📋 Транзакції'!$B$5:$B$3623,A12,'📋 Транзакції'!$C$5:$C$3623,"&gt;="&amp;EDATE(DATEVALUE(C12&amp;"-01"),0),'📋 Транзакції'!$C$5:$C$3623,"&lt;"&amp;EDATE(DATEVALUE(C12&amp;"-01"),1))&gt;0,1,0)</f>
        <v>1</v>
      </c>
      <c r="H12" s="37">
        <f>IF(COUNTIFS('📋 Транзакції'!$B$5:$B$3623,A12,'📋 Транзакції'!$C$5:$C$3623,"&gt;="&amp;EDATE(DATEVALUE(C12&amp;"-01"),1),'📋 Транзакції'!$C$5:$C$3623,"&lt;"&amp;EDATE(DATEVALUE(C12&amp;"-01"),2))&gt;0,1,0)</f>
        <v>1</v>
      </c>
      <c r="I12" s="37">
        <f>IF(COUNTIFS('📋 Транзакції'!$B$5:$B$3623,A12,'📋 Транзакції'!$C$5:$C$3623,"&gt;="&amp;EDATE(DATEVALUE(C12&amp;"-01"),2),'📋 Транзакції'!$C$5:$C$3623,"&lt;"&amp;EDATE(DATEVALUE(C12&amp;"-01"),3))&gt;0,1,0)</f>
        <v>1</v>
      </c>
      <c r="J12" s="37">
        <f>IF(COUNTIFS('📋 Транзакції'!$B$5:$B$3623,A12,'📋 Транзакції'!$C$5:$C$3623,"&gt;="&amp;EDATE(DATEVALUE(C12&amp;"-01"),3),'📋 Транзакції'!$C$5:$C$3623,"&lt;"&amp;EDATE(DATEVALUE(C12&amp;"-01"),4))&gt;0,1,0)</f>
        <v>1</v>
      </c>
      <c r="K12" s="37">
        <f>IF(COUNTIFS('📋 Транзакції'!$B$5:$B$3623,A12,'📋 Транзакції'!$C$5:$C$3623,"&gt;="&amp;EDATE(DATEVALUE(C12&amp;"-01"),4),'📋 Транзакції'!$C$5:$C$3623,"&lt;"&amp;EDATE(DATEVALUE(C12&amp;"-01"),5))&gt;0,1,0)</f>
        <v>1</v>
      </c>
      <c r="L12" s="37">
        <f>IF(COUNTIFS('📋 Транзакції'!$B$5:$B$3623,A12,'📋 Транзакції'!$C$5:$C$3623,"&gt;="&amp;EDATE(DATEVALUE(C12&amp;"-01"),5),'📋 Транзакції'!$C$5:$C$3623,"&lt;"&amp;EDATE(DATEVALUE(C12&amp;"-01"),6))&gt;0,1,0)</f>
        <v>1</v>
      </c>
      <c r="M12" s="37">
        <f>IF(COUNTIFS('📋 Транзакції'!$B$5:$B$3623,A12,'📋 Транзакції'!$C$5:$C$3623,"&gt;="&amp;EDATE(DATEVALUE(C12&amp;"-01"),6),'📋 Транзакції'!$C$5:$C$3623,"&lt;"&amp;EDATE(DATEVALUE(C12&amp;"-01"),7))&gt;0,1,0)</f>
        <v>1</v>
      </c>
      <c r="N12" s="37">
        <f>IF(COUNTIFS('📋 Транзакції'!$B$5:$B$3623,A12,'📋 Транзакції'!$C$5:$C$3623,"&gt;="&amp;EDATE(DATEVALUE(C12&amp;"-01"),7),'📋 Транзакції'!$C$5:$C$3623,"&lt;"&amp;EDATE(DATEVALUE(C12&amp;"-01"),8))&gt;0,1,0)</f>
        <v>1</v>
      </c>
      <c r="O12" s="37">
        <f>IF(COUNTIFS('📋 Транзакції'!$B$5:$B$3623,A12,'📋 Транзакції'!$C$5:$C$3623,"&gt;="&amp;EDATE(DATEVALUE(C12&amp;"-01"),8),'📋 Транзакції'!$C$5:$C$3623,"&lt;"&amp;EDATE(DATEVALUE(C12&amp;"-01"),9))&gt;0,1,0)</f>
        <v>1</v>
      </c>
      <c r="P12" s="37">
        <f>IF(COUNTIFS('📋 Транзакції'!$B$5:$B$3623,A12,'📋 Транзакції'!$C$5:$C$3623,"&gt;="&amp;EDATE(DATEVALUE(C12&amp;"-01"),9),'📋 Транзакції'!$C$5:$C$3623,"&lt;"&amp;EDATE(DATEVALUE(C12&amp;"-01"),10))&gt;0,1,0)</f>
        <v>1</v>
      </c>
      <c r="Q12" s="37">
        <f>IF(COUNTIFS('📋 Транзакції'!$B$5:$B$3623,A12,'📋 Транзакції'!$C$5:$C$3623,"&gt;="&amp;EDATE(DATEVALUE(C12&amp;"-01"),10),'📋 Транзакції'!$C$5:$C$3623,"&lt;"&amp;EDATE(DATEVALUE(C12&amp;"-01"),11))&gt;0,1,0)</f>
        <v>1</v>
      </c>
      <c r="R12" s="37">
        <f>IF(COUNTIFS('📋 Транзакції'!$B$5:$B$3623,A12,'📋 Транзакції'!$C$5:$C$3623,"&gt;="&amp;EDATE(DATEVALUE(C12&amp;"-01"),11),'📋 Транзакції'!$C$5:$C$3623,"&lt;"&amp;EDATE(DATEVALUE(C12&amp;"-01"),12))&gt;0,1,0)</f>
        <v>1</v>
      </c>
      <c r="S12" s="37">
        <f>SUMIFS('📋 Транзакції'!$F$5:$F$3623,'📋 Транзакції'!$B$5:$B$3623,A12,'📋 Транзакції'!$C$5:$C$3623,"&gt;="&amp;EDATE(DATEVALUE(C12&amp;"-01"),0),'📋 Транзакції'!$C$5:$C$3623,"&lt;"&amp;EDATE(DATEVALUE(C12&amp;"-01"),1))</f>
        <v>19.99</v>
      </c>
      <c r="T12" s="37">
        <f>SUMIFS('📋 Транзакції'!$F$5:$F$3623,'📋 Транзакції'!$B$5:$B$3623,A12,'📋 Транзакції'!$C$5:$C$3623,"&gt;="&amp;EDATE(DATEVALUE(C12&amp;"-01"),1),'📋 Транзакції'!$C$5:$C$3623,"&lt;"&amp;EDATE(DATEVALUE(C12&amp;"-01"),2))</f>
        <v>19.99</v>
      </c>
      <c r="U12" s="37">
        <f>SUMIFS('📋 Транзакції'!$F$5:$F$3623,'📋 Транзакції'!$B$5:$B$3623,A12,'📋 Транзакції'!$C$5:$C$3623,"&gt;="&amp;EDATE(DATEVALUE(C12&amp;"-01"),2),'📋 Транзакції'!$C$5:$C$3623,"&lt;"&amp;EDATE(DATEVALUE(C12&amp;"-01"),3))</f>
        <v>19.99</v>
      </c>
      <c r="V12" s="37">
        <f>SUMIFS('📋 Транзакції'!$F$5:$F$3623,'📋 Транзакції'!$B$5:$B$3623,A12,'📋 Транзакції'!$C$5:$C$3623,"&gt;="&amp;EDATE(DATEVALUE(C12&amp;"-01"),3),'📋 Транзакції'!$C$5:$C$3623,"&lt;"&amp;EDATE(DATEVALUE(C12&amp;"-01"),4))</f>
        <v>19.99</v>
      </c>
      <c r="W12" s="37">
        <f>SUMIFS('📋 Транзакції'!$F$5:$F$3623,'📋 Транзакції'!$B$5:$B$3623,A12,'📋 Транзакції'!$C$5:$C$3623,"&gt;="&amp;EDATE(DATEVALUE(C12&amp;"-01"),4),'📋 Транзакції'!$C$5:$C$3623,"&lt;"&amp;EDATE(DATEVALUE(C12&amp;"-01"),5))</f>
        <v>19.99</v>
      </c>
      <c r="X12" s="37">
        <f>SUMIFS('📋 Транзакції'!$F$5:$F$3623,'📋 Транзакції'!$B$5:$B$3623,A12,'📋 Транзакції'!$C$5:$C$3623,"&gt;="&amp;EDATE(DATEVALUE(C12&amp;"-01"),5),'📋 Транзакції'!$C$5:$C$3623,"&lt;"&amp;EDATE(DATEVALUE(C12&amp;"-01"),6))</f>
        <v>19.99</v>
      </c>
      <c r="Y12" s="37">
        <f>SUMIFS('📋 Транзакції'!$F$5:$F$3623,'📋 Транзакції'!$B$5:$B$3623,A12,'📋 Транзакції'!$C$5:$C$3623,"&gt;="&amp;EDATE(DATEVALUE(C12&amp;"-01"),6),'📋 Транзакції'!$C$5:$C$3623,"&lt;"&amp;EDATE(DATEVALUE(C12&amp;"-01"),7))</f>
        <v>19.99</v>
      </c>
      <c r="Z12" s="37">
        <f>SUMIFS('📋 Транзакції'!$F$5:$F$3623,'📋 Транзакції'!$B$5:$B$3623,A12,'📋 Транзакції'!$C$5:$C$3623,"&gt;="&amp;EDATE(DATEVALUE(C12&amp;"-01"),7),'📋 Транзакції'!$C$5:$C$3623,"&lt;"&amp;EDATE(DATEVALUE(C12&amp;"-01"),8))</f>
        <v>19.99</v>
      </c>
      <c r="AA12" s="37">
        <f>SUMIFS('📋 Транзакції'!$F$5:$F$3623,'📋 Транзакції'!$B$5:$B$3623,A12,'📋 Транзакції'!$C$5:$C$3623,"&gt;="&amp;EDATE(DATEVALUE(C12&amp;"-01"),8),'📋 Транзакції'!$C$5:$C$3623,"&lt;"&amp;EDATE(DATEVALUE(C12&amp;"-01"),9))</f>
        <v>19.99</v>
      </c>
      <c r="AB12" s="37">
        <f>SUMIFS('📋 Транзакції'!$F$5:$F$3623,'📋 Транзакції'!$B$5:$B$3623,A12,'📋 Транзакції'!$C$5:$C$3623,"&gt;="&amp;EDATE(DATEVALUE(C12&amp;"-01"),9),'📋 Транзакції'!$C$5:$C$3623,"&lt;"&amp;EDATE(DATEVALUE(C12&amp;"-01"),10))</f>
        <v>19.99</v>
      </c>
      <c r="AC12" s="37">
        <f>SUMIFS('📋 Транзакції'!$F$5:$F$3623,'📋 Транзакції'!$B$5:$B$3623,A12,'📋 Транзакції'!$C$5:$C$3623,"&gt;="&amp;EDATE(DATEVALUE(C12&amp;"-01"),10),'📋 Транзакції'!$C$5:$C$3623,"&lt;"&amp;EDATE(DATEVALUE(C12&amp;"-01"),11))</f>
        <v>19.99</v>
      </c>
      <c r="AD12" s="37">
        <f>SUMIFS('📋 Транзакції'!$F$5:$F$3623,'📋 Транзакції'!$B$5:$B$3623,A12,'📋 Транзакції'!$C$5:$C$3623,"&gt;="&amp;EDATE(DATEVALUE(C12&amp;"-01"),11),'📋 Транзакції'!$C$5:$C$3623,"&lt;"&amp;EDATE(DATEVALUE(C12&amp;"-01"),12))</f>
        <v>19.99</v>
      </c>
    </row>
    <row r="13">
      <c r="A13" s="33" t="str">
        <f>'📋 Реєстрації'!A13:A614</f>
        <v>U0172</v>
      </c>
      <c r="B13" s="34">
        <f t="array" ref="B13">INDEX('📋 Транзакції'!$C$5:$C$3623,MATCH(A13,'📋 Транзакції'!$B$5:$B$3623,0))</f>
        <v>45300</v>
      </c>
      <c r="C13" s="35" t="str">
        <f t="shared" si="1"/>
        <v>2024-01</v>
      </c>
      <c r="D13" s="36">
        <f>COUNTIF('📋 Транзакції'!$B$5:$B$3623,A13)</f>
        <v>10</v>
      </c>
      <c r="E13" s="36">
        <f>SUMIF('📋 Транзакції'!$B$5:$B$3623,A13,'📋 Транзакції'!$F$5:$F$3623)</f>
        <v>179.91</v>
      </c>
      <c r="F13" s="35">
        <f>INT($A$1-MAXIFS('📋 Транзакції'!$C$5:$C$3623,'📋 Транзакції'!$B$5:$B$3623,A13))</f>
        <v>200</v>
      </c>
      <c r="G13" s="37">
        <f>IF(COUNTIFS('📋 Транзакції'!$B$5:$B$3623,A13,'📋 Транзакції'!$C$5:$C$3623,"&gt;="&amp;EDATE(DATEVALUE(C13&amp;"-01"),0),'📋 Транзакції'!$C$5:$C$3623,"&lt;"&amp;EDATE(DATEVALUE(C13&amp;"-01"),1))&gt;0,1,0)</f>
        <v>1</v>
      </c>
      <c r="H13" s="37">
        <f>IF(COUNTIFS('📋 Транзакції'!$B$5:$B$3623,A13,'📋 Транзакції'!$C$5:$C$3623,"&gt;="&amp;EDATE(DATEVALUE(C13&amp;"-01"),1),'📋 Транзакції'!$C$5:$C$3623,"&lt;"&amp;EDATE(DATEVALUE(C13&amp;"-01"),2))&gt;0,1,0)</f>
        <v>1</v>
      </c>
      <c r="I13" s="37">
        <f>IF(COUNTIFS('📋 Транзакції'!$B$5:$B$3623,A13,'📋 Транзакції'!$C$5:$C$3623,"&gt;="&amp;EDATE(DATEVALUE(C13&amp;"-01"),2),'📋 Транзакції'!$C$5:$C$3623,"&lt;"&amp;EDATE(DATEVALUE(C13&amp;"-01"),3))&gt;0,1,0)</f>
        <v>1</v>
      </c>
      <c r="J13" s="37">
        <f>IF(COUNTIFS('📋 Транзакції'!$B$5:$B$3623,A13,'📋 Транзакції'!$C$5:$C$3623,"&gt;="&amp;EDATE(DATEVALUE(C13&amp;"-01"),3),'📋 Транзакції'!$C$5:$C$3623,"&lt;"&amp;EDATE(DATEVALUE(C13&amp;"-01"),4))&gt;0,1,0)</f>
        <v>1</v>
      </c>
      <c r="K13" s="37">
        <f>IF(COUNTIFS('📋 Транзакції'!$B$5:$B$3623,A13,'📋 Транзакції'!$C$5:$C$3623,"&gt;="&amp;EDATE(DATEVALUE(C13&amp;"-01"),4),'📋 Транзакції'!$C$5:$C$3623,"&lt;"&amp;EDATE(DATEVALUE(C13&amp;"-01"),5))&gt;0,1,0)</f>
        <v>1</v>
      </c>
      <c r="L13" s="37">
        <f>IF(COUNTIFS('📋 Транзакції'!$B$5:$B$3623,A13,'📋 Транзакції'!$C$5:$C$3623,"&gt;="&amp;EDATE(DATEVALUE(C13&amp;"-01"),5),'📋 Транзакції'!$C$5:$C$3623,"&lt;"&amp;EDATE(DATEVALUE(C13&amp;"-01"),6))&gt;0,1,0)</f>
        <v>1</v>
      </c>
      <c r="M13" s="37">
        <f>IF(COUNTIFS('📋 Транзакції'!$B$5:$B$3623,A13,'📋 Транзакції'!$C$5:$C$3623,"&gt;="&amp;EDATE(DATEVALUE(C13&amp;"-01"),6),'📋 Транзакції'!$C$5:$C$3623,"&lt;"&amp;EDATE(DATEVALUE(C13&amp;"-01"),7))&gt;0,1,0)</f>
        <v>1</v>
      </c>
      <c r="N13" s="37">
        <f>IF(COUNTIFS('📋 Транзакції'!$B$5:$B$3623,A13,'📋 Транзакції'!$C$5:$C$3623,"&gt;="&amp;EDATE(DATEVALUE(C13&amp;"-01"),7),'📋 Транзакції'!$C$5:$C$3623,"&lt;"&amp;EDATE(DATEVALUE(C13&amp;"-01"),8))&gt;0,1,0)</f>
        <v>1</v>
      </c>
      <c r="O13" s="37">
        <f>IF(COUNTIFS('📋 Транзакції'!$B$5:$B$3623,A13,'📋 Транзакції'!$C$5:$C$3623,"&gt;="&amp;EDATE(DATEVALUE(C13&amp;"-01"),8),'📋 Транзакції'!$C$5:$C$3623,"&lt;"&amp;EDATE(DATEVALUE(C13&amp;"-01"),9))&gt;0,1,0)</f>
        <v>1</v>
      </c>
      <c r="P13" s="37">
        <f>IF(COUNTIFS('📋 Транзакції'!$B$5:$B$3623,A13,'📋 Транзакції'!$C$5:$C$3623,"&gt;="&amp;EDATE(DATEVALUE(C13&amp;"-01"),9),'📋 Транзакції'!$C$5:$C$3623,"&lt;"&amp;EDATE(DATEVALUE(C13&amp;"-01"),10))&gt;0,1,0)</f>
        <v>0</v>
      </c>
      <c r="Q13" s="37">
        <f>IF(COUNTIFS('📋 Транзакції'!$B$5:$B$3623,A13,'📋 Транзакції'!$C$5:$C$3623,"&gt;="&amp;EDATE(DATEVALUE(C13&amp;"-01"),10),'📋 Транзакції'!$C$5:$C$3623,"&lt;"&amp;EDATE(DATEVALUE(C13&amp;"-01"),11))&gt;0,1,0)</f>
        <v>0</v>
      </c>
      <c r="R13" s="37">
        <f>IF(COUNTIFS('📋 Транзакції'!$B$5:$B$3623,A13,'📋 Транзакції'!$C$5:$C$3623,"&gt;="&amp;EDATE(DATEVALUE(C13&amp;"-01"),11),'📋 Транзакції'!$C$5:$C$3623,"&lt;"&amp;EDATE(DATEVALUE(C13&amp;"-01"),12))&gt;0,1,0)</f>
        <v>0</v>
      </c>
      <c r="S13" s="37">
        <f>SUMIFS('📋 Транзакції'!$F$5:$F$3623,'📋 Транзакції'!$B$5:$B$3623,A13,'📋 Транзакції'!$C$5:$C$3623,"&gt;="&amp;EDATE(DATEVALUE(C13&amp;"-01"),0),'📋 Транзакції'!$C$5:$C$3623,"&lt;"&amp;EDATE(DATEVALUE(C13&amp;"-01"),1))</f>
        <v>19.99</v>
      </c>
      <c r="T13" s="37">
        <f>SUMIFS('📋 Транзакції'!$F$5:$F$3623,'📋 Транзакції'!$B$5:$B$3623,A13,'📋 Транзакції'!$C$5:$C$3623,"&gt;="&amp;EDATE(DATEVALUE(C13&amp;"-01"),1),'📋 Транзакції'!$C$5:$C$3623,"&lt;"&amp;EDATE(DATEVALUE(C13&amp;"-01"),2))</f>
        <v>19.99</v>
      </c>
      <c r="U13" s="37">
        <f>SUMIFS('📋 Транзакції'!$F$5:$F$3623,'📋 Транзакції'!$B$5:$B$3623,A13,'📋 Транзакції'!$C$5:$C$3623,"&gt;="&amp;EDATE(DATEVALUE(C13&amp;"-01"),2),'📋 Транзакції'!$C$5:$C$3623,"&lt;"&amp;EDATE(DATEVALUE(C13&amp;"-01"),3))</f>
        <v>19.99</v>
      </c>
      <c r="V13" s="37">
        <f>SUMIFS('📋 Транзакції'!$F$5:$F$3623,'📋 Транзакції'!$B$5:$B$3623,A13,'📋 Транзакції'!$C$5:$C$3623,"&gt;="&amp;EDATE(DATEVALUE(C13&amp;"-01"),3),'📋 Транзакції'!$C$5:$C$3623,"&lt;"&amp;EDATE(DATEVALUE(C13&amp;"-01"),4))</f>
        <v>19.99</v>
      </c>
      <c r="W13" s="37">
        <f>SUMIFS('📋 Транзакції'!$F$5:$F$3623,'📋 Транзакції'!$B$5:$B$3623,A13,'📋 Транзакції'!$C$5:$C$3623,"&gt;="&amp;EDATE(DATEVALUE(C13&amp;"-01"),4),'📋 Транзакції'!$C$5:$C$3623,"&lt;"&amp;EDATE(DATEVALUE(C13&amp;"-01"),5))</f>
        <v>19.99</v>
      </c>
      <c r="X13" s="37">
        <f>SUMIFS('📋 Транзакції'!$F$5:$F$3623,'📋 Транзакції'!$B$5:$B$3623,A13,'📋 Транзакції'!$C$5:$C$3623,"&gt;="&amp;EDATE(DATEVALUE(C13&amp;"-01"),5),'📋 Транзакції'!$C$5:$C$3623,"&lt;"&amp;EDATE(DATEVALUE(C13&amp;"-01"),6))</f>
        <v>19.99</v>
      </c>
      <c r="Y13" s="37">
        <f>SUMIFS('📋 Транзакції'!$F$5:$F$3623,'📋 Транзакції'!$B$5:$B$3623,A13,'📋 Транзакції'!$C$5:$C$3623,"&gt;="&amp;EDATE(DATEVALUE(C13&amp;"-01"),6),'📋 Транзакції'!$C$5:$C$3623,"&lt;"&amp;EDATE(DATEVALUE(C13&amp;"-01"),7))</f>
        <v>19.99</v>
      </c>
      <c r="Z13" s="37">
        <f>SUMIFS('📋 Транзакції'!$F$5:$F$3623,'📋 Транзакції'!$B$5:$B$3623,A13,'📋 Транзакції'!$C$5:$C$3623,"&gt;="&amp;EDATE(DATEVALUE(C13&amp;"-01"),7),'📋 Транзакції'!$C$5:$C$3623,"&lt;"&amp;EDATE(DATEVALUE(C13&amp;"-01"),8))</f>
        <v>19.99</v>
      </c>
      <c r="AA13" s="37">
        <f>SUMIFS('📋 Транзакції'!$F$5:$F$3623,'📋 Транзакції'!$B$5:$B$3623,A13,'📋 Транзакції'!$C$5:$C$3623,"&gt;="&amp;EDATE(DATEVALUE(C13&amp;"-01"),8),'📋 Транзакції'!$C$5:$C$3623,"&lt;"&amp;EDATE(DATEVALUE(C13&amp;"-01"),9))</f>
        <v>19.99</v>
      </c>
      <c r="AB13" s="37">
        <f>SUMIFS('📋 Транзакції'!$F$5:$F$3623,'📋 Транзакції'!$B$5:$B$3623,A13,'📋 Транзакції'!$C$5:$C$3623,"&gt;="&amp;EDATE(DATEVALUE(C13&amp;"-01"),9),'📋 Транзакції'!$C$5:$C$3623,"&lt;"&amp;EDATE(DATEVALUE(C13&amp;"-01"),10))</f>
        <v>0</v>
      </c>
      <c r="AC13" s="37">
        <f>SUMIFS('📋 Транзакції'!$F$5:$F$3623,'📋 Транзакції'!$B$5:$B$3623,A13,'📋 Транзакції'!$C$5:$C$3623,"&gt;="&amp;EDATE(DATEVALUE(C13&amp;"-01"),10),'📋 Транзакції'!$C$5:$C$3623,"&lt;"&amp;EDATE(DATEVALUE(C13&amp;"-01"),11))</f>
        <v>0</v>
      </c>
      <c r="AD13" s="37">
        <f>SUMIFS('📋 Транзакції'!$F$5:$F$3623,'📋 Транзакції'!$B$5:$B$3623,A13,'📋 Транзакції'!$C$5:$C$3623,"&gt;="&amp;EDATE(DATEVALUE(C13&amp;"-01"),11),'📋 Транзакції'!$C$5:$C$3623,"&lt;"&amp;EDATE(DATEVALUE(C13&amp;"-01"),12))</f>
        <v>0</v>
      </c>
    </row>
    <row r="14">
      <c r="A14" s="33" t="str">
        <f>'📋 Реєстрації'!A14:A615</f>
        <v>U0641</v>
      </c>
      <c r="B14" s="34">
        <f t="array" ref="B14">INDEX('📋 Транзакції'!$C$5:$C$3623,MATCH(A14,'📋 Транзакції'!$B$5:$B$3623,0))</f>
        <v>45300</v>
      </c>
      <c r="C14" s="35" t="str">
        <f t="shared" si="1"/>
        <v>2024-01</v>
      </c>
      <c r="D14" s="36">
        <f>COUNTIF('📋 Транзакції'!$B$5:$B$3623,A14)</f>
        <v>16</v>
      </c>
      <c r="E14" s="36">
        <f>SUMIF('📋 Транзакції'!$B$5:$B$3623,A14,'📋 Транзакції'!$F$5:$F$3623)</f>
        <v>299.85</v>
      </c>
      <c r="F14" s="35">
        <f>INT($A$1-MAXIFS('📋 Транзакції'!$C$5:$C$3623,'📋 Транзакції'!$B$5:$B$3623,A14))</f>
        <v>20</v>
      </c>
      <c r="G14" s="37">
        <f>IF(COUNTIFS('📋 Транзакції'!$B$5:$B$3623,A14,'📋 Транзакції'!$C$5:$C$3623,"&gt;="&amp;EDATE(DATEVALUE(C14&amp;"-01"),0),'📋 Транзакції'!$C$5:$C$3623,"&lt;"&amp;EDATE(DATEVALUE(C14&amp;"-01"),1))&gt;0,1,0)</f>
        <v>1</v>
      </c>
      <c r="H14" s="37">
        <f>IF(COUNTIFS('📋 Транзакції'!$B$5:$B$3623,A14,'📋 Транзакції'!$C$5:$C$3623,"&gt;="&amp;EDATE(DATEVALUE(C14&amp;"-01"),1),'📋 Транзакції'!$C$5:$C$3623,"&lt;"&amp;EDATE(DATEVALUE(C14&amp;"-01"),2))&gt;0,1,0)</f>
        <v>1</v>
      </c>
      <c r="I14" s="37">
        <f>IF(COUNTIFS('📋 Транзакції'!$B$5:$B$3623,A14,'📋 Транзакції'!$C$5:$C$3623,"&gt;="&amp;EDATE(DATEVALUE(C14&amp;"-01"),2),'📋 Транзакції'!$C$5:$C$3623,"&lt;"&amp;EDATE(DATEVALUE(C14&amp;"-01"),3))&gt;0,1,0)</f>
        <v>1</v>
      </c>
      <c r="J14" s="37">
        <f>IF(COUNTIFS('📋 Транзакції'!$B$5:$B$3623,A14,'📋 Транзакції'!$C$5:$C$3623,"&gt;="&amp;EDATE(DATEVALUE(C14&amp;"-01"),3),'📋 Транзакції'!$C$5:$C$3623,"&lt;"&amp;EDATE(DATEVALUE(C14&amp;"-01"),4))&gt;0,1,0)</f>
        <v>1</v>
      </c>
      <c r="K14" s="37">
        <f>IF(COUNTIFS('📋 Транзакції'!$B$5:$B$3623,A14,'📋 Транзакції'!$C$5:$C$3623,"&gt;="&amp;EDATE(DATEVALUE(C14&amp;"-01"),4),'📋 Транзакції'!$C$5:$C$3623,"&lt;"&amp;EDATE(DATEVALUE(C14&amp;"-01"),5))&gt;0,1,0)</f>
        <v>1</v>
      </c>
      <c r="L14" s="37">
        <f>IF(COUNTIFS('📋 Транзакції'!$B$5:$B$3623,A14,'📋 Транзакції'!$C$5:$C$3623,"&gt;="&amp;EDATE(DATEVALUE(C14&amp;"-01"),5),'📋 Транзакції'!$C$5:$C$3623,"&lt;"&amp;EDATE(DATEVALUE(C14&amp;"-01"),6))&gt;0,1,0)</f>
        <v>1</v>
      </c>
      <c r="M14" s="37">
        <f>IF(COUNTIFS('📋 Транзакції'!$B$5:$B$3623,A14,'📋 Транзакції'!$C$5:$C$3623,"&gt;="&amp;EDATE(DATEVALUE(C14&amp;"-01"),6),'📋 Транзакції'!$C$5:$C$3623,"&lt;"&amp;EDATE(DATEVALUE(C14&amp;"-01"),7))&gt;0,1,0)</f>
        <v>1</v>
      </c>
      <c r="N14" s="37">
        <f>IF(COUNTIFS('📋 Транзакції'!$B$5:$B$3623,A14,'📋 Транзакції'!$C$5:$C$3623,"&gt;="&amp;EDATE(DATEVALUE(C14&amp;"-01"),7),'📋 Транзакції'!$C$5:$C$3623,"&lt;"&amp;EDATE(DATEVALUE(C14&amp;"-01"),8))&gt;0,1,0)</f>
        <v>1</v>
      </c>
      <c r="O14" s="37">
        <f>IF(COUNTIFS('📋 Транзакції'!$B$5:$B$3623,A14,'📋 Транзакції'!$C$5:$C$3623,"&gt;="&amp;EDATE(DATEVALUE(C14&amp;"-01"),8),'📋 Транзакції'!$C$5:$C$3623,"&lt;"&amp;EDATE(DATEVALUE(C14&amp;"-01"),9))&gt;0,1,0)</f>
        <v>1</v>
      </c>
      <c r="P14" s="37">
        <f>IF(COUNTIFS('📋 Транзакції'!$B$5:$B$3623,A14,'📋 Транзакції'!$C$5:$C$3623,"&gt;="&amp;EDATE(DATEVALUE(C14&amp;"-01"),9),'📋 Транзакції'!$C$5:$C$3623,"&lt;"&amp;EDATE(DATEVALUE(C14&amp;"-01"),10))&gt;0,1,0)</f>
        <v>1</v>
      </c>
      <c r="Q14" s="37">
        <f>IF(COUNTIFS('📋 Транзакції'!$B$5:$B$3623,A14,'📋 Транзакції'!$C$5:$C$3623,"&gt;="&amp;EDATE(DATEVALUE(C14&amp;"-01"),10),'📋 Транзакції'!$C$5:$C$3623,"&lt;"&amp;EDATE(DATEVALUE(C14&amp;"-01"),11))&gt;0,1,0)</f>
        <v>1</v>
      </c>
      <c r="R14" s="37">
        <f>IF(COUNTIFS('📋 Транзакції'!$B$5:$B$3623,A14,'📋 Транзакції'!$C$5:$C$3623,"&gt;="&amp;EDATE(DATEVALUE(C14&amp;"-01"),11),'📋 Транзакції'!$C$5:$C$3623,"&lt;"&amp;EDATE(DATEVALUE(C14&amp;"-01"),12))&gt;0,1,0)</f>
        <v>1</v>
      </c>
      <c r="S14" s="37">
        <f>SUMIFS('📋 Транзакції'!$F$5:$F$3623,'📋 Транзакції'!$B$5:$B$3623,A14,'📋 Транзакції'!$C$5:$C$3623,"&gt;="&amp;EDATE(DATEVALUE(C14&amp;"-01"),0),'📋 Транзакції'!$C$5:$C$3623,"&lt;"&amp;EDATE(DATEVALUE(C14&amp;"-01"),1))</f>
        <v>19.99</v>
      </c>
      <c r="T14" s="37">
        <f>SUMIFS('📋 Транзакції'!$F$5:$F$3623,'📋 Транзакції'!$B$5:$B$3623,A14,'📋 Транзакції'!$C$5:$C$3623,"&gt;="&amp;EDATE(DATEVALUE(C14&amp;"-01"),1),'📋 Транзакції'!$C$5:$C$3623,"&lt;"&amp;EDATE(DATEVALUE(C14&amp;"-01"),2))</f>
        <v>19.99</v>
      </c>
      <c r="U14" s="37">
        <f>SUMIFS('📋 Транзакції'!$F$5:$F$3623,'📋 Транзакції'!$B$5:$B$3623,A14,'📋 Транзакції'!$C$5:$C$3623,"&gt;="&amp;EDATE(DATEVALUE(C14&amp;"-01"),2),'📋 Транзакції'!$C$5:$C$3623,"&lt;"&amp;EDATE(DATEVALUE(C14&amp;"-01"),3))</f>
        <v>19.99</v>
      </c>
      <c r="V14" s="37">
        <f>SUMIFS('📋 Транзакції'!$F$5:$F$3623,'📋 Транзакції'!$B$5:$B$3623,A14,'📋 Транзакції'!$C$5:$C$3623,"&gt;="&amp;EDATE(DATEVALUE(C14&amp;"-01"),3),'📋 Транзакції'!$C$5:$C$3623,"&lt;"&amp;EDATE(DATEVALUE(C14&amp;"-01"),4))</f>
        <v>19.99</v>
      </c>
      <c r="W14" s="37">
        <f>SUMIFS('📋 Транзакції'!$F$5:$F$3623,'📋 Транзакції'!$B$5:$B$3623,A14,'📋 Транзакції'!$C$5:$C$3623,"&gt;="&amp;EDATE(DATEVALUE(C14&amp;"-01"),4),'📋 Транзакції'!$C$5:$C$3623,"&lt;"&amp;EDATE(DATEVALUE(C14&amp;"-01"),5))</f>
        <v>19.99</v>
      </c>
      <c r="X14" s="37">
        <f>SUMIFS('📋 Транзакції'!$F$5:$F$3623,'📋 Транзакції'!$B$5:$B$3623,A14,'📋 Транзакції'!$C$5:$C$3623,"&gt;="&amp;EDATE(DATEVALUE(C14&amp;"-01"),5),'📋 Транзакції'!$C$5:$C$3623,"&lt;"&amp;EDATE(DATEVALUE(C14&amp;"-01"),6))</f>
        <v>19.99</v>
      </c>
      <c r="Y14" s="37">
        <f>SUMIFS('📋 Транзакції'!$F$5:$F$3623,'📋 Транзакції'!$B$5:$B$3623,A14,'📋 Транзакції'!$C$5:$C$3623,"&gt;="&amp;EDATE(DATEVALUE(C14&amp;"-01"),6),'📋 Транзакції'!$C$5:$C$3623,"&lt;"&amp;EDATE(DATEVALUE(C14&amp;"-01"),7))</f>
        <v>19.99</v>
      </c>
      <c r="Z14" s="37">
        <f>SUMIFS('📋 Транзакції'!$F$5:$F$3623,'📋 Транзакції'!$B$5:$B$3623,A14,'📋 Транзакції'!$C$5:$C$3623,"&gt;="&amp;EDATE(DATEVALUE(C14&amp;"-01"),7),'📋 Транзакції'!$C$5:$C$3623,"&lt;"&amp;EDATE(DATEVALUE(C14&amp;"-01"),8))</f>
        <v>19.99</v>
      </c>
      <c r="AA14" s="37">
        <f>SUMIFS('📋 Транзакції'!$F$5:$F$3623,'📋 Транзакції'!$B$5:$B$3623,A14,'📋 Транзакції'!$C$5:$C$3623,"&gt;="&amp;EDATE(DATEVALUE(C14&amp;"-01"),8),'📋 Транзакції'!$C$5:$C$3623,"&lt;"&amp;EDATE(DATEVALUE(C14&amp;"-01"),9))</f>
        <v>19.99</v>
      </c>
      <c r="AB14" s="37">
        <f>SUMIFS('📋 Транзакції'!$F$5:$F$3623,'📋 Транзакції'!$B$5:$B$3623,A14,'📋 Транзакції'!$C$5:$C$3623,"&gt;="&amp;EDATE(DATEVALUE(C14&amp;"-01"),9),'📋 Транзакції'!$C$5:$C$3623,"&lt;"&amp;EDATE(DATEVALUE(C14&amp;"-01"),10))</f>
        <v>19.99</v>
      </c>
      <c r="AC14" s="37">
        <f>SUMIFS('📋 Транзакції'!$F$5:$F$3623,'📋 Транзакції'!$B$5:$B$3623,A14,'📋 Транзакції'!$C$5:$C$3623,"&gt;="&amp;EDATE(DATEVALUE(C14&amp;"-01"),10),'📋 Транзакції'!$C$5:$C$3623,"&lt;"&amp;EDATE(DATEVALUE(C14&amp;"-01"),11))</f>
        <v>19.99</v>
      </c>
      <c r="AD14" s="37">
        <f>SUMIFS('📋 Транзакції'!$F$5:$F$3623,'📋 Транзакції'!$B$5:$B$3623,A14,'📋 Транзакції'!$C$5:$C$3623,"&gt;="&amp;EDATE(DATEVALUE(C14&amp;"-01"),11),'📋 Транзакції'!$C$5:$C$3623,"&lt;"&amp;EDATE(DATEVALUE(C14&amp;"-01"),12))</f>
        <v>19.99</v>
      </c>
    </row>
    <row r="15">
      <c r="A15" s="33" t="str">
        <f>'📋 Реєстрації'!A15:A616</f>
        <v>U0879</v>
      </c>
      <c r="B15" s="34">
        <f t="array" ref="B15">INDEX('📋 Транзакції'!$C$5:$C$3623,MATCH(A15,'📋 Транзакції'!$B$5:$B$3623,0))</f>
        <v>45300</v>
      </c>
      <c r="C15" s="35" t="str">
        <f t="shared" si="1"/>
        <v>2024-01</v>
      </c>
      <c r="D15" s="36">
        <f>COUNTIF('📋 Транзакції'!$B$5:$B$3623,A15)</f>
        <v>16</v>
      </c>
      <c r="E15" s="36">
        <f>SUMIF('📋 Транзакції'!$B$5:$B$3623,A15,'📋 Транзакції'!$F$5:$F$3623)</f>
        <v>299.85</v>
      </c>
      <c r="F15" s="35">
        <f>INT($A$1-MAXIFS('📋 Транзакції'!$C$5:$C$3623,'📋 Транзакції'!$B$5:$B$3623,A15))</f>
        <v>20</v>
      </c>
      <c r="G15" s="37">
        <f>IF(COUNTIFS('📋 Транзакції'!$B$5:$B$3623,A15,'📋 Транзакції'!$C$5:$C$3623,"&gt;="&amp;EDATE(DATEVALUE(C15&amp;"-01"),0),'📋 Транзакції'!$C$5:$C$3623,"&lt;"&amp;EDATE(DATEVALUE(C15&amp;"-01"),1))&gt;0,1,0)</f>
        <v>1</v>
      </c>
      <c r="H15" s="37">
        <f>IF(COUNTIFS('📋 Транзакції'!$B$5:$B$3623,A15,'📋 Транзакції'!$C$5:$C$3623,"&gt;="&amp;EDATE(DATEVALUE(C15&amp;"-01"),1),'📋 Транзакції'!$C$5:$C$3623,"&lt;"&amp;EDATE(DATEVALUE(C15&amp;"-01"),2))&gt;0,1,0)</f>
        <v>1</v>
      </c>
      <c r="I15" s="37">
        <f>IF(COUNTIFS('📋 Транзакції'!$B$5:$B$3623,A15,'📋 Транзакції'!$C$5:$C$3623,"&gt;="&amp;EDATE(DATEVALUE(C15&amp;"-01"),2),'📋 Транзакції'!$C$5:$C$3623,"&lt;"&amp;EDATE(DATEVALUE(C15&amp;"-01"),3))&gt;0,1,0)</f>
        <v>1</v>
      </c>
      <c r="J15" s="37">
        <f>IF(COUNTIFS('📋 Транзакції'!$B$5:$B$3623,A15,'📋 Транзакції'!$C$5:$C$3623,"&gt;="&amp;EDATE(DATEVALUE(C15&amp;"-01"),3),'📋 Транзакції'!$C$5:$C$3623,"&lt;"&amp;EDATE(DATEVALUE(C15&amp;"-01"),4))&gt;0,1,0)</f>
        <v>1</v>
      </c>
      <c r="K15" s="37">
        <f>IF(COUNTIFS('📋 Транзакції'!$B$5:$B$3623,A15,'📋 Транзакції'!$C$5:$C$3623,"&gt;="&amp;EDATE(DATEVALUE(C15&amp;"-01"),4),'📋 Транзакції'!$C$5:$C$3623,"&lt;"&amp;EDATE(DATEVALUE(C15&amp;"-01"),5))&gt;0,1,0)</f>
        <v>1</v>
      </c>
      <c r="L15" s="37">
        <f>IF(COUNTIFS('📋 Транзакції'!$B$5:$B$3623,A15,'📋 Транзакції'!$C$5:$C$3623,"&gt;="&amp;EDATE(DATEVALUE(C15&amp;"-01"),5),'📋 Транзакції'!$C$5:$C$3623,"&lt;"&amp;EDATE(DATEVALUE(C15&amp;"-01"),6))&gt;0,1,0)</f>
        <v>1</v>
      </c>
      <c r="M15" s="37">
        <f>IF(COUNTIFS('📋 Транзакції'!$B$5:$B$3623,A15,'📋 Транзакції'!$C$5:$C$3623,"&gt;="&amp;EDATE(DATEVALUE(C15&amp;"-01"),6),'📋 Транзакції'!$C$5:$C$3623,"&lt;"&amp;EDATE(DATEVALUE(C15&amp;"-01"),7))&gt;0,1,0)</f>
        <v>1</v>
      </c>
      <c r="N15" s="37">
        <f>IF(COUNTIFS('📋 Транзакції'!$B$5:$B$3623,A15,'📋 Транзакції'!$C$5:$C$3623,"&gt;="&amp;EDATE(DATEVALUE(C15&amp;"-01"),7),'📋 Транзакції'!$C$5:$C$3623,"&lt;"&amp;EDATE(DATEVALUE(C15&amp;"-01"),8))&gt;0,1,0)</f>
        <v>1</v>
      </c>
      <c r="O15" s="37">
        <f>IF(COUNTIFS('📋 Транзакції'!$B$5:$B$3623,A15,'📋 Транзакції'!$C$5:$C$3623,"&gt;="&amp;EDATE(DATEVALUE(C15&amp;"-01"),8),'📋 Транзакції'!$C$5:$C$3623,"&lt;"&amp;EDATE(DATEVALUE(C15&amp;"-01"),9))&gt;0,1,0)</f>
        <v>1</v>
      </c>
      <c r="P15" s="37">
        <f>IF(COUNTIFS('📋 Транзакції'!$B$5:$B$3623,A15,'📋 Транзакції'!$C$5:$C$3623,"&gt;="&amp;EDATE(DATEVALUE(C15&amp;"-01"),9),'📋 Транзакції'!$C$5:$C$3623,"&lt;"&amp;EDATE(DATEVALUE(C15&amp;"-01"),10))&gt;0,1,0)</f>
        <v>1</v>
      </c>
      <c r="Q15" s="37">
        <f>IF(COUNTIFS('📋 Транзакції'!$B$5:$B$3623,A15,'📋 Транзакції'!$C$5:$C$3623,"&gt;="&amp;EDATE(DATEVALUE(C15&amp;"-01"),10),'📋 Транзакції'!$C$5:$C$3623,"&lt;"&amp;EDATE(DATEVALUE(C15&amp;"-01"),11))&gt;0,1,0)</f>
        <v>1</v>
      </c>
      <c r="R15" s="37">
        <f>IF(COUNTIFS('📋 Транзакції'!$B$5:$B$3623,A15,'📋 Транзакції'!$C$5:$C$3623,"&gt;="&amp;EDATE(DATEVALUE(C15&amp;"-01"),11),'📋 Транзакції'!$C$5:$C$3623,"&lt;"&amp;EDATE(DATEVALUE(C15&amp;"-01"),12))&gt;0,1,0)</f>
        <v>1</v>
      </c>
      <c r="S15" s="37">
        <f>SUMIFS('📋 Транзакції'!$F$5:$F$3623,'📋 Транзакції'!$B$5:$B$3623,A15,'📋 Транзакції'!$C$5:$C$3623,"&gt;="&amp;EDATE(DATEVALUE(C15&amp;"-01"),0),'📋 Транзакції'!$C$5:$C$3623,"&lt;"&amp;EDATE(DATEVALUE(C15&amp;"-01"),1))</f>
        <v>19.99</v>
      </c>
      <c r="T15" s="37">
        <f>SUMIFS('📋 Транзакції'!$F$5:$F$3623,'📋 Транзакції'!$B$5:$B$3623,A15,'📋 Транзакції'!$C$5:$C$3623,"&gt;="&amp;EDATE(DATEVALUE(C15&amp;"-01"),1),'📋 Транзакції'!$C$5:$C$3623,"&lt;"&amp;EDATE(DATEVALUE(C15&amp;"-01"),2))</f>
        <v>19.99</v>
      </c>
      <c r="U15" s="37">
        <f>SUMIFS('📋 Транзакції'!$F$5:$F$3623,'📋 Транзакції'!$B$5:$B$3623,A15,'📋 Транзакції'!$C$5:$C$3623,"&gt;="&amp;EDATE(DATEVALUE(C15&amp;"-01"),2),'📋 Транзакції'!$C$5:$C$3623,"&lt;"&amp;EDATE(DATEVALUE(C15&amp;"-01"),3))</f>
        <v>19.99</v>
      </c>
      <c r="V15" s="37">
        <f>SUMIFS('📋 Транзакції'!$F$5:$F$3623,'📋 Транзакції'!$B$5:$B$3623,A15,'📋 Транзакції'!$C$5:$C$3623,"&gt;="&amp;EDATE(DATEVALUE(C15&amp;"-01"),3),'📋 Транзакції'!$C$5:$C$3623,"&lt;"&amp;EDATE(DATEVALUE(C15&amp;"-01"),4))</f>
        <v>19.99</v>
      </c>
      <c r="W15" s="37">
        <f>SUMIFS('📋 Транзакції'!$F$5:$F$3623,'📋 Транзакції'!$B$5:$B$3623,A15,'📋 Транзакції'!$C$5:$C$3623,"&gt;="&amp;EDATE(DATEVALUE(C15&amp;"-01"),4),'📋 Транзакції'!$C$5:$C$3623,"&lt;"&amp;EDATE(DATEVALUE(C15&amp;"-01"),5))</f>
        <v>19.99</v>
      </c>
      <c r="X15" s="37">
        <f>SUMIFS('📋 Транзакції'!$F$5:$F$3623,'📋 Транзакції'!$B$5:$B$3623,A15,'📋 Транзакції'!$C$5:$C$3623,"&gt;="&amp;EDATE(DATEVALUE(C15&amp;"-01"),5),'📋 Транзакції'!$C$5:$C$3623,"&lt;"&amp;EDATE(DATEVALUE(C15&amp;"-01"),6))</f>
        <v>19.99</v>
      </c>
      <c r="Y15" s="37">
        <f>SUMIFS('📋 Транзакції'!$F$5:$F$3623,'📋 Транзакції'!$B$5:$B$3623,A15,'📋 Транзакції'!$C$5:$C$3623,"&gt;="&amp;EDATE(DATEVALUE(C15&amp;"-01"),6),'📋 Транзакції'!$C$5:$C$3623,"&lt;"&amp;EDATE(DATEVALUE(C15&amp;"-01"),7))</f>
        <v>19.99</v>
      </c>
      <c r="Z15" s="37">
        <f>SUMIFS('📋 Транзакції'!$F$5:$F$3623,'📋 Транзакції'!$B$5:$B$3623,A15,'📋 Транзакції'!$C$5:$C$3623,"&gt;="&amp;EDATE(DATEVALUE(C15&amp;"-01"),7),'📋 Транзакції'!$C$5:$C$3623,"&lt;"&amp;EDATE(DATEVALUE(C15&amp;"-01"),8))</f>
        <v>19.99</v>
      </c>
      <c r="AA15" s="37">
        <f>SUMIFS('📋 Транзакції'!$F$5:$F$3623,'📋 Транзакції'!$B$5:$B$3623,A15,'📋 Транзакції'!$C$5:$C$3623,"&gt;="&amp;EDATE(DATEVALUE(C15&amp;"-01"),8),'📋 Транзакції'!$C$5:$C$3623,"&lt;"&amp;EDATE(DATEVALUE(C15&amp;"-01"),9))</f>
        <v>19.99</v>
      </c>
      <c r="AB15" s="37">
        <f>SUMIFS('📋 Транзакції'!$F$5:$F$3623,'📋 Транзакції'!$B$5:$B$3623,A15,'📋 Транзакції'!$C$5:$C$3623,"&gt;="&amp;EDATE(DATEVALUE(C15&amp;"-01"),9),'📋 Транзакції'!$C$5:$C$3623,"&lt;"&amp;EDATE(DATEVALUE(C15&amp;"-01"),10))</f>
        <v>19.99</v>
      </c>
      <c r="AC15" s="37">
        <f>SUMIFS('📋 Транзакції'!$F$5:$F$3623,'📋 Транзакції'!$B$5:$B$3623,A15,'📋 Транзакції'!$C$5:$C$3623,"&gt;="&amp;EDATE(DATEVALUE(C15&amp;"-01"),10),'📋 Транзакції'!$C$5:$C$3623,"&lt;"&amp;EDATE(DATEVALUE(C15&amp;"-01"),11))</f>
        <v>19.99</v>
      </c>
      <c r="AD15" s="37">
        <f>SUMIFS('📋 Транзакції'!$F$5:$F$3623,'📋 Транзакції'!$B$5:$B$3623,A15,'📋 Транзакції'!$C$5:$C$3623,"&gt;="&amp;EDATE(DATEVALUE(C15&amp;"-01"),11),'📋 Транзакції'!$C$5:$C$3623,"&lt;"&amp;EDATE(DATEVALUE(C15&amp;"-01"),12))</f>
        <v>19.99</v>
      </c>
    </row>
    <row r="16">
      <c r="A16" s="33" t="str">
        <f>'📋 Реєстрації'!A16:A617</f>
        <v>U0238</v>
      </c>
      <c r="B16" s="34">
        <f t="array" ref="B16">INDEX('📋 Транзакції'!$C$5:$C$3623,MATCH(A16,'📋 Транзакції'!$B$5:$B$3623,0))</f>
        <v>45304</v>
      </c>
      <c r="C16" s="35" t="str">
        <f t="shared" si="1"/>
        <v>2024-01</v>
      </c>
      <c r="D16" s="36">
        <f>COUNTIF('📋 Транзакції'!$B$5:$B$3623,A16)</f>
        <v>16</v>
      </c>
      <c r="E16" s="36">
        <f>SUMIF('📋 Транзакції'!$B$5:$B$3623,A16,'📋 Транзакції'!$F$5:$F$3623)</f>
        <v>299.85</v>
      </c>
      <c r="F16" s="35">
        <f>INT($A$1-MAXIFS('📋 Транзакції'!$C$5:$C$3623,'📋 Транзакції'!$B$5:$B$3623,A16))</f>
        <v>16</v>
      </c>
      <c r="G16" s="37">
        <f>IF(COUNTIFS('📋 Транзакції'!$B$5:$B$3623,A16,'📋 Транзакції'!$C$5:$C$3623,"&gt;="&amp;EDATE(DATEVALUE(C16&amp;"-01"),0),'📋 Транзакції'!$C$5:$C$3623,"&lt;"&amp;EDATE(DATEVALUE(C16&amp;"-01"),1))&gt;0,1,0)</f>
        <v>1</v>
      </c>
      <c r="H16" s="37">
        <f>IF(COUNTIFS('📋 Транзакції'!$B$5:$B$3623,A16,'📋 Транзакції'!$C$5:$C$3623,"&gt;="&amp;EDATE(DATEVALUE(C16&amp;"-01"),1),'📋 Транзакції'!$C$5:$C$3623,"&lt;"&amp;EDATE(DATEVALUE(C16&amp;"-01"),2))&gt;0,1,0)</f>
        <v>1</v>
      </c>
      <c r="I16" s="37">
        <f>IF(COUNTIFS('📋 Транзакції'!$B$5:$B$3623,A16,'📋 Транзакції'!$C$5:$C$3623,"&gt;="&amp;EDATE(DATEVALUE(C16&amp;"-01"),2),'📋 Транзакції'!$C$5:$C$3623,"&lt;"&amp;EDATE(DATEVALUE(C16&amp;"-01"),3))&gt;0,1,0)</f>
        <v>1</v>
      </c>
      <c r="J16" s="37">
        <f>IF(COUNTIFS('📋 Транзакції'!$B$5:$B$3623,A16,'📋 Транзакції'!$C$5:$C$3623,"&gt;="&amp;EDATE(DATEVALUE(C16&amp;"-01"),3),'📋 Транзакції'!$C$5:$C$3623,"&lt;"&amp;EDATE(DATEVALUE(C16&amp;"-01"),4))&gt;0,1,0)</f>
        <v>1</v>
      </c>
      <c r="K16" s="37">
        <f>IF(COUNTIFS('📋 Транзакції'!$B$5:$B$3623,A16,'📋 Транзакції'!$C$5:$C$3623,"&gt;="&amp;EDATE(DATEVALUE(C16&amp;"-01"),4),'📋 Транзакції'!$C$5:$C$3623,"&lt;"&amp;EDATE(DATEVALUE(C16&amp;"-01"),5))&gt;0,1,0)</f>
        <v>1</v>
      </c>
      <c r="L16" s="37">
        <f>IF(COUNTIFS('📋 Транзакції'!$B$5:$B$3623,A16,'📋 Транзакції'!$C$5:$C$3623,"&gt;="&amp;EDATE(DATEVALUE(C16&amp;"-01"),5),'📋 Транзакції'!$C$5:$C$3623,"&lt;"&amp;EDATE(DATEVALUE(C16&amp;"-01"),6))&gt;0,1,0)</f>
        <v>1</v>
      </c>
      <c r="M16" s="37">
        <f>IF(COUNTIFS('📋 Транзакції'!$B$5:$B$3623,A16,'📋 Транзакції'!$C$5:$C$3623,"&gt;="&amp;EDATE(DATEVALUE(C16&amp;"-01"),6),'📋 Транзакції'!$C$5:$C$3623,"&lt;"&amp;EDATE(DATEVALUE(C16&amp;"-01"),7))&gt;0,1,0)</f>
        <v>1</v>
      </c>
      <c r="N16" s="37">
        <f>IF(COUNTIFS('📋 Транзакції'!$B$5:$B$3623,A16,'📋 Транзакції'!$C$5:$C$3623,"&gt;="&amp;EDATE(DATEVALUE(C16&amp;"-01"),7),'📋 Транзакції'!$C$5:$C$3623,"&lt;"&amp;EDATE(DATEVALUE(C16&amp;"-01"),8))&gt;0,1,0)</f>
        <v>1</v>
      </c>
      <c r="O16" s="37">
        <f>IF(COUNTIFS('📋 Транзакції'!$B$5:$B$3623,A16,'📋 Транзакції'!$C$5:$C$3623,"&gt;="&amp;EDATE(DATEVALUE(C16&amp;"-01"),8),'📋 Транзакції'!$C$5:$C$3623,"&lt;"&amp;EDATE(DATEVALUE(C16&amp;"-01"),9))&gt;0,1,0)</f>
        <v>1</v>
      </c>
      <c r="P16" s="37">
        <f>IF(COUNTIFS('📋 Транзакції'!$B$5:$B$3623,A16,'📋 Транзакції'!$C$5:$C$3623,"&gt;="&amp;EDATE(DATEVALUE(C16&amp;"-01"),9),'📋 Транзакції'!$C$5:$C$3623,"&lt;"&amp;EDATE(DATEVALUE(C16&amp;"-01"),10))&gt;0,1,0)</f>
        <v>1</v>
      </c>
      <c r="Q16" s="37">
        <f>IF(COUNTIFS('📋 Транзакції'!$B$5:$B$3623,A16,'📋 Транзакції'!$C$5:$C$3623,"&gt;="&amp;EDATE(DATEVALUE(C16&amp;"-01"),10),'📋 Транзакції'!$C$5:$C$3623,"&lt;"&amp;EDATE(DATEVALUE(C16&amp;"-01"),11))&gt;0,1,0)</f>
        <v>1</v>
      </c>
      <c r="R16" s="37">
        <f>IF(COUNTIFS('📋 Транзакції'!$B$5:$B$3623,A16,'📋 Транзакції'!$C$5:$C$3623,"&gt;="&amp;EDATE(DATEVALUE(C16&amp;"-01"),11),'📋 Транзакції'!$C$5:$C$3623,"&lt;"&amp;EDATE(DATEVALUE(C16&amp;"-01"),12))&gt;0,1,0)</f>
        <v>1</v>
      </c>
      <c r="S16" s="37">
        <f>SUMIFS('📋 Транзакції'!$F$5:$F$3623,'📋 Транзакції'!$B$5:$B$3623,A16,'📋 Транзакції'!$C$5:$C$3623,"&gt;="&amp;EDATE(DATEVALUE(C16&amp;"-01"),0),'📋 Транзакції'!$C$5:$C$3623,"&lt;"&amp;EDATE(DATEVALUE(C16&amp;"-01"),1))</f>
        <v>19.99</v>
      </c>
      <c r="T16" s="37">
        <f>SUMIFS('📋 Транзакції'!$F$5:$F$3623,'📋 Транзакції'!$B$5:$B$3623,A16,'📋 Транзакції'!$C$5:$C$3623,"&gt;="&amp;EDATE(DATEVALUE(C16&amp;"-01"),1),'📋 Транзакції'!$C$5:$C$3623,"&lt;"&amp;EDATE(DATEVALUE(C16&amp;"-01"),2))</f>
        <v>19.99</v>
      </c>
      <c r="U16" s="37">
        <f>SUMIFS('📋 Транзакції'!$F$5:$F$3623,'📋 Транзакції'!$B$5:$B$3623,A16,'📋 Транзакції'!$C$5:$C$3623,"&gt;="&amp;EDATE(DATEVALUE(C16&amp;"-01"),2),'📋 Транзакції'!$C$5:$C$3623,"&lt;"&amp;EDATE(DATEVALUE(C16&amp;"-01"),3))</f>
        <v>19.99</v>
      </c>
      <c r="V16" s="37">
        <f>SUMIFS('📋 Транзакції'!$F$5:$F$3623,'📋 Транзакції'!$B$5:$B$3623,A16,'📋 Транзакції'!$C$5:$C$3623,"&gt;="&amp;EDATE(DATEVALUE(C16&amp;"-01"),3),'📋 Транзакції'!$C$5:$C$3623,"&lt;"&amp;EDATE(DATEVALUE(C16&amp;"-01"),4))</f>
        <v>19.99</v>
      </c>
      <c r="W16" s="37">
        <f>SUMIFS('📋 Транзакції'!$F$5:$F$3623,'📋 Транзакції'!$B$5:$B$3623,A16,'📋 Транзакції'!$C$5:$C$3623,"&gt;="&amp;EDATE(DATEVALUE(C16&amp;"-01"),4),'📋 Транзакції'!$C$5:$C$3623,"&lt;"&amp;EDATE(DATEVALUE(C16&amp;"-01"),5))</f>
        <v>19.99</v>
      </c>
      <c r="X16" s="37">
        <f>SUMIFS('📋 Транзакції'!$F$5:$F$3623,'📋 Транзакції'!$B$5:$B$3623,A16,'📋 Транзакції'!$C$5:$C$3623,"&gt;="&amp;EDATE(DATEVALUE(C16&amp;"-01"),5),'📋 Транзакції'!$C$5:$C$3623,"&lt;"&amp;EDATE(DATEVALUE(C16&amp;"-01"),6))</f>
        <v>19.99</v>
      </c>
      <c r="Y16" s="37">
        <f>SUMIFS('📋 Транзакції'!$F$5:$F$3623,'📋 Транзакції'!$B$5:$B$3623,A16,'📋 Транзакції'!$C$5:$C$3623,"&gt;="&amp;EDATE(DATEVALUE(C16&amp;"-01"),6),'📋 Транзакції'!$C$5:$C$3623,"&lt;"&amp;EDATE(DATEVALUE(C16&amp;"-01"),7))</f>
        <v>19.99</v>
      </c>
      <c r="Z16" s="37">
        <f>SUMIFS('📋 Транзакції'!$F$5:$F$3623,'📋 Транзакції'!$B$5:$B$3623,A16,'📋 Транзакції'!$C$5:$C$3623,"&gt;="&amp;EDATE(DATEVALUE(C16&amp;"-01"),7),'📋 Транзакції'!$C$5:$C$3623,"&lt;"&amp;EDATE(DATEVALUE(C16&amp;"-01"),8))</f>
        <v>19.99</v>
      </c>
      <c r="AA16" s="37">
        <f>SUMIFS('📋 Транзакції'!$F$5:$F$3623,'📋 Транзакції'!$B$5:$B$3623,A16,'📋 Транзакції'!$C$5:$C$3623,"&gt;="&amp;EDATE(DATEVALUE(C16&amp;"-01"),8),'📋 Транзакції'!$C$5:$C$3623,"&lt;"&amp;EDATE(DATEVALUE(C16&amp;"-01"),9))</f>
        <v>19.99</v>
      </c>
      <c r="AB16" s="37">
        <f>SUMIFS('📋 Транзакції'!$F$5:$F$3623,'📋 Транзакції'!$B$5:$B$3623,A16,'📋 Транзакції'!$C$5:$C$3623,"&gt;="&amp;EDATE(DATEVALUE(C16&amp;"-01"),9),'📋 Транзакції'!$C$5:$C$3623,"&lt;"&amp;EDATE(DATEVALUE(C16&amp;"-01"),10))</f>
        <v>19.99</v>
      </c>
      <c r="AC16" s="37">
        <f>SUMIFS('📋 Транзакції'!$F$5:$F$3623,'📋 Транзакції'!$B$5:$B$3623,A16,'📋 Транзакції'!$C$5:$C$3623,"&gt;="&amp;EDATE(DATEVALUE(C16&amp;"-01"),10),'📋 Транзакції'!$C$5:$C$3623,"&lt;"&amp;EDATE(DATEVALUE(C16&amp;"-01"),11))</f>
        <v>19.99</v>
      </c>
      <c r="AD16" s="37">
        <f>SUMIFS('📋 Транзакції'!$F$5:$F$3623,'📋 Транзакції'!$B$5:$B$3623,A16,'📋 Транзакції'!$C$5:$C$3623,"&gt;="&amp;EDATE(DATEVALUE(C16&amp;"-01"),11),'📋 Транзакції'!$C$5:$C$3623,"&lt;"&amp;EDATE(DATEVALUE(C16&amp;"-01"),12))</f>
        <v>19.99</v>
      </c>
    </row>
    <row r="17">
      <c r="A17" s="33" t="str">
        <f>'📋 Реєстрації'!A17:A618</f>
        <v>U0357</v>
      </c>
      <c r="B17" s="34">
        <f t="array" ref="B17">INDEX('📋 Транзакції'!$C$5:$C$3623,MATCH(A17,'📋 Транзакції'!$B$5:$B$3623,0))</f>
        <v>45305</v>
      </c>
      <c r="C17" s="35" t="str">
        <f t="shared" si="1"/>
        <v>2024-01</v>
      </c>
      <c r="D17" s="36">
        <f>COUNTIF('📋 Транзакції'!$B$5:$B$3623,A17)</f>
        <v>16</v>
      </c>
      <c r="E17" s="36">
        <f>SUMIF('📋 Транзакції'!$B$5:$B$3623,A17,'📋 Транзакції'!$F$5:$F$3623)</f>
        <v>299.85</v>
      </c>
      <c r="F17" s="35">
        <f>INT($A$1-MAXIFS('📋 Транзакції'!$C$5:$C$3623,'📋 Транзакції'!$B$5:$B$3623,A17))</f>
        <v>15</v>
      </c>
      <c r="G17" s="37">
        <f>IF(COUNTIFS('📋 Транзакції'!$B$5:$B$3623,A17,'📋 Транзакції'!$C$5:$C$3623,"&gt;="&amp;EDATE(DATEVALUE(C17&amp;"-01"),0),'📋 Транзакції'!$C$5:$C$3623,"&lt;"&amp;EDATE(DATEVALUE(C17&amp;"-01"),1))&gt;0,1,0)</f>
        <v>1</v>
      </c>
      <c r="H17" s="37">
        <f>IF(COUNTIFS('📋 Транзакції'!$B$5:$B$3623,A17,'📋 Транзакції'!$C$5:$C$3623,"&gt;="&amp;EDATE(DATEVALUE(C17&amp;"-01"),1),'📋 Транзакції'!$C$5:$C$3623,"&lt;"&amp;EDATE(DATEVALUE(C17&amp;"-01"),2))&gt;0,1,0)</f>
        <v>1</v>
      </c>
      <c r="I17" s="37">
        <f>IF(COUNTIFS('📋 Транзакції'!$B$5:$B$3623,A17,'📋 Транзакції'!$C$5:$C$3623,"&gt;="&amp;EDATE(DATEVALUE(C17&amp;"-01"),2),'📋 Транзакції'!$C$5:$C$3623,"&lt;"&amp;EDATE(DATEVALUE(C17&amp;"-01"),3))&gt;0,1,0)</f>
        <v>1</v>
      </c>
      <c r="J17" s="37">
        <f>IF(COUNTIFS('📋 Транзакції'!$B$5:$B$3623,A17,'📋 Транзакції'!$C$5:$C$3623,"&gt;="&amp;EDATE(DATEVALUE(C17&amp;"-01"),3),'📋 Транзакції'!$C$5:$C$3623,"&lt;"&amp;EDATE(DATEVALUE(C17&amp;"-01"),4))&gt;0,1,0)</f>
        <v>1</v>
      </c>
      <c r="K17" s="37">
        <f>IF(COUNTIFS('📋 Транзакції'!$B$5:$B$3623,A17,'📋 Транзакції'!$C$5:$C$3623,"&gt;="&amp;EDATE(DATEVALUE(C17&amp;"-01"),4),'📋 Транзакції'!$C$5:$C$3623,"&lt;"&amp;EDATE(DATEVALUE(C17&amp;"-01"),5))&gt;0,1,0)</f>
        <v>1</v>
      </c>
      <c r="L17" s="37">
        <f>IF(COUNTIFS('📋 Транзакції'!$B$5:$B$3623,A17,'📋 Транзакції'!$C$5:$C$3623,"&gt;="&amp;EDATE(DATEVALUE(C17&amp;"-01"),5),'📋 Транзакції'!$C$5:$C$3623,"&lt;"&amp;EDATE(DATEVALUE(C17&amp;"-01"),6))&gt;0,1,0)</f>
        <v>1</v>
      </c>
      <c r="M17" s="37">
        <f>IF(COUNTIFS('📋 Транзакції'!$B$5:$B$3623,A17,'📋 Транзакції'!$C$5:$C$3623,"&gt;="&amp;EDATE(DATEVALUE(C17&amp;"-01"),6),'📋 Транзакції'!$C$5:$C$3623,"&lt;"&amp;EDATE(DATEVALUE(C17&amp;"-01"),7))&gt;0,1,0)</f>
        <v>1</v>
      </c>
      <c r="N17" s="37">
        <f>IF(COUNTIFS('📋 Транзакції'!$B$5:$B$3623,A17,'📋 Транзакції'!$C$5:$C$3623,"&gt;="&amp;EDATE(DATEVALUE(C17&amp;"-01"),7),'📋 Транзакції'!$C$5:$C$3623,"&lt;"&amp;EDATE(DATEVALUE(C17&amp;"-01"),8))&gt;0,1,0)</f>
        <v>1</v>
      </c>
      <c r="O17" s="37">
        <f>IF(COUNTIFS('📋 Транзакції'!$B$5:$B$3623,A17,'📋 Транзакції'!$C$5:$C$3623,"&gt;="&amp;EDATE(DATEVALUE(C17&amp;"-01"),8),'📋 Транзакції'!$C$5:$C$3623,"&lt;"&amp;EDATE(DATEVALUE(C17&amp;"-01"),9))&gt;0,1,0)</f>
        <v>1</v>
      </c>
      <c r="P17" s="37">
        <f>IF(COUNTIFS('📋 Транзакції'!$B$5:$B$3623,A17,'📋 Транзакції'!$C$5:$C$3623,"&gt;="&amp;EDATE(DATEVALUE(C17&amp;"-01"),9),'📋 Транзакції'!$C$5:$C$3623,"&lt;"&amp;EDATE(DATEVALUE(C17&amp;"-01"),10))&gt;0,1,0)</f>
        <v>1</v>
      </c>
      <c r="Q17" s="37">
        <f>IF(COUNTIFS('📋 Транзакції'!$B$5:$B$3623,A17,'📋 Транзакції'!$C$5:$C$3623,"&gt;="&amp;EDATE(DATEVALUE(C17&amp;"-01"),10),'📋 Транзакції'!$C$5:$C$3623,"&lt;"&amp;EDATE(DATEVALUE(C17&amp;"-01"),11))&gt;0,1,0)</f>
        <v>1</v>
      </c>
      <c r="R17" s="37">
        <f>IF(COUNTIFS('📋 Транзакції'!$B$5:$B$3623,A17,'📋 Транзакції'!$C$5:$C$3623,"&gt;="&amp;EDATE(DATEVALUE(C17&amp;"-01"),11),'📋 Транзакції'!$C$5:$C$3623,"&lt;"&amp;EDATE(DATEVALUE(C17&amp;"-01"),12))&gt;0,1,0)</f>
        <v>1</v>
      </c>
      <c r="S17" s="37">
        <f>SUMIFS('📋 Транзакції'!$F$5:$F$3623,'📋 Транзакції'!$B$5:$B$3623,A17,'📋 Транзакції'!$C$5:$C$3623,"&gt;="&amp;EDATE(DATEVALUE(C17&amp;"-01"),0),'📋 Транзакції'!$C$5:$C$3623,"&lt;"&amp;EDATE(DATEVALUE(C17&amp;"-01"),1))</f>
        <v>19.99</v>
      </c>
      <c r="T17" s="37">
        <f>SUMIFS('📋 Транзакції'!$F$5:$F$3623,'📋 Транзакції'!$B$5:$B$3623,A17,'📋 Транзакції'!$C$5:$C$3623,"&gt;="&amp;EDATE(DATEVALUE(C17&amp;"-01"),1),'📋 Транзакції'!$C$5:$C$3623,"&lt;"&amp;EDATE(DATEVALUE(C17&amp;"-01"),2))</f>
        <v>19.99</v>
      </c>
      <c r="U17" s="37">
        <f>SUMIFS('📋 Транзакції'!$F$5:$F$3623,'📋 Транзакції'!$B$5:$B$3623,A17,'📋 Транзакції'!$C$5:$C$3623,"&gt;="&amp;EDATE(DATEVALUE(C17&amp;"-01"),2),'📋 Транзакції'!$C$5:$C$3623,"&lt;"&amp;EDATE(DATEVALUE(C17&amp;"-01"),3))</f>
        <v>19.99</v>
      </c>
      <c r="V17" s="37">
        <f>SUMIFS('📋 Транзакції'!$F$5:$F$3623,'📋 Транзакції'!$B$5:$B$3623,A17,'📋 Транзакції'!$C$5:$C$3623,"&gt;="&amp;EDATE(DATEVALUE(C17&amp;"-01"),3),'📋 Транзакції'!$C$5:$C$3623,"&lt;"&amp;EDATE(DATEVALUE(C17&amp;"-01"),4))</f>
        <v>19.99</v>
      </c>
      <c r="W17" s="37">
        <f>SUMIFS('📋 Транзакції'!$F$5:$F$3623,'📋 Транзакції'!$B$5:$B$3623,A17,'📋 Транзакції'!$C$5:$C$3623,"&gt;="&amp;EDATE(DATEVALUE(C17&amp;"-01"),4),'📋 Транзакції'!$C$5:$C$3623,"&lt;"&amp;EDATE(DATEVALUE(C17&amp;"-01"),5))</f>
        <v>19.99</v>
      </c>
      <c r="X17" s="37">
        <f>SUMIFS('📋 Транзакції'!$F$5:$F$3623,'📋 Транзакції'!$B$5:$B$3623,A17,'📋 Транзакції'!$C$5:$C$3623,"&gt;="&amp;EDATE(DATEVALUE(C17&amp;"-01"),5),'📋 Транзакції'!$C$5:$C$3623,"&lt;"&amp;EDATE(DATEVALUE(C17&amp;"-01"),6))</f>
        <v>19.99</v>
      </c>
      <c r="Y17" s="37">
        <f>SUMIFS('📋 Транзакції'!$F$5:$F$3623,'📋 Транзакції'!$B$5:$B$3623,A17,'📋 Транзакції'!$C$5:$C$3623,"&gt;="&amp;EDATE(DATEVALUE(C17&amp;"-01"),6),'📋 Транзакції'!$C$5:$C$3623,"&lt;"&amp;EDATE(DATEVALUE(C17&amp;"-01"),7))</f>
        <v>19.99</v>
      </c>
      <c r="Z17" s="37">
        <f>SUMIFS('📋 Транзакції'!$F$5:$F$3623,'📋 Транзакції'!$B$5:$B$3623,A17,'📋 Транзакції'!$C$5:$C$3623,"&gt;="&amp;EDATE(DATEVALUE(C17&amp;"-01"),7),'📋 Транзакції'!$C$5:$C$3623,"&lt;"&amp;EDATE(DATEVALUE(C17&amp;"-01"),8))</f>
        <v>19.99</v>
      </c>
      <c r="AA17" s="37">
        <f>SUMIFS('📋 Транзакції'!$F$5:$F$3623,'📋 Транзакції'!$B$5:$B$3623,A17,'📋 Транзакції'!$C$5:$C$3623,"&gt;="&amp;EDATE(DATEVALUE(C17&amp;"-01"),8),'📋 Транзакції'!$C$5:$C$3623,"&lt;"&amp;EDATE(DATEVALUE(C17&amp;"-01"),9))</f>
        <v>19.99</v>
      </c>
      <c r="AB17" s="37">
        <f>SUMIFS('📋 Транзакції'!$F$5:$F$3623,'📋 Транзакції'!$B$5:$B$3623,A17,'📋 Транзакції'!$C$5:$C$3623,"&gt;="&amp;EDATE(DATEVALUE(C17&amp;"-01"),9),'📋 Транзакції'!$C$5:$C$3623,"&lt;"&amp;EDATE(DATEVALUE(C17&amp;"-01"),10))</f>
        <v>19.99</v>
      </c>
      <c r="AC17" s="37">
        <f>SUMIFS('📋 Транзакції'!$F$5:$F$3623,'📋 Транзакції'!$B$5:$B$3623,A17,'📋 Транзакції'!$C$5:$C$3623,"&gt;="&amp;EDATE(DATEVALUE(C17&amp;"-01"),10),'📋 Транзакції'!$C$5:$C$3623,"&lt;"&amp;EDATE(DATEVALUE(C17&amp;"-01"),11))</f>
        <v>19.99</v>
      </c>
      <c r="AD17" s="37">
        <f>SUMIFS('📋 Транзакції'!$F$5:$F$3623,'📋 Транзакції'!$B$5:$B$3623,A17,'📋 Транзакції'!$C$5:$C$3623,"&gt;="&amp;EDATE(DATEVALUE(C17&amp;"-01"),11),'📋 Транзакції'!$C$5:$C$3623,"&lt;"&amp;EDATE(DATEVALUE(C17&amp;"-01"),12))</f>
        <v>19.99</v>
      </c>
    </row>
    <row r="18">
      <c r="A18" s="33" t="str">
        <f>'📋 Реєстрації'!A18:A619</f>
        <v>U0378</v>
      </c>
      <c r="B18" s="34">
        <f t="array" ref="B18">INDEX('📋 Транзакції'!$C$5:$C$3623,MATCH(A18,'📋 Транзакції'!$B$5:$B$3623,0))</f>
        <v>45306</v>
      </c>
      <c r="C18" s="35" t="str">
        <f t="shared" si="1"/>
        <v>2024-01</v>
      </c>
      <c r="D18" s="36">
        <f>COUNTIF('📋 Транзакції'!$B$5:$B$3623,A18)</f>
        <v>3</v>
      </c>
      <c r="E18" s="36">
        <f>SUMIF('📋 Транзакції'!$B$5:$B$3623,A18,'📋 Транзакції'!$F$5:$F$3623)</f>
        <v>39.98</v>
      </c>
      <c r="F18" s="35">
        <f>INT($A$1-MAXIFS('📋 Транзакції'!$C$5:$C$3623,'📋 Транзакції'!$B$5:$B$3623,A18))</f>
        <v>404</v>
      </c>
      <c r="G18" s="37">
        <f>IF(COUNTIFS('📋 Транзакції'!$B$5:$B$3623,A18,'📋 Транзакції'!$C$5:$C$3623,"&gt;="&amp;EDATE(DATEVALUE(C18&amp;"-01"),0),'📋 Транзакції'!$C$5:$C$3623,"&lt;"&amp;EDATE(DATEVALUE(C18&amp;"-01"),1))&gt;0,1,0)</f>
        <v>1</v>
      </c>
      <c r="H18" s="37">
        <f>IF(COUNTIFS('📋 Транзакції'!$B$5:$B$3623,A18,'📋 Транзакції'!$C$5:$C$3623,"&gt;="&amp;EDATE(DATEVALUE(C18&amp;"-01"),1),'📋 Транзакції'!$C$5:$C$3623,"&lt;"&amp;EDATE(DATEVALUE(C18&amp;"-01"),2))&gt;0,1,0)</f>
        <v>1</v>
      </c>
      <c r="I18" s="37">
        <f>IF(COUNTIFS('📋 Транзакції'!$B$5:$B$3623,A18,'📋 Транзакції'!$C$5:$C$3623,"&gt;="&amp;EDATE(DATEVALUE(C18&amp;"-01"),2),'📋 Транзакції'!$C$5:$C$3623,"&lt;"&amp;EDATE(DATEVALUE(C18&amp;"-01"),3))&gt;0,1,0)</f>
        <v>0</v>
      </c>
      <c r="J18" s="37">
        <f>IF(COUNTIFS('📋 Транзакції'!$B$5:$B$3623,A18,'📋 Транзакції'!$C$5:$C$3623,"&gt;="&amp;EDATE(DATEVALUE(C18&amp;"-01"),3),'📋 Транзакції'!$C$5:$C$3623,"&lt;"&amp;EDATE(DATEVALUE(C18&amp;"-01"),4))&gt;0,1,0)</f>
        <v>0</v>
      </c>
      <c r="K18" s="37">
        <f>IF(COUNTIFS('📋 Транзакції'!$B$5:$B$3623,A18,'📋 Транзакції'!$C$5:$C$3623,"&gt;="&amp;EDATE(DATEVALUE(C18&amp;"-01"),4),'📋 Транзакції'!$C$5:$C$3623,"&lt;"&amp;EDATE(DATEVALUE(C18&amp;"-01"),5))&gt;0,1,0)</f>
        <v>0</v>
      </c>
      <c r="L18" s="37">
        <f>IF(COUNTIFS('📋 Транзакції'!$B$5:$B$3623,A18,'📋 Транзакції'!$C$5:$C$3623,"&gt;="&amp;EDATE(DATEVALUE(C18&amp;"-01"),5),'📋 Транзакції'!$C$5:$C$3623,"&lt;"&amp;EDATE(DATEVALUE(C18&amp;"-01"),6))&gt;0,1,0)</f>
        <v>0</v>
      </c>
      <c r="M18" s="37">
        <f>IF(COUNTIFS('📋 Транзакції'!$B$5:$B$3623,A18,'📋 Транзакції'!$C$5:$C$3623,"&gt;="&amp;EDATE(DATEVALUE(C18&amp;"-01"),6),'📋 Транзакції'!$C$5:$C$3623,"&lt;"&amp;EDATE(DATEVALUE(C18&amp;"-01"),7))&gt;0,1,0)</f>
        <v>0</v>
      </c>
      <c r="N18" s="37">
        <f>IF(COUNTIFS('📋 Транзакції'!$B$5:$B$3623,A18,'📋 Транзакції'!$C$5:$C$3623,"&gt;="&amp;EDATE(DATEVALUE(C18&amp;"-01"),7),'📋 Транзакції'!$C$5:$C$3623,"&lt;"&amp;EDATE(DATEVALUE(C18&amp;"-01"),8))&gt;0,1,0)</f>
        <v>0</v>
      </c>
      <c r="O18" s="37">
        <f>IF(COUNTIFS('📋 Транзакції'!$B$5:$B$3623,A18,'📋 Транзакції'!$C$5:$C$3623,"&gt;="&amp;EDATE(DATEVALUE(C18&amp;"-01"),8),'📋 Транзакції'!$C$5:$C$3623,"&lt;"&amp;EDATE(DATEVALUE(C18&amp;"-01"),9))&gt;0,1,0)</f>
        <v>0</v>
      </c>
      <c r="P18" s="37">
        <f>IF(COUNTIFS('📋 Транзакції'!$B$5:$B$3623,A18,'📋 Транзакції'!$C$5:$C$3623,"&gt;="&amp;EDATE(DATEVALUE(C18&amp;"-01"),9),'📋 Транзакції'!$C$5:$C$3623,"&lt;"&amp;EDATE(DATEVALUE(C18&amp;"-01"),10))&gt;0,1,0)</f>
        <v>0</v>
      </c>
      <c r="Q18" s="37">
        <f>IF(COUNTIFS('📋 Транзакції'!$B$5:$B$3623,A18,'📋 Транзакції'!$C$5:$C$3623,"&gt;="&amp;EDATE(DATEVALUE(C18&amp;"-01"),10),'📋 Транзакції'!$C$5:$C$3623,"&lt;"&amp;EDATE(DATEVALUE(C18&amp;"-01"),11))&gt;0,1,0)</f>
        <v>0</v>
      </c>
      <c r="R18" s="37">
        <f>IF(COUNTIFS('📋 Транзакції'!$B$5:$B$3623,A18,'📋 Транзакції'!$C$5:$C$3623,"&gt;="&amp;EDATE(DATEVALUE(C18&amp;"-01"),11),'📋 Транзакції'!$C$5:$C$3623,"&lt;"&amp;EDATE(DATEVALUE(C18&amp;"-01"),12))&gt;0,1,0)</f>
        <v>0</v>
      </c>
      <c r="S18" s="37">
        <f>SUMIFS('📋 Транзакції'!$F$5:$F$3623,'📋 Транзакції'!$B$5:$B$3623,A18,'📋 Транзакції'!$C$5:$C$3623,"&gt;="&amp;EDATE(DATEVALUE(C18&amp;"-01"),0),'📋 Транзакції'!$C$5:$C$3623,"&lt;"&amp;EDATE(DATEVALUE(C18&amp;"-01"),1))</f>
        <v>19.99</v>
      </c>
      <c r="T18" s="37">
        <f>SUMIFS('📋 Транзакції'!$F$5:$F$3623,'📋 Транзакції'!$B$5:$B$3623,A18,'📋 Транзакції'!$C$5:$C$3623,"&gt;="&amp;EDATE(DATEVALUE(C18&amp;"-01"),1),'📋 Транзакції'!$C$5:$C$3623,"&lt;"&amp;EDATE(DATEVALUE(C18&amp;"-01"),2))</f>
        <v>19.99</v>
      </c>
      <c r="U18" s="37">
        <f>SUMIFS('📋 Транзакції'!$F$5:$F$3623,'📋 Транзакції'!$B$5:$B$3623,A18,'📋 Транзакції'!$C$5:$C$3623,"&gt;="&amp;EDATE(DATEVALUE(C18&amp;"-01"),2),'📋 Транзакції'!$C$5:$C$3623,"&lt;"&amp;EDATE(DATEVALUE(C18&amp;"-01"),3))</f>
        <v>0</v>
      </c>
      <c r="V18" s="37">
        <f>SUMIFS('📋 Транзакції'!$F$5:$F$3623,'📋 Транзакції'!$B$5:$B$3623,A18,'📋 Транзакції'!$C$5:$C$3623,"&gt;="&amp;EDATE(DATEVALUE(C18&amp;"-01"),3),'📋 Транзакції'!$C$5:$C$3623,"&lt;"&amp;EDATE(DATEVALUE(C18&amp;"-01"),4))</f>
        <v>0</v>
      </c>
      <c r="W18" s="37">
        <f>SUMIFS('📋 Транзакції'!$F$5:$F$3623,'📋 Транзакції'!$B$5:$B$3623,A18,'📋 Транзакції'!$C$5:$C$3623,"&gt;="&amp;EDATE(DATEVALUE(C18&amp;"-01"),4),'📋 Транзакції'!$C$5:$C$3623,"&lt;"&amp;EDATE(DATEVALUE(C18&amp;"-01"),5))</f>
        <v>0</v>
      </c>
      <c r="X18" s="37">
        <f>SUMIFS('📋 Транзакції'!$F$5:$F$3623,'📋 Транзакції'!$B$5:$B$3623,A18,'📋 Транзакції'!$C$5:$C$3623,"&gt;="&amp;EDATE(DATEVALUE(C18&amp;"-01"),5),'📋 Транзакції'!$C$5:$C$3623,"&lt;"&amp;EDATE(DATEVALUE(C18&amp;"-01"),6))</f>
        <v>0</v>
      </c>
      <c r="Y18" s="37">
        <f>SUMIFS('📋 Транзакції'!$F$5:$F$3623,'📋 Транзакції'!$B$5:$B$3623,A18,'📋 Транзакції'!$C$5:$C$3623,"&gt;="&amp;EDATE(DATEVALUE(C18&amp;"-01"),6),'📋 Транзакції'!$C$5:$C$3623,"&lt;"&amp;EDATE(DATEVALUE(C18&amp;"-01"),7))</f>
        <v>0</v>
      </c>
      <c r="Z18" s="37">
        <f>SUMIFS('📋 Транзакції'!$F$5:$F$3623,'📋 Транзакції'!$B$5:$B$3623,A18,'📋 Транзакції'!$C$5:$C$3623,"&gt;="&amp;EDATE(DATEVALUE(C18&amp;"-01"),7),'📋 Транзакції'!$C$5:$C$3623,"&lt;"&amp;EDATE(DATEVALUE(C18&amp;"-01"),8))</f>
        <v>0</v>
      </c>
      <c r="AA18" s="37">
        <f>SUMIFS('📋 Транзакції'!$F$5:$F$3623,'📋 Транзакції'!$B$5:$B$3623,A18,'📋 Транзакції'!$C$5:$C$3623,"&gt;="&amp;EDATE(DATEVALUE(C18&amp;"-01"),8),'📋 Транзакції'!$C$5:$C$3623,"&lt;"&amp;EDATE(DATEVALUE(C18&amp;"-01"),9))</f>
        <v>0</v>
      </c>
      <c r="AB18" s="37">
        <f>SUMIFS('📋 Транзакції'!$F$5:$F$3623,'📋 Транзакції'!$B$5:$B$3623,A18,'📋 Транзакції'!$C$5:$C$3623,"&gt;="&amp;EDATE(DATEVALUE(C18&amp;"-01"),9),'📋 Транзакції'!$C$5:$C$3623,"&lt;"&amp;EDATE(DATEVALUE(C18&amp;"-01"),10))</f>
        <v>0</v>
      </c>
      <c r="AC18" s="37">
        <f>SUMIFS('📋 Транзакції'!$F$5:$F$3623,'📋 Транзакції'!$B$5:$B$3623,A18,'📋 Транзакції'!$C$5:$C$3623,"&gt;="&amp;EDATE(DATEVALUE(C18&amp;"-01"),10),'📋 Транзакції'!$C$5:$C$3623,"&lt;"&amp;EDATE(DATEVALUE(C18&amp;"-01"),11))</f>
        <v>0</v>
      </c>
      <c r="AD18" s="37">
        <f>SUMIFS('📋 Транзакції'!$F$5:$F$3623,'📋 Транзакції'!$B$5:$B$3623,A18,'📋 Транзакції'!$C$5:$C$3623,"&gt;="&amp;EDATE(DATEVALUE(C18&amp;"-01"),11),'📋 Транзакції'!$C$5:$C$3623,"&lt;"&amp;EDATE(DATEVALUE(C18&amp;"-01"),12))</f>
        <v>0</v>
      </c>
    </row>
    <row r="19">
      <c r="A19" s="33" t="str">
        <f>'📋 Реєстрації'!A19:A620</f>
        <v>U0795</v>
      </c>
      <c r="B19" s="34">
        <f t="array" ref="B19">INDEX('📋 Транзакції'!$C$5:$C$3623,MATCH(A19,'📋 Транзакції'!$B$5:$B$3623,0))</f>
        <v>45306</v>
      </c>
      <c r="C19" s="35" t="str">
        <f t="shared" si="1"/>
        <v>2024-01</v>
      </c>
      <c r="D19" s="36">
        <f>COUNTIF('📋 Транзакції'!$B$5:$B$3623,A19)</f>
        <v>4</v>
      </c>
      <c r="E19" s="36">
        <f>SUMIF('📋 Транзакції'!$B$5:$B$3623,A19,'📋 Транзакції'!$F$5:$F$3623)</f>
        <v>59.97</v>
      </c>
      <c r="F19" s="35">
        <f>INT($A$1-MAXIFS('📋 Транзакції'!$C$5:$C$3623,'📋 Транзакції'!$B$5:$B$3623,A19))</f>
        <v>374</v>
      </c>
      <c r="G19" s="37">
        <f>IF(COUNTIFS('📋 Транзакції'!$B$5:$B$3623,A19,'📋 Транзакції'!$C$5:$C$3623,"&gt;="&amp;EDATE(DATEVALUE(C19&amp;"-01"),0),'📋 Транзакції'!$C$5:$C$3623,"&lt;"&amp;EDATE(DATEVALUE(C19&amp;"-01"),1))&gt;0,1,0)</f>
        <v>1</v>
      </c>
      <c r="H19" s="37">
        <f>IF(COUNTIFS('📋 Транзакції'!$B$5:$B$3623,A19,'📋 Транзакції'!$C$5:$C$3623,"&gt;="&amp;EDATE(DATEVALUE(C19&amp;"-01"),1),'📋 Транзакції'!$C$5:$C$3623,"&lt;"&amp;EDATE(DATEVALUE(C19&amp;"-01"),2))&gt;0,1,0)</f>
        <v>1</v>
      </c>
      <c r="I19" s="37">
        <f>IF(COUNTIFS('📋 Транзакції'!$B$5:$B$3623,A19,'📋 Транзакції'!$C$5:$C$3623,"&gt;="&amp;EDATE(DATEVALUE(C19&amp;"-01"),2),'📋 Транзакції'!$C$5:$C$3623,"&lt;"&amp;EDATE(DATEVALUE(C19&amp;"-01"),3))&gt;0,1,0)</f>
        <v>1</v>
      </c>
      <c r="J19" s="37">
        <f>IF(COUNTIFS('📋 Транзакції'!$B$5:$B$3623,A19,'📋 Транзакції'!$C$5:$C$3623,"&gt;="&amp;EDATE(DATEVALUE(C19&amp;"-01"),3),'📋 Транзакції'!$C$5:$C$3623,"&lt;"&amp;EDATE(DATEVALUE(C19&amp;"-01"),4))&gt;0,1,0)</f>
        <v>0</v>
      </c>
      <c r="K19" s="37">
        <f>IF(COUNTIFS('📋 Транзакції'!$B$5:$B$3623,A19,'📋 Транзакції'!$C$5:$C$3623,"&gt;="&amp;EDATE(DATEVALUE(C19&amp;"-01"),4),'📋 Транзакції'!$C$5:$C$3623,"&lt;"&amp;EDATE(DATEVALUE(C19&amp;"-01"),5))&gt;0,1,0)</f>
        <v>0</v>
      </c>
      <c r="L19" s="37">
        <f>IF(COUNTIFS('📋 Транзакції'!$B$5:$B$3623,A19,'📋 Транзакції'!$C$5:$C$3623,"&gt;="&amp;EDATE(DATEVALUE(C19&amp;"-01"),5),'📋 Транзакції'!$C$5:$C$3623,"&lt;"&amp;EDATE(DATEVALUE(C19&amp;"-01"),6))&gt;0,1,0)</f>
        <v>0</v>
      </c>
      <c r="M19" s="37">
        <f>IF(COUNTIFS('📋 Транзакції'!$B$5:$B$3623,A19,'📋 Транзакції'!$C$5:$C$3623,"&gt;="&amp;EDATE(DATEVALUE(C19&amp;"-01"),6),'📋 Транзакції'!$C$5:$C$3623,"&lt;"&amp;EDATE(DATEVALUE(C19&amp;"-01"),7))&gt;0,1,0)</f>
        <v>0</v>
      </c>
      <c r="N19" s="37">
        <f>IF(COUNTIFS('📋 Транзакції'!$B$5:$B$3623,A19,'📋 Транзакції'!$C$5:$C$3623,"&gt;="&amp;EDATE(DATEVALUE(C19&amp;"-01"),7),'📋 Транзакції'!$C$5:$C$3623,"&lt;"&amp;EDATE(DATEVALUE(C19&amp;"-01"),8))&gt;0,1,0)</f>
        <v>0</v>
      </c>
      <c r="O19" s="37">
        <f>IF(COUNTIFS('📋 Транзакції'!$B$5:$B$3623,A19,'📋 Транзакції'!$C$5:$C$3623,"&gt;="&amp;EDATE(DATEVALUE(C19&amp;"-01"),8),'📋 Транзакції'!$C$5:$C$3623,"&lt;"&amp;EDATE(DATEVALUE(C19&amp;"-01"),9))&gt;0,1,0)</f>
        <v>0</v>
      </c>
      <c r="P19" s="37">
        <f>IF(COUNTIFS('📋 Транзакції'!$B$5:$B$3623,A19,'📋 Транзакції'!$C$5:$C$3623,"&gt;="&amp;EDATE(DATEVALUE(C19&amp;"-01"),9),'📋 Транзакції'!$C$5:$C$3623,"&lt;"&amp;EDATE(DATEVALUE(C19&amp;"-01"),10))&gt;0,1,0)</f>
        <v>0</v>
      </c>
      <c r="Q19" s="37">
        <f>IF(COUNTIFS('📋 Транзакції'!$B$5:$B$3623,A19,'📋 Транзакції'!$C$5:$C$3623,"&gt;="&amp;EDATE(DATEVALUE(C19&amp;"-01"),10),'📋 Транзакції'!$C$5:$C$3623,"&lt;"&amp;EDATE(DATEVALUE(C19&amp;"-01"),11))&gt;0,1,0)</f>
        <v>0</v>
      </c>
      <c r="R19" s="37">
        <f>IF(COUNTIFS('📋 Транзакції'!$B$5:$B$3623,A19,'📋 Транзакції'!$C$5:$C$3623,"&gt;="&amp;EDATE(DATEVALUE(C19&amp;"-01"),11),'📋 Транзакції'!$C$5:$C$3623,"&lt;"&amp;EDATE(DATEVALUE(C19&amp;"-01"),12))&gt;0,1,0)</f>
        <v>0</v>
      </c>
      <c r="S19" s="37">
        <f>SUMIFS('📋 Транзакції'!$F$5:$F$3623,'📋 Транзакції'!$B$5:$B$3623,A19,'📋 Транзакції'!$C$5:$C$3623,"&gt;="&amp;EDATE(DATEVALUE(C19&amp;"-01"),0),'📋 Транзакції'!$C$5:$C$3623,"&lt;"&amp;EDATE(DATEVALUE(C19&amp;"-01"),1))</f>
        <v>19.99</v>
      </c>
      <c r="T19" s="37">
        <f>SUMIFS('📋 Транзакції'!$F$5:$F$3623,'📋 Транзакції'!$B$5:$B$3623,A19,'📋 Транзакції'!$C$5:$C$3623,"&gt;="&amp;EDATE(DATEVALUE(C19&amp;"-01"),1),'📋 Транзакції'!$C$5:$C$3623,"&lt;"&amp;EDATE(DATEVALUE(C19&amp;"-01"),2))</f>
        <v>19.99</v>
      </c>
      <c r="U19" s="37">
        <f>SUMIFS('📋 Транзакції'!$F$5:$F$3623,'📋 Транзакції'!$B$5:$B$3623,A19,'📋 Транзакції'!$C$5:$C$3623,"&gt;="&amp;EDATE(DATEVALUE(C19&amp;"-01"),2),'📋 Транзакції'!$C$5:$C$3623,"&lt;"&amp;EDATE(DATEVALUE(C19&amp;"-01"),3))</f>
        <v>19.99</v>
      </c>
      <c r="V19" s="37">
        <f>SUMIFS('📋 Транзакції'!$F$5:$F$3623,'📋 Транзакції'!$B$5:$B$3623,A19,'📋 Транзакції'!$C$5:$C$3623,"&gt;="&amp;EDATE(DATEVALUE(C19&amp;"-01"),3),'📋 Транзакції'!$C$5:$C$3623,"&lt;"&amp;EDATE(DATEVALUE(C19&amp;"-01"),4))</f>
        <v>0</v>
      </c>
      <c r="W19" s="37">
        <f>SUMIFS('📋 Транзакції'!$F$5:$F$3623,'📋 Транзакції'!$B$5:$B$3623,A19,'📋 Транзакції'!$C$5:$C$3623,"&gt;="&amp;EDATE(DATEVALUE(C19&amp;"-01"),4),'📋 Транзакції'!$C$5:$C$3623,"&lt;"&amp;EDATE(DATEVALUE(C19&amp;"-01"),5))</f>
        <v>0</v>
      </c>
      <c r="X19" s="37">
        <f>SUMIFS('📋 Транзакції'!$F$5:$F$3623,'📋 Транзакції'!$B$5:$B$3623,A19,'📋 Транзакції'!$C$5:$C$3623,"&gt;="&amp;EDATE(DATEVALUE(C19&amp;"-01"),5),'📋 Транзакції'!$C$5:$C$3623,"&lt;"&amp;EDATE(DATEVALUE(C19&amp;"-01"),6))</f>
        <v>0</v>
      </c>
      <c r="Y19" s="37">
        <f>SUMIFS('📋 Транзакції'!$F$5:$F$3623,'📋 Транзакції'!$B$5:$B$3623,A19,'📋 Транзакції'!$C$5:$C$3623,"&gt;="&amp;EDATE(DATEVALUE(C19&amp;"-01"),6),'📋 Транзакції'!$C$5:$C$3623,"&lt;"&amp;EDATE(DATEVALUE(C19&amp;"-01"),7))</f>
        <v>0</v>
      </c>
      <c r="Z19" s="37">
        <f>SUMIFS('📋 Транзакції'!$F$5:$F$3623,'📋 Транзакції'!$B$5:$B$3623,A19,'📋 Транзакції'!$C$5:$C$3623,"&gt;="&amp;EDATE(DATEVALUE(C19&amp;"-01"),7),'📋 Транзакції'!$C$5:$C$3623,"&lt;"&amp;EDATE(DATEVALUE(C19&amp;"-01"),8))</f>
        <v>0</v>
      </c>
      <c r="AA19" s="37">
        <f>SUMIFS('📋 Транзакції'!$F$5:$F$3623,'📋 Транзакції'!$B$5:$B$3623,A19,'📋 Транзакції'!$C$5:$C$3623,"&gt;="&amp;EDATE(DATEVALUE(C19&amp;"-01"),8),'📋 Транзакції'!$C$5:$C$3623,"&lt;"&amp;EDATE(DATEVALUE(C19&amp;"-01"),9))</f>
        <v>0</v>
      </c>
      <c r="AB19" s="37">
        <f>SUMIFS('📋 Транзакції'!$F$5:$F$3623,'📋 Транзакції'!$B$5:$B$3623,A19,'📋 Транзакції'!$C$5:$C$3623,"&gt;="&amp;EDATE(DATEVALUE(C19&amp;"-01"),9),'📋 Транзакції'!$C$5:$C$3623,"&lt;"&amp;EDATE(DATEVALUE(C19&amp;"-01"),10))</f>
        <v>0</v>
      </c>
      <c r="AC19" s="37">
        <f>SUMIFS('📋 Транзакції'!$F$5:$F$3623,'📋 Транзакції'!$B$5:$B$3623,A19,'📋 Транзакції'!$C$5:$C$3623,"&gt;="&amp;EDATE(DATEVALUE(C19&amp;"-01"),10),'📋 Транзакції'!$C$5:$C$3623,"&lt;"&amp;EDATE(DATEVALUE(C19&amp;"-01"),11))</f>
        <v>0</v>
      </c>
      <c r="AD19" s="37">
        <f>SUMIFS('📋 Транзакції'!$F$5:$F$3623,'📋 Транзакції'!$B$5:$B$3623,A19,'📋 Транзакції'!$C$5:$C$3623,"&gt;="&amp;EDATE(DATEVALUE(C19&amp;"-01"),11),'📋 Транзакції'!$C$5:$C$3623,"&lt;"&amp;EDATE(DATEVALUE(C19&amp;"-01"),12))</f>
        <v>0</v>
      </c>
    </row>
    <row r="20">
      <c r="A20" s="33" t="str">
        <f>'📋 Реєстрації'!A20:A621</f>
        <v>U0011</v>
      </c>
      <c r="B20" s="34">
        <f t="array" ref="B20">INDEX('📋 Транзакції'!$C$5:$C$3623,MATCH(A20,'📋 Транзакції'!$B$5:$B$3623,0))</f>
        <v>45309</v>
      </c>
      <c r="C20" s="35" t="str">
        <f t="shared" si="1"/>
        <v>2024-01</v>
      </c>
      <c r="D20" s="36">
        <f>COUNTIF('📋 Транзакції'!$B$5:$B$3623,A20)</f>
        <v>16</v>
      </c>
      <c r="E20" s="36">
        <f>SUMIF('📋 Транзакції'!$B$5:$B$3623,A20,'📋 Транзакції'!$F$5:$F$3623)</f>
        <v>299.85</v>
      </c>
      <c r="F20" s="35">
        <f>INT($A$1-MAXIFS('📋 Транзакції'!$C$5:$C$3623,'📋 Транзакції'!$B$5:$B$3623,A20))</f>
        <v>11</v>
      </c>
      <c r="G20" s="37">
        <f>IF(COUNTIFS('📋 Транзакції'!$B$5:$B$3623,A20,'📋 Транзакції'!$C$5:$C$3623,"&gt;="&amp;EDATE(DATEVALUE(C20&amp;"-01"),0),'📋 Транзакції'!$C$5:$C$3623,"&lt;"&amp;EDATE(DATEVALUE(C20&amp;"-01"),1))&gt;0,1,0)</f>
        <v>1</v>
      </c>
      <c r="H20" s="37">
        <f>IF(COUNTIFS('📋 Транзакції'!$B$5:$B$3623,A20,'📋 Транзакції'!$C$5:$C$3623,"&gt;="&amp;EDATE(DATEVALUE(C20&amp;"-01"),1),'📋 Транзакції'!$C$5:$C$3623,"&lt;"&amp;EDATE(DATEVALUE(C20&amp;"-01"),2))&gt;0,1,0)</f>
        <v>1</v>
      </c>
      <c r="I20" s="37">
        <f>IF(COUNTIFS('📋 Транзакції'!$B$5:$B$3623,A20,'📋 Транзакції'!$C$5:$C$3623,"&gt;="&amp;EDATE(DATEVALUE(C20&amp;"-01"),2),'📋 Транзакції'!$C$5:$C$3623,"&lt;"&amp;EDATE(DATEVALUE(C20&amp;"-01"),3))&gt;0,1,0)</f>
        <v>1</v>
      </c>
      <c r="J20" s="37">
        <f>IF(COUNTIFS('📋 Транзакції'!$B$5:$B$3623,A20,'📋 Транзакції'!$C$5:$C$3623,"&gt;="&amp;EDATE(DATEVALUE(C20&amp;"-01"),3),'📋 Транзакції'!$C$5:$C$3623,"&lt;"&amp;EDATE(DATEVALUE(C20&amp;"-01"),4))&gt;0,1,0)</f>
        <v>1</v>
      </c>
      <c r="K20" s="37">
        <f>IF(COUNTIFS('📋 Транзакції'!$B$5:$B$3623,A20,'📋 Транзакції'!$C$5:$C$3623,"&gt;="&amp;EDATE(DATEVALUE(C20&amp;"-01"),4),'📋 Транзакції'!$C$5:$C$3623,"&lt;"&amp;EDATE(DATEVALUE(C20&amp;"-01"),5))&gt;0,1,0)</f>
        <v>1</v>
      </c>
      <c r="L20" s="37">
        <f>IF(COUNTIFS('📋 Транзакції'!$B$5:$B$3623,A20,'📋 Транзакції'!$C$5:$C$3623,"&gt;="&amp;EDATE(DATEVALUE(C20&amp;"-01"),5),'📋 Транзакції'!$C$5:$C$3623,"&lt;"&amp;EDATE(DATEVALUE(C20&amp;"-01"),6))&gt;0,1,0)</f>
        <v>1</v>
      </c>
      <c r="M20" s="37">
        <f>IF(COUNTIFS('📋 Транзакції'!$B$5:$B$3623,A20,'📋 Транзакції'!$C$5:$C$3623,"&gt;="&amp;EDATE(DATEVALUE(C20&amp;"-01"),6),'📋 Транзакції'!$C$5:$C$3623,"&lt;"&amp;EDATE(DATEVALUE(C20&amp;"-01"),7))&gt;0,1,0)</f>
        <v>1</v>
      </c>
      <c r="N20" s="37">
        <f>IF(COUNTIFS('📋 Транзакції'!$B$5:$B$3623,A20,'📋 Транзакції'!$C$5:$C$3623,"&gt;="&amp;EDATE(DATEVALUE(C20&amp;"-01"),7),'📋 Транзакції'!$C$5:$C$3623,"&lt;"&amp;EDATE(DATEVALUE(C20&amp;"-01"),8))&gt;0,1,0)</f>
        <v>1</v>
      </c>
      <c r="O20" s="37">
        <f>IF(COUNTIFS('📋 Транзакції'!$B$5:$B$3623,A20,'📋 Транзакції'!$C$5:$C$3623,"&gt;="&amp;EDATE(DATEVALUE(C20&amp;"-01"),8),'📋 Транзакції'!$C$5:$C$3623,"&lt;"&amp;EDATE(DATEVALUE(C20&amp;"-01"),9))&gt;0,1,0)</f>
        <v>1</v>
      </c>
      <c r="P20" s="37">
        <f>IF(COUNTIFS('📋 Транзакції'!$B$5:$B$3623,A20,'📋 Транзакції'!$C$5:$C$3623,"&gt;="&amp;EDATE(DATEVALUE(C20&amp;"-01"),9),'📋 Транзакції'!$C$5:$C$3623,"&lt;"&amp;EDATE(DATEVALUE(C20&amp;"-01"),10))&gt;0,1,0)</f>
        <v>1</v>
      </c>
      <c r="Q20" s="37">
        <f>IF(COUNTIFS('📋 Транзакції'!$B$5:$B$3623,A20,'📋 Транзакції'!$C$5:$C$3623,"&gt;="&amp;EDATE(DATEVALUE(C20&amp;"-01"),10),'📋 Транзакції'!$C$5:$C$3623,"&lt;"&amp;EDATE(DATEVALUE(C20&amp;"-01"),11))&gt;0,1,0)</f>
        <v>1</v>
      </c>
      <c r="R20" s="37">
        <f>IF(COUNTIFS('📋 Транзакції'!$B$5:$B$3623,A20,'📋 Транзакції'!$C$5:$C$3623,"&gt;="&amp;EDATE(DATEVALUE(C20&amp;"-01"),11),'📋 Транзакції'!$C$5:$C$3623,"&lt;"&amp;EDATE(DATEVALUE(C20&amp;"-01"),12))&gt;0,1,0)</f>
        <v>1</v>
      </c>
      <c r="S20" s="37">
        <f>SUMIFS('📋 Транзакції'!$F$5:$F$3623,'📋 Транзакції'!$B$5:$B$3623,A20,'📋 Транзакції'!$C$5:$C$3623,"&gt;="&amp;EDATE(DATEVALUE(C20&amp;"-01"),0),'📋 Транзакції'!$C$5:$C$3623,"&lt;"&amp;EDATE(DATEVALUE(C20&amp;"-01"),1))</f>
        <v>19.99</v>
      </c>
      <c r="T20" s="37">
        <f>SUMIFS('📋 Транзакції'!$F$5:$F$3623,'📋 Транзакції'!$B$5:$B$3623,A20,'📋 Транзакції'!$C$5:$C$3623,"&gt;="&amp;EDATE(DATEVALUE(C20&amp;"-01"),1),'📋 Транзакції'!$C$5:$C$3623,"&lt;"&amp;EDATE(DATEVALUE(C20&amp;"-01"),2))</f>
        <v>19.99</v>
      </c>
      <c r="U20" s="37">
        <f>SUMIFS('📋 Транзакції'!$F$5:$F$3623,'📋 Транзакції'!$B$5:$B$3623,A20,'📋 Транзакції'!$C$5:$C$3623,"&gt;="&amp;EDATE(DATEVALUE(C20&amp;"-01"),2),'📋 Транзакції'!$C$5:$C$3623,"&lt;"&amp;EDATE(DATEVALUE(C20&amp;"-01"),3))</f>
        <v>19.99</v>
      </c>
      <c r="V20" s="37">
        <f>SUMIFS('📋 Транзакції'!$F$5:$F$3623,'📋 Транзакції'!$B$5:$B$3623,A20,'📋 Транзакції'!$C$5:$C$3623,"&gt;="&amp;EDATE(DATEVALUE(C20&amp;"-01"),3),'📋 Транзакції'!$C$5:$C$3623,"&lt;"&amp;EDATE(DATEVALUE(C20&amp;"-01"),4))</f>
        <v>19.99</v>
      </c>
      <c r="W20" s="37">
        <f>SUMIFS('📋 Транзакції'!$F$5:$F$3623,'📋 Транзакції'!$B$5:$B$3623,A20,'📋 Транзакції'!$C$5:$C$3623,"&gt;="&amp;EDATE(DATEVALUE(C20&amp;"-01"),4),'📋 Транзакції'!$C$5:$C$3623,"&lt;"&amp;EDATE(DATEVALUE(C20&amp;"-01"),5))</f>
        <v>19.99</v>
      </c>
      <c r="X20" s="37">
        <f>SUMIFS('📋 Транзакції'!$F$5:$F$3623,'📋 Транзакції'!$B$5:$B$3623,A20,'📋 Транзакції'!$C$5:$C$3623,"&gt;="&amp;EDATE(DATEVALUE(C20&amp;"-01"),5),'📋 Транзакції'!$C$5:$C$3623,"&lt;"&amp;EDATE(DATEVALUE(C20&amp;"-01"),6))</f>
        <v>19.99</v>
      </c>
      <c r="Y20" s="37">
        <f>SUMIFS('📋 Транзакції'!$F$5:$F$3623,'📋 Транзакції'!$B$5:$B$3623,A20,'📋 Транзакції'!$C$5:$C$3623,"&gt;="&amp;EDATE(DATEVALUE(C20&amp;"-01"),6),'📋 Транзакції'!$C$5:$C$3623,"&lt;"&amp;EDATE(DATEVALUE(C20&amp;"-01"),7))</f>
        <v>19.99</v>
      </c>
      <c r="Z20" s="37">
        <f>SUMIFS('📋 Транзакції'!$F$5:$F$3623,'📋 Транзакції'!$B$5:$B$3623,A20,'📋 Транзакції'!$C$5:$C$3623,"&gt;="&amp;EDATE(DATEVALUE(C20&amp;"-01"),7),'📋 Транзакції'!$C$5:$C$3623,"&lt;"&amp;EDATE(DATEVALUE(C20&amp;"-01"),8))</f>
        <v>19.99</v>
      </c>
      <c r="AA20" s="37">
        <f>SUMIFS('📋 Транзакції'!$F$5:$F$3623,'📋 Транзакції'!$B$5:$B$3623,A20,'📋 Транзакції'!$C$5:$C$3623,"&gt;="&amp;EDATE(DATEVALUE(C20&amp;"-01"),8),'📋 Транзакції'!$C$5:$C$3623,"&lt;"&amp;EDATE(DATEVALUE(C20&amp;"-01"),9))</f>
        <v>19.99</v>
      </c>
      <c r="AB20" s="37">
        <f>SUMIFS('📋 Транзакції'!$F$5:$F$3623,'📋 Транзакції'!$B$5:$B$3623,A20,'📋 Транзакції'!$C$5:$C$3623,"&gt;="&amp;EDATE(DATEVALUE(C20&amp;"-01"),9),'📋 Транзакції'!$C$5:$C$3623,"&lt;"&amp;EDATE(DATEVALUE(C20&amp;"-01"),10))</f>
        <v>19.99</v>
      </c>
      <c r="AC20" s="37">
        <f>SUMIFS('📋 Транзакції'!$F$5:$F$3623,'📋 Транзакції'!$B$5:$B$3623,A20,'📋 Транзакції'!$C$5:$C$3623,"&gt;="&amp;EDATE(DATEVALUE(C20&amp;"-01"),10),'📋 Транзакції'!$C$5:$C$3623,"&lt;"&amp;EDATE(DATEVALUE(C20&amp;"-01"),11))</f>
        <v>19.99</v>
      </c>
      <c r="AD20" s="37">
        <f>SUMIFS('📋 Транзакції'!$F$5:$F$3623,'📋 Транзакції'!$B$5:$B$3623,A20,'📋 Транзакції'!$C$5:$C$3623,"&gt;="&amp;EDATE(DATEVALUE(C20&amp;"-01"),11),'📋 Транзакції'!$C$5:$C$3623,"&lt;"&amp;EDATE(DATEVALUE(C20&amp;"-01"),12))</f>
        <v>19.99</v>
      </c>
    </row>
    <row r="21" ht="15.75" customHeight="1">
      <c r="A21" s="33" t="str">
        <f>'📋 Реєстрації'!A21:A622</f>
        <v>U0099</v>
      </c>
      <c r="B21" s="34">
        <f t="array" ref="B21">INDEX('📋 Транзакції'!$C$5:$C$3623,MATCH(A21,'📋 Транзакції'!$B$5:$B$3623,0))</f>
        <v>45310</v>
      </c>
      <c r="C21" s="35" t="str">
        <f t="shared" si="1"/>
        <v>2024-01</v>
      </c>
      <c r="D21" s="36">
        <f>COUNTIF('📋 Транзакції'!$B$5:$B$3623,A21)</f>
        <v>2</v>
      </c>
      <c r="E21" s="36">
        <f>SUMIF('📋 Транзакції'!$B$5:$B$3623,A21,'📋 Транзакції'!$F$5:$F$3623)</f>
        <v>19.99</v>
      </c>
      <c r="F21" s="35">
        <f>INT($A$1-MAXIFS('📋 Транзакції'!$C$5:$C$3623,'📋 Транзакції'!$B$5:$B$3623,A21))</f>
        <v>430</v>
      </c>
      <c r="G21" s="37">
        <f>IF(COUNTIFS('📋 Транзакції'!$B$5:$B$3623,A21,'📋 Транзакції'!$C$5:$C$3623,"&gt;="&amp;EDATE(DATEVALUE(C21&amp;"-01"),0),'📋 Транзакції'!$C$5:$C$3623,"&lt;"&amp;EDATE(DATEVALUE(C21&amp;"-01"),1))&gt;0,1,0)</f>
        <v>1</v>
      </c>
      <c r="H21" s="37">
        <f>IF(COUNTIFS('📋 Транзакції'!$B$5:$B$3623,A21,'📋 Транзакції'!$C$5:$C$3623,"&gt;="&amp;EDATE(DATEVALUE(C21&amp;"-01"),1),'📋 Транзакції'!$C$5:$C$3623,"&lt;"&amp;EDATE(DATEVALUE(C21&amp;"-01"),2))&gt;0,1,0)</f>
        <v>0</v>
      </c>
      <c r="I21" s="37">
        <f>IF(COUNTIFS('📋 Транзакції'!$B$5:$B$3623,A21,'📋 Транзакції'!$C$5:$C$3623,"&gt;="&amp;EDATE(DATEVALUE(C21&amp;"-01"),2),'📋 Транзакції'!$C$5:$C$3623,"&lt;"&amp;EDATE(DATEVALUE(C21&amp;"-01"),3))&gt;0,1,0)</f>
        <v>0</v>
      </c>
      <c r="J21" s="37">
        <f>IF(COUNTIFS('📋 Транзакції'!$B$5:$B$3623,A21,'📋 Транзакції'!$C$5:$C$3623,"&gt;="&amp;EDATE(DATEVALUE(C21&amp;"-01"),3),'📋 Транзакції'!$C$5:$C$3623,"&lt;"&amp;EDATE(DATEVALUE(C21&amp;"-01"),4))&gt;0,1,0)</f>
        <v>0</v>
      </c>
      <c r="K21" s="37">
        <f>IF(COUNTIFS('📋 Транзакції'!$B$5:$B$3623,A21,'📋 Транзакції'!$C$5:$C$3623,"&gt;="&amp;EDATE(DATEVALUE(C21&amp;"-01"),4),'📋 Транзакції'!$C$5:$C$3623,"&lt;"&amp;EDATE(DATEVALUE(C21&amp;"-01"),5))&gt;0,1,0)</f>
        <v>0</v>
      </c>
      <c r="L21" s="37">
        <f>IF(COUNTIFS('📋 Транзакції'!$B$5:$B$3623,A21,'📋 Транзакції'!$C$5:$C$3623,"&gt;="&amp;EDATE(DATEVALUE(C21&amp;"-01"),5),'📋 Транзакції'!$C$5:$C$3623,"&lt;"&amp;EDATE(DATEVALUE(C21&amp;"-01"),6))&gt;0,1,0)</f>
        <v>0</v>
      </c>
      <c r="M21" s="37">
        <f>IF(COUNTIFS('📋 Транзакції'!$B$5:$B$3623,A21,'📋 Транзакції'!$C$5:$C$3623,"&gt;="&amp;EDATE(DATEVALUE(C21&amp;"-01"),6),'📋 Транзакції'!$C$5:$C$3623,"&lt;"&amp;EDATE(DATEVALUE(C21&amp;"-01"),7))&gt;0,1,0)</f>
        <v>0</v>
      </c>
      <c r="N21" s="37">
        <f>IF(COUNTIFS('📋 Транзакції'!$B$5:$B$3623,A21,'📋 Транзакції'!$C$5:$C$3623,"&gt;="&amp;EDATE(DATEVALUE(C21&amp;"-01"),7),'📋 Транзакції'!$C$5:$C$3623,"&lt;"&amp;EDATE(DATEVALUE(C21&amp;"-01"),8))&gt;0,1,0)</f>
        <v>0</v>
      </c>
      <c r="O21" s="37">
        <f>IF(COUNTIFS('📋 Транзакції'!$B$5:$B$3623,A21,'📋 Транзакції'!$C$5:$C$3623,"&gt;="&amp;EDATE(DATEVALUE(C21&amp;"-01"),8),'📋 Транзакції'!$C$5:$C$3623,"&lt;"&amp;EDATE(DATEVALUE(C21&amp;"-01"),9))&gt;0,1,0)</f>
        <v>0</v>
      </c>
      <c r="P21" s="37">
        <f>IF(COUNTIFS('📋 Транзакції'!$B$5:$B$3623,A21,'📋 Транзакції'!$C$5:$C$3623,"&gt;="&amp;EDATE(DATEVALUE(C21&amp;"-01"),9),'📋 Транзакції'!$C$5:$C$3623,"&lt;"&amp;EDATE(DATEVALUE(C21&amp;"-01"),10))&gt;0,1,0)</f>
        <v>0</v>
      </c>
      <c r="Q21" s="37">
        <f>IF(COUNTIFS('📋 Транзакції'!$B$5:$B$3623,A21,'📋 Транзакції'!$C$5:$C$3623,"&gt;="&amp;EDATE(DATEVALUE(C21&amp;"-01"),10),'📋 Транзакції'!$C$5:$C$3623,"&lt;"&amp;EDATE(DATEVALUE(C21&amp;"-01"),11))&gt;0,1,0)</f>
        <v>0</v>
      </c>
      <c r="R21" s="37">
        <f>IF(COUNTIFS('📋 Транзакції'!$B$5:$B$3623,A21,'📋 Транзакції'!$C$5:$C$3623,"&gt;="&amp;EDATE(DATEVALUE(C21&amp;"-01"),11),'📋 Транзакції'!$C$5:$C$3623,"&lt;"&amp;EDATE(DATEVALUE(C21&amp;"-01"),12))&gt;0,1,0)</f>
        <v>0</v>
      </c>
      <c r="S21" s="37">
        <f>SUMIFS('📋 Транзакції'!$F$5:$F$3623,'📋 Транзакції'!$B$5:$B$3623,A21,'📋 Транзакції'!$C$5:$C$3623,"&gt;="&amp;EDATE(DATEVALUE(C21&amp;"-01"),0),'📋 Транзакції'!$C$5:$C$3623,"&lt;"&amp;EDATE(DATEVALUE(C21&amp;"-01"),1))</f>
        <v>19.99</v>
      </c>
      <c r="T21" s="37">
        <f>SUMIFS('📋 Транзакції'!$F$5:$F$3623,'📋 Транзакції'!$B$5:$B$3623,A21,'📋 Транзакції'!$C$5:$C$3623,"&gt;="&amp;EDATE(DATEVALUE(C21&amp;"-01"),1),'📋 Транзакції'!$C$5:$C$3623,"&lt;"&amp;EDATE(DATEVALUE(C21&amp;"-01"),2))</f>
        <v>0</v>
      </c>
      <c r="U21" s="37">
        <f>SUMIFS('📋 Транзакції'!$F$5:$F$3623,'📋 Транзакції'!$B$5:$B$3623,A21,'📋 Транзакції'!$C$5:$C$3623,"&gt;="&amp;EDATE(DATEVALUE(C21&amp;"-01"),2),'📋 Транзакції'!$C$5:$C$3623,"&lt;"&amp;EDATE(DATEVALUE(C21&amp;"-01"),3))</f>
        <v>0</v>
      </c>
      <c r="V21" s="37">
        <f>SUMIFS('📋 Транзакції'!$F$5:$F$3623,'📋 Транзакції'!$B$5:$B$3623,A21,'📋 Транзакції'!$C$5:$C$3623,"&gt;="&amp;EDATE(DATEVALUE(C21&amp;"-01"),3),'📋 Транзакції'!$C$5:$C$3623,"&lt;"&amp;EDATE(DATEVALUE(C21&amp;"-01"),4))</f>
        <v>0</v>
      </c>
      <c r="W21" s="37">
        <f>SUMIFS('📋 Транзакції'!$F$5:$F$3623,'📋 Транзакції'!$B$5:$B$3623,A21,'📋 Транзакції'!$C$5:$C$3623,"&gt;="&amp;EDATE(DATEVALUE(C21&amp;"-01"),4),'📋 Транзакції'!$C$5:$C$3623,"&lt;"&amp;EDATE(DATEVALUE(C21&amp;"-01"),5))</f>
        <v>0</v>
      </c>
      <c r="X21" s="37">
        <f>SUMIFS('📋 Транзакції'!$F$5:$F$3623,'📋 Транзакції'!$B$5:$B$3623,A21,'📋 Транзакції'!$C$5:$C$3623,"&gt;="&amp;EDATE(DATEVALUE(C21&amp;"-01"),5),'📋 Транзакції'!$C$5:$C$3623,"&lt;"&amp;EDATE(DATEVALUE(C21&amp;"-01"),6))</f>
        <v>0</v>
      </c>
      <c r="Y21" s="37">
        <f>SUMIFS('📋 Транзакції'!$F$5:$F$3623,'📋 Транзакції'!$B$5:$B$3623,A21,'📋 Транзакції'!$C$5:$C$3623,"&gt;="&amp;EDATE(DATEVALUE(C21&amp;"-01"),6),'📋 Транзакції'!$C$5:$C$3623,"&lt;"&amp;EDATE(DATEVALUE(C21&amp;"-01"),7))</f>
        <v>0</v>
      </c>
      <c r="Z21" s="37">
        <f>SUMIFS('📋 Транзакції'!$F$5:$F$3623,'📋 Транзакції'!$B$5:$B$3623,A21,'📋 Транзакції'!$C$5:$C$3623,"&gt;="&amp;EDATE(DATEVALUE(C21&amp;"-01"),7),'📋 Транзакції'!$C$5:$C$3623,"&lt;"&amp;EDATE(DATEVALUE(C21&amp;"-01"),8))</f>
        <v>0</v>
      </c>
      <c r="AA21" s="37">
        <f>SUMIFS('📋 Транзакції'!$F$5:$F$3623,'📋 Транзакції'!$B$5:$B$3623,A21,'📋 Транзакції'!$C$5:$C$3623,"&gt;="&amp;EDATE(DATEVALUE(C21&amp;"-01"),8),'📋 Транзакції'!$C$5:$C$3623,"&lt;"&amp;EDATE(DATEVALUE(C21&amp;"-01"),9))</f>
        <v>0</v>
      </c>
      <c r="AB21" s="37">
        <f>SUMIFS('📋 Транзакції'!$F$5:$F$3623,'📋 Транзакції'!$B$5:$B$3623,A21,'📋 Транзакції'!$C$5:$C$3623,"&gt;="&amp;EDATE(DATEVALUE(C21&amp;"-01"),9),'📋 Транзакції'!$C$5:$C$3623,"&lt;"&amp;EDATE(DATEVALUE(C21&amp;"-01"),10))</f>
        <v>0</v>
      </c>
      <c r="AC21" s="37">
        <f>SUMIFS('📋 Транзакції'!$F$5:$F$3623,'📋 Транзакції'!$B$5:$B$3623,A21,'📋 Транзакції'!$C$5:$C$3623,"&gt;="&amp;EDATE(DATEVALUE(C21&amp;"-01"),10),'📋 Транзакції'!$C$5:$C$3623,"&lt;"&amp;EDATE(DATEVALUE(C21&amp;"-01"),11))</f>
        <v>0</v>
      </c>
      <c r="AD21" s="37">
        <f>SUMIFS('📋 Транзакції'!$F$5:$F$3623,'📋 Транзакції'!$B$5:$B$3623,A21,'📋 Транзакції'!$C$5:$C$3623,"&gt;="&amp;EDATE(DATEVALUE(C21&amp;"-01"),11),'📋 Транзакції'!$C$5:$C$3623,"&lt;"&amp;EDATE(DATEVALUE(C21&amp;"-01"),12))</f>
        <v>0</v>
      </c>
    </row>
    <row r="22" ht="15.75" customHeight="1">
      <c r="A22" s="33" t="str">
        <f>'📋 Реєстрації'!A22:A623</f>
        <v>U0457</v>
      </c>
      <c r="B22" s="34">
        <f t="array" ref="B22">INDEX('📋 Транзакції'!$C$5:$C$3623,MATCH(A22,'📋 Транзакції'!$B$5:$B$3623,0))</f>
        <v>45310</v>
      </c>
      <c r="C22" s="35" t="str">
        <f t="shared" si="1"/>
        <v>2024-01</v>
      </c>
      <c r="D22" s="36">
        <f>COUNTIF('📋 Транзакції'!$B$5:$B$3623,A22)</f>
        <v>5</v>
      </c>
      <c r="E22" s="36">
        <f>SUMIF('📋 Транзакції'!$B$5:$B$3623,A22,'📋 Транзакції'!$F$5:$F$3623)</f>
        <v>79.96</v>
      </c>
      <c r="F22" s="35">
        <f>INT($A$1-MAXIFS('📋 Транзакції'!$C$5:$C$3623,'📋 Транзакції'!$B$5:$B$3623,A22))</f>
        <v>340</v>
      </c>
      <c r="G22" s="37">
        <f>IF(COUNTIFS('📋 Транзакції'!$B$5:$B$3623,A22,'📋 Транзакції'!$C$5:$C$3623,"&gt;="&amp;EDATE(DATEVALUE(C22&amp;"-01"),0),'📋 Транзакції'!$C$5:$C$3623,"&lt;"&amp;EDATE(DATEVALUE(C22&amp;"-01"),1))&gt;0,1,0)</f>
        <v>1</v>
      </c>
      <c r="H22" s="37">
        <f>IF(COUNTIFS('📋 Транзакції'!$B$5:$B$3623,A22,'📋 Транзакції'!$C$5:$C$3623,"&gt;="&amp;EDATE(DATEVALUE(C22&amp;"-01"),1),'📋 Транзакції'!$C$5:$C$3623,"&lt;"&amp;EDATE(DATEVALUE(C22&amp;"-01"),2))&gt;0,1,0)</f>
        <v>1</v>
      </c>
      <c r="I22" s="37">
        <f>IF(COUNTIFS('📋 Транзакції'!$B$5:$B$3623,A22,'📋 Транзакції'!$C$5:$C$3623,"&gt;="&amp;EDATE(DATEVALUE(C22&amp;"-01"),2),'📋 Транзакції'!$C$5:$C$3623,"&lt;"&amp;EDATE(DATEVALUE(C22&amp;"-01"),3))&gt;0,1,0)</f>
        <v>1</v>
      </c>
      <c r="J22" s="37">
        <f>IF(COUNTIFS('📋 Транзакції'!$B$5:$B$3623,A22,'📋 Транзакції'!$C$5:$C$3623,"&gt;="&amp;EDATE(DATEVALUE(C22&amp;"-01"),3),'📋 Транзакції'!$C$5:$C$3623,"&lt;"&amp;EDATE(DATEVALUE(C22&amp;"-01"),4))&gt;0,1,0)</f>
        <v>1</v>
      </c>
      <c r="K22" s="37">
        <f>IF(COUNTIFS('📋 Транзакції'!$B$5:$B$3623,A22,'📋 Транзакції'!$C$5:$C$3623,"&gt;="&amp;EDATE(DATEVALUE(C22&amp;"-01"),4),'📋 Транзакції'!$C$5:$C$3623,"&lt;"&amp;EDATE(DATEVALUE(C22&amp;"-01"),5))&gt;0,1,0)</f>
        <v>0</v>
      </c>
      <c r="L22" s="37">
        <f>IF(COUNTIFS('📋 Транзакції'!$B$5:$B$3623,A22,'📋 Транзакції'!$C$5:$C$3623,"&gt;="&amp;EDATE(DATEVALUE(C22&amp;"-01"),5),'📋 Транзакції'!$C$5:$C$3623,"&lt;"&amp;EDATE(DATEVALUE(C22&amp;"-01"),6))&gt;0,1,0)</f>
        <v>0</v>
      </c>
      <c r="M22" s="37">
        <f>IF(COUNTIFS('📋 Транзакції'!$B$5:$B$3623,A22,'📋 Транзакції'!$C$5:$C$3623,"&gt;="&amp;EDATE(DATEVALUE(C22&amp;"-01"),6),'📋 Транзакції'!$C$5:$C$3623,"&lt;"&amp;EDATE(DATEVALUE(C22&amp;"-01"),7))&gt;0,1,0)</f>
        <v>0</v>
      </c>
      <c r="N22" s="37">
        <f>IF(COUNTIFS('📋 Транзакції'!$B$5:$B$3623,A22,'📋 Транзакції'!$C$5:$C$3623,"&gt;="&amp;EDATE(DATEVALUE(C22&amp;"-01"),7),'📋 Транзакції'!$C$5:$C$3623,"&lt;"&amp;EDATE(DATEVALUE(C22&amp;"-01"),8))&gt;0,1,0)</f>
        <v>0</v>
      </c>
      <c r="O22" s="37">
        <f>IF(COUNTIFS('📋 Транзакції'!$B$5:$B$3623,A22,'📋 Транзакції'!$C$5:$C$3623,"&gt;="&amp;EDATE(DATEVALUE(C22&amp;"-01"),8),'📋 Транзакції'!$C$5:$C$3623,"&lt;"&amp;EDATE(DATEVALUE(C22&amp;"-01"),9))&gt;0,1,0)</f>
        <v>0</v>
      </c>
      <c r="P22" s="37">
        <f>IF(COUNTIFS('📋 Транзакції'!$B$5:$B$3623,A22,'📋 Транзакції'!$C$5:$C$3623,"&gt;="&amp;EDATE(DATEVALUE(C22&amp;"-01"),9),'📋 Транзакції'!$C$5:$C$3623,"&lt;"&amp;EDATE(DATEVALUE(C22&amp;"-01"),10))&gt;0,1,0)</f>
        <v>0</v>
      </c>
      <c r="Q22" s="37">
        <f>IF(COUNTIFS('📋 Транзакції'!$B$5:$B$3623,A22,'📋 Транзакції'!$C$5:$C$3623,"&gt;="&amp;EDATE(DATEVALUE(C22&amp;"-01"),10),'📋 Транзакції'!$C$5:$C$3623,"&lt;"&amp;EDATE(DATEVALUE(C22&amp;"-01"),11))&gt;0,1,0)</f>
        <v>0</v>
      </c>
      <c r="R22" s="37">
        <f>IF(COUNTIFS('📋 Транзакції'!$B$5:$B$3623,A22,'📋 Транзакції'!$C$5:$C$3623,"&gt;="&amp;EDATE(DATEVALUE(C22&amp;"-01"),11),'📋 Транзакції'!$C$5:$C$3623,"&lt;"&amp;EDATE(DATEVALUE(C22&amp;"-01"),12))&gt;0,1,0)</f>
        <v>0</v>
      </c>
      <c r="S22" s="37">
        <f>SUMIFS('📋 Транзакції'!$F$5:$F$3623,'📋 Транзакції'!$B$5:$B$3623,A22,'📋 Транзакції'!$C$5:$C$3623,"&gt;="&amp;EDATE(DATEVALUE(C22&amp;"-01"),0),'📋 Транзакції'!$C$5:$C$3623,"&lt;"&amp;EDATE(DATEVALUE(C22&amp;"-01"),1))</f>
        <v>19.99</v>
      </c>
      <c r="T22" s="37">
        <f>SUMIFS('📋 Транзакції'!$F$5:$F$3623,'📋 Транзакції'!$B$5:$B$3623,A22,'📋 Транзакції'!$C$5:$C$3623,"&gt;="&amp;EDATE(DATEVALUE(C22&amp;"-01"),1),'📋 Транзакції'!$C$5:$C$3623,"&lt;"&amp;EDATE(DATEVALUE(C22&amp;"-01"),2))</f>
        <v>19.99</v>
      </c>
      <c r="U22" s="37">
        <f>SUMIFS('📋 Транзакції'!$F$5:$F$3623,'📋 Транзакції'!$B$5:$B$3623,A22,'📋 Транзакції'!$C$5:$C$3623,"&gt;="&amp;EDATE(DATEVALUE(C22&amp;"-01"),2),'📋 Транзакції'!$C$5:$C$3623,"&lt;"&amp;EDATE(DATEVALUE(C22&amp;"-01"),3))</f>
        <v>19.99</v>
      </c>
      <c r="V22" s="37">
        <f>SUMIFS('📋 Транзакції'!$F$5:$F$3623,'📋 Транзакції'!$B$5:$B$3623,A22,'📋 Транзакції'!$C$5:$C$3623,"&gt;="&amp;EDATE(DATEVALUE(C22&amp;"-01"),3),'📋 Транзакції'!$C$5:$C$3623,"&lt;"&amp;EDATE(DATEVALUE(C22&amp;"-01"),4))</f>
        <v>19.99</v>
      </c>
      <c r="W22" s="37">
        <f>SUMIFS('📋 Транзакції'!$F$5:$F$3623,'📋 Транзакції'!$B$5:$B$3623,A22,'📋 Транзакції'!$C$5:$C$3623,"&gt;="&amp;EDATE(DATEVALUE(C22&amp;"-01"),4),'📋 Транзакції'!$C$5:$C$3623,"&lt;"&amp;EDATE(DATEVALUE(C22&amp;"-01"),5))</f>
        <v>0</v>
      </c>
      <c r="X22" s="37">
        <f>SUMIFS('📋 Транзакції'!$F$5:$F$3623,'📋 Транзакції'!$B$5:$B$3623,A22,'📋 Транзакції'!$C$5:$C$3623,"&gt;="&amp;EDATE(DATEVALUE(C22&amp;"-01"),5),'📋 Транзакції'!$C$5:$C$3623,"&lt;"&amp;EDATE(DATEVALUE(C22&amp;"-01"),6))</f>
        <v>0</v>
      </c>
      <c r="Y22" s="37">
        <f>SUMIFS('📋 Транзакції'!$F$5:$F$3623,'📋 Транзакції'!$B$5:$B$3623,A22,'📋 Транзакції'!$C$5:$C$3623,"&gt;="&amp;EDATE(DATEVALUE(C22&amp;"-01"),6),'📋 Транзакції'!$C$5:$C$3623,"&lt;"&amp;EDATE(DATEVALUE(C22&amp;"-01"),7))</f>
        <v>0</v>
      </c>
      <c r="Z22" s="37">
        <f>SUMIFS('📋 Транзакції'!$F$5:$F$3623,'📋 Транзакції'!$B$5:$B$3623,A22,'📋 Транзакції'!$C$5:$C$3623,"&gt;="&amp;EDATE(DATEVALUE(C22&amp;"-01"),7),'📋 Транзакції'!$C$5:$C$3623,"&lt;"&amp;EDATE(DATEVALUE(C22&amp;"-01"),8))</f>
        <v>0</v>
      </c>
      <c r="AA22" s="37">
        <f>SUMIFS('📋 Транзакції'!$F$5:$F$3623,'📋 Транзакції'!$B$5:$B$3623,A22,'📋 Транзакції'!$C$5:$C$3623,"&gt;="&amp;EDATE(DATEVALUE(C22&amp;"-01"),8),'📋 Транзакції'!$C$5:$C$3623,"&lt;"&amp;EDATE(DATEVALUE(C22&amp;"-01"),9))</f>
        <v>0</v>
      </c>
      <c r="AB22" s="37">
        <f>SUMIFS('📋 Транзакції'!$F$5:$F$3623,'📋 Транзакції'!$B$5:$B$3623,A22,'📋 Транзакції'!$C$5:$C$3623,"&gt;="&amp;EDATE(DATEVALUE(C22&amp;"-01"),9),'📋 Транзакції'!$C$5:$C$3623,"&lt;"&amp;EDATE(DATEVALUE(C22&amp;"-01"),10))</f>
        <v>0</v>
      </c>
      <c r="AC22" s="37">
        <f>SUMIFS('📋 Транзакції'!$F$5:$F$3623,'📋 Транзакції'!$B$5:$B$3623,A22,'📋 Транзакції'!$C$5:$C$3623,"&gt;="&amp;EDATE(DATEVALUE(C22&amp;"-01"),10),'📋 Транзакції'!$C$5:$C$3623,"&lt;"&amp;EDATE(DATEVALUE(C22&amp;"-01"),11))</f>
        <v>0</v>
      </c>
      <c r="AD22" s="37">
        <f>SUMIFS('📋 Транзакції'!$F$5:$F$3623,'📋 Транзакції'!$B$5:$B$3623,A22,'📋 Транзакції'!$C$5:$C$3623,"&gt;="&amp;EDATE(DATEVALUE(C22&amp;"-01"),11),'📋 Транзакції'!$C$5:$C$3623,"&lt;"&amp;EDATE(DATEVALUE(C22&amp;"-01"),12))</f>
        <v>0</v>
      </c>
    </row>
    <row r="23" ht="15.75" customHeight="1">
      <c r="A23" s="33" t="str">
        <f>'📋 Реєстрації'!A23:A624</f>
        <v>U0372</v>
      </c>
      <c r="B23" s="34">
        <f t="array" ref="B23">INDEX('📋 Транзакції'!$C$5:$C$3623,MATCH(A23,'📋 Транзакції'!$B$5:$B$3623,0))</f>
        <v>45312</v>
      </c>
      <c r="C23" s="35" t="str">
        <f t="shared" si="1"/>
        <v>2024-01</v>
      </c>
      <c r="D23" s="36">
        <f>COUNTIF('📋 Транзакції'!$B$5:$B$3623,A23)</f>
        <v>16</v>
      </c>
      <c r="E23" s="36">
        <f>SUMIF('📋 Транзакції'!$B$5:$B$3623,A23,'📋 Транзакції'!$F$5:$F$3623)</f>
        <v>299.85</v>
      </c>
      <c r="F23" s="35">
        <f>INT($A$1-MAXIFS('📋 Транзакції'!$C$5:$C$3623,'📋 Транзакції'!$B$5:$B$3623,A23))</f>
        <v>8</v>
      </c>
      <c r="G23" s="37">
        <f>IF(COUNTIFS('📋 Транзакції'!$B$5:$B$3623,A23,'📋 Транзакції'!$C$5:$C$3623,"&gt;="&amp;EDATE(DATEVALUE(C23&amp;"-01"),0),'📋 Транзакції'!$C$5:$C$3623,"&lt;"&amp;EDATE(DATEVALUE(C23&amp;"-01"),1))&gt;0,1,0)</f>
        <v>1</v>
      </c>
      <c r="H23" s="37">
        <f>IF(COUNTIFS('📋 Транзакції'!$B$5:$B$3623,A23,'📋 Транзакції'!$C$5:$C$3623,"&gt;="&amp;EDATE(DATEVALUE(C23&amp;"-01"),1),'📋 Транзакції'!$C$5:$C$3623,"&lt;"&amp;EDATE(DATEVALUE(C23&amp;"-01"),2))&gt;0,1,0)</f>
        <v>1</v>
      </c>
      <c r="I23" s="37">
        <f>IF(COUNTIFS('📋 Транзакції'!$B$5:$B$3623,A23,'📋 Транзакції'!$C$5:$C$3623,"&gt;="&amp;EDATE(DATEVALUE(C23&amp;"-01"),2),'📋 Транзакції'!$C$5:$C$3623,"&lt;"&amp;EDATE(DATEVALUE(C23&amp;"-01"),3))&gt;0,1,0)</f>
        <v>1</v>
      </c>
      <c r="J23" s="37">
        <f>IF(COUNTIFS('📋 Транзакції'!$B$5:$B$3623,A23,'📋 Транзакції'!$C$5:$C$3623,"&gt;="&amp;EDATE(DATEVALUE(C23&amp;"-01"),3),'📋 Транзакції'!$C$5:$C$3623,"&lt;"&amp;EDATE(DATEVALUE(C23&amp;"-01"),4))&gt;0,1,0)</f>
        <v>1</v>
      </c>
      <c r="K23" s="37">
        <f>IF(COUNTIFS('📋 Транзакції'!$B$5:$B$3623,A23,'📋 Транзакції'!$C$5:$C$3623,"&gt;="&amp;EDATE(DATEVALUE(C23&amp;"-01"),4),'📋 Транзакції'!$C$5:$C$3623,"&lt;"&amp;EDATE(DATEVALUE(C23&amp;"-01"),5))&gt;0,1,0)</f>
        <v>1</v>
      </c>
      <c r="L23" s="37">
        <f>IF(COUNTIFS('📋 Транзакції'!$B$5:$B$3623,A23,'📋 Транзакції'!$C$5:$C$3623,"&gt;="&amp;EDATE(DATEVALUE(C23&amp;"-01"),5),'📋 Транзакції'!$C$5:$C$3623,"&lt;"&amp;EDATE(DATEVALUE(C23&amp;"-01"),6))&gt;0,1,0)</f>
        <v>1</v>
      </c>
      <c r="M23" s="37">
        <f>IF(COUNTIFS('📋 Транзакції'!$B$5:$B$3623,A23,'📋 Транзакції'!$C$5:$C$3623,"&gt;="&amp;EDATE(DATEVALUE(C23&amp;"-01"),6),'📋 Транзакції'!$C$5:$C$3623,"&lt;"&amp;EDATE(DATEVALUE(C23&amp;"-01"),7))&gt;0,1,0)</f>
        <v>1</v>
      </c>
      <c r="N23" s="37">
        <f>IF(COUNTIFS('📋 Транзакції'!$B$5:$B$3623,A23,'📋 Транзакції'!$C$5:$C$3623,"&gt;="&amp;EDATE(DATEVALUE(C23&amp;"-01"),7),'📋 Транзакції'!$C$5:$C$3623,"&lt;"&amp;EDATE(DATEVALUE(C23&amp;"-01"),8))&gt;0,1,0)</f>
        <v>1</v>
      </c>
      <c r="O23" s="37">
        <f>IF(COUNTIFS('📋 Транзакції'!$B$5:$B$3623,A23,'📋 Транзакції'!$C$5:$C$3623,"&gt;="&amp;EDATE(DATEVALUE(C23&amp;"-01"),8),'📋 Транзакції'!$C$5:$C$3623,"&lt;"&amp;EDATE(DATEVALUE(C23&amp;"-01"),9))&gt;0,1,0)</f>
        <v>1</v>
      </c>
      <c r="P23" s="37">
        <f>IF(COUNTIFS('📋 Транзакції'!$B$5:$B$3623,A23,'📋 Транзакції'!$C$5:$C$3623,"&gt;="&amp;EDATE(DATEVALUE(C23&amp;"-01"),9),'📋 Транзакції'!$C$5:$C$3623,"&lt;"&amp;EDATE(DATEVALUE(C23&amp;"-01"),10))&gt;0,1,0)</f>
        <v>1</v>
      </c>
      <c r="Q23" s="37">
        <f>IF(COUNTIFS('📋 Транзакції'!$B$5:$B$3623,A23,'📋 Транзакції'!$C$5:$C$3623,"&gt;="&amp;EDATE(DATEVALUE(C23&amp;"-01"),10),'📋 Транзакції'!$C$5:$C$3623,"&lt;"&amp;EDATE(DATEVALUE(C23&amp;"-01"),11))&gt;0,1,0)</f>
        <v>1</v>
      </c>
      <c r="R23" s="37">
        <f>IF(COUNTIFS('📋 Транзакції'!$B$5:$B$3623,A23,'📋 Транзакції'!$C$5:$C$3623,"&gt;="&amp;EDATE(DATEVALUE(C23&amp;"-01"),11),'📋 Транзакції'!$C$5:$C$3623,"&lt;"&amp;EDATE(DATEVALUE(C23&amp;"-01"),12))&gt;0,1,0)</f>
        <v>1</v>
      </c>
      <c r="S23" s="37">
        <f>SUMIFS('📋 Транзакції'!$F$5:$F$3623,'📋 Транзакції'!$B$5:$B$3623,A23,'📋 Транзакції'!$C$5:$C$3623,"&gt;="&amp;EDATE(DATEVALUE(C23&amp;"-01"),0),'📋 Транзакції'!$C$5:$C$3623,"&lt;"&amp;EDATE(DATEVALUE(C23&amp;"-01"),1))</f>
        <v>19.99</v>
      </c>
      <c r="T23" s="37">
        <f>SUMIFS('📋 Транзакції'!$F$5:$F$3623,'📋 Транзакції'!$B$5:$B$3623,A23,'📋 Транзакції'!$C$5:$C$3623,"&gt;="&amp;EDATE(DATEVALUE(C23&amp;"-01"),1),'📋 Транзакції'!$C$5:$C$3623,"&lt;"&amp;EDATE(DATEVALUE(C23&amp;"-01"),2))</f>
        <v>19.99</v>
      </c>
      <c r="U23" s="37">
        <f>SUMIFS('📋 Транзакції'!$F$5:$F$3623,'📋 Транзакції'!$B$5:$B$3623,A23,'📋 Транзакції'!$C$5:$C$3623,"&gt;="&amp;EDATE(DATEVALUE(C23&amp;"-01"),2),'📋 Транзакції'!$C$5:$C$3623,"&lt;"&amp;EDATE(DATEVALUE(C23&amp;"-01"),3))</f>
        <v>19.99</v>
      </c>
      <c r="V23" s="37">
        <f>SUMIFS('📋 Транзакції'!$F$5:$F$3623,'📋 Транзакції'!$B$5:$B$3623,A23,'📋 Транзакції'!$C$5:$C$3623,"&gt;="&amp;EDATE(DATEVALUE(C23&amp;"-01"),3),'📋 Транзакції'!$C$5:$C$3623,"&lt;"&amp;EDATE(DATEVALUE(C23&amp;"-01"),4))</f>
        <v>19.99</v>
      </c>
      <c r="W23" s="37">
        <f>SUMIFS('📋 Транзакції'!$F$5:$F$3623,'📋 Транзакції'!$B$5:$B$3623,A23,'📋 Транзакції'!$C$5:$C$3623,"&gt;="&amp;EDATE(DATEVALUE(C23&amp;"-01"),4),'📋 Транзакції'!$C$5:$C$3623,"&lt;"&amp;EDATE(DATEVALUE(C23&amp;"-01"),5))</f>
        <v>19.99</v>
      </c>
      <c r="X23" s="37">
        <f>SUMIFS('📋 Транзакції'!$F$5:$F$3623,'📋 Транзакції'!$B$5:$B$3623,A23,'📋 Транзакції'!$C$5:$C$3623,"&gt;="&amp;EDATE(DATEVALUE(C23&amp;"-01"),5),'📋 Транзакції'!$C$5:$C$3623,"&lt;"&amp;EDATE(DATEVALUE(C23&amp;"-01"),6))</f>
        <v>19.99</v>
      </c>
      <c r="Y23" s="37">
        <f>SUMIFS('📋 Транзакції'!$F$5:$F$3623,'📋 Транзакції'!$B$5:$B$3623,A23,'📋 Транзакції'!$C$5:$C$3623,"&gt;="&amp;EDATE(DATEVALUE(C23&amp;"-01"),6),'📋 Транзакції'!$C$5:$C$3623,"&lt;"&amp;EDATE(DATEVALUE(C23&amp;"-01"),7))</f>
        <v>19.99</v>
      </c>
      <c r="Z23" s="37">
        <f>SUMIFS('📋 Транзакції'!$F$5:$F$3623,'📋 Транзакції'!$B$5:$B$3623,A23,'📋 Транзакції'!$C$5:$C$3623,"&gt;="&amp;EDATE(DATEVALUE(C23&amp;"-01"),7),'📋 Транзакції'!$C$5:$C$3623,"&lt;"&amp;EDATE(DATEVALUE(C23&amp;"-01"),8))</f>
        <v>19.99</v>
      </c>
      <c r="AA23" s="37">
        <f>SUMIFS('📋 Транзакції'!$F$5:$F$3623,'📋 Транзакції'!$B$5:$B$3623,A23,'📋 Транзакції'!$C$5:$C$3623,"&gt;="&amp;EDATE(DATEVALUE(C23&amp;"-01"),8),'📋 Транзакції'!$C$5:$C$3623,"&lt;"&amp;EDATE(DATEVALUE(C23&amp;"-01"),9))</f>
        <v>19.99</v>
      </c>
      <c r="AB23" s="37">
        <f>SUMIFS('📋 Транзакції'!$F$5:$F$3623,'📋 Транзакції'!$B$5:$B$3623,A23,'📋 Транзакції'!$C$5:$C$3623,"&gt;="&amp;EDATE(DATEVALUE(C23&amp;"-01"),9),'📋 Транзакції'!$C$5:$C$3623,"&lt;"&amp;EDATE(DATEVALUE(C23&amp;"-01"),10))</f>
        <v>19.99</v>
      </c>
      <c r="AC23" s="37">
        <f>SUMIFS('📋 Транзакції'!$F$5:$F$3623,'📋 Транзакції'!$B$5:$B$3623,A23,'📋 Транзакції'!$C$5:$C$3623,"&gt;="&amp;EDATE(DATEVALUE(C23&amp;"-01"),10),'📋 Транзакції'!$C$5:$C$3623,"&lt;"&amp;EDATE(DATEVALUE(C23&amp;"-01"),11))</f>
        <v>19.99</v>
      </c>
      <c r="AD23" s="37">
        <f>SUMIFS('📋 Транзакції'!$F$5:$F$3623,'📋 Транзакції'!$B$5:$B$3623,A23,'📋 Транзакції'!$C$5:$C$3623,"&gt;="&amp;EDATE(DATEVALUE(C23&amp;"-01"),11),'📋 Транзакції'!$C$5:$C$3623,"&lt;"&amp;EDATE(DATEVALUE(C23&amp;"-01"),12))</f>
        <v>19.99</v>
      </c>
    </row>
    <row r="24" ht="15.75" customHeight="1">
      <c r="A24" s="33" t="str">
        <f>'📋 Реєстрації'!A24:A625</f>
        <v>U0899</v>
      </c>
      <c r="B24" s="34">
        <f t="array" ref="B24">INDEX('📋 Транзакції'!$C$5:$C$3623,MATCH(A24,'📋 Транзакції'!$B$5:$B$3623,0))</f>
        <v>45312</v>
      </c>
      <c r="C24" s="35" t="str">
        <f t="shared" si="1"/>
        <v>2024-01</v>
      </c>
      <c r="D24" s="36">
        <f>COUNTIF('📋 Транзакції'!$B$5:$B$3623,A24)</f>
        <v>16</v>
      </c>
      <c r="E24" s="36">
        <f>SUMIF('📋 Транзакції'!$B$5:$B$3623,A24,'📋 Транзакції'!$F$5:$F$3623)</f>
        <v>299.85</v>
      </c>
      <c r="F24" s="35">
        <f>INT($A$1-MAXIFS('📋 Транзакції'!$C$5:$C$3623,'📋 Транзакції'!$B$5:$B$3623,A24))</f>
        <v>8</v>
      </c>
      <c r="G24" s="37">
        <f>IF(COUNTIFS('📋 Транзакції'!$B$5:$B$3623,A24,'📋 Транзакції'!$C$5:$C$3623,"&gt;="&amp;EDATE(DATEVALUE(C24&amp;"-01"),0),'📋 Транзакції'!$C$5:$C$3623,"&lt;"&amp;EDATE(DATEVALUE(C24&amp;"-01"),1))&gt;0,1,0)</f>
        <v>1</v>
      </c>
      <c r="H24" s="37">
        <f>IF(COUNTIFS('📋 Транзакції'!$B$5:$B$3623,A24,'📋 Транзакції'!$C$5:$C$3623,"&gt;="&amp;EDATE(DATEVALUE(C24&amp;"-01"),1),'📋 Транзакції'!$C$5:$C$3623,"&lt;"&amp;EDATE(DATEVALUE(C24&amp;"-01"),2))&gt;0,1,0)</f>
        <v>1</v>
      </c>
      <c r="I24" s="37">
        <f>IF(COUNTIFS('📋 Транзакції'!$B$5:$B$3623,A24,'📋 Транзакції'!$C$5:$C$3623,"&gt;="&amp;EDATE(DATEVALUE(C24&amp;"-01"),2),'📋 Транзакції'!$C$5:$C$3623,"&lt;"&amp;EDATE(DATEVALUE(C24&amp;"-01"),3))&gt;0,1,0)</f>
        <v>1</v>
      </c>
      <c r="J24" s="37">
        <f>IF(COUNTIFS('📋 Транзакції'!$B$5:$B$3623,A24,'📋 Транзакції'!$C$5:$C$3623,"&gt;="&amp;EDATE(DATEVALUE(C24&amp;"-01"),3),'📋 Транзакції'!$C$5:$C$3623,"&lt;"&amp;EDATE(DATEVALUE(C24&amp;"-01"),4))&gt;0,1,0)</f>
        <v>1</v>
      </c>
      <c r="K24" s="37">
        <f>IF(COUNTIFS('📋 Транзакції'!$B$5:$B$3623,A24,'📋 Транзакції'!$C$5:$C$3623,"&gt;="&amp;EDATE(DATEVALUE(C24&amp;"-01"),4),'📋 Транзакції'!$C$5:$C$3623,"&lt;"&amp;EDATE(DATEVALUE(C24&amp;"-01"),5))&gt;0,1,0)</f>
        <v>1</v>
      </c>
      <c r="L24" s="37">
        <f>IF(COUNTIFS('📋 Транзакції'!$B$5:$B$3623,A24,'📋 Транзакції'!$C$5:$C$3623,"&gt;="&amp;EDATE(DATEVALUE(C24&amp;"-01"),5),'📋 Транзакції'!$C$5:$C$3623,"&lt;"&amp;EDATE(DATEVALUE(C24&amp;"-01"),6))&gt;0,1,0)</f>
        <v>1</v>
      </c>
      <c r="M24" s="37">
        <f>IF(COUNTIFS('📋 Транзакції'!$B$5:$B$3623,A24,'📋 Транзакції'!$C$5:$C$3623,"&gt;="&amp;EDATE(DATEVALUE(C24&amp;"-01"),6),'📋 Транзакції'!$C$5:$C$3623,"&lt;"&amp;EDATE(DATEVALUE(C24&amp;"-01"),7))&gt;0,1,0)</f>
        <v>1</v>
      </c>
      <c r="N24" s="37">
        <f>IF(COUNTIFS('📋 Транзакції'!$B$5:$B$3623,A24,'📋 Транзакції'!$C$5:$C$3623,"&gt;="&amp;EDATE(DATEVALUE(C24&amp;"-01"),7),'📋 Транзакції'!$C$5:$C$3623,"&lt;"&amp;EDATE(DATEVALUE(C24&amp;"-01"),8))&gt;0,1,0)</f>
        <v>1</v>
      </c>
      <c r="O24" s="37">
        <f>IF(COUNTIFS('📋 Транзакції'!$B$5:$B$3623,A24,'📋 Транзакції'!$C$5:$C$3623,"&gt;="&amp;EDATE(DATEVALUE(C24&amp;"-01"),8),'📋 Транзакції'!$C$5:$C$3623,"&lt;"&amp;EDATE(DATEVALUE(C24&amp;"-01"),9))&gt;0,1,0)</f>
        <v>1</v>
      </c>
      <c r="P24" s="37">
        <f>IF(COUNTIFS('📋 Транзакції'!$B$5:$B$3623,A24,'📋 Транзакції'!$C$5:$C$3623,"&gt;="&amp;EDATE(DATEVALUE(C24&amp;"-01"),9),'📋 Транзакції'!$C$5:$C$3623,"&lt;"&amp;EDATE(DATEVALUE(C24&amp;"-01"),10))&gt;0,1,0)</f>
        <v>1</v>
      </c>
      <c r="Q24" s="37">
        <f>IF(COUNTIFS('📋 Транзакції'!$B$5:$B$3623,A24,'📋 Транзакції'!$C$5:$C$3623,"&gt;="&amp;EDATE(DATEVALUE(C24&amp;"-01"),10),'📋 Транзакції'!$C$5:$C$3623,"&lt;"&amp;EDATE(DATEVALUE(C24&amp;"-01"),11))&gt;0,1,0)</f>
        <v>1</v>
      </c>
      <c r="R24" s="37">
        <f>IF(COUNTIFS('📋 Транзакції'!$B$5:$B$3623,A24,'📋 Транзакції'!$C$5:$C$3623,"&gt;="&amp;EDATE(DATEVALUE(C24&amp;"-01"),11),'📋 Транзакції'!$C$5:$C$3623,"&lt;"&amp;EDATE(DATEVALUE(C24&amp;"-01"),12))&gt;0,1,0)</f>
        <v>1</v>
      </c>
      <c r="S24" s="37">
        <f>SUMIFS('📋 Транзакції'!$F$5:$F$3623,'📋 Транзакції'!$B$5:$B$3623,A24,'📋 Транзакції'!$C$5:$C$3623,"&gt;="&amp;EDATE(DATEVALUE(C24&amp;"-01"),0),'📋 Транзакції'!$C$5:$C$3623,"&lt;"&amp;EDATE(DATEVALUE(C24&amp;"-01"),1))</f>
        <v>19.99</v>
      </c>
      <c r="T24" s="37">
        <f>SUMIFS('📋 Транзакції'!$F$5:$F$3623,'📋 Транзакції'!$B$5:$B$3623,A24,'📋 Транзакції'!$C$5:$C$3623,"&gt;="&amp;EDATE(DATEVALUE(C24&amp;"-01"),1),'📋 Транзакції'!$C$5:$C$3623,"&lt;"&amp;EDATE(DATEVALUE(C24&amp;"-01"),2))</f>
        <v>19.99</v>
      </c>
      <c r="U24" s="37">
        <f>SUMIFS('📋 Транзакції'!$F$5:$F$3623,'📋 Транзакції'!$B$5:$B$3623,A24,'📋 Транзакції'!$C$5:$C$3623,"&gt;="&amp;EDATE(DATEVALUE(C24&amp;"-01"),2),'📋 Транзакції'!$C$5:$C$3623,"&lt;"&amp;EDATE(DATEVALUE(C24&amp;"-01"),3))</f>
        <v>19.99</v>
      </c>
      <c r="V24" s="37">
        <f>SUMIFS('📋 Транзакції'!$F$5:$F$3623,'📋 Транзакції'!$B$5:$B$3623,A24,'📋 Транзакції'!$C$5:$C$3623,"&gt;="&amp;EDATE(DATEVALUE(C24&amp;"-01"),3),'📋 Транзакції'!$C$5:$C$3623,"&lt;"&amp;EDATE(DATEVALUE(C24&amp;"-01"),4))</f>
        <v>19.99</v>
      </c>
      <c r="W24" s="37">
        <f>SUMIFS('📋 Транзакції'!$F$5:$F$3623,'📋 Транзакції'!$B$5:$B$3623,A24,'📋 Транзакції'!$C$5:$C$3623,"&gt;="&amp;EDATE(DATEVALUE(C24&amp;"-01"),4),'📋 Транзакції'!$C$5:$C$3623,"&lt;"&amp;EDATE(DATEVALUE(C24&amp;"-01"),5))</f>
        <v>19.99</v>
      </c>
      <c r="X24" s="37">
        <f>SUMIFS('📋 Транзакції'!$F$5:$F$3623,'📋 Транзакції'!$B$5:$B$3623,A24,'📋 Транзакції'!$C$5:$C$3623,"&gt;="&amp;EDATE(DATEVALUE(C24&amp;"-01"),5),'📋 Транзакції'!$C$5:$C$3623,"&lt;"&amp;EDATE(DATEVALUE(C24&amp;"-01"),6))</f>
        <v>19.99</v>
      </c>
      <c r="Y24" s="37">
        <f>SUMIFS('📋 Транзакції'!$F$5:$F$3623,'📋 Транзакції'!$B$5:$B$3623,A24,'📋 Транзакції'!$C$5:$C$3623,"&gt;="&amp;EDATE(DATEVALUE(C24&amp;"-01"),6),'📋 Транзакції'!$C$5:$C$3623,"&lt;"&amp;EDATE(DATEVALUE(C24&amp;"-01"),7))</f>
        <v>19.99</v>
      </c>
      <c r="Z24" s="37">
        <f>SUMIFS('📋 Транзакції'!$F$5:$F$3623,'📋 Транзакції'!$B$5:$B$3623,A24,'📋 Транзакції'!$C$5:$C$3623,"&gt;="&amp;EDATE(DATEVALUE(C24&amp;"-01"),7),'📋 Транзакції'!$C$5:$C$3623,"&lt;"&amp;EDATE(DATEVALUE(C24&amp;"-01"),8))</f>
        <v>19.99</v>
      </c>
      <c r="AA24" s="37">
        <f>SUMIFS('📋 Транзакції'!$F$5:$F$3623,'📋 Транзакції'!$B$5:$B$3623,A24,'📋 Транзакції'!$C$5:$C$3623,"&gt;="&amp;EDATE(DATEVALUE(C24&amp;"-01"),8),'📋 Транзакції'!$C$5:$C$3623,"&lt;"&amp;EDATE(DATEVALUE(C24&amp;"-01"),9))</f>
        <v>19.99</v>
      </c>
      <c r="AB24" s="37">
        <f>SUMIFS('📋 Транзакції'!$F$5:$F$3623,'📋 Транзакції'!$B$5:$B$3623,A24,'📋 Транзакції'!$C$5:$C$3623,"&gt;="&amp;EDATE(DATEVALUE(C24&amp;"-01"),9),'📋 Транзакції'!$C$5:$C$3623,"&lt;"&amp;EDATE(DATEVALUE(C24&amp;"-01"),10))</f>
        <v>19.99</v>
      </c>
      <c r="AC24" s="37">
        <f>SUMIFS('📋 Транзакції'!$F$5:$F$3623,'📋 Транзакції'!$B$5:$B$3623,A24,'📋 Транзакції'!$C$5:$C$3623,"&gt;="&amp;EDATE(DATEVALUE(C24&amp;"-01"),10),'📋 Транзакції'!$C$5:$C$3623,"&lt;"&amp;EDATE(DATEVALUE(C24&amp;"-01"),11))</f>
        <v>19.99</v>
      </c>
      <c r="AD24" s="37">
        <f>SUMIFS('📋 Транзакції'!$F$5:$F$3623,'📋 Транзакції'!$B$5:$B$3623,A24,'📋 Транзакції'!$C$5:$C$3623,"&gt;="&amp;EDATE(DATEVALUE(C24&amp;"-01"),11),'📋 Транзакції'!$C$5:$C$3623,"&lt;"&amp;EDATE(DATEVALUE(C24&amp;"-01"),12))</f>
        <v>19.99</v>
      </c>
    </row>
    <row r="25" ht="15.75" customHeight="1">
      <c r="A25" s="33" t="str">
        <f>'📋 Реєстрації'!A25:A626</f>
        <v>U0073</v>
      </c>
      <c r="B25" s="34">
        <f t="array" ref="B25">INDEX('📋 Транзакції'!$C$5:$C$3623,MATCH(A25,'📋 Транзакції'!$B$5:$B$3623,0))</f>
        <v>45313</v>
      </c>
      <c r="C25" s="35" t="str">
        <f t="shared" si="1"/>
        <v>2024-01</v>
      </c>
      <c r="D25" s="36">
        <f>COUNTIF('📋 Транзакції'!$B$5:$B$3623,A25)</f>
        <v>16</v>
      </c>
      <c r="E25" s="36">
        <f>SUMIF('📋 Транзакції'!$B$5:$B$3623,A25,'📋 Транзакції'!$F$5:$F$3623)</f>
        <v>299.85</v>
      </c>
      <c r="F25" s="35">
        <f>INT($A$1-MAXIFS('📋 Транзакції'!$C$5:$C$3623,'📋 Транзакції'!$B$5:$B$3623,A25))</f>
        <v>7</v>
      </c>
      <c r="G25" s="37">
        <f>IF(COUNTIFS('📋 Транзакції'!$B$5:$B$3623,A25,'📋 Транзакції'!$C$5:$C$3623,"&gt;="&amp;EDATE(DATEVALUE(C25&amp;"-01"),0),'📋 Транзакції'!$C$5:$C$3623,"&lt;"&amp;EDATE(DATEVALUE(C25&amp;"-01"),1))&gt;0,1,0)</f>
        <v>1</v>
      </c>
      <c r="H25" s="37">
        <f>IF(COUNTIFS('📋 Транзакції'!$B$5:$B$3623,A25,'📋 Транзакції'!$C$5:$C$3623,"&gt;="&amp;EDATE(DATEVALUE(C25&amp;"-01"),1),'📋 Транзакції'!$C$5:$C$3623,"&lt;"&amp;EDATE(DATEVALUE(C25&amp;"-01"),2))&gt;0,1,0)</f>
        <v>1</v>
      </c>
      <c r="I25" s="37">
        <f>IF(COUNTIFS('📋 Транзакції'!$B$5:$B$3623,A25,'📋 Транзакції'!$C$5:$C$3623,"&gt;="&amp;EDATE(DATEVALUE(C25&amp;"-01"),2),'📋 Транзакції'!$C$5:$C$3623,"&lt;"&amp;EDATE(DATEVALUE(C25&amp;"-01"),3))&gt;0,1,0)</f>
        <v>1</v>
      </c>
      <c r="J25" s="37">
        <f>IF(COUNTIFS('📋 Транзакції'!$B$5:$B$3623,A25,'📋 Транзакції'!$C$5:$C$3623,"&gt;="&amp;EDATE(DATEVALUE(C25&amp;"-01"),3),'📋 Транзакції'!$C$5:$C$3623,"&lt;"&amp;EDATE(DATEVALUE(C25&amp;"-01"),4))&gt;0,1,0)</f>
        <v>1</v>
      </c>
      <c r="K25" s="37">
        <f>IF(COUNTIFS('📋 Транзакції'!$B$5:$B$3623,A25,'📋 Транзакції'!$C$5:$C$3623,"&gt;="&amp;EDATE(DATEVALUE(C25&amp;"-01"),4),'📋 Транзакції'!$C$5:$C$3623,"&lt;"&amp;EDATE(DATEVALUE(C25&amp;"-01"),5))&gt;0,1,0)</f>
        <v>1</v>
      </c>
      <c r="L25" s="37">
        <f>IF(COUNTIFS('📋 Транзакції'!$B$5:$B$3623,A25,'📋 Транзакції'!$C$5:$C$3623,"&gt;="&amp;EDATE(DATEVALUE(C25&amp;"-01"),5),'📋 Транзакції'!$C$5:$C$3623,"&lt;"&amp;EDATE(DATEVALUE(C25&amp;"-01"),6))&gt;0,1,0)</f>
        <v>1</v>
      </c>
      <c r="M25" s="37">
        <f>IF(COUNTIFS('📋 Транзакції'!$B$5:$B$3623,A25,'📋 Транзакції'!$C$5:$C$3623,"&gt;="&amp;EDATE(DATEVALUE(C25&amp;"-01"),6),'📋 Транзакції'!$C$5:$C$3623,"&lt;"&amp;EDATE(DATEVALUE(C25&amp;"-01"),7))&gt;0,1,0)</f>
        <v>1</v>
      </c>
      <c r="N25" s="37">
        <f>IF(COUNTIFS('📋 Транзакції'!$B$5:$B$3623,A25,'📋 Транзакції'!$C$5:$C$3623,"&gt;="&amp;EDATE(DATEVALUE(C25&amp;"-01"),7),'📋 Транзакції'!$C$5:$C$3623,"&lt;"&amp;EDATE(DATEVALUE(C25&amp;"-01"),8))&gt;0,1,0)</f>
        <v>1</v>
      </c>
      <c r="O25" s="37">
        <f>IF(COUNTIFS('📋 Транзакції'!$B$5:$B$3623,A25,'📋 Транзакції'!$C$5:$C$3623,"&gt;="&amp;EDATE(DATEVALUE(C25&amp;"-01"),8),'📋 Транзакції'!$C$5:$C$3623,"&lt;"&amp;EDATE(DATEVALUE(C25&amp;"-01"),9))&gt;0,1,0)</f>
        <v>1</v>
      </c>
      <c r="P25" s="37">
        <f>IF(COUNTIFS('📋 Транзакції'!$B$5:$B$3623,A25,'📋 Транзакції'!$C$5:$C$3623,"&gt;="&amp;EDATE(DATEVALUE(C25&amp;"-01"),9),'📋 Транзакції'!$C$5:$C$3623,"&lt;"&amp;EDATE(DATEVALUE(C25&amp;"-01"),10))&gt;0,1,0)</f>
        <v>1</v>
      </c>
      <c r="Q25" s="37">
        <f>IF(COUNTIFS('📋 Транзакції'!$B$5:$B$3623,A25,'📋 Транзакції'!$C$5:$C$3623,"&gt;="&amp;EDATE(DATEVALUE(C25&amp;"-01"),10),'📋 Транзакції'!$C$5:$C$3623,"&lt;"&amp;EDATE(DATEVALUE(C25&amp;"-01"),11))&gt;0,1,0)</f>
        <v>1</v>
      </c>
      <c r="R25" s="37">
        <f>IF(COUNTIFS('📋 Транзакції'!$B$5:$B$3623,A25,'📋 Транзакції'!$C$5:$C$3623,"&gt;="&amp;EDATE(DATEVALUE(C25&amp;"-01"),11),'📋 Транзакції'!$C$5:$C$3623,"&lt;"&amp;EDATE(DATEVALUE(C25&amp;"-01"),12))&gt;0,1,0)</f>
        <v>1</v>
      </c>
      <c r="S25" s="37">
        <f>SUMIFS('📋 Транзакції'!$F$5:$F$3623,'📋 Транзакції'!$B$5:$B$3623,A25,'📋 Транзакції'!$C$5:$C$3623,"&gt;="&amp;EDATE(DATEVALUE(C25&amp;"-01"),0),'📋 Транзакції'!$C$5:$C$3623,"&lt;"&amp;EDATE(DATEVALUE(C25&amp;"-01"),1))</f>
        <v>19.99</v>
      </c>
      <c r="T25" s="37">
        <f>SUMIFS('📋 Транзакції'!$F$5:$F$3623,'📋 Транзакції'!$B$5:$B$3623,A25,'📋 Транзакції'!$C$5:$C$3623,"&gt;="&amp;EDATE(DATEVALUE(C25&amp;"-01"),1),'📋 Транзакції'!$C$5:$C$3623,"&lt;"&amp;EDATE(DATEVALUE(C25&amp;"-01"),2))</f>
        <v>19.99</v>
      </c>
      <c r="U25" s="37">
        <f>SUMIFS('📋 Транзакції'!$F$5:$F$3623,'📋 Транзакції'!$B$5:$B$3623,A25,'📋 Транзакції'!$C$5:$C$3623,"&gt;="&amp;EDATE(DATEVALUE(C25&amp;"-01"),2),'📋 Транзакції'!$C$5:$C$3623,"&lt;"&amp;EDATE(DATEVALUE(C25&amp;"-01"),3))</f>
        <v>19.99</v>
      </c>
      <c r="V25" s="37">
        <f>SUMIFS('📋 Транзакції'!$F$5:$F$3623,'📋 Транзакції'!$B$5:$B$3623,A25,'📋 Транзакції'!$C$5:$C$3623,"&gt;="&amp;EDATE(DATEVALUE(C25&amp;"-01"),3),'📋 Транзакції'!$C$5:$C$3623,"&lt;"&amp;EDATE(DATEVALUE(C25&amp;"-01"),4))</f>
        <v>19.99</v>
      </c>
      <c r="W25" s="37">
        <f>SUMIFS('📋 Транзакції'!$F$5:$F$3623,'📋 Транзакції'!$B$5:$B$3623,A25,'📋 Транзакції'!$C$5:$C$3623,"&gt;="&amp;EDATE(DATEVALUE(C25&amp;"-01"),4),'📋 Транзакції'!$C$5:$C$3623,"&lt;"&amp;EDATE(DATEVALUE(C25&amp;"-01"),5))</f>
        <v>19.99</v>
      </c>
      <c r="X25" s="37">
        <f>SUMIFS('📋 Транзакції'!$F$5:$F$3623,'📋 Транзакції'!$B$5:$B$3623,A25,'📋 Транзакції'!$C$5:$C$3623,"&gt;="&amp;EDATE(DATEVALUE(C25&amp;"-01"),5),'📋 Транзакції'!$C$5:$C$3623,"&lt;"&amp;EDATE(DATEVALUE(C25&amp;"-01"),6))</f>
        <v>19.99</v>
      </c>
      <c r="Y25" s="37">
        <f>SUMIFS('📋 Транзакції'!$F$5:$F$3623,'📋 Транзакції'!$B$5:$B$3623,A25,'📋 Транзакції'!$C$5:$C$3623,"&gt;="&amp;EDATE(DATEVALUE(C25&amp;"-01"),6),'📋 Транзакції'!$C$5:$C$3623,"&lt;"&amp;EDATE(DATEVALUE(C25&amp;"-01"),7))</f>
        <v>19.99</v>
      </c>
      <c r="Z25" s="37">
        <f>SUMIFS('📋 Транзакції'!$F$5:$F$3623,'📋 Транзакції'!$B$5:$B$3623,A25,'📋 Транзакції'!$C$5:$C$3623,"&gt;="&amp;EDATE(DATEVALUE(C25&amp;"-01"),7),'📋 Транзакції'!$C$5:$C$3623,"&lt;"&amp;EDATE(DATEVALUE(C25&amp;"-01"),8))</f>
        <v>19.99</v>
      </c>
      <c r="AA25" s="37">
        <f>SUMIFS('📋 Транзакції'!$F$5:$F$3623,'📋 Транзакції'!$B$5:$B$3623,A25,'📋 Транзакції'!$C$5:$C$3623,"&gt;="&amp;EDATE(DATEVALUE(C25&amp;"-01"),8),'📋 Транзакції'!$C$5:$C$3623,"&lt;"&amp;EDATE(DATEVALUE(C25&amp;"-01"),9))</f>
        <v>19.99</v>
      </c>
      <c r="AB25" s="37">
        <f>SUMIFS('📋 Транзакції'!$F$5:$F$3623,'📋 Транзакції'!$B$5:$B$3623,A25,'📋 Транзакції'!$C$5:$C$3623,"&gt;="&amp;EDATE(DATEVALUE(C25&amp;"-01"),9),'📋 Транзакції'!$C$5:$C$3623,"&lt;"&amp;EDATE(DATEVALUE(C25&amp;"-01"),10))</f>
        <v>19.99</v>
      </c>
      <c r="AC25" s="37">
        <f>SUMIFS('📋 Транзакції'!$F$5:$F$3623,'📋 Транзакції'!$B$5:$B$3623,A25,'📋 Транзакції'!$C$5:$C$3623,"&gt;="&amp;EDATE(DATEVALUE(C25&amp;"-01"),10),'📋 Транзакції'!$C$5:$C$3623,"&lt;"&amp;EDATE(DATEVALUE(C25&amp;"-01"),11))</f>
        <v>19.99</v>
      </c>
      <c r="AD25" s="37">
        <f>SUMIFS('📋 Транзакції'!$F$5:$F$3623,'📋 Транзакції'!$B$5:$B$3623,A25,'📋 Транзакції'!$C$5:$C$3623,"&gt;="&amp;EDATE(DATEVALUE(C25&amp;"-01"),11),'📋 Транзакції'!$C$5:$C$3623,"&lt;"&amp;EDATE(DATEVALUE(C25&amp;"-01"),12))</f>
        <v>19.99</v>
      </c>
    </row>
    <row r="26" ht="15.75" customHeight="1">
      <c r="A26" s="33" t="str">
        <f>'📋 Реєстрації'!A26:A627</f>
        <v>U0129</v>
      </c>
      <c r="B26" s="34">
        <f t="array" ref="B26">INDEX('📋 Транзакції'!$C$5:$C$3623,MATCH(A26,'📋 Транзакції'!$B$5:$B$3623,0))</f>
        <v>45316</v>
      </c>
      <c r="C26" s="35" t="str">
        <f t="shared" si="1"/>
        <v>2024-01</v>
      </c>
      <c r="D26" s="36">
        <f>COUNTIF('📋 Транзакції'!$B$5:$B$3623,A26)</f>
        <v>16</v>
      </c>
      <c r="E26" s="36">
        <f>SUMIF('📋 Транзакції'!$B$5:$B$3623,A26,'📋 Транзакції'!$F$5:$F$3623)</f>
        <v>299.85</v>
      </c>
      <c r="F26" s="35">
        <f>INT($A$1-MAXIFS('📋 Транзакції'!$C$5:$C$3623,'📋 Транзакції'!$B$5:$B$3623,A26))</f>
        <v>4</v>
      </c>
      <c r="G26" s="37">
        <f>IF(COUNTIFS('📋 Транзакції'!$B$5:$B$3623,A26,'📋 Транзакції'!$C$5:$C$3623,"&gt;="&amp;EDATE(DATEVALUE(C26&amp;"-01"),0),'📋 Транзакції'!$C$5:$C$3623,"&lt;"&amp;EDATE(DATEVALUE(C26&amp;"-01"),1))&gt;0,1,0)</f>
        <v>1</v>
      </c>
      <c r="H26" s="37">
        <f>IF(COUNTIFS('📋 Транзакції'!$B$5:$B$3623,A26,'📋 Транзакції'!$C$5:$C$3623,"&gt;="&amp;EDATE(DATEVALUE(C26&amp;"-01"),1),'📋 Транзакції'!$C$5:$C$3623,"&lt;"&amp;EDATE(DATEVALUE(C26&amp;"-01"),2))&gt;0,1,0)</f>
        <v>1</v>
      </c>
      <c r="I26" s="37">
        <f>IF(COUNTIFS('📋 Транзакції'!$B$5:$B$3623,A26,'📋 Транзакції'!$C$5:$C$3623,"&gt;="&amp;EDATE(DATEVALUE(C26&amp;"-01"),2),'📋 Транзакції'!$C$5:$C$3623,"&lt;"&amp;EDATE(DATEVALUE(C26&amp;"-01"),3))&gt;0,1,0)</f>
        <v>1</v>
      </c>
      <c r="J26" s="37">
        <f>IF(COUNTIFS('📋 Транзакції'!$B$5:$B$3623,A26,'📋 Транзакції'!$C$5:$C$3623,"&gt;="&amp;EDATE(DATEVALUE(C26&amp;"-01"),3),'📋 Транзакції'!$C$5:$C$3623,"&lt;"&amp;EDATE(DATEVALUE(C26&amp;"-01"),4))&gt;0,1,0)</f>
        <v>1</v>
      </c>
      <c r="K26" s="37">
        <f>IF(COUNTIFS('📋 Транзакції'!$B$5:$B$3623,A26,'📋 Транзакції'!$C$5:$C$3623,"&gt;="&amp;EDATE(DATEVALUE(C26&amp;"-01"),4),'📋 Транзакції'!$C$5:$C$3623,"&lt;"&amp;EDATE(DATEVALUE(C26&amp;"-01"),5))&gt;0,1,0)</f>
        <v>1</v>
      </c>
      <c r="L26" s="37">
        <f>IF(COUNTIFS('📋 Транзакції'!$B$5:$B$3623,A26,'📋 Транзакції'!$C$5:$C$3623,"&gt;="&amp;EDATE(DATEVALUE(C26&amp;"-01"),5),'📋 Транзакції'!$C$5:$C$3623,"&lt;"&amp;EDATE(DATEVALUE(C26&amp;"-01"),6))&gt;0,1,0)</f>
        <v>1</v>
      </c>
      <c r="M26" s="37">
        <f>IF(COUNTIFS('📋 Транзакції'!$B$5:$B$3623,A26,'📋 Транзакції'!$C$5:$C$3623,"&gt;="&amp;EDATE(DATEVALUE(C26&amp;"-01"),6),'📋 Транзакції'!$C$5:$C$3623,"&lt;"&amp;EDATE(DATEVALUE(C26&amp;"-01"),7))&gt;0,1,0)</f>
        <v>1</v>
      </c>
      <c r="N26" s="37">
        <f>IF(COUNTIFS('📋 Транзакції'!$B$5:$B$3623,A26,'📋 Транзакції'!$C$5:$C$3623,"&gt;="&amp;EDATE(DATEVALUE(C26&amp;"-01"),7),'📋 Транзакції'!$C$5:$C$3623,"&lt;"&amp;EDATE(DATEVALUE(C26&amp;"-01"),8))&gt;0,1,0)</f>
        <v>1</v>
      </c>
      <c r="O26" s="37">
        <f>IF(COUNTIFS('📋 Транзакції'!$B$5:$B$3623,A26,'📋 Транзакції'!$C$5:$C$3623,"&gt;="&amp;EDATE(DATEVALUE(C26&amp;"-01"),8),'📋 Транзакції'!$C$5:$C$3623,"&lt;"&amp;EDATE(DATEVALUE(C26&amp;"-01"),9))&gt;0,1,0)</f>
        <v>1</v>
      </c>
      <c r="P26" s="37">
        <f>IF(COUNTIFS('📋 Транзакції'!$B$5:$B$3623,A26,'📋 Транзакції'!$C$5:$C$3623,"&gt;="&amp;EDATE(DATEVALUE(C26&amp;"-01"),9),'📋 Транзакції'!$C$5:$C$3623,"&lt;"&amp;EDATE(DATEVALUE(C26&amp;"-01"),10))&gt;0,1,0)</f>
        <v>1</v>
      </c>
      <c r="Q26" s="37">
        <f>IF(COUNTIFS('📋 Транзакції'!$B$5:$B$3623,A26,'📋 Транзакції'!$C$5:$C$3623,"&gt;="&amp;EDATE(DATEVALUE(C26&amp;"-01"),10),'📋 Транзакції'!$C$5:$C$3623,"&lt;"&amp;EDATE(DATEVALUE(C26&amp;"-01"),11))&gt;0,1,0)</f>
        <v>1</v>
      </c>
      <c r="R26" s="37">
        <f>IF(COUNTIFS('📋 Транзакції'!$B$5:$B$3623,A26,'📋 Транзакції'!$C$5:$C$3623,"&gt;="&amp;EDATE(DATEVALUE(C26&amp;"-01"),11),'📋 Транзакції'!$C$5:$C$3623,"&lt;"&amp;EDATE(DATEVALUE(C26&amp;"-01"),12))&gt;0,1,0)</f>
        <v>1</v>
      </c>
      <c r="S26" s="37">
        <f>SUMIFS('📋 Транзакції'!$F$5:$F$3623,'📋 Транзакції'!$B$5:$B$3623,A26,'📋 Транзакції'!$C$5:$C$3623,"&gt;="&amp;EDATE(DATEVALUE(C26&amp;"-01"),0),'📋 Транзакції'!$C$5:$C$3623,"&lt;"&amp;EDATE(DATEVALUE(C26&amp;"-01"),1))</f>
        <v>0</v>
      </c>
      <c r="T26" s="37">
        <f>SUMIFS('📋 Транзакції'!$F$5:$F$3623,'📋 Транзакції'!$B$5:$B$3623,A26,'📋 Транзакції'!$C$5:$C$3623,"&gt;="&amp;EDATE(DATEVALUE(C26&amp;"-01"),1),'📋 Транзакції'!$C$5:$C$3623,"&lt;"&amp;EDATE(DATEVALUE(C26&amp;"-01"),2))</f>
        <v>19.99</v>
      </c>
      <c r="U26" s="37">
        <f>SUMIFS('📋 Транзакції'!$F$5:$F$3623,'📋 Транзакції'!$B$5:$B$3623,A26,'📋 Транзакції'!$C$5:$C$3623,"&gt;="&amp;EDATE(DATEVALUE(C26&amp;"-01"),2),'📋 Транзакції'!$C$5:$C$3623,"&lt;"&amp;EDATE(DATEVALUE(C26&amp;"-01"),3))</f>
        <v>19.99</v>
      </c>
      <c r="V26" s="37">
        <f>SUMIFS('📋 Транзакції'!$F$5:$F$3623,'📋 Транзакції'!$B$5:$B$3623,A26,'📋 Транзакції'!$C$5:$C$3623,"&gt;="&amp;EDATE(DATEVALUE(C26&amp;"-01"),3),'📋 Транзакції'!$C$5:$C$3623,"&lt;"&amp;EDATE(DATEVALUE(C26&amp;"-01"),4))</f>
        <v>19.99</v>
      </c>
      <c r="W26" s="37">
        <f>SUMIFS('📋 Транзакції'!$F$5:$F$3623,'📋 Транзакції'!$B$5:$B$3623,A26,'📋 Транзакції'!$C$5:$C$3623,"&gt;="&amp;EDATE(DATEVALUE(C26&amp;"-01"),4),'📋 Транзакції'!$C$5:$C$3623,"&lt;"&amp;EDATE(DATEVALUE(C26&amp;"-01"),5))</f>
        <v>39.98</v>
      </c>
      <c r="X26" s="37">
        <f>SUMIFS('📋 Транзакції'!$F$5:$F$3623,'📋 Транзакції'!$B$5:$B$3623,A26,'📋 Транзакції'!$C$5:$C$3623,"&gt;="&amp;EDATE(DATEVALUE(C26&amp;"-01"),5),'📋 Транзакції'!$C$5:$C$3623,"&lt;"&amp;EDATE(DATEVALUE(C26&amp;"-01"),6))</f>
        <v>19.99</v>
      </c>
      <c r="Y26" s="37">
        <f>SUMIFS('📋 Транзакції'!$F$5:$F$3623,'📋 Транзакції'!$B$5:$B$3623,A26,'📋 Транзакції'!$C$5:$C$3623,"&gt;="&amp;EDATE(DATEVALUE(C26&amp;"-01"),6),'📋 Транзакції'!$C$5:$C$3623,"&lt;"&amp;EDATE(DATEVALUE(C26&amp;"-01"),7))</f>
        <v>19.99</v>
      </c>
      <c r="Z26" s="37">
        <f>SUMIFS('📋 Транзакції'!$F$5:$F$3623,'📋 Транзакції'!$B$5:$B$3623,A26,'📋 Транзакції'!$C$5:$C$3623,"&gt;="&amp;EDATE(DATEVALUE(C26&amp;"-01"),7),'📋 Транзакції'!$C$5:$C$3623,"&lt;"&amp;EDATE(DATEVALUE(C26&amp;"-01"),8))</f>
        <v>19.99</v>
      </c>
      <c r="AA26" s="37">
        <f>SUMIFS('📋 Транзакції'!$F$5:$F$3623,'📋 Транзакції'!$B$5:$B$3623,A26,'📋 Транзакції'!$C$5:$C$3623,"&gt;="&amp;EDATE(DATEVALUE(C26&amp;"-01"),8),'📋 Транзакції'!$C$5:$C$3623,"&lt;"&amp;EDATE(DATEVALUE(C26&amp;"-01"),9))</f>
        <v>19.99</v>
      </c>
      <c r="AB26" s="37">
        <f>SUMIFS('📋 Транзакції'!$F$5:$F$3623,'📋 Транзакції'!$B$5:$B$3623,A26,'📋 Транзакції'!$C$5:$C$3623,"&gt;="&amp;EDATE(DATEVALUE(C26&amp;"-01"),9),'📋 Транзакції'!$C$5:$C$3623,"&lt;"&amp;EDATE(DATEVALUE(C26&amp;"-01"),10))</f>
        <v>19.99</v>
      </c>
      <c r="AC26" s="37">
        <f>SUMIFS('📋 Транзакції'!$F$5:$F$3623,'📋 Транзакції'!$B$5:$B$3623,A26,'📋 Транзакції'!$C$5:$C$3623,"&gt;="&amp;EDATE(DATEVALUE(C26&amp;"-01"),10),'📋 Транзакції'!$C$5:$C$3623,"&lt;"&amp;EDATE(DATEVALUE(C26&amp;"-01"),11))</f>
        <v>19.99</v>
      </c>
      <c r="AD26" s="37">
        <f>SUMIFS('📋 Транзакції'!$F$5:$F$3623,'📋 Транзакції'!$B$5:$B$3623,A26,'📋 Транзакції'!$C$5:$C$3623,"&gt;="&amp;EDATE(DATEVALUE(C26&amp;"-01"),11),'📋 Транзакції'!$C$5:$C$3623,"&lt;"&amp;EDATE(DATEVALUE(C26&amp;"-01"),12))</f>
        <v>19.99</v>
      </c>
    </row>
    <row r="27" ht="15.75" customHeight="1">
      <c r="A27" s="33" t="str">
        <f>'📋 Реєстрації'!A27:A628</f>
        <v>U0841</v>
      </c>
      <c r="B27" s="34">
        <f t="array" ref="B27">INDEX('📋 Транзакції'!$C$5:$C$3623,MATCH(A27,'📋 Транзакції'!$B$5:$B$3623,0))</f>
        <v>45318</v>
      </c>
      <c r="C27" s="35" t="str">
        <f t="shared" si="1"/>
        <v>2024-01</v>
      </c>
      <c r="D27" s="36">
        <f>COUNTIF('📋 Транзакції'!$B$5:$B$3623,A27)</f>
        <v>4</v>
      </c>
      <c r="E27" s="36">
        <f>SUMIF('📋 Транзакції'!$B$5:$B$3623,A27,'📋 Транзакції'!$F$5:$F$3623)</f>
        <v>59.97</v>
      </c>
      <c r="F27" s="35">
        <f>INT($A$1-MAXIFS('📋 Транзакції'!$C$5:$C$3623,'📋 Транзакції'!$B$5:$B$3623,A27))</f>
        <v>362</v>
      </c>
      <c r="G27" s="37">
        <f>IF(COUNTIFS('📋 Транзакції'!$B$5:$B$3623,A27,'📋 Транзакції'!$C$5:$C$3623,"&gt;="&amp;EDATE(DATEVALUE(C27&amp;"-01"),0),'📋 Транзакції'!$C$5:$C$3623,"&lt;"&amp;EDATE(DATEVALUE(C27&amp;"-01"),1))&gt;0,1,0)</f>
        <v>1</v>
      </c>
      <c r="H27" s="37">
        <f>IF(COUNTIFS('📋 Транзакції'!$B$5:$B$3623,A27,'📋 Транзакції'!$C$5:$C$3623,"&gt;="&amp;EDATE(DATEVALUE(C27&amp;"-01"),1),'📋 Транзакції'!$C$5:$C$3623,"&lt;"&amp;EDATE(DATEVALUE(C27&amp;"-01"),2))&gt;0,1,0)</f>
        <v>1</v>
      </c>
      <c r="I27" s="37">
        <f>IF(COUNTIFS('📋 Транзакції'!$B$5:$B$3623,A27,'📋 Транзакції'!$C$5:$C$3623,"&gt;="&amp;EDATE(DATEVALUE(C27&amp;"-01"),2),'📋 Транзакції'!$C$5:$C$3623,"&lt;"&amp;EDATE(DATEVALUE(C27&amp;"-01"),3))&gt;0,1,0)</f>
        <v>1</v>
      </c>
      <c r="J27" s="37">
        <f>IF(COUNTIFS('📋 Транзакції'!$B$5:$B$3623,A27,'📋 Транзакції'!$C$5:$C$3623,"&gt;="&amp;EDATE(DATEVALUE(C27&amp;"-01"),3),'📋 Транзакції'!$C$5:$C$3623,"&lt;"&amp;EDATE(DATEVALUE(C27&amp;"-01"),4))&gt;0,1,0)</f>
        <v>1</v>
      </c>
      <c r="K27" s="37">
        <f>IF(COUNTIFS('📋 Транзакції'!$B$5:$B$3623,A27,'📋 Транзакції'!$C$5:$C$3623,"&gt;="&amp;EDATE(DATEVALUE(C27&amp;"-01"),4),'📋 Транзакції'!$C$5:$C$3623,"&lt;"&amp;EDATE(DATEVALUE(C27&amp;"-01"),5))&gt;0,1,0)</f>
        <v>0</v>
      </c>
      <c r="L27" s="37">
        <f>IF(COUNTIFS('📋 Транзакції'!$B$5:$B$3623,A27,'📋 Транзакції'!$C$5:$C$3623,"&gt;="&amp;EDATE(DATEVALUE(C27&amp;"-01"),5),'📋 Транзакції'!$C$5:$C$3623,"&lt;"&amp;EDATE(DATEVALUE(C27&amp;"-01"),6))&gt;0,1,0)</f>
        <v>0</v>
      </c>
      <c r="M27" s="37">
        <f>IF(COUNTIFS('📋 Транзакції'!$B$5:$B$3623,A27,'📋 Транзакції'!$C$5:$C$3623,"&gt;="&amp;EDATE(DATEVALUE(C27&amp;"-01"),6),'📋 Транзакції'!$C$5:$C$3623,"&lt;"&amp;EDATE(DATEVALUE(C27&amp;"-01"),7))&gt;0,1,0)</f>
        <v>0</v>
      </c>
      <c r="N27" s="37">
        <f>IF(COUNTIFS('📋 Транзакції'!$B$5:$B$3623,A27,'📋 Транзакції'!$C$5:$C$3623,"&gt;="&amp;EDATE(DATEVALUE(C27&amp;"-01"),7),'📋 Транзакції'!$C$5:$C$3623,"&lt;"&amp;EDATE(DATEVALUE(C27&amp;"-01"),8))&gt;0,1,0)</f>
        <v>0</v>
      </c>
      <c r="O27" s="37">
        <f>IF(COUNTIFS('📋 Транзакції'!$B$5:$B$3623,A27,'📋 Транзакції'!$C$5:$C$3623,"&gt;="&amp;EDATE(DATEVALUE(C27&amp;"-01"),8),'📋 Транзакції'!$C$5:$C$3623,"&lt;"&amp;EDATE(DATEVALUE(C27&amp;"-01"),9))&gt;0,1,0)</f>
        <v>0</v>
      </c>
      <c r="P27" s="37">
        <f>IF(COUNTIFS('📋 Транзакції'!$B$5:$B$3623,A27,'📋 Транзакції'!$C$5:$C$3623,"&gt;="&amp;EDATE(DATEVALUE(C27&amp;"-01"),9),'📋 Транзакції'!$C$5:$C$3623,"&lt;"&amp;EDATE(DATEVALUE(C27&amp;"-01"),10))&gt;0,1,0)</f>
        <v>0</v>
      </c>
      <c r="Q27" s="37">
        <f>IF(COUNTIFS('📋 Транзакції'!$B$5:$B$3623,A27,'📋 Транзакції'!$C$5:$C$3623,"&gt;="&amp;EDATE(DATEVALUE(C27&amp;"-01"),10),'📋 Транзакції'!$C$5:$C$3623,"&lt;"&amp;EDATE(DATEVALUE(C27&amp;"-01"),11))&gt;0,1,0)</f>
        <v>0</v>
      </c>
      <c r="R27" s="37">
        <f>IF(COUNTIFS('📋 Транзакції'!$B$5:$B$3623,A27,'📋 Транзакції'!$C$5:$C$3623,"&gt;="&amp;EDATE(DATEVALUE(C27&amp;"-01"),11),'📋 Транзакції'!$C$5:$C$3623,"&lt;"&amp;EDATE(DATEVALUE(C27&amp;"-01"),12))&gt;0,1,0)</f>
        <v>0</v>
      </c>
      <c r="S27" s="37">
        <f>SUMIFS('📋 Транзакції'!$F$5:$F$3623,'📋 Транзакції'!$B$5:$B$3623,A27,'📋 Транзакції'!$C$5:$C$3623,"&gt;="&amp;EDATE(DATEVALUE(C27&amp;"-01"),0),'📋 Транзакції'!$C$5:$C$3623,"&lt;"&amp;EDATE(DATEVALUE(C27&amp;"-01"),1))</f>
        <v>0</v>
      </c>
      <c r="T27" s="37">
        <f>SUMIFS('📋 Транзакції'!$F$5:$F$3623,'📋 Транзакції'!$B$5:$B$3623,A27,'📋 Транзакції'!$C$5:$C$3623,"&gt;="&amp;EDATE(DATEVALUE(C27&amp;"-01"),1),'📋 Транзакції'!$C$5:$C$3623,"&lt;"&amp;EDATE(DATEVALUE(C27&amp;"-01"),2))</f>
        <v>19.99</v>
      </c>
      <c r="U27" s="37">
        <f>SUMIFS('📋 Транзакції'!$F$5:$F$3623,'📋 Транзакції'!$B$5:$B$3623,A27,'📋 Транзакції'!$C$5:$C$3623,"&gt;="&amp;EDATE(DATEVALUE(C27&amp;"-01"),2),'📋 Транзакції'!$C$5:$C$3623,"&lt;"&amp;EDATE(DATEVALUE(C27&amp;"-01"),3))</f>
        <v>19.99</v>
      </c>
      <c r="V27" s="37">
        <f>SUMIFS('📋 Транзакції'!$F$5:$F$3623,'📋 Транзакції'!$B$5:$B$3623,A27,'📋 Транзакції'!$C$5:$C$3623,"&gt;="&amp;EDATE(DATEVALUE(C27&amp;"-01"),3),'📋 Транзакції'!$C$5:$C$3623,"&lt;"&amp;EDATE(DATEVALUE(C27&amp;"-01"),4))</f>
        <v>19.99</v>
      </c>
      <c r="W27" s="37">
        <f>SUMIFS('📋 Транзакції'!$F$5:$F$3623,'📋 Транзакції'!$B$5:$B$3623,A27,'📋 Транзакції'!$C$5:$C$3623,"&gt;="&amp;EDATE(DATEVALUE(C27&amp;"-01"),4),'📋 Транзакції'!$C$5:$C$3623,"&lt;"&amp;EDATE(DATEVALUE(C27&amp;"-01"),5))</f>
        <v>0</v>
      </c>
      <c r="X27" s="37">
        <f>SUMIFS('📋 Транзакції'!$F$5:$F$3623,'📋 Транзакції'!$B$5:$B$3623,A27,'📋 Транзакції'!$C$5:$C$3623,"&gt;="&amp;EDATE(DATEVALUE(C27&amp;"-01"),5),'📋 Транзакції'!$C$5:$C$3623,"&lt;"&amp;EDATE(DATEVALUE(C27&amp;"-01"),6))</f>
        <v>0</v>
      </c>
      <c r="Y27" s="37">
        <f>SUMIFS('📋 Транзакції'!$F$5:$F$3623,'📋 Транзакції'!$B$5:$B$3623,A27,'📋 Транзакції'!$C$5:$C$3623,"&gt;="&amp;EDATE(DATEVALUE(C27&amp;"-01"),6),'📋 Транзакції'!$C$5:$C$3623,"&lt;"&amp;EDATE(DATEVALUE(C27&amp;"-01"),7))</f>
        <v>0</v>
      </c>
      <c r="Z27" s="37">
        <f>SUMIFS('📋 Транзакції'!$F$5:$F$3623,'📋 Транзакції'!$B$5:$B$3623,A27,'📋 Транзакції'!$C$5:$C$3623,"&gt;="&amp;EDATE(DATEVALUE(C27&amp;"-01"),7),'📋 Транзакції'!$C$5:$C$3623,"&lt;"&amp;EDATE(DATEVALUE(C27&amp;"-01"),8))</f>
        <v>0</v>
      </c>
      <c r="AA27" s="37">
        <f>SUMIFS('📋 Транзакції'!$F$5:$F$3623,'📋 Транзакції'!$B$5:$B$3623,A27,'📋 Транзакції'!$C$5:$C$3623,"&gt;="&amp;EDATE(DATEVALUE(C27&amp;"-01"),8),'📋 Транзакції'!$C$5:$C$3623,"&lt;"&amp;EDATE(DATEVALUE(C27&amp;"-01"),9))</f>
        <v>0</v>
      </c>
      <c r="AB27" s="37">
        <f>SUMIFS('📋 Транзакції'!$F$5:$F$3623,'📋 Транзакції'!$B$5:$B$3623,A27,'📋 Транзакції'!$C$5:$C$3623,"&gt;="&amp;EDATE(DATEVALUE(C27&amp;"-01"),9),'📋 Транзакції'!$C$5:$C$3623,"&lt;"&amp;EDATE(DATEVALUE(C27&amp;"-01"),10))</f>
        <v>0</v>
      </c>
      <c r="AC27" s="37">
        <f>SUMIFS('📋 Транзакції'!$F$5:$F$3623,'📋 Транзакції'!$B$5:$B$3623,A27,'📋 Транзакції'!$C$5:$C$3623,"&gt;="&amp;EDATE(DATEVALUE(C27&amp;"-01"),10),'📋 Транзакції'!$C$5:$C$3623,"&lt;"&amp;EDATE(DATEVALUE(C27&amp;"-01"),11))</f>
        <v>0</v>
      </c>
      <c r="AD27" s="37">
        <f>SUMIFS('📋 Транзакції'!$F$5:$F$3623,'📋 Транзакції'!$B$5:$B$3623,A27,'📋 Транзакції'!$C$5:$C$3623,"&gt;="&amp;EDATE(DATEVALUE(C27&amp;"-01"),11),'📋 Транзакції'!$C$5:$C$3623,"&lt;"&amp;EDATE(DATEVALUE(C27&amp;"-01"),12))</f>
        <v>0</v>
      </c>
    </row>
    <row r="28" ht="15.75" customHeight="1">
      <c r="A28" s="33" t="str">
        <f>'📋 Реєстрації'!A28:A629</f>
        <v>U0875</v>
      </c>
      <c r="B28" s="34">
        <f t="array" ref="B28">INDEX('📋 Транзакції'!$C$5:$C$3623,MATCH(A28,'📋 Транзакції'!$B$5:$B$3623,0))</f>
        <v>45319</v>
      </c>
      <c r="C28" s="35" t="str">
        <f t="shared" si="1"/>
        <v>2024-01</v>
      </c>
      <c r="D28" s="36">
        <f>COUNTIF('📋 Транзакції'!$B$5:$B$3623,A28)</f>
        <v>2</v>
      </c>
      <c r="E28" s="36">
        <f>SUMIF('📋 Транзакції'!$B$5:$B$3623,A28,'📋 Транзакції'!$F$5:$F$3623)</f>
        <v>19.99</v>
      </c>
      <c r="F28" s="35">
        <f>INT($A$1-MAXIFS('📋 Транзакції'!$C$5:$C$3623,'📋 Транзакції'!$B$5:$B$3623,A28))</f>
        <v>421</v>
      </c>
      <c r="G28" s="37">
        <f>IF(COUNTIFS('📋 Транзакції'!$B$5:$B$3623,A28,'📋 Транзакції'!$C$5:$C$3623,"&gt;="&amp;EDATE(DATEVALUE(C28&amp;"-01"),0),'📋 Транзакції'!$C$5:$C$3623,"&lt;"&amp;EDATE(DATEVALUE(C28&amp;"-01"),1))&gt;0,1,0)</f>
        <v>1</v>
      </c>
      <c r="H28" s="37">
        <f>IF(COUNTIFS('📋 Транзакції'!$B$5:$B$3623,A28,'📋 Транзакції'!$C$5:$C$3623,"&gt;="&amp;EDATE(DATEVALUE(C28&amp;"-01"),1),'📋 Транзакції'!$C$5:$C$3623,"&lt;"&amp;EDATE(DATEVALUE(C28&amp;"-01"),2))&gt;0,1,0)</f>
        <v>1</v>
      </c>
      <c r="I28" s="37">
        <f>IF(COUNTIFS('📋 Транзакції'!$B$5:$B$3623,A28,'📋 Транзакції'!$C$5:$C$3623,"&gt;="&amp;EDATE(DATEVALUE(C28&amp;"-01"),2),'📋 Транзакції'!$C$5:$C$3623,"&lt;"&amp;EDATE(DATEVALUE(C28&amp;"-01"),3))&gt;0,1,0)</f>
        <v>0</v>
      </c>
      <c r="J28" s="37">
        <f>IF(COUNTIFS('📋 Транзакції'!$B$5:$B$3623,A28,'📋 Транзакції'!$C$5:$C$3623,"&gt;="&amp;EDATE(DATEVALUE(C28&amp;"-01"),3),'📋 Транзакції'!$C$5:$C$3623,"&lt;"&amp;EDATE(DATEVALUE(C28&amp;"-01"),4))&gt;0,1,0)</f>
        <v>0</v>
      </c>
      <c r="K28" s="37">
        <f>IF(COUNTIFS('📋 Транзакції'!$B$5:$B$3623,A28,'📋 Транзакції'!$C$5:$C$3623,"&gt;="&amp;EDATE(DATEVALUE(C28&amp;"-01"),4),'📋 Транзакції'!$C$5:$C$3623,"&lt;"&amp;EDATE(DATEVALUE(C28&amp;"-01"),5))&gt;0,1,0)</f>
        <v>0</v>
      </c>
      <c r="L28" s="37">
        <f>IF(COUNTIFS('📋 Транзакції'!$B$5:$B$3623,A28,'📋 Транзакції'!$C$5:$C$3623,"&gt;="&amp;EDATE(DATEVALUE(C28&amp;"-01"),5),'📋 Транзакції'!$C$5:$C$3623,"&lt;"&amp;EDATE(DATEVALUE(C28&amp;"-01"),6))&gt;0,1,0)</f>
        <v>0</v>
      </c>
      <c r="M28" s="37">
        <f>IF(COUNTIFS('📋 Транзакції'!$B$5:$B$3623,A28,'📋 Транзакції'!$C$5:$C$3623,"&gt;="&amp;EDATE(DATEVALUE(C28&amp;"-01"),6),'📋 Транзакції'!$C$5:$C$3623,"&lt;"&amp;EDATE(DATEVALUE(C28&amp;"-01"),7))&gt;0,1,0)</f>
        <v>0</v>
      </c>
      <c r="N28" s="37">
        <f>IF(COUNTIFS('📋 Транзакції'!$B$5:$B$3623,A28,'📋 Транзакції'!$C$5:$C$3623,"&gt;="&amp;EDATE(DATEVALUE(C28&amp;"-01"),7),'📋 Транзакції'!$C$5:$C$3623,"&lt;"&amp;EDATE(DATEVALUE(C28&amp;"-01"),8))&gt;0,1,0)</f>
        <v>0</v>
      </c>
      <c r="O28" s="37">
        <f>IF(COUNTIFS('📋 Транзакції'!$B$5:$B$3623,A28,'📋 Транзакції'!$C$5:$C$3623,"&gt;="&amp;EDATE(DATEVALUE(C28&amp;"-01"),8),'📋 Транзакції'!$C$5:$C$3623,"&lt;"&amp;EDATE(DATEVALUE(C28&amp;"-01"),9))&gt;0,1,0)</f>
        <v>0</v>
      </c>
      <c r="P28" s="37">
        <f>IF(COUNTIFS('📋 Транзакції'!$B$5:$B$3623,A28,'📋 Транзакції'!$C$5:$C$3623,"&gt;="&amp;EDATE(DATEVALUE(C28&amp;"-01"),9),'📋 Транзакції'!$C$5:$C$3623,"&lt;"&amp;EDATE(DATEVALUE(C28&amp;"-01"),10))&gt;0,1,0)</f>
        <v>0</v>
      </c>
      <c r="Q28" s="37">
        <f>IF(COUNTIFS('📋 Транзакції'!$B$5:$B$3623,A28,'📋 Транзакції'!$C$5:$C$3623,"&gt;="&amp;EDATE(DATEVALUE(C28&amp;"-01"),10),'📋 Транзакції'!$C$5:$C$3623,"&lt;"&amp;EDATE(DATEVALUE(C28&amp;"-01"),11))&gt;0,1,0)</f>
        <v>0</v>
      </c>
      <c r="R28" s="37">
        <f>IF(COUNTIFS('📋 Транзакції'!$B$5:$B$3623,A28,'📋 Транзакції'!$C$5:$C$3623,"&gt;="&amp;EDATE(DATEVALUE(C28&amp;"-01"),11),'📋 Транзакції'!$C$5:$C$3623,"&lt;"&amp;EDATE(DATEVALUE(C28&amp;"-01"),12))&gt;0,1,0)</f>
        <v>0</v>
      </c>
      <c r="S28" s="37">
        <f>SUMIFS('📋 Транзакції'!$F$5:$F$3623,'📋 Транзакції'!$B$5:$B$3623,A28,'📋 Транзакції'!$C$5:$C$3623,"&gt;="&amp;EDATE(DATEVALUE(C28&amp;"-01"),0),'📋 Транзакції'!$C$5:$C$3623,"&lt;"&amp;EDATE(DATEVALUE(C28&amp;"-01"),1))</f>
        <v>0</v>
      </c>
      <c r="T28" s="37">
        <f>SUMIFS('📋 Транзакції'!$F$5:$F$3623,'📋 Транзакції'!$B$5:$B$3623,A28,'📋 Транзакції'!$C$5:$C$3623,"&gt;="&amp;EDATE(DATEVALUE(C28&amp;"-01"),1),'📋 Транзакції'!$C$5:$C$3623,"&lt;"&amp;EDATE(DATEVALUE(C28&amp;"-01"),2))</f>
        <v>19.99</v>
      </c>
      <c r="U28" s="37">
        <f>SUMIFS('📋 Транзакції'!$F$5:$F$3623,'📋 Транзакції'!$B$5:$B$3623,A28,'📋 Транзакції'!$C$5:$C$3623,"&gt;="&amp;EDATE(DATEVALUE(C28&amp;"-01"),2),'📋 Транзакції'!$C$5:$C$3623,"&lt;"&amp;EDATE(DATEVALUE(C28&amp;"-01"),3))</f>
        <v>0</v>
      </c>
      <c r="V28" s="37">
        <f>SUMIFS('📋 Транзакції'!$F$5:$F$3623,'📋 Транзакції'!$B$5:$B$3623,A28,'📋 Транзакції'!$C$5:$C$3623,"&gt;="&amp;EDATE(DATEVALUE(C28&amp;"-01"),3),'📋 Транзакції'!$C$5:$C$3623,"&lt;"&amp;EDATE(DATEVALUE(C28&amp;"-01"),4))</f>
        <v>0</v>
      </c>
      <c r="W28" s="37">
        <f>SUMIFS('📋 Транзакції'!$F$5:$F$3623,'📋 Транзакції'!$B$5:$B$3623,A28,'📋 Транзакції'!$C$5:$C$3623,"&gt;="&amp;EDATE(DATEVALUE(C28&amp;"-01"),4),'📋 Транзакції'!$C$5:$C$3623,"&lt;"&amp;EDATE(DATEVALUE(C28&amp;"-01"),5))</f>
        <v>0</v>
      </c>
      <c r="X28" s="37">
        <f>SUMIFS('📋 Транзакції'!$F$5:$F$3623,'📋 Транзакції'!$B$5:$B$3623,A28,'📋 Транзакції'!$C$5:$C$3623,"&gt;="&amp;EDATE(DATEVALUE(C28&amp;"-01"),5),'📋 Транзакції'!$C$5:$C$3623,"&lt;"&amp;EDATE(DATEVALUE(C28&amp;"-01"),6))</f>
        <v>0</v>
      </c>
      <c r="Y28" s="37">
        <f>SUMIFS('📋 Транзакції'!$F$5:$F$3623,'📋 Транзакції'!$B$5:$B$3623,A28,'📋 Транзакції'!$C$5:$C$3623,"&gt;="&amp;EDATE(DATEVALUE(C28&amp;"-01"),6),'📋 Транзакції'!$C$5:$C$3623,"&lt;"&amp;EDATE(DATEVALUE(C28&amp;"-01"),7))</f>
        <v>0</v>
      </c>
      <c r="Z28" s="37">
        <f>SUMIFS('📋 Транзакції'!$F$5:$F$3623,'📋 Транзакції'!$B$5:$B$3623,A28,'📋 Транзакції'!$C$5:$C$3623,"&gt;="&amp;EDATE(DATEVALUE(C28&amp;"-01"),7),'📋 Транзакції'!$C$5:$C$3623,"&lt;"&amp;EDATE(DATEVALUE(C28&amp;"-01"),8))</f>
        <v>0</v>
      </c>
      <c r="AA28" s="37">
        <f>SUMIFS('📋 Транзакції'!$F$5:$F$3623,'📋 Транзакції'!$B$5:$B$3623,A28,'📋 Транзакції'!$C$5:$C$3623,"&gt;="&amp;EDATE(DATEVALUE(C28&amp;"-01"),8),'📋 Транзакції'!$C$5:$C$3623,"&lt;"&amp;EDATE(DATEVALUE(C28&amp;"-01"),9))</f>
        <v>0</v>
      </c>
      <c r="AB28" s="37">
        <f>SUMIFS('📋 Транзакції'!$F$5:$F$3623,'📋 Транзакції'!$B$5:$B$3623,A28,'📋 Транзакції'!$C$5:$C$3623,"&gt;="&amp;EDATE(DATEVALUE(C28&amp;"-01"),9),'📋 Транзакції'!$C$5:$C$3623,"&lt;"&amp;EDATE(DATEVALUE(C28&amp;"-01"),10))</f>
        <v>0</v>
      </c>
      <c r="AC28" s="37">
        <f>SUMIFS('📋 Транзакції'!$F$5:$F$3623,'📋 Транзакції'!$B$5:$B$3623,A28,'📋 Транзакції'!$C$5:$C$3623,"&gt;="&amp;EDATE(DATEVALUE(C28&amp;"-01"),10),'📋 Транзакції'!$C$5:$C$3623,"&lt;"&amp;EDATE(DATEVALUE(C28&amp;"-01"),11))</f>
        <v>0</v>
      </c>
      <c r="AD28" s="37">
        <f>SUMIFS('📋 Транзакції'!$F$5:$F$3623,'📋 Транзакції'!$B$5:$B$3623,A28,'📋 Транзакції'!$C$5:$C$3623,"&gt;="&amp;EDATE(DATEVALUE(C28&amp;"-01"),11),'📋 Транзакції'!$C$5:$C$3623,"&lt;"&amp;EDATE(DATEVALUE(C28&amp;"-01"),12))</f>
        <v>0</v>
      </c>
    </row>
    <row r="29" ht="15.75" customHeight="1">
      <c r="A29" s="33" t="str">
        <f>'📋 Реєстрації'!A29:A630</f>
        <v>U0558</v>
      </c>
      <c r="B29" s="34">
        <f t="array" ref="B29">INDEX('📋 Транзакції'!$C$5:$C$3623,MATCH(A29,'📋 Транзакції'!$B$5:$B$3623,0))</f>
        <v>45320</v>
      </c>
      <c r="C29" s="35" t="str">
        <f t="shared" si="1"/>
        <v>2024-01</v>
      </c>
      <c r="D29" s="36">
        <f>COUNTIF('📋 Транзакції'!$B$5:$B$3623,A29)</f>
        <v>6</v>
      </c>
      <c r="E29" s="36">
        <f>SUMIF('📋 Транзакції'!$B$5:$B$3623,A29,'📋 Транзакції'!$F$5:$F$3623)</f>
        <v>99.95</v>
      </c>
      <c r="F29" s="35">
        <f>INT($A$1-MAXIFS('📋 Транзакції'!$C$5:$C$3623,'📋 Транзакції'!$B$5:$B$3623,A29))</f>
        <v>300</v>
      </c>
      <c r="G29" s="37">
        <f>IF(COUNTIFS('📋 Транзакції'!$B$5:$B$3623,A29,'📋 Транзакції'!$C$5:$C$3623,"&gt;="&amp;EDATE(DATEVALUE(C29&amp;"-01"),0),'📋 Транзакції'!$C$5:$C$3623,"&lt;"&amp;EDATE(DATEVALUE(C29&amp;"-01"),1))&gt;0,1,0)</f>
        <v>1</v>
      </c>
      <c r="H29" s="37">
        <f>IF(COUNTIFS('📋 Транзакції'!$B$5:$B$3623,A29,'📋 Транзакції'!$C$5:$C$3623,"&gt;="&amp;EDATE(DATEVALUE(C29&amp;"-01"),1),'📋 Транзакції'!$C$5:$C$3623,"&lt;"&amp;EDATE(DATEVALUE(C29&amp;"-01"),2))&gt;0,1,0)</f>
        <v>1</v>
      </c>
      <c r="I29" s="37">
        <f>IF(COUNTIFS('📋 Транзакції'!$B$5:$B$3623,A29,'📋 Транзакції'!$C$5:$C$3623,"&gt;="&amp;EDATE(DATEVALUE(C29&amp;"-01"),2),'📋 Транзакції'!$C$5:$C$3623,"&lt;"&amp;EDATE(DATEVALUE(C29&amp;"-01"),3))&gt;0,1,0)</f>
        <v>1</v>
      </c>
      <c r="J29" s="37">
        <f>IF(COUNTIFS('📋 Транзакції'!$B$5:$B$3623,A29,'📋 Транзакції'!$C$5:$C$3623,"&gt;="&amp;EDATE(DATEVALUE(C29&amp;"-01"),3),'📋 Транзакції'!$C$5:$C$3623,"&lt;"&amp;EDATE(DATEVALUE(C29&amp;"-01"),4))&gt;0,1,0)</f>
        <v>1</v>
      </c>
      <c r="K29" s="37">
        <f>IF(COUNTIFS('📋 Транзакції'!$B$5:$B$3623,A29,'📋 Транзакції'!$C$5:$C$3623,"&gt;="&amp;EDATE(DATEVALUE(C29&amp;"-01"),4),'📋 Транзакції'!$C$5:$C$3623,"&lt;"&amp;EDATE(DATEVALUE(C29&amp;"-01"),5))&gt;0,1,0)</f>
        <v>1</v>
      </c>
      <c r="L29" s="37">
        <f>IF(COUNTIFS('📋 Транзакції'!$B$5:$B$3623,A29,'📋 Транзакції'!$C$5:$C$3623,"&gt;="&amp;EDATE(DATEVALUE(C29&amp;"-01"),5),'📋 Транзакції'!$C$5:$C$3623,"&lt;"&amp;EDATE(DATEVALUE(C29&amp;"-01"),6))&gt;0,1,0)</f>
        <v>1</v>
      </c>
      <c r="M29" s="37">
        <f>IF(COUNTIFS('📋 Транзакції'!$B$5:$B$3623,A29,'📋 Транзакції'!$C$5:$C$3623,"&gt;="&amp;EDATE(DATEVALUE(C29&amp;"-01"),6),'📋 Транзакції'!$C$5:$C$3623,"&lt;"&amp;EDATE(DATEVALUE(C29&amp;"-01"),7))&gt;0,1,0)</f>
        <v>0</v>
      </c>
      <c r="N29" s="37">
        <f>IF(COUNTIFS('📋 Транзакції'!$B$5:$B$3623,A29,'📋 Транзакції'!$C$5:$C$3623,"&gt;="&amp;EDATE(DATEVALUE(C29&amp;"-01"),7),'📋 Транзакції'!$C$5:$C$3623,"&lt;"&amp;EDATE(DATEVALUE(C29&amp;"-01"),8))&gt;0,1,0)</f>
        <v>0</v>
      </c>
      <c r="O29" s="37">
        <f>IF(COUNTIFS('📋 Транзакції'!$B$5:$B$3623,A29,'📋 Транзакції'!$C$5:$C$3623,"&gt;="&amp;EDATE(DATEVALUE(C29&amp;"-01"),8),'📋 Транзакції'!$C$5:$C$3623,"&lt;"&amp;EDATE(DATEVALUE(C29&amp;"-01"),9))&gt;0,1,0)</f>
        <v>0</v>
      </c>
      <c r="P29" s="37">
        <f>IF(COUNTIFS('📋 Транзакції'!$B$5:$B$3623,A29,'📋 Транзакції'!$C$5:$C$3623,"&gt;="&amp;EDATE(DATEVALUE(C29&amp;"-01"),9),'📋 Транзакції'!$C$5:$C$3623,"&lt;"&amp;EDATE(DATEVALUE(C29&amp;"-01"),10))&gt;0,1,0)</f>
        <v>0</v>
      </c>
      <c r="Q29" s="37">
        <f>IF(COUNTIFS('📋 Транзакції'!$B$5:$B$3623,A29,'📋 Транзакції'!$C$5:$C$3623,"&gt;="&amp;EDATE(DATEVALUE(C29&amp;"-01"),10),'📋 Транзакції'!$C$5:$C$3623,"&lt;"&amp;EDATE(DATEVALUE(C29&amp;"-01"),11))&gt;0,1,0)</f>
        <v>0</v>
      </c>
      <c r="R29" s="37">
        <f>IF(COUNTIFS('📋 Транзакції'!$B$5:$B$3623,A29,'📋 Транзакції'!$C$5:$C$3623,"&gt;="&amp;EDATE(DATEVALUE(C29&amp;"-01"),11),'📋 Транзакції'!$C$5:$C$3623,"&lt;"&amp;EDATE(DATEVALUE(C29&amp;"-01"),12))&gt;0,1,0)</f>
        <v>0</v>
      </c>
      <c r="S29" s="37">
        <f>SUMIFS('📋 Транзакції'!$F$5:$F$3623,'📋 Транзакції'!$B$5:$B$3623,A29,'📋 Транзакції'!$C$5:$C$3623,"&gt;="&amp;EDATE(DATEVALUE(C29&amp;"-01"),0),'📋 Транзакції'!$C$5:$C$3623,"&lt;"&amp;EDATE(DATEVALUE(C29&amp;"-01"),1))</f>
        <v>0</v>
      </c>
      <c r="T29" s="37">
        <f>SUMIFS('📋 Транзакції'!$F$5:$F$3623,'📋 Транзакції'!$B$5:$B$3623,A29,'📋 Транзакції'!$C$5:$C$3623,"&gt;="&amp;EDATE(DATEVALUE(C29&amp;"-01"),1),'📋 Транзакції'!$C$5:$C$3623,"&lt;"&amp;EDATE(DATEVALUE(C29&amp;"-01"),2))</f>
        <v>19.99</v>
      </c>
      <c r="U29" s="37">
        <f>SUMIFS('📋 Транзакції'!$F$5:$F$3623,'📋 Транзакції'!$B$5:$B$3623,A29,'📋 Транзакції'!$C$5:$C$3623,"&gt;="&amp;EDATE(DATEVALUE(C29&amp;"-01"),2),'📋 Транзакції'!$C$5:$C$3623,"&lt;"&amp;EDATE(DATEVALUE(C29&amp;"-01"),3))</f>
        <v>19.99</v>
      </c>
      <c r="V29" s="37">
        <f>SUMIFS('📋 Транзакції'!$F$5:$F$3623,'📋 Транзакції'!$B$5:$B$3623,A29,'📋 Транзакції'!$C$5:$C$3623,"&gt;="&amp;EDATE(DATEVALUE(C29&amp;"-01"),3),'📋 Транзакції'!$C$5:$C$3623,"&lt;"&amp;EDATE(DATEVALUE(C29&amp;"-01"),4))</f>
        <v>19.99</v>
      </c>
      <c r="W29" s="37">
        <f>SUMIFS('📋 Транзакції'!$F$5:$F$3623,'📋 Транзакції'!$B$5:$B$3623,A29,'📋 Транзакції'!$C$5:$C$3623,"&gt;="&amp;EDATE(DATEVALUE(C29&amp;"-01"),4),'📋 Транзакції'!$C$5:$C$3623,"&lt;"&amp;EDATE(DATEVALUE(C29&amp;"-01"),5))</f>
        <v>19.99</v>
      </c>
      <c r="X29" s="37">
        <f>SUMIFS('📋 Транзакції'!$F$5:$F$3623,'📋 Транзакції'!$B$5:$B$3623,A29,'📋 Транзакції'!$C$5:$C$3623,"&gt;="&amp;EDATE(DATEVALUE(C29&amp;"-01"),5),'📋 Транзакції'!$C$5:$C$3623,"&lt;"&amp;EDATE(DATEVALUE(C29&amp;"-01"),6))</f>
        <v>19.99</v>
      </c>
      <c r="Y29" s="37">
        <f>SUMIFS('📋 Транзакції'!$F$5:$F$3623,'📋 Транзакції'!$B$5:$B$3623,A29,'📋 Транзакції'!$C$5:$C$3623,"&gt;="&amp;EDATE(DATEVALUE(C29&amp;"-01"),6),'📋 Транзакції'!$C$5:$C$3623,"&lt;"&amp;EDATE(DATEVALUE(C29&amp;"-01"),7))</f>
        <v>0</v>
      </c>
      <c r="Z29" s="37">
        <f>SUMIFS('📋 Транзакції'!$F$5:$F$3623,'📋 Транзакції'!$B$5:$B$3623,A29,'📋 Транзакції'!$C$5:$C$3623,"&gt;="&amp;EDATE(DATEVALUE(C29&amp;"-01"),7),'📋 Транзакції'!$C$5:$C$3623,"&lt;"&amp;EDATE(DATEVALUE(C29&amp;"-01"),8))</f>
        <v>0</v>
      </c>
      <c r="AA29" s="37">
        <f>SUMIFS('📋 Транзакції'!$F$5:$F$3623,'📋 Транзакції'!$B$5:$B$3623,A29,'📋 Транзакції'!$C$5:$C$3623,"&gt;="&amp;EDATE(DATEVALUE(C29&amp;"-01"),8),'📋 Транзакції'!$C$5:$C$3623,"&lt;"&amp;EDATE(DATEVALUE(C29&amp;"-01"),9))</f>
        <v>0</v>
      </c>
      <c r="AB29" s="37">
        <f>SUMIFS('📋 Транзакції'!$F$5:$F$3623,'📋 Транзакції'!$B$5:$B$3623,A29,'📋 Транзакції'!$C$5:$C$3623,"&gt;="&amp;EDATE(DATEVALUE(C29&amp;"-01"),9),'📋 Транзакції'!$C$5:$C$3623,"&lt;"&amp;EDATE(DATEVALUE(C29&amp;"-01"),10))</f>
        <v>0</v>
      </c>
      <c r="AC29" s="37">
        <f>SUMIFS('📋 Транзакції'!$F$5:$F$3623,'📋 Транзакції'!$B$5:$B$3623,A29,'📋 Транзакції'!$C$5:$C$3623,"&gt;="&amp;EDATE(DATEVALUE(C29&amp;"-01"),10),'📋 Транзакції'!$C$5:$C$3623,"&lt;"&amp;EDATE(DATEVALUE(C29&amp;"-01"),11))</f>
        <v>0</v>
      </c>
      <c r="AD29" s="37">
        <f>SUMIFS('📋 Транзакції'!$F$5:$F$3623,'📋 Транзакції'!$B$5:$B$3623,A29,'📋 Транзакції'!$C$5:$C$3623,"&gt;="&amp;EDATE(DATEVALUE(C29&amp;"-01"),11),'📋 Транзакції'!$C$5:$C$3623,"&lt;"&amp;EDATE(DATEVALUE(C29&amp;"-01"),12))</f>
        <v>0</v>
      </c>
    </row>
    <row r="30" ht="15.75" customHeight="1">
      <c r="A30" s="33" t="str">
        <f>'📋 Реєстрації'!A30:A631</f>
        <v>U0425</v>
      </c>
      <c r="B30" s="34">
        <f t="array" ref="B30">INDEX('📋 Транзакції'!$C$5:$C$3623,MATCH(A30,'📋 Транзакції'!$B$5:$B$3623,0))</f>
        <v>45323</v>
      </c>
      <c r="C30" s="35" t="str">
        <f t="shared" si="1"/>
        <v>2024-02</v>
      </c>
      <c r="D30" s="36">
        <f>COUNTIF('📋 Транзакції'!$B$5:$B$3623,A30)</f>
        <v>5</v>
      </c>
      <c r="E30" s="36">
        <f>SUMIF('📋 Транзакції'!$B$5:$B$3623,A30,'📋 Транзакції'!$F$5:$F$3623)</f>
        <v>79.96</v>
      </c>
      <c r="F30" s="35">
        <f>INT($A$1-MAXIFS('📋 Транзакції'!$C$5:$C$3623,'📋 Транзакції'!$B$5:$B$3623,A30))</f>
        <v>327</v>
      </c>
      <c r="G30" s="37">
        <f>IF(COUNTIFS('📋 Транзакції'!$B$5:$B$3623,A30,'📋 Транзакції'!$C$5:$C$3623,"&gt;="&amp;EDATE(DATEVALUE(C30&amp;"-01"),0),'📋 Транзакції'!$C$5:$C$3623,"&lt;"&amp;EDATE(DATEVALUE(C30&amp;"-01"),1))&gt;0,1,0)</f>
        <v>1</v>
      </c>
      <c r="H30" s="37">
        <f>IF(COUNTIFS('📋 Транзакції'!$B$5:$B$3623,A30,'📋 Транзакції'!$C$5:$C$3623,"&gt;="&amp;EDATE(DATEVALUE(C30&amp;"-01"),1),'📋 Транзакції'!$C$5:$C$3623,"&lt;"&amp;EDATE(DATEVALUE(C30&amp;"-01"),2))&gt;0,1,0)</f>
        <v>1</v>
      </c>
      <c r="I30" s="37">
        <f>IF(COUNTIFS('📋 Транзакції'!$B$5:$B$3623,A30,'📋 Транзакції'!$C$5:$C$3623,"&gt;="&amp;EDATE(DATEVALUE(C30&amp;"-01"),2),'📋 Транзакції'!$C$5:$C$3623,"&lt;"&amp;EDATE(DATEVALUE(C30&amp;"-01"),3))&gt;0,1,0)</f>
        <v>1</v>
      </c>
      <c r="J30" s="37">
        <f>IF(COUNTIFS('📋 Транзакції'!$B$5:$B$3623,A30,'📋 Транзакції'!$C$5:$C$3623,"&gt;="&amp;EDATE(DATEVALUE(C30&amp;"-01"),3),'📋 Транзакції'!$C$5:$C$3623,"&lt;"&amp;EDATE(DATEVALUE(C30&amp;"-01"),4))&gt;0,1,0)</f>
        <v>1</v>
      </c>
      <c r="K30" s="37">
        <f>IF(COUNTIFS('📋 Транзакції'!$B$5:$B$3623,A30,'📋 Транзакції'!$C$5:$C$3623,"&gt;="&amp;EDATE(DATEVALUE(C30&amp;"-01"),4),'📋 Транзакції'!$C$5:$C$3623,"&lt;"&amp;EDATE(DATEVALUE(C30&amp;"-01"),5))&gt;0,1,0)</f>
        <v>0</v>
      </c>
      <c r="L30" s="37">
        <f>IF(COUNTIFS('📋 Транзакції'!$B$5:$B$3623,A30,'📋 Транзакції'!$C$5:$C$3623,"&gt;="&amp;EDATE(DATEVALUE(C30&amp;"-01"),5),'📋 Транзакції'!$C$5:$C$3623,"&lt;"&amp;EDATE(DATEVALUE(C30&amp;"-01"),6))&gt;0,1,0)</f>
        <v>0</v>
      </c>
      <c r="M30" s="37">
        <f>IF(COUNTIFS('📋 Транзакції'!$B$5:$B$3623,A30,'📋 Транзакції'!$C$5:$C$3623,"&gt;="&amp;EDATE(DATEVALUE(C30&amp;"-01"),6),'📋 Транзакції'!$C$5:$C$3623,"&lt;"&amp;EDATE(DATEVALUE(C30&amp;"-01"),7))&gt;0,1,0)</f>
        <v>0</v>
      </c>
      <c r="N30" s="37">
        <f>IF(COUNTIFS('📋 Транзакції'!$B$5:$B$3623,A30,'📋 Транзакції'!$C$5:$C$3623,"&gt;="&amp;EDATE(DATEVALUE(C30&amp;"-01"),7),'📋 Транзакції'!$C$5:$C$3623,"&lt;"&amp;EDATE(DATEVALUE(C30&amp;"-01"),8))&gt;0,1,0)</f>
        <v>0</v>
      </c>
      <c r="O30" s="37">
        <f>IF(COUNTIFS('📋 Транзакції'!$B$5:$B$3623,A30,'📋 Транзакції'!$C$5:$C$3623,"&gt;="&amp;EDATE(DATEVALUE(C30&amp;"-01"),8),'📋 Транзакції'!$C$5:$C$3623,"&lt;"&amp;EDATE(DATEVALUE(C30&amp;"-01"),9))&gt;0,1,0)</f>
        <v>0</v>
      </c>
      <c r="P30" s="37">
        <f>IF(COUNTIFS('📋 Транзакції'!$B$5:$B$3623,A30,'📋 Транзакції'!$C$5:$C$3623,"&gt;="&amp;EDATE(DATEVALUE(C30&amp;"-01"),9),'📋 Транзакції'!$C$5:$C$3623,"&lt;"&amp;EDATE(DATEVALUE(C30&amp;"-01"),10))&gt;0,1,0)</f>
        <v>0</v>
      </c>
      <c r="Q30" s="37">
        <f>IF(COUNTIFS('📋 Транзакції'!$B$5:$B$3623,A30,'📋 Транзакції'!$C$5:$C$3623,"&gt;="&amp;EDATE(DATEVALUE(C30&amp;"-01"),10),'📋 Транзакції'!$C$5:$C$3623,"&lt;"&amp;EDATE(DATEVALUE(C30&amp;"-01"),11))&gt;0,1,0)</f>
        <v>0</v>
      </c>
      <c r="R30" s="37">
        <f>IF(COUNTIFS('📋 Транзакції'!$B$5:$B$3623,A30,'📋 Транзакції'!$C$5:$C$3623,"&gt;="&amp;EDATE(DATEVALUE(C30&amp;"-01"),11),'📋 Транзакції'!$C$5:$C$3623,"&lt;"&amp;EDATE(DATEVALUE(C30&amp;"-01"),12))&gt;0,1,0)</f>
        <v>0</v>
      </c>
      <c r="S30" s="37">
        <f>SUMIFS('📋 Транзакції'!$F$5:$F$3623,'📋 Транзакції'!$B$5:$B$3623,A30,'📋 Транзакції'!$C$5:$C$3623,"&gt;="&amp;EDATE(DATEVALUE(C30&amp;"-01"),0),'📋 Транзакції'!$C$5:$C$3623,"&lt;"&amp;EDATE(DATEVALUE(C30&amp;"-01"),1))</f>
        <v>19.99</v>
      </c>
      <c r="T30" s="37">
        <f>SUMIFS('📋 Транзакції'!$F$5:$F$3623,'📋 Транзакції'!$B$5:$B$3623,A30,'📋 Транзакції'!$C$5:$C$3623,"&gt;="&amp;EDATE(DATEVALUE(C30&amp;"-01"),1),'📋 Транзакції'!$C$5:$C$3623,"&lt;"&amp;EDATE(DATEVALUE(C30&amp;"-01"),2))</f>
        <v>19.99</v>
      </c>
      <c r="U30" s="37">
        <f>SUMIFS('📋 Транзакції'!$F$5:$F$3623,'📋 Транзакції'!$B$5:$B$3623,A30,'📋 Транзакції'!$C$5:$C$3623,"&gt;="&amp;EDATE(DATEVALUE(C30&amp;"-01"),2),'📋 Транзакції'!$C$5:$C$3623,"&lt;"&amp;EDATE(DATEVALUE(C30&amp;"-01"),3))</f>
        <v>19.99</v>
      </c>
      <c r="V30" s="37">
        <f>SUMIFS('📋 Транзакції'!$F$5:$F$3623,'📋 Транзакції'!$B$5:$B$3623,A30,'📋 Транзакції'!$C$5:$C$3623,"&gt;="&amp;EDATE(DATEVALUE(C30&amp;"-01"),3),'📋 Транзакції'!$C$5:$C$3623,"&lt;"&amp;EDATE(DATEVALUE(C30&amp;"-01"),4))</f>
        <v>19.99</v>
      </c>
      <c r="W30" s="37">
        <f>SUMIFS('📋 Транзакції'!$F$5:$F$3623,'📋 Транзакції'!$B$5:$B$3623,A30,'📋 Транзакції'!$C$5:$C$3623,"&gt;="&amp;EDATE(DATEVALUE(C30&amp;"-01"),4),'📋 Транзакції'!$C$5:$C$3623,"&lt;"&amp;EDATE(DATEVALUE(C30&amp;"-01"),5))</f>
        <v>0</v>
      </c>
      <c r="X30" s="37">
        <f>SUMIFS('📋 Транзакції'!$F$5:$F$3623,'📋 Транзакції'!$B$5:$B$3623,A30,'📋 Транзакції'!$C$5:$C$3623,"&gt;="&amp;EDATE(DATEVALUE(C30&amp;"-01"),5),'📋 Транзакції'!$C$5:$C$3623,"&lt;"&amp;EDATE(DATEVALUE(C30&amp;"-01"),6))</f>
        <v>0</v>
      </c>
      <c r="Y30" s="37">
        <f>SUMIFS('📋 Транзакції'!$F$5:$F$3623,'📋 Транзакції'!$B$5:$B$3623,A30,'📋 Транзакції'!$C$5:$C$3623,"&gt;="&amp;EDATE(DATEVALUE(C30&amp;"-01"),6),'📋 Транзакції'!$C$5:$C$3623,"&lt;"&amp;EDATE(DATEVALUE(C30&amp;"-01"),7))</f>
        <v>0</v>
      </c>
      <c r="Z30" s="37">
        <f>SUMIFS('📋 Транзакції'!$F$5:$F$3623,'📋 Транзакції'!$B$5:$B$3623,A30,'📋 Транзакції'!$C$5:$C$3623,"&gt;="&amp;EDATE(DATEVALUE(C30&amp;"-01"),7),'📋 Транзакції'!$C$5:$C$3623,"&lt;"&amp;EDATE(DATEVALUE(C30&amp;"-01"),8))</f>
        <v>0</v>
      </c>
      <c r="AA30" s="37">
        <f>SUMIFS('📋 Транзакції'!$F$5:$F$3623,'📋 Транзакції'!$B$5:$B$3623,A30,'📋 Транзакції'!$C$5:$C$3623,"&gt;="&amp;EDATE(DATEVALUE(C30&amp;"-01"),8),'📋 Транзакції'!$C$5:$C$3623,"&lt;"&amp;EDATE(DATEVALUE(C30&amp;"-01"),9))</f>
        <v>0</v>
      </c>
      <c r="AB30" s="37">
        <f>SUMIFS('📋 Транзакції'!$F$5:$F$3623,'📋 Транзакції'!$B$5:$B$3623,A30,'📋 Транзакції'!$C$5:$C$3623,"&gt;="&amp;EDATE(DATEVALUE(C30&amp;"-01"),9),'📋 Транзакції'!$C$5:$C$3623,"&lt;"&amp;EDATE(DATEVALUE(C30&amp;"-01"),10))</f>
        <v>0</v>
      </c>
      <c r="AC30" s="37">
        <f>SUMIFS('📋 Транзакції'!$F$5:$F$3623,'📋 Транзакції'!$B$5:$B$3623,A30,'📋 Транзакції'!$C$5:$C$3623,"&gt;="&amp;EDATE(DATEVALUE(C30&amp;"-01"),10),'📋 Транзакції'!$C$5:$C$3623,"&lt;"&amp;EDATE(DATEVALUE(C30&amp;"-01"),11))</f>
        <v>0</v>
      </c>
      <c r="AD30" s="37">
        <f>SUMIFS('📋 Транзакції'!$F$5:$F$3623,'📋 Транзакції'!$B$5:$B$3623,A30,'📋 Транзакції'!$C$5:$C$3623,"&gt;="&amp;EDATE(DATEVALUE(C30&amp;"-01"),11),'📋 Транзакції'!$C$5:$C$3623,"&lt;"&amp;EDATE(DATEVALUE(C30&amp;"-01"),12))</f>
        <v>0</v>
      </c>
    </row>
    <row r="31" ht="15.75" customHeight="1">
      <c r="A31" s="33" t="str">
        <f>'📋 Реєстрації'!A31:A632</f>
        <v>U0629</v>
      </c>
      <c r="B31" s="34">
        <f t="array" ref="B31">INDEX('📋 Транзакції'!$C$5:$C$3623,MATCH(A31,'📋 Транзакції'!$B$5:$B$3623,0))</f>
        <v>45324</v>
      </c>
      <c r="C31" s="35" t="str">
        <f t="shared" si="1"/>
        <v>2024-02</v>
      </c>
      <c r="D31" s="36">
        <f>COUNTIF('📋 Транзакції'!$B$5:$B$3623,A31)</f>
        <v>15</v>
      </c>
      <c r="E31" s="36">
        <f>SUMIF('📋 Транзакції'!$B$5:$B$3623,A31,'📋 Транзакції'!$F$5:$F$3623)</f>
        <v>279.86</v>
      </c>
      <c r="F31" s="35">
        <f>INT($A$1-MAXIFS('📋 Транзакції'!$C$5:$C$3623,'📋 Транзакції'!$B$5:$B$3623,A31))</f>
        <v>26</v>
      </c>
      <c r="G31" s="37">
        <f>IF(COUNTIFS('📋 Транзакції'!$B$5:$B$3623,A31,'📋 Транзакції'!$C$5:$C$3623,"&gt;="&amp;EDATE(DATEVALUE(C31&amp;"-01"),0),'📋 Транзакції'!$C$5:$C$3623,"&lt;"&amp;EDATE(DATEVALUE(C31&amp;"-01"),1))&gt;0,1,0)</f>
        <v>1</v>
      </c>
      <c r="H31" s="37">
        <f>IF(COUNTIFS('📋 Транзакції'!$B$5:$B$3623,A31,'📋 Транзакції'!$C$5:$C$3623,"&gt;="&amp;EDATE(DATEVALUE(C31&amp;"-01"),1),'📋 Транзакції'!$C$5:$C$3623,"&lt;"&amp;EDATE(DATEVALUE(C31&amp;"-01"),2))&gt;0,1,0)</f>
        <v>1</v>
      </c>
      <c r="I31" s="37">
        <f>IF(COUNTIFS('📋 Транзакції'!$B$5:$B$3623,A31,'📋 Транзакції'!$C$5:$C$3623,"&gt;="&amp;EDATE(DATEVALUE(C31&amp;"-01"),2),'📋 Транзакції'!$C$5:$C$3623,"&lt;"&amp;EDATE(DATEVALUE(C31&amp;"-01"),3))&gt;0,1,0)</f>
        <v>1</v>
      </c>
      <c r="J31" s="37">
        <f>IF(COUNTIFS('📋 Транзакції'!$B$5:$B$3623,A31,'📋 Транзакції'!$C$5:$C$3623,"&gt;="&amp;EDATE(DATEVALUE(C31&amp;"-01"),3),'📋 Транзакції'!$C$5:$C$3623,"&lt;"&amp;EDATE(DATEVALUE(C31&amp;"-01"),4))&gt;0,1,0)</f>
        <v>1</v>
      </c>
      <c r="K31" s="37">
        <f>IF(COUNTIFS('📋 Транзакції'!$B$5:$B$3623,A31,'📋 Транзакції'!$C$5:$C$3623,"&gt;="&amp;EDATE(DATEVALUE(C31&amp;"-01"),4),'📋 Транзакції'!$C$5:$C$3623,"&lt;"&amp;EDATE(DATEVALUE(C31&amp;"-01"),5))&gt;0,1,0)</f>
        <v>1</v>
      </c>
      <c r="L31" s="37">
        <f>IF(COUNTIFS('📋 Транзакції'!$B$5:$B$3623,A31,'📋 Транзакції'!$C$5:$C$3623,"&gt;="&amp;EDATE(DATEVALUE(C31&amp;"-01"),5),'📋 Транзакції'!$C$5:$C$3623,"&lt;"&amp;EDATE(DATEVALUE(C31&amp;"-01"),6))&gt;0,1,0)</f>
        <v>1</v>
      </c>
      <c r="M31" s="37">
        <f>IF(COUNTIFS('📋 Транзакції'!$B$5:$B$3623,A31,'📋 Транзакції'!$C$5:$C$3623,"&gt;="&amp;EDATE(DATEVALUE(C31&amp;"-01"),6),'📋 Транзакції'!$C$5:$C$3623,"&lt;"&amp;EDATE(DATEVALUE(C31&amp;"-01"),7))&gt;0,1,0)</f>
        <v>1</v>
      </c>
      <c r="N31" s="37">
        <f>IF(COUNTIFS('📋 Транзакції'!$B$5:$B$3623,A31,'📋 Транзакції'!$C$5:$C$3623,"&gt;="&amp;EDATE(DATEVALUE(C31&amp;"-01"),7),'📋 Транзакції'!$C$5:$C$3623,"&lt;"&amp;EDATE(DATEVALUE(C31&amp;"-01"),8))&gt;0,1,0)</f>
        <v>1</v>
      </c>
      <c r="O31" s="37">
        <f>IF(COUNTIFS('📋 Транзакції'!$B$5:$B$3623,A31,'📋 Транзакції'!$C$5:$C$3623,"&gt;="&amp;EDATE(DATEVALUE(C31&amp;"-01"),8),'📋 Транзакції'!$C$5:$C$3623,"&lt;"&amp;EDATE(DATEVALUE(C31&amp;"-01"),9))&gt;0,1,0)</f>
        <v>1</v>
      </c>
      <c r="P31" s="37">
        <f>IF(COUNTIFS('📋 Транзакції'!$B$5:$B$3623,A31,'📋 Транзакції'!$C$5:$C$3623,"&gt;="&amp;EDATE(DATEVALUE(C31&amp;"-01"),9),'📋 Транзакції'!$C$5:$C$3623,"&lt;"&amp;EDATE(DATEVALUE(C31&amp;"-01"),10))&gt;0,1,0)</f>
        <v>1</v>
      </c>
      <c r="Q31" s="37">
        <f>IF(COUNTIFS('📋 Транзакції'!$B$5:$B$3623,A31,'📋 Транзакції'!$C$5:$C$3623,"&gt;="&amp;EDATE(DATEVALUE(C31&amp;"-01"),10),'📋 Транзакції'!$C$5:$C$3623,"&lt;"&amp;EDATE(DATEVALUE(C31&amp;"-01"),11))&gt;0,1,0)</f>
        <v>1</v>
      </c>
      <c r="R31" s="37">
        <f>IF(COUNTIFS('📋 Транзакції'!$B$5:$B$3623,A31,'📋 Транзакції'!$C$5:$C$3623,"&gt;="&amp;EDATE(DATEVALUE(C31&amp;"-01"),11),'📋 Транзакції'!$C$5:$C$3623,"&lt;"&amp;EDATE(DATEVALUE(C31&amp;"-01"),12))&gt;0,1,0)</f>
        <v>1</v>
      </c>
      <c r="S31" s="37">
        <f>SUMIFS('📋 Транзакції'!$F$5:$F$3623,'📋 Транзакції'!$B$5:$B$3623,A31,'📋 Транзакції'!$C$5:$C$3623,"&gt;="&amp;EDATE(DATEVALUE(C31&amp;"-01"),0),'📋 Транзакції'!$C$5:$C$3623,"&lt;"&amp;EDATE(DATEVALUE(C31&amp;"-01"),1))</f>
        <v>19.99</v>
      </c>
      <c r="T31" s="37">
        <f>SUMIFS('📋 Транзакції'!$F$5:$F$3623,'📋 Транзакції'!$B$5:$B$3623,A31,'📋 Транзакції'!$C$5:$C$3623,"&gt;="&amp;EDATE(DATEVALUE(C31&amp;"-01"),1),'📋 Транзакції'!$C$5:$C$3623,"&lt;"&amp;EDATE(DATEVALUE(C31&amp;"-01"),2))</f>
        <v>19.99</v>
      </c>
      <c r="U31" s="37">
        <f>SUMIFS('📋 Транзакції'!$F$5:$F$3623,'📋 Транзакції'!$B$5:$B$3623,A31,'📋 Транзакції'!$C$5:$C$3623,"&gt;="&amp;EDATE(DATEVALUE(C31&amp;"-01"),2),'📋 Транзакції'!$C$5:$C$3623,"&lt;"&amp;EDATE(DATEVALUE(C31&amp;"-01"),3))</f>
        <v>19.99</v>
      </c>
      <c r="V31" s="37">
        <f>SUMIFS('📋 Транзакції'!$F$5:$F$3623,'📋 Транзакції'!$B$5:$B$3623,A31,'📋 Транзакції'!$C$5:$C$3623,"&gt;="&amp;EDATE(DATEVALUE(C31&amp;"-01"),3),'📋 Транзакції'!$C$5:$C$3623,"&lt;"&amp;EDATE(DATEVALUE(C31&amp;"-01"),4))</f>
        <v>19.99</v>
      </c>
      <c r="W31" s="37">
        <f>SUMIFS('📋 Транзакції'!$F$5:$F$3623,'📋 Транзакції'!$B$5:$B$3623,A31,'📋 Транзакції'!$C$5:$C$3623,"&gt;="&amp;EDATE(DATEVALUE(C31&amp;"-01"),4),'📋 Транзакції'!$C$5:$C$3623,"&lt;"&amp;EDATE(DATEVALUE(C31&amp;"-01"),5))</f>
        <v>19.99</v>
      </c>
      <c r="X31" s="37">
        <f>SUMIFS('📋 Транзакції'!$F$5:$F$3623,'📋 Транзакції'!$B$5:$B$3623,A31,'📋 Транзакції'!$C$5:$C$3623,"&gt;="&amp;EDATE(DATEVALUE(C31&amp;"-01"),5),'📋 Транзакції'!$C$5:$C$3623,"&lt;"&amp;EDATE(DATEVALUE(C31&amp;"-01"),6))</f>
        <v>19.99</v>
      </c>
      <c r="Y31" s="37">
        <f>SUMIFS('📋 Транзакції'!$F$5:$F$3623,'📋 Транзакції'!$B$5:$B$3623,A31,'📋 Транзакції'!$C$5:$C$3623,"&gt;="&amp;EDATE(DATEVALUE(C31&amp;"-01"),6),'📋 Транзакції'!$C$5:$C$3623,"&lt;"&amp;EDATE(DATEVALUE(C31&amp;"-01"),7))</f>
        <v>19.99</v>
      </c>
      <c r="Z31" s="37">
        <f>SUMIFS('📋 Транзакції'!$F$5:$F$3623,'📋 Транзакції'!$B$5:$B$3623,A31,'📋 Транзакції'!$C$5:$C$3623,"&gt;="&amp;EDATE(DATEVALUE(C31&amp;"-01"),7),'📋 Транзакції'!$C$5:$C$3623,"&lt;"&amp;EDATE(DATEVALUE(C31&amp;"-01"),8))</f>
        <v>19.99</v>
      </c>
      <c r="AA31" s="37">
        <f>SUMIFS('📋 Транзакції'!$F$5:$F$3623,'📋 Транзакції'!$B$5:$B$3623,A31,'📋 Транзакції'!$C$5:$C$3623,"&gt;="&amp;EDATE(DATEVALUE(C31&amp;"-01"),8),'📋 Транзакції'!$C$5:$C$3623,"&lt;"&amp;EDATE(DATEVALUE(C31&amp;"-01"),9))</f>
        <v>19.99</v>
      </c>
      <c r="AB31" s="37">
        <f>SUMIFS('📋 Транзакції'!$F$5:$F$3623,'📋 Транзакції'!$B$5:$B$3623,A31,'📋 Транзакції'!$C$5:$C$3623,"&gt;="&amp;EDATE(DATEVALUE(C31&amp;"-01"),9),'📋 Транзакції'!$C$5:$C$3623,"&lt;"&amp;EDATE(DATEVALUE(C31&amp;"-01"),10))</f>
        <v>19.99</v>
      </c>
      <c r="AC31" s="37">
        <f>SUMIFS('📋 Транзакції'!$F$5:$F$3623,'📋 Транзакції'!$B$5:$B$3623,A31,'📋 Транзакції'!$C$5:$C$3623,"&gt;="&amp;EDATE(DATEVALUE(C31&amp;"-01"),10),'📋 Транзакції'!$C$5:$C$3623,"&lt;"&amp;EDATE(DATEVALUE(C31&amp;"-01"),11))</f>
        <v>19.99</v>
      </c>
      <c r="AD31" s="37">
        <f>SUMIFS('📋 Транзакції'!$F$5:$F$3623,'📋 Транзакції'!$B$5:$B$3623,A31,'📋 Транзакції'!$C$5:$C$3623,"&gt;="&amp;EDATE(DATEVALUE(C31&amp;"-01"),11),'📋 Транзакції'!$C$5:$C$3623,"&lt;"&amp;EDATE(DATEVALUE(C31&amp;"-01"),12))</f>
        <v>19.99</v>
      </c>
    </row>
    <row r="32" ht="15.75" customHeight="1">
      <c r="A32" s="33" t="str">
        <f>'📋 Реєстрації'!A32:A633</f>
        <v>U0819</v>
      </c>
      <c r="B32" s="34">
        <f t="array" ref="B32">INDEX('📋 Транзакції'!$C$5:$C$3623,MATCH(A32,'📋 Транзакції'!$B$5:$B$3623,0))</f>
        <v>45328</v>
      </c>
      <c r="C32" s="35" t="str">
        <f t="shared" si="1"/>
        <v>2024-02</v>
      </c>
      <c r="D32" s="36">
        <f>COUNTIF('📋 Транзакції'!$B$5:$B$3623,A32)</f>
        <v>15</v>
      </c>
      <c r="E32" s="36">
        <f>SUMIF('📋 Транзакції'!$B$5:$B$3623,A32,'📋 Транзакції'!$F$5:$F$3623)</f>
        <v>279.86</v>
      </c>
      <c r="F32" s="35">
        <f>INT($A$1-MAXIFS('📋 Транзакції'!$C$5:$C$3623,'📋 Транзакції'!$B$5:$B$3623,A32))</f>
        <v>22</v>
      </c>
      <c r="G32" s="37">
        <f>IF(COUNTIFS('📋 Транзакції'!$B$5:$B$3623,A32,'📋 Транзакції'!$C$5:$C$3623,"&gt;="&amp;EDATE(DATEVALUE(C32&amp;"-01"),0),'📋 Транзакції'!$C$5:$C$3623,"&lt;"&amp;EDATE(DATEVALUE(C32&amp;"-01"),1))&gt;0,1,0)</f>
        <v>1</v>
      </c>
      <c r="H32" s="37">
        <f>IF(COUNTIFS('📋 Транзакції'!$B$5:$B$3623,A32,'📋 Транзакції'!$C$5:$C$3623,"&gt;="&amp;EDATE(DATEVALUE(C32&amp;"-01"),1),'📋 Транзакції'!$C$5:$C$3623,"&lt;"&amp;EDATE(DATEVALUE(C32&amp;"-01"),2))&gt;0,1,0)</f>
        <v>1</v>
      </c>
      <c r="I32" s="37">
        <f>IF(COUNTIFS('📋 Транзакції'!$B$5:$B$3623,A32,'📋 Транзакції'!$C$5:$C$3623,"&gt;="&amp;EDATE(DATEVALUE(C32&amp;"-01"),2),'📋 Транзакції'!$C$5:$C$3623,"&lt;"&amp;EDATE(DATEVALUE(C32&amp;"-01"),3))&gt;0,1,0)</f>
        <v>1</v>
      </c>
      <c r="J32" s="37">
        <f>IF(COUNTIFS('📋 Транзакції'!$B$5:$B$3623,A32,'📋 Транзакції'!$C$5:$C$3623,"&gt;="&amp;EDATE(DATEVALUE(C32&amp;"-01"),3),'📋 Транзакції'!$C$5:$C$3623,"&lt;"&amp;EDATE(DATEVALUE(C32&amp;"-01"),4))&gt;0,1,0)</f>
        <v>1</v>
      </c>
      <c r="K32" s="37">
        <f>IF(COUNTIFS('📋 Транзакції'!$B$5:$B$3623,A32,'📋 Транзакції'!$C$5:$C$3623,"&gt;="&amp;EDATE(DATEVALUE(C32&amp;"-01"),4),'📋 Транзакції'!$C$5:$C$3623,"&lt;"&amp;EDATE(DATEVALUE(C32&amp;"-01"),5))&gt;0,1,0)</f>
        <v>1</v>
      </c>
      <c r="L32" s="37">
        <f>IF(COUNTIFS('📋 Транзакції'!$B$5:$B$3623,A32,'📋 Транзакції'!$C$5:$C$3623,"&gt;="&amp;EDATE(DATEVALUE(C32&amp;"-01"),5),'📋 Транзакції'!$C$5:$C$3623,"&lt;"&amp;EDATE(DATEVALUE(C32&amp;"-01"),6))&gt;0,1,0)</f>
        <v>1</v>
      </c>
      <c r="M32" s="37">
        <f>IF(COUNTIFS('📋 Транзакції'!$B$5:$B$3623,A32,'📋 Транзакції'!$C$5:$C$3623,"&gt;="&amp;EDATE(DATEVALUE(C32&amp;"-01"),6),'📋 Транзакції'!$C$5:$C$3623,"&lt;"&amp;EDATE(DATEVALUE(C32&amp;"-01"),7))&gt;0,1,0)</f>
        <v>1</v>
      </c>
      <c r="N32" s="37">
        <f>IF(COUNTIFS('📋 Транзакції'!$B$5:$B$3623,A32,'📋 Транзакції'!$C$5:$C$3623,"&gt;="&amp;EDATE(DATEVALUE(C32&amp;"-01"),7),'📋 Транзакції'!$C$5:$C$3623,"&lt;"&amp;EDATE(DATEVALUE(C32&amp;"-01"),8))&gt;0,1,0)</f>
        <v>1</v>
      </c>
      <c r="O32" s="37">
        <f>IF(COUNTIFS('📋 Транзакції'!$B$5:$B$3623,A32,'📋 Транзакції'!$C$5:$C$3623,"&gt;="&amp;EDATE(DATEVALUE(C32&amp;"-01"),8),'📋 Транзакції'!$C$5:$C$3623,"&lt;"&amp;EDATE(DATEVALUE(C32&amp;"-01"),9))&gt;0,1,0)</f>
        <v>1</v>
      </c>
      <c r="P32" s="37">
        <f>IF(COUNTIFS('📋 Транзакції'!$B$5:$B$3623,A32,'📋 Транзакції'!$C$5:$C$3623,"&gt;="&amp;EDATE(DATEVALUE(C32&amp;"-01"),9),'📋 Транзакції'!$C$5:$C$3623,"&lt;"&amp;EDATE(DATEVALUE(C32&amp;"-01"),10))&gt;0,1,0)</f>
        <v>1</v>
      </c>
      <c r="Q32" s="37">
        <f>IF(COUNTIFS('📋 Транзакції'!$B$5:$B$3623,A32,'📋 Транзакції'!$C$5:$C$3623,"&gt;="&amp;EDATE(DATEVALUE(C32&amp;"-01"),10),'📋 Транзакції'!$C$5:$C$3623,"&lt;"&amp;EDATE(DATEVALUE(C32&amp;"-01"),11))&gt;0,1,0)</f>
        <v>1</v>
      </c>
      <c r="R32" s="37">
        <f>IF(COUNTIFS('📋 Транзакції'!$B$5:$B$3623,A32,'📋 Транзакції'!$C$5:$C$3623,"&gt;="&amp;EDATE(DATEVALUE(C32&amp;"-01"),11),'📋 Транзакції'!$C$5:$C$3623,"&lt;"&amp;EDATE(DATEVALUE(C32&amp;"-01"),12))&gt;0,1,0)</f>
        <v>1</v>
      </c>
      <c r="S32" s="37">
        <f>SUMIFS('📋 Транзакції'!$F$5:$F$3623,'📋 Транзакції'!$B$5:$B$3623,A32,'📋 Транзакції'!$C$5:$C$3623,"&gt;="&amp;EDATE(DATEVALUE(C32&amp;"-01"),0),'📋 Транзакції'!$C$5:$C$3623,"&lt;"&amp;EDATE(DATEVALUE(C32&amp;"-01"),1))</f>
        <v>19.99</v>
      </c>
      <c r="T32" s="37">
        <f>SUMIFS('📋 Транзакції'!$F$5:$F$3623,'📋 Транзакції'!$B$5:$B$3623,A32,'📋 Транзакції'!$C$5:$C$3623,"&gt;="&amp;EDATE(DATEVALUE(C32&amp;"-01"),1),'📋 Транзакції'!$C$5:$C$3623,"&lt;"&amp;EDATE(DATEVALUE(C32&amp;"-01"),2))</f>
        <v>19.99</v>
      </c>
      <c r="U32" s="37">
        <f>SUMIFS('📋 Транзакції'!$F$5:$F$3623,'📋 Транзакції'!$B$5:$B$3623,A32,'📋 Транзакції'!$C$5:$C$3623,"&gt;="&amp;EDATE(DATEVALUE(C32&amp;"-01"),2),'📋 Транзакції'!$C$5:$C$3623,"&lt;"&amp;EDATE(DATEVALUE(C32&amp;"-01"),3))</f>
        <v>19.99</v>
      </c>
      <c r="V32" s="37">
        <f>SUMIFS('📋 Транзакції'!$F$5:$F$3623,'📋 Транзакції'!$B$5:$B$3623,A32,'📋 Транзакції'!$C$5:$C$3623,"&gt;="&amp;EDATE(DATEVALUE(C32&amp;"-01"),3),'📋 Транзакції'!$C$5:$C$3623,"&lt;"&amp;EDATE(DATEVALUE(C32&amp;"-01"),4))</f>
        <v>19.99</v>
      </c>
      <c r="W32" s="37">
        <f>SUMIFS('📋 Транзакції'!$F$5:$F$3623,'📋 Транзакції'!$B$5:$B$3623,A32,'📋 Транзакції'!$C$5:$C$3623,"&gt;="&amp;EDATE(DATEVALUE(C32&amp;"-01"),4),'📋 Транзакції'!$C$5:$C$3623,"&lt;"&amp;EDATE(DATEVALUE(C32&amp;"-01"),5))</f>
        <v>19.99</v>
      </c>
      <c r="X32" s="37">
        <f>SUMIFS('📋 Транзакції'!$F$5:$F$3623,'📋 Транзакції'!$B$5:$B$3623,A32,'📋 Транзакції'!$C$5:$C$3623,"&gt;="&amp;EDATE(DATEVALUE(C32&amp;"-01"),5),'📋 Транзакції'!$C$5:$C$3623,"&lt;"&amp;EDATE(DATEVALUE(C32&amp;"-01"),6))</f>
        <v>19.99</v>
      </c>
      <c r="Y32" s="37">
        <f>SUMIFS('📋 Транзакції'!$F$5:$F$3623,'📋 Транзакції'!$B$5:$B$3623,A32,'📋 Транзакції'!$C$5:$C$3623,"&gt;="&amp;EDATE(DATEVALUE(C32&amp;"-01"),6),'📋 Транзакції'!$C$5:$C$3623,"&lt;"&amp;EDATE(DATEVALUE(C32&amp;"-01"),7))</f>
        <v>19.99</v>
      </c>
      <c r="Z32" s="37">
        <f>SUMIFS('📋 Транзакції'!$F$5:$F$3623,'📋 Транзакції'!$B$5:$B$3623,A32,'📋 Транзакції'!$C$5:$C$3623,"&gt;="&amp;EDATE(DATEVALUE(C32&amp;"-01"),7),'📋 Транзакції'!$C$5:$C$3623,"&lt;"&amp;EDATE(DATEVALUE(C32&amp;"-01"),8))</f>
        <v>19.99</v>
      </c>
      <c r="AA32" s="37">
        <f>SUMIFS('📋 Транзакції'!$F$5:$F$3623,'📋 Транзакції'!$B$5:$B$3623,A32,'📋 Транзакції'!$C$5:$C$3623,"&gt;="&amp;EDATE(DATEVALUE(C32&amp;"-01"),8),'📋 Транзакції'!$C$5:$C$3623,"&lt;"&amp;EDATE(DATEVALUE(C32&amp;"-01"),9))</f>
        <v>19.99</v>
      </c>
      <c r="AB32" s="37">
        <f>SUMIFS('📋 Транзакції'!$F$5:$F$3623,'📋 Транзакції'!$B$5:$B$3623,A32,'📋 Транзакції'!$C$5:$C$3623,"&gt;="&amp;EDATE(DATEVALUE(C32&amp;"-01"),9),'📋 Транзакції'!$C$5:$C$3623,"&lt;"&amp;EDATE(DATEVALUE(C32&amp;"-01"),10))</f>
        <v>19.99</v>
      </c>
      <c r="AC32" s="37">
        <f>SUMIFS('📋 Транзакції'!$F$5:$F$3623,'📋 Транзакції'!$B$5:$B$3623,A32,'📋 Транзакції'!$C$5:$C$3623,"&gt;="&amp;EDATE(DATEVALUE(C32&amp;"-01"),10),'📋 Транзакції'!$C$5:$C$3623,"&lt;"&amp;EDATE(DATEVALUE(C32&amp;"-01"),11))</f>
        <v>19.99</v>
      </c>
      <c r="AD32" s="37">
        <f>SUMIFS('📋 Транзакції'!$F$5:$F$3623,'📋 Транзакції'!$B$5:$B$3623,A32,'📋 Транзакції'!$C$5:$C$3623,"&gt;="&amp;EDATE(DATEVALUE(C32&amp;"-01"),11),'📋 Транзакції'!$C$5:$C$3623,"&lt;"&amp;EDATE(DATEVALUE(C32&amp;"-01"),12))</f>
        <v>19.99</v>
      </c>
    </row>
    <row r="33" ht="15.75" customHeight="1">
      <c r="A33" s="33" t="str">
        <f>'📋 Реєстрації'!A33:A634</f>
        <v>U0059</v>
      </c>
      <c r="B33" s="34">
        <f t="array" ref="B33">INDEX('📋 Транзакції'!$C$5:$C$3623,MATCH(A33,'📋 Транзакції'!$B$5:$B$3623,0))</f>
        <v>45329</v>
      </c>
      <c r="C33" s="35" t="str">
        <f t="shared" si="1"/>
        <v>2024-02</v>
      </c>
      <c r="D33" s="36">
        <f>COUNTIF('📋 Транзакції'!$B$5:$B$3623,A33)</f>
        <v>15</v>
      </c>
      <c r="E33" s="36">
        <f>SUMIF('📋 Транзакції'!$B$5:$B$3623,A33,'📋 Транзакції'!$F$5:$F$3623)</f>
        <v>279.86</v>
      </c>
      <c r="F33" s="35">
        <f>INT($A$1-MAXIFS('📋 Транзакції'!$C$5:$C$3623,'📋 Транзакції'!$B$5:$B$3623,A33))</f>
        <v>21</v>
      </c>
      <c r="G33" s="37">
        <f>IF(COUNTIFS('📋 Транзакції'!$B$5:$B$3623,A33,'📋 Транзакції'!$C$5:$C$3623,"&gt;="&amp;EDATE(DATEVALUE(C33&amp;"-01"),0),'📋 Транзакції'!$C$5:$C$3623,"&lt;"&amp;EDATE(DATEVALUE(C33&amp;"-01"),1))&gt;0,1,0)</f>
        <v>1</v>
      </c>
      <c r="H33" s="37">
        <f>IF(COUNTIFS('📋 Транзакції'!$B$5:$B$3623,A33,'📋 Транзакції'!$C$5:$C$3623,"&gt;="&amp;EDATE(DATEVALUE(C33&amp;"-01"),1),'📋 Транзакції'!$C$5:$C$3623,"&lt;"&amp;EDATE(DATEVALUE(C33&amp;"-01"),2))&gt;0,1,0)</f>
        <v>1</v>
      </c>
      <c r="I33" s="37">
        <f>IF(COUNTIFS('📋 Транзакції'!$B$5:$B$3623,A33,'📋 Транзакції'!$C$5:$C$3623,"&gt;="&amp;EDATE(DATEVALUE(C33&amp;"-01"),2),'📋 Транзакції'!$C$5:$C$3623,"&lt;"&amp;EDATE(DATEVALUE(C33&amp;"-01"),3))&gt;0,1,0)</f>
        <v>1</v>
      </c>
      <c r="J33" s="37">
        <f>IF(COUNTIFS('📋 Транзакції'!$B$5:$B$3623,A33,'📋 Транзакції'!$C$5:$C$3623,"&gt;="&amp;EDATE(DATEVALUE(C33&amp;"-01"),3),'📋 Транзакції'!$C$5:$C$3623,"&lt;"&amp;EDATE(DATEVALUE(C33&amp;"-01"),4))&gt;0,1,0)</f>
        <v>1</v>
      </c>
      <c r="K33" s="37">
        <f>IF(COUNTIFS('📋 Транзакції'!$B$5:$B$3623,A33,'📋 Транзакції'!$C$5:$C$3623,"&gt;="&amp;EDATE(DATEVALUE(C33&amp;"-01"),4),'📋 Транзакції'!$C$5:$C$3623,"&lt;"&amp;EDATE(DATEVALUE(C33&amp;"-01"),5))&gt;0,1,0)</f>
        <v>1</v>
      </c>
      <c r="L33" s="37">
        <f>IF(COUNTIFS('📋 Транзакції'!$B$5:$B$3623,A33,'📋 Транзакції'!$C$5:$C$3623,"&gt;="&amp;EDATE(DATEVALUE(C33&amp;"-01"),5),'📋 Транзакції'!$C$5:$C$3623,"&lt;"&amp;EDATE(DATEVALUE(C33&amp;"-01"),6))&gt;0,1,0)</f>
        <v>1</v>
      </c>
      <c r="M33" s="37">
        <f>IF(COUNTIFS('📋 Транзакції'!$B$5:$B$3623,A33,'📋 Транзакції'!$C$5:$C$3623,"&gt;="&amp;EDATE(DATEVALUE(C33&amp;"-01"),6),'📋 Транзакції'!$C$5:$C$3623,"&lt;"&amp;EDATE(DATEVALUE(C33&amp;"-01"),7))&gt;0,1,0)</f>
        <v>1</v>
      </c>
      <c r="N33" s="37">
        <f>IF(COUNTIFS('📋 Транзакції'!$B$5:$B$3623,A33,'📋 Транзакції'!$C$5:$C$3623,"&gt;="&amp;EDATE(DATEVALUE(C33&amp;"-01"),7),'📋 Транзакції'!$C$5:$C$3623,"&lt;"&amp;EDATE(DATEVALUE(C33&amp;"-01"),8))&gt;0,1,0)</f>
        <v>1</v>
      </c>
      <c r="O33" s="37">
        <f>IF(COUNTIFS('📋 Транзакції'!$B$5:$B$3623,A33,'📋 Транзакції'!$C$5:$C$3623,"&gt;="&amp;EDATE(DATEVALUE(C33&amp;"-01"),8),'📋 Транзакції'!$C$5:$C$3623,"&lt;"&amp;EDATE(DATEVALUE(C33&amp;"-01"),9))&gt;0,1,0)</f>
        <v>1</v>
      </c>
      <c r="P33" s="37">
        <f>IF(COUNTIFS('📋 Транзакції'!$B$5:$B$3623,A33,'📋 Транзакції'!$C$5:$C$3623,"&gt;="&amp;EDATE(DATEVALUE(C33&amp;"-01"),9),'📋 Транзакції'!$C$5:$C$3623,"&lt;"&amp;EDATE(DATEVALUE(C33&amp;"-01"),10))&gt;0,1,0)</f>
        <v>1</v>
      </c>
      <c r="Q33" s="37">
        <f>IF(COUNTIFS('📋 Транзакції'!$B$5:$B$3623,A33,'📋 Транзакції'!$C$5:$C$3623,"&gt;="&amp;EDATE(DATEVALUE(C33&amp;"-01"),10),'📋 Транзакції'!$C$5:$C$3623,"&lt;"&amp;EDATE(DATEVALUE(C33&amp;"-01"),11))&gt;0,1,0)</f>
        <v>1</v>
      </c>
      <c r="R33" s="37">
        <f>IF(COUNTIFS('📋 Транзакції'!$B$5:$B$3623,A33,'📋 Транзакції'!$C$5:$C$3623,"&gt;="&amp;EDATE(DATEVALUE(C33&amp;"-01"),11),'📋 Транзакції'!$C$5:$C$3623,"&lt;"&amp;EDATE(DATEVALUE(C33&amp;"-01"),12))&gt;0,1,0)</f>
        <v>1</v>
      </c>
      <c r="S33" s="37">
        <f>SUMIFS('📋 Транзакції'!$F$5:$F$3623,'📋 Транзакції'!$B$5:$B$3623,A33,'📋 Транзакції'!$C$5:$C$3623,"&gt;="&amp;EDATE(DATEVALUE(C33&amp;"-01"),0),'📋 Транзакції'!$C$5:$C$3623,"&lt;"&amp;EDATE(DATEVALUE(C33&amp;"-01"),1))</f>
        <v>19.99</v>
      </c>
      <c r="T33" s="37">
        <f>SUMIFS('📋 Транзакції'!$F$5:$F$3623,'📋 Транзакції'!$B$5:$B$3623,A33,'📋 Транзакції'!$C$5:$C$3623,"&gt;="&amp;EDATE(DATEVALUE(C33&amp;"-01"),1),'📋 Транзакції'!$C$5:$C$3623,"&lt;"&amp;EDATE(DATEVALUE(C33&amp;"-01"),2))</f>
        <v>19.99</v>
      </c>
      <c r="U33" s="37">
        <f>SUMIFS('📋 Транзакції'!$F$5:$F$3623,'📋 Транзакції'!$B$5:$B$3623,A33,'📋 Транзакції'!$C$5:$C$3623,"&gt;="&amp;EDATE(DATEVALUE(C33&amp;"-01"),2),'📋 Транзакції'!$C$5:$C$3623,"&lt;"&amp;EDATE(DATEVALUE(C33&amp;"-01"),3))</f>
        <v>19.99</v>
      </c>
      <c r="V33" s="37">
        <f>SUMIFS('📋 Транзакції'!$F$5:$F$3623,'📋 Транзакції'!$B$5:$B$3623,A33,'📋 Транзакції'!$C$5:$C$3623,"&gt;="&amp;EDATE(DATEVALUE(C33&amp;"-01"),3),'📋 Транзакції'!$C$5:$C$3623,"&lt;"&amp;EDATE(DATEVALUE(C33&amp;"-01"),4))</f>
        <v>19.99</v>
      </c>
      <c r="W33" s="37">
        <f>SUMIFS('📋 Транзакції'!$F$5:$F$3623,'📋 Транзакції'!$B$5:$B$3623,A33,'📋 Транзакції'!$C$5:$C$3623,"&gt;="&amp;EDATE(DATEVALUE(C33&amp;"-01"),4),'📋 Транзакції'!$C$5:$C$3623,"&lt;"&amp;EDATE(DATEVALUE(C33&amp;"-01"),5))</f>
        <v>19.99</v>
      </c>
      <c r="X33" s="37">
        <f>SUMIFS('📋 Транзакції'!$F$5:$F$3623,'📋 Транзакції'!$B$5:$B$3623,A33,'📋 Транзакції'!$C$5:$C$3623,"&gt;="&amp;EDATE(DATEVALUE(C33&amp;"-01"),5),'📋 Транзакції'!$C$5:$C$3623,"&lt;"&amp;EDATE(DATEVALUE(C33&amp;"-01"),6))</f>
        <v>19.99</v>
      </c>
      <c r="Y33" s="37">
        <f>SUMIFS('📋 Транзакції'!$F$5:$F$3623,'📋 Транзакції'!$B$5:$B$3623,A33,'📋 Транзакції'!$C$5:$C$3623,"&gt;="&amp;EDATE(DATEVALUE(C33&amp;"-01"),6),'📋 Транзакції'!$C$5:$C$3623,"&lt;"&amp;EDATE(DATEVALUE(C33&amp;"-01"),7))</f>
        <v>19.99</v>
      </c>
      <c r="Z33" s="37">
        <f>SUMIFS('📋 Транзакції'!$F$5:$F$3623,'📋 Транзакції'!$B$5:$B$3623,A33,'📋 Транзакції'!$C$5:$C$3623,"&gt;="&amp;EDATE(DATEVALUE(C33&amp;"-01"),7),'📋 Транзакції'!$C$5:$C$3623,"&lt;"&amp;EDATE(DATEVALUE(C33&amp;"-01"),8))</f>
        <v>19.99</v>
      </c>
      <c r="AA33" s="37">
        <f>SUMIFS('📋 Транзакції'!$F$5:$F$3623,'📋 Транзакції'!$B$5:$B$3623,A33,'📋 Транзакції'!$C$5:$C$3623,"&gt;="&amp;EDATE(DATEVALUE(C33&amp;"-01"),8),'📋 Транзакції'!$C$5:$C$3623,"&lt;"&amp;EDATE(DATEVALUE(C33&amp;"-01"),9))</f>
        <v>19.99</v>
      </c>
      <c r="AB33" s="37">
        <f>SUMIFS('📋 Транзакції'!$F$5:$F$3623,'📋 Транзакції'!$B$5:$B$3623,A33,'📋 Транзакції'!$C$5:$C$3623,"&gt;="&amp;EDATE(DATEVALUE(C33&amp;"-01"),9),'📋 Транзакції'!$C$5:$C$3623,"&lt;"&amp;EDATE(DATEVALUE(C33&amp;"-01"),10))</f>
        <v>19.99</v>
      </c>
      <c r="AC33" s="37">
        <f>SUMIFS('📋 Транзакції'!$F$5:$F$3623,'📋 Транзакції'!$B$5:$B$3623,A33,'📋 Транзакції'!$C$5:$C$3623,"&gt;="&amp;EDATE(DATEVALUE(C33&amp;"-01"),10),'📋 Транзакції'!$C$5:$C$3623,"&lt;"&amp;EDATE(DATEVALUE(C33&amp;"-01"),11))</f>
        <v>19.99</v>
      </c>
      <c r="AD33" s="37">
        <f>SUMIFS('📋 Транзакції'!$F$5:$F$3623,'📋 Транзакції'!$B$5:$B$3623,A33,'📋 Транзакції'!$C$5:$C$3623,"&gt;="&amp;EDATE(DATEVALUE(C33&amp;"-01"),11),'📋 Транзакції'!$C$5:$C$3623,"&lt;"&amp;EDATE(DATEVALUE(C33&amp;"-01"),12))</f>
        <v>19.99</v>
      </c>
    </row>
    <row r="34" ht="15.75" customHeight="1">
      <c r="A34" s="33" t="str">
        <f>'📋 Реєстрації'!A34:A635</f>
        <v>U0292</v>
      </c>
      <c r="B34" s="34">
        <f t="array" ref="B34">INDEX('📋 Транзакції'!$C$5:$C$3623,MATCH(A34,'📋 Транзакції'!$B$5:$B$3623,0))</f>
        <v>45329</v>
      </c>
      <c r="C34" s="35" t="str">
        <f t="shared" si="1"/>
        <v>2024-02</v>
      </c>
      <c r="D34" s="36">
        <f>COUNTIF('📋 Транзакції'!$B$5:$B$3623,A34)</f>
        <v>3</v>
      </c>
      <c r="E34" s="36">
        <f>SUMIF('📋 Транзакції'!$B$5:$B$3623,A34,'📋 Транзакції'!$F$5:$F$3623)</f>
        <v>39.98</v>
      </c>
      <c r="F34" s="35">
        <f>INT($A$1-MAXIFS('📋 Транзакції'!$C$5:$C$3623,'📋 Транзакції'!$B$5:$B$3623,A34))</f>
        <v>381</v>
      </c>
      <c r="G34" s="37">
        <f>IF(COUNTIFS('📋 Транзакції'!$B$5:$B$3623,A34,'📋 Транзакції'!$C$5:$C$3623,"&gt;="&amp;EDATE(DATEVALUE(C34&amp;"-01"),0),'📋 Транзакції'!$C$5:$C$3623,"&lt;"&amp;EDATE(DATEVALUE(C34&amp;"-01"),1))&gt;0,1,0)</f>
        <v>1</v>
      </c>
      <c r="H34" s="37">
        <f>IF(COUNTIFS('📋 Транзакції'!$B$5:$B$3623,A34,'📋 Транзакції'!$C$5:$C$3623,"&gt;="&amp;EDATE(DATEVALUE(C34&amp;"-01"),1),'📋 Транзакції'!$C$5:$C$3623,"&lt;"&amp;EDATE(DATEVALUE(C34&amp;"-01"),2))&gt;0,1,0)</f>
        <v>1</v>
      </c>
      <c r="I34" s="37">
        <f>IF(COUNTIFS('📋 Транзакції'!$B$5:$B$3623,A34,'📋 Транзакції'!$C$5:$C$3623,"&gt;="&amp;EDATE(DATEVALUE(C34&amp;"-01"),2),'📋 Транзакції'!$C$5:$C$3623,"&lt;"&amp;EDATE(DATEVALUE(C34&amp;"-01"),3))&gt;0,1,0)</f>
        <v>0</v>
      </c>
      <c r="J34" s="37">
        <f>IF(COUNTIFS('📋 Транзакції'!$B$5:$B$3623,A34,'📋 Транзакції'!$C$5:$C$3623,"&gt;="&amp;EDATE(DATEVALUE(C34&amp;"-01"),3),'📋 Транзакції'!$C$5:$C$3623,"&lt;"&amp;EDATE(DATEVALUE(C34&amp;"-01"),4))&gt;0,1,0)</f>
        <v>0</v>
      </c>
      <c r="K34" s="37">
        <f>IF(COUNTIFS('📋 Транзакції'!$B$5:$B$3623,A34,'📋 Транзакції'!$C$5:$C$3623,"&gt;="&amp;EDATE(DATEVALUE(C34&amp;"-01"),4),'📋 Транзакції'!$C$5:$C$3623,"&lt;"&amp;EDATE(DATEVALUE(C34&amp;"-01"),5))&gt;0,1,0)</f>
        <v>0</v>
      </c>
      <c r="L34" s="37">
        <f>IF(COUNTIFS('📋 Транзакції'!$B$5:$B$3623,A34,'📋 Транзакції'!$C$5:$C$3623,"&gt;="&amp;EDATE(DATEVALUE(C34&amp;"-01"),5),'📋 Транзакції'!$C$5:$C$3623,"&lt;"&amp;EDATE(DATEVALUE(C34&amp;"-01"),6))&gt;0,1,0)</f>
        <v>0</v>
      </c>
      <c r="M34" s="37">
        <f>IF(COUNTIFS('📋 Транзакції'!$B$5:$B$3623,A34,'📋 Транзакції'!$C$5:$C$3623,"&gt;="&amp;EDATE(DATEVALUE(C34&amp;"-01"),6),'📋 Транзакції'!$C$5:$C$3623,"&lt;"&amp;EDATE(DATEVALUE(C34&amp;"-01"),7))&gt;0,1,0)</f>
        <v>0</v>
      </c>
      <c r="N34" s="37">
        <f>IF(COUNTIFS('📋 Транзакції'!$B$5:$B$3623,A34,'📋 Транзакції'!$C$5:$C$3623,"&gt;="&amp;EDATE(DATEVALUE(C34&amp;"-01"),7),'📋 Транзакції'!$C$5:$C$3623,"&lt;"&amp;EDATE(DATEVALUE(C34&amp;"-01"),8))&gt;0,1,0)</f>
        <v>0</v>
      </c>
      <c r="O34" s="37">
        <f>IF(COUNTIFS('📋 Транзакції'!$B$5:$B$3623,A34,'📋 Транзакції'!$C$5:$C$3623,"&gt;="&amp;EDATE(DATEVALUE(C34&amp;"-01"),8),'📋 Транзакції'!$C$5:$C$3623,"&lt;"&amp;EDATE(DATEVALUE(C34&amp;"-01"),9))&gt;0,1,0)</f>
        <v>0</v>
      </c>
      <c r="P34" s="37">
        <f>IF(COUNTIFS('📋 Транзакції'!$B$5:$B$3623,A34,'📋 Транзакції'!$C$5:$C$3623,"&gt;="&amp;EDATE(DATEVALUE(C34&amp;"-01"),9),'📋 Транзакції'!$C$5:$C$3623,"&lt;"&amp;EDATE(DATEVALUE(C34&amp;"-01"),10))&gt;0,1,0)</f>
        <v>0</v>
      </c>
      <c r="Q34" s="37">
        <f>IF(COUNTIFS('📋 Транзакції'!$B$5:$B$3623,A34,'📋 Транзакції'!$C$5:$C$3623,"&gt;="&amp;EDATE(DATEVALUE(C34&amp;"-01"),10),'📋 Транзакції'!$C$5:$C$3623,"&lt;"&amp;EDATE(DATEVALUE(C34&amp;"-01"),11))&gt;0,1,0)</f>
        <v>0</v>
      </c>
      <c r="R34" s="37">
        <f>IF(COUNTIFS('📋 Транзакції'!$B$5:$B$3623,A34,'📋 Транзакції'!$C$5:$C$3623,"&gt;="&amp;EDATE(DATEVALUE(C34&amp;"-01"),11),'📋 Транзакції'!$C$5:$C$3623,"&lt;"&amp;EDATE(DATEVALUE(C34&amp;"-01"),12))&gt;0,1,0)</f>
        <v>0</v>
      </c>
      <c r="S34" s="37">
        <f>SUMIFS('📋 Транзакції'!$F$5:$F$3623,'📋 Транзакції'!$B$5:$B$3623,A34,'📋 Транзакції'!$C$5:$C$3623,"&gt;="&amp;EDATE(DATEVALUE(C34&amp;"-01"),0),'📋 Транзакції'!$C$5:$C$3623,"&lt;"&amp;EDATE(DATEVALUE(C34&amp;"-01"),1))</f>
        <v>19.99</v>
      </c>
      <c r="T34" s="37">
        <f>SUMIFS('📋 Транзакції'!$F$5:$F$3623,'📋 Транзакції'!$B$5:$B$3623,A34,'📋 Транзакції'!$C$5:$C$3623,"&gt;="&amp;EDATE(DATEVALUE(C34&amp;"-01"),1),'📋 Транзакції'!$C$5:$C$3623,"&lt;"&amp;EDATE(DATEVALUE(C34&amp;"-01"),2))</f>
        <v>19.99</v>
      </c>
      <c r="U34" s="37">
        <f>SUMIFS('📋 Транзакції'!$F$5:$F$3623,'📋 Транзакції'!$B$5:$B$3623,A34,'📋 Транзакції'!$C$5:$C$3623,"&gt;="&amp;EDATE(DATEVALUE(C34&amp;"-01"),2),'📋 Транзакції'!$C$5:$C$3623,"&lt;"&amp;EDATE(DATEVALUE(C34&amp;"-01"),3))</f>
        <v>0</v>
      </c>
      <c r="V34" s="37">
        <f>SUMIFS('📋 Транзакції'!$F$5:$F$3623,'📋 Транзакції'!$B$5:$B$3623,A34,'📋 Транзакції'!$C$5:$C$3623,"&gt;="&amp;EDATE(DATEVALUE(C34&amp;"-01"),3),'📋 Транзакції'!$C$5:$C$3623,"&lt;"&amp;EDATE(DATEVALUE(C34&amp;"-01"),4))</f>
        <v>0</v>
      </c>
      <c r="W34" s="37">
        <f>SUMIFS('📋 Транзакції'!$F$5:$F$3623,'📋 Транзакції'!$B$5:$B$3623,A34,'📋 Транзакції'!$C$5:$C$3623,"&gt;="&amp;EDATE(DATEVALUE(C34&amp;"-01"),4),'📋 Транзакції'!$C$5:$C$3623,"&lt;"&amp;EDATE(DATEVALUE(C34&amp;"-01"),5))</f>
        <v>0</v>
      </c>
      <c r="X34" s="37">
        <f>SUMIFS('📋 Транзакції'!$F$5:$F$3623,'📋 Транзакції'!$B$5:$B$3623,A34,'📋 Транзакції'!$C$5:$C$3623,"&gt;="&amp;EDATE(DATEVALUE(C34&amp;"-01"),5),'📋 Транзакції'!$C$5:$C$3623,"&lt;"&amp;EDATE(DATEVALUE(C34&amp;"-01"),6))</f>
        <v>0</v>
      </c>
      <c r="Y34" s="37">
        <f>SUMIFS('📋 Транзакції'!$F$5:$F$3623,'📋 Транзакції'!$B$5:$B$3623,A34,'📋 Транзакції'!$C$5:$C$3623,"&gt;="&amp;EDATE(DATEVALUE(C34&amp;"-01"),6),'📋 Транзакції'!$C$5:$C$3623,"&lt;"&amp;EDATE(DATEVALUE(C34&amp;"-01"),7))</f>
        <v>0</v>
      </c>
      <c r="Z34" s="37">
        <f>SUMIFS('📋 Транзакції'!$F$5:$F$3623,'📋 Транзакції'!$B$5:$B$3623,A34,'📋 Транзакції'!$C$5:$C$3623,"&gt;="&amp;EDATE(DATEVALUE(C34&amp;"-01"),7),'📋 Транзакції'!$C$5:$C$3623,"&lt;"&amp;EDATE(DATEVALUE(C34&amp;"-01"),8))</f>
        <v>0</v>
      </c>
      <c r="AA34" s="37">
        <f>SUMIFS('📋 Транзакції'!$F$5:$F$3623,'📋 Транзакції'!$B$5:$B$3623,A34,'📋 Транзакції'!$C$5:$C$3623,"&gt;="&amp;EDATE(DATEVALUE(C34&amp;"-01"),8),'📋 Транзакції'!$C$5:$C$3623,"&lt;"&amp;EDATE(DATEVALUE(C34&amp;"-01"),9))</f>
        <v>0</v>
      </c>
      <c r="AB34" s="37">
        <f>SUMIFS('📋 Транзакції'!$F$5:$F$3623,'📋 Транзакції'!$B$5:$B$3623,A34,'📋 Транзакції'!$C$5:$C$3623,"&gt;="&amp;EDATE(DATEVALUE(C34&amp;"-01"),9),'📋 Транзакції'!$C$5:$C$3623,"&lt;"&amp;EDATE(DATEVALUE(C34&amp;"-01"),10))</f>
        <v>0</v>
      </c>
      <c r="AC34" s="37">
        <f>SUMIFS('📋 Транзакції'!$F$5:$F$3623,'📋 Транзакції'!$B$5:$B$3623,A34,'📋 Транзакції'!$C$5:$C$3623,"&gt;="&amp;EDATE(DATEVALUE(C34&amp;"-01"),10),'📋 Транзакції'!$C$5:$C$3623,"&lt;"&amp;EDATE(DATEVALUE(C34&amp;"-01"),11))</f>
        <v>0</v>
      </c>
      <c r="AD34" s="37">
        <f>SUMIFS('📋 Транзакції'!$F$5:$F$3623,'📋 Транзакції'!$B$5:$B$3623,A34,'📋 Транзакції'!$C$5:$C$3623,"&gt;="&amp;EDATE(DATEVALUE(C34&amp;"-01"),11),'📋 Транзакції'!$C$5:$C$3623,"&lt;"&amp;EDATE(DATEVALUE(C34&amp;"-01"),12))</f>
        <v>0</v>
      </c>
    </row>
    <row r="35" ht="15.75" customHeight="1">
      <c r="A35" s="33" t="str">
        <f>'📋 Реєстрації'!A35:A636</f>
        <v>U0611</v>
      </c>
      <c r="B35" s="34">
        <f t="array" ref="B35">INDEX('📋 Транзакції'!$C$5:$C$3623,MATCH(A35,'📋 Транзакції'!$B$5:$B$3623,0))</f>
        <v>45330</v>
      </c>
      <c r="C35" s="35" t="str">
        <f t="shared" si="1"/>
        <v>2024-02</v>
      </c>
      <c r="D35" s="36">
        <f>COUNTIF('📋 Транзакції'!$B$5:$B$3623,A35)</f>
        <v>2</v>
      </c>
      <c r="E35" s="36">
        <f>SUMIF('📋 Транзакції'!$B$5:$B$3623,A35,'📋 Транзакції'!$F$5:$F$3623)</f>
        <v>19.99</v>
      </c>
      <c r="F35" s="35">
        <f>INT($A$1-MAXIFS('📋 Транзакції'!$C$5:$C$3623,'📋 Транзакції'!$B$5:$B$3623,A35))</f>
        <v>410</v>
      </c>
      <c r="G35" s="37">
        <f>IF(COUNTIFS('📋 Транзакції'!$B$5:$B$3623,A35,'📋 Транзакції'!$C$5:$C$3623,"&gt;="&amp;EDATE(DATEVALUE(C35&amp;"-01"),0),'📋 Транзакції'!$C$5:$C$3623,"&lt;"&amp;EDATE(DATEVALUE(C35&amp;"-01"),1))&gt;0,1,0)</f>
        <v>1</v>
      </c>
      <c r="H35" s="37">
        <f>IF(COUNTIFS('📋 Транзакції'!$B$5:$B$3623,A35,'📋 Транзакції'!$C$5:$C$3623,"&gt;="&amp;EDATE(DATEVALUE(C35&amp;"-01"),1),'📋 Транзакції'!$C$5:$C$3623,"&lt;"&amp;EDATE(DATEVALUE(C35&amp;"-01"),2))&gt;0,1,0)</f>
        <v>0</v>
      </c>
      <c r="I35" s="37">
        <f>IF(COUNTIFS('📋 Транзакції'!$B$5:$B$3623,A35,'📋 Транзакції'!$C$5:$C$3623,"&gt;="&amp;EDATE(DATEVALUE(C35&amp;"-01"),2),'📋 Транзакції'!$C$5:$C$3623,"&lt;"&amp;EDATE(DATEVALUE(C35&amp;"-01"),3))&gt;0,1,0)</f>
        <v>0</v>
      </c>
      <c r="J35" s="37">
        <f>IF(COUNTIFS('📋 Транзакції'!$B$5:$B$3623,A35,'📋 Транзакції'!$C$5:$C$3623,"&gt;="&amp;EDATE(DATEVALUE(C35&amp;"-01"),3),'📋 Транзакції'!$C$5:$C$3623,"&lt;"&amp;EDATE(DATEVALUE(C35&amp;"-01"),4))&gt;0,1,0)</f>
        <v>0</v>
      </c>
      <c r="K35" s="37">
        <f>IF(COUNTIFS('📋 Транзакції'!$B$5:$B$3623,A35,'📋 Транзакції'!$C$5:$C$3623,"&gt;="&amp;EDATE(DATEVALUE(C35&amp;"-01"),4),'📋 Транзакції'!$C$5:$C$3623,"&lt;"&amp;EDATE(DATEVALUE(C35&amp;"-01"),5))&gt;0,1,0)</f>
        <v>0</v>
      </c>
      <c r="L35" s="37">
        <f>IF(COUNTIFS('📋 Транзакції'!$B$5:$B$3623,A35,'📋 Транзакції'!$C$5:$C$3623,"&gt;="&amp;EDATE(DATEVALUE(C35&amp;"-01"),5),'📋 Транзакції'!$C$5:$C$3623,"&lt;"&amp;EDATE(DATEVALUE(C35&amp;"-01"),6))&gt;0,1,0)</f>
        <v>0</v>
      </c>
      <c r="M35" s="37">
        <f>IF(COUNTIFS('📋 Транзакції'!$B$5:$B$3623,A35,'📋 Транзакції'!$C$5:$C$3623,"&gt;="&amp;EDATE(DATEVALUE(C35&amp;"-01"),6),'📋 Транзакції'!$C$5:$C$3623,"&lt;"&amp;EDATE(DATEVALUE(C35&amp;"-01"),7))&gt;0,1,0)</f>
        <v>0</v>
      </c>
      <c r="N35" s="37">
        <f>IF(COUNTIFS('📋 Транзакції'!$B$5:$B$3623,A35,'📋 Транзакції'!$C$5:$C$3623,"&gt;="&amp;EDATE(DATEVALUE(C35&amp;"-01"),7),'📋 Транзакції'!$C$5:$C$3623,"&lt;"&amp;EDATE(DATEVALUE(C35&amp;"-01"),8))&gt;0,1,0)</f>
        <v>0</v>
      </c>
      <c r="O35" s="37">
        <f>IF(COUNTIFS('📋 Транзакції'!$B$5:$B$3623,A35,'📋 Транзакції'!$C$5:$C$3623,"&gt;="&amp;EDATE(DATEVALUE(C35&amp;"-01"),8),'📋 Транзакції'!$C$5:$C$3623,"&lt;"&amp;EDATE(DATEVALUE(C35&amp;"-01"),9))&gt;0,1,0)</f>
        <v>0</v>
      </c>
      <c r="P35" s="37">
        <f>IF(COUNTIFS('📋 Транзакції'!$B$5:$B$3623,A35,'📋 Транзакції'!$C$5:$C$3623,"&gt;="&amp;EDATE(DATEVALUE(C35&amp;"-01"),9),'📋 Транзакції'!$C$5:$C$3623,"&lt;"&amp;EDATE(DATEVALUE(C35&amp;"-01"),10))&gt;0,1,0)</f>
        <v>0</v>
      </c>
      <c r="Q35" s="37">
        <f>IF(COUNTIFS('📋 Транзакції'!$B$5:$B$3623,A35,'📋 Транзакції'!$C$5:$C$3623,"&gt;="&amp;EDATE(DATEVALUE(C35&amp;"-01"),10),'📋 Транзакції'!$C$5:$C$3623,"&lt;"&amp;EDATE(DATEVALUE(C35&amp;"-01"),11))&gt;0,1,0)</f>
        <v>0</v>
      </c>
      <c r="R35" s="37">
        <f>IF(COUNTIFS('📋 Транзакції'!$B$5:$B$3623,A35,'📋 Транзакції'!$C$5:$C$3623,"&gt;="&amp;EDATE(DATEVALUE(C35&amp;"-01"),11),'📋 Транзакції'!$C$5:$C$3623,"&lt;"&amp;EDATE(DATEVALUE(C35&amp;"-01"),12))&gt;0,1,0)</f>
        <v>0</v>
      </c>
      <c r="S35" s="37">
        <f>SUMIFS('📋 Транзакції'!$F$5:$F$3623,'📋 Транзакції'!$B$5:$B$3623,A35,'📋 Транзакції'!$C$5:$C$3623,"&gt;="&amp;EDATE(DATEVALUE(C35&amp;"-01"),0),'📋 Транзакції'!$C$5:$C$3623,"&lt;"&amp;EDATE(DATEVALUE(C35&amp;"-01"),1))</f>
        <v>19.99</v>
      </c>
      <c r="T35" s="37">
        <f>SUMIFS('📋 Транзакції'!$F$5:$F$3623,'📋 Транзакції'!$B$5:$B$3623,A35,'📋 Транзакції'!$C$5:$C$3623,"&gt;="&amp;EDATE(DATEVALUE(C35&amp;"-01"),1),'📋 Транзакції'!$C$5:$C$3623,"&lt;"&amp;EDATE(DATEVALUE(C35&amp;"-01"),2))</f>
        <v>0</v>
      </c>
      <c r="U35" s="37">
        <f>SUMIFS('📋 Транзакції'!$F$5:$F$3623,'📋 Транзакції'!$B$5:$B$3623,A35,'📋 Транзакції'!$C$5:$C$3623,"&gt;="&amp;EDATE(DATEVALUE(C35&amp;"-01"),2),'📋 Транзакції'!$C$5:$C$3623,"&lt;"&amp;EDATE(DATEVALUE(C35&amp;"-01"),3))</f>
        <v>0</v>
      </c>
      <c r="V35" s="37">
        <f>SUMIFS('📋 Транзакції'!$F$5:$F$3623,'📋 Транзакції'!$B$5:$B$3623,A35,'📋 Транзакції'!$C$5:$C$3623,"&gt;="&amp;EDATE(DATEVALUE(C35&amp;"-01"),3),'📋 Транзакції'!$C$5:$C$3623,"&lt;"&amp;EDATE(DATEVALUE(C35&amp;"-01"),4))</f>
        <v>0</v>
      </c>
      <c r="W35" s="37">
        <f>SUMIFS('📋 Транзакції'!$F$5:$F$3623,'📋 Транзакції'!$B$5:$B$3623,A35,'📋 Транзакції'!$C$5:$C$3623,"&gt;="&amp;EDATE(DATEVALUE(C35&amp;"-01"),4),'📋 Транзакції'!$C$5:$C$3623,"&lt;"&amp;EDATE(DATEVALUE(C35&amp;"-01"),5))</f>
        <v>0</v>
      </c>
      <c r="X35" s="37">
        <f>SUMIFS('📋 Транзакції'!$F$5:$F$3623,'📋 Транзакції'!$B$5:$B$3623,A35,'📋 Транзакції'!$C$5:$C$3623,"&gt;="&amp;EDATE(DATEVALUE(C35&amp;"-01"),5),'📋 Транзакції'!$C$5:$C$3623,"&lt;"&amp;EDATE(DATEVALUE(C35&amp;"-01"),6))</f>
        <v>0</v>
      </c>
      <c r="Y35" s="37">
        <f>SUMIFS('📋 Транзакції'!$F$5:$F$3623,'📋 Транзакції'!$B$5:$B$3623,A35,'📋 Транзакції'!$C$5:$C$3623,"&gt;="&amp;EDATE(DATEVALUE(C35&amp;"-01"),6),'📋 Транзакції'!$C$5:$C$3623,"&lt;"&amp;EDATE(DATEVALUE(C35&amp;"-01"),7))</f>
        <v>0</v>
      </c>
      <c r="Z35" s="37">
        <f>SUMIFS('📋 Транзакції'!$F$5:$F$3623,'📋 Транзакції'!$B$5:$B$3623,A35,'📋 Транзакції'!$C$5:$C$3623,"&gt;="&amp;EDATE(DATEVALUE(C35&amp;"-01"),7),'📋 Транзакції'!$C$5:$C$3623,"&lt;"&amp;EDATE(DATEVALUE(C35&amp;"-01"),8))</f>
        <v>0</v>
      </c>
      <c r="AA35" s="37">
        <f>SUMIFS('📋 Транзакції'!$F$5:$F$3623,'📋 Транзакції'!$B$5:$B$3623,A35,'📋 Транзакції'!$C$5:$C$3623,"&gt;="&amp;EDATE(DATEVALUE(C35&amp;"-01"),8),'📋 Транзакції'!$C$5:$C$3623,"&lt;"&amp;EDATE(DATEVALUE(C35&amp;"-01"),9))</f>
        <v>0</v>
      </c>
      <c r="AB35" s="37">
        <f>SUMIFS('📋 Транзакції'!$F$5:$F$3623,'📋 Транзакції'!$B$5:$B$3623,A35,'📋 Транзакції'!$C$5:$C$3623,"&gt;="&amp;EDATE(DATEVALUE(C35&amp;"-01"),9),'📋 Транзакції'!$C$5:$C$3623,"&lt;"&amp;EDATE(DATEVALUE(C35&amp;"-01"),10))</f>
        <v>0</v>
      </c>
      <c r="AC35" s="37">
        <f>SUMIFS('📋 Транзакції'!$F$5:$F$3623,'📋 Транзакції'!$B$5:$B$3623,A35,'📋 Транзакції'!$C$5:$C$3623,"&gt;="&amp;EDATE(DATEVALUE(C35&amp;"-01"),10),'📋 Транзакції'!$C$5:$C$3623,"&lt;"&amp;EDATE(DATEVALUE(C35&amp;"-01"),11))</f>
        <v>0</v>
      </c>
      <c r="AD35" s="37">
        <f>SUMIFS('📋 Транзакції'!$F$5:$F$3623,'📋 Транзакції'!$B$5:$B$3623,A35,'📋 Транзакції'!$C$5:$C$3623,"&gt;="&amp;EDATE(DATEVALUE(C35&amp;"-01"),11),'📋 Транзакції'!$C$5:$C$3623,"&lt;"&amp;EDATE(DATEVALUE(C35&amp;"-01"),12))</f>
        <v>0</v>
      </c>
    </row>
    <row r="36" ht="15.75" customHeight="1">
      <c r="A36" s="33" t="str">
        <f>'📋 Реєстрації'!A36:A637</f>
        <v>U0702</v>
      </c>
      <c r="B36" s="34">
        <f t="array" ref="B36">INDEX('📋 Транзакції'!$C$5:$C$3623,MATCH(A36,'📋 Транзакції'!$B$5:$B$3623,0))</f>
        <v>45332</v>
      </c>
      <c r="C36" s="35" t="str">
        <f t="shared" si="1"/>
        <v>2024-02</v>
      </c>
      <c r="D36" s="36">
        <f>COUNTIF('📋 Транзакції'!$B$5:$B$3623,A36)</f>
        <v>7</v>
      </c>
      <c r="E36" s="36">
        <f>SUMIF('📋 Транзакції'!$B$5:$B$3623,A36,'📋 Транзакції'!$F$5:$F$3623)</f>
        <v>119.94</v>
      </c>
      <c r="F36" s="35">
        <f>INT($A$1-MAXIFS('📋 Транзакції'!$C$5:$C$3623,'📋 Транзакції'!$B$5:$B$3623,A36))</f>
        <v>258</v>
      </c>
      <c r="G36" s="37">
        <f>IF(COUNTIFS('📋 Транзакції'!$B$5:$B$3623,A36,'📋 Транзакції'!$C$5:$C$3623,"&gt;="&amp;EDATE(DATEVALUE(C36&amp;"-01"),0),'📋 Транзакції'!$C$5:$C$3623,"&lt;"&amp;EDATE(DATEVALUE(C36&amp;"-01"),1))&gt;0,1,0)</f>
        <v>1</v>
      </c>
      <c r="H36" s="37">
        <f>IF(COUNTIFS('📋 Транзакції'!$B$5:$B$3623,A36,'📋 Транзакції'!$C$5:$C$3623,"&gt;="&amp;EDATE(DATEVALUE(C36&amp;"-01"),1),'📋 Транзакції'!$C$5:$C$3623,"&lt;"&amp;EDATE(DATEVALUE(C36&amp;"-01"),2))&gt;0,1,0)</f>
        <v>1</v>
      </c>
      <c r="I36" s="37">
        <f>IF(COUNTIFS('📋 Транзакції'!$B$5:$B$3623,A36,'📋 Транзакції'!$C$5:$C$3623,"&gt;="&amp;EDATE(DATEVALUE(C36&amp;"-01"),2),'📋 Транзакції'!$C$5:$C$3623,"&lt;"&amp;EDATE(DATEVALUE(C36&amp;"-01"),3))&gt;0,1,0)</f>
        <v>1</v>
      </c>
      <c r="J36" s="37">
        <f>IF(COUNTIFS('📋 Транзакції'!$B$5:$B$3623,A36,'📋 Транзакції'!$C$5:$C$3623,"&gt;="&amp;EDATE(DATEVALUE(C36&amp;"-01"),3),'📋 Транзакції'!$C$5:$C$3623,"&lt;"&amp;EDATE(DATEVALUE(C36&amp;"-01"),4))&gt;0,1,0)</f>
        <v>1</v>
      </c>
      <c r="K36" s="37">
        <f>IF(COUNTIFS('📋 Транзакції'!$B$5:$B$3623,A36,'📋 Транзакції'!$C$5:$C$3623,"&gt;="&amp;EDATE(DATEVALUE(C36&amp;"-01"),4),'📋 Транзакції'!$C$5:$C$3623,"&lt;"&amp;EDATE(DATEVALUE(C36&amp;"-01"),5))&gt;0,1,0)</f>
        <v>1</v>
      </c>
      <c r="L36" s="37">
        <f>IF(COUNTIFS('📋 Транзакції'!$B$5:$B$3623,A36,'📋 Транзакції'!$C$5:$C$3623,"&gt;="&amp;EDATE(DATEVALUE(C36&amp;"-01"),5),'📋 Транзакції'!$C$5:$C$3623,"&lt;"&amp;EDATE(DATEVALUE(C36&amp;"-01"),6))&gt;0,1,0)</f>
        <v>1</v>
      </c>
      <c r="M36" s="37">
        <f>IF(COUNTIFS('📋 Транзакції'!$B$5:$B$3623,A36,'📋 Транзакції'!$C$5:$C$3623,"&gt;="&amp;EDATE(DATEVALUE(C36&amp;"-01"),6),'📋 Транзакції'!$C$5:$C$3623,"&lt;"&amp;EDATE(DATEVALUE(C36&amp;"-01"),7))&gt;0,1,0)</f>
        <v>0</v>
      </c>
      <c r="N36" s="37">
        <f>IF(COUNTIFS('📋 Транзакції'!$B$5:$B$3623,A36,'📋 Транзакції'!$C$5:$C$3623,"&gt;="&amp;EDATE(DATEVALUE(C36&amp;"-01"),7),'📋 Транзакції'!$C$5:$C$3623,"&lt;"&amp;EDATE(DATEVALUE(C36&amp;"-01"),8))&gt;0,1,0)</f>
        <v>0</v>
      </c>
      <c r="O36" s="37">
        <f>IF(COUNTIFS('📋 Транзакції'!$B$5:$B$3623,A36,'📋 Транзакції'!$C$5:$C$3623,"&gt;="&amp;EDATE(DATEVALUE(C36&amp;"-01"),8),'📋 Транзакції'!$C$5:$C$3623,"&lt;"&amp;EDATE(DATEVALUE(C36&amp;"-01"),9))&gt;0,1,0)</f>
        <v>0</v>
      </c>
      <c r="P36" s="37">
        <f>IF(COUNTIFS('📋 Транзакції'!$B$5:$B$3623,A36,'📋 Транзакції'!$C$5:$C$3623,"&gt;="&amp;EDATE(DATEVALUE(C36&amp;"-01"),9),'📋 Транзакції'!$C$5:$C$3623,"&lt;"&amp;EDATE(DATEVALUE(C36&amp;"-01"),10))&gt;0,1,0)</f>
        <v>0</v>
      </c>
      <c r="Q36" s="37">
        <f>IF(COUNTIFS('📋 Транзакції'!$B$5:$B$3623,A36,'📋 Транзакції'!$C$5:$C$3623,"&gt;="&amp;EDATE(DATEVALUE(C36&amp;"-01"),10),'📋 Транзакції'!$C$5:$C$3623,"&lt;"&amp;EDATE(DATEVALUE(C36&amp;"-01"),11))&gt;0,1,0)</f>
        <v>0</v>
      </c>
      <c r="R36" s="37">
        <f>IF(COUNTIFS('📋 Транзакції'!$B$5:$B$3623,A36,'📋 Транзакції'!$C$5:$C$3623,"&gt;="&amp;EDATE(DATEVALUE(C36&amp;"-01"),11),'📋 Транзакції'!$C$5:$C$3623,"&lt;"&amp;EDATE(DATEVALUE(C36&amp;"-01"),12))&gt;0,1,0)</f>
        <v>0</v>
      </c>
      <c r="S36" s="37">
        <f>SUMIFS('📋 Транзакції'!$F$5:$F$3623,'📋 Транзакції'!$B$5:$B$3623,A36,'📋 Транзакції'!$C$5:$C$3623,"&gt;="&amp;EDATE(DATEVALUE(C36&amp;"-01"),0),'📋 Транзакції'!$C$5:$C$3623,"&lt;"&amp;EDATE(DATEVALUE(C36&amp;"-01"),1))</f>
        <v>19.99</v>
      </c>
      <c r="T36" s="37">
        <f>SUMIFS('📋 Транзакції'!$F$5:$F$3623,'📋 Транзакції'!$B$5:$B$3623,A36,'📋 Транзакції'!$C$5:$C$3623,"&gt;="&amp;EDATE(DATEVALUE(C36&amp;"-01"),1),'📋 Транзакції'!$C$5:$C$3623,"&lt;"&amp;EDATE(DATEVALUE(C36&amp;"-01"),2))</f>
        <v>19.99</v>
      </c>
      <c r="U36" s="37">
        <f>SUMIFS('📋 Транзакції'!$F$5:$F$3623,'📋 Транзакції'!$B$5:$B$3623,A36,'📋 Транзакції'!$C$5:$C$3623,"&gt;="&amp;EDATE(DATEVALUE(C36&amp;"-01"),2),'📋 Транзакції'!$C$5:$C$3623,"&lt;"&amp;EDATE(DATEVALUE(C36&amp;"-01"),3))</f>
        <v>19.99</v>
      </c>
      <c r="V36" s="37">
        <f>SUMIFS('📋 Транзакції'!$F$5:$F$3623,'📋 Транзакції'!$B$5:$B$3623,A36,'📋 Транзакції'!$C$5:$C$3623,"&gt;="&amp;EDATE(DATEVALUE(C36&amp;"-01"),3),'📋 Транзакції'!$C$5:$C$3623,"&lt;"&amp;EDATE(DATEVALUE(C36&amp;"-01"),4))</f>
        <v>19.99</v>
      </c>
      <c r="W36" s="37">
        <f>SUMIFS('📋 Транзакції'!$F$5:$F$3623,'📋 Транзакції'!$B$5:$B$3623,A36,'📋 Транзакції'!$C$5:$C$3623,"&gt;="&amp;EDATE(DATEVALUE(C36&amp;"-01"),4),'📋 Транзакції'!$C$5:$C$3623,"&lt;"&amp;EDATE(DATEVALUE(C36&amp;"-01"),5))</f>
        <v>19.99</v>
      </c>
      <c r="X36" s="37">
        <f>SUMIFS('📋 Транзакції'!$F$5:$F$3623,'📋 Транзакції'!$B$5:$B$3623,A36,'📋 Транзакції'!$C$5:$C$3623,"&gt;="&amp;EDATE(DATEVALUE(C36&amp;"-01"),5),'📋 Транзакції'!$C$5:$C$3623,"&lt;"&amp;EDATE(DATEVALUE(C36&amp;"-01"),6))</f>
        <v>19.99</v>
      </c>
      <c r="Y36" s="37">
        <f>SUMIFS('📋 Транзакції'!$F$5:$F$3623,'📋 Транзакції'!$B$5:$B$3623,A36,'📋 Транзакції'!$C$5:$C$3623,"&gt;="&amp;EDATE(DATEVALUE(C36&amp;"-01"),6),'📋 Транзакції'!$C$5:$C$3623,"&lt;"&amp;EDATE(DATEVALUE(C36&amp;"-01"),7))</f>
        <v>0</v>
      </c>
      <c r="Z36" s="37">
        <f>SUMIFS('📋 Транзакції'!$F$5:$F$3623,'📋 Транзакції'!$B$5:$B$3623,A36,'📋 Транзакції'!$C$5:$C$3623,"&gt;="&amp;EDATE(DATEVALUE(C36&amp;"-01"),7),'📋 Транзакції'!$C$5:$C$3623,"&lt;"&amp;EDATE(DATEVALUE(C36&amp;"-01"),8))</f>
        <v>0</v>
      </c>
      <c r="AA36" s="37">
        <f>SUMIFS('📋 Транзакції'!$F$5:$F$3623,'📋 Транзакції'!$B$5:$B$3623,A36,'📋 Транзакції'!$C$5:$C$3623,"&gt;="&amp;EDATE(DATEVALUE(C36&amp;"-01"),8),'📋 Транзакції'!$C$5:$C$3623,"&lt;"&amp;EDATE(DATEVALUE(C36&amp;"-01"),9))</f>
        <v>0</v>
      </c>
      <c r="AB36" s="37">
        <f>SUMIFS('📋 Транзакції'!$F$5:$F$3623,'📋 Транзакції'!$B$5:$B$3623,A36,'📋 Транзакції'!$C$5:$C$3623,"&gt;="&amp;EDATE(DATEVALUE(C36&amp;"-01"),9),'📋 Транзакції'!$C$5:$C$3623,"&lt;"&amp;EDATE(DATEVALUE(C36&amp;"-01"),10))</f>
        <v>0</v>
      </c>
      <c r="AC36" s="37">
        <f>SUMIFS('📋 Транзакції'!$F$5:$F$3623,'📋 Транзакції'!$B$5:$B$3623,A36,'📋 Транзакції'!$C$5:$C$3623,"&gt;="&amp;EDATE(DATEVALUE(C36&amp;"-01"),10),'📋 Транзакції'!$C$5:$C$3623,"&lt;"&amp;EDATE(DATEVALUE(C36&amp;"-01"),11))</f>
        <v>0</v>
      </c>
      <c r="AD36" s="37">
        <f>SUMIFS('📋 Транзакції'!$F$5:$F$3623,'📋 Транзакції'!$B$5:$B$3623,A36,'📋 Транзакції'!$C$5:$C$3623,"&gt;="&amp;EDATE(DATEVALUE(C36&amp;"-01"),11),'📋 Транзакції'!$C$5:$C$3623,"&lt;"&amp;EDATE(DATEVALUE(C36&amp;"-01"),12))</f>
        <v>0</v>
      </c>
    </row>
    <row r="37" ht="15.75" customHeight="1">
      <c r="A37" s="33" t="str">
        <f>'📋 Реєстрації'!A37:A638</f>
        <v>U0169</v>
      </c>
      <c r="B37" s="34">
        <f t="array" ref="B37">INDEX('📋 Транзакції'!$C$5:$C$3623,MATCH(A37,'📋 Транзакції'!$B$5:$B$3623,0))</f>
        <v>45333</v>
      </c>
      <c r="C37" s="35" t="str">
        <f t="shared" si="1"/>
        <v>2024-02</v>
      </c>
      <c r="D37" s="36">
        <f>COUNTIF('📋 Транзакції'!$B$5:$B$3623,A37)</f>
        <v>15</v>
      </c>
      <c r="E37" s="36">
        <f>SUMIF('📋 Транзакції'!$B$5:$B$3623,A37,'📋 Транзакції'!$F$5:$F$3623)</f>
        <v>279.86</v>
      </c>
      <c r="F37" s="35">
        <f>INT($A$1-MAXIFS('📋 Транзакції'!$C$5:$C$3623,'📋 Транзакції'!$B$5:$B$3623,A37))</f>
        <v>17</v>
      </c>
      <c r="G37" s="37">
        <f>IF(COUNTIFS('📋 Транзакції'!$B$5:$B$3623,A37,'📋 Транзакції'!$C$5:$C$3623,"&gt;="&amp;EDATE(DATEVALUE(C37&amp;"-01"),0),'📋 Транзакції'!$C$5:$C$3623,"&lt;"&amp;EDATE(DATEVALUE(C37&amp;"-01"),1))&gt;0,1,0)</f>
        <v>1</v>
      </c>
      <c r="H37" s="37">
        <f>IF(COUNTIFS('📋 Транзакції'!$B$5:$B$3623,A37,'📋 Транзакції'!$C$5:$C$3623,"&gt;="&amp;EDATE(DATEVALUE(C37&amp;"-01"),1),'📋 Транзакції'!$C$5:$C$3623,"&lt;"&amp;EDATE(DATEVALUE(C37&amp;"-01"),2))&gt;0,1,0)</f>
        <v>1</v>
      </c>
      <c r="I37" s="37">
        <f>IF(COUNTIFS('📋 Транзакції'!$B$5:$B$3623,A37,'📋 Транзакції'!$C$5:$C$3623,"&gt;="&amp;EDATE(DATEVALUE(C37&amp;"-01"),2),'📋 Транзакції'!$C$5:$C$3623,"&lt;"&amp;EDATE(DATEVALUE(C37&amp;"-01"),3))&gt;0,1,0)</f>
        <v>1</v>
      </c>
      <c r="J37" s="37">
        <f>IF(COUNTIFS('📋 Транзакції'!$B$5:$B$3623,A37,'📋 Транзакції'!$C$5:$C$3623,"&gt;="&amp;EDATE(DATEVALUE(C37&amp;"-01"),3),'📋 Транзакції'!$C$5:$C$3623,"&lt;"&amp;EDATE(DATEVALUE(C37&amp;"-01"),4))&gt;0,1,0)</f>
        <v>1</v>
      </c>
      <c r="K37" s="37">
        <f>IF(COUNTIFS('📋 Транзакції'!$B$5:$B$3623,A37,'📋 Транзакції'!$C$5:$C$3623,"&gt;="&amp;EDATE(DATEVALUE(C37&amp;"-01"),4),'📋 Транзакції'!$C$5:$C$3623,"&lt;"&amp;EDATE(DATEVALUE(C37&amp;"-01"),5))&gt;0,1,0)</f>
        <v>1</v>
      </c>
      <c r="L37" s="37">
        <f>IF(COUNTIFS('📋 Транзакції'!$B$5:$B$3623,A37,'📋 Транзакції'!$C$5:$C$3623,"&gt;="&amp;EDATE(DATEVALUE(C37&amp;"-01"),5),'📋 Транзакції'!$C$5:$C$3623,"&lt;"&amp;EDATE(DATEVALUE(C37&amp;"-01"),6))&gt;0,1,0)</f>
        <v>1</v>
      </c>
      <c r="M37" s="37">
        <f>IF(COUNTIFS('📋 Транзакції'!$B$5:$B$3623,A37,'📋 Транзакції'!$C$5:$C$3623,"&gt;="&amp;EDATE(DATEVALUE(C37&amp;"-01"),6),'📋 Транзакції'!$C$5:$C$3623,"&lt;"&amp;EDATE(DATEVALUE(C37&amp;"-01"),7))&gt;0,1,0)</f>
        <v>1</v>
      </c>
      <c r="N37" s="37">
        <f>IF(COUNTIFS('📋 Транзакції'!$B$5:$B$3623,A37,'📋 Транзакції'!$C$5:$C$3623,"&gt;="&amp;EDATE(DATEVALUE(C37&amp;"-01"),7),'📋 Транзакції'!$C$5:$C$3623,"&lt;"&amp;EDATE(DATEVALUE(C37&amp;"-01"),8))&gt;0,1,0)</f>
        <v>1</v>
      </c>
      <c r="O37" s="37">
        <f>IF(COUNTIFS('📋 Транзакції'!$B$5:$B$3623,A37,'📋 Транзакції'!$C$5:$C$3623,"&gt;="&amp;EDATE(DATEVALUE(C37&amp;"-01"),8),'📋 Транзакції'!$C$5:$C$3623,"&lt;"&amp;EDATE(DATEVALUE(C37&amp;"-01"),9))&gt;0,1,0)</f>
        <v>1</v>
      </c>
      <c r="P37" s="37">
        <f>IF(COUNTIFS('📋 Транзакції'!$B$5:$B$3623,A37,'📋 Транзакції'!$C$5:$C$3623,"&gt;="&amp;EDATE(DATEVALUE(C37&amp;"-01"),9),'📋 Транзакції'!$C$5:$C$3623,"&lt;"&amp;EDATE(DATEVALUE(C37&amp;"-01"),10))&gt;0,1,0)</f>
        <v>1</v>
      </c>
      <c r="Q37" s="37">
        <f>IF(COUNTIFS('📋 Транзакції'!$B$5:$B$3623,A37,'📋 Транзакції'!$C$5:$C$3623,"&gt;="&amp;EDATE(DATEVALUE(C37&amp;"-01"),10),'📋 Транзакції'!$C$5:$C$3623,"&lt;"&amp;EDATE(DATEVALUE(C37&amp;"-01"),11))&gt;0,1,0)</f>
        <v>1</v>
      </c>
      <c r="R37" s="37">
        <f>IF(COUNTIFS('📋 Транзакції'!$B$5:$B$3623,A37,'📋 Транзакції'!$C$5:$C$3623,"&gt;="&amp;EDATE(DATEVALUE(C37&amp;"-01"),11),'📋 Транзакції'!$C$5:$C$3623,"&lt;"&amp;EDATE(DATEVALUE(C37&amp;"-01"),12))&gt;0,1,0)</f>
        <v>1</v>
      </c>
      <c r="S37" s="37">
        <f>SUMIFS('📋 Транзакції'!$F$5:$F$3623,'📋 Транзакції'!$B$5:$B$3623,A37,'📋 Транзакції'!$C$5:$C$3623,"&gt;="&amp;EDATE(DATEVALUE(C37&amp;"-01"),0),'📋 Транзакції'!$C$5:$C$3623,"&lt;"&amp;EDATE(DATEVALUE(C37&amp;"-01"),1))</f>
        <v>19.99</v>
      </c>
      <c r="T37" s="37">
        <f>SUMIFS('📋 Транзакції'!$F$5:$F$3623,'📋 Транзакції'!$B$5:$B$3623,A37,'📋 Транзакції'!$C$5:$C$3623,"&gt;="&amp;EDATE(DATEVALUE(C37&amp;"-01"),1),'📋 Транзакції'!$C$5:$C$3623,"&lt;"&amp;EDATE(DATEVALUE(C37&amp;"-01"),2))</f>
        <v>19.99</v>
      </c>
      <c r="U37" s="37">
        <f>SUMIFS('📋 Транзакції'!$F$5:$F$3623,'📋 Транзакції'!$B$5:$B$3623,A37,'📋 Транзакції'!$C$5:$C$3623,"&gt;="&amp;EDATE(DATEVALUE(C37&amp;"-01"),2),'📋 Транзакції'!$C$5:$C$3623,"&lt;"&amp;EDATE(DATEVALUE(C37&amp;"-01"),3))</f>
        <v>19.99</v>
      </c>
      <c r="V37" s="37">
        <f>SUMIFS('📋 Транзакції'!$F$5:$F$3623,'📋 Транзакції'!$B$5:$B$3623,A37,'📋 Транзакції'!$C$5:$C$3623,"&gt;="&amp;EDATE(DATEVALUE(C37&amp;"-01"),3),'📋 Транзакції'!$C$5:$C$3623,"&lt;"&amp;EDATE(DATEVALUE(C37&amp;"-01"),4))</f>
        <v>19.99</v>
      </c>
      <c r="W37" s="37">
        <f>SUMIFS('📋 Транзакції'!$F$5:$F$3623,'📋 Транзакції'!$B$5:$B$3623,A37,'📋 Транзакції'!$C$5:$C$3623,"&gt;="&amp;EDATE(DATEVALUE(C37&amp;"-01"),4),'📋 Транзакції'!$C$5:$C$3623,"&lt;"&amp;EDATE(DATEVALUE(C37&amp;"-01"),5))</f>
        <v>19.99</v>
      </c>
      <c r="X37" s="37">
        <f>SUMIFS('📋 Транзакції'!$F$5:$F$3623,'📋 Транзакції'!$B$5:$B$3623,A37,'📋 Транзакції'!$C$5:$C$3623,"&gt;="&amp;EDATE(DATEVALUE(C37&amp;"-01"),5),'📋 Транзакції'!$C$5:$C$3623,"&lt;"&amp;EDATE(DATEVALUE(C37&amp;"-01"),6))</f>
        <v>19.99</v>
      </c>
      <c r="Y37" s="37">
        <f>SUMIFS('📋 Транзакції'!$F$5:$F$3623,'📋 Транзакції'!$B$5:$B$3623,A37,'📋 Транзакції'!$C$5:$C$3623,"&gt;="&amp;EDATE(DATEVALUE(C37&amp;"-01"),6),'📋 Транзакції'!$C$5:$C$3623,"&lt;"&amp;EDATE(DATEVALUE(C37&amp;"-01"),7))</f>
        <v>19.99</v>
      </c>
      <c r="Z37" s="37">
        <f>SUMIFS('📋 Транзакції'!$F$5:$F$3623,'📋 Транзакції'!$B$5:$B$3623,A37,'📋 Транзакції'!$C$5:$C$3623,"&gt;="&amp;EDATE(DATEVALUE(C37&amp;"-01"),7),'📋 Транзакції'!$C$5:$C$3623,"&lt;"&amp;EDATE(DATEVALUE(C37&amp;"-01"),8))</f>
        <v>19.99</v>
      </c>
      <c r="AA37" s="37">
        <f>SUMIFS('📋 Транзакції'!$F$5:$F$3623,'📋 Транзакції'!$B$5:$B$3623,A37,'📋 Транзакції'!$C$5:$C$3623,"&gt;="&amp;EDATE(DATEVALUE(C37&amp;"-01"),8),'📋 Транзакції'!$C$5:$C$3623,"&lt;"&amp;EDATE(DATEVALUE(C37&amp;"-01"),9))</f>
        <v>19.99</v>
      </c>
      <c r="AB37" s="37">
        <f>SUMIFS('📋 Транзакції'!$F$5:$F$3623,'📋 Транзакції'!$B$5:$B$3623,A37,'📋 Транзакції'!$C$5:$C$3623,"&gt;="&amp;EDATE(DATEVALUE(C37&amp;"-01"),9),'📋 Транзакції'!$C$5:$C$3623,"&lt;"&amp;EDATE(DATEVALUE(C37&amp;"-01"),10))</f>
        <v>19.99</v>
      </c>
      <c r="AC37" s="37">
        <f>SUMIFS('📋 Транзакції'!$F$5:$F$3623,'📋 Транзакції'!$B$5:$B$3623,A37,'📋 Транзакції'!$C$5:$C$3623,"&gt;="&amp;EDATE(DATEVALUE(C37&amp;"-01"),10),'📋 Транзакції'!$C$5:$C$3623,"&lt;"&amp;EDATE(DATEVALUE(C37&amp;"-01"),11))</f>
        <v>19.99</v>
      </c>
      <c r="AD37" s="37">
        <f>SUMIFS('📋 Транзакції'!$F$5:$F$3623,'📋 Транзакції'!$B$5:$B$3623,A37,'📋 Транзакції'!$C$5:$C$3623,"&gt;="&amp;EDATE(DATEVALUE(C37&amp;"-01"),11),'📋 Транзакції'!$C$5:$C$3623,"&lt;"&amp;EDATE(DATEVALUE(C37&amp;"-01"),12))</f>
        <v>19.99</v>
      </c>
    </row>
    <row r="38" ht="15.75" customHeight="1">
      <c r="A38" s="33" t="str">
        <f>'📋 Реєстрації'!A38:A639</f>
        <v>U0146</v>
      </c>
      <c r="B38" s="34">
        <f t="array" ref="B38">INDEX('📋 Транзакції'!$C$5:$C$3623,MATCH(A38,'📋 Транзакції'!$B$5:$B$3623,0))</f>
        <v>45334</v>
      </c>
      <c r="C38" s="35" t="str">
        <f t="shared" si="1"/>
        <v>2024-02</v>
      </c>
      <c r="D38" s="36">
        <f>COUNTIF('📋 Транзакції'!$B$5:$B$3623,A38)</f>
        <v>4</v>
      </c>
      <c r="E38" s="36">
        <f>SUMIF('📋 Транзакції'!$B$5:$B$3623,A38,'📋 Транзакції'!$F$5:$F$3623)</f>
        <v>59.97</v>
      </c>
      <c r="F38" s="35">
        <f>INT($A$1-MAXIFS('📋 Транзакції'!$C$5:$C$3623,'📋 Транзакції'!$B$5:$B$3623,A38))</f>
        <v>346</v>
      </c>
      <c r="G38" s="37">
        <f>IF(COUNTIFS('📋 Транзакції'!$B$5:$B$3623,A38,'📋 Транзакції'!$C$5:$C$3623,"&gt;="&amp;EDATE(DATEVALUE(C38&amp;"-01"),0),'📋 Транзакції'!$C$5:$C$3623,"&lt;"&amp;EDATE(DATEVALUE(C38&amp;"-01"),1))&gt;0,1,0)</f>
        <v>1</v>
      </c>
      <c r="H38" s="37">
        <f>IF(COUNTIFS('📋 Транзакції'!$B$5:$B$3623,A38,'📋 Транзакції'!$C$5:$C$3623,"&gt;="&amp;EDATE(DATEVALUE(C38&amp;"-01"),1),'📋 Транзакції'!$C$5:$C$3623,"&lt;"&amp;EDATE(DATEVALUE(C38&amp;"-01"),2))&gt;0,1,0)</f>
        <v>1</v>
      </c>
      <c r="I38" s="37">
        <f>IF(COUNTIFS('📋 Транзакції'!$B$5:$B$3623,A38,'📋 Транзакції'!$C$5:$C$3623,"&gt;="&amp;EDATE(DATEVALUE(C38&amp;"-01"),2),'📋 Транзакції'!$C$5:$C$3623,"&lt;"&amp;EDATE(DATEVALUE(C38&amp;"-01"),3))&gt;0,1,0)</f>
        <v>1</v>
      </c>
      <c r="J38" s="37">
        <f>IF(COUNTIFS('📋 Транзакції'!$B$5:$B$3623,A38,'📋 Транзакції'!$C$5:$C$3623,"&gt;="&amp;EDATE(DATEVALUE(C38&amp;"-01"),3),'📋 Транзакції'!$C$5:$C$3623,"&lt;"&amp;EDATE(DATEVALUE(C38&amp;"-01"),4))&gt;0,1,0)</f>
        <v>0</v>
      </c>
      <c r="K38" s="37">
        <f>IF(COUNTIFS('📋 Транзакції'!$B$5:$B$3623,A38,'📋 Транзакції'!$C$5:$C$3623,"&gt;="&amp;EDATE(DATEVALUE(C38&amp;"-01"),4),'📋 Транзакції'!$C$5:$C$3623,"&lt;"&amp;EDATE(DATEVALUE(C38&amp;"-01"),5))&gt;0,1,0)</f>
        <v>0</v>
      </c>
      <c r="L38" s="37">
        <f>IF(COUNTIFS('📋 Транзакції'!$B$5:$B$3623,A38,'📋 Транзакції'!$C$5:$C$3623,"&gt;="&amp;EDATE(DATEVALUE(C38&amp;"-01"),5),'📋 Транзакції'!$C$5:$C$3623,"&lt;"&amp;EDATE(DATEVALUE(C38&amp;"-01"),6))&gt;0,1,0)</f>
        <v>0</v>
      </c>
      <c r="M38" s="37">
        <f>IF(COUNTIFS('📋 Транзакції'!$B$5:$B$3623,A38,'📋 Транзакції'!$C$5:$C$3623,"&gt;="&amp;EDATE(DATEVALUE(C38&amp;"-01"),6),'📋 Транзакції'!$C$5:$C$3623,"&lt;"&amp;EDATE(DATEVALUE(C38&amp;"-01"),7))&gt;0,1,0)</f>
        <v>0</v>
      </c>
      <c r="N38" s="37">
        <f>IF(COUNTIFS('📋 Транзакції'!$B$5:$B$3623,A38,'📋 Транзакції'!$C$5:$C$3623,"&gt;="&amp;EDATE(DATEVALUE(C38&amp;"-01"),7),'📋 Транзакції'!$C$5:$C$3623,"&lt;"&amp;EDATE(DATEVALUE(C38&amp;"-01"),8))&gt;0,1,0)</f>
        <v>0</v>
      </c>
      <c r="O38" s="37">
        <f>IF(COUNTIFS('📋 Транзакції'!$B$5:$B$3623,A38,'📋 Транзакції'!$C$5:$C$3623,"&gt;="&amp;EDATE(DATEVALUE(C38&amp;"-01"),8),'📋 Транзакції'!$C$5:$C$3623,"&lt;"&amp;EDATE(DATEVALUE(C38&amp;"-01"),9))&gt;0,1,0)</f>
        <v>0</v>
      </c>
      <c r="P38" s="37">
        <f>IF(COUNTIFS('📋 Транзакції'!$B$5:$B$3623,A38,'📋 Транзакції'!$C$5:$C$3623,"&gt;="&amp;EDATE(DATEVALUE(C38&amp;"-01"),9),'📋 Транзакції'!$C$5:$C$3623,"&lt;"&amp;EDATE(DATEVALUE(C38&amp;"-01"),10))&gt;0,1,0)</f>
        <v>0</v>
      </c>
      <c r="Q38" s="37">
        <f>IF(COUNTIFS('📋 Транзакції'!$B$5:$B$3623,A38,'📋 Транзакції'!$C$5:$C$3623,"&gt;="&amp;EDATE(DATEVALUE(C38&amp;"-01"),10),'📋 Транзакції'!$C$5:$C$3623,"&lt;"&amp;EDATE(DATEVALUE(C38&amp;"-01"),11))&gt;0,1,0)</f>
        <v>0</v>
      </c>
      <c r="R38" s="37">
        <f>IF(COUNTIFS('📋 Транзакції'!$B$5:$B$3623,A38,'📋 Транзакції'!$C$5:$C$3623,"&gt;="&amp;EDATE(DATEVALUE(C38&amp;"-01"),11),'📋 Транзакції'!$C$5:$C$3623,"&lt;"&amp;EDATE(DATEVALUE(C38&amp;"-01"),12))&gt;0,1,0)</f>
        <v>0</v>
      </c>
      <c r="S38" s="37">
        <f>SUMIFS('📋 Транзакції'!$F$5:$F$3623,'📋 Транзакції'!$B$5:$B$3623,A38,'📋 Транзакції'!$C$5:$C$3623,"&gt;="&amp;EDATE(DATEVALUE(C38&amp;"-01"),0),'📋 Транзакції'!$C$5:$C$3623,"&lt;"&amp;EDATE(DATEVALUE(C38&amp;"-01"),1))</f>
        <v>19.99</v>
      </c>
      <c r="T38" s="37">
        <f>SUMIFS('📋 Транзакції'!$F$5:$F$3623,'📋 Транзакції'!$B$5:$B$3623,A38,'📋 Транзакції'!$C$5:$C$3623,"&gt;="&amp;EDATE(DATEVALUE(C38&amp;"-01"),1),'📋 Транзакції'!$C$5:$C$3623,"&lt;"&amp;EDATE(DATEVALUE(C38&amp;"-01"),2))</f>
        <v>19.99</v>
      </c>
      <c r="U38" s="37">
        <f>SUMIFS('📋 Транзакції'!$F$5:$F$3623,'📋 Транзакції'!$B$5:$B$3623,A38,'📋 Транзакції'!$C$5:$C$3623,"&gt;="&amp;EDATE(DATEVALUE(C38&amp;"-01"),2),'📋 Транзакції'!$C$5:$C$3623,"&lt;"&amp;EDATE(DATEVALUE(C38&amp;"-01"),3))</f>
        <v>19.99</v>
      </c>
      <c r="V38" s="37">
        <f>SUMIFS('📋 Транзакції'!$F$5:$F$3623,'📋 Транзакції'!$B$5:$B$3623,A38,'📋 Транзакції'!$C$5:$C$3623,"&gt;="&amp;EDATE(DATEVALUE(C38&amp;"-01"),3),'📋 Транзакції'!$C$5:$C$3623,"&lt;"&amp;EDATE(DATEVALUE(C38&amp;"-01"),4))</f>
        <v>0</v>
      </c>
      <c r="W38" s="37">
        <f>SUMIFS('📋 Транзакції'!$F$5:$F$3623,'📋 Транзакції'!$B$5:$B$3623,A38,'📋 Транзакції'!$C$5:$C$3623,"&gt;="&amp;EDATE(DATEVALUE(C38&amp;"-01"),4),'📋 Транзакції'!$C$5:$C$3623,"&lt;"&amp;EDATE(DATEVALUE(C38&amp;"-01"),5))</f>
        <v>0</v>
      </c>
      <c r="X38" s="37">
        <f>SUMIFS('📋 Транзакції'!$F$5:$F$3623,'📋 Транзакції'!$B$5:$B$3623,A38,'📋 Транзакції'!$C$5:$C$3623,"&gt;="&amp;EDATE(DATEVALUE(C38&amp;"-01"),5),'📋 Транзакції'!$C$5:$C$3623,"&lt;"&amp;EDATE(DATEVALUE(C38&amp;"-01"),6))</f>
        <v>0</v>
      </c>
      <c r="Y38" s="37">
        <f>SUMIFS('📋 Транзакції'!$F$5:$F$3623,'📋 Транзакції'!$B$5:$B$3623,A38,'📋 Транзакції'!$C$5:$C$3623,"&gt;="&amp;EDATE(DATEVALUE(C38&amp;"-01"),6),'📋 Транзакції'!$C$5:$C$3623,"&lt;"&amp;EDATE(DATEVALUE(C38&amp;"-01"),7))</f>
        <v>0</v>
      </c>
      <c r="Z38" s="37">
        <f>SUMIFS('📋 Транзакції'!$F$5:$F$3623,'📋 Транзакції'!$B$5:$B$3623,A38,'📋 Транзакції'!$C$5:$C$3623,"&gt;="&amp;EDATE(DATEVALUE(C38&amp;"-01"),7),'📋 Транзакції'!$C$5:$C$3623,"&lt;"&amp;EDATE(DATEVALUE(C38&amp;"-01"),8))</f>
        <v>0</v>
      </c>
      <c r="AA38" s="37">
        <f>SUMIFS('📋 Транзакції'!$F$5:$F$3623,'📋 Транзакції'!$B$5:$B$3623,A38,'📋 Транзакції'!$C$5:$C$3623,"&gt;="&amp;EDATE(DATEVALUE(C38&amp;"-01"),8),'📋 Транзакції'!$C$5:$C$3623,"&lt;"&amp;EDATE(DATEVALUE(C38&amp;"-01"),9))</f>
        <v>0</v>
      </c>
      <c r="AB38" s="37">
        <f>SUMIFS('📋 Транзакції'!$F$5:$F$3623,'📋 Транзакції'!$B$5:$B$3623,A38,'📋 Транзакції'!$C$5:$C$3623,"&gt;="&amp;EDATE(DATEVALUE(C38&amp;"-01"),9),'📋 Транзакції'!$C$5:$C$3623,"&lt;"&amp;EDATE(DATEVALUE(C38&amp;"-01"),10))</f>
        <v>0</v>
      </c>
      <c r="AC38" s="37">
        <f>SUMIFS('📋 Транзакції'!$F$5:$F$3623,'📋 Транзакції'!$B$5:$B$3623,A38,'📋 Транзакції'!$C$5:$C$3623,"&gt;="&amp;EDATE(DATEVALUE(C38&amp;"-01"),10),'📋 Транзакції'!$C$5:$C$3623,"&lt;"&amp;EDATE(DATEVALUE(C38&amp;"-01"),11))</f>
        <v>0</v>
      </c>
      <c r="AD38" s="37">
        <f>SUMIFS('📋 Транзакції'!$F$5:$F$3623,'📋 Транзакції'!$B$5:$B$3623,A38,'📋 Транзакції'!$C$5:$C$3623,"&gt;="&amp;EDATE(DATEVALUE(C38&amp;"-01"),11),'📋 Транзакції'!$C$5:$C$3623,"&lt;"&amp;EDATE(DATEVALUE(C38&amp;"-01"),12))</f>
        <v>0</v>
      </c>
    </row>
    <row r="39" ht="15.75" customHeight="1">
      <c r="A39" s="33" t="str">
        <f>'📋 Реєстрації'!A39:A640</f>
        <v>U0286</v>
      </c>
      <c r="B39" s="34">
        <f t="array" ref="B39">INDEX('📋 Транзакції'!$C$5:$C$3623,MATCH(A39,'📋 Транзакції'!$B$5:$B$3623,0))</f>
        <v>45334</v>
      </c>
      <c r="C39" s="35" t="str">
        <f t="shared" si="1"/>
        <v>2024-02</v>
      </c>
      <c r="D39" s="36">
        <f>COUNTIF('📋 Транзакції'!$B$5:$B$3623,A39)</f>
        <v>4</v>
      </c>
      <c r="E39" s="36">
        <f>SUMIF('📋 Транзакції'!$B$5:$B$3623,A39,'📋 Транзакції'!$F$5:$F$3623)</f>
        <v>59.97</v>
      </c>
      <c r="F39" s="35">
        <f>INT($A$1-MAXIFS('📋 Транзакції'!$C$5:$C$3623,'📋 Транзакції'!$B$5:$B$3623,A39))</f>
        <v>346</v>
      </c>
      <c r="G39" s="37">
        <f>IF(COUNTIFS('📋 Транзакції'!$B$5:$B$3623,A39,'📋 Транзакції'!$C$5:$C$3623,"&gt;="&amp;EDATE(DATEVALUE(C39&amp;"-01"),0),'📋 Транзакції'!$C$5:$C$3623,"&lt;"&amp;EDATE(DATEVALUE(C39&amp;"-01"),1))&gt;0,1,0)</f>
        <v>1</v>
      </c>
      <c r="H39" s="37">
        <f>IF(COUNTIFS('📋 Транзакції'!$B$5:$B$3623,A39,'📋 Транзакції'!$C$5:$C$3623,"&gt;="&amp;EDATE(DATEVALUE(C39&amp;"-01"),1),'📋 Транзакції'!$C$5:$C$3623,"&lt;"&amp;EDATE(DATEVALUE(C39&amp;"-01"),2))&gt;0,1,0)</f>
        <v>1</v>
      </c>
      <c r="I39" s="37">
        <f>IF(COUNTIFS('📋 Транзакції'!$B$5:$B$3623,A39,'📋 Транзакції'!$C$5:$C$3623,"&gt;="&amp;EDATE(DATEVALUE(C39&amp;"-01"),2),'📋 Транзакції'!$C$5:$C$3623,"&lt;"&amp;EDATE(DATEVALUE(C39&amp;"-01"),3))&gt;0,1,0)</f>
        <v>1</v>
      </c>
      <c r="J39" s="37">
        <f>IF(COUNTIFS('📋 Транзакції'!$B$5:$B$3623,A39,'📋 Транзакції'!$C$5:$C$3623,"&gt;="&amp;EDATE(DATEVALUE(C39&amp;"-01"),3),'📋 Транзакції'!$C$5:$C$3623,"&lt;"&amp;EDATE(DATEVALUE(C39&amp;"-01"),4))&gt;0,1,0)</f>
        <v>0</v>
      </c>
      <c r="K39" s="37">
        <f>IF(COUNTIFS('📋 Транзакції'!$B$5:$B$3623,A39,'📋 Транзакції'!$C$5:$C$3623,"&gt;="&amp;EDATE(DATEVALUE(C39&amp;"-01"),4),'📋 Транзакції'!$C$5:$C$3623,"&lt;"&amp;EDATE(DATEVALUE(C39&amp;"-01"),5))&gt;0,1,0)</f>
        <v>0</v>
      </c>
      <c r="L39" s="37">
        <f>IF(COUNTIFS('📋 Транзакції'!$B$5:$B$3623,A39,'📋 Транзакції'!$C$5:$C$3623,"&gt;="&amp;EDATE(DATEVALUE(C39&amp;"-01"),5),'📋 Транзакції'!$C$5:$C$3623,"&lt;"&amp;EDATE(DATEVALUE(C39&amp;"-01"),6))&gt;0,1,0)</f>
        <v>0</v>
      </c>
      <c r="M39" s="37">
        <f>IF(COUNTIFS('📋 Транзакції'!$B$5:$B$3623,A39,'📋 Транзакції'!$C$5:$C$3623,"&gt;="&amp;EDATE(DATEVALUE(C39&amp;"-01"),6),'📋 Транзакції'!$C$5:$C$3623,"&lt;"&amp;EDATE(DATEVALUE(C39&amp;"-01"),7))&gt;0,1,0)</f>
        <v>0</v>
      </c>
      <c r="N39" s="37">
        <f>IF(COUNTIFS('📋 Транзакції'!$B$5:$B$3623,A39,'📋 Транзакції'!$C$5:$C$3623,"&gt;="&amp;EDATE(DATEVALUE(C39&amp;"-01"),7),'📋 Транзакції'!$C$5:$C$3623,"&lt;"&amp;EDATE(DATEVALUE(C39&amp;"-01"),8))&gt;0,1,0)</f>
        <v>0</v>
      </c>
      <c r="O39" s="37">
        <f>IF(COUNTIFS('📋 Транзакції'!$B$5:$B$3623,A39,'📋 Транзакції'!$C$5:$C$3623,"&gt;="&amp;EDATE(DATEVALUE(C39&amp;"-01"),8),'📋 Транзакції'!$C$5:$C$3623,"&lt;"&amp;EDATE(DATEVALUE(C39&amp;"-01"),9))&gt;0,1,0)</f>
        <v>0</v>
      </c>
      <c r="P39" s="37">
        <f>IF(COUNTIFS('📋 Транзакції'!$B$5:$B$3623,A39,'📋 Транзакції'!$C$5:$C$3623,"&gt;="&amp;EDATE(DATEVALUE(C39&amp;"-01"),9),'📋 Транзакції'!$C$5:$C$3623,"&lt;"&amp;EDATE(DATEVALUE(C39&amp;"-01"),10))&gt;0,1,0)</f>
        <v>0</v>
      </c>
      <c r="Q39" s="37">
        <f>IF(COUNTIFS('📋 Транзакції'!$B$5:$B$3623,A39,'📋 Транзакції'!$C$5:$C$3623,"&gt;="&amp;EDATE(DATEVALUE(C39&amp;"-01"),10),'📋 Транзакції'!$C$5:$C$3623,"&lt;"&amp;EDATE(DATEVALUE(C39&amp;"-01"),11))&gt;0,1,0)</f>
        <v>0</v>
      </c>
      <c r="R39" s="37">
        <f>IF(COUNTIFS('📋 Транзакції'!$B$5:$B$3623,A39,'📋 Транзакції'!$C$5:$C$3623,"&gt;="&amp;EDATE(DATEVALUE(C39&amp;"-01"),11),'📋 Транзакції'!$C$5:$C$3623,"&lt;"&amp;EDATE(DATEVALUE(C39&amp;"-01"),12))&gt;0,1,0)</f>
        <v>0</v>
      </c>
      <c r="S39" s="37">
        <f>SUMIFS('📋 Транзакції'!$F$5:$F$3623,'📋 Транзакції'!$B$5:$B$3623,A39,'📋 Транзакції'!$C$5:$C$3623,"&gt;="&amp;EDATE(DATEVALUE(C39&amp;"-01"),0),'📋 Транзакції'!$C$5:$C$3623,"&lt;"&amp;EDATE(DATEVALUE(C39&amp;"-01"),1))</f>
        <v>19.99</v>
      </c>
      <c r="T39" s="37">
        <f>SUMIFS('📋 Транзакції'!$F$5:$F$3623,'📋 Транзакції'!$B$5:$B$3623,A39,'📋 Транзакції'!$C$5:$C$3623,"&gt;="&amp;EDATE(DATEVALUE(C39&amp;"-01"),1),'📋 Транзакції'!$C$5:$C$3623,"&lt;"&amp;EDATE(DATEVALUE(C39&amp;"-01"),2))</f>
        <v>19.99</v>
      </c>
      <c r="U39" s="37">
        <f>SUMIFS('📋 Транзакції'!$F$5:$F$3623,'📋 Транзакції'!$B$5:$B$3623,A39,'📋 Транзакції'!$C$5:$C$3623,"&gt;="&amp;EDATE(DATEVALUE(C39&amp;"-01"),2),'📋 Транзакції'!$C$5:$C$3623,"&lt;"&amp;EDATE(DATEVALUE(C39&amp;"-01"),3))</f>
        <v>19.99</v>
      </c>
      <c r="V39" s="37">
        <f>SUMIFS('📋 Транзакції'!$F$5:$F$3623,'📋 Транзакції'!$B$5:$B$3623,A39,'📋 Транзакції'!$C$5:$C$3623,"&gt;="&amp;EDATE(DATEVALUE(C39&amp;"-01"),3),'📋 Транзакції'!$C$5:$C$3623,"&lt;"&amp;EDATE(DATEVALUE(C39&amp;"-01"),4))</f>
        <v>0</v>
      </c>
      <c r="W39" s="37">
        <f>SUMIFS('📋 Транзакції'!$F$5:$F$3623,'📋 Транзакції'!$B$5:$B$3623,A39,'📋 Транзакції'!$C$5:$C$3623,"&gt;="&amp;EDATE(DATEVALUE(C39&amp;"-01"),4),'📋 Транзакції'!$C$5:$C$3623,"&lt;"&amp;EDATE(DATEVALUE(C39&amp;"-01"),5))</f>
        <v>0</v>
      </c>
      <c r="X39" s="37">
        <f>SUMIFS('📋 Транзакції'!$F$5:$F$3623,'📋 Транзакції'!$B$5:$B$3623,A39,'📋 Транзакції'!$C$5:$C$3623,"&gt;="&amp;EDATE(DATEVALUE(C39&amp;"-01"),5),'📋 Транзакції'!$C$5:$C$3623,"&lt;"&amp;EDATE(DATEVALUE(C39&amp;"-01"),6))</f>
        <v>0</v>
      </c>
      <c r="Y39" s="37">
        <f>SUMIFS('📋 Транзакції'!$F$5:$F$3623,'📋 Транзакції'!$B$5:$B$3623,A39,'📋 Транзакції'!$C$5:$C$3623,"&gt;="&amp;EDATE(DATEVALUE(C39&amp;"-01"),6),'📋 Транзакції'!$C$5:$C$3623,"&lt;"&amp;EDATE(DATEVALUE(C39&amp;"-01"),7))</f>
        <v>0</v>
      </c>
      <c r="Z39" s="37">
        <f>SUMIFS('📋 Транзакції'!$F$5:$F$3623,'📋 Транзакції'!$B$5:$B$3623,A39,'📋 Транзакції'!$C$5:$C$3623,"&gt;="&amp;EDATE(DATEVALUE(C39&amp;"-01"),7),'📋 Транзакції'!$C$5:$C$3623,"&lt;"&amp;EDATE(DATEVALUE(C39&amp;"-01"),8))</f>
        <v>0</v>
      </c>
      <c r="AA39" s="37">
        <f>SUMIFS('📋 Транзакції'!$F$5:$F$3623,'📋 Транзакції'!$B$5:$B$3623,A39,'📋 Транзакції'!$C$5:$C$3623,"&gt;="&amp;EDATE(DATEVALUE(C39&amp;"-01"),8),'📋 Транзакції'!$C$5:$C$3623,"&lt;"&amp;EDATE(DATEVALUE(C39&amp;"-01"),9))</f>
        <v>0</v>
      </c>
      <c r="AB39" s="37">
        <f>SUMIFS('📋 Транзакції'!$F$5:$F$3623,'📋 Транзакції'!$B$5:$B$3623,A39,'📋 Транзакції'!$C$5:$C$3623,"&gt;="&amp;EDATE(DATEVALUE(C39&amp;"-01"),9),'📋 Транзакції'!$C$5:$C$3623,"&lt;"&amp;EDATE(DATEVALUE(C39&amp;"-01"),10))</f>
        <v>0</v>
      </c>
      <c r="AC39" s="37">
        <f>SUMIFS('📋 Транзакції'!$F$5:$F$3623,'📋 Транзакції'!$B$5:$B$3623,A39,'📋 Транзакції'!$C$5:$C$3623,"&gt;="&amp;EDATE(DATEVALUE(C39&amp;"-01"),10),'📋 Транзакції'!$C$5:$C$3623,"&lt;"&amp;EDATE(DATEVALUE(C39&amp;"-01"),11))</f>
        <v>0</v>
      </c>
      <c r="AD39" s="37">
        <f>SUMIFS('📋 Транзакції'!$F$5:$F$3623,'📋 Транзакції'!$B$5:$B$3623,A39,'📋 Транзакції'!$C$5:$C$3623,"&gt;="&amp;EDATE(DATEVALUE(C39&amp;"-01"),11),'📋 Транзакції'!$C$5:$C$3623,"&lt;"&amp;EDATE(DATEVALUE(C39&amp;"-01"),12))</f>
        <v>0</v>
      </c>
    </row>
    <row r="40" ht="15.75" customHeight="1">
      <c r="A40" s="33" t="str">
        <f>'📋 Реєстрації'!A40:A641</f>
        <v>U0301</v>
      </c>
      <c r="B40" s="34">
        <f t="array" ref="B40">INDEX('📋 Транзакції'!$C$5:$C$3623,MATCH(A40,'📋 Транзакції'!$B$5:$B$3623,0))</f>
        <v>45335</v>
      </c>
      <c r="C40" s="35" t="str">
        <f t="shared" si="1"/>
        <v>2024-02</v>
      </c>
      <c r="D40" s="36">
        <f>COUNTIF('📋 Транзакції'!$B$5:$B$3623,A40)</f>
        <v>8</v>
      </c>
      <c r="E40" s="36">
        <f>SUMIF('📋 Транзакції'!$B$5:$B$3623,A40,'📋 Транзакції'!$F$5:$F$3623)</f>
        <v>139.93</v>
      </c>
      <c r="F40" s="35">
        <f>INT($A$1-MAXIFS('📋 Транзакції'!$C$5:$C$3623,'📋 Транзакції'!$B$5:$B$3623,A40))</f>
        <v>225</v>
      </c>
      <c r="G40" s="37">
        <f>IF(COUNTIFS('📋 Транзакції'!$B$5:$B$3623,A40,'📋 Транзакції'!$C$5:$C$3623,"&gt;="&amp;EDATE(DATEVALUE(C40&amp;"-01"),0),'📋 Транзакції'!$C$5:$C$3623,"&lt;"&amp;EDATE(DATEVALUE(C40&amp;"-01"),1))&gt;0,1,0)</f>
        <v>1</v>
      </c>
      <c r="H40" s="37">
        <f>IF(COUNTIFS('📋 Транзакції'!$B$5:$B$3623,A40,'📋 Транзакції'!$C$5:$C$3623,"&gt;="&amp;EDATE(DATEVALUE(C40&amp;"-01"),1),'📋 Транзакції'!$C$5:$C$3623,"&lt;"&amp;EDATE(DATEVALUE(C40&amp;"-01"),2))&gt;0,1,0)</f>
        <v>1</v>
      </c>
      <c r="I40" s="37">
        <f>IF(COUNTIFS('📋 Транзакції'!$B$5:$B$3623,A40,'📋 Транзакції'!$C$5:$C$3623,"&gt;="&amp;EDATE(DATEVALUE(C40&amp;"-01"),2),'📋 Транзакції'!$C$5:$C$3623,"&lt;"&amp;EDATE(DATEVALUE(C40&amp;"-01"),3))&gt;0,1,0)</f>
        <v>1</v>
      </c>
      <c r="J40" s="37">
        <f>IF(COUNTIFS('📋 Транзакції'!$B$5:$B$3623,A40,'📋 Транзакції'!$C$5:$C$3623,"&gt;="&amp;EDATE(DATEVALUE(C40&amp;"-01"),3),'📋 Транзакції'!$C$5:$C$3623,"&lt;"&amp;EDATE(DATEVALUE(C40&amp;"-01"),4))&gt;0,1,0)</f>
        <v>1</v>
      </c>
      <c r="K40" s="37">
        <f>IF(COUNTIFS('📋 Транзакції'!$B$5:$B$3623,A40,'📋 Транзакції'!$C$5:$C$3623,"&gt;="&amp;EDATE(DATEVALUE(C40&amp;"-01"),4),'📋 Транзакції'!$C$5:$C$3623,"&lt;"&amp;EDATE(DATEVALUE(C40&amp;"-01"),5))&gt;0,1,0)</f>
        <v>1</v>
      </c>
      <c r="L40" s="37">
        <f>IF(COUNTIFS('📋 Транзакції'!$B$5:$B$3623,A40,'📋 Транзакції'!$C$5:$C$3623,"&gt;="&amp;EDATE(DATEVALUE(C40&amp;"-01"),5),'📋 Транзакції'!$C$5:$C$3623,"&lt;"&amp;EDATE(DATEVALUE(C40&amp;"-01"),6))&gt;0,1,0)</f>
        <v>1</v>
      </c>
      <c r="M40" s="37">
        <f>IF(COUNTIFS('📋 Транзакції'!$B$5:$B$3623,A40,'📋 Транзакції'!$C$5:$C$3623,"&gt;="&amp;EDATE(DATEVALUE(C40&amp;"-01"),6),'📋 Транзакції'!$C$5:$C$3623,"&lt;"&amp;EDATE(DATEVALUE(C40&amp;"-01"),7))&gt;0,1,0)</f>
        <v>1</v>
      </c>
      <c r="N40" s="37">
        <f>IF(COUNTIFS('📋 Транзакції'!$B$5:$B$3623,A40,'📋 Транзакції'!$C$5:$C$3623,"&gt;="&amp;EDATE(DATEVALUE(C40&amp;"-01"),7),'📋 Транзакції'!$C$5:$C$3623,"&lt;"&amp;EDATE(DATEVALUE(C40&amp;"-01"),8))&gt;0,1,0)</f>
        <v>0</v>
      </c>
      <c r="O40" s="37">
        <f>IF(COUNTIFS('📋 Транзакції'!$B$5:$B$3623,A40,'📋 Транзакції'!$C$5:$C$3623,"&gt;="&amp;EDATE(DATEVALUE(C40&amp;"-01"),8),'📋 Транзакції'!$C$5:$C$3623,"&lt;"&amp;EDATE(DATEVALUE(C40&amp;"-01"),9))&gt;0,1,0)</f>
        <v>0</v>
      </c>
      <c r="P40" s="37">
        <f>IF(COUNTIFS('📋 Транзакції'!$B$5:$B$3623,A40,'📋 Транзакції'!$C$5:$C$3623,"&gt;="&amp;EDATE(DATEVALUE(C40&amp;"-01"),9),'📋 Транзакції'!$C$5:$C$3623,"&lt;"&amp;EDATE(DATEVALUE(C40&amp;"-01"),10))&gt;0,1,0)</f>
        <v>0</v>
      </c>
      <c r="Q40" s="37">
        <f>IF(COUNTIFS('📋 Транзакції'!$B$5:$B$3623,A40,'📋 Транзакції'!$C$5:$C$3623,"&gt;="&amp;EDATE(DATEVALUE(C40&amp;"-01"),10),'📋 Транзакції'!$C$5:$C$3623,"&lt;"&amp;EDATE(DATEVALUE(C40&amp;"-01"),11))&gt;0,1,0)</f>
        <v>0</v>
      </c>
      <c r="R40" s="37">
        <f>IF(COUNTIFS('📋 Транзакції'!$B$5:$B$3623,A40,'📋 Транзакції'!$C$5:$C$3623,"&gt;="&amp;EDATE(DATEVALUE(C40&amp;"-01"),11),'📋 Транзакції'!$C$5:$C$3623,"&lt;"&amp;EDATE(DATEVALUE(C40&amp;"-01"),12))&gt;0,1,0)</f>
        <v>0</v>
      </c>
      <c r="S40" s="37">
        <f>SUMIFS('📋 Транзакції'!$F$5:$F$3623,'📋 Транзакції'!$B$5:$B$3623,A40,'📋 Транзакції'!$C$5:$C$3623,"&gt;="&amp;EDATE(DATEVALUE(C40&amp;"-01"),0),'📋 Транзакції'!$C$5:$C$3623,"&lt;"&amp;EDATE(DATEVALUE(C40&amp;"-01"),1))</f>
        <v>19.99</v>
      </c>
      <c r="T40" s="37">
        <f>SUMIFS('📋 Транзакції'!$F$5:$F$3623,'📋 Транзакції'!$B$5:$B$3623,A40,'📋 Транзакції'!$C$5:$C$3623,"&gt;="&amp;EDATE(DATEVALUE(C40&amp;"-01"),1),'📋 Транзакції'!$C$5:$C$3623,"&lt;"&amp;EDATE(DATEVALUE(C40&amp;"-01"),2))</f>
        <v>19.99</v>
      </c>
      <c r="U40" s="37">
        <f>SUMIFS('📋 Транзакції'!$F$5:$F$3623,'📋 Транзакції'!$B$5:$B$3623,A40,'📋 Транзакції'!$C$5:$C$3623,"&gt;="&amp;EDATE(DATEVALUE(C40&amp;"-01"),2),'📋 Транзакції'!$C$5:$C$3623,"&lt;"&amp;EDATE(DATEVALUE(C40&amp;"-01"),3))</f>
        <v>19.99</v>
      </c>
      <c r="V40" s="37">
        <f>SUMIFS('📋 Транзакції'!$F$5:$F$3623,'📋 Транзакції'!$B$5:$B$3623,A40,'📋 Транзакції'!$C$5:$C$3623,"&gt;="&amp;EDATE(DATEVALUE(C40&amp;"-01"),3),'📋 Транзакції'!$C$5:$C$3623,"&lt;"&amp;EDATE(DATEVALUE(C40&amp;"-01"),4))</f>
        <v>19.99</v>
      </c>
      <c r="W40" s="37">
        <f>SUMIFS('📋 Транзакції'!$F$5:$F$3623,'📋 Транзакції'!$B$5:$B$3623,A40,'📋 Транзакції'!$C$5:$C$3623,"&gt;="&amp;EDATE(DATEVALUE(C40&amp;"-01"),4),'📋 Транзакції'!$C$5:$C$3623,"&lt;"&amp;EDATE(DATEVALUE(C40&amp;"-01"),5))</f>
        <v>19.99</v>
      </c>
      <c r="X40" s="37">
        <f>SUMIFS('📋 Транзакції'!$F$5:$F$3623,'📋 Транзакції'!$B$5:$B$3623,A40,'📋 Транзакції'!$C$5:$C$3623,"&gt;="&amp;EDATE(DATEVALUE(C40&amp;"-01"),5),'📋 Транзакції'!$C$5:$C$3623,"&lt;"&amp;EDATE(DATEVALUE(C40&amp;"-01"),6))</f>
        <v>19.99</v>
      </c>
      <c r="Y40" s="37">
        <f>SUMIFS('📋 Транзакції'!$F$5:$F$3623,'📋 Транзакції'!$B$5:$B$3623,A40,'📋 Транзакції'!$C$5:$C$3623,"&gt;="&amp;EDATE(DATEVALUE(C40&amp;"-01"),6),'📋 Транзакції'!$C$5:$C$3623,"&lt;"&amp;EDATE(DATEVALUE(C40&amp;"-01"),7))</f>
        <v>19.99</v>
      </c>
      <c r="Z40" s="37">
        <f>SUMIFS('📋 Транзакції'!$F$5:$F$3623,'📋 Транзакції'!$B$5:$B$3623,A40,'📋 Транзакції'!$C$5:$C$3623,"&gt;="&amp;EDATE(DATEVALUE(C40&amp;"-01"),7),'📋 Транзакції'!$C$5:$C$3623,"&lt;"&amp;EDATE(DATEVALUE(C40&amp;"-01"),8))</f>
        <v>0</v>
      </c>
      <c r="AA40" s="37">
        <f>SUMIFS('📋 Транзакції'!$F$5:$F$3623,'📋 Транзакції'!$B$5:$B$3623,A40,'📋 Транзакції'!$C$5:$C$3623,"&gt;="&amp;EDATE(DATEVALUE(C40&amp;"-01"),8),'📋 Транзакції'!$C$5:$C$3623,"&lt;"&amp;EDATE(DATEVALUE(C40&amp;"-01"),9))</f>
        <v>0</v>
      </c>
      <c r="AB40" s="37">
        <f>SUMIFS('📋 Транзакції'!$F$5:$F$3623,'📋 Транзакції'!$B$5:$B$3623,A40,'📋 Транзакції'!$C$5:$C$3623,"&gt;="&amp;EDATE(DATEVALUE(C40&amp;"-01"),9),'📋 Транзакції'!$C$5:$C$3623,"&lt;"&amp;EDATE(DATEVALUE(C40&amp;"-01"),10))</f>
        <v>0</v>
      </c>
      <c r="AC40" s="37">
        <f>SUMIFS('📋 Транзакції'!$F$5:$F$3623,'📋 Транзакції'!$B$5:$B$3623,A40,'📋 Транзакції'!$C$5:$C$3623,"&gt;="&amp;EDATE(DATEVALUE(C40&amp;"-01"),10),'📋 Транзакції'!$C$5:$C$3623,"&lt;"&amp;EDATE(DATEVALUE(C40&amp;"-01"),11))</f>
        <v>0</v>
      </c>
      <c r="AD40" s="37">
        <f>SUMIFS('📋 Транзакції'!$F$5:$F$3623,'📋 Транзакції'!$B$5:$B$3623,A40,'📋 Транзакції'!$C$5:$C$3623,"&gt;="&amp;EDATE(DATEVALUE(C40&amp;"-01"),11),'📋 Транзакції'!$C$5:$C$3623,"&lt;"&amp;EDATE(DATEVALUE(C40&amp;"-01"),12))</f>
        <v>0</v>
      </c>
    </row>
    <row r="41" ht="15.75" customHeight="1">
      <c r="A41" s="33" t="str">
        <f>'📋 Реєстрації'!A41:A642</f>
        <v>U0459</v>
      </c>
      <c r="B41" s="34">
        <f t="array" ref="B41">INDEX('📋 Транзакції'!$C$5:$C$3623,MATCH(A41,'📋 Транзакції'!$B$5:$B$3623,0))</f>
        <v>45338</v>
      </c>
      <c r="C41" s="35" t="str">
        <f t="shared" si="1"/>
        <v>2024-02</v>
      </c>
      <c r="D41" s="36">
        <f>COUNTIF('📋 Транзакції'!$B$5:$B$3623,A41)</f>
        <v>14</v>
      </c>
      <c r="E41" s="36">
        <f>SUMIF('📋 Транзакції'!$B$5:$B$3623,A41,'📋 Транзакції'!$F$5:$F$3623)</f>
        <v>259.87</v>
      </c>
      <c r="F41" s="35">
        <f>INT($A$1-MAXIFS('📋 Транзакції'!$C$5:$C$3623,'📋 Транзакції'!$B$5:$B$3623,A41))</f>
        <v>42</v>
      </c>
      <c r="G41" s="37">
        <f>IF(COUNTIFS('📋 Транзакції'!$B$5:$B$3623,A41,'📋 Транзакції'!$C$5:$C$3623,"&gt;="&amp;EDATE(DATEVALUE(C41&amp;"-01"),0),'📋 Транзакції'!$C$5:$C$3623,"&lt;"&amp;EDATE(DATEVALUE(C41&amp;"-01"),1))&gt;0,1,0)</f>
        <v>1</v>
      </c>
      <c r="H41" s="37">
        <f>IF(COUNTIFS('📋 Транзакції'!$B$5:$B$3623,A41,'📋 Транзакції'!$C$5:$C$3623,"&gt;="&amp;EDATE(DATEVALUE(C41&amp;"-01"),1),'📋 Транзакції'!$C$5:$C$3623,"&lt;"&amp;EDATE(DATEVALUE(C41&amp;"-01"),2))&gt;0,1,0)</f>
        <v>1</v>
      </c>
      <c r="I41" s="37">
        <f>IF(COUNTIFS('📋 Транзакції'!$B$5:$B$3623,A41,'📋 Транзакції'!$C$5:$C$3623,"&gt;="&amp;EDATE(DATEVALUE(C41&amp;"-01"),2),'📋 Транзакції'!$C$5:$C$3623,"&lt;"&amp;EDATE(DATEVALUE(C41&amp;"-01"),3))&gt;0,1,0)</f>
        <v>1</v>
      </c>
      <c r="J41" s="37">
        <f>IF(COUNTIFS('📋 Транзакції'!$B$5:$B$3623,A41,'📋 Транзакції'!$C$5:$C$3623,"&gt;="&amp;EDATE(DATEVALUE(C41&amp;"-01"),3),'📋 Транзакції'!$C$5:$C$3623,"&lt;"&amp;EDATE(DATEVALUE(C41&amp;"-01"),4))&gt;0,1,0)</f>
        <v>1</v>
      </c>
      <c r="K41" s="37">
        <f>IF(COUNTIFS('📋 Транзакції'!$B$5:$B$3623,A41,'📋 Транзакції'!$C$5:$C$3623,"&gt;="&amp;EDATE(DATEVALUE(C41&amp;"-01"),4),'📋 Транзакції'!$C$5:$C$3623,"&lt;"&amp;EDATE(DATEVALUE(C41&amp;"-01"),5))&gt;0,1,0)</f>
        <v>1</v>
      </c>
      <c r="L41" s="37">
        <f>IF(COUNTIFS('📋 Транзакції'!$B$5:$B$3623,A41,'📋 Транзакції'!$C$5:$C$3623,"&gt;="&amp;EDATE(DATEVALUE(C41&amp;"-01"),5),'📋 Транзакції'!$C$5:$C$3623,"&lt;"&amp;EDATE(DATEVALUE(C41&amp;"-01"),6))&gt;0,1,0)</f>
        <v>1</v>
      </c>
      <c r="M41" s="37">
        <f>IF(COUNTIFS('📋 Транзакції'!$B$5:$B$3623,A41,'📋 Транзакції'!$C$5:$C$3623,"&gt;="&amp;EDATE(DATEVALUE(C41&amp;"-01"),6),'📋 Транзакції'!$C$5:$C$3623,"&lt;"&amp;EDATE(DATEVALUE(C41&amp;"-01"),7))&gt;0,1,0)</f>
        <v>1</v>
      </c>
      <c r="N41" s="37">
        <f>IF(COUNTIFS('📋 Транзакції'!$B$5:$B$3623,A41,'📋 Транзакції'!$C$5:$C$3623,"&gt;="&amp;EDATE(DATEVALUE(C41&amp;"-01"),7),'📋 Транзакції'!$C$5:$C$3623,"&lt;"&amp;EDATE(DATEVALUE(C41&amp;"-01"),8))&gt;0,1,0)</f>
        <v>1</v>
      </c>
      <c r="O41" s="37">
        <f>IF(COUNTIFS('📋 Транзакції'!$B$5:$B$3623,A41,'📋 Транзакції'!$C$5:$C$3623,"&gt;="&amp;EDATE(DATEVALUE(C41&amp;"-01"),8),'📋 Транзакції'!$C$5:$C$3623,"&lt;"&amp;EDATE(DATEVALUE(C41&amp;"-01"),9))&gt;0,1,0)</f>
        <v>1</v>
      </c>
      <c r="P41" s="37">
        <f>IF(COUNTIFS('📋 Транзакції'!$B$5:$B$3623,A41,'📋 Транзакції'!$C$5:$C$3623,"&gt;="&amp;EDATE(DATEVALUE(C41&amp;"-01"),9),'📋 Транзакції'!$C$5:$C$3623,"&lt;"&amp;EDATE(DATEVALUE(C41&amp;"-01"),10))&gt;0,1,0)</f>
        <v>1</v>
      </c>
      <c r="Q41" s="37">
        <f>IF(COUNTIFS('📋 Транзакції'!$B$5:$B$3623,A41,'📋 Транзакції'!$C$5:$C$3623,"&gt;="&amp;EDATE(DATEVALUE(C41&amp;"-01"),10),'📋 Транзакції'!$C$5:$C$3623,"&lt;"&amp;EDATE(DATEVALUE(C41&amp;"-01"),11))&gt;0,1,0)</f>
        <v>1</v>
      </c>
      <c r="R41" s="37">
        <f>IF(COUNTIFS('📋 Транзакції'!$B$5:$B$3623,A41,'📋 Транзакції'!$C$5:$C$3623,"&gt;="&amp;EDATE(DATEVALUE(C41&amp;"-01"),11),'📋 Транзакції'!$C$5:$C$3623,"&lt;"&amp;EDATE(DATEVALUE(C41&amp;"-01"),12))&gt;0,1,0)</f>
        <v>1</v>
      </c>
      <c r="S41" s="37">
        <f>SUMIFS('📋 Транзакції'!$F$5:$F$3623,'📋 Транзакції'!$B$5:$B$3623,A41,'📋 Транзакції'!$C$5:$C$3623,"&gt;="&amp;EDATE(DATEVALUE(C41&amp;"-01"),0),'📋 Транзакції'!$C$5:$C$3623,"&lt;"&amp;EDATE(DATEVALUE(C41&amp;"-01"),1))</f>
        <v>19.99</v>
      </c>
      <c r="T41" s="37">
        <f>SUMIFS('📋 Транзакції'!$F$5:$F$3623,'📋 Транзакції'!$B$5:$B$3623,A41,'📋 Транзакції'!$C$5:$C$3623,"&gt;="&amp;EDATE(DATEVALUE(C41&amp;"-01"),1),'📋 Транзакції'!$C$5:$C$3623,"&lt;"&amp;EDATE(DATEVALUE(C41&amp;"-01"),2))</f>
        <v>19.99</v>
      </c>
      <c r="U41" s="37">
        <f>SUMIFS('📋 Транзакції'!$F$5:$F$3623,'📋 Транзакції'!$B$5:$B$3623,A41,'📋 Транзакції'!$C$5:$C$3623,"&gt;="&amp;EDATE(DATEVALUE(C41&amp;"-01"),2),'📋 Транзакції'!$C$5:$C$3623,"&lt;"&amp;EDATE(DATEVALUE(C41&amp;"-01"),3))</f>
        <v>19.99</v>
      </c>
      <c r="V41" s="37">
        <f>SUMIFS('📋 Транзакції'!$F$5:$F$3623,'📋 Транзакції'!$B$5:$B$3623,A41,'📋 Транзакції'!$C$5:$C$3623,"&gt;="&amp;EDATE(DATEVALUE(C41&amp;"-01"),3),'📋 Транзакції'!$C$5:$C$3623,"&lt;"&amp;EDATE(DATEVALUE(C41&amp;"-01"),4))</f>
        <v>19.99</v>
      </c>
      <c r="W41" s="37">
        <f>SUMIFS('📋 Транзакції'!$F$5:$F$3623,'📋 Транзакції'!$B$5:$B$3623,A41,'📋 Транзакції'!$C$5:$C$3623,"&gt;="&amp;EDATE(DATEVALUE(C41&amp;"-01"),4),'📋 Транзакції'!$C$5:$C$3623,"&lt;"&amp;EDATE(DATEVALUE(C41&amp;"-01"),5))</f>
        <v>19.99</v>
      </c>
      <c r="X41" s="37">
        <f>SUMIFS('📋 Транзакції'!$F$5:$F$3623,'📋 Транзакції'!$B$5:$B$3623,A41,'📋 Транзакції'!$C$5:$C$3623,"&gt;="&amp;EDATE(DATEVALUE(C41&amp;"-01"),5),'📋 Транзакції'!$C$5:$C$3623,"&lt;"&amp;EDATE(DATEVALUE(C41&amp;"-01"),6))</f>
        <v>19.99</v>
      </c>
      <c r="Y41" s="37">
        <f>SUMIFS('📋 Транзакції'!$F$5:$F$3623,'📋 Транзакції'!$B$5:$B$3623,A41,'📋 Транзакції'!$C$5:$C$3623,"&gt;="&amp;EDATE(DATEVALUE(C41&amp;"-01"),6),'📋 Транзакції'!$C$5:$C$3623,"&lt;"&amp;EDATE(DATEVALUE(C41&amp;"-01"),7))</f>
        <v>19.99</v>
      </c>
      <c r="Z41" s="37">
        <f>SUMIFS('📋 Транзакції'!$F$5:$F$3623,'📋 Транзакції'!$B$5:$B$3623,A41,'📋 Транзакції'!$C$5:$C$3623,"&gt;="&amp;EDATE(DATEVALUE(C41&amp;"-01"),7),'📋 Транзакції'!$C$5:$C$3623,"&lt;"&amp;EDATE(DATEVALUE(C41&amp;"-01"),8))</f>
        <v>19.99</v>
      </c>
      <c r="AA41" s="37">
        <f>SUMIFS('📋 Транзакції'!$F$5:$F$3623,'📋 Транзакції'!$B$5:$B$3623,A41,'📋 Транзакції'!$C$5:$C$3623,"&gt;="&amp;EDATE(DATEVALUE(C41&amp;"-01"),8),'📋 Транзакції'!$C$5:$C$3623,"&lt;"&amp;EDATE(DATEVALUE(C41&amp;"-01"),9))</f>
        <v>19.99</v>
      </c>
      <c r="AB41" s="37">
        <f>SUMIFS('📋 Транзакції'!$F$5:$F$3623,'📋 Транзакції'!$B$5:$B$3623,A41,'📋 Транзакції'!$C$5:$C$3623,"&gt;="&amp;EDATE(DATEVALUE(C41&amp;"-01"),9),'📋 Транзакції'!$C$5:$C$3623,"&lt;"&amp;EDATE(DATEVALUE(C41&amp;"-01"),10))</f>
        <v>19.99</v>
      </c>
      <c r="AC41" s="37">
        <f>SUMIFS('📋 Транзакції'!$F$5:$F$3623,'📋 Транзакції'!$B$5:$B$3623,A41,'📋 Транзакції'!$C$5:$C$3623,"&gt;="&amp;EDATE(DATEVALUE(C41&amp;"-01"),10),'📋 Транзакції'!$C$5:$C$3623,"&lt;"&amp;EDATE(DATEVALUE(C41&amp;"-01"),11))</f>
        <v>19.99</v>
      </c>
      <c r="AD41" s="37">
        <f>SUMIFS('📋 Транзакції'!$F$5:$F$3623,'📋 Транзакції'!$B$5:$B$3623,A41,'📋 Транзакції'!$C$5:$C$3623,"&gt;="&amp;EDATE(DATEVALUE(C41&amp;"-01"),11),'📋 Транзакції'!$C$5:$C$3623,"&lt;"&amp;EDATE(DATEVALUE(C41&amp;"-01"),12))</f>
        <v>19.99</v>
      </c>
    </row>
    <row r="42" ht="15.75" customHeight="1">
      <c r="A42" s="33" t="str">
        <f>'📋 Реєстрації'!A42:A643</f>
        <v>U0487</v>
      </c>
      <c r="B42" s="34">
        <f t="array" ref="B42">INDEX('📋 Транзакції'!$C$5:$C$3623,MATCH(A42,'📋 Транзакції'!$B$5:$B$3623,0))</f>
        <v>45338</v>
      </c>
      <c r="C42" s="35" t="str">
        <f t="shared" si="1"/>
        <v>2024-02</v>
      </c>
      <c r="D42" s="36">
        <f>COUNTIF('📋 Транзакції'!$B$5:$B$3623,A42)</f>
        <v>5</v>
      </c>
      <c r="E42" s="36">
        <f>SUMIF('📋 Транзакції'!$B$5:$B$3623,A42,'📋 Транзакції'!$F$5:$F$3623)</f>
        <v>79.96</v>
      </c>
      <c r="F42" s="35">
        <f>INT($A$1-MAXIFS('📋 Транзакції'!$C$5:$C$3623,'📋 Транзакції'!$B$5:$B$3623,A42))</f>
        <v>312</v>
      </c>
      <c r="G42" s="37">
        <f>IF(COUNTIFS('📋 Транзакції'!$B$5:$B$3623,A42,'📋 Транзакції'!$C$5:$C$3623,"&gt;="&amp;EDATE(DATEVALUE(C42&amp;"-01"),0),'📋 Транзакції'!$C$5:$C$3623,"&lt;"&amp;EDATE(DATEVALUE(C42&amp;"-01"),1))&gt;0,1,0)</f>
        <v>1</v>
      </c>
      <c r="H42" s="37">
        <f>IF(COUNTIFS('📋 Транзакції'!$B$5:$B$3623,A42,'📋 Транзакції'!$C$5:$C$3623,"&gt;="&amp;EDATE(DATEVALUE(C42&amp;"-01"),1),'📋 Транзакції'!$C$5:$C$3623,"&lt;"&amp;EDATE(DATEVALUE(C42&amp;"-01"),2))&gt;0,1,0)</f>
        <v>1</v>
      </c>
      <c r="I42" s="37">
        <f>IF(COUNTIFS('📋 Транзакції'!$B$5:$B$3623,A42,'📋 Транзакції'!$C$5:$C$3623,"&gt;="&amp;EDATE(DATEVALUE(C42&amp;"-01"),2),'📋 Транзакції'!$C$5:$C$3623,"&lt;"&amp;EDATE(DATEVALUE(C42&amp;"-01"),3))&gt;0,1,0)</f>
        <v>1</v>
      </c>
      <c r="J42" s="37">
        <f>IF(COUNTIFS('📋 Транзакції'!$B$5:$B$3623,A42,'📋 Транзакції'!$C$5:$C$3623,"&gt;="&amp;EDATE(DATEVALUE(C42&amp;"-01"),3),'📋 Транзакції'!$C$5:$C$3623,"&lt;"&amp;EDATE(DATEVALUE(C42&amp;"-01"),4))&gt;0,1,0)</f>
        <v>1</v>
      </c>
      <c r="K42" s="37">
        <f>IF(COUNTIFS('📋 Транзакції'!$B$5:$B$3623,A42,'📋 Транзакції'!$C$5:$C$3623,"&gt;="&amp;EDATE(DATEVALUE(C42&amp;"-01"),4),'📋 Транзакції'!$C$5:$C$3623,"&lt;"&amp;EDATE(DATEVALUE(C42&amp;"-01"),5))&gt;0,1,0)</f>
        <v>0</v>
      </c>
      <c r="L42" s="37">
        <f>IF(COUNTIFS('📋 Транзакції'!$B$5:$B$3623,A42,'📋 Транзакції'!$C$5:$C$3623,"&gt;="&amp;EDATE(DATEVALUE(C42&amp;"-01"),5),'📋 Транзакції'!$C$5:$C$3623,"&lt;"&amp;EDATE(DATEVALUE(C42&amp;"-01"),6))&gt;0,1,0)</f>
        <v>0</v>
      </c>
      <c r="M42" s="37">
        <f>IF(COUNTIFS('📋 Транзакції'!$B$5:$B$3623,A42,'📋 Транзакції'!$C$5:$C$3623,"&gt;="&amp;EDATE(DATEVALUE(C42&amp;"-01"),6),'📋 Транзакції'!$C$5:$C$3623,"&lt;"&amp;EDATE(DATEVALUE(C42&amp;"-01"),7))&gt;0,1,0)</f>
        <v>0</v>
      </c>
      <c r="N42" s="37">
        <f>IF(COUNTIFS('📋 Транзакції'!$B$5:$B$3623,A42,'📋 Транзакції'!$C$5:$C$3623,"&gt;="&amp;EDATE(DATEVALUE(C42&amp;"-01"),7),'📋 Транзакції'!$C$5:$C$3623,"&lt;"&amp;EDATE(DATEVALUE(C42&amp;"-01"),8))&gt;0,1,0)</f>
        <v>0</v>
      </c>
      <c r="O42" s="37">
        <f>IF(COUNTIFS('📋 Транзакції'!$B$5:$B$3623,A42,'📋 Транзакції'!$C$5:$C$3623,"&gt;="&amp;EDATE(DATEVALUE(C42&amp;"-01"),8),'📋 Транзакції'!$C$5:$C$3623,"&lt;"&amp;EDATE(DATEVALUE(C42&amp;"-01"),9))&gt;0,1,0)</f>
        <v>0</v>
      </c>
      <c r="P42" s="37">
        <f>IF(COUNTIFS('📋 Транзакції'!$B$5:$B$3623,A42,'📋 Транзакції'!$C$5:$C$3623,"&gt;="&amp;EDATE(DATEVALUE(C42&amp;"-01"),9),'📋 Транзакції'!$C$5:$C$3623,"&lt;"&amp;EDATE(DATEVALUE(C42&amp;"-01"),10))&gt;0,1,0)</f>
        <v>0</v>
      </c>
      <c r="Q42" s="37">
        <f>IF(COUNTIFS('📋 Транзакції'!$B$5:$B$3623,A42,'📋 Транзакції'!$C$5:$C$3623,"&gt;="&amp;EDATE(DATEVALUE(C42&amp;"-01"),10),'📋 Транзакції'!$C$5:$C$3623,"&lt;"&amp;EDATE(DATEVALUE(C42&amp;"-01"),11))&gt;0,1,0)</f>
        <v>0</v>
      </c>
      <c r="R42" s="37">
        <f>IF(COUNTIFS('📋 Транзакції'!$B$5:$B$3623,A42,'📋 Транзакції'!$C$5:$C$3623,"&gt;="&amp;EDATE(DATEVALUE(C42&amp;"-01"),11),'📋 Транзакції'!$C$5:$C$3623,"&lt;"&amp;EDATE(DATEVALUE(C42&amp;"-01"),12))&gt;0,1,0)</f>
        <v>0</v>
      </c>
      <c r="S42" s="37">
        <f>SUMIFS('📋 Транзакції'!$F$5:$F$3623,'📋 Транзакції'!$B$5:$B$3623,A42,'📋 Транзакції'!$C$5:$C$3623,"&gt;="&amp;EDATE(DATEVALUE(C42&amp;"-01"),0),'📋 Транзакції'!$C$5:$C$3623,"&lt;"&amp;EDATE(DATEVALUE(C42&amp;"-01"),1))</f>
        <v>19.99</v>
      </c>
      <c r="T42" s="37">
        <f>SUMIFS('📋 Транзакції'!$F$5:$F$3623,'📋 Транзакції'!$B$5:$B$3623,A42,'📋 Транзакції'!$C$5:$C$3623,"&gt;="&amp;EDATE(DATEVALUE(C42&amp;"-01"),1),'📋 Транзакції'!$C$5:$C$3623,"&lt;"&amp;EDATE(DATEVALUE(C42&amp;"-01"),2))</f>
        <v>19.99</v>
      </c>
      <c r="U42" s="37">
        <f>SUMIFS('📋 Транзакції'!$F$5:$F$3623,'📋 Транзакції'!$B$5:$B$3623,A42,'📋 Транзакції'!$C$5:$C$3623,"&gt;="&amp;EDATE(DATEVALUE(C42&amp;"-01"),2),'📋 Транзакції'!$C$5:$C$3623,"&lt;"&amp;EDATE(DATEVALUE(C42&amp;"-01"),3))</f>
        <v>19.99</v>
      </c>
      <c r="V42" s="37">
        <f>SUMIFS('📋 Транзакції'!$F$5:$F$3623,'📋 Транзакції'!$B$5:$B$3623,A42,'📋 Транзакції'!$C$5:$C$3623,"&gt;="&amp;EDATE(DATEVALUE(C42&amp;"-01"),3),'📋 Транзакції'!$C$5:$C$3623,"&lt;"&amp;EDATE(DATEVALUE(C42&amp;"-01"),4))</f>
        <v>19.99</v>
      </c>
      <c r="W42" s="37">
        <f>SUMIFS('📋 Транзакції'!$F$5:$F$3623,'📋 Транзакції'!$B$5:$B$3623,A42,'📋 Транзакції'!$C$5:$C$3623,"&gt;="&amp;EDATE(DATEVALUE(C42&amp;"-01"),4),'📋 Транзакції'!$C$5:$C$3623,"&lt;"&amp;EDATE(DATEVALUE(C42&amp;"-01"),5))</f>
        <v>0</v>
      </c>
      <c r="X42" s="37">
        <f>SUMIFS('📋 Транзакції'!$F$5:$F$3623,'📋 Транзакції'!$B$5:$B$3623,A42,'📋 Транзакції'!$C$5:$C$3623,"&gt;="&amp;EDATE(DATEVALUE(C42&amp;"-01"),5),'📋 Транзакції'!$C$5:$C$3623,"&lt;"&amp;EDATE(DATEVALUE(C42&amp;"-01"),6))</f>
        <v>0</v>
      </c>
      <c r="Y42" s="37">
        <f>SUMIFS('📋 Транзакції'!$F$5:$F$3623,'📋 Транзакції'!$B$5:$B$3623,A42,'📋 Транзакції'!$C$5:$C$3623,"&gt;="&amp;EDATE(DATEVALUE(C42&amp;"-01"),6),'📋 Транзакції'!$C$5:$C$3623,"&lt;"&amp;EDATE(DATEVALUE(C42&amp;"-01"),7))</f>
        <v>0</v>
      </c>
      <c r="Z42" s="37">
        <f>SUMIFS('📋 Транзакції'!$F$5:$F$3623,'📋 Транзакції'!$B$5:$B$3623,A42,'📋 Транзакції'!$C$5:$C$3623,"&gt;="&amp;EDATE(DATEVALUE(C42&amp;"-01"),7),'📋 Транзакції'!$C$5:$C$3623,"&lt;"&amp;EDATE(DATEVALUE(C42&amp;"-01"),8))</f>
        <v>0</v>
      </c>
      <c r="AA42" s="37">
        <f>SUMIFS('📋 Транзакції'!$F$5:$F$3623,'📋 Транзакції'!$B$5:$B$3623,A42,'📋 Транзакції'!$C$5:$C$3623,"&gt;="&amp;EDATE(DATEVALUE(C42&amp;"-01"),8),'📋 Транзакції'!$C$5:$C$3623,"&lt;"&amp;EDATE(DATEVALUE(C42&amp;"-01"),9))</f>
        <v>0</v>
      </c>
      <c r="AB42" s="37">
        <f>SUMIFS('📋 Транзакції'!$F$5:$F$3623,'📋 Транзакції'!$B$5:$B$3623,A42,'📋 Транзакції'!$C$5:$C$3623,"&gt;="&amp;EDATE(DATEVALUE(C42&amp;"-01"),9),'📋 Транзакції'!$C$5:$C$3623,"&lt;"&amp;EDATE(DATEVALUE(C42&amp;"-01"),10))</f>
        <v>0</v>
      </c>
      <c r="AC42" s="37">
        <f>SUMIFS('📋 Транзакції'!$F$5:$F$3623,'📋 Транзакції'!$B$5:$B$3623,A42,'📋 Транзакції'!$C$5:$C$3623,"&gt;="&amp;EDATE(DATEVALUE(C42&amp;"-01"),10),'📋 Транзакції'!$C$5:$C$3623,"&lt;"&amp;EDATE(DATEVALUE(C42&amp;"-01"),11))</f>
        <v>0</v>
      </c>
      <c r="AD42" s="37">
        <f>SUMIFS('📋 Транзакції'!$F$5:$F$3623,'📋 Транзакції'!$B$5:$B$3623,A42,'📋 Транзакції'!$C$5:$C$3623,"&gt;="&amp;EDATE(DATEVALUE(C42&amp;"-01"),11),'📋 Транзакції'!$C$5:$C$3623,"&lt;"&amp;EDATE(DATEVALUE(C42&amp;"-01"),12))</f>
        <v>0</v>
      </c>
    </row>
    <row r="43" ht="15.75" customHeight="1">
      <c r="A43" s="33" t="str">
        <f>'📋 Реєстрації'!A43:A644</f>
        <v>U0705</v>
      </c>
      <c r="B43" s="34">
        <f t="array" ref="B43">INDEX('📋 Транзакції'!$C$5:$C$3623,MATCH(A43,'📋 Транзакції'!$B$5:$B$3623,0))</f>
        <v>45341</v>
      </c>
      <c r="C43" s="35" t="str">
        <f t="shared" si="1"/>
        <v>2024-02</v>
      </c>
      <c r="D43" s="36">
        <f>COUNTIF('📋 Транзакції'!$B$5:$B$3623,A43)</f>
        <v>15</v>
      </c>
      <c r="E43" s="36">
        <f>SUMIF('📋 Транзакції'!$B$5:$B$3623,A43,'📋 Транзакції'!$F$5:$F$3623)</f>
        <v>279.86</v>
      </c>
      <c r="F43" s="35">
        <f>INT($A$1-MAXIFS('📋 Транзакції'!$C$5:$C$3623,'📋 Транзакції'!$B$5:$B$3623,A43))</f>
        <v>9</v>
      </c>
      <c r="G43" s="37">
        <f>IF(COUNTIFS('📋 Транзакції'!$B$5:$B$3623,A43,'📋 Транзакції'!$C$5:$C$3623,"&gt;="&amp;EDATE(DATEVALUE(C43&amp;"-01"),0),'📋 Транзакції'!$C$5:$C$3623,"&lt;"&amp;EDATE(DATEVALUE(C43&amp;"-01"),1))&gt;0,1,0)</f>
        <v>1</v>
      </c>
      <c r="H43" s="37">
        <f>IF(COUNTIFS('📋 Транзакції'!$B$5:$B$3623,A43,'📋 Транзакції'!$C$5:$C$3623,"&gt;="&amp;EDATE(DATEVALUE(C43&amp;"-01"),1),'📋 Транзакції'!$C$5:$C$3623,"&lt;"&amp;EDATE(DATEVALUE(C43&amp;"-01"),2))&gt;0,1,0)</f>
        <v>1</v>
      </c>
      <c r="I43" s="37">
        <f>IF(COUNTIFS('📋 Транзакції'!$B$5:$B$3623,A43,'📋 Транзакції'!$C$5:$C$3623,"&gt;="&amp;EDATE(DATEVALUE(C43&amp;"-01"),2),'📋 Транзакції'!$C$5:$C$3623,"&lt;"&amp;EDATE(DATEVALUE(C43&amp;"-01"),3))&gt;0,1,0)</f>
        <v>1</v>
      </c>
      <c r="J43" s="37">
        <f>IF(COUNTIFS('📋 Транзакції'!$B$5:$B$3623,A43,'📋 Транзакції'!$C$5:$C$3623,"&gt;="&amp;EDATE(DATEVALUE(C43&amp;"-01"),3),'📋 Транзакції'!$C$5:$C$3623,"&lt;"&amp;EDATE(DATEVALUE(C43&amp;"-01"),4))&gt;0,1,0)</f>
        <v>1</v>
      </c>
      <c r="K43" s="37">
        <f>IF(COUNTIFS('📋 Транзакції'!$B$5:$B$3623,A43,'📋 Транзакції'!$C$5:$C$3623,"&gt;="&amp;EDATE(DATEVALUE(C43&amp;"-01"),4),'📋 Транзакції'!$C$5:$C$3623,"&lt;"&amp;EDATE(DATEVALUE(C43&amp;"-01"),5))&gt;0,1,0)</f>
        <v>1</v>
      </c>
      <c r="L43" s="37">
        <f>IF(COUNTIFS('📋 Транзакції'!$B$5:$B$3623,A43,'📋 Транзакції'!$C$5:$C$3623,"&gt;="&amp;EDATE(DATEVALUE(C43&amp;"-01"),5),'📋 Транзакції'!$C$5:$C$3623,"&lt;"&amp;EDATE(DATEVALUE(C43&amp;"-01"),6))&gt;0,1,0)</f>
        <v>1</v>
      </c>
      <c r="M43" s="37">
        <f>IF(COUNTIFS('📋 Транзакції'!$B$5:$B$3623,A43,'📋 Транзакції'!$C$5:$C$3623,"&gt;="&amp;EDATE(DATEVALUE(C43&amp;"-01"),6),'📋 Транзакції'!$C$5:$C$3623,"&lt;"&amp;EDATE(DATEVALUE(C43&amp;"-01"),7))&gt;0,1,0)</f>
        <v>1</v>
      </c>
      <c r="N43" s="37">
        <f>IF(COUNTIFS('📋 Транзакції'!$B$5:$B$3623,A43,'📋 Транзакції'!$C$5:$C$3623,"&gt;="&amp;EDATE(DATEVALUE(C43&amp;"-01"),7),'📋 Транзакції'!$C$5:$C$3623,"&lt;"&amp;EDATE(DATEVALUE(C43&amp;"-01"),8))&gt;0,1,0)</f>
        <v>1</v>
      </c>
      <c r="O43" s="37">
        <f>IF(COUNTIFS('📋 Транзакції'!$B$5:$B$3623,A43,'📋 Транзакції'!$C$5:$C$3623,"&gt;="&amp;EDATE(DATEVALUE(C43&amp;"-01"),8),'📋 Транзакції'!$C$5:$C$3623,"&lt;"&amp;EDATE(DATEVALUE(C43&amp;"-01"),9))&gt;0,1,0)</f>
        <v>1</v>
      </c>
      <c r="P43" s="37">
        <f>IF(COUNTIFS('📋 Транзакції'!$B$5:$B$3623,A43,'📋 Транзакції'!$C$5:$C$3623,"&gt;="&amp;EDATE(DATEVALUE(C43&amp;"-01"),9),'📋 Транзакції'!$C$5:$C$3623,"&lt;"&amp;EDATE(DATEVALUE(C43&amp;"-01"),10))&gt;0,1,0)</f>
        <v>1</v>
      </c>
      <c r="Q43" s="37">
        <f>IF(COUNTIFS('📋 Транзакції'!$B$5:$B$3623,A43,'📋 Транзакції'!$C$5:$C$3623,"&gt;="&amp;EDATE(DATEVALUE(C43&amp;"-01"),10),'📋 Транзакції'!$C$5:$C$3623,"&lt;"&amp;EDATE(DATEVALUE(C43&amp;"-01"),11))&gt;0,1,0)</f>
        <v>1</v>
      </c>
      <c r="R43" s="37">
        <f>IF(COUNTIFS('📋 Транзакції'!$B$5:$B$3623,A43,'📋 Транзакції'!$C$5:$C$3623,"&gt;="&amp;EDATE(DATEVALUE(C43&amp;"-01"),11),'📋 Транзакції'!$C$5:$C$3623,"&lt;"&amp;EDATE(DATEVALUE(C43&amp;"-01"),12))&gt;0,1,0)</f>
        <v>1</v>
      </c>
      <c r="S43" s="37">
        <f>SUMIFS('📋 Транзакції'!$F$5:$F$3623,'📋 Транзакції'!$B$5:$B$3623,A43,'📋 Транзакції'!$C$5:$C$3623,"&gt;="&amp;EDATE(DATEVALUE(C43&amp;"-01"),0),'📋 Транзакції'!$C$5:$C$3623,"&lt;"&amp;EDATE(DATEVALUE(C43&amp;"-01"),1))</f>
        <v>19.99</v>
      </c>
      <c r="T43" s="37">
        <f>SUMIFS('📋 Транзакції'!$F$5:$F$3623,'📋 Транзакції'!$B$5:$B$3623,A43,'📋 Транзакції'!$C$5:$C$3623,"&gt;="&amp;EDATE(DATEVALUE(C43&amp;"-01"),1),'📋 Транзакції'!$C$5:$C$3623,"&lt;"&amp;EDATE(DATEVALUE(C43&amp;"-01"),2))</f>
        <v>19.99</v>
      </c>
      <c r="U43" s="37">
        <f>SUMIFS('📋 Транзакції'!$F$5:$F$3623,'📋 Транзакції'!$B$5:$B$3623,A43,'📋 Транзакції'!$C$5:$C$3623,"&gt;="&amp;EDATE(DATEVALUE(C43&amp;"-01"),2),'📋 Транзакції'!$C$5:$C$3623,"&lt;"&amp;EDATE(DATEVALUE(C43&amp;"-01"),3))</f>
        <v>19.99</v>
      </c>
      <c r="V43" s="37">
        <f>SUMIFS('📋 Транзакції'!$F$5:$F$3623,'📋 Транзакції'!$B$5:$B$3623,A43,'📋 Транзакції'!$C$5:$C$3623,"&gt;="&amp;EDATE(DATEVALUE(C43&amp;"-01"),3),'📋 Транзакції'!$C$5:$C$3623,"&lt;"&amp;EDATE(DATEVALUE(C43&amp;"-01"),4))</f>
        <v>19.99</v>
      </c>
      <c r="W43" s="37">
        <f>SUMIFS('📋 Транзакції'!$F$5:$F$3623,'📋 Транзакції'!$B$5:$B$3623,A43,'📋 Транзакції'!$C$5:$C$3623,"&gt;="&amp;EDATE(DATEVALUE(C43&amp;"-01"),4),'📋 Транзакції'!$C$5:$C$3623,"&lt;"&amp;EDATE(DATEVALUE(C43&amp;"-01"),5))</f>
        <v>19.99</v>
      </c>
      <c r="X43" s="37">
        <f>SUMIFS('📋 Транзакції'!$F$5:$F$3623,'📋 Транзакції'!$B$5:$B$3623,A43,'📋 Транзакції'!$C$5:$C$3623,"&gt;="&amp;EDATE(DATEVALUE(C43&amp;"-01"),5),'📋 Транзакції'!$C$5:$C$3623,"&lt;"&amp;EDATE(DATEVALUE(C43&amp;"-01"),6))</f>
        <v>19.99</v>
      </c>
      <c r="Y43" s="37">
        <f>SUMIFS('📋 Транзакції'!$F$5:$F$3623,'📋 Транзакції'!$B$5:$B$3623,A43,'📋 Транзакції'!$C$5:$C$3623,"&gt;="&amp;EDATE(DATEVALUE(C43&amp;"-01"),6),'📋 Транзакції'!$C$5:$C$3623,"&lt;"&amp;EDATE(DATEVALUE(C43&amp;"-01"),7))</f>
        <v>19.99</v>
      </c>
      <c r="Z43" s="37">
        <f>SUMIFS('📋 Транзакції'!$F$5:$F$3623,'📋 Транзакції'!$B$5:$B$3623,A43,'📋 Транзакції'!$C$5:$C$3623,"&gt;="&amp;EDATE(DATEVALUE(C43&amp;"-01"),7),'📋 Транзакції'!$C$5:$C$3623,"&lt;"&amp;EDATE(DATEVALUE(C43&amp;"-01"),8))</f>
        <v>19.99</v>
      </c>
      <c r="AA43" s="37">
        <f>SUMIFS('📋 Транзакції'!$F$5:$F$3623,'📋 Транзакції'!$B$5:$B$3623,A43,'📋 Транзакції'!$C$5:$C$3623,"&gt;="&amp;EDATE(DATEVALUE(C43&amp;"-01"),8),'📋 Транзакції'!$C$5:$C$3623,"&lt;"&amp;EDATE(DATEVALUE(C43&amp;"-01"),9))</f>
        <v>19.99</v>
      </c>
      <c r="AB43" s="37">
        <f>SUMIFS('📋 Транзакції'!$F$5:$F$3623,'📋 Транзакції'!$B$5:$B$3623,A43,'📋 Транзакції'!$C$5:$C$3623,"&gt;="&amp;EDATE(DATEVALUE(C43&amp;"-01"),9),'📋 Транзакції'!$C$5:$C$3623,"&lt;"&amp;EDATE(DATEVALUE(C43&amp;"-01"),10))</f>
        <v>19.99</v>
      </c>
      <c r="AC43" s="37">
        <f>SUMIFS('📋 Транзакції'!$F$5:$F$3623,'📋 Транзакції'!$B$5:$B$3623,A43,'📋 Транзакції'!$C$5:$C$3623,"&gt;="&amp;EDATE(DATEVALUE(C43&amp;"-01"),10),'📋 Транзакції'!$C$5:$C$3623,"&lt;"&amp;EDATE(DATEVALUE(C43&amp;"-01"),11))</f>
        <v>19.99</v>
      </c>
      <c r="AD43" s="37">
        <f>SUMIFS('📋 Транзакції'!$F$5:$F$3623,'📋 Транзакції'!$B$5:$B$3623,A43,'📋 Транзакції'!$C$5:$C$3623,"&gt;="&amp;EDATE(DATEVALUE(C43&amp;"-01"),11),'📋 Транзакції'!$C$5:$C$3623,"&lt;"&amp;EDATE(DATEVALUE(C43&amp;"-01"),12))</f>
        <v>19.99</v>
      </c>
    </row>
    <row r="44" ht="15.75" customHeight="1">
      <c r="A44" s="33" t="str">
        <f>'📋 Реєстрації'!A44:A645</f>
        <v>U0529</v>
      </c>
      <c r="B44" s="34">
        <f t="array" ref="B44">INDEX('📋 Транзакції'!$C$5:$C$3623,MATCH(A44,'📋 Транзакції'!$B$5:$B$3623,0))</f>
        <v>45343</v>
      </c>
      <c r="C44" s="35" t="str">
        <f t="shared" si="1"/>
        <v>2024-02</v>
      </c>
      <c r="D44" s="36">
        <f>COUNTIF('📋 Транзакції'!$B$5:$B$3623,A44)</f>
        <v>15</v>
      </c>
      <c r="E44" s="36">
        <f>SUMIF('📋 Транзакції'!$B$5:$B$3623,A44,'📋 Транзакції'!$F$5:$F$3623)</f>
        <v>279.86</v>
      </c>
      <c r="F44" s="35">
        <f>INT($A$1-MAXIFS('📋 Транзакції'!$C$5:$C$3623,'📋 Транзакції'!$B$5:$B$3623,A44))</f>
        <v>7</v>
      </c>
      <c r="G44" s="37">
        <f>IF(COUNTIFS('📋 Транзакції'!$B$5:$B$3623,A44,'📋 Транзакції'!$C$5:$C$3623,"&gt;="&amp;EDATE(DATEVALUE(C44&amp;"-01"),0),'📋 Транзакції'!$C$5:$C$3623,"&lt;"&amp;EDATE(DATEVALUE(C44&amp;"-01"),1))&gt;0,1,0)</f>
        <v>1</v>
      </c>
      <c r="H44" s="37">
        <f>IF(COUNTIFS('📋 Транзакції'!$B$5:$B$3623,A44,'📋 Транзакції'!$C$5:$C$3623,"&gt;="&amp;EDATE(DATEVALUE(C44&amp;"-01"),1),'📋 Транзакції'!$C$5:$C$3623,"&lt;"&amp;EDATE(DATEVALUE(C44&amp;"-01"),2))&gt;0,1,0)</f>
        <v>1</v>
      </c>
      <c r="I44" s="37">
        <f>IF(COUNTIFS('📋 Транзакції'!$B$5:$B$3623,A44,'📋 Транзакції'!$C$5:$C$3623,"&gt;="&amp;EDATE(DATEVALUE(C44&amp;"-01"),2),'📋 Транзакції'!$C$5:$C$3623,"&lt;"&amp;EDATE(DATEVALUE(C44&amp;"-01"),3))&gt;0,1,0)</f>
        <v>1</v>
      </c>
      <c r="J44" s="37">
        <f>IF(COUNTIFS('📋 Транзакції'!$B$5:$B$3623,A44,'📋 Транзакції'!$C$5:$C$3623,"&gt;="&amp;EDATE(DATEVALUE(C44&amp;"-01"),3),'📋 Транзакції'!$C$5:$C$3623,"&lt;"&amp;EDATE(DATEVALUE(C44&amp;"-01"),4))&gt;0,1,0)</f>
        <v>1</v>
      </c>
      <c r="K44" s="37">
        <f>IF(COUNTIFS('📋 Транзакції'!$B$5:$B$3623,A44,'📋 Транзакції'!$C$5:$C$3623,"&gt;="&amp;EDATE(DATEVALUE(C44&amp;"-01"),4),'📋 Транзакції'!$C$5:$C$3623,"&lt;"&amp;EDATE(DATEVALUE(C44&amp;"-01"),5))&gt;0,1,0)</f>
        <v>1</v>
      </c>
      <c r="L44" s="37">
        <f>IF(COUNTIFS('📋 Транзакції'!$B$5:$B$3623,A44,'📋 Транзакції'!$C$5:$C$3623,"&gt;="&amp;EDATE(DATEVALUE(C44&amp;"-01"),5),'📋 Транзакції'!$C$5:$C$3623,"&lt;"&amp;EDATE(DATEVALUE(C44&amp;"-01"),6))&gt;0,1,0)</f>
        <v>1</v>
      </c>
      <c r="M44" s="37">
        <f>IF(COUNTIFS('📋 Транзакції'!$B$5:$B$3623,A44,'📋 Транзакції'!$C$5:$C$3623,"&gt;="&amp;EDATE(DATEVALUE(C44&amp;"-01"),6),'📋 Транзакції'!$C$5:$C$3623,"&lt;"&amp;EDATE(DATEVALUE(C44&amp;"-01"),7))&gt;0,1,0)</f>
        <v>1</v>
      </c>
      <c r="N44" s="37">
        <f>IF(COUNTIFS('📋 Транзакції'!$B$5:$B$3623,A44,'📋 Транзакції'!$C$5:$C$3623,"&gt;="&amp;EDATE(DATEVALUE(C44&amp;"-01"),7),'📋 Транзакції'!$C$5:$C$3623,"&lt;"&amp;EDATE(DATEVALUE(C44&amp;"-01"),8))&gt;0,1,0)</f>
        <v>1</v>
      </c>
      <c r="O44" s="37">
        <f>IF(COUNTIFS('📋 Транзакції'!$B$5:$B$3623,A44,'📋 Транзакції'!$C$5:$C$3623,"&gt;="&amp;EDATE(DATEVALUE(C44&amp;"-01"),8),'📋 Транзакції'!$C$5:$C$3623,"&lt;"&amp;EDATE(DATEVALUE(C44&amp;"-01"),9))&gt;0,1,0)</f>
        <v>1</v>
      </c>
      <c r="P44" s="37">
        <f>IF(COUNTIFS('📋 Транзакції'!$B$5:$B$3623,A44,'📋 Транзакції'!$C$5:$C$3623,"&gt;="&amp;EDATE(DATEVALUE(C44&amp;"-01"),9),'📋 Транзакції'!$C$5:$C$3623,"&lt;"&amp;EDATE(DATEVALUE(C44&amp;"-01"),10))&gt;0,1,0)</f>
        <v>1</v>
      </c>
      <c r="Q44" s="37">
        <f>IF(COUNTIFS('📋 Транзакції'!$B$5:$B$3623,A44,'📋 Транзакції'!$C$5:$C$3623,"&gt;="&amp;EDATE(DATEVALUE(C44&amp;"-01"),10),'📋 Транзакції'!$C$5:$C$3623,"&lt;"&amp;EDATE(DATEVALUE(C44&amp;"-01"),11))&gt;0,1,0)</f>
        <v>1</v>
      </c>
      <c r="R44" s="37">
        <f>IF(COUNTIFS('📋 Транзакції'!$B$5:$B$3623,A44,'📋 Транзакції'!$C$5:$C$3623,"&gt;="&amp;EDATE(DATEVALUE(C44&amp;"-01"),11),'📋 Транзакції'!$C$5:$C$3623,"&lt;"&amp;EDATE(DATEVALUE(C44&amp;"-01"),12))&gt;0,1,0)</f>
        <v>1</v>
      </c>
      <c r="S44" s="37">
        <f>SUMIFS('📋 Транзакції'!$F$5:$F$3623,'📋 Транзакції'!$B$5:$B$3623,A44,'📋 Транзакції'!$C$5:$C$3623,"&gt;="&amp;EDATE(DATEVALUE(C44&amp;"-01"),0),'📋 Транзакції'!$C$5:$C$3623,"&lt;"&amp;EDATE(DATEVALUE(C44&amp;"-01"),1))</f>
        <v>19.99</v>
      </c>
      <c r="T44" s="37">
        <f>SUMIFS('📋 Транзакції'!$F$5:$F$3623,'📋 Транзакції'!$B$5:$B$3623,A44,'📋 Транзакції'!$C$5:$C$3623,"&gt;="&amp;EDATE(DATEVALUE(C44&amp;"-01"),1),'📋 Транзакції'!$C$5:$C$3623,"&lt;"&amp;EDATE(DATEVALUE(C44&amp;"-01"),2))</f>
        <v>19.99</v>
      </c>
      <c r="U44" s="37">
        <f>SUMIFS('📋 Транзакції'!$F$5:$F$3623,'📋 Транзакції'!$B$5:$B$3623,A44,'📋 Транзакції'!$C$5:$C$3623,"&gt;="&amp;EDATE(DATEVALUE(C44&amp;"-01"),2),'📋 Транзакції'!$C$5:$C$3623,"&lt;"&amp;EDATE(DATEVALUE(C44&amp;"-01"),3))</f>
        <v>19.99</v>
      </c>
      <c r="V44" s="37">
        <f>SUMIFS('📋 Транзакції'!$F$5:$F$3623,'📋 Транзакції'!$B$5:$B$3623,A44,'📋 Транзакції'!$C$5:$C$3623,"&gt;="&amp;EDATE(DATEVALUE(C44&amp;"-01"),3),'📋 Транзакції'!$C$5:$C$3623,"&lt;"&amp;EDATE(DATEVALUE(C44&amp;"-01"),4))</f>
        <v>19.99</v>
      </c>
      <c r="W44" s="37">
        <f>SUMIFS('📋 Транзакції'!$F$5:$F$3623,'📋 Транзакції'!$B$5:$B$3623,A44,'📋 Транзакції'!$C$5:$C$3623,"&gt;="&amp;EDATE(DATEVALUE(C44&amp;"-01"),4),'📋 Транзакції'!$C$5:$C$3623,"&lt;"&amp;EDATE(DATEVALUE(C44&amp;"-01"),5))</f>
        <v>19.99</v>
      </c>
      <c r="X44" s="37">
        <f>SUMIFS('📋 Транзакції'!$F$5:$F$3623,'📋 Транзакції'!$B$5:$B$3623,A44,'📋 Транзакції'!$C$5:$C$3623,"&gt;="&amp;EDATE(DATEVALUE(C44&amp;"-01"),5),'📋 Транзакції'!$C$5:$C$3623,"&lt;"&amp;EDATE(DATEVALUE(C44&amp;"-01"),6))</f>
        <v>19.99</v>
      </c>
      <c r="Y44" s="37">
        <f>SUMIFS('📋 Транзакції'!$F$5:$F$3623,'📋 Транзакції'!$B$5:$B$3623,A44,'📋 Транзакції'!$C$5:$C$3623,"&gt;="&amp;EDATE(DATEVALUE(C44&amp;"-01"),6),'📋 Транзакції'!$C$5:$C$3623,"&lt;"&amp;EDATE(DATEVALUE(C44&amp;"-01"),7))</f>
        <v>19.99</v>
      </c>
      <c r="Z44" s="37">
        <f>SUMIFS('📋 Транзакції'!$F$5:$F$3623,'📋 Транзакції'!$B$5:$B$3623,A44,'📋 Транзакції'!$C$5:$C$3623,"&gt;="&amp;EDATE(DATEVALUE(C44&amp;"-01"),7),'📋 Транзакції'!$C$5:$C$3623,"&lt;"&amp;EDATE(DATEVALUE(C44&amp;"-01"),8))</f>
        <v>19.99</v>
      </c>
      <c r="AA44" s="37">
        <f>SUMIFS('📋 Транзакції'!$F$5:$F$3623,'📋 Транзакції'!$B$5:$B$3623,A44,'📋 Транзакції'!$C$5:$C$3623,"&gt;="&amp;EDATE(DATEVALUE(C44&amp;"-01"),8),'📋 Транзакції'!$C$5:$C$3623,"&lt;"&amp;EDATE(DATEVALUE(C44&amp;"-01"),9))</f>
        <v>19.99</v>
      </c>
      <c r="AB44" s="37">
        <f>SUMIFS('📋 Транзакції'!$F$5:$F$3623,'📋 Транзакції'!$B$5:$B$3623,A44,'📋 Транзакції'!$C$5:$C$3623,"&gt;="&amp;EDATE(DATEVALUE(C44&amp;"-01"),9),'📋 Транзакції'!$C$5:$C$3623,"&lt;"&amp;EDATE(DATEVALUE(C44&amp;"-01"),10))</f>
        <v>19.99</v>
      </c>
      <c r="AC44" s="37">
        <f>SUMIFS('📋 Транзакції'!$F$5:$F$3623,'📋 Транзакції'!$B$5:$B$3623,A44,'📋 Транзакції'!$C$5:$C$3623,"&gt;="&amp;EDATE(DATEVALUE(C44&amp;"-01"),10),'📋 Транзакції'!$C$5:$C$3623,"&lt;"&amp;EDATE(DATEVALUE(C44&amp;"-01"),11))</f>
        <v>19.99</v>
      </c>
      <c r="AD44" s="37">
        <f>SUMIFS('📋 Транзакції'!$F$5:$F$3623,'📋 Транзакції'!$B$5:$B$3623,A44,'📋 Транзакції'!$C$5:$C$3623,"&gt;="&amp;EDATE(DATEVALUE(C44&amp;"-01"),11),'📋 Транзакції'!$C$5:$C$3623,"&lt;"&amp;EDATE(DATEVALUE(C44&amp;"-01"),12))</f>
        <v>19.99</v>
      </c>
    </row>
    <row r="45" ht="15.75" customHeight="1">
      <c r="A45" s="33" t="str">
        <f>'📋 Реєстрації'!A45:A646</f>
        <v>U0149</v>
      </c>
      <c r="B45" s="34">
        <f t="array" ref="B45">INDEX('📋 Транзакції'!$C$5:$C$3623,MATCH(A45,'📋 Транзакції'!$B$5:$B$3623,0))</f>
        <v>45345</v>
      </c>
      <c r="C45" s="35" t="str">
        <f t="shared" si="1"/>
        <v>2024-02</v>
      </c>
      <c r="D45" s="36">
        <f>COUNTIF('📋 Транзакції'!$B$5:$B$3623,A45)</f>
        <v>15</v>
      </c>
      <c r="E45" s="36">
        <f>SUMIF('📋 Транзакції'!$B$5:$B$3623,A45,'📋 Транзакції'!$F$5:$F$3623)</f>
        <v>279.86</v>
      </c>
      <c r="F45" s="35">
        <f>INT($A$1-MAXIFS('📋 Транзакції'!$C$5:$C$3623,'📋 Транзакції'!$B$5:$B$3623,A45))</f>
        <v>5</v>
      </c>
      <c r="G45" s="37">
        <f>IF(COUNTIFS('📋 Транзакції'!$B$5:$B$3623,A45,'📋 Транзакції'!$C$5:$C$3623,"&gt;="&amp;EDATE(DATEVALUE(C45&amp;"-01"),0),'📋 Транзакції'!$C$5:$C$3623,"&lt;"&amp;EDATE(DATEVALUE(C45&amp;"-01"),1))&gt;0,1,0)</f>
        <v>1</v>
      </c>
      <c r="H45" s="37">
        <f>IF(COUNTIFS('📋 Транзакції'!$B$5:$B$3623,A45,'📋 Транзакції'!$C$5:$C$3623,"&gt;="&amp;EDATE(DATEVALUE(C45&amp;"-01"),1),'📋 Транзакції'!$C$5:$C$3623,"&lt;"&amp;EDATE(DATEVALUE(C45&amp;"-01"),2))&gt;0,1,0)</f>
        <v>1</v>
      </c>
      <c r="I45" s="37">
        <f>IF(COUNTIFS('📋 Транзакції'!$B$5:$B$3623,A45,'📋 Транзакції'!$C$5:$C$3623,"&gt;="&amp;EDATE(DATEVALUE(C45&amp;"-01"),2),'📋 Транзакції'!$C$5:$C$3623,"&lt;"&amp;EDATE(DATEVALUE(C45&amp;"-01"),3))&gt;0,1,0)</f>
        <v>1</v>
      </c>
      <c r="J45" s="37">
        <f>IF(COUNTIFS('📋 Транзакції'!$B$5:$B$3623,A45,'📋 Транзакції'!$C$5:$C$3623,"&gt;="&amp;EDATE(DATEVALUE(C45&amp;"-01"),3),'📋 Транзакції'!$C$5:$C$3623,"&lt;"&amp;EDATE(DATEVALUE(C45&amp;"-01"),4))&gt;0,1,0)</f>
        <v>1</v>
      </c>
      <c r="K45" s="37">
        <f>IF(COUNTIFS('📋 Транзакції'!$B$5:$B$3623,A45,'📋 Транзакції'!$C$5:$C$3623,"&gt;="&amp;EDATE(DATEVALUE(C45&amp;"-01"),4),'📋 Транзакції'!$C$5:$C$3623,"&lt;"&amp;EDATE(DATEVALUE(C45&amp;"-01"),5))&gt;0,1,0)</f>
        <v>1</v>
      </c>
      <c r="L45" s="37">
        <f>IF(COUNTIFS('📋 Транзакції'!$B$5:$B$3623,A45,'📋 Транзакції'!$C$5:$C$3623,"&gt;="&amp;EDATE(DATEVALUE(C45&amp;"-01"),5),'📋 Транзакції'!$C$5:$C$3623,"&lt;"&amp;EDATE(DATEVALUE(C45&amp;"-01"),6))&gt;0,1,0)</f>
        <v>1</v>
      </c>
      <c r="M45" s="37">
        <f>IF(COUNTIFS('📋 Транзакції'!$B$5:$B$3623,A45,'📋 Транзакції'!$C$5:$C$3623,"&gt;="&amp;EDATE(DATEVALUE(C45&amp;"-01"),6),'📋 Транзакції'!$C$5:$C$3623,"&lt;"&amp;EDATE(DATEVALUE(C45&amp;"-01"),7))&gt;0,1,0)</f>
        <v>1</v>
      </c>
      <c r="N45" s="37">
        <f>IF(COUNTIFS('📋 Транзакції'!$B$5:$B$3623,A45,'📋 Транзакції'!$C$5:$C$3623,"&gt;="&amp;EDATE(DATEVALUE(C45&amp;"-01"),7),'📋 Транзакції'!$C$5:$C$3623,"&lt;"&amp;EDATE(DATEVALUE(C45&amp;"-01"),8))&gt;0,1,0)</f>
        <v>1</v>
      </c>
      <c r="O45" s="37">
        <f>IF(COUNTIFS('📋 Транзакції'!$B$5:$B$3623,A45,'📋 Транзакції'!$C$5:$C$3623,"&gt;="&amp;EDATE(DATEVALUE(C45&amp;"-01"),8),'📋 Транзакції'!$C$5:$C$3623,"&lt;"&amp;EDATE(DATEVALUE(C45&amp;"-01"),9))&gt;0,1,0)</f>
        <v>1</v>
      </c>
      <c r="P45" s="37">
        <f>IF(COUNTIFS('📋 Транзакції'!$B$5:$B$3623,A45,'📋 Транзакції'!$C$5:$C$3623,"&gt;="&amp;EDATE(DATEVALUE(C45&amp;"-01"),9),'📋 Транзакції'!$C$5:$C$3623,"&lt;"&amp;EDATE(DATEVALUE(C45&amp;"-01"),10))&gt;0,1,0)</f>
        <v>1</v>
      </c>
      <c r="Q45" s="37">
        <f>IF(COUNTIFS('📋 Транзакції'!$B$5:$B$3623,A45,'📋 Транзакції'!$C$5:$C$3623,"&gt;="&amp;EDATE(DATEVALUE(C45&amp;"-01"),10),'📋 Транзакції'!$C$5:$C$3623,"&lt;"&amp;EDATE(DATEVALUE(C45&amp;"-01"),11))&gt;0,1,0)</f>
        <v>1</v>
      </c>
      <c r="R45" s="37">
        <f>IF(COUNTIFS('📋 Транзакції'!$B$5:$B$3623,A45,'📋 Транзакції'!$C$5:$C$3623,"&gt;="&amp;EDATE(DATEVALUE(C45&amp;"-01"),11),'📋 Транзакції'!$C$5:$C$3623,"&lt;"&amp;EDATE(DATEVALUE(C45&amp;"-01"),12))&gt;0,1,0)</f>
        <v>1</v>
      </c>
      <c r="S45" s="37">
        <f>SUMIFS('📋 Транзакції'!$F$5:$F$3623,'📋 Транзакції'!$B$5:$B$3623,A45,'📋 Транзакції'!$C$5:$C$3623,"&gt;="&amp;EDATE(DATEVALUE(C45&amp;"-01"),0),'📋 Транзакції'!$C$5:$C$3623,"&lt;"&amp;EDATE(DATEVALUE(C45&amp;"-01"),1))</f>
        <v>0</v>
      </c>
      <c r="T45" s="37">
        <f>SUMIFS('📋 Транзакції'!$F$5:$F$3623,'📋 Транзакції'!$B$5:$B$3623,A45,'📋 Транзакції'!$C$5:$C$3623,"&gt;="&amp;EDATE(DATEVALUE(C45&amp;"-01"),1),'📋 Транзакції'!$C$5:$C$3623,"&lt;"&amp;EDATE(DATEVALUE(C45&amp;"-01"),2))</f>
        <v>39.98</v>
      </c>
      <c r="U45" s="37">
        <f>SUMIFS('📋 Транзакції'!$F$5:$F$3623,'📋 Транзакції'!$B$5:$B$3623,A45,'📋 Транзакції'!$C$5:$C$3623,"&gt;="&amp;EDATE(DATEVALUE(C45&amp;"-01"),2),'📋 Транзакції'!$C$5:$C$3623,"&lt;"&amp;EDATE(DATEVALUE(C45&amp;"-01"),3))</f>
        <v>19.99</v>
      </c>
      <c r="V45" s="37">
        <f>SUMIFS('📋 Транзакції'!$F$5:$F$3623,'📋 Транзакції'!$B$5:$B$3623,A45,'📋 Транзакції'!$C$5:$C$3623,"&gt;="&amp;EDATE(DATEVALUE(C45&amp;"-01"),3),'📋 Транзакції'!$C$5:$C$3623,"&lt;"&amp;EDATE(DATEVALUE(C45&amp;"-01"),4))</f>
        <v>19.99</v>
      </c>
      <c r="W45" s="37">
        <f>SUMIFS('📋 Транзакції'!$F$5:$F$3623,'📋 Транзакції'!$B$5:$B$3623,A45,'📋 Транзакції'!$C$5:$C$3623,"&gt;="&amp;EDATE(DATEVALUE(C45&amp;"-01"),4),'📋 Транзакції'!$C$5:$C$3623,"&lt;"&amp;EDATE(DATEVALUE(C45&amp;"-01"),5))</f>
        <v>19.99</v>
      </c>
      <c r="X45" s="37">
        <f>SUMIFS('📋 Транзакції'!$F$5:$F$3623,'📋 Транзакції'!$B$5:$B$3623,A45,'📋 Транзакції'!$C$5:$C$3623,"&gt;="&amp;EDATE(DATEVALUE(C45&amp;"-01"),5),'📋 Транзакції'!$C$5:$C$3623,"&lt;"&amp;EDATE(DATEVALUE(C45&amp;"-01"),6))</f>
        <v>19.99</v>
      </c>
      <c r="Y45" s="37">
        <f>SUMIFS('📋 Транзакції'!$F$5:$F$3623,'📋 Транзакції'!$B$5:$B$3623,A45,'📋 Транзакції'!$C$5:$C$3623,"&gt;="&amp;EDATE(DATEVALUE(C45&amp;"-01"),6),'📋 Транзакції'!$C$5:$C$3623,"&lt;"&amp;EDATE(DATEVALUE(C45&amp;"-01"),7))</f>
        <v>19.99</v>
      </c>
      <c r="Z45" s="37">
        <f>SUMIFS('📋 Транзакції'!$F$5:$F$3623,'📋 Транзакції'!$B$5:$B$3623,A45,'📋 Транзакції'!$C$5:$C$3623,"&gt;="&amp;EDATE(DATEVALUE(C45&amp;"-01"),7),'📋 Транзакції'!$C$5:$C$3623,"&lt;"&amp;EDATE(DATEVALUE(C45&amp;"-01"),8))</f>
        <v>19.99</v>
      </c>
      <c r="AA45" s="37">
        <f>SUMIFS('📋 Транзакції'!$F$5:$F$3623,'📋 Транзакції'!$B$5:$B$3623,A45,'📋 Транзакції'!$C$5:$C$3623,"&gt;="&amp;EDATE(DATEVALUE(C45&amp;"-01"),8),'📋 Транзакції'!$C$5:$C$3623,"&lt;"&amp;EDATE(DATEVALUE(C45&amp;"-01"),9))</f>
        <v>19.99</v>
      </c>
      <c r="AB45" s="37">
        <f>SUMIFS('📋 Транзакції'!$F$5:$F$3623,'📋 Транзакції'!$B$5:$B$3623,A45,'📋 Транзакції'!$C$5:$C$3623,"&gt;="&amp;EDATE(DATEVALUE(C45&amp;"-01"),9),'📋 Транзакції'!$C$5:$C$3623,"&lt;"&amp;EDATE(DATEVALUE(C45&amp;"-01"),10))</f>
        <v>19.99</v>
      </c>
      <c r="AC45" s="37">
        <f>SUMIFS('📋 Транзакції'!$F$5:$F$3623,'📋 Транзакції'!$B$5:$B$3623,A45,'📋 Транзакції'!$C$5:$C$3623,"&gt;="&amp;EDATE(DATEVALUE(C45&amp;"-01"),10),'📋 Транзакції'!$C$5:$C$3623,"&lt;"&amp;EDATE(DATEVALUE(C45&amp;"-01"),11))</f>
        <v>19.99</v>
      </c>
      <c r="AD45" s="37">
        <f>SUMIFS('📋 Транзакції'!$F$5:$F$3623,'📋 Транзакції'!$B$5:$B$3623,A45,'📋 Транзакції'!$C$5:$C$3623,"&gt;="&amp;EDATE(DATEVALUE(C45&amp;"-01"),11),'📋 Транзакції'!$C$5:$C$3623,"&lt;"&amp;EDATE(DATEVALUE(C45&amp;"-01"),12))</f>
        <v>19.99</v>
      </c>
    </row>
    <row r="46" ht="15.75" customHeight="1">
      <c r="A46" s="33" t="str">
        <f>'📋 Реєстрації'!A46:A647</f>
        <v>U0857</v>
      </c>
      <c r="B46" s="34">
        <f t="array" ref="B46">INDEX('📋 Транзакції'!$C$5:$C$3623,MATCH(A46,'📋 Транзакції'!$B$5:$B$3623,0))</f>
        <v>45347</v>
      </c>
      <c r="C46" s="35" t="str">
        <f t="shared" si="1"/>
        <v>2024-02</v>
      </c>
      <c r="D46" s="36">
        <f>COUNTIF('📋 Транзакції'!$B$5:$B$3623,A46)</f>
        <v>4</v>
      </c>
      <c r="E46" s="36">
        <f>SUMIF('📋 Транзакції'!$B$5:$B$3623,A46,'📋 Транзакції'!$F$5:$F$3623)</f>
        <v>59.97</v>
      </c>
      <c r="F46" s="35">
        <f>INT($A$1-MAXIFS('📋 Транзакції'!$C$5:$C$3623,'📋 Транзакції'!$B$5:$B$3623,A46))</f>
        <v>333</v>
      </c>
      <c r="G46" s="37">
        <f>IF(COUNTIFS('📋 Транзакції'!$B$5:$B$3623,A46,'📋 Транзакції'!$C$5:$C$3623,"&gt;="&amp;EDATE(DATEVALUE(C46&amp;"-01"),0),'📋 Транзакції'!$C$5:$C$3623,"&lt;"&amp;EDATE(DATEVALUE(C46&amp;"-01"),1))&gt;0,1,0)</f>
        <v>1</v>
      </c>
      <c r="H46" s="37">
        <f>IF(COUNTIFS('📋 Транзакції'!$B$5:$B$3623,A46,'📋 Транзакції'!$C$5:$C$3623,"&gt;="&amp;EDATE(DATEVALUE(C46&amp;"-01"),1),'📋 Транзакції'!$C$5:$C$3623,"&lt;"&amp;EDATE(DATEVALUE(C46&amp;"-01"),2))&gt;0,1,0)</f>
        <v>1</v>
      </c>
      <c r="I46" s="37">
        <f>IF(COUNTIFS('📋 Транзакції'!$B$5:$B$3623,A46,'📋 Транзакції'!$C$5:$C$3623,"&gt;="&amp;EDATE(DATEVALUE(C46&amp;"-01"),2),'📋 Транзакції'!$C$5:$C$3623,"&lt;"&amp;EDATE(DATEVALUE(C46&amp;"-01"),3))&gt;0,1,0)</f>
        <v>1</v>
      </c>
      <c r="J46" s="37">
        <f>IF(COUNTIFS('📋 Транзакції'!$B$5:$B$3623,A46,'📋 Транзакції'!$C$5:$C$3623,"&gt;="&amp;EDATE(DATEVALUE(C46&amp;"-01"),3),'📋 Транзакції'!$C$5:$C$3623,"&lt;"&amp;EDATE(DATEVALUE(C46&amp;"-01"),4))&gt;0,1,0)</f>
        <v>1</v>
      </c>
      <c r="K46" s="37">
        <f>IF(COUNTIFS('📋 Транзакції'!$B$5:$B$3623,A46,'📋 Транзакції'!$C$5:$C$3623,"&gt;="&amp;EDATE(DATEVALUE(C46&amp;"-01"),4),'📋 Транзакції'!$C$5:$C$3623,"&lt;"&amp;EDATE(DATEVALUE(C46&amp;"-01"),5))&gt;0,1,0)</f>
        <v>0</v>
      </c>
      <c r="L46" s="37">
        <f>IF(COUNTIFS('📋 Транзакції'!$B$5:$B$3623,A46,'📋 Транзакції'!$C$5:$C$3623,"&gt;="&amp;EDATE(DATEVALUE(C46&amp;"-01"),5),'📋 Транзакції'!$C$5:$C$3623,"&lt;"&amp;EDATE(DATEVALUE(C46&amp;"-01"),6))&gt;0,1,0)</f>
        <v>0</v>
      </c>
      <c r="M46" s="37">
        <f>IF(COUNTIFS('📋 Транзакції'!$B$5:$B$3623,A46,'📋 Транзакції'!$C$5:$C$3623,"&gt;="&amp;EDATE(DATEVALUE(C46&amp;"-01"),6),'📋 Транзакції'!$C$5:$C$3623,"&lt;"&amp;EDATE(DATEVALUE(C46&amp;"-01"),7))&gt;0,1,0)</f>
        <v>0</v>
      </c>
      <c r="N46" s="37">
        <f>IF(COUNTIFS('📋 Транзакції'!$B$5:$B$3623,A46,'📋 Транзакції'!$C$5:$C$3623,"&gt;="&amp;EDATE(DATEVALUE(C46&amp;"-01"),7),'📋 Транзакції'!$C$5:$C$3623,"&lt;"&amp;EDATE(DATEVALUE(C46&amp;"-01"),8))&gt;0,1,0)</f>
        <v>0</v>
      </c>
      <c r="O46" s="37">
        <f>IF(COUNTIFS('📋 Транзакції'!$B$5:$B$3623,A46,'📋 Транзакції'!$C$5:$C$3623,"&gt;="&amp;EDATE(DATEVALUE(C46&amp;"-01"),8),'📋 Транзакції'!$C$5:$C$3623,"&lt;"&amp;EDATE(DATEVALUE(C46&amp;"-01"),9))&gt;0,1,0)</f>
        <v>0</v>
      </c>
      <c r="P46" s="37">
        <f>IF(COUNTIFS('📋 Транзакції'!$B$5:$B$3623,A46,'📋 Транзакції'!$C$5:$C$3623,"&gt;="&amp;EDATE(DATEVALUE(C46&amp;"-01"),9),'📋 Транзакції'!$C$5:$C$3623,"&lt;"&amp;EDATE(DATEVALUE(C46&amp;"-01"),10))&gt;0,1,0)</f>
        <v>0</v>
      </c>
      <c r="Q46" s="37">
        <f>IF(COUNTIFS('📋 Транзакції'!$B$5:$B$3623,A46,'📋 Транзакції'!$C$5:$C$3623,"&gt;="&amp;EDATE(DATEVALUE(C46&amp;"-01"),10),'📋 Транзакції'!$C$5:$C$3623,"&lt;"&amp;EDATE(DATEVALUE(C46&amp;"-01"),11))&gt;0,1,0)</f>
        <v>0</v>
      </c>
      <c r="R46" s="37">
        <f>IF(COUNTIFS('📋 Транзакції'!$B$5:$B$3623,A46,'📋 Транзакції'!$C$5:$C$3623,"&gt;="&amp;EDATE(DATEVALUE(C46&amp;"-01"),11),'📋 Транзакції'!$C$5:$C$3623,"&lt;"&amp;EDATE(DATEVALUE(C46&amp;"-01"),12))&gt;0,1,0)</f>
        <v>0</v>
      </c>
      <c r="S46" s="37">
        <f>SUMIFS('📋 Транзакції'!$F$5:$F$3623,'📋 Транзакції'!$B$5:$B$3623,A46,'📋 Транзакції'!$C$5:$C$3623,"&gt;="&amp;EDATE(DATEVALUE(C46&amp;"-01"),0),'📋 Транзакції'!$C$5:$C$3623,"&lt;"&amp;EDATE(DATEVALUE(C46&amp;"-01"),1))</f>
        <v>0</v>
      </c>
      <c r="T46" s="37">
        <f>SUMIFS('📋 Транзакції'!$F$5:$F$3623,'📋 Транзакції'!$B$5:$B$3623,A46,'📋 Транзакції'!$C$5:$C$3623,"&gt;="&amp;EDATE(DATEVALUE(C46&amp;"-01"),1),'📋 Транзакції'!$C$5:$C$3623,"&lt;"&amp;EDATE(DATEVALUE(C46&amp;"-01"),2))</f>
        <v>19.99</v>
      </c>
      <c r="U46" s="37">
        <f>SUMIFS('📋 Транзакції'!$F$5:$F$3623,'📋 Транзакції'!$B$5:$B$3623,A46,'📋 Транзакції'!$C$5:$C$3623,"&gt;="&amp;EDATE(DATEVALUE(C46&amp;"-01"),2),'📋 Транзакції'!$C$5:$C$3623,"&lt;"&amp;EDATE(DATEVALUE(C46&amp;"-01"),3))</f>
        <v>19.99</v>
      </c>
      <c r="V46" s="37">
        <f>SUMIFS('📋 Транзакції'!$F$5:$F$3623,'📋 Транзакції'!$B$5:$B$3623,A46,'📋 Транзакції'!$C$5:$C$3623,"&gt;="&amp;EDATE(DATEVALUE(C46&amp;"-01"),3),'📋 Транзакції'!$C$5:$C$3623,"&lt;"&amp;EDATE(DATEVALUE(C46&amp;"-01"),4))</f>
        <v>19.99</v>
      </c>
      <c r="W46" s="37">
        <f>SUMIFS('📋 Транзакції'!$F$5:$F$3623,'📋 Транзакції'!$B$5:$B$3623,A46,'📋 Транзакції'!$C$5:$C$3623,"&gt;="&amp;EDATE(DATEVALUE(C46&amp;"-01"),4),'📋 Транзакції'!$C$5:$C$3623,"&lt;"&amp;EDATE(DATEVALUE(C46&amp;"-01"),5))</f>
        <v>0</v>
      </c>
      <c r="X46" s="37">
        <f>SUMIFS('📋 Транзакції'!$F$5:$F$3623,'📋 Транзакції'!$B$5:$B$3623,A46,'📋 Транзакції'!$C$5:$C$3623,"&gt;="&amp;EDATE(DATEVALUE(C46&amp;"-01"),5),'📋 Транзакції'!$C$5:$C$3623,"&lt;"&amp;EDATE(DATEVALUE(C46&amp;"-01"),6))</f>
        <v>0</v>
      </c>
      <c r="Y46" s="37">
        <f>SUMIFS('📋 Транзакції'!$F$5:$F$3623,'📋 Транзакції'!$B$5:$B$3623,A46,'📋 Транзакції'!$C$5:$C$3623,"&gt;="&amp;EDATE(DATEVALUE(C46&amp;"-01"),6),'📋 Транзакції'!$C$5:$C$3623,"&lt;"&amp;EDATE(DATEVALUE(C46&amp;"-01"),7))</f>
        <v>0</v>
      </c>
      <c r="Z46" s="37">
        <f>SUMIFS('📋 Транзакції'!$F$5:$F$3623,'📋 Транзакції'!$B$5:$B$3623,A46,'📋 Транзакції'!$C$5:$C$3623,"&gt;="&amp;EDATE(DATEVALUE(C46&amp;"-01"),7),'📋 Транзакції'!$C$5:$C$3623,"&lt;"&amp;EDATE(DATEVALUE(C46&amp;"-01"),8))</f>
        <v>0</v>
      </c>
      <c r="AA46" s="37">
        <f>SUMIFS('📋 Транзакції'!$F$5:$F$3623,'📋 Транзакції'!$B$5:$B$3623,A46,'📋 Транзакції'!$C$5:$C$3623,"&gt;="&amp;EDATE(DATEVALUE(C46&amp;"-01"),8),'📋 Транзакції'!$C$5:$C$3623,"&lt;"&amp;EDATE(DATEVALUE(C46&amp;"-01"),9))</f>
        <v>0</v>
      </c>
      <c r="AB46" s="37">
        <f>SUMIFS('📋 Транзакції'!$F$5:$F$3623,'📋 Транзакції'!$B$5:$B$3623,A46,'📋 Транзакції'!$C$5:$C$3623,"&gt;="&amp;EDATE(DATEVALUE(C46&amp;"-01"),9),'📋 Транзакції'!$C$5:$C$3623,"&lt;"&amp;EDATE(DATEVALUE(C46&amp;"-01"),10))</f>
        <v>0</v>
      </c>
      <c r="AC46" s="37">
        <f>SUMIFS('📋 Транзакції'!$F$5:$F$3623,'📋 Транзакції'!$B$5:$B$3623,A46,'📋 Транзакції'!$C$5:$C$3623,"&gt;="&amp;EDATE(DATEVALUE(C46&amp;"-01"),10),'📋 Транзакції'!$C$5:$C$3623,"&lt;"&amp;EDATE(DATEVALUE(C46&amp;"-01"),11))</f>
        <v>0</v>
      </c>
      <c r="AD46" s="37">
        <f>SUMIFS('📋 Транзакції'!$F$5:$F$3623,'📋 Транзакції'!$B$5:$B$3623,A46,'📋 Транзакції'!$C$5:$C$3623,"&gt;="&amp;EDATE(DATEVALUE(C46&amp;"-01"),11),'📋 Транзакції'!$C$5:$C$3623,"&lt;"&amp;EDATE(DATEVALUE(C46&amp;"-01"),12))</f>
        <v>0</v>
      </c>
    </row>
    <row r="47" ht="15.75" customHeight="1">
      <c r="A47" s="33" t="str">
        <f>'📋 Реєстрації'!A47:A648</f>
        <v>U0336</v>
      </c>
      <c r="B47" s="34">
        <f t="array" ref="B47">INDEX('📋 Транзакції'!$C$5:$C$3623,MATCH(A47,'📋 Транзакції'!$B$5:$B$3623,0))</f>
        <v>45348</v>
      </c>
      <c r="C47" s="35" t="str">
        <f t="shared" si="1"/>
        <v>2024-02</v>
      </c>
      <c r="D47" s="36">
        <f>COUNTIF('📋 Транзакції'!$B$5:$B$3623,A47)</f>
        <v>15</v>
      </c>
      <c r="E47" s="36">
        <f>SUMIF('📋 Транзакції'!$B$5:$B$3623,A47,'📋 Транзакції'!$F$5:$F$3623)</f>
        <v>279.86</v>
      </c>
      <c r="F47" s="35">
        <f>INT($A$1-MAXIFS('📋 Транзакції'!$C$5:$C$3623,'📋 Транзакції'!$B$5:$B$3623,A47))</f>
        <v>2</v>
      </c>
      <c r="G47" s="37">
        <f>IF(COUNTIFS('📋 Транзакції'!$B$5:$B$3623,A47,'📋 Транзакції'!$C$5:$C$3623,"&gt;="&amp;EDATE(DATEVALUE(C47&amp;"-01"),0),'📋 Транзакції'!$C$5:$C$3623,"&lt;"&amp;EDATE(DATEVALUE(C47&amp;"-01"),1))&gt;0,1,0)</f>
        <v>1</v>
      </c>
      <c r="H47" s="37">
        <f>IF(COUNTIFS('📋 Транзакції'!$B$5:$B$3623,A47,'📋 Транзакції'!$C$5:$C$3623,"&gt;="&amp;EDATE(DATEVALUE(C47&amp;"-01"),1),'📋 Транзакції'!$C$5:$C$3623,"&lt;"&amp;EDATE(DATEVALUE(C47&amp;"-01"),2))&gt;0,1,0)</f>
        <v>1</v>
      </c>
      <c r="I47" s="37">
        <f>IF(COUNTIFS('📋 Транзакції'!$B$5:$B$3623,A47,'📋 Транзакції'!$C$5:$C$3623,"&gt;="&amp;EDATE(DATEVALUE(C47&amp;"-01"),2),'📋 Транзакції'!$C$5:$C$3623,"&lt;"&amp;EDATE(DATEVALUE(C47&amp;"-01"),3))&gt;0,1,0)</f>
        <v>1</v>
      </c>
      <c r="J47" s="37">
        <f>IF(COUNTIFS('📋 Транзакції'!$B$5:$B$3623,A47,'📋 Транзакції'!$C$5:$C$3623,"&gt;="&amp;EDATE(DATEVALUE(C47&amp;"-01"),3),'📋 Транзакції'!$C$5:$C$3623,"&lt;"&amp;EDATE(DATEVALUE(C47&amp;"-01"),4))&gt;0,1,0)</f>
        <v>1</v>
      </c>
      <c r="K47" s="37">
        <f>IF(COUNTIFS('📋 Транзакції'!$B$5:$B$3623,A47,'📋 Транзакції'!$C$5:$C$3623,"&gt;="&amp;EDATE(DATEVALUE(C47&amp;"-01"),4),'📋 Транзакції'!$C$5:$C$3623,"&lt;"&amp;EDATE(DATEVALUE(C47&amp;"-01"),5))&gt;0,1,0)</f>
        <v>1</v>
      </c>
      <c r="L47" s="37">
        <f>IF(COUNTIFS('📋 Транзакції'!$B$5:$B$3623,A47,'📋 Транзакції'!$C$5:$C$3623,"&gt;="&amp;EDATE(DATEVALUE(C47&amp;"-01"),5),'📋 Транзакції'!$C$5:$C$3623,"&lt;"&amp;EDATE(DATEVALUE(C47&amp;"-01"),6))&gt;0,1,0)</f>
        <v>1</v>
      </c>
      <c r="M47" s="37">
        <f>IF(COUNTIFS('📋 Транзакції'!$B$5:$B$3623,A47,'📋 Транзакції'!$C$5:$C$3623,"&gt;="&amp;EDATE(DATEVALUE(C47&amp;"-01"),6),'📋 Транзакції'!$C$5:$C$3623,"&lt;"&amp;EDATE(DATEVALUE(C47&amp;"-01"),7))&gt;0,1,0)</f>
        <v>1</v>
      </c>
      <c r="N47" s="37">
        <f>IF(COUNTIFS('📋 Транзакції'!$B$5:$B$3623,A47,'📋 Транзакції'!$C$5:$C$3623,"&gt;="&amp;EDATE(DATEVALUE(C47&amp;"-01"),7),'📋 Транзакції'!$C$5:$C$3623,"&lt;"&amp;EDATE(DATEVALUE(C47&amp;"-01"),8))&gt;0,1,0)</f>
        <v>1</v>
      </c>
      <c r="O47" s="37">
        <f>IF(COUNTIFS('📋 Транзакції'!$B$5:$B$3623,A47,'📋 Транзакції'!$C$5:$C$3623,"&gt;="&amp;EDATE(DATEVALUE(C47&amp;"-01"),8),'📋 Транзакції'!$C$5:$C$3623,"&lt;"&amp;EDATE(DATEVALUE(C47&amp;"-01"),9))&gt;0,1,0)</f>
        <v>1</v>
      </c>
      <c r="P47" s="37">
        <f>IF(COUNTIFS('📋 Транзакції'!$B$5:$B$3623,A47,'📋 Транзакції'!$C$5:$C$3623,"&gt;="&amp;EDATE(DATEVALUE(C47&amp;"-01"),9),'📋 Транзакції'!$C$5:$C$3623,"&lt;"&amp;EDATE(DATEVALUE(C47&amp;"-01"),10))&gt;0,1,0)</f>
        <v>1</v>
      </c>
      <c r="Q47" s="37">
        <f>IF(COUNTIFS('📋 Транзакції'!$B$5:$B$3623,A47,'📋 Транзакції'!$C$5:$C$3623,"&gt;="&amp;EDATE(DATEVALUE(C47&amp;"-01"),10),'📋 Транзакції'!$C$5:$C$3623,"&lt;"&amp;EDATE(DATEVALUE(C47&amp;"-01"),11))&gt;0,1,0)</f>
        <v>1</v>
      </c>
      <c r="R47" s="37">
        <f>IF(COUNTIFS('📋 Транзакції'!$B$5:$B$3623,A47,'📋 Транзакції'!$C$5:$C$3623,"&gt;="&amp;EDATE(DATEVALUE(C47&amp;"-01"),11),'📋 Транзакції'!$C$5:$C$3623,"&lt;"&amp;EDATE(DATEVALUE(C47&amp;"-01"),12))&gt;0,1,0)</f>
        <v>1</v>
      </c>
      <c r="S47" s="37">
        <f>SUMIFS('📋 Транзакції'!$F$5:$F$3623,'📋 Транзакції'!$B$5:$B$3623,A47,'📋 Транзакції'!$C$5:$C$3623,"&gt;="&amp;EDATE(DATEVALUE(C47&amp;"-01"),0),'📋 Транзакції'!$C$5:$C$3623,"&lt;"&amp;EDATE(DATEVALUE(C47&amp;"-01"),1))</f>
        <v>0</v>
      </c>
      <c r="T47" s="37">
        <f>SUMIFS('📋 Транзакції'!$F$5:$F$3623,'📋 Транзакції'!$B$5:$B$3623,A47,'📋 Транзакції'!$C$5:$C$3623,"&gt;="&amp;EDATE(DATEVALUE(C47&amp;"-01"),1),'📋 Транзакції'!$C$5:$C$3623,"&lt;"&amp;EDATE(DATEVALUE(C47&amp;"-01"),2))</f>
        <v>19.99</v>
      </c>
      <c r="U47" s="37">
        <f>SUMIFS('📋 Транзакції'!$F$5:$F$3623,'📋 Транзакції'!$B$5:$B$3623,A47,'📋 Транзакції'!$C$5:$C$3623,"&gt;="&amp;EDATE(DATEVALUE(C47&amp;"-01"),2),'📋 Транзакції'!$C$5:$C$3623,"&lt;"&amp;EDATE(DATEVALUE(C47&amp;"-01"),3))</f>
        <v>19.99</v>
      </c>
      <c r="V47" s="37">
        <f>SUMIFS('📋 Транзакції'!$F$5:$F$3623,'📋 Транзакції'!$B$5:$B$3623,A47,'📋 Транзакції'!$C$5:$C$3623,"&gt;="&amp;EDATE(DATEVALUE(C47&amp;"-01"),3),'📋 Транзакції'!$C$5:$C$3623,"&lt;"&amp;EDATE(DATEVALUE(C47&amp;"-01"),4))</f>
        <v>19.99</v>
      </c>
      <c r="W47" s="37">
        <f>SUMIFS('📋 Транзакції'!$F$5:$F$3623,'📋 Транзакції'!$B$5:$B$3623,A47,'📋 Транзакції'!$C$5:$C$3623,"&gt;="&amp;EDATE(DATEVALUE(C47&amp;"-01"),4),'📋 Транзакції'!$C$5:$C$3623,"&lt;"&amp;EDATE(DATEVALUE(C47&amp;"-01"),5))</f>
        <v>19.99</v>
      </c>
      <c r="X47" s="37">
        <f>SUMIFS('📋 Транзакції'!$F$5:$F$3623,'📋 Транзакції'!$B$5:$B$3623,A47,'📋 Транзакції'!$C$5:$C$3623,"&gt;="&amp;EDATE(DATEVALUE(C47&amp;"-01"),5),'📋 Транзакції'!$C$5:$C$3623,"&lt;"&amp;EDATE(DATEVALUE(C47&amp;"-01"),6))</f>
        <v>19.99</v>
      </c>
      <c r="Y47" s="37">
        <f>SUMIFS('📋 Транзакції'!$F$5:$F$3623,'📋 Транзакції'!$B$5:$B$3623,A47,'📋 Транзакції'!$C$5:$C$3623,"&gt;="&amp;EDATE(DATEVALUE(C47&amp;"-01"),6),'📋 Транзакції'!$C$5:$C$3623,"&lt;"&amp;EDATE(DATEVALUE(C47&amp;"-01"),7))</f>
        <v>39.98</v>
      </c>
      <c r="Z47" s="37">
        <f>SUMIFS('📋 Транзакції'!$F$5:$F$3623,'📋 Транзакції'!$B$5:$B$3623,A47,'📋 Транзакції'!$C$5:$C$3623,"&gt;="&amp;EDATE(DATEVALUE(C47&amp;"-01"),7),'📋 Транзакції'!$C$5:$C$3623,"&lt;"&amp;EDATE(DATEVALUE(C47&amp;"-01"),8))</f>
        <v>19.99</v>
      </c>
      <c r="AA47" s="37">
        <f>SUMIFS('📋 Транзакції'!$F$5:$F$3623,'📋 Транзакції'!$B$5:$B$3623,A47,'📋 Транзакції'!$C$5:$C$3623,"&gt;="&amp;EDATE(DATEVALUE(C47&amp;"-01"),8),'📋 Транзакції'!$C$5:$C$3623,"&lt;"&amp;EDATE(DATEVALUE(C47&amp;"-01"),9))</f>
        <v>19.99</v>
      </c>
      <c r="AB47" s="37">
        <f>SUMIFS('📋 Транзакції'!$F$5:$F$3623,'📋 Транзакції'!$B$5:$B$3623,A47,'📋 Транзакції'!$C$5:$C$3623,"&gt;="&amp;EDATE(DATEVALUE(C47&amp;"-01"),9),'📋 Транзакції'!$C$5:$C$3623,"&lt;"&amp;EDATE(DATEVALUE(C47&amp;"-01"),10))</f>
        <v>19.99</v>
      </c>
      <c r="AC47" s="37">
        <f>SUMIFS('📋 Транзакції'!$F$5:$F$3623,'📋 Транзакції'!$B$5:$B$3623,A47,'📋 Транзакції'!$C$5:$C$3623,"&gt;="&amp;EDATE(DATEVALUE(C47&amp;"-01"),10),'📋 Транзакції'!$C$5:$C$3623,"&lt;"&amp;EDATE(DATEVALUE(C47&amp;"-01"),11))</f>
        <v>19.99</v>
      </c>
      <c r="AD47" s="37">
        <f>SUMIFS('📋 Транзакції'!$F$5:$F$3623,'📋 Транзакції'!$B$5:$B$3623,A47,'📋 Транзакції'!$C$5:$C$3623,"&gt;="&amp;EDATE(DATEVALUE(C47&amp;"-01"),11),'📋 Транзакції'!$C$5:$C$3623,"&lt;"&amp;EDATE(DATEVALUE(C47&amp;"-01"),12))</f>
        <v>19.99</v>
      </c>
    </row>
    <row r="48" ht="15.75" customHeight="1">
      <c r="A48" s="33" t="str">
        <f>'📋 Реєстрації'!A48:A649</f>
        <v>U0473</v>
      </c>
      <c r="B48" s="34">
        <f t="array" ref="B48">INDEX('📋 Транзакції'!$C$5:$C$3623,MATCH(A48,'📋 Транзакції'!$B$5:$B$3623,0))</f>
        <v>45348</v>
      </c>
      <c r="C48" s="35" t="str">
        <f t="shared" si="1"/>
        <v>2024-02</v>
      </c>
      <c r="D48" s="36">
        <f>COUNTIF('📋 Транзакції'!$B$5:$B$3623,A48)</f>
        <v>2</v>
      </c>
      <c r="E48" s="36">
        <f>SUMIF('📋 Транзакції'!$B$5:$B$3623,A48,'📋 Транзакції'!$F$5:$F$3623)</f>
        <v>19.99</v>
      </c>
      <c r="F48" s="35">
        <f>INT($A$1-MAXIFS('📋 Транзакції'!$C$5:$C$3623,'📋 Транзакції'!$B$5:$B$3623,A48))</f>
        <v>392</v>
      </c>
      <c r="G48" s="37">
        <f>IF(COUNTIFS('📋 Транзакції'!$B$5:$B$3623,A48,'📋 Транзакції'!$C$5:$C$3623,"&gt;="&amp;EDATE(DATEVALUE(C48&amp;"-01"),0),'📋 Транзакції'!$C$5:$C$3623,"&lt;"&amp;EDATE(DATEVALUE(C48&amp;"-01"),1))&gt;0,1,0)</f>
        <v>1</v>
      </c>
      <c r="H48" s="37">
        <f>IF(COUNTIFS('📋 Транзакції'!$B$5:$B$3623,A48,'📋 Транзакції'!$C$5:$C$3623,"&gt;="&amp;EDATE(DATEVALUE(C48&amp;"-01"),1),'📋 Транзакції'!$C$5:$C$3623,"&lt;"&amp;EDATE(DATEVALUE(C48&amp;"-01"),2))&gt;0,1,0)</f>
        <v>1</v>
      </c>
      <c r="I48" s="37">
        <f>IF(COUNTIFS('📋 Транзакції'!$B$5:$B$3623,A48,'📋 Транзакції'!$C$5:$C$3623,"&gt;="&amp;EDATE(DATEVALUE(C48&amp;"-01"),2),'📋 Транзакції'!$C$5:$C$3623,"&lt;"&amp;EDATE(DATEVALUE(C48&amp;"-01"),3))&gt;0,1,0)</f>
        <v>0</v>
      </c>
      <c r="J48" s="37">
        <f>IF(COUNTIFS('📋 Транзакції'!$B$5:$B$3623,A48,'📋 Транзакції'!$C$5:$C$3623,"&gt;="&amp;EDATE(DATEVALUE(C48&amp;"-01"),3),'📋 Транзакції'!$C$5:$C$3623,"&lt;"&amp;EDATE(DATEVALUE(C48&amp;"-01"),4))&gt;0,1,0)</f>
        <v>0</v>
      </c>
      <c r="K48" s="37">
        <f>IF(COUNTIFS('📋 Транзакції'!$B$5:$B$3623,A48,'📋 Транзакції'!$C$5:$C$3623,"&gt;="&amp;EDATE(DATEVALUE(C48&amp;"-01"),4),'📋 Транзакції'!$C$5:$C$3623,"&lt;"&amp;EDATE(DATEVALUE(C48&amp;"-01"),5))&gt;0,1,0)</f>
        <v>0</v>
      </c>
      <c r="L48" s="37">
        <f>IF(COUNTIFS('📋 Транзакції'!$B$5:$B$3623,A48,'📋 Транзакції'!$C$5:$C$3623,"&gt;="&amp;EDATE(DATEVALUE(C48&amp;"-01"),5),'📋 Транзакції'!$C$5:$C$3623,"&lt;"&amp;EDATE(DATEVALUE(C48&amp;"-01"),6))&gt;0,1,0)</f>
        <v>0</v>
      </c>
      <c r="M48" s="37">
        <f>IF(COUNTIFS('📋 Транзакції'!$B$5:$B$3623,A48,'📋 Транзакції'!$C$5:$C$3623,"&gt;="&amp;EDATE(DATEVALUE(C48&amp;"-01"),6),'📋 Транзакції'!$C$5:$C$3623,"&lt;"&amp;EDATE(DATEVALUE(C48&amp;"-01"),7))&gt;0,1,0)</f>
        <v>0</v>
      </c>
      <c r="N48" s="37">
        <f>IF(COUNTIFS('📋 Транзакції'!$B$5:$B$3623,A48,'📋 Транзакції'!$C$5:$C$3623,"&gt;="&amp;EDATE(DATEVALUE(C48&amp;"-01"),7),'📋 Транзакції'!$C$5:$C$3623,"&lt;"&amp;EDATE(DATEVALUE(C48&amp;"-01"),8))&gt;0,1,0)</f>
        <v>0</v>
      </c>
      <c r="O48" s="37">
        <f>IF(COUNTIFS('📋 Транзакції'!$B$5:$B$3623,A48,'📋 Транзакції'!$C$5:$C$3623,"&gt;="&amp;EDATE(DATEVALUE(C48&amp;"-01"),8),'📋 Транзакції'!$C$5:$C$3623,"&lt;"&amp;EDATE(DATEVALUE(C48&amp;"-01"),9))&gt;0,1,0)</f>
        <v>0</v>
      </c>
      <c r="P48" s="37">
        <f>IF(COUNTIFS('📋 Транзакції'!$B$5:$B$3623,A48,'📋 Транзакції'!$C$5:$C$3623,"&gt;="&amp;EDATE(DATEVALUE(C48&amp;"-01"),9),'📋 Транзакції'!$C$5:$C$3623,"&lt;"&amp;EDATE(DATEVALUE(C48&amp;"-01"),10))&gt;0,1,0)</f>
        <v>0</v>
      </c>
      <c r="Q48" s="37">
        <f>IF(COUNTIFS('📋 Транзакції'!$B$5:$B$3623,A48,'📋 Транзакції'!$C$5:$C$3623,"&gt;="&amp;EDATE(DATEVALUE(C48&amp;"-01"),10),'📋 Транзакції'!$C$5:$C$3623,"&lt;"&amp;EDATE(DATEVALUE(C48&amp;"-01"),11))&gt;0,1,0)</f>
        <v>0</v>
      </c>
      <c r="R48" s="37">
        <f>IF(COUNTIFS('📋 Транзакції'!$B$5:$B$3623,A48,'📋 Транзакції'!$C$5:$C$3623,"&gt;="&amp;EDATE(DATEVALUE(C48&amp;"-01"),11),'📋 Транзакції'!$C$5:$C$3623,"&lt;"&amp;EDATE(DATEVALUE(C48&amp;"-01"),12))&gt;0,1,0)</f>
        <v>0</v>
      </c>
      <c r="S48" s="37">
        <f>SUMIFS('📋 Транзакції'!$F$5:$F$3623,'📋 Транзакції'!$B$5:$B$3623,A48,'📋 Транзакції'!$C$5:$C$3623,"&gt;="&amp;EDATE(DATEVALUE(C48&amp;"-01"),0),'📋 Транзакції'!$C$5:$C$3623,"&lt;"&amp;EDATE(DATEVALUE(C48&amp;"-01"),1))</f>
        <v>0</v>
      </c>
      <c r="T48" s="37">
        <f>SUMIFS('📋 Транзакції'!$F$5:$F$3623,'📋 Транзакції'!$B$5:$B$3623,A48,'📋 Транзакції'!$C$5:$C$3623,"&gt;="&amp;EDATE(DATEVALUE(C48&amp;"-01"),1),'📋 Транзакції'!$C$5:$C$3623,"&lt;"&amp;EDATE(DATEVALUE(C48&amp;"-01"),2))</f>
        <v>19.99</v>
      </c>
      <c r="U48" s="37">
        <f>SUMIFS('📋 Транзакції'!$F$5:$F$3623,'📋 Транзакції'!$B$5:$B$3623,A48,'📋 Транзакції'!$C$5:$C$3623,"&gt;="&amp;EDATE(DATEVALUE(C48&amp;"-01"),2),'📋 Транзакції'!$C$5:$C$3623,"&lt;"&amp;EDATE(DATEVALUE(C48&amp;"-01"),3))</f>
        <v>0</v>
      </c>
      <c r="V48" s="37">
        <f>SUMIFS('📋 Транзакції'!$F$5:$F$3623,'📋 Транзакції'!$B$5:$B$3623,A48,'📋 Транзакції'!$C$5:$C$3623,"&gt;="&amp;EDATE(DATEVALUE(C48&amp;"-01"),3),'📋 Транзакції'!$C$5:$C$3623,"&lt;"&amp;EDATE(DATEVALUE(C48&amp;"-01"),4))</f>
        <v>0</v>
      </c>
      <c r="W48" s="37">
        <f>SUMIFS('📋 Транзакції'!$F$5:$F$3623,'📋 Транзакції'!$B$5:$B$3623,A48,'📋 Транзакції'!$C$5:$C$3623,"&gt;="&amp;EDATE(DATEVALUE(C48&amp;"-01"),4),'📋 Транзакції'!$C$5:$C$3623,"&lt;"&amp;EDATE(DATEVALUE(C48&amp;"-01"),5))</f>
        <v>0</v>
      </c>
      <c r="X48" s="37">
        <f>SUMIFS('📋 Транзакції'!$F$5:$F$3623,'📋 Транзакції'!$B$5:$B$3623,A48,'📋 Транзакції'!$C$5:$C$3623,"&gt;="&amp;EDATE(DATEVALUE(C48&amp;"-01"),5),'📋 Транзакції'!$C$5:$C$3623,"&lt;"&amp;EDATE(DATEVALUE(C48&amp;"-01"),6))</f>
        <v>0</v>
      </c>
      <c r="Y48" s="37">
        <f>SUMIFS('📋 Транзакції'!$F$5:$F$3623,'📋 Транзакції'!$B$5:$B$3623,A48,'📋 Транзакції'!$C$5:$C$3623,"&gt;="&amp;EDATE(DATEVALUE(C48&amp;"-01"),6),'📋 Транзакції'!$C$5:$C$3623,"&lt;"&amp;EDATE(DATEVALUE(C48&amp;"-01"),7))</f>
        <v>0</v>
      </c>
      <c r="Z48" s="37">
        <f>SUMIFS('📋 Транзакції'!$F$5:$F$3623,'📋 Транзакції'!$B$5:$B$3623,A48,'📋 Транзакції'!$C$5:$C$3623,"&gt;="&amp;EDATE(DATEVALUE(C48&amp;"-01"),7),'📋 Транзакції'!$C$5:$C$3623,"&lt;"&amp;EDATE(DATEVALUE(C48&amp;"-01"),8))</f>
        <v>0</v>
      </c>
      <c r="AA48" s="37">
        <f>SUMIFS('📋 Транзакції'!$F$5:$F$3623,'📋 Транзакції'!$B$5:$B$3623,A48,'📋 Транзакції'!$C$5:$C$3623,"&gt;="&amp;EDATE(DATEVALUE(C48&amp;"-01"),8),'📋 Транзакції'!$C$5:$C$3623,"&lt;"&amp;EDATE(DATEVALUE(C48&amp;"-01"),9))</f>
        <v>0</v>
      </c>
      <c r="AB48" s="37">
        <f>SUMIFS('📋 Транзакції'!$F$5:$F$3623,'📋 Транзакції'!$B$5:$B$3623,A48,'📋 Транзакції'!$C$5:$C$3623,"&gt;="&amp;EDATE(DATEVALUE(C48&amp;"-01"),9),'📋 Транзакції'!$C$5:$C$3623,"&lt;"&amp;EDATE(DATEVALUE(C48&amp;"-01"),10))</f>
        <v>0</v>
      </c>
      <c r="AC48" s="37">
        <f>SUMIFS('📋 Транзакції'!$F$5:$F$3623,'📋 Транзакції'!$B$5:$B$3623,A48,'📋 Транзакції'!$C$5:$C$3623,"&gt;="&amp;EDATE(DATEVALUE(C48&amp;"-01"),10),'📋 Транзакції'!$C$5:$C$3623,"&lt;"&amp;EDATE(DATEVALUE(C48&amp;"-01"),11))</f>
        <v>0</v>
      </c>
      <c r="AD48" s="37">
        <f>SUMIFS('📋 Транзакції'!$F$5:$F$3623,'📋 Транзакції'!$B$5:$B$3623,A48,'📋 Транзакції'!$C$5:$C$3623,"&gt;="&amp;EDATE(DATEVALUE(C48&amp;"-01"),11),'📋 Транзакції'!$C$5:$C$3623,"&lt;"&amp;EDATE(DATEVALUE(C48&amp;"-01"),12))</f>
        <v>0</v>
      </c>
    </row>
    <row r="49" ht="15.75" customHeight="1">
      <c r="A49" s="33" t="str">
        <f>'📋 Реєстрації'!A49:A650</f>
        <v>U0375</v>
      </c>
      <c r="B49" s="34">
        <f t="array" ref="B49">INDEX('📋 Транзакції'!$C$5:$C$3623,MATCH(A49,'📋 Транзакції'!$B$5:$B$3623,0))</f>
        <v>45349</v>
      </c>
      <c r="C49" s="35" t="str">
        <f t="shared" si="1"/>
        <v>2024-02</v>
      </c>
      <c r="D49" s="36">
        <f>COUNTIF('📋 Транзакції'!$B$5:$B$3623,A49)</f>
        <v>15</v>
      </c>
      <c r="E49" s="36">
        <f>SUMIF('📋 Транзакції'!$B$5:$B$3623,A49,'📋 Транзакції'!$F$5:$F$3623)</f>
        <v>279.86</v>
      </c>
      <c r="F49" s="35">
        <f>INT($A$1-MAXIFS('📋 Транзакції'!$C$5:$C$3623,'📋 Транзакції'!$B$5:$B$3623,A49))</f>
        <v>1</v>
      </c>
      <c r="G49" s="37">
        <f>IF(COUNTIFS('📋 Транзакції'!$B$5:$B$3623,A49,'📋 Транзакції'!$C$5:$C$3623,"&gt;="&amp;EDATE(DATEVALUE(C49&amp;"-01"),0),'📋 Транзакції'!$C$5:$C$3623,"&lt;"&amp;EDATE(DATEVALUE(C49&amp;"-01"),1))&gt;0,1,0)</f>
        <v>1</v>
      </c>
      <c r="H49" s="37">
        <f>IF(COUNTIFS('📋 Транзакції'!$B$5:$B$3623,A49,'📋 Транзакції'!$C$5:$C$3623,"&gt;="&amp;EDATE(DATEVALUE(C49&amp;"-01"),1),'📋 Транзакції'!$C$5:$C$3623,"&lt;"&amp;EDATE(DATEVALUE(C49&amp;"-01"),2))&gt;0,1,0)</f>
        <v>1</v>
      </c>
      <c r="I49" s="37">
        <f>IF(COUNTIFS('📋 Транзакції'!$B$5:$B$3623,A49,'📋 Транзакції'!$C$5:$C$3623,"&gt;="&amp;EDATE(DATEVALUE(C49&amp;"-01"),2),'📋 Транзакції'!$C$5:$C$3623,"&lt;"&amp;EDATE(DATEVALUE(C49&amp;"-01"),3))&gt;0,1,0)</f>
        <v>1</v>
      </c>
      <c r="J49" s="37">
        <f>IF(COUNTIFS('📋 Транзакції'!$B$5:$B$3623,A49,'📋 Транзакції'!$C$5:$C$3623,"&gt;="&amp;EDATE(DATEVALUE(C49&amp;"-01"),3),'📋 Транзакції'!$C$5:$C$3623,"&lt;"&amp;EDATE(DATEVALUE(C49&amp;"-01"),4))&gt;0,1,0)</f>
        <v>1</v>
      </c>
      <c r="K49" s="37">
        <f>IF(COUNTIFS('📋 Транзакції'!$B$5:$B$3623,A49,'📋 Транзакції'!$C$5:$C$3623,"&gt;="&amp;EDATE(DATEVALUE(C49&amp;"-01"),4),'📋 Транзакції'!$C$5:$C$3623,"&lt;"&amp;EDATE(DATEVALUE(C49&amp;"-01"),5))&gt;0,1,0)</f>
        <v>1</v>
      </c>
      <c r="L49" s="37">
        <f>IF(COUNTIFS('📋 Транзакції'!$B$5:$B$3623,A49,'📋 Транзакції'!$C$5:$C$3623,"&gt;="&amp;EDATE(DATEVALUE(C49&amp;"-01"),5),'📋 Транзакції'!$C$5:$C$3623,"&lt;"&amp;EDATE(DATEVALUE(C49&amp;"-01"),6))&gt;0,1,0)</f>
        <v>1</v>
      </c>
      <c r="M49" s="37">
        <f>IF(COUNTIFS('📋 Транзакції'!$B$5:$B$3623,A49,'📋 Транзакції'!$C$5:$C$3623,"&gt;="&amp;EDATE(DATEVALUE(C49&amp;"-01"),6),'📋 Транзакції'!$C$5:$C$3623,"&lt;"&amp;EDATE(DATEVALUE(C49&amp;"-01"),7))&gt;0,1,0)</f>
        <v>1</v>
      </c>
      <c r="N49" s="37">
        <f>IF(COUNTIFS('📋 Транзакції'!$B$5:$B$3623,A49,'📋 Транзакції'!$C$5:$C$3623,"&gt;="&amp;EDATE(DATEVALUE(C49&amp;"-01"),7),'📋 Транзакції'!$C$5:$C$3623,"&lt;"&amp;EDATE(DATEVALUE(C49&amp;"-01"),8))&gt;0,1,0)</f>
        <v>1</v>
      </c>
      <c r="O49" s="37">
        <f>IF(COUNTIFS('📋 Транзакції'!$B$5:$B$3623,A49,'📋 Транзакції'!$C$5:$C$3623,"&gt;="&amp;EDATE(DATEVALUE(C49&amp;"-01"),8),'📋 Транзакції'!$C$5:$C$3623,"&lt;"&amp;EDATE(DATEVALUE(C49&amp;"-01"),9))&gt;0,1,0)</f>
        <v>1</v>
      </c>
      <c r="P49" s="37">
        <f>IF(COUNTIFS('📋 Транзакції'!$B$5:$B$3623,A49,'📋 Транзакції'!$C$5:$C$3623,"&gt;="&amp;EDATE(DATEVALUE(C49&amp;"-01"),9),'📋 Транзакції'!$C$5:$C$3623,"&lt;"&amp;EDATE(DATEVALUE(C49&amp;"-01"),10))&gt;0,1,0)</f>
        <v>1</v>
      </c>
      <c r="Q49" s="37">
        <f>IF(COUNTIFS('📋 Транзакції'!$B$5:$B$3623,A49,'📋 Транзакції'!$C$5:$C$3623,"&gt;="&amp;EDATE(DATEVALUE(C49&amp;"-01"),10),'📋 Транзакції'!$C$5:$C$3623,"&lt;"&amp;EDATE(DATEVALUE(C49&amp;"-01"),11))&gt;0,1,0)</f>
        <v>1</v>
      </c>
      <c r="R49" s="37">
        <f>IF(COUNTIFS('📋 Транзакції'!$B$5:$B$3623,A49,'📋 Транзакції'!$C$5:$C$3623,"&gt;="&amp;EDATE(DATEVALUE(C49&amp;"-01"),11),'📋 Транзакції'!$C$5:$C$3623,"&lt;"&amp;EDATE(DATEVALUE(C49&amp;"-01"),12))&gt;0,1,0)</f>
        <v>1</v>
      </c>
      <c r="S49" s="37">
        <f>SUMIFS('📋 Транзакції'!$F$5:$F$3623,'📋 Транзакції'!$B$5:$B$3623,A49,'📋 Транзакції'!$C$5:$C$3623,"&gt;="&amp;EDATE(DATEVALUE(C49&amp;"-01"),0),'📋 Транзакції'!$C$5:$C$3623,"&lt;"&amp;EDATE(DATEVALUE(C49&amp;"-01"),1))</f>
        <v>0</v>
      </c>
      <c r="T49" s="37">
        <f>SUMIFS('📋 Транзакції'!$F$5:$F$3623,'📋 Транзакції'!$B$5:$B$3623,A49,'📋 Транзакції'!$C$5:$C$3623,"&gt;="&amp;EDATE(DATEVALUE(C49&amp;"-01"),1),'📋 Транзакції'!$C$5:$C$3623,"&lt;"&amp;EDATE(DATEVALUE(C49&amp;"-01"),2))</f>
        <v>19.99</v>
      </c>
      <c r="U49" s="37">
        <f>SUMIFS('📋 Транзакції'!$F$5:$F$3623,'📋 Транзакції'!$B$5:$B$3623,A49,'📋 Транзакції'!$C$5:$C$3623,"&gt;="&amp;EDATE(DATEVALUE(C49&amp;"-01"),2),'📋 Транзакції'!$C$5:$C$3623,"&lt;"&amp;EDATE(DATEVALUE(C49&amp;"-01"),3))</f>
        <v>19.99</v>
      </c>
      <c r="V49" s="37">
        <f>SUMIFS('📋 Транзакції'!$F$5:$F$3623,'📋 Транзакції'!$B$5:$B$3623,A49,'📋 Транзакції'!$C$5:$C$3623,"&gt;="&amp;EDATE(DATEVALUE(C49&amp;"-01"),3),'📋 Транзакції'!$C$5:$C$3623,"&lt;"&amp;EDATE(DATEVALUE(C49&amp;"-01"),4))</f>
        <v>19.99</v>
      </c>
      <c r="W49" s="37">
        <f>SUMIFS('📋 Транзакції'!$F$5:$F$3623,'📋 Транзакції'!$B$5:$B$3623,A49,'📋 Транзакції'!$C$5:$C$3623,"&gt;="&amp;EDATE(DATEVALUE(C49&amp;"-01"),4),'📋 Транзакції'!$C$5:$C$3623,"&lt;"&amp;EDATE(DATEVALUE(C49&amp;"-01"),5))</f>
        <v>19.99</v>
      </c>
      <c r="X49" s="37">
        <f>SUMIFS('📋 Транзакції'!$F$5:$F$3623,'📋 Транзакції'!$B$5:$B$3623,A49,'📋 Транзакції'!$C$5:$C$3623,"&gt;="&amp;EDATE(DATEVALUE(C49&amp;"-01"),5),'📋 Транзакції'!$C$5:$C$3623,"&lt;"&amp;EDATE(DATEVALUE(C49&amp;"-01"),6))</f>
        <v>19.99</v>
      </c>
      <c r="Y49" s="37">
        <f>SUMIFS('📋 Транзакції'!$F$5:$F$3623,'📋 Транзакції'!$B$5:$B$3623,A49,'📋 Транзакції'!$C$5:$C$3623,"&gt;="&amp;EDATE(DATEVALUE(C49&amp;"-01"),6),'📋 Транзакції'!$C$5:$C$3623,"&lt;"&amp;EDATE(DATEVALUE(C49&amp;"-01"),7))</f>
        <v>19.99</v>
      </c>
      <c r="Z49" s="37">
        <f>SUMIFS('📋 Транзакції'!$F$5:$F$3623,'📋 Транзакції'!$B$5:$B$3623,A49,'📋 Транзакції'!$C$5:$C$3623,"&gt;="&amp;EDATE(DATEVALUE(C49&amp;"-01"),7),'📋 Транзакції'!$C$5:$C$3623,"&lt;"&amp;EDATE(DATEVALUE(C49&amp;"-01"),8))</f>
        <v>19.99</v>
      </c>
      <c r="AA49" s="37">
        <f>SUMIFS('📋 Транзакції'!$F$5:$F$3623,'📋 Транзакції'!$B$5:$B$3623,A49,'📋 Транзакції'!$C$5:$C$3623,"&gt;="&amp;EDATE(DATEVALUE(C49&amp;"-01"),8),'📋 Транзакції'!$C$5:$C$3623,"&lt;"&amp;EDATE(DATEVALUE(C49&amp;"-01"),9))</f>
        <v>39.98</v>
      </c>
      <c r="AB49" s="37">
        <f>SUMIFS('📋 Транзакції'!$F$5:$F$3623,'📋 Транзакції'!$B$5:$B$3623,A49,'📋 Транзакції'!$C$5:$C$3623,"&gt;="&amp;EDATE(DATEVALUE(C49&amp;"-01"),9),'📋 Транзакції'!$C$5:$C$3623,"&lt;"&amp;EDATE(DATEVALUE(C49&amp;"-01"),10))</f>
        <v>19.99</v>
      </c>
      <c r="AC49" s="37">
        <f>SUMIFS('📋 Транзакції'!$F$5:$F$3623,'📋 Транзакції'!$B$5:$B$3623,A49,'📋 Транзакції'!$C$5:$C$3623,"&gt;="&amp;EDATE(DATEVALUE(C49&amp;"-01"),10),'📋 Транзакції'!$C$5:$C$3623,"&lt;"&amp;EDATE(DATEVALUE(C49&amp;"-01"),11))</f>
        <v>19.99</v>
      </c>
      <c r="AD49" s="37">
        <f>SUMIFS('📋 Транзакції'!$F$5:$F$3623,'📋 Транзакції'!$B$5:$B$3623,A49,'📋 Транзакції'!$C$5:$C$3623,"&gt;="&amp;EDATE(DATEVALUE(C49&amp;"-01"),11),'📋 Транзакції'!$C$5:$C$3623,"&lt;"&amp;EDATE(DATEVALUE(C49&amp;"-01"),12))</f>
        <v>19.99</v>
      </c>
    </row>
    <row r="50" ht="15.75" customHeight="1">
      <c r="A50" s="33" t="str">
        <f>'📋 Реєстрації'!A50:A651</f>
        <v>U0723</v>
      </c>
      <c r="B50" s="34">
        <f t="array" ref="B50">INDEX('📋 Транзакції'!$C$5:$C$3623,MATCH(A50,'📋 Транзакції'!$B$5:$B$3623,0))</f>
        <v>45349</v>
      </c>
      <c r="C50" s="35" t="str">
        <f t="shared" si="1"/>
        <v>2024-02</v>
      </c>
      <c r="D50" s="36">
        <f>COUNTIF('📋 Транзакції'!$B$5:$B$3623,A50)</f>
        <v>15</v>
      </c>
      <c r="E50" s="36">
        <f>SUMIF('📋 Транзакції'!$B$5:$B$3623,A50,'📋 Транзакції'!$F$5:$F$3623)</f>
        <v>279.86</v>
      </c>
      <c r="F50" s="35">
        <f>INT($A$1-MAXIFS('📋 Транзакції'!$C$5:$C$3623,'📋 Транзакції'!$B$5:$B$3623,A50))</f>
        <v>1</v>
      </c>
      <c r="G50" s="37">
        <f>IF(COUNTIFS('📋 Транзакції'!$B$5:$B$3623,A50,'📋 Транзакції'!$C$5:$C$3623,"&gt;="&amp;EDATE(DATEVALUE(C50&amp;"-01"),0),'📋 Транзакції'!$C$5:$C$3623,"&lt;"&amp;EDATE(DATEVALUE(C50&amp;"-01"),1))&gt;0,1,0)</f>
        <v>1</v>
      </c>
      <c r="H50" s="37">
        <f>IF(COUNTIFS('📋 Транзакції'!$B$5:$B$3623,A50,'📋 Транзакції'!$C$5:$C$3623,"&gt;="&amp;EDATE(DATEVALUE(C50&amp;"-01"),1),'📋 Транзакції'!$C$5:$C$3623,"&lt;"&amp;EDATE(DATEVALUE(C50&amp;"-01"),2))&gt;0,1,0)</f>
        <v>1</v>
      </c>
      <c r="I50" s="37">
        <f>IF(COUNTIFS('📋 Транзакції'!$B$5:$B$3623,A50,'📋 Транзакції'!$C$5:$C$3623,"&gt;="&amp;EDATE(DATEVALUE(C50&amp;"-01"),2),'📋 Транзакції'!$C$5:$C$3623,"&lt;"&amp;EDATE(DATEVALUE(C50&amp;"-01"),3))&gt;0,1,0)</f>
        <v>1</v>
      </c>
      <c r="J50" s="37">
        <f>IF(COUNTIFS('📋 Транзакції'!$B$5:$B$3623,A50,'📋 Транзакції'!$C$5:$C$3623,"&gt;="&amp;EDATE(DATEVALUE(C50&amp;"-01"),3),'📋 Транзакції'!$C$5:$C$3623,"&lt;"&amp;EDATE(DATEVALUE(C50&amp;"-01"),4))&gt;0,1,0)</f>
        <v>1</v>
      </c>
      <c r="K50" s="37">
        <f>IF(COUNTIFS('📋 Транзакції'!$B$5:$B$3623,A50,'📋 Транзакції'!$C$5:$C$3623,"&gt;="&amp;EDATE(DATEVALUE(C50&amp;"-01"),4),'📋 Транзакції'!$C$5:$C$3623,"&lt;"&amp;EDATE(DATEVALUE(C50&amp;"-01"),5))&gt;0,1,0)</f>
        <v>1</v>
      </c>
      <c r="L50" s="37">
        <f>IF(COUNTIFS('📋 Транзакції'!$B$5:$B$3623,A50,'📋 Транзакції'!$C$5:$C$3623,"&gt;="&amp;EDATE(DATEVALUE(C50&amp;"-01"),5),'📋 Транзакції'!$C$5:$C$3623,"&lt;"&amp;EDATE(DATEVALUE(C50&amp;"-01"),6))&gt;0,1,0)</f>
        <v>1</v>
      </c>
      <c r="M50" s="37">
        <f>IF(COUNTIFS('📋 Транзакції'!$B$5:$B$3623,A50,'📋 Транзакції'!$C$5:$C$3623,"&gt;="&amp;EDATE(DATEVALUE(C50&amp;"-01"),6),'📋 Транзакції'!$C$5:$C$3623,"&lt;"&amp;EDATE(DATEVALUE(C50&amp;"-01"),7))&gt;0,1,0)</f>
        <v>1</v>
      </c>
      <c r="N50" s="37">
        <f>IF(COUNTIFS('📋 Транзакції'!$B$5:$B$3623,A50,'📋 Транзакції'!$C$5:$C$3623,"&gt;="&amp;EDATE(DATEVALUE(C50&amp;"-01"),7),'📋 Транзакції'!$C$5:$C$3623,"&lt;"&amp;EDATE(DATEVALUE(C50&amp;"-01"),8))&gt;0,1,0)</f>
        <v>1</v>
      </c>
      <c r="O50" s="37">
        <f>IF(COUNTIFS('📋 Транзакції'!$B$5:$B$3623,A50,'📋 Транзакції'!$C$5:$C$3623,"&gt;="&amp;EDATE(DATEVALUE(C50&amp;"-01"),8),'📋 Транзакції'!$C$5:$C$3623,"&lt;"&amp;EDATE(DATEVALUE(C50&amp;"-01"),9))&gt;0,1,0)</f>
        <v>1</v>
      </c>
      <c r="P50" s="37">
        <f>IF(COUNTIFS('📋 Транзакції'!$B$5:$B$3623,A50,'📋 Транзакції'!$C$5:$C$3623,"&gt;="&amp;EDATE(DATEVALUE(C50&amp;"-01"),9),'📋 Транзакції'!$C$5:$C$3623,"&lt;"&amp;EDATE(DATEVALUE(C50&amp;"-01"),10))&gt;0,1,0)</f>
        <v>1</v>
      </c>
      <c r="Q50" s="37">
        <f>IF(COUNTIFS('📋 Транзакції'!$B$5:$B$3623,A50,'📋 Транзакції'!$C$5:$C$3623,"&gt;="&amp;EDATE(DATEVALUE(C50&amp;"-01"),10),'📋 Транзакції'!$C$5:$C$3623,"&lt;"&amp;EDATE(DATEVALUE(C50&amp;"-01"),11))&gt;0,1,0)</f>
        <v>1</v>
      </c>
      <c r="R50" s="37">
        <f>IF(COUNTIFS('📋 Транзакції'!$B$5:$B$3623,A50,'📋 Транзакції'!$C$5:$C$3623,"&gt;="&amp;EDATE(DATEVALUE(C50&amp;"-01"),11),'📋 Транзакції'!$C$5:$C$3623,"&lt;"&amp;EDATE(DATEVALUE(C50&amp;"-01"),12))&gt;0,1,0)</f>
        <v>1</v>
      </c>
      <c r="S50" s="37">
        <f>SUMIFS('📋 Транзакції'!$F$5:$F$3623,'📋 Транзакції'!$B$5:$B$3623,A50,'📋 Транзакції'!$C$5:$C$3623,"&gt;="&amp;EDATE(DATEVALUE(C50&amp;"-01"),0),'📋 Транзакції'!$C$5:$C$3623,"&lt;"&amp;EDATE(DATEVALUE(C50&amp;"-01"),1))</f>
        <v>0</v>
      </c>
      <c r="T50" s="37">
        <f>SUMIFS('📋 Транзакції'!$F$5:$F$3623,'📋 Транзакції'!$B$5:$B$3623,A50,'📋 Транзакції'!$C$5:$C$3623,"&gt;="&amp;EDATE(DATEVALUE(C50&amp;"-01"),1),'📋 Транзакції'!$C$5:$C$3623,"&lt;"&amp;EDATE(DATEVALUE(C50&amp;"-01"),2))</f>
        <v>19.99</v>
      </c>
      <c r="U50" s="37">
        <f>SUMIFS('📋 Транзакції'!$F$5:$F$3623,'📋 Транзакції'!$B$5:$B$3623,A50,'📋 Транзакції'!$C$5:$C$3623,"&gt;="&amp;EDATE(DATEVALUE(C50&amp;"-01"),2),'📋 Транзакції'!$C$5:$C$3623,"&lt;"&amp;EDATE(DATEVALUE(C50&amp;"-01"),3))</f>
        <v>19.99</v>
      </c>
      <c r="V50" s="37">
        <f>SUMIFS('📋 Транзакції'!$F$5:$F$3623,'📋 Транзакції'!$B$5:$B$3623,A50,'📋 Транзакції'!$C$5:$C$3623,"&gt;="&amp;EDATE(DATEVALUE(C50&amp;"-01"),3),'📋 Транзакції'!$C$5:$C$3623,"&lt;"&amp;EDATE(DATEVALUE(C50&amp;"-01"),4))</f>
        <v>19.99</v>
      </c>
      <c r="W50" s="37">
        <f>SUMIFS('📋 Транзакції'!$F$5:$F$3623,'📋 Транзакції'!$B$5:$B$3623,A50,'📋 Транзакції'!$C$5:$C$3623,"&gt;="&amp;EDATE(DATEVALUE(C50&amp;"-01"),4),'📋 Транзакції'!$C$5:$C$3623,"&lt;"&amp;EDATE(DATEVALUE(C50&amp;"-01"),5))</f>
        <v>19.99</v>
      </c>
      <c r="X50" s="37">
        <f>SUMIFS('📋 Транзакції'!$F$5:$F$3623,'📋 Транзакції'!$B$5:$B$3623,A50,'📋 Транзакції'!$C$5:$C$3623,"&gt;="&amp;EDATE(DATEVALUE(C50&amp;"-01"),5),'📋 Транзакції'!$C$5:$C$3623,"&lt;"&amp;EDATE(DATEVALUE(C50&amp;"-01"),6))</f>
        <v>19.99</v>
      </c>
      <c r="Y50" s="37">
        <f>SUMIFS('📋 Транзакції'!$F$5:$F$3623,'📋 Транзакції'!$B$5:$B$3623,A50,'📋 Транзакції'!$C$5:$C$3623,"&gt;="&amp;EDATE(DATEVALUE(C50&amp;"-01"),6),'📋 Транзакції'!$C$5:$C$3623,"&lt;"&amp;EDATE(DATEVALUE(C50&amp;"-01"),7))</f>
        <v>19.99</v>
      </c>
      <c r="Z50" s="37">
        <f>SUMIFS('📋 Транзакції'!$F$5:$F$3623,'📋 Транзакції'!$B$5:$B$3623,A50,'📋 Транзакції'!$C$5:$C$3623,"&gt;="&amp;EDATE(DATEVALUE(C50&amp;"-01"),7),'📋 Транзакції'!$C$5:$C$3623,"&lt;"&amp;EDATE(DATEVALUE(C50&amp;"-01"),8))</f>
        <v>19.99</v>
      </c>
      <c r="AA50" s="37">
        <f>SUMIFS('📋 Транзакції'!$F$5:$F$3623,'📋 Транзакції'!$B$5:$B$3623,A50,'📋 Транзакції'!$C$5:$C$3623,"&gt;="&amp;EDATE(DATEVALUE(C50&amp;"-01"),8),'📋 Транзакції'!$C$5:$C$3623,"&lt;"&amp;EDATE(DATEVALUE(C50&amp;"-01"),9))</f>
        <v>39.98</v>
      </c>
      <c r="AB50" s="37">
        <f>SUMIFS('📋 Транзакції'!$F$5:$F$3623,'📋 Транзакції'!$B$5:$B$3623,A50,'📋 Транзакції'!$C$5:$C$3623,"&gt;="&amp;EDATE(DATEVALUE(C50&amp;"-01"),9),'📋 Транзакції'!$C$5:$C$3623,"&lt;"&amp;EDATE(DATEVALUE(C50&amp;"-01"),10))</f>
        <v>19.99</v>
      </c>
      <c r="AC50" s="37">
        <f>SUMIFS('📋 Транзакції'!$F$5:$F$3623,'📋 Транзакції'!$B$5:$B$3623,A50,'📋 Транзакції'!$C$5:$C$3623,"&gt;="&amp;EDATE(DATEVALUE(C50&amp;"-01"),10),'📋 Транзакції'!$C$5:$C$3623,"&lt;"&amp;EDATE(DATEVALUE(C50&amp;"-01"),11))</f>
        <v>19.99</v>
      </c>
      <c r="AD50" s="37">
        <f>SUMIFS('📋 Транзакції'!$F$5:$F$3623,'📋 Транзакції'!$B$5:$B$3623,A50,'📋 Транзакції'!$C$5:$C$3623,"&gt;="&amp;EDATE(DATEVALUE(C50&amp;"-01"),11),'📋 Транзакції'!$C$5:$C$3623,"&lt;"&amp;EDATE(DATEVALUE(C50&amp;"-01"),12))</f>
        <v>19.99</v>
      </c>
    </row>
    <row r="51" ht="15.75" customHeight="1">
      <c r="A51" s="33" t="str">
        <f>'📋 Реєстрації'!A51:A652</f>
        <v>U0765</v>
      </c>
      <c r="B51" s="34">
        <f t="array" ref="B51">INDEX('📋 Транзакції'!$C$5:$C$3623,MATCH(A51,'📋 Транзакції'!$B$5:$B$3623,0))</f>
        <v>45349</v>
      </c>
      <c r="C51" s="35" t="str">
        <f t="shared" si="1"/>
        <v>2024-02</v>
      </c>
      <c r="D51" s="36">
        <f>COUNTIF('📋 Транзакції'!$B$5:$B$3623,A51)</f>
        <v>15</v>
      </c>
      <c r="E51" s="36">
        <f>SUMIF('📋 Транзакції'!$B$5:$B$3623,A51,'📋 Транзакції'!$F$5:$F$3623)</f>
        <v>279.86</v>
      </c>
      <c r="F51" s="35">
        <f>INT($A$1-MAXIFS('📋 Транзакції'!$C$5:$C$3623,'📋 Транзакції'!$B$5:$B$3623,A51))</f>
        <v>1</v>
      </c>
      <c r="G51" s="37">
        <f>IF(COUNTIFS('📋 Транзакції'!$B$5:$B$3623,A51,'📋 Транзакції'!$C$5:$C$3623,"&gt;="&amp;EDATE(DATEVALUE(C51&amp;"-01"),0),'📋 Транзакції'!$C$5:$C$3623,"&lt;"&amp;EDATE(DATEVALUE(C51&amp;"-01"),1))&gt;0,1,0)</f>
        <v>1</v>
      </c>
      <c r="H51" s="37">
        <f>IF(COUNTIFS('📋 Транзакції'!$B$5:$B$3623,A51,'📋 Транзакції'!$C$5:$C$3623,"&gt;="&amp;EDATE(DATEVALUE(C51&amp;"-01"),1),'📋 Транзакції'!$C$5:$C$3623,"&lt;"&amp;EDATE(DATEVALUE(C51&amp;"-01"),2))&gt;0,1,0)</f>
        <v>1</v>
      </c>
      <c r="I51" s="37">
        <f>IF(COUNTIFS('📋 Транзакції'!$B$5:$B$3623,A51,'📋 Транзакції'!$C$5:$C$3623,"&gt;="&amp;EDATE(DATEVALUE(C51&amp;"-01"),2),'📋 Транзакції'!$C$5:$C$3623,"&lt;"&amp;EDATE(DATEVALUE(C51&amp;"-01"),3))&gt;0,1,0)</f>
        <v>1</v>
      </c>
      <c r="J51" s="37">
        <f>IF(COUNTIFS('📋 Транзакції'!$B$5:$B$3623,A51,'📋 Транзакції'!$C$5:$C$3623,"&gt;="&amp;EDATE(DATEVALUE(C51&amp;"-01"),3),'📋 Транзакції'!$C$5:$C$3623,"&lt;"&amp;EDATE(DATEVALUE(C51&amp;"-01"),4))&gt;0,1,0)</f>
        <v>1</v>
      </c>
      <c r="K51" s="37">
        <f>IF(COUNTIFS('📋 Транзакції'!$B$5:$B$3623,A51,'📋 Транзакції'!$C$5:$C$3623,"&gt;="&amp;EDATE(DATEVALUE(C51&amp;"-01"),4),'📋 Транзакції'!$C$5:$C$3623,"&lt;"&amp;EDATE(DATEVALUE(C51&amp;"-01"),5))&gt;0,1,0)</f>
        <v>1</v>
      </c>
      <c r="L51" s="37">
        <f>IF(COUNTIFS('📋 Транзакції'!$B$5:$B$3623,A51,'📋 Транзакції'!$C$5:$C$3623,"&gt;="&amp;EDATE(DATEVALUE(C51&amp;"-01"),5),'📋 Транзакції'!$C$5:$C$3623,"&lt;"&amp;EDATE(DATEVALUE(C51&amp;"-01"),6))&gt;0,1,0)</f>
        <v>1</v>
      </c>
      <c r="M51" s="37">
        <f>IF(COUNTIFS('📋 Транзакції'!$B$5:$B$3623,A51,'📋 Транзакції'!$C$5:$C$3623,"&gt;="&amp;EDATE(DATEVALUE(C51&amp;"-01"),6),'📋 Транзакції'!$C$5:$C$3623,"&lt;"&amp;EDATE(DATEVALUE(C51&amp;"-01"),7))&gt;0,1,0)</f>
        <v>1</v>
      </c>
      <c r="N51" s="37">
        <f>IF(COUNTIFS('📋 Транзакції'!$B$5:$B$3623,A51,'📋 Транзакції'!$C$5:$C$3623,"&gt;="&amp;EDATE(DATEVALUE(C51&amp;"-01"),7),'📋 Транзакції'!$C$5:$C$3623,"&lt;"&amp;EDATE(DATEVALUE(C51&amp;"-01"),8))&gt;0,1,0)</f>
        <v>1</v>
      </c>
      <c r="O51" s="37">
        <f>IF(COUNTIFS('📋 Транзакції'!$B$5:$B$3623,A51,'📋 Транзакції'!$C$5:$C$3623,"&gt;="&amp;EDATE(DATEVALUE(C51&amp;"-01"),8),'📋 Транзакції'!$C$5:$C$3623,"&lt;"&amp;EDATE(DATEVALUE(C51&amp;"-01"),9))&gt;0,1,0)</f>
        <v>1</v>
      </c>
      <c r="P51" s="37">
        <f>IF(COUNTIFS('📋 Транзакції'!$B$5:$B$3623,A51,'📋 Транзакції'!$C$5:$C$3623,"&gt;="&amp;EDATE(DATEVALUE(C51&amp;"-01"),9),'📋 Транзакції'!$C$5:$C$3623,"&lt;"&amp;EDATE(DATEVALUE(C51&amp;"-01"),10))&gt;0,1,0)</f>
        <v>1</v>
      </c>
      <c r="Q51" s="37">
        <f>IF(COUNTIFS('📋 Транзакції'!$B$5:$B$3623,A51,'📋 Транзакції'!$C$5:$C$3623,"&gt;="&amp;EDATE(DATEVALUE(C51&amp;"-01"),10),'📋 Транзакції'!$C$5:$C$3623,"&lt;"&amp;EDATE(DATEVALUE(C51&amp;"-01"),11))&gt;0,1,0)</f>
        <v>1</v>
      </c>
      <c r="R51" s="37">
        <f>IF(COUNTIFS('📋 Транзакції'!$B$5:$B$3623,A51,'📋 Транзакції'!$C$5:$C$3623,"&gt;="&amp;EDATE(DATEVALUE(C51&amp;"-01"),11),'📋 Транзакції'!$C$5:$C$3623,"&lt;"&amp;EDATE(DATEVALUE(C51&amp;"-01"),12))&gt;0,1,0)</f>
        <v>1</v>
      </c>
      <c r="S51" s="37">
        <f>SUMIFS('📋 Транзакції'!$F$5:$F$3623,'📋 Транзакції'!$B$5:$B$3623,A51,'📋 Транзакції'!$C$5:$C$3623,"&gt;="&amp;EDATE(DATEVALUE(C51&amp;"-01"),0),'📋 Транзакції'!$C$5:$C$3623,"&lt;"&amp;EDATE(DATEVALUE(C51&amp;"-01"),1))</f>
        <v>0</v>
      </c>
      <c r="T51" s="37">
        <f>SUMIFS('📋 Транзакції'!$F$5:$F$3623,'📋 Транзакції'!$B$5:$B$3623,A51,'📋 Транзакції'!$C$5:$C$3623,"&gt;="&amp;EDATE(DATEVALUE(C51&amp;"-01"),1),'📋 Транзакції'!$C$5:$C$3623,"&lt;"&amp;EDATE(DATEVALUE(C51&amp;"-01"),2))</f>
        <v>19.99</v>
      </c>
      <c r="U51" s="37">
        <f>SUMIFS('📋 Транзакції'!$F$5:$F$3623,'📋 Транзакції'!$B$5:$B$3623,A51,'📋 Транзакції'!$C$5:$C$3623,"&gt;="&amp;EDATE(DATEVALUE(C51&amp;"-01"),2),'📋 Транзакції'!$C$5:$C$3623,"&lt;"&amp;EDATE(DATEVALUE(C51&amp;"-01"),3))</f>
        <v>19.99</v>
      </c>
      <c r="V51" s="37">
        <f>SUMIFS('📋 Транзакції'!$F$5:$F$3623,'📋 Транзакції'!$B$5:$B$3623,A51,'📋 Транзакції'!$C$5:$C$3623,"&gt;="&amp;EDATE(DATEVALUE(C51&amp;"-01"),3),'📋 Транзакції'!$C$5:$C$3623,"&lt;"&amp;EDATE(DATEVALUE(C51&amp;"-01"),4))</f>
        <v>19.99</v>
      </c>
      <c r="W51" s="37">
        <f>SUMIFS('📋 Транзакції'!$F$5:$F$3623,'📋 Транзакції'!$B$5:$B$3623,A51,'📋 Транзакції'!$C$5:$C$3623,"&gt;="&amp;EDATE(DATEVALUE(C51&amp;"-01"),4),'📋 Транзакції'!$C$5:$C$3623,"&lt;"&amp;EDATE(DATEVALUE(C51&amp;"-01"),5))</f>
        <v>19.99</v>
      </c>
      <c r="X51" s="37">
        <f>SUMIFS('📋 Транзакції'!$F$5:$F$3623,'📋 Транзакції'!$B$5:$B$3623,A51,'📋 Транзакції'!$C$5:$C$3623,"&gt;="&amp;EDATE(DATEVALUE(C51&amp;"-01"),5),'📋 Транзакції'!$C$5:$C$3623,"&lt;"&amp;EDATE(DATEVALUE(C51&amp;"-01"),6))</f>
        <v>19.99</v>
      </c>
      <c r="Y51" s="37">
        <f>SUMIFS('📋 Транзакції'!$F$5:$F$3623,'📋 Транзакції'!$B$5:$B$3623,A51,'📋 Транзакції'!$C$5:$C$3623,"&gt;="&amp;EDATE(DATEVALUE(C51&amp;"-01"),6),'📋 Транзакції'!$C$5:$C$3623,"&lt;"&amp;EDATE(DATEVALUE(C51&amp;"-01"),7))</f>
        <v>19.99</v>
      </c>
      <c r="Z51" s="37">
        <f>SUMIFS('📋 Транзакції'!$F$5:$F$3623,'📋 Транзакції'!$B$5:$B$3623,A51,'📋 Транзакції'!$C$5:$C$3623,"&gt;="&amp;EDATE(DATEVALUE(C51&amp;"-01"),7),'📋 Транзакції'!$C$5:$C$3623,"&lt;"&amp;EDATE(DATEVALUE(C51&amp;"-01"),8))</f>
        <v>19.99</v>
      </c>
      <c r="AA51" s="37">
        <f>SUMIFS('📋 Транзакції'!$F$5:$F$3623,'📋 Транзакції'!$B$5:$B$3623,A51,'📋 Транзакції'!$C$5:$C$3623,"&gt;="&amp;EDATE(DATEVALUE(C51&amp;"-01"),8),'📋 Транзакції'!$C$5:$C$3623,"&lt;"&amp;EDATE(DATEVALUE(C51&amp;"-01"),9))</f>
        <v>39.98</v>
      </c>
      <c r="AB51" s="37">
        <f>SUMIFS('📋 Транзакції'!$F$5:$F$3623,'📋 Транзакції'!$B$5:$B$3623,A51,'📋 Транзакції'!$C$5:$C$3623,"&gt;="&amp;EDATE(DATEVALUE(C51&amp;"-01"),9),'📋 Транзакції'!$C$5:$C$3623,"&lt;"&amp;EDATE(DATEVALUE(C51&amp;"-01"),10))</f>
        <v>19.99</v>
      </c>
      <c r="AC51" s="37">
        <f>SUMIFS('📋 Транзакції'!$F$5:$F$3623,'📋 Транзакції'!$B$5:$B$3623,A51,'📋 Транзакції'!$C$5:$C$3623,"&gt;="&amp;EDATE(DATEVALUE(C51&amp;"-01"),10),'📋 Транзакції'!$C$5:$C$3623,"&lt;"&amp;EDATE(DATEVALUE(C51&amp;"-01"),11))</f>
        <v>19.99</v>
      </c>
      <c r="AD51" s="37">
        <f>SUMIFS('📋 Транзакції'!$F$5:$F$3623,'📋 Транзакції'!$B$5:$B$3623,A51,'📋 Транзакції'!$C$5:$C$3623,"&gt;="&amp;EDATE(DATEVALUE(C51&amp;"-01"),11),'📋 Транзакції'!$C$5:$C$3623,"&lt;"&amp;EDATE(DATEVALUE(C51&amp;"-01"),12))</f>
        <v>19.99</v>
      </c>
    </row>
    <row r="52" ht="15.75" customHeight="1">
      <c r="A52" s="33" t="str">
        <f>'📋 Реєстрації'!A52:A653</f>
        <v>U0860</v>
      </c>
      <c r="B52" s="34">
        <f t="array" ref="B52">INDEX('📋 Транзакції'!$C$5:$C$3623,MATCH(A52,'📋 Транзакції'!$B$5:$B$3623,0))</f>
        <v>45349</v>
      </c>
      <c r="C52" s="35" t="str">
        <f t="shared" si="1"/>
        <v>2024-02</v>
      </c>
      <c r="D52" s="36">
        <f>COUNTIF('📋 Транзакції'!$B$5:$B$3623,A52)</f>
        <v>15</v>
      </c>
      <c r="E52" s="36">
        <f>SUMIF('📋 Транзакції'!$B$5:$B$3623,A52,'📋 Транзакції'!$F$5:$F$3623)</f>
        <v>279.86</v>
      </c>
      <c r="F52" s="35">
        <f>INT($A$1-MAXIFS('📋 Транзакції'!$C$5:$C$3623,'📋 Транзакції'!$B$5:$B$3623,A52))</f>
        <v>1</v>
      </c>
      <c r="G52" s="37">
        <f>IF(COUNTIFS('📋 Транзакції'!$B$5:$B$3623,A52,'📋 Транзакції'!$C$5:$C$3623,"&gt;="&amp;EDATE(DATEVALUE(C52&amp;"-01"),0),'📋 Транзакції'!$C$5:$C$3623,"&lt;"&amp;EDATE(DATEVALUE(C52&amp;"-01"),1))&gt;0,1,0)</f>
        <v>1</v>
      </c>
      <c r="H52" s="37">
        <f>IF(COUNTIFS('📋 Транзакції'!$B$5:$B$3623,A52,'📋 Транзакції'!$C$5:$C$3623,"&gt;="&amp;EDATE(DATEVALUE(C52&amp;"-01"),1),'📋 Транзакції'!$C$5:$C$3623,"&lt;"&amp;EDATE(DATEVALUE(C52&amp;"-01"),2))&gt;0,1,0)</f>
        <v>1</v>
      </c>
      <c r="I52" s="37">
        <f>IF(COUNTIFS('📋 Транзакції'!$B$5:$B$3623,A52,'📋 Транзакції'!$C$5:$C$3623,"&gt;="&amp;EDATE(DATEVALUE(C52&amp;"-01"),2),'📋 Транзакції'!$C$5:$C$3623,"&lt;"&amp;EDATE(DATEVALUE(C52&amp;"-01"),3))&gt;0,1,0)</f>
        <v>1</v>
      </c>
      <c r="J52" s="37">
        <f>IF(COUNTIFS('📋 Транзакції'!$B$5:$B$3623,A52,'📋 Транзакції'!$C$5:$C$3623,"&gt;="&amp;EDATE(DATEVALUE(C52&amp;"-01"),3),'📋 Транзакції'!$C$5:$C$3623,"&lt;"&amp;EDATE(DATEVALUE(C52&amp;"-01"),4))&gt;0,1,0)</f>
        <v>1</v>
      </c>
      <c r="K52" s="37">
        <f>IF(COUNTIFS('📋 Транзакції'!$B$5:$B$3623,A52,'📋 Транзакції'!$C$5:$C$3623,"&gt;="&amp;EDATE(DATEVALUE(C52&amp;"-01"),4),'📋 Транзакції'!$C$5:$C$3623,"&lt;"&amp;EDATE(DATEVALUE(C52&amp;"-01"),5))&gt;0,1,0)</f>
        <v>1</v>
      </c>
      <c r="L52" s="37">
        <f>IF(COUNTIFS('📋 Транзакції'!$B$5:$B$3623,A52,'📋 Транзакції'!$C$5:$C$3623,"&gt;="&amp;EDATE(DATEVALUE(C52&amp;"-01"),5),'📋 Транзакції'!$C$5:$C$3623,"&lt;"&amp;EDATE(DATEVALUE(C52&amp;"-01"),6))&gt;0,1,0)</f>
        <v>1</v>
      </c>
      <c r="M52" s="37">
        <f>IF(COUNTIFS('📋 Транзакції'!$B$5:$B$3623,A52,'📋 Транзакції'!$C$5:$C$3623,"&gt;="&amp;EDATE(DATEVALUE(C52&amp;"-01"),6),'📋 Транзакції'!$C$5:$C$3623,"&lt;"&amp;EDATE(DATEVALUE(C52&amp;"-01"),7))&gt;0,1,0)</f>
        <v>1</v>
      </c>
      <c r="N52" s="37">
        <f>IF(COUNTIFS('📋 Транзакції'!$B$5:$B$3623,A52,'📋 Транзакції'!$C$5:$C$3623,"&gt;="&amp;EDATE(DATEVALUE(C52&amp;"-01"),7),'📋 Транзакції'!$C$5:$C$3623,"&lt;"&amp;EDATE(DATEVALUE(C52&amp;"-01"),8))&gt;0,1,0)</f>
        <v>1</v>
      </c>
      <c r="O52" s="37">
        <f>IF(COUNTIFS('📋 Транзакції'!$B$5:$B$3623,A52,'📋 Транзакції'!$C$5:$C$3623,"&gt;="&amp;EDATE(DATEVALUE(C52&amp;"-01"),8),'📋 Транзакції'!$C$5:$C$3623,"&lt;"&amp;EDATE(DATEVALUE(C52&amp;"-01"),9))&gt;0,1,0)</f>
        <v>1</v>
      </c>
      <c r="P52" s="37">
        <f>IF(COUNTIFS('📋 Транзакції'!$B$5:$B$3623,A52,'📋 Транзакції'!$C$5:$C$3623,"&gt;="&amp;EDATE(DATEVALUE(C52&amp;"-01"),9),'📋 Транзакції'!$C$5:$C$3623,"&lt;"&amp;EDATE(DATEVALUE(C52&amp;"-01"),10))&gt;0,1,0)</f>
        <v>1</v>
      </c>
      <c r="Q52" s="37">
        <f>IF(COUNTIFS('📋 Транзакції'!$B$5:$B$3623,A52,'📋 Транзакції'!$C$5:$C$3623,"&gt;="&amp;EDATE(DATEVALUE(C52&amp;"-01"),10),'📋 Транзакції'!$C$5:$C$3623,"&lt;"&amp;EDATE(DATEVALUE(C52&amp;"-01"),11))&gt;0,1,0)</f>
        <v>1</v>
      </c>
      <c r="R52" s="37">
        <f>IF(COUNTIFS('📋 Транзакції'!$B$5:$B$3623,A52,'📋 Транзакції'!$C$5:$C$3623,"&gt;="&amp;EDATE(DATEVALUE(C52&amp;"-01"),11),'📋 Транзакції'!$C$5:$C$3623,"&lt;"&amp;EDATE(DATEVALUE(C52&amp;"-01"),12))&gt;0,1,0)</f>
        <v>1</v>
      </c>
      <c r="S52" s="37">
        <f>SUMIFS('📋 Транзакції'!$F$5:$F$3623,'📋 Транзакції'!$B$5:$B$3623,A52,'📋 Транзакції'!$C$5:$C$3623,"&gt;="&amp;EDATE(DATEVALUE(C52&amp;"-01"),0),'📋 Транзакції'!$C$5:$C$3623,"&lt;"&amp;EDATE(DATEVALUE(C52&amp;"-01"),1))</f>
        <v>0</v>
      </c>
      <c r="T52" s="37">
        <f>SUMIFS('📋 Транзакції'!$F$5:$F$3623,'📋 Транзакції'!$B$5:$B$3623,A52,'📋 Транзакції'!$C$5:$C$3623,"&gt;="&amp;EDATE(DATEVALUE(C52&amp;"-01"),1),'📋 Транзакції'!$C$5:$C$3623,"&lt;"&amp;EDATE(DATEVALUE(C52&amp;"-01"),2))</f>
        <v>19.99</v>
      </c>
      <c r="U52" s="37">
        <f>SUMIFS('📋 Транзакції'!$F$5:$F$3623,'📋 Транзакції'!$B$5:$B$3623,A52,'📋 Транзакції'!$C$5:$C$3623,"&gt;="&amp;EDATE(DATEVALUE(C52&amp;"-01"),2),'📋 Транзакції'!$C$5:$C$3623,"&lt;"&amp;EDATE(DATEVALUE(C52&amp;"-01"),3))</f>
        <v>19.99</v>
      </c>
      <c r="V52" s="37">
        <f>SUMIFS('📋 Транзакції'!$F$5:$F$3623,'📋 Транзакції'!$B$5:$B$3623,A52,'📋 Транзакції'!$C$5:$C$3623,"&gt;="&amp;EDATE(DATEVALUE(C52&amp;"-01"),3),'📋 Транзакції'!$C$5:$C$3623,"&lt;"&amp;EDATE(DATEVALUE(C52&amp;"-01"),4))</f>
        <v>19.99</v>
      </c>
      <c r="W52" s="37">
        <f>SUMIFS('📋 Транзакції'!$F$5:$F$3623,'📋 Транзакції'!$B$5:$B$3623,A52,'📋 Транзакції'!$C$5:$C$3623,"&gt;="&amp;EDATE(DATEVALUE(C52&amp;"-01"),4),'📋 Транзакції'!$C$5:$C$3623,"&lt;"&amp;EDATE(DATEVALUE(C52&amp;"-01"),5))</f>
        <v>19.99</v>
      </c>
      <c r="X52" s="37">
        <f>SUMIFS('📋 Транзакції'!$F$5:$F$3623,'📋 Транзакції'!$B$5:$B$3623,A52,'📋 Транзакції'!$C$5:$C$3623,"&gt;="&amp;EDATE(DATEVALUE(C52&amp;"-01"),5),'📋 Транзакції'!$C$5:$C$3623,"&lt;"&amp;EDATE(DATEVALUE(C52&amp;"-01"),6))</f>
        <v>19.99</v>
      </c>
      <c r="Y52" s="37">
        <f>SUMIFS('📋 Транзакції'!$F$5:$F$3623,'📋 Транзакції'!$B$5:$B$3623,A52,'📋 Транзакції'!$C$5:$C$3623,"&gt;="&amp;EDATE(DATEVALUE(C52&amp;"-01"),6),'📋 Транзакції'!$C$5:$C$3623,"&lt;"&amp;EDATE(DATEVALUE(C52&amp;"-01"),7))</f>
        <v>19.99</v>
      </c>
      <c r="Z52" s="37">
        <f>SUMIFS('📋 Транзакції'!$F$5:$F$3623,'📋 Транзакції'!$B$5:$B$3623,A52,'📋 Транзакції'!$C$5:$C$3623,"&gt;="&amp;EDATE(DATEVALUE(C52&amp;"-01"),7),'📋 Транзакції'!$C$5:$C$3623,"&lt;"&amp;EDATE(DATEVALUE(C52&amp;"-01"),8))</f>
        <v>19.99</v>
      </c>
      <c r="AA52" s="37">
        <f>SUMIFS('📋 Транзакції'!$F$5:$F$3623,'📋 Транзакції'!$B$5:$B$3623,A52,'📋 Транзакції'!$C$5:$C$3623,"&gt;="&amp;EDATE(DATEVALUE(C52&amp;"-01"),8),'📋 Транзакції'!$C$5:$C$3623,"&lt;"&amp;EDATE(DATEVALUE(C52&amp;"-01"),9))</f>
        <v>39.98</v>
      </c>
      <c r="AB52" s="37">
        <f>SUMIFS('📋 Транзакції'!$F$5:$F$3623,'📋 Транзакції'!$B$5:$B$3623,A52,'📋 Транзакції'!$C$5:$C$3623,"&gt;="&amp;EDATE(DATEVALUE(C52&amp;"-01"),9),'📋 Транзакції'!$C$5:$C$3623,"&lt;"&amp;EDATE(DATEVALUE(C52&amp;"-01"),10))</f>
        <v>19.99</v>
      </c>
      <c r="AC52" s="37">
        <f>SUMIFS('📋 Транзакції'!$F$5:$F$3623,'📋 Транзакції'!$B$5:$B$3623,A52,'📋 Транзакції'!$C$5:$C$3623,"&gt;="&amp;EDATE(DATEVALUE(C52&amp;"-01"),10),'📋 Транзакції'!$C$5:$C$3623,"&lt;"&amp;EDATE(DATEVALUE(C52&amp;"-01"),11))</f>
        <v>19.99</v>
      </c>
      <c r="AD52" s="37">
        <f>SUMIFS('📋 Транзакції'!$F$5:$F$3623,'📋 Транзакції'!$B$5:$B$3623,A52,'📋 Транзакції'!$C$5:$C$3623,"&gt;="&amp;EDATE(DATEVALUE(C52&amp;"-01"),11),'📋 Транзакції'!$C$5:$C$3623,"&lt;"&amp;EDATE(DATEVALUE(C52&amp;"-01"),12))</f>
        <v>19.99</v>
      </c>
    </row>
    <row r="53" ht="15.75" customHeight="1">
      <c r="A53" s="33" t="str">
        <f>'📋 Реєстрації'!A53:A654</f>
        <v>U0033</v>
      </c>
      <c r="B53" s="34">
        <f t="array" ref="B53">INDEX('📋 Транзакції'!$C$5:$C$3623,MATCH(A53,'📋 Транзакції'!$B$5:$B$3623,0))</f>
        <v>45350</v>
      </c>
      <c r="C53" s="35" t="str">
        <f t="shared" si="1"/>
        <v>2024-02</v>
      </c>
      <c r="D53" s="36">
        <f>COUNTIF('📋 Транзакції'!$B$5:$B$3623,A53)</f>
        <v>7</v>
      </c>
      <c r="E53" s="36">
        <f>SUMIF('📋 Транзакції'!$B$5:$B$3623,A53,'📋 Транзакції'!$F$5:$F$3623)</f>
        <v>119.94</v>
      </c>
      <c r="F53" s="35">
        <f>INT($A$1-MAXIFS('📋 Транзакції'!$C$5:$C$3623,'📋 Транзакції'!$B$5:$B$3623,A53))</f>
        <v>240</v>
      </c>
      <c r="G53" s="37">
        <f>IF(COUNTIFS('📋 Транзакції'!$B$5:$B$3623,A53,'📋 Транзакції'!$C$5:$C$3623,"&gt;="&amp;EDATE(DATEVALUE(C53&amp;"-01"),0),'📋 Транзакції'!$C$5:$C$3623,"&lt;"&amp;EDATE(DATEVALUE(C53&amp;"-01"),1))&gt;0,1,0)</f>
        <v>1</v>
      </c>
      <c r="H53" s="37">
        <f>IF(COUNTIFS('📋 Транзакції'!$B$5:$B$3623,A53,'📋 Транзакції'!$C$5:$C$3623,"&gt;="&amp;EDATE(DATEVALUE(C53&amp;"-01"),1),'📋 Транзакції'!$C$5:$C$3623,"&lt;"&amp;EDATE(DATEVALUE(C53&amp;"-01"),2))&gt;0,1,0)</f>
        <v>1</v>
      </c>
      <c r="I53" s="37">
        <f>IF(COUNTIFS('📋 Транзакції'!$B$5:$B$3623,A53,'📋 Транзакції'!$C$5:$C$3623,"&gt;="&amp;EDATE(DATEVALUE(C53&amp;"-01"),2),'📋 Транзакції'!$C$5:$C$3623,"&lt;"&amp;EDATE(DATEVALUE(C53&amp;"-01"),3))&gt;0,1,0)</f>
        <v>1</v>
      </c>
      <c r="J53" s="37">
        <f>IF(COUNTIFS('📋 Транзакції'!$B$5:$B$3623,A53,'📋 Транзакції'!$C$5:$C$3623,"&gt;="&amp;EDATE(DATEVALUE(C53&amp;"-01"),3),'📋 Транзакції'!$C$5:$C$3623,"&lt;"&amp;EDATE(DATEVALUE(C53&amp;"-01"),4))&gt;0,1,0)</f>
        <v>1</v>
      </c>
      <c r="K53" s="37">
        <f>IF(COUNTIFS('📋 Транзакції'!$B$5:$B$3623,A53,'📋 Транзакції'!$C$5:$C$3623,"&gt;="&amp;EDATE(DATEVALUE(C53&amp;"-01"),4),'📋 Транзакції'!$C$5:$C$3623,"&lt;"&amp;EDATE(DATEVALUE(C53&amp;"-01"),5))&gt;0,1,0)</f>
        <v>1</v>
      </c>
      <c r="L53" s="37">
        <f>IF(COUNTIFS('📋 Транзакції'!$B$5:$B$3623,A53,'📋 Транзакції'!$C$5:$C$3623,"&gt;="&amp;EDATE(DATEVALUE(C53&amp;"-01"),5),'📋 Транзакції'!$C$5:$C$3623,"&lt;"&amp;EDATE(DATEVALUE(C53&amp;"-01"),6))&gt;0,1,0)</f>
        <v>1</v>
      </c>
      <c r="M53" s="37">
        <f>IF(COUNTIFS('📋 Транзакції'!$B$5:$B$3623,A53,'📋 Транзакції'!$C$5:$C$3623,"&gt;="&amp;EDATE(DATEVALUE(C53&amp;"-01"),6),'📋 Транзакції'!$C$5:$C$3623,"&lt;"&amp;EDATE(DATEVALUE(C53&amp;"-01"),7))&gt;0,1,0)</f>
        <v>1</v>
      </c>
      <c r="N53" s="37">
        <f>IF(COUNTIFS('📋 Транзакції'!$B$5:$B$3623,A53,'📋 Транзакції'!$C$5:$C$3623,"&gt;="&amp;EDATE(DATEVALUE(C53&amp;"-01"),7),'📋 Транзакції'!$C$5:$C$3623,"&lt;"&amp;EDATE(DATEVALUE(C53&amp;"-01"),8))&gt;0,1,0)</f>
        <v>0</v>
      </c>
      <c r="O53" s="37">
        <f>IF(COUNTIFS('📋 Транзакції'!$B$5:$B$3623,A53,'📋 Транзакції'!$C$5:$C$3623,"&gt;="&amp;EDATE(DATEVALUE(C53&amp;"-01"),8),'📋 Транзакції'!$C$5:$C$3623,"&lt;"&amp;EDATE(DATEVALUE(C53&amp;"-01"),9))&gt;0,1,0)</f>
        <v>0</v>
      </c>
      <c r="P53" s="37">
        <f>IF(COUNTIFS('📋 Транзакції'!$B$5:$B$3623,A53,'📋 Транзакції'!$C$5:$C$3623,"&gt;="&amp;EDATE(DATEVALUE(C53&amp;"-01"),9),'📋 Транзакції'!$C$5:$C$3623,"&lt;"&amp;EDATE(DATEVALUE(C53&amp;"-01"),10))&gt;0,1,0)</f>
        <v>0</v>
      </c>
      <c r="Q53" s="37">
        <f>IF(COUNTIFS('📋 Транзакції'!$B$5:$B$3623,A53,'📋 Транзакції'!$C$5:$C$3623,"&gt;="&amp;EDATE(DATEVALUE(C53&amp;"-01"),10),'📋 Транзакції'!$C$5:$C$3623,"&lt;"&amp;EDATE(DATEVALUE(C53&amp;"-01"),11))&gt;0,1,0)</f>
        <v>0</v>
      </c>
      <c r="R53" s="37">
        <f>IF(COUNTIFS('📋 Транзакції'!$B$5:$B$3623,A53,'📋 Транзакції'!$C$5:$C$3623,"&gt;="&amp;EDATE(DATEVALUE(C53&amp;"-01"),11),'📋 Транзакції'!$C$5:$C$3623,"&lt;"&amp;EDATE(DATEVALUE(C53&amp;"-01"),12))&gt;0,1,0)</f>
        <v>0</v>
      </c>
      <c r="S53" s="37">
        <f>SUMIFS('📋 Транзакції'!$F$5:$F$3623,'📋 Транзакції'!$B$5:$B$3623,A53,'📋 Транзакції'!$C$5:$C$3623,"&gt;="&amp;EDATE(DATEVALUE(C53&amp;"-01"),0),'📋 Транзакції'!$C$5:$C$3623,"&lt;"&amp;EDATE(DATEVALUE(C53&amp;"-01"),1))</f>
        <v>0</v>
      </c>
      <c r="T53" s="37">
        <f>SUMIFS('📋 Транзакції'!$F$5:$F$3623,'📋 Транзакції'!$B$5:$B$3623,A53,'📋 Транзакції'!$C$5:$C$3623,"&gt;="&amp;EDATE(DATEVALUE(C53&amp;"-01"),1),'📋 Транзакції'!$C$5:$C$3623,"&lt;"&amp;EDATE(DATEVALUE(C53&amp;"-01"),2))</f>
        <v>19.99</v>
      </c>
      <c r="U53" s="37">
        <f>SUMIFS('📋 Транзакції'!$F$5:$F$3623,'📋 Транзакції'!$B$5:$B$3623,A53,'📋 Транзакції'!$C$5:$C$3623,"&gt;="&amp;EDATE(DATEVALUE(C53&amp;"-01"),2),'📋 Транзакції'!$C$5:$C$3623,"&lt;"&amp;EDATE(DATEVALUE(C53&amp;"-01"),3))</f>
        <v>19.99</v>
      </c>
      <c r="V53" s="37">
        <f>SUMIFS('📋 Транзакції'!$F$5:$F$3623,'📋 Транзакції'!$B$5:$B$3623,A53,'📋 Транзакції'!$C$5:$C$3623,"&gt;="&amp;EDATE(DATEVALUE(C53&amp;"-01"),3),'📋 Транзакції'!$C$5:$C$3623,"&lt;"&amp;EDATE(DATEVALUE(C53&amp;"-01"),4))</f>
        <v>19.99</v>
      </c>
      <c r="W53" s="37">
        <f>SUMIFS('📋 Транзакції'!$F$5:$F$3623,'📋 Транзакції'!$B$5:$B$3623,A53,'📋 Транзакції'!$C$5:$C$3623,"&gt;="&amp;EDATE(DATEVALUE(C53&amp;"-01"),4),'📋 Транзакції'!$C$5:$C$3623,"&lt;"&amp;EDATE(DATEVALUE(C53&amp;"-01"),5))</f>
        <v>19.99</v>
      </c>
      <c r="X53" s="37">
        <f>SUMIFS('📋 Транзакції'!$F$5:$F$3623,'📋 Транзакції'!$B$5:$B$3623,A53,'📋 Транзакції'!$C$5:$C$3623,"&gt;="&amp;EDATE(DATEVALUE(C53&amp;"-01"),5),'📋 Транзакції'!$C$5:$C$3623,"&lt;"&amp;EDATE(DATEVALUE(C53&amp;"-01"),6))</f>
        <v>19.99</v>
      </c>
      <c r="Y53" s="37">
        <f>SUMIFS('📋 Транзакції'!$F$5:$F$3623,'📋 Транзакції'!$B$5:$B$3623,A53,'📋 Транзакції'!$C$5:$C$3623,"&gt;="&amp;EDATE(DATEVALUE(C53&amp;"-01"),6),'📋 Транзакції'!$C$5:$C$3623,"&lt;"&amp;EDATE(DATEVALUE(C53&amp;"-01"),7))</f>
        <v>19.99</v>
      </c>
      <c r="Z53" s="37">
        <f>SUMIFS('📋 Транзакції'!$F$5:$F$3623,'📋 Транзакції'!$B$5:$B$3623,A53,'📋 Транзакції'!$C$5:$C$3623,"&gt;="&amp;EDATE(DATEVALUE(C53&amp;"-01"),7),'📋 Транзакції'!$C$5:$C$3623,"&lt;"&amp;EDATE(DATEVALUE(C53&amp;"-01"),8))</f>
        <v>0</v>
      </c>
      <c r="AA53" s="37">
        <f>SUMIFS('📋 Транзакції'!$F$5:$F$3623,'📋 Транзакції'!$B$5:$B$3623,A53,'📋 Транзакції'!$C$5:$C$3623,"&gt;="&amp;EDATE(DATEVALUE(C53&amp;"-01"),8),'📋 Транзакції'!$C$5:$C$3623,"&lt;"&amp;EDATE(DATEVALUE(C53&amp;"-01"),9))</f>
        <v>0</v>
      </c>
      <c r="AB53" s="37">
        <f>SUMIFS('📋 Транзакції'!$F$5:$F$3623,'📋 Транзакції'!$B$5:$B$3623,A53,'📋 Транзакції'!$C$5:$C$3623,"&gt;="&amp;EDATE(DATEVALUE(C53&amp;"-01"),9),'📋 Транзакції'!$C$5:$C$3623,"&lt;"&amp;EDATE(DATEVALUE(C53&amp;"-01"),10))</f>
        <v>0</v>
      </c>
      <c r="AC53" s="37">
        <f>SUMIFS('📋 Транзакції'!$F$5:$F$3623,'📋 Транзакції'!$B$5:$B$3623,A53,'📋 Транзакції'!$C$5:$C$3623,"&gt;="&amp;EDATE(DATEVALUE(C53&amp;"-01"),10),'📋 Транзакції'!$C$5:$C$3623,"&lt;"&amp;EDATE(DATEVALUE(C53&amp;"-01"),11))</f>
        <v>0</v>
      </c>
      <c r="AD53" s="37">
        <f>SUMIFS('📋 Транзакції'!$F$5:$F$3623,'📋 Транзакції'!$B$5:$B$3623,A53,'📋 Транзакції'!$C$5:$C$3623,"&gt;="&amp;EDATE(DATEVALUE(C53&amp;"-01"),11),'📋 Транзакції'!$C$5:$C$3623,"&lt;"&amp;EDATE(DATEVALUE(C53&amp;"-01"),12))</f>
        <v>0</v>
      </c>
    </row>
    <row r="54" ht="15.75" customHeight="1">
      <c r="A54" s="33" t="str">
        <f>'📋 Реєстрації'!A54:A655</f>
        <v>U0515</v>
      </c>
      <c r="B54" s="34">
        <f t="array" ref="B54">INDEX('📋 Транзакції'!$C$5:$C$3623,MATCH(A54,'📋 Транзакції'!$B$5:$B$3623,0))</f>
        <v>45350</v>
      </c>
      <c r="C54" s="35" t="str">
        <f t="shared" si="1"/>
        <v>2024-02</v>
      </c>
      <c r="D54" s="36">
        <f>COUNTIF('📋 Транзакції'!$B$5:$B$3623,A54)</f>
        <v>15</v>
      </c>
      <c r="E54" s="36">
        <f>SUMIF('📋 Транзакції'!$B$5:$B$3623,A54,'📋 Транзакції'!$F$5:$F$3623)</f>
        <v>279.86</v>
      </c>
      <c r="F54" s="35">
        <f>INT($A$1-MAXIFS('📋 Транзакції'!$C$5:$C$3623,'📋 Транзакції'!$B$5:$B$3623,A54))</f>
        <v>0</v>
      </c>
      <c r="G54" s="37">
        <f>IF(COUNTIFS('📋 Транзакції'!$B$5:$B$3623,A54,'📋 Транзакції'!$C$5:$C$3623,"&gt;="&amp;EDATE(DATEVALUE(C54&amp;"-01"),0),'📋 Транзакції'!$C$5:$C$3623,"&lt;"&amp;EDATE(DATEVALUE(C54&amp;"-01"),1))&gt;0,1,0)</f>
        <v>1</v>
      </c>
      <c r="H54" s="37">
        <f>IF(COUNTIFS('📋 Транзакції'!$B$5:$B$3623,A54,'📋 Транзакції'!$C$5:$C$3623,"&gt;="&amp;EDATE(DATEVALUE(C54&amp;"-01"),1),'📋 Транзакції'!$C$5:$C$3623,"&lt;"&amp;EDATE(DATEVALUE(C54&amp;"-01"),2))&gt;0,1,0)</f>
        <v>1</v>
      </c>
      <c r="I54" s="37">
        <f>IF(COUNTIFS('📋 Транзакції'!$B$5:$B$3623,A54,'📋 Транзакції'!$C$5:$C$3623,"&gt;="&amp;EDATE(DATEVALUE(C54&amp;"-01"),2),'📋 Транзакції'!$C$5:$C$3623,"&lt;"&amp;EDATE(DATEVALUE(C54&amp;"-01"),3))&gt;0,1,0)</f>
        <v>1</v>
      </c>
      <c r="J54" s="37">
        <f>IF(COUNTIFS('📋 Транзакції'!$B$5:$B$3623,A54,'📋 Транзакції'!$C$5:$C$3623,"&gt;="&amp;EDATE(DATEVALUE(C54&amp;"-01"),3),'📋 Транзакції'!$C$5:$C$3623,"&lt;"&amp;EDATE(DATEVALUE(C54&amp;"-01"),4))&gt;0,1,0)</f>
        <v>1</v>
      </c>
      <c r="K54" s="37">
        <f>IF(COUNTIFS('📋 Транзакції'!$B$5:$B$3623,A54,'📋 Транзакції'!$C$5:$C$3623,"&gt;="&amp;EDATE(DATEVALUE(C54&amp;"-01"),4),'📋 Транзакції'!$C$5:$C$3623,"&lt;"&amp;EDATE(DATEVALUE(C54&amp;"-01"),5))&gt;0,1,0)</f>
        <v>1</v>
      </c>
      <c r="L54" s="37">
        <f>IF(COUNTIFS('📋 Транзакції'!$B$5:$B$3623,A54,'📋 Транзакції'!$C$5:$C$3623,"&gt;="&amp;EDATE(DATEVALUE(C54&amp;"-01"),5),'📋 Транзакції'!$C$5:$C$3623,"&lt;"&amp;EDATE(DATEVALUE(C54&amp;"-01"),6))&gt;0,1,0)</f>
        <v>1</v>
      </c>
      <c r="M54" s="37">
        <f>IF(COUNTIFS('📋 Транзакції'!$B$5:$B$3623,A54,'📋 Транзакції'!$C$5:$C$3623,"&gt;="&amp;EDATE(DATEVALUE(C54&amp;"-01"),6),'📋 Транзакції'!$C$5:$C$3623,"&lt;"&amp;EDATE(DATEVALUE(C54&amp;"-01"),7))&gt;0,1,0)</f>
        <v>1</v>
      </c>
      <c r="N54" s="37">
        <f>IF(COUNTIFS('📋 Транзакції'!$B$5:$B$3623,A54,'📋 Транзакції'!$C$5:$C$3623,"&gt;="&amp;EDATE(DATEVALUE(C54&amp;"-01"),7),'📋 Транзакції'!$C$5:$C$3623,"&lt;"&amp;EDATE(DATEVALUE(C54&amp;"-01"),8))&gt;0,1,0)</f>
        <v>1</v>
      </c>
      <c r="O54" s="37">
        <f>IF(COUNTIFS('📋 Транзакції'!$B$5:$B$3623,A54,'📋 Транзакції'!$C$5:$C$3623,"&gt;="&amp;EDATE(DATEVALUE(C54&amp;"-01"),8),'📋 Транзакції'!$C$5:$C$3623,"&lt;"&amp;EDATE(DATEVALUE(C54&amp;"-01"),9))&gt;0,1,0)</f>
        <v>1</v>
      </c>
      <c r="P54" s="37">
        <f>IF(COUNTIFS('📋 Транзакції'!$B$5:$B$3623,A54,'📋 Транзакції'!$C$5:$C$3623,"&gt;="&amp;EDATE(DATEVALUE(C54&amp;"-01"),9),'📋 Транзакції'!$C$5:$C$3623,"&lt;"&amp;EDATE(DATEVALUE(C54&amp;"-01"),10))&gt;0,1,0)</f>
        <v>1</v>
      </c>
      <c r="Q54" s="37">
        <f>IF(COUNTIFS('📋 Транзакції'!$B$5:$B$3623,A54,'📋 Транзакції'!$C$5:$C$3623,"&gt;="&amp;EDATE(DATEVALUE(C54&amp;"-01"),10),'📋 Транзакції'!$C$5:$C$3623,"&lt;"&amp;EDATE(DATEVALUE(C54&amp;"-01"),11))&gt;0,1,0)</f>
        <v>1</v>
      </c>
      <c r="R54" s="37">
        <f>IF(COUNTIFS('📋 Транзакції'!$B$5:$B$3623,A54,'📋 Транзакції'!$C$5:$C$3623,"&gt;="&amp;EDATE(DATEVALUE(C54&amp;"-01"),11),'📋 Транзакції'!$C$5:$C$3623,"&lt;"&amp;EDATE(DATEVALUE(C54&amp;"-01"),12))&gt;0,1,0)</f>
        <v>1</v>
      </c>
      <c r="S54" s="37">
        <f>SUMIFS('📋 Транзакції'!$F$5:$F$3623,'📋 Транзакції'!$B$5:$B$3623,A54,'📋 Транзакції'!$C$5:$C$3623,"&gt;="&amp;EDATE(DATEVALUE(C54&amp;"-01"),0),'📋 Транзакції'!$C$5:$C$3623,"&lt;"&amp;EDATE(DATEVALUE(C54&amp;"-01"),1))</f>
        <v>0</v>
      </c>
      <c r="T54" s="37">
        <f>SUMIFS('📋 Транзакції'!$F$5:$F$3623,'📋 Транзакції'!$B$5:$B$3623,A54,'📋 Транзакції'!$C$5:$C$3623,"&gt;="&amp;EDATE(DATEVALUE(C54&amp;"-01"),1),'📋 Транзакції'!$C$5:$C$3623,"&lt;"&amp;EDATE(DATEVALUE(C54&amp;"-01"),2))</f>
        <v>19.99</v>
      </c>
      <c r="U54" s="37">
        <f>SUMIFS('📋 Транзакції'!$F$5:$F$3623,'📋 Транзакції'!$B$5:$B$3623,A54,'📋 Транзакції'!$C$5:$C$3623,"&gt;="&amp;EDATE(DATEVALUE(C54&amp;"-01"),2),'📋 Транзакції'!$C$5:$C$3623,"&lt;"&amp;EDATE(DATEVALUE(C54&amp;"-01"),3))</f>
        <v>19.99</v>
      </c>
      <c r="V54" s="37">
        <f>SUMIFS('📋 Транзакції'!$F$5:$F$3623,'📋 Транзакції'!$B$5:$B$3623,A54,'📋 Транзакції'!$C$5:$C$3623,"&gt;="&amp;EDATE(DATEVALUE(C54&amp;"-01"),3),'📋 Транзакції'!$C$5:$C$3623,"&lt;"&amp;EDATE(DATEVALUE(C54&amp;"-01"),4))</f>
        <v>19.99</v>
      </c>
      <c r="W54" s="37">
        <f>SUMIFS('📋 Транзакції'!$F$5:$F$3623,'📋 Транзакції'!$B$5:$B$3623,A54,'📋 Транзакції'!$C$5:$C$3623,"&gt;="&amp;EDATE(DATEVALUE(C54&amp;"-01"),4),'📋 Транзакції'!$C$5:$C$3623,"&lt;"&amp;EDATE(DATEVALUE(C54&amp;"-01"),5))</f>
        <v>19.99</v>
      </c>
      <c r="X54" s="37">
        <f>SUMIFS('📋 Транзакції'!$F$5:$F$3623,'📋 Транзакції'!$B$5:$B$3623,A54,'📋 Транзакції'!$C$5:$C$3623,"&gt;="&amp;EDATE(DATEVALUE(C54&amp;"-01"),5),'📋 Транзакції'!$C$5:$C$3623,"&lt;"&amp;EDATE(DATEVALUE(C54&amp;"-01"),6))</f>
        <v>19.99</v>
      </c>
      <c r="Y54" s="37">
        <f>SUMIFS('📋 Транзакції'!$F$5:$F$3623,'📋 Транзакції'!$B$5:$B$3623,A54,'📋 Транзакції'!$C$5:$C$3623,"&gt;="&amp;EDATE(DATEVALUE(C54&amp;"-01"),6),'📋 Транзакції'!$C$5:$C$3623,"&lt;"&amp;EDATE(DATEVALUE(C54&amp;"-01"),7))</f>
        <v>19.99</v>
      </c>
      <c r="Z54" s="37">
        <f>SUMIFS('📋 Транзакції'!$F$5:$F$3623,'📋 Транзакції'!$B$5:$B$3623,A54,'📋 Транзакції'!$C$5:$C$3623,"&gt;="&amp;EDATE(DATEVALUE(C54&amp;"-01"),7),'📋 Транзакції'!$C$5:$C$3623,"&lt;"&amp;EDATE(DATEVALUE(C54&amp;"-01"),8))</f>
        <v>19.99</v>
      </c>
      <c r="AA54" s="37">
        <f>SUMIFS('📋 Транзакції'!$F$5:$F$3623,'📋 Транзакції'!$B$5:$B$3623,A54,'📋 Транзакції'!$C$5:$C$3623,"&gt;="&amp;EDATE(DATEVALUE(C54&amp;"-01"),8),'📋 Транзакції'!$C$5:$C$3623,"&lt;"&amp;EDATE(DATEVALUE(C54&amp;"-01"),9))</f>
        <v>19.99</v>
      </c>
      <c r="AB54" s="37">
        <f>SUMIFS('📋 Транзакції'!$F$5:$F$3623,'📋 Транзакції'!$B$5:$B$3623,A54,'📋 Транзакції'!$C$5:$C$3623,"&gt;="&amp;EDATE(DATEVALUE(C54&amp;"-01"),9),'📋 Транзакції'!$C$5:$C$3623,"&lt;"&amp;EDATE(DATEVALUE(C54&amp;"-01"),10))</f>
        <v>19.99</v>
      </c>
      <c r="AC54" s="37">
        <f>SUMIFS('📋 Транзакції'!$F$5:$F$3623,'📋 Транзакції'!$B$5:$B$3623,A54,'📋 Транзакції'!$C$5:$C$3623,"&gt;="&amp;EDATE(DATEVALUE(C54&amp;"-01"),10),'📋 Транзакції'!$C$5:$C$3623,"&lt;"&amp;EDATE(DATEVALUE(C54&amp;"-01"),11))</f>
        <v>39.98</v>
      </c>
      <c r="AD54" s="37">
        <f>SUMIFS('📋 Транзакції'!$F$5:$F$3623,'📋 Транзакції'!$B$5:$B$3623,A54,'📋 Транзакції'!$C$5:$C$3623,"&gt;="&amp;EDATE(DATEVALUE(C54&amp;"-01"),11),'📋 Транзакції'!$C$5:$C$3623,"&lt;"&amp;EDATE(DATEVALUE(C54&amp;"-01"),12))</f>
        <v>19.99</v>
      </c>
    </row>
    <row r="55" ht="15.75" customHeight="1">
      <c r="A55" s="33" t="str">
        <f>'📋 Реєстрації'!A55:A656</f>
        <v>U0600</v>
      </c>
      <c r="B55" s="34">
        <f t="array" ref="B55">INDEX('📋 Транзакції'!$C$5:$C$3623,MATCH(A55,'📋 Транзакції'!$B$5:$B$3623,0))</f>
        <v>45350</v>
      </c>
      <c r="C55" s="35" t="str">
        <f t="shared" si="1"/>
        <v>2024-02</v>
      </c>
      <c r="D55" s="36">
        <f>COUNTIF('📋 Транзакції'!$B$5:$B$3623,A55)</f>
        <v>2</v>
      </c>
      <c r="E55" s="36">
        <f>SUMIF('📋 Транзакції'!$B$5:$B$3623,A55,'📋 Транзакції'!$F$5:$F$3623)</f>
        <v>19.99</v>
      </c>
      <c r="F55" s="35">
        <f>INT($A$1-MAXIFS('📋 Транзакції'!$C$5:$C$3623,'📋 Транзакції'!$B$5:$B$3623,A55))</f>
        <v>390</v>
      </c>
      <c r="G55" s="37">
        <f>IF(COUNTIFS('📋 Транзакції'!$B$5:$B$3623,A55,'📋 Транзакції'!$C$5:$C$3623,"&gt;="&amp;EDATE(DATEVALUE(C55&amp;"-01"),0),'📋 Транзакції'!$C$5:$C$3623,"&lt;"&amp;EDATE(DATEVALUE(C55&amp;"-01"),1))&gt;0,1,0)</f>
        <v>1</v>
      </c>
      <c r="H55" s="37">
        <f>IF(COUNTIFS('📋 Транзакції'!$B$5:$B$3623,A55,'📋 Транзакції'!$C$5:$C$3623,"&gt;="&amp;EDATE(DATEVALUE(C55&amp;"-01"),1),'📋 Транзакції'!$C$5:$C$3623,"&lt;"&amp;EDATE(DATEVALUE(C55&amp;"-01"),2))&gt;0,1,0)</f>
        <v>1</v>
      </c>
      <c r="I55" s="37">
        <f>IF(COUNTIFS('📋 Транзакції'!$B$5:$B$3623,A55,'📋 Транзакції'!$C$5:$C$3623,"&gt;="&amp;EDATE(DATEVALUE(C55&amp;"-01"),2),'📋 Транзакції'!$C$5:$C$3623,"&lt;"&amp;EDATE(DATEVALUE(C55&amp;"-01"),3))&gt;0,1,0)</f>
        <v>0</v>
      </c>
      <c r="J55" s="37">
        <f>IF(COUNTIFS('📋 Транзакції'!$B$5:$B$3623,A55,'📋 Транзакції'!$C$5:$C$3623,"&gt;="&amp;EDATE(DATEVALUE(C55&amp;"-01"),3),'📋 Транзакції'!$C$5:$C$3623,"&lt;"&amp;EDATE(DATEVALUE(C55&amp;"-01"),4))&gt;0,1,0)</f>
        <v>0</v>
      </c>
      <c r="K55" s="37">
        <f>IF(COUNTIFS('📋 Транзакції'!$B$5:$B$3623,A55,'📋 Транзакції'!$C$5:$C$3623,"&gt;="&amp;EDATE(DATEVALUE(C55&amp;"-01"),4),'📋 Транзакції'!$C$5:$C$3623,"&lt;"&amp;EDATE(DATEVALUE(C55&amp;"-01"),5))&gt;0,1,0)</f>
        <v>0</v>
      </c>
      <c r="L55" s="37">
        <f>IF(COUNTIFS('📋 Транзакції'!$B$5:$B$3623,A55,'📋 Транзакції'!$C$5:$C$3623,"&gt;="&amp;EDATE(DATEVALUE(C55&amp;"-01"),5),'📋 Транзакції'!$C$5:$C$3623,"&lt;"&amp;EDATE(DATEVALUE(C55&amp;"-01"),6))&gt;0,1,0)</f>
        <v>0</v>
      </c>
      <c r="M55" s="37">
        <f>IF(COUNTIFS('📋 Транзакції'!$B$5:$B$3623,A55,'📋 Транзакції'!$C$5:$C$3623,"&gt;="&amp;EDATE(DATEVALUE(C55&amp;"-01"),6),'📋 Транзакції'!$C$5:$C$3623,"&lt;"&amp;EDATE(DATEVALUE(C55&amp;"-01"),7))&gt;0,1,0)</f>
        <v>0</v>
      </c>
      <c r="N55" s="37">
        <f>IF(COUNTIFS('📋 Транзакції'!$B$5:$B$3623,A55,'📋 Транзакції'!$C$5:$C$3623,"&gt;="&amp;EDATE(DATEVALUE(C55&amp;"-01"),7),'📋 Транзакції'!$C$5:$C$3623,"&lt;"&amp;EDATE(DATEVALUE(C55&amp;"-01"),8))&gt;0,1,0)</f>
        <v>0</v>
      </c>
      <c r="O55" s="37">
        <f>IF(COUNTIFS('📋 Транзакції'!$B$5:$B$3623,A55,'📋 Транзакції'!$C$5:$C$3623,"&gt;="&amp;EDATE(DATEVALUE(C55&amp;"-01"),8),'📋 Транзакції'!$C$5:$C$3623,"&lt;"&amp;EDATE(DATEVALUE(C55&amp;"-01"),9))&gt;0,1,0)</f>
        <v>0</v>
      </c>
      <c r="P55" s="37">
        <f>IF(COUNTIFS('📋 Транзакції'!$B$5:$B$3623,A55,'📋 Транзакції'!$C$5:$C$3623,"&gt;="&amp;EDATE(DATEVALUE(C55&amp;"-01"),9),'📋 Транзакції'!$C$5:$C$3623,"&lt;"&amp;EDATE(DATEVALUE(C55&amp;"-01"),10))&gt;0,1,0)</f>
        <v>0</v>
      </c>
      <c r="Q55" s="37">
        <f>IF(COUNTIFS('📋 Транзакції'!$B$5:$B$3623,A55,'📋 Транзакції'!$C$5:$C$3623,"&gt;="&amp;EDATE(DATEVALUE(C55&amp;"-01"),10),'📋 Транзакції'!$C$5:$C$3623,"&lt;"&amp;EDATE(DATEVALUE(C55&amp;"-01"),11))&gt;0,1,0)</f>
        <v>0</v>
      </c>
      <c r="R55" s="37">
        <f>IF(COUNTIFS('📋 Транзакції'!$B$5:$B$3623,A55,'📋 Транзакції'!$C$5:$C$3623,"&gt;="&amp;EDATE(DATEVALUE(C55&amp;"-01"),11),'📋 Транзакції'!$C$5:$C$3623,"&lt;"&amp;EDATE(DATEVALUE(C55&amp;"-01"),12))&gt;0,1,0)</f>
        <v>0</v>
      </c>
      <c r="S55" s="37">
        <f>SUMIFS('📋 Транзакції'!$F$5:$F$3623,'📋 Транзакції'!$B$5:$B$3623,A55,'📋 Транзакції'!$C$5:$C$3623,"&gt;="&amp;EDATE(DATEVALUE(C55&amp;"-01"),0),'📋 Транзакції'!$C$5:$C$3623,"&lt;"&amp;EDATE(DATEVALUE(C55&amp;"-01"),1))</f>
        <v>0</v>
      </c>
      <c r="T55" s="37">
        <f>SUMIFS('📋 Транзакції'!$F$5:$F$3623,'📋 Транзакції'!$B$5:$B$3623,A55,'📋 Транзакції'!$C$5:$C$3623,"&gt;="&amp;EDATE(DATEVALUE(C55&amp;"-01"),1),'📋 Транзакції'!$C$5:$C$3623,"&lt;"&amp;EDATE(DATEVALUE(C55&amp;"-01"),2))</f>
        <v>19.99</v>
      </c>
      <c r="U55" s="37">
        <f>SUMIFS('📋 Транзакції'!$F$5:$F$3623,'📋 Транзакції'!$B$5:$B$3623,A55,'📋 Транзакції'!$C$5:$C$3623,"&gt;="&amp;EDATE(DATEVALUE(C55&amp;"-01"),2),'📋 Транзакції'!$C$5:$C$3623,"&lt;"&amp;EDATE(DATEVALUE(C55&amp;"-01"),3))</f>
        <v>0</v>
      </c>
      <c r="V55" s="37">
        <f>SUMIFS('📋 Транзакції'!$F$5:$F$3623,'📋 Транзакції'!$B$5:$B$3623,A55,'📋 Транзакції'!$C$5:$C$3623,"&gt;="&amp;EDATE(DATEVALUE(C55&amp;"-01"),3),'📋 Транзакції'!$C$5:$C$3623,"&lt;"&amp;EDATE(DATEVALUE(C55&amp;"-01"),4))</f>
        <v>0</v>
      </c>
      <c r="W55" s="37">
        <f>SUMIFS('📋 Транзакції'!$F$5:$F$3623,'📋 Транзакції'!$B$5:$B$3623,A55,'📋 Транзакції'!$C$5:$C$3623,"&gt;="&amp;EDATE(DATEVALUE(C55&amp;"-01"),4),'📋 Транзакції'!$C$5:$C$3623,"&lt;"&amp;EDATE(DATEVALUE(C55&amp;"-01"),5))</f>
        <v>0</v>
      </c>
      <c r="X55" s="37">
        <f>SUMIFS('📋 Транзакції'!$F$5:$F$3623,'📋 Транзакції'!$B$5:$B$3623,A55,'📋 Транзакції'!$C$5:$C$3623,"&gt;="&amp;EDATE(DATEVALUE(C55&amp;"-01"),5),'📋 Транзакції'!$C$5:$C$3623,"&lt;"&amp;EDATE(DATEVALUE(C55&amp;"-01"),6))</f>
        <v>0</v>
      </c>
      <c r="Y55" s="37">
        <f>SUMIFS('📋 Транзакції'!$F$5:$F$3623,'📋 Транзакції'!$B$5:$B$3623,A55,'📋 Транзакції'!$C$5:$C$3623,"&gt;="&amp;EDATE(DATEVALUE(C55&amp;"-01"),6),'📋 Транзакції'!$C$5:$C$3623,"&lt;"&amp;EDATE(DATEVALUE(C55&amp;"-01"),7))</f>
        <v>0</v>
      </c>
      <c r="Z55" s="37">
        <f>SUMIFS('📋 Транзакції'!$F$5:$F$3623,'📋 Транзакції'!$B$5:$B$3623,A55,'📋 Транзакції'!$C$5:$C$3623,"&gt;="&amp;EDATE(DATEVALUE(C55&amp;"-01"),7),'📋 Транзакції'!$C$5:$C$3623,"&lt;"&amp;EDATE(DATEVALUE(C55&amp;"-01"),8))</f>
        <v>0</v>
      </c>
      <c r="AA55" s="37">
        <f>SUMIFS('📋 Транзакції'!$F$5:$F$3623,'📋 Транзакції'!$B$5:$B$3623,A55,'📋 Транзакції'!$C$5:$C$3623,"&gt;="&amp;EDATE(DATEVALUE(C55&amp;"-01"),8),'📋 Транзакції'!$C$5:$C$3623,"&lt;"&amp;EDATE(DATEVALUE(C55&amp;"-01"),9))</f>
        <v>0</v>
      </c>
      <c r="AB55" s="37">
        <f>SUMIFS('📋 Транзакції'!$F$5:$F$3623,'📋 Транзакції'!$B$5:$B$3623,A55,'📋 Транзакції'!$C$5:$C$3623,"&gt;="&amp;EDATE(DATEVALUE(C55&amp;"-01"),9),'📋 Транзакції'!$C$5:$C$3623,"&lt;"&amp;EDATE(DATEVALUE(C55&amp;"-01"),10))</f>
        <v>0</v>
      </c>
      <c r="AC55" s="37">
        <f>SUMIFS('📋 Транзакції'!$F$5:$F$3623,'📋 Транзакції'!$B$5:$B$3623,A55,'📋 Транзакції'!$C$5:$C$3623,"&gt;="&amp;EDATE(DATEVALUE(C55&amp;"-01"),10),'📋 Транзакції'!$C$5:$C$3623,"&lt;"&amp;EDATE(DATEVALUE(C55&amp;"-01"),11))</f>
        <v>0</v>
      </c>
      <c r="AD55" s="37">
        <f>SUMIFS('📋 Транзакції'!$F$5:$F$3623,'📋 Транзакції'!$B$5:$B$3623,A55,'📋 Транзакції'!$C$5:$C$3623,"&gt;="&amp;EDATE(DATEVALUE(C55&amp;"-01"),11),'📋 Транзакції'!$C$5:$C$3623,"&lt;"&amp;EDATE(DATEVALUE(C55&amp;"-01"),12))</f>
        <v>0</v>
      </c>
    </row>
    <row r="56" ht="15.75" customHeight="1">
      <c r="A56" s="33" t="str">
        <f>'📋 Реєстрації'!A56:A657</f>
        <v>U0370</v>
      </c>
      <c r="B56" s="34">
        <f t="array" ref="B56">INDEX('📋 Транзакції'!$C$5:$C$3623,MATCH(A56,'📋 Транзакції'!$B$5:$B$3623,0))</f>
        <v>45351</v>
      </c>
      <c r="C56" s="35" t="str">
        <f t="shared" si="1"/>
        <v>2024-02</v>
      </c>
      <c r="D56" s="36">
        <f>COUNTIF('📋 Транзакції'!$B$5:$B$3623,A56)</f>
        <v>9</v>
      </c>
      <c r="E56" s="36">
        <f>SUMIF('📋 Транзакції'!$B$5:$B$3623,A56,'📋 Транзакції'!$F$5:$F$3623)</f>
        <v>159.92</v>
      </c>
      <c r="F56" s="35">
        <f>INT($A$1-MAXIFS('📋 Транзакції'!$C$5:$C$3623,'📋 Транзакції'!$B$5:$B$3623,A56))</f>
        <v>179</v>
      </c>
      <c r="G56" s="37">
        <f>IF(COUNTIFS('📋 Транзакції'!$B$5:$B$3623,A56,'📋 Транзакції'!$C$5:$C$3623,"&gt;="&amp;EDATE(DATEVALUE(C56&amp;"-01"),0),'📋 Транзакції'!$C$5:$C$3623,"&lt;"&amp;EDATE(DATEVALUE(C56&amp;"-01"),1))&gt;0,1,0)</f>
        <v>1</v>
      </c>
      <c r="H56" s="37">
        <f>IF(COUNTIFS('📋 Транзакції'!$B$5:$B$3623,A56,'📋 Транзакції'!$C$5:$C$3623,"&gt;="&amp;EDATE(DATEVALUE(C56&amp;"-01"),1),'📋 Транзакції'!$C$5:$C$3623,"&lt;"&amp;EDATE(DATEVALUE(C56&amp;"-01"),2))&gt;0,1,0)</f>
        <v>1</v>
      </c>
      <c r="I56" s="37">
        <f>IF(COUNTIFS('📋 Транзакції'!$B$5:$B$3623,A56,'📋 Транзакції'!$C$5:$C$3623,"&gt;="&amp;EDATE(DATEVALUE(C56&amp;"-01"),2),'📋 Транзакції'!$C$5:$C$3623,"&lt;"&amp;EDATE(DATEVALUE(C56&amp;"-01"),3))&gt;0,1,0)</f>
        <v>1</v>
      </c>
      <c r="J56" s="37">
        <f>IF(COUNTIFS('📋 Транзакції'!$B$5:$B$3623,A56,'📋 Транзакції'!$C$5:$C$3623,"&gt;="&amp;EDATE(DATEVALUE(C56&amp;"-01"),3),'📋 Транзакції'!$C$5:$C$3623,"&lt;"&amp;EDATE(DATEVALUE(C56&amp;"-01"),4))&gt;0,1,0)</f>
        <v>1</v>
      </c>
      <c r="K56" s="37">
        <f>IF(COUNTIFS('📋 Транзакції'!$B$5:$B$3623,A56,'📋 Транзакції'!$C$5:$C$3623,"&gt;="&amp;EDATE(DATEVALUE(C56&amp;"-01"),4),'📋 Транзакції'!$C$5:$C$3623,"&lt;"&amp;EDATE(DATEVALUE(C56&amp;"-01"),5))&gt;0,1,0)</f>
        <v>1</v>
      </c>
      <c r="L56" s="37">
        <f>IF(COUNTIFS('📋 Транзакції'!$B$5:$B$3623,A56,'📋 Транзакції'!$C$5:$C$3623,"&gt;="&amp;EDATE(DATEVALUE(C56&amp;"-01"),5),'📋 Транзакції'!$C$5:$C$3623,"&lt;"&amp;EDATE(DATEVALUE(C56&amp;"-01"),6))&gt;0,1,0)</f>
        <v>1</v>
      </c>
      <c r="M56" s="37">
        <f>IF(COUNTIFS('📋 Транзакції'!$B$5:$B$3623,A56,'📋 Транзакції'!$C$5:$C$3623,"&gt;="&amp;EDATE(DATEVALUE(C56&amp;"-01"),6),'📋 Транзакції'!$C$5:$C$3623,"&lt;"&amp;EDATE(DATEVALUE(C56&amp;"-01"),7))&gt;0,1,0)</f>
        <v>1</v>
      </c>
      <c r="N56" s="37">
        <f>IF(COUNTIFS('📋 Транзакції'!$B$5:$B$3623,A56,'📋 Транзакції'!$C$5:$C$3623,"&gt;="&amp;EDATE(DATEVALUE(C56&amp;"-01"),7),'📋 Транзакції'!$C$5:$C$3623,"&lt;"&amp;EDATE(DATEVALUE(C56&amp;"-01"),8))&gt;0,1,0)</f>
        <v>1</v>
      </c>
      <c r="O56" s="37">
        <f>IF(COUNTIFS('📋 Транзакції'!$B$5:$B$3623,A56,'📋 Транзакції'!$C$5:$C$3623,"&gt;="&amp;EDATE(DATEVALUE(C56&amp;"-01"),8),'📋 Транзакції'!$C$5:$C$3623,"&lt;"&amp;EDATE(DATEVALUE(C56&amp;"-01"),9))&gt;0,1,0)</f>
        <v>1</v>
      </c>
      <c r="P56" s="37">
        <f>IF(COUNTIFS('📋 Транзакції'!$B$5:$B$3623,A56,'📋 Транзакції'!$C$5:$C$3623,"&gt;="&amp;EDATE(DATEVALUE(C56&amp;"-01"),9),'📋 Транзакції'!$C$5:$C$3623,"&lt;"&amp;EDATE(DATEVALUE(C56&amp;"-01"),10))&gt;0,1,0)</f>
        <v>0</v>
      </c>
      <c r="Q56" s="37">
        <f>IF(COUNTIFS('📋 Транзакції'!$B$5:$B$3623,A56,'📋 Транзакції'!$C$5:$C$3623,"&gt;="&amp;EDATE(DATEVALUE(C56&amp;"-01"),10),'📋 Транзакції'!$C$5:$C$3623,"&lt;"&amp;EDATE(DATEVALUE(C56&amp;"-01"),11))&gt;0,1,0)</f>
        <v>0</v>
      </c>
      <c r="R56" s="37">
        <f>IF(COUNTIFS('📋 Транзакції'!$B$5:$B$3623,A56,'📋 Транзакції'!$C$5:$C$3623,"&gt;="&amp;EDATE(DATEVALUE(C56&amp;"-01"),11),'📋 Транзакції'!$C$5:$C$3623,"&lt;"&amp;EDATE(DATEVALUE(C56&amp;"-01"),12))&gt;0,1,0)</f>
        <v>0</v>
      </c>
      <c r="S56" s="37">
        <f>SUMIFS('📋 Транзакції'!$F$5:$F$3623,'📋 Транзакції'!$B$5:$B$3623,A56,'📋 Транзакції'!$C$5:$C$3623,"&gt;="&amp;EDATE(DATEVALUE(C56&amp;"-01"),0),'📋 Транзакції'!$C$5:$C$3623,"&lt;"&amp;EDATE(DATEVALUE(C56&amp;"-01"),1))</f>
        <v>0</v>
      </c>
      <c r="T56" s="37">
        <f>SUMIFS('📋 Транзакції'!$F$5:$F$3623,'📋 Транзакції'!$B$5:$B$3623,A56,'📋 Транзакції'!$C$5:$C$3623,"&gt;="&amp;EDATE(DATEVALUE(C56&amp;"-01"),1),'📋 Транзакції'!$C$5:$C$3623,"&lt;"&amp;EDATE(DATEVALUE(C56&amp;"-01"),2))</f>
        <v>19.99</v>
      </c>
      <c r="U56" s="37">
        <f>SUMIFS('📋 Транзакції'!$F$5:$F$3623,'📋 Транзакції'!$B$5:$B$3623,A56,'📋 Транзакції'!$C$5:$C$3623,"&gt;="&amp;EDATE(DATEVALUE(C56&amp;"-01"),2),'📋 Транзакції'!$C$5:$C$3623,"&lt;"&amp;EDATE(DATEVALUE(C56&amp;"-01"),3))</f>
        <v>19.99</v>
      </c>
      <c r="V56" s="37">
        <f>SUMIFS('📋 Транзакції'!$F$5:$F$3623,'📋 Транзакції'!$B$5:$B$3623,A56,'📋 Транзакції'!$C$5:$C$3623,"&gt;="&amp;EDATE(DATEVALUE(C56&amp;"-01"),3),'📋 Транзакції'!$C$5:$C$3623,"&lt;"&amp;EDATE(DATEVALUE(C56&amp;"-01"),4))</f>
        <v>19.99</v>
      </c>
      <c r="W56" s="37">
        <f>SUMIFS('📋 Транзакції'!$F$5:$F$3623,'📋 Транзакції'!$B$5:$B$3623,A56,'📋 Транзакції'!$C$5:$C$3623,"&gt;="&amp;EDATE(DATEVALUE(C56&amp;"-01"),4),'📋 Транзакції'!$C$5:$C$3623,"&lt;"&amp;EDATE(DATEVALUE(C56&amp;"-01"),5))</f>
        <v>19.99</v>
      </c>
      <c r="X56" s="37">
        <f>SUMIFS('📋 Транзакції'!$F$5:$F$3623,'📋 Транзакції'!$B$5:$B$3623,A56,'📋 Транзакції'!$C$5:$C$3623,"&gt;="&amp;EDATE(DATEVALUE(C56&amp;"-01"),5),'📋 Транзакції'!$C$5:$C$3623,"&lt;"&amp;EDATE(DATEVALUE(C56&amp;"-01"),6))</f>
        <v>19.99</v>
      </c>
      <c r="Y56" s="37">
        <f>SUMIFS('📋 Транзакції'!$F$5:$F$3623,'📋 Транзакції'!$B$5:$B$3623,A56,'📋 Транзакції'!$C$5:$C$3623,"&gt;="&amp;EDATE(DATEVALUE(C56&amp;"-01"),6),'📋 Транзакції'!$C$5:$C$3623,"&lt;"&amp;EDATE(DATEVALUE(C56&amp;"-01"),7))</f>
        <v>19.99</v>
      </c>
      <c r="Z56" s="37">
        <f>SUMIFS('📋 Транзакції'!$F$5:$F$3623,'📋 Транзакції'!$B$5:$B$3623,A56,'📋 Транзакції'!$C$5:$C$3623,"&gt;="&amp;EDATE(DATEVALUE(C56&amp;"-01"),7),'📋 Транзакції'!$C$5:$C$3623,"&lt;"&amp;EDATE(DATEVALUE(C56&amp;"-01"),8))</f>
        <v>19.99</v>
      </c>
      <c r="AA56" s="37">
        <f>SUMIFS('📋 Транзакції'!$F$5:$F$3623,'📋 Транзакції'!$B$5:$B$3623,A56,'📋 Транзакції'!$C$5:$C$3623,"&gt;="&amp;EDATE(DATEVALUE(C56&amp;"-01"),8),'📋 Транзакції'!$C$5:$C$3623,"&lt;"&amp;EDATE(DATEVALUE(C56&amp;"-01"),9))</f>
        <v>19.99</v>
      </c>
      <c r="AB56" s="37">
        <f>SUMIFS('📋 Транзакції'!$F$5:$F$3623,'📋 Транзакції'!$B$5:$B$3623,A56,'📋 Транзакції'!$C$5:$C$3623,"&gt;="&amp;EDATE(DATEVALUE(C56&amp;"-01"),9),'📋 Транзакції'!$C$5:$C$3623,"&lt;"&amp;EDATE(DATEVALUE(C56&amp;"-01"),10))</f>
        <v>0</v>
      </c>
      <c r="AC56" s="37">
        <f>SUMIFS('📋 Транзакції'!$F$5:$F$3623,'📋 Транзакції'!$B$5:$B$3623,A56,'📋 Транзакції'!$C$5:$C$3623,"&gt;="&amp;EDATE(DATEVALUE(C56&amp;"-01"),10),'📋 Транзакції'!$C$5:$C$3623,"&lt;"&amp;EDATE(DATEVALUE(C56&amp;"-01"),11))</f>
        <v>0</v>
      </c>
      <c r="AD56" s="37">
        <f>SUMIFS('📋 Транзакції'!$F$5:$F$3623,'📋 Транзакції'!$B$5:$B$3623,A56,'📋 Транзакції'!$C$5:$C$3623,"&gt;="&amp;EDATE(DATEVALUE(C56&amp;"-01"),11),'📋 Транзакції'!$C$5:$C$3623,"&lt;"&amp;EDATE(DATEVALUE(C56&amp;"-01"),12))</f>
        <v>0</v>
      </c>
    </row>
    <row r="57" ht="15.75" customHeight="1">
      <c r="A57" s="33" t="str">
        <f>'📋 Реєстрації'!A57:A658</f>
        <v>U0435</v>
      </c>
      <c r="B57" s="34">
        <f t="array" ref="B57">INDEX('📋 Транзакції'!$C$5:$C$3623,MATCH(A57,'📋 Транзакції'!$B$5:$B$3623,0))</f>
        <v>45353</v>
      </c>
      <c r="C57" s="35" t="str">
        <f t="shared" si="1"/>
        <v>2024-03</v>
      </c>
      <c r="D57" s="36">
        <f>COUNTIF('📋 Транзакції'!$B$5:$B$3623,A57)</f>
        <v>13</v>
      </c>
      <c r="E57" s="36">
        <f>SUMIF('📋 Транзакції'!$B$5:$B$3623,A57,'📋 Транзакції'!$F$5:$F$3623)</f>
        <v>239.88</v>
      </c>
      <c r="F57" s="35">
        <f>INT($A$1-MAXIFS('📋 Транзакції'!$C$5:$C$3623,'📋 Транзакції'!$B$5:$B$3623,A57))</f>
        <v>57</v>
      </c>
      <c r="G57" s="37">
        <f>IF(COUNTIFS('📋 Транзакції'!$B$5:$B$3623,A57,'📋 Транзакції'!$C$5:$C$3623,"&gt;="&amp;EDATE(DATEVALUE(C57&amp;"-01"),0),'📋 Транзакції'!$C$5:$C$3623,"&lt;"&amp;EDATE(DATEVALUE(C57&amp;"-01"),1))&gt;0,1,0)</f>
        <v>1</v>
      </c>
      <c r="H57" s="37">
        <f>IF(COUNTIFS('📋 Транзакції'!$B$5:$B$3623,A57,'📋 Транзакції'!$C$5:$C$3623,"&gt;="&amp;EDATE(DATEVALUE(C57&amp;"-01"),1),'📋 Транзакції'!$C$5:$C$3623,"&lt;"&amp;EDATE(DATEVALUE(C57&amp;"-01"),2))&gt;0,1,0)</f>
        <v>1</v>
      </c>
      <c r="I57" s="37">
        <f>IF(COUNTIFS('📋 Транзакції'!$B$5:$B$3623,A57,'📋 Транзакції'!$C$5:$C$3623,"&gt;="&amp;EDATE(DATEVALUE(C57&amp;"-01"),2),'📋 Транзакції'!$C$5:$C$3623,"&lt;"&amp;EDATE(DATEVALUE(C57&amp;"-01"),3))&gt;0,1,0)</f>
        <v>1</v>
      </c>
      <c r="J57" s="37">
        <f>IF(COUNTIFS('📋 Транзакції'!$B$5:$B$3623,A57,'📋 Транзакції'!$C$5:$C$3623,"&gt;="&amp;EDATE(DATEVALUE(C57&amp;"-01"),3),'📋 Транзакції'!$C$5:$C$3623,"&lt;"&amp;EDATE(DATEVALUE(C57&amp;"-01"),4))&gt;0,1,0)</f>
        <v>1</v>
      </c>
      <c r="K57" s="37">
        <f>IF(COUNTIFS('📋 Транзакції'!$B$5:$B$3623,A57,'📋 Транзакції'!$C$5:$C$3623,"&gt;="&amp;EDATE(DATEVALUE(C57&amp;"-01"),4),'📋 Транзакції'!$C$5:$C$3623,"&lt;"&amp;EDATE(DATEVALUE(C57&amp;"-01"),5))&gt;0,1,0)</f>
        <v>1</v>
      </c>
      <c r="L57" s="37">
        <f>IF(COUNTIFS('📋 Транзакції'!$B$5:$B$3623,A57,'📋 Транзакції'!$C$5:$C$3623,"&gt;="&amp;EDATE(DATEVALUE(C57&amp;"-01"),5),'📋 Транзакції'!$C$5:$C$3623,"&lt;"&amp;EDATE(DATEVALUE(C57&amp;"-01"),6))&gt;0,1,0)</f>
        <v>1</v>
      </c>
      <c r="M57" s="37">
        <f>IF(COUNTIFS('📋 Транзакції'!$B$5:$B$3623,A57,'📋 Транзакції'!$C$5:$C$3623,"&gt;="&amp;EDATE(DATEVALUE(C57&amp;"-01"),6),'📋 Транзакції'!$C$5:$C$3623,"&lt;"&amp;EDATE(DATEVALUE(C57&amp;"-01"),7))&gt;0,1,0)</f>
        <v>1</v>
      </c>
      <c r="N57" s="37">
        <f>IF(COUNTIFS('📋 Транзакції'!$B$5:$B$3623,A57,'📋 Транзакції'!$C$5:$C$3623,"&gt;="&amp;EDATE(DATEVALUE(C57&amp;"-01"),7),'📋 Транзакції'!$C$5:$C$3623,"&lt;"&amp;EDATE(DATEVALUE(C57&amp;"-01"),8))&gt;0,1,0)</f>
        <v>1</v>
      </c>
      <c r="O57" s="37">
        <f>IF(COUNTIFS('📋 Транзакції'!$B$5:$B$3623,A57,'📋 Транзакції'!$C$5:$C$3623,"&gt;="&amp;EDATE(DATEVALUE(C57&amp;"-01"),8),'📋 Транзакції'!$C$5:$C$3623,"&lt;"&amp;EDATE(DATEVALUE(C57&amp;"-01"),9))&gt;0,1,0)</f>
        <v>1</v>
      </c>
      <c r="P57" s="37">
        <f>IF(COUNTIFS('📋 Транзакції'!$B$5:$B$3623,A57,'📋 Транзакції'!$C$5:$C$3623,"&gt;="&amp;EDATE(DATEVALUE(C57&amp;"-01"),9),'📋 Транзакції'!$C$5:$C$3623,"&lt;"&amp;EDATE(DATEVALUE(C57&amp;"-01"),10))&gt;0,1,0)</f>
        <v>1</v>
      </c>
      <c r="Q57" s="37">
        <f>IF(COUNTIFS('📋 Транзакції'!$B$5:$B$3623,A57,'📋 Транзакції'!$C$5:$C$3623,"&gt;="&amp;EDATE(DATEVALUE(C57&amp;"-01"),10),'📋 Транзакції'!$C$5:$C$3623,"&lt;"&amp;EDATE(DATEVALUE(C57&amp;"-01"),11))&gt;0,1,0)</f>
        <v>1</v>
      </c>
      <c r="R57" s="37">
        <f>IF(COUNTIFS('📋 Транзакції'!$B$5:$B$3623,A57,'📋 Транзакції'!$C$5:$C$3623,"&gt;="&amp;EDATE(DATEVALUE(C57&amp;"-01"),11),'📋 Транзакції'!$C$5:$C$3623,"&lt;"&amp;EDATE(DATEVALUE(C57&amp;"-01"),12))&gt;0,1,0)</f>
        <v>1</v>
      </c>
      <c r="S57" s="37">
        <f>SUMIFS('📋 Транзакції'!$F$5:$F$3623,'📋 Транзакції'!$B$5:$B$3623,A57,'📋 Транзакції'!$C$5:$C$3623,"&gt;="&amp;EDATE(DATEVALUE(C57&amp;"-01"),0),'📋 Транзакції'!$C$5:$C$3623,"&lt;"&amp;EDATE(DATEVALUE(C57&amp;"-01"),1))</f>
        <v>19.99</v>
      </c>
      <c r="T57" s="37">
        <f>SUMIFS('📋 Транзакції'!$F$5:$F$3623,'📋 Транзакції'!$B$5:$B$3623,A57,'📋 Транзакції'!$C$5:$C$3623,"&gt;="&amp;EDATE(DATEVALUE(C57&amp;"-01"),1),'📋 Транзакції'!$C$5:$C$3623,"&lt;"&amp;EDATE(DATEVALUE(C57&amp;"-01"),2))</f>
        <v>19.99</v>
      </c>
      <c r="U57" s="37">
        <f>SUMIFS('📋 Транзакції'!$F$5:$F$3623,'📋 Транзакції'!$B$5:$B$3623,A57,'📋 Транзакції'!$C$5:$C$3623,"&gt;="&amp;EDATE(DATEVALUE(C57&amp;"-01"),2),'📋 Транзакції'!$C$5:$C$3623,"&lt;"&amp;EDATE(DATEVALUE(C57&amp;"-01"),3))</f>
        <v>19.99</v>
      </c>
      <c r="V57" s="37">
        <f>SUMIFS('📋 Транзакції'!$F$5:$F$3623,'📋 Транзакції'!$B$5:$B$3623,A57,'📋 Транзакції'!$C$5:$C$3623,"&gt;="&amp;EDATE(DATEVALUE(C57&amp;"-01"),3),'📋 Транзакції'!$C$5:$C$3623,"&lt;"&amp;EDATE(DATEVALUE(C57&amp;"-01"),4))</f>
        <v>19.99</v>
      </c>
      <c r="W57" s="37">
        <f>SUMIFS('📋 Транзакції'!$F$5:$F$3623,'📋 Транзакції'!$B$5:$B$3623,A57,'📋 Транзакції'!$C$5:$C$3623,"&gt;="&amp;EDATE(DATEVALUE(C57&amp;"-01"),4),'📋 Транзакції'!$C$5:$C$3623,"&lt;"&amp;EDATE(DATEVALUE(C57&amp;"-01"),5))</f>
        <v>19.99</v>
      </c>
      <c r="X57" s="37">
        <f>SUMIFS('📋 Транзакції'!$F$5:$F$3623,'📋 Транзакції'!$B$5:$B$3623,A57,'📋 Транзакції'!$C$5:$C$3623,"&gt;="&amp;EDATE(DATEVALUE(C57&amp;"-01"),5),'📋 Транзакції'!$C$5:$C$3623,"&lt;"&amp;EDATE(DATEVALUE(C57&amp;"-01"),6))</f>
        <v>19.99</v>
      </c>
      <c r="Y57" s="37">
        <f>SUMIFS('📋 Транзакції'!$F$5:$F$3623,'📋 Транзакції'!$B$5:$B$3623,A57,'📋 Транзакції'!$C$5:$C$3623,"&gt;="&amp;EDATE(DATEVALUE(C57&amp;"-01"),6),'📋 Транзакції'!$C$5:$C$3623,"&lt;"&amp;EDATE(DATEVALUE(C57&amp;"-01"),7))</f>
        <v>19.99</v>
      </c>
      <c r="Z57" s="37">
        <f>SUMIFS('📋 Транзакції'!$F$5:$F$3623,'📋 Транзакції'!$B$5:$B$3623,A57,'📋 Транзакції'!$C$5:$C$3623,"&gt;="&amp;EDATE(DATEVALUE(C57&amp;"-01"),7),'📋 Транзакції'!$C$5:$C$3623,"&lt;"&amp;EDATE(DATEVALUE(C57&amp;"-01"),8))</f>
        <v>19.99</v>
      </c>
      <c r="AA57" s="37">
        <f>SUMIFS('📋 Транзакції'!$F$5:$F$3623,'📋 Транзакції'!$B$5:$B$3623,A57,'📋 Транзакції'!$C$5:$C$3623,"&gt;="&amp;EDATE(DATEVALUE(C57&amp;"-01"),8),'📋 Транзакції'!$C$5:$C$3623,"&lt;"&amp;EDATE(DATEVALUE(C57&amp;"-01"),9))</f>
        <v>19.99</v>
      </c>
      <c r="AB57" s="37">
        <f>SUMIFS('📋 Транзакції'!$F$5:$F$3623,'📋 Транзакції'!$B$5:$B$3623,A57,'📋 Транзакції'!$C$5:$C$3623,"&gt;="&amp;EDATE(DATEVALUE(C57&amp;"-01"),9),'📋 Транзакції'!$C$5:$C$3623,"&lt;"&amp;EDATE(DATEVALUE(C57&amp;"-01"),10))</f>
        <v>19.99</v>
      </c>
      <c r="AC57" s="37">
        <f>SUMIFS('📋 Транзакції'!$F$5:$F$3623,'📋 Транзакції'!$B$5:$B$3623,A57,'📋 Транзакції'!$C$5:$C$3623,"&gt;="&amp;EDATE(DATEVALUE(C57&amp;"-01"),10),'📋 Транзакції'!$C$5:$C$3623,"&lt;"&amp;EDATE(DATEVALUE(C57&amp;"-01"),11))</f>
        <v>19.99</v>
      </c>
      <c r="AD57" s="37">
        <f>SUMIFS('📋 Транзакції'!$F$5:$F$3623,'📋 Транзакції'!$B$5:$B$3623,A57,'📋 Транзакції'!$C$5:$C$3623,"&gt;="&amp;EDATE(DATEVALUE(C57&amp;"-01"),11),'📋 Транзакції'!$C$5:$C$3623,"&lt;"&amp;EDATE(DATEVALUE(C57&amp;"-01"),12))</f>
        <v>19.99</v>
      </c>
    </row>
    <row r="58" ht="15.75" customHeight="1">
      <c r="A58" s="33" t="str">
        <f>'📋 Реєстрації'!A58:A659</f>
        <v>U0614</v>
      </c>
      <c r="B58" s="34">
        <f t="array" ref="B58">INDEX('📋 Транзакції'!$C$5:$C$3623,MATCH(A58,'📋 Транзакції'!$B$5:$B$3623,0))</f>
        <v>45354</v>
      </c>
      <c r="C58" s="35" t="str">
        <f t="shared" si="1"/>
        <v>2024-03</v>
      </c>
      <c r="D58" s="36">
        <f>COUNTIF('📋 Транзакції'!$B$5:$B$3623,A58)</f>
        <v>4</v>
      </c>
      <c r="E58" s="36">
        <f>SUMIF('📋 Транзакції'!$B$5:$B$3623,A58,'📋 Транзакції'!$F$5:$F$3623)</f>
        <v>59.97</v>
      </c>
      <c r="F58" s="35">
        <f>INT($A$1-MAXIFS('📋 Транзакції'!$C$5:$C$3623,'📋 Транзакції'!$B$5:$B$3623,A58))</f>
        <v>326</v>
      </c>
      <c r="G58" s="37">
        <f>IF(COUNTIFS('📋 Транзакції'!$B$5:$B$3623,A58,'📋 Транзакції'!$C$5:$C$3623,"&gt;="&amp;EDATE(DATEVALUE(C58&amp;"-01"),0),'📋 Транзакції'!$C$5:$C$3623,"&lt;"&amp;EDATE(DATEVALUE(C58&amp;"-01"),1))&gt;0,1,0)</f>
        <v>1</v>
      </c>
      <c r="H58" s="37">
        <f>IF(COUNTIFS('📋 Транзакції'!$B$5:$B$3623,A58,'📋 Транзакції'!$C$5:$C$3623,"&gt;="&amp;EDATE(DATEVALUE(C58&amp;"-01"),1),'📋 Транзакції'!$C$5:$C$3623,"&lt;"&amp;EDATE(DATEVALUE(C58&amp;"-01"),2))&gt;0,1,0)</f>
        <v>1</v>
      </c>
      <c r="I58" s="37">
        <f>IF(COUNTIFS('📋 Транзакції'!$B$5:$B$3623,A58,'📋 Транзакції'!$C$5:$C$3623,"&gt;="&amp;EDATE(DATEVALUE(C58&amp;"-01"),2),'📋 Транзакції'!$C$5:$C$3623,"&lt;"&amp;EDATE(DATEVALUE(C58&amp;"-01"),3))&gt;0,1,0)</f>
        <v>1</v>
      </c>
      <c r="J58" s="37">
        <f>IF(COUNTIFS('📋 Транзакції'!$B$5:$B$3623,A58,'📋 Транзакції'!$C$5:$C$3623,"&gt;="&amp;EDATE(DATEVALUE(C58&amp;"-01"),3),'📋 Транзакції'!$C$5:$C$3623,"&lt;"&amp;EDATE(DATEVALUE(C58&amp;"-01"),4))&gt;0,1,0)</f>
        <v>0</v>
      </c>
      <c r="K58" s="37">
        <f>IF(COUNTIFS('📋 Транзакції'!$B$5:$B$3623,A58,'📋 Транзакції'!$C$5:$C$3623,"&gt;="&amp;EDATE(DATEVALUE(C58&amp;"-01"),4),'📋 Транзакції'!$C$5:$C$3623,"&lt;"&amp;EDATE(DATEVALUE(C58&amp;"-01"),5))&gt;0,1,0)</f>
        <v>0</v>
      </c>
      <c r="L58" s="37">
        <f>IF(COUNTIFS('📋 Транзакції'!$B$5:$B$3623,A58,'📋 Транзакції'!$C$5:$C$3623,"&gt;="&amp;EDATE(DATEVALUE(C58&amp;"-01"),5),'📋 Транзакції'!$C$5:$C$3623,"&lt;"&amp;EDATE(DATEVALUE(C58&amp;"-01"),6))&gt;0,1,0)</f>
        <v>0</v>
      </c>
      <c r="M58" s="37">
        <f>IF(COUNTIFS('📋 Транзакції'!$B$5:$B$3623,A58,'📋 Транзакції'!$C$5:$C$3623,"&gt;="&amp;EDATE(DATEVALUE(C58&amp;"-01"),6),'📋 Транзакції'!$C$5:$C$3623,"&lt;"&amp;EDATE(DATEVALUE(C58&amp;"-01"),7))&gt;0,1,0)</f>
        <v>0</v>
      </c>
      <c r="N58" s="37">
        <f>IF(COUNTIFS('📋 Транзакції'!$B$5:$B$3623,A58,'📋 Транзакції'!$C$5:$C$3623,"&gt;="&amp;EDATE(DATEVALUE(C58&amp;"-01"),7),'📋 Транзакції'!$C$5:$C$3623,"&lt;"&amp;EDATE(DATEVALUE(C58&amp;"-01"),8))&gt;0,1,0)</f>
        <v>0</v>
      </c>
      <c r="O58" s="37">
        <f>IF(COUNTIFS('📋 Транзакції'!$B$5:$B$3623,A58,'📋 Транзакції'!$C$5:$C$3623,"&gt;="&amp;EDATE(DATEVALUE(C58&amp;"-01"),8),'📋 Транзакції'!$C$5:$C$3623,"&lt;"&amp;EDATE(DATEVALUE(C58&amp;"-01"),9))&gt;0,1,0)</f>
        <v>0</v>
      </c>
      <c r="P58" s="37">
        <f>IF(COUNTIFS('📋 Транзакції'!$B$5:$B$3623,A58,'📋 Транзакції'!$C$5:$C$3623,"&gt;="&amp;EDATE(DATEVALUE(C58&amp;"-01"),9),'📋 Транзакції'!$C$5:$C$3623,"&lt;"&amp;EDATE(DATEVALUE(C58&amp;"-01"),10))&gt;0,1,0)</f>
        <v>0</v>
      </c>
      <c r="Q58" s="37">
        <f>IF(COUNTIFS('📋 Транзакції'!$B$5:$B$3623,A58,'📋 Транзакції'!$C$5:$C$3623,"&gt;="&amp;EDATE(DATEVALUE(C58&amp;"-01"),10),'📋 Транзакції'!$C$5:$C$3623,"&lt;"&amp;EDATE(DATEVALUE(C58&amp;"-01"),11))&gt;0,1,0)</f>
        <v>0</v>
      </c>
      <c r="R58" s="37">
        <f>IF(COUNTIFS('📋 Транзакції'!$B$5:$B$3623,A58,'📋 Транзакції'!$C$5:$C$3623,"&gt;="&amp;EDATE(DATEVALUE(C58&amp;"-01"),11),'📋 Транзакції'!$C$5:$C$3623,"&lt;"&amp;EDATE(DATEVALUE(C58&amp;"-01"),12))&gt;0,1,0)</f>
        <v>0</v>
      </c>
      <c r="S58" s="37">
        <f>SUMIFS('📋 Транзакції'!$F$5:$F$3623,'📋 Транзакції'!$B$5:$B$3623,A58,'📋 Транзакції'!$C$5:$C$3623,"&gt;="&amp;EDATE(DATEVALUE(C58&amp;"-01"),0),'📋 Транзакції'!$C$5:$C$3623,"&lt;"&amp;EDATE(DATEVALUE(C58&amp;"-01"),1))</f>
        <v>19.99</v>
      </c>
      <c r="T58" s="37">
        <f>SUMIFS('📋 Транзакції'!$F$5:$F$3623,'📋 Транзакції'!$B$5:$B$3623,A58,'📋 Транзакції'!$C$5:$C$3623,"&gt;="&amp;EDATE(DATEVALUE(C58&amp;"-01"),1),'📋 Транзакції'!$C$5:$C$3623,"&lt;"&amp;EDATE(DATEVALUE(C58&amp;"-01"),2))</f>
        <v>19.99</v>
      </c>
      <c r="U58" s="37">
        <f>SUMIFS('📋 Транзакції'!$F$5:$F$3623,'📋 Транзакції'!$B$5:$B$3623,A58,'📋 Транзакції'!$C$5:$C$3623,"&gt;="&amp;EDATE(DATEVALUE(C58&amp;"-01"),2),'📋 Транзакції'!$C$5:$C$3623,"&lt;"&amp;EDATE(DATEVALUE(C58&amp;"-01"),3))</f>
        <v>19.99</v>
      </c>
      <c r="V58" s="37">
        <f>SUMIFS('📋 Транзакції'!$F$5:$F$3623,'📋 Транзакції'!$B$5:$B$3623,A58,'📋 Транзакції'!$C$5:$C$3623,"&gt;="&amp;EDATE(DATEVALUE(C58&amp;"-01"),3),'📋 Транзакції'!$C$5:$C$3623,"&lt;"&amp;EDATE(DATEVALUE(C58&amp;"-01"),4))</f>
        <v>0</v>
      </c>
      <c r="W58" s="37">
        <f>SUMIFS('📋 Транзакції'!$F$5:$F$3623,'📋 Транзакції'!$B$5:$B$3623,A58,'📋 Транзакції'!$C$5:$C$3623,"&gt;="&amp;EDATE(DATEVALUE(C58&amp;"-01"),4),'📋 Транзакції'!$C$5:$C$3623,"&lt;"&amp;EDATE(DATEVALUE(C58&amp;"-01"),5))</f>
        <v>0</v>
      </c>
      <c r="X58" s="37">
        <f>SUMIFS('📋 Транзакції'!$F$5:$F$3623,'📋 Транзакції'!$B$5:$B$3623,A58,'📋 Транзакції'!$C$5:$C$3623,"&gt;="&amp;EDATE(DATEVALUE(C58&amp;"-01"),5),'📋 Транзакції'!$C$5:$C$3623,"&lt;"&amp;EDATE(DATEVALUE(C58&amp;"-01"),6))</f>
        <v>0</v>
      </c>
      <c r="Y58" s="37">
        <f>SUMIFS('📋 Транзакції'!$F$5:$F$3623,'📋 Транзакції'!$B$5:$B$3623,A58,'📋 Транзакції'!$C$5:$C$3623,"&gt;="&amp;EDATE(DATEVALUE(C58&amp;"-01"),6),'📋 Транзакції'!$C$5:$C$3623,"&lt;"&amp;EDATE(DATEVALUE(C58&amp;"-01"),7))</f>
        <v>0</v>
      </c>
      <c r="Z58" s="37">
        <f>SUMIFS('📋 Транзакції'!$F$5:$F$3623,'📋 Транзакції'!$B$5:$B$3623,A58,'📋 Транзакції'!$C$5:$C$3623,"&gt;="&amp;EDATE(DATEVALUE(C58&amp;"-01"),7),'📋 Транзакції'!$C$5:$C$3623,"&lt;"&amp;EDATE(DATEVALUE(C58&amp;"-01"),8))</f>
        <v>0</v>
      </c>
      <c r="AA58" s="37">
        <f>SUMIFS('📋 Транзакції'!$F$5:$F$3623,'📋 Транзакції'!$B$5:$B$3623,A58,'📋 Транзакції'!$C$5:$C$3623,"&gt;="&amp;EDATE(DATEVALUE(C58&amp;"-01"),8),'📋 Транзакції'!$C$5:$C$3623,"&lt;"&amp;EDATE(DATEVALUE(C58&amp;"-01"),9))</f>
        <v>0</v>
      </c>
      <c r="AB58" s="37">
        <f>SUMIFS('📋 Транзакції'!$F$5:$F$3623,'📋 Транзакції'!$B$5:$B$3623,A58,'📋 Транзакції'!$C$5:$C$3623,"&gt;="&amp;EDATE(DATEVALUE(C58&amp;"-01"),9),'📋 Транзакції'!$C$5:$C$3623,"&lt;"&amp;EDATE(DATEVALUE(C58&amp;"-01"),10))</f>
        <v>0</v>
      </c>
      <c r="AC58" s="37">
        <f>SUMIFS('📋 Транзакції'!$F$5:$F$3623,'📋 Транзакції'!$B$5:$B$3623,A58,'📋 Транзакції'!$C$5:$C$3623,"&gt;="&amp;EDATE(DATEVALUE(C58&amp;"-01"),10),'📋 Транзакції'!$C$5:$C$3623,"&lt;"&amp;EDATE(DATEVALUE(C58&amp;"-01"),11))</f>
        <v>0</v>
      </c>
      <c r="AD58" s="37">
        <f>SUMIFS('📋 Транзакції'!$F$5:$F$3623,'📋 Транзакції'!$B$5:$B$3623,A58,'📋 Транзакції'!$C$5:$C$3623,"&gt;="&amp;EDATE(DATEVALUE(C58&amp;"-01"),11),'📋 Транзакції'!$C$5:$C$3623,"&lt;"&amp;EDATE(DATEVALUE(C58&amp;"-01"),12))</f>
        <v>0</v>
      </c>
    </row>
    <row r="59" ht="15.75" customHeight="1">
      <c r="A59" s="33" t="str">
        <f>'📋 Реєстрації'!A59:A660</f>
        <v>U0165</v>
      </c>
      <c r="B59" s="34">
        <f t="array" ref="B59">INDEX('📋 Транзакції'!$C$5:$C$3623,MATCH(A59,'📋 Транзакції'!$B$5:$B$3623,0))</f>
        <v>45355</v>
      </c>
      <c r="C59" s="35" t="str">
        <f t="shared" si="1"/>
        <v>2024-03</v>
      </c>
      <c r="D59" s="36">
        <f>COUNTIF('📋 Транзакції'!$B$5:$B$3623,A59)</f>
        <v>14</v>
      </c>
      <c r="E59" s="36">
        <f>SUMIF('📋 Транзакції'!$B$5:$B$3623,A59,'📋 Транзакції'!$F$5:$F$3623)</f>
        <v>259.87</v>
      </c>
      <c r="F59" s="35">
        <f>INT($A$1-MAXIFS('📋 Транзакції'!$C$5:$C$3623,'📋 Транзакції'!$B$5:$B$3623,A59))</f>
        <v>25</v>
      </c>
      <c r="G59" s="37">
        <f>IF(COUNTIFS('📋 Транзакції'!$B$5:$B$3623,A59,'📋 Транзакції'!$C$5:$C$3623,"&gt;="&amp;EDATE(DATEVALUE(C59&amp;"-01"),0),'📋 Транзакції'!$C$5:$C$3623,"&lt;"&amp;EDATE(DATEVALUE(C59&amp;"-01"),1))&gt;0,1,0)</f>
        <v>1</v>
      </c>
      <c r="H59" s="37">
        <f>IF(COUNTIFS('📋 Транзакції'!$B$5:$B$3623,A59,'📋 Транзакції'!$C$5:$C$3623,"&gt;="&amp;EDATE(DATEVALUE(C59&amp;"-01"),1),'📋 Транзакції'!$C$5:$C$3623,"&lt;"&amp;EDATE(DATEVALUE(C59&amp;"-01"),2))&gt;0,1,0)</f>
        <v>1</v>
      </c>
      <c r="I59" s="37">
        <f>IF(COUNTIFS('📋 Транзакції'!$B$5:$B$3623,A59,'📋 Транзакції'!$C$5:$C$3623,"&gt;="&amp;EDATE(DATEVALUE(C59&amp;"-01"),2),'📋 Транзакції'!$C$5:$C$3623,"&lt;"&amp;EDATE(DATEVALUE(C59&amp;"-01"),3))&gt;0,1,0)</f>
        <v>1</v>
      </c>
      <c r="J59" s="37">
        <f>IF(COUNTIFS('📋 Транзакції'!$B$5:$B$3623,A59,'📋 Транзакції'!$C$5:$C$3623,"&gt;="&amp;EDATE(DATEVALUE(C59&amp;"-01"),3),'📋 Транзакції'!$C$5:$C$3623,"&lt;"&amp;EDATE(DATEVALUE(C59&amp;"-01"),4))&gt;0,1,0)</f>
        <v>1</v>
      </c>
      <c r="K59" s="37">
        <f>IF(COUNTIFS('📋 Транзакції'!$B$5:$B$3623,A59,'📋 Транзакції'!$C$5:$C$3623,"&gt;="&amp;EDATE(DATEVALUE(C59&amp;"-01"),4),'📋 Транзакції'!$C$5:$C$3623,"&lt;"&amp;EDATE(DATEVALUE(C59&amp;"-01"),5))&gt;0,1,0)</f>
        <v>1</v>
      </c>
      <c r="L59" s="37">
        <f>IF(COUNTIFS('📋 Транзакції'!$B$5:$B$3623,A59,'📋 Транзакції'!$C$5:$C$3623,"&gt;="&amp;EDATE(DATEVALUE(C59&amp;"-01"),5),'📋 Транзакції'!$C$5:$C$3623,"&lt;"&amp;EDATE(DATEVALUE(C59&amp;"-01"),6))&gt;0,1,0)</f>
        <v>1</v>
      </c>
      <c r="M59" s="37">
        <f>IF(COUNTIFS('📋 Транзакції'!$B$5:$B$3623,A59,'📋 Транзакції'!$C$5:$C$3623,"&gt;="&amp;EDATE(DATEVALUE(C59&amp;"-01"),6),'📋 Транзакції'!$C$5:$C$3623,"&lt;"&amp;EDATE(DATEVALUE(C59&amp;"-01"),7))&gt;0,1,0)</f>
        <v>1</v>
      </c>
      <c r="N59" s="37">
        <f>IF(COUNTIFS('📋 Транзакції'!$B$5:$B$3623,A59,'📋 Транзакції'!$C$5:$C$3623,"&gt;="&amp;EDATE(DATEVALUE(C59&amp;"-01"),7),'📋 Транзакції'!$C$5:$C$3623,"&lt;"&amp;EDATE(DATEVALUE(C59&amp;"-01"),8))&gt;0,1,0)</f>
        <v>1</v>
      </c>
      <c r="O59" s="37">
        <f>IF(COUNTIFS('📋 Транзакції'!$B$5:$B$3623,A59,'📋 Транзакції'!$C$5:$C$3623,"&gt;="&amp;EDATE(DATEVALUE(C59&amp;"-01"),8),'📋 Транзакції'!$C$5:$C$3623,"&lt;"&amp;EDATE(DATEVALUE(C59&amp;"-01"),9))&gt;0,1,0)</f>
        <v>1</v>
      </c>
      <c r="P59" s="37">
        <f>IF(COUNTIFS('📋 Транзакції'!$B$5:$B$3623,A59,'📋 Транзакції'!$C$5:$C$3623,"&gt;="&amp;EDATE(DATEVALUE(C59&amp;"-01"),9),'📋 Транзакції'!$C$5:$C$3623,"&lt;"&amp;EDATE(DATEVALUE(C59&amp;"-01"),10))&gt;0,1,0)</f>
        <v>1</v>
      </c>
      <c r="Q59" s="37">
        <f>IF(COUNTIFS('📋 Транзакції'!$B$5:$B$3623,A59,'📋 Транзакції'!$C$5:$C$3623,"&gt;="&amp;EDATE(DATEVALUE(C59&amp;"-01"),10),'📋 Транзакції'!$C$5:$C$3623,"&lt;"&amp;EDATE(DATEVALUE(C59&amp;"-01"),11))&gt;0,1,0)</f>
        <v>1</v>
      </c>
      <c r="R59" s="37">
        <f>IF(COUNTIFS('📋 Транзакції'!$B$5:$B$3623,A59,'📋 Транзакції'!$C$5:$C$3623,"&gt;="&amp;EDATE(DATEVALUE(C59&amp;"-01"),11),'📋 Транзакції'!$C$5:$C$3623,"&lt;"&amp;EDATE(DATEVALUE(C59&amp;"-01"),12))&gt;0,1,0)</f>
        <v>1</v>
      </c>
      <c r="S59" s="37">
        <f>SUMIFS('📋 Транзакції'!$F$5:$F$3623,'📋 Транзакції'!$B$5:$B$3623,A59,'📋 Транзакції'!$C$5:$C$3623,"&gt;="&amp;EDATE(DATEVALUE(C59&amp;"-01"),0),'📋 Транзакції'!$C$5:$C$3623,"&lt;"&amp;EDATE(DATEVALUE(C59&amp;"-01"),1))</f>
        <v>19.99</v>
      </c>
      <c r="T59" s="37">
        <f>SUMIFS('📋 Транзакції'!$F$5:$F$3623,'📋 Транзакції'!$B$5:$B$3623,A59,'📋 Транзакції'!$C$5:$C$3623,"&gt;="&amp;EDATE(DATEVALUE(C59&amp;"-01"),1),'📋 Транзакції'!$C$5:$C$3623,"&lt;"&amp;EDATE(DATEVALUE(C59&amp;"-01"),2))</f>
        <v>19.99</v>
      </c>
      <c r="U59" s="37">
        <f>SUMIFS('📋 Транзакції'!$F$5:$F$3623,'📋 Транзакції'!$B$5:$B$3623,A59,'📋 Транзакції'!$C$5:$C$3623,"&gt;="&amp;EDATE(DATEVALUE(C59&amp;"-01"),2),'📋 Транзакції'!$C$5:$C$3623,"&lt;"&amp;EDATE(DATEVALUE(C59&amp;"-01"),3))</f>
        <v>19.99</v>
      </c>
      <c r="V59" s="37">
        <f>SUMIFS('📋 Транзакції'!$F$5:$F$3623,'📋 Транзакції'!$B$5:$B$3623,A59,'📋 Транзакції'!$C$5:$C$3623,"&gt;="&amp;EDATE(DATEVALUE(C59&amp;"-01"),3),'📋 Транзакції'!$C$5:$C$3623,"&lt;"&amp;EDATE(DATEVALUE(C59&amp;"-01"),4))</f>
        <v>19.99</v>
      </c>
      <c r="W59" s="37">
        <f>SUMIFS('📋 Транзакції'!$F$5:$F$3623,'📋 Транзакції'!$B$5:$B$3623,A59,'📋 Транзакції'!$C$5:$C$3623,"&gt;="&amp;EDATE(DATEVALUE(C59&amp;"-01"),4),'📋 Транзакції'!$C$5:$C$3623,"&lt;"&amp;EDATE(DATEVALUE(C59&amp;"-01"),5))</f>
        <v>19.99</v>
      </c>
      <c r="X59" s="37">
        <f>SUMIFS('📋 Транзакції'!$F$5:$F$3623,'📋 Транзакції'!$B$5:$B$3623,A59,'📋 Транзакції'!$C$5:$C$3623,"&gt;="&amp;EDATE(DATEVALUE(C59&amp;"-01"),5),'📋 Транзакції'!$C$5:$C$3623,"&lt;"&amp;EDATE(DATEVALUE(C59&amp;"-01"),6))</f>
        <v>19.99</v>
      </c>
      <c r="Y59" s="37">
        <f>SUMIFS('📋 Транзакції'!$F$5:$F$3623,'📋 Транзакції'!$B$5:$B$3623,A59,'📋 Транзакції'!$C$5:$C$3623,"&gt;="&amp;EDATE(DATEVALUE(C59&amp;"-01"),6),'📋 Транзакції'!$C$5:$C$3623,"&lt;"&amp;EDATE(DATEVALUE(C59&amp;"-01"),7))</f>
        <v>19.99</v>
      </c>
      <c r="Z59" s="37">
        <f>SUMIFS('📋 Транзакції'!$F$5:$F$3623,'📋 Транзакції'!$B$5:$B$3623,A59,'📋 Транзакції'!$C$5:$C$3623,"&gt;="&amp;EDATE(DATEVALUE(C59&amp;"-01"),7),'📋 Транзакції'!$C$5:$C$3623,"&lt;"&amp;EDATE(DATEVALUE(C59&amp;"-01"),8))</f>
        <v>19.99</v>
      </c>
      <c r="AA59" s="37">
        <f>SUMIFS('📋 Транзакції'!$F$5:$F$3623,'📋 Транзакції'!$B$5:$B$3623,A59,'📋 Транзакції'!$C$5:$C$3623,"&gt;="&amp;EDATE(DATEVALUE(C59&amp;"-01"),8),'📋 Транзакції'!$C$5:$C$3623,"&lt;"&amp;EDATE(DATEVALUE(C59&amp;"-01"),9))</f>
        <v>19.99</v>
      </c>
      <c r="AB59" s="37">
        <f>SUMIFS('📋 Транзакції'!$F$5:$F$3623,'📋 Транзакції'!$B$5:$B$3623,A59,'📋 Транзакції'!$C$5:$C$3623,"&gt;="&amp;EDATE(DATEVALUE(C59&amp;"-01"),9),'📋 Транзакції'!$C$5:$C$3623,"&lt;"&amp;EDATE(DATEVALUE(C59&amp;"-01"),10))</f>
        <v>19.99</v>
      </c>
      <c r="AC59" s="37">
        <f>SUMIFS('📋 Транзакції'!$F$5:$F$3623,'📋 Транзакції'!$B$5:$B$3623,A59,'📋 Транзакції'!$C$5:$C$3623,"&gt;="&amp;EDATE(DATEVALUE(C59&amp;"-01"),10),'📋 Транзакції'!$C$5:$C$3623,"&lt;"&amp;EDATE(DATEVALUE(C59&amp;"-01"),11))</f>
        <v>19.99</v>
      </c>
      <c r="AD59" s="37">
        <f>SUMIFS('📋 Транзакції'!$F$5:$F$3623,'📋 Транзакції'!$B$5:$B$3623,A59,'📋 Транзакції'!$C$5:$C$3623,"&gt;="&amp;EDATE(DATEVALUE(C59&amp;"-01"),11),'📋 Транзакції'!$C$5:$C$3623,"&lt;"&amp;EDATE(DATEVALUE(C59&amp;"-01"),12))</f>
        <v>19.99</v>
      </c>
    </row>
    <row r="60" ht="15.75" customHeight="1">
      <c r="A60" s="33" t="str">
        <f>'📋 Реєстрації'!A60:A661</f>
        <v>U0441</v>
      </c>
      <c r="B60" s="34">
        <f t="array" ref="B60">INDEX('📋 Транзакції'!$C$5:$C$3623,MATCH(A60,'📋 Транзакції'!$B$5:$B$3623,0))</f>
        <v>45356</v>
      </c>
      <c r="C60" s="35" t="str">
        <f t="shared" si="1"/>
        <v>2024-03</v>
      </c>
      <c r="D60" s="36">
        <f>COUNTIF('📋 Транзакції'!$B$5:$B$3623,A60)</f>
        <v>14</v>
      </c>
      <c r="E60" s="36">
        <f>SUMIF('📋 Транзакції'!$B$5:$B$3623,A60,'📋 Транзакції'!$F$5:$F$3623)</f>
        <v>259.87</v>
      </c>
      <c r="F60" s="35">
        <f>INT($A$1-MAXIFS('📋 Транзакції'!$C$5:$C$3623,'📋 Транзакції'!$B$5:$B$3623,A60))</f>
        <v>24</v>
      </c>
      <c r="G60" s="37">
        <f>IF(COUNTIFS('📋 Транзакції'!$B$5:$B$3623,A60,'📋 Транзакції'!$C$5:$C$3623,"&gt;="&amp;EDATE(DATEVALUE(C60&amp;"-01"),0),'📋 Транзакції'!$C$5:$C$3623,"&lt;"&amp;EDATE(DATEVALUE(C60&amp;"-01"),1))&gt;0,1,0)</f>
        <v>1</v>
      </c>
      <c r="H60" s="37">
        <f>IF(COUNTIFS('📋 Транзакції'!$B$5:$B$3623,A60,'📋 Транзакції'!$C$5:$C$3623,"&gt;="&amp;EDATE(DATEVALUE(C60&amp;"-01"),1),'📋 Транзакції'!$C$5:$C$3623,"&lt;"&amp;EDATE(DATEVALUE(C60&amp;"-01"),2))&gt;0,1,0)</f>
        <v>1</v>
      </c>
      <c r="I60" s="37">
        <f>IF(COUNTIFS('📋 Транзакції'!$B$5:$B$3623,A60,'📋 Транзакції'!$C$5:$C$3623,"&gt;="&amp;EDATE(DATEVALUE(C60&amp;"-01"),2),'📋 Транзакції'!$C$5:$C$3623,"&lt;"&amp;EDATE(DATEVALUE(C60&amp;"-01"),3))&gt;0,1,0)</f>
        <v>1</v>
      </c>
      <c r="J60" s="37">
        <f>IF(COUNTIFS('📋 Транзакції'!$B$5:$B$3623,A60,'📋 Транзакції'!$C$5:$C$3623,"&gt;="&amp;EDATE(DATEVALUE(C60&amp;"-01"),3),'📋 Транзакції'!$C$5:$C$3623,"&lt;"&amp;EDATE(DATEVALUE(C60&amp;"-01"),4))&gt;0,1,0)</f>
        <v>1</v>
      </c>
      <c r="K60" s="37">
        <f>IF(COUNTIFS('📋 Транзакції'!$B$5:$B$3623,A60,'📋 Транзакції'!$C$5:$C$3623,"&gt;="&amp;EDATE(DATEVALUE(C60&amp;"-01"),4),'📋 Транзакції'!$C$5:$C$3623,"&lt;"&amp;EDATE(DATEVALUE(C60&amp;"-01"),5))&gt;0,1,0)</f>
        <v>1</v>
      </c>
      <c r="L60" s="37">
        <f>IF(COUNTIFS('📋 Транзакції'!$B$5:$B$3623,A60,'📋 Транзакції'!$C$5:$C$3623,"&gt;="&amp;EDATE(DATEVALUE(C60&amp;"-01"),5),'📋 Транзакції'!$C$5:$C$3623,"&lt;"&amp;EDATE(DATEVALUE(C60&amp;"-01"),6))&gt;0,1,0)</f>
        <v>1</v>
      </c>
      <c r="M60" s="37">
        <f>IF(COUNTIFS('📋 Транзакції'!$B$5:$B$3623,A60,'📋 Транзакції'!$C$5:$C$3623,"&gt;="&amp;EDATE(DATEVALUE(C60&amp;"-01"),6),'📋 Транзакції'!$C$5:$C$3623,"&lt;"&amp;EDATE(DATEVALUE(C60&amp;"-01"),7))&gt;0,1,0)</f>
        <v>1</v>
      </c>
      <c r="N60" s="37">
        <f>IF(COUNTIFS('📋 Транзакції'!$B$5:$B$3623,A60,'📋 Транзакції'!$C$5:$C$3623,"&gt;="&amp;EDATE(DATEVALUE(C60&amp;"-01"),7),'📋 Транзакції'!$C$5:$C$3623,"&lt;"&amp;EDATE(DATEVALUE(C60&amp;"-01"),8))&gt;0,1,0)</f>
        <v>1</v>
      </c>
      <c r="O60" s="37">
        <f>IF(COUNTIFS('📋 Транзакції'!$B$5:$B$3623,A60,'📋 Транзакції'!$C$5:$C$3623,"&gt;="&amp;EDATE(DATEVALUE(C60&amp;"-01"),8),'📋 Транзакції'!$C$5:$C$3623,"&lt;"&amp;EDATE(DATEVALUE(C60&amp;"-01"),9))&gt;0,1,0)</f>
        <v>1</v>
      </c>
      <c r="P60" s="37">
        <f>IF(COUNTIFS('📋 Транзакції'!$B$5:$B$3623,A60,'📋 Транзакції'!$C$5:$C$3623,"&gt;="&amp;EDATE(DATEVALUE(C60&amp;"-01"),9),'📋 Транзакції'!$C$5:$C$3623,"&lt;"&amp;EDATE(DATEVALUE(C60&amp;"-01"),10))&gt;0,1,0)</f>
        <v>1</v>
      </c>
      <c r="Q60" s="37">
        <f>IF(COUNTIFS('📋 Транзакції'!$B$5:$B$3623,A60,'📋 Транзакції'!$C$5:$C$3623,"&gt;="&amp;EDATE(DATEVALUE(C60&amp;"-01"),10),'📋 Транзакції'!$C$5:$C$3623,"&lt;"&amp;EDATE(DATEVALUE(C60&amp;"-01"),11))&gt;0,1,0)</f>
        <v>1</v>
      </c>
      <c r="R60" s="37">
        <f>IF(COUNTIFS('📋 Транзакції'!$B$5:$B$3623,A60,'📋 Транзакції'!$C$5:$C$3623,"&gt;="&amp;EDATE(DATEVALUE(C60&amp;"-01"),11),'📋 Транзакції'!$C$5:$C$3623,"&lt;"&amp;EDATE(DATEVALUE(C60&amp;"-01"),12))&gt;0,1,0)</f>
        <v>1</v>
      </c>
      <c r="S60" s="37">
        <f>SUMIFS('📋 Транзакції'!$F$5:$F$3623,'📋 Транзакції'!$B$5:$B$3623,A60,'📋 Транзакції'!$C$5:$C$3623,"&gt;="&amp;EDATE(DATEVALUE(C60&amp;"-01"),0),'📋 Транзакції'!$C$5:$C$3623,"&lt;"&amp;EDATE(DATEVALUE(C60&amp;"-01"),1))</f>
        <v>19.99</v>
      </c>
      <c r="T60" s="37">
        <f>SUMIFS('📋 Транзакції'!$F$5:$F$3623,'📋 Транзакції'!$B$5:$B$3623,A60,'📋 Транзакції'!$C$5:$C$3623,"&gt;="&amp;EDATE(DATEVALUE(C60&amp;"-01"),1),'📋 Транзакції'!$C$5:$C$3623,"&lt;"&amp;EDATE(DATEVALUE(C60&amp;"-01"),2))</f>
        <v>19.99</v>
      </c>
      <c r="U60" s="37">
        <f>SUMIFS('📋 Транзакції'!$F$5:$F$3623,'📋 Транзакції'!$B$5:$B$3623,A60,'📋 Транзакції'!$C$5:$C$3623,"&gt;="&amp;EDATE(DATEVALUE(C60&amp;"-01"),2),'📋 Транзакції'!$C$5:$C$3623,"&lt;"&amp;EDATE(DATEVALUE(C60&amp;"-01"),3))</f>
        <v>19.99</v>
      </c>
      <c r="V60" s="37">
        <f>SUMIFS('📋 Транзакції'!$F$5:$F$3623,'📋 Транзакції'!$B$5:$B$3623,A60,'📋 Транзакції'!$C$5:$C$3623,"&gt;="&amp;EDATE(DATEVALUE(C60&amp;"-01"),3),'📋 Транзакції'!$C$5:$C$3623,"&lt;"&amp;EDATE(DATEVALUE(C60&amp;"-01"),4))</f>
        <v>19.99</v>
      </c>
      <c r="W60" s="37">
        <f>SUMIFS('📋 Транзакції'!$F$5:$F$3623,'📋 Транзакції'!$B$5:$B$3623,A60,'📋 Транзакції'!$C$5:$C$3623,"&gt;="&amp;EDATE(DATEVALUE(C60&amp;"-01"),4),'📋 Транзакції'!$C$5:$C$3623,"&lt;"&amp;EDATE(DATEVALUE(C60&amp;"-01"),5))</f>
        <v>19.99</v>
      </c>
      <c r="X60" s="37">
        <f>SUMIFS('📋 Транзакції'!$F$5:$F$3623,'📋 Транзакції'!$B$5:$B$3623,A60,'📋 Транзакції'!$C$5:$C$3623,"&gt;="&amp;EDATE(DATEVALUE(C60&amp;"-01"),5),'📋 Транзакції'!$C$5:$C$3623,"&lt;"&amp;EDATE(DATEVALUE(C60&amp;"-01"),6))</f>
        <v>19.99</v>
      </c>
      <c r="Y60" s="37">
        <f>SUMIFS('📋 Транзакції'!$F$5:$F$3623,'📋 Транзакції'!$B$5:$B$3623,A60,'📋 Транзакції'!$C$5:$C$3623,"&gt;="&amp;EDATE(DATEVALUE(C60&amp;"-01"),6),'📋 Транзакції'!$C$5:$C$3623,"&lt;"&amp;EDATE(DATEVALUE(C60&amp;"-01"),7))</f>
        <v>19.99</v>
      </c>
      <c r="Z60" s="37">
        <f>SUMIFS('📋 Транзакції'!$F$5:$F$3623,'📋 Транзакції'!$B$5:$B$3623,A60,'📋 Транзакції'!$C$5:$C$3623,"&gt;="&amp;EDATE(DATEVALUE(C60&amp;"-01"),7),'📋 Транзакції'!$C$5:$C$3623,"&lt;"&amp;EDATE(DATEVALUE(C60&amp;"-01"),8))</f>
        <v>19.99</v>
      </c>
      <c r="AA60" s="37">
        <f>SUMIFS('📋 Транзакції'!$F$5:$F$3623,'📋 Транзакції'!$B$5:$B$3623,A60,'📋 Транзакції'!$C$5:$C$3623,"&gt;="&amp;EDATE(DATEVALUE(C60&amp;"-01"),8),'📋 Транзакції'!$C$5:$C$3623,"&lt;"&amp;EDATE(DATEVALUE(C60&amp;"-01"),9))</f>
        <v>19.99</v>
      </c>
      <c r="AB60" s="37">
        <f>SUMIFS('📋 Транзакції'!$F$5:$F$3623,'📋 Транзакції'!$B$5:$B$3623,A60,'📋 Транзакції'!$C$5:$C$3623,"&gt;="&amp;EDATE(DATEVALUE(C60&amp;"-01"),9),'📋 Транзакції'!$C$5:$C$3623,"&lt;"&amp;EDATE(DATEVALUE(C60&amp;"-01"),10))</f>
        <v>19.99</v>
      </c>
      <c r="AC60" s="37">
        <f>SUMIFS('📋 Транзакції'!$F$5:$F$3623,'📋 Транзакції'!$B$5:$B$3623,A60,'📋 Транзакції'!$C$5:$C$3623,"&gt;="&amp;EDATE(DATEVALUE(C60&amp;"-01"),10),'📋 Транзакції'!$C$5:$C$3623,"&lt;"&amp;EDATE(DATEVALUE(C60&amp;"-01"),11))</f>
        <v>19.99</v>
      </c>
      <c r="AD60" s="37">
        <f>SUMIFS('📋 Транзакції'!$F$5:$F$3623,'📋 Транзакції'!$B$5:$B$3623,A60,'📋 Транзакції'!$C$5:$C$3623,"&gt;="&amp;EDATE(DATEVALUE(C60&amp;"-01"),11),'📋 Транзакції'!$C$5:$C$3623,"&lt;"&amp;EDATE(DATEVALUE(C60&amp;"-01"),12))</f>
        <v>19.99</v>
      </c>
    </row>
    <row r="61" ht="15.75" customHeight="1">
      <c r="A61" s="33" t="str">
        <f>'📋 Реєстрації'!A61:A662</f>
        <v>U0437</v>
      </c>
      <c r="B61" s="34">
        <f t="array" ref="B61">INDEX('📋 Транзакції'!$C$5:$C$3623,MATCH(A61,'📋 Транзакції'!$B$5:$B$3623,0))</f>
        <v>45357</v>
      </c>
      <c r="C61" s="35" t="str">
        <f t="shared" si="1"/>
        <v>2024-03</v>
      </c>
      <c r="D61" s="36">
        <f>COUNTIF('📋 Транзакції'!$B$5:$B$3623,A61)</f>
        <v>14</v>
      </c>
      <c r="E61" s="36">
        <f>SUMIF('📋 Транзакції'!$B$5:$B$3623,A61,'📋 Транзакції'!$F$5:$F$3623)</f>
        <v>259.87</v>
      </c>
      <c r="F61" s="35">
        <f>INT($A$1-MAXIFS('📋 Транзакції'!$C$5:$C$3623,'📋 Транзакції'!$B$5:$B$3623,A61))</f>
        <v>23</v>
      </c>
      <c r="G61" s="37">
        <f>IF(COUNTIFS('📋 Транзакції'!$B$5:$B$3623,A61,'📋 Транзакції'!$C$5:$C$3623,"&gt;="&amp;EDATE(DATEVALUE(C61&amp;"-01"),0),'📋 Транзакції'!$C$5:$C$3623,"&lt;"&amp;EDATE(DATEVALUE(C61&amp;"-01"),1))&gt;0,1,0)</f>
        <v>1</v>
      </c>
      <c r="H61" s="37">
        <f>IF(COUNTIFS('📋 Транзакції'!$B$5:$B$3623,A61,'📋 Транзакції'!$C$5:$C$3623,"&gt;="&amp;EDATE(DATEVALUE(C61&amp;"-01"),1),'📋 Транзакції'!$C$5:$C$3623,"&lt;"&amp;EDATE(DATEVALUE(C61&amp;"-01"),2))&gt;0,1,0)</f>
        <v>1</v>
      </c>
      <c r="I61" s="37">
        <f>IF(COUNTIFS('📋 Транзакції'!$B$5:$B$3623,A61,'📋 Транзакції'!$C$5:$C$3623,"&gt;="&amp;EDATE(DATEVALUE(C61&amp;"-01"),2),'📋 Транзакції'!$C$5:$C$3623,"&lt;"&amp;EDATE(DATEVALUE(C61&amp;"-01"),3))&gt;0,1,0)</f>
        <v>1</v>
      </c>
      <c r="J61" s="37">
        <f>IF(COUNTIFS('📋 Транзакції'!$B$5:$B$3623,A61,'📋 Транзакції'!$C$5:$C$3623,"&gt;="&amp;EDATE(DATEVALUE(C61&amp;"-01"),3),'📋 Транзакції'!$C$5:$C$3623,"&lt;"&amp;EDATE(DATEVALUE(C61&amp;"-01"),4))&gt;0,1,0)</f>
        <v>1</v>
      </c>
      <c r="K61" s="37">
        <f>IF(COUNTIFS('📋 Транзакції'!$B$5:$B$3623,A61,'📋 Транзакції'!$C$5:$C$3623,"&gt;="&amp;EDATE(DATEVALUE(C61&amp;"-01"),4),'📋 Транзакції'!$C$5:$C$3623,"&lt;"&amp;EDATE(DATEVALUE(C61&amp;"-01"),5))&gt;0,1,0)</f>
        <v>1</v>
      </c>
      <c r="L61" s="37">
        <f>IF(COUNTIFS('📋 Транзакції'!$B$5:$B$3623,A61,'📋 Транзакції'!$C$5:$C$3623,"&gt;="&amp;EDATE(DATEVALUE(C61&amp;"-01"),5),'📋 Транзакції'!$C$5:$C$3623,"&lt;"&amp;EDATE(DATEVALUE(C61&amp;"-01"),6))&gt;0,1,0)</f>
        <v>1</v>
      </c>
      <c r="M61" s="37">
        <f>IF(COUNTIFS('📋 Транзакції'!$B$5:$B$3623,A61,'📋 Транзакції'!$C$5:$C$3623,"&gt;="&amp;EDATE(DATEVALUE(C61&amp;"-01"),6),'📋 Транзакції'!$C$5:$C$3623,"&lt;"&amp;EDATE(DATEVALUE(C61&amp;"-01"),7))&gt;0,1,0)</f>
        <v>1</v>
      </c>
      <c r="N61" s="37">
        <f>IF(COUNTIFS('📋 Транзакції'!$B$5:$B$3623,A61,'📋 Транзакції'!$C$5:$C$3623,"&gt;="&amp;EDATE(DATEVALUE(C61&amp;"-01"),7),'📋 Транзакції'!$C$5:$C$3623,"&lt;"&amp;EDATE(DATEVALUE(C61&amp;"-01"),8))&gt;0,1,0)</f>
        <v>1</v>
      </c>
      <c r="O61" s="37">
        <f>IF(COUNTIFS('📋 Транзакції'!$B$5:$B$3623,A61,'📋 Транзакції'!$C$5:$C$3623,"&gt;="&amp;EDATE(DATEVALUE(C61&amp;"-01"),8),'📋 Транзакції'!$C$5:$C$3623,"&lt;"&amp;EDATE(DATEVALUE(C61&amp;"-01"),9))&gt;0,1,0)</f>
        <v>1</v>
      </c>
      <c r="P61" s="37">
        <f>IF(COUNTIFS('📋 Транзакції'!$B$5:$B$3623,A61,'📋 Транзакції'!$C$5:$C$3623,"&gt;="&amp;EDATE(DATEVALUE(C61&amp;"-01"),9),'📋 Транзакції'!$C$5:$C$3623,"&lt;"&amp;EDATE(DATEVALUE(C61&amp;"-01"),10))&gt;0,1,0)</f>
        <v>1</v>
      </c>
      <c r="Q61" s="37">
        <f>IF(COUNTIFS('📋 Транзакції'!$B$5:$B$3623,A61,'📋 Транзакції'!$C$5:$C$3623,"&gt;="&amp;EDATE(DATEVALUE(C61&amp;"-01"),10),'📋 Транзакції'!$C$5:$C$3623,"&lt;"&amp;EDATE(DATEVALUE(C61&amp;"-01"),11))&gt;0,1,0)</f>
        <v>1</v>
      </c>
      <c r="R61" s="37">
        <f>IF(COUNTIFS('📋 Транзакції'!$B$5:$B$3623,A61,'📋 Транзакції'!$C$5:$C$3623,"&gt;="&amp;EDATE(DATEVALUE(C61&amp;"-01"),11),'📋 Транзакції'!$C$5:$C$3623,"&lt;"&amp;EDATE(DATEVALUE(C61&amp;"-01"),12))&gt;0,1,0)</f>
        <v>1</v>
      </c>
      <c r="S61" s="37">
        <f>SUMIFS('📋 Транзакції'!$F$5:$F$3623,'📋 Транзакції'!$B$5:$B$3623,A61,'📋 Транзакції'!$C$5:$C$3623,"&gt;="&amp;EDATE(DATEVALUE(C61&amp;"-01"),0),'📋 Транзакції'!$C$5:$C$3623,"&lt;"&amp;EDATE(DATEVALUE(C61&amp;"-01"),1))</f>
        <v>19.99</v>
      </c>
      <c r="T61" s="37">
        <f>SUMIFS('📋 Транзакції'!$F$5:$F$3623,'📋 Транзакції'!$B$5:$B$3623,A61,'📋 Транзакції'!$C$5:$C$3623,"&gt;="&amp;EDATE(DATEVALUE(C61&amp;"-01"),1),'📋 Транзакції'!$C$5:$C$3623,"&lt;"&amp;EDATE(DATEVALUE(C61&amp;"-01"),2))</f>
        <v>19.99</v>
      </c>
      <c r="U61" s="37">
        <f>SUMIFS('📋 Транзакції'!$F$5:$F$3623,'📋 Транзакції'!$B$5:$B$3623,A61,'📋 Транзакції'!$C$5:$C$3623,"&gt;="&amp;EDATE(DATEVALUE(C61&amp;"-01"),2),'📋 Транзакції'!$C$5:$C$3623,"&lt;"&amp;EDATE(DATEVALUE(C61&amp;"-01"),3))</f>
        <v>19.99</v>
      </c>
      <c r="V61" s="37">
        <f>SUMIFS('📋 Транзакції'!$F$5:$F$3623,'📋 Транзакції'!$B$5:$B$3623,A61,'📋 Транзакції'!$C$5:$C$3623,"&gt;="&amp;EDATE(DATEVALUE(C61&amp;"-01"),3),'📋 Транзакції'!$C$5:$C$3623,"&lt;"&amp;EDATE(DATEVALUE(C61&amp;"-01"),4))</f>
        <v>19.99</v>
      </c>
      <c r="W61" s="37">
        <f>SUMIFS('📋 Транзакції'!$F$5:$F$3623,'📋 Транзакції'!$B$5:$B$3623,A61,'📋 Транзакції'!$C$5:$C$3623,"&gt;="&amp;EDATE(DATEVALUE(C61&amp;"-01"),4),'📋 Транзакції'!$C$5:$C$3623,"&lt;"&amp;EDATE(DATEVALUE(C61&amp;"-01"),5))</f>
        <v>19.99</v>
      </c>
      <c r="X61" s="37">
        <f>SUMIFS('📋 Транзакції'!$F$5:$F$3623,'📋 Транзакції'!$B$5:$B$3623,A61,'📋 Транзакції'!$C$5:$C$3623,"&gt;="&amp;EDATE(DATEVALUE(C61&amp;"-01"),5),'📋 Транзакції'!$C$5:$C$3623,"&lt;"&amp;EDATE(DATEVALUE(C61&amp;"-01"),6))</f>
        <v>19.99</v>
      </c>
      <c r="Y61" s="37">
        <f>SUMIFS('📋 Транзакції'!$F$5:$F$3623,'📋 Транзакції'!$B$5:$B$3623,A61,'📋 Транзакції'!$C$5:$C$3623,"&gt;="&amp;EDATE(DATEVALUE(C61&amp;"-01"),6),'📋 Транзакції'!$C$5:$C$3623,"&lt;"&amp;EDATE(DATEVALUE(C61&amp;"-01"),7))</f>
        <v>19.99</v>
      </c>
      <c r="Z61" s="37">
        <f>SUMIFS('📋 Транзакції'!$F$5:$F$3623,'📋 Транзакції'!$B$5:$B$3623,A61,'📋 Транзакції'!$C$5:$C$3623,"&gt;="&amp;EDATE(DATEVALUE(C61&amp;"-01"),7),'📋 Транзакції'!$C$5:$C$3623,"&lt;"&amp;EDATE(DATEVALUE(C61&amp;"-01"),8))</f>
        <v>19.99</v>
      </c>
      <c r="AA61" s="37">
        <f>SUMIFS('📋 Транзакції'!$F$5:$F$3623,'📋 Транзакції'!$B$5:$B$3623,A61,'📋 Транзакції'!$C$5:$C$3623,"&gt;="&amp;EDATE(DATEVALUE(C61&amp;"-01"),8),'📋 Транзакції'!$C$5:$C$3623,"&lt;"&amp;EDATE(DATEVALUE(C61&amp;"-01"),9))</f>
        <v>19.99</v>
      </c>
      <c r="AB61" s="37">
        <f>SUMIFS('📋 Транзакції'!$F$5:$F$3623,'📋 Транзакції'!$B$5:$B$3623,A61,'📋 Транзакції'!$C$5:$C$3623,"&gt;="&amp;EDATE(DATEVALUE(C61&amp;"-01"),9),'📋 Транзакції'!$C$5:$C$3623,"&lt;"&amp;EDATE(DATEVALUE(C61&amp;"-01"),10))</f>
        <v>19.99</v>
      </c>
      <c r="AC61" s="37">
        <f>SUMIFS('📋 Транзакції'!$F$5:$F$3623,'📋 Транзакції'!$B$5:$B$3623,A61,'📋 Транзакції'!$C$5:$C$3623,"&gt;="&amp;EDATE(DATEVALUE(C61&amp;"-01"),10),'📋 Транзакції'!$C$5:$C$3623,"&lt;"&amp;EDATE(DATEVALUE(C61&amp;"-01"),11))</f>
        <v>19.99</v>
      </c>
      <c r="AD61" s="37">
        <f>SUMIFS('📋 Транзакції'!$F$5:$F$3623,'📋 Транзакції'!$B$5:$B$3623,A61,'📋 Транзакції'!$C$5:$C$3623,"&gt;="&amp;EDATE(DATEVALUE(C61&amp;"-01"),11),'📋 Транзакції'!$C$5:$C$3623,"&lt;"&amp;EDATE(DATEVALUE(C61&amp;"-01"),12))</f>
        <v>19.99</v>
      </c>
    </row>
    <row r="62" ht="15.75" customHeight="1">
      <c r="A62" s="33" t="str">
        <f>'📋 Реєстрації'!A62:A663</f>
        <v>U0284</v>
      </c>
      <c r="B62" s="34">
        <f t="array" ref="B62">INDEX('📋 Транзакції'!$C$5:$C$3623,MATCH(A62,'📋 Транзакції'!$B$5:$B$3623,0))</f>
        <v>45359</v>
      </c>
      <c r="C62" s="35" t="str">
        <f t="shared" si="1"/>
        <v>2024-03</v>
      </c>
      <c r="D62" s="36">
        <f>COUNTIF('📋 Транзакції'!$B$5:$B$3623,A62)</f>
        <v>7</v>
      </c>
      <c r="E62" s="36">
        <f>SUMIF('📋 Транзакції'!$B$5:$B$3623,A62,'📋 Транзакції'!$F$5:$F$3623)</f>
        <v>119.94</v>
      </c>
      <c r="F62" s="35">
        <f>INT($A$1-MAXIFS('📋 Транзакції'!$C$5:$C$3623,'📋 Транзакції'!$B$5:$B$3623,A62))</f>
        <v>231</v>
      </c>
      <c r="G62" s="37">
        <f>IF(COUNTIFS('📋 Транзакції'!$B$5:$B$3623,A62,'📋 Транзакції'!$C$5:$C$3623,"&gt;="&amp;EDATE(DATEVALUE(C62&amp;"-01"),0),'📋 Транзакції'!$C$5:$C$3623,"&lt;"&amp;EDATE(DATEVALUE(C62&amp;"-01"),1))&gt;0,1,0)</f>
        <v>1</v>
      </c>
      <c r="H62" s="37">
        <f>IF(COUNTIFS('📋 Транзакції'!$B$5:$B$3623,A62,'📋 Транзакції'!$C$5:$C$3623,"&gt;="&amp;EDATE(DATEVALUE(C62&amp;"-01"),1),'📋 Транзакції'!$C$5:$C$3623,"&lt;"&amp;EDATE(DATEVALUE(C62&amp;"-01"),2))&gt;0,1,0)</f>
        <v>1</v>
      </c>
      <c r="I62" s="37">
        <f>IF(COUNTIFS('📋 Транзакції'!$B$5:$B$3623,A62,'📋 Транзакції'!$C$5:$C$3623,"&gt;="&amp;EDATE(DATEVALUE(C62&amp;"-01"),2),'📋 Транзакції'!$C$5:$C$3623,"&lt;"&amp;EDATE(DATEVALUE(C62&amp;"-01"),3))&gt;0,1,0)</f>
        <v>1</v>
      </c>
      <c r="J62" s="37">
        <f>IF(COUNTIFS('📋 Транзакції'!$B$5:$B$3623,A62,'📋 Транзакції'!$C$5:$C$3623,"&gt;="&amp;EDATE(DATEVALUE(C62&amp;"-01"),3),'📋 Транзакції'!$C$5:$C$3623,"&lt;"&amp;EDATE(DATEVALUE(C62&amp;"-01"),4))&gt;0,1,0)</f>
        <v>1</v>
      </c>
      <c r="K62" s="37">
        <f>IF(COUNTIFS('📋 Транзакції'!$B$5:$B$3623,A62,'📋 Транзакції'!$C$5:$C$3623,"&gt;="&amp;EDATE(DATEVALUE(C62&amp;"-01"),4),'📋 Транзакції'!$C$5:$C$3623,"&lt;"&amp;EDATE(DATEVALUE(C62&amp;"-01"),5))&gt;0,1,0)</f>
        <v>1</v>
      </c>
      <c r="L62" s="37">
        <f>IF(COUNTIFS('📋 Транзакції'!$B$5:$B$3623,A62,'📋 Транзакції'!$C$5:$C$3623,"&gt;="&amp;EDATE(DATEVALUE(C62&amp;"-01"),5),'📋 Транзакції'!$C$5:$C$3623,"&lt;"&amp;EDATE(DATEVALUE(C62&amp;"-01"),6))&gt;0,1,0)</f>
        <v>1</v>
      </c>
      <c r="M62" s="37">
        <f>IF(COUNTIFS('📋 Транзакції'!$B$5:$B$3623,A62,'📋 Транзакції'!$C$5:$C$3623,"&gt;="&amp;EDATE(DATEVALUE(C62&amp;"-01"),6),'📋 Транзакції'!$C$5:$C$3623,"&lt;"&amp;EDATE(DATEVALUE(C62&amp;"-01"),7))&gt;0,1,0)</f>
        <v>0</v>
      </c>
      <c r="N62" s="37">
        <f>IF(COUNTIFS('📋 Транзакції'!$B$5:$B$3623,A62,'📋 Транзакції'!$C$5:$C$3623,"&gt;="&amp;EDATE(DATEVALUE(C62&amp;"-01"),7),'📋 Транзакції'!$C$5:$C$3623,"&lt;"&amp;EDATE(DATEVALUE(C62&amp;"-01"),8))&gt;0,1,0)</f>
        <v>0</v>
      </c>
      <c r="O62" s="37">
        <f>IF(COUNTIFS('📋 Транзакції'!$B$5:$B$3623,A62,'📋 Транзакції'!$C$5:$C$3623,"&gt;="&amp;EDATE(DATEVALUE(C62&amp;"-01"),8),'📋 Транзакції'!$C$5:$C$3623,"&lt;"&amp;EDATE(DATEVALUE(C62&amp;"-01"),9))&gt;0,1,0)</f>
        <v>0</v>
      </c>
      <c r="P62" s="37">
        <f>IF(COUNTIFS('📋 Транзакції'!$B$5:$B$3623,A62,'📋 Транзакції'!$C$5:$C$3623,"&gt;="&amp;EDATE(DATEVALUE(C62&amp;"-01"),9),'📋 Транзакції'!$C$5:$C$3623,"&lt;"&amp;EDATE(DATEVALUE(C62&amp;"-01"),10))&gt;0,1,0)</f>
        <v>0</v>
      </c>
      <c r="Q62" s="37">
        <f>IF(COUNTIFS('📋 Транзакції'!$B$5:$B$3623,A62,'📋 Транзакції'!$C$5:$C$3623,"&gt;="&amp;EDATE(DATEVALUE(C62&amp;"-01"),10),'📋 Транзакції'!$C$5:$C$3623,"&lt;"&amp;EDATE(DATEVALUE(C62&amp;"-01"),11))&gt;0,1,0)</f>
        <v>0</v>
      </c>
      <c r="R62" s="37">
        <f>IF(COUNTIFS('📋 Транзакції'!$B$5:$B$3623,A62,'📋 Транзакції'!$C$5:$C$3623,"&gt;="&amp;EDATE(DATEVALUE(C62&amp;"-01"),11),'📋 Транзакції'!$C$5:$C$3623,"&lt;"&amp;EDATE(DATEVALUE(C62&amp;"-01"),12))&gt;0,1,0)</f>
        <v>0</v>
      </c>
      <c r="S62" s="37">
        <f>SUMIFS('📋 Транзакції'!$F$5:$F$3623,'📋 Транзакції'!$B$5:$B$3623,A62,'📋 Транзакції'!$C$5:$C$3623,"&gt;="&amp;EDATE(DATEVALUE(C62&amp;"-01"),0),'📋 Транзакції'!$C$5:$C$3623,"&lt;"&amp;EDATE(DATEVALUE(C62&amp;"-01"),1))</f>
        <v>19.99</v>
      </c>
      <c r="T62" s="37">
        <f>SUMIFS('📋 Транзакції'!$F$5:$F$3623,'📋 Транзакції'!$B$5:$B$3623,A62,'📋 Транзакції'!$C$5:$C$3623,"&gt;="&amp;EDATE(DATEVALUE(C62&amp;"-01"),1),'📋 Транзакції'!$C$5:$C$3623,"&lt;"&amp;EDATE(DATEVALUE(C62&amp;"-01"),2))</f>
        <v>19.99</v>
      </c>
      <c r="U62" s="37">
        <f>SUMIFS('📋 Транзакції'!$F$5:$F$3623,'📋 Транзакції'!$B$5:$B$3623,A62,'📋 Транзакції'!$C$5:$C$3623,"&gt;="&amp;EDATE(DATEVALUE(C62&amp;"-01"),2),'📋 Транзакції'!$C$5:$C$3623,"&lt;"&amp;EDATE(DATEVALUE(C62&amp;"-01"),3))</f>
        <v>19.99</v>
      </c>
      <c r="V62" s="37">
        <f>SUMIFS('📋 Транзакції'!$F$5:$F$3623,'📋 Транзакції'!$B$5:$B$3623,A62,'📋 Транзакції'!$C$5:$C$3623,"&gt;="&amp;EDATE(DATEVALUE(C62&amp;"-01"),3),'📋 Транзакції'!$C$5:$C$3623,"&lt;"&amp;EDATE(DATEVALUE(C62&amp;"-01"),4))</f>
        <v>19.99</v>
      </c>
      <c r="W62" s="37">
        <f>SUMIFS('📋 Транзакції'!$F$5:$F$3623,'📋 Транзакції'!$B$5:$B$3623,A62,'📋 Транзакції'!$C$5:$C$3623,"&gt;="&amp;EDATE(DATEVALUE(C62&amp;"-01"),4),'📋 Транзакції'!$C$5:$C$3623,"&lt;"&amp;EDATE(DATEVALUE(C62&amp;"-01"),5))</f>
        <v>19.99</v>
      </c>
      <c r="X62" s="37">
        <f>SUMIFS('📋 Транзакції'!$F$5:$F$3623,'📋 Транзакції'!$B$5:$B$3623,A62,'📋 Транзакції'!$C$5:$C$3623,"&gt;="&amp;EDATE(DATEVALUE(C62&amp;"-01"),5),'📋 Транзакції'!$C$5:$C$3623,"&lt;"&amp;EDATE(DATEVALUE(C62&amp;"-01"),6))</f>
        <v>19.99</v>
      </c>
      <c r="Y62" s="37">
        <f>SUMIFS('📋 Транзакції'!$F$5:$F$3623,'📋 Транзакції'!$B$5:$B$3623,A62,'📋 Транзакції'!$C$5:$C$3623,"&gt;="&amp;EDATE(DATEVALUE(C62&amp;"-01"),6),'📋 Транзакції'!$C$5:$C$3623,"&lt;"&amp;EDATE(DATEVALUE(C62&amp;"-01"),7))</f>
        <v>0</v>
      </c>
      <c r="Z62" s="37">
        <f>SUMIFS('📋 Транзакції'!$F$5:$F$3623,'📋 Транзакції'!$B$5:$B$3623,A62,'📋 Транзакції'!$C$5:$C$3623,"&gt;="&amp;EDATE(DATEVALUE(C62&amp;"-01"),7),'📋 Транзакції'!$C$5:$C$3623,"&lt;"&amp;EDATE(DATEVALUE(C62&amp;"-01"),8))</f>
        <v>0</v>
      </c>
      <c r="AA62" s="37">
        <f>SUMIFS('📋 Транзакції'!$F$5:$F$3623,'📋 Транзакції'!$B$5:$B$3623,A62,'📋 Транзакції'!$C$5:$C$3623,"&gt;="&amp;EDATE(DATEVALUE(C62&amp;"-01"),8),'📋 Транзакції'!$C$5:$C$3623,"&lt;"&amp;EDATE(DATEVALUE(C62&amp;"-01"),9))</f>
        <v>0</v>
      </c>
      <c r="AB62" s="37">
        <f>SUMIFS('📋 Транзакції'!$F$5:$F$3623,'📋 Транзакції'!$B$5:$B$3623,A62,'📋 Транзакції'!$C$5:$C$3623,"&gt;="&amp;EDATE(DATEVALUE(C62&amp;"-01"),9),'📋 Транзакції'!$C$5:$C$3623,"&lt;"&amp;EDATE(DATEVALUE(C62&amp;"-01"),10))</f>
        <v>0</v>
      </c>
      <c r="AC62" s="37">
        <f>SUMIFS('📋 Транзакції'!$F$5:$F$3623,'📋 Транзакції'!$B$5:$B$3623,A62,'📋 Транзакції'!$C$5:$C$3623,"&gt;="&amp;EDATE(DATEVALUE(C62&amp;"-01"),10),'📋 Транзакції'!$C$5:$C$3623,"&lt;"&amp;EDATE(DATEVALUE(C62&amp;"-01"),11))</f>
        <v>0</v>
      </c>
      <c r="AD62" s="37">
        <f>SUMIFS('📋 Транзакції'!$F$5:$F$3623,'📋 Транзакції'!$B$5:$B$3623,A62,'📋 Транзакції'!$C$5:$C$3623,"&gt;="&amp;EDATE(DATEVALUE(C62&amp;"-01"),11),'📋 Транзакції'!$C$5:$C$3623,"&lt;"&amp;EDATE(DATEVALUE(C62&amp;"-01"),12))</f>
        <v>0</v>
      </c>
    </row>
    <row r="63" ht="15.75" customHeight="1">
      <c r="A63" s="33" t="str">
        <f>'📋 Реєстрації'!A63:A664</f>
        <v>U0884</v>
      </c>
      <c r="B63" s="34">
        <f t="array" ref="B63">INDEX('📋 Транзакції'!$C$5:$C$3623,MATCH(A63,'📋 Транзакції'!$B$5:$B$3623,0))</f>
        <v>45359</v>
      </c>
      <c r="C63" s="35" t="str">
        <f t="shared" si="1"/>
        <v>2024-03</v>
      </c>
      <c r="D63" s="36">
        <f>COUNTIF('📋 Транзакції'!$B$5:$B$3623,A63)</f>
        <v>4</v>
      </c>
      <c r="E63" s="36">
        <f>SUMIF('📋 Транзакції'!$B$5:$B$3623,A63,'📋 Транзакції'!$F$5:$F$3623)</f>
        <v>59.97</v>
      </c>
      <c r="F63" s="35">
        <f>INT($A$1-MAXIFS('📋 Транзакції'!$C$5:$C$3623,'📋 Транзакції'!$B$5:$B$3623,A63))</f>
        <v>321</v>
      </c>
      <c r="G63" s="37">
        <f>IF(COUNTIFS('📋 Транзакції'!$B$5:$B$3623,A63,'📋 Транзакції'!$C$5:$C$3623,"&gt;="&amp;EDATE(DATEVALUE(C63&amp;"-01"),0),'📋 Транзакції'!$C$5:$C$3623,"&lt;"&amp;EDATE(DATEVALUE(C63&amp;"-01"),1))&gt;0,1,0)</f>
        <v>1</v>
      </c>
      <c r="H63" s="37">
        <f>IF(COUNTIFS('📋 Транзакції'!$B$5:$B$3623,A63,'📋 Транзакції'!$C$5:$C$3623,"&gt;="&amp;EDATE(DATEVALUE(C63&amp;"-01"),1),'📋 Транзакції'!$C$5:$C$3623,"&lt;"&amp;EDATE(DATEVALUE(C63&amp;"-01"),2))&gt;0,1,0)</f>
        <v>1</v>
      </c>
      <c r="I63" s="37">
        <f>IF(COUNTIFS('📋 Транзакції'!$B$5:$B$3623,A63,'📋 Транзакції'!$C$5:$C$3623,"&gt;="&amp;EDATE(DATEVALUE(C63&amp;"-01"),2),'📋 Транзакції'!$C$5:$C$3623,"&lt;"&amp;EDATE(DATEVALUE(C63&amp;"-01"),3))&gt;0,1,0)</f>
        <v>1</v>
      </c>
      <c r="J63" s="37">
        <f>IF(COUNTIFS('📋 Транзакції'!$B$5:$B$3623,A63,'📋 Транзакції'!$C$5:$C$3623,"&gt;="&amp;EDATE(DATEVALUE(C63&amp;"-01"),3),'📋 Транзакції'!$C$5:$C$3623,"&lt;"&amp;EDATE(DATEVALUE(C63&amp;"-01"),4))&gt;0,1,0)</f>
        <v>0</v>
      </c>
      <c r="K63" s="37">
        <f>IF(COUNTIFS('📋 Транзакції'!$B$5:$B$3623,A63,'📋 Транзакції'!$C$5:$C$3623,"&gt;="&amp;EDATE(DATEVALUE(C63&amp;"-01"),4),'📋 Транзакції'!$C$5:$C$3623,"&lt;"&amp;EDATE(DATEVALUE(C63&amp;"-01"),5))&gt;0,1,0)</f>
        <v>0</v>
      </c>
      <c r="L63" s="37">
        <f>IF(COUNTIFS('📋 Транзакції'!$B$5:$B$3623,A63,'📋 Транзакції'!$C$5:$C$3623,"&gt;="&amp;EDATE(DATEVALUE(C63&amp;"-01"),5),'📋 Транзакції'!$C$5:$C$3623,"&lt;"&amp;EDATE(DATEVALUE(C63&amp;"-01"),6))&gt;0,1,0)</f>
        <v>0</v>
      </c>
      <c r="M63" s="37">
        <f>IF(COUNTIFS('📋 Транзакції'!$B$5:$B$3623,A63,'📋 Транзакції'!$C$5:$C$3623,"&gt;="&amp;EDATE(DATEVALUE(C63&amp;"-01"),6),'📋 Транзакції'!$C$5:$C$3623,"&lt;"&amp;EDATE(DATEVALUE(C63&amp;"-01"),7))&gt;0,1,0)</f>
        <v>0</v>
      </c>
      <c r="N63" s="37">
        <f>IF(COUNTIFS('📋 Транзакції'!$B$5:$B$3623,A63,'📋 Транзакції'!$C$5:$C$3623,"&gt;="&amp;EDATE(DATEVALUE(C63&amp;"-01"),7),'📋 Транзакції'!$C$5:$C$3623,"&lt;"&amp;EDATE(DATEVALUE(C63&amp;"-01"),8))&gt;0,1,0)</f>
        <v>0</v>
      </c>
      <c r="O63" s="37">
        <f>IF(COUNTIFS('📋 Транзакції'!$B$5:$B$3623,A63,'📋 Транзакції'!$C$5:$C$3623,"&gt;="&amp;EDATE(DATEVALUE(C63&amp;"-01"),8),'📋 Транзакції'!$C$5:$C$3623,"&lt;"&amp;EDATE(DATEVALUE(C63&amp;"-01"),9))&gt;0,1,0)</f>
        <v>0</v>
      </c>
      <c r="P63" s="37">
        <f>IF(COUNTIFS('📋 Транзакції'!$B$5:$B$3623,A63,'📋 Транзакції'!$C$5:$C$3623,"&gt;="&amp;EDATE(DATEVALUE(C63&amp;"-01"),9),'📋 Транзакції'!$C$5:$C$3623,"&lt;"&amp;EDATE(DATEVALUE(C63&amp;"-01"),10))&gt;0,1,0)</f>
        <v>0</v>
      </c>
      <c r="Q63" s="37">
        <f>IF(COUNTIFS('📋 Транзакції'!$B$5:$B$3623,A63,'📋 Транзакції'!$C$5:$C$3623,"&gt;="&amp;EDATE(DATEVALUE(C63&amp;"-01"),10),'📋 Транзакції'!$C$5:$C$3623,"&lt;"&amp;EDATE(DATEVALUE(C63&amp;"-01"),11))&gt;0,1,0)</f>
        <v>0</v>
      </c>
      <c r="R63" s="37">
        <f>IF(COUNTIFS('📋 Транзакції'!$B$5:$B$3623,A63,'📋 Транзакції'!$C$5:$C$3623,"&gt;="&amp;EDATE(DATEVALUE(C63&amp;"-01"),11),'📋 Транзакції'!$C$5:$C$3623,"&lt;"&amp;EDATE(DATEVALUE(C63&amp;"-01"),12))&gt;0,1,0)</f>
        <v>0</v>
      </c>
      <c r="S63" s="37">
        <f>SUMIFS('📋 Транзакції'!$F$5:$F$3623,'📋 Транзакції'!$B$5:$B$3623,A63,'📋 Транзакції'!$C$5:$C$3623,"&gt;="&amp;EDATE(DATEVALUE(C63&amp;"-01"),0),'📋 Транзакції'!$C$5:$C$3623,"&lt;"&amp;EDATE(DATEVALUE(C63&amp;"-01"),1))</f>
        <v>19.99</v>
      </c>
      <c r="T63" s="37">
        <f>SUMIFS('📋 Транзакції'!$F$5:$F$3623,'📋 Транзакції'!$B$5:$B$3623,A63,'📋 Транзакції'!$C$5:$C$3623,"&gt;="&amp;EDATE(DATEVALUE(C63&amp;"-01"),1),'📋 Транзакції'!$C$5:$C$3623,"&lt;"&amp;EDATE(DATEVALUE(C63&amp;"-01"),2))</f>
        <v>19.99</v>
      </c>
      <c r="U63" s="37">
        <f>SUMIFS('📋 Транзакції'!$F$5:$F$3623,'📋 Транзакції'!$B$5:$B$3623,A63,'📋 Транзакції'!$C$5:$C$3623,"&gt;="&amp;EDATE(DATEVALUE(C63&amp;"-01"),2),'📋 Транзакції'!$C$5:$C$3623,"&lt;"&amp;EDATE(DATEVALUE(C63&amp;"-01"),3))</f>
        <v>19.99</v>
      </c>
      <c r="V63" s="37">
        <f>SUMIFS('📋 Транзакції'!$F$5:$F$3623,'📋 Транзакції'!$B$5:$B$3623,A63,'📋 Транзакції'!$C$5:$C$3623,"&gt;="&amp;EDATE(DATEVALUE(C63&amp;"-01"),3),'📋 Транзакції'!$C$5:$C$3623,"&lt;"&amp;EDATE(DATEVALUE(C63&amp;"-01"),4))</f>
        <v>0</v>
      </c>
      <c r="W63" s="37">
        <f>SUMIFS('📋 Транзакції'!$F$5:$F$3623,'📋 Транзакції'!$B$5:$B$3623,A63,'📋 Транзакції'!$C$5:$C$3623,"&gt;="&amp;EDATE(DATEVALUE(C63&amp;"-01"),4),'📋 Транзакції'!$C$5:$C$3623,"&lt;"&amp;EDATE(DATEVALUE(C63&amp;"-01"),5))</f>
        <v>0</v>
      </c>
      <c r="X63" s="37">
        <f>SUMIFS('📋 Транзакції'!$F$5:$F$3623,'📋 Транзакції'!$B$5:$B$3623,A63,'📋 Транзакції'!$C$5:$C$3623,"&gt;="&amp;EDATE(DATEVALUE(C63&amp;"-01"),5),'📋 Транзакції'!$C$5:$C$3623,"&lt;"&amp;EDATE(DATEVALUE(C63&amp;"-01"),6))</f>
        <v>0</v>
      </c>
      <c r="Y63" s="37">
        <f>SUMIFS('📋 Транзакції'!$F$5:$F$3623,'📋 Транзакції'!$B$5:$B$3623,A63,'📋 Транзакції'!$C$5:$C$3623,"&gt;="&amp;EDATE(DATEVALUE(C63&amp;"-01"),6),'📋 Транзакції'!$C$5:$C$3623,"&lt;"&amp;EDATE(DATEVALUE(C63&amp;"-01"),7))</f>
        <v>0</v>
      </c>
      <c r="Z63" s="37">
        <f>SUMIFS('📋 Транзакції'!$F$5:$F$3623,'📋 Транзакції'!$B$5:$B$3623,A63,'📋 Транзакції'!$C$5:$C$3623,"&gt;="&amp;EDATE(DATEVALUE(C63&amp;"-01"),7),'📋 Транзакції'!$C$5:$C$3623,"&lt;"&amp;EDATE(DATEVALUE(C63&amp;"-01"),8))</f>
        <v>0</v>
      </c>
      <c r="AA63" s="37">
        <f>SUMIFS('📋 Транзакції'!$F$5:$F$3623,'📋 Транзакції'!$B$5:$B$3623,A63,'📋 Транзакції'!$C$5:$C$3623,"&gt;="&amp;EDATE(DATEVALUE(C63&amp;"-01"),8),'📋 Транзакції'!$C$5:$C$3623,"&lt;"&amp;EDATE(DATEVALUE(C63&amp;"-01"),9))</f>
        <v>0</v>
      </c>
      <c r="AB63" s="37">
        <f>SUMIFS('📋 Транзакції'!$F$5:$F$3623,'📋 Транзакції'!$B$5:$B$3623,A63,'📋 Транзакції'!$C$5:$C$3623,"&gt;="&amp;EDATE(DATEVALUE(C63&amp;"-01"),9),'📋 Транзакції'!$C$5:$C$3623,"&lt;"&amp;EDATE(DATEVALUE(C63&amp;"-01"),10))</f>
        <v>0</v>
      </c>
      <c r="AC63" s="37">
        <f>SUMIFS('📋 Транзакції'!$F$5:$F$3623,'📋 Транзакції'!$B$5:$B$3623,A63,'📋 Транзакції'!$C$5:$C$3623,"&gt;="&amp;EDATE(DATEVALUE(C63&amp;"-01"),10),'📋 Транзакції'!$C$5:$C$3623,"&lt;"&amp;EDATE(DATEVALUE(C63&amp;"-01"),11))</f>
        <v>0</v>
      </c>
      <c r="AD63" s="37">
        <f>SUMIFS('📋 Транзакції'!$F$5:$F$3623,'📋 Транзакції'!$B$5:$B$3623,A63,'📋 Транзакції'!$C$5:$C$3623,"&gt;="&amp;EDATE(DATEVALUE(C63&amp;"-01"),11),'📋 Транзакції'!$C$5:$C$3623,"&lt;"&amp;EDATE(DATEVALUE(C63&amp;"-01"),12))</f>
        <v>0</v>
      </c>
    </row>
    <row r="64" ht="15.75" customHeight="1">
      <c r="A64" s="33" t="str">
        <f>'📋 Реєстрації'!A64:A665</f>
        <v>U0207</v>
      </c>
      <c r="B64" s="34">
        <f t="array" ref="B64">INDEX('📋 Транзакції'!$C$5:$C$3623,MATCH(A64,'📋 Транзакції'!$B$5:$B$3623,0))</f>
        <v>45360</v>
      </c>
      <c r="C64" s="35" t="str">
        <f t="shared" si="1"/>
        <v>2024-03</v>
      </c>
      <c r="D64" s="36">
        <f>COUNTIF('📋 Транзакції'!$B$5:$B$3623,A64)</f>
        <v>14</v>
      </c>
      <c r="E64" s="36">
        <f>SUMIF('📋 Транзакції'!$B$5:$B$3623,A64,'📋 Транзакції'!$F$5:$F$3623)</f>
        <v>259.87</v>
      </c>
      <c r="F64" s="35">
        <f>INT($A$1-MAXIFS('📋 Транзакції'!$C$5:$C$3623,'📋 Транзакції'!$B$5:$B$3623,A64))</f>
        <v>20</v>
      </c>
      <c r="G64" s="37">
        <f>IF(COUNTIFS('📋 Транзакції'!$B$5:$B$3623,A64,'📋 Транзакції'!$C$5:$C$3623,"&gt;="&amp;EDATE(DATEVALUE(C64&amp;"-01"),0),'📋 Транзакції'!$C$5:$C$3623,"&lt;"&amp;EDATE(DATEVALUE(C64&amp;"-01"),1))&gt;0,1,0)</f>
        <v>1</v>
      </c>
      <c r="H64" s="37">
        <f>IF(COUNTIFS('📋 Транзакції'!$B$5:$B$3623,A64,'📋 Транзакції'!$C$5:$C$3623,"&gt;="&amp;EDATE(DATEVALUE(C64&amp;"-01"),1),'📋 Транзакції'!$C$5:$C$3623,"&lt;"&amp;EDATE(DATEVALUE(C64&amp;"-01"),2))&gt;0,1,0)</f>
        <v>1</v>
      </c>
      <c r="I64" s="37">
        <f>IF(COUNTIFS('📋 Транзакції'!$B$5:$B$3623,A64,'📋 Транзакції'!$C$5:$C$3623,"&gt;="&amp;EDATE(DATEVALUE(C64&amp;"-01"),2),'📋 Транзакції'!$C$5:$C$3623,"&lt;"&amp;EDATE(DATEVALUE(C64&amp;"-01"),3))&gt;0,1,0)</f>
        <v>1</v>
      </c>
      <c r="J64" s="37">
        <f>IF(COUNTIFS('📋 Транзакції'!$B$5:$B$3623,A64,'📋 Транзакції'!$C$5:$C$3623,"&gt;="&amp;EDATE(DATEVALUE(C64&amp;"-01"),3),'📋 Транзакції'!$C$5:$C$3623,"&lt;"&amp;EDATE(DATEVALUE(C64&amp;"-01"),4))&gt;0,1,0)</f>
        <v>1</v>
      </c>
      <c r="K64" s="37">
        <f>IF(COUNTIFS('📋 Транзакції'!$B$5:$B$3623,A64,'📋 Транзакції'!$C$5:$C$3623,"&gt;="&amp;EDATE(DATEVALUE(C64&amp;"-01"),4),'📋 Транзакції'!$C$5:$C$3623,"&lt;"&amp;EDATE(DATEVALUE(C64&amp;"-01"),5))&gt;0,1,0)</f>
        <v>1</v>
      </c>
      <c r="L64" s="37">
        <f>IF(COUNTIFS('📋 Транзакції'!$B$5:$B$3623,A64,'📋 Транзакції'!$C$5:$C$3623,"&gt;="&amp;EDATE(DATEVALUE(C64&amp;"-01"),5),'📋 Транзакції'!$C$5:$C$3623,"&lt;"&amp;EDATE(DATEVALUE(C64&amp;"-01"),6))&gt;0,1,0)</f>
        <v>1</v>
      </c>
      <c r="M64" s="37">
        <f>IF(COUNTIFS('📋 Транзакції'!$B$5:$B$3623,A64,'📋 Транзакції'!$C$5:$C$3623,"&gt;="&amp;EDATE(DATEVALUE(C64&amp;"-01"),6),'📋 Транзакції'!$C$5:$C$3623,"&lt;"&amp;EDATE(DATEVALUE(C64&amp;"-01"),7))&gt;0,1,0)</f>
        <v>1</v>
      </c>
      <c r="N64" s="37">
        <f>IF(COUNTIFS('📋 Транзакції'!$B$5:$B$3623,A64,'📋 Транзакції'!$C$5:$C$3623,"&gt;="&amp;EDATE(DATEVALUE(C64&amp;"-01"),7),'📋 Транзакції'!$C$5:$C$3623,"&lt;"&amp;EDATE(DATEVALUE(C64&amp;"-01"),8))&gt;0,1,0)</f>
        <v>1</v>
      </c>
      <c r="O64" s="37">
        <f>IF(COUNTIFS('📋 Транзакції'!$B$5:$B$3623,A64,'📋 Транзакції'!$C$5:$C$3623,"&gt;="&amp;EDATE(DATEVALUE(C64&amp;"-01"),8),'📋 Транзакції'!$C$5:$C$3623,"&lt;"&amp;EDATE(DATEVALUE(C64&amp;"-01"),9))&gt;0,1,0)</f>
        <v>1</v>
      </c>
      <c r="P64" s="37">
        <f>IF(COUNTIFS('📋 Транзакції'!$B$5:$B$3623,A64,'📋 Транзакції'!$C$5:$C$3623,"&gt;="&amp;EDATE(DATEVALUE(C64&amp;"-01"),9),'📋 Транзакції'!$C$5:$C$3623,"&lt;"&amp;EDATE(DATEVALUE(C64&amp;"-01"),10))&gt;0,1,0)</f>
        <v>1</v>
      </c>
      <c r="Q64" s="37">
        <f>IF(COUNTIFS('📋 Транзакції'!$B$5:$B$3623,A64,'📋 Транзакції'!$C$5:$C$3623,"&gt;="&amp;EDATE(DATEVALUE(C64&amp;"-01"),10),'📋 Транзакції'!$C$5:$C$3623,"&lt;"&amp;EDATE(DATEVALUE(C64&amp;"-01"),11))&gt;0,1,0)</f>
        <v>1</v>
      </c>
      <c r="R64" s="37">
        <f>IF(COUNTIFS('📋 Транзакції'!$B$5:$B$3623,A64,'📋 Транзакції'!$C$5:$C$3623,"&gt;="&amp;EDATE(DATEVALUE(C64&amp;"-01"),11),'📋 Транзакції'!$C$5:$C$3623,"&lt;"&amp;EDATE(DATEVALUE(C64&amp;"-01"),12))&gt;0,1,0)</f>
        <v>1</v>
      </c>
      <c r="S64" s="37">
        <f>SUMIFS('📋 Транзакції'!$F$5:$F$3623,'📋 Транзакції'!$B$5:$B$3623,A64,'📋 Транзакції'!$C$5:$C$3623,"&gt;="&amp;EDATE(DATEVALUE(C64&amp;"-01"),0),'📋 Транзакції'!$C$5:$C$3623,"&lt;"&amp;EDATE(DATEVALUE(C64&amp;"-01"),1))</f>
        <v>19.99</v>
      </c>
      <c r="T64" s="37">
        <f>SUMIFS('📋 Транзакції'!$F$5:$F$3623,'📋 Транзакції'!$B$5:$B$3623,A64,'📋 Транзакції'!$C$5:$C$3623,"&gt;="&amp;EDATE(DATEVALUE(C64&amp;"-01"),1),'📋 Транзакції'!$C$5:$C$3623,"&lt;"&amp;EDATE(DATEVALUE(C64&amp;"-01"),2))</f>
        <v>19.99</v>
      </c>
      <c r="U64" s="37">
        <f>SUMIFS('📋 Транзакції'!$F$5:$F$3623,'📋 Транзакції'!$B$5:$B$3623,A64,'📋 Транзакції'!$C$5:$C$3623,"&gt;="&amp;EDATE(DATEVALUE(C64&amp;"-01"),2),'📋 Транзакції'!$C$5:$C$3623,"&lt;"&amp;EDATE(DATEVALUE(C64&amp;"-01"),3))</f>
        <v>19.99</v>
      </c>
      <c r="V64" s="37">
        <f>SUMIFS('📋 Транзакції'!$F$5:$F$3623,'📋 Транзакції'!$B$5:$B$3623,A64,'📋 Транзакції'!$C$5:$C$3623,"&gt;="&amp;EDATE(DATEVALUE(C64&amp;"-01"),3),'📋 Транзакції'!$C$5:$C$3623,"&lt;"&amp;EDATE(DATEVALUE(C64&amp;"-01"),4))</f>
        <v>19.99</v>
      </c>
      <c r="W64" s="37">
        <f>SUMIFS('📋 Транзакції'!$F$5:$F$3623,'📋 Транзакції'!$B$5:$B$3623,A64,'📋 Транзакції'!$C$5:$C$3623,"&gt;="&amp;EDATE(DATEVALUE(C64&amp;"-01"),4),'📋 Транзакції'!$C$5:$C$3623,"&lt;"&amp;EDATE(DATEVALUE(C64&amp;"-01"),5))</f>
        <v>19.99</v>
      </c>
      <c r="X64" s="37">
        <f>SUMIFS('📋 Транзакції'!$F$5:$F$3623,'📋 Транзакції'!$B$5:$B$3623,A64,'📋 Транзакції'!$C$5:$C$3623,"&gt;="&amp;EDATE(DATEVALUE(C64&amp;"-01"),5),'📋 Транзакції'!$C$5:$C$3623,"&lt;"&amp;EDATE(DATEVALUE(C64&amp;"-01"),6))</f>
        <v>19.99</v>
      </c>
      <c r="Y64" s="37">
        <f>SUMIFS('📋 Транзакції'!$F$5:$F$3623,'📋 Транзакції'!$B$5:$B$3623,A64,'📋 Транзакції'!$C$5:$C$3623,"&gt;="&amp;EDATE(DATEVALUE(C64&amp;"-01"),6),'📋 Транзакції'!$C$5:$C$3623,"&lt;"&amp;EDATE(DATEVALUE(C64&amp;"-01"),7))</f>
        <v>19.99</v>
      </c>
      <c r="Z64" s="37">
        <f>SUMIFS('📋 Транзакції'!$F$5:$F$3623,'📋 Транзакції'!$B$5:$B$3623,A64,'📋 Транзакції'!$C$5:$C$3623,"&gt;="&amp;EDATE(DATEVALUE(C64&amp;"-01"),7),'📋 Транзакції'!$C$5:$C$3623,"&lt;"&amp;EDATE(DATEVALUE(C64&amp;"-01"),8))</f>
        <v>19.99</v>
      </c>
      <c r="AA64" s="37">
        <f>SUMIFS('📋 Транзакції'!$F$5:$F$3623,'📋 Транзакції'!$B$5:$B$3623,A64,'📋 Транзакції'!$C$5:$C$3623,"&gt;="&amp;EDATE(DATEVALUE(C64&amp;"-01"),8),'📋 Транзакції'!$C$5:$C$3623,"&lt;"&amp;EDATE(DATEVALUE(C64&amp;"-01"),9))</f>
        <v>19.99</v>
      </c>
      <c r="AB64" s="37">
        <f>SUMIFS('📋 Транзакції'!$F$5:$F$3623,'📋 Транзакції'!$B$5:$B$3623,A64,'📋 Транзакції'!$C$5:$C$3623,"&gt;="&amp;EDATE(DATEVALUE(C64&amp;"-01"),9),'📋 Транзакції'!$C$5:$C$3623,"&lt;"&amp;EDATE(DATEVALUE(C64&amp;"-01"),10))</f>
        <v>19.99</v>
      </c>
      <c r="AC64" s="37">
        <f>SUMIFS('📋 Транзакції'!$F$5:$F$3623,'📋 Транзакції'!$B$5:$B$3623,A64,'📋 Транзакції'!$C$5:$C$3623,"&gt;="&amp;EDATE(DATEVALUE(C64&amp;"-01"),10),'📋 Транзакції'!$C$5:$C$3623,"&lt;"&amp;EDATE(DATEVALUE(C64&amp;"-01"),11))</f>
        <v>19.99</v>
      </c>
      <c r="AD64" s="37">
        <f>SUMIFS('📋 Транзакції'!$F$5:$F$3623,'📋 Транзакції'!$B$5:$B$3623,A64,'📋 Транзакції'!$C$5:$C$3623,"&gt;="&amp;EDATE(DATEVALUE(C64&amp;"-01"),11),'📋 Транзакції'!$C$5:$C$3623,"&lt;"&amp;EDATE(DATEVALUE(C64&amp;"-01"),12))</f>
        <v>19.99</v>
      </c>
    </row>
    <row r="65" ht="15.75" customHeight="1">
      <c r="A65" s="33" t="str">
        <f>'📋 Реєстрації'!A65:A666</f>
        <v>U0440</v>
      </c>
      <c r="B65" s="34">
        <f t="array" ref="B65">INDEX('📋 Транзакції'!$C$5:$C$3623,MATCH(A65,'📋 Транзакції'!$B$5:$B$3623,0))</f>
        <v>45362</v>
      </c>
      <c r="C65" s="35" t="str">
        <f t="shared" si="1"/>
        <v>2024-03</v>
      </c>
      <c r="D65" s="36">
        <f>COUNTIF('📋 Транзакції'!$B$5:$B$3623,A65)</f>
        <v>14</v>
      </c>
      <c r="E65" s="36">
        <f>SUMIF('📋 Транзакції'!$B$5:$B$3623,A65,'📋 Транзакції'!$F$5:$F$3623)</f>
        <v>259.87</v>
      </c>
      <c r="F65" s="35">
        <f>INT($A$1-MAXIFS('📋 Транзакції'!$C$5:$C$3623,'📋 Транзакції'!$B$5:$B$3623,A65))</f>
        <v>18</v>
      </c>
      <c r="G65" s="37">
        <f>IF(COUNTIFS('📋 Транзакції'!$B$5:$B$3623,A65,'📋 Транзакції'!$C$5:$C$3623,"&gt;="&amp;EDATE(DATEVALUE(C65&amp;"-01"),0),'📋 Транзакції'!$C$5:$C$3623,"&lt;"&amp;EDATE(DATEVALUE(C65&amp;"-01"),1))&gt;0,1,0)</f>
        <v>1</v>
      </c>
      <c r="H65" s="37">
        <f>IF(COUNTIFS('📋 Транзакції'!$B$5:$B$3623,A65,'📋 Транзакції'!$C$5:$C$3623,"&gt;="&amp;EDATE(DATEVALUE(C65&amp;"-01"),1),'📋 Транзакції'!$C$5:$C$3623,"&lt;"&amp;EDATE(DATEVALUE(C65&amp;"-01"),2))&gt;0,1,0)</f>
        <v>1</v>
      </c>
      <c r="I65" s="37">
        <f>IF(COUNTIFS('📋 Транзакції'!$B$5:$B$3623,A65,'📋 Транзакції'!$C$5:$C$3623,"&gt;="&amp;EDATE(DATEVALUE(C65&amp;"-01"),2),'📋 Транзакції'!$C$5:$C$3623,"&lt;"&amp;EDATE(DATEVALUE(C65&amp;"-01"),3))&gt;0,1,0)</f>
        <v>1</v>
      </c>
      <c r="J65" s="37">
        <f>IF(COUNTIFS('📋 Транзакції'!$B$5:$B$3623,A65,'📋 Транзакції'!$C$5:$C$3623,"&gt;="&amp;EDATE(DATEVALUE(C65&amp;"-01"),3),'📋 Транзакції'!$C$5:$C$3623,"&lt;"&amp;EDATE(DATEVALUE(C65&amp;"-01"),4))&gt;0,1,0)</f>
        <v>1</v>
      </c>
      <c r="K65" s="37">
        <f>IF(COUNTIFS('📋 Транзакції'!$B$5:$B$3623,A65,'📋 Транзакції'!$C$5:$C$3623,"&gt;="&amp;EDATE(DATEVALUE(C65&amp;"-01"),4),'📋 Транзакції'!$C$5:$C$3623,"&lt;"&amp;EDATE(DATEVALUE(C65&amp;"-01"),5))&gt;0,1,0)</f>
        <v>1</v>
      </c>
      <c r="L65" s="37">
        <f>IF(COUNTIFS('📋 Транзакції'!$B$5:$B$3623,A65,'📋 Транзакції'!$C$5:$C$3623,"&gt;="&amp;EDATE(DATEVALUE(C65&amp;"-01"),5),'📋 Транзакції'!$C$5:$C$3623,"&lt;"&amp;EDATE(DATEVALUE(C65&amp;"-01"),6))&gt;0,1,0)</f>
        <v>1</v>
      </c>
      <c r="M65" s="37">
        <f>IF(COUNTIFS('📋 Транзакції'!$B$5:$B$3623,A65,'📋 Транзакції'!$C$5:$C$3623,"&gt;="&amp;EDATE(DATEVALUE(C65&amp;"-01"),6),'📋 Транзакції'!$C$5:$C$3623,"&lt;"&amp;EDATE(DATEVALUE(C65&amp;"-01"),7))&gt;0,1,0)</f>
        <v>1</v>
      </c>
      <c r="N65" s="37">
        <f>IF(COUNTIFS('📋 Транзакції'!$B$5:$B$3623,A65,'📋 Транзакції'!$C$5:$C$3623,"&gt;="&amp;EDATE(DATEVALUE(C65&amp;"-01"),7),'📋 Транзакції'!$C$5:$C$3623,"&lt;"&amp;EDATE(DATEVALUE(C65&amp;"-01"),8))&gt;0,1,0)</f>
        <v>1</v>
      </c>
      <c r="O65" s="37">
        <f>IF(COUNTIFS('📋 Транзакції'!$B$5:$B$3623,A65,'📋 Транзакції'!$C$5:$C$3623,"&gt;="&amp;EDATE(DATEVALUE(C65&amp;"-01"),8),'📋 Транзакції'!$C$5:$C$3623,"&lt;"&amp;EDATE(DATEVALUE(C65&amp;"-01"),9))&gt;0,1,0)</f>
        <v>1</v>
      </c>
      <c r="P65" s="37">
        <f>IF(COUNTIFS('📋 Транзакції'!$B$5:$B$3623,A65,'📋 Транзакції'!$C$5:$C$3623,"&gt;="&amp;EDATE(DATEVALUE(C65&amp;"-01"),9),'📋 Транзакції'!$C$5:$C$3623,"&lt;"&amp;EDATE(DATEVALUE(C65&amp;"-01"),10))&gt;0,1,0)</f>
        <v>1</v>
      </c>
      <c r="Q65" s="37">
        <f>IF(COUNTIFS('📋 Транзакції'!$B$5:$B$3623,A65,'📋 Транзакції'!$C$5:$C$3623,"&gt;="&amp;EDATE(DATEVALUE(C65&amp;"-01"),10),'📋 Транзакції'!$C$5:$C$3623,"&lt;"&amp;EDATE(DATEVALUE(C65&amp;"-01"),11))&gt;0,1,0)</f>
        <v>1</v>
      </c>
      <c r="R65" s="37">
        <f>IF(COUNTIFS('📋 Транзакції'!$B$5:$B$3623,A65,'📋 Транзакції'!$C$5:$C$3623,"&gt;="&amp;EDATE(DATEVALUE(C65&amp;"-01"),11),'📋 Транзакції'!$C$5:$C$3623,"&lt;"&amp;EDATE(DATEVALUE(C65&amp;"-01"),12))&gt;0,1,0)</f>
        <v>1</v>
      </c>
      <c r="S65" s="37">
        <f>SUMIFS('📋 Транзакції'!$F$5:$F$3623,'📋 Транзакції'!$B$5:$B$3623,A65,'📋 Транзакції'!$C$5:$C$3623,"&gt;="&amp;EDATE(DATEVALUE(C65&amp;"-01"),0),'📋 Транзакції'!$C$5:$C$3623,"&lt;"&amp;EDATE(DATEVALUE(C65&amp;"-01"),1))</f>
        <v>19.99</v>
      </c>
      <c r="T65" s="37">
        <f>SUMIFS('📋 Транзакції'!$F$5:$F$3623,'📋 Транзакції'!$B$5:$B$3623,A65,'📋 Транзакції'!$C$5:$C$3623,"&gt;="&amp;EDATE(DATEVALUE(C65&amp;"-01"),1),'📋 Транзакції'!$C$5:$C$3623,"&lt;"&amp;EDATE(DATEVALUE(C65&amp;"-01"),2))</f>
        <v>19.99</v>
      </c>
      <c r="U65" s="37">
        <f>SUMIFS('📋 Транзакції'!$F$5:$F$3623,'📋 Транзакції'!$B$5:$B$3623,A65,'📋 Транзакції'!$C$5:$C$3623,"&gt;="&amp;EDATE(DATEVALUE(C65&amp;"-01"),2),'📋 Транзакції'!$C$5:$C$3623,"&lt;"&amp;EDATE(DATEVALUE(C65&amp;"-01"),3))</f>
        <v>19.99</v>
      </c>
      <c r="V65" s="37">
        <f>SUMIFS('📋 Транзакції'!$F$5:$F$3623,'📋 Транзакції'!$B$5:$B$3623,A65,'📋 Транзакції'!$C$5:$C$3623,"&gt;="&amp;EDATE(DATEVALUE(C65&amp;"-01"),3),'📋 Транзакції'!$C$5:$C$3623,"&lt;"&amp;EDATE(DATEVALUE(C65&amp;"-01"),4))</f>
        <v>19.99</v>
      </c>
      <c r="W65" s="37">
        <f>SUMIFS('📋 Транзакції'!$F$5:$F$3623,'📋 Транзакції'!$B$5:$B$3623,A65,'📋 Транзакції'!$C$5:$C$3623,"&gt;="&amp;EDATE(DATEVALUE(C65&amp;"-01"),4),'📋 Транзакції'!$C$5:$C$3623,"&lt;"&amp;EDATE(DATEVALUE(C65&amp;"-01"),5))</f>
        <v>19.99</v>
      </c>
      <c r="X65" s="37">
        <f>SUMIFS('📋 Транзакції'!$F$5:$F$3623,'📋 Транзакції'!$B$5:$B$3623,A65,'📋 Транзакції'!$C$5:$C$3623,"&gt;="&amp;EDATE(DATEVALUE(C65&amp;"-01"),5),'📋 Транзакції'!$C$5:$C$3623,"&lt;"&amp;EDATE(DATEVALUE(C65&amp;"-01"),6))</f>
        <v>19.99</v>
      </c>
      <c r="Y65" s="37">
        <f>SUMIFS('📋 Транзакції'!$F$5:$F$3623,'📋 Транзакції'!$B$5:$B$3623,A65,'📋 Транзакції'!$C$5:$C$3623,"&gt;="&amp;EDATE(DATEVALUE(C65&amp;"-01"),6),'📋 Транзакції'!$C$5:$C$3623,"&lt;"&amp;EDATE(DATEVALUE(C65&amp;"-01"),7))</f>
        <v>19.99</v>
      </c>
      <c r="Z65" s="37">
        <f>SUMIFS('📋 Транзакції'!$F$5:$F$3623,'📋 Транзакції'!$B$5:$B$3623,A65,'📋 Транзакції'!$C$5:$C$3623,"&gt;="&amp;EDATE(DATEVALUE(C65&amp;"-01"),7),'📋 Транзакції'!$C$5:$C$3623,"&lt;"&amp;EDATE(DATEVALUE(C65&amp;"-01"),8))</f>
        <v>19.99</v>
      </c>
      <c r="AA65" s="37">
        <f>SUMIFS('📋 Транзакції'!$F$5:$F$3623,'📋 Транзакції'!$B$5:$B$3623,A65,'📋 Транзакції'!$C$5:$C$3623,"&gt;="&amp;EDATE(DATEVALUE(C65&amp;"-01"),8),'📋 Транзакції'!$C$5:$C$3623,"&lt;"&amp;EDATE(DATEVALUE(C65&amp;"-01"),9))</f>
        <v>19.99</v>
      </c>
      <c r="AB65" s="37">
        <f>SUMIFS('📋 Транзакції'!$F$5:$F$3623,'📋 Транзакції'!$B$5:$B$3623,A65,'📋 Транзакції'!$C$5:$C$3623,"&gt;="&amp;EDATE(DATEVALUE(C65&amp;"-01"),9),'📋 Транзакції'!$C$5:$C$3623,"&lt;"&amp;EDATE(DATEVALUE(C65&amp;"-01"),10))</f>
        <v>19.99</v>
      </c>
      <c r="AC65" s="37">
        <f>SUMIFS('📋 Транзакції'!$F$5:$F$3623,'📋 Транзакції'!$B$5:$B$3623,A65,'📋 Транзакції'!$C$5:$C$3623,"&gt;="&amp;EDATE(DATEVALUE(C65&amp;"-01"),10),'📋 Транзакції'!$C$5:$C$3623,"&lt;"&amp;EDATE(DATEVALUE(C65&amp;"-01"),11))</f>
        <v>19.99</v>
      </c>
      <c r="AD65" s="37">
        <f>SUMIFS('📋 Транзакції'!$F$5:$F$3623,'📋 Транзакції'!$B$5:$B$3623,A65,'📋 Транзакції'!$C$5:$C$3623,"&gt;="&amp;EDATE(DATEVALUE(C65&amp;"-01"),11),'📋 Транзакції'!$C$5:$C$3623,"&lt;"&amp;EDATE(DATEVALUE(C65&amp;"-01"),12))</f>
        <v>19.99</v>
      </c>
    </row>
    <row r="66" ht="15.75" customHeight="1">
      <c r="A66" s="33" t="str">
        <f>'📋 Реєстрації'!A66:A667</f>
        <v>U0202</v>
      </c>
      <c r="B66" s="34">
        <f t="array" ref="B66">INDEX('📋 Транзакції'!$C$5:$C$3623,MATCH(A66,'📋 Транзакції'!$B$5:$B$3623,0))</f>
        <v>45363</v>
      </c>
      <c r="C66" s="35" t="str">
        <f t="shared" si="1"/>
        <v>2024-03</v>
      </c>
      <c r="D66" s="36">
        <f>COUNTIF('📋 Транзакції'!$B$5:$B$3623,A66)</f>
        <v>12</v>
      </c>
      <c r="E66" s="36">
        <f>SUMIF('📋 Транзакції'!$B$5:$B$3623,A66,'📋 Транзакції'!$F$5:$F$3623)</f>
        <v>219.89</v>
      </c>
      <c r="F66" s="35">
        <f>INT($A$1-MAXIFS('📋 Транзакції'!$C$5:$C$3623,'📋 Транзакції'!$B$5:$B$3623,A66))</f>
        <v>77</v>
      </c>
      <c r="G66" s="37">
        <f>IF(COUNTIFS('📋 Транзакції'!$B$5:$B$3623,A66,'📋 Транзакції'!$C$5:$C$3623,"&gt;="&amp;EDATE(DATEVALUE(C66&amp;"-01"),0),'📋 Транзакції'!$C$5:$C$3623,"&lt;"&amp;EDATE(DATEVALUE(C66&amp;"-01"),1))&gt;0,1,0)</f>
        <v>1</v>
      </c>
      <c r="H66" s="37">
        <f>IF(COUNTIFS('📋 Транзакції'!$B$5:$B$3623,A66,'📋 Транзакції'!$C$5:$C$3623,"&gt;="&amp;EDATE(DATEVALUE(C66&amp;"-01"),1),'📋 Транзакції'!$C$5:$C$3623,"&lt;"&amp;EDATE(DATEVALUE(C66&amp;"-01"),2))&gt;0,1,0)</f>
        <v>1</v>
      </c>
      <c r="I66" s="37">
        <f>IF(COUNTIFS('📋 Транзакції'!$B$5:$B$3623,A66,'📋 Транзакції'!$C$5:$C$3623,"&gt;="&amp;EDATE(DATEVALUE(C66&amp;"-01"),2),'📋 Транзакції'!$C$5:$C$3623,"&lt;"&amp;EDATE(DATEVALUE(C66&amp;"-01"),3))&gt;0,1,0)</f>
        <v>1</v>
      </c>
      <c r="J66" s="37">
        <f>IF(COUNTIFS('📋 Транзакції'!$B$5:$B$3623,A66,'📋 Транзакції'!$C$5:$C$3623,"&gt;="&amp;EDATE(DATEVALUE(C66&amp;"-01"),3),'📋 Транзакції'!$C$5:$C$3623,"&lt;"&amp;EDATE(DATEVALUE(C66&amp;"-01"),4))&gt;0,1,0)</f>
        <v>1</v>
      </c>
      <c r="K66" s="37">
        <f>IF(COUNTIFS('📋 Транзакції'!$B$5:$B$3623,A66,'📋 Транзакції'!$C$5:$C$3623,"&gt;="&amp;EDATE(DATEVALUE(C66&amp;"-01"),4),'📋 Транзакції'!$C$5:$C$3623,"&lt;"&amp;EDATE(DATEVALUE(C66&amp;"-01"),5))&gt;0,1,0)</f>
        <v>1</v>
      </c>
      <c r="L66" s="37">
        <f>IF(COUNTIFS('📋 Транзакції'!$B$5:$B$3623,A66,'📋 Транзакції'!$C$5:$C$3623,"&gt;="&amp;EDATE(DATEVALUE(C66&amp;"-01"),5),'📋 Транзакції'!$C$5:$C$3623,"&lt;"&amp;EDATE(DATEVALUE(C66&amp;"-01"),6))&gt;0,1,0)</f>
        <v>1</v>
      </c>
      <c r="M66" s="37">
        <f>IF(COUNTIFS('📋 Транзакції'!$B$5:$B$3623,A66,'📋 Транзакції'!$C$5:$C$3623,"&gt;="&amp;EDATE(DATEVALUE(C66&amp;"-01"),6),'📋 Транзакції'!$C$5:$C$3623,"&lt;"&amp;EDATE(DATEVALUE(C66&amp;"-01"),7))&gt;0,1,0)</f>
        <v>1</v>
      </c>
      <c r="N66" s="37">
        <f>IF(COUNTIFS('📋 Транзакції'!$B$5:$B$3623,A66,'📋 Транзакції'!$C$5:$C$3623,"&gt;="&amp;EDATE(DATEVALUE(C66&amp;"-01"),7),'📋 Транзакції'!$C$5:$C$3623,"&lt;"&amp;EDATE(DATEVALUE(C66&amp;"-01"),8))&gt;0,1,0)</f>
        <v>1</v>
      </c>
      <c r="O66" s="37">
        <f>IF(COUNTIFS('📋 Транзакції'!$B$5:$B$3623,A66,'📋 Транзакції'!$C$5:$C$3623,"&gt;="&amp;EDATE(DATEVALUE(C66&amp;"-01"),8),'📋 Транзакції'!$C$5:$C$3623,"&lt;"&amp;EDATE(DATEVALUE(C66&amp;"-01"),9))&gt;0,1,0)</f>
        <v>1</v>
      </c>
      <c r="P66" s="37">
        <f>IF(COUNTIFS('📋 Транзакції'!$B$5:$B$3623,A66,'📋 Транзакції'!$C$5:$C$3623,"&gt;="&amp;EDATE(DATEVALUE(C66&amp;"-01"),9),'📋 Транзакції'!$C$5:$C$3623,"&lt;"&amp;EDATE(DATEVALUE(C66&amp;"-01"),10))&gt;0,1,0)</f>
        <v>1</v>
      </c>
      <c r="Q66" s="37">
        <f>IF(COUNTIFS('📋 Транзакції'!$B$5:$B$3623,A66,'📋 Транзакції'!$C$5:$C$3623,"&gt;="&amp;EDATE(DATEVALUE(C66&amp;"-01"),10),'📋 Транзакції'!$C$5:$C$3623,"&lt;"&amp;EDATE(DATEVALUE(C66&amp;"-01"),11))&gt;0,1,0)</f>
        <v>1</v>
      </c>
      <c r="R66" s="37">
        <f>IF(COUNTIFS('📋 Транзакції'!$B$5:$B$3623,A66,'📋 Транзакції'!$C$5:$C$3623,"&gt;="&amp;EDATE(DATEVALUE(C66&amp;"-01"),11),'📋 Транзакції'!$C$5:$C$3623,"&lt;"&amp;EDATE(DATEVALUE(C66&amp;"-01"),12))&gt;0,1,0)</f>
        <v>0</v>
      </c>
      <c r="S66" s="37">
        <f>SUMIFS('📋 Транзакції'!$F$5:$F$3623,'📋 Транзакції'!$B$5:$B$3623,A66,'📋 Транзакції'!$C$5:$C$3623,"&gt;="&amp;EDATE(DATEVALUE(C66&amp;"-01"),0),'📋 Транзакції'!$C$5:$C$3623,"&lt;"&amp;EDATE(DATEVALUE(C66&amp;"-01"),1))</f>
        <v>19.99</v>
      </c>
      <c r="T66" s="37">
        <f>SUMIFS('📋 Транзакції'!$F$5:$F$3623,'📋 Транзакції'!$B$5:$B$3623,A66,'📋 Транзакції'!$C$5:$C$3623,"&gt;="&amp;EDATE(DATEVALUE(C66&amp;"-01"),1),'📋 Транзакції'!$C$5:$C$3623,"&lt;"&amp;EDATE(DATEVALUE(C66&amp;"-01"),2))</f>
        <v>19.99</v>
      </c>
      <c r="U66" s="37">
        <f>SUMIFS('📋 Транзакції'!$F$5:$F$3623,'📋 Транзакції'!$B$5:$B$3623,A66,'📋 Транзакції'!$C$5:$C$3623,"&gt;="&amp;EDATE(DATEVALUE(C66&amp;"-01"),2),'📋 Транзакції'!$C$5:$C$3623,"&lt;"&amp;EDATE(DATEVALUE(C66&amp;"-01"),3))</f>
        <v>19.99</v>
      </c>
      <c r="V66" s="37">
        <f>SUMIFS('📋 Транзакції'!$F$5:$F$3623,'📋 Транзакції'!$B$5:$B$3623,A66,'📋 Транзакції'!$C$5:$C$3623,"&gt;="&amp;EDATE(DATEVALUE(C66&amp;"-01"),3),'📋 Транзакції'!$C$5:$C$3623,"&lt;"&amp;EDATE(DATEVALUE(C66&amp;"-01"),4))</f>
        <v>19.99</v>
      </c>
      <c r="W66" s="37">
        <f>SUMIFS('📋 Транзакції'!$F$5:$F$3623,'📋 Транзакції'!$B$5:$B$3623,A66,'📋 Транзакції'!$C$5:$C$3623,"&gt;="&amp;EDATE(DATEVALUE(C66&amp;"-01"),4),'📋 Транзакції'!$C$5:$C$3623,"&lt;"&amp;EDATE(DATEVALUE(C66&amp;"-01"),5))</f>
        <v>19.99</v>
      </c>
      <c r="X66" s="37">
        <f>SUMIFS('📋 Транзакції'!$F$5:$F$3623,'📋 Транзакції'!$B$5:$B$3623,A66,'📋 Транзакції'!$C$5:$C$3623,"&gt;="&amp;EDATE(DATEVALUE(C66&amp;"-01"),5),'📋 Транзакції'!$C$5:$C$3623,"&lt;"&amp;EDATE(DATEVALUE(C66&amp;"-01"),6))</f>
        <v>19.99</v>
      </c>
      <c r="Y66" s="37">
        <f>SUMIFS('📋 Транзакції'!$F$5:$F$3623,'📋 Транзакції'!$B$5:$B$3623,A66,'📋 Транзакції'!$C$5:$C$3623,"&gt;="&amp;EDATE(DATEVALUE(C66&amp;"-01"),6),'📋 Транзакції'!$C$5:$C$3623,"&lt;"&amp;EDATE(DATEVALUE(C66&amp;"-01"),7))</f>
        <v>19.99</v>
      </c>
      <c r="Z66" s="37">
        <f>SUMIFS('📋 Транзакції'!$F$5:$F$3623,'📋 Транзакції'!$B$5:$B$3623,A66,'📋 Транзакції'!$C$5:$C$3623,"&gt;="&amp;EDATE(DATEVALUE(C66&amp;"-01"),7),'📋 Транзакції'!$C$5:$C$3623,"&lt;"&amp;EDATE(DATEVALUE(C66&amp;"-01"),8))</f>
        <v>19.99</v>
      </c>
      <c r="AA66" s="37">
        <f>SUMIFS('📋 Транзакції'!$F$5:$F$3623,'📋 Транзакції'!$B$5:$B$3623,A66,'📋 Транзакції'!$C$5:$C$3623,"&gt;="&amp;EDATE(DATEVALUE(C66&amp;"-01"),8),'📋 Транзакції'!$C$5:$C$3623,"&lt;"&amp;EDATE(DATEVALUE(C66&amp;"-01"),9))</f>
        <v>19.99</v>
      </c>
      <c r="AB66" s="37">
        <f>SUMIFS('📋 Транзакції'!$F$5:$F$3623,'📋 Транзакції'!$B$5:$B$3623,A66,'📋 Транзакції'!$C$5:$C$3623,"&gt;="&amp;EDATE(DATEVALUE(C66&amp;"-01"),9),'📋 Транзакції'!$C$5:$C$3623,"&lt;"&amp;EDATE(DATEVALUE(C66&amp;"-01"),10))</f>
        <v>19.99</v>
      </c>
      <c r="AC66" s="37">
        <f>SUMIFS('📋 Транзакції'!$F$5:$F$3623,'📋 Транзакції'!$B$5:$B$3623,A66,'📋 Транзакції'!$C$5:$C$3623,"&gt;="&amp;EDATE(DATEVALUE(C66&amp;"-01"),10),'📋 Транзакції'!$C$5:$C$3623,"&lt;"&amp;EDATE(DATEVALUE(C66&amp;"-01"),11))</f>
        <v>19.99</v>
      </c>
      <c r="AD66" s="37">
        <f>SUMIFS('📋 Транзакції'!$F$5:$F$3623,'📋 Транзакції'!$B$5:$B$3623,A66,'📋 Транзакції'!$C$5:$C$3623,"&gt;="&amp;EDATE(DATEVALUE(C66&amp;"-01"),11),'📋 Транзакції'!$C$5:$C$3623,"&lt;"&amp;EDATE(DATEVALUE(C66&amp;"-01"),12))</f>
        <v>0</v>
      </c>
    </row>
    <row r="67" ht="15.75" customHeight="1">
      <c r="A67" s="33" t="str">
        <f>'📋 Реєстрації'!A67:A668</f>
        <v>U0371</v>
      </c>
      <c r="B67" s="34">
        <f t="array" ref="B67">INDEX('📋 Транзакції'!$C$5:$C$3623,MATCH(A67,'📋 Транзакції'!$B$5:$B$3623,0))</f>
        <v>45364</v>
      </c>
      <c r="C67" s="35" t="str">
        <f t="shared" si="1"/>
        <v>2024-03</v>
      </c>
      <c r="D67" s="36">
        <f>COUNTIF('📋 Транзакції'!$B$5:$B$3623,A67)</f>
        <v>6</v>
      </c>
      <c r="E67" s="36">
        <f>SUMIF('📋 Транзакції'!$B$5:$B$3623,A67,'📋 Транзакції'!$F$5:$F$3623)</f>
        <v>99.95</v>
      </c>
      <c r="F67" s="35">
        <f>INT($A$1-MAXIFS('📋 Транзакції'!$C$5:$C$3623,'📋 Транзакції'!$B$5:$B$3623,A67))</f>
        <v>256</v>
      </c>
      <c r="G67" s="37">
        <f>IF(COUNTIFS('📋 Транзакції'!$B$5:$B$3623,A67,'📋 Транзакції'!$C$5:$C$3623,"&gt;="&amp;EDATE(DATEVALUE(C67&amp;"-01"),0),'📋 Транзакції'!$C$5:$C$3623,"&lt;"&amp;EDATE(DATEVALUE(C67&amp;"-01"),1))&gt;0,1,0)</f>
        <v>1</v>
      </c>
      <c r="H67" s="37">
        <f>IF(COUNTIFS('📋 Транзакції'!$B$5:$B$3623,A67,'📋 Транзакції'!$C$5:$C$3623,"&gt;="&amp;EDATE(DATEVALUE(C67&amp;"-01"),1),'📋 Транзакції'!$C$5:$C$3623,"&lt;"&amp;EDATE(DATEVALUE(C67&amp;"-01"),2))&gt;0,1,0)</f>
        <v>1</v>
      </c>
      <c r="I67" s="37">
        <f>IF(COUNTIFS('📋 Транзакції'!$B$5:$B$3623,A67,'📋 Транзакції'!$C$5:$C$3623,"&gt;="&amp;EDATE(DATEVALUE(C67&amp;"-01"),2),'📋 Транзакції'!$C$5:$C$3623,"&lt;"&amp;EDATE(DATEVALUE(C67&amp;"-01"),3))&gt;0,1,0)</f>
        <v>1</v>
      </c>
      <c r="J67" s="37">
        <f>IF(COUNTIFS('📋 Транзакції'!$B$5:$B$3623,A67,'📋 Транзакції'!$C$5:$C$3623,"&gt;="&amp;EDATE(DATEVALUE(C67&amp;"-01"),3),'📋 Транзакції'!$C$5:$C$3623,"&lt;"&amp;EDATE(DATEVALUE(C67&amp;"-01"),4))&gt;0,1,0)</f>
        <v>1</v>
      </c>
      <c r="K67" s="37">
        <f>IF(COUNTIFS('📋 Транзакції'!$B$5:$B$3623,A67,'📋 Транзакції'!$C$5:$C$3623,"&gt;="&amp;EDATE(DATEVALUE(C67&amp;"-01"),4),'📋 Транзакції'!$C$5:$C$3623,"&lt;"&amp;EDATE(DATEVALUE(C67&amp;"-01"),5))&gt;0,1,0)</f>
        <v>1</v>
      </c>
      <c r="L67" s="37">
        <f>IF(COUNTIFS('📋 Транзакції'!$B$5:$B$3623,A67,'📋 Транзакції'!$C$5:$C$3623,"&gt;="&amp;EDATE(DATEVALUE(C67&amp;"-01"),5),'📋 Транзакції'!$C$5:$C$3623,"&lt;"&amp;EDATE(DATEVALUE(C67&amp;"-01"),6))&gt;0,1,0)</f>
        <v>0</v>
      </c>
      <c r="M67" s="37">
        <f>IF(COUNTIFS('📋 Транзакції'!$B$5:$B$3623,A67,'📋 Транзакції'!$C$5:$C$3623,"&gt;="&amp;EDATE(DATEVALUE(C67&amp;"-01"),6),'📋 Транзакції'!$C$5:$C$3623,"&lt;"&amp;EDATE(DATEVALUE(C67&amp;"-01"),7))&gt;0,1,0)</f>
        <v>0</v>
      </c>
      <c r="N67" s="37">
        <f>IF(COUNTIFS('📋 Транзакції'!$B$5:$B$3623,A67,'📋 Транзакції'!$C$5:$C$3623,"&gt;="&amp;EDATE(DATEVALUE(C67&amp;"-01"),7),'📋 Транзакції'!$C$5:$C$3623,"&lt;"&amp;EDATE(DATEVALUE(C67&amp;"-01"),8))&gt;0,1,0)</f>
        <v>0</v>
      </c>
      <c r="O67" s="37">
        <f>IF(COUNTIFS('📋 Транзакції'!$B$5:$B$3623,A67,'📋 Транзакції'!$C$5:$C$3623,"&gt;="&amp;EDATE(DATEVALUE(C67&amp;"-01"),8),'📋 Транзакції'!$C$5:$C$3623,"&lt;"&amp;EDATE(DATEVALUE(C67&amp;"-01"),9))&gt;0,1,0)</f>
        <v>0</v>
      </c>
      <c r="P67" s="37">
        <f>IF(COUNTIFS('📋 Транзакції'!$B$5:$B$3623,A67,'📋 Транзакції'!$C$5:$C$3623,"&gt;="&amp;EDATE(DATEVALUE(C67&amp;"-01"),9),'📋 Транзакції'!$C$5:$C$3623,"&lt;"&amp;EDATE(DATEVALUE(C67&amp;"-01"),10))&gt;0,1,0)</f>
        <v>0</v>
      </c>
      <c r="Q67" s="37">
        <f>IF(COUNTIFS('📋 Транзакції'!$B$5:$B$3623,A67,'📋 Транзакції'!$C$5:$C$3623,"&gt;="&amp;EDATE(DATEVALUE(C67&amp;"-01"),10),'📋 Транзакції'!$C$5:$C$3623,"&lt;"&amp;EDATE(DATEVALUE(C67&amp;"-01"),11))&gt;0,1,0)</f>
        <v>0</v>
      </c>
      <c r="R67" s="37">
        <f>IF(COUNTIFS('📋 Транзакції'!$B$5:$B$3623,A67,'📋 Транзакції'!$C$5:$C$3623,"&gt;="&amp;EDATE(DATEVALUE(C67&amp;"-01"),11),'📋 Транзакції'!$C$5:$C$3623,"&lt;"&amp;EDATE(DATEVALUE(C67&amp;"-01"),12))&gt;0,1,0)</f>
        <v>0</v>
      </c>
      <c r="S67" s="37">
        <f>SUMIFS('📋 Транзакції'!$F$5:$F$3623,'📋 Транзакції'!$B$5:$B$3623,A67,'📋 Транзакції'!$C$5:$C$3623,"&gt;="&amp;EDATE(DATEVALUE(C67&amp;"-01"),0),'📋 Транзакції'!$C$5:$C$3623,"&lt;"&amp;EDATE(DATEVALUE(C67&amp;"-01"),1))</f>
        <v>19.99</v>
      </c>
      <c r="T67" s="37">
        <f>SUMIFS('📋 Транзакції'!$F$5:$F$3623,'📋 Транзакції'!$B$5:$B$3623,A67,'📋 Транзакції'!$C$5:$C$3623,"&gt;="&amp;EDATE(DATEVALUE(C67&amp;"-01"),1),'📋 Транзакції'!$C$5:$C$3623,"&lt;"&amp;EDATE(DATEVALUE(C67&amp;"-01"),2))</f>
        <v>19.99</v>
      </c>
      <c r="U67" s="37">
        <f>SUMIFS('📋 Транзакції'!$F$5:$F$3623,'📋 Транзакції'!$B$5:$B$3623,A67,'📋 Транзакції'!$C$5:$C$3623,"&gt;="&amp;EDATE(DATEVALUE(C67&amp;"-01"),2),'📋 Транзакції'!$C$5:$C$3623,"&lt;"&amp;EDATE(DATEVALUE(C67&amp;"-01"),3))</f>
        <v>19.99</v>
      </c>
      <c r="V67" s="37">
        <f>SUMIFS('📋 Транзакції'!$F$5:$F$3623,'📋 Транзакції'!$B$5:$B$3623,A67,'📋 Транзакції'!$C$5:$C$3623,"&gt;="&amp;EDATE(DATEVALUE(C67&amp;"-01"),3),'📋 Транзакції'!$C$5:$C$3623,"&lt;"&amp;EDATE(DATEVALUE(C67&amp;"-01"),4))</f>
        <v>19.99</v>
      </c>
      <c r="W67" s="37">
        <f>SUMIFS('📋 Транзакції'!$F$5:$F$3623,'📋 Транзакції'!$B$5:$B$3623,A67,'📋 Транзакції'!$C$5:$C$3623,"&gt;="&amp;EDATE(DATEVALUE(C67&amp;"-01"),4),'📋 Транзакції'!$C$5:$C$3623,"&lt;"&amp;EDATE(DATEVALUE(C67&amp;"-01"),5))</f>
        <v>19.99</v>
      </c>
      <c r="X67" s="37">
        <f>SUMIFS('📋 Транзакції'!$F$5:$F$3623,'📋 Транзакції'!$B$5:$B$3623,A67,'📋 Транзакції'!$C$5:$C$3623,"&gt;="&amp;EDATE(DATEVALUE(C67&amp;"-01"),5),'📋 Транзакції'!$C$5:$C$3623,"&lt;"&amp;EDATE(DATEVALUE(C67&amp;"-01"),6))</f>
        <v>0</v>
      </c>
      <c r="Y67" s="37">
        <f>SUMIFS('📋 Транзакції'!$F$5:$F$3623,'📋 Транзакції'!$B$5:$B$3623,A67,'📋 Транзакції'!$C$5:$C$3623,"&gt;="&amp;EDATE(DATEVALUE(C67&amp;"-01"),6),'📋 Транзакції'!$C$5:$C$3623,"&lt;"&amp;EDATE(DATEVALUE(C67&amp;"-01"),7))</f>
        <v>0</v>
      </c>
      <c r="Z67" s="37">
        <f>SUMIFS('📋 Транзакції'!$F$5:$F$3623,'📋 Транзакції'!$B$5:$B$3623,A67,'📋 Транзакції'!$C$5:$C$3623,"&gt;="&amp;EDATE(DATEVALUE(C67&amp;"-01"),7),'📋 Транзакції'!$C$5:$C$3623,"&lt;"&amp;EDATE(DATEVALUE(C67&amp;"-01"),8))</f>
        <v>0</v>
      </c>
      <c r="AA67" s="37">
        <f>SUMIFS('📋 Транзакції'!$F$5:$F$3623,'📋 Транзакції'!$B$5:$B$3623,A67,'📋 Транзакції'!$C$5:$C$3623,"&gt;="&amp;EDATE(DATEVALUE(C67&amp;"-01"),8),'📋 Транзакції'!$C$5:$C$3623,"&lt;"&amp;EDATE(DATEVALUE(C67&amp;"-01"),9))</f>
        <v>0</v>
      </c>
      <c r="AB67" s="37">
        <f>SUMIFS('📋 Транзакції'!$F$5:$F$3623,'📋 Транзакції'!$B$5:$B$3623,A67,'📋 Транзакції'!$C$5:$C$3623,"&gt;="&amp;EDATE(DATEVALUE(C67&amp;"-01"),9),'📋 Транзакції'!$C$5:$C$3623,"&lt;"&amp;EDATE(DATEVALUE(C67&amp;"-01"),10))</f>
        <v>0</v>
      </c>
      <c r="AC67" s="37">
        <f>SUMIFS('📋 Транзакції'!$F$5:$F$3623,'📋 Транзакції'!$B$5:$B$3623,A67,'📋 Транзакції'!$C$5:$C$3623,"&gt;="&amp;EDATE(DATEVALUE(C67&amp;"-01"),10),'📋 Транзакції'!$C$5:$C$3623,"&lt;"&amp;EDATE(DATEVALUE(C67&amp;"-01"),11))</f>
        <v>0</v>
      </c>
      <c r="AD67" s="37">
        <f>SUMIFS('📋 Транзакції'!$F$5:$F$3623,'📋 Транзакції'!$B$5:$B$3623,A67,'📋 Транзакції'!$C$5:$C$3623,"&gt;="&amp;EDATE(DATEVALUE(C67&amp;"-01"),11),'📋 Транзакції'!$C$5:$C$3623,"&lt;"&amp;EDATE(DATEVALUE(C67&amp;"-01"),12))</f>
        <v>0</v>
      </c>
    </row>
    <row r="68" ht="15.75" customHeight="1">
      <c r="A68" s="33" t="str">
        <f>'📋 Реєстрації'!A68:A669</f>
        <v>U0477</v>
      </c>
      <c r="B68" s="34">
        <f t="array" ref="B68">INDEX('📋 Транзакції'!$C$5:$C$3623,MATCH(A68,'📋 Транзакції'!$B$5:$B$3623,0))</f>
        <v>45364</v>
      </c>
      <c r="C68" s="35" t="str">
        <f t="shared" si="1"/>
        <v>2024-03</v>
      </c>
      <c r="D68" s="36">
        <f>COUNTIF('📋 Транзакції'!$B$5:$B$3623,A68)</f>
        <v>14</v>
      </c>
      <c r="E68" s="36">
        <f>SUMIF('📋 Транзакції'!$B$5:$B$3623,A68,'📋 Транзакції'!$F$5:$F$3623)</f>
        <v>259.87</v>
      </c>
      <c r="F68" s="35">
        <f>INT($A$1-MAXIFS('📋 Транзакції'!$C$5:$C$3623,'📋 Транзакції'!$B$5:$B$3623,A68))</f>
        <v>16</v>
      </c>
      <c r="G68" s="37">
        <f>IF(COUNTIFS('📋 Транзакції'!$B$5:$B$3623,A68,'📋 Транзакції'!$C$5:$C$3623,"&gt;="&amp;EDATE(DATEVALUE(C68&amp;"-01"),0),'📋 Транзакції'!$C$5:$C$3623,"&lt;"&amp;EDATE(DATEVALUE(C68&amp;"-01"),1))&gt;0,1,0)</f>
        <v>1</v>
      </c>
      <c r="H68" s="37">
        <f>IF(COUNTIFS('📋 Транзакції'!$B$5:$B$3623,A68,'📋 Транзакції'!$C$5:$C$3623,"&gt;="&amp;EDATE(DATEVALUE(C68&amp;"-01"),1),'📋 Транзакції'!$C$5:$C$3623,"&lt;"&amp;EDATE(DATEVALUE(C68&amp;"-01"),2))&gt;0,1,0)</f>
        <v>1</v>
      </c>
      <c r="I68" s="37">
        <f>IF(COUNTIFS('📋 Транзакції'!$B$5:$B$3623,A68,'📋 Транзакції'!$C$5:$C$3623,"&gt;="&amp;EDATE(DATEVALUE(C68&amp;"-01"),2),'📋 Транзакції'!$C$5:$C$3623,"&lt;"&amp;EDATE(DATEVALUE(C68&amp;"-01"),3))&gt;0,1,0)</f>
        <v>1</v>
      </c>
      <c r="J68" s="37">
        <f>IF(COUNTIFS('📋 Транзакції'!$B$5:$B$3623,A68,'📋 Транзакції'!$C$5:$C$3623,"&gt;="&amp;EDATE(DATEVALUE(C68&amp;"-01"),3),'📋 Транзакції'!$C$5:$C$3623,"&lt;"&amp;EDATE(DATEVALUE(C68&amp;"-01"),4))&gt;0,1,0)</f>
        <v>1</v>
      </c>
      <c r="K68" s="37">
        <f>IF(COUNTIFS('📋 Транзакції'!$B$5:$B$3623,A68,'📋 Транзакції'!$C$5:$C$3623,"&gt;="&amp;EDATE(DATEVALUE(C68&amp;"-01"),4),'📋 Транзакції'!$C$5:$C$3623,"&lt;"&amp;EDATE(DATEVALUE(C68&amp;"-01"),5))&gt;0,1,0)</f>
        <v>1</v>
      </c>
      <c r="L68" s="37">
        <f>IF(COUNTIFS('📋 Транзакції'!$B$5:$B$3623,A68,'📋 Транзакції'!$C$5:$C$3623,"&gt;="&amp;EDATE(DATEVALUE(C68&amp;"-01"),5),'📋 Транзакції'!$C$5:$C$3623,"&lt;"&amp;EDATE(DATEVALUE(C68&amp;"-01"),6))&gt;0,1,0)</f>
        <v>1</v>
      </c>
      <c r="M68" s="37">
        <f>IF(COUNTIFS('📋 Транзакції'!$B$5:$B$3623,A68,'📋 Транзакції'!$C$5:$C$3623,"&gt;="&amp;EDATE(DATEVALUE(C68&amp;"-01"),6),'📋 Транзакції'!$C$5:$C$3623,"&lt;"&amp;EDATE(DATEVALUE(C68&amp;"-01"),7))&gt;0,1,0)</f>
        <v>1</v>
      </c>
      <c r="N68" s="37">
        <f>IF(COUNTIFS('📋 Транзакції'!$B$5:$B$3623,A68,'📋 Транзакції'!$C$5:$C$3623,"&gt;="&amp;EDATE(DATEVALUE(C68&amp;"-01"),7),'📋 Транзакції'!$C$5:$C$3623,"&lt;"&amp;EDATE(DATEVALUE(C68&amp;"-01"),8))&gt;0,1,0)</f>
        <v>1</v>
      </c>
      <c r="O68" s="37">
        <f>IF(COUNTIFS('📋 Транзакції'!$B$5:$B$3623,A68,'📋 Транзакції'!$C$5:$C$3623,"&gt;="&amp;EDATE(DATEVALUE(C68&amp;"-01"),8),'📋 Транзакції'!$C$5:$C$3623,"&lt;"&amp;EDATE(DATEVALUE(C68&amp;"-01"),9))&gt;0,1,0)</f>
        <v>1</v>
      </c>
      <c r="P68" s="37">
        <f>IF(COUNTIFS('📋 Транзакції'!$B$5:$B$3623,A68,'📋 Транзакції'!$C$5:$C$3623,"&gt;="&amp;EDATE(DATEVALUE(C68&amp;"-01"),9),'📋 Транзакції'!$C$5:$C$3623,"&lt;"&amp;EDATE(DATEVALUE(C68&amp;"-01"),10))&gt;0,1,0)</f>
        <v>1</v>
      </c>
      <c r="Q68" s="37">
        <f>IF(COUNTIFS('📋 Транзакції'!$B$5:$B$3623,A68,'📋 Транзакції'!$C$5:$C$3623,"&gt;="&amp;EDATE(DATEVALUE(C68&amp;"-01"),10),'📋 Транзакції'!$C$5:$C$3623,"&lt;"&amp;EDATE(DATEVALUE(C68&amp;"-01"),11))&gt;0,1,0)</f>
        <v>1</v>
      </c>
      <c r="R68" s="37">
        <f>IF(COUNTIFS('📋 Транзакції'!$B$5:$B$3623,A68,'📋 Транзакції'!$C$5:$C$3623,"&gt;="&amp;EDATE(DATEVALUE(C68&amp;"-01"),11),'📋 Транзакції'!$C$5:$C$3623,"&lt;"&amp;EDATE(DATEVALUE(C68&amp;"-01"),12))&gt;0,1,0)</f>
        <v>1</v>
      </c>
      <c r="S68" s="37">
        <f>SUMIFS('📋 Транзакції'!$F$5:$F$3623,'📋 Транзакції'!$B$5:$B$3623,A68,'📋 Транзакції'!$C$5:$C$3623,"&gt;="&amp;EDATE(DATEVALUE(C68&amp;"-01"),0),'📋 Транзакції'!$C$5:$C$3623,"&lt;"&amp;EDATE(DATEVALUE(C68&amp;"-01"),1))</f>
        <v>19.99</v>
      </c>
      <c r="T68" s="37">
        <f>SUMIFS('📋 Транзакції'!$F$5:$F$3623,'📋 Транзакції'!$B$5:$B$3623,A68,'📋 Транзакції'!$C$5:$C$3623,"&gt;="&amp;EDATE(DATEVALUE(C68&amp;"-01"),1),'📋 Транзакції'!$C$5:$C$3623,"&lt;"&amp;EDATE(DATEVALUE(C68&amp;"-01"),2))</f>
        <v>19.99</v>
      </c>
      <c r="U68" s="37">
        <f>SUMIFS('📋 Транзакції'!$F$5:$F$3623,'📋 Транзакції'!$B$5:$B$3623,A68,'📋 Транзакції'!$C$5:$C$3623,"&gt;="&amp;EDATE(DATEVALUE(C68&amp;"-01"),2),'📋 Транзакції'!$C$5:$C$3623,"&lt;"&amp;EDATE(DATEVALUE(C68&amp;"-01"),3))</f>
        <v>19.99</v>
      </c>
      <c r="V68" s="37">
        <f>SUMIFS('📋 Транзакції'!$F$5:$F$3623,'📋 Транзакції'!$B$5:$B$3623,A68,'📋 Транзакції'!$C$5:$C$3623,"&gt;="&amp;EDATE(DATEVALUE(C68&amp;"-01"),3),'📋 Транзакції'!$C$5:$C$3623,"&lt;"&amp;EDATE(DATEVALUE(C68&amp;"-01"),4))</f>
        <v>19.99</v>
      </c>
      <c r="W68" s="37">
        <f>SUMIFS('📋 Транзакції'!$F$5:$F$3623,'📋 Транзакції'!$B$5:$B$3623,A68,'📋 Транзакції'!$C$5:$C$3623,"&gt;="&amp;EDATE(DATEVALUE(C68&amp;"-01"),4),'📋 Транзакції'!$C$5:$C$3623,"&lt;"&amp;EDATE(DATEVALUE(C68&amp;"-01"),5))</f>
        <v>19.99</v>
      </c>
      <c r="X68" s="37">
        <f>SUMIFS('📋 Транзакції'!$F$5:$F$3623,'📋 Транзакції'!$B$5:$B$3623,A68,'📋 Транзакції'!$C$5:$C$3623,"&gt;="&amp;EDATE(DATEVALUE(C68&amp;"-01"),5),'📋 Транзакції'!$C$5:$C$3623,"&lt;"&amp;EDATE(DATEVALUE(C68&amp;"-01"),6))</f>
        <v>19.99</v>
      </c>
      <c r="Y68" s="37">
        <f>SUMIFS('📋 Транзакції'!$F$5:$F$3623,'📋 Транзакції'!$B$5:$B$3623,A68,'📋 Транзакції'!$C$5:$C$3623,"&gt;="&amp;EDATE(DATEVALUE(C68&amp;"-01"),6),'📋 Транзакції'!$C$5:$C$3623,"&lt;"&amp;EDATE(DATEVALUE(C68&amp;"-01"),7))</f>
        <v>19.99</v>
      </c>
      <c r="Z68" s="37">
        <f>SUMIFS('📋 Транзакції'!$F$5:$F$3623,'📋 Транзакції'!$B$5:$B$3623,A68,'📋 Транзакції'!$C$5:$C$3623,"&gt;="&amp;EDATE(DATEVALUE(C68&amp;"-01"),7),'📋 Транзакції'!$C$5:$C$3623,"&lt;"&amp;EDATE(DATEVALUE(C68&amp;"-01"),8))</f>
        <v>19.99</v>
      </c>
      <c r="AA68" s="37">
        <f>SUMIFS('📋 Транзакції'!$F$5:$F$3623,'📋 Транзакції'!$B$5:$B$3623,A68,'📋 Транзакції'!$C$5:$C$3623,"&gt;="&amp;EDATE(DATEVALUE(C68&amp;"-01"),8),'📋 Транзакції'!$C$5:$C$3623,"&lt;"&amp;EDATE(DATEVALUE(C68&amp;"-01"),9))</f>
        <v>19.99</v>
      </c>
      <c r="AB68" s="37">
        <f>SUMIFS('📋 Транзакції'!$F$5:$F$3623,'📋 Транзакції'!$B$5:$B$3623,A68,'📋 Транзакції'!$C$5:$C$3623,"&gt;="&amp;EDATE(DATEVALUE(C68&amp;"-01"),9),'📋 Транзакції'!$C$5:$C$3623,"&lt;"&amp;EDATE(DATEVALUE(C68&amp;"-01"),10))</f>
        <v>19.99</v>
      </c>
      <c r="AC68" s="37">
        <f>SUMIFS('📋 Транзакції'!$F$5:$F$3623,'📋 Транзакції'!$B$5:$B$3623,A68,'📋 Транзакції'!$C$5:$C$3623,"&gt;="&amp;EDATE(DATEVALUE(C68&amp;"-01"),10),'📋 Транзакції'!$C$5:$C$3623,"&lt;"&amp;EDATE(DATEVALUE(C68&amp;"-01"),11))</f>
        <v>19.99</v>
      </c>
      <c r="AD68" s="37">
        <f>SUMIFS('📋 Транзакції'!$F$5:$F$3623,'📋 Транзакції'!$B$5:$B$3623,A68,'📋 Транзакції'!$C$5:$C$3623,"&gt;="&amp;EDATE(DATEVALUE(C68&amp;"-01"),11),'📋 Транзакції'!$C$5:$C$3623,"&lt;"&amp;EDATE(DATEVALUE(C68&amp;"-01"),12))</f>
        <v>19.99</v>
      </c>
    </row>
    <row r="69" ht="15.75" customHeight="1">
      <c r="A69" s="33" t="str">
        <f>'📋 Реєстрації'!A69:A670</f>
        <v>U0665</v>
      </c>
      <c r="B69" s="34">
        <f t="array" ref="B69">INDEX('📋 Транзакції'!$C$5:$C$3623,MATCH(A69,'📋 Транзакції'!$B$5:$B$3623,0))</f>
        <v>45364</v>
      </c>
      <c r="C69" s="35" t="str">
        <f t="shared" si="1"/>
        <v>2024-03</v>
      </c>
      <c r="D69" s="36">
        <f>COUNTIF('📋 Транзакції'!$B$5:$B$3623,A69)</f>
        <v>2</v>
      </c>
      <c r="E69" s="36">
        <f>SUMIF('📋 Транзакції'!$B$5:$B$3623,A69,'📋 Транзакції'!$F$5:$F$3623)</f>
        <v>19.99</v>
      </c>
      <c r="F69" s="35">
        <f>INT($A$1-MAXIFS('📋 Транзакції'!$C$5:$C$3623,'📋 Транзакції'!$B$5:$B$3623,A69))</f>
        <v>376</v>
      </c>
      <c r="G69" s="37">
        <f>IF(COUNTIFS('📋 Транзакції'!$B$5:$B$3623,A69,'📋 Транзакції'!$C$5:$C$3623,"&gt;="&amp;EDATE(DATEVALUE(C69&amp;"-01"),0),'📋 Транзакції'!$C$5:$C$3623,"&lt;"&amp;EDATE(DATEVALUE(C69&amp;"-01"),1))&gt;0,1,0)</f>
        <v>1</v>
      </c>
      <c r="H69" s="37">
        <f>IF(COUNTIFS('📋 Транзакції'!$B$5:$B$3623,A69,'📋 Транзакції'!$C$5:$C$3623,"&gt;="&amp;EDATE(DATEVALUE(C69&amp;"-01"),1),'📋 Транзакції'!$C$5:$C$3623,"&lt;"&amp;EDATE(DATEVALUE(C69&amp;"-01"),2))&gt;0,1,0)</f>
        <v>0</v>
      </c>
      <c r="I69" s="37">
        <f>IF(COUNTIFS('📋 Транзакції'!$B$5:$B$3623,A69,'📋 Транзакції'!$C$5:$C$3623,"&gt;="&amp;EDATE(DATEVALUE(C69&amp;"-01"),2),'📋 Транзакції'!$C$5:$C$3623,"&lt;"&amp;EDATE(DATEVALUE(C69&amp;"-01"),3))&gt;0,1,0)</f>
        <v>0</v>
      </c>
      <c r="J69" s="37">
        <f>IF(COUNTIFS('📋 Транзакції'!$B$5:$B$3623,A69,'📋 Транзакції'!$C$5:$C$3623,"&gt;="&amp;EDATE(DATEVALUE(C69&amp;"-01"),3),'📋 Транзакції'!$C$5:$C$3623,"&lt;"&amp;EDATE(DATEVALUE(C69&amp;"-01"),4))&gt;0,1,0)</f>
        <v>0</v>
      </c>
      <c r="K69" s="37">
        <f>IF(COUNTIFS('📋 Транзакції'!$B$5:$B$3623,A69,'📋 Транзакції'!$C$5:$C$3623,"&gt;="&amp;EDATE(DATEVALUE(C69&amp;"-01"),4),'📋 Транзакції'!$C$5:$C$3623,"&lt;"&amp;EDATE(DATEVALUE(C69&amp;"-01"),5))&gt;0,1,0)</f>
        <v>0</v>
      </c>
      <c r="L69" s="37">
        <f>IF(COUNTIFS('📋 Транзакції'!$B$5:$B$3623,A69,'📋 Транзакції'!$C$5:$C$3623,"&gt;="&amp;EDATE(DATEVALUE(C69&amp;"-01"),5),'📋 Транзакції'!$C$5:$C$3623,"&lt;"&amp;EDATE(DATEVALUE(C69&amp;"-01"),6))&gt;0,1,0)</f>
        <v>0</v>
      </c>
      <c r="M69" s="37">
        <f>IF(COUNTIFS('📋 Транзакції'!$B$5:$B$3623,A69,'📋 Транзакції'!$C$5:$C$3623,"&gt;="&amp;EDATE(DATEVALUE(C69&amp;"-01"),6),'📋 Транзакції'!$C$5:$C$3623,"&lt;"&amp;EDATE(DATEVALUE(C69&amp;"-01"),7))&gt;0,1,0)</f>
        <v>0</v>
      </c>
      <c r="N69" s="37">
        <f>IF(COUNTIFS('📋 Транзакції'!$B$5:$B$3623,A69,'📋 Транзакції'!$C$5:$C$3623,"&gt;="&amp;EDATE(DATEVALUE(C69&amp;"-01"),7),'📋 Транзакції'!$C$5:$C$3623,"&lt;"&amp;EDATE(DATEVALUE(C69&amp;"-01"),8))&gt;0,1,0)</f>
        <v>0</v>
      </c>
      <c r="O69" s="37">
        <f>IF(COUNTIFS('📋 Транзакції'!$B$5:$B$3623,A69,'📋 Транзакції'!$C$5:$C$3623,"&gt;="&amp;EDATE(DATEVALUE(C69&amp;"-01"),8),'📋 Транзакції'!$C$5:$C$3623,"&lt;"&amp;EDATE(DATEVALUE(C69&amp;"-01"),9))&gt;0,1,0)</f>
        <v>0</v>
      </c>
      <c r="P69" s="37">
        <f>IF(COUNTIFS('📋 Транзакції'!$B$5:$B$3623,A69,'📋 Транзакції'!$C$5:$C$3623,"&gt;="&amp;EDATE(DATEVALUE(C69&amp;"-01"),9),'📋 Транзакції'!$C$5:$C$3623,"&lt;"&amp;EDATE(DATEVALUE(C69&amp;"-01"),10))&gt;0,1,0)</f>
        <v>0</v>
      </c>
      <c r="Q69" s="37">
        <f>IF(COUNTIFS('📋 Транзакції'!$B$5:$B$3623,A69,'📋 Транзакції'!$C$5:$C$3623,"&gt;="&amp;EDATE(DATEVALUE(C69&amp;"-01"),10),'📋 Транзакції'!$C$5:$C$3623,"&lt;"&amp;EDATE(DATEVALUE(C69&amp;"-01"),11))&gt;0,1,0)</f>
        <v>0</v>
      </c>
      <c r="R69" s="37">
        <f>IF(COUNTIFS('📋 Транзакції'!$B$5:$B$3623,A69,'📋 Транзакції'!$C$5:$C$3623,"&gt;="&amp;EDATE(DATEVALUE(C69&amp;"-01"),11),'📋 Транзакції'!$C$5:$C$3623,"&lt;"&amp;EDATE(DATEVALUE(C69&amp;"-01"),12))&gt;0,1,0)</f>
        <v>0</v>
      </c>
      <c r="S69" s="37">
        <f>SUMIFS('📋 Транзакції'!$F$5:$F$3623,'📋 Транзакції'!$B$5:$B$3623,A69,'📋 Транзакції'!$C$5:$C$3623,"&gt;="&amp;EDATE(DATEVALUE(C69&amp;"-01"),0),'📋 Транзакції'!$C$5:$C$3623,"&lt;"&amp;EDATE(DATEVALUE(C69&amp;"-01"),1))</f>
        <v>19.99</v>
      </c>
      <c r="T69" s="37">
        <f>SUMIFS('📋 Транзакції'!$F$5:$F$3623,'📋 Транзакції'!$B$5:$B$3623,A69,'📋 Транзакції'!$C$5:$C$3623,"&gt;="&amp;EDATE(DATEVALUE(C69&amp;"-01"),1),'📋 Транзакції'!$C$5:$C$3623,"&lt;"&amp;EDATE(DATEVALUE(C69&amp;"-01"),2))</f>
        <v>0</v>
      </c>
      <c r="U69" s="37">
        <f>SUMIFS('📋 Транзакції'!$F$5:$F$3623,'📋 Транзакції'!$B$5:$B$3623,A69,'📋 Транзакції'!$C$5:$C$3623,"&gt;="&amp;EDATE(DATEVALUE(C69&amp;"-01"),2),'📋 Транзакції'!$C$5:$C$3623,"&lt;"&amp;EDATE(DATEVALUE(C69&amp;"-01"),3))</f>
        <v>0</v>
      </c>
      <c r="V69" s="37">
        <f>SUMIFS('📋 Транзакції'!$F$5:$F$3623,'📋 Транзакції'!$B$5:$B$3623,A69,'📋 Транзакції'!$C$5:$C$3623,"&gt;="&amp;EDATE(DATEVALUE(C69&amp;"-01"),3),'📋 Транзакції'!$C$5:$C$3623,"&lt;"&amp;EDATE(DATEVALUE(C69&amp;"-01"),4))</f>
        <v>0</v>
      </c>
      <c r="W69" s="37">
        <f>SUMIFS('📋 Транзакції'!$F$5:$F$3623,'📋 Транзакції'!$B$5:$B$3623,A69,'📋 Транзакції'!$C$5:$C$3623,"&gt;="&amp;EDATE(DATEVALUE(C69&amp;"-01"),4),'📋 Транзакції'!$C$5:$C$3623,"&lt;"&amp;EDATE(DATEVALUE(C69&amp;"-01"),5))</f>
        <v>0</v>
      </c>
      <c r="X69" s="37">
        <f>SUMIFS('📋 Транзакції'!$F$5:$F$3623,'📋 Транзакції'!$B$5:$B$3623,A69,'📋 Транзакції'!$C$5:$C$3623,"&gt;="&amp;EDATE(DATEVALUE(C69&amp;"-01"),5),'📋 Транзакції'!$C$5:$C$3623,"&lt;"&amp;EDATE(DATEVALUE(C69&amp;"-01"),6))</f>
        <v>0</v>
      </c>
      <c r="Y69" s="37">
        <f>SUMIFS('📋 Транзакції'!$F$5:$F$3623,'📋 Транзакції'!$B$5:$B$3623,A69,'📋 Транзакції'!$C$5:$C$3623,"&gt;="&amp;EDATE(DATEVALUE(C69&amp;"-01"),6),'📋 Транзакції'!$C$5:$C$3623,"&lt;"&amp;EDATE(DATEVALUE(C69&amp;"-01"),7))</f>
        <v>0</v>
      </c>
      <c r="Z69" s="37">
        <f>SUMIFS('📋 Транзакції'!$F$5:$F$3623,'📋 Транзакції'!$B$5:$B$3623,A69,'📋 Транзакції'!$C$5:$C$3623,"&gt;="&amp;EDATE(DATEVALUE(C69&amp;"-01"),7),'📋 Транзакції'!$C$5:$C$3623,"&lt;"&amp;EDATE(DATEVALUE(C69&amp;"-01"),8))</f>
        <v>0</v>
      </c>
      <c r="AA69" s="37">
        <f>SUMIFS('📋 Транзакції'!$F$5:$F$3623,'📋 Транзакції'!$B$5:$B$3623,A69,'📋 Транзакції'!$C$5:$C$3623,"&gt;="&amp;EDATE(DATEVALUE(C69&amp;"-01"),8),'📋 Транзакції'!$C$5:$C$3623,"&lt;"&amp;EDATE(DATEVALUE(C69&amp;"-01"),9))</f>
        <v>0</v>
      </c>
      <c r="AB69" s="37">
        <f>SUMIFS('📋 Транзакції'!$F$5:$F$3623,'📋 Транзакції'!$B$5:$B$3623,A69,'📋 Транзакції'!$C$5:$C$3623,"&gt;="&amp;EDATE(DATEVALUE(C69&amp;"-01"),9),'📋 Транзакції'!$C$5:$C$3623,"&lt;"&amp;EDATE(DATEVALUE(C69&amp;"-01"),10))</f>
        <v>0</v>
      </c>
      <c r="AC69" s="37">
        <f>SUMIFS('📋 Транзакції'!$F$5:$F$3623,'📋 Транзакції'!$B$5:$B$3623,A69,'📋 Транзакції'!$C$5:$C$3623,"&gt;="&amp;EDATE(DATEVALUE(C69&amp;"-01"),10),'📋 Транзакції'!$C$5:$C$3623,"&lt;"&amp;EDATE(DATEVALUE(C69&amp;"-01"),11))</f>
        <v>0</v>
      </c>
      <c r="AD69" s="37">
        <f>SUMIFS('📋 Транзакції'!$F$5:$F$3623,'📋 Транзакції'!$B$5:$B$3623,A69,'📋 Транзакції'!$C$5:$C$3623,"&gt;="&amp;EDATE(DATEVALUE(C69&amp;"-01"),11),'📋 Транзакції'!$C$5:$C$3623,"&lt;"&amp;EDATE(DATEVALUE(C69&amp;"-01"),12))</f>
        <v>0</v>
      </c>
    </row>
    <row r="70" ht="15.75" customHeight="1">
      <c r="A70" s="33" t="str">
        <f>'📋 Реєстрації'!A70:A671</f>
        <v>U0635</v>
      </c>
      <c r="B70" s="34">
        <f t="array" ref="B70">INDEX('📋 Транзакції'!$C$5:$C$3623,MATCH(A70,'📋 Транзакції'!$B$5:$B$3623,0))</f>
        <v>45366</v>
      </c>
      <c r="C70" s="35" t="str">
        <f t="shared" si="1"/>
        <v>2024-03</v>
      </c>
      <c r="D70" s="36">
        <f>COUNTIF('📋 Транзакції'!$B$5:$B$3623,A70)</f>
        <v>14</v>
      </c>
      <c r="E70" s="36">
        <f>SUMIF('📋 Транзакції'!$B$5:$B$3623,A70,'📋 Транзакції'!$F$5:$F$3623)</f>
        <v>259.87</v>
      </c>
      <c r="F70" s="35">
        <f>INT($A$1-MAXIFS('📋 Транзакції'!$C$5:$C$3623,'📋 Транзакції'!$B$5:$B$3623,A70))</f>
        <v>14</v>
      </c>
      <c r="G70" s="37">
        <f>IF(COUNTIFS('📋 Транзакції'!$B$5:$B$3623,A70,'📋 Транзакції'!$C$5:$C$3623,"&gt;="&amp;EDATE(DATEVALUE(C70&amp;"-01"),0),'📋 Транзакції'!$C$5:$C$3623,"&lt;"&amp;EDATE(DATEVALUE(C70&amp;"-01"),1))&gt;0,1,0)</f>
        <v>1</v>
      </c>
      <c r="H70" s="37">
        <f>IF(COUNTIFS('📋 Транзакції'!$B$5:$B$3623,A70,'📋 Транзакції'!$C$5:$C$3623,"&gt;="&amp;EDATE(DATEVALUE(C70&amp;"-01"),1),'📋 Транзакції'!$C$5:$C$3623,"&lt;"&amp;EDATE(DATEVALUE(C70&amp;"-01"),2))&gt;0,1,0)</f>
        <v>1</v>
      </c>
      <c r="I70" s="37">
        <f>IF(COUNTIFS('📋 Транзакції'!$B$5:$B$3623,A70,'📋 Транзакції'!$C$5:$C$3623,"&gt;="&amp;EDATE(DATEVALUE(C70&amp;"-01"),2),'📋 Транзакції'!$C$5:$C$3623,"&lt;"&amp;EDATE(DATEVALUE(C70&amp;"-01"),3))&gt;0,1,0)</f>
        <v>1</v>
      </c>
      <c r="J70" s="37">
        <f>IF(COUNTIFS('📋 Транзакції'!$B$5:$B$3623,A70,'📋 Транзакції'!$C$5:$C$3623,"&gt;="&amp;EDATE(DATEVALUE(C70&amp;"-01"),3),'📋 Транзакції'!$C$5:$C$3623,"&lt;"&amp;EDATE(DATEVALUE(C70&amp;"-01"),4))&gt;0,1,0)</f>
        <v>1</v>
      </c>
      <c r="K70" s="37">
        <f>IF(COUNTIFS('📋 Транзакції'!$B$5:$B$3623,A70,'📋 Транзакції'!$C$5:$C$3623,"&gt;="&amp;EDATE(DATEVALUE(C70&amp;"-01"),4),'📋 Транзакції'!$C$5:$C$3623,"&lt;"&amp;EDATE(DATEVALUE(C70&amp;"-01"),5))&gt;0,1,0)</f>
        <v>1</v>
      </c>
      <c r="L70" s="37">
        <f>IF(COUNTIFS('📋 Транзакції'!$B$5:$B$3623,A70,'📋 Транзакції'!$C$5:$C$3623,"&gt;="&amp;EDATE(DATEVALUE(C70&amp;"-01"),5),'📋 Транзакції'!$C$5:$C$3623,"&lt;"&amp;EDATE(DATEVALUE(C70&amp;"-01"),6))&gt;0,1,0)</f>
        <v>1</v>
      </c>
      <c r="M70" s="37">
        <f>IF(COUNTIFS('📋 Транзакції'!$B$5:$B$3623,A70,'📋 Транзакції'!$C$5:$C$3623,"&gt;="&amp;EDATE(DATEVALUE(C70&amp;"-01"),6),'📋 Транзакції'!$C$5:$C$3623,"&lt;"&amp;EDATE(DATEVALUE(C70&amp;"-01"),7))&gt;0,1,0)</f>
        <v>1</v>
      </c>
      <c r="N70" s="37">
        <f>IF(COUNTIFS('📋 Транзакції'!$B$5:$B$3623,A70,'📋 Транзакції'!$C$5:$C$3623,"&gt;="&amp;EDATE(DATEVALUE(C70&amp;"-01"),7),'📋 Транзакції'!$C$5:$C$3623,"&lt;"&amp;EDATE(DATEVALUE(C70&amp;"-01"),8))&gt;0,1,0)</f>
        <v>1</v>
      </c>
      <c r="O70" s="37">
        <f>IF(COUNTIFS('📋 Транзакції'!$B$5:$B$3623,A70,'📋 Транзакції'!$C$5:$C$3623,"&gt;="&amp;EDATE(DATEVALUE(C70&amp;"-01"),8),'📋 Транзакції'!$C$5:$C$3623,"&lt;"&amp;EDATE(DATEVALUE(C70&amp;"-01"),9))&gt;0,1,0)</f>
        <v>1</v>
      </c>
      <c r="P70" s="37">
        <f>IF(COUNTIFS('📋 Транзакції'!$B$5:$B$3623,A70,'📋 Транзакції'!$C$5:$C$3623,"&gt;="&amp;EDATE(DATEVALUE(C70&amp;"-01"),9),'📋 Транзакції'!$C$5:$C$3623,"&lt;"&amp;EDATE(DATEVALUE(C70&amp;"-01"),10))&gt;0,1,0)</f>
        <v>1</v>
      </c>
      <c r="Q70" s="37">
        <f>IF(COUNTIFS('📋 Транзакції'!$B$5:$B$3623,A70,'📋 Транзакції'!$C$5:$C$3623,"&gt;="&amp;EDATE(DATEVALUE(C70&amp;"-01"),10),'📋 Транзакції'!$C$5:$C$3623,"&lt;"&amp;EDATE(DATEVALUE(C70&amp;"-01"),11))&gt;0,1,0)</f>
        <v>1</v>
      </c>
      <c r="R70" s="37">
        <f>IF(COUNTIFS('📋 Транзакції'!$B$5:$B$3623,A70,'📋 Транзакції'!$C$5:$C$3623,"&gt;="&amp;EDATE(DATEVALUE(C70&amp;"-01"),11),'📋 Транзакції'!$C$5:$C$3623,"&lt;"&amp;EDATE(DATEVALUE(C70&amp;"-01"),12))&gt;0,1,0)</f>
        <v>1</v>
      </c>
      <c r="S70" s="37">
        <f>SUMIFS('📋 Транзакції'!$F$5:$F$3623,'📋 Транзакції'!$B$5:$B$3623,A70,'📋 Транзакції'!$C$5:$C$3623,"&gt;="&amp;EDATE(DATEVALUE(C70&amp;"-01"),0),'📋 Транзакції'!$C$5:$C$3623,"&lt;"&amp;EDATE(DATEVALUE(C70&amp;"-01"),1))</f>
        <v>19.99</v>
      </c>
      <c r="T70" s="37">
        <f>SUMIFS('📋 Транзакції'!$F$5:$F$3623,'📋 Транзакції'!$B$5:$B$3623,A70,'📋 Транзакції'!$C$5:$C$3623,"&gt;="&amp;EDATE(DATEVALUE(C70&amp;"-01"),1),'📋 Транзакції'!$C$5:$C$3623,"&lt;"&amp;EDATE(DATEVALUE(C70&amp;"-01"),2))</f>
        <v>19.99</v>
      </c>
      <c r="U70" s="37">
        <f>SUMIFS('📋 Транзакції'!$F$5:$F$3623,'📋 Транзакції'!$B$5:$B$3623,A70,'📋 Транзакції'!$C$5:$C$3623,"&gt;="&amp;EDATE(DATEVALUE(C70&amp;"-01"),2),'📋 Транзакції'!$C$5:$C$3623,"&lt;"&amp;EDATE(DATEVALUE(C70&amp;"-01"),3))</f>
        <v>19.99</v>
      </c>
      <c r="V70" s="37">
        <f>SUMIFS('📋 Транзакції'!$F$5:$F$3623,'📋 Транзакції'!$B$5:$B$3623,A70,'📋 Транзакції'!$C$5:$C$3623,"&gt;="&amp;EDATE(DATEVALUE(C70&amp;"-01"),3),'📋 Транзакції'!$C$5:$C$3623,"&lt;"&amp;EDATE(DATEVALUE(C70&amp;"-01"),4))</f>
        <v>19.99</v>
      </c>
      <c r="W70" s="37">
        <f>SUMIFS('📋 Транзакції'!$F$5:$F$3623,'📋 Транзакції'!$B$5:$B$3623,A70,'📋 Транзакції'!$C$5:$C$3623,"&gt;="&amp;EDATE(DATEVALUE(C70&amp;"-01"),4),'📋 Транзакції'!$C$5:$C$3623,"&lt;"&amp;EDATE(DATEVALUE(C70&amp;"-01"),5))</f>
        <v>19.99</v>
      </c>
      <c r="X70" s="37">
        <f>SUMIFS('📋 Транзакції'!$F$5:$F$3623,'📋 Транзакції'!$B$5:$B$3623,A70,'📋 Транзакції'!$C$5:$C$3623,"&gt;="&amp;EDATE(DATEVALUE(C70&amp;"-01"),5),'📋 Транзакції'!$C$5:$C$3623,"&lt;"&amp;EDATE(DATEVALUE(C70&amp;"-01"),6))</f>
        <v>19.99</v>
      </c>
      <c r="Y70" s="37">
        <f>SUMIFS('📋 Транзакції'!$F$5:$F$3623,'📋 Транзакції'!$B$5:$B$3623,A70,'📋 Транзакції'!$C$5:$C$3623,"&gt;="&amp;EDATE(DATEVALUE(C70&amp;"-01"),6),'📋 Транзакції'!$C$5:$C$3623,"&lt;"&amp;EDATE(DATEVALUE(C70&amp;"-01"),7))</f>
        <v>19.99</v>
      </c>
      <c r="Z70" s="37">
        <f>SUMIFS('📋 Транзакції'!$F$5:$F$3623,'📋 Транзакції'!$B$5:$B$3623,A70,'📋 Транзакції'!$C$5:$C$3623,"&gt;="&amp;EDATE(DATEVALUE(C70&amp;"-01"),7),'📋 Транзакції'!$C$5:$C$3623,"&lt;"&amp;EDATE(DATEVALUE(C70&amp;"-01"),8))</f>
        <v>19.99</v>
      </c>
      <c r="AA70" s="37">
        <f>SUMIFS('📋 Транзакції'!$F$5:$F$3623,'📋 Транзакції'!$B$5:$B$3623,A70,'📋 Транзакції'!$C$5:$C$3623,"&gt;="&amp;EDATE(DATEVALUE(C70&amp;"-01"),8),'📋 Транзакції'!$C$5:$C$3623,"&lt;"&amp;EDATE(DATEVALUE(C70&amp;"-01"),9))</f>
        <v>19.99</v>
      </c>
      <c r="AB70" s="37">
        <f>SUMIFS('📋 Транзакції'!$F$5:$F$3623,'📋 Транзакції'!$B$5:$B$3623,A70,'📋 Транзакції'!$C$5:$C$3623,"&gt;="&amp;EDATE(DATEVALUE(C70&amp;"-01"),9),'📋 Транзакції'!$C$5:$C$3623,"&lt;"&amp;EDATE(DATEVALUE(C70&amp;"-01"),10))</f>
        <v>19.99</v>
      </c>
      <c r="AC70" s="37">
        <f>SUMIFS('📋 Транзакції'!$F$5:$F$3623,'📋 Транзакції'!$B$5:$B$3623,A70,'📋 Транзакції'!$C$5:$C$3623,"&gt;="&amp;EDATE(DATEVALUE(C70&amp;"-01"),10),'📋 Транзакції'!$C$5:$C$3623,"&lt;"&amp;EDATE(DATEVALUE(C70&amp;"-01"),11))</f>
        <v>19.99</v>
      </c>
      <c r="AD70" s="37">
        <f>SUMIFS('📋 Транзакції'!$F$5:$F$3623,'📋 Транзакції'!$B$5:$B$3623,A70,'📋 Транзакції'!$C$5:$C$3623,"&gt;="&amp;EDATE(DATEVALUE(C70&amp;"-01"),11),'📋 Транзакції'!$C$5:$C$3623,"&lt;"&amp;EDATE(DATEVALUE(C70&amp;"-01"),12))</f>
        <v>19.99</v>
      </c>
    </row>
    <row r="71" ht="15.75" customHeight="1">
      <c r="A71" s="33" t="str">
        <f>'📋 Реєстрації'!A71:A672</f>
        <v>U0038</v>
      </c>
      <c r="B71" s="34">
        <f t="array" ref="B71">INDEX('📋 Транзакції'!$C$5:$C$3623,MATCH(A71,'📋 Транзакції'!$B$5:$B$3623,0))</f>
        <v>45367</v>
      </c>
      <c r="C71" s="35" t="str">
        <f t="shared" si="1"/>
        <v>2024-03</v>
      </c>
      <c r="D71" s="36">
        <f>COUNTIF('📋 Транзакції'!$B$5:$B$3623,A71)</f>
        <v>7</v>
      </c>
      <c r="E71" s="36">
        <f>SUMIF('📋 Транзакції'!$B$5:$B$3623,A71,'📋 Транзакції'!$F$5:$F$3623)</f>
        <v>119.94</v>
      </c>
      <c r="F71" s="35">
        <f>INT($A$1-MAXIFS('📋 Транзакції'!$C$5:$C$3623,'📋 Транзакції'!$B$5:$B$3623,A71))</f>
        <v>223</v>
      </c>
      <c r="G71" s="37">
        <f>IF(COUNTIFS('📋 Транзакції'!$B$5:$B$3623,A71,'📋 Транзакції'!$C$5:$C$3623,"&gt;="&amp;EDATE(DATEVALUE(C71&amp;"-01"),0),'📋 Транзакції'!$C$5:$C$3623,"&lt;"&amp;EDATE(DATEVALUE(C71&amp;"-01"),1))&gt;0,1,0)</f>
        <v>1</v>
      </c>
      <c r="H71" s="37">
        <f>IF(COUNTIFS('📋 Транзакції'!$B$5:$B$3623,A71,'📋 Транзакції'!$C$5:$C$3623,"&gt;="&amp;EDATE(DATEVALUE(C71&amp;"-01"),1),'📋 Транзакції'!$C$5:$C$3623,"&lt;"&amp;EDATE(DATEVALUE(C71&amp;"-01"),2))&gt;0,1,0)</f>
        <v>1</v>
      </c>
      <c r="I71" s="37">
        <f>IF(COUNTIFS('📋 Транзакції'!$B$5:$B$3623,A71,'📋 Транзакції'!$C$5:$C$3623,"&gt;="&amp;EDATE(DATEVALUE(C71&amp;"-01"),2),'📋 Транзакції'!$C$5:$C$3623,"&lt;"&amp;EDATE(DATEVALUE(C71&amp;"-01"),3))&gt;0,1,0)</f>
        <v>1</v>
      </c>
      <c r="J71" s="37">
        <f>IF(COUNTIFS('📋 Транзакції'!$B$5:$B$3623,A71,'📋 Транзакції'!$C$5:$C$3623,"&gt;="&amp;EDATE(DATEVALUE(C71&amp;"-01"),3),'📋 Транзакції'!$C$5:$C$3623,"&lt;"&amp;EDATE(DATEVALUE(C71&amp;"-01"),4))&gt;0,1,0)</f>
        <v>1</v>
      </c>
      <c r="K71" s="37">
        <f>IF(COUNTIFS('📋 Транзакції'!$B$5:$B$3623,A71,'📋 Транзакції'!$C$5:$C$3623,"&gt;="&amp;EDATE(DATEVALUE(C71&amp;"-01"),4),'📋 Транзакції'!$C$5:$C$3623,"&lt;"&amp;EDATE(DATEVALUE(C71&amp;"-01"),5))&gt;0,1,0)</f>
        <v>1</v>
      </c>
      <c r="L71" s="37">
        <f>IF(COUNTIFS('📋 Транзакції'!$B$5:$B$3623,A71,'📋 Транзакції'!$C$5:$C$3623,"&gt;="&amp;EDATE(DATEVALUE(C71&amp;"-01"),5),'📋 Транзакції'!$C$5:$C$3623,"&lt;"&amp;EDATE(DATEVALUE(C71&amp;"-01"),6))&gt;0,1,0)</f>
        <v>1</v>
      </c>
      <c r="M71" s="37">
        <f>IF(COUNTIFS('📋 Транзакції'!$B$5:$B$3623,A71,'📋 Транзакції'!$C$5:$C$3623,"&gt;="&amp;EDATE(DATEVALUE(C71&amp;"-01"),6),'📋 Транзакції'!$C$5:$C$3623,"&lt;"&amp;EDATE(DATEVALUE(C71&amp;"-01"),7))&gt;0,1,0)</f>
        <v>0</v>
      </c>
      <c r="N71" s="37">
        <f>IF(COUNTIFS('📋 Транзакції'!$B$5:$B$3623,A71,'📋 Транзакції'!$C$5:$C$3623,"&gt;="&amp;EDATE(DATEVALUE(C71&amp;"-01"),7),'📋 Транзакції'!$C$5:$C$3623,"&lt;"&amp;EDATE(DATEVALUE(C71&amp;"-01"),8))&gt;0,1,0)</f>
        <v>0</v>
      </c>
      <c r="O71" s="37">
        <f>IF(COUNTIFS('📋 Транзакції'!$B$5:$B$3623,A71,'📋 Транзакції'!$C$5:$C$3623,"&gt;="&amp;EDATE(DATEVALUE(C71&amp;"-01"),8),'📋 Транзакції'!$C$5:$C$3623,"&lt;"&amp;EDATE(DATEVALUE(C71&amp;"-01"),9))&gt;0,1,0)</f>
        <v>0</v>
      </c>
      <c r="P71" s="37">
        <f>IF(COUNTIFS('📋 Транзакції'!$B$5:$B$3623,A71,'📋 Транзакції'!$C$5:$C$3623,"&gt;="&amp;EDATE(DATEVALUE(C71&amp;"-01"),9),'📋 Транзакції'!$C$5:$C$3623,"&lt;"&amp;EDATE(DATEVALUE(C71&amp;"-01"),10))&gt;0,1,0)</f>
        <v>0</v>
      </c>
      <c r="Q71" s="37">
        <f>IF(COUNTIFS('📋 Транзакції'!$B$5:$B$3623,A71,'📋 Транзакції'!$C$5:$C$3623,"&gt;="&amp;EDATE(DATEVALUE(C71&amp;"-01"),10),'📋 Транзакції'!$C$5:$C$3623,"&lt;"&amp;EDATE(DATEVALUE(C71&amp;"-01"),11))&gt;0,1,0)</f>
        <v>0</v>
      </c>
      <c r="R71" s="37">
        <f>IF(COUNTIFS('📋 Транзакції'!$B$5:$B$3623,A71,'📋 Транзакції'!$C$5:$C$3623,"&gt;="&amp;EDATE(DATEVALUE(C71&amp;"-01"),11),'📋 Транзакції'!$C$5:$C$3623,"&lt;"&amp;EDATE(DATEVALUE(C71&amp;"-01"),12))&gt;0,1,0)</f>
        <v>0</v>
      </c>
      <c r="S71" s="37">
        <f>SUMIFS('📋 Транзакції'!$F$5:$F$3623,'📋 Транзакції'!$B$5:$B$3623,A71,'📋 Транзакції'!$C$5:$C$3623,"&gt;="&amp;EDATE(DATEVALUE(C71&amp;"-01"),0),'📋 Транзакції'!$C$5:$C$3623,"&lt;"&amp;EDATE(DATEVALUE(C71&amp;"-01"),1))</f>
        <v>19.99</v>
      </c>
      <c r="T71" s="37">
        <f>SUMIFS('📋 Транзакції'!$F$5:$F$3623,'📋 Транзакції'!$B$5:$B$3623,A71,'📋 Транзакції'!$C$5:$C$3623,"&gt;="&amp;EDATE(DATEVALUE(C71&amp;"-01"),1),'📋 Транзакції'!$C$5:$C$3623,"&lt;"&amp;EDATE(DATEVALUE(C71&amp;"-01"),2))</f>
        <v>19.99</v>
      </c>
      <c r="U71" s="37">
        <f>SUMIFS('📋 Транзакції'!$F$5:$F$3623,'📋 Транзакції'!$B$5:$B$3623,A71,'📋 Транзакції'!$C$5:$C$3623,"&gt;="&amp;EDATE(DATEVALUE(C71&amp;"-01"),2),'📋 Транзакції'!$C$5:$C$3623,"&lt;"&amp;EDATE(DATEVALUE(C71&amp;"-01"),3))</f>
        <v>19.99</v>
      </c>
      <c r="V71" s="37">
        <f>SUMIFS('📋 Транзакції'!$F$5:$F$3623,'📋 Транзакції'!$B$5:$B$3623,A71,'📋 Транзакції'!$C$5:$C$3623,"&gt;="&amp;EDATE(DATEVALUE(C71&amp;"-01"),3),'📋 Транзакції'!$C$5:$C$3623,"&lt;"&amp;EDATE(DATEVALUE(C71&amp;"-01"),4))</f>
        <v>19.99</v>
      </c>
      <c r="W71" s="37">
        <f>SUMIFS('📋 Транзакції'!$F$5:$F$3623,'📋 Транзакції'!$B$5:$B$3623,A71,'📋 Транзакції'!$C$5:$C$3623,"&gt;="&amp;EDATE(DATEVALUE(C71&amp;"-01"),4),'📋 Транзакції'!$C$5:$C$3623,"&lt;"&amp;EDATE(DATEVALUE(C71&amp;"-01"),5))</f>
        <v>19.99</v>
      </c>
      <c r="X71" s="37">
        <f>SUMIFS('📋 Транзакції'!$F$5:$F$3623,'📋 Транзакції'!$B$5:$B$3623,A71,'📋 Транзакції'!$C$5:$C$3623,"&gt;="&amp;EDATE(DATEVALUE(C71&amp;"-01"),5),'📋 Транзакції'!$C$5:$C$3623,"&lt;"&amp;EDATE(DATEVALUE(C71&amp;"-01"),6))</f>
        <v>19.99</v>
      </c>
      <c r="Y71" s="37">
        <f>SUMIFS('📋 Транзакції'!$F$5:$F$3623,'📋 Транзакції'!$B$5:$B$3623,A71,'📋 Транзакції'!$C$5:$C$3623,"&gt;="&amp;EDATE(DATEVALUE(C71&amp;"-01"),6),'📋 Транзакції'!$C$5:$C$3623,"&lt;"&amp;EDATE(DATEVALUE(C71&amp;"-01"),7))</f>
        <v>0</v>
      </c>
      <c r="Z71" s="37">
        <f>SUMIFS('📋 Транзакції'!$F$5:$F$3623,'📋 Транзакції'!$B$5:$B$3623,A71,'📋 Транзакції'!$C$5:$C$3623,"&gt;="&amp;EDATE(DATEVALUE(C71&amp;"-01"),7),'📋 Транзакції'!$C$5:$C$3623,"&lt;"&amp;EDATE(DATEVALUE(C71&amp;"-01"),8))</f>
        <v>0</v>
      </c>
      <c r="AA71" s="37">
        <f>SUMIFS('📋 Транзакції'!$F$5:$F$3623,'📋 Транзакції'!$B$5:$B$3623,A71,'📋 Транзакції'!$C$5:$C$3623,"&gt;="&amp;EDATE(DATEVALUE(C71&amp;"-01"),8),'📋 Транзакції'!$C$5:$C$3623,"&lt;"&amp;EDATE(DATEVALUE(C71&amp;"-01"),9))</f>
        <v>0</v>
      </c>
      <c r="AB71" s="37">
        <f>SUMIFS('📋 Транзакції'!$F$5:$F$3623,'📋 Транзакції'!$B$5:$B$3623,A71,'📋 Транзакції'!$C$5:$C$3623,"&gt;="&amp;EDATE(DATEVALUE(C71&amp;"-01"),9),'📋 Транзакції'!$C$5:$C$3623,"&lt;"&amp;EDATE(DATEVALUE(C71&amp;"-01"),10))</f>
        <v>0</v>
      </c>
      <c r="AC71" s="37">
        <f>SUMIFS('📋 Транзакції'!$F$5:$F$3623,'📋 Транзакції'!$B$5:$B$3623,A71,'📋 Транзакції'!$C$5:$C$3623,"&gt;="&amp;EDATE(DATEVALUE(C71&amp;"-01"),10),'📋 Транзакції'!$C$5:$C$3623,"&lt;"&amp;EDATE(DATEVALUE(C71&amp;"-01"),11))</f>
        <v>0</v>
      </c>
      <c r="AD71" s="37">
        <f>SUMIFS('📋 Транзакції'!$F$5:$F$3623,'📋 Транзакції'!$B$5:$B$3623,A71,'📋 Транзакції'!$C$5:$C$3623,"&gt;="&amp;EDATE(DATEVALUE(C71&amp;"-01"),11),'📋 Транзакції'!$C$5:$C$3623,"&lt;"&amp;EDATE(DATEVALUE(C71&amp;"-01"),12))</f>
        <v>0</v>
      </c>
    </row>
    <row r="72" ht="15.75" customHeight="1">
      <c r="A72" s="33" t="str">
        <f>'📋 Реєстрації'!A72:A673</f>
        <v>U0069</v>
      </c>
      <c r="B72" s="34">
        <f t="array" ref="B72">INDEX('📋 Транзакції'!$C$5:$C$3623,MATCH(A72,'📋 Транзакції'!$B$5:$B$3623,0))</f>
        <v>45368</v>
      </c>
      <c r="C72" s="35" t="str">
        <f t="shared" si="1"/>
        <v>2024-03</v>
      </c>
      <c r="D72" s="36">
        <f>COUNTIF('📋 Транзакції'!$B$5:$B$3623,A72)</f>
        <v>4</v>
      </c>
      <c r="E72" s="36">
        <f>SUMIF('📋 Транзакції'!$B$5:$B$3623,A72,'📋 Транзакції'!$F$5:$F$3623)</f>
        <v>59.97</v>
      </c>
      <c r="F72" s="35">
        <f>INT($A$1-MAXIFS('📋 Транзакції'!$C$5:$C$3623,'📋 Транзакції'!$B$5:$B$3623,A72))</f>
        <v>312</v>
      </c>
      <c r="G72" s="37">
        <f>IF(COUNTIFS('📋 Транзакції'!$B$5:$B$3623,A72,'📋 Транзакції'!$C$5:$C$3623,"&gt;="&amp;EDATE(DATEVALUE(C72&amp;"-01"),0),'📋 Транзакції'!$C$5:$C$3623,"&lt;"&amp;EDATE(DATEVALUE(C72&amp;"-01"),1))&gt;0,1,0)</f>
        <v>1</v>
      </c>
      <c r="H72" s="37">
        <f>IF(COUNTIFS('📋 Транзакції'!$B$5:$B$3623,A72,'📋 Транзакції'!$C$5:$C$3623,"&gt;="&amp;EDATE(DATEVALUE(C72&amp;"-01"),1),'📋 Транзакції'!$C$5:$C$3623,"&lt;"&amp;EDATE(DATEVALUE(C72&amp;"-01"),2))&gt;0,1,0)</f>
        <v>1</v>
      </c>
      <c r="I72" s="37">
        <f>IF(COUNTIFS('📋 Транзакції'!$B$5:$B$3623,A72,'📋 Транзакції'!$C$5:$C$3623,"&gt;="&amp;EDATE(DATEVALUE(C72&amp;"-01"),2),'📋 Транзакції'!$C$5:$C$3623,"&lt;"&amp;EDATE(DATEVALUE(C72&amp;"-01"),3))&gt;0,1,0)</f>
        <v>1</v>
      </c>
      <c r="J72" s="37">
        <f>IF(COUNTIFS('📋 Транзакції'!$B$5:$B$3623,A72,'📋 Транзакції'!$C$5:$C$3623,"&gt;="&amp;EDATE(DATEVALUE(C72&amp;"-01"),3),'📋 Транзакції'!$C$5:$C$3623,"&lt;"&amp;EDATE(DATEVALUE(C72&amp;"-01"),4))&gt;0,1,0)</f>
        <v>0</v>
      </c>
      <c r="K72" s="37">
        <f>IF(COUNTIFS('📋 Транзакції'!$B$5:$B$3623,A72,'📋 Транзакції'!$C$5:$C$3623,"&gt;="&amp;EDATE(DATEVALUE(C72&amp;"-01"),4),'📋 Транзакції'!$C$5:$C$3623,"&lt;"&amp;EDATE(DATEVALUE(C72&amp;"-01"),5))&gt;0,1,0)</f>
        <v>0</v>
      </c>
      <c r="L72" s="37">
        <f>IF(COUNTIFS('📋 Транзакції'!$B$5:$B$3623,A72,'📋 Транзакції'!$C$5:$C$3623,"&gt;="&amp;EDATE(DATEVALUE(C72&amp;"-01"),5),'📋 Транзакції'!$C$5:$C$3623,"&lt;"&amp;EDATE(DATEVALUE(C72&amp;"-01"),6))&gt;0,1,0)</f>
        <v>0</v>
      </c>
      <c r="M72" s="37">
        <f>IF(COUNTIFS('📋 Транзакції'!$B$5:$B$3623,A72,'📋 Транзакції'!$C$5:$C$3623,"&gt;="&amp;EDATE(DATEVALUE(C72&amp;"-01"),6),'📋 Транзакції'!$C$5:$C$3623,"&lt;"&amp;EDATE(DATEVALUE(C72&amp;"-01"),7))&gt;0,1,0)</f>
        <v>0</v>
      </c>
      <c r="N72" s="37">
        <f>IF(COUNTIFS('📋 Транзакції'!$B$5:$B$3623,A72,'📋 Транзакції'!$C$5:$C$3623,"&gt;="&amp;EDATE(DATEVALUE(C72&amp;"-01"),7),'📋 Транзакції'!$C$5:$C$3623,"&lt;"&amp;EDATE(DATEVALUE(C72&amp;"-01"),8))&gt;0,1,0)</f>
        <v>0</v>
      </c>
      <c r="O72" s="37">
        <f>IF(COUNTIFS('📋 Транзакції'!$B$5:$B$3623,A72,'📋 Транзакції'!$C$5:$C$3623,"&gt;="&amp;EDATE(DATEVALUE(C72&amp;"-01"),8),'📋 Транзакції'!$C$5:$C$3623,"&lt;"&amp;EDATE(DATEVALUE(C72&amp;"-01"),9))&gt;0,1,0)</f>
        <v>0</v>
      </c>
      <c r="P72" s="37">
        <f>IF(COUNTIFS('📋 Транзакції'!$B$5:$B$3623,A72,'📋 Транзакції'!$C$5:$C$3623,"&gt;="&amp;EDATE(DATEVALUE(C72&amp;"-01"),9),'📋 Транзакції'!$C$5:$C$3623,"&lt;"&amp;EDATE(DATEVALUE(C72&amp;"-01"),10))&gt;0,1,0)</f>
        <v>0</v>
      </c>
      <c r="Q72" s="37">
        <f>IF(COUNTIFS('📋 Транзакції'!$B$5:$B$3623,A72,'📋 Транзакції'!$C$5:$C$3623,"&gt;="&amp;EDATE(DATEVALUE(C72&amp;"-01"),10),'📋 Транзакції'!$C$5:$C$3623,"&lt;"&amp;EDATE(DATEVALUE(C72&amp;"-01"),11))&gt;0,1,0)</f>
        <v>0</v>
      </c>
      <c r="R72" s="37">
        <f>IF(COUNTIFS('📋 Транзакції'!$B$5:$B$3623,A72,'📋 Транзакції'!$C$5:$C$3623,"&gt;="&amp;EDATE(DATEVALUE(C72&amp;"-01"),11),'📋 Транзакції'!$C$5:$C$3623,"&lt;"&amp;EDATE(DATEVALUE(C72&amp;"-01"),12))&gt;0,1,0)</f>
        <v>0</v>
      </c>
      <c r="S72" s="37">
        <f>SUMIFS('📋 Транзакції'!$F$5:$F$3623,'📋 Транзакції'!$B$5:$B$3623,A72,'📋 Транзакції'!$C$5:$C$3623,"&gt;="&amp;EDATE(DATEVALUE(C72&amp;"-01"),0),'📋 Транзакції'!$C$5:$C$3623,"&lt;"&amp;EDATE(DATEVALUE(C72&amp;"-01"),1))</f>
        <v>19.99</v>
      </c>
      <c r="T72" s="37">
        <f>SUMIFS('📋 Транзакції'!$F$5:$F$3623,'📋 Транзакції'!$B$5:$B$3623,A72,'📋 Транзакції'!$C$5:$C$3623,"&gt;="&amp;EDATE(DATEVALUE(C72&amp;"-01"),1),'📋 Транзакції'!$C$5:$C$3623,"&lt;"&amp;EDATE(DATEVALUE(C72&amp;"-01"),2))</f>
        <v>19.99</v>
      </c>
      <c r="U72" s="37">
        <f>SUMIFS('📋 Транзакції'!$F$5:$F$3623,'📋 Транзакції'!$B$5:$B$3623,A72,'📋 Транзакції'!$C$5:$C$3623,"&gt;="&amp;EDATE(DATEVALUE(C72&amp;"-01"),2),'📋 Транзакції'!$C$5:$C$3623,"&lt;"&amp;EDATE(DATEVALUE(C72&amp;"-01"),3))</f>
        <v>19.99</v>
      </c>
      <c r="V72" s="37">
        <f>SUMIFS('📋 Транзакції'!$F$5:$F$3623,'📋 Транзакції'!$B$5:$B$3623,A72,'📋 Транзакції'!$C$5:$C$3623,"&gt;="&amp;EDATE(DATEVALUE(C72&amp;"-01"),3),'📋 Транзакції'!$C$5:$C$3623,"&lt;"&amp;EDATE(DATEVALUE(C72&amp;"-01"),4))</f>
        <v>0</v>
      </c>
      <c r="W72" s="37">
        <f>SUMIFS('📋 Транзакції'!$F$5:$F$3623,'📋 Транзакції'!$B$5:$B$3623,A72,'📋 Транзакції'!$C$5:$C$3623,"&gt;="&amp;EDATE(DATEVALUE(C72&amp;"-01"),4),'📋 Транзакції'!$C$5:$C$3623,"&lt;"&amp;EDATE(DATEVALUE(C72&amp;"-01"),5))</f>
        <v>0</v>
      </c>
      <c r="X72" s="37">
        <f>SUMIFS('📋 Транзакції'!$F$5:$F$3623,'📋 Транзакції'!$B$5:$B$3623,A72,'📋 Транзакції'!$C$5:$C$3623,"&gt;="&amp;EDATE(DATEVALUE(C72&amp;"-01"),5),'📋 Транзакції'!$C$5:$C$3623,"&lt;"&amp;EDATE(DATEVALUE(C72&amp;"-01"),6))</f>
        <v>0</v>
      </c>
      <c r="Y72" s="37">
        <f>SUMIFS('📋 Транзакції'!$F$5:$F$3623,'📋 Транзакції'!$B$5:$B$3623,A72,'📋 Транзакції'!$C$5:$C$3623,"&gt;="&amp;EDATE(DATEVALUE(C72&amp;"-01"),6),'📋 Транзакції'!$C$5:$C$3623,"&lt;"&amp;EDATE(DATEVALUE(C72&amp;"-01"),7))</f>
        <v>0</v>
      </c>
      <c r="Z72" s="37">
        <f>SUMIFS('📋 Транзакції'!$F$5:$F$3623,'📋 Транзакції'!$B$5:$B$3623,A72,'📋 Транзакції'!$C$5:$C$3623,"&gt;="&amp;EDATE(DATEVALUE(C72&amp;"-01"),7),'📋 Транзакції'!$C$5:$C$3623,"&lt;"&amp;EDATE(DATEVALUE(C72&amp;"-01"),8))</f>
        <v>0</v>
      </c>
      <c r="AA72" s="37">
        <f>SUMIFS('📋 Транзакції'!$F$5:$F$3623,'📋 Транзакції'!$B$5:$B$3623,A72,'📋 Транзакції'!$C$5:$C$3623,"&gt;="&amp;EDATE(DATEVALUE(C72&amp;"-01"),8),'📋 Транзакції'!$C$5:$C$3623,"&lt;"&amp;EDATE(DATEVALUE(C72&amp;"-01"),9))</f>
        <v>0</v>
      </c>
      <c r="AB72" s="37">
        <f>SUMIFS('📋 Транзакції'!$F$5:$F$3623,'📋 Транзакції'!$B$5:$B$3623,A72,'📋 Транзакції'!$C$5:$C$3623,"&gt;="&amp;EDATE(DATEVALUE(C72&amp;"-01"),9),'📋 Транзакції'!$C$5:$C$3623,"&lt;"&amp;EDATE(DATEVALUE(C72&amp;"-01"),10))</f>
        <v>0</v>
      </c>
      <c r="AC72" s="37">
        <f>SUMIFS('📋 Транзакції'!$F$5:$F$3623,'📋 Транзакції'!$B$5:$B$3623,A72,'📋 Транзакції'!$C$5:$C$3623,"&gt;="&amp;EDATE(DATEVALUE(C72&amp;"-01"),10),'📋 Транзакції'!$C$5:$C$3623,"&lt;"&amp;EDATE(DATEVALUE(C72&amp;"-01"),11))</f>
        <v>0</v>
      </c>
      <c r="AD72" s="37">
        <f>SUMIFS('📋 Транзакції'!$F$5:$F$3623,'📋 Транзакції'!$B$5:$B$3623,A72,'📋 Транзакції'!$C$5:$C$3623,"&gt;="&amp;EDATE(DATEVALUE(C72&amp;"-01"),11),'📋 Транзакції'!$C$5:$C$3623,"&lt;"&amp;EDATE(DATEVALUE(C72&amp;"-01"),12))</f>
        <v>0</v>
      </c>
    </row>
    <row r="73" ht="15.75" customHeight="1">
      <c r="A73" s="33" t="str">
        <f>'📋 Реєстрації'!A73:A674</f>
        <v>U0587</v>
      </c>
      <c r="B73" s="34">
        <f t="array" ref="B73">INDEX('📋 Транзакції'!$C$5:$C$3623,MATCH(A73,'📋 Транзакції'!$B$5:$B$3623,0))</f>
        <v>45368</v>
      </c>
      <c r="C73" s="35" t="str">
        <f t="shared" si="1"/>
        <v>2024-03</v>
      </c>
      <c r="D73" s="36">
        <f>COUNTIF('📋 Транзакції'!$B$5:$B$3623,A73)</f>
        <v>4</v>
      </c>
      <c r="E73" s="36">
        <f>SUMIF('📋 Транзакції'!$B$5:$B$3623,A73,'📋 Транзакції'!$F$5:$F$3623)</f>
        <v>59.97</v>
      </c>
      <c r="F73" s="35">
        <f>INT($A$1-MAXIFS('📋 Транзакції'!$C$5:$C$3623,'📋 Транзакції'!$B$5:$B$3623,A73))</f>
        <v>312</v>
      </c>
      <c r="G73" s="37">
        <f>IF(COUNTIFS('📋 Транзакції'!$B$5:$B$3623,A73,'📋 Транзакції'!$C$5:$C$3623,"&gt;="&amp;EDATE(DATEVALUE(C73&amp;"-01"),0),'📋 Транзакції'!$C$5:$C$3623,"&lt;"&amp;EDATE(DATEVALUE(C73&amp;"-01"),1))&gt;0,1,0)</f>
        <v>1</v>
      </c>
      <c r="H73" s="37">
        <f>IF(COUNTIFS('📋 Транзакції'!$B$5:$B$3623,A73,'📋 Транзакції'!$C$5:$C$3623,"&gt;="&amp;EDATE(DATEVALUE(C73&amp;"-01"),1),'📋 Транзакції'!$C$5:$C$3623,"&lt;"&amp;EDATE(DATEVALUE(C73&amp;"-01"),2))&gt;0,1,0)</f>
        <v>1</v>
      </c>
      <c r="I73" s="37">
        <f>IF(COUNTIFS('📋 Транзакції'!$B$5:$B$3623,A73,'📋 Транзакції'!$C$5:$C$3623,"&gt;="&amp;EDATE(DATEVALUE(C73&amp;"-01"),2),'📋 Транзакції'!$C$5:$C$3623,"&lt;"&amp;EDATE(DATEVALUE(C73&amp;"-01"),3))&gt;0,1,0)</f>
        <v>1</v>
      </c>
      <c r="J73" s="37">
        <f>IF(COUNTIFS('📋 Транзакції'!$B$5:$B$3623,A73,'📋 Транзакції'!$C$5:$C$3623,"&gt;="&amp;EDATE(DATEVALUE(C73&amp;"-01"),3),'📋 Транзакції'!$C$5:$C$3623,"&lt;"&amp;EDATE(DATEVALUE(C73&amp;"-01"),4))&gt;0,1,0)</f>
        <v>0</v>
      </c>
      <c r="K73" s="37">
        <f>IF(COUNTIFS('📋 Транзакції'!$B$5:$B$3623,A73,'📋 Транзакції'!$C$5:$C$3623,"&gt;="&amp;EDATE(DATEVALUE(C73&amp;"-01"),4),'📋 Транзакції'!$C$5:$C$3623,"&lt;"&amp;EDATE(DATEVALUE(C73&amp;"-01"),5))&gt;0,1,0)</f>
        <v>0</v>
      </c>
      <c r="L73" s="37">
        <f>IF(COUNTIFS('📋 Транзакції'!$B$5:$B$3623,A73,'📋 Транзакції'!$C$5:$C$3623,"&gt;="&amp;EDATE(DATEVALUE(C73&amp;"-01"),5),'📋 Транзакції'!$C$5:$C$3623,"&lt;"&amp;EDATE(DATEVALUE(C73&amp;"-01"),6))&gt;0,1,0)</f>
        <v>0</v>
      </c>
      <c r="M73" s="37">
        <f>IF(COUNTIFS('📋 Транзакції'!$B$5:$B$3623,A73,'📋 Транзакції'!$C$5:$C$3623,"&gt;="&amp;EDATE(DATEVALUE(C73&amp;"-01"),6),'📋 Транзакції'!$C$5:$C$3623,"&lt;"&amp;EDATE(DATEVALUE(C73&amp;"-01"),7))&gt;0,1,0)</f>
        <v>0</v>
      </c>
      <c r="N73" s="37">
        <f>IF(COUNTIFS('📋 Транзакції'!$B$5:$B$3623,A73,'📋 Транзакції'!$C$5:$C$3623,"&gt;="&amp;EDATE(DATEVALUE(C73&amp;"-01"),7),'📋 Транзакції'!$C$5:$C$3623,"&lt;"&amp;EDATE(DATEVALUE(C73&amp;"-01"),8))&gt;0,1,0)</f>
        <v>0</v>
      </c>
      <c r="O73" s="37">
        <f>IF(COUNTIFS('📋 Транзакції'!$B$5:$B$3623,A73,'📋 Транзакції'!$C$5:$C$3623,"&gt;="&amp;EDATE(DATEVALUE(C73&amp;"-01"),8),'📋 Транзакції'!$C$5:$C$3623,"&lt;"&amp;EDATE(DATEVALUE(C73&amp;"-01"),9))&gt;0,1,0)</f>
        <v>0</v>
      </c>
      <c r="P73" s="37">
        <f>IF(COUNTIFS('📋 Транзакції'!$B$5:$B$3623,A73,'📋 Транзакції'!$C$5:$C$3623,"&gt;="&amp;EDATE(DATEVALUE(C73&amp;"-01"),9),'📋 Транзакції'!$C$5:$C$3623,"&lt;"&amp;EDATE(DATEVALUE(C73&amp;"-01"),10))&gt;0,1,0)</f>
        <v>0</v>
      </c>
      <c r="Q73" s="37">
        <f>IF(COUNTIFS('📋 Транзакції'!$B$5:$B$3623,A73,'📋 Транзакції'!$C$5:$C$3623,"&gt;="&amp;EDATE(DATEVALUE(C73&amp;"-01"),10),'📋 Транзакції'!$C$5:$C$3623,"&lt;"&amp;EDATE(DATEVALUE(C73&amp;"-01"),11))&gt;0,1,0)</f>
        <v>0</v>
      </c>
      <c r="R73" s="37">
        <f>IF(COUNTIFS('📋 Транзакції'!$B$5:$B$3623,A73,'📋 Транзакції'!$C$5:$C$3623,"&gt;="&amp;EDATE(DATEVALUE(C73&amp;"-01"),11),'📋 Транзакції'!$C$5:$C$3623,"&lt;"&amp;EDATE(DATEVALUE(C73&amp;"-01"),12))&gt;0,1,0)</f>
        <v>0</v>
      </c>
      <c r="S73" s="37">
        <f>SUMIFS('📋 Транзакції'!$F$5:$F$3623,'📋 Транзакції'!$B$5:$B$3623,A73,'📋 Транзакції'!$C$5:$C$3623,"&gt;="&amp;EDATE(DATEVALUE(C73&amp;"-01"),0),'📋 Транзакції'!$C$5:$C$3623,"&lt;"&amp;EDATE(DATEVALUE(C73&amp;"-01"),1))</f>
        <v>19.99</v>
      </c>
      <c r="T73" s="37">
        <f>SUMIFS('📋 Транзакції'!$F$5:$F$3623,'📋 Транзакції'!$B$5:$B$3623,A73,'📋 Транзакції'!$C$5:$C$3623,"&gt;="&amp;EDATE(DATEVALUE(C73&amp;"-01"),1),'📋 Транзакції'!$C$5:$C$3623,"&lt;"&amp;EDATE(DATEVALUE(C73&amp;"-01"),2))</f>
        <v>19.99</v>
      </c>
      <c r="U73" s="37">
        <f>SUMIFS('📋 Транзакції'!$F$5:$F$3623,'📋 Транзакції'!$B$5:$B$3623,A73,'📋 Транзакції'!$C$5:$C$3623,"&gt;="&amp;EDATE(DATEVALUE(C73&amp;"-01"),2),'📋 Транзакції'!$C$5:$C$3623,"&lt;"&amp;EDATE(DATEVALUE(C73&amp;"-01"),3))</f>
        <v>19.99</v>
      </c>
      <c r="V73" s="37">
        <f>SUMIFS('📋 Транзакції'!$F$5:$F$3623,'📋 Транзакції'!$B$5:$B$3623,A73,'📋 Транзакції'!$C$5:$C$3623,"&gt;="&amp;EDATE(DATEVALUE(C73&amp;"-01"),3),'📋 Транзакції'!$C$5:$C$3623,"&lt;"&amp;EDATE(DATEVALUE(C73&amp;"-01"),4))</f>
        <v>0</v>
      </c>
      <c r="W73" s="37">
        <f>SUMIFS('📋 Транзакції'!$F$5:$F$3623,'📋 Транзакції'!$B$5:$B$3623,A73,'📋 Транзакції'!$C$5:$C$3623,"&gt;="&amp;EDATE(DATEVALUE(C73&amp;"-01"),4),'📋 Транзакції'!$C$5:$C$3623,"&lt;"&amp;EDATE(DATEVALUE(C73&amp;"-01"),5))</f>
        <v>0</v>
      </c>
      <c r="X73" s="37">
        <f>SUMIFS('📋 Транзакції'!$F$5:$F$3623,'📋 Транзакції'!$B$5:$B$3623,A73,'📋 Транзакції'!$C$5:$C$3623,"&gt;="&amp;EDATE(DATEVALUE(C73&amp;"-01"),5),'📋 Транзакції'!$C$5:$C$3623,"&lt;"&amp;EDATE(DATEVALUE(C73&amp;"-01"),6))</f>
        <v>0</v>
      </c>
      <c r="Y73" s="37">
        <f>SUMIFS('📋 Транзакції'!$F$5:$F$3623,'📋 Транзакції'!$B$5:$B$3623,A73,'📋 Транзакції'!$C$5:$C$3623,"&gt;="&amp;EDATE(DATEVALUE(C73&amp;"-01"),6),'📋 Транзакції'!$C$5:$C$3623,"&lt;"&amp;EDATE(DATEVALUE(C73&amp;"-01"),7))</f>
        <v>0</v>
      </c>
      <c r="Z73" s="37">
        <f>SUMIFS('📋 Транзакції'!$F$5:$F$3623,'📋 Транзакції'!$B$5:$B$3623,A73,'📋 Транзакції'!$C$5:$C$3623,"&gt;="&amp;EDATE(DATEVALUE(C73&amp;"-01"),7),'📋 Транзакції'!$C$5:$C$3623,"&lt;"&amp;EDATE(DATEVALUE(C73&amp;"-01"),8))</f>
        <v>0</v>
      </c>
      <c r="AA73" s="37">
        <f>SUMIFS('📋 Транзакції'!$F$5:$F$3623,'📋 Транзакції'!$B$5:$B$3623,A73,'📋 Транзакції'!$C$5:$C$3623,"&gt;="&amp;EDATE(DATEVALUE(C73&amp;"-01"),8),'📋 Транзакції'!$C$5:$C$3623,"&lt;"&amp;EDATE(DATEVALUE(C73&amp;"-01"),9))</f>
        <v>0</v>
      </c>
      <c r="AB73" s="37">
        <f>SUMIFS('📋 Транзакції'!$F$5:$F$3623,'📋 Транзакції'!$B$5:$B$3623,A73,'📋 Транзакції'!$C$5:$C$3623,"&gt;="&amp;EDATE(DATEVALUE(C73&amp;"-01"),9),'📋 Транзакції'!$C$5:$C$3623,"&lt;"&amp;EDATE(DATEVALUE(C73&amp;"-01"),10))</f>
        <v>0</v>
      </c>
      <c r="AC73" s="37">
        <f>SUMIFS('📋 Транзакції'!$F$5:$F$3623,'📋 Транзакції'!$B$5:$B$3623,A73,'📋 Транзакції'!$C$5:$C$3623,"&gt;="&amp;EDATE(DATEVALUE(C73&amp;"-01"),10),'📋 Транзакції'!$C$5:$C$3623,"&lt;"&amp;EDATE(DATEVALUE(C73&amp;"-01"),11))</f>
        <v>0</v>
      </c>
      <c r="AD73" s="37">
        <f>SUMIFS('📋 Транзакції'!$F$5:$F$3623,'📋 Транзакції'!$B$5:$B$3623,A73,'📋 Транзакції'!$C$5:$C$3623,"&gt;="&amp;EDATE(DATEVALUE(C73&amp;"-01"),11),'📋 Транзакції'!$C$5:$C$3623,"&lt;"&amp;EDATE(DATEVALUE(C73&amp;"-01"),12))</f>
        <v>0</v>
      </c>
    </row>
    <row r="74" ht="15.75" customHeight="1">
      <c r="A74" s="33" t="str">
        <f>'📋 Реєстрації'!A74:A675</f>
        <v>U0312</v>
      </c>
      <c r="B74" s="34">
        <f t="array" ref="B74">INDEX('📋 Транзакції'!$C$5:$C$3623,MATCH(A74,'📋 Транзакції'!$B$5:$B$3623,0))</f>
        <v>45369</v>
      </c>
      <c r="C74" s="35" t="str">
        <f t="shared" si="1"/>
        <v>2024-03</v>
      </c>
      <c r="D74" s="36">
        <f>COUNTIF('📋 Транзакції'!$B$5:$B$3623,A74)</f>
        <v>14</v>
      </c>
      <c r="E74" s="36">
        <f>SUMIF('📋 Транзакції'!$B$5:$B$3623,A74,'📋 Транзакції'!$F$5:$F$3623)</f>
        <v>259.87</v>
      </c>
      <c r="F74" s="35">
        <f>INT($A$1-MAXIFS('📋 Транзакції'!$C$5:$C$3623,'📋 Транзакції'!$B$5:$B$3623,A74))</f>
        <v>11</v>
      </c>
      <c r="G74" s="37">
        <f>IF(COUNTIFS('📋 Транзакції'!$B$5:$B$3623,A74,'📋 Транзакції'!$C$5:$C$3623,"&gt;="&amp;EDATE(DATEVALUE(C74&amp;"-01"),0),'📋 Транзакції'!$C$5:$C$3623,"&lt;"&amp;EDATE(DATEVALUE(C74&amp;"-01"),1))&gt;0,1,0)</f>
        <v>1</v>
      </c>
      <c r="H74" s="37">
        <f>IF(COUNTIFS('📋 Транзакції'!$B$5:$B$3623,A74,'📋 Транзакції'!$C$5:$C$3623,"&gt;="&amp;EDATE(DATEVALUE(C74&amp;"-01"),1),'📋 Транзакції'!$C$5:$C$3623,"&lt;"&amp;EDATE(DATEVALUE(C74&amp;"-01"),2))&gt;0,1,0)</f>
        <v>1</v>
      </c>
      <c r="I74" s="37">
        <f>IF(COUNTIFS('📋 Транзакції'!$B$5:$B$3623,A74,'📋 Транзакції'!$C$5:$C$3623,"&gt;="&amp;EDATE(DATEVALUE(C74&amp;"-01"),2),'📋 Транзакції'!$C$5:$C$3623,"&lt;"&amp;EDATE(DATEVALUE(C74&amp;"-01"),3))&gt;0,1,0)</f>
        <v>1</v>
      </c>
      <c r="J74" s="37">
        <f>IF(COUNTIFS('📋 Транзакції'!$B$5:$B$3623,A74,'📋 Транзакції'!$C$5:$C$3623,"&gt;="&amp;EDATE(DATEVALUE(C74&amp;"-01"),3),'📋 Транзакції'!$C$5:$C$3623,"&lt;"&amp;EDATE(DATEVALUE(C74&amp;"-01"),4))&gt;0,1,0)</f>
        <v>1</v>
      </c>
      <c r="K74" s="37">
        <f>IF(COUNTIFS('📋 Транзакції'!$B$5:$B$3623,A74,'📋 Транзакції'!$C$5:$C$3623,"&gt;="&amp;EDATE(DATEVALUE(C74&amp;"-01"),4),'📋 Транзакції'!$C$5:$C$3623,"&lt;"&amp;EDATE(DATEVALUE(C74&amp;"-01"),5))&gt;0,1,0)</f>
        <v>1</v>
      </c>
      <c r="L74" s="37">
        <f>IF(COUNTIFS('📋 Транзакції'!$B$5:$B$3623,A74,'📋 Транзакції'!$C$5:$C$3623,"&gt;="&amp;EDATE(DATEVALUE(C74&amp;"-01"),5),'📋 Транзакції'!$C$5:$C$3623,"&lt;"&amp;EDATE(DATEVALUE(C74&amp;"-01"),6))&gt;0,1,0)</f>
        <v>1</v>
      </c>
      <c r="M74" s="37">
        <f>IF(COUNTIFS('📋 Транзакції'!$B$5:$B$3623,A74,'📋 Транзакції'!$C$5:$C$3623,"&gt;="&amp;EDATE(DATEVALUE(C74&amp;"-01"),6),'📋 Транзакції'!$C$5:$C$3623,"&lt;"&amp;EDATE(DATEVALUE(C74&amp;"-01"),7))&gt;0,1,0)</f>
        <v>1</v>
      </c>
      <c r="N74" s="37">
        <f>IF(COUNTIFS('📋 Транзакції'!$B$5:$B$3623,A74,'📋 Транзакції'!$C$5:$C$3623,"&gt;="&amp;EDATE(DATEVALUE(C74&amp;"-01"),7),'📋 Транзакції'!$C$5:$C$3623,"&lt;"&amp;EDATE(DATEVALUE(C74&amp;"-01"),8))&gt;0,1,0)</f>
        <v>1</v>
      </c>
      <c r="O74" s="37">
        <f>IF(COUNTIFS('📋 Транзакції'!$B$5:$B$3623,A74,'📋 Транзакції'!$C$5:$C$3623,"&gt;="&amp;EDATE(DATEVALUE(C74&amp;"-01"),8),'📋 Транзакції'!$C$5:$C$3623,"&lt;"&amp;EDATE(DATEVALUE(C74&amp;"-01"),9))&gt;0,1,0)</f>
        <v>1</v>
      </c>
      <c r="P74" s="37">
        <f>IF(COUNTIFS('📋 Транзакції'!$B$5:$B$3623,A74,'📋 Транзакції'!$C$5:$C$3623,"&gt;="&amp;EDATE(DATEVALUE(C74&amp;"-01"),9),'📋 Транзакції'!$C$5:$C$3623,"&lt;"&amp;EDATE(DATEVALUE(C74&amp;"-01"),10))&gt;0,1,0)</f>
        <v>1</v>
      </c>
      <c r="Q74" s="37">
        <f>IF(COUNTIFS('📋 Транзакції'!$B$5:$B$3623,A74,'📋 Транзакції'!$C$5:$C$3623,"&gt;="&amp;EDATE(DATEVALUE(C74&amp;"-01"),10),'📋 Транзакції'!$C$5:$C$3623,"&lt;"&amp;EDATE(DATEVALUE(C74&amp;"-01"),11))&gt;0,1,0)</f>
        <v>1</v>
      </c>
      <c r="R74" s="37">
        <f>IF(COUNTIFS('📋 Транзакції'!$B$5:$B$3623,A74,'📋 Транзакції'!$C$5:$C$3623,"&gt;="&amp;EDATE(DATEVALUE(C74&amp;"-01"),11),'📋 Транзакції'!$C$5:$C$3623,"&lt;"&amp;EDATE(DATEVALUE(C74&amp;"-01"),12))&gt;0,1,0)</f>
        <v>1</v>
      </c>
      <c r="S74" s="37">
        <f>SUMIFS('📋 Транзакції'!$F$5:$F$3623,'📋 Транзакції'!$B$5:$B$3623,A74,'📋 Транзакції'!$C$5:$C$3623,"&gt;="&amp;EDATE(DATEVALUE(C74&amp;"-01"),0),'📋 Транзакції'!$C$5:$C$3623,"&lt;"&amp;EDATE(DATEVALUE(C74&amp;"-01"),1))</f>
        <v>19.99</v>
      </c>
      <c r="T74" s="37">
        <f>SUMIFS('📋 Транзакції'!$F$5:$F$3623,'📋 Транзакції'!$B$5:$B$3623,A74,'📋 Транзакції'!$C$5:$C$3623,"&gt;="&amp;EDATE(DATEVALUE(C74&amp;"-01"),1),'📋 Транзакції'!$C$5:$C$3623,"&lt;"&amp;EDATE(DATEVALUE(C74&amp;"-01"),2))</f>
        <v>19.99</v>
      </c>
      <c r="U74" s="37">
        <f>SUMIFS('📋 Транзакції'!$F$5:$F$3623,'📋 Транзакції'!$B$5:$B$3623,A74,'📋 Транзакції'!$C$5:$C$3623,"&gt;="&amp;EDATE(DATEVALUE(C74&amp;"-01"),2),'📋 Транзакції'!$C$5:$C$3623,"&lt;"&amp;EDATE(DATEVALUE(C74&amp;"-01"),3))</f>
        <v>19.99</v>
      </c>
      <c r="V74" s="37">
        <f>SUMIFS('📋 Транзакції'!$F$5:$F$3623,'📋 Транзакції'!$B$5:$B$3623,A74,'📋 Транзакції'!$C$5:$C$3623,"&gt;="&amp;EDATE(DATEVALUE(C74&amp;"-01"),3),'📋 Транзакції'!$C$5:$C$3623,"&lt;"&amp;EDATE(DATEVALUE(C74&amp;"-01"),4))</f>
        <v>19.99</v>
      </c>
      <c r="W74" s="37">
        <f>SUMIFS('📋 Транзакції'!$F$5:$F$3623,'📋 Транзакції'!$B$5:$B$3623,A74,'📋 Транзакції'!$C$5:$C$3623,"&gt;="&amp;EDATE(DATEVALUE(C74&amp;"-01"),4),'📋 Транзакції'!$C$5:$C$3623,"&lt;"&amp;EDATE(DATEVALUE(C74&amp;"-01"),5))</f>
        <v>19.99</v>
      </c>
      <c r="X74" s="37">
        <f>SUMIFS('📋 Транзакції'!$F$5:$F$3623,'📋 Транзакції'!$B$5:$B$3623,A74,'📋 Транзакції'!$C$5:$C$3623,"&gt;="&amp;EDATE(DATEVALUE(C74&amp;"-01"),5),'📋 Транзакції'!$C$5:$C$3623,"&lt;"&amp;EDATE(DATEVALUE(C74&amp;"-01"),6))</f>
        <v>19.99</v>
      </c>
      <c r="Y74" s="37">
        <f>SUMIFS('📋 Транзакції'!$F$5:$F$3623,'📋 Транзакції'!$B$5:$B$3623,A74,'📋 Транзакції'!$C$5:$C$3623,"&gt;="&amp;EDATE(DATEVALUE(C74&amp;"-01"),6),'📋 Транзакції'!$C$5:$C$3623,"&lt;"&amp;EDATE(DATEVALUE(C74&amp;"-01"),7))</f>
        <v>19.99</v>
      </c>
      <c r="Z74" s="37">
        <f>SUMIFS('📋 Транзакції'!$F$5:$F$3623,'📋 Транзакції'!$B$5:$B$3623,A74,'📋 Транзакції'!$C$5:$C$3623,"&gt;="&amp;EDATE(DATEVALUE(C74&amp;"-01"),7),'📋 Транзакції'!$C$5:$C$3623,"&lt;"&amp;EDATE(DATEVALUE(C74&amp;"-01"),8))</f>
        <v>19.99</v>
      </c>
      <c r="AA74" s="37">
        <f>SUMIFS('📋 Транзакції'!$F$5:$F$3623,'📋 Транзакції'!$B$5:$B$3623,A74,'📋 Транзакції'!$C$5:$C$3623,"&gt;="&amp;EDATE(DATEVALUE(C74&amp;"-01"),8),'📋 Транзакції'!$C$5:$C$3623,"&lt;"&amp;EDATE(DATEVALUE(C74&amp;"-01"),9))</f>
        <v>19.99</v>
      </c>
      <c r="AB74" s="37">
        <f>SUMIFS('📋 Транзакції'!$F$5:$F$3623,'📋 Транзакції'!$B$5:$B$3623,A74,'📋 Транзакції'!$C$5:$C$3623,"&gt;="&amp;EDATE(DATEVALUE(C74&amp;"-01"),9),'📋 Транзакції'!$C$5:$C$3623,"&lt;"&amp;EDATE(DATEVALUE(C74&amp;"-01"),10))</f>
        <v>19.99</v>
      </c>
      <c r="AC74" s="37">
        <f>SUMIFS('📋 Транзакції'!$F$5:$F$3623,'📋 Транзакції'!$B$5:$B$3623,A74,'📋 Транзакції'!$C$5:$C$3623,"&gt;="&amp;EDATE(DATEVALUE(C74&amp;"-01"),10),'📋 Транзакції'!$C$5:$C$3623,"&lt;"&amp;EDATE(DATEVALUE(C74&amp;"-01"),11))</f>
        <v>19.99</v>
      </c>
      <c r="AD74" s="37">
        <f>SUMIFS('📋 Транзакції'!$F$5:$F$3623,'📋 Транзакції'!$B$5:$B$3623,A74,'📋 Транзакції'!$C$5:$C$3623,"&gt;="&amp;EDATE(DATEVALUE(C74&amp;"-01"),11),'📋 Транзакції'!$C$5:$C$3623,"&lt;"&amp;EDATE(DATEVALUE(C74&amp;"-01"),12))</f>
        <v>19.99</v>
      </c>
    </row>
    <row r="75" ht="15.75" customHeight="1">
      <c r="A75" s="33" t="str">
        <f>'📋 Реєстрації'!A75:A676</f>
        <v>U0124</v>
      </c>
      <c r="B75" s="34">
        <f t="array" ref="B75">INDEX('📋 Транзакції'!$C$5:$C$3623,MATCH(A75,'📋 Транзакції'!$B$5:$B$3623,0))</f>
        <v>45370</v>
      </c>
      <c r="C75" s="35" t="str">
        <f t="shared" si="1"/>
        <v>2024-03</v>
      </c>
      <c r="D75" s="36">
        <f>COUNTIF('📋 Транзакції'!$B$5:$B$3623,A75)</f>
        <v>14</v>
      </c>
      <c r="E75" s="36">
        <f>SUMIF('📋 Транзакції'!$B$5:$B$3623,A75,'📋 Транзакції'!$F$5:$F$3623)</f>
        <v>259.87</v>
      </c>
      <c r="F75" s="35">
        <f>INT($A$1-MAXIFS('📋 Транзакції'!$C$5:$C$3623,'📋 Транзакції'!$B$5:$B$3623,A75))</f>
        <v>10</v>
      </c>
      <c r="G75" s="37">
        <f>IF(COUNTIFS('📋 Транзакції'!$B$5:$B$3623,A75,'📋 Транзакції'!$C$5:$C$3623,"&gt;="&amp;EDATE(DATEVALUE(C75&amp;"-01"),0),'📋 Транзакції'!$C$5:$C$3623,"&lt;"&amp;EDATE(DATEVALUE(C75&amp;"-01"),1))&gt;0,1,0)</f>
        <v>1</v>
      </c>
      <c r="H75" s="37">
        <f>IF(COUNTIFS('📋 Транзакції'!$B$5:$B$3623,A75,'📋 Транзакції'!$C$5:$C$3623,"&gt;="&amp;EDATE(DATEVALUE(C75&amp;"-01"),1),'📋 Транзакції'!$C$5:$C$3623,"&lt;"&amp;EDATE(DATEVALUE(C75&amp;"-01"),2))&gt;0,1,0)</f>
        <v>1</v>
      </c>
      <c r="I75" s="37">
        <f>IF(COUNTIFS('📋 Транзакції'!$B$5:$B$3623,A75,'📋 Транзакції'!$C$5:$C$3623,"&gt;="&amp;EDATE(DATEVALUE(C75&amp;"-01"),2),'📋 Транзакції'!$C$5:$C$3623,"&lt;"&amp;EDATE(DATEVALUE(C75&amp;"-01"),3))&gt;0,1,0)</f>
        <v>1</v>
      </c>
      <c r="J75" s="37">
        <f>IF(COUNTIFS('📋 Транзакції'!$B$5:$B$3623,A75,'📋 Транзакції'!$C$5:$C$3623,"&gt;="&amp;EDATE(DATEVALUE(C75&amp;"-01"),3),'📋 Транзакції'!$C$5:$C$3623,"&lt;"&amp;EDATE(DATEVALUE(C75&amp;"-01"),4))&gt;0,1,0)</f>
        <v>1</v>
      </c>
      <c r="K75" s="37">
        <f>IF(COUNTIFS('📋 Транзакції'!$B$5:$B$3623,A75,'📋 Транзакції'!$C$5:$C$3623,"&gt;="&amp;EDATE(DATEVALUE(C75&amp;"-01"),4),'📋 Транзакції'!$C$5:$C$3623,"&lt;"&amp;EDATE(DATEVALUE(C75&amp;"-01"),5))&gt;0,1,0)</f>
        <v>1</v>
      </c>
      <c r="L75" s="37">
        <f>IF(COUNTIFS('📋 Транзакції'!$B$5:$B$3623,A75,'📋 Транзакції'!$C$5:$C$3623,"&gt;="&amp;EDATE(DATEVALUE(C75&amp;"-01"),5),'📋 Транзакції'!$C$5:$C$3623,"&lt;"&amp;EDATE(DATEVALUE(C75&amp;"-01"),6))&gt;0,1,0)</f>
        <v>1</v>
      </c>
      <c r="M75" s="37">
        <f>IF(COUNTIFS('📋 Транзакції'!$B$5:$B$3623,A75,'📋 Транзакції'!$C$5:$C$3623,"&gt;="&amp;EDATE(DATEVALUE(C75&amp;"-01"),6),'📋 Транзакції'!$C$5:$C$3623,"&lt;"&amp;EDATE(DATEVALUE(C75&amp;"-01"),7))&gt;0,1,0)</f>
        <v>1</v>
      </c>
      <c r="N75" s="37">
        <f>IF(COUNTIFS('📋 Транзакції'!$B$5:$B$3623,A75,'📋 Транзакції'!$C$5:$C$3623,"&gt;="&amp;EDATE(DATEVALUE(C75&amp;"-01"),7),'📋 Транзакції'!$C$5:$C$3623,"&lt;"&amp;EDATE(DATEVALUE(C75&amp;"-01"),8))&gt;0,1,0)</f>
        <v>1</v>
      </c>
      <c r="O75" s="37">
        <f>IF(COUNTIFS('📋 Транзакції'!$B$5:$B$3623,A75,'📋 Транзакції'!$C$5:$C$3623,"&gt;="&amp;EDATE(DATEVALUE(C75&amp;"-01"),8),'📋 Транзакції'!$C$5:$C$3623,"&lt;"&amp;EDATE(DATEVALUE(C75&amp;"-01"),9))&gt;0,1,0)</f>
        <v>1</v>
      </c>
      <c r="P75" s="37">
        <f>IF(COUNTIFS('📋 Транзакції'!$B$5:$B$3623,A75,'📋 Транзакції'!$C$5:$C$3623,"&gt;="&amp;EDATE(DATEVALUE(C75&amp;"-01"),9),'📋 Транзакції'!$C$5:$C$3623,"&lt;"&amp;EDATE(DATEVALUE(C75&amp;"-01"),10))&gt;0,1,0)</f>
        <v>1</v>
      </c>
      <c r="Q75" s="37">
        <f>IF(COUNTIFS('📋 Транзакції'!$B$5:$B$3623,A75,'📋 Транзакції'!$C$5:$C$3623,"&gt;="&amp;EDATE(DATEVALUE(C75&amp;"-01"),10),'📋 Транзакції'!$C$5:$C$3623,"&lt;"&amp;EDATE(DATEVALUE(C75&amp;"-01"),11))&gt;0,1,0)</f>
        <v>1</v>
      </c>
      <c r="R75" s="37">
        <f>IF(COUNTIFS('📋 Транзакції'!$B$5:$B$3623,A75,'📋 Транзакції'!$C$5:$C$3623,"&gt;="&amp;EDATE(DATEVALUE(C75&amp;"-01"),11),'📋 Транзакції'!$C$5:$C$3623,"&lt;"&amp;EDATE(DATEVALUE(C75&amp;"-01"),12))&gt;0,1,0)</f>
        <v>1</v>
      </c>
      <c r="S75" s="37">
        <f>SUMIFS('📋 Транзакції'!$F$5:$F$3623,'📋 Транзакції'!$B$5:$B$3623,A75,'📋 Транзакції'!$C$5:$C$3623,"&gt;="&amp;EDATE(DATEVALUE(C75&amp;"-01"),0),'📋 Транзакції'!$C$5:$C$3623,"&lt;"&amp;EDATE(DATEVALUE(C75&amp;"-01"),1))</f>
        <v>19.99</v>
      </c>
      <c r="T75" s="37">
        <f>SUMIFS('📋 Транзакції'!$F$5:$F$3623,'📋 Транзакції'!$B$5:$B$3623,A75,'📋 Транзакції'!$C$5:$C$3623,"&gt;="&amp;EDATE(DATEVALUE(C75&amp;"-01"),1),'📋 Транзакції'!$C$5:$C$3623,"&lt;"&amp;EDATE(DATEVALUE(C75&amp;"-01"),2))</f>
        <v>19.99</v>
      </c>
      <c r="U75" s="37">
        <f>SUMIFS('📋 Транзакції'!$F$5:$F$3623,'📋 Транзакції'!$B$5:$B$3623,A75,'📋 Транзакції'!$C$5:$C$3623,"&gt;="&amp;EDATE(DATEVALUE(C75&amp;"-01"),2),'📋 Транзакції'!$C$5:$C$3623,"&lt;"&amp;EDATE(DATEVALUE(C75&amp;"-01"),3))</f>
        <v>19.99</v>
      </c>
      <c r="V75" s="37">
        <f>SUMIFS('📋 Транзакції'!$F$5:$F$3623,'📋 Транзакції'!$B$5:$B$3623,A75,'📋 Транзакції'!$C$5:$C$3623,"&gt;="&amp;EDATE(DATEVALUE(C75&amp;"-01"),3),'📋 Транзакції'!$C$5:$C$3623,"&lt;"&amp;EDATE(DATEVALUE(C75&amp;"-01"),4))</f>
        <v>19.99</v>
      </c>
      <c r="W75" s="37">
        <f>SUMIFS('📋 Транзакції'!$F$5:$F$3623,'📋 Транзакції'!$B$5:$B$3623,A75,'📋 Транзакції'!$C$5:$C$3623,"&gt;="&amp;EDATE(DATEVALUE(C75&amp;"-01"),4),'📋 Транзакції'!$C$5:$C$3623,"&lt;"&amp;EDATE(DATEVALUE(C75&amp;"-01"),5))</f>
        <v>19.99</v>
      </c>
      <c r="X75" s="37">
        <f>SUMIFS('📋 Транзакції'!$F$5:$F$3623,'📋 Транзакції'!$B$5:$B$3623,A75,'📋 Транзакції'!$C$5:$C$3623,"&gt;="&amp;EDATE(DATEVALUE(C75&amp;"-01"),5),'📋 Транзакції'!$C$5:$C$3623,"&lt;"&amp;EDATE(DATEVALUE(C75&amp;"-01"),6))</f>
        <v>19.99</v>
      </c>
      <c r="Y75" s="37">
        <f>SUMIFS('📋 Транзакції'!$F$5:$F$3623,'📋 Транзакції'!$B$5:$B$3623,A75,'📋 Транзакції'!$C$5:$C$3623,"&gt;="&amp;EDATE(DATEVALUE(C75&amp;"-01"),6),'📋 Транзакції'!$C$5:$C$3623,"&lt;"&amp;EDATE(DATEVALUE(C75&amp;"-01"),7))</f>
        <v>19.99</v>
      </c>
      <c r="Z75" s="37">
        <f>SUMIFS('📋 Транзакції'!$F$5:$F$3623,'📋 Транзакції'!$B$5:$B$3623,A75,'📋 Транзакції'!$C$5:$C$3623,"&gt;="&amp;EDATE(DATEVALUE(C75&amp;"-01"),7),'📋 Транзакції'!$C$5:$C$3623,"&lt;"&amp;EDATE(DATEVALUE(C75&amp;"-01"),8))</f>
        <v>19.99</v>
      </c>
      <c r="AA75" s="37">
        <f>SUMIFS('📋 Транзакції'!$F$5:$F$3623,'📋 Транзакції'!$B$5:$B$3623,A75,'📋 Транзакції'!$C$5:$C$3623,"&gt;="&amp;EDATE(DATEVALUE(C75&amp;"-01"),8),'📋 Транзакції'!$C$5:$C$3623,"&lt;"&amp;EDATE(DATEVALUE(C75&amp;"-01"),9))</f>
        <v>19.99</v>
      </c>
      <c r="AB75" s="37">
        <f>SUMIFS('📋 Транзакції'!$F$5:$F$3623,'📋 Транзакції'!$B$5:$B$3623,A75,'📋 Транзакції'!$C$5:$C$3623,"&gt;="&amp;EDATE(DATEVALUE(C75&amp;"-01"),9),'📋 Транзакції'!$C$5:$C$3623,"&lt;"&amp;EDATE(DATEVALUE(C75&amp;"-01"),10))</f>
        <v>19.99</v>
      </c>
      <c r="AC75" s="37">
        <f>SUMIFS('📋 Транзакції'!$F$5:$F$3623,'📋 Транзакції'!$B$5:$B$3623,A75,'📋 Транзакції'!$C$5:$C$3623,"&gt;="&amp;EDATE(DATEVALUE(C75&amp;"-01"),10),'📋 Транзакції'!$C$5:$C$3623,"&lt;"&amp;EDATE(DATEVALUE(C75&amp;"-01"),11))</f>
        <v>19.99</v>
      </c>
      <c r="AD75" s="37">
        <f>SUMIFS('📋 Транзакції'!$F$5:$F$3623,'📋 Транзакції'!$B$5:$B$3623,A75,'📋 Транзакції'!$C$5:$C$3623,"&gt;="&amp;EDATE(DATEVALUE(C75&amp;"-01"),11),'📋 Транзакції'!$C$5:$C$3623,"&lt;"&amp;EDATE(DATEVALUE(C75&amp;"-01"),12))</f>
        <v>19.99</v>
      </c>
    </row>
    <row r="76" ht="15.75" customHeight="1">
      <c r="A76" s="33" t="str">
        <f>'📋 Реєстрації'!A76:A677</f>
        <v>U0450</v>
      </c>
      <c r="B76" s="34">
        <f t="array" ref="B76">INDEX('📋 Транзакції'!$C$5:$C$3623,MATCH(A76,'📋 Транзакції'!$B$5:$B$3623,0))</f>
        <v>45371</v>
      </c>
      <c r="C76" s="35" t="str">
        <f t="shared" si="1"/>
        <v>2024-03</v>
      </c>
      <c r="D76" s="36">
        <f>COUNTIF('📋 Транзакції'!$B$5:$B$3623,A76)</f>
        <v>2</v>
      </c>
      <c r="E76" s="36">
        <f>SUMIF('📋 Транзакції'!$B$5:$B$3623,A76,'📋 Транзакції'!$F$5:$F$3623)</f>
        <v>19.99</v>
      </c>
      <c r="F76" s="35">
        <f>INT($A$1-MAXIFS('📋 Транзакції'!$C$5:$C$3623,'📋 Транзакції'!$B$5:$B$3623,A76))</f>
        <v>369</v>
      </c>
      <c r="G76" s="37">
        <f>IF(COUNTIFS('📋 Транзакції'!$B$5:$B$3623,A76,'📋 Транзакції'!$C$5:$C$3623,"&gt;="&amp;EDATE(DATEVALUE(C76&amp;"-01"),0),'📋 Транзакції'!$C$5:$C$3623,"&lt;"&amp;EDATE(DATEVALUE(C76&amp;"-01"),1))&gt;0,1,0)</f>
        <v>1</v>
      </c>
      <c r="H76" s="37">
        <f>IF(COUNTIFS('📋 Транзакції'!$B$5:$B$3623,A76,'📋 Транзакції'!$C$5:$C$3623,"&gt;="&amp;EDATE(DATEVALUE(C76&amp;"-01"),1),'📋 Транзакції'!$C$5:$C$3623,"&lt;"&amp;EDATE(DATEVALUE(C76&amp;"-01"),2))&gt;0,1,0)</f>
        <v>0</v>
      </c>
      <c r="I76" s="37">
        <f>IF(COUNTIFS('📋 Транзакції'!$B$5:$B$3623,A76,'📋 Транзакції'!$C$5:$C$3623,"&gt;="&amp;EDATE(DATEVALUE(C76&amp;"-01"),2),'📋 Транзакції'!$C$5:$C$3623,"&lt;"&amp;EDATE(DATEVALUE(C76&amp;"-01"),3))&gt;0,1,0)</f>
        <v>0</v>
      </c>
      <c r="J76" s="37">
        <f>IF(COUNTIFS('📋 Транзакції'!$B$5:$B$3623,A76,'📋 Транзакції'!$C$5:$C$3623,"&gt;="&amp;EDATE(DATEVALUE(C76&amp;"-01"),3),'📋 Транзакції'!$C$5:$C$3623,"&lt;"&amp;EDATE(DATEVALUE(C76&amp;"-01"),4))&gt;0,1,0)</f>
        <v>0</v>
      </c>
      <c r="K76" s="37">
        <f>IF(COUNTIFS('📋 Транзакції'!$B$5:$B$3623,A76,'📋 Транзакції'!$C$5:$C$3623,"&gt;="&amp;EDATE(DATEVALUE(C76&amp;"-01"),4),'📋 Транзакції'!$C$5:$C$3623,"&lt;"&amp;EDATE(DATEVALUE(C76&amp;"-01"),5))&gt;0,1,0)</f>
        <v>0</v>
      </c>
      <c r="L76" s="37">
        <f>IF(COUNTIFS('📋 Транзакції'!$B$5:$B$3623,A76,'📋 Транзакції'!$C$5:$C$3623,"&gt;="&amp;EDATE(DATEVALUE(C76&amp;"-01"),5),'📋 Транзакції'!$C$5:$C$3623,"&lt;"&amp;EDATE(DATEVALUE(C76&amp;"-01"),6))&gt;0,1,0)</f>
        <v>0</v>
      </c>
      <c r="M76" s="37">
        <f>IF(COUNTIFS('📋 Транзакції'!$B$5:$B$3623,A76,'📋 Транзакції'!$C$5:$C$3623,"&gt;="&amp;EDATE(DATEVALUE(C76&amp;"-01"),6),'📋 Транзакції'!$C$5:$C$3623,"&lt;"&amp;EDATE(DATEVALUE(C76&amp;"-01"),7))&gt;0,1,0)</f>
        <v>0</v>
      </c>
      <c r="N76" s="37">
        <f>IF(COUNTIFS('📋 Транзакції'!$B$5:$B$3623,A76,'📋 Транзакції'!$C$5:$C$3623,"&gt;="&amp;EDATE(DATEVALUE(C76&amp;"-01"),7),'📋 Транзакції'!$C$5:$C$3623,"&lt;"&amp;EDATE(DATEVALUE(C76&amp;"-01"),8))&gt;0,1,0)</f>
        <v>0</v>
      </c>
      <c r="O76" s="37">
        <f>IF(COUNTIFS('📋 Транзакції'!$B$5:$B$3623,A76,'📋 Транзакції'!$C$5:$C$3623,"&gt;="&amp;EDATE(DATEVALUE(C76&amp;"-01"),8),'📋 Транзакції'!$C$5:$C$3623,"&lt;"&amp;EDATE(DATEVALUE(C76&amp;"-01"),9))&gt;0,1,0)</f>
        <v>0</v>
      </c>
      <c r="P76" s="37">
        <f>IF(COUNTIFS('📋 Транзакції'!$B$5:$B$3623,A76,'📋 Транзакції'!$C$5:$C$3623,"&gt;="&amp;EDATE(DATEVALUE(C76&amp;"-01"),9),'📋 Транзакції'!$C$5:$C$3623,"&lt;"&amp;EDATE(DATEVALUE(C76&amp;"-01"),10))&gt;0,1,0)</f>
        <v>0</v>
      </c>
      <c r="Q76" s="37">
        <f>IF(COUNTIFS('📋 Транзакції'!$B$5:$B$3623,A76,'📋 Транзакції'!$C$5:$C$3623,"&gt;="&amp;EDATE(DATEVALUE(C76&amp;"-01"),10),'📋 Транзакції'!$C$5:$C$3623,"&lt;"&amp;EDATE(DATEVALUE(C76&amp;"-01"),11))&gt;0,1,0)</f>
        <v>0</v>
      </c>
      <c r="R76" s="37">
        <f>IF(COUNTIFS('📋 Транзакції'!$B$5:$B$3623,A76,'📋 Транзакції'!$C$5:$C$3623,"&gt;="&amp;EDATE(DATEVALUE(C76&amp;"-01"),11),'📋 Транзакції'!$C$5:$C$3623,"&lt;"&amp;EDATE(DATEVALUE(C76&amp;"-01"),12))&gt;0,1,0)</f>
        <v>0</v>
      </c>
      <c r="S76" s="37">
        <f>SUMIFS('📋 Транзакції'!$F$5:$F$3623,'📋 Транзакції'!$B$5:$B$3623,A76,'📋 Транзакції'!$C$5:$C$3623,"&gt;="&amp;EDATE(DATEVALUE(C76&amp;"-01"),0),'📋 Транзакції'!$C$5:$C$3623,"&lt;"&amp;EDATE(DATEVALUE(C76&amp;"-01"),1))</f>
        <v>19.99</v>
      </c>
      <c r="T76" s="37">
        <f>SUMIFS('📋 Транзакції'!$F$5:$F$3623,'📋 Транзакції'!$B$5:$B$3623,A76,'📋 Транзакції'!$C$5:$C$3623,"&gt;="&amp;EDATE(DATEVALUE(C76&amp;"-01"),1),'📋 Транзакції'!$C$5:$C$3623,"&lt;"&amp;EDATE(DATEVALUE(C76&amp;"-01"),2))</f>
        <v>0</v>
      </c>
      <c r="U76" s="37">
        <f>SUMIFS('📋 Транзакції'!$F$5:$F$3623,'📋 Транзакції'!$B$5:$B$3623,A76,'📋 Транзакції'!$C$5:$C$3623,"&gt;="&amp;EDATE(DATEVALUE(C76&amp;"-01"),2),'📋 Транзакції'!$C$5:$C$3623,"&lt;"&amp;EDATE(DATEVALUE(C76&amp;"-01"),3))</f>
        <v>0</v>
      </c>
      <c r="V76" s="37">
        <f>SUMIFS('📋 Транзакції'!$F$5:$F$3623,'📋 Транзакції'!$B$5:$B$3623,A76,'📋 Транзакції'!$C$5:$C$3623,"&gt;="&amp;EDATE(DATEVALUE(C76&amp;"-01"),3),'📋 Транзакції'!$C$5:$C$3623,"&lt;"&amp;EDATE(DATEVALUE(C76&amp;"-01"),4))</f>
        <v>0</v>
      </c>
      <c r="W76" s="37">
        <f>SUMIFS('📋 Транзакції'!$F$5:$F$3623,'📋 Транзакції'!$B$5:$B$3623,A76,'📋 Транзакції'!$C$5:$C$3623,"&gt;="&amp;EDATE(DATEVALUE(C76&amp;"-01"),4),'📋 Транзакції'!$C$5:$C$3623,"&lt;"&amp;EDATE(DATEVALUE(C76&amp;"-01"),5))</f>
        <v>0</v>
      </c>
      <c r="X76" s="37">
        <f>SUMIFS('📋 Транзакції'!$F$5:$F$3623,'📋 Транзакції'!$B$5:$B$3623,A76,'📋 Транзакції'!$C$5:$C$3623,"&gt;="&amp;EDATE(DATEVALUE(C76&amp;"-01"),5),'📋 Транзакції'!$C$5:$C$3623,"&lt;"&amp;EDATE(DATEVALUE(C76&amp;"-01"),6))</f>
        <v>0</v>
      </c>
      <c r="Y76" s="37">
        <f>SUMIFS('📋 Транзакції'!$F$5:$F$3623,'📋 Транзакції'!$B$5:$B$3623,A76,'📋 Транзакції'!$C$5:$C$3623,"&gt;="&amp;EDATE(DATEVALUE(C76&amp;"-01"),6),'📋 Транзакції'!$C$5:$C$3623,"&lt;"&amp;EDATE(DATEVALUE(C76&amp;"-01"),7))</f>
        <v>0</v>
      </c>
      <c r="Z76" s="37">
        <f>SUMIFS('📋 Транзакції'!$F$5:$F$3623,'📋 Транзакції'!$B$5:$B$3623,A76,'📋 Транзакції'!$C$5:$C$3623,"&gt;="&amp;EDATE(DATEVALUE(C76&amp;"-01"),7),'📋 Транзакції'!$C$5:$C$3623,"&lt;"&amp;EDATE(DATEVALUE(C76&amp;"-01"),8))</f>
        <v>0</v>
      </c>
      <c r="AA76" s="37">
        <f>SUMIFS('📋 Транзакції'!$F$5:$F$3623,'📋 Транзакції'!$B$5:$B$3623,A76,'📋 Транзакції'!$C$5:$C$3623,"&gt;="&amp;EDATE(DATEVALUE(C76&amp;"-01"),8),'📋 Транзакції'!$C$5:$C$3623,"&lt;"&amp;EDATE(DATEVALUE(C76&amp;"-01"),9))</f>
        <v>0</v>
      </c>
      <c r="AB76" s="37">
        <f>SUMIFS('📋 Транзакції'!$F$5:$F$3623,'📋 Транзакції'!$B$5:$B$3623,A76,'📋 Транзакції'!$C$5:$C$3623,"&gt;="&amp;EDATE(DATEVALUE(C76&amp;"-01"),9),'📋 Транзакції'!$C$5:$C$3623,"&lt;"&amp;EDATE(DATEVALUE(C76&amp;"-01"),10))</f>
        <v>0</v>
      </c>
      <c r="AC76" s="37">
        <f>SUMIFS('📋 Транзакції'!$F$5:$F$3623,'📋 Транзакції'!$B$5:$B$3623,A76,'📋 Транзакції'!$C$5:$C$3623,"&gt;="&amp;EDATE(DATEVALUE(C76&amp;"-01"),10),'📋 Транзакції'!$C$5:$C$3623,"&lt;"&amp;EDATE(DATEVALUE(C76&amp;"-01"),11))</f>
        <v>0</v>
      </c>
      <c r="AD76" s="37">
        <f>SUMIFS('📋 Транзакції'!$F$5:$F$3623,'📋 Транзакції'!$B$5:$B$3623,A76,'📋 Транзакції'!$C$5:$C$3623,"&gt;="&amp;EDATE(DATEVALUE(C76&amp;"-01"),11),'📋 Транзакції'!$C$5:$C$3623,"&lt;"&amp;EDATE(DATEVALUE(C76&amp;"-01"),12))</f>
        <v>0</v>
      </c>
    </row>
    <row r="77" ht="15.75" customHeight="1">
      <c r="A77" s="33" t="str">
        <f>'📋 Реєстрації'!A77:A678</f>
        <v>U0100</v>
      </c>
      <c r="B77" s="34">
        <f t="array" ref="B77">INDEX('📋 Транзакції'!$C$5:$C$3623,MATCH(A77,'📋 Транзакції'!$B$5:$B$3623,0))</f>
        <v>45372</v>
      </c>
      <c r="C77" s="35" t="str">
        <f t="shared" si="1"/>
        <v>2024-03</v>
      </c>
      <c r="D77" s="36">
        <f>COUNTIF('📋 Транзакції'!$B$5:$B$3623,A77)</f>
        <v>14</v>
      </c>
      <c r="E77" s="36">
        <f>SUMIF('📋 Транзакції'!$B$5:$B$3623,A77,'📋 Транзакції'!$F$5:$F$3623)</f>
        <v>259.87</v>
      </c>
      <c r="F77" s="35">
        <f>INT($A$1-MAXIFS('📋 Транзакції'!$C$5:$C$3623,'📋 Транзакції'!$B$5:$B$3623,A77))</f>
        <v>8</v>
      </c>
      <c r="G77" s="37">
        <f>IF(COUNTIFS('📋 Транзакції'!$B$5:$B$3623,A77,'📋 Транзакції'!$C$5:$C$3623,"&gt;="&amp;EDATE(DATEVALUE(C77&amp;"-01"),0),'📋 Транзакції'!$C$5:$C$3623,"&lt;"&amp;EDATE(DATEVALUE(C77&amp;"-01"),1))&gt;0,1,0)</f>
        <v>1</v>
      </c>
      <c r="H77" s="37">
        <f>IF(COUNTIFS('📋 Транзакції'!$B$5:$B$3623,A77,'📋 Транзакції'!$C$5:$C$3623,"&gt;="&amp;EDATE(DATEVALUE(C77&amp;"-01"),1),'📋 Транзакції'!$C$5:$C$3623,"&lt;"&amp;EDATE(DATEVALUE(C77&amp;"-01"),2))&gt;0,1,0)</f>
        <v>1</v>
      </c>
      <c r="I77" s="37">
        <f>IF(COUNTIFS('📋 Транзакції'!$B$5:$B$3623,A77,'📋 Транзакції'!$C$5:$C$3623,"&gt;="&amp;EDATE(DATEVALUE(C77&amp;"-01"),2),'📋 Транзакції'!$C$5:$C$3623,"&lt;"&amp;EDATE(DATEVALUE(C77&amp;"-01"),3))&gt;0,1,0)</f>
        <v>1</v>
      </c>
      <c r="J77" s="37">
        <f>IF(COUNTIFS('📋 Транзакції'!$B$5:$B$3623,A77,'📋 Транзакції'!$C$5:$C$3623,"&gt;="&amp;EDATE(DATEVALUE(C77&amp;"-01"),3),'📋 Транзакції'!$C$5:$C$3623,"&lt;"&amp;EDATE(DATEVALUE(C77&amp;"-01"),4))&gt;0,1,0)</f>
        <v>1</v>
      </c>
      <c r="K77" s="37">
        <f>IF(COUNTIFS('📋 Транзакції'!$B$5:$B$3623,A77,'📋 Транзакції'!$C$5:$C$3623,"&gt;="&amp;EDATE(DATEVALUE(C77&amp;"-01"),4),'📋 Транзакції'!$C$5:$C$3623,"&lt;"&amp;EDATE(DATEVALUE(C77&amp;"-01"),5))&gt;0,1,0)</f>
        <v>1</v>
      </c>
      <c r="L77" s="37">
        <f>IF(COUNTIFS('📋 Транзакції'!$B$5:$B$3623,A77,'📋 Транзакції'!$C$5:$C$3623,"&gt;="&amp;EDATE(DATEVALUE(C77&amp;"-01"),5),'📋 Транзакції'!$C$5:$C$3623,"&lt;"&amp;EDATE(DATEVALUE(C77&amp;"-01"),6))&gt;0,1,0)</f>
        <v>1</v>
      </c>
      <c r="M77" s="37">
        <f>IF(COUNTIFS('📋 Транзакції'!$B$5:$B$3623,A77,'📋 Транзакції'!$C$5:$C$3623,"&gt;="&amp;EDATE(DATEVALUE(C77&amp;"-01"),6),'📋 Транзакції'!$C$5:$C$3623,"&lt;"&amp;EDATE(DATEVALUE(C77&amp;"-01"),7))&gt;0,1,0)</f>
        <v>1</v>
      </c>
      <c r="N77" s="37">
        <f>IF(COUNTIFS('📋 Транзакції'!$B$5:$B$3623,A77,'📋 Транзакції'!$C$5:$C$3623,"&gt;="&amp;EDATE(DATEVALUE(C77&amp;"-01"),7),'📋 Транзакції'!$C$5:$C$3623,"&lt;"&amp;EDATE(DATEVALUE(C77&amp;"-01"),8))&gt;0,1,0)</f>
        <v>1</v>
      </c>
      <c r="O77" s="37">
        <f>IF(COUNTIFS('📋 Транзакції'!$B$5:$B$3623,A77,'📋 Транзакції'!$C$5:$C$3623,"&gt;="&amp;EDATE(DATEVALUE(C77&amp;"-01"),8),'📋 Транзакції'!$C$5:$C$3623,"&lt;"&amp;EDATE(DATEVALUE(C77&amp;"-01"),9))&gt;0,1,0)</f>
        <v>1</v>
      </c>
      <c r="P77" s="37">
        <f>IF(COUNTIFS('📋 Транзакції'!$B$5:$B$3623,A77,'📋 Транзакції'!$C$5:$C$3623,"&gt;="&amp;EDATE(DATEVALUE(C77&amp;"-01"),9),'📋 Транзакції'!$C$5:$C$3623,"&lt;"&amp;EDATE(DATEVALUE(C77&amp;"-01"),10))&gt;0,1,0)</f>
        <v>1</v>
      </c>
      <c r="Q77" s="37">
        <f>IF(COUNTIFS('📋 Транзакції'!$B$5:$B$3623,A77,'📋 Транзакції'!$C$5:$C$3623,"&gt;="&amp;EDATE(DATEVALUE(C77&amp;"-01"),10),'📋 Транзакції'!$C$5:$C$3623,"&lt;"&amp;EDATE(DATEVALUE(C77&amp;"-01"),11))&gt;0,1,0)</f>
        <v>1</v>
      </c>
      <c r="R77" s="37">
        <f>IF(COUNTIFS('📋 Транзакції'!$B$5:$B$3623,A77,'📋 Транзакції'!$C$5:$C$3623,"&gt;="&amp;EDATE(DATEVALUE(C77&amp;"-01"),11),'📋 Транзакції'!$C$5:$C$3623,"&lt;"&amp;EDATE(DATEVALUE(C77&amp;"-01"),12))&gt;0,1,0)</f>
        <v>1</v>
      </c>
      <c r="S77" s="37">
        <f>SUMIFS('📋 Транзакції'!$F$5:$F$3623,'📋 Транзакції'!$B$5:$B$3623,A77,'📋 Транзакції'!$C$5:$C$3623,"&gt;="&amp;EDATE(DATEVALUE(C77&amp;"-01"),0),'📋 Транзакції'!$C$5:$C$3623,"&lt;"&amp;EDATE(DATEVALUE(C77&amp;"-01"),1))</f>
        <v>19.99</v>
      </c>
      <c r="T77" s="37">
        <f>SUMIFS('📋 Транзакції'!$F$5:$F$3623,'📋 Транзакції'!$B$5:$B$3623,A77,'📋 Транзакції'!$C$5:$C$3623,"&gt;="&amp;EDATE(DATEVALUE(C77&amp;"-01"),1),'📋 Транзакції'!$C$5:$C$3623,"&lt;"&amp;EDATE(DATEVALUE(C77&amp;"-01"),2))</f>
        <v>19.99</v>
      </c>
      <c r="U77" s="37">
        <f>SUMIFS('📋 Транзакції'!$F$5:$F$3623,'📋 Транзакції'!$B$5:$B$3623,A77,'📋 Транзакції'!$C$5:$C$3623,"&gt;="&amp;EDATE(DATEVALUE(C77&amp;"-01"),2),'📋 Транзакції'!$C$5:$C$3623,"&lt;"&amp;EDATE(DATEVALUE(C77&amp;"-01"),3))</f>
        <v>19.99</v>
      </c>
      <c r="V77" s="37">
        <f>SUMIFS('📋 Транзакції'!$F$5:$F$3623,'📋 Транзакції'!$B$5:$B$3623,A77,'📋 Транзакції'!$C$5:$C$3623,"&gt;="&amp;EDATE(DATEVALUE(C77&amp;"-01"),3),'📋 Транзакції'!$C$5:$C$3623,"&lt;"&amp;EDATE(DATEVALUE(C77&amp;"-01"),4))</f>
        <v>19.99</v>
      </c>
      <c r="W77" s="37">
        <f>SUMIFS('📋 Транзакції'!$F$5:$F$3623,'📋 Транзакції'!$B$5:$B$3623,A77,'📋 Транзакції'!$C$5:$C$3623,"&gt;="&amp;EDATE(DATEVALUE(C77&amp;"-01"),4),'📋 Транзакції'!$C$5:$C$3623,"&lt;"&amp;EDATE(DATEVALUE(C77&amp;"-01"),5))</f>
        <v>19.99</v>
      </c>
      <c r="X77" s="37">
        <f>SUMIFS('📋 Транзакції'!$F$5:$F$3623,'📋 Транзакції'!$B$5:$B$3623,A77,'📋 Транзакції'!$C$5:$C$3623,"&gt;="&amp;EDATE(DATEVALUE(C77&amp;"-01"),5),'📋 Транзакції'!$C$5:$C$3623,"&lt;"&amp;EDATE(DATEVALUE(C77&amp;"-01"),6))</f>
        <v>19.99</v>
      </c>
      <c r="Y77" s="37">
        <f>SUMIFS('📋 Транзакції'!$F$5:$F$3623,'📋 Транзакції'!$B$5:$B$3623,A77,'📋 Транзакції'!$C$5:$C$3623,"&gt;="&amp;EDATE(DATEVALUE(C77&amp;"-01"),6),'📋 Транзакції'!$C$5:$C$3623,"&lt;"&amp;EDATE(DATEVALUE(C77&amp;"-01"),7))</f>
        <v>19.99</v>
      </c>
      <c r="Z77" s="37">
        <f>SUMIFS('📋 Транзакції'!$F$5:$F$3623,'📋 Транзакції'!$B$5:$B$3623,A77,'📋 Транзакції'!$C$5:$C$3623,"&gt;="&amp;EDATE(DATEVALUE(C77&amp;"-01"),7),'📋 Транзакції'!$C$5:$C$3623,"&lt;"&amp;EDATE(DATEVALUE(C77&amp;"-01"),8))</f>
        <v>19.99</v>
      </c>
      <c r="AA77" s="37">
        <f>SUMIFS('📋 Транзакції'!$F$5:$F$3623,'📋 Транзакції'!$B$5:$B$3623,A77,'📋 Транзакції'!$C$5:$C$3623,"&gt;="&amp;EDATE(DATEVALUE(C77&amp;"-01"),8),'📋 Транзакції'!$C$5:$C$3623,"&lt;"&amp;EDATE(DATEVALUE(C77&amp;"-01"),9))</f>
        <v>19.99</v>
      </c>
      <c r="AB77" s="37">
        <f>SUMIFS('📋 Транзакції'!$F$5:$F$3623,'📋 Транзакції'!$B$5:$B$3623,A77,'📋 Транзакції'!$C$5:$C$3623,"&gt;="&amp;EDATE(DATEVALUE(C77&amp;"-01"),9),'📋 Транзакції'!$C$5:$C$3623,"&lt;"&amp;EDATE(DATEVALUE(C77&amp;"-01"),10))</f>
        <v>19.99</v>
      </c>
      <c r="AC77" s="37">
        <f>SUMIFS('📋 Транзакції'!$F$5:$F$3623,'📋 Транзакції'!$B$5:$B$3623,A77,'📋 Транзакції'!$C$5:$C$3623,"&gt;="&amp;EDATE(DATEVALUE(C77&amp;"-01"),10),'📋 Транзакції'!$C$5:$C$3623,"&lt;"&amp;EDATE(DATEVALUE(C77&amp;"-01"),11))</f>
        <v>19.99</v>
      </c>
      <c r="AD77" s="37">
        <f>SUMIFS('📋 Транзакції'!$F$5:$F$3623,'📋 Транзакції'!$B$5:$B$3623,A77,'📋 Транзакції'!$C$5:$C$3623,"&gt;="&amp;EDATE(DATEVALUE(C77&amp;"-01"),11),'📋 Транзакції'!$C$5:$C$3623,"&lt;"&amp;EDATE(DATEVALUE(C77&amp;"-01"),12))</f>
        <v>19.99</v>
      </c>
    </row>
    <row r="78" ht="15.75" customHeight="1">
      <c r="A78" s="33" t="str">
        <f>'📋 Реєстрації'!A78:A679</f>
        <v>U0810</v>
      </c>
      <c r="B78" s="34">
        <f t="array" ref="B78">INDEX('📋 Транзакції'!$C$5:$C$3623,MATCH(A78,'📋 Транзакції'!$B$5:$B$3623,0))</f>
        <v>45372</v>
      </c>
      <c r="C78" s="35" t="str">
        <f t="shared" si="1"/>
        <v>2024-03</v>
      </c>
      <c r="D78" s="36">
        <f>COUNTIF('📋 Транзакції'!$B$5:$B$3623,A78)</f>
        <v>14</v>
      </c>
      <c r="E78" s="36">
        <f>SUMIF('📋 Транзакції'!$B$5:$B$3623,A78,'📋 Транзакції'!$F$5:$F$3623)</f>
        <v>259.87</v>
      </c>
      <c r="F78" s="35">
        <f>INT($A$1-MAXIFS('📋 Транзакції'!$C$5:$C$3623,'📋 Транзакції'!$B$5:$B$3623,A78))</f>
        <v>8</v>
      </c>
      <c r="G78" s="37">
        <f>IF(COUNTIFS('📋 Транзакції'!$B$5:$B$3623,A78,'📋 Транзакції'!$C$5:$C$3623,"&gt;="&amp;EDATE(DATEVALUE(C78&amp;"-01"),0),'📋 Транзакції'!$C$5:$C$3623,"&lt;"&amp;EDATE(DATEVALUE(C78&amp;"-01"),1))&gt;0,1,0)</f>
        <v>1</v>
      </c>
      <c r="H78" s="37">
        <f>IF(COUNTIFS('📋 Транзакції'!$B$5:$B$3623,A78,'📋 Транзакції'!$C$5:$C$3623,"&gt;="&amp;EDATE(DATEVALUE(C78&amp;"-01"),1),'📋 Транзакції'!$C$5:$C$3623,"&lt;"&amp;EDATE(DATEVALUE(C78&amp;"-01"),2))&gt;0,1,0)</f>
        <v>1</v>
      </c>
      <c r="I78" s="37">
        <f>IF(COUNTIFS('📋 Транзакції'!$B$5:$B$3623,A78,'📋 Транзакції'!$C$5:$C$3623,"&gt;="&amp;EDATE(DATEVALUE(C78&amp;"-01"),2),'📋 Транзакції'!$C$5:$C$3623,"&lt;"&amp;EDATE(DATEVALUE(C78&amp;"-01"),3))&gt;0,1,0)</f>
        <v>1</v>
      </c>
      <c r="J78" s="37">
        <f>IF(COUNTIFS('📋 Транзакції'!$B$5:$B$3623,A78,'📋 Транзакції'!$C$5:$C$3623,"&gt;="&amp;EDATE(DATEVALUE(C78&amp;"-01"),3),'📋 Транзакції'!$C$5:$C$3623,"&lt;"&amp;EDATE(DATEVALUE(C78&amp;"-01"),4))&gt;0,1,0)</f>
        <v>1</v>
      </c>
      <c r="K78" s="37">
        <f>IF(COUNTIFS('📋 Транзакції'!$B$5:$B$3623,A78,'📋 Транзакції'!$C$5:$C$3623,"&gt;="&amp;EDATE(DATEVALUE(C78&amp;"-01"),4),'📋 Транзакції'!$C$5:$C$3623,"&lt;"&amp;EDATE(DATEVALUE(C78&amp;"-01"),5))&gt;0,1,0)</f>
        <v>1</v>
      </c>
      <c r="L78" s="37">
        <f>IF(COUNTIFS('📋 Транзакції'!$B$5:$B$3623,A78,'📋 Транзакції'!$C$5:$C$3623,"&gt;="&amp;EDATE(DATEVALUE(C78&amp;"-01"),5),'📋 Транзакції'!$C$5:$C$3623,"&lt;"&amp;EDATE(DATEVALUE(C78&amp;"-01"),6))&gt;0,1,0)</f>
        <v>1</v>
      </c>
      <c r="M78" s="37">
        <f>IF(COUNTIFS('📋 Транзакції'!$B$5:$B$3623,A78,'📋 Транзакції'!$C$5:$C$3623,"&gt;="&amp;EDATE(DATEVALUE(C78&amp;"-01"),6),'📋 Транзакції'!$C$5:$C$3623,"&lt;"&amp;EDATE(DATEVALUE(C78&amp;"-01"),7))&gt;0,1,0)</f>
        <v>1</v>
      </c>
      <c r="N78" s="37">
        <f>IF(COUNTIFS('📋 Транзакції'!$B$5:$B$3623,A78,'📋 Транзакції'!$C$5:$C$3623,"&gt;="&amp;EDATE(DATEVALUE(C78&amp;"-01"),7),'📋 Транзакції'!$C$5:$C$3623,"&lt;"&amp;EDATE(DATEVALUE(C78&amp;"-01"),8))&gt;0,1,0)</f>
        <v>1</v>
      </c>
      <c r="O78" s="37">
        <f>IF(COUNTIFS('📋 Транзакції'!$B$5:$B$3623,A78,'📋 Транзакції'!$C$5:$C$3623,"&gt;="&amp;EDATE(DATEVALUE(C78&amp;"-01"),8),'📋 Транзакції'!$C$5:$C$3623,"&lt;"&amp;EDATE(DATEVALUE(C78&amp;"-01"),9))&gt;0,1,0)</f>
        <v>1</v>
      </c>
      <c r="P78" s="37">
        <f>IF(COUNTIFS('📋 Транзакції'!$B$5:$B$3623,A78,'📋 Транзакції'!$C$5:$C$3623,"&gt;="&amp;EDATE(DATEVALUE(C78&amp;"-01"),9),'📋 Транзакції'!$C$5:$C$3623,"&lt;"&amp;EDATE(DATEVALUE(C78&amp;"-01"),10))&gt;0,1,0)</f>
        <v>1</v>
      </c>
      <c r="Q78" s="37">
        <f>IF(COUNTIFS('📋 Транзакції'!$B$5:$B$3623,A78,'📋 Транзакції'!$C$5:$C$3623,"&gt;="&amp;EDATE(DATEVALUE(C78&amp;"-01"),10),'📋 Транзакції'!$C$5:$C$3623,"&lt;"&amp;EDATE(DATEVALUE(C78&amp;"-01"),11))&gt;0,1,0)</f>
        <v>1</v>
      </c>
      <c r="R78" s="37">
        <f>IF(COUNTIFS('📋 Транзакції'!$B$5:$B$3623,A78,'📋 Транзакції'!$C$5:$C$3623,"&gt;="&amp;EDATE(DATEVALUE(C78&amp;"-01"),11),'📋 Транзакції'!$C$5:$C$3623,"&lt;"&amp;EDATE(DATEVALUE(C78&amp;"-01"),12))&gt;0,1,0)</f>
        <v>1</v>
      </c>
      <c r="S78" s="37">
        <f>SUMIFS('📋 Транзакції'!$F$5:$F$3623,'📋 Транзакції'!$B$5:$B$3623,A78,'📋 Транзакції'!$C$5:$C$3623,"&gt;="&amp;EDATE(DATEVALUE(C78&amp;"-01"),0),'📋 Транзакції'!$C$5:$C$3623,"&lt;"&amp;EDATE(DATEVALUE(C78&amp;"-01"),1))</f>
        <v>19.99</v>
      </c>
      <c r="T78" s="37">
        <f>SUMIFS('📋 Транзакції'!$F$5:$F$3623,'📋 Транзакції'!$B$5:$B$3623,A78,'📋 Транзакції'!$C$5:$C$3623,"&gt;="&amp;EDATE(DATEVALUE(C78&amp;"-01"),1),'📋 Транзакції'!$C$5:$C$3623,"&lt;"&amp;EDATE(DATEVALUE(C78&amp;"-01"),2))</f>
        <v>19.99</v>
      </c>
      <c r="U78" s="37">
        <f>SUMIFS('📋 Транзакції'!$F$5:$F$3623,'📋 Транзакції'!$B$5:$B$3623,A78,'📋 Транзакції'!$C$5:$C$3623,"&gt;="&amp;EDATE(DATEVALUE(C78&amp;"-01"),2),'📋 Транзакції'!$C$5:$C$3623,"&lt;"&amp;EDATE(DATEVALUE(C78&amp;"-01"),3))</f>
        <v>19.99</v>
      </c>
      <c r="V78" s="37">
        <f>SUMIFS('📋 Транзакції'!$F$5:$F$3623,'📋 Транзакції'!$B$5:$B$3623,A78,'📋 Транзакції'!$C$5:$C$3623,"&gt;="&amp;EDATE(DATEVALUE(C78&amp;"-01"),3),'📋 Транзакції'!$C$5:$C$3623,"&lt;"&amp;EDATE(DATEVALUE(C78&amp;"-01"),4))</f>
        <v>19.99</v>
      </c>
      <c r="W78" s="37">
        <f>SUMIFS('📋 Транзакції'!$F$5:$F$3623,'📋 Транзакції'!$B$5:$B$3623,A78,'📋 Транзакції'!$C$5:$C$3623,"&gt;="&amp;EDATE(DATEVALUE(C78&amp;"-01"),4),'📋 Транзакції'!$C$5:$C$3623,"&lt;"&amp;EDATE(DATEVALUE(C78&amp;"-01"),5))</f>
        <v>19.99</v>
      </c>
      <c r="X78" s="37">
        <f>SUMIFS('📋 Транзакції'!$F$5:$F$3623,'📋 Транзакції'!$B$5:$B$3623,A78,'📋 Транзакції'!$C$5:$C$3623,"&gt;="&amp;EDATE(DATEVALUE(C78&amp;"-01"),5),'📋 Транзакції'!$C$5:$C$3623,"&lt;"&amp;EDATE(DATEVALUE(C78&amp;"-01"),6))</f>
        <v>19.99</v>
      </c>
      <c r="Y78" s="37">
        <f>SUMIFS('📋 Транзакції'!$F$5:$F$3623,'📋 Транзакції'!$B$5:$B$3623,A78,'📋 Транзакції'!$C$5:$C$3623,"&gt;="&amp;EDATE(DATEVALUE(C78&amp;"-01"),6),'📋 Транзакції'!$C$5:$C$3623,"&lt;"&amp;EDATE(DATEVALUE(C78&amp;"-01"),7))</f>
        <v>19.99</v>
      </c>
      <c r="Z78" s="37">
        <f>SUMIFS('📋 Транзакції'!$F$5:$F$3623,'📋 Транзакції'!$B$5:$B$3623,A78,'📋 Транзакції'!$C$5:$C$3623,"&gt;="&amp;EDATE(DATEVALUE(C78&amp;"-01"),7),'📋 Транзакції'!$C$5:$C$3623,"&lt;"&amp;EDATE(DATEVALUE(C78&amp;"-01"),8))</f>
        <v>19.99</v>
      </c>
      <c r="AA78" s="37">
        <f>SUMIFS('📋 Транзакції'!$F$5:$F$3623,'📋 Транзакції'!$B$5:$B$3623,A78,'📋 Транзакції'!$C$5:$C$3623,"&gt;="&amp;EDATE(DATEVALUE(C78&amp;"-01"),8),'📋 Транзакції'!$C$5:$C$3623,"&lt;"&amp;EDATE(DATEVALUE(C78&amp;"-01"),9))</f>
        <v>19.99</v>
      </c>
      <c r="AB78" s="37">
        <f>SUMIFS('📋 Транзакції'!$F$5:$F$3623,'📋 Транзакції'!$B$5:$B$3623,A78,'📋 Транзакції'!$C$5:$C$3623,"&gt;="&amp;EDATE(DATEVALUE(C78&amp;"-01"),9),'📋 Транзакції'!$C$5:$C$3623,"&lt;"&amp;EDATE(DATEVALUE(C78&amp;"-01"),10))</f>
        <v>19.99</v>
      </c>
      <c r="AC78" s="37">
        <f>SUMIFS('📋 Транзакції'!$F$5:$F$3623,'📋 Транзакції'!$B$5:$B$3623,A78,'📋 Транзакції'!$C$5:$C$3623,"&gt;="&amp;EDATE(DATEVALUE(C78&amp;"-01"),10),'📋 Транзакції'!$C$5:$C$3623,"&lt;"&amp;EDATE(DATEVALUE(C78&amp;"-01"),11))</f>
        <v>19.99</v>
      </c>
      <c r="AD78" s="37">
        <f>SUMIFS('📋 Транзакції'!$F$5:$F$3623,'📋 Транзакції'!$B$5:$B$3623,A78,'📋 Транзакції'!$C$5:$C$3623,"&gt;="&amp;EDATE(DATEVALUE(C78&amp;"-01"),11),'📋 Транзакції'!$C$5:$C$3623,"&lt;"&amp;EDATE(DATEVALUE(C78&amp;"-01"),12))</f>
        <v>19.99</v>
      </c>
    </row>
    <row r="79" ht="15.75" customHeight="1">
      <c r="A79" s="33" t="str">
        <f>'📋 Реєстрації'!A79:A680</f>
        <v>U0900</v>
      </c>
      <c r="B79" s="34">
        <f t="array" ref="B79">INDEX('📋 Транзакції'!$C$5:$C$3623,MATCH(A79,'📋 Транзакції'!$B$5:$B$3623,0))</f>
        <v>45372</v>
      </c>
      <c r="C79" s="35" t="str">
        <f t="shared" si="1"/>
        <v>2024-03</v>
      </c>
      <c r="D79" s="36">
        <f>COUNTIF('📋 Транзакції'!$B$5:$B$3623,A79)</f>
        <v>8</v>
      </c>
      <c r="E79" s="36">
        <f>SUMIF('📋 Транзакції'!$B$5:$B$3623,A79,'📋 Транзакції'!$F$5:$F$3623)</f>
        <v>139.93</v>
      </c>
      <c r="F79" s="35">
        <f>INT($A$1-MAXIFS('📋 Транзакції'!$C$5:$C$3623,'📋 Транзакції'!$B$5:$B$3623,A79))</f>
        <v>188</v>
      </c>
      <c r="G79" s="37">
        <f>IF(COUNTIFS('📋 Транзакції'!$B$5:$B$3623,A79,'📋 Транзакції'!$C$5:$C$3623,"&gt;="&amp;EDATE(DATEVALUE(C79&amp;"-01"),0),'📋 Транзакції'!$C$5:$C$3623,"&lt;"&amp;EDATE(DATEVALUE(C79&amp;"-01"),1))&gt;0,1,0)</f>
        <v>1</v>
      </c>
      <c r="H79" s="37">
        <f>IF(COUNTIFS('📋 Транзакції'!$B$5:$B$3623,A79,'📋 Транзакції'!$C$5:$C$3623,"&gt;="&amp;EDATE(DATEVALUE(C79&amp;"-01"),1),'📋 Транзакції'!$C$5:$C$3623,"&lt;"&amp;EDATE(DATEVALUE(C79&amp;"-01"),2))&gt;0,1,0)</f>
        <v>1</v>
      </c>
      <c r="I79" s="37">
        <f>IF(COUNTIFS('📋 Транзакції'!$B$5:$B$3623,A79,'📋 Транзакції'!$C$5:$C$3623,"&gt;="&amp;EDATE(DATEVALUE(C79&amp;"-01"),2),'📋 Транзакції'!$C$5:$C$3623,"&lt;"&amp;EDATE(DATEVALUE(C79&amp;"-01"),3))&gt;0,1,0)</f>
        <v>1</v>
      </c>
      <c r="J79" s="37">
        <f>IF(COUNTIFS('📋 Транзакції'!$B$5:$B$3623,A79,'📋 Транзакції'!$C$5:$C$3623,"&gt;="&amp;EDATE(DATEVALUE(C79&amp;"-01"),3),'📋 Транзакції'!$C$5:$C$3623,"&lt;"&amp;EDATE(DATEVALUE(C79&amp;"-01"),4))&gt;0,1,0)</f>
        <v>1</v>
      </c>
      <c r="K79" s="37">
        <f>IF(COUNTIFS('📋 Транзакції'!$B$5:$B$3623,A79,'📋 Транзакції'!$C$5:$C$3623,"&gt;="&amp;EDATE(DATEVALUE(C79&amp;"-01"),4),'📋 Транзакції'!$C$5:$C$3623,"&lt;"&amp;EDATE(DATEVALUE(C79&amp;"-01"),5))&gt;0,1,0)</f>
        <v>1</v>
      </c>
      <c r="L79" s="37">
        <f>IF(COUNTIFS('📋 Транзакції'!$B$5:$B$3623,A79,'📋 Транзакції'!$C$5:$C$3623,"&gt;="&amp;EDATE(DATEVALUE(C79&amp;"-01"),5),'📋 Транзакції'!$C$5:$C$3623,"&lt;"&amp;EDATE(DATEVALUE(C79&amp;"-01"),6))&gt;0,1,0)</f>
        <v>1</v>
      </c>
      <c r="M79" s="37">
        <f>IF(COUNTIFS('📋 Транзакції'!$B$5:$B$3623,A79,'📋 Транзакції'!$C$5:$C$3623,"&gt;="&amp;EDATE(DATEVALUE(C79&amp;"-01"),6),'📋 Транзакції'!$C$5:$C$3623,"&lt;"&amp;EDATE(DATEVALUE(C79&amp;"-01"),7))&gt;0,1,0)</f>
        <v>1</v>
      </c>
      <c r="N79" s="37">
        <f>IF(COUNTIFS('📋 Транзакції'!$B$5:$B$3623,A79,'📋 Транзакції'!$C$5:$C$3623,"&gt;="&amp;EDATE(DATEVALUE(C79&amp;"-01"),7),'📋 Транзакції'!$C$5:$C$3623,"&lt;"&amp;EDATE(DATEVALUE(C79&amp;"-01"),8))&gt;0,1,0)</f>
        <v>0</v>
      </c>
      <c r="O79" s="37">
        <f>IF(COUNTIFS('📋 Транзакції'!$B$5:$B$3623,A79,'📋 Транзакції'!$C$5:$C$3623,"&gt;="&amp;EDATE(DATEVALUE(C79&amp;"-01"),8),'📋 Транзакції'!$C$5:$C$3623,"&lt;"&amp;EDATE(DATEVALUE(C79&amp;"-01"),9))&gt;0,1,0)</f>
        <v>0</v>
      </c>
      <c r="P79" s="37">
        <f>IF(COUNTIFS('📋 Транзакції'!$B$5:$B$3623,A79,'📋 Транзакції'!$C$5:$C$3623,"&gt;="&amp;EDATE(DATEVALUE(C79&amp;"-01"),9),'📋 Транзакції'!$C$5:$C$3623,"&lt;"&amp;EDATE(DATEVALUE(C79&amp;"-01"),10))&gt;0,1,0)</f>
        <v>0</v>
      </c>
      <c r="Q79" s="37">
        <f>IF(COUNTIFS('📋 Транзакції'!$B$5:$B$3623,A79,'📋 Транзакції'!$C$5:$C$3623,"&gt;="&amp;EDATE(DATEVALUE(C79&amp;"-01"),10),'📋 Транзакції'!$C$5:$C$3623,"&lt;"&amp;EDATE(DATEVALUE(C79&amp;"-01"),11))&gt;0,1,0)</f>
        <v>0</v>
      </c>
      <c r="R79" s="37">
        <f>IF(COUNTIFS('📋 Транзакції'!$B$5:$B$3623,A79,'📋 Транзакції'!$C$5:$C$3623,"&gt;="&amp;EDATE(DATEVALUE(C79&amp;"-01"),11),'📋 Транзакції'!$C$5:$C$3623,"&lt;"&amp;EDATE(DATEVALUE(C79&amp;"-01"),12))&gt;0,1,0)</f>
        <v>0</v>
      </c>
      <c r="S79" s="37">
        <f>SUMIFS('📋 Транзакції'!$F$5:$F$3623,'📋 Транзакції'!$B$5:$B$3623,A79,'📋 Транзакції'!$C$5:$C$3623,"&gt;="&amp;EDATE(DATEVALUE(C79&amp;"-01"),0),'📋 Транзакції'!$C$5:$C$3623,"&lt;"&amp;EDATE(DATEVALUE(C79&amp;"-01"),1))</f>
        <v>19.99</v>
      </c>
      <c r="T79" s="37">
        <f>SUMIFS('📋 Транзакції'!$F$5:$F$3623,'📋 Транзакції'!$B$5:$B$3623,A79,'📋 Транзакції'!$C$5:$C$3623,"&gt;="&amp;EDATE(DATEVALUE(C79&amp;"-01"),1),'📋 Транзакції'!$C$5:$C$3623,"&lt;"&amp;EDATE(DATEVALUE(C79&amp;"-01"),2))</f>
        <v>19.99</v>
      </c>
      <c r="U79" s="37">
        <f>SUMIFS('📋 Транзакції'!$F$5:$F$3623,'📋 Транзакції'!$B$5:$B$3623,A79,'📋 Транзакції'!$C$5:$C$3623,"&gt;="&amp;EDATE(DATEVALUE(C79&amp;"-01"),2),'📋 Транзакції'!$C$5:$C$3623,"&lt;"&amp;EDATE(DATEVALUE(C79&amp;"-01"),3))</f>
        <v>19.99</v>
      </c>
      <c r="V79" s="37">
        <f>SUMIFS('📋 Транзакції'!$F$5:$F$3623,'📋 Транзакції'!$B$5:$B$3623,A79,'📋 Транзакції'!$C$5:$C$3623,"&gt;="&amp;EDATE(DATEVALUE(C79&amp;"-01"),3),'📋 Транзакції'!$C$5:$C$3623,"&lt;"&amp;EDATE(DATEVALUE(C79&amp;"-01"),4))</f>
        <v>19.99</v>
      </c>
      <c r="W79" s="37">
        <f>SUMIFS('📋 Транзакції'!$F$5:$F$3623,'📋 Транзакції'!$B$5:$B$3623,A79,'📋 Транзакції'!$C$5:$C$3623,"&gt;="&amp;EDATE(DATEVALUE(C79&amp;"-01"),4),'📋 Транзакції'!$C$5:$C$3623,"&lt;"&amp;EDATE(DATEVALUE(C79&amp;"-01"),5))</f>
        <v>19.99</v>
      </c>
      <c r="X79" s="37">
        <f>SUMIFS('📋 Транзакції'!$F$5:$F$3623,'📋 Транзакції'!$B$5:$B$3623,A79,'📋 Транзакції'!$C$5:$C$3623,"&gt;="&amp;EDATE(DATEVALUE(C79&amp;"-01"),5),'📋 Транзакції'!$C$5:$C$3623,"&lt;"&amp;EDATE(DATEVALUE(C79&amp;"-01"),6))</f>
        <v>19.99</v>
      </c>
      <c r="Y79" s="37">
        <f>SUMIFS('📋 Транзакції'!$F$5:$F$3623,'📋 Транзакції'!$B$5:$B$3623,A79,'📋 Транзакції'!$C$5:$C$3623,"&gt;="&amp;EDATE(DATEVALUE(C79&amp;"-01"),6),'📋 Транзакції'!$C$5:$C$3623,"&lt;"&amp;EDATE(DATEVALUE(C79&amp;"-01"),7))</f>
        <v>19.99</v>
      </c>
      <c r="Z79" s="37">
        <f>SUMIFS('📋 Транзакції'!$F$5:$F$3623,'📋 Транзакції'!$B$5:$B$3623,A79,'📋 Транзакції'!$C$5:$C$3623,"&gt;="&amp;EDATE(DATEVALUE(C79&amp;"-01"),7),'📋 Транзакції'!$C$5:$C$3623,"&lt;"&amp;EDATE(DATEVALUE(C79&amp;"-01"),8))</f>
        <v>0</v>
      </c>
      <c r="AA79" s="37">
        <f>SUMIFS('📋 Транзакції'!$F$5:$F$3623,'📋 Транзакції'!$B$5:$B$3623,A79,'📋 Транзакції'!$C$5:$C$3623,"&gt;="&amp;EDATE(DATEVALUE(C79&amp;"-01"),8),'📋 Транзакції'!$C$5:$C$3623,"&lt;"&amp;EDATE(DATEVALUE(C79&amp;"-01"),9))</f>
        <v>0</v>
      </c>
      <c r="AB79" s="37">
        <f>SUMIFS('📋 Транзакції'!$F$5:$F$3623,'📋 Транзакції'!$B$5:$B$3623,A79,'📋 Транзакції'!$C$5:$C$3623,"&gt;="&amp;EDATE(DATEVALUE(C79&amp;"-01"),9),'📋 Транзакції'!$C$5:$C$3623,"&lt;"&amp;EDATE(DATEVALUE(C79&amp;"-01"),10))</f>
        <v>0</v>
      </c>
      <c r="AC79" s="37">
        <f>SUMIFS('📋 Транзакції'!$F$5:$F$3623,'📋 Транзакції'!$B$5:$B$3623,A79,'📋 Транзакції'!$C$5:$C$3623,"&gt;="&amp;EDATE(DATEVALUE(C79&amp;"-01"),10),'📋 Транзакції'!$C$5:$C$3623,"&lt;"&amp;EDATE(DATEVALUE(C79&amp;"-01"),11))</f>
        <v>0</v>
      </c>
      <c r="AD79" s="37">
        <f>SUMIFS('📋 Транзакції'!$F$5:$F$3623,'📋 Транзакції'!$B$5:$B$3623,A79,'📋 Транзакції'!$C$5:$C$3623,"&gt;="&amp;EDATE(DATEVALUE(C79&amp;"-01"),11),'📋 Транзакції'!$C$5:$C$3623,"&lt;"&amp;EDATE(DATEVALUE(C79&amp;"-01"),12))</f>
        <v>0</v>
      </c>
    </row>
    <row r="80" ht="15.75" customHeight="1">
      <c r="A80" s="33" t="str">
        <f>'📋 Реєстрації'!A80:A681</f>
        <v>U0300</v>
      </c>
      <c r="B80" s="34">
        <f t="array" ref="B80">INDEX('📋 Транзакції'!$C$5:$C$3623,MATCH(A80,'📋 Транзакції'!$B$5:$B$3623,0))</f>
        <v>45373</v>
      </c>
      <c r="C80" s="35" t="str">
        <f t="shared" si="1"/>
        <v>2024-03</v>
      </c>
      <c r="D80" s="36">
        <f>COUNTIF('📋 Транзакції'!$B$5:$B$3623,A80)</f>
        <v>14</v>
      </c>
      <c r="E80" s="36">
        <f>SUMIF('📋 Транзакції'!$B$5:$B$3623,A80,'📋 Транзакції'!$F$5:$F$3623)</f>
        <v>259.87</v>
      </c>
      <c r="F80" s="35">
        <f>INT($A$1-MAXIFS('📋 Транзакції'!$C$5:$C$3623,'📋 Транзакції'!$B$5:$B$3623,A80))</f>
        <v>7</v>
      </c>
      <c r="G80" s="37">
        <f>IF(COUNTIFS('📋 Транзакції'!$B$5:$B$3623,A80,'📋 Транзакції'!$C$5:$C$3623,"&gt;="&amp;EDATE(DATEVALUE(C80&amp;"-01"),0),'📋 Транзакції'!$C$5:$C$3623,"&lt;"&amp;EDATE(DATEVALUE(C80&amp;"-01"),1))&gt;0,1,0)</f>
        <v>1</v>
      </c>
      <c r="H80" s="37">
        <f>IF(COUNTIFS('📋 Транзакції'!$B$5:$B$3623,A80,'📋 Транзакції'!$C$5:$C$3623,"&gt;="&amp;EDATE(DATEVALUE(C80&amp;"-01"),1),'📋 Транзакції'!$C$5:$C$3623,"&lt;"&amp;EDATE(DATEVALUE(C80&amp;"-01"),2))&gt;0,1,0)</f>
        <v>1</v>
      </c>
      <c r="I80" s="37">
        <f>IF(COUNTIFS('📋 Транзакції'!$B$5:$B$3623,A80,'📋 Транзакції'!$C$5:$C$3623,"&gt;="&amp;EDATE(DATEVALUE(C80&amp;"-01"),2),'📋 Транзакції'!$C$5:$C$3623,"&lt;"&amp;EDATE(DATEVALUE(C80&amp;"-01"),3))&gt;0,1,0)</f>
        <v>1</v>
      </c>
      <c r="J80" s="37">
        <f>IF(COUNTIFS('📋 Транзакції'!$B$5:$B$3623,A80,'📋 Транзакції'!$C$5:$C$3623,"&gt;="&amp;EDATE(DATEVALUE(C80&amp;"-01"),3),'📋 Транзакції'!$C$5:$C$3623,"&lt;"&amp;EDATE(DATEVALUE(C80&amp;"-01"),4))&gt;0,1,0)</f>
        <v>1</v>
      </c>
      <c r="K80" s="37">
        <f>IF(COUNTIFS('📋 Транзакції'!$B$5:$B$3623,A80,'📋 Транзакції'!$C$5:$C$3623,"&gt;="&amp;EDATE(DATEVALUE(C80&amp;"-01"),4),'📋 Транзакції'!$C$5:$C$3623,"&lt;"&amp;EDATE(DATEVALUE(C80&amp;"-01"),5))&gt;0,1,0)</f>
        <v>1</v>
      </c>
      <c r="L80" s="37">
        <f>IF(COUNTIFS('📋 Транзакції'!$B$5:$B$3623,A80,'📋 Транзакції'!$C$5:$C$3623,"&gt;="&amp;EDATE(DATEVALUE(C80&amp;"-01"),5),'📋 Транзакції'!$C$5:$C$3623,"&lt;"&amp;EDATE(DATEVALUE(C80&amp;"-01"),6))&gt;0,1,0)</f>
        <v>1</v>
      </c>
      <c r="M80" s="37">
        <f>IF(COUNTIFS('📋 Транзакції'!$B$5:$B$3623,A80,'📋 Транзакції'!$C$5:$C$3623,"&gt;="&amp;EDATE(DATEVALUE(C80&amp;"-01"),6),'📋 Транзакції'!$C$5:$C$3623,"&lt;"&amp;EDATE(DATEVALUE(C80&amp;"-01"),7))&gt;0,1,0)</f>
        <v>1</v>
      </c>
      <c r="N80" s="37">
        <f>IF(COUNTIFS('📋 Транзакції'!$B$5:$B$3623,A80,'📋 Транзакції'!$C$5:$C$3623,"&gt;="&amp;EDATE(DATEVALUE(C80&amp;"-01"),7),'📋 Транзакції'!$C$5:$C$3623,"&lt;"&amp;EDATE(DATEVALUE(C80&amp;"-01"),8))&gt;0,1,0)</f>
        <v>1</v>
      </c>
      <c r="O80" s="37">
        <f>IF(COUNTIFS('📋 Транзакції'!$B$5:$B$3623,A80,'📋 Транзакції'!$C$5:$C$3623,"&gt;="&amp;EDATE(DATEVALUE(C80&amp;"-01"),8),'📋 Транзакції'!$C$5:$C$3623,"&lt;"&amp;EDATE(DATEVALUE(C80&amp;"-01"),9))&gt;0,1,0)</f>
        <v>1</v>
      </c>
      <c r="P80" s="37">
        <f>IF(COUNTIFS('📋 Транзакції'!$B$5:$B$3623,A80,'📋 Транзакції'!$C$5:$C$3623,"&gt;="&amp;EDATE(DATEVALUE(C80&amp;"-01"),9),'📋 Транзакції'!$C$5:$C$3623,"&lt;"&amp;EDATE(DATEVALUE(C80&amp;"-01"),10))&gt;0,1,0)</f>
        <v>1</v>
      </c>
      <c r="Q80" s="37">
        <f>IF(COUNTIFS('📋 Транзакції'!$B$5:$B$3623,A80,'📋 Транзакції'!$C$5:$C$3623,"&gt;="&amp;EDATE(DATEVALUE(C80&amp;"-01"),10),'📋 Транзакції'!$C$5:$C$3623,"&lt;"&amp;EDATE(DATEVALUE(C80&amp;"-01"),11))&gt;0,1,0)</f>
        <v>1</v>
      </c>
      <c r="R80" s="37">
        <f>IF(COUNTIFS('📋 Транзакції'!$B$5:$B$3623,A80,'📋 Транзакції'!$C$5:$C$3623,"&gt;="&amp;EDATE(DATEVALUE(C80&amp;"-01"),11),'📋 Транзакції'!$C$5:$C$3623,"&lt;"&amp;EDATE(DATEVALUE(C80&amp;"-01"),12))&gt;0,1,0)</f>
        <v>1</v>
      </c>
      <c r="S80" s="37">
        <f>SUMIFS('📋 Транзакції'!$F$5:$F$3623,'📋 Транзакції'!$B$5:$B$3623,A80,'📋 Транзакції'!$C$5:$C$3623,"&gt;="&amp;EDATE(DATEVALUE(C80&amp;"-01"),0),'📋 Транзакції'!$C$5:$C$3623,"&lt;"&amp;EDATE(DATEVALUE(C80&amp;"-01"),1))</f>
        <v>19.99</v>
      </c>
      <c r="T80" s="37">
        <f>SUMIFS('📋 Транзакції'!$F$5:$F$3623,'📋 Транзакції'!$B$5:$B$3623,A80,'📋 Транзакції'!$C$5:$C$3623,"&gt;="&amp;EDATE(DATEVALUE(C80&amp;"-01"),1),'📋 Транзакції'!$C$5:$C$3623,"&lt;"&amp;EDATE(DATEVALUE(C80&amp;"-01"),2))</f>
        <v>19.99</v>
      </c>
      <c r="U80" s="37">
        <f>SUMIFS('📋 Транзакції'!$F$5:$F$3623,'📋 Транзакції'!$B$5:$B$3623,A80,'📋 Транзакції'!$C$5:$C$3623,"&gt;="&amp;EDATE(DATEVALUE(C80&amp;"-01"),2),'📋 Транзакції'!$C$5:$C$3623,"&lt;"&amp;EDATE(DATEVALUE(C80&amp;"-01"),3))</f>
        <v>19.99</v>
      </c>
      <c r="V80" s="37">
        <f>SUMIFS('📋 Транзакції'!$F$5:$F$3623,'📋 Транзакції'!$B$5:$B$3623,A80,'📋 Транзакції'!$C$5:$C$3623,"&gt;="&amp;EDATE(DATEVALUE(C80&amp;"-01"),3),'📋 Транзакції'!$C$5:$C$3623,"&lt;"&amp;EDATE(DATEVALUE(C80&amp;"-01"),4))</f>
        <v>19.99</v>
      </c>
      <c r="W80" s="37">
        <f>SUMIFS('📋 Транзакції'!$F$5:$F$3623,'📋 Транзакції'!$B$5:$B$3623,A80,'📋 Транзакції'!$C$5:$C$3623,"&gt;="&amp;EDATE(DATEVALUE(C80&amp;"-01"),4),'📋 Транзакції'!$C$5:$C$3623,"&lt;"&amp;EDATE(DATEVALUE(C80&amp;"-01"),5))</f>
        <v>19.99</v>
      </c>
      <c r="X80" s="37">
        <f>SUMIFS('📋 Транзакції'!$F$5:$F$3623,'📋 Транзакції'!$B$5:$B$3623,A80,'📋 Транзакції'!$C$5:$C$3623,"&gt;="&amp;EDATE(DATEVALUE(C80&amp;"-01"),5),'📋 Транзакції'!$C$5:$C$3623,"&lt;"&amp;EDATE(DATEVALUE(C80&amp;"-01"),6))</f>
        <v>19.99</v>
      </c>
      <c r="Y80" s="37">
        <f>SUMIFS('📋 Транзакції'!$F$5:$F$3623,'📋 Транзакції'!$B$5:$B$3623,A80,'📋 Транзакції'!$C$5:$C$3623,"&gt;="&amp;EDATE(DATEVALUE(C80&amp;"-01"),6),'📋 Транзакції'!$C$5:$C$3623,"&lt;"&amp;EDATE(DATEVALUE(C80&amp;"-01"),7))</f>
        <v>19.99</v>
      </c>
      <c r="Z80" s="37">
        <f>SUMIFS('📋 Транзакції'!$F$5:$F$3623,'📋 Транзакції'!$B$5:$B$3623,A80,'📋 Транзакції'!$C$5:$C$3623,"&gt;="&amp;EDATE(DATEVALUE(C80&amp;"-01"),7),'📋 Транзакції'!$C$5:$C$3623,"&lt;"&amp;EDATE(DATEVALUE(C80&amp;"-01"),8))</f>
        <v>19.99</v>
      </c>
      <c r="AA80" s="37">
        <f>SUMIFS('📋 Транзакції'!$F$5:$F$3623,'📋 Транзакції'!$B$5:$B$3623,A80,'📋 Транзакції'!$C$5:$C$3623,"&gt;="&amp;EDATE(DATEVALUE(C80&amp;"-01"),8),'📋 Транзакції'!$C$5:$C$3623,"&lt;"&amp;EDATE(DATEVALUE(C80&amp;"-01"),9))</f>
        <v>19.99</v>
      </c>
      <c r="AB80" s="37">
        <f>SUMIFS('📋 Транзакції'!$F$5:$F$3623,'📋 Транзакції'!$B$5:$B$3623,A80,'📋 Транзакції'!$C$5:$C$3623,"&gt;="&amp;EDATE(DATEVALUE(C80&amp;"-01"),9),'📋 Транзакції'!$C$5:$C$3623,"&lt;"&amp;EDATE(DATEVALUE(C80&amp;"-01"),10))</f>
        <v>19.99</v>
      </c>
      <c r="AC80" s="37">
        <f>SUMIFS('📋 Транзакції'!$F$5:$F$3623,'📋 Транзакції'!$B$5:$B$3623,A80,'📋 Транзакції'!$C$5:$C$3623,"&gt;="&amp;EDATE(DATEVALUE(C80&amp;"-01"),10),'📋 Транзакції'!$C$5:$C$3623,"&lt;"&amp;EDATE(DATEVALUE(C80&amp;"-01"),11))</f>
        <v>19.99</v>
      </c>
      <c r="AD80" s="37">
        <f>SUMIFS('📋 Транзакції'!$F$5:$F$3623,'📋 Транзакції'!$B$5:$B$3623,A80,'📋 Транзакції'!$C$5:$C$3623,"&gt;="&amp;EDATE(DATEVALUE(C80&amp;"-01"),11),'📋 Транзакції'!$C$5:$C$3623,"&lt;"&amp;EDATE(DATEVALUE(C80&amp;"-01"),12))</f>
        <v>19.99</v>
      </c>
    </row>
    <row r="81" ht="15.75" customHeight="1">
      <c r="A81" s="33" t="str">
        <f>'📋 Реєстрації'!A81:A682</f>
        <v>U0651</v>
      </c>
      <c r="B81" s="34">
        <f t="array" ref="B81">INDEX('📋 Транзакції'!$C$5:$C$3623,MATCH(A81,'📋 Транзакції'!$B$5:$B$3623,0))</f>
        <v>45373</v>
      </c>
      <c r="C81" s="35" t="str">
        <f t="shared" si="1"/>
        <v>2024-03</v>
      </c>
      <c r="D81" s="36">
        <f>COUNTIF('📋 Транзакції'!$B$5:$B$3623,A81)</f>
        <v>14</v>
      </c>
      <c r="E81" s="36">
        <f>SUMIF('📋 Транзакції'!$B$5:$B$3623,A81,'📋 Транзакції'!$F$5:$F$3623)</f>
        <v>259.87</v>
      </c>
      <c r="F81" s="35">
        <f>INT($A$1-MAXIFS('📋 Транзакції'!$C$5:$C$3623,'📋 Транзакції'!$B$5:$B$3623,A81))</f>
        <v>7</v>
      </c>
      <c r="G81" s="37">
        <f>IF(COUNTIFS('📋 Транзакції'!$B$5:$B$3623,A81,'📋 Транзакції'!$C$5:$C$3623,"&gt;="&amp;EDATE(DATEVALUE(C81&amp;"-01"),0),'📋 Транзакції'!$C$5:$C$3623,"&lt;"&amp;EDATE(DATEVALUE(C81&amp;"-01"),1))&gt;0,1,0)</f>
        <v>1</v>
      </c>
      <c r="H81" s="37">
        <f>IF(COUNTIFS('📋 Транзакції'!$B$5:$B$3623,A81,'📋 Транзакції'!$C$5:$C$3623,"&gt;="&amp;EDATE(DATEVALUE(C81&amp;"-01"),1),'📋 Транзакції'!$C$5:$C$3623,"&lt;"&amp;EDATE(DATEVALUE(C81&amp;"-01"),2))&gt;0,1,0)</f>
        <v>1</v>
      </c>
      <c r="I81" s="37">
        <f>IF(COUNTIFS('📋 Транзакції'!$B$5:$B$3623,A81,'📋 Транзакції'!$C$5:$C$3623,"&gt;="&amp;EDATE(DATEVALUE(C81&amp;"-01"),2),'📋 Транзакції'!$C$5:$C$3623,"&lt;"&amp;EDATE(DATEVALUE(C81&amp;"-01"),3))&gt;0,1,0)</f>
        <v>1</v>
      </c>
      <c r="J81" s="37">
        <f>IF(COUNTIFS('📋 Транзакції'!$B$5:$B$3623,A81,'📋 Транзакції'!$C$5:$C$3623,"&gt;="&amp;EDATE(DATEVALUE(C81&amp;"-01"),3),'📋 Транзакції'!$C$5:$C$3623,"&lt;"&amp;EDATE(DATEVALUE(C81&amp;"-01"),4))&gt;0,1,0)</f>
        <v>1</v>
      </c>
      <c r="K81" s="37">
        <f>IF(COUNTIFS('📋 Транзакції'!$B$5:$B$3623,A81,'📋 Транзакції'!$C$5:$C$3623,"&gt;="&amp;EDATE(DATEVALUE(C81&amp;"-01"),4),'📋 Транзакції'!$C$5:$C$3623,"&lt;"&amp;EDATE(DATEVALUE(C81&amp;"-01"),5))&gt;0,1,0)</f>
        <v>1</v>
      </c>
      <c r="L81" s="37">
        <f>IF(COUNTIFS('📋 Транзакції'!$B$5:$B$3623,A81,'📋 Транзакції'!$C$5:$C$3623,"&gt;="&amp;EDATE(DATEVALUE(C81&amp;"-01"),5),'📋 Транзакції'!$C$5:$C$3623,"&lt;"&amp;EDATE(DATEVALUE(C81&amp;"-01"),6))&gt;0,1,0)</f>
        <v>1</v>
      </c>
      <c r="M81" s="37">
        <f>IF(COUNTIFS('📋 Транзакції'!$B$5:$B$3623,A81,'📋 Транзакції'!$C$5:$C$3623,"&gt;="&amp;EDATE(DATEVALUE(C81&amp;"-01"),6),'📋 Транзакції'!$C$5:$C$3623,"&lt;"&amp;EDATE(DATEVALUE(C81&amp;"-01"),7))&gt;0,1,0)</f>
        <v>1</v>
      </c>
      <c r="N81" s="37">
        <f>IF(COUNTIFS('📋 Транзакції'!$B$5:$B$3623,A81,'📋 Транзакції'!$C$5:$C$3623,"&gt;="&amp;EDATE(DATEVALUE(C81&amp;"-01"),7),'📋 Транзакції'!$C$5:$C$3623,"&lt;"&amp;EDATE(DATEVALUE(C81&amp;"-01"),8))&gt;0,1,0)</f>
        <v>1</v>
      </c>
      <c r="O81" s="37">
        <f>IF(COUNTIFS('📋 Транзакції'!$B$5:$B$3623,A81,'📋 Транзакції'!$C$5:$C$3623,"&gt;="&amp;EDATE(DATEVALUE(C81&amp;"-01"),8),'📋 Транзакції'!$C$5:$C$3623,"&lt;"&amp;EDATE(DATEVALUE(C81&amp;"-01"),9))&gt;0,1,0)</f>
        <v>1</v>
      </c>
      <c r="P81" s="37">
        <f>IF(COUNTIFS('📋 Транзакції'!$B$5:$B$3623,A81,'📋 Транзакції'!$C$5:$C$3623,"&gt;="&amp;EDATE(DATEVALUE(C81&amp;"-01"),9),'📋 Транзакції'!$C$5:$C$3623,"&lt;"&amp;EDATE(DATEVALUE(C81&amp;"-01"),10))&gt;0,1,0)</f>
        <v>1</v>
      </c>
      <c r="Q81" s="37">
        <f>IF(COUNTIFS('📋 Транзакції'!$B$5:$B$3623,A81,'📋 Транзакції'!$C$5:$C$3623,"&gt;="&amp;EDATE(DATEVALUE(C81&amp;"-01"),10),'📋 Транзакції'!$C$5:$C$3623,"&lt;"&amp;EDATE(DATEVALUE(C81&amp;"-01"),11))&gt;0,1,0)</f>
        <v>1</v>
      </c>
      <c r="R81" s="37">
        <f>IF(COUNTIFS('📋 Транзакції'!$B$5:$B$3623,A81,'📋 Транзакції'!$C$5:$C$3623,"&gt;="&amp;EDATE(DATEVALUE(C81&amp;"-01"),11),'📋 Транзакції'!$C$5:$C$3623,"&lt;"&amp;EDATE(DATEVALUE(C81&amp;"-01"),12))&gt;0,1,0)</f>
        <v>1</v>
      </c>
      <c r="S81" s="37">
        <f>SUMIFS('📋 Транзакції'!$F$5:$F$3623,'📋 Транзакції'!$B$5:$B$3623,A81,'📋 Транзакції'!$C$5:$C$3623,"&gt;="&amp;EDATE(DATEVALUE(C81&amp;"-01"),0),'📋 Транзакції'!$C$5:$C$3623,"&lt;"&amp;EDATE(DATEVALUE(C81&amp;"-01"),1))</f>
        <v>19.99</v>
      </c>
      <c r="T81" s="37">
        <f>SUMIFS('📋 Транзакції'!$F$5:$F$3623,'📋 Транзакції'!$B$5:$B$3623,A81,'📋 Транзакції'!$C$5:$C$3623,"&gt;="&amp;EDATE(DATEVALUE(C81&amp;"-01"),1),'📋 Транзакції'!$C$5:$C$3623,"&lt;"&amp;EDATE(DATEVALUE(C81&amp;"-01"),2))</f>
        <v>19.99</v>
      </c>
      <c r="U81" s="37">
        <f>SUMIFS('📋 Транзакції'!$F$5:$F$3623,'📋 Транзакції'!$B$5:$B$3623,A81,'📋 Транзакції'!$C$5:$C$3623,"&gt;="&amp;EDATE(DATEVALUE(C81&amp;"-01"),2),'📋 Транзакції'!$C$5:$C$3623,"&lt;"&amp;EDATE(DATEVALUE(C81&amp;"-01"),3))</f>
        <v>19.99</v>
      </c>
      <c r="V81" s="37">
        <f>SUMIFS('📋 Транзакції'!$F$5:$F$3623,'📋 Транзакції'!$B$5:$B$3623,A81,'📋 Транзакції'!$C$5:$C$3623,"&gt;="&amp;EDATE(DATEVALUE(C81&amp;"-01"),3),'📋 Транзакції'!$C$5:$C$3623,"&lt;"&amp;EDATE(DATEVALUE(C81&amp;"-01"),4))</f>
        <v>19.99</v>
      </c>
      <c r="W81" s="37">
        <f>SUMIFS('📋 Транзакції'!$F$5:$F$3623,'📋 Транзакції'!$B$5:$B$3623,A81,'📋 Транзакції'!$C$5:$C$3623,"&gt;="&amp;EDATE(DATEVALUE(C81&amp;"-01"),4),'📋 Транзакції'!$C$5:$C$3623,"&lt;"&amp;EDATE(DATEVALUE(C81&amp;"-01"),5))</f>
        <v>19.99</v>
      </c>
      <c r="X81" s="37">
        <f>SUMIFS('📋 Транзакції'!$F$5:$F$3623,'📋 Транзакції'!$B$5:$B$3623,A81,'📋 Транзакції'!$C$5:$C$3623,"&gt;="&amp;EDATE(DATEVALUE(C81&amp;"-01"),5),'📋 Транзакції'!$C$5:$C$3623,"&lt;"&amp;EDATE(DATEVALUE(C81&amp;"-01"),6))</f>
        <v>19.99</v>
      </c>
      <c r="Y81" s="37">
        <f>SUMIFS('📋 Транзакції'!$F$5:$F$3623,'📋 Транзакції'!$B$5:$B$3623,A81,'📋 Транзакції'!$C$5:$C$3623,"&gt;="&amp;EDATE(DATEVALUE(C81&amp;"-01"),6),'📋 Транзакції'!$C$5:$C$3623,"&lt;"&amp;EDATE(DATEVALUE(C81&amp;"-01"),7))</f>
        <v>19.99</v>
      </c>
      <c r="Z81" s="37">
        <f>SUMIFS('📋 Транзакції'!$F$5:$F$3623,'📋 Транзакції'!$B$5:$B$3623,A81,'📋 Транзакції'!$C$5:$C$3623,"&gt;="&amp;EDATE(DATEVALUE(C81&amp;"-01"),7),'📋 Транзакції'!$C$5:$C$3623,"&lt;"&amp;EDATE(DATEVALUE(C81&amp;"-01"),8))</f>
        <v>19.99</v>
      </c>
      <c r="AA81" s="37">
        <f>SUMIFS('📋 Транзакції'!$F$5:$F$3623,'📋 Транзакції'!$B$5:$B$3623,A81,'📋 Транзакції'!$C$5:$C$3623,"&gt;="&amp;EDATE(DATEVALUE(C81&amp;"-01"),8),'📋 Транзакції'!$C$5:$C$3623,"&lt;"&amp;EDATE(DATEVALUE(C81&amp;"-01"),9))</f>
        <v>19.99</v>
      </c>
      <c r="AB81" s="37">
        <f>SUMIFS('📋 Транзакції'!$F$5:$F$3623,'📋 Транзакції'!$B$5:$B$3623,A81,'📋 Транзакції'!$C$5:$C$3623,"&gt;="&amp;EDATE(DATEVALUE(C81&amp;"-01"),9),'📋 Транзакції'!$C$5:$C$3623,"&lt;"&amp;EDATE(DATEVALUE(C81&amp;"-01"),10))</f>
        <v>19.99</v>
      </c>
      <c r="AC81" s="37">
        <f>SUMIFS('📋 Транзакції'!$F$5:$F$3623,'📋 Транзакції'!$B$5:$B$3623,A81,'📋 Транзакції'!$C$5:$C$3623,"&gt;="&amp;EDATE(DATEVALUE(C81&amp;"-01"),10),'📋 Транзакції'!$C$5:$C$3623,"&lt;"&amp;EDATE(DATEVALUE(C81&amp;"-01"),11))</f>
        <v>19.99</v>
      </c>
      <c r="AD81" s="37">
        <f>SUMIFS('📋 Транзакції'!$F$5:$F$3623,'📋 Транзакції'!$B$5:$B$3623,A81,'📋 Транзакції'!$C$5:$C$3623,"&gt;="&amp;EDATE(DATEVALUE(C81&amp;"-01"),11),'📋 Транзакції'!$C$5:$C$3623,"&lt;"&amp;EDATE(DATEVALUE(C81&amp;"-01"),12))</f>
        <v>19.99</v>
      </c>
    </row>
    <row r="82" ht="15.75" customHeight="1">
      <c r="A82" s="33" t="str">
        <f>'📋 Реєстрації'!A82:A683</f>
        <v>U0078</v>
      </c>
      <c r="B82" s="34">
        <f t="array" ref="B82">INDEX('📋 Транзакції'!$C$5:$C$3623,MATCH(A82,'📋 Транзакції'!$B$5:$B$3623,0))</f>
        <v>45375</v>
      </c>
      <c r="C82" s="35" t="str">
        <f t="shared" si="1"/>
        <v>2024-03</v>
      </c>
      <c r="D82" s="36">
        <f>COUNTIF('📋 Транзакції'!$B$5:$B$3623,A82)</f>
        <v>2</v>
      </c>
      <c r="E82" s="36">
        <f>SUMIF('📋 Транзакції'!$B$5:$B$3623,A82,'📋 Транзакції'!$F$5:$F$3623)</f>
        <v>19.99</v>
      </c>
      <c r="F82" s="35">
        <f>INT($A$1-MAXIFS('📋 Транзакції'!$C$5:$C$3623,'📋 Транзакції'!$B$5:$B$3623,A82))</f>
        <v>365</v>
      </c>
      <c r="G82" s="37">
        <f>IF(COUNTIFS('📋 Транзакції'!$B$5:$B$3623,A82,'📋 Транзакції'!$C$5:$C$3623,"&gt;="&amp;EDATE(DATEVALUE(C82&amp;"-01"),0),'📋 Транзакції'!$C$5:$C$3623,"&lt;"&amp;EDATE(DATEVALUE(C82&amp;"-01"),1))&gt;0,1,0)</f>
        <v>1</v>
      </c>
      <c r="H82" s="37">
        <f>IF(COUNTIFS('📋 Транзакції'!$B$5:$B$3623,A82,'📋 Транзакції'!$C$5:$C$3623,"&gt;="&amp;EDATE(DATEVALUE(C82&amp;"-01"),1),'📋 Транзакції'!$C$5:$C$3623,"&lt;"&amp;EDATE(DATEVALUE(C82&amp;"-01"),2))&gt;0,1,0)</f>
        <v>0</v>
      </c>
      <c r="I82" s="37">
        <f>IF(COUNTIFS('📋 Транзакції'!$B$5:$B$3623,A82,'📋 Транзакції'!$C$5:$C$3623,"&gt;="&amp;EDATE(DATEVALUE(C82&amp;"-01"),2),'📋 Транзакції'!$C$5:$C$3623,"&lt;"&amp;EDATE(DATEVALUE(C82&amp;"-01"),3))&gt;0,1,0)</f>
        <v>0</v>
      </c>
      <c r="J82" s="37">
        <f>IF(COUNTIFS('📋 Транзакції'!$B$5:$B$3623,A82,'📋 Транзакції'!$C$5:$C$3623,"&gt;="&amp;EDATE(DATEVALUE(C82&amp;"-01"),3),'📋 Транзакції'!$C$5:$C$3623,"&lt;"&amp;EDATE(DATEVALUE(C82&amp;"-01"),4))&gt;0,1,0)</f>
        <v>0</v>
      </c>
      <c r="K82" s="37">
        <f>IF(COUNTIFS('📋 Транзакції'!$B$5:$B$3623,A82,'📋 Транзакції'!$C$5:$C$3623,"&gt;="&amp;EDATE(DATEVALUE(C82&amp;"-01"),4),'📋 Транзакції'!$C$5:$C$3623,"&lt;"&amp;EDATE(DATEVALUE(C82&amp;"-01"),5))&gt;0,1,0)</f>
        <v>0</v>
      </c>
      <c r="L82" s="37">
        <f>IF(COUNTIFS('📋 Транзакції'!$B$5:$B$3623,A82,'📋 Транзакції'!$C$5:$C$3623,"&gt;="&amp;EDATE(DATEVALUE(C82&amp;"-01"),5),'📋 Транзакції'!$C$5:$C$3623,"&lt;"&amp;EDATE(DATEVALUE(C82&amp;"-01"),6))&gt;0,1,0)</f>
        <v>0</v>
      </c>
      <c r="M82" s="37">
        <f>IF(COUNTIFS('📋 Транзакції'!$B$5:$B$3623,A82,'📋 Транзакції'!$C$5:$C$3623,"&gt;="&amp;EDATE(DATEVALUE(C82&amp;"-01"),6),'📋 Транзакції'!$C$5:$C$3623,"&lt;"&amp;EDATE(DATEVALUE(C82&amp;"-01"),7))&gt;0,1,0)</f>
        <v>0</v>
      </c>
      <c r="N82" s="37">
        <f>IF(COUNTIFS('📋 Транзакції'!$B$5:$B$3623,A82,'📋 Транзакції'!$C$5:$C$3623,"&gt;="&amp;EDATE(DATEVALUE(C82&amp;"-01"),7),'📋 Транзакції'!$C$5:$C$3623,"&lt;"&amp;EDATE(DATEVALUE(C82&amp;"-01"),8))&gt;0,1,0)</f>
        <v>0</v>
      </c>
      <c r="O82" s="37">
        <f>IF(COUNTIFS('📋 Транзакції'!$B$5:$B$3623,A82,'📋 Транзакції'!$C$5:$C$3623,"&gt;="&amp;EDATE(DATEVALUE(C82&amp;"-01"),8),'📋 Транзакції'!$C$5:$C$3623,"&lt;"&amp;EDATE(DATEVALUE(C82&amp;"-01"),9))&gt;0,1,0)</f>
        <v>0</v>
      </c>
      <c r="P82" s="37">
        <f>IF(COUNTIFS('📋 Транзакції'!$B$5:$B$3623,A82,'📋 Транзакції'!$C$5:$C$3623,"&gt;="&amp;EDATE(DATEVALUE(C82&amp;"-01"),9),'📋 Транзакції'!$C$5:$C$3623,"&lt;"&amp;EDATE(DATEVALUE(C82&amp;"-01"),10))&gt;0,1,0)</f>
        <v>0</v>
      </c>
      <c r="Q82" s="37">
        <f>IF(COUNTIFS('📋 Транзакції'!$B$5:$B$3623,A82,'📋 Транзакції'!$C$5:$C$3623,"&gt;="&amp;EDATE(DATEVALUE(C82&amp;"-01"),10),'📋 Транзакції'!$C$5:$C$3623,"&lt;"&amp;EDATE(DATEVALUE(C82&amp;"-01"),11))&gt;0,1,0)</f>
        <v>0</v>
      </c>
      <c r="R82" s="37">
        <f>IF(COUNTIFS('📋 Транзакції'!$B$5:$B$3623,A82,'📋 Транзакції'!$C$5:$C$3623,"&gt;="&amp;EDATE(DATEVALUE(C82&amp;"-01"),11),'📋 Транзакції'!$C$5:$C$3623,"&lt;"&amp;EDATE(DATEVALUE(C82&amp;"-01"),12))&gt;0,1,0)</f>
        <v>0</v>
      </c>
      <c r="S82" s="37">
        <f>SUMIFS('📋 Транзакції'!$F$5:$F$3623,'📋 Транзакції'!$B$5:$B$3623,A82,'📋 Транзакції'!$C$5:$C$3623,"&gt;="&amp;EDATE(DATEVALUE(C82&amp;"-01"),0),'📋 Транзакції'!$C$5:$C$3623,"&lt;"&amp;EDATE(DATEVALUE(C82&amp;"-01"),1))</f>
        <v>19.99</v>
      </c>
      <c r="T82" s="37">
        <f>SUMIFS('📋 Транзакції'!$F$5:$F$3623,'📋 Транзакції'!$B$5:$B$3623,A82,'📋 Транзакції'!$C$5:$C$3623,"&gt;="&amp;EDATE(DATEVALUE(C82&amp;"-01"),1),'📋 Транзакції'!$C$5:$C$3623,"&lt;"&amp;EDATE(DATEVALUE(C82&amp;"-01"),2))</f>
        <v>0</v>
      </c>
      <c r="U82" s="37">
        <f>SUMIFS('📋 Транзакції'!$F$5:$F$3623,'📋 Транзакції'!$B$5:$B$3623,A82,'📋 Транзакції'!$C$5:$C$3623,"&gt;="&amp;EDATE(DATEVALUE(C82&amp;"-01"),2),'📋 Транзакції'!$C$5:$C$3623,"&lt;"&amp;EDATE(DATEVALUE(C82&amp;"-01"),3))</f>
        <v>0</v>
      </c>
      <c r="V82" s="37">
        <f>SUMIFS('📋 Транзакції'!$F$5:$F$3623,'📋 Транзакції'!$B$5:$B$3623,A82,'📋 Транзакції'!$C$5:$C$3623,"&gt;="&amp;EDATE(DATEVALUE(C82&amp;"-01"),3),'📋 Транзакції'!$C$5:$C$3623,"&lt;"&amp;EDATE(DATEVALUE(C82&amp;"-01"),4))</f>
        <v>0</v>
      </c>
      <c r="W82" s="37">
        <f>SUMIFS('📋 Транзакції'!$F$5:$F$3623,'📋 Транзакції'!$B$5:$B$3623,A82,'📋 Транзакції'!$C$5:$C$3623,"&gt;="&amp;EDATE(DATEVALUE(C82&amp;"-01"),4),'📋 Транзакції'!$C$5:$C$3623,"&lt;"&amp;EDATE(DATEVALUE(C82&amp;"-01"),5))</f>
        <v>0</v>
      </c>
      <c r="X82" s="37">
        <f>SUMIFS('📋 Транзакції'!$F$5:$F$3623,'📋 Транзакції'!$B$5:$B$3623,A82,'📋 Транзакції'!$C$5:$C$3623,"&gt;="&amp;EDATE(DATEVALUE(C82&amp;"-01"),5),'📋 Транзакції'!$C$5:$C$3623,"&lt;"&amp;EDATE(DATEVALUE(C82&amp;"-01"),6))</f>
        <v>0</v>
      </c>
      <c r="Y82" s="37">
        <f>SUMIFS('📋 Транзакції'!$F$5:$F$3623,'📋 Транзакції'!$B$5:$B$3623,A82,'📋 Транзакції'!$C$5:$C$3623,"&gt;="&amp;EDATE(DATEVALUE(C82&amp;"-01"),6),'📋 Транзакції'!$C$5:$C$3623,"&lt;"&amp;EDATE(DATEVALUE(C82&amp;"-01"),7))</f>
        <v>0</v>
      </c>
      <c r="Z82" s="37">
        <f>SUMIFS('📋 Транзакції'!$F$5:$F$3623,'📋 Транзакції'!$B$5:$B$3623,A82,'📋 Транзакції'!$C$5:$C$3623,"&gt;="&amp;EDATE(DATEVALUE(C82&amp;"-01"),7),'📋 Транзакції'!$C$5:$C$3623,"&lt;"&amp;EDATE(DATEVALUE(C82&amp;"-01"),8))</f>
        <v>0</v>
      </c>
      <c r="AA82" s="37">
        <f>SUMIFS('📋 Транзакції'!$F$5:$F$3623,'📋 Транзакції'!$B$5:$B$3623,A82,'📋 Транзакції'!$C$5:$C$3623,"&gt;="&amp;EDATE(DATEVALUE(C82&amp;"-01"),8),'📋 Транзакції'!$C$5:$C$3623,"&lt;"&amp;EDATE(DATEVALUE(C82&amp;"-01"),9))</f>
        <v>0</v>
      </c>
      <c r="AB82" s="37">
        <f>SUMIFS('📋 Транзакції'!$F$5:$F$3623,'📋 Транзакції'!$B$5:$B$3623,A82,'📋 Транзакції'!$C$5:$C$3623,"&gt;="&amp;EDATE(DATEVALUE(C82&amp;"-01"),9),'📋 Транзакції'!$C$5:$C$3623,"&lt;"&amp;EDATE(DATEVALUE(C82&amp;"-01"),10))</f>
        <v>0</v>
      </c>
      <c r="AC82" s="37">
        <f>SUMIFS('📋 Транзакції'!$F$5:$F$3623,'📋 Транзакції'!$B$5:$B$3623,A82,'📋 Транзакції'!$C$5:$C$3623,"&gt;="&amp;EDATE(DATEVALUE(C82&amp;"-01"),10),'📋 Транзакції'!$C$5:$C$3623,"&lt;"&amp;EDATE(DATEVALUE(C82&amp;"-01"),11))</f>
        <v>0</v>
      </c>
      <c r="AD82" s="37">
        <f>SUMIFS('📋 Транзакції'!$F$5:$F$3623,'📋 Транзакції'!$B$5:$B$3623,A82,'📋 Транзакції'!$C$5:$C$3623,"&gt;="&amp;EDATE(DATEVALUE(C82&amp;"-01"),11),'📋 Транзакції'!$C$5:$C$3623,"&lt;"&amp;EDATE(DATEVALUE(C82&amp;"-01"),12))</f>
        <v>0</v>
      </c>
    </row>
    <row r="83" ht="15.75" customHeight="1">
      <c r="A83" s="33" t="str">
        <f>'📋 Реєстрації'!A83:A684</f>
        <v>U0673</v>
      </c>
      <c r="B83" s="34">
        <f t="array" ref="B83">INDEX('📋 Транзакції'!$C$5:$C$3623,MATCH(A83,'📋 Транзакції'!$B$5:$B$3623,0))</f>
        <v>45376</v>
      </c>
      <c r="C83" s="35" t="str">
        <f t="shared" si="1"/>
        <v>2024-03</v>
      </c>
      <c r="D83" s="36">
        <f>COUNTIF('📋 Транзакції'!$B$5:$B$3623,A83)</f>
        <v>7</v>
      </c>
      <c r="E83" s="36">
        <f>SUMIF('📋 Транзакції'!$B$5:$B$3623,A83,'📋 Транзакції'!$F$5:$F$3623)</f>
        <v>119.94</v>
      </c>
      <c r="F83" s="35">
        <f>INT($A$1-MAXIFS('📋 Транзакції'!$C$5:$C$3623,'📋 Транзакції'!$B$5:$B$3623,A83))</f>
        <v>214</v>
      </c>
      <c r="G83" s="37">
        <f>IF(COUNTIFS('📋 Транзакції'!$B$5:$B$3623,A83,'📋 Транзакції'!$C$5:$C$3623,"&gt;="&amp;EDATE(DATEVALUE(C83&amp;"-01"),0),'📋 Транзакції'!$C$5:$C$3623,"&lt;"&amp;EDATE(DATEVALUE(C83&amp;"-01"),1))&gt;0,1,0)</f>
        <v>1</v>
      </c>
      <c r="H83" s="37">
        <f>IF(COUNTIFS('📋 Транзакції'!$B$5:$B$3623,A83,'📋 Транзакції'!$C$5:$C$3623,"&gt;="&amp;EDATE(DATEVALUE(C83&amp;"-01"),1),'📋 Транзакції'!$C$5:$C$3623,"&lt;"&amp;EDATE(DATEVALUE(C83&amp;"-01"),2))&gt;0,1,0)</f>
        <v>1</v>
      </c>
      <c r="I83" s="37">
        <f>IF(COUNTIFS('📋 Транзакції'!$B$5:$B$3623,A83,'📋 Транзакції'!$C$5:$C$3623,"&gt;="&amp;EDATE(DATEVALUE(C83&amp;"-01"),2),'📋 Транзакції'!$C$5:$C$3623,"&lt;"&amp;EDATE(DATEVALUE(C83&amp;"-01"),3))&gt;0,1,0)</f>
        <v>1</v>
      </c>
      <c r="J83" s="37">
        <f>IF(COUNTIFS('📋 Транзакції'!$B$5:$B$3623,A83,'📋 Транзакції'!$C$5:$C$3623,"&gt;="&amp;EDATE(DATEVALUE(C83&amp;"-01"),3),'📋 Транзакції'!$C$5:$C$3623,"&lt;"&amp;EDATE(DATEVALUE(C83&amp;"-01"),4))&gt;0,1,0)</f>
        <v>1</v>
      </c>
      <c r="K83" s="37">
        <f>IF(COUNTIFS('📋 Транзакції'!$B$5:$B$3623,A83,'📋 Транзакції'!$C$5:$C$3623,"&gt;="&amp;EDATE(DATEVALUE(C83&amp;"-01"),4),'📋 Транзакції'!$C$5:$C$3623,"&lt;"&amp;EDATE(DATEVALUE(C83&amp;"-01"),5))&gt;0,1,0)</f>
        <v>1</v>
      </c>
      <c r="L83" s="37">
        <f>IF(COUNTIFS('📋 Транзакції'!$B$5:$B$3623,A83,'📋 Транзакції'!$C$5:$C$3623,"&gt;="&amp;EDATE(DATEVALUE(C83&amp;"-01"),5),'📋 Транзакції'!$C$5:$C$3623,"&lt;"&amp;EDATE(DATEVALUE(C83&amp;"-01"),6))&gt;0,1,0)</f>
        <v>1</v>
      </c>
      <c r="M83" s="37">
        <f>IF(COUNTIFS('📋 Транзакції'!$B$5:$B$3623,A83,'📋 Транзакції'!$C$5:$C$3623,"&gt;="&amp;EDATE(DATEVALUE(C83&amp;"-01"),6),'📋 Транзакції'!$C$5:$C$3623,"&lt;"&amp;EDATE(DATEVALUE(C83&amp;"-01"),7))&gt;0,1,0)</f>
        <v>0</v>
      </c>
      <c r="N83" s="37">
        <f>IF(COUNTIFS('📋 Транзакції'!$B$5:$B$3623,A83,'📋 Транзакції'!$C$5:$C$3623,"&gt;="&amp;EDATE(DATEVALUE(C83&amp;"-01"),7),'📋 Транзакції'!$C$5:$C$3623,"&lt;"&amp;EDATE(DATEVALUE(C83&amp;"-01"),8))&gt;0,1,0)</f>
        <v>0</v>
      </c>
      <c r="O83" s="37">
        <f>IF(COUNTIFS('📋 Транзакції'!$B$5:$B$3623,A83,'📋 Транзакції'!$C$5:$C$3623,"&gt;="&amp;EDATE(DATEVALUE(C83&amp;"-01"),8),'📋 Транзакції'!$C$5:$C$3623,"&lt;"&amp;EDATE(DATEVALUE(C83&amp;"-01"),9))&gt;0,1,0)</f>
        <v>0</v>
      </c>
      <c r="P83" s="37">
        <f>IF(COUNTIFS('📋 Транзакції'!$B$5:$B$3623,A83,'📋 Транзакції'!$C$5:$C$3623,"&gt;="&amp;EDATE(DATEVALUE(C83&amp;"-01"),9),'📋 Транзакції'!$C$5:$C$3623,"&lt;"&amp;EDATE(DATEVALUE(C83&amp;"-01"),10))&gt;0,1,0)</f>
        <v>0</v>
      </c>
      <c r="Q83" s="37">
        <f>IF(COUNTIFS('📋 Транзакції'!$B$5:$B$3623,A83,'📋 Транзакції'!$C$5:$C$3623,"&gt;="&amp;EDATE(DATEVALUE(C83&amp;"-01"),10),'📋 Транзакції'!$C$5:$C$3623,"&lt;"&amp;EDATE(DATEVALUE(C83&amp;"-01"),11))&gt;0,1,0)</f>
        <v>0</v>
      </c>
      <c r="R83" s="37">
        <f>IF(COUNTIFS('📋 Транзакції'!$B$5:$B$3623,A83,'📋 Транзакції'!$C$5:$C$3623,"&gt;="&amp;EDATE(DATEVALUE(C83&amp;"-01"),11),'📋 Транзакції'!$C$5:$C$3623,"&lt;"&amp;EDATE(DATEVALUE(C83&amp;"-01"),12))&gt;0,1,0)</f>
        <v>0</v>
      </c>
      <c r="S83" s="37">
        <f>SUMIFS('📋 Транзакції'!$F$5:$F$3623,'📋 Транзакції'!$B$5:$B$3623,A83,'📋 Транзакції'!$C$5:$C$3623,"&gt;="&amp;EDATE(DATEVALUE(C83&amp;"-01"),0),'📋 Транзакції'!$C$5:$C$3623,"&lt;"&amp;EDATE(DATEVALUE(C83&amp;"-01"),1))</f>
        <v>0</v>
      </c>
      <c r="T83" s="37">
        <f>SUMIFS('📋 Транзакції'!$F$5:$F$3623,'📋 Транзакції'!$B$5:$B$3623,A83,'📋 Транзакції'!$C$5:$C$3623,"&gt;="&amp;EDATE(DATEVALUE(C83&amp;"-01"),1),'📋 Транзакції'!$C$5:$C$3623,"&lt;"&amp;EDATE(DATEVALUE(C83&amp;"-01"),2))</f>
        <v>19.99</v>
      </c>
      <c r="U83" s="37">
        <f>SUMIFS('📋 Транзакції'!$F$5:$F$3623,'📋 Транзакції'!$B$5:$B$3623,A83,'📋 Транзакції'!$C$5:$C$3623,"&gt;="&amp;EDATE(DATEVALUE(C83&amp;"-01"),2),'📋 Транзакції'!$C$5:$C$3623,"&lt;"&amp;EDATE(DATEVALUE(C83&amp;"-01"),3))</f>
        <v>39.98</v>
      </c>
      <c r="V83" s="37">
        <f>SUMIFS('📋 Транзакції'!$F$5:$F$3623,'📋 Транзакції'!$B$5:$B$3623,A83,'📋 Транзакції'!$C$5:$C$3623,"&gt;="&amp;EDATE(DATEVALUE(C83&amp;"-01"),3),'📋 Транзакції'!$C$5:$C$3623,"&lt;"&amp;EDATE(DATEVALUE(C83&amp;"-01"),4))</f>
        <v>19.99</v>
      </c>
      <c r="W83" s="37">
        <f>SUMIFS('📋 Транзакції'!$F$5:$F$3623,'📋 Транзакції'!$B$5:$B$3623,A83,'📋 Транзакції'!$C$5:$C$3623,"&gt;="&amp;EDATE(DATEVALUE(C83&amp;"-01"),4),'📋 Транзакції'!$C$5:$C$3623,"&lt;"&amp;EDATE(DATEVALUE(C83&amp;"-01"),5))</f>
        <v>19.99</v>
      </c>
      <c r="X83" s="37">
        <f>SUMIFS('📋 Транзакції'!$F$5:$F$3623,'📋 Транзакції'!$B$5:$B$3623,A83,'📋 Транзакції'!$C$5:$C$3623,"&gt;="&amp;EDATE(DATEVALUE(C83&amp;"-01"),5),'📋 Транзакції'!$C$5:$C$3623,"&lt;"&amp;EDATE(DATEVALUE(C83&amp;"-01"),6))</f>
        <v>19.99</v>
      </c>
      <c r="Y83" s="37">
        <f>SUMIFS('📋 Транзакції'!$F$5:$F$3623,'📋 Транзакції'!$B$5:$B$3623,A83,'📋 Транзакції'!$C$5:$C$3623,"&gt;="&amp;EDATE(DATEVALUE(C83&amp;"-01"),6),'📋 Транзакції'!$C$5:$C$3623,"&lt;"&amp;EDATE(DATEVALUE(C83&amp;"-01"),7))</f>
        <v>0</v>
      </c>
      <c r="Z83" s="37">
        <f>SUMIFS('📋 Транзакції'!$F$5:$F$3623,'📋 Транзакції'!$B$5:$B$3623,A83,'📋 Транзакції'!$C$5:$C$3623,"&gt;="&amp;EDATE(DATEVALUE(C83&amp;"-01"),7),'📋 Транзакції'!$C$5:$C$3623,"&lt;"&amp;EDATE(DATEVALUE(C83&amp;"-01"),8))</f>
        <v>0</v>
      </c>
      <c r="AA83" s="37">
        <f>SUMIFS('📋 Транзакції'!$F$5:$F$3623,'📋 Транзакції'!$B$5:$B$3623,A83,'📋 Транзакції'!$C$5:$C$3623,"&gt;="&amp;EDATE(DATEVALUE(C83&amp;"-01"),8),'📋 Транзакції'!$C$5:$C$3623,"&lt;"&amp;EDATE(DATEVALUE(C83&amp;"-01"),9))</f>
        <v>0</v>
      </c>
      <c r="AB83" s="37">
        <f>SUMIFS('📋 Транзакції'!$F$5:$F$3623,'📋 Транзакції'!$B$5:$B$3623,A83,'📋 Транзакції'!$C$5:$C$3623,"&gt;="&amp;EDATE(DATEVALUE(C83&amp;"-01"),9),'📋 Транзакції'!$C$5:$C$3623,"&lt;"&amp;EDATE(DATEVALUE(C83&amp;"-01"),10))</f>
        <v>0</v>
      </c>
      <c r="AC83" s="37">
        <f>SUMIFS('📋 Транзакції'!$F$5:$F$3623,'📋 Транзакції'!$B$5:$B$3623,A83,'📋 Транзакції'!$C$5:$C$3623,"&gt;="&amp;EDATE(DATEVALUE(C83&amp;"-01"),10),'📋 Транзакції'!$C$5:$C$3623,"&lt;"&amp;EDATE(DATEVALUE(C83&amp;"-01"),11))</f>
        <v>0</v>
      </c>
      <c r="AD83" s="37">
        <f>SUMIFS('📋 Транзакції'!$F$5:$F$3623,'📋 Транзакції'!$B$5:$B$3623,A83,'📋 Транзакції'!$C$5:$C$3623,"&gt;="&amp;EDATE(DATEVALUE(C83&amp;"-01"),11),'📋 Транзакції'!$C$5:$C$3623,"&lt;"&amp;EDATE(DATEVALUE(C83&amp;"-01"),12))</f>
        <v>0</v>
      </c>
    </row>
    <row r="84" ht="15.75" customHeight="1">
      <c r="A84" s="33" t="str">
        <f>'📋 Реєстрації'!A84:A685</f>
        <v>U0498</v>
      </c>
      <c r="B84" s="34">
        <f t="array" ref="B84">INDEX('📋 Транзакції'!$C$5:$C$3623,MATCH(A84,'📋 Транзакції'!$B$5:$B$3623,0))</f>
        <v>45377</v>
      </c>
      <c r="C84" s="35" t="str">
        <f t="shared" si="1"/>
        <v>2024-03</v>
      </c>
      <c r="D84" s="36">
        <f>COUNTIF('📋 Транзакції'!$B$5:$B$3623,A84)</f>
        <v>14</v>
      </c>
      <c r="E84" s="36">
        <f>SUMIF('📋 Транзакції'!$B$5:$B$3623,A84,'📋 Транзакції'!$F$5:$F$3623)</f>
        <v>259.87</v>
      </c>
      <c r="F84" s="35">
        <f>INT($A$1-MAXIFS('📋 Транзакції'!$C$5:$C$3623,'📋 Транзакції'!$B$5:$B$3623,A84))</f>
        <v>3</v>
      </c>
      <c r="G84" s="37">
        <f>IF(COUNTIFS('📋 Транзакції'!$B$5:$B$3623,A84,'📋 Транзакції'!$C$5:$C$3623,"&gt;="&amp;EDATE(DATEVALUE(C84&amp;"-01"),0),'📋 Транзакції'!$C$5:$C$3623,"&lt;"&amp;EDATE(DATEVALUE(C84&amp;"-01"),1))&gt;0,1,0)</f>
        <v>1</v>
      </c>
      <c r="H84" s="37">
        <f>IF(COUNTIFS('📋 Транзакції'!$B$5:$B$3623,A84,'📋 Транзакції'!$C$5:$C$3623,"&gt;="&amp;EDATE(DATEVALUE(C84&amp;"-01"),1),'📋 Транзакції'!$C$5:$C$3623,"&lt;"&amp;EDATE(DATEVALUE(C84&amp;"-01"),2))&gt;0,1,0)</f>
        <v>1</v>
      </c>
      <c r="I84" s="37">
        <f>IF(COUNTIFS('📋 Транзакції'!$B$5:$B$3623,A84,'📋 Транзакції'!$C$5:$C$3623,"&gt;="&amp;EDATE(DATEVALUE(C84&amp;"-01"),2),'📋 Транзакції'!$C$5:$C$3623,"&lt;"&amp;EDATE(DATEVALUE(C84&amp;"-01"),3))&gt;0,1,0)</f>
        <v>1</v>
      </c>
      <c r="J84" s="37">
        <f>IF(COUNTIFS('📋 Транзакції'!$B$5:$B$3623,A84,'📋 Транзакції'!$C$5:$C$3623,"&gt;="&amp;EDATE(DATEVALUE(C84&amp;"-01"),3),'📋 Транзакції'!$C$5:$C$3623,"&lt;"&amp;EDATE(DATEVALUE(C84&amp;"-01"),4))&gt;0,1,0)</f>
        <v>1</v>
      </c>
      <c r="K84" s="37">
        <f>IF(COUNTIFS('📋 Транзакції'!$B$5:$B$3623,A84,'📋 Транзакції'!$C$5:$C$3623,"&gt;="&amp;EDATE(DATEVALUE(C84&amp;"-01"),4),'📋 Транзакції'!$C$5:$C$3623,"&lt;"&amp;EDATE(DATEVALUE(C84&amp;"-01"),5))&gt;0,1,0)</f>
        <v>1</v>
      </c>
      <c r="L84" s="37">
        <f>IF(COUNTIFS('📋 Транзакції'!$B$5:$B$3623,A84,'📋 Транзакції'!$C$5:$C$3623,"&gt;="&amp;EDATE(DATEVALUE(C84&amp;"-01"),5),'📋 Транзакції'!$C$5:$C$3623,"&lt;"&amp;EDATE(DATEVALUE(C84&amp;"-01"),6))&gt;0,1,0)</f>
        <v>1</v>
      </c>
      <c r="M84" s="37">
        <f>IF(COUNTIFS('📋 Транзакції'!$B$5:$B$3623,A84,'📋 Транзакції'!$C$5:$C$3623,"&gt;="&amp;EDATE(DATEVALUE(C84&amp;"-01"),6),'📋 Транзакції'!$C$5:$C$3623,"&lt;"&amp;EDATE(DATEVALUE(C84&amp;"-01"),7))&gt;0,1,0)</f>
        <v>1</v>
      </c>
      <c r="N84" s="37">
        <f>IF(COUNTIFS('📋 Транзакції'!$B$5:$B$3623,A84,'📋 Транзакції'!$C$5:$C$3623,"&gt;="&amp;EDATE(DATEVALUE(C84&amp;"-01"),7),'📋 Транзакції'!$C$5:$C$3623,"&lt;"&amp;EDATE(DATEVALUE(C84&amp;"-01"),8))&gt;0,1,0)</f>
        <v>1</v>
      </c>
      <c r="O84" s="37">
        <f>IF(COUNTIFS('📋 Транзакції'!$B$5:$B$3623,A84,'📋 Транзакції'!$C$5:$C$3623,"&gt;="&amp;EDATE(DATEVALUE(C84&amp;"-01"),8),'📋 Транзакції'!$C$5:$C$3623,"&lt;"&amp;EDATE(DATEVALUE(C84&amp;"-01"),9))&gt;0,1,0)</f>
        <v>1</v>
      </c>
      <c r="P84" s="37">
        <f>IF(COUNTIFS('📋 Транзакції'!$B$5:$B$3623,A84,'📋 Транзакції'!$C$5:$C$3623,"&gt;="&amp;EDATE(DATEVALUE(C84&amp;"-01"),9),'📋 Транзакції'!$C$5:$C$3623,"&lt;"&amp;EDATE(DATEVALUE(C84&amp;"-01"),10))&gt;0,1,0)</f>
        <v>1</v>
      </c>
      <c r="Q84" s="37">
        <f>IF(COUNTIFS('📋 Транзакції'!$B$5:$B$3623,A84,'📋 Транзакції'!$C$5:$C$3623,"&gt;="&amp;EDATE(DATEVALUE(C84&amp;"-01"),10),'📋 Транзакції'!$C$5:$C$3623,"&lt;"&amp;EDATE(DATEVALUE(C84&amp;"-01"),11))&gt;0,1,0)</f>
        <v>1</v>
      </c>
      <c r="R84" s="37">
        <f>IF(COUNTIFS('📋 Транзакції'!$B$5:$B$3623,A84,'📋 Транзакції'!$C$5:$C$3623,"&gt;="&amp;EDATE(DATEVALUE(C84&amp;"-01"),11),'📋 Транзакції'!$C$5:$C$3623,"&lt;"&amp;EDATE(DATEVALUE(C84&amp;"-01"),12))&gt;0,1,0)</f>
        <v>1</v>
      </c>
      <c r="S84" s="37">
        <f>SUMIFS('📋 Транзакції'!$F$5:$F$3623,'📋 Транзакції'!$B$5:$B$3623,A84,'📋 Транзакції'!$C$5:$C$3623,"&gt;="&amp;EDATE(DATEVALUE(C84&amp;"-01"),0),'📋 Транзакції'!$C$5:$C$3623,"&lt;"&amp;EDATE(DATEVALUE(C84&amp;"-01"),1))</f>
        <v>0</v>
      </c>
      <c r="T84" s="37">
        <f>SUMIFS('📋 Транзакції'!$F$5:$F$3623,'📋 Транзакції'!$B$5:$B$3623,A84,'📋 Транзакції'!$C$5:$C$3623,"&gt;="&amp;EDATE(DATEVALUE(C84&amp;"-01"),1),'📋 Транзакції'!$C$5:$C$3623,"&lt;"&amp;EDATE(DATEVALUE(C84&amp;"-01"),2))</f>
        <v>19.99</v>
      </c>
      <c r="U84" s="37">
        <f>SUMIFS('📋 Транзакції'!$F$5:$F$3623,'📋 Транзакції'!$B$5:$B$3623,A84,'📋 Транзакції'!$C$5:$C$3623,"&gt;="&amp;EDATE(DATEVALUE(C84&amp;"-01"),2),'📋 Транзакції'!$C$5:$C$3623,"&lt;"&amp;EDATE(DATEVALUE(C84&amp;"-01"),3))</f>
        <v>19.99</v>
      </c>
      <c r="V84" s="37">
        <f>SUMIFS('📋 Транзакції'!$F$5:$F$3623,'📋 Транзакції'!$B$5:$B$3623,A84,'📋 Транзакції'!$C$5:$C$3623,"&gt;="&amp;EDATE(DATEVALUE(C84&amp;"-01"),3),'📋 Транзакції'!$C$5:$C$3623,"&lt;"&amp;EDATE(DATEVALUE(C84&amp;"-01"),4))</f>
        <v>19.99</v>
      </c>
      <c r="W84" s="37">
        <f>SUMIFS('📋 Транзакції'!$F$5:$F$3623,'📋 Транзакції'!$B$5:$B$3623,A84,'📋 Транзакції'!$C$5:$C$3623,"&gt;="&amp;EDATE(DATEVALUE(C84&amp;"-01"),4),'📋 Транзакції'!$C$5:$C$3623,"&lt;"&amp;EDATE(DATEVALUE(C84&amp;"-01"),5))</f>
        <v>39.98</v>
      </c>
      <c r="X84" s="37">
        <f>SUMIFS('📋 Транзакції'!$F$5:$F$3623,'📋 Транзакції'!$B$5:$B$3623,A84,'📋 Транзакції'!$C$5:$C$3623,"&gt;="&amp;EDATE(DATEVALUE(C84&amp;"-01"),5),'📋 Транзакції'!$C$5:$C$3623,"&lt;"&amp;EDATE(DATEVALUE(C84&amp;"-01"),6))</f>
        <v>19.99</v>
      </c>
      <c r="Y84" s="37">
        <f>SUMIFS('📋 Транзакції'!$F$5:$F$3623,'📋 Транзакції'!$B$5:$B$3623,A84,'📋 Транзакції'!$C$5:$C$3623,"&gt;="&amp;EDATE(DATEVALUE(C84&amp;"-01"),6),'📋 Транзакції'!$C$5:$C$3623,"&lt;"&amp;EDATE(DATEVALUE(C84&amp;"-01"),7))</f>
        <v>19.99</v>
      </c>
      <c r="Z84" s="37">
        <f>SUMIFS('📋 Транзакції'!$F$5:$F$3623,'📋 Транзакції'!$B$5:$B$3623,A84,'📋 Транзакції'!$C$5:$C$3623,"&gt;="&amp;EDATE(DATEVALUE(C84&amp;"-01"),7),'📋 Транзакції'!$C$5:$C$3623,"&lt;"&amp;EDATE(DATEVALUE(C84&amp;"-01"),8))</f>
        <v>19.99</v>
      </c>
      <c r="AA84" s="37">
        <f>SUMIFS('📋 Транзакції'!$F$5:$F$3623,'📋 Транзакції'!$B$5:$B$3623,A84,'📋 Транзакції'!$C$5:$C$3623,"&gt;="&amp;EDATE(DATEVALUE(C84&amp;"-01"),8),'📋 Транзакції'!$C$5:$C$3623,"&lt;"&amp;EDATE(DATEVALUE(C84&amp;"-01"),9))</f>
        <v>19.99</v>
      </c>
      <c r="AB84" s="37">
        <f>SUMIFS('📋 Транзакції'!$F$5:$F$3623,'📋 Транзакції'!$B$5:$B$3623,A84,'📋 Транзакції'!$C$5:$C$3623,"&gt;="&amp;EDATE(DATEVALUE(C84&amp;"-01"),9),'📋 Транзакції'!$C$5:$C$3623,"&lt;"&amp;EDATE(DATEVALUE(C84&amp;"-01"),10))</f>
        <v>19.99</v>
      </c>
      <c r="AC84" s="37">
        <f>SUMIFS('📋 Транзакції'!$F$5:$F$3623,'📋 Транзакції'!$B$5:$B$3623,A84,'📋 Транзакції'!$C$5:$C$3623,"&gt;="&amp;EDATE(DATEVALUE(C84&amp;"-01"),10),'📋 Транзакції'!$C$5:$C$3623,"&lt;"&amp;EDATE(DATEVALUE(C84&amp;"-01"),11))</f>
        <v>19.99</v>
      </c>
      <c r="AD84" s="37">
        <f>SUMIFS('📋 Транзакції'!$F$5:$F$3623,'📋 Транзакції'!$B$5:$B$3623,A84,'📋 Транзакції'!$C$5:$C$3623,"&gt;="&amp;EDATE(DATEVALUE(C84&amp;"-01"),11),'📋 Транзакції'!$C$5:$C$3623,"&lt;"&amp;EDATE(DATEVALUE(C84&amp;"-01"),12))</f>
        <v>19.99</v>
      </c>
    </row>
    <row r="85" ht="15.75" customHeight="1">
      <c r="A85" s="33" t="str">
        <f>'📋 Реєстрації'!A85:A686</f>
        <v>U0410</v>
      </c>
      <c r="B85" s="34">
        <f t="array" ref="B85">INDEX('📋 Транзакції'!$C$5:$C$3623,MATCH(A85,'📋 Транзакції'!$B$5:$B$3623,0))</f>
        <v>45379</v>
      </c>
      <c r="C85" s="35" t="str">
        <f t="shared" si="1"/>
        <v>2024-03</v>
      </c>
      <c r="D85" s="36">
        <f>COUNTIF('📋 Транзакції'!$B$5:$B$3623,A85)</f>
        <v>14</v>
      </c>
      <c r="E85" s="36">
        <f>SUMIF('📋 Транзакції'!$B$5:$B$3623,A85,'📋 Транзакції'!$F$5:$F$3623)</f>
        <v>259.87</v>
      </c>
      <c r="F85" s="35">
        <f>INT($A$1-MAXIFS('📋 Транзакції'!$C$5:$C$3623,'📋 Транзакції'!$B$5:$B$3623,A85))</f>
        <v>1</v>
      </c>
      <c r="G85" s="37">
        <f>IF(COUNTIFS('📋 Транзакції'!$B$5:$B$3623,A85,'📋 Транзакції'!$C$5:$C$3623,"&gt;="&amp;EDATE(DATEVALUE(C85&amp;"-01"),0),'📋 Транзакції'!$C$5:$C$3623,"&lt;"&amp;EDATE(DATEVALUE(C85&amp;"-01"),1))&gt;0,1,0)</f>
        <v>1</v>
      </c>
      <c r="H85" s="37">
        <f>IF(COUNTIFS('📋 Транзакції'!$B$5:$B$3623,A85,'📋 Транзакції'!$C$5:$C$3623,"&gt;="&amp;EDATE(DATEVALUE(C85&amp;"-01"),1),'📋 Транзакції'!$C$5:$C$3623,"&lt;"&amp;EDATE(DATEVALUE(C85&amp;"-01"),2))&gt;0,1,0)</f>
        <v>1</v>
      </c>
      <c r="I85" s="37">
        <f>IF(COUNTIFS('📋 Транзакції'!$B$5:$B$3623,A85,'📋 Транзакції'!$C$5:$C$3623,"&gt;="&amp;EDATE(DATEVALUE(C85&amp;"-01"),2),'📋 Транзакції'!$C$5:$C$3623,"&lt;"&amp;EDATE(DATEVALUE(C85&amp;"-01"),3))&gt;0,1,0)</f>
        <v>1</v>
      </c>
      <c r="J85" s="37">
        <f>IF(COUNTIFS('📋 Транзакції'!$B$5:$B$3623,A85,'📋 Транзакції'!$C$5:$C$3623,"&gt;="&amp;EDATE(DATEVALUE(C85&amp;"-01"),3),'📋 Транзакції'!$C$5:$C$3623,"&lt;"&amp;EDATE(DATEVALUE(C85&amp;"-01"),4))&gt;0,1,0)</f>
        <v>1</v>
      </c>
      <c r="K85" s="37">
        <f>IF(COUNTIFS('📋 Транзакції'!$B$5:$B$3623,A85,'📋 Транзакції'!$C$5:$C$3623,"&gt;="&amp;EDATE(DATEVALUE(C85&amp;"-01"),4),'📋 Транзакції'!$C$5:$C$3623,"&lt;"&amp;EDATE(DATEVALUE(C85&amp;"-01"),5))&gt;0,1,0)</f>
        <v>1</v>
      </c>
      <c r="L85" s="37">
        <f>IF(COUNTIFS('📋 Транзакції'!$B$5:$B$3623,A85,'📋 Транзакції'!$C$5:$C$3623,"&gt;="&amp;EDATE(DATEVALUE(C85&amp;"-01"),5),'📋 Транзакції'!$C$5:$C$3623,"&lt;"&amp;EDATE(DATEVALUE(C85&amp;"-01"),6))&gt;0,1,0)</f>
        <v>1</v>
      </c>
      <c r="M85" s="37">
        <f>IF(COUNTIFS('📋 Транзакції'!$B$5:$B$3623,A85,'📋 Транзакції'!$C$5:$C$3623,"&gt;="&amp;EDATE(DATEVALUE(C85&amp;"-01"),6),'📋 Транзакції'!$C$5:$C$3623,"&lt;"&amp;EDATE(DATEVALUE(C85&amp;"-01"),7))&gt;0,1,0)</f>
        <v>1</v>
      </c>
      <c r="N85" s="37">
        <f>IF(COUNTIFS('📋 Транзакції'!$B$5:$B$3623,A85,'📋 Транзакції'!$C$5:$C$3623,"&gt;="&amp;EDATE(DATEVALUE(C85&amp;"-01"),7),'📋 Транзакції'!$C$5:$C$3623,"&lt;"&amp;EDATE(DATEVALUE(C85&amp;"-01"),8))&gt;0,1,0)</f>
        <v>1</v>
      </c>
      <c r="O85" s="37">
        <f>IF(COUNTIFS('📋 Транзакції'!$B$5:$B$3623,A85,'📋 Транзакції'!$C$5:$C$3623,"&gt;="&amp;EDATE(DATEVALUE(C85&amp;"-01"),8),'📋 Транзакції'!$C$5:$C$3623,"&lt;"&amp;EDATE(DATEVALUE(C85&amp;"-01"),9))&gt;0,1,0)</f>
        <v>1</v>
      </c>
      <c r="P85" s="37">
        <f>IF(COUNTIFS('📋 Транзакції'!$B$5:$B$3623,A85,'📋 Транзакції'!$C$5:$C$3623,"&gt;="&amp;EDATE(DATEVALUE(C85&amp;"-01"),9),'📋 Транзакції'!$C$5:$C$3623,"&lt;"&amp;EDATE(DATEVALUE(C85&amp;"-01"),10))&gt;0,1,0)</f>
        <v>1</v>
      </c>
      <c r="Q85" s="37">
        <f>IF(COUNTIFS('📋 Транзакції'!$B$5:$B$3623,A85,'📋 Транзакції'!$C$5:$C$3623,"&gt;="&amp;EDATE(DATEVALUE(C85&amp;"-01"),10),'📋 Транзакції'!$C$5:$C$3623,"&lt;"&amp;EDATE(DATEVALUE(C85&amp;"-01"),11))&gt;0,1,0)</f>
        <v>1</v>
      </c>
      <c r="R85" s="37">
        <f>IF(COUNTIFS('📋 Транзакції'!$B$5:$B$3623,A85,'📋 Транзакції'!$C$5:$C$3623,"&gt;="&amp;EDATE(DATEVALUE(C85&amp;"-01"),11),'📋 Транзакції'!$C$5:$C$3623,"&lt;"&amp;EDATE(DATEVALUE(C85&amp;"-01"),12))&gt;0,1,0)</f>
        <v>1</v>
      </c>
      <c r="S85" s="37">
        <f>SUMIFS('📋 Транзакції'!$F$5:$F$3623,'📋 Транзакції'!$B$5:$B$3623,A85,'📋 Транзакції'!$C$5:$C$3623,"&gt;="&amp;EDATE(DATEVALUE(C85&amp;"-01"),0),'📋 Транзакції'!$C$5:$C$3623,"&lt;"&amp;EDATE(DATEVALUE(C85&amp;"-01"),1))</f>
        <v>0</v>
      </c>
      <c r="T85" s="37">
        <f>SUMIFS('📋 Транзакції'!$F$5:$F$3623,'📋 Транзакції'!$B$5:$B$3623,A85,'📋 Транзакції'!$C$5:$C$3623,"&gt;="&amp;EDATE(DATEVALUE(C85&amp;"-01"),1),'📋 Транзакції'!$C$5:$C$3623,"&lt;"&amp;EDATE(DATEVALUE(C85&amp;"-01"),2))</f>
        <v>19.99</v>
      </c>
      <c r="U85" s="37">
        <f>SUMIFS('📋 Транзакції'!$F$5:$F$3623,'📋 Транзакції'!$B$5:$B$3623,A85,'📋 Транзакції'!$C$5:$C$3623,"&gt;="&amp;EDATE(DATEVALUE(C85&amp;"-01"),2),'📋 Транзакції'!$C$5:$C$3623,"&lt;"&amp;EDATE(DATEVALUE(C85&amp;"-01"),3))</f>
        <v>19.99</v>
      </c>
      <c r="V85" s="37">
        <f>SUMIFS('📋 Транзакції'!$F$5:$F$3623,'📋 Транзакції'!$B$5:$B$3623,A85,'📋 Транзакції'!$C$5:$C$3623,"&gt;="&amp;EDATE(DATEVALUE(C85&amp;"-01"),3),'📋 Транзакції'!$C$5:$C$3623,"&lt;"&amp;EDATE(DATEVALUE(C85&amp;"-01"),4))</f>
        <v>19.99</v>
      </c>
      <c r="W85" s="37">
        <f>SUMIFS('📋 Транзакції'!$F$5:$F$3623,'📋 Транзакції'!$B$5:$B$3623,A85,'📋 Транзакції'!$C$5:$C$3623,"&gt;="&amp;EDATE(DATEVALUE(C85&amp;"-01"),4),'📋 Транзакції'!$C$5:$C$3623,"&lt;"&amp;EDATE(DATEVALUE(C85&amp;"-01"),5))</f>
        <v>19.99</v>
      </c>
      <c r="X85" s="37">
        <f>SUMIFS('📋 Транзакції'!$F$5:$F$3623,'📋 Транзакції'!$B$5:$B$3623,A85,'📋 Транзакції'!$C$5:$C$3623,"&gt;="&amp;EDATE(DATEVALUE(C85&amp;"-01"),5),'📋 Транзакції'!$C$5:$C$3623,"&lt;"&amp;EDATE(DATEVALUE(C85&amp;"-01"),6))</f>
        <v>19.99</v>
      </c>
      <c r="Y85" s="37">
        <f>SUMIFS('📋 Транзакції'!$F$5:$F$3623,'📋 Транзакції'!$B$5:$B$3623,A85,'📋 Транзакції'!$C$5:$C$3623,"&gt;="&amp;EDATE(DATEVALUE(C85&amp;"-01"),6),'📋 Транзакції'!$C$5:$C$3623,"&lt;"&amp;EDATE(DATEVALUE(C85&amp;"-01"),7))</f>
        <v>19.99</v>
      </c>
      <c r="Z85" s="37">
        <f>SUMIFS('📋 Транзакції'!$F$5:$F$3623,'📋 Транзакції'!$B$5:$B$3623,A85,'📋 Транзакції'!$C$5:$C$3623,"&gt;="&amp;EDATE(DATEVALUE(C85&amp;"-01"),7),'📋 Транзакції'!$C$5:$C$3623,"&lt;"&amp;EDATE(DATEVALUE(C85&amp;"-01"),8))</f>
        <v>39.98</v>
      </c>
      <c r="AA85" s="37">
        <f>SUMIFS('📋 Транзакції'!$F$5:$F$3623,'📋 Транзакції'!$B$5:$B$3623,A85,'📋 Транзакції'!$C$5:$C$3623,"&gt;="&amp;EDATE(DATEVALUE(C85&amp;"-01"),8),'📋 Транзакції'!$C$5:$C$3623,"&lt;"&amp;EDATE(DATEVALUE(C85&amp;"-01"),9))</f>
        <v>19.99</v>
      </c>
      <c r="AB85" s="37">
        <f>SUMIFS('📋 Транзакції'!$F$5:$F$3623,'📋 Транзакції'!$B$5:$B$3623,A85,'📋 Транзакції'!$C$5:$C$3623,"&gt;="&amp;EDATE(DATEVALUE(C85&amp;"-01"),9),'📋 Транзакції'!$C$5:$C$3623,"&lt;"&amp;EDATE(DATEVALUE(C85&amp;"-01"),10))</f>
        <v>19.99</v>
      </c>
      <c r="AC85" s="37">
        <f>SUMIFS('📋 Транзакції'!$F$5:$F$3623,'📋 Транзакції'!$B$5:$B$3623,A85,'📋 Транзакції'!$C$5:$C$3623,"&gt;="&amp;EDATE(DATEVALUE(C85&amp;"-01"),10),'📋 Транзакції'!$C$5:$C$3623,"&lt;"&amp;EDATE(DATEVALUE(C85&amp;"-01"),11))</f>
        <v>19.99</v>
      </c>
      <c r="AD85" s="37">
        <f>SUMIFS('📋 Транзакції'!$F$5:$F$3623,'📋 Транзакції'!$B$5:$B$3623,A85,'📋 Транзакції'!$C$5:$C$3623,"&gt;="&amp;EDATE(DATEVALUE(C85&amp;"-01"),11),'📋 Транзакції'!$C$5:$C$3623,"&lt;"&amp;EDATE(DATEVALUE(C85&amp;"-01"),12))</f>
        <v>19.99</v>
      </c>
    </row>
    <row r="86" ht="15.75" customHeight="1">
      <c r="A86" s="33" t="str">
        <f>'📋 Реєстрації'!A86:A687</f>
        <v>U0771</v>
      </c>
      <c r="B86" s="34">
        <f t="array" ref="B86">INDEX('📋 Транзакції'!$C$5:$C$3623,MATCH(A86,'📋 Транзакції'!$B$5:$B$3623,0))</f>
        <v>45379</v>
      </c>
      <c r="C86" s="35" t="str">
        <f t="shared" si="1"/>
        <v>2024-03</v>
      </c>
      <c r="D86" s="36">
        <f>COUNTIF('📋 Транзакції'!$B$5:$B$3623,A86)</f>
        <v>3</v>
      </c>
      <c r="E86" s="36">
        <f>SUMIF('📋 Транзакції'!$B$5:$B$3623,A86,'📋 Транзакції'!$F$5:$F$3623)</f>
        <v>39.98</v>
      </c>
      <c r="F86" s="35">
        <f>INT($A$1-MAXIFS('📋 Транзакції'!$C$5:$C$3623,'📋 Транзакції'!$B$5:$B$3623,A86))</f>
        <v>331</v>
      </c>
      <c r="G86" s="37">
        <f>IF(COUNTIFS('📋 Транзакції'!$B$5:$B$3623,A86,'📋 Транзакції'!$C$5:$C$3623,"&gt;="&amp;EDATE(DATEVALUE(C86&amp;"-01"),0),'📋 Транзакції'!$C$5:$C$3623,"&lt;"&amp;EDATE(DATEVALUE(C86&amp;"-01"),1))&gt;0,1,0)</f>
        <v>1</v>
      </c>
      <c r="H86" s="37">
        <f>IF(COUNTIFS('📋 Транзакції'!$B$5:$B$3623,A86,'📋 Транзакції'!$C$5:$C$3623,"&gt;="&amp;EDATE(DATEVALUE(C86&amp;"-01"),1),'📋 Транзакції'!$C$5:$C$3623,"&lt;"&amp;EDATE(DATEVALUE(C86&amp;"-01"),2))&gt;0,1,0)</f>
        <v>1</v>
      </c>
      <c r="I86" s="37">
        <f>IF(COUNTIFS('📋 Транзакції'!$B$5:$B$3623,A86,'📋 Транзакції'!$C$5:$C$3623,"&gt;="&amp;EDATE(DATEVALUE(C86&amp;"-01"),2),'📋 Транзакції'!$C$5:$C$3623,"&lt;"&amp;EDATE(DATEVALUE(C86&amp;"-01"),3))&gt;0,1,0)</f>
        <v>1</v>
      </c>
      <c r="J86" s="37">
        <f>IF(COUNTIFS('📋 Транзакції'!$B$5:$B$3623,A86,'📋 Транзакції'!$C$5:$C$3623,"&gt;="&amp;EDATE(DATEVALUE(C86&amp;"-01"),3),'📋 Транзакції'!$C$5:$C$3623,"&lt;"&amp;EDATE(DATEVALUE(C86&amp;"-01"),4))&gt;0,1,0)</f>
        <v>0</v>
      </c>
      <c r="K86" s="37">
        <f>IF(COUNTIFS('📋 Транзакції'!$B$5:$B$3623,A86,'📋 Транзакції'!$C$5:$C$3623,"&gt;="&amp;EDATE(DATEVALUE(C86&amp;"-01"),4),'📋 Транзакції'!$C$5:$C$3623,"&lt;"&amp;EDATE(DATEVALUE(C86&amp;"-01"),5))&gt;0,1,0)</f>
        <v>0</v>
      </c>
      <c r="L86" s="37">
        <f>IF(COUNTIFS('📋 Транзакції'!$B$5:$B$3623,A86,'📋 Транзакції'!$C$5:$C$3623,"&gt;="&amp;EDATE(DATEVALUE(C86&amp;"-01"),5),'📋 Транзакції'!$C$5:$C$3623,"&lt;"&amp;EDATE(DATEVALUE(C86&amp;"-01"),6))&gt;0,1,0)</f>
        <v>0</v>
      </c>
      <c r="M86" s="37">
        <f>IF(COUNTIFS('📋 Транзакції'!$B$5:$B$3623,A86,'📋 Транзакції'!$C$5:$C$3623,"&gt;="&amp;EDATE(DATEVALUE(C86&amp;"-01"),6),'📋 Транзакції'!$C$5:$C$3623,"&lt;"&amp;EDATE(DATEVALUE(C86&amp;"-01"),7))&gt;0,1,0)</f>
        <v>0</v>
      </c>
      <c r="N86" s="37">
        <f>IF(COUNTIFS('📋 Транзакції'!$B$5:$B$3623,A86,'📋 Транзакції'!$C$5:$C$3623,"&gt;="&amp;EDATE(DATEVALUE(C86&amp;"-01"),7),'📋 Транзакції'!$C$5:$C$3623,"&lt;"&amp;EDATE(DATEVALUE(C86&amp;"-01"),8))&gt;0,1,0)</f>
        <v>0</v>
      </c>
      <c r="O86" s="37">
        <f>IF(COUNTIFS('📋 Транзакції'!$B$5:$B$3623,A86,'📋 Транзакції'!$C$5:$C$3623,"&gt;="&amp;EDATE(DATEVALUE(C86&amp;"-01"),8),'📋 Транзакції'!$C$5:$C$3623,"&lt;"&amp;EDATE(DATEVALUE(C86&amp;"-01"),9))&gt;0,1,0)</f>
        <v>0</v>
      </c>
      <c r="P86" s="37">
        <f>IF(COUNTIFS('📋 Транзакції'!$B$5:$B$3623,A86,'📋 Транзакції'!$C$5:$C$3623,"&gt;="&amp;EDATE(DATEVALUE(C86&amp;"-01"),9),'📋 Транзакції'!$C$5:$C$3623,"&lt;"&amp;EDATE(DATEVALUE(C86&amp;"-01"),10))&gt;0,1,0)</f>
        <v>0</v>
      </c>
      <c r="Q86" s="37">
        <f>IF(COUNTIFS('📋 Транзакції'!$B$5:$B$3623,A86,'📋 Транзакції'!$C$5:$C$3623,"&gt;="&amp;EDATE(DATEVALUE(C86&amp;"-01"),10),'📋 Транзакції'!$C$5:$C$3623,"&lt;"&amp;EDATE(DATEVALUE(C86&amp;"-01"),11))&gt;0,1,0)</f>
        <v>0</v>
      </c>
      <c r="R86" s="37">
        <f>IF(COUNTIFS('📋 Транзакції'!$B$5:$B$3623,A86,'📋 Транзакції'!$C$5:$C$3623,"&gt;="&amp;EDATE(DATEVALUE(C86&amp;"-01"),11),'📋 Транзакції'!$C$5:$C$3623,"&lt;"&amp;EDATE(DATEVALUE(C86&amp;"-01"),12))&gt;0,1,0)</f>
        <v>0</v>
      </c>
      <c r="S86" s="37">
        <f>SUMIFS('📋 Транзакції'!$F$5:$F$3623,'📋 Транзакції'!$B$5:$B$3623,A86,'📋 Транзакції'!$C$5:$C$3623,"&gt;="&amp;EDATE(DATEVALUE(C86&amp;"-01"),0),'📋 Транзакції'!$C$5:$C$3623,"&lt;"&amp;EDATE(DATEVALUE(C86&amp;"-01"),1))</f>
        <v>0</v>
      </c>
      <c r="T86" s="37">
        <f>SUMIFS('📋 Транзакції'!$F$5:$F$3623,'📋 Транзакції'!$B$5:$B$3623,A86,'📋 Транзакції'!$C$5:$C$3623,"&gt;="&amp;EDATE(DATEVALUE(C86&amp;"-01"),1),'📋 Транзакції'!$C$5:$C$3623,"&lt;"&amp;EDATE(DATEVALUE(C86&amp;"-01"),2))</f>
        <v>19.99</v>
      </c>
      <c r="U86" s="37">
        <f>SUMIFS('📋 Транзакції'!$F$5:$F$3623,'📋 Транзакції'!$B$5:$B$3623,A86,'📋 Транзакції'!$C$5:$C$3623,"&gt;="&amp;EDATE(DATEVALUE(C86&amp;"-01"),2),'📋 Транзакції'!$C$5:$C$3623,"&lt;"&amp;EDATE(DATEVALUE(C86&amp;"-01"),3))</f>
        <v>19.99</v>
      </c>
      <c r="V86" s="37">
        <f>SUMIFS('📋 Транзакції'!$F$5:$F$3623,'📋 Транзакції'!$B$5:$B$3623,A86,'📋 Транзакції'!$C$5:$C$3623,"&gt;="&amp;EDATE(DATEVALUE(C86&amp;"-01"),3),'📋 Транзакції'!$C$5:$C$3623,"&lt;"&amp;EDATE(DATEVALUE(C86&amp;"-01"),4))</f>
        <v>0</v>
      </c>
      <c r="W86" s="37">
        <f>SUMIFS('📋 Транзакції'!$F$5:$F$3623,'📋 Транзакції'!$B$5:$B$3623,A86,'📋 Транзакції'!$C$5:$C$3623,"&gt;="&amp;EDATE(DATEVALUE(C86&amp;"-01"),4),'📋 Транзакції'!$C$5:$C$3623,"&lt;"&amp;EDATE(DATEVALUE(C86&amp;"-01"),5))</f>
        <v>0</v>
      </c>
      <c r="X86" s="37">
        <f>SUMIFS('📋 Транзакції'!$F$5:$F$3623,'📋 Транзакції'!$B$5:$B$3623,A86,'📋 Транзакції'!$C$5:$C$3623,"&gt;="&amp;EDATE(DATEVALUE(C86&amp;"-01"),5),'📋 Транзакції'!$C$5:$C$3623,"&lt;"&amp;EDATE(DATEVALUE(C86&amp;"-01"),6))</f>
        <v>0</v>
      </c>
      <c r="Y86" s="37">
        <f>SUMIFS('📋 Транзакції'!$F$5:$F$3623,'📋 Транзакції'!$B$5:$B$3623,A86,'📋 Транзакції'!$C$5:$C$3623,"&gt;="&amp;EDATE(DATEVALUE(C86&amp;"-01"),6),'📋 Транзакції'!$C$5:$C$3623,"&lt;"&amp;EDATE(DATEVALUE(C86&amp;"-01"),7))</f>
        <v>0</v>
      </c>
      <c r="Z86" s="37">
        <f>SUMIFS('📋 Транзакції'!$F$5:$F$3623,'📋 Транзакції'!$B$5:$B$3623,A86,'📋 Транзакції'!$C$5:$C$3623,"&gt;="&amp;EDATE(DATEVALUE(C86&amp;"-01"),7),'📋 Транзакції'!$C$5:$C$3623,"&lt;"&amp;EDATE(DATEVALUE(C86&amp;"-01"),8))</f>
        <v>0</v>
      </c>
      <c r="AA86" s="37">
        <f>SUMIFS('📋 Транзакції'!$F$5:$F$3623,'📋 Транзакції'!$B$5:$B$3623,A86,'📋 Транзакції'!$C$5:$C$3623,"&gt;="&amp;EDATE(DATEVALUE(C86&amp;"-01"),8),'📋 Транзакції'!$C$5:$C$3623,"&lt;"&amp;EDATE(DATEVALUE(C86&amp;"-01"),9))</f>
        <v>0</v>
      </c>
      <c r="AB86" s="37">
        <f>SUMIFS('📋 Транзакції'!$F$5:$F$3623,'📋 Транзакції'!$B$5:$B$3623,A86,'📋 Транзакції'!$C$5:$C$3623,"&gt;="&amp;EDATE(DATEVALUE(C86&amp;"-01"),9),'📋 Транзакції'!$C$5:$C$3623,"&lt;"&amp;EDATE(DATEVALUE(C86&amp;"-01"),10))</f>
        <v>0</v>
      </c>
      <c r="AC86" s="37">
        <f>SUMIFS('📋 Транзакції'!$F$5:$F$3623,'📋 Транзакції'!$B$5:$B$3623,A86,'📋 Транзакції'!$C$5:$C$3623,"&gt;="&amp;EDATE(DATEVALUE(C86&amp;"-01"),10),'📋 Транзакції'!$C$5:$C$3623,"&lt;"&amp;EDATE(DATEVALUE(C86&amp;"-01"),11))</f>
        <v>0</v>
      </c>
      <c r="AD86" s="37">
        <f>SUMIFS('📋 Транзакції'!$F$5:$F$3623,'📋 Транзакції'!$B$5:$B$3623,A86,'📋 Транзакції'!$C$5:$C$3623,"&gt;="&amp;EDATE(DATEVALUE(C86&amp;"-01"),11),'📋 Транзакції'!$C$5:$C$3623,"&lt;"&amp;EDATE(DATEVALUE(C86&amp;"-01"),12))</f>
        <v>0</v>
      </c>
    </row>
    <row r="87" ht="15.75" customHeight="1">
      <c r="A87" s="33" t="str">
        <f>'📋 Реєстрації'!A87:A688</f>
        <v>U0110</v>
      </c>
      <c r="B87" s="34">
        <f t="array" ref="B87">INDEX('📋 Транзакції'!$C$5:$C$3623,MATCH(A87,'📋 Транзакції'!$B$5:$B$3623,0))</f>
        <v>45382</v>
      </c>
      <c r="C87" s="35" t="str">
        <f t="shared" si="1"/>
        <v>2024-03</v>
      </c>
      <c r="D87" s="36">
        <f>COUNTIF('📋 Транзакції'!$B$5:$B$3623,A87)</f>
        <v>13</v>
      </c>
      <c r="E87" s="36">
        <f>SUMIF('📋 Транзакції'!$B$5:$B$3623,A87,'📋 Транзакції'!$F$5:$F$3623)</f>
        <v>239.88</v>
      </c>
      <c r="F87" s="35">
        <f>INT($A$1-MAXIFS('📋 Транзакції'!$C$5:$C$3623,'📋 Транзакції'!$B$5:$B$3623,A87))</f>
        <v>28</v>
      </c>
      <c r="G87" s="37">
        <f>IF(COUNTIFS('📋 Транзакції'!$B$5:$B$3623,A87,'📋 Транзакції'!$C$5:$C$3623,"&gt;="&amp;EDATE(DATEVALUE(C87&amp;"-01"),0),'📋 Транзакції'!$C$5:$C$3623,"&lt;"&amp;EDATE(DATEVALUE(C87&amp;"-01"),1))&gt;0,1,0)</f>
        <v>1</v>
      </c>
      <c r="H87" s="37">
        <f>IF(COUNTIFS('📋 Транзакції'!$B$5:$B$3623,A87,'📋 Транзакції'!$C$5:$C$3623,"&gt;="&amp;EDATE(DATEVALUE(C87&amp;"-01"),1),'📋 Транзакції'!$C$5:$C$3623,"&lt;"&amp;EDATE(DATEVALUE(C87&amp;"-01"),2))&gt;0,1,0)</f>
        <v>1</v>
      </c>
      <c r="I87" s="37">
        <f>IF(COUNTIFS('📋 Транзакції'!$B$5:$B$3623,A87,'📋 Транзакції'!$C$5:$C$3623,"&gt;="&amp;EDATE(DATEVALUE(C87&amp;"-01"),2),'📋 Транзакції'!$C$5:$C$3623,"&lt;"&amp;EDATE(DATEVALUE(C87&amp;"-01"),3))&gt;0,1,0)</f>
        <v>1</v>
      </c>
      <c r="J87" s="37">
        <f>IF(COUNTIFS('📋 Транзакції'!$B$5:$B$3623,A87,'📋 Транзакції'!$C$5:$C$3623,"&gt;="&amp;EDATE(DATEVALUE(C87&amp;"-01"),3),'📋 Транзакції'!$C$5:$C$3623,"&lt;"&amp;EDATE(DATEVALUE(C87&amp;"-01"),4))&gt;0,1,0)</f>
        <v>1</v>
      </c>
      <c r="K87" s="37">
        <f>IF(COUNTIFS('📋 Транзакції'!$B$5:$B$3623,A87,'📋 Транзакції'!$C$5:$C$3623,"&gt;="&amp;EDATE(DATEVALUE(C87&amp;"-01"),4),'📋 Транзакції'!$C$5:$C$3623,"&lt;"&amp;EDATE(DATEVALUE(C87&amp;"-01"),5))&gt;0,1,0)</f>
        <v>1</v>
      </c>
      <c r="L87" s="37">
        <f>IF(COUNTIFS('📋 Транзакції'!$B$5:$B$3623,A87,'📋 Транзакції'!$C$5:$C$3623,"&gt;="&amp;EDATE(DATEVALUE(C87&amp;"-01"),5),'📋 Транзакції'!$C$5:$C$3623,"&lt;"&amp;EDATE(DATEVALUE(C87&amp;"-01"),6))&gt;0,1,0)</f>
        <v>1</v>
      </c>
      <c r="M87" s="37">
        <f>IF(COUNTIFS('📋 Транзакції'!$B$5:$B$3623,A87,'📋 Транзакції'!$C$5:$C$3623,"&gt;="&amp;EDATE(DATEVALUE(C87&amp;"-01"),6),'📋 Транзакції'!$C$5:$C$3623,"&lt;"&amp;EDATE(DATEVALUE(C87&amp;"-01"),7))&gt;0,1,0)</f>
        <v>1</v>
      </c>
      <c r="N87" s="37">
        <f>IF(COUNTIFS('📋 Транзакції'!$B$5:$B$3623,A87,'📋 Транзакції'!$C$5:$C$3623,"&gt;="&amp;EDATE(DATEVALUE(C87&amp;"-01"),7),'📋 Транзакції'!$C$5:$C$3623,"&lt;"&amp;EDATE(DATEVALUE(C87&amp;"-01"),8))&gt;0,1,0)</f>
        <v>1</v>
      </c>
      <c r="O87" s="37">
        <f>IF(COUNTIFS('📋 Транзакції'!$B$5:$B$3623,A87,'📋 Транзакції'!$C$5:$C$3623,"&gt;="&amp;EDATE(DATEVALUE(C87&amp;"-01"),8),'📋 Транзакції'!$C$5:$C$3623,"&lt;"&amp;EDATE(DATEVALUE(C87&amp;"-01"),9))&gt;0,1,0)</f>
        <v>1</v>
      </c>
      <c r="P87" s="37">
        <f>IF(COUNTIFS('📋 Транзакції'!$B$5:$B$3623,A87,'📋 Транзакції'!$C$5:$C$3623,"&gt;="&amp;EDATE(DATEVALUE(C87&amp;"-01"),9),'📋 Транзакції'!$C$5:$C$3623,"&lt;"&amp;EDATE(DATEVALUE(C87&amp;"-01"),10))&gt;0,1,0)</f>
        <v>1</v>
      </c>
      <c r="Q87" s="37">
        <f>IF(COUNTIFS('📋 Транзакції'!$B$5:$B$3623,A87,'📋 Транзакції'!$C$5:$C$3623,"&gt;="&amp;EDATE(DATEVALUE(C87&amp;"-01"),10),'📋 Транзакції'!$C$5:$C$3623,"&lt;"&amp;EDATE(DATEVALUE(C87&amp;"-01"),11))&gt;0,1,0)</f>
        <v>1</v>
      </c>
      <c r="R87" s="37">
        <f>IF(COUNTIFS('📋 Транзакції'!$B$5:$B$3623,A87,'📋 Транзакції'!$C$5:$C$3623,"&gt;="&amp;EDATE(DATEVALUE(C87&amp;"-01"),11),'📋 Транзакції'!$C$5:$C$3623,"&lt;"&amp;EDATE(DATEVALUE(C87&amp;"-01"),12))&gt;0,1,0)</f>
        <v>1</v>
      </c>
      <c r="S87" s="37">
        <f>SUMIFS('📋 Транзакції'!$F$5:$F$3623,'📋 Транзакції'!$B$5:$B$3623,A87,'📋 Транзакції'!$C$5:$C$3623,"&gt;="&amp;EDATE(DATEVALUE(C87&amp;"-01"),0),'📋 Транзакції'!$C$5:$C$3623,"&lt;"&amp;EDATE(DATEVALUE(C87&amp;"-01"),1))</f>
        <v>0</v>
      </c>
      <c r="T87" s="37">
        <f>SUMIFS('📋 Транзакції'!$F$5:$F$3623,'📋 Транзакції'!$B$5:$B$3623,A87,'📋 Транзакції'!$C$5:$C$3623,"&gt;="&amp;EDATE(DATEVALUE(C87&amp;"-01"),1),'📋 Транзакції'!$C$5:$C$3623,"&lt;"&amp;EDATE(DATEVALUE(C87&amp;"-01"),2))</f>
        <v>19.99</v>
      </c>
      <c r="U87" s="37">
        <f>SUMIFS('📋 Транзакції'!$F$5:$F$3623,'📋 Транзакції'!$B$5:$B$3623,A87,'📋 Транзакції'!$C$5:$C$3623,"&gt;="&amp;EDATE(DATEVALUE(C87&amp;"-01"),2),'📋 Транзакції'!$C$5:$C$3623,"&lt;"&amp;EDATE(DATEVALUE(C87&amp;"-01"),3))</f>
        <v>19.99</v>
      </c>
      <c r="V87" s="37">
        <f>SUMIFS('📋 Транзакції'!$F$5:$F$3623,'📋 Транзакції'!$B$5:$B$3623,A87,'📋 Транзакції'!$C$5:$C$3623,"&gt;="&amp;EDATE(DATEVALUE(C87&amp;"-01"),3),'📋 Транзакції'!$C$5:$C$3623,"&lt;"&amp;EDATE(DATEVALUE(C87&amp;"-01"),4))</f>
        <v>19.99</v>
      </c>
      <c r="W87" s="37">
        <f>SUMIFS('📋 Транзакції'!$F$5:$F$3623,'📋 Транзакції'!$B$5:$B$3623,A87,'📋 Транзакції'!$C$5:$C$3623,"&gt;="&amp;EDATE(DATEVALUE(C87&amp;"-01"),4),'📋 Транзакції'!$C$5:$C$3623,"&lt;"&amp;EDATE(DATEVALUE(C87&amp;"-01"),5))</f>
        <v>19.99</v>
      </c>
      <c r="X87" s="37">
        <f>SUMIFS('📋 Транзакції'!$F$5:$F$3623,'📋 Транзакції'!$B$5:$B$3623,A87,'📋 Транзакції'!$C$5:$C$3623,"&gt;="&amp;EDATE(DATEVALUE(C87&amp;"-01"),5),'📋 Транзакції'!$C$5:$C$3623,"&lt;"&amp;EDATE(DATEVALUE(C87&amp;"-01"),6))</f>
        <v>19.99</v>
      </c>
      <c r="Y87" s="37">
        <f>SUMIFS('📋 Транзакції'!$F$5:$F$3623,'📋 Транзакції'!$B$5:$B$3623,A87,'📋 Транзакції'!$C$5:$C$3623,"&gt;="&amp;EDATE(DATEVALUE(C87&amp;"-01"),6),'📋 Транзакції'!$C$5:$C$3623,"&lt;"&amp;EDATE(DATEVALUE(C87&amp;"-01"),7))</f>
        <v>19.99</v>
      </c>
      <c r="Z87" s="37">
        <f>SUMIFS('📋 Транзакції'!$F$5:$F$3623,'📋 Транзакції'!$B$5:$B$3623,A87,'📋 Транзакції'!$C$5:$C$3623,"&gt;="&amp;EDATE(DATEVALUE(C87&amp;"-01"),7),'📋 Транзакції'!$C$5:$C$3623,"&lt;"&amp;EDATE(DATEVALUE(C87&amp;"-01"),8))</f>
        <v>19.99</v>
      </c>
      <c r="AA87" s="37">
        <f>SUMIFS('📋 Транзакції'!$F$5:$F$3623,'📋 Транзакції'!$B$5:$B$3623,A87,'📋 Транзакції'!$C$5:$C$3623,"&gt;="&amp;EDATE(DATEVALUE(C87&amp;"-01"),8),'📋 Транзакції'!$C$5:$C$3623,"&lt;"&amp;EDATE(DATEVALUE(C87&amp;"-01"),9))</f>
        <v>19.99</v>
      </c>
      <c r="AB87" s="37">
        <f>SUMIFS('📋 Транзакції'!$F$5:$F$3623,'📋 Транзакції'!$B$5:$B$3623,A87,'📋 Транзакції'!$C$5:$C$3623,"&gt;="&amp;EDATE(DATEVALUE(C87&amp;"-01"),9),'📋 Транзакції'!$C$5:$C$3623,"&lt;"&amp;EDATE(DATEVALUE(C87&amp;"-01"),10))</f>
        <v>19.99</v>
      </c>
      <c r="AC87" s="37">
        <f>SUMIFS('📋 Транзакції'!$F$5:$F$3623,'📋 Транзакції'!$B$5:$B$3623,A87,'📋 Транзакції'!$C$5:$C$3623,"&gt;="&amp;EDATE(DATEVALUE(C87&amp;"-01"),10),'📋 Транзакції'!$C$5:$C$3623,"&lt;"&amp;EDATE(DATEVALUE(C87&amp;"-01"),11))</f>
        <v>19.99</v>
      </c>
      <c r="AD87" s="37">
        <f>SUMIFS('📋 Транзакції'!$F$5:$F$3623,'📋 Транзакції'!$B$5:$B$3623,A87,'📋 Транзакції'!$C$5:$C$3623,"&gt;="&amp;EDATE(DATEVALUE(C87&amp;"-01"),11),'📋 Транзакції'!$C$5:$C$3623,"&lt;"&amp;EDATE(DATEVALUE(C87&amp;"-01"),12))</f>
        <v>19.99</v>
      </c>
    </row>
    <row r="88" ht="15.75" customHeight="1">
      <c r="A88" s="33" t="str">
        <f>'📋 Реєстрації'!A88:A689</f>
        <v>U0423</v>
      </c>
      <c r="B88" s="34">
        <f t="array" ref="B88">INDEX('📋 Транзакції'!$C$5:$C$3623,MATCH(A88,'📋 Транзакції'!$B$5:$B$3623,0))</f>
        <v>45382</v>
      </c>
      <c r="C88" s="35" t="str">
        <f t="shared" si="1"/>
        <v>2024-03</v>
      </c>
      <c r="D88" s="36">
        <f>COUNTIF('📋 Транзакції'!$B$5:$B$3623,A88)</f>
        <v>2</v>
      </c>
      <c r="E88" s="36">
        <f>SUMIF('📋 Транзакції'!$B$5:$B$3623,A88,'📋 Транзакції'!$F$5:$F$3623)</f>
        <v>19.99</v>
      </c>
      <c r="F88" s="35">
        <f>INT($A$1-MAXIFS('📋 Транзакції'!$C$5:$C$3623,'📋 Транзакції'!$B$5:$B$3623,A88))</f>
        <v>358</v>
      </c>
      <c r="G88" s="37">
        <f>IF(COUNTIFS('📋 Транзакції'!$B$5:$B$3623,A88,'📋 Транзакції'!$C$5:$C$3623,"&gt;="&amp;EDATE(DATEVALUE(C88&amp;"-01"),0),'📋 Транзакції'!$C$5:$C$3623,"&lt;"&amp;EDATE(DATEVALUE(C88&amp;"-01"),1))&gt;0,1,0)</f>
        <v>1</v>
      </c>
      <c r="H88" s="37">
        <f>IF(COUNTIFS('📋 Транзакції'!$B$5:$B$3623,A88,'📋 Транзакції'!$C$5:$C$3623,"&gt;="&amp;EDATE(DATEVALUE(C88&amp;"-01"),1),'📋 Транзакції'!$C$5:$C$3623,"&lt;"&amp;EDATE(DATEVALUE(C88&amp;"-01"),2))&gt;0,1,0)</f>
        <v>1</v>
      </c>
      <c r="I88" s="37">
        <f>IF(COUNTIFS('📋 Транзакції'!$B$5:$B$3623,A88,'📋 Транзакції'!$C$5:$C$3623,"&gt;="&amp;EDATE(DATEVALUE(C88&amp;"-01"),2),'📋 Транзакції'!$C$5:$C$3623,"&lt;"&amp;EDATE(DATEVALUE(C88&amp;"-01"),3))&gt;0,1,0)</f>
        <v>0</v>
      </c>
      <c r="J88" s="37">
        <f>IF(COUNTIFS('📋 Транзакції'!$B$5:$B$3623,A88,'📋 Транзакції'!$C$5:$C$3623,"&gt;="&amp;EDATE(DATEVALUE(C88&amp;"-01"),3),'📋 Транзакції'!$C$5:$C$3623,"&lt;"&amp;EDATE(DATEVALUE(C88&amp;"-01"),4))&gt;0,1,0)</f>
        <v>0</v>
      </c>
      <c r="K88" s="37">
        <f>IF(COUNTIFS('📋 Транзакції'!$B$5:$B$3623,A88,'📋 Транзакції'!$C$5:$C$3623,"&gt;="&amp;EDATE(DATEVALUE(C88&amp;"-01"),4),'📋 Транзакції'!$C$5:$C$3623,"&lt;"&amp;EDATE(DATEVALUE(C88&amp;"-01"),5))&gt;0,1,0)</f>
        <v>0</v>
      </c>
      <c r="L88" s="37">
        <f>IF(COUNTIFS('📋 Транзакції'!$B$5:$B$3623,A88,'📋 Транзакції'!$C$5:$C$3623,"&gt;="&amp;EDATE(DATEVALUE(C88&amp;"-01"),5),'📋 Транзакції'!$C$5:$C$3623,"&lt;"&amp;EDATE(DATEVALUE(C88&amp;"-01"),6))&gt;0,1,0)</f>
        <v>0</v>
      </c>
      <c r="M88" s="37">
        <f>IF(COUNTIFS('📋 Транзакції'!$B$5:$B$3623,A88,'📋 Транзакції'!$C$5:$C$3623,"&gt;="&amp;EDATE(DATEVALUE(C88&amp;"-01"),6),'📋 Транзакції'!$C$5:$C$3623,"&lt;"&amp;EDATE(DATEVALUE(C88&amp;"-01"),7))&gt;0,1,0)</f>
        <v>0</v>
      </c>
      <c r="N88" s="37">
        <f>IF(COUNTIFS('📋 Транзакції'!$B$5:$B$3623,A88,'📋 Транзакції'!$C$5:$C$3623,"&gt;="&amp;EDATE(DATEVALUE(C88&amp;"-01"),7),'📋 Транзакції'!$C$5:$C$3623,"&lt;"&amp;EDATE(DATEVALUE(C88&amp;"-01"),8))&gt;0,1,0)</f>
        <v>0</v>
      </c>
      <c r="O88" s="37">
        <f>IF(COUNTIFS('📋 Транзакції'!$B$5:$B$3623,A88,'📋 Транзакції'!$C$5:$C$3623,"&gt;="&amp;EDATE(DATEVALUE(C88&amp;"-01"),8),'📋 Транзакції'!$C$5:$C$3623,"&lt;"&amp;EDATE(DATEVALUE(C88&amp;"-01"),9))&gt;0,1,0)</f>
        <v>0</v>
      </c>
      <c r="P88" s="37">
        <f>IF(COUNTIFS('📋 Транзакції'!$B$5:$B$3623,A88,'📋 Транзакції'!$C$5:$C$3623,"&gt;="&amp;EDATE(DATEVALUE(C88&amp;"-01"),9),'📋 Транзакції'!$C$5:$C$3623,"&lt;"&amp;EDATE(DATEVALUE(C88&amp;"-01"),10))&gt;0,1,0)</f>
        <v>0</v>
      </c>
      <c r="Q88" s="37">
        <f>IF(COUNTIFS('📋 Транзакції'!$B$5:$B$3623,A88,'📋 Транзакції'!$C$5:$C$3623,"&gt;="&amp;EDATE(DATEVALUE(C88&amp;"-01"),10),'📋 Транзакції'!$C$5:$C$3623,"&lt;"&amp;EDATE(DATEVALUE(C88&amp;"-01"),11))&gt;0,1,0)</f>
        <v>0</v>
      </c>
      <c r="R88" s="37">
        <f>IF(COUNTIFS('📋 Транзакції'!$B$5:$B$3623,A88,'📋 Транзакції'!$C$5:$C$3623,"&gt;="&amp;EDATE(DATEVALUE(C88&amp;"-01"),11),'📋 Транзакції'!$C$5:$C$3623,"&lt;"&amp;EDATE(DATEVALUE(C88&amp;"-01"),12))&gt;0,1,0)</f>
        <v>0</v>
      </c>
      <c r="S88" s="37">
        <f>SUMIFS('📋 Транзакції'!$F$5:$F$3623,'📋 Транзакції'!$B$5:$B$3623,A88,'📋 Транзакції'!$C$5:$C$3623,"&gt;="&amp;EDATE(DATEVALUE(C88&amp;"-01"),0),'📋 Транзакції'!$C$5:$C$3623,"&lt;"&amp;EDATE(DATEVALUE(C88&amp;"-01"),1))</f>
        <v>0</v>
      </c>
      <c r="T88" s="37">
        <f>SUMIFS('📋 Транзакції'!$F$5:$F$3623,'📋 Транзакції'!$B$5:$B$3623,A88,'📋 Транзакції'!$C$5:$C$3623,"&gt;="&amp;EDATE(DATEVALUE(C88&amp;"-01"),1),'📋 Транзакції'!$C$5:$C$3623,"&lt;"&amp;EDATE(DATEVALUE(C88&amp;"-01"),2))</f>
        <v>19.99</v>
      </c>
      <c r="U88" s="37">
        <f>SUMIFS('📋 Транзакції'!$F$5:$F$3623,'📋 Транзакції'!$B$5:$B$3623,A88,'📋 Транзакції'!$C$5:$C$3623,"&gt;="&amp;EDATE(DATEVALUE(C88&amp;"-01"),2),'📋 Транзакції'!$C$5:$C$3623,"&lt;"&amp;EDATE(DATEVALUE(C88&amp;"-01"),3))</f>
        <v>0</v>
      </c>
      <c r="V88" s="37">
        <f>SUMIFS('📋 Транзакції'!$F$5:$F$3623,'📋 Транзакції'!$B$5:$B$3623,A88,'📋 Транзакції'!$C$5:$C$3623,"&gt;="&amp;EDATE(DATEVALUE(C88&amp;"-01"),3),'📋 Транзакції'!$C$5:$C$3623,"&lt;"&amp;EDATE(DATEVALUE(C88&amp;"-01"),4))</f>
        <v>0</v>
      </c>
      <c r="W88" s="37">
        <f>SUMIFS('📋 Транзакції'!$F$5:$F$3623,'📋 Транзакції'!$B$5:$B$3623,A88,'📋 Транзакції'!$C$5:$C$3623,"&gt;="&amp;EDATE(DATEVALUE(C88&amp;"-01"),4),'📋 Транзакції'!$C$5:$C$3623,"&lt;"&amp;EDATE(DATEVALUE(C88&amp;"-01"),5))</f>
        <v>0</v>
      </c>
      <c r="X88" s="37">
        <f>SUMIFS('📋 Транзакції'!$F$5:$F$3623,'📋 Транзакції'!$B$5:$B$3623,A88,'📋 Транзакції'!$C$5:$C$3623,"&gt;="&amp;EDATE(DATEVALUE(C88&amp;"-01"),5),'📋 Транзакції'!$C$5:$C$3623,"&lt;"&amp;EDATE(DATEVALUE(C88&amp;"-01"),6))</f>
        <v>0</v>
      </c>
      <c r="Y88" s="37">
        <f>SUMIFS('📋 Транзакції'!$F$5:$F$3623,'📋 Транзакції'!$B$5:$B$3623,A88,'📋 Транзакції'!$C$5:$C$3623,"&gt;="&amp;EDATE(DATEVALUE(C88&amp;"-01"),6),'📋 Транзакції'!$C$5:$C$3623,"&lt;"&amp;EDATE(DATEVALUE(C88&amp;"-01"),7))</f>
        <v>0</v>
      </c>
      <c r="Z88" s="37">
        <f>SUMIFS('📋 Транзакції'!$F$5:$F$3623,'📋 Транзакції'!$B$5:$B$3623,A88,'📋 Транзакції'!$C$5:$C$3623,"&gt;="&amp;EDATE(DATEVALUE(C88&amp;"-01"),7),'📋 Транзакції'!$C$5:$C$3623,"&lt;"&amp;EDATE(DATEVALUE(C88&amp;"-01"),8))</f>
        <v>0</v>
      </c>
      <c r="AA88" s="37">
        <f>SUMIFS('📋 Транзакції'!$F$5:$F$3623,'📋 Транзакції'!$B$5:$B$3623,A88,'📋 Транзакції'!$C$5:$C$3623,"&gt;="&amp;EDATE(DATEVALUE(C88&amp;"-01"),8),'📋 Транзакції'!$C$5:$C$3623,"&lt;"&amp;EDATE(DATEVALUE(C88&amp;"-01"),9))</f>
        <v>0</v>
      </c>
      <c r="AB88" s="37">
        <f>SUMIFS('📋 Транзакції'!$F$5:$F$3623,'📋 Транзакції'!$B$5:$B$3623,A88,'📋 Транзакції'!$C$5:$C$3623,"&gt;="&amp;EDATE(DATEVALUE(C88&amp;"-01"),9),'📋 Транзакції'!$C$5:$C$3623,"&lt;"&amp;EDATE(DATEVALUE(C88&amp;"-01"),10))</f>
        <v>0</v>
      </c>
      <c r="AC88" s="37">
        <f>SUMIFS('📋 Транзакції'!$F$5:$F$3623,'📋 Транзакції'!$B$5:$B$3623,A88,'📋 Транзакції'!$C$5:$C$3623,"&gt;="&amp;EDATE(DATEVALUE(C88&amp;"-01"),10),'📋 Транзакції'!$C$5:$C$3623,"&lt;"&amp;EDATE(DATEVALUE(C88&amp;"-01"),11))</f>
        <v>0</v>
      </c>
      <c r="AD88" s="37">
        <f>SUMIFS('📋 Транзакції'!$F$5:$F$3623,'📋 Транзакції'!$B$5:$B$3623,A88,'📋 Транзакції'!$C$5:$C$3623,"&gt;="&amp;EDATE(DATEVALUE(C88&amp;"-01"),11),'📋 Транзакції'!$C$5:$C$3623,"&lt;"&amp;EDATE(DATEVALUE(C88&amp;"-01"),12))</f>
        <v>0</v>
      </c>
    </row>
    <row r="89" ht="15.75" customHeight="1">
      <c r="A89" s="33" t="str">
        <f>'📋 Реєстрації'!A89:A690</f>
        <v>U0540</v>
      </c>
      <c r="B89" s="34">
        <f t="array" ref="B89">INDEX('📋 Транзакції'!$C$5:$C$3623,MATCH(A89,'📋 Транзакції'!$B$5:$B$3623,0))</f>
        <v>45385</v>
      </c>
      <c r="C89" s="35" t="str">
        <f t="shared" si="1"/>
        <v>2024-04</v>
      </c>
      <c r="D89" s="36">
        <f>COUNTIF('📋 Транзакції'!$B$5:$B$3623,A89)</f>
        <v>13</v>
      </c>
      <c r="E89" s="36">
        <f>SUMIF('📋 Транзакції'!$B$5:$B$3623,A89,'📋 Транзакції'!$F$5:$F$3623)</f>
        <v>239.88</v>
      </c>
      <c r="F89" s="35">
        <f>INT($A$1-MAXIFS('📋 Транзакції'!$C$5:$C$3623,'📋 Транзакції'!$B$5:$B$3623,A89))</f>
        <v>25</v>
      </c>
      <c r="G89" s="37">
        <f>IF(COUNTIFS('📋 Транзакції'!$B$5:$B$3623,A89,'📋 Транзакції'!$C$5:$C$3623,"&gt;="&amp;EDATE(DATEVALUE(C89&amp;"-01"),0),'📋 Транзакції'!$C$5:$C$3623,"&lt;"&amp;EDATE(DATEVALUE(C89&amp;"-01"),1))&gt;0,1,0)</f>
        <v>1</v>
      </c>
      <c r="H89" s="37">
        <f>IF(COUNTIFS('📋 Транзакції'!$B$5:$B$3623,A89,'📋 Транзакції'!$C$5:$C$3623,"&gt;="&amp;EDATE(DATEVALUE(C89&amp;"-01"),1),'📋 Транзакції'!$C$5:$C$3623,"&lt;"&amp;EDATE(DATEVALUE(C89&amp;"-01"),2))&gt;0,1,0)</f>
        <v>1</v>
      </c>
      <c r="I89" s="37">
        <f>IF(COUNTIFS('📋 Транзакції'!$B$5:$B$3623,A89,'📋 Транзакції'!$C$5:$C$3623,"&gt;="&amp;EDATE(DATEVALUE(C89&amp;"-01"),2),'📋 Транзакції'!$C$5:$C$3623,"&lt;"&amp;EDATE(DATEVALUE(C89&amp;"-01"),3))&gt;0,1,0)</f>
        <v>1</v>
      </c>
      <c r="J89" s="37">
        <f>IF(COUNTIFS('📋 Транзакції'!$B$5:$B$3623,A89,'📋 Транзакції'!$C$5:$C$3623,"&gt;="&amp;EDATE(DATEVALUE(C89&amp;"-01"),3),'📋 Транзакції'!$C$5:$C$3623,"&lt;"&amp;EDATE(DATEVALUE(C89&amp;"-01"),4))&gt;0,1,0)</f>
        <v>1</v>
      </c>
      <c r="K89" s="37">
        <f>IF(COUNTIFS('📋 Транзакції'!$B$5:$B$3623,A89,'📋 Транзакції'!$C$5:$C$3623,"&gt;="&amp;EDATE(DATEVALUE(C89&amp;"-01"),4),'📋 Транзакції'!$C$5:$C$3623,"&lt;"&amp;EDATE(DATEVALUE(C89&amp;"-01"),5))&gt;0,1,0)</f>
        <v>1</v>
      </c>
      <c r="L89" s="37">
        <f>IF(COUNTIFS('📋 Транзакції'!$B$5:$B$3623,A89,'📋 Транзакції'!$C$5:$C$3623,"&gt;="&amp;EDATE(DATEVALUE(C89&amp;"-01"),5),'📋 Транзакції'!$C$5:$C$3623,"&lt;"&amp;EDATE(DATEVALUE(C89&amp;"-01"),6))&gt;0,1,0)</f>
        <v>1</v>
      </c>
      <c r="M89" s="37">
        <f>IF(COUNTIFS('📋 Транзакції'!$B$5:$B$3623,A89,'📋 Транзакції'!$C$5:$C$3623,"&gt;="&amp;EDATE(DATEVALUE(C89&amp;"-01"),6),'📋 Транзакції'!$C$5:$C$3623,"&lt;"&amp;EDATE(DATEVALUE(C89&amp;"-01"),7))&gt;0,1,0)</f>
        <v>1</v>
      </c>
      <c r="N89" s="37">
        <f>IF(COUNTIFS('📋 Транзакції'!$B$5:$B$3623,A89,'📋 Транзакції'!$C$5:$C$3623,"&gt;="&amp;EDATE(DATEVALUE(C89&amp;"-01"),7),'📋 Транзакції'!$C$5:$C$3623,"&lt;"&amp;EDATE(DATEVALUE(C89&amp;"-01"),8))&gt;0,1,0)</f>
        <v>1</v>
      </c>
      <c r="O89" s="37">
        <f>IF(COUNTIFS('📋 Транзакції'!$B$5:$B$3623,A89,'📋 Транзакції'!$C$5:$C$3623,"&gt;="&amp;EDATE(DATEVALUE(C89&amp;"-01"),8),'📋 Транзакції'!$C$5:$C$3623,"&lt;"&amp;EDATE(DATEVALUE(C89&amp;"-01"),9))&gt;0,1,0)</f>
        <v>1</v>
      </c>
      <c r="P89" s="37">
        <f>IF(COUNTIFS('📋 Транзакції'!$B$5:$B$3623,A89,'📋 Транзакції'!$C$5:$C$3623,"&gt;="&amp;EDATE(DATEVALUE(C89&amp;"-01"),9),'📋 Транзакції'!$C$5:$C$3623,"&lt;"&amp;EDATE(DATEVALUE(C89&amp;"-01"),10))&gt;0,1,0)</f>
        <v>1</v>
      </c>
      <c r="Q89" s="37">
        <f>IF(COUNTIFS('📋 Транзакції'!$B$5:$B$3623,A89,'📋 Транзакції'!$C$5:$C$3623,"&gt;="&amp;EDATE(DATEVALUE(C89&amp;"-01"),10),'📋 Транзакції'!$C$5:$C$3623,"&lt;"&amp;EDATE(DATEVALUE(C89&amp;"-01"),11))&gt;0,1,0)</f>
        <v>1</v>
      </c>
      <c r="R89" s="37">
        <f>IF(COUNTIFS('📋 Транзакції'!$B$5:$B$3623,A89,'📋 Транзакції'!$C$5:$C$3623,"&gt;="&amp;EDATE(DATEVALUE(C89&amp;"-01"),11),'📋 Транзакції'!$C$5:$C$3623,"&lt;"&amp;EDATE(DATEVALUE(C89&amp;"-01"),12))&gt;0,1,0)</f>
        <v>1</v>
      </c>
      <c r="S89" s="37">
        <f>SUMIFS('📋 Транзакції'!$F$5:$F$3623,'📋 Транзакції'!$B$5:$B$3623,A89,'📋 Транзакції'!$C$5:$C$3623,"&gt;="&amp;EDATE(DATEVALUE(C89&amp;"-01"),0),'📋 Транзакції'!$C$5:$C$3623,"&lt;"&amp;EDATE(DATEVALUE(C89&amp;"-01"),1))</f>
        <v>19.99</v>
      </c>
      <c r="T89" s="37">
        <f>SUMIFS('📋 Транзакції'!$F$5:$F$3623,'📋 Транзакції'!$B$5:$B$3623,A89,'📋 Транзакції'!$C$5:$C$3623,"&gt;="&amp;EDATE(DATEVALUE(C89&amp;"-01"),1),'📋 Транзакції'!$C$5:$C$3623,"&lt;"&amp;EDATE(DATEVALUE(C89&amp;"-01"),2))</f>
        <v>19.99</v>
      </c>
      <c r="U89" s="37">
        <f>SUMIFS('📋 Транзакції'!$F$5:$F$3623,'📋 Транзакції'!$B$5:$B$3623,A89,'📋 Транзакції'!$C$5:$C$3623,"&gt;="&amp;EDATE(DATEVALUE(C89&amp;"-01"),2),'📋 Транзакції'!$C$5:$C$3623,"&lt;"&amp;EDATE(DATEVALUE(C89&amp;"-01"),3))</f>
        <v>19.99</v>
      </c>
      <c r="V89" s="37">
        <f>SUMIFS('📋 Транзакції'!$F$5:$F$3623,'📋 Транзакції'!$B$5:$B$3623,A89,'📋 Транзакції'!$C$5:$C$3623,"&gt;="&amp;EDATE(DATEVALUE(C89&amp;"-01"),3),'📋 Транзакції'!$C$5:$C$3623,"&lt;"&amp;EDATE(DATEVALUE(C89&amp;"-01"),4))</f>
        <v>19.99</v>
      </c>
      <c r="W89" s="37">
        <f>SUMIFS('📋 Транзакції'!$F$5:$F$3623,'📋 Транзакції'!$B$5:$B$3623,A89,'📋 Транзакції'!$C$5:$C$3623,"&gt;="&amp;EDATE(DATEVALUE(C89&amp;"-01"),4),'📋 Транзакції'!$C$5:$C$3623,"&lt;"&amp;EDATE(DATEVALUE(C89&amp;"-01"),5))</f>
        <v>19.99</v>
      </c>
      <c r="X89" s="37">
        <f>SUMIFS('📋 Транзакції'!$F$5:$F$3623,'📋 Транзакції'!$B$5:$B$3623,A89,'📋 Транзакції'!$C$5:$C$3623,"&gt;="&amp;EDATE(DATEVALUE(C89&amp;"-01"),5),'📋 Транзакції'!$C$5:$C$3623,"&lt;"&amp;EDATE(DATEVALUE(C89&amp;"-01"),6))</f>
        <v>19.99</v>
      </c>
      <c r="Y89" s="37">
        <f>SUMIFS('📋 Транзакції'!$F$5:$F$3623,'📋 Транзакції'!$B$5:$B$3623,A89,'📋 Транзакції'!$C$5:$C$3623,"&gt;="&amp;EDATE(DATEVALUE(C89&amp;"-01"),6),'📋 Транзакції'!$C$5:$C$3623,"&lt;"&amp;EDATE(DATEVALUE(C89&amp;"-01"),7))</f>
        <v>19.99</v>
      </c>
      <c r="Z89" s="37">
        <f>SUMIFS('📋 Транзакції'!$F$5:$F$3623,'📋 Транзакції'!$B$5:$B$3623,A89,'📋 Транзакції'!$C$5:$C$3623,"&gt;="&amp;EDATE(DATEVALUE(C89&amp;"-01"),7),'📋 Транзакції'!$C$5:$C$3623,"&lt;"&amp;EDATE(DATEVALUE(C89&amp;"-01"),8))</f>
        <v>19.99</v>
      </c>
      <c r="AA89" s="37">
        <f>SUMIFS('📋 Транзакції'!$F$5:$F$3623,'📋 Транзакції'!$B$5:$B$3623,A89,'📋 Транзакції'!$C$5:$C$3623,"&gt;="&amp;EDATE(DATEVALUE(C89&amp;"-01"),8),'📋 Транзакції'!$C$5:$C$3623,"&lt;"&amp;EDATE(DATEVALUE(C89&amp;"-01"),9))</f>
        <v>19.99</v>
      </c>
      <c r="AB89" s="37">
        <f>SUMIFS('📋 Транзакції'!$F$5:$F$3623,'📋 Транзакції'!$B$5:$B$3623,A89,'📋 Транзакції'!$C$5:$C$3623,"&gt;="&amp;EDATE(DATEVALUE(C89&amp;"-01"),9),'📋 Транзакції'!$C$5:$C$3623,"&lt;"&amp;EDATE(DATEVALUE(C89&amp;"-01"),10))</f>
        <v>19.99</v>
      </c>
      <c r="AC89" s="37">
        <f>SUMIFS('📋 Транзакції'!$F$5:$F$3623,'📋 Транзакції'!$B$5:$B$3623,A89,'📋 Транзакції'!$C$5:$C$3623,"&gt;="&amp;EDATE(DATEVALUE(C89&amp;"-01"),10),'📋 Транзакції'!$C$5:$C$3623,"&lt;"&amp;EDATE(DATEVALUE(C89&amp;"-01"),11))</f>
        <v>19.99</v>
      </c>
      <c r="AD89" s="37">
        <f>SUMIFS('📋 Транзакції'!$F$5:$F$3623,'📋 Транзакції'!$B$5:$B$3623,A89,'📋 Транзакції'!$C$5:$C$3623,"&gt;="&amp;EDATE(DATEVALUE(C89&amp;"-01"),11),'📋 Транзакції'!$C$5:$C$3623,"&lt;"&amp;EDATE(DATEVALUE(C89&amp;"-01"),12))</f>
        <v>19.99</v>
      </c>
    </row>
    <row r="90" ht="15.75" customHeight="1">
      <c r="A90" s="33" t="str">
        <f>'📋 Реєстрації'!A90:A691</f>
        <v>U0334</v>
      </c>
      <c r="B90" s="34">
        <f t="array" ref="B90">INDEX('📋 Транзакції'!$C$5:$C$3623,MATCH(A90,'📋 Транзакції'!$B$5:$B$3623,0))</f>
        <v>45386</v>
      </c>
      <c r="C90" s="35" t="str">
        <f t="shared" si="1"/>
        <v>2024-04</v>
      </c>
      <c r="D90" s="36">
        <f>COUNTIF('📋 Транзакції'!$B$5:$B$3623,A90)</f>
        <v>9</v>
      </c>
      <c r="E90" s="36">
        <f>SUMIF('📋 Транзакції'!$B$5:$B$3623,A90,'📋 Транзакції'!$F$5:$F$3623)</f>
        <v>159.92</v>
      </c>
      <c r="F90" s="35">
        <f>INT($A$1-MAXIFS('📋 Транзакції'!$C$5:$C$3623,'📋 Транзакції'!$B$5:$B$3623,A90))</f>
        <v>144</v>
      </c>
      <c r="G90" s="37">
        <f>IF(COUNTIFS('📋 Транзакції'!$B$5:$B$3623,A90,'📋 Транзакції'!$C$5:$C$3623,"&gt;="&amp;EDATE(DATEVALUE(C90&amp;"-01"),0),'📋 Транзакції'!$C$5:$C$3623,"&lt;"&amp;EDATE(DATEVALUE(C90&amp;"-01"),1))&gt;0,1,0)</f>
        <v>1</v>
      </c>
      <c r="H90" s="37">
        <f>IF(COUNTIFS('📋 Транзакції'!$B$5:$B$3623,A90,'📋 Транзакції'!$C$5:$C$3623,"&gt;="&amp;EDATE(DATEVALUE(C90&amp;"-01"),1),'📋 Транзакції'!$C$5:$C$3623,"&lt;"&amp;EDATE(DATEVALUE(C90&amp;"-01"),2))&gt;0,1,0)</f>
        <v>1</v>
      </c>
      <c r="I90" s="37">
        <f>IF(COUNTIFS('📋 Транзакції'!$B$5:$B$3623,A90,'📋 Транзакції'!$C$5:$C$3623,"&gt;="&amp;EDATE(DATEVALUE(C90&amp;"-01"),2),'📋 Транзакції'!$C$5:$C$3623,"&lt;"&amp;EDATE(DATEVALUE(C90&amp;"-01"),3))&gt;0,1,0)</f>
        <v>1</v>
      </c>
      <c r="J90" s="37">
        <f>IF(COUNTIFS('📋 Транзакції'!$B$5:$B$3623,A90,'📋 Транзакції'!$C$5:$C$3623,"&gt;="&amp;EDATE(DATEVALUE(C90&amp;"-01"),3),'📋 Транзакції'!$C$5:$C$3623,"&lt;"&amp;EDATE(DATEVALUE(C90&amp;"-01"),4))&gt;0,1,0)</f>
        <v>1</v>
      </c>
      <c r="K90" s="37">
        <f>IF(COUNTIFS('📋 Транзакції'!$B$5:$B$3623,A90,'📋 Транзакції'!$C$5:$C$3623,"&gt;="&amp;EDATE(DATEVALUE(C90&amp;"-01"),4),'📋 Транзакції'!$C$5:$C$3623,"&lt;"&amp;EDATE(DATEVALUE(C90&amp;"-01"),5))&gt;0,1,0)</f>
        <v>1</v>
      </c>
      <c r="L90" s="37">
        <f>IF(COUNTIFS('📋 Транзакції'!$B$5:$B$3623,A90,'📋 Транзакції'!$C$5:$C$3623,"&gt;="&amp;EDATE(DATEVALUE(C90&amp;"-01"),5),'📋 Транзакції'!$C$5:$C$3623,"&lt;"&amp;EDATE(DATEVALUE(C90&amp;"-01"),6))&gt;0,1,0)</f>
        <v>1</v>
      </c>
      <c r="M90" s="37">
        <f>IF(COUNTIFS('📋 Транзакції'!$B$5:$B$3623,A90,'📋 Транзакції'!$C$5:$C$3623,"&gt;="&amp;EDATE(DATEVALUE(C90&amp;"-01"),6),'📋 Транзакції'!$C$5:$C$3623,"&lt;"&amp;EDATE(DATEVALUE(C90&amp;"-01"),7))&gt;0,1,0)</f>
        <v>1</v>
      </c>
      <c r="N90" s="37">
        <f>IF(COUNTIFS('📋 Транзакції'!$B$5:$B$3623,A90,'📋 Транзакції'!$C$5:$C$3623,"&gt;="&amp;EDATE(DATEVALUE(C90&amp;"-01"),7),'📋 Транзакції'!$C$5:$C$3623,"&lt;"&amp;EDATE(DATEVALUE(C90&amp;"-01"),8))&gt;0,1,0)</f>
        <v>1</v>
      </c>
      <c r="O90" s="37">
        <f>IF(COUNTIFS('📋 Транзакції'!$B$5:$B$3623,A90,'📋 Транзакції'!$C$5:$C$3623,"&gt;="&amp;EDATE(DATEVALUE(C90&amp;"-01"),8),'📋 Транзакції'!$C$5:$C$3623,"&lt;"&amp;EDATE(DATEVALUE(C90&amp;"-01"),9))&gt;0,1,0)</f>
        <v>0</v>
      </c>
      <c r="P90" s="37">
        <f>IF(COUNTIFS('📋 Транзакції'!$B$5:$B$3623,A90,'📋 Транзакції'!$C$5:$C$3623,"&gt;="&amp;EDATE(DATEVALUE(C90&amp;"-01"),9),'📋 Транзакції'!$C$5:$C$3623,"&lt;"&amp;EDATE(DATEVALUE(C90&amp;"-01"),10))&gt;0,1,0)</f>
        <v>0</v>
      </c>
      <c r="Q90" s="37">
        <f>IF(COUNTIFS('📋 Транзакції'!$B$5:$B$3623,A90,'📋 Транзакції'!$C$5:$C$3623,"&gt;="&amp;EDATE(DATEVALUE(C90&amp;"-01"),10),'📋 Транзакції'!$C$5:$C$3623,"&lt;"&amp;EDATE(DATEVALUE(C90&amp;"-01"),11))&gt;0,1,0)</f>
        <v>0</v>
      </c>
      <c r="R90" s="37">
        <f>IF(COUNTIFS('📋 Транзакції'!$B$5:$B$3623,A90,'📋 Транзакції'!$C$5:$C$3623,"&gt;="&amp;EDATE(DATEVALUE(C90&amp;"-01"),11),'📋 Транзакції'!$C$5:$C$3623,"&lt;"&amp;EDATE(DATEVALUE(C90&amp;"-01"),12))&gt;0,1,0)</f>
        <v>0</v>
      </c>
      <c r="S90" s="37">
        <f>SUMIFS('📋 Транзакції'!$F$5:$F$3623,'📋 Транзакції'!$B$5:$B$3623,A90,'📋 Транзакції'!$C$5:$C$3623,"&gt;="&amp;EDATE(DATEVALUE(C90&amp;"-01"),0),'📋 Транзакції'!$C$5:$C$3623,"&lt;"&amp;EDATE(DATEVALUE(C90&amp;"-01"),1))</f>
        <v>19.99</v>
      </c>
      <c r="T90" s="37">
        <f>SUMIFS('📋 Транзакції'!$F$5:$F$3623,'📋 Транзакції'!$B$5:$B$3623,A90,'📋 Транзакції'!$C$5:$C$3623,"&gt;="&amp;EDATE(DATEVALUE(C90&amp;"-01"),1),'📋 Транзакції'!$C$5:$C$3623,"&lt;"&amp;EDATE(DATEVALUE(C90&amp;"-01"),2))</f>
        <v>19.99</v>
      </c>
      <c r="U90" s="37">
        <f>SUMIFS('📋 Транзакції'!$F$5:$F$3623,'📋 Транзакції'!$B$5:$B$3623,A90,'📋 Транзакції'!$C$5:$C$3623,"&gt;="&amp;EDATE(DATEVALUE(C90&amp;"-01"),2),'📋 Транзакції'!$C$5:$C$3623,"&lt;"&amp;EDATE(DATEVALUE(C90&amp;"-01"),3))</f>
        <v>19.99</v>
      </c>
      <c r="V90" s="37">
        <f>SUMIFS('📋 Транзакції'!$F$5:$F$3623,'📋 Транзакції'!$B$5:$B$3623,A90,'📋 Транзакції'!$C$5:$C$3623,"&gt;="&amp;EDATE(DATEVALUE(C90&amp;"-01"),3),'📋 Транзакції'!$C$5:$C$3623,"&lt;"&amp;EDATE(DATEVALUE(C90&amp;"-01"),4))</f>
        <v>19.99</v>
      </c>
      <c r="W90" s="37">
        <f>SUMIFS('📋 Транзакції'!$F$5:$F$3623,'📋 Транзакції'!$B$5:$B$3623,A90,'📋 Транзакції'!$C$5:$C$3623,"&gt;="&amp;EDATE(DATEVALUE(C90&amp;"-01"),4),'📋 Транзакції'!$C$5:$C$3623,"&lt;"&amp;EDATE(DATEVALUE(C90&amp;"-01"),5))</f>
        <v>19.99</v>
      </c>
      <c r="X90" s="37">
        <f>SUMIFS('📋 Транзакції'!$F$5:$F$3623,'📋 Транзакції'!$B$5:$B$3623,A90,'📋 Транзакції'!$C$5:$C$3623,"&gt;="&amp;EDATE(DATEVALUE(C90&amp;"-01"),5),'📋 Транзакції'!$C$5:$C$3623,"&lt;"&amp;EDATE(DATEVALUE(C90&amp;"-01"),6))</f>
        <v>19.99</v>
      </c>
      <c r="Y90" s="37">
        <f>SUMIFS('📋 Транзакції'!$F$5:$F$3623,'📋 Транзакції'!$B$5:$B$3623,A90,'📋 Транзакції'!$C$5:$C$3623,"&gt;="&amp;EDATE(DATEVALUE(C90&amp;"-01"),6),'📋 Транзакції'!$C$5:$C$3623,"&lt;"&amp;EDATE(DATEVALUE(C90&amp;"-01"),7))</f>
        <v>19.99</v>
      </c>
      <c r="Z90" s="37">
        <f>SUMIFS('📋 Транзакції'!$F$5:$F$3623,'📋 Транзакції'!$B$5:$B$3623,A90,'📋 Транзакції'!$C$5:$C$3623,"&gt;="&amp;EDATE(DATEVALUE(C90&amp;"-01"),7),'📋 Транзакції'!$C$5:$C$3623,"&lt;"&amp;EDATE(DATEVALUE(C90&amp;"-01"),8))</f>
        <v>19.99</v>
      </c>
      <c r="AA90" s="37">
        <f>SUMIFS('📋 Транзакції'!$F$5:$F$3623,'📋 Транзакції'!$B$5:$B$3623,A90,'📋 Транзакції'!$C$5:$C$3623,"&gt;="&amp;EDATE(DATEVALUE(C90&amp;"-01"),8),'📋 Транзакції'!$C$5:$C$3623,"&lt;"&amp;EDATE(DATEVALUE(C90&amp;"-01"),9))</f>
        <v>0</v>
      </c>
      <c r="AB90" s="37">
        <f>SUMIFS('📋 Транзакції'!$F$5:$F$3623,'📋 Транзакції'!$B$5:$B$3623,A90,'📋 Транзакції'!$C$5:$C$3623,"&gt;="&amp;EDATE(DATEVALUE(C90&amp;"-01"),9),'📋 Транзакції'!$C$5:$C$3623,"&lt;"&amp;EDATE(DATEVALUE(C90&amp;"-01"),10))</f>
        <v>0</v>
      </c>
      <c r="AC90" s="37">
        <f>SUMIFS('📋 Транзакції'!$F$5:$F$3623,'📋 Транзакції'!$B$5:$B$3623,A90,'📋 Транзакції'!$C$5:$C$3623,"&gt;="&amp;EDATE(DATEVALUE(C90&amp;"-01"),10),'📋 Транзакції'!$C$5:$C$3623,"&lt;"&amp;EDATE(DATEVALUE(C90&amp;"-01"),11))</f>
        <v>0</v>
      </c>
      <c r="AD90" s="37">
        <f>SUMIFS('📋 Транзакції'!$F$5:$F$3623,'📋 Транзакції'!$B$5:$B$3623,A90,'📋 Транзакції'!$C$5:$C$3623,"&gt;="&amp;EDATE(DATEVALUE(C90&amp;"-01"),11),'📋 Транзакції'!$C$5:$C$3623,"&lt;"&amp;EDATE(DATEVALUE(C90&amp;"-01"),12))</f>
        <v>0</v>
      </c>
    </row>
    <row r="91" ht="15.75" customHeight="1">
      <c r="A91" s="33" t="str">
        <f>'📋 Реєстрації'!A91:A692</f>
        <v>U0520</v>
      </c>
      <c r="B91" s="34">
        <f t="array" ref="B91">INDEX('📋 Транзакції'!$C$5:$C$3623,MATCH(A91,'📋 Транзакції'!$B$5:$B$3623,0))</f>
        <v>45387</v>
      </c>
      <c r="C91" s="35" t="str">
        <f t="shared" si="1"/>
        <v>2024-04</v>
      </c>
      <c r="D91" s="36">
        <f>COUNTIF('📋 Транзакції'!$B$5:$B$3623,A91)</f>
        <v>3</v>
      </c>
      <c r="E91" s="36">
        <f>SUMIF('📋 Транзакції'!$B$5:$B$3623,A91,'📋 Транзакції'!$F$5:$F$3623)</f>
        <v>39.98</v>
      </c>
      <c r="F91" s="35">
        <f>INT($A$1-MAXIFS('📋 Транзакції'!$C$5:$C$3623,'📋 Транзакції'!$B$5:$B$3623,A91))</f>
        <v>323</v>
      </c>
      <c r="G91" s="37">
        <f>IF(COUNTIFS('📋 Транзакції'!$B$5:$B$3623,A91,'📋 Транзакції'!$C$5:$C$3623,"&gt;="&amp;EDATE(DATEVALUE(C91&amp;"-01"),0),'📋 Транзакції'!$C$5:$C$3623,"&lt;"&amp;EDATE(DATEVALUE(C91&amp;"-01"),1))&gt;0,1,0)</f>
        <v>1</v>
      </c>
      <c r="H91" s="37">
        <f>IF(COUNTIFS('📋 Транзакції'!$B$5:$B$3623,A91,'📋 Транзакції'!$C$5:$C$3623,"&gt;="&amp;EDATE(DATEVALUE(C91&amp;"-01"),1),'📋 Транзакції'!$C$5:$C$3623,"&lt;"&amp;EDATE(DATEVALUE(C91&amp;"-01"),2))&gt;0,1,0)</f>
        <v>1</v>
      </c>
      <c r="I91" s="37">
        <f>IF(COUNTIFS('📋 Транзакції'!$B$5:$B$3623,A91,'📋 Транзакції'!$C$5:$C$3623,"&gt;="&amp;EDATE(DATEVALUE(C91&amp;"-01"),2),'📋 Транзакції'!$C$5:$C$3623,"&lt;"&amp;EDATE(DATEVALUE(C91&amp;"-01"),3))&gt;0,1,0)</f>
        <v>0</v>
      </c>
      <c r="J91" s="37">
        <f>IF(COUNTIFS('📋 Транзакції'!$B$5:$B$3623,A91,'📋 Транзакції'!$C$5:$C$3623,"&gt;="&amp;EDATE(DATEVALUE(C91&amp;"-01"),3),'📋 Транзакції'!$C$5:$C$3623,"&lt;"&amp;EDATE(DATEVALUE(C91&amp;"-01"),4))&gt;0,1,0)</f>
        <v>0</v>
      </c>
      <c r="K91" s="37">
        <f>IF(COUNTIFS('📋 Транзакції'!$B$5:$B$3623,A91,'📋 Транзакції'!$C$5:$C$3623,"&gt;="&amp;EDATE(DATEVALUE(C91&amp;"-01"),4),'📋 Транзакції'!$C$5:$C$3623,"&lt;"&amp;EDATE(DATEVALUE(C91&amp;"-01"),5))&gt;0,1,0)</f>
        <v>0</v>
      </c>
      <c r="L91" s="37">
        <f>IF(COUNTIFS('📋 Транзакції'!$B$5:$B$3623,A91,'📋 Транзакції'!$C$5:$C$3623,"&gt;="&amp;EDATE(DATEVALUE(C91&amp;"-01"),5),'📋 Транзакції'!$C$5:$C$3623,"&lt;"&amp;EDATE(DATEVALUE(C91&amp;"-01"),6))&gt;0,1,0)</f>
        <v>0</v>
      </c>
      <c r="M91" s="37">
        <f>IF(COUNTIFS('📋 Транзакції'!$B$5:$B$3623,A91,'📋 Транзакції'!$C$5:$C$3623,"&gt;="&amp;EDATE(DATEVALUE(C91&amp;"-01"),6),'📋 Транзакції'!$C$5:$C$3623,"&lt;"&amp;EDATE(DATEVALUE(C91&amp;"-01"),7))&gt;0,1,0)</f>
        <v>0</v>
      </c>
      <c r="N91" s="37">
        <f>IF(COUNTIFS('📋 Транзакції'!$B$5:$B$3623,A91,'📋 Транзакції'!$C$5:$C$3623,"&gt;="&amp;EDATE(DATEVALUE(C91&amp;"-01"),7),'📋 Транзакції'!$C$5:$C$3623,"&lt;"&amp;EDATE(DATEVALUE(C91&amp;"-01"),8))&gt;0,1,0)</f>
        <v>0</v>
      </c>
      <c r="O91" s="37">
        <f>IF(COUNTIFS('📋 Транзакції'!$B$5:$B$3623,A91,'📋 Транзакції'!$C$5:$C$3623,"&gt;="&amp;EDATE(DATEVALUE(C91&amp;"-01"),8),'📋 Транзакції'!$C$5:$C$3623,"&lt;"&amp;EDATE(DATEVALUE(C91&amp;"-01"),9))&gt;0,1,0)</f>
        <v>0</v>
      </c>
      <c r="P91" s="37">
        <f>IF(COUNTIFS('📋 Транзакції'!$B$5:$B$3623,A91,'📋 Транзакції'!$C$5:$C$3623,"&gt;="&amp;EDATE(DATEVALUE(C91&amp;"-01"),9),'📋 Транзакції'!$C$5:$C$3623,"&lt;"&amp;EDATE(DATEVALUE(C91&amp;"-01"),10))&gt;0,1,0)</f>
        <v>0</v>
      </c>
      <c r="Q91" s="37">
        <f>IF(COUNTIFS('📋 Транзакції'!$B$5:$B$3623,A91,'📋 Транзакції'!$C$5:$C$3623,"&gt;="&amp;EDATE(DATEVALUE(C91&amp;"-01"),10),'📋 Транзакції'!$C$5:$C$3623,"&lt;"&amp;EDATE(DATEVALUE(C91&amp;"-01"),11))&gt;0,1,0)</f>
        <v>0</v>
      </c>
      <c r="R91" s="37">
        <f>IF(COUNTIFS('📋 Транзакції'!$B$5:$B$3623,A91,'📋 Транзакції'!$C$5:$C$3623,"&gt;="&amp;EDATE(DATEVALUE(C91&amp;"-01"),11),'📋 Транзакції'!$C$5:$C$3623,"&lt;"&amp;EDATE(DATEVALUE(C91&amp;"-01"),12))&gt;0,1,0)</f>
        <v>0</v>
      </c>
      <c r="S91" s="37">
        <f>SUMIFS('📋 Транзакції'!$F$5:$F$3623,'📋 Транзакції'!$B$5:$B$3623,A91,'📋 Транзакції'!$C$5:$C$3623,"&gt;="&amp;EDATE(DATEVALUE(C91&amp;"-01"),0),'📋 Транзакції'!$C$5:$C$3623,"&lt;"&amp;EDATE(DATEVALUE(C91&amp;"-01"),1))</f>
        <v>19.99</v>
      </c>
      <c r="T91" s="37">
        <f>SUMIFS('📋 Транзакції'!$F$5:$F$3623,'📋 Транзакції'!$B$5:$B$3623,A91,'📋 Транзакції'!$C$5:$C$3623,"&gt;="&amp;EDATE(DATEVALUE(C91&amp;"-01"),1),'📋 Транзакції'!$C$5:$C$3623,"&lt;"&amp;EDATE(DATEVALUE(C91&amp;"-01"),2))</f>
        <v>19.99</v>
      </c>
      <c r="U91" s="37">
        <f>SUMIFS('📋 Транзакції'!$F$5:$F$3623,'📋 Транзакції'!$B$5:$B$3623,A91,'📋 Транзакції'!$C$5:$C$3623,"&gt;="&amp;EDATE(DATEVALUE(C91&amp;"-01"),2),'📋 Транзакції'!$C$5:$C$3623,"&lt;"&amp;EDATE(DATEVALUE(C91&amp;"-01"),3))</f>
        <v>0</v>
      </c>
      <c r="V91" s="37">
        <f>SUMIFS('📋 Транзакції'!$F$5:$F$3623,'📋 Транзакції'!$B$5:$B$3623,A91,'📋 Транзакції'!$C$5:$C$3623,"&gt;="&amp;EDATE(DATEVALUE(C91&amp;"-01"),3),'📋 Транзакції'!$C$5:$C$3623,"&lt;"&amp;EDATE(DATEVALUE(C91&amp;"-01"),4))</f>
        <v>0</v>
      </c>
      <c r="W91" s="37">
        <f>SUMIFS('📋 Транзакції'!$F$5:$F$3623,'📋 Транзакції'!$B$5:$B$3623,A91,'📋 Транзакції'!$C$5:$C$3623,"&gt;="&amp;EDATE(DATEVALUE(C91&amp;"-01"),4),'📋 Транзакції'!$C$5:$C$3623,"&lt;"&amp;EDATE(DATEVALUE(C91&amp;"-01"),5))</f>
        <v>0</v>
      </c>
      <c r="X91" s="37">
        <f>SUMIFS('📋 Транзакції'!$F$5:$F$3623,'📋 Транзакції'!$B$5:$B$3623,A91,'📋 Транзакції'!$C$5:$C$3623,"&gt;="&amp;EDATE(DATEVALUE(C91&amp;"-01"),5),'📋 Транзакції'!$C$5:$C$3623,"&lt;"&amp;EDATE(DATEVALUE(C91&amp;"-01"),6))</f>
        <v>0</v>
      </c>
      <c r="Y91" s="37">
        <f>SUMIFS('📋 Транзакції'!$F$5:$F$3623,'📋 Транзакції'!$B$5:$B$3623,A91,'📋 Транзакції'!$C$5:$C$3623,"&gt;="&amp;EDATE(DATEVALUE(C91&amp;"-01"),6),'📋 Транзакції'!$C$5:$C$3623,"&lt;"&amp;EDATE(DATEVALUE(C91&amp;"-01"),7))</f>
        <v>0</v>
      </c>
      <c r="Z91" s="37">
        <f>SUMIFS('📋 Транзакції'!$F$5:$F$3623,'📋 Транзакції'!$B$5:$B$3623,A91,'📋 Транзакції'!$C$5:$C$3623,"&gt;="&amp;EDATE(DATEVALUE(C91&amp;"-01"),7),'📋 Транзакції'!$C$5:$C$3623,"&lt;"&amp;EDATE(DATEVALUE(C91&amp;"-01"),8))</f>
        <v>0</v>
      </c>
      <c r="AA91" s="37">
        <f>SUMIFS('📋 Транзакції'!$F$5:$F$3623,'📋 Транзакції'!$B$5:$B$3623,A91,'📋 Транзакції'!$C$5:$C$3623,"&gt;="&amp;EDATE(DATEVALUE(C91&amp;"-01"),8),'📋 Транзакції'!$C$5:$C$3623,"&lt;"&amp;EDATE(DATEVALUE(C91&amp;"-01"),9))</f>
        <v>0</v>
      </c>
      <c r="AB91" s="37">
        <f>SUMIFS('📋 Транзакції'!$F$5:$F$3623,'📋 Транзакції'!$B$5:$B$3623,A91,'📋 Транзакції'!$C$5:$C$3623,"&gt;="&amp;EDATE(DATEVALUE(C91&amp;"-01"),9),'📋 Транзакції'!$C$5:$C$3623,"&lt;"&amp;EDATE(DATEVALUE(C91&amp;"-01"),10))</f>
        <v>0</v>
      </c>
      <c r="AC91" s="37">
        <f>SUMIFS('📋 Транзакції'!$F$5:$F$3623,'📋 Транзакції'!$B$5:$B$3623,A91,'📋 Транзакції'!$C$5:$C$3623,"&gt;="&amp;EDATE(DATEVALUE(C91&amp;"-01"),10),'📋 Транзакції'!$C$5:$C$3623,"&lt;"&amp;EDATE(DATEVALUE(C91&amp;"-01"),11))</f>
        <v>0</v>
      </c>
      <c r="AD91" s="37">
        <f>SUMIFS('📋 Транзакції'!$F$5:$F$3623,'📋 Транзакції'!$B$5:$B$3623,A91,'📋 Транзакції'!$C$5:$C$3623,"&gt;="&amp;EDATE(DATEVALUE(C91&amp;"-01"),11),'📋 Транзакції'!$C$5:$C$3623,"&lt;"&amp;EDATE(DATEVALUE(C91&amp;"-01"),12))</f>
        <v>0</v>
      </c>
    </row>
    <row r="92" ht="15.75" customHeight="1">
      <c r="A92" s="33" t="str">
        <f>'📋 Реєстрації'!A92:A693</f>
        <v>U0067</v>
      </c>
      <c r="B92" s="34">
        <f t="array" ref="B92">INDEX('📋 Транзакції'!$C$5:$C$3623,MATCH(A92,'📋 Транзакції'!$B$5:$B$3623,0))</f>
        <v>45388</v>
      </c>
      <c r="C92" s="35" t="str">
        <f t="shared" si="1"/>
        <v>2024-04</v>
      </c>
      <c r="D92" s="36">
        <f>COUNTIF('📋 Транзакції'!$B$5:$B$3623,A92)</f>
        <v>3</v>
      </c>
      <c r="E92" s="36">
        <f>SUMIF('📋 Транзакції'!$B$5:$B$3623,A92,'📋 Транзакції'!$F$5:$F$3623)</f>
        <v>39.98</v>
      </c>
      <c r="F92" s="35">
        <f>INT($A$1-MAXIFS('📋 Транзакції'!$C$5:$C$3623,'📋 Транзакції'!$B$5:$B$3623,A92))</f>
        <v>322</v>
      </c>
      <c r="G92" s="37">
        <f>IF(COUNTIFS('📋 Транзакції'!$B$5:$B$3623,A92,'📋 Транзакції'!$C$5:$C$3623,"&gt;="&amp;EDATE(DATEVALUE(C92&amp;"-01"),0),'📋 Транзакції'!$C$5:$C$3623,"&lt;"&amp;EDATE(DATEVALUE(C92&amp;"-01"),1))&gt;0,1,0)</f>
        <v>1</v>
      </c>
      <c r="H92" s="37">
        <f>IF(COUNTIFS('📋 Транзакції'!$B$5:$B$3623,A92,'📋 Транзакції'!$C$5:$C$3623,"&gt;="&amp;EDATE(DATEVALUE(C92&amp;"-01"),1),'📋 Транзакції'!$C$5:$C$3623,"&lt;"&amp;EDATE(DATEVALUE(C92&amp;"-01"),2))&gt;0,1,0)</f>
        <v>1</v>
      </c>
      <c r="I92" s="37">
        <f>IF(COUNTIFS('📋 Транзакції'!$B$5:$B$3623,A92,'📋 Транзакції'!$C$5:$C$3623,"&gt;="&amp;EDATE(DATEVALUE(C92&amp;"-01"),2),'📋 Транзакції'!$C$5:$C$3623,"&lt;"&amp;EDATE(DATEVALUE(C92&amp;"-01"),3))&gt;0,1,0)</f>
        <v>0</v>
      </c>
      <c r="J92" s="37">
        <f>IF(COUNTIFS('📋 Транзакції'!$B$5:$B$3623,A92,'📋 Транзакції'!$C$5:$C$3623,"&gt;="&amp;EDATE(DATEVALUE(C92&amp;"-01"),3),'📋 Транзакції'!$C$5:$C$3623,"&lt;"&amp;EDATE(DATEVALUE(C92&amp;"-01"),4))&gt;0,1,0)</f>
        <v>0</v>
      </c>
      <c r="K92" s="37">
        <f>IF(COUNTIFS('📋 Транзакції'!$B$5:$B$3623,A92,'📋 Транзакції'!$C$5:$C$3623,"&gt;="&amp;EDATE(DATEVALUE(C92&amp;"-01"),4),'📋 Транзакції'!$C$5:$C$3623,"&lt;"&amp;EDATE(DATEVALUE(C92&amp;"-01"),5))&gt;0,1,0)</f>
        <v>0</v>
      </c>
      <c r="L92" s="37">
        <f>IF(COUNTIFS('📋 Транзакції'!$B$5:$B$3623,A92,'📋 Транзакції'!$C$5:$C$3623,"&gt;="&amp;EDATE(DATEVALUE(C92&amp;"-01"),5),'📋 Транзакції'!$C$5:$C$3623,"&lt;"&amp;EDATE(DATEVALUE(C92&amp;"-01"),6))&gt;0,1,0)</f>
        <v>0</v>
      </c>
      <c r="M92" s="37">
        <f>IF(COUNTIFS('📋 Транзакції'!$B$5:$B$3623,A92,'📋 Транзакції'!$C$5:$C$3623,"&gt;="&amp;EDATE(DATEVALUE(C92&amp;"-01"),6),'📋 Транзакції'!$C$5:$C$3623,"&lt;"&amp;EDATE(DATEVALUE(C92&amp;"-01"),7))&gt;0,1,0)</f>
        <v>0</v>
      </c>
      <c r="N92" s="37">
        <f>IF(COUNTIFS('📋 Транзакції'!$B$5:$B$3623,A92,'📋 Транзакції'!$C$5:$C$3623,"&gt;="&amp;EDATE(DATEVALUE(C92&amp;"-01"),7),'📋 Транзакції'!$C$5:$C$3623,"&lt;"&amp;EDATE(DATEVALUE(C92&amp;"-01"),8))&gt;0,1,0)</f>
        <v>0</v>
      </c>
      <c r="O92" s="37">
        <f>IF(COUNTIFS('📋 Транзакції'!$B$5:$B$3623,A92,'📋 Транзакції'!$C$5:$C$3623,"&gt;="&amp;EDATE(DATEVALUE(C92&amp;"-01"),8),'📋 Транзакції'!$C$5:$C$3623,"&lt;"&amp;EDATE(DATEVALUE(C92&amp;"-01"),9))&gt;0,1,0)</f>
        <v>0</v>
      </c>
      <c r="P92" s="37">
        <f>IF(COUNTIFS('📋 Транзакції'!$B$5:$B$3623,A92,'📋 Транзакції'!$C$5:$C$3623,"&gt;="&amp;EDATE(DATEVALUE(C92&amp;"-01"),9),'📋 Транзакції'!$C$5:$C$3623,"&lt;"&amp;EDATE(DATEVALUE(C92&amp;"-01"),10))&gt;0,1,0)</f>
        <v>0</v>
      </c>
      <c r="Q92" s="37">
        <f>IF(COUNTIFS('📋 Транзакції'!$B$5:$B$3623,A92,'📋 Транзакції'!$C$5:$C$3623,"&gt;="&amp;EDATE(DATEVALUE(C92&amp;"-01"),10),'📋 Транзакції'!$C$5:$C$3623,"&lt;"&amp;EDATE(DATEVALUE(C92&amp;"-01"),11))&gt;0,1,0)</f>
        <v>0</v>
      </c>
      <c r="R92" s="37">
        <f>IF(COUNTIFS('📋 Транзакції'!$B$5:$B$3623,A92,'📋 Транзакції'!$C$5:$C$3623,"&gt;="&amp;EDATE(DATEVALUE(C92&amp;"-01"),11),'📋 Транзакції'!$C$5:$C$3623,"&lt;"&amp;EDATE(DATEVALUE(C92&amp;"-01"),12))&gt;0,1,0)</f>
        <v>0</v>
      </c>
      <c r="S92" s="37">
        <f>SUMIFS('📋 Транзакції'!$F$5:$F$3623,'📋 Транзакції'!$B$5:$B$3623,A92,'📋 Транзакції'!$C$5:$C$3623,"&gt;="&amp;EDATE(DATEVALUE(C92&amp;"-01"),0),'📋 Транзакції'!$C$5:$C$3623,"&lt;"&amp;EDATE(DATEVALUE(C92&amp;"-01"),1))</f>
        <v>19.99</v>
      </c>
      <c r="T92" s="37">
        <f>SUMIFS('📋 Транзакції'!$F$5:$F$3623,'📋 Транзакції'!$B$5:$B$3623,A92,'📋 Транзакції'!$C$5:$C$3623,"&gt;="&amp;EDATE(DATEVALUE(C92&amp;"-01"),1),'📋 Транзакції'!$C$5:$C$3623,"&lt;"&amp;EDATE(DATEVALUE(C92&amp;"-01"),2))</f>
        <v>19.99</v>
      </c>
      <c r="U92" s="37">
        <f>SUMIFS('📋 Транзакції'!$F$5:$F$3623,'📋 Транзакції'!$B$5:$B$3623,A92,'📋 Транзакції'!$C$5:$C$3623,"&gt;="&amp;EDATE(DATEVALUE(C92&amp;"-01"),2),'📋 Транзакції'!$C$5:$C$3623,"&lt;"&amp;EDATE(DATEVALUE(C92&amp;"-01"),3))</f>
        <v>0</v>
      </c>
      <c r="V92" s="37">
        <f>SUMIFS('📋 Транзакції'!$F$5:$F$3623,'📋 Транзакції'!$B$5:$B$3623,A92,'📋 Транзакції'!$C$5:$C$3623,"&gt;="&amp;EDATE(DATEVALUE(C92&amp;"-01"),3),'📋 Транзакції'!$C$5:$C$3623,"&lt;"&amp;EDATE(DATEVALUE(C92&amp;"-01"),4))</f>
        <v>0</v>
      </c>
      <c r="W92" s="37">
        <f>SUMIFS('📋 Транзакції'!$F$5:$F$3623,'📋 Транзакції'!$B$5:$B$3623,A92,'📋 Транзакції'!$C$5:$C$3623,"&gt;="&amp;EDATE(DATEVALUE(C92&amp;"-01"),4),'📋 Транзакції'!$C$5:$C$3623,"&lt;"&amp;EDATE(DATEVALUE(C92&amp;"-01"),5))</f>
        <v>0</v>
      </c>
      <c r="X92" s="37">
        <f>SUMIFS('📋 Транзакції'!$F$5:$F$3623,'📋 Транзакції'!$B$5:$B$3623,A92,'📋 Транзакції'!$C$5:$C$3623,"&gt;="&amp;EDATE(DATEVALUE(C92&amp;"-01"),5),'📋 Транзакції'!$C$5:$C$3623,"&lt;"&amp;EDATE(DATEVALUE(C92&amp;"-01"),6))</f>
        <v>0</v>
      </c>
      <c r="Y92" s="37">
        <f>SUMIFS('📋 Транзакції'!$F$5:$F$3623,'📋 Транзакції'!$B$5:$B$3623,A92,'📋 Транзакції'!$C$5:$C$3623,"&gt;="&amp;EDATE(DATEVALUE(C92&amp;"-01"),6),'📋 Транзакції'!$C$5:$C$3623,"&lt;"&amp;EDATE(DATEVALUE(C92&amp;"-01"),7))</f>
        <v>0</v>
      </c>
      <c r="Z92" s="37">
        <f>SUMIFS('📋 Транзакції'!$F$5:$F$3623,'📋 Транзакції'!$B$5:$B$3623,A92,'📋 Транзакції'!$C$5:$C$3623,"&gt;="&amp;EDATE(DATEVALUE(C92&amp;"-01"),7),'📋 Транзакції'!$C$5:$C$3623,"&lt;"&amp;EDATE(DATEVALUE(C92&amp;"-01"),8))</f>
        <v>0</v>
      </c>
      <c r="AA92" s="37">
        <f>SUMIFS('📋 Транзакції'!$F$5:$F$3623,'📋 Транзакції'!$B$5:$B$3623,A92,'📋 Транзакції'!$C$5:$C$3623,"&gt;="&amp;EDATE(DATEVALUE(C92&amp;"-01"),8),'📋 Транзакції'!$C$5:$C$3623,"&lt;"&amp;EDATE(DATEVALUE(C92&amp;"-01"),9))</f>
        <v>0</v>
      </c>
      <c r="AB92" s="37">
        <f>SUMIFS('📋 Транзакції'!$F$5:$F$3623,'📋 Транзакції'!$B$5:$B$3623,A92,'📋 Транзакції'!$C$5:$C$3623,"&gt;="&amp;EDATE(DATEVALUE(C92&amp;"-01"),9),'📋 Транзакції'!$C$5:$C$3623,"&lt;"&amp;EDATE(DATEVALUE(C92&amp;"-01"),10))</f>
        <v>0</v>
      </c>
      <c r="AC92" s="37">
        <f>SUMIFS('📋 Транзакції'!$F$5:$F$3623,'📋 Транзакції'!$B$5:$B$3623,A92,'📋 Транзакції'!$C$5:$C$3623,"&gt;="&amp;EDATE(DATEVALUE(C92&amp;"-01"),10),'📋 Транзакції'!$C$5:$C$3623,"&lt;"&amp;EDATE(DATEVALUE(C92&amp;"-01"),11))</f>
        <v>0</v>
      </c>
      <c r="AD92" s="37">
        <f>SUMIFS('📋 Транзакції'!$F$5:$F$3623,'📋 Транзакції'!$B$5:$B$3623,A92,'📋 Транзакції'!$C$5:$C$3623,"&gt;="&amp;EDATE(DATEVALUE(C92&amp;"-01"),11),'📋 Транзакції'!$C$5:$C$3623,"&lt;"&amp;EDATE(DATEVALUE(C92&amp;"-01"),12))</f>
        <v>0</v>
      </c>
    </row>
    <row r="93" ht="15.75" customHeight="1">
      <c r="A93" s="33" t="str">
        <f>'📋 Реєстрації'!A93:A694</f>
        <v>U0668</v>
      </c>
      <c r="B93" s="34">
        <f t="array" ref="B93">INDEX('📋 Транзакції'!$C$5:$C$3623,MATCH(A93,'📋 Транзакції'!$B$5:$B$3623,0))</f>
        <v>45388</v>
      </c>
      <c r="C93" s="35" t="str">
        <f t="shared" si="1"/>
        <v>2024-04</v>
      </c>
      <c r="D93" s="36">
        <f>COUNTIF('📋 Транзакції'!$B$5:$B$3623,A93)</f>
        <v>13</v>
      </c>
      <c r="E93" s="36">
        <f>SUMIF('📋 Транзакції'!$B$5:$B$3623,A93,'📋 Транзакції'!$F$5:$F$3623)</f>
        <v>239.88</v>
      </c>
      <c r="F93" s="35">
        <f>INT($A$1-MAXIFS('📋 Транзакції'!$C$5:$C$3623,'📋 Транзакції'!$B$5:$B$3623,A93))</f>
        <v>22</v>
      </c>
      <c r="G93" s="37">
        <f>IF(COUNTIFS('📋 Транзакції'!$B$5:$B$3623,A93,'📋 Транзакції'!$C$5:$C$3623,"&gt;="&amp;EDATE(DATEVALUE(C93&amp;"-01"),0),'📋 Транзакції'!$C$5:$C$3623,"&lt;"&amp;EDATE(DATEVALUE(C93&amp;"-01"),1))&gt;0,1,0)</f>
        <v>1</v>
      </c>
      <c r="H93" s="37">
        <f>IF(COUNTIFS('📋 Транзакції'!$B$5:$B$3623,A93,'📋 Транзакції'!$C$5:$C$3623,"&gt;="&amp;EDATE(DATEVALUE(C93&amp;"-01"),1),'📋 Транзакції'!$C$5:$C$3623,"&lt;"&amp;EDATE(DATEVALUE(C93&amp;"-01"),2))&gt;0,1,0)</f>
        <v>1</v>
      </c>
      <c r="I93" s="37">
        <f>IF(COUNTIFS('📋 Транзакції'!$B$5:$B$3623,A93,'📋 Транзакції'!$C$5:$C$3623,"&gt;="&amp;EDATE(DATEVALUE(C93&amp;"-01"),2),'📋 Транзакції'!$C$5:$C$3623,"&lt;"&amp;EDATE(DATEVALUE(C93&amp;"-01"),3))&gt;0,1,0)</f>
        <v>1</v>
      </c>
      <c r="J93" s="37">
        <f>IF(COUNTIFS('📋 Транзакції'!$B$5:$B$3623,A93,'📋 Транзакції'!$C$5:$C$3623,"&gt;="&amp;EDATE(DATEVALUE(C93&amp;"-01"),3),'📋 Транзакції'!$C$5:$C$3623,"&lt;"&amp;EDATE(DATEVALUE(C93&amp;"-01"),4))&gt;0,1,0)</f>
        <v>1</v>
      </c>
      <c r="K93" s="37">
        <f>IF(COUNTIFS('📋 Транзакції'!$B$5:$B$3623,A93,'📋 Транзакції'!$C$5:$C$3623,"&gt;="&amp;EDATE(DATEVALUE(C93&amp;"-01"),4),'📋 Транзакції'!$C$5:$C$3623,"&lt;"&amp;EDATE(DATEVALUE(C93&amp;"-01"),5))&gt;0,1,0)</f>
        <v>1</v>
      </c>
      <c r="L93" s="37">
        <f>IF(COUNTIFS('📋 Транзакції'!$B$5:$B$3623,A93,'📋 Транзакції'!$C$5:$C$3623,"&gt;="&amp;EDATE(DATEVALUE(C93&amp;"-01"),5),'📋 Транзакції'!$C$5:$C$3623,"&lt;"&amp;EDATE(DATEVALUE(C93&amp;"-01"),6))&gt;0,1,0)</f>
        <v>1</v>
      </c>
      <c r="M93" s="37">
        <f>IF(COUNTIFS('📋 Транзакції'!$B$5:$B$3623,A93,'📋 Транзакції'!$C$5:$C$3623,"&gt;="&amp;EDATE(DATEVALUE(C93&amp;"-01"),6),'📋 Транзакції'!$C$5:$C$3623,"&lt;"&amp;EDATE(DATEVALUE(C93&amp;"-01"),7))&gt;0,1,0)</f>
        <v>1</v>
      </c>
      <c r="N93" s="37">
        <f>IF(COUNTIFS('📋 Транзакції'!$B$5:$B$3623,A93,'📋 Транзакції'!$C$5:$C$3623,"&gt;="&amp;EDATE(DATEVALUE(C93&amp;"-01"),7),'📋 Транзакції'!$C$5:$C$3623,"&lt;"&amp;EDATE(DATEVALUE(C93&amp;"-01"),8))&gt;0,1,0)</f>
        <v>1</v>
      </c>
      <c r="O93" s="37">
        <f>IF(COUNTIFS('📋 Транзакції'!$B$5:$B$3623,A93,'📋 Транзакції'!$C$5:$C$3623,"&gt;="&amp;EDATE(DATEVALUE(C93&amp;"-01"),8),'📋 Транзакції'!$C$5:$C$3623,"&lt;"&amp;EDATE(DATEVALUE(C93&amp;"-01"),9))&gt;0,1,0)</f>
        <v>1</v>
      </c>
      <c r="P93" s="37">
        <f>IF(COUNTIFS('📋 Транзакції'!$B$5:$B$3623,A93,'📋 Транзакції'!$C$5:$C$3623,"&gt;="&amp;EDATE(DATEVALUE(C93&amp;"-01"),9),'📋 Транзакції'!$C$5:$C$3623,"&lt;"&amp;EDATE(DATEVALUE(C93&amp;"-01"),10))&gt;0,1,0)</f>
        <v>1</v>
      </c>
      <c r="Q93" s="37">
        <f>IF(COUNTIFS('📋 Транзакції'!$B$5:$B$3623,A93,'📋 Транзакції'!$C$5:$C$3623,"&gt;="&amp;EDATE(DATEVALUE(C93&amp;"-01"),10),'📋 Транзакції'!$C$5:$C$3623,"&lt;"&amp;EDATE(DATEVALUE(C93&amp;"-01"),11))&gt;0,1,0)</f>
        <v>1</v>
      </c>
      <c r="R93" s="37">
        <f>IF(COUNTIFS('📋 Транзакції'!$B$5:$B$3623,A93,'📋 Транзакції'!$C$5:$C$3623,"&gt;="&amp;EDATE(DATEVALUE(C93&amp;"-01"),11),'📋 Транзакції'!$C$5:$C$3623,"&lt;"&amp;EDATE(DATEVALUE(C93&amp;"-01"),12))&gt;0,1,0)</f>
        <v>1</v>
      </c>
      <c r="S93" s="37">
        <f>SUMIFS('📋 Транзакції'!$F$5:$F$3623,'📋 Транзакції'!$B$5:$B$3623,A93,'📋 Транзакції'!$C$5:$C$3623,"&gt;="&amp;EDATE(DATEVALUE(C93&amp;"-01"),0),'📋 Транзакції'!$C$5:$C$3623,"&lt;"&amp;EDATE(DATEVALUE(C93&amp;"-01"),1))</f>
        <v>19.99</v>
      </c>
      <c r="T93" s="37">
        <f>SUMIFS('📋 Транзакції'!$F$5:$F$3623,'📋 Транзакції'!$B$5:$B$3623,A93,'📋 Транзакції'!$C$5:$C$3623,"&gt;="&amp;EDATE(DATEVALUE(C93&amp;"-01"),1),'📋 Транзакції'!$C$5:$C$3623,"&lt;"&amp;EDATE(DATEVALUE(C93&amp;"-01"),2))</f>
        <v>19.99</v>
      </c>
      <c r="U93" s="37">
        <f>SUMIFS('📋 Транзакції'!$F$5:$F$3623,'📋 Транзакції'!$B$5:$B$3623,A93,'📋 Транзакції'!$C$5:$C$3623,"&gt;="&amp;EDATE(DATEVALUE(C93&amp;"-01"),2),'📋 Транзакції'!$C$5:$C$3623,"&lt;"&amp;EDATE(DATEVALUE(C93&amp;"-01"),3))</f>
        <v>19.99</v>
      </c>
      <c r="V93" s="37">
        <f>SUMIFS('📋 Транзакції'!$F$5:$F$3623,'📋 Транзакції'!$B$5:$B$3623,A93,'📋 Транзакції'!$C$5:$C$3623,"&gt;="&amp;EDATE(DATEVALUE(C93&amp;"-01"),3),'📋 Транзакції'!$C$5:$C$3623,"&lt;"&amp;EDATE(DATEVALUE(C93&amp;"-01"),4))</f>
        <v>19.99</v>
      </c>
      <c r="W93" s="37">
        <f>SUMIFS('📋 Транзакції'!$F$5:$F$3623,'📋 Транзакції'!$B$5:$B$3623,A93,'📋 Транзакції'!$C$5:$C$3623,"&gt;="&amp;EDATE(DATEVALUE(C93&amp;"-01"),4),'📋 Транзакції'!$C$5:$C$3623,"&lt;"&amp;EDATE(DATEVALUE(C93&amp;"-01"),5))</f>
        <v>19.99</v>
      </c>
      <c r="X93" s="37">
        <f>SUMIFS('📋 Транзакції'!$F$5:$F$3623,'📋 Транзакції'!$B$5:$B$3623,A93,'📋 Транзакції'!$C$5:$C$3623,"&gt;="&amp;EDATE(DATEVALUE(C93&amp;"-01"),5),'📋 Транзакції'!$C$5:$C$3623,"&lt;"&amp;EDATE(DATEVALUE(C93&amp;"-01"),6))</f>
        <v>19.99</v>
      </c>
      <c r="Y93" s="37">
        <f>SUMIFS('📋 Транзакції'!$F$5:$F$3623,'📋 Транзакції'!$B$5:$B$3623,A93,'📋 Транзакції'!$C$5:$C$3623,"&gt;="&amp;EDATE(DATEVALUE(C93&amp;"-01"),6),'📋 Транзакції'!$C$5:$C$3623,"&lt;"&amp;EDATE(DATEVALUE(C93&amp;"-01"),7))</f>
        <v>19.99</v>
      </c>
      <c r="Z93" s="37">
        <f>SUMIFS('📋 Транзакції'!$F$5:$F$3623,'📋 Транзакції'!$B$5:$B$3623,A93,'📋 Транзакції'!$C$5:$C$3623,"&gt;="&amp;EDATE(DATEVALUE(C93&amp;"-01"),7),'📋 Транзакції'!$C$5:$C$3623,"&lt;"&amp;EDATE(DATEVALUE(C93&amp;"-01"),8))</f>
        <v>19.99</v>
      </c>
      <c r="AA93" s="37">
        <f>SUMIFS('📋 Транзакції'!$F$5:$F$3623,'📋 Транзакції'!$B$5:$B$3623,A93,'📋 Транзакції'!$C$5:$C$3623,"&gt;="&amp;EDATE(DATEVALUE(C93&amp;"-01"),8),'📋 Транзакції'!$C$5:$C$3623,"&lt;"&amp;EDATE(DATEVALUE(C93&amp;"-01"),9))</f>
        <v>19.99</v>
      </c>
      <c r="AB93" s="37">
        <f>SUMIFS('📋 Транзакції'!$F$5:$F$3623,'📋 Транзакції'!$B$5:$B$3623,A93,'📋 Транзакції'!$C$5:$C$3623,"&gt;="&amp;EDATE(DATEVALUE(C93&amp;"-01"),9),'📋 Транзакції'!$C$5:$C$3623,"&lt;"&amp;EDATE(DATEVALUE(C93&amp;"-01"),10))</f>
        <v>19.99</v>
      </c>
      <c r="AC93" s="37">
        <f>SUMIFS('📋 Транзакції'!$F$5:$F$3623,'📋 Транзакції'!$B$5:$B$3623,A93,'📋 Транзакції'!$C$5:$C$3623,"&gt;="&amp;EDATE(DATEVALUE(C93&amp;"-01"),10),'📋 Транзакції'!$C$5:$C$3623,"&lt;"&amp;EDATE(DATEVALUE(C93&amp;"-01"),11))</f>
        <v>19.99</v>
      </c>
      <c r="AD93" s="37">
        <f>SUMIFS('📋 Транзакції'!$F$5:$F$3623,'📋 Транзакції'!$B$5:$B$3623,A93,'📋 Транзакції'!$C$5:$C$3623,"&gt;="&amp;EDATE(DATEVALUE(C93&amp;"-01"),11),'📋 Транзакції'!$C$5:$C$3623,"&lt;"&amp;EDATE(DATEVALUE(C93&amp;"-01"),12))</f>
        <v>19.99</v>
      </c>
    </row>
    <row r="94" ht="15.75" customHeight="1">
      <c r="A94" s="33" t="str">
        <f>'📋 Реєстрації'!A94:A695</f>
        <v>U0695</v>
      </c>
      <c r="B94" s="34">
        <f t="array" ref="B94">INDEX('📋 Транзакції'!$C$5:$C$3623,MATCH(A94,'📋 Транзакції'!$B$5:$B$3623,0))</f>
        <v>45388</v>
      </c>
      <c r="C94" s="35" t="str">
        <f t="shared" si="1"/>
        <v>2024-04</v>
      </c>
      <c r="D94" s="36">
        <f>COUNTIF('📋 Транзакції'!$B$5:$B$3623,A94)</f>
        <v>6</v>
      </c>
      <c r="E94" s="36">
        <f>SUMIF('📋 Транзакції'!$B$5:$B$3623,A94,'📋 Транзакції'!$F$5:$F$3623)</f>
        <v>99.95</v>
      </c>
      <c r="F94" s="35">
        <f>INT($A$1-MAXIFS('📋 Транзакції'!$C$5:$C$3623,'📋 Транзакції'!$B$5:$B$3623,A94))</f>
        <v>232</v>
      </c>
      <c r="G94" s="37">
        <f>IF(COUNTIFS('📋 Транзакції'!$B$5:$B$3623,A94,'📋 Транзакції'!$C$5:$C$3623,"&gt;="&amp;EDATE(DATEVALUE(C94&amp;"-01"),0),'📋 Транзакції'!$C$5:$C$3623,"&lt;"&amp;EDATE(DATEVALUE(C94&amp;"-01"),1))&gt;0,1,0)</f>
        <v>1</v>
      </c>
      <c r="H94" s="37">
        <f>IF(COUNTIFS('📋 Транзакції'!$B$5:$B$3623,A94,'📋 Транзакції'!$C$5:$C$3623,"&gt;="&amp;EDATE(DATEVALUE(C94&amp;"-01"),1),'📋 Транзакції'!$C$5:$C$3623,"&lt;"&amp;EDATE(DATEVALUE(C94&amp;"-01"),2))&gt;0,1,0)</f>
        <v>1</v>
      </c>
      <c r="I94" s="37">
        <f>IF(COUNTIFS('📋 Транзакції'!$B$5:$B$3623,A94,'📋 Транзакції'!$C$5:$C$3623,"&gt;="&amp;EDATE(DATEVALUE(C94&amp;"-01"),2),'📋 Транзакції'!$C$5:$C$3623,"&lt;"&amp;EDATE(DATEVALUE(C94&amp;"-01"),3))&gt;0,1,0)</f>
        <v>1</v>
      </c>
      <c r="J94" s="37">
        <f>IF(COUNTIFS('📋 Транзакції'!$B$5:$B$3623,A94,'📋 Транзакції'!$C$5:$C$3623,"&gt;="&amp;EDATE(DATEVALUE(C94&amp;"-01"),3),'📋 Транзакції'!$C$5:$C$3623,"&lt;"&amp;EDATE(DATEVALUE(C94&amp;"-01"),4))&gt;0,1,0)</f>
        <v>1</v>
      </c>
      <c r="K94" s="37">
        <f>IF(COUNTIFS('📋 Транзакції'!$B$5:$B$3623,A94,'📋 Транзакції'!$C$5:$C$3623,"&gt;="&amp;EDATE(DATEVALUE(C94&amp;"-01"),4),'📋 Транзакції'!$C$5:$C$3623,"&lt;"&amp;EDATE(DATEVALUE(C94&amp;"-01"),5))&gt;0,1,0)</f>
        <v>1</v>
      </c>
      <c r="L94" s="37">
        <f>IF(COUNTIFS('📋 Транзакції'!$B$5:$B$3623,A94,'📋 Транзакції'!$C$5:$C$3623,"&gt;="&amp;EDATE(DATEVALUE(C94&amp;"-01"),5),'📋 Транзакції'!$C$5:$C$3623,"&lt;"&amp;EDATE(DATEVALUE(C94&amp;"-01"),6))&gt;0,1,0)</f>
        <v>0</v>
      </c>
      <c r="M94" s="37">
        <f>IF(COUNTIFS('📋 Транзакції'!$B$5:$B$3623,A94,'📋 Транзакції'!$C$5:$C$3623,"&gt;="&amp;EDATE(DATEVALUE(C94&amp;"-01"),6),'📋 Транзакції'!$C$5:$C$3623,"&lt;"&amp;EDATE(DATEVALUE(C94&amp;"-01"),7))&gt;0,1,0)</f>
        <v>0</v>
      </c>
      <c r="N94" s="37">
        <f>IF(COUNTIFS('📋 Транзакції'!$B$5:$B$3623,A94,'📋 Транзакції'!$C$5:$C$3623,"&gt;="&amp;EDATE(DATEVALUE(C94&amp;"-01"),7),'📋 Транзакції'!$C$5:$C$3623,"&lt;"&amp;EDATE(DATEVALUE(C94&amp;"-01"),8))&gt;0,1,0)</f>
        <v>0</v>
      </c>
      <c r="O94" s="37">
        <f>IF(COUNTIFS('📋 Транзакції'!$B$5:$B$3623,A94,'📋 Транзакції'!$C$5:$C$3623,"&gt;="&amp;EDATE(DATEVALUE(C94&amp;"-01"),8),'📋 Транзакції'!$C$5:$C$3623,"&lt;"&amp;EDATE(DATEVALUE(C94&amp;"-01"),9))&gt;0,1,0)</f>
        <v>0</v>
      </c>
      <c r="P94" s="37">
        <f>IF(COUNTIFS('📋 Транзакції'!$B$5:$B$3623,A94,'📋 Транзакції'!$C$5:$C$3623,"&gt;="&amp;EDATE(DATEVALUE(C94&amp;"-01"),9),'📋 Транзакції'!$C$5:$C$3623,"&lt;"&amp;EDATE(DATEVALUE(C94&amp;"-01"),10))&gt;0,1,0)</f>
        <v>0</v>
      </c>
      <c r="Q94" s="37">
        <f>IF(COUNTIFS('📋 Транзакції'!$B$5:$B$3623,A94,'📋 Транзакції'!$C$5:$C$3623,"&gt;="&amp;EDATE(DATEVALUE(C94&amp;"-01"),10),'📋 Транзакції'!$C$5:$C$3623,"&lt;"&amp;EDATE(DATEVALUE(C94&amp;"-01"),11))&gt;0,1,0)</f>
        <v>0</v>
      </c>
      <c r="R94" s="37">
        <f>IF(COUNTIFS('📋 Транзакції'!$B$5:$B$3623,A94,'📋 Транзакції'!$C$5:$C$3623,"&gt;="&amp;EDATE(DATEVALUE(C94&amp;"-01"),11),'📋 Транзакції'!$C$5:$C$3623,"&lt;"&amp;EDATE(DATEVALUE(C94&amp;"-01"),12))&gt;0,1,0)</f>
        <v>0</v>
      </c>
      <c r="S94" s="37">
        <f>SUMIFS('📋 Транзакції'!$F$5:$F$3623,'📋 Транзакції'!$B$5:$B$3623,A94,'📋 Транзакції'!$C$5:$C$3623,"&gt;="&amp;EDATE(DATEVALUE(C94&amp;"-01"),0),'📋 Транзакції'!$C$5:$C$3623,"&lt;"&amp;EDATE(DATEVALUE(C94&amp;"-01"),1))</f>
        <v>19.99</v>
      </c>
      <c r="T94" s="37">
        <f>SUMIFS('📋 Транзакції'!$F$5:$F$3623,'📋 Транзакції'!$B$5:$B$3623,A94,'📋 Транзакції'!$C$5:$C$3623,"&gt;="&amp;EDATE(DATEVALUE(C94&amp;"-01"),1),'📋 Транзакції'!$C$5:$C$3623,"&lt;"&amp;EDATE(DATEVALUE(C94&amp;"-01"),2))</f>
        <v>19.99</v>
      </c>
      <c r="U94" s="37">
        <f>SUMIFS('📋 Транзакції'!$F$5:$F$3623,'📋 Транзакції'!$B$5:$B$3623,A94,'📋 Транзакції'!$C$5:$C$3623,"&gt;="&amp;EDATE(DATEVALUE(C94&amp;"-01"),2),'📋 Транзакції'!$C$5:$C$3623,"&lt;"&amp;EDATE(DATEVALUE(C94&amp;"-01"),3))</f>
        <v>19.99</v>
      </c>
      <c r="V94" s="37">
        <f>SUMIFS('📋 Транзакції'!$F$5:$F$3623,'📋 Транзакції'!$B$5:$B$3623,A94,'📋 Транзакції'!$C$5:$C$3623,"&gt;="&amp;EDATE(DATEVALUE(C94&amp;"-01"),3),'📋 Транзакції'!$C$5:$C$3623,"&lt;"&amp;EDATE(DATEVALUE(C94&amp;"-01"),4))</f>
        <v>19.99</v>
      </c>
      <c r="W94" s="37">
        <f>SUMIFS('📋 Транзакції'!$F$5:$F$3623,'📋 Транзакції'!$B$5:$B$3623,A94,'📋 Транзакції'!$C$5:$C$3623,"&gt;="&amp;EDATE(DATEVALUE(C94&amp;"-01"),4),'📋 Транзакції'!$C$5:$C$3623,"&lt;"&amp;EDATE(DATEVALUE(C94&amp;"-01"),5))</f>
        <v>19.99</v>
      </c>
      <c r="X94" s="37">
        <f>SUMIFS('📋 Транзакції'!$F$5:$F$3623,'📋 Транзакції'!$B$5:$B$3623,A94,'📋 Транзакції'!$C$5:$C$3623,"&gt;="&amp;EDATE(DATEVALUE(C94&amp;"-01"),5),'📋 Транзакції'!$C$5:$C$3623,"&lt;"&amp;EDATE(DATEVALUE(C94&amp;"-01"),6))</f>
        <v>0</v>
      </c>
      <c r="Y94" s="37">
        <f>SUMIFS('📋 Транзакції'!$F$5:$F$3623,'📋 Транзакції'!$B$5:$B$3623,A94,'📋 Транзакції'!$C$5:$C$3623,"&gt;="&amp;EDATE(DATEVALUE(C94&amp;"-01"),6),'📋 Транзакції'!$C$5:$C$3623,"&lt;"&amp;EDATE(DATEVALUE(C94&amp;"-01"),7))</f>
        <v>0</v>
      </c>
      <c r="Z94" s="37">
        <f>SUMIFS('📋 Транзакції'!$F$5:$F$3623,'📋 Транзакції'!$B$5:$B$3623,A94,'📋 Транзакції'!$C$5:$C$3623,"&gt;="&amp;EDATE(DATEVALUE(C94&amp;"-01"),7),'📋 Транзакції'!$C$5:$C$3623,"&lt;"&amp;EDATE(DATEVALUE(C94&amp;"-01"),8))</f>
        <v>0</v>
      </c>
      <c r="AA94" s="37">
        <f>SUMIFS('📋 Транзакції'!$F$5:$F$3623,'📋 Транзакції'!$B$5:$B$3623,A94,'📋 Транзакції'!$C$5:$C$3623,"&gt;="&amp;EDATE(DATEVALUE(C94&amp;"-01"),8),'📋 Транзакції'!$C$5:$C$3623,"&lt;"&amp;EDATE(DATEVALUE(C94&amp;"-01"),9))</f>
        <v>0</v>
      </c>
      <c r="AB94" s="37">
        <f>SUMIFS('📋 Транзакції'!$F$5:$F$3623,'📋 Транзакції'!$B$5:$B$3623,A94,'📋 Транзакції'!$C$5:$C$3623,"&gt;="&amp;EDATE(DATEVALUE(C94&amp;"-01"),9),'📋 Транзакції'!$C$5:$C$3623,"&lt;"&amp;EDATE(DATEVALUE(C94&amp;"-01"),10))</f>
        <v>0</v>
      </c>
      <c r="AC94" s="37">
        <f>SUMIFS('📋 Транзакції'!$F$5:$F$3623,'📋 Транзакції'!$B$5:$B$3623,A94,'📋 Транзакції'!$C$5:$C$3623,"&gt;="&amp;EDATE(DATEVALUE(C94&amp;"-01"),10),'📋 Транзакції'!$C$5:$C$3623,"&lt;"&amp;EDATE(DATEVALUE(C94&amp;"-01"),11))</f>
        <v>0</v>
      </c>
      <c r="AD94" s="37">
        <f>SUMIFS('📋 Транзакції'!$F$5:$F$3623,'📋 Транзакції'!$B$5:$B$3623,A94,'📋 Транзакції'!$C$5:$C$3623,"&gt;="&amp;EDATE(DATEVALUE(C94&amp;"-01"),11),'📋 Транзакції'!$C$5:$C$3623,"&lt;"&amp;EDATE(DATEVALUE(C94&amp;"-01"),12))</f>
        <v>0</v>
      </c>
    </row>
    <row r="95" ht="15.75" customHeight="1">
      <c r="A95" s="33" t="str">
        <f>'📋 Реєстрації'!A95:A696</f>
        <v>U0319</v>
      </c>
      <c r="B95" s="34">
        <f t="array" ref="B95">INDEX('📋 Транзакції'!$C$5:$C$3623,MATCH(A95,'📋 Транзакції'!$B$5:$B$3623,0))</f>
        <v>45389</v>
      </c>
      <c r="C95" s="35" t="str">
        <f t="shared" si="1"/>
        <v>2024-04</v>
      </c>
      <c r="D95" s="36">
        <f>COUNTIF('📋 Транзакції'!$B$5:$B$3623,A95)</f>
        <v>13</v>
      </c>
      <c r="E95" s="36">
        <f>SUMIF('📋 Транзакції'!$B$5:$B$3623,A95,'📋 Транзакції'!$F$5:$F$3623)</f>
        <v>239.88</v>
      </c>
      <c r="F95" s="35">
        <f>INT($A$1-MAXIFS('📋 Транзакції'!$C$5:$C$3623,'📋 Транзакції'!$B$5:$B$3623,A95))</f>
        <v>21</v>
      </c>
      <c r="G95" s="37">
        <f>IF(COUNTIFS('📋 Транзакції'!$B$5:$B$3623,A95,'📋 Транзакції'!$C$5:$C$3623,"&gt;="&amp;EDATE(DATEVALUE(C95&amp;"-01"),0),'📋 Транзакції'!$C$5:$C$3623,"&lt;"&amp;EDATE(DATEVALUE(C95&amp;"-01"),1))&gt;0,1,0)</f>
        <v>1</v>
      </c>
      <c r="H95" s="37">
        <f>IF(COUNTIFS('📋 Транзакції'!$B$5:$B$3623,A95,'📋 Транзакції'!$C$5:$C$3623,"&gt;="&amp;EDATE(DATEVALUE(C95&amp;"-01"),1),'📋 Транзакції'!$C$5:$C$3623,"&lt;"&amp;EDATE(DATEVALUE(C95&amp;"-01"),2))&gt;0,1,0)</f>
        <v>1</v>
      </c>
      <c r="I95" s="37">
        <f>IF(COUNTIFS('📋 Транзакції'!$B$5:$B$3623,A95,'📋 Транзакції'!$C$5:$C$3623,"&gt;="&amp;EDATE(DATEVALUE(C95&amp;"-01"),2),'📋 Транзакції'!$C$5:$C$3623,"&lt;"&amp;EDATE(DATEVALUE(C95&amp;"-01"),3))&gt;0,1,0)</f>
        <v>1</v>
      </c>
      <c r="J95" s="37">
        <f>IF(COUNTIFS('📋 Транзакції'!$B$5:$B$3623,A95,'📋 Транзакції'!$C$5:$C$3623,"&gt;="&amp;EDATE(DATEVALUE(C95&amp;"-01"),3),'📋 Транзакції'!$C$5:$C$3623,"&lt;"&amp;EDATE(DATEVALUE(C95&amp;"-01"),4))&gt;0,1,0)</f>
        <v>1</v>
      </c>
      <c r="K95" s="37">
        <f>IF(COUNTIFS('📋 Транзакції'!$B$5:$B$3623,A95,'📋 Транзакції'!$C$5:$C$3623,"&gt;="&amp;EDATE(DATEVALUE(C95&amp;"-01"),4),'📋 Транзакції'!$C$5:$C$3623,"&lt;"&amp;EDATE(DATEVALUE(C95&amp;"-01"),5))&gt;0,1,0)</f>
        <v>1</v>
      </c>
      <c r="L95" s="37">
        <f>IF(COUNTIFS('📋 Транзакції'!$B$5:$B$3623,A95,'📋 Транзакції'!$C$5:$C$3623,"&gt;="&amp;EDATE(DATEVALUE(C95&amp;"-01"),5),'📋 Транзакції'!$C$5:$C$3623,"&lt;"&amp;EDATE(DATEVALUE(C95&amp;"-01"),6))&gt;0,1,0)</f>
        <v>1</v>
      </c>
      <c r="M95" s="37">
        <f>IF(COUNTIFS('📋 Транзакції'!$B$5:$B$3623,A95,'📋 Транзакції'!$C$5:$C$3623,"&gt;="&amp;EDATE(DATEVALUE(C95&amp;"-01"),6),'📋 Транзакції'!$C$5:$C$3623,"&lt;"&amp;EDATE(DATEVALUE(C95&amp;"-01"),7))&gt;0,1,0)</f>
        <v>1</v>
      </c>
      <c r="N95" s="37">
        <f>IF(COUNTIFS('📋 Транзакції'!$B$5:$B$3623,A95,'📋 Транзакції'!$C$5:$C$3623,"&gt;="&amp;EDATE(DATEVALUE(C95&amp;"-01"),7),'📋 Транзакції'!$C$5:$C$3623,"&lt;"&amp;EDATE(DATEVALUE(C95&amp;"-01"),8))&gt;0,1,0)</f>
        <v>1</v>
      </c>
      <c r="O95" s="37">
        <f>IF(COUNTIFS('📋 Транзакції'!$B$5:$B$3623,A95,'📋 Транзакції'!$C$5:$C$3623,"&gt;="&amp;EDATE(DATEVALUE(C95&amp;"-01"),8),'📋 Транзакції'!$C$5:$C$3623,"&lt;"&amp;EDATE(DATEVALUE(C95&amp;"-01"),9))&gt;0,1,0)</f>
        <v>1</v>
      </c>
      <c r="P95" s="37">
        <f>IF(COUNTIFS('📋 Транзакції'!$B$5:$B$3623,A95,'📋 Транзакції'!$C$5:$C$3623,"&gt;="&amp;EDATE(DATEVALUE(C95&amp;"-01"),9),'📋 Транзакції'!$C$5:$C$3623,"&lt;"&amp;EDATE(DATEVALUE(C95&amp;"-01"),10))&gt;0,1,0)</f>
        <v>1</v>
      </c>
      <c r="Q95" s="37">
        <f>IF(COUNTIFS('📋 Транзакції'!$B$5:$B$3623,A95,'📋 Транзакції'!$C$5:$C$3623,"&gt;="&amp;EDATE(DATEVALUE(C95&amp;"-01"),10),'📋 Транзакції'!$C$5:$C$3623,"&lt;"&amp;EDATE(DATEVALUE(C95&amp;"-01"),11))&gt;0,1,0)</f>
        <v>1</v>
      </c>
      <c r="R95" s="37">
        <f>IF(COUNTIFS('📋 Транзакції'!$B$5:$B$3623,A95,'📋 Транзакції'!$C$5:$C$3623,"&gt;="&amp;EDATE(DATEVALUE(C95&amp;"-01"),11),'📋 Транзакції'!$C$5:$C$3623,"&lt;"&amp;EDATE(DATEVALUE(C95&amp;"-01"),12))&gt;0,1,0)</f>
        <v>1</v>
      </c>
      <c r="S95" s="37">
        <f>SUMIFS('📋 Транзакції'!$F$5:$F$3623,'📋 Транзакції'!$B$5:$B$3623,A95,'📋 Транзакції'!$C$5:$C$3623,"&gt;="&amp;EDATE(DATEVALUE(C95&amp;"-01"),0),'📋 Транзакції'!$C$5:$C$3623,"&lt;"&amp;EDATE(DATEVALUE(C95&amp;"-01"),1))</f>
        <v>19.99</v>
      </c>
      <c r="T95" s="37">
        <f>SUMIFS('📋 Транзакції'!$F$5:$F$3623,'📋 Транзакції'!$B$5:$B$3623,A95,'📋 Транзакції'!$C$5:$C$3623,"&gt;="&amp;EDATE(DATEVALUE(C95&amp;"-01"),1),'📋 Транзакції'!$C$5:$C$3623,"&lt;"&amp;EDATE(DATEVALUE(C95&amp;"-01"),2))</f>
        <v>19.99</v>
      </c>
      <c r="U95" s="37">
        <f>SUMIFS('📋 Транзакції'!$F$5:$F$3623,'📋 Транзакції'!$B$5:$B$3623,A95,'📋 Транзакції'!$C$5:$C$3623,"&gt;="&amp;EDATE(DATEVALUE(C95&amp;"-01"),2),'📋 Транзакції'!$C$5:$C$3623,"&lt;"&amp;EDATE(DATEVALUE(C95&amp;"-01"),3))</f>
        <v>19.99</v>
      </c>
      <c r="V95" s="37">
        <f>SUMIFS('📋 Транзакції'!$F$5:$F$3623,'📋 Транзакції'!$B$5:$B$3623,A95,'📋 Транзакції'!$C$5:$C$3623,"&gt;="&amp;EDATE(DATEVALUE(C95&amp;"-01"),3),'📋 Транзакції'!$C$5:$C$3623,"&lt;"&amp;EDATE(DATEVALUE(C95&amp;"-01"),4))</f>
        <v>19.99</v>
      </c>
      <c r="W95" s="37">
        <f>SUMIFS('📋 Транзакції'!$F$5:$F$3623,'📋 Транзакції'!$B$5:$B$3623,A95,'📋 Транзакції'!$C$5:$C$3623,"&gt;="&amp;EDATE(DATEVALUE(C95&amp;"-01"),4),'📋 Транзакції'!$C$5:$C$3623,"&lt;"&amp;EDATE(DATEVALUE(C95&amp;"-01"),5))</f>
        <v>19.99</v>
      </c>
      <c r="X95" s="37">
        <f>SUMIFS('📋 Транзакції'!$F$5:$F$3623,'📋 Транзакції'!$B$5:$B$3623,A95,'📋 Транзакції'!$C$5:$C$3623,"&gt;="&amp;EDATE(DATEVALUE(C95&amp;"-01"),5),'📋 Транзакції'!$C$5:$C$3623,"&lt;"&amp;EDATE(DATEVALUE(C95&amp;"-01"),6))</f>
        <v>19.99</v>
      </c>
      <c r="Y95" s="37">
        <f>SUMIFS('📋 Транзакції'!$F$5:$F$3623,'📋 Транзакції'!$B$5:$B$3623,A95,'📋 Транзакції'!$C$5:$C$3623,"&gt;="&amp;EDATE(DATEVALUE(C95&amp;"-01"),6),'📋 Транзакції'!$C$5:$C$3623,"&lt;"&amp;EDATE(DATEVALUE(C95&amp;"-01"),7))</f>
        <v>19.99</v>
      </c>
      <c r="Z95" s="37">
        <f>SUMIFS('📋 Транзакції'!$F$5:$F$3623,'📋 Транзакції'!$B$5:$B$3623,A95,'📋 Транзакції'!$C$5:$C$3623,"&gt;="&amp;EDATE(DATEVALUE(C95&amp;"-01"),7),'📋 Транзакції'!$C$5:$C$3623,"&lt;"&amp;EDATE(DATEVALUE(C95&amp;"-01"),8))</f>
        <v>19.99</v>
      </c>
      <c r="AA95" s="37">
        <f>SUMIFS('📋 Транзакції'!$F$5:$F$3623,'📋 Транзакції'!$B$5:$B$3623,A95,'📋 Транзакції'!$C$5:$C$3623,"&gt;="&amp;EDATE(DATEVALUE(C95&amp;"-01"),8),'📋 Транзакції'!$C$5:$C$3623,"&lt;"&amp;EDATE(DATEVALUE(C95&amp;"-01"),9))</f>
        <v>19.99</v>
      </c>
      <c r="AB95" s="37">
        <f>SUMIFS('📋 Транзакції'!$F$5:$F$3623,'📋 Транзакції'!$B$5:$B$3623,A95,'📋 Транзакції'!$C$5:$C$3623,"&gt;="&amp;EDATE(DATEVALUE(C95&amp;"-01"),9),'📋 Транзакції'!$C$5:$C$3623,"&lt;"&amp;EDATE(DATEVALUE(C95&amp;"-01"),10))</f>
        <v>19.99</v>
      </c>
      <c r="AC95" s="37">
        <f>SUMIFS('📋 Транзакції'!$F$5:$F$3623,'📋 Транзакції'!$B$5:$B$3623,A95,'📋 Транзакції'!$C$5:$C$3623,"&gt;="&amp;EDATE(DATEVALUE(C95&amp;"-01"),10),'📋 Транзакції'!$C$5:$C$3623,"&lt;"&amp;EDATE(DATEVALUE(C95&amp;"-01"),11))</f>
        <v>19.99</v>
      </c>
      <c r="AD95" s="37">
        <f>SUMIFS('📋 Транзакції'!$F$5:$F$3623,'📋 Транзакції'!$B$5:$B$3623,A95,'📋 Транзакції'!$C$5:$C$3623,"&gt;="&amp;EDATE(DATEVALUE(C95&amp;"-01"),11),'📋 Транзакції'!$C$5:$C$3623,"&lt;"&amp;EDATE(DATEVALUE(C95&amp;"-01"),12))</f>
        <v>19.99</v>
      </c>
    </row>
    <row r="96" ht="15.75" customHeight="1">
      <c r="A96" s="33" t="str">
        <f>'📋 Реєстрації'!A96:A697</f>
        <v>U0133</v>
      </c>
      <c r="B96" s="34">
        <f t="array" ref="B96">INDEX('📋 Транзакції'!$C$5:$C$3623,MATCH(A96,'📋 Транзакції'!$B$5:$B$3623,0))</f>
        <v>45390</v>
      </c>
      <c r="C96" s="35" t="str">
        <f t="shared" si="1"/>
        <v>2024-04</v>
      </c>
      <c r="D96" s="36">
        <f>COUNTIF('📋 Транзакції'!$B$5:$B$3623,A96)</f>
        <v>4</v>
      </c>
      <c r="E96" s="36">
        <f>SUMIF('📋 Транзакції'!$B$5:$B$3623,A96,'📋 Транзакції'!$F$5:$F$3623)</f>
        <v>59.97</v>
      </c>
      <c r="F96" s="35">
        <f>INT($A$1-MAXIFS('📋 Транзакції'!$C$5:$C$3623,'📋 Транзакції'!$B$5:$B$3623,A96))</f>
        <v>290</v>
      </c>
      <c r="G96" s="37">
        <f>IF(COUNTIFS('📋 Транзакції'!$B$5:$B$3623,A96,'📋 Транзакції'!$C$5:$C$3623,"&gt;="&amp;EDATE(DATEVALUE(C96&amp;"-01"),0),'📋 Транзакції'!$C$5:$C$3623,"&lt;"&amp;EDATE(DATEVALUE(C96&amp;"-01"),1))&gt;0,1,0)</f>
        <v>1</v>
      </c>
      <c r="H96" s="37">
        <f>IF(COUNTIFS('📋 Транзакції'!$B$5:$B$3623,A96,'📋 Транзакції'!$C$5:$C$3623,"&gt;="&amp;EDATE(DATEVALUE(C96&amp;"-01"),1),'📋 Транзакції'!$C$5:$C$3623,"&lt;"&amp;EDATE(DATEVALUE(C96&amp;"-01"),2))&gt;0,1,0)</f>
        <v>1</v>
      </c>
      <c r="I96" s="37">
        <f>IF(COUNTIFS('📋 Транзакції'!$B$5:$B$3623,A96,'📋 Транзакції'!$C$5:$C$3623,"&gt;="&amp;EDATE(DATEVALUE(C96&amp;"-01"),2),'📋 Транзакції'!$C$5:$C$3623,"&lt;"&amp;EDATE(DATEVALUE(C96&amp;"-01"),3))&gt;0,1,0)</f>
        <v>1</v>
      </c>
      <c r="J96" s="37">
        <f>IF(COUNTIFS('📋 Транзакції'!$B$5:$B$3623,A96,'📋 Транзакції'!$C$5:$C$3623,"&gt;="&amp;EDATE(DATEVALUE(C96&amp;"-01"),3),'📋 Транзакції'!$C$5:$C$3623,"&lt;"&amp;EDATE(DATEVALUE(C96&amp;"-01"),4))&gt;0,1,0)</f>
        <v>0</v>
      </c>
      <c r="K96" s="37">
        <f>IF(COUNTIFS('📋 Транзакції'!$B$5:$B$3623,A96,'📋 Транзакції'!$C$5:$C$3623,"&gt;="&amp;EDATE(DATEVALUE(C96&amp;"-01"),4),'📋 Транзакції'!$C$5:$C$3623,"&lt;"&amp;EDATE(DATEVALUE(C96&amp;"-01"),5))&gt;0,1,0)</f>
        <v>0</v>
      </c>
      <c r="L96" s="37">
        <f>IF(COUNTIFS('📋 Транзакції'!$B$5:$B$3623,A96,'📋 Транзакції'!$C$5:$C$3623,"&gt;="&amp;EDATE(DATEVALUE(C96&amp;"-01"),5),'📋 Транзакції'!$C$5:$C$3623,"&lt;"&amp;EDATE(DATEVALUE(C96&amp;"-01"),6))&gt;0,1,0)</f>
        <v>0</v>
      </c>
      <c r="M96" s="37">
        <f>IF(COUNTIFS('📋 Транзакції'!$B$5:$B$3623,A96,'📋 Транзакції'!$C$5:$C$3623,"&gt;="&amp;EDATE(DATEVALUE(C96&amp;"-01"),6),'📋 Транзакції'!$C$5:$C$3623,"&lt;"&amp;EDATE(DATEVALUE(C96&amp;"-01"),7))&gt;0,1,0)</f>
        <v>0</v>
      </c>
      <c r="N96" s="37">
        <f>IF(COUNTIFS('📋 Транзакції'!$B$5:$B$3623,A96,'📋 Транзакції'!$C$5:$C$3623,"&gt;="&amp;EDATE(DATEVALUE(C96&amp;"-01"),7),'📋 Транзакції'!$C$5:$C$3623,"&lt;"&amp;EDATE(DATEVALUE(C96&amp;"-01"),8))&gt;0,1,0)</f>
        <v>0</v>
      </c>
      <c r="O96" s="37">
        <f>IF(COUNTIFS('📋 Транзакції'!$B$5:$B$3623,A96,'📋 Транзакції'!$C$5:$C$3623,"&gt;="&amp;EDATE(DATEVALUE(C96&amp;"-01"),8),'📋 Транзакції'!$C$5:$C$3623,"&lt;"&amp;EDATE(DATEVALUE(C96&amp;"-01"),9))&gt;0,1,0)</f>
        <v>0</v>
      </c>
      <c r="P96" s="37">
        <f>IF(COUNTIFS('📋 Транзакції'!$B$5:$B$3623,A96,'📋 Транзакції'!$C$5:$C$3623,"&gt;="&amp;EDATE(DATEVALUE(C96&amp;"-01"),9),'📋 Транзакції'!$C$5:$C$3623,"&lt;"&amp;EDATE(DATEVALUE(C96&amp;"-01"),10))&gt;0,1,0)</f>
        <v>0</v>
      </c>
      <c r="Q96" s="37">
        <f>IF(COUNTIFS('📋 Транзакції'!$B$5:$B$3623,A96,'📋 Транзакції'!$C$5:$C$3623,"&gt;="&amp;EDATE(DATEVALUE(C96&amp;"-01"),10),'📋 Транзакції'!$C$5:$C$3623,"&lt;"&amp;EDATE(DATEVALUE(C96&amp;"-01"),11))&gt;0,1,0)</f>
        <v>0</v>
      </c>
      <c r="R96" s="37">
        <f>IF(COUNTIFS('📋 Транзакції'!$B$5:$B$3623,A96,'📋 Транзакції'!$C$5:$C$3623,"&gt;="&amp;EDATE(DATEVALUE(C96&amp;"-01"),11),'📋 Транзакції'!$C$5:$C$3623,"&lt;"&amp;EDATE(DATEVALUE(C96&amp;"-01"),12))&gt;0,1,0)</f>
        <v>0</v>
      </c>
      <c r="S96" s="37">
        <f>SUMIFS('📋 Транзакції'!$F$5:$F$3623,'📋 Транзакції'!$B$5:$B$3623,A96,'📋 Транзакції'!$C$5:$C$3623,"&gt;="&amp;EDATE(DATEVALUE(C96&amp;"-01"),0),'📋 Транзакції'!$C$5:$C$3623,"&lt;"&amp;EDATE(DATEVALUE(C96&amp;"-01"),1))</f>
        <v>19.99</v>
      </c>
      <c r="T96" s="37">
        <f>SUMIFS('📋 Транзакції'!$F$5:$F$3623,'📋 Транзакції'!$B$5:$B$3623,A96,'📋 Транзакції'!$C$5:$C$3623,"&gt;="&amp;EDATE(DATEVALUE(C96&amp;"-01"),1),'📋 Транзакції'!$C$5:$C$3623,"&lt;"&amp;EDATE(DATEVALUE(C96&amp;"-01"),2))</f>
        <v>19.99</v>
      </c>
      <c r="U96" s="37">
        <f>SUMIFS('📋 Транзакції'!$F$5:$F$3623,'📋 Транзакції'!$B$5:$B$3623,A96,'📋 Транзакції'!$C$5:$C$3623,"&gt;="&amp;EDATE(DATEVALUE(C96&amp;"-01"),2),'📋 Транзакції'!$C$5:$C$3623,"&lt;"&amp;EDATE(DATEVALUE(C96&amp;"-01"),3))</f>
        <v>19.99</v>
      </c>
      <c r="V96" s="37">
        <f>SUMIFS('📋 Транзакції'!$F$5:$F$3623,'📋 Транзакції'!$B$5:$B$3623,A96,'📋 Транзакції'!$C$5:$C$3623,"&gt;="&amp;EDATE(DATEVALUE(C96&amp;"-01"),3),'📋 Транзакції'!$C$5:$C$3623,"&lt;"&amp;EDATE(DATEVALUE(C96&amp;"-01"),4))</f>
        <v>0</v>
      </c>
      <c r="W96" s="37">
        <f>SUMIFS('📋 Транзакції'!$F$5:$F$3623,'📋 Транзакції'!$B$5:$B$3623,A96,'📋 Транзакції'!$C$5:$C$3623,"&gt;="&amp;EDATE(DATEVALUE(C96&amp;"-01"),4),'📋 Транзакції'!$C$5:$C$3623,"&lt;"&amp;EDATE(DATEVALUE(C96&amp;"-01"),5))</f>
        <v>0</v>
      </c>
      <c r="X96" s="37">
        <f>SUMIFS('📋 Транзакції'!$F$5:$F$3623,'📋 Транзакції'!$B$5:$B$3623,A96,'📋 Транзакції'!$C$5:$C$3623,"&gt;="&amp;EDATE(DATEVALUE(C96&amp;"-01"),5),'📋 Транзакції'!$C$5:$C$3623,"&lt;"&amp;EDATE(DATEVALUE(C96&amp;"-01"),6))</f>
        <v>0</v>
      </c>
      <c r="Y96" s="37">
        <f>SUMIFS('📋 Транзакції'!$F$5:$F$3623,'📋 Транзакції'!$B$5:$B$3623,A96,'📋 Транзакції'!$C$5:$C$3623,"&gt;="&amp;EDATE(DATEVALUE(C96&amp;"-01"),6),'📋 Транзакції'!$C$5:$C$3623,"&lt;"&amp;EDATE(DATEVALUE(C96&amp;"-01"),7))</f>
        <v>0</v>
      </c>
      <c r="Z96" s="37">
        <f>SUMIFS('📋 Транзакції'!$F$5:$F$3623,'📋 Транзакції'!$B$5:$B$3623,A96,'📋 Транзакції'!$C$5:$C$3623,"&gt;="&amp;EDATE(DATEVALUE(C96&amp;"-01"),7),'📋 Транзакції'!$C$5:$C$3623,"&lt;"&amp;EDATE(DATEVALUE(C96&amp;"-01"),8))</f>
        <v>0</v>
      </c>
      <c r="AA96" s="37">
        <f>SUMIFS('📋 Транзакції'!$F$5:$F$3623,'📋 Транзакції'!$B$5:$B$3623,A96,'📋 Транзакції'!$C$5:$C$3623,"&gt;="&amp;EDATE(DATEVALUE(C96&amp;"-01"),8),'📋 Транзакції'!$C$5:$C$3623,"&lt;"&amp;EDATE(DATEVALUE(C96&amp;"-01"),9))</f>
        <v>0</v>
      </c>
      <c r="AB96" s="37">
        <f>SUMIFS('📋 Транзакції'!$F$5:$F$3623,'📋 Транзакції'!$B$5:$B$3623,A96,'📋 Транзакції'!$C$5:$C$3623,"&gt;="&amp;EDATE(DATEVALUE(C96&amp;"-01"),9),'📋 Транзакції'!$C$5:$C$3623,"&lt;"&amp;EDATE(DATEVALUE(C96&amp;"-01"),10))</f>
        <v>0</v>
      </c>
      <c r="AC96" s="37">
        <f>SUMIFS('📋 Транзакції'!$F$5:$F$3623,'📋 Транзакції'!$B$5:$B$3623,A96,'📋 Транзакції'!$C$5:$C$3623,"&gt;="&amp;EDATE(DATEVALUE(C96&amp;"-01"),10),'📋 Транзакції'!$C$5:$C$3623,"&lt;"&amp;EDATE(DATEVALUE(C96&amp;"-01"),11))</f>
        <v>0</v>
      </c>
      <c r="AD96" s="37">
        <f>SUMIFS('📋 Транзакції'!$F$5:$F$3623,'📋 Транзакції'!$B$5:$B$3623,A96,'📋 Транзакції'!$C$5:$C$3623,"&gt;="&amp;EDATE(DATEVALUE(C96&amp;"-01"),11),'📋 Транзакції'!$C$5:$C$3623,"&lt;"&amp;EDATE(DATEVALUE(C96&amp;"-01"),12))</f>
        <v>0</v>
      </c>
    </row>
    <row r="97" ht="15.75" customHeight="1">
      <c r="A97" s="33" t="str">
        <f>'📋 Реєстрації'!A97:A698</f>
        <v>U0755</v>
      </c>
      <c r="B97" s="34">
        <f t="array" ref="B97">INDEX('📋 Транзакції'!$C$5:$C$3623,MATCH(A97,'📋 Транзакції'!$B$5:$B$3623,0))</f>
        <v>45391</v>
      </c>
      <c r="C97" s="35" t="str">
        <f t="shared" si="1"/>
        <v>2024-04</v>
      </c>
      <c r="D97" s="36">
        <f>COUNTIF('📋 Транзакції'!$B$5:$B$3623,A97)</f>
        <v>13</v>
      </c>
      <c r="E97" s="36">
        <f>SUMIF('📋 Транзакції'!$B$5:$B$3623,A97,'📋 Транзакції'!$F$5:$F$3623)</f>
        <v>239.88</v>
      </c>
      <c r="F97" s="35">
        <f>INT($A$1-MAXIFS('📋 Транзакції'!$C$5:$C$3623,'📋 Транзакції'!$B$5:$B$3623,A97))</f>
        <v>19</v>
      </c>
      <c r="G97" s="37">
        <f>IF(COUNTIFS('📋 Транзакції'!$B$5:$B$3623,A97,'📋 Транзакції'!$C$5:$C$3623,"&gt;="&amp;EDATE(DATEVALUE(C97&amp;"-01"),0),'📋 Транзакції'!$C$5:$C$3623,"&lt;"&amp;EDATE(DATEVALUE(C97&amp;"-01"),1))&gt;0,1,0)</f>
        <v>1</v>
      </c>
      <c r="H97" s="37">
        <f>IF(COUNTIFS('📋 Транзакції'!$B$5:$B$3623,A97,'📋 Транзакції'!$C$5:$C$3623,"&gt;="&amp;EDATE(DATEVALUE(C97&amp;"-01"),1),'📋 Транзакції'!$C$5:$C$3623,"&lt;"&amp;EDATE(DATEVALUE(C97&amp;"-01"),2))&gt;0,1,0)</f>
        <v>1</v>
      </c>
      <c r="I97" s="37">
        <f>IF(COUNTIFS('📋 Транзакції'!$B$5:$B$3623,A97,'📋 Транзакції'!$C$5:$C$3623,"&gt;="&amp;EDATE(DATEVALUE(C97&amp;"-01"),2),'📋 Транзакції'!$C$5:$C$3623,"&lt;"&amp;EDATE(DATEVALUE(C97&amp;"-01"),3))&gt;0,1,0)</f>
        <v>1</v>
      </c>
      <c r="J97" s="37">
        <f>IF(COUNTIFS('📋 Транзакції'!$B$5:$B$3623,A97,'📋 Транзакції'!$C$5:$C$3623,"&gt;="&amp;EDATE(DATEVALUE(C97&amp;"-01"),3),'📋 Транзакції'!$C$5:$C$3623,"&lt;"&amp;EDATE(DATEVALUE(C97&amp;"-01"),4))&gt;0,1,0)</f>
        <v>1</v>
      </c>
      <c r="K97" s="37">
        <f>IF(COUNTIFS('📋 Транзакції'!$B$5:$B$3623,A97,'📋 Транзакції'!$C$5:$C$3623,"&gt;="&amp;EDATE(DATEVALUE(C97&amp;"-01"),4),'📋 Транзакції'!$C$5:$C$3623,"&lt;"&amp;EDATE(DATEVALUE(C97&amp;"-01"),5))&gt;0,1,0)</f>
        <v>1</v>
      </c>
      <c r="L97" s="37">
        <f>IF(COUNTIFS('📋 Транзакції'!$B$5:$B$3623,A97,'📋 Транзакції'!$C$5:$C$3623,"&gt;="&amp;EDATE(DATEVALUE(C97&amp;"-01"),5),'📋 Транзакції'!$C$5:$C$3623,"&lt;"&amp;EDATE(DATEVALUE(C97&amp;"-01"),6))&gt;0,1,0)</f>
        <v>1</v>
      </c>
      <c r="M97" s="37">
        <f>IF(COUNTIFS('📋 Транзакції'!$B$5:$B$3623,A97,'📋 Транзакції'!$C$5:$C$3623,"&gt;="&amp;EDATE(DATEVALUE(C97&amp;"-01"),6),'📋 Транзакції'!$C$5:$C$3623,"&lt;"&amp;EDATE(DATEVALUE(C97&amp;"-01"),7))&gt;0,1,0)</f>
        <v>1</v>
      </c>
      <c r="N97" s="37">
        <f>IF(COUNTIFS('📋 Транзакції'!$B$5:$B$3623,A97,'📋 Транзакції'!$C$5:$C$3623,"&gt;="&amp;EDATE(DATEVALUE(C97&amp;"-01"),7),'📋 Транзакції'!$C$5:$C$3623,"&lt;"&amp;EDATE(DATEVALUE(C97&amp;"-01"),8))&gt;0,1,0)</f>
        <v>1</v>
      </c>
      <c r="O97" s="37">
        <f>IF(COUNTIFS('📋 Транзакції'!$B$5:$B$3623,A97,'📋 Транзакції'!$C$5:$C$3623,"&gt;="&amp;EDATE(DATEVALUE(C97&amp;"-01"),8),'📋 Транзакції'!$C$5:$C$3623,"&lt;"&amp;EDATE(DATEVALUE(C97&amp;"-01"),9))&gt;0,1,0)</f>
        <v>1</v>
      </c>
      <c r="P97" s="37">
        <f>IF(COUNTIFS('📋 Транзакції'!$B$5:$B$3623,A97,'📋 Транзакції'!$C$5:$C$3623,"&gt;="&amp;EDATE(DATEVALUE(C97&amp;"-01"),9),'📋 Транзакції'!$C$5:$C$3623,"&lt;"&amp;EDATE(DATEVALUE(C97&amp;"-01"),10))&gt;0,1,0)</f>
        <v>1</v>
      </c>
      <c r="Q97" s="37">
        <f>IF(COUNTIFS('📋 Транзакції'!$B$5:$B$3623,A97,'📋 Транзакції'!$C$5:$C$3623,"&gt;="&amp;EDATE(DATEVALUE(C97&amp;"-01"),10),'📋 Транзакції'!$C$5:$C$3623,"&lt;"&amp;EDATE(DATEVALUE(C97&amp;"-01"),11))&gt;0,1,0)</f>
        <v>1</v>
      </c>
      <c r="R97" s="37">
        <f>IF(COUNTIFS('📋 Транзакції'!$B$5:$B$3623,A97,'📋 Транзакції'!$C$5:$C$3623,"&gt;="&amp;EDATE(DATEVALUE(C97&amp;"-01"),11),'📋 Транзакції'!$C$5:$C$3623,"&lt;"&amp;EDATE(DATEVALUE(C97&amp;"-01"),12))&gt;0,1,0)</f>
        <v>1</v>
      </c>
      <c r="S97" s="37">
        <f>SUMIFS('📋 Транзакції'!$F$5:$F$3623,'📋 Транзакції'!$B$5:$B$3623,A97,'📋 Транзакції'!$C$5:$C$3623,"&gt;="&amp;EDATE(DATEVALUE(C97&amp;"-01"),0),'📋 Транзакції'!$C$5:$C$3623,"&lt;"&amp;EDATE(DATEVALUE(C97&amp;"-01"),1))</f>
        <v>19.99</v>
      </c>
      <c r="T97" s="37">
        <f>SUMIFS('📋 Транзакції'!$F$5:$F$3623,'📋 Транзакції'!$B$5:$B$3623,A97,'📋 Транзакції'!$C$5:$C$3623,"&gt;="&amp;EDATE(DATEVALUE(C97&amp;"-01"),1),'📋 Транзакції'!$C$5:$C$3623,"&lt;"&amp;EDATE(DATEVALUE(C97&amp;"-01"),2))</f>
        <v>19.99</v>
      </c>
      <c r="U97" s="37">
        <f>SUMIFS('📋 Транзакції'!$F$5:$F$3623,'📋 Транзакції'!$B$5:$B$3623,A97,'📋 Транзакції'!$C$5:$C$3623,"&gt;="&amp;EDATE(DATEVALUE(C97&amp;"-01"),2),'📋 Транзакції'!$C$5:$C$3623,"&lt;"&amp;EDATE(DATEVALUE(C97&amp;"-01"),3))</f>
        <v>19.99</v>
      </c>
      <c r="V97" s="37">
        <f>SUMIFS('📋 Транзакції'!$F$5:$F$3623,'📋 Транзакції'!$B$5:$B$3623,A97,'📋 Транзакції'!$C$5:$C$3623,"&gt;="&amp;EDATE(DATEVALUE(C97&amp;"-01"),3),'📋 Транзакції'!$C$5:$C$3623,"&lt;"&amp;EDATE(DATEVALUE(C97&amp;"-01"),4))</f>
        <v>19.99</v>
      </c>
      <c r="W97" s="37">
        <f>SUMIFS('📋 Транзакції'!$F$5:$F$3623,'📋 Транзакції'!$B$5:$B$3623,A97,'📋 Транзакції'!$C$5:$C$3623,"&gt;="&amp;EDATE(DATEVALUE(C97&amp;"-01"),4),'📋 Транзакції'!$C$5:$C$3623,"&lt;"&amp;EDATE(DATEVALUE(C97&amp;"-01"),5))</f>
        <v>19.99</v>
      </c>
      <c r="X97" s="37">
        <f>SUMIFS('📋 Транзакції'!$F$5:$F$3623,'📋 Транзакції'!$B$5:$B$3623,A97,'📋 Транзакції'!$C$5:$C$3623,"&gt;="&amp;EDATE(DATEVALUE(C97&amp;"-01"),5),'📋 Транзакції'!$C$5:$C$3623,"&lt;"&amp;EDATE(DATEVALUE(C97&amp;"-01"),6))</f>
        <v>19.99</v>
      </c>
      <c r="Y97" s="37">
        <f>SUMIFS('📋 Транзакції'!$F$5:$F$3623,'📋 Транзакції'!$B$5:$B$3623,A97,'📋 Транзакції'!$C$5:$C$3623,"&gt;="&amp;EDATE(DATEVALUE(C97&amp;"-01"),6),'📋 Транзакції'!$C$5:$C$3623,"&lt;"&amp;EDATE(DATEVALUE(C97&amp;"-01"),7))</f>
        <v>19.99</v>
      </c>
      <c r="Z97" s="37">
        <f>SUMIFS('📋 Транзакції'!$F$5:$F$3623,'📋 Транзакції'!$B$5:$B$3623,A97,'📋 Транзакції'!$C$5:$C$3623,"&gt;="&amp;EDATE(DATEVALUE(C97&amp;"-01"),7),'📋 Транзакції'!$C$5:$C$3623,"&lt;"&amp;EDATE(DATEVALUE(C97&amp;"-01"),8))</f>
        <v>19.99</v>
      </c>
      <c r="AA97" s="37">
        <f>SUMIFS('📋 Транзакції'!$F$5:$F$3623,'📋 Транзакції'!$B$5:$B$3623,A97,'📋 Транзакції'!$C$5:$C$3623,"&gt;="&amp;EDATE(DATEVALUE(C97&amp;"-01"),8),'📋 Транзакції'!$C$5:$C$3623,"&lt;"&amp;EDATE(DATEVALUE(C97&amp;"-01"),9))</f>
        <v>19.99</v>
      </c>
      <c r="AB97" s="37">
        <f>SUMIFS('📋 Транзакції'!$F$5:$F$3623,'📋 Транзакції'!$B$5:$B$3623,A97,'📋 Транзакції'!$C$5:$C$3623,"&gt;="&amp;EDATE(DATEVALUE(C97&amp;"-01"),9),'📋 Транзакції'!$C$5:$C$3623,"&lt;"&amp;EDATE(DATEVALUE(C97&amp;"-01"),10))</f>
        <v>19.99</v>
      </c>
      <c r="AC97" s="37">
        <f>SUMIFS('📋 Транзакції'!$F$5:$F$3623,'📋 Транзакції'!$B$5:$B$3623,A97,'📋 Транзакції'!$C$5:$C$3623,"&gt;="&amp;EDATE(DATEVALUE(C97&amp;"-01"),10),'📋 Транзакції'!$C$5:$C$3623,"&lt;"&amp;EDATE(DATEVALUE(C97&amp;"-01"),11))</f>
        <v>19.99</v>
      </c>
      <c r="AD97" s="37">
        <f>SUMIFS('📋 Транзакції'!$F$5:$F$3623,'📋 Транзакції'!$B$5:$B$3623,A97,'📋 Транзакції'!$C$5:$C$3623,"&gt;="&amp;EDATE(DATEVALUE(C97&amp;"-01"),11),'📋 Транзакції'!$C$5:$C$3623,"&lt;"&amp;EDATE(DATEVALUE(C97&amp;"-01"),12))</f>
        <v>19.99</v>
      </c>
    </row>
    <row r="98" ht="15.75" customHeight="1">
      <c r="A98" s="33" t="str">
        <f>'📋 Реєстрації'!A98:A699</f>
        <v>U0791</v>
      </c>
      <c r="B98" s="34">
        <f t="array" ref="B98">INDEX('📋 Транзакції'!$C$5:$C$3623,MATCH(A98,'📋 Транзакції'!$B$5:$B$3623,0))</f>
        <v>45392</v>
      </c>
      <c r="C98" s="35" t="str">
        <f t="shared" si="1"/>
        <v>2024-04</v>
      </c>
      <c r="D98" s="36">
        <f>COUNTIF('📋 Транзакції'!$B$5:$B$3623,A98)</f>
        <v>13</v>
      </c>
      <c r="E98" s="36">
        <f>SUMIF('📋 Транзакції'!$B$5:$B$3623,A98,'📋 Транзакції'!$F$5:$F$3623)</f>
        <v>239.88</v>
      </c>
      <c r="F98" s="35">
        <f>INT($A$1-MAXIFS('📋 Транзакції'!$C$5:$C$3623,'📋 Транзакції'!$B$5:$B$3623,A98))</f>
        <v>18</v>
      </c>
      <c r="G98" s="37">
        <f>IF(COUNTIFS('📋 Транзакції'!$B$5:$B$3623,A98,'📋 Транзакції'!$C$5:$C$3623,"&gt;="&amp;EDATE(DATEVALUE(C98&amp;"-01"),0),'📋 Транзакції'!$C$5:$C$3623,"&lt;"&amp;EDATE(DATEVALUE(C98&amp;"-01"),1))&gt;0,1,0)</f>
        <v>1</v>
      </c>
      <c r="H98" s="37">
        <f>IF(COUNTIFS('📋 Транзакції'!$B$5:$B$3623,A98,'📋 Транзакції'!$C$5:$C$3623,"&gt;="&amp;EDATE(DATEVALUE(C98&amp;"-01"),1),'📋 Транзакції'!$C$5:$C$3623,"&lt;"&amp;EDATE(DATEVALUE(C98&amp;"-01"),2))&gt;0,1,0)</f>
        <v>1</v>
      </c>
      <c r="I98" s="37">
        <f>IF(COUNTIFS('📋 Транзакції'!$B$5:$B$3623,A98,'📋 Транзакції'!$C$5:$C$3623,"&gt;="&amp;EDATE(DATEVALUE(C98&amp;"-01"),2),'📋 Транзакції'!$C$5:$C$3623,"&lt;"&amp;EDATE(DATEVALUE(C98&amp;"-01"),3))&gt;0,1,0)</f>
        <v>1</v>
      </c>
      <c r="J98" s="37">
        <f>IF(COUNTIFS('📋 Транзакції'!$B$5:$B$3623,A98,'📋 Транзакції'!$C$5:$C$3623,"&gt;="&amp;EDATE(DATEVALUE(C98&amp;"-01"),3),'📋 Транзакції'!$C$5:$C$3623,"&lt;"&amp;EDATE(DATEVALUE(C98&amp;"-01"),4))&gt;0,1,0)</f>
        <v>1</v>
      </c>
      <c r="K98" s="37">
        <f>IF(COUNTIFS('📋 Транзакції'!$B$5:$B$3623,A98,'📋 Транзакції'!$C$5:$C$3623,"&gt;="&amp;EDATE(DATEVALUE(C98&amp;"-01"),4),'📋 Транзакції'!$C$5:$C$3623,"&lt;"&amp;EDATE(DATEVALUE(C98&amp;"-01"),5))&gt;0,1,0)</f>
        <v>1</v>
      </c>
      <c r="L98" s="37">
        <f>IF(COUNTIFS('📋 Транзакції'!$B$5:$B$3623,A98,'📋 Транзакції'!$C$5:$C$3623,"&gt;="&amp;EDATE(DATEVALUE(C98&amp;"-01"),5),'📋 Транзакції'!$C$5:$C$3623,"&lt;"&amp;EDATE(DATEVALUE(C98&amp;"-01"),6))&gt;0,1,0)</f>
        <v>1</v>
      </c>
      <c r="M98" s="37">
        <f>IF(COUNTIFS('📋 Транзакції'!$B$5:$B$3623,A98,'📋 Транзакції'!$C$5:$C$3623,"&gt;="&amp;EDATE(DATEVALUE(C98&amp;"-01"),6),'📋 Транзакції'!$C$5:$C$3623,"&lt;"&amp;EDATE(DATEVALUE(C98&amp;"-01"),7))&gt;0,1,0)</f>
        <v>1</v>
      </c>
      <c r="N98" s="37">
        <f>IF(COUNTIFS('📋 Транзакції'!$B$5:$B$3623,A98,'📋 Транзакції'!$C$5:$C$3623,"&gt;="&amp;EDATE(DATEVALUE(C98&amp;"-01"),7),'📋 Транзакції'!$C$5:$C$3623,"&lt;"&amp;EDATE(DATEVALUE(C98&amp;"-01"),8))&gt;0,1,0)</f>
        <v>1</v>
      </c>
      <c r="O98" s="37">
        <f>IF(COUNTIFS('📋 Транзакції'!$B$5:$B$3623,A98,'📋 Транзакції'!$C$5:$C$3623,"&gt;="&amp;EDATE(DATEVALUE(C98&amp;"-01"),8),'📋 Транзакції'!$C$5:$C$3623,"&lt;"&amp;EDATE(DATEVALUE(C98&amp;"-01"),9))&gt;0,1,0)</f>
        <v>1</v>
      </c>
      <c r="P98" s="37">
        <f>IF(COUNTIFS('📋 Транзакції'!$B$5:$B$3623,A98,'📋 Транзакції'!$C$5:$C$3623,"&gt;="&amp;EDATE(DATEVALUE(C98&amp;"-01"),9),'📋 Транзакції'!$C$5:$C$3623,"&lt;"&amp;EDATE(DATEVALUE(C98&amp;"-01"),10))&gt;0,1,0)</f>
        <v>1</v>
      </c>
      <c r="Q98" s="37">
        <f>IF(COUNTIFS('📋 Транзакції'!$B$5:$B$3623,A98,'📋 Транзакції'!$C$5:$C$3623,"&gt;="&amp;EDATE(DATEVALUE(C98&amp;"-01"),10),'📋 Транзакції'!$C$5:$C$3623,"&lt;"&amp;EDATE(DATEVALUE(C98&amp;"-01"),11))&gt;0,1,0)</f>
        <v>1</v>
      </c>
      <c r="R98" s="37">
        <f>IF(COUNTIFS('📋 Транзакції'!$B$5:$B$3623,A98,'📋 Транзакції'!$C$5:$C$3623,"&gt;="&amp;EDATE(DATEVALUE(C98&amp;"-01"),11),'📋 Транзакції'!$C$5:$C$3623,"&lt;"&amp;EDATE(DATEVALUE(C98&amp;"-01"),12))&gt;0,1,0)</f>
        <v>1</v>
      </c>
      <c r="S98" s="37">
        <f>SUMIFS('📋 Транзакції'!$F$5:$F$3623,'📋 Транзакції'!$B$5:$B$3623,A98,'📋 Транзакції'!$C$5:$C$3623,"&gt;="&amp;EDATE(DATEVALUE(C98&amp;"-01"),0),'📋 Транзакції'!$C$5:$C$3623,"&lt;"&amp;EDATE(DATEVALUE(C98&amp;"-01"),1))</f>
        <v>19.99</v>
      </c>
      <c r="T98" s="37">
        <f>SUMIFS('📋 Транзакції'!$F$5:$F$3623,'📋 Транзакції'!$B$5:$B$3623,A98,'📋 Транзакції'!$C$5:$C$3623,"&gt;="&amp;EDATE(DATEVALUE(C98&amp;"-01"),1),'📋 Транзакції'!$C$5:$C$3623,"&lt;"&amp;EDATE(DATEVALUE(C98&amp;"-01"),2))</f>
        <v>19.99</v>
      </c>
      <c r="U98" s="37">
        <f>SUMIFS('📋 Транзакції'!$F$5:$F$3623,'📋 Транзакції'!$B$5:$B$3623,A98,'📋 Транзакції'!$C$5:$C$3623,"&gt;="&amp;EDATE(DATEVALUE(C98&amp;"-01"),2),'📋 Транзакції'!$C$5:$C$3623,"&lt;"&amp;EDATE(DATEVALUE(C98&amp;"-01"),3))</f>
        <v>19.99</v>
      </c>
      <c r="V98" s="37">
        <f>SUMIFS('📋 Транзакції'!$F$5:$F$3623,'📋 Транзакції'!$B$5:$B$3623,A98,'📋 Транзакції'!$C$5:$C$3623,"&gt;="&amp;EDATE(DATEVALUE(C98&amp;"-01"),3),'📋 Транзакції'!$C$5:$C$3623,"&lt;"&amp;EDATE(DATEVALUE(C98&amp;"-01"),4))</f>
        <v>19.99</v>
      </c>
      <c r="W98" s="37">
        <f>SUMIFS('📋 Транзакції'!$F$5:$F$3623,'📋 Транзакції'!$B$5:$B$3623,A98,'📋 Транзакції'!$C$5:$C$3623,"&gt;="&amp;EDATE(DATEVALUE(C98&amp;"-01"),4),'📋 Транзакції'!$C$5:$C$3623,"&lt;"&amp;EDATE(DATEVALUE(C98&amp;"-01"),5))</f>
        <v>19.99</v>
      </c>
      <c r="X98" s="37">
        <f>SUMIFS('📋 Транзакції'!$F$5:$F$3623,'📋 Транзакції'!$B$5:$B$3623,A98,'📋 Транзакції'!$C$5:$C$3623,"&gt;="&amp;EDATE(DATEVALUE(C98&amp;"-01"),5),'📋 Транзакції'!$C$5:$C$3623,"&lt;"&amp;EDATE(DATEVALUE(C98&amp;"-01"),6))</f>
        <v>19.99</v>
      </c>
      <c r="Y98" s="37">
        <f>SUMIFS('📋 Транзакції'!$F$5:$F$3623,'📋 Транзакції'!$B$5:$B$3623,A98,'📋 Транзакції'!$C$5:$C$3623,"&gt;="&amp;EDATE(DATEVALUE(C98&amp;"-01"),6),'📋 Транзакції'!$C$5:$C$3623,"&lt;"&amp;EDATE(DATEVALUE(C98&amp;"-01"),7))</f>
        <v>19.99</v>
      </c>
      <c r="Z98" s="37">
        <f>SUMIFS('📋 Транзакції'!$F$5:$F$3623,'📋 Транзакції'!$B$5:$B$3623,A98,'📋 Транзакції'!$C$5:$C$3623,"&gt;="&amp;EDATE(DATEVALUE(C98&amp;"-01"),7),'📋 Транзакції'!$C$5:$C$3623,"&lt;"&amp;EDATE(DATEVALUE(C98&amp;"-01"),8))</f>
        <v>19.99</v>
      </c>
      <c r="AA98" s="37">
        <f>SUMIFS('📋 Транзакції'!$F$5:$F$3623,'📋 Транзакції'!$B$5:$B$3623,A98,'📋 Транзакції'!$C$5:$C$3623,"&gt;="&amp;EDATE(DATEVALUE(C98&amp;"-01"),8),'📋 Транзакції'!$C$5:$C$3623,"&lt;"&amp;EDATE(DATEVALUE(C98&amp;"-01"),9))</f>
        <v>19.99</v>
      </c>
      <c r="AB98" s="37">
        <f>SUMIFS('📋 Транзакції'!$F$5:$F$3623,'📋 Транзакції'!$B$5:$B$3623,A98,'📋 Транзакції'!$C$5:$C$3623,"&gt;="&amp;EDATE(DATEVALUE(C98&amp;"-01"),9),'📋 Транзакції'!$C$5:$C$3623,"&lt;"&amp;EDATE(DATEVALUE(C98&amp;"-01"),10))</f>
        <v>19.99</v>
      </c>
      <c r="AC98" s="37">
        <f>SUMIFS('📋 Транзакції'!$F$5:$F$3623,'📋 Транзакції'!$B$5:$B$3623,A98,'📋 Транзакції'!$C$5:$C$3623,"&gt;="&amp;EDATE(DATEVALUE(C98&amp;"-01"),10),'📋 Транзакції'!$C$5:$C$3623,"&lt;"&amp;EDATE(DATEVALUE(C98&amp;"-01"),11))</f>
        <v>19.99</v>
      </c>
      <c r="AD98" s="37">
        <f>SUMIFS('📋 Транзакції'!$F$5:$F$3623,'📋 Транзакції'!$B$5:$B$3623,A98,'📋 Транзакції'!$C$5:$C$3623,"&gt;="&amp;EDATE(DATEVALUE(C98&amp;"-01"),11),'📋 Транзакції'!$C$5:$C$3623,"&lt;"&amp;EDATE(DATEVALUE(C98&amp;"-01"),12))</f>
        <v>19.99</v>
      </c>
    </row>
    <row r="99" ht="15.75" customHeight="1">
      <c r="A99" s="33" t="str">
        <f>'📋 Реєстрації'!A99:A700</f>
        <v>U0577</v>
      </c>
      <c r="B99" s="34">
        <f t="array" ref="B99">INDEX('📋 Транзакції'!$C$5:$C$3623,MATCH(A99,'📋 Транзакції'!$B$5:$B$3623,0))</f>
        <v>45394</v>
      </c>
      <c r="C99" s="35" t="str">
        <f t="shared" si="1"/>
        <v>2024-04</v>
      </c>
      <c r="D99" s="36">
        <f>COUNTIF('📋 Транзакції'!$B$5:$B$3623,A99)</f>
        <v>3</v>
      </c>
      <c r="E99" s="36">
        <f>SUMIF('📋 Транзакції'!$B$5:$B$3623,A99,'📋 Транзакції'!$F$5:$F$3623)</f>
        <v>39.98</v>
      </c>
      <c r="F99" s="35">
        <f>INT($A$1-MAXIFS('📋 Транзакції'!$C$5:$C$3623,'📋 Транзакції'!$B$5:$B$3623,A99))</f>
        <v>316</v>
      </c>
      <c r="G99" s="37">
        <f>IF(COUNTIFS('📋 Транзакції'!$B$5:$B$3623,A99,'📋 Транзакції'!$C$5:$C$3623,"&gt;="&amp;EDATE(DATEVALUE(C99&amp;"-01"),0),'📋 Транзакції'!$C$5:$C$3623,"&lt;"&amp;EDATE(DATEVALUE(C99&amp;"-01"),1))&gt;0,1,0)</f>
        <v>1</v>
      </c>
      <c r="H99" s="37">
        <f>IF(COUNTIFS('📋 Транзакції'!$B$5:$B$3623,A99,'📋 Транзакції'!$C$5:$C$3623,"&gt;="&amp;EDATE(DATEVALUE(C99&amp;"-01"),1),'📋 Транзакції'!$C$5:$C$3623,"&lt;"&amp;EDATE(DATEVALUE(C99&amp;"-01"),2))&gt;0,1,0)</f>
        <v>1</v>
      </c>
      <c r="I99" s="37">
        <f>IF(COUNTIFS('📋 Транзакції'!$B$5:$B$3623,A99,'📋 Транзакції'!$C$5:$C$3623,"&gt;="&amp;EDATE(DATEVALUE(C99&amp;"-01"),2),'📋 Транзакції'!$C$5:$C$3623,"&lt;"&amp;EDATE(DATEVALUE(C99&amp;"-01"),3))&gt;0,1,0)</f>
        <v>0</v>
      </c>
      <c r="J99" s="37">
        <f>IF(COUNTIFS('📋 Транзакції'!$B$5:$B$3623,A99,'📋 Транзакції'!$C$5:$C$3623,"&gt;="&amp;EDATE(DATEVALUE(C99&amp;"-01"),3),'📋 Транзакції'!$C$5:$C$3623,"&lt;"&amp;EDATE(DATEVALUE(C99&amp;"-01"),4))&gt;0,1,0)</f>
        <v>0</v>
      </c>
      <c r="K99" s="37">
        <f>IF(COUNTIFS('📋 Транзакції'!$B$5:$B$3623,A99,'📋 Транзакції'!$C$5:$C$3623,"&gt;="&amp;EDATE(DATEVALUE(C99&amp;"-01"),4),'📋 Транзакції'!$C$5:$C$3623,"&lt;"&amp;EDATE(DATEVALUE(C99&amp;"-01"),5))&gt;0,1,0)</f>
        <v>0</v>
      </c>
      <c r="L99" s="37">
        <f>IF(COUNTIFS('📋 Транзакції'!$B$5:$B$3623,A99,'📋 Транзакції'!$C$5:$C$3623,"&gt;="&amp;EDATE(DATEVALUE(C99&amp;"-01"),5),'📋 Транзакції'!$C$5:$C$3623,"&lt;"&amp;EDATE(DATEVALUE(C99&amp;"-01"),6))&gt;0,1,0)</f>
        <v>0</v>
      </c>
      <c r="M99" s="37">
        <f>IF(COUNTIFS('📋 Транзакції'!$B$5:$B$3623,A99,'📋 Транзакції'!$C$5:$C$3623,"&gt;="&amp;EDATE(DATEVALUE(C99&amp;"-01"),6),'📋 Транзакції'!$C$5:$C$3623,"&lt;"&amp;EDATE(DATEVALUE(C99&amp;"-01"),7))&gt;0,1,0)</f>
        <v>0</v>
      </c>
      <c r="N99" s="37">
        <f>IF(COUNTIFS('📋 Транзакції'!$B$5:$B$3623,A99,'📋 Транзакції'!$C$5:$C$3623,"&gt;="&amp;EDATE(DATEVALUE(C99&amp;"-01"),7),'📋 Транзакції'!$C$5:$C$3623,"&lt;"&amp;EDATE(DATEVALUE(C99&amp;"-01"),8))&gt;0,1,0)</f>
        <v>0</v>
      </c>
      <c r="O99" s="37">
        <f>IF(COUNTIFS('📋 Транзакції'!$B$5:$B$3623,A99,'📋 Транзакції'!$C$5:$C$3623,"&gt;="&amp;EDATE(DATEVALUE(C99&amp;"-01"),8),'📋 Транзакції'!$C$5:$C$3623,"&lt;"&amp;EDATE(DATEVALUE(C99&amp;"-01"),9))&gt;0,1,0)</f>
        <v>0</v>
      </c>
      <c r="P99" s="37">
        <f>IF(COUNTIFS('📋 Транзакції'!$B$5:$B$3623,A99,'📋 Транзакції'!$C$5:$C$3623,"&gt;="&amp;EDATE(DATEVALUE(C99&amp;"-01"),9),'📋 Транзакції'!$C$5:$C$3623,"&lt;"&amp;EDATE(DATEVALUE(C99&amp;"-01"),10))&gt;0,1,0)</f>
        <v>0</v>
      </c>
      <c r="Q99" s="37">
        <f>IF(COUNTIFS('📋 Транзакції'!$B$5:$B$3623,A99,'📋 Транзакції'!$C$5:$C$3623,"&gt;="&amp;EDATE(DATEVALUE(C99&amp;"-01"),10),'📋 Транзакції'!$C$5:$C$3623,"&lt;"&amp;EDATE(DATEVALUE(C99&amp;"-01"),11))&gt;0,1,0)</f>
        <v>0</v>
      </c>
      <c r="R99" s="37">
        <f>IF(COUNTIFS('📋 Транзакції'!$B$5:$B$3623,A99,'📋 Транзакції'!$C$5:$C$3623,"&gt;="&amp;EDATE(DATEVALUE(C99&amp;"-01"),11),'📋 Транзакції'!$C$5:$C$3623,"&lt;"&amp;EDATE(DATEVALUE(C99&amp;"-01"),12))&gt;0,1,0)</f>
        <v>0</v>
      </c>
      <c r="S99" s="37">
        <f>SUMIFS('📋 Транзакції'!$F$5:$F$3623,'📋 Транзакції'!$B$5:$B$3623,A99,'📋 Транзакції'!$C$5:$C$3623,"&gt;="&amp;EDATE(DATEVALUE(C99&amp;"-01"),0),'📋 Транзакції'!$C$5:$C$3623,"&lt;"&amp;EDATE(DATEVALUE(C99&amp;"-01"),1))</f>
        <v>19.99</v>
      </c>
      <c r="T99" s="37">
        <f>SUMIFS('📋 Транзакції'!$F$5:$F$3623,'📋 Транзакції'!$B$5:$B$3623,A99,'📋 Транзакції'!$C$5:$C$3623,"&gt;="&amp;EDATE(DATEVALUE(C99&amp;"-01"),1),'📋 Транзакції'!$C$5:$C$3623,"&lt;"&amp;EDATE(DATEVALUE(C99&amp;"-01"),2))</f>
        <v>19.99</v>
      </c>
      <c r="U99" s="37">
        <f>SUMIFS('📋 Транзакції'!$F$5:$F$3623,'📋 Транзакції'!$B$5:$B$3623,A99,'📋 Транзакції'!$C$5:$C$3623,"&gt;="&amp;EDATE(DATEVALUE(C99&amp;"-01"),2),'📋 Транзакції'!$C$5:$C$3623,"&lt;"&amp;EDATE(DATEVALUE(C99&amp;"-01"),3))</f>
        <v>0</v>
      </c>
      <c r="V99" s="37">
        <f>SUMIFS('📋 Транзакції'!$F$5:$F$3623,'📋 Транзакції'!$B$5:$B$3623,A99,'📋 Транзакції'!$C$5:$C$3623,"&gt;="&amp;EDATE(DATEVALUE(C99&amp;"-01"),3),'📋 Транзакції'!$C$5:$C$3623,"&lt;"&amp;EDATE(DATEVALUE(C99&amp;"-01"),4))</f>
        <v>0</v>
      </c>
      <c r="W99" s="37">
        <f>SUMIFS('📋 Транзакції'!$F$5:$F$3623,'📋 Транзакції'!$B$5:$B$3623,A99,'📋 Транзакції'!$C$5:$C$3623,"&gt;="&amp;EDATE(DATEVALUE(C99&amp;"-01"),4),'📋 Транзакції'!$C$5:$C$3623,"&lt;"&amp;EDATE(DATEVALUE(C99&amp;"-01"),5))</f>
        <v>0</v>
      </c>
      <c r="X99" s="37">
        <f>SUMIFS('📋 Транзакції'!$F$5:$F$3623,'📋 Транзакції'!$B$5:$B$3623,A99,'📋 Транзакції'!$C$5:$C$3623,"&gt;="&amp;EDATE(DATEVALUE(C99&amp;"-01"),5),'📋 Транзакції'!$C$5:$C$3623,"&lt;"&amp;EDATE(DATEVALUE(C99&amp;"-01"),6))</f>
        <v>0</v>
      </c>
      <c r="Y99" s="37">
        <f>SUMIFS('📋 Транзакції'!$F$5:$F$3623,'📋 Транзакції'!$B$5:$B$3623,A99,'📋 Транзакції'!$C$5:$C$3623,"&gt;="&amp;EDATE(DATEVALUE(C99&amp;"-01"),6),'📋 Транзакції'!$C$5:$C$3623,"&lt;"&amp;EDATE(DATEVALUE(C99&amp;"-01"),7))</f>
        <v>0</v>
      </c>
      <c r="Z99" s="37">
        <f>SUMIFS('📋 Транзакції'!$F$5:$F$3623,'📋 Транзакції'!$B$5:$B$3623,A99,'📋 Транзакції'!$C$5:$C$3623,"&gt;="&amp;EDATE(DATEVALUE(C99&amp;"-01"),7),'📋 Транзакції'!$C$5:$C$3623,"&lt;"&amp;EDATE(DATEVALUE(C99&amp;"-01"),8))</f>
        <v>0</v>
      </c>
      <c r="AA99" s="37">
        <f>SUMIFS('📋 Транзакції'!$F$5:$F$3623,'📋 Транзакції'!$B$5:$B$3623,A99,'📋 Транзакції'!$C$5:$C$3623,"&gt;="&amp;EDATE(DATEVALUE(C99&amp;"-01"),8),'📋 Транзакції'!$C$5:$C$3623,"&lt;"&amp;EDATE(DATEVALUE(C99&amp;"-01"),9))</f>
        <v>0</v>
      </c>
      <c r="AB99" s="37">
        <f>SUMIFS('📋 Транзакції'!$F$5:$F$3623,'📋 Транзакції'!$B$5:$B$3623,A99,'📋 Транзакції'!$C$5:$C$3623,"&gt;="&amp;EDATE(DATEVALUE(C99&amp;"-01"),9),'📋 Транзакції'!$C$5:$C$3623,"&lt;"&amp;EDATE(DATEVALUE(C99&amp;"-01"),10))</f>
        <v>0</v>
      </c>
      <c r="AC99" s="37">
        <f>SUMIFS('📋 Транзакції'!$F$5:$F$3623,'📋 Транзакції'!$B$5:$B$3623,A99,'📋 Транзакції'!$C$5:$C$3623,"&gt;="&amp;EDATE(DATEVALUE(C99&amp;"-01"),10),'📋 Транзакції'!$C$5:$C$3623,"&lt;"&amp;EDATE(DATEVALUE(C99&amp;"-01"),11))</f>
        <v>0</v>
      </c>
      <c r="AD99" s="37">
        <f>SUMIFS('📋 Транзакції'!$F$5:$F$3623,'📋 Транзакції'!$B$5:$B$3623,A99,'📋 Транзакції'!$C$5:$C$3623,"&gt;="&amp;EDATE(DATEVALUE(C99&amp;"-01"),11),'📋 Транзакції'!$C$5:$C$3623,"&lt;"&amp;EDATE(DATEVALUE(C99&amp;"-01"),12))</f>
        <v>0</v>
      </c>
    </row>
    <row r="100" ht="15.75" customHeight="1">
      <c r="A100" s="33" t="str">
        <f>'📋 Реєстрації'!A100:A701</f>
        <v>U0588</v>
      </c>
      <c r="B100" s="34">
        <f t="array" ref="B100">INDEX('📋 Транзакції'!$C$5:$C$3623,MATCH(A100,'📋 Транзакції'!$B$5:$B$3623,0))</f>
        <v>45395</v>
      </c>
      <c r="C100" s="35" t="str">
        <f t="shared" si="1"/>
        <v>2024-04</v>
      </c>
      <c r="D100" s="36">
        <f>COUNTIF('📋 Транзакції'!$B$5:$B$3623,A100)</f>
        <v>13</v>
      </c>
      <c r="E100" s="36">
        <f>SUMIF('📋 Транзакції'!$B$5:$B$3623,A100,'📋 Транзакції'!$F$5:$F$3623)</f>
        <v>239.88</v>
      </c>
      <c r="F100" s="35">
        <f>INT($A$1-MAXIFS('📋 Транзакції'!$C$5:$C$3623,'📋 Транзакції'!$B$5:$B$3623,A100))</f>
        <v>15</v>
      </c>
      <c r="G100" s="37">
        <f>IF(COUNTIFS('📋 Транзакції'!$B$5:$B$3623,A100,'📋 Транзакції'!$C$5:$C$3623,"&gt;="&amp;EDATE(DATEVALUE(C100&amp;"-01"),0),'📋 Транзакції'!$C$5:$C$3623,"&lt;"&amp;EDATE(DATEVALUE(C100&amp;"-01"),1))&gt;0,1,0)</f>
        <v>1</v>
      </c>
      <c r="H100" s="37">
        <f>IF(COUNTIFS('📋 Транзакції'!$B$5:$B$3623,A100,'📋 Транзакції'!$C$5:$C$3623,"&gt;="&amp;EDATE(DATEVALUE(C100&amp;"-01"),1),'📋 Транзакції'!$C$5:$C$3623,"&lt;"&amp;EDATE(DATEVALUE(C100&amp;"-01"),2))&gt;0,1,0)</f>
        <v>1</v>
      </c>
      <c r="I100" s="37">
        <f>IF(COUNTIFS('📋 Транзакції'!$B$5:$B$3623,A100,'📋 Транзакції'!$C$5:$C$3623,"&gt;="&amp;EDATE(DATEVALUE(C100&amp;"-01"),2),'📋 Транзакції'!$C$5:$C$3623,"&lt;"&amp;EDATE(DATEVALUE(C100&amp;"-01"),3))&gt;0,1,0)</f>
        <v>1</v>
      </c>
      <c r="J100" s="37">
        <f>IF(COUNTIFS('📋 Транзакції'!$B$5:$B$3623,A100,'📋 Транзакції'!$C$5:$C$3623,"&gt;="&amp;EDATE(DATEVALUE(C100&amp;"-01"),3),'📋 Транзакції'!$C$5:$C$3623,"&lt;"&amp;EDATE(DATEVALUE(C100&amp;"-01"),4))&gt;0,1,0)</f>
        <v>1</v>
      </c>
      <c r="K100" s="37">
        <f>IF(COUNTIFS('📋 Транзакції'!$B$5:$B$3623,A100,'📋 Транзакції'!$C$5:$C$3623,"&gt;="&amp;EDATE(DATEVALUE(C100&amp;"-01"),4),'📋 Транзакції'!$C$5:$C$3623,"&lt;"&amp;EDATE(DATEVALUE(C100&amp;"-01"),5))&gt;0,1,0)</f>
        <v>1</v>
      </c>
      <c r="L100" s="37">
        <f>IF(COUNTIFS('📋 Транзакції'!$B$5:$B$3623,A100,'📋 Транзакції'!$C$5:$C$3623,"&gt;="&amp;EDATE(DATEVALUE(C100&amp;"-01"),5),'📋 Транзакції'!$C$5:$C$3623,"&lt;"&amp;EDATE(DATEVALUE(C100&amp;"-01"),6))&gt;0,1,0)</f>
        <v>1</v>
      </c>
      <c r="M100" s="37">
        <f>IF(COUNTIFS('📋 Транзакції'!$B$5:$B$3623,A100,'📋 Транзакції'!$C$5:$C$3623,"&gt;="&amp;EDATE(DATEVALUE(C100&amp;"-01"),6),'📋 Транзакції'!$C$5:$C$3623,"&lt;"&amp;EDATE(DATEVALUE(C100&amp;"-01"),7))&gt;0,1,0)</f>
        <v>1</v>
      </c>
      <c r="N100" s="37">
        <f>IF(COUNTIFS('📋 Транзакції'!$B$5:$B$3623,A100,'📋 Транзакції'!$C$5:$C$3623,"&gt;="&amp;EDATE(DATEVALUE(C100&amp;"-01"),7),'📋 Транзакції'!$C$5:$C$3623,"&lt;"&amp;EDATE(DATEVALUE(C100&amp;"-01"),8))&gt;0,1,0)</f>
        <v>1</v>
      </c>
      <c r="O100" s="37">
        <f>IF(COUNTIFS('📋 Транзакції'!$B$5:$B$3623,A100,'📋 Транзакції'!$C$5:$C$3623,"&gt;="&amp;EDATE(DATEVALUE(C100&amp;"-01"),8),'📋 Транзакції'!$C$5:$C$3623,"&lt;"&amp;EDATE(DATEVALUE(C100&amp;"-01"),9))&gt;0,1,0)</f>
        <v>1</v>
      </c>
      <c r="P100" s="37">
        <f>IF(COUNTIFS('📋 Транзакції'!$B$5:$B$3623,A100,'📋 Транзакції'!$C$5:$C$3623,"&gt;="&amp;EDATE(DATEVALUE(C100&amp;"-01"),9),'📋 Транзакції'!$C$5:$C$3623,"&lt;"&amp;EDATE(DATEVALUE(C100&amp;"-01"),10))&gt;0,1,0)</f>
        <v>1</v>
      </c>
      <c r="Q100" s="37">
        <f>IF(COUNTIFS('📋 Транзакції'!$B$5:$B$3623,A100,'📋 Транзакції'!$C$5:$C$3623,"&gt;="&amp;EDATE(DATEVALUE(C100&amp;"-01"),10),'📋 Транзакції'!$C$5:$C$3623,"&lt;"&amp;EDATE(DATEVALUE(C100&amp;"-01"),11))&gt;0,1,0)</f>
        <v>1</v>
      </c>
      <c r="R100" s="37">
        <f>IF(COUNTIFS('📋 Транзакції'!$B$5:$B$3623,A100,'📋 Транзакції'!$C$5:$C$3623,"&gt;="&amp;EDATE(DATEVALUE(C100&amp;"-01"),11),'📋 Транзакції'!$C$5:$C$3623,"&lt;"&amp;EDATE(DATEVALUE(C100&amp;"-01"),12))&gt;0,1,0)</f>
        <v>1</v>
      </c>
      <c r="S100" s="37">
        <f>SUMIFS('📋 Транзакції'!$F$5:$F$3623,'📋 Транзакції'!$B$5:$B$3623,A100,'📋 Транзакції'!$C$5:$C$3623,"&gt;="&amp;EDATE(DATEVALUE(C100&amp;"-01"),0),'📋 Транзакції'!$C$5:$C$3623,"&lt;"&amp;EDATE(DATEVALUE(C100&amp;"-01"),1))</f>
        <v>19.99</v>
      </c>
      <c r="T100" s="37">
        <f>SUMIFS('📋 Транзакції'!$F$5:$F$3623,'📋 Транзакції'!$B$5:$B$3623,A100,'📋 Транзакції'!$C$5:$C$3623,"&gt;="&amp;EDATE(DATEVALUE(C100&amp;"-01"),1),'📋 Транзакції'!$C$5:$C$3623,"&lt;"&amp;EDATE(DATEVALUE(C100&amp;"-01"),2))</f>
        <v>19.99</v>
      </c>
      <c r="U100" s="37">
        <f>SUMIFS('📋 Транзакції'!$F$5:$F$3623,'📋 Транзакції'!$B$5:$B$3623,A100,'📋 Транзакції'!$C$5:$C$3623,"&gt;="&amp;EDATE(DATEVALUE(C100&amp;"-01"),2),'📋 Транзакції'!$C$5:$C$3623,"&lt;"&amp;EDATE(DATEVALUE(C100&amp;"-01"),3))</f>
        <v>19.99</v>
      </c>
      <c r="V100" s="37">
        <f>SUMIFS('📋 Транзакції'!$F$5:$F$3623,'📋 Транзакції'!$B$5:$B$3623,A100,'📋 Транзакції'!$C$5:$C$3623,"&gt;="&amp;EDATE(DATEVALUE(C100&amp;"-01"),3),'📋 Транзакції'!$C$5:$C$3623,"&lt;"&amp;EDATE(DATEVALUE(C100&amp;"-01"),4))</f>
        <v>19.99</v>
      </c>
      <c r="W100" s="37">
        <f>SUMIFS('📋 Транзакції'!$F$5:$F$3623,'📋 Транзакції'!$B$5:$B$3623,A100,'📋 Транзакції'!$C$5:$C$3623,"&gt;="&amp;EDATE(DATEVALUE(C100&amp;"-01"),4),'📋 Транзакції'!$C$5:$C$3623,"&lt;"&amp;EDATE(DATEVALUE(C100&amp;"-01"),5))</f>
        <v>19.99</v>
      </c>
      <c r="X100" s="37">
        <f>SUMIFS('📋 Транзакції'!$F$5:$F$3623,'📋 Транзакції'!$B$5:$B$3623,A100,'📋 Транзакції'!$C$5:$C$3623,"&gt;="&amp;EDATE(DATEVALUE(C100&amp;"-01"),5),'📋 Транзакції'!$C$5:$C$3623,"&lt;"&amp;EDATE(DATEVALUE(C100&amp;"-01"),6))</f>
        <v>19.99</v>
      </c>
      <c r="Y100" s="37">
        <f>SUMIFS('📋 Транзакції'!$F$5:$F$3623,'📋 Транзакції'!$B$5:$B$3623,A100,'📋 Транзакції'!$C$5:$C$3623,"&gt;="&amp;EDATE(DATEVALUE(C100&amp;"-01"),6),'📋 Транзакції'!$C$5:$C$3623,"&lt;"&amp;EDATE(DATEVALUE(C100&amp;"-01"),7))</f>
        <v>19.99</v>
      </c>
      <c r="Z100" s="37">
        <f>SUMIFS('📋 Транзакції'!$F$5:$F$3623,'📋 Транзакції'!$B$5:$B$3623,A100,'📋 Транзакції'!$C$5:$C$3623,"&gt;="&amp;EDATE(DATEVALUE(C100&amp;"-01"),7),'📋 Транзакції'!$C$5:$C$3623,"&lt;"&amp;EDATE(DATEVALUE(C100&amp;"-01"),8))</f>
        <v>19.99</v>
      </c>
      <c r="AA100" s="37">
        <f>SUMIFS('📋 Транзакції'!$F$5:$F$3623,'📋 Транзакції'!$B$5:$B$3623,A100,'📋 Транзакції'!$C$5:$C$3623,"&gt;="&amp;EDATE(DATEVALUE(C100&amp;"-01"),8),'📋 Транзакції'!$C$5:$C$3623,"&lt;"&amp;EDATE(DATEVALUE(C100&amp;"-01"),9))</f>
        <v>19.99</v>
      </c>
      <c r="AB100" s="37">
        <f>SUMIFS('📋 Транзакції'!$F$5:$F$3623,'📋 Транзакції'!$B$5:$B$3623,A100,'📋 Транзакції'!$C$5:$C$3623,"&gt;="&amp;EDATE(DATEVALUE(C100&amp;"-01"),9),'📋 Транзакції'!$C$5:$C$3623,"&lt;"&amp;EDATE(DATEVALUE(C100&amp;"-01"),10))</f>
        <v>19.99</v>
      </c>
      <c r="AC100" s="37">
        <f>SUMIFS('📋 Транзакції'!$F$5:$F$3623,'📋 Транзакції'!$B$5:$B$3623,A100,'📋 Транзакції'!$C$5:$C$3623,"&gt;="&amp;EDATE(DATEVALUE(C100&amp;"-01"),10),'📋 Транзакції'!$C$5:$C$3623,"&lt;"&amp;EDATE(DATEVALUE(C100&amp;"-01"),11))</f>
        <v>19.99</v>
      </c>
      <c r="AD100" s="37">
        <f>SUMIFS('📋 Транзакції'!$F$5:$F$3623,'📋 Транзакції'!$B$5:$B$3623,A100,'📋 Транзакції'!$C$5:$C$3623,"&gt;="&amp;EDATE(DATEVALUE(C100&amp;"-01"),11),'📋 Транзакції'!$C$5:$C$3623,"&lt;"&amp;EDATE(DATEVALUE(C100&amp;"-01"),12))</f>
        <v>19.99</v>
      </c>
    </row>
    <row r="101" ht="15.75" customHeight="1">
      <c r="A101" s="33" t="str">
        <f>'📋 Реєстрації'!A101:A702</f>
        <v>U0704</v>
      </c>
      <c r="B101" s="34">
        <f t="array" ref="B101">INDEX('📋 Транзакції'!$C$5:$C$3623,MATCH(A101,'📋 Транзакції'!$B$5:$B$3623,0))</f>
        <v>45395</v>
      </c>
      <c r="C101" s="35" t="str">
        <f t="shared" si="1"/>
        <v>2024-04</v>
      </c>
      <c r="D101" s="36">
        <f>COUNTIF('📋 Транзакції'!$B$5:$B$3623,A101)</f>
        <v>13</v>
      </c>
      <c r="E101" s="36">
        <f>SUMIF('📋 Транзакції'!$B$5:$B$3623,A101,'📋 Транзакції'!$F$5:$F$3623)</f>
        <v>239.88</v>
      </c>
      <c r="F101" s="35">
        <f>INT($A$1-MAXIFS('📋 Транзакції'!$C$5:$C$3623,'📋 Транзакції'!$B$5:$B$3623,A101))</f>
        <v>15</v>
      </c>
      <c r="G101" s="37">
        <f>IF(COUNTIFS('📋 Транзакції'!$B$5:$B$3623,A101,'📋 Транзакції'!$C$5:$C$3623,"&gt;="&amp;EDATE(DATEVALUE(C101&amp;"-01"),0),'📋 Транзакції'!$C$5:$C$3623,"&lt;"&amp;EDATE(DATEVALUE(C101&amp;"-01"),1))&gt;0,1,0)</f>
        <v>1</v>
      </c>
      <c r="H101" s="37">
        <f>IF(COUNTIFS('📋 Транзакції'!$B$5:$B$3623,A101,'📋 Транзакції'!$C$5:$C$3623,"&gt;="&amp;EDATE(DATEVALUE(C101&amp;"-01"),1),'📋 Транзакції'!$C$5:$C$3623,"&lt;"&amp;EDATE(DATEVALUE(C101&amp;"-01"),2))&gt;0,1,0)</f>
        <v>1</v>
      </c>
      <c r="I101" s="37">
        <f>IF(COUNTIFS('📋 Транзакції'!$B$5:$B$3623,A101,'📋 Транзакції'!$C$5:$C$3623,"&gt;="&amp;EDATE(DATEVALUE(C101&amp;"-01"),2),'📋 Транзакції'!$C$5:$C$3623,"&lt;"&amp;EDATE(DATEVALUE(C101&amp;"-01"),3))&gt;0,1,0)</f>
        <v>1</v>
      </c>
      <c r="J101" s="37">
        <f>IF(COUNTIFS('📋 Транзакції'!$B$5:$B$3623,A101,'📋 Транзакції'!$C$5:$C$3623,"&gt;="&amp;EDATE(DATEVALUE(C101&amp;"-01"),3),'📋 Транзакції'!$C$5:$C$3623,"&lt;"&amp;EDATE(DATEVALUE(C101&amp;"-01"),4))&gt;0,1,0)</f>
        <v>1</v>
      </c>
      <c r="K101" s="37">
        <f>IF(COUNTIFS('📋 Транзакції'!$B$5:$B$3623,A101,'📋 Транзакції'!$C$5:$C$3623,"&gt;="&amp;EDATE(DATEVALUE(C101&amp;"-01"),4),'📋 Транзакції'!$C$5:$C$3623,"&lt;"&amp;EDATE(DATEVALUE(C101&amp;"-01"),5))&gt;0,1,0)</f>
        <v>1</v>
      </c>
      <c r="L101" s="37">
        <f>IF(COUNTIFS('📋 Транзакції'!$B$5:$B$3623,A101,'📋 Транзакції'!$C$5:$C$3623,"&gt;="&amp;EDATE(DATEVALUE(C101&amp;"-01"),5),'📋 Транзакції'!$C$5:$C$3623,"&lt;"&amp;EDATE(DATEVALUE(C101&amp;"-01"),6))&gt;0,1,0)</f>
        <v>1</v>
      </c>
      <c r="M101" s="37">
        <f>IF(COUNTIFS('📋 Транзакції'!$B$5:$B$3623,A101,'📋 Транзакції'!$C$5:$C$3623,"&gt;="&amp;EDATE(DATEVALUE(C101&amp;"-01"),6),'📋 Транзакції'!$C$5:$C$3623,"&lt;"&amp;EDATE(DATEVALUE(C101&amp;"-01"),7))&gt;0,1,0)</f>
        <v>1</v>
      </c>
      <c r="N101" s="37">
        <f>IF(COUNTIFS('📋 Транзакції'!$B$5:$B$3623,A101,'📋 Транзакції'!$C$5:$C$3623,"&gt;="&amp;EDATE(DATEVALUE(C101&amp;"-01"),7),'📋 Транзакції'!$C$5:$C$3623,"&lt;"&amp;EDATE(DATEVALUE(C101&amp;"-01"),8))&gt;0,1,0)</f>
        <v>1</v>
      </c>
      <c r="O101" s="37">
        <f>IF(COUNTIFS('📋 Транзакції'!$B$5:$B$3623,A101,'📋 Транзакції'!$C$5:$C$3623,"&gt;="&amp;EDATE(DATEVALUE(C101&amp;"-01"),8),'📋 Транзакції'!$C$5:$C$3623,"&lt;"&amp;EDATE(DATEVALUE(C101&amp;"-01"),9))&gt;0,1,0)</f>
        <v>1</v>
      </c>
      <c r="P101" s="37">
        <f>IF(COUNTIFS('📋 Транзакції'!$B$5:$B$3623,A101,'📋 Транзакції'!$C$5:$C$3623,"&gt;="&amp;EDATE(DATEVALUE(C101&amp;"-01"),9),'📋 Транзакції'!$C$5:$C$3623,"&lt;"&amp;EDATE(DATEVALUE(C101&amp;"-01"),10))&gt;0,1,0)</f>
        <v>1</v>
      </c>
      <c r="Q101" s="37">
        <f>IF(COUNTIFS('📋 Транзакції'!$B$5:$B$3623,A101,'📋 Транзакції'!$C$5:$C$3623,"&gt;="&amp;EDATE(DATEVALUE(C101&amp;"-01"),10),'📋 Транзакції'!$C$5:$C$3623,"&lt;"&amp;EDATE(DATEVALUE(C101&amp;"-01"),11))&gt;0,1,0)</f>
        <v>1</v>
      </c>
      <c r="R101" s="37">
        <f>IF(COUNTIFS('📋 Транзакції'!$B$5:$B$3623,A101,'📋 Транзакції'!$C$5:$C$3623,"&gt;="&amp;EDATE(DATEVALUE(C101&amp;"-01"),11),'📋 Транзакції'!$C$5:$C$3623,"&lt;"&amp;EDATE(DATEVALUE(C101&amp;"-01"),12))&gt;0,1,0)</f>
        <v>1</v>
      </c>
      <c r="S101" s="37">
        <f>SUMIFS('📋 Транзакції'!$F$5:$F$3623,'📋 Транзакції'!$B$5:$B$3623,A101,'📋 Транзакції'!$C$5:$C$3623,"&gt;="&amp;EDATE(DATEVALUE(C101&amp;"-01"),0),'📋 Транзакції'!$C$5:$C$3623,"&lt;"&amp;EDATE(DATEVALUE(C101&amp;"-01"),1))</f>
        <v>19.99</v>
      </c>
      <c r="T101" s="37">
        <f>SUMIFS('📋 Транзакції'!$F$5:$F$3623,'📋 Транзакції'!$B$5:$B$3623,A101,'📋 Транзакції'!$C$5:$C$3623,"&gt;="&amp;EDATE(DATEVALUE(C101&amp;"-01"),1),'📋 Транзакції'!$C$5:$C$3623,"&lt;"&amp;EDATE(DATEVALUE(C101&amp;"-01"),2))</f>
        <v>19.99</v>
      </c>
      <c r="U101" s="37">
        <f>SUMIFS('📋 Транзакції'!$F$5:$F$3623,'📋 Транзакції'!$B$5:$B$3623,A101,'📋 Транзакції'!$C$5:$C$3623,"&gt;="&amp;EDATE(DATEVALUE(C101&amp;"-01"),2),'📋 Транзакції'!$C$5:$C$3623,"&lt;"&amp;EDATE(DATEVALUE(C101&amp;"-01"),3))</f>
        <v>19.99</v>
      </c>
      <c r="V101" s="37">
        <f>SUMIFS('📋 Транзакції'!$F$5:$F$3623,'📋 Транзакції'!$B$5:$B$3623,A101,'📋 Транзакції'!$C$5:$C$3623,"&gt;="&amp;EDATE(DATEVALUE(C101&amp;"-01"),3),'📋 Транзакції'!$C$5:$C$3623,"&lt;"&amp;EDATE(DATEVALUE(C101&amp;"-01"),4))</f>
        <v>19.99</v>
      </c>
      <c r="W101" s="37">
        <f>SUMIFS('📋 Транзакції'!$F$5:$F$3623,'📋 Транзакції'!$B$5:$B$3623,A101,'📋 Транзакції'!$C$5:$C$3623,"&gt;="&amp;EDATE(DATEVALUE(C101&amp;"-01"),4),'📋 Транзакції'!$C$5:$C$3623,"&lt;"&amp;EDATE(DATEVALUE(C101&amp;"-01"),5))</f>
        <v>19.99</v>
      </c>
      <c r="X101" s="37">
        <f>SUMIFS('📋 Транзакції'!$F$5:$F$3623,'📋 Транзакції'!$B$5:$B$3623,A101,'📋 Транзакції'!$C$5:$C$3623,"&gt;="&amp;EDATE(DATEVALUE(C101&amp;"-01"),5),'📋 Транзакції'!$C$5:$C$3623,"&lt;"&amp;EDATE(DATEVALUE(C101&amp;"-01"),6))</f>
        <v>19.99</v>
      </c>
      <c r="Y101" s="37">
        <f>SUMIFS('📋 Транзакції'!$F$5:$F$3623,'📋 Транзакції'!$B$5:$B$3623,A101,'📋 Транзакції'!$C$5:$C$3623,"&gt;="&amp;EDATE(DATEVALUE(C101&amp;"-01"),6),'📋 Транзакції'!$C$5:$C$3623,"&lt;"&amp;EDATE(DATEVALUE(C101&amp;"-01"),7))</f>
        <v>19.99</v>
      </c>
      <c r="Z101" s="37">
        <f>SUMIFS('📋 Транзакції'!$F$5:$F$3623,'📋 Транзакції'!$B$5:$B$3623,A101,'📋 Транзакції'!$C$5:$C$3623,"&gt;="&amp;EDATE(DATEVALUE(C101&amp;"-01"),7),'📋 Транзакції'!$C$5:$C$3623,"&lt;"&amp;EDATE(DATEVALUE(C101&amp;"-01"),8))</f>
        <v>19.99</v>
      </c>
      <c r="AA101" s="37">
        <f>SUMIFS('📋 Транзакції'!$F$5:$F$3623,'📋 Транзакції'!$B$5:$B$3623,A101,'📋 Транзакції'!$C$5:$C$3623,"&gt;="&amp;EDATE(DATEVALUE(C101&amp;"-01"),8),'📋 Транзакції'!$C$5:$C$3623,"&lt;"&amp;EDATE(DATEVALUE(C101&amp;"-01"),9))</f>
        <v>19.99</v>
      </c>
      <c r="AB101" s="37">
        <f>SUMIFS('📋 Транзакції'!$F$5:$F$3623,'📋 Транзакції'!$B$5:$B$3623,A101,'📋 Транзакції'!$C$5:$C$3623,"&gt;="&amp;EDATE(DATEVALUE(C101&amp;"-01"),9),'📋 Транзакції'!$C$5:$C$3623,"&lt;"&amp;EDATE(DATEVALUE(C101&amp;"-01"),10))</f>
        <v>19.99</v>
      </c>
      <c r="AC101" s="37">
        <f>SUMIFS('📋 Транзакції'!$F$5:$F$3623,'📋 Транзакції'!$B$5:$B$3623,A101,'📋 Транзакції'!$C$5:$C$3623,"&gt;="&amp;EDATE(DATEVALUE(C101&amp;"-01"),10),'📋 Транзакції'!$C$5:$C$3623,"&lt;"&amp;EDATE(DATEVALUE(C101&amp;"-01"),11))</f>
        <v>19.99</v>
      </c>
      <c r="AD101" s="37">
        <f>SUMIFS('📋 Транзакції'!$F$5:$F$3623,'📋 Транзакції'!$B$5:$B$3623,A101,'📋 Транзакції'!$C$5:$C$3623,"&gt;="&amp;EDATE(DATEVALUE(C101&amp;"-01"),11),'📋 Транзакції'!$C$5:$C$3623,"&lt;"&amp;EDATE(DATEVALUE(C101&amp;"-01"),12))</f>
        <v>19.99</v>
      </c>
    </row>
    <row r="102" ht="15.75" customHeight="1">
      <c r="A102" s="33" t="str">
        <f>'📋 Реєстрації'!A102:A703</f>
        <v>U0381</v>
      </c>
      <c r="B102" s="34">
        <f t="array" ref="B102">INDEX('📋 Транзакції'!$C$5:$C$3623,MATCH(A102,'📋 Транзакції'!$B$5:$B$3623,0))</f>
        <v>45396</v>
      </c>
      <c r="C102" s="35" t="str">
        <f t="shared" si="1"/>
        <v>2024-04</v>
      </c>
      <c r="D102" s="36">
        <f>COUNTIF('📋 Транзакції'!$B$5:$B$3623,A102)</f>
        <v>2</v>
      </c>
      <c r="E102" s="36">
        <f>SUMIF('📋 Транзакції'!$B$5:$B$3623,A102,'📋 Транзакції'!$F$5:$F$3623)</f>
        <v>19.99</v>
      </c>
      <c r="F102" s="35">
        <f>INT($A$1-MAXIFS('📋 Транзакції'!$C$5:$C$3623,'📋 Транзакції'!$B$5:$B$3623,A102))</f>
        <v>344</v>
      </c>
      <c r="G102" s="37">
        <f>IF(COUNTIFS('📋 Транзакції'!$B$5:$B$3623,A102,'📋 Транзакції'!$C$5:$C$3623,"&gt;="&amp;EDATE(DATEVALUE(C102&amp;"-01"),0),'📋 Транзакції'!$C$5:$C$3623,"&lt;"&amp;EDATE(DATEVALUE(C102&amp;"-01"),1))&gt;0,1,0)</f>
        <v>1</v>
      </c>
      <c r="H102" s="37">
        <f>IF(COUNTIFS('📋 Транзакції'!$B$5:$B$3623,A102,'📋 Транзакції'!$C$5:$C$3623,"&gt;="&amp;EDATE(DATEVALUE(C102&amp;"-01"),1),'📋 Транзакції'!$C$5:$C$3623,"&lt;"&amp;EDATE(DATEVALUE(C102&amp;"-01"),2))&gt;0,1,0)</f>
        <v>0</v>
      </c>
      <c r="I102" s="37">
        <f>IF(COUNTIFS('📋 Транзакції'!$B$5:$B$3623,A102,'📋 Транзакції'!$C$5:$C$3623,"&gt;="&amp;EDATE(DATEVALUE(C102&amp;"-01"),2),'📋 Транзакції'!$C$5:$C$3623,"&lt;"&amp;EDATE(DATEVALUE(C102&amp;"-01"),3))&gt;0,1,0)</f>
        <v>0</v>
      </c>
      <c r="J102" s="37">
        <f>IF(COUNTIFS('📋 Транзакції'!$B$5:$B$3623,A102,'📋 Транзакції'!$C$5:$C$3623,"&gt;="&amp;EDATE(DATEVALUE(C102&amp;"-01"),3),'📋 Транзакції'!$C$5:$C$3623,"&lt;"&amp;EDATE(DATEVALUE(C102&amp;"-01"),4))&gt;0,1,0)</f>
        <v>0</v>
      </c>
      <c r="K102" s="37">
        <f>IF(COUNTIFS('📋 Транзакції'!$B$5:$B$3623,A102,'📋 Транзакції'!$C$5:$C$3623,"&gt;="&amp;EDATE(DATEVALUE(C102&amp;"-01"),4),'📋 Транзакції'!$C$5:$C$3623,"&lt;"&amp;EDATE(DATEVALUE(C102&amp;"-01"),5))&gt;0,1,0)</f>
        <v>0</v>
      </c>
      <c r="L102" s="37">
        <f>IF(COUNTIFS('📋 Транзакції'!$B$5:$B$3623,A102,'📋 Транзакції'!$C$5:$C$3623,"&gt;="&amp;EDATE(DATEVALUE(C102&amp;"-01"),5),'📋 Транзакції'!$C$5:$C$3623,"&lt;"&amp;EDATE(DATEVALUE(C102&amp;"-01"),6))&gt;0,1,0)</f>
        <v>0</v>
      </c>
      <c r="M102" s="37">
        <f>IF(COUNTIFS('📋 Транзакції'!$B$5:$B$3623,A102,'📋 Транзакції'!$C$5:$C$3623,"&gt;="&amp;EDATE(DATEVALUE(C102&amp;"-01"),6),'📋 Транзакції'!$C$5:$C$3623,"&lt;"&amp;EDATE(DATEVALUE(C102&amp;"-01"),7))&gt;0,1,0)</f>
        <v>0</v>
      </c>
      <c r="N102" s="37">
        <f>IF(COUNTIFS('📋 Транзакції'!$B$5:$B$3623,A102,'📋 Транзакції'!$C$5:$C$3623,"&gt;="&amp;EDATE(DATEVALUE(C102&amp;"-01"),7),'📋 Транзакції'!$C$5:$C$3623,"&lt;"&amp;EDATE(DATEVALUE(C102&amp;"-01"),8))&gt;0,1,0)</f>
        <v>0</v>
      </c>
      <c r="O102" s="37">
        <f>IF(COUNTIFS('📋 Транзакції'!$B$5:$B$3623,A102,'📋 Транзакції'!$C$5:$C$3623,"&gt;="&amp;EDATE(DATEVALUE(C102&amp;"-01"),8),'📋 Транзакції'!$C$5:$C$3623,"&lt;"&amp;EDATE(DATEVALUE(C102&amp;"-01"),9))&gt;0,1,0)</f>
        <v>0</v>
      </c>
      <c r="P102" s="37">
        <f>IF(COUNTIFS('📋 Транзакції'!$B$5:$B$3623,A102,'📋 Транзакції'!$C$5:$C$3623,"&gt;="&amp;EDATE(DATEVALUE(C102&amp;"-01"),9),'📋 Транзакції'!$C$5:$C$3623,"&lt;"&amp;EDATE(DATEVALUE(C102&amp;"-01"),10))&gt;0,1,0)</f>
        <v>0</v>
      </c>
      <c r="Q102" s="37">
        <f>IF(COUNTIFS('📋 Транзакції'!$B$5:$B$3623,A102,'📋 Транзакції'!$C$5:$C$3623,"&gt;="&amp;EDATE(DATEVALUE(C102&amp;"-01"),10),'📋 Транзакції'!$C$5:$C$3623,"&lt;"&amp;EDATE(DATEVALUE(C102&amp;"-01"),11))&gt;0,1,0)</f>
        <v>0</v>
      </c>
      <c r="R102" s="37">
        <f>IF(COUNTIFS('📋 Транзакції'!$B$5:$B$3623,A102,'📋 Транзакції'!$C$5:$C$3623,"&gt;="&amp;EDATE(DATEVALUE(C102&amp;"-01"),11),'📋 Транзакції'!$C$5:$C$3623,"&lt;"&amp;EDATE(DATEVALUE(C102&amp;"-01"),12))&gt;0,1,0)</f>
        <v>0</v>
      </c>
      <c r="S102" s="37">
        <f>SUMIFS('📋 Транзакції'!$F$5:$F$3623,'📋 Транзакції'!$B$5:$B$3623,A102,'📋 Транзакції'!$C$5:$C$3623,"&gt;="&amp;EDATE(DATEVALUE(C102&amp;"-01"),0),'📋 Транзакції'!$C$5:$C$3623,"&lt;"&amp;EDATE(DATEVALUE(C102&amp;"-01"),1))</f>
        <v>19.99</v>
      </c>
      <c r="T102" s="37">
        <f>SUMIFS('📋 Транзакції'!$F$5:$F$3623,'📋 Транзакції'!$B$5:$B$3623,A102,'📋 Транзакції'!$C$5:$C$3623,"&gt;="&amp;EDATE(DATEVALUE(C102&amp;"-01"),1),'📋 Транзакції'!$C$5:$C$3623,"&lt;"&amp;EDATE(DATEVALUE(C102&amp;"-01"),2))</f>
        <v>0</v>
      </c>
      <c r="U102" s="37">
        <f>SUMIFS('📋 Транзакції'!$F$5:$F$3623,'📋 Транзакції'!$B$5:$B$3623,A102,'📋 Транзакції'!$C$5:$C$3623,"&gt;="&amp;EDATE(DATEVALUE(C102&amp;"-01"),2),'📋 Транзакції'!$C$5:$C$3623,"&lt;"&amp;EDATE(DATEVALUE(C102&amp;"-01"),3))</f>
        <v>0</v>
      </c>
      <c r="V102" s="37">
        <f>SUMIFS('📋 Транзакції'!$F$5:$F$3623,'📋 Транзакції'!$B$5:$B$3623,A102,'📋 Транзакції'!$C$5:$C$3623,"&gt;="&amp;EDATE(DATEVALUE(C102&amp;"-01"),3),'📋 Транзакції'!$C$5:$C$3623,"&lt;"&amp;EDATE(DATEVALUE(C102&amp;"-01"),4))</f>
        <v>0</v>
      </c>
      <c r="W102" s="37">
        <f>SUMIFS('📋 Транзакції'!$F$5:$F$3623,'📋 Транзакції'!$B$5:$B$3623,A102,'📋 Транзакції'!$C$5:$C$3623,"&gt;="&amp;EDATE(DATEVALUE(C102&amp;"-01"),4),'📋 Транзакції'!$C$5:$C$3623,"&lt;"&amp;EDATE(DATEVALUE(C102&amp;"-01"),5))</f>
        <v>0</v>
      </c>
      <c r="X102" s="37">
        <f>SUMIFS('📋 Транзакції'!$F$5:$F$3623,'📋 Транзакції'!$B$5:$B$3623,A102,'📋 Транзакції'!$C$5:$C$3623,"&gt;="&amp;EDATE(DATEVALUE(C102&amp;"-01"),5),'📋 Транзакції'!$C$5:$C$3623,"&lt;"&amp;EDATE(DATEVALUE(C102&amp;"-01"),6))</f>
        <v>0</v>
      </c>
      <c r="Y102" s="37">
        <f>SUMIFS('📋 Транзакції'!$F$5:$F$3623,'📋 Транзакції'!$B$5:$B$3623,A102,'📋 Транзакції'!$C$5:$C$3623,"&gt;="&amp;EDATE(DATEVALUE(C102&amp;"-01"),6),'📋 Транзакції'!$C$5:$C$3623,"&lt;"&amp;EDATE(DATEVALUE(C102&amp;"-01"),7))</f>
        <v>0</v>
      </c>
      <c r="Z102" s="37">
        <f>SUMIFS('📋 Транзакції'!$F$5:$F$3623,'📋 Транзакції'!$B$5:$B$3623,A102,'📋 Транзакції'!$C$5:$C$3623,"&gt;="&amp;EDATE(DATEVALUE(C102&amp;"-01"),7),'📋 Транзакції'!$C$5:$C$3623,"&lt;"&amp;EDATE(DATEVALUE(C102&amp;"-01"),8))</f>
        <v>0</v>
      </c>
      <c r="AA102" s="37">
        <f>SUMIFS('📋 Транзакції'!$F$5:$F$3623,'📋 Транзакції'!$B$5:$B$3623,A102,'📋 Транзакції'!$C$5:$C$3623,"&gt;="&amp;EDATE(DATEVALUE(C102&amp;"-01"),8),'📋 Транзакції'!$C$5:$C$3623,"&lt;"&amp;EDATE(DATEVALUE(C102&amp;"-01"),9))</f>
        <v>0</v>
      </c>
      <c r="AB102" s="37">
        <f>SUMIFS('📋 Транзакції'!$F$5:$F$3623,'📋 Транзакції'!$B$5:$B$3623,A102,'📋 Транзакції'!$C$5:$C$3623,"&gt;="&amp;EDATE(DATEVALUE(C102&amp;"-01"),9),'📋 Транзакції'!$C$5:$C$3623,"&lt;"&amp;EDATE(DATEVALUE(C102&amp;"-01"),10))</f>
        <v>0</v>
      </c>
      <c r="AC102" s="37">
        <f>SUMIFS('📋 Транзакції'!$F$5:$F$3623,'📋 Транзакції'!$B$5:$B$3623,A102,'📋 Транзакції'!$C$5:$C$3623,"&gt;="&amp;EDATE(DATEVALUE(C102&amp;"-01"),10),'📋 Транзакції'!$C$5:$C$3623,"&lt;"&amp;EDATE(DATEVALUE(C102&amp;"-01"),11))</f>
        <v>0</v>
      </c>
      <c r="AD102" s="37">
        <f>SUMIFS('📋 Транзакції'!$F$5:$F$3623,'📋 Транзакції'!$B$5:$B$3623,A102,'📋 Транзакції'!$C$5:$C$3623,"&gt;="&amp;EDATE(DATEVALUE(C102&amp;"-01"),11),'📋 Транзакції'!$C$5:$C$3623,"&lt;"&amp;EDATE(DATEVALUE(C102&amp;"-01"),12))</f>
        <v>0</v>
      </c>
    </row>
    <row r="103" ht="15.75" customHeight="1">
      <c r="A103" s="33" t="str">
        <f>'📋 Реєстрації'!A103:A704</f>
        <v>U0557</v>
      </c>
      <c r="B103" s="34">
        <f t="array" ref="B103">INDEX('📋 Транзакції'!$C$5:$C$3623,MATCH(A103,'📋 Транзакції'!$B$5:$B$3623,0))</f>
        <v>45396</v>
      </c>
      <c r="C103" s="35" t="str">
        <f t="shared" si="1"/>
        <v>2024-04</v>
      </c>
      <c r="D103" s="36">
        <f>COUNTIF('📋 Транзакції'!$B$5:$B$3623,A103)</f>
        <v>13</v>
      </c>
      <c r="E103" s="36">
        <f>SUMIF('📋 Транзакції'!$B$5:$B$3623,A103,'📋 Транзакції'!$F$5:$F$3623)</f>
        <v>239.88</v>
      </c>
      <c r="F103" s="35">
        <f>INT($A$1-MAXIFS('📋 Транзакції'!$C$5:$C$3623,'📋 Транзакції'!$B$5:$B$3623,A103))</f>
        <v>14</v>
      </c>
      <c r="G103" s="37">
        <f>IF(COUNTIFS('📋 Транзакції'!$B$5:$B$3623,A103,'📋 Транзакції'!$C$5:$C$3623,"&gt;="&amp;EDATE(DATEVALUE(C103&amp;"-01"),0),'📋 Транзакції'!$C$5:$C$3623,"&lt;"&amp;EDATE(DATEVALUE(C103&amp;"-01"),1))&gt;0,1,0)</f>
        <v>1</v>
      </c>
      <c r="H103" s="37">
        <f>IF(COUNTIFS('📋 Транзакції'!$B$5:$B$3623,A103,'📋 Транзакції'!$C$5:$C$3623,"&gt;="&amp;EDATE(DATEVALUE(C103&amp;"-01"),1),'📋 Транзакції'!$C$5:$C$3623,"&lt;"&amp;EDATE(DATEVALUE(C103&amp;"-01"),2))&gt;0,1,0)</f>
        <v>1</v>
      </c>
      <c r="I103" s="37">
        <f>IF(COUNTIFS('📋 Транзакції'!$B$5:$B$3623,A103,'📋 Транзакції'!$C$5:$C$3623,"&gt;="&amp;EDATE(DATEVALUE(C103&amp;"-01"),2),'📋 Транзакції'!$C$5:$C$3623,"&lt;"&amp;EDATE(DATEVALUE(C103&amp;"-01"),3))&gt;0,1,0)</f>
        <v>1</v>
      </c>
      <c r="J103" s="37">
        <f>IF(COUNTIFS('📋 Транзакції'!$B$5:$B$3623,A103,'📋 Транзакції'!$C$5:$C$3623,"&gt;="&amp;EDATE(DATEVALUE(C103&amp;"-01"),3),'📋 Транзакції'!$C$5:$C$3623,"&lt;"&amp;EDATE(DATEVALUE(C103&amp;"-01"),4))&gt;0,1,0)</f>
        <v>1</v>
      </c>
      <c r="K103" s="37">
        <f>IF(COUNTIFS('📋 Транзакції'!$B$5:$B$3623,A103,'📋 Транзакції'!$C$5:$C$3623,"&gt;="&amp;EDATE(DATEVALUE(C103&amp;"-01"),4),'📋 Транзакції'!$C$5:$C$3623,"&lt;"&amp;EDATE(DATEVALUE(C103&amp;"-01"),5))&gt;0,1,0)</f>
        <v>1</v>
      </c>
      <c r="L103" s="37">
        <f>IF(COUNTIFS('📋 Транзакції'!$B$5:$B$3623,A103,'📋 Транзакції'!$C$5:$C$3623,"&gt;="&amp;EDATE(DATEVALUE(C103&amp;"-01"),5),'📋 Транзакції'!$C$5:$C$3623,"&lt;"&amp;EDATE(DATEVALUE(C103&amp;"-01"),6))&gt;0,1,0)</f>
        <v>1</v>
      </c>
      <c r="M103" s="37">
        <f>IF(COUNTIFS('📋 Транзакції'!$B$5:$B$3623,A103,'📋 Транзакції'!$C$5:$C$3623,"&gt;="&amp;EDATE(DATEVALUE(C103&amp;"-01"),6),'📋 Транзакції'!$C$5:$C$3623,"&lt;"&amp;EDATE(DATEVALUE(C103&amp;"-01"),7))&gt;0,1,0)</f>
        <v>1</v>
      </c>
      <c r="N103" s="37">
        <f>IF(COUNTIFS('📋 Транзакції'!$B$5:$B$3623,A103,'📋 Транзакції'!$C$5:$C$3623,"&gt;="&amp;EDATE(DATEVALUE(C103&amp;"-01"),7),'📋 Транзакції'!$C$5:$C$3623,"&lt;"&amp;EDATE(DATEVALUE(C103&amp;"-01"),8))&gt;0,1,0)</f>
        <v>1</v>
      </c>
      <c r="O103" s="37">
        <f>IF(COUNTIFS('📋 Транзакції'!$B$5:$B$3623,A103,'📋 Транзакції'!$C$5:$C$3623,"&gt;="&amp;EDATE(DATEVALUE(C103&amp;"-01"),8),'📋 Транзакції'!$C$5:$C$3623,"&lt;"&amp;EDATE(DATEVALUE(C103&amp;"-01"),9))&gt;0,1,0)</f>
        <v>1</v>
      </c>
      <c r="P103" s="37">
        <f>IF(COUNTIFS('📋 Транзакції'!$B$5:$B$3623,A103,'📋 Транзакції'!$C$5:$C$3623,"&gt;="&amp;EDATE(DATEVALUE(C103&amp;"-01"),9),'📋 Транзакції'!$C$5:$C$3623,"&lt;"&amp;EDATE(DATEVALUE(C103&amp;"-01"),10))&gt;0,1,0)</f>
        <v>1</v>
      </c>
      <c r="Q103" s="37">
        <f>IF(COUNTIFS('📋 Транзакції'!$B$5:$B$3623,A103,'📋 Транзакції'!$C$5:$C$3623,"&gt;="&amp;EDATE(DATEVALUE(C103&amp;"-01"),10),'📋 Транзакції'!$C$5:$C$3623,"&lt;"&amp;EDATE(DATEVALUE(C103&amp;"-01"),11))&gt;0,1,0)</f>
        <v>1</v>
      </c>
      <c r="R103" s="37">
        <f>IF(COUNTIFS('📋 Транзакції'!$B$5:$B$3623,A103,'📋 Транзакції'!$C$5:$C$3623,"&gt;="&amp;EDATE(DATEVALUE(C103&amp;"-01"),11),'📋 Транзакції'!$C$5:$C$3623,"&lt;"&amp;EDATE(DATEVALUE(C103&amp;"-01"),12))&gt;0,1,0)</f>
        <v>1</v>
      </c>
      <c r="S103" s="37">
        <f>SUMIFS('📋 Транзакції'!$F$5:$F$3623,'📋 Транзакції'!$B$5:$B$3623,A103,'📋 Транзакції'!$C$5:$C$3623,"&gt;="&amp;EDATE(DATEVALUE(C103&amp;"-01"),0),'📋 Транзакції'!$C$5:$C$3623,"&lt;"&amp;EDATE(DATEVALUE(C103&amp;"-01"),1))</f>
        <v>19.99</v>
      </c>
      <c r="T103" s="37">
        <f>SUMIFS('📋 Транзакції'!$F$5:$F$3623,'📋 Транзакції'!$B$5:$B$3623,A103,'📋 Транзакції'!$C$5:$C$3623,"&gt;="&amp;EDATE(DATEVALUE(C103&amp;"-01"),1),'📋 Транзакції'!$C$5:$C$3623,"&lt;"&amp;EDATE(DATEVALUE(C103&amp;"-01"),2))</f>
        <v>19.99</v>
      </c>
      <c r="U103" s="37">
        <f>SUMIFS('📋 Транзакції'!$F$5:$F$3623,'📋 Транзакції'!$B$5:$B$3623,A103,'📋 Транзакції'!$C$5:$C$3623,"&gt;="&amp;EDATE(DATEVALUE(C103&amp;"-01"),2),'📋 Транзакції'!$C$5:$C$3623,"&lt;"&amp;EDATE(DATEVALUE(C103&amp;"-01"),3))</f>
        <v>19.99</v>
      </c>
      <c r="V103" s="37">
        <f>SUMIFS('📋 Транзакції'!$F$5:$F$3623,'📋 Транзакції'!$B$5:$B$3623,A103,'📋 Транзакції'!$C$5:$C$3623,"&gt;="&amp;EDATE(DATEVALUE(C103&amp;"-01"),3),'📋 Транзакції'!$C$5:$C$3623,"&lt;"&amp;EDATE(DATEVALUE(C103&amp;"-01"),4))</f>
        <v>19.99</v>
      </c>
      <c r="W103" s="37">
        <f>SUMIFS('📋 Транзакції'!$F$5:$F$3623,'📋 Транзакції'!$B$5:$B$3623,A103,'📋 Транзакції'!$C$5:$C$3623,"&gt;="&amp;EDATE(DATEVALUE(C103&amp;"-01"),4),'📋 Транзакції'!$C$5:$C$3623,"&lt;"&amp;EDATE(DATEVALUE(C103&amp;"-01"),5))</f>
        <v>19.99</v>
      </c>
      <c r="X103" s="37">
        <f>SUMIFS('📋 Транзакції'!$F$5:$F$3623,'📋 Транзакції'!$B$5:$B$3623,A103,'📋 Транзакції'!$C$5:$C$3623,"&gt;="&amp;EDATE(DATEVALUE(C103&amp;"-01"),5),'📋 Транзакції'!$C$5:$C$3623,"&lt;"&amp;EDATE(DATEVALUE(C103&amp;"-01"),6))</f>
        <v>19.99</v>
      </c>
      <c r="Y103" s="37">
        <f>SUMIFS('📋 Транзакції'!$F$5:$F$3623,'📋 Транзакції'!$B$5:$B$3623,A103,'📋 Транзакції'!$C$5:$C$3623,"&gt;="&amp;EDATE(DATEVALUE(C103&amp;"-01"),6),'📋 Транзакції'!$C$5:$C$3623,"&lt;"&amp;EDATE(DATEVALUE(C103&amp;"-01"),7))</f>
        <v>19.99</v>
      </c>
      <c r="Z103" s="37">
        <f>SUMIFS('📋 Транзакції'!$F$5:$F$3623,'📋 Транзакції'!$B$5:$B$3623,A103,'📋 Транзакції'!$C$5:$C$3623,"&gt;="&amp;EDATE(DATEVALUE(C103&amp;"-01"),7),'📋 Транзакції'!$C$5:$C$3623,"&lt;"&amp;EDATE(DATEVALUE(C103&amp;"-01"),8))</f>
        <v>19.99</v>
      </c>
      <c r="AA103" s="37">
        <f>SUMIFS('📋 Транзакції'!$F$5:$F$3623,'📋 Транзакції'!$B$5:$B$3623,A103,'📋 Транзакції'!$C$5:$C$3623,"&gt;="&amp;EDATE(DATEVALUE(C103&amp;"-01"),8),'📋 Транзакції'!$C$5:$C$3623,"&lt;"&amp;EDATE(DATEVALUE(C103&amp;"-01"),9))</f>
        <v>19.99</v>
      </c>
      <c r="AB103" s="37">
        <f>SUMIFS('📋 Транзакції'!$F$5:$F$3623,'📋 Транзакції'!$B$5:$B$3623,A103,'📋 Транзакції'!$C$5:$C$3623,"&gt;="&amp;EDATE(DATEVALUE(C103&amp;"-01"),9),'📋 Транзакції'!$C$5:$C$3623,"&lt;"&amp;EDATE(DATEVALUE(C103&amp;"-01"),10))</f>
        <v>19.99</v>
      </c>
      <c r="AC103" s="37">
        <f>SUMIFS('📋 Транзакції'!$F$5:$F$3623,'📋 Транзакції'!$B$5:$B$3623,A103,'📋 Транзакції'!$C$5:$C$3623,"&gt;="&amp;EDATE(DATEVALUE(C103&amp;"-01"),10),'📋 Транзакції'!$C$5:$C$3623,"&lt;"&amp;EDATE(DATEVALUE(C103&amp;"-01"),11))</f>
        <v>19.99</v>
      </c>
      <c r="AD103" s="37">
        <f>SUMIFS('📋 Транзакції'!$F$5:$F$3623,'📋 Транзакції'!$B$5:$B$3623,A103,'📋 Транзакції'!$C$5:$C$3623,"&gt;="&amp;EDATE(DATEVALUE(C103&amp;"-01"),11),'📋 Транзакції'!$C$5:$C$3623,"&lt;"&amp;EDATE(DATEVALUE(C103&amp;"-01"),12))</f>
        <v>19.99</v>
      </c>
    </row>
    <row r="104" ht="15.75" customHeight="1">
      <c r="A104" s="33" t="str">
        <f>'📋 Реєстрації'!A104:A705</f>
        <v>U0210</v>
      </c>
      <c r="B104" s="34">
        <f t="array" ref="B104">INDEX('📋 Транзакції'!$C$5:$C$3623,MATCH(A104,'📋 Транзакції'!$B$5:$B$3623,0))</f>
        <v>45397</v>
      </c>
      <c r="C104" s="35" t="str">
        <f t="shared" si="1"/>
        <v>2024-04</v>
      </c>
      <c r="D104" s="36">
        <f>COUNTIF('📋 Транзакції'!$B$5:$B$3623,A104)</f>
        <v>13</v>
      </c>
      <c r="E104" s="36">
        <f>SUMIF('📋 Транзакції'!$B$5:$B$3623,A104,'📋 Транзакції'!$F$5:$F$3623)</f>
        <v>239.88</v>
      </c>
      <c r="F104" s="35">
        <f>INT($A$1-MAXIFS('📋 Транзакції'!$C$5:$C$3623,'📋 Транзакції'!$B$5:$B$3623,A104))</f>
        <v>13</v>
      </c>
      <c r="G104" s="37">
        <f>IF(COUNTIFS('📋 Транзакції'!$B$5:$B$3623,A104,'📋 Транзакції'!$C$5:$C$3623,"&gt;="&amp;EDATE(DATEVALUE(C104&amp;"-01"),0),'📋 Транзакції'!$C$5:$C$3623,"&lt;"&amp;EDATE(DATEVALUE(C104&amp;"-01"),1))&gt;0,1,0)</f>
        <v>1</v>
      </c>
      <c r="H104" s="37">
        <f>IF(COUNTIFS('📋 Транзакції'!$B$5:$B$3623,A104,'📋 Транзакції'!$C$5:$C$3623,"&gt;="&amp;EDATE(DATEVALUE(C104&amp;"-01"),1),'📋 Транзакції'!$C$5:$C$3623,"&lt;"&amp;EDATE(DATEVALUE(C104&amp;"-01"),2))&gt;0,1,0)</f>
        <v>1</v>
      </c>
      <c r="I104" s="37">
        <f>IF(COUNTIFS('📋 Транзакції'!$B$5:$B$3623,A104,'📋 Транзакції'!$C$5:$C$3623,"&gt;="&amp;EDATE(DATEVALUE(C104&amp;"-01"),2),'📋 Транзакції'!$C$5:$C$3623,"&lt;"&amp;EDATE(DATEVALUE(C104&amp;"-01"),3))&gt;0,1,0)</f>
        <v>1</v>
      </c>
      <c r="J104" s="37">
        <f>IF(COUNTIFS('📋 Транзакції'!$B$5:$B$3623,A104,'📋 Транзакції'!$C$5:$C$3623,"&gt;="&amp;EDATE(DATEVALUE(C104&amp;"-01"),3),'📋 Транзакції'!$C$5:$C$3623,"&lt;"&amp;EDATE(DATEVALUE(C104&amp;"-01"),4))&gt;0,1,0)</f>
        <v>1</v>
      </c>
      <c r="K104" s="37">
        <f>IF(COUNTIFS('📋 Транзакції'!$B$5:$B$3623,A104,'📋 Транзакції'!$C$5:$C$3623,"&gt;="&amp;EDATE(DATEVALUE(C104&amp;"-01"),4),'📋 Транзакції'!$C$5:$C$3623,"&lt;"&amp;EDATE(DATEVALUE(C104&amp;"-01"),5))&gt;0,1,0)</f>
        <v>1</v>
      </c>
      <c r="L104" s="37">
        <f>IF(COUNTIFS('📋 Транзакції'!$B$5:$B$3623,A104,'📋 Транзакції'!$C$5:$C$3623,"&gt;="&amp;EDATE(DATEVALUE(C104&amp;"-01"),5),'📋 Транзакції'!$C$5:$C$3623,"&lt;"&amp;EDATE(DATEVALUE(C104&amp;"-01"),6))&gt;0,1,0)</f>
        <v>1</v>
      </c>
      <c r="M104" s="37">
        <f>IF(COUNTIFS('📋 Транзакції'!$B$5:$B$3623,A104,'📋 Транзакції'!$C$5:$C$3623,"&gt;="&amp;EDATE(DATEVALUE(C104&amp;"-01"),6),'📋 Транзакції'!$C$5:$C$3623,"&lt;"&amp;EDATE(DATEVALUE(C104&amp;"-01"),7))&gt;0,1,0)</f>
        <v>1</v>
      </c>
      <c r="N104" s="37">
        <f>IF(COUNTIFS('📋 Транзакції'!$B$5:$B$3623,A104,'📋 Транзакції'!$C$5:$C$3623,"&gt;="&amp;EDATE(DATEVALUE(C104&amp;"-01"),7),'📋 Транзакції'!$C$5:$C$3623,"&lt;"&amp;EDATE(DATEVALUE(C104&amp;"-01"),8))&gt;0,1,0)</f>
        <v>1</v>
      </c>
      <c r="O104" s="37">
        <f>IF(COUNTIFS('📋 Транзакції'!$B$5:$B$3623,A104,'📋 Транзакції'!$C$5:$C$3623,"&gt;="&amp;EDATE(DATEVALUE(C104&amp;"-01"),8),'📋 Транзакції'!$C$5:$C$3623,"&lt;"&amp;EDATE(DATEVALUE(C104&amp;"-01"),9))&gt;0,1,0)</f>
        <v>1</v>
      </c>
      <c r="P104" s="37">
        <f>IF(COUNTIFS('📋 Транзакції'!$B$5:$B$3623,A104,'📋 Транзакції'!$C$5:$C$3623,"&gt;="&amp;EDATE(DATEVALUE(C104&amp;"-01"),9),'📋 Транзакції'!$C$5:$C$3623,"&lt;"&amp;EDATE(DATEVALUE(C104&amp;"-01"),10))&gt;0,1,0)</f>
        <v>1</v>
      </c>
      <c r="Q104" s="37">
        <f>IF(COUNTIFS('📋 Транзакції'!$B$5:$B$3623,A104,'📋 Транзакції'!$C$5:$C$3623,"&gt;="&amp;EDATE(DATEVALUE(C104&amp;"-01"),10),'📋 Транзакції'!$C$5:$C$3623,"&lt;"&amp;EDATE(DATEVALUE(C104&amp;"-01"),11))&gt;0,1,0)</f>
        <v>1</v>
      </c>
      <c r="R104" s="37">
        <f>IF(COUNTIFS('📋 Транзакції'!$B$5:$B$3623,A104,'📋 Транзакції'!$C$5:$C$3623,"&gt;="&amp;EDATE(DATEVALUE(C104&amp;"-01"),11),'📋 Транзакції'!$C$5:$C$3623,"&lt;"&amp;EDATE(DATEVALUE(C104&amp;"-01"),12))&gt;0,1,0)</f>
        <v>1</v>
      </c>
      <c r="S104" s="37">
        <f>SUMIFS('📋 Транзакції'!$F$5:$F$3623,'📋 Транзакції'!$B$5:$B$3623,A104,'📋 Транзакції'!$C$5:$C$3623,"&gt;="&amp;EDATE(DATEVALUE(C104&amp;"-01"),0),'📋 Транзакції'!$C$5:$C$3623,"&lt;"&amp;EDATE(DATEVALUE(C104&amp;"-01"),1))</f>
        <v>19.99</v>
      </c>
      <c r="T104" s="37">
        <f>SUMIFS('📋 Транзакції'!$F$5:$F$3623,'📋 Транзакції'!$B$5:$B$3623,A104,'📋 Транзакції'!$C$5:$C$3623,"&gt;="&amp;EDATE(DATEVALUE(C104&amp;"-01"),1),'📋 Транзакції'!$C$5:$C$3623,"&lt;"&amp;EDATE(DATEVALUE(C104&amp;"-01"),2))</f>
        <v>19.99</v>
      </c>
      <c r="U104" s="37">
        <f>SUMIFS('📋 Транзакції'!$F$5:$F$3623,'📋 Транзакції'!$B$5:$B$3623,A104,'📋 Транзакції'!$C$5:$C$3623,"&gt;="&amp;EDATE(DATEVALUE(C104&amp;"-01"),2),'📋 Транзакції'!$C$5:$C$3623,"&lt;"&amp;EDATE(DATEVALUE(C104&amp;"-01"),3))</f>
        <v>19.99</v>
      </c>
      <c r="V104" s="37">
        <f>SUMIFS('📋 Транзакції'!$F$5:$F$3623,'📋 Транзакції'!$B$5:$B$3623,A104,'📋 Транзакції'!$C$5:$C$3623,"&gt;="&amp;EDATE(DATEVALUE(C104&amp;"-01"),3),'📋 Транзакції'!$C$5:$C$3623,"&lt;"&amp;EDATE(DATEVALUE(C104&amp;"-01"),4))</f>
        <v>19.99</v>
      </c>
      <c r="W104" s="37">
        <f>SUMIFS('📋 Транзакції'!$F$5:$F$3623,'📋 Транзакції'!$B$5:$B$3623,A104,'📋 Транзакції'!$C$5:$C$3623,"&gt;="&amp;EDATE(DATEVALUE(C104&amp;"-01"),4),'📋 Транзакції'!$C$5:$C$3623,"&lt;"&amp;EDATE(DATEVALUE(C104&amp;"-01"),5))</f>
        <v>19.99</v>
      </c>
      <c r="X104" s="37">
        <f>SUMIFS('📋 Транзакції'!$F$5:$F$3623,'📋 Транзакції'!$B$5:$B$3623,A104,'📋 Транзакції'!$C$5:$C$3623,"&gt;="&amp;EDATE(DATEVALUE(C104&amp;"-01"),5),'📋 Транзакції'!$C$5:$C$3623,"&lt;"&amp;EDATE(DATEVALUE(C104&amp;"-01"),6))</f>
        <v>19.99</v>
      </c>
      <c r="Y104" s="37">
        <f>SUMIFS('📋 Транзакції'!$F$5:$F$3623,'📋 Транзакції'!$B$5:$B$3623,A104,'📋 Транзакції'!$C$5:$C$3623,"&gt;="&amp;EDATE(DATEVALUE(C104&amp;"-01"),6),'📋 Транзакції'!$C$5:$C$3623,"&lt;"&amp;EDATE(DATEVALUE(C104&amp;"-01"),7))</f>
        <v>19.99</v>
      </c>
      <c r="Z104" s="37">
        <f>SUMIFS('📋 Транзакції'!$F$5:$F$3623,'📋 Транзакції'!$B$5:$B$3623,A104,'📋 Транзакції'!$C$5:$C$3623,"&gt;="&amp;EDATE(DATEVALUE(C104&amp;"-01"),7),'📋 Транзакції'!$C$5:$C$3623,"&lt;"&amp;EDATE(DATEVALUE(C104&amp;"-01"),8))</f>
        <v>19.99</v>
      </c>
      <c r="AA104" s="37">
        <f>SUMIFS('📋 Транзакції'!$F$5:$F$3623,'📋 Транзакції'!$B$5:$B$3623,A104,'📋 Транзакції'!$C$5:$C$3623,"&gt;="&amp;EDATE(DATEVALUE(C104&amp;"-01"),8),'📋 Транзакції'!$C$5:$C$3623,"&lt;"&amp;EDATE(DATEVALUE(C104&amp;"-01"),9))</f>
        <v>19.99</v>
      </c>
      <c r="AB104" s="37">
        <f>SUMIFS('📋 Транзакції'!$F$5:$F$3623,'📋 Транзакції'!$B$5:$B$3623,A104,'📋 Транзакції'!$C$5:$C$3623,"&gt;="&amp;EDATE(DATEVALUE(C104&amp;"-01"),9),'📋 Транзакції'!$C$5:$C$3623,"&lt;"&amp;EDATE(DATEVALUE(C104&amp;"-01"),10))</f>
        <v>19.99</v>
      </c>
      <c r="AC104" s="37">
        <f>SUMIFS('📋 Транзакції'!$F$5:$F$3623,'📋 Транзакції'!$B$5:$B$3623,A104,'📋 Транзакції'!$C$5:$C$3623,"&gt;="&amp;EDATE(DATEVALUE(C104&amp;"-01"),10),'📋 Транзакції'!$C$5:$C$3623,"&lt;"&amp;EDATE(DATEVALUE(C104&amp;"-01"),11))</f>
        <v>19.99</v>
      </c>
      <c r="AD104" s="37">
        <f>SUMIFS('📋 Транзакції'!$F$5:$F$3623,'📋 Транзакції'!$B$5:$B$3623,A104,'📋 Транзакції'!$C$5:$C$3623,"&gt;="&amp;EDATE(DATEVALUE(C104&amp;"-01"),11),'📋 Транзакції'!$C$5:$C$3623,"&lt;"&amp;EDATE(DATEVALUE(C104&amp;"-01"),12))</f>
        <v>19.99</v>
      </c>
    </row>
    <row r="105" ht="15.75" customHeight="1">
      <c r="A105" s="33" t="str">
        <f>'📋 Реєстрації'!A105:A706</f>
        <v>U0431</v>
      </c>
      <c r="B105" s="34">
        <f t="array" ref="B105">INDEX('📋 Транзакції'!$C$5:$C$3623,MATCH(A105,'📋 Транзакції'!$B$5:$B$3623,0))</f>
        <v>45397</v>
      </c>
      <c r="C105" s="35" t="str">
        <f t="shared" si="1"/>
        <v>2024-04</v>
      </c>
      <c r="D105" s="36">
        <f>COUNTIF('📋 Транзакції'!$B$5:$B$3623,A105)</f>
        <v>13</v>
      </c>
      <c r="E105" s="36">
        <f>SUMIF('📋 Транзакції'!$B$5:$B$3623,A105,'📋 Транзакції'!$F$5:$F$3623)</f>
        <v>239.88</v>
      </c>
      <c r="F105" s="35">
        <f>INT($A$1-MAXIFS('📋 Транзакції'!$C$5:$C$3623,'📋 Транзакції'!$B$5:$B$3623,A105))</f>
        <v>13</v>
      </c>
      <c r="G105" s="37">
        <f>IF(COUNTIFS('📋 Транзакції'!$B$5:$B$3623,A105,'📋 Транзакції'!$C$5:$C$3623,"&gt;="&amp;EDATE(DATEVALUE(C105&amp;"-01"),0),'📋 Транзакції'!$C$5:$C$3623,"&lt;"&amp;EDATE(DATEVALUE(C105&amp;"-01"),1))&gt;0,1,0)</f>
        <v>1</v>
      </c>
      <c r="H105" s="37">
        <f>IF(COUNTIFS('📋 Транзакції'!$B$5:$B$3623,A105,'📋 Транзакції'!$C$5:$C$3623,"&gt;="&amp;EDATE(DATEVALUE(C105&amp;"-01"),1),'📋 Транзакції'!$C$5:$C$3623,"&lt;"&amp;EDATE(DATEVALUE(C105&amp;"-01"),2))&gt;0,1,0)</f>
        <v>1</v>
      </c>
      <c r="I105" s="37">
        <f>IF(COUNTIFS('📋 Транзакції'!$B$5:$B$3623,A105,'📋 Транзакції'!$C$5:$C$3623,"&gt;="&amp;EDATE(DATEVALUE(C105&amp;"-01"),2),'📋 Транзакції'!$C$5:$C$3623,"&lt;"&amp;EDATE(DATEVALUE(C105&amp;"-01"),3))&gt;0,1,0)</f>
        <v>1</v>
      </c>
      <c r="J105" s="37">
        <f>IF(COUNTIFS('📋 Транзакції'!$B$5:$B$3623,A105,'📋 Транзакції'!$C$5:$C$3623,"&gt;="&amp;EDATE(DATEVALUE(C105&amp;"-01"),3),'📋 Транзакції'!$C$5:$C$3623,"&lt;"&amp;EDATE(DATEVALUE(C105&amp;"-01"),4))&gt;0,1,0)</f>
        <v>1</v>
      </c>
      <c r="K105" s="37">
        <f>IF(COUNTIFS('📋 Транзакції'!$B$5:$B$3623,A105,'📋 Транзакції'!$C$5:$C$3623,"&gt;="&amp;EDATE(DATEVALUE(C105&amp;"-01"),4),'📋 Транзакції'!$C$5:$C$3623,"&lt;"&amp;EDATE(DATEVALUE(C105&amp;"-01"),5))&gt;0,1,0)</f>
        <v>1</v>
      </c>
      <c r="L105" s="37">
        <f>IF(COUNTIFS('📋 Транзакції'!$B$5:$B$3623,A105,'📋 Транзакції'!$C$5:$C$3623,"&gt;="&amp;EDATE(DATEVALUE(C105&amp;"-01"),5),'📋 Транзакції'!$C$5:$C$3623,"&lt;"&amp;EDATE(DATEVALUE(C105&amp;"-01"),6))&gt;0,1,0)</f>
        <v>1</v>
      </c>
      <c r="M105" s="37">
        <f>IF(COUNTIFS('📋 Транзакції'!$B$5:$B$3623,A105,'📋 Транзакції'!$C$5:$C$3623,"&gt;="&amp;EDATE(DATEVALUE(C105&amp;"-01"),6),'📋 Транзакції'!$C$5:$C$3623,"&lt;"&amp;EDATE(DATEVALUE(C105&amp;"-01"),7))&gt;0,1,0)</f>
        <v>1</v>
      </c>
      <c r="N105" s="37">
        <f>IF(COUNTIFS('📋 Транзакції'!$B$5:$B$3623,A105,'📋 Транзакції'!$C$5:$C$3623,"&gt;="&amp;EDATE(DATEVALUE(C105&amp;"-01"),7),'📋 Транзакції'!$C$5:$C$3623,"&lt;"&amp;EDATE(DATEVALUE(C105&amp;"-01"),8))&gt;0,1,0)</f>
        <v>1</v>
      </c>
      <c r="O105" s="37">
        <f>IF(COUNTIFS('📋 Транзакції'!$B$5:$B$3623,A105,'📋 Транзакції'!$C$5:$C$3623,"&gt;="&amp;EDATE(DATEVALUE(C105&amp;"-01"),8),'📋 Транзакції'!$C$5:$C$3623,"&lt;"&amp;EDATE(DATEVALUE(C105&amp;"-01"),9))&gt;0,1,0)</f>
        <v>1</v>
      </c>
      <c r="P105" s="37">
        <f>IF(COUNTIFS('📋 Транзакції'!$B$5:$B$3623,A105,'📋 Транзакції'!$C$5:$C$3623,"&gt;="&amp;EDATE(DATEVALUE(C105&amp;"-01"),9),'📋 Транзакції'!$C$5:$C$3623,"&lt;"&amp;EDATE(DATEVALUE(C105&amp;"-01"),10))&gt;0,1,0)</f>
        <v>1</v>
      </c>
      <c r="Q105" s="37">
        <f>IF(COUNTIFS('📋 Транзакції'!$B$5:$B$3623,A105,'📋 Транзакції'!$C$5:$C$3623,"&gt;="&amp;EDATE(DATEVALUE(C105&amp;"-01"),10),'📋 Транзакції'!$C$5:$C$3623,"&lt;"&amp;EDATE(DATEVALUE(C105&amp;"-01"),11))&gt;0,1,0)</f>
        <v>1</v>
      </c>
      <c r="R105" s="37">
        <f>IF(COUNTIFS('📋 Транзакції'!$B$5:$B$3623,A105,'📋 Транзакції'!$C$5:$C$3623,"&gt;="&amp;EDATE(DATEVALUE(C105&amp;"-01"),11),'📋 Транзакції'!$C$5:$C$3623,"&lt;"&amp;EDATE(DATEVALUE(C105&amp;"-01"),12))&gt;0,1,0)</f>
        <v>1</v>
      </c>
      <c r="S105" s="37">
        <f>SUMIFS('📋 Транзакції'!$F$5:$F$3623,'📋 Транзакції'!$B$5:$B$3623,A105,'📋 Транзакції'!$C$5:$C$3623,"&gt;="&amp;EDATE(DATEVALUE(C105&amp;"-01"),0),'📋 Транзакції'!$C$5:$C$3623,"&lt;"&amp;EDATE(DATEVALUE(C105&amp;"-01"),1))</f>
        <v>19.99</v>
      </c>
      <c r="T105" s="37">
        <f>SUMIFS('📋 Транзакції'!$F$5:$F$3623,'📋 Транзакції'!$B$5:$B$3623,A105,'📋 Транзакції'!$C$5:$C$3623,"&gt;="&amp;EDATE(DATEVALUE(C105&amp;"-01"),1),'📋 Транзакції'!$C$5:$C$3623,"&lt;"&amp;EDATE(DATEVALUE(C105&amp;"-01"),2))</f>
        <v>19.99</v>
      </c>
      <c r="U105" s="37">
        <f>SUMIFS('📋 Транзакції'!$F$5:$F$3623,'📋 Транзакції'!$B$5:$B$3623,A105,'📋 Транзакції'!$C$5:$C$3623,"&gt;="&amp;EDATE(DATEVALUE(C105&amp;"-01"),2),'📋 Транзакції'!$C$5:$C$3623,"&lt;"&amp;EDATE(DATEVALUE(C105&amp;"-01"),3))</f>
        <v>19.99</v>
      </c>
      <c r="V105" s="37">
        <f>SUMIFS('📋 Транзакції'!$F$5:$F$3623,'📋 Транзакції'!$B$5:$B$3623,A105,'📋 Транзакції'!$C$5:$C$3623,"&gt;="&amp;EDATE(DATEVALUE(C105&amp;"-01"),3),'📋 Транзакції'!$C$5:$C$3623,"&lt;"&amp;EDATE(DATEVALUE(C105&amp;"-01"),4))</f>
        <v>19.99</v>
      </c>
      <c r="W105" s="37">
        <f>SUMIFS('📋 Транзакції'!$F$5:$F$3623,'📋 Транзакції'!$B$5:$B$3623,A105,'📋 Транзакції'!$C$5:$C$3623,"&gt;="&amp;EDATE(DATEVALUE(C105&amp;"-01"),4),'📋 Транзакції'!$C$5:$C$3623,"&lt;"&amp;EDATE(DATEVALUE(C105&amp;"-01"),5))</f>
        <v>19.99</v>
      </c>
      <c r="X105" s="37">
        <f>SUMIFS('📋 Транзакції'!$F$5:$F$3623,'📋 Транзакції'!$B$5:$B$3623,A105,'📋 Транзакції'!$C$5:$C$3623,"&gt;="&amp;EDATE(DATEVALUE(C105&amp;"-01"),5),'📋 Транзакції'!$C$5:$C$3623,"&lt;"&amp;EDATE(DATEVALUE(C105&amp;"-01"),6))</f>
        <v>19.99</v>
      </c>
      <c r="Y105" s="37">
        <f>SUMIFS('📋 Транзакції'!$F$5:$F$3623,'📋 Транзакції'!$B$5:$B$3623,A105,'📋 Транзакції'!$C$5:$C$3623,"&gt;="&amp;EDATE(DATEVALUE(C105&amp;"-01"),6),'📋 Транзакції'!$C$5:$C$3623,"&lt;"&amp;EDATE(DATEVALUE(C105&amp;"-01"),7))</f>
        <v>19.99</v>
      </c>
      <c r="Z105" s="37">
        <f>SUMIFS('📋 Транзакції'!$F$5:$F$3623,'📋 Транзакції'!$B$5:$B$3623,A105,'📋 Транзакції'!$C$5:$C$3623,"&gt;="&amp;EDATE(DATEVALUE(C105&amp;"-01"),7),'📋 Транзакції'!$C$5:$C$3623,"&lt;"&amp;EDATE(DATEVALUE(C105&amp;"-01"),8))</f>
        <v>19.99</v>
      </c>
      <c r="AA105" s="37">
        <f>SUMIFS('📋 Транзакції'!$F$5:$F$3623,'📋 Транзакції'!$B$5:$B$3623,A105,'📋 Транзакції'!$C$5:$C$3623,"&gt;="&amp;EDATE(DATEVALUE(C105&amp;"-01"),8),'📋 Транзакції'!$C$5:$C$3623,"&lt;"&amp;EDATE(DATEVALUE(C105&amp;"-01"),9))</f>
        <v>19.99</v>
      </c>
      <c r="AB105" s="37">
        <f>SUMIFS('📋 Транзакції'!$F$5:$F$3623,'📋 Транзакції'!$B$5:$B$3623,A105,'📋 Транзакції'!$C$5:$C$3623,"&gt;="&amp;EDATE(DATEVALUE(C105&amp;"-01"),9),'📋 Транзакції'!$C$5:$C$3623,"&lt;"&amp;EDATE(DATEVALUE(C105&amp;"-01"),10))</f>
        <v>19.99</v>
      </c>
      <c r="AC105" s="37">
        <f>SUMIFS('📋 Транзакції'!$F$5:$F$3623,'📋 Транзакції'!$B$5:$B$3623,A105,'📋 Транзакції'!$C$5:$C$3623,"&gt;="&amp;EDATE(DATEVALUE(C105&amp;"-01"),10),'📋 Транзакції'!$C$5:$C$3623,"&lt;"&amp;EDATE(DATEVALUE(C105&amp;"-01"),11))</f>
        <v>19.99</v>
      </c>
      <c r="AD105" s="37">
        <f>SUMIFS('📋 Транзакції'!$F$5:$F$3623,'📋 Транзакції'!$B$5:$B$3623,A105,'📋 Транзакції'!$C$5:$C$3623,"&gt;="&amp;EDATE(DATEVALUE(C105&amp;"-01"),11),'📋 Транзакції'!$C$5:$C$3623,"&lt;"&amp;EDATE(DATEVALUE(C105&amp;"-01"),12))</f>
        <v>19.99</v>
      </c>
    </row>
    <row r="106" ht="15.75" customHeight="1">
      <c r="A106" s="33" t="str">
        <f>'📋 Реєстрації'!A106:A707</f>
        <v>U0589</v>
      </c>
      <c r="B106" s="34">
        <f t="array" ref="B106">INDEX('📋 Транзакції'!$C$5:$C$3623,MATCH(A106,'📋 Транзакції'!$B$5:$B$3623,0))</f>
        <v>45398</v>
      </c>
      <c r="C106" s="35" t="str">
        <f t="shared" si="1"/>
        <v>2024-04</v>
      </c>
      <c r="D106" s="36">
        <f>COUNTIF('📋 Транзакції'!$B$5:$B$3623,A106)</f>
        <v>13</v>
      </c>
      <c r="E106" s="36">
        <f>SUMIF('📋 Транзакції'!$B$5:$B$3623,A106,'📋 Транзакції'!$F$5:$F$3623)</f>
        <v>239.88</v>
      </c>
      <c r="F106" s="35">
        <f>INT($A$1-MAXIFS('📋 Транзакції'!$C$5:$C$3623,'📋 Транзакції'!$B$5:$B$3623,A106))</f>
        <v>12</v>
      </c>
      <c r="G106" s="37">
        <f>IF(COUNTIFS('📋 Транзакції'!$B$5:$B$3623,A106,'📋 Транзакції'!$C$5:$C$3623,"&gt;="&amp;EDATE(DATEVALUE(C106&amp;"-01"),0),'📋 Транзакції'!$C$5:$C$3623,"&lt;"&amp;EDATE(DATEVALUE(C106&amp;"-01"),1))&gt;0,1,0)</f>
        <v>1</v>
      </c>
      <c r="H106" s="37">
        <f>IF(COUNTIFS('📋 Транзакції'!$B$5:$B$3623,A106,'📋 Транзакції'!$C$5:$C$3623,"&gt;="&amp;EDATE(DATEVALUE(C106&amp;"-01"),1),'📋 Транзакції'!$C$5:$C$3623,"&lt;"&amp;EDATE(DATEVALUE(C106&amp;"-01"),2))&gt;0,1,0)</f>
        <v>1</v>
      </c>
      <c r="I106" s="37">
        <f>IF(COUNTIFS('📋 Транзакції'!$B$5:$B$3623,A106,'📋 Транзакції'!$C$5:$C$3623,"&gt;="&amp;EDATE(DATEVALUE(C106&amp;"-01"),2),'📋 Транзакції'!$C$5:$C$3623,"&lt;"&amp;EDATE(DATEVALUE(C106&amp;"-01"),3))&gt;0,1,0)</f>
        <v>1</v>
      </c>
      <c r="J106" s="37">
        <f>IF(COUNTIFS('📋 Транзакції'!$B$5:$B$3623,A106,'📋 Транзакції'!$C$5:$C$3623,"&gt;="&amp;EDATE(DATEVALUE(C106&amp;"-01"),3),'📋 Транзакції'!$C$5:$C$3623,"&lt;"&amp;EDATE(DATEVALUE(C106&amp;"-01"),4))&gt;0,1,0)</f>
        <v>1</v>
      </c>
      <c r="K106" s="37">
        <f>IF(COUNTIFS('📋 Транзакції'!$B$5:$B$3623,A106,'📋 Транзакції'!$C$5:$C$3623,"&gt;="&amp;EDATE(DATEVALUE(C106&amp;"-01"),4),'📋 Транзакції'!$C$5:$C$3623,"&lt;"&amp;EDATE(DATEVALUE(C106&amp;"-01"),5))&gt;0,1,0)</f>
        <v>1</v>
      </c>
      <c r="L106" s="37">
        <f>IF(COUNTIFS('📋 Транзакції'!$B$5:$B$3623,A106,'📋 Транзакції'!$C$5:$C$3623,"&gt;="&amp;EDATE(DATEVALUE(C106&amp;"-01"),5),'📋 Транзакції'!$C$5:$C$3623,"&lt;"&amp;EDATE(DATEVALUE(C106&amp;"-01"),6))&gt;0,1,0)</f>
        <v>1</v>
      </c>
      <c r="M106" s="37">
        <f>IF(COUNTIFS('📋 Транзакції'!$B$5:$B$3623,A106,'📋 Транзакції'!$C$5:$C$3623,"&gt;="&amp;EDATE(DATEVALUE(C106&amp;"-01"),6),'📋 Транзакції'!$C$5:$C$3623,"&lt;"&amp;EDATE(DATEVALUE(C106&amp;"-01"),7))&gt;0,1,0)</f>
        <v>1</v>
      </c>
      <c r="N106" s="37">
        <f>IF(COUNTIFS('📋 Транзакції'!$B$5:$B$3623,A106,'📋 Транзакції'!$C$5:$C$3623,"&gt;="&amp;EDATE(DATEVALUE(C106&amp;"-01"),7),'📋 Транзакції'!$C$5:$C$3623,"&lt;"&amp;EDATE(DATEVALUE(C106&amp;"-01"),8))&gt;0,1,0)</f>
        <v>1</v>
      </c>
      <c r="O106" s="37">
        <f>IF(COUNTIFS('📋 Транзакції'!$B$5:$B$3623,A106,'📋 Транзакції'!$C$5:$C$3623,"&gt;="&amp;EDATE(DATEVALUE(C106&amp;"-01"),8),'📋 Транзакції'!$C$5:$C$3623,"&lt;"&amp;EDATE(DATEVALUE(C106&amp;"-01"),9))&gt;0,1,0)</f>
        <v>1</v>
      </c>
      <c r="P106" s="37">
        <f>IF(COUNTIFS('📋 Транзакції'!$B$5:$B$3623,A106,'📋 Транзакції'!$C$5:$C$3623,"&gt;="&amp;EDATE(DATEVALUE(C106&amp;"-01"),9),'📋 Транзакції'!$C$5:$C$3623,"&lt;"&amp;EDATE(DATEVALUE(C106&amp;"-01"),10))&gt;0,1,0)</f>
        <v>1</v>
      </c>
      <c r="Q106" s="37">
        <f>IF(COUNTIFS('📋 Транзакції'!$B$5:$B$3623,A106,'📋 Транзакції'!$C$5:$C$3623,"&gt;="&amp;EDATE(DATEVALUE(C106&amp;"-01"),10),'📋 Транзакції'!$C$5:$C$3623,"&lt;"&amp;EDATE(DATEVALUE(C106&amp;"-01"),11))&gt;0,1,0)</f>
        <v>1</v>
      </c>
      <c r="R106" s="37">
        <f>IF(COUNTIFS('📋 Транзакції'!$B$5:$B$3623,A106,'📋 Транзакції'!$C$5:$C$3623,"&gt;="&amp;EDATE(DATEVALUE(C106&amp;"-01"),11),'📋 Транзакції'!$C$5:$C$3623,"&lt;"&amp;EDATE(DATEVALUE(C106&amp;"-01"),12))&gt;0,1,0)</f>
        <v>1</v>
      </c>
      <c r="S106" s="37">
        <f>SUMIFS('📋 Транзакції'!$F$5:$F$3623,'📋 Транзакції'!$B$5:$B$3623,A106,'📋 Транзакції'!$C$5:$C$3623,"&gt;="&amp;EDATE(DATEVALUE(C106&amp;"-01"),0),'📋 Транзакції'!$C$5:$C$3623,"&lt;"&amp;EDATE(DATEVALUE(C106&amp;"-01"),1))</f>
        <v>19.99</v>
      </c>
      <c r="T106" s="37">
        <f>SUMIFS('📋 Транзакції'!$F$5:$F$3623,'📋 Транзакції'!$B$5:$B$3623,A106,'📋 Транзакції'!$C$5:$C$3623,"&gt;="&amp;EDATE(DATEVALUE(C106&amp;"-01"),1),'📋 Транзакції'!$C$5:$C$3623,"&lt;"&amp;EDATE(DATEVALUE(C106&amp;"-01"),2))</f>
        <v>19.99</v>
      </c>
      <c r="U106" s="37">
        <f>SUMIFS('📋 Транзакції'!$F$5:$F$3623,'📋 Транзакції'!$B$5:$B$3623,A106,'📋 Транзакції'!$C$5:$C$3623,"&gt;="&amp;EDATE(DATEVALUE(C106&amp;"-01"),2),'📋 Транзакції'!$C$5:$C$3623,"&lt;"&amp;EDATE(DATEVALUE(C106&amp;"-01"),3))</f>
        <v>19.99</v>
      </c>
      <c r="V106" s="37">
        <f>SUMIFS('📋 Транзакції'!$F$5:$F$3623,'📋 Транзакції'!$B$5:$B$3623,A106,'📋 Транзакції'!$C$5:$C$3623,"&gt;="&amp;EDATE(DATEVALUE(C106&amp;"-01"),3),'📋 Транзакції'!$C$5:$C$3623,"&lt;"&amp;EDATE(DATEVALUE(C106&amp;"-01"),4))</f>
        <v>19.99</v>
      </c>
      <c r="W106" s="37">
        <f>SUMIFS('📋 Транзакції'!$F$5:$F$3623,'📋 Транзакції'!$B$5:$B$3623,A106,'📋 Транзакції'!$C$5:$C$3623,"&gt;="&amp;EDATE(DATEVALUE(C106&amp;"-01"),4),'📋 Транзакції'!$C$5:$C$3623,"&lt;"&amp;EDATE(DATEVALUE(C106&amp;"-01"),5))</f>
        <v>19.99</v>
      </c>
      <c r="X106" s="37">
        <f>SUMIFS('📋 Транзакції'!$F$5:$F$3623,'📋 Транзакції'!$B$5:$B$3623,A106,'📋 Транзакції'!$C$5:$C$3623,"&gt;="&amp;EDATE(DATEVALUE(C106&amp;"-01"),5),'📋 Транзакції'!$C$5:$C$3623,"&lt;"&amp;EDATE(DATEVALUE(C106&amp;"-01"),6))</f>
        <v>19.99</v>
      </c>
      <c r="Y106" s="37">
        <f>SUMIFS('📋 Транзакції'!$F$5:$F$3623,'📋 Транзакції'!$B$5:$B$3623,A106,'📋 Транзакції'!$C$5:$C$3623,"&gt;="&amp;EDATE(DATEVALUE(C106&amp;"-01"),6),'📋 Транзакції'!$C$5:$C$3623,"&lt;"&amp;EDATE(DATEVALUE(C106&amp;"-01"),7))</f>
        <v>19.99</v>
      </c>
      <c r="Z106" s="37">
        <f>SUMIFS('📋 Транзакції'!$F$5:$F$3623,'📋 Транзакції'!$B$5:$B$3623,A106,'📋 Транзакції'!$C$5:$C$3623,"&gt;="&amp;EDATE(DATEVALUE(C106&amp;"-01"),7),'📋 Транзакції'!$C$5:$C$3623,"&lt;"&amp;EDATE(DATEVALUE(C106&amp;"-01"),8))</f>
        <v>19.99</v>
      </c>
      <c r="AA106" s="37">
        <f>SUMIFS('📋 Транзакції'!$F$5:$F$3623,'📋 Транзакції'!$B$5:$B$3623,A106,'📋 Транзакції'!$C$5:$C$3623,"&gt;="&amp;EDATE(DATEVALUE(C106&amp;"-01"),8),'📋 Транзакції'!$C$5:$C$3623,"&lt;"&amp;EDATE(DATEVALUE(C106&amp;"-01"),9))</f>
        <v>19.99</v>
      </c>
      <c r="AB106" s="37">
        <f>SUMIFS('📋 Транзакції'!$F$5:$F$3623,'📋 Транзакції'!$B$5:$B$3623,A106,'📋 Транзакції'!$C$5:$C$3623,"&gt;="&amp;EDATE(DATEVALUE(C106&amp;"-01"),9),'📋 Транзакції'!$C$5:$C$3623,"&lt;"&amp;EDATE(DATEVALUE(C106&amp;"-01"),10))</f>
        <v>19.99</v>
      </c>
      <c r="AC106" s="37">
        <f>SUMIFS('📋 Транзакції'!$F$5:$F$3623,'📋 Транзакції'!$B$5:$B$3623,A106,'📋 Транзакції'!$C$5:$C$3623,"&gt;="&amp;EDATE(DATEVALUE(C106&amp;"-01"),10),'📋 Транзакції'!$C$5:$C$3623,"&lt;"&amp;EDATE(DATEVALUE(C106&amp;"-01"),11))</f>
        <v>19.99</v>
      </c>
      <c r="AD106" s="37">
        <f>SUMIFS('📋 Транзакції'!$F$5:$F$3623,'📋 Транзакції'!$B$5:$B$3623,A106,'📋 Транзакції'!$C$5:$C$3623,"&gt;="&amp;EDATE(DATEVALUE(C106&amp;"-01"),11),'📋 Транзакції'!$C$5:$C$3623,"&lt;"&amp;EDATE(DATEVALUE(C106&amp;"-01"),12))</f>
        <v>19.99</v>
      </c>
    </row>
    <row r="107" ht="15.75" customHeight="1">
      <c r="A107" s="33" t="str">
        <f>'📋 Реєстрації'!A107:A708</f>
        <v>U0727</v>
      </c>
      <c r="B107" s="34">
        <f t="array" ref="B107">INDEX('📋 Транзакції'!$C$5:$C$3623,MATCH(A107,'📋 Транзакції'!$B$5:$B$3623,0))</f>
        <v>45401</v>
      </c>
      <c r="C107" s="35" t="str">
        <f t="shared" si="1"/>
        <v>2024-04</v>
      </c>
      <c r="D107" s="36">
        <f>COUNTIF('📋 Транзакції'!$B$5:$B$3623,A107)</f>
        <v>7</v>
      </c>
      <c r="E107" s="36">
        <f>SUMIF('📋 Транзакції'!$B$5:$B$3623,A107,'📋 Транзакції'!$F$5:$F$3623)</f>
        <v>119.94</v>
      </c>
      <c r="F107" s="35">
        <f>INT($A$1-MAXIFS('📋 Транзакції'!$C$5:$C$3623,'📋 Транзакції'!$B$5:$B$3623,A107))</f>
        <v>189</v>
      </c>
      <c r="G107" s="37">
        <f>IF(COUNTIFS('📋 Транзакції'!$B$5:$B$3623,A107,'📋 Транзакції'!$C$5:$C$3623,"&gt;="&amp;EDATE(DATEVALUE(C107&amp;"-01"),0),'📋 Транзакції'!$C$5:$C$3623,"&lt;"&amp;EDATE(DATEVALUE(C107&amp;"-01"),1))&gt;0,1,0)</f>
        <v>1</v>
      </c>
      <c r="H107" s="37">
        <f>IF(COUNTIFS('📋 Транзакції'!$B$5:$B$3623,A107,'📋 Транзакції'!$C$5:$C$3623,"&gt;="&amp;EDATE(DATEVALUE(C107&amp;"-01"),1),'📋 Транзакції'!$C$5:$C$3623,"&lt;"&amp;EDATE(DATEVALUE(C107&amp;"-01"),2))&gt;0,1,0)</f>
        <v>1</v>
      </c>
      <c r="I107" s="37">
        <f>IF(COUNTIFS('📋 Транзакції'!$B$5:$B$3623,A107,'📋 Транзакції'!$C$5:$C$3623,"&gt;="&amp;EDATE(DATEVALUE(C107&amp;"-01"),2),'📋 Транзакції'!$C$5:$C$3623,"&lt;"&amp;EDATE(DATEVALUE(C107&amp;"-01"),3))&gt;0,1,0)</f>
        <v>1</v>
      </c>
      <c r="J107" s="37">
        <f>IF(COUNTIFS('📋 Транзакції'!$B$5:$B$3623,A107,'📋 Транзакції'!$C$5:$C$3623,"&gt;="&amp;EDATE(DATEVALUE(C107&amp;"-01"),3),'📋 Транзакції'!$C$5:$C$3623,"&lt;"&amp;EDATE(DATEVALUE(C107&amp;"-01"),4))&gt;0,1,0)</f>
        <v>1</v>
      </c>
      <c r="K107" s="37">
        <f>IF(COUNTIFS('📋 Транзакції'!$B$5:$B$3623,A107,'📋 Транзакції'!$C$5:$C$3623,"&gt;="&amp;EDATE(DATEVALUE(C107&amp;"-01"),4),'📋 Транзакції'!$C$5:$C$3623,"&lt;"&amp;EDATE(DATEVALUE(C107&amp;"-01"),5))&gt;0,1,0)</f>
        <v>1</v>
      </c>
      <c r="L107" s="37">
        <f>IF(COUNTIFS('📋 Транзакції'!$B$5:$B$3623,A107,'📋 Транзакції'!$C$5:$C$3623,"&gt;="&amp;EDATE(DATEVALUE(C107&amp;"-01"),5),'📋 Транзакції'!$C$5:$C$3623,"&lt;"&amp;EDATE(DATEVALUE(C107&amp;"-01"),6))&gt;0,1,0)</f>
        <v>1</v>
      </c>
      <c r="M107" s="37">
        <f>IF(COUNTIFS('📋 Транзакції'!$B$5:$B$3623,A107,'📋 Транзакції'!$C$5:$C$3623,"&gt;="&amp;EDATE(DATEVALUE(C107&amp;"-01"),6),'📋 Транзакції'!$C$5:$C$3623,"&lt;"&amp;EDATE(DATEVALUE(C107&amp;"-01"),7))&gt;0,1,0)</f>
        <v>0</v>
      </c>
      <c r="N107" s="37">
        <f>IF(COUNTIFS('📋 Транзакції'!$B$5:$B$3623,A107,'📋 Транзакції'!$C$5:$C$3623,"&gt;="&amp;EDATE(DATEVALUE(C107&amp;"-01"),7),'📋 Транзакції'!$C$5:$C$3623,"&lt;"&amp;EDATE(DATEVALUE(C107&amp;"-01"),8))&gt;0,1,0)</f>
        <v>0</v>
      </c>
      <c r="O107" s="37">
        <f>IF(COUNTIFS('📋 Транзакції'!$B$5:$B$3623,A107,'📋 Транзакції'!$C$5:$C$3623,"&gt;="&amp;EDATE(DATEVALUE(C107&amp;"-01"),8),'📋 Транзакції'!$C$5:$C$3623,"&lt;"&amp;EDATE(DATEVALUE(C107&amp;"-01"),9))&gt;0,1,0)</f>
        <v>0</v>
      </c>
      <c r="P107" s="37">
        <f>IF(COUNTIFS('📋 Транзакції'!$B$5:$B$3623,A107,'📋 Транзакції'!$C$5:$C$3623,"&gt;="&amp;EDATE(DATEVALUE(C107&amp;"-01"),9),'📋 Транзакції'!$C$5:$C$3623,"&lt;"&amp;EDATE(DATEVALUE(C107&amp;"-01"),10))&gt;0,1,0)</f>
        <v>0</v>
      </c>
      <c r="Q107" s="37">
        <f>IF(COUNTIFS('📋 Транзакції'!$B$5:$B$3623,A107,'📋 Транзакції'!$C$5:$C$3623,"&gt;="&amp;EDATE(DATEVALUE(C107&amp;"-01"),10),'📋 Транзакції'!$C$5:$C$3623,"&lt;"&amp;EDATE(DATEVALUE(C107&amp;"-01"),11))&gt;0,1,0)</f>
        <v>0</v>
      </c>
      <c r="R107" s="37">
        <f>IF(COUNTIFS('📋 Транзакції'!$B$5:$B$3623,A107,'📋 Транзакції'!$C$5:$C$3623,"&gt;="&amp;EDATE(DATEVALUE(C107&amp;"-01"),11),'📋 Транзакції'!$C$5:$C$3623,"&lt;"&amp;EDATE(DATEVALUE(C107&amp;"-01"),12))&gt;0,1,0)</f>
        <v>0</v>
      </c>
      <c r="S107" s="37">
        <f>SUMIFS('📋 Транзакції'!$F$5:$F$3623,'📋 Транзакції'!$B$5:$B$3623,A107,'📋 Транзакції'!$C$5:$C$3623,"&gt;="&amp;EDATE(DATEVALUE(C107&amp;"-01"),0),'📋 Транзакції'!$C$5:$C$3623,"&lt;"&amp;EDATE(DATEVALUE(C107&amp;"-01"),1))</f>
        <v>19.99</v>
      </c>
      <c r="T107" s="37">
        <f>SUMIFS('📋 Транзакції'!$F$5:$F$3623,'📋 Транзакції'!$B$5:$B$3623,A107,'📋 Транзакції'!$C$5:$C$3623,"&gt;="&amp;EDATE(DATEVALUE(C107&amp;"-01"),1),'📋 Транзакції'!$C$5:$C$3623,"&lt;"&amp;EDATE(DATEVALUE(C107&amp;"-01"),2))</f>
        <v>19.99</v>
      </c>
      <c r="U107" s="37">
        <f>SUMIFS('📋 Транзакції'!$F$5:$F$3623,'📋 Транзакції'!$B$5:$B$3623,A107,'📋 Транзакції'!$C$5:$C$3623,"&gt;="&amp;EDATE(DATEVALUE(C107&amp;"-01"),2),'📋 Транзакції'!$C$5:$C$3623,"&lt;"&amp;EDATE(DATEVALUE(C107&amp;"-01"),3))</f>
        <v>19.99</v>
      </c>
      <c r="V107" s="37">
        <f>SUMIFS('📋 Транзакції'!$F$5:$F$3623,'📋 Транзакції'!$B$5:$B$3623,A107,'📋 Транзакції'!$C$5:$C$3623,"&gt;="&amp;EDATE(DATEVALUE(C107&amp;"-01"),3),'📋 Транзакції'!$C$5:$C$3623,"&lt;"&amp;EDATE(DATEVALUE(C107&amp;"-01"),4))</f>
        <v>19.99</v>
      </c>
      <c r="W107" s="37">
        <f>SUMIFS('📋 Транзакції'!$F$5:$F$3623,'📋 Транзакції'!$B$5:$B$3623,A107,'📋 Транзакції'!$C$5:$C$3623,"&gt;="&amp;EDATE(DATEVALUE(C107&amp;"-01"),4),'📋 Транзакції'!$C$5:$C$3623,"&lt;"&amp;EDATE(DATEVALUE(C107&amp;"-01"),5))</f>
        <v>19.99</v>
      </c>
      <c r="X107" s="37">
        <f>SUMIFS('📋 Транзакції'!$F$5:$F$3623,'📋 Транзакції'!$B$5:$B$3623,A107,'📋 Транзакції'!$C$5:$C$3623,"&gt;="&amp;EDATE(DATEVALUE(C107&amp;"-01"),5),'📋 Транзакції'!$C$5:$C$3623,"&lt;"&amp;EDATE(DATEVALUE(C107&amp;"-01"),6))</f>
        <v>19.99</v>
      </c>
      <c r="Y107" s="37">
        <f>SUMIFS('📋 Транзакції'!$F$5:$F$3623,'📋 Транзакції'!$B$5:$B$3623,A107,'📋 Транзакції'!$C$5:$C$3623,"&gt;="&amp;EDATE(DATEVALUE(C107&amp;"-01"),6),'📋 Транзакції'!$C$5:$C$3623,"&lt;"&amp;EDATE(DATEVALUE(C107&amp;"-01"),7))</f>
        <v>0</v>
      </c>
      <c r="Z107" s="37">
        <f>SUMIFS('📋 Транзакції'!$F$5:$F$3623,'📋 Транзакції'!$B$5:$B$3623,A107,'📋 Транзакції'!$C$5:$C$3623,"&gt;="&amp;EDATE(DATEVALUE(C107&amp;"-01"),7),'📋 Транзакції'!$C$5:$C$3623,"&lt;"&amp;EDATE(DATEVALUE(C107&amp;"-01"),8))</f>
        <v>0</v>
      </c>
      <c r="AA107" s="37">
        <f>SUMIFS('📋 Транзакції'!$F$5:$F$3623,'📋 Транзакції'!$B$5:$B$3623,A107,'📋 Транзакції'!$C$5:$C$3623,"&gt;="&amp;EDATE(DATEVALUE(C107&amp;"-01"),8),'📋 Транзакції'!$C$5:$C$3623,"&lt;"&amp;EDATE(DATEVALUE(C107&amp;"-01"),9))</f>
        <v>0</v>
      </c>
      <c r="AB107" s="37">
        <f>SUMIFS('📋 Транзакції'!$F$5:$F$3623,'📋 Транзакції'!$B$5:$B$3623,A107,'📋 Транзакції'!$C$5:$C$3623,"&gt;="&amp;EDATE(DATEVALUE(C107&amp;"-01"),9),'📋 Транзакції'!$C$5:$C$3623,"&lt;"&amp;EDATE(DATEVALUE(C107&amp;"-01"),10))</f>
        <v>0</v>
      </c>
      <c r="AC107" s="37">
        <f>SUMIFS('📋 Транзакції'!$F$5:$F$3623,'📋 Транзакції'!$B$5:$B$3623,A107,'📋 Транзакції'!$C$5:$C$3623,"&gt;="&amp;EDATE(DATEVALUE(C107&amp;"-01"),10),'📋 Транзакції'!$C$5:$C$3623,"&lt;"&amp;EDATE(DATEVALUE(C107&amp;"-01"),11))</f>
        <v>0</v>
      </c>
      <c r="AD107" s="37">
        <f>SUMIFS('📋 Транзакції'!$F$5:$F$3623,'📋 Транзакції'!$B$5:$B$3623,A107,'📋 Транзакції'!$C$5:$C$3623,"&gt;="&amp;EDATE(DATEVALUE(C107&amp;"-01"),11),'📋 Транзакції'!$C$5:$C$3623,"&lt;"&amp;EDATE(DATEVALUE(C107&amp;"-01"),12))</f>
        <v>0</v>
      </c>
    </row>
    <row r="108" ht="15.75" customHeight="1">
      <c r="A108" s="33" t="str">
        <f>'📋 Реєстрації'!A108:A709</f>
        <v>U0802</v>
      </c>
      <c r="B108" s="34">
        <f t="array" ref="B108">INDEX('📋 Транзакції'!$C$5:$C$3623,MATCH(A108,'📋 Транзакції'!$B$5:$B$3623,0))</f>
        <v>45401</v>
      </c>
      <c r="C108" s="35" t="str">
        <f t="shared" si="1"/>
        <v>2024-04</v>
      </c>
      <c r="D108" s="36">
        <f>COUNTIF('📋 Транзакції'!$B$5:$B$3623,A108)</f>
        <v>13</v>
      </c>
      <c r="E108" s="36">
        <f>SUMIF('📋 Транзакції'!$B$5:$B$3623,A108,'📋 Транзакції'!$F$5:$F$3623)</f>
        <v>239.88</v>
      </c>
      <c r="F108" s="35">
        <f>INT($A$1-MAXIFS('📋 Транзакції'!$C$5:$C$3623,'📋 Транзакції'!$B$5:$B$3623,A108))</f>
        <v>9</v>
      </c>
      <c r="G108" s="37">
        <f>IF(COUNTIFS('📋 Транзакції'!$B$5:$B$3623,A108,'📋 Транзакції'!$C$5:$C$3623,"&gt;="&amp;EDATE(DATEVALUE(C108&amp;"-01"),0),'📋 Транзакції'!$C$5:$C$3623,"&lt;"&amp;EDATE(DATEVALUE(C108&amp;"-01"),1))&gt;0,1,0)</f>
        <v>1</v>
      </c>
      <c r="H108" s="37">
        <f>IF(COUNTIFS('📋 Транзакції'!$B$5:$B$3623,A108,'📋 Транзакції'!$C$5:$C$3623,"&gt;="&amp;EDATE(DATEVALUE(C108&amp;"-01"),1),'📋 Транзакції'!$C$5:$C$3623,"&lt;"&amp;EDATE(DATEVALUE(C108&amp;"-01"),2))&gt;0,1,0)</f>
        <v>1</v>
      </c>
      <c r="I108" s="37">
        <f>IF(COUNTIFS('📋 Транзакції'!$B$5:$B$3623,A108,'📋 Транзакції'!$C$5:$C$3623,"&gt;="&amp;EDATE(DATEVALUE(C108&amp;"-01"),2),'📋 Транзакції'!$C$5:$C$3623,"&lt;"&amp;EDATE(DATEVALUE(C108&amp;"-01"),3))&gt;0,1,0)</f>
        <v>1</v>
      </c>
      <c r="J108" s="37">
        <f>IF(COUNTIFS('📋 Транзакції'!$B$5:$B$3623,A108,'📋 Транзакції'!$C$5:$C$3623,"&gt;="&amp;EDATE(DATEVALUE(C108&amp;"-01"),3),'📋 Транзакції'!$C$5:$C$3623,"&lt;"&amp;EDATE(DATEVALUE(C108&amp;"-01"),4))&gt;0,1,0)</f>
        <v>1</v>
      </c>
      <c r="K108" s="37">
        <f>IF(COUNTIFS('📋 Транзакції'!$B$5:$B$3623,A108,'📋 Транзакції'!$C$5:$C$3623,"&gt;="&amp;EDATE(DATEVALUE(C108&amp;"-01"),4),'📋 Транзакції'!$C$5:$C$3623,"&lt;"&amp;EDATE(DATEVALUE(C108&amp;"-01"),5))&gt;0,1,0)</f>
        <v>1</v>
      </c>
      <c r="L108" s="37">
        <f>IF(COUNTIFS('📋 Транзакції'!$B$5:$B$3623,A108,'📋 Транзакції'!$C$5:$C$3623,"&gt;="&amp;EDATE(DATEVALUE(C108&amp;"-01"),5),'📋 Транзакції'!$C$5:$C$3623,"&lt;"&amp;EDATE(DATEVALUE(C108&amp;"-01"),6))&gt;0,1,0)</f>
        <v>1</v>
      </c>
      <c r="M108" s="37">
        <f>IF(COUNTIFS('📋 Транзакції'!$B$5:$B$3623,A108,'📋 Транзакції'!$C$5:$C$3623,"&gt;="&amp;EDATE(DATEVALUE(C108&amp;"-01"),6),'📋 Транзакції'!$C$5:$C$3623,"&lt;"&amp;EDATE(DATEVALUE(C108&amp;"-01"),7))&gt;0,1,0)</f>
        <v>1</v>
      </c>
      <c r="N108" s="37">
        <f>IF(COUNTIFS('📋 Транзакції'!$B$5:$B$3623,A108,'📋 Транзакції'!$C$5:$C$3623,"&gt;="&amp;EDATE(DATEVALUE(C108&amp;"-01"),7),'📋 Транзакції'!$C$5:$C$3623,"&lt;"&amp;EDATE(DATEVALUE(C108&amp;"-01"),8))&gt;0,1,0)</f>
        <v>1</v>
      </c>
      <c r="O108" s="37">
        <f>IF(COUNTIFS('📋 Транзакції'!$B$5:$B$3623,A108,'📋 Транзакції'!$C$5:$C$3623,"&gt;="&amp;EDATE(DATEVALUE(C108&amp;"-01"),8),'📋 Транзакції'!$C$5:$C$3623,"&lt;"&amp;EDATE(DATEVALUE(C108&amp;"-01"),9))&gt;0,1,0)</f>
        <v>1</v>
      </c>
      <c r="P108" s="37">
        <f>IF(COUNTIFS('📋 Транзакції'!$B$5:$B$3623,A108,'📋 Транзакції'!$C$5:$C$3623,"&gt;="&amp;EDATE(DATEVALUE(C108&amp;"-01"),9),'📋 Транзакції'!$C$5:$C$3623,"&lt;"&amp;EDATE(DATEVALUE(C108&amp;"-01"),10))&gt;0,1,0)</f>
        <v>1</v>
      </c>
      <c r="Q108" s="37">
        <f>IF(COUNTIFS('📋 Транзакції'!$B$5:$B$3623,A108,'📋 Транзакції'!$C$5:$C$3623,"&gt;="&amp;EDATE(DATEVALUE(C108&amp;"-01"),10),'📋 Транзакції'!$C$5:$C$3623,"&lt;"&amp;EDATE(DATEVALUE(C108&amp;"-01"),11))&gt;0,1,0)</f>
        <v>1</v>
      </c>
      <c r="R108" s="37">
        <f>IF(COUNTIFS('📋 Транзакції'!$B$5:$B$3623,A108,'📋 Транзакції'!$C$5:$C$3623,"&gt;="&amp;EDATE(DATEVALUE(C108&amp;"-01"),11),'📋 Транзакції'!$C$5:$C$3623,"&lt;"&amp;EDATE(DATEVALUE(C108&amp;"-01"),12))&gt;0,1,0)</f>
        <v>1</v>
      </c>
      <c r="S108" s="37">
        <f>SUMIFS('📋 Транзакції'!$F$5:$F$3623,'📋 Транзакції'!$B$5:$B$3623,A108,'📋 Транзакції'!$C$5:$C$3623,"&gt;="&amp;EDATE(DATEVALUE(C108&amp;"-01"),0),'📋 Транзакції'!$C$5:$C$3623,"&lt;"&amp;EDATE(DATEVALUE(C108&amp;"-01"),1))</f>
        <v>19.99</v>
      </c>
      <c r="T108" s="37">
        <f>SUMIFS('📋 Транзакції'!$F$5:$F$3623,'📋 Транзакції'!$B$5:$B$3623,A108,'📋 Транзакції'!$C$5:$C$3623,"&gt;="&amp;EDATE(DATEVALUE(C108&amp;"-01"),1),'📋 Транзакції'!$C$5:$C$3623,"&lt;"&amp;EDATE(DATEVALUE(C108&amp;"-01"),2))</f>
        <v>19.99</v>
      </c>
      <c r="U108" s="37">
        <f>SUMIFS('📋 Транзакції'!$F$5:$F$3623,'📋 Транзакції'!$B$5:$B$3623,A108,'📋 Транзакції'!$C$5:$C$3623,"&gt;="&amp;EDATE(DATEVALUE(C108&amp;"-01"),2),'📋 Транзакції'!$C$5:$C$3623,"&lt;"&amp;EDATE(DATEVALUE(C108&amp;"-01"),3))</f>
        <v>19.99</v>
      </c>
      <c r="V108" s="37">
        <f>SUMIFS('📋 Транзакції'!$F$5:$F$3623,'📋 Транзакції'!$B$5:$B$3623,A108,'📋 Транзакції'!$C$5:$C$3623,"&gt;="&amp;EDATE(DATEVALUE(C108&amp;"-01"),3),'📋 Транзакції'!$C$5:$C$3623,"&lt;"&amp;EDATE(DATEVALUE(C108&amp;"-01"),4))</f>
        <v>19.99</v>
      </c>
      <c r="W108" s="37">
        <f>SUMIFS('📋 Транзакції'!$F$5:$F$3623,'📋 Транзакції'!$B$5:$B$3623,A108,'📋 Транзакції'!$C$5:$C$3623,"&gt;="&amp;EDATE(DATEVALUE(C108&amp;"-01"),4),'📋 Транзакції'!$C$5:$C$3623,"&lt;"&amp;EDATE(DATEVALUE(C108&amp;"-01"),5))</f>
        <v>19.99</v>
      </c>
      <c r="X108" s="37">
        <f>SUMIFS('📋 Транзакції'!$F$5:$F$3623,'📋 Транзакції'!$B$5:$B$3623,A108,'📋 Транзакції'!$C$5:$C$3623,"&gt;="&amp;EDATE(DATEVALUE(C108&amp;"-01"),5),'📋 Транзакції'!$C$5:$C$3623,"&lt;"&amp;EDATE(DATEVALUE(C108&amp;"-01"),6))</f>
        <v>19.99</v>
      </c>
      <c r="Y108" s="37">
        <f>SUMIFS('📋 Транзакції'!$F$5:$F$3623,'📋 Транзакції'!$B$5:$B$3623,A108,'📋 Транзакції'!$C$5:$C$3623,"&gt;="&amp;EDATE(DATEVALUE(C108&amp;"-01"),6),'📋 Транзакції'!$C$5:$C$3623,"&lt;"&amp;EDATE(DATEVALUE(C108&amp;"-01"),7))</f>
        <v>19.99</v>
      </c>
      <c r="Z108" s="37">
        <f>SUMIFS('📋 Транзакції'!$F$5:$F$3623,'📋 Транзакції'!$B$5:$B$3623,A108,'📋 Транзакції'!$C$5:$C$3623,"&gt;="&amp;EDATE(DATEVALUE(C108&amp;"-01"),7),'📋 Транзакції'!$C$5:$C$3623,"&lt;"&amp;EDATE(DATEVALUE(C108&amp;"-01"),8))</f>
        <v>19.99</v>
      </c>
      <c r="AA108" s="37">
        <f>SUMIFS('📋 Транзакції'!$F$5:$F$3623,'📋 Транзакції'!$B$5:$B$3623,A108,'📋 Транзакції'!$C$5:$C$3623,"&gt;="&amp;EDATE(DATEVALUE(C108&amp;"-01"),8),'📋 Транзакції'!$C$5:$C$3623,"&lt;"&amp;EDATE(DATEVALUE(C108&amp;"-01"),9))</f>
        <v>19.99</v>
      </c>
      <c r="AB108" s="37">
        <f>SUMIFS('📋 Транзакції'!$F$5:$F$3623,'📋 Транзакції'!$B$5:$B$3623,A108,'📋 Транзакції'!$C$5:$C$3623,"&gt;="&amp;EDATE(DATEVALUE(C108&amp;"-01"),9),'📋 Транзакції'!$C$5:$C$3623,"&lt;"&amp;EDATE(DATEVALUE(C108&amp;"-01"),10))</f>
        <v>19.99</v>
      </c>
      <c r="AC108" s="37">
        <f>SUMIFS('📋 Транзакції'!$F$5:$F$3623,'📋 Транзакції'!$B$5:$B$3623,A108,'📋 Транзакції'!$C$5:$C$3623,"&gt;="&amp;EDATE(DATEVALUE(C108&amp;"-01"),10),'📋 Транзакції'!$C$5:$C$3623,"&lt;"&amp;EDATE(DATEVALUE(C108&amp;"-01"),11))</f>
        <v>19.99</v>
      </c>
      <c r="AD108" s="37">
        <f>SUMIFS('📋 Транзакції'!$F$5:$F$3623,'📋 Транзакції'!$B$5:$B$3623,A108,'📋 Транзакції'!$C$5:$C$3623,"&gt;="&amp;EDATE(DATEVALUE(C108&amp;"-01"),11),'📋 Транзакції'!$C$5:$C$3623,"&lt;"&amp;EDATE(DATEVALUE(C108&amp;"-01"),12))</f>
        <v>19.99</v>
      </c>
    </row>
    <row r="109" ht="15.75" customHeight="1">
      <c r="A109" s="33" t="str">
        <f>'📋 Реєстрації'!A109:A710</f>
        <v>U0833</v>
      </c>
      <c r="B109" s="34">
        <f t="array" ref="B109">INDEX('📋 Транзакції'!$C$5:$C$3623,MATCH(A109,'📋 Транзакції'!$B$5:$B$3623,0))</f>
        <v>45401</v>
      </c>
      <c r="C109" s="35" t="str">
        <f t="shared" si="1"/>
        <v>2024-04</v>
      </c>
      <c r="D109" s="36">
        <f>COUNTIF('📋 Транзакції'!$B$5:$B$3623,A109)</f>
        <v>13</v>
      </c>
      <c r="E109" s="36">
        <f>SUMIF('📋 Транзакції'!$B$5:$B$3623,A109,'📋 Транзакції'!$F$5:$F$3623)</f>
        <v>239.88</v>
      </c>
      <c r="F109" s="35">
        <f>INT($A$1-MAXIFS('📋 Транзакції'!$C$5:$C$3623,'📋 Транзакції'!$B$5:$B$3623,A109))</f>
        <v>9</v>
      </c>
      <c r="G109" s="37">
        <f>IF(COUNTIFS('📋 Транзакції'!$B$5:$B$3623,A109,'📋 Транзакції'!$C$5:$C$3623,"&gt;="&amp;EDATE(DATEVALUE(C109&amp;"-01"),0),'📋 Транзакції'!$C$5:$C$3623,"&lt;"&amp;EDATE(DATEVALUE(C109&amp;"-01"),1))&gt;0,1,0)</f>
        <v>1</v>
      </c>
      <c r="H109" s="37">
        <f>IF(COUNTIFS('📋 Транзакції'!$B$5:$B$3623,A109,'📋 Транзакції'!$C$5:$C$3623,"&gt;="&amp;EDATE(DATEVALUE(C109&amp;"-01"),1),'📋 Транзакції'!$C$5:$C$3623,"&lt;"&amp;EDATE(DATEVALUE(C109&amp;"-01"),2))&gt;0,1,0)</f>
        <v>1</v>
      </c>
      <c r="I109" s="37">
        <f>IF(COUNTIFS('📋 Транзакції'!$B$5:$B$3623,A109,'📋 Транзакції'!$C$5:$C$3623,"&gt;="&amp;EDATE(DATEVALUE(C109&amp;"-01"),2),'📋 Транзакції'!$C$5:$C$3623,"&lt;"&amp;EDATE(DATEVALUE(C109&amp;"-01"),3))&gt;0,1,0)</f>
        <v>1</v>
      </c>
      <c r="J109" s="37">
        <f>IF(COUNTIFS('📋 Транзакції'!$B$5:$B$3623,A109,'📋 Транзакції'!$C$5:$C$3623,"&gt;="&amp;EDATE(DATEVALUE(C109&amp;"-01"),3),'📋 Транзакції'!$C$5:$C$3623,"&lt;"&amp;EDATE(DATEVALUE(C109&amp;"-01"),4))&gt;0,1,0)</f>
        <v>1</v>
      </c>
      <c r="K109" s="37">
        <f>IF(COUNTIFS('📋 Транзакції'!$B$5:$B$3623,A109,'📋 Транзакції'!$C$5:$C$3623,"&gt;="&amp;EDATE(DATEVALUE(C109&amp;"-01"),4),'📋 Транзакції'!$C$5:$C$3623,"&lt;"&amp;EDATE(DATEVALUE(C109&amp;"-01"),5))&gt;0,1,0)</f>
        <v>1</v>
      </c>
      <c r="L109" s="37">
        <f>IF(COUNTIFS('📋 Транзакції'!$B$5:$B$3623,A109,'📋 Транзакції'!$C$5:$C$3623,"&gt;="&amp;EDATE(DATEVALUE(C109&amp;"-01"),5),'📋 Транзакції'!$C$5:$C$3623,"&lt;"&amp;EDATE(DATEVALUE(C109&amp;"-01"),6))&gt;0,1,0)</f>
        <v>1</v>
      </c>
      <c r="M109" s="37">
        <f>IF(COUNTIFS('📋 Транзакції'!$B$5:$B$3623,A109,'📋 Транзакції'!$C$5:$C$3623,"&gt;="&amp;EDATE(DATEVALUE(C109&amp;"-01"),6),'📋 Транзакції'!$C$5:$C$3623,"&lt;"&amp;EDATE(DATEVALUE(C109&amp;"-01"),7))&gt;0,1,0)</f>
        <v>1</v>
      </c>
      <c r="N109" s="37">
        <f>IF(COUNTIFS('📋 Транзакції'!$B$5:$B$3623,A109,'📋 Транзакції'!$C$5:$C$3623,"&gt;="&amp;EDATE(DATEVALUE(C109&amp;"-01"),7),'📋 Транзакції'!$C$5:$C$3623,"&lt;"&amp;EDATE(DATEVALUE(C109&amp;"-01"),8))&gt;0,1,0)</f>
        <v>1</v>
      </c>
      <c r="O109" s="37">
        <f>IF(COUNTIFS('📋 Транзакції'!$B$5:$B$3623,A109,'📋 Транзакції'!$C$5:$C$3623,"&gt;="&amp;EDATE(DATEVALUE(C109&amp;"-01"),8),'📋 Транзакції'!$C$5:$C$3623,"&lt;"&amp;EDATE(DATEVALUE(C109&amp;"-01"),9))&gt;0,1,0)</f>
        <v>1</v>
      </c>
      <c r="P109" s="37">
        <f>IF(COUNTIFS('📋 Транзакції'!$B$5:$B$3623,A109,'📋 Транзакції'!$C$5:$C$3623,"&gt;="&amp;EDATE(DATEVALUE(C109&amp;"-01"),9),'📋 Транзакції'!$C$5:$C$3623,"&lt;"&amp;EDATE(DATEVALUE(C109&amp;"-01"),10))&gt;0,1,0)</f>
        <v>1</v>
      </c>
      <c r="Q109" s="37">
        <f>IF(COUNTIFS('📋 Транзакції'!$B$5:$B$3623,A109,'📋 Транзакції'!$C$5:$C$3623,"&gt;="&amp;EDATE(DATEVALUE(C109&amp;"-01"),10),'📋 Транзакції'!$C$5:$C$3623,"&lt;"&amp;EDATE(DATEVALUE(C109&amp;"-01"),11))&gt;0,1,0)</f>
        <v>1</v>
      </c>
      <c r="R109" s="37">
        <f>IF(COUNTIFS('📋 Транзакції'!$B$5:$B$3623,A109,'📋 Транзакції'!$C$5:$C$3623,"&gt;="&amp;EDATE(DATEVALUE(C109&amp;"-01"),11),'📋 Транзакції'!$C$5:$C$3623,"&lt;"&amp;EDATE(DATEVALUE(C109&amp;"-01"),12))&gt;0,1,0)</f>
        <v>1</v>
      </c>
      <c r="S109" s="37">
        <f>SUMIFS('📋 Транзакції'!$F$5:$F$3623,'📋 Транзакції'!$B$5:$B$3623,A109,'📋 Транзакції'!$C$5:$C$3623,"&gt;="&amp;EDATE(DATEVALUE(C109&amp;"-01"),0),'📋 Транзакції'!$C$5:$C$3623,"&lt;"&amp;EDATE(DATEVALUE(C109&amp;"-01"),1))</f>
        <v>19.99</v>
      </c>
      <c r="T109" s="37">
        <f>SUMIFS('📋 Транзакції'!$F$5:$F$3623,'📋 Транзакції'!$B$5:$B$3623,A109,'📋 Транзакції'!$C$5:$C$3623,"&gt;="&amp;EDATE(DATEVALUE(C109&amp;"-01"),1),'📋 Транзакції'!$C$5:$C$3623,"&lt;"&amp;EDATE(DATEVALUE(C109&amp;"-01"),2))</f>
        <v>19.99</v>
      </c>
      <c r="U109" s="37">
        <f>SUMIFS('📋 Транзакції'!$F$5:$F$3623,'📋 Транзакції'!$B$5:$B$3623,A109,'📋 Транзакції'!$C$5:$C$3623,"&gt;="&amp;EDATE(DATEVALUE(C109&amp;"-01"),2),'📋 Транзакції'!$C$5:$C$3623,"&lt;"&amp;EDATE(DATEVALUE(C109&amp;"-01"),3))</f>
        <v>19.99</v>
      </c>
      <c r="V109" s="37">
        <f>SUMIFS('📋 Транзакції'!$F$5:$F$3623,'📋 Транзакції'!$B$5:$B$3623,A109,'📋 Транзакції'!$C$5:$C$3623,"&gt;="&amp;EDATE(DATEVALUE(C109&amp;"-01"),3),'📋 Транзакції'!$C$5:$C$3623,"&lt;"&amp;EDATE(DATEVALUE(C109&amp;"-01"),4))</f>
        <v>19.99</v>
      </c>
      <c r="W109" s="37">
        <f>SUMIFS('📋 Транзакції'!$F$5:$F$3623,'📋 Транзакції'!$B$5:$B$3623,A109,'📋 Транзакції'!$C$5:$C$3623,"&gt;="&amp;EDATE(DATEVALUE(C109&amp;"-01"),4),'📋 Транзакції'!$C$5:$C$3623,"&lt;"&amp;EDATE(DATEVALUE(C109&amp;"-01"),5))</f>
        <v>19.99</v>
      </c>
      <c r="X109" s="37">
        <f>SUMIFS('📋 Транзакції'!$F$5:$F$3623,'📋 Транзакції'!$B$5:$B$3623,A109,'📋 Транзакції'!$C$5:$C$3623,"&gt;="&amp;EDATE(DATEVALUE(C109&amp;"-01"),5),'📋 Транзакції'!$C$5:$C$3623,"&lt;"&amp;EDATE(DATEVALUE(C109&amp;"-01"),6))</f>
        <v>19.99</v>
      </c>
      <c r="Y109" s="37">
        <f>SUMIFS('📋 Транзакції'!$F$5:$F$3623,'📋 Транзакції'!$B$5:$B$3623,A109,'📋 Транзакції'!$C$5:$C$3623,"&gt;="&amp;EDATE(DATEVALUE(C109&amp;"-01"),6),'📋 Транзакції'!$C$5:$C$3623,"&lt;"&amp;EDATE(DATEVALUE(C109&amp;"-01"),7))</f>
        <v>19.99</v>
      </c>
      <c r="Z109" s="37">
        <f>SUMIFS('📋 Транзакції'!$F$5:$F$3623,'📋 Транзакції'!$B$5:$B$3623,A109,'📋 Транзакції'!$C$5:$C$3623,"&gt;="&amp;EDATE(DATEVALUE(C109&amp;"-01"),7),'📋 Транзакції'!$C$5:$C$3623,"&lt;"&amp;EDATE(DATEVALUE(C109&amp;"-01"),8))</f>
        <v>19.99</v>
      </c>
      <c r="AA109" s="37">
        <f>SUMIFS('📋 Транзакції'!$F$5:$F$3623,'📋 Транзакції'!$B$5:$B$3623,A109,'📋 Транзакції'!$C$5:$C$3623,"&gt;="&amp;EDATE(DATEVALUE(C109&amp;"-01"),8),'📋 Транзакції'!$C$5:$C$3623,"&lt;"&amp;EDATE(DATEVALUE(C109&amp;"-01"),9))</f>
        <v>19.99</v>
      </c>
      <c r="AB109" s="37">
        <f>SUMIFS('📋 Транзакції'!$F$5:$F$3623,'📋 Транзакції'!$B$5:$B$3623,A109,'📋 Транзакції'!$C$5:$C$3623,"&gt;="&amp;EDATE(DATEVALUE(C109&amp;"-01"),9),'📋 Транзакції'!$C$5:$C$3623,"&lt;"&amp;EDATE(DATEVALUE(C109&amp;"-01"),10))</f>
        <v>19.99</v>
      </c>
      <c r="AC109" s="37">
        <f>SUMIFS('📋 Транзакції'!$F$5:$F$3623,'📋 Транзакції'!$B$5:$B$3623,A109,'📋 Транзакції'!$C$5:$C$3623,"&gt;="&amp;EDATE(DATEVALUE(C109&amp;"-01"),10),'📋 Транзакції'!$C$5:$C$3623,"&lt;"&amp;EDATE(DATEVALUE(C109&amp;"-01"),11))</f>
        <v>19.99</v>
      </c>
      <c r="AD109" s="37">
        <f>SUMIFS('📋 Транзакції'!$F$5:$F$3623,'📋 Транзакції'!$B$5:$B$3623,A109,'📋 Транзакції'!$C$5:$C$3623,"&gt;="&amp;EDATE(DATEVALUE(C109&amp;"-01"),11),'📋 Транзакції'!$C$5:$C$3623,"&lt;"&amp;EDATE(DATEVALUE(C109&amp;"-01"),12))</f>
        <v>19.99</v>
      </c>
    </row>
    <row r="110" ht="15.75" customHeight="1">
      <c r="A110" s="33" t="str">
        <f>'📋 Реєстрації'!A110:A711</f>
        <v>U0041</v>
      </c>
      <c r="B110" s="34">
        <f t="array" ref="B110">INDEX('📋 Транзакції'!$C$5:$C$3623,MATCH(A110,'📋 Транзакції'!$B$5:$B$3623,0))</f>
        <v>45402</v>
      </c>
      <c r="C110" s="35" t="str">
        <f t="shared" si="1"/>
        <v>2024-04</v>
      </c>
      <c r="D110" s="36">
        <f>COUNTIF('📋 Транзакції'!$B$5:$B$3623,A110)</f>
        <v>2</v>
      </c>
      <c r="E110" s="36">
        <f>SUMIF('📋 Транзакції'!$B$5:$B$3623,A110,'📋 Транзакції'!$F$5:$F$3623)</f>
        <v>19.99</v>
      </c>
      <c r="F110" s="35">
        <f>INT($A$1-MAXIFS('📋 Транзакції'!$C$5:$C$3623,'📋 Транзакції'!$B$5:$B$3623,A110))</f>
        <v>338</v>
      </c>
      <c r="G110" s="37">
        <f>IF(COUNTIFS('📋 Транзакції'!$B$5:$B$3623,A110,'📋 Транзакції'!$C$5:$C$3623,"&gt;="&amp;EDATE(DATEVALUE(C110&amp;"-01"),0),'📋 Транзакції'!$C$5:$C$3623,"&lt;"&amp;EDATE(DATEVALUE(C110&amp;"-01"),1))&gt;0,1,0)</f>
        <v>1</v>
      </c>
      <c r="H110" s="37">
        <f>IF(COUNTIFS('📋 Транзакції'!$B$5:$B$3623,A110,'📋 Транзакції'!$C$5:$C$3623,"&gt;="&amp;EDATE(DATEVALUE(C110&amp;"-01"),1),'📋 Транзакції'!$C$5:$C$3623,"&lt;"&amp;EDATE(DATEVALUE(C110&amp;"-01"),2))&gt;0,1,0)</f>
        <v>0</v>
      </c>
      <c r="I110" s="37">
        <f>IF(COUNTIFS('📋 Транзакції'!$B$5:$B$3623,A110,'📋 Транзакції'!$C$5:$C$3623,"&gt;="&amp;EDATE(DATEVALUE(C110&amp;"-01"),2),'📋 Транзакції'!$C$5:$C$3623,"&lt;"&amp;EDATE(DATEVALUE(C110&amp;"-01"),3))&gt;0,1,0)</f>
        <v>0</v>
      </c>
      <c r="J110" s="37">
        <f>IF(COUNTIFS('📋 Транзакції'!$B$5:$B$3623,A110,'📋 Транзакції'!$C$5:$C$3623,"&gt;="&amp;EDATE(DATEVALUE(C110&amp;"-01"),3),'📋 Транзакції'!$C$5:$C$3623,"&lt;"&amp;EDATE(DATEVALUE(C110&amp;"-01"),4))&gt;0,1,0)</f>
        <v>0</v>
      </c>
      <c r="K110" s="37">
        <f>IF(COUNTIFS('📋 Транзакції'!$B$5:$B$3623,A110,'📋 Транзакції'!$C$5:$C$3623,"&gt;="&amp;EDATE(DATEVALUE(C110&amp;"-01"),4),'📋 Транзакції'!$C$5:$C$3623,"&lt;"&amp;EDATE(DATEVALUE(C110&amp;"-01"),5))&gt;0,1,0)</f>
        <v>0</v>
      </c>
      <c r="L110" s="37">
        <f>IF(COUNTIFS('📋 Транзакції'!$B$5:$B$3623,A110,'📋 Транзакції'!$C$5:$C$3623,"&gt;="&amp;EDATE(DATEVALUE(C110&amp;"-01"),5),'📋 Транзакції'!$C$5:$C$3623,"&lt;"&amp;EDATE(DATEVALUE(C110&amp;"-01"),6))&gt;0,1,0)</f>
        <v>0</v>
      </c>
      <c r="M110" s="37">
        <f>IF(COUNTIFS('📋 Транзакції'!$B$5:$B$3623,A110,'📋 Транзакції'!$C$5:$C$3623,"&gt;="&amp;EDATE(DATEVALUE(C110&amp;"-01"),6),'📋 Транзакції'!$C$5:$C$3623,"&lt;"&amp;EDATE(DATEVALUE(C110&amp;"-01"),7))&gt;0,1,0)</f>
        <v>0</v>
      </c>
      <c r="N110" s="37">
        <f>IF(COUNTIFS('📋 Транзакції'!$B$5:$B$3623,A110,'📋 Транзакції'!$C$5:$C$3623,"&gt;="&amp;EDATE(DATEVALUE(C110&amp;"-01"),7),'📋 Транзакції'!$C$5:$C$3623,"&lt;"&amp;EDATE(DATEVALUE(C110&amp;"-01"),8))&gt;0,1,0)</f>
        <v>0</v>
      </c>
      <c r="O110" s="37">
        <f>IF(COUNTIFS('📋 Транзакції'!$B$5:$B$3623,A110,'📋 Транзакції'!$C$5:$C$3623,"&gt;="&amp;EDATE(DATEVALUE(C110&amp;"-01"),8),'📋 Транзакції'!$C$5:$C$3623,"&lt;"&amp;EDATE(DATEVALUE(C110&amp;"-01"),9))&gt;0,1,0)</f>
        <v>0</v>
      </c>
      <c r="P110" s="37">
        <f>IF(COUNTIFS('📋 Транзакції'!$B$5:$B$3623,A110,'📋 Транзакції'!$C$5:$C$3623,"&gt;="&amp;EDATE(DATEVALUE(C110&amp;"-01"),9),'📋 Транзакції'!$C$5:$C$3623,"&lt;"&amp;EDATE(DATEVALUE(C110&amp;"-01"),10))&gt;0,1,0)</f>
        <v>0</v>
      </c>
      <c r="Q110" s="37">
        <f>IF(COUNTIFS('📋 Транзакції'!$B$5:$B$3623,A110,'📋 Транзакції'!$C$5:$C$3623,"&gt;="&amp;EDATE(DATEVALUE(C110&amp;"-01"),10),'📋 Транзакції'!$C$5:$C$3623,"&lt;"&amp;EDATE(DATEVALUE(C110&amp;"-01"),11))&gt;0,1,0)</f>
        <v>0</v>
      </c>
      <c r="R110" s="37">
        <f>IF(COUNTIFS('📋 Транзакції'!$B$5:$B$3623,A110,'📋 Транзакції'!$C$5:$C$3623,"&gt;="&amp;EDATE(DATEVALUE(C110&amp;"-01"),11),'📋 Транзакції'!$C$5:$C$3623,"&lt;"&amp;EDATE(DATEVALUE(C110&amp;"-01"),12))&gt;0,1,0)</f>
        <v>0</v>
      </c>
      <c r="S110" s="37">
        <f>SUMIFS('📋 Транзакції'!$F$5:$F$3623,'📋 Транзакції'!$B$5:$B$3623,A110,'📋 Транзакції'!$C$5:$C$3623,"&gt;="&amp;EDATE(DATEVALUE(C110&amp;"-01"),0),'📋 Транзакції'!$C$5:$C$3623,"&lt;"&amp;EDATE(DATEVALUE(C110&amp;"-01"),1))</f>
        <v>19.99</v>
      </c>
      <c r="T110" s="37">
        <f>SUMIFS('📋 Транзакції'!$F$5:$F$3623,'📋 Транзакції'!$B$5:$B$3623,A110,'📋 Транзакції'!$C$5:$C$3623,"&gt;="&amp;EDATE(DATEVALUE(C110&amp;"-01"),1),'📋 Транзакції'!$C$5:$C$3623,"&lt;"&amp;EDATE(DATEVALUE(C110&amp;"-01"),2))</f>
        <v>0</v>
      </c>
      <c r="U110" s="37">
        <f>SUMIFS('📋 Транзакції'!$F$5:$F$3623,'📋 Транзакції'!$B$5:$B$3623,A110,'📋 Транзакції'!$C$5:$C$3623,"&gt;="&amp;EDATE(DATEVALUE(C110&amp;"-01"),2),'📋 Транзакції'!$C$5:$C$3623,"&lt;"&amp;EDATE(DATEVALUE(C110&amp;"-01"),3))</f>
        <v>0</v>
      </c>
      <c r="V110" s="37">
        <f>SUMIFS('📋 Транзакції'!$F$5:$F$3623,'📋 Транзакції'!$B$5:$B$3623,A110,'📋 Транзакції'!$C$5:$C$3623,"&gt;="&amp;EDATE(DATEVALUE(C110&amp;"-01"),3),'📋 Транзакції'!$C$5:$C$3623,"&lt;"&amp;EDATE(DATEVALUE(C110&amp;"-01"),4))</f>
        <v>0</v>
      </c>
      <c r="W110" s="37">
        <f>SUMIFS('📋 Транзакції'!$F$5:$F$3623,'📋 Транзакції'!$B$5:$B$3623,A110,'📋 Транзакції'!$C$5:$C$3623,"&gt;="&amp;EDATE(DATEVALUE(C110&amp;"-01"),4),'📋 Транзакції'!$C$5:$C$3623,"&lt;"&amp;EDATE(DATEVALUE(C110&amp;"-01"),5))</f>
        <v>0</v>
      </c>
      <c r="X110" s="37">
        <f>SUMIFS('📋 Транзакції'!$F$5:$F$3623,'📋 Транзакції'!$B$5:$B$3623,A110,'📋 Транзакції'!$C$5:$C$3623,"&gt;="&amp;EDATE(DATEVALUE(C110&amp;"-01"),5),'📋 Транзакції'!$C$5:$C$3623,"&lt;"&amp;EDATE(DATEVALUE(C110&amp;"-01"),6))</f>
        <v>0</v>
      </c>
      <c r="Y110" s="37">
        <f>SUMIFS('📋 Транзакції'!$F$5:$F$3623,'📋 Транзакції'!$B$5:$B$3623,A110,'📋 Транзакції'!$C$5:$C$3623,"&gt;="&amp;EDATE(DATEVALUE(C110&amp;"-01"),6),'📋 Транзакції'!$C$5:$C$3623,"&lt;"&amp;EDATE(DATEVALUE(C110&amp;"-01"),7))</f>
        <v>0</v>
      </c>
      <c r="Z110" s="37">
        <f>SUMIFS('📋 Транзакції'!$F$5:$F$3623,'📋 Транзакції'!$B$5:$B$3623,A110,'📋 Транзакції'!$C$5:$C$3623,"&gt;="&amp;EDATE(DATEVALUE(C110&amp;"-01"),7),'📋 Транзакції'!$C$5:$C$3623,"&lt;"&amp;EDATE(DATEVALUE(C110&amp;"-01"),8))</f>
        <v>0</v>
      </c>
      <c r="AA110" s="37">
        <f>SUMIFS('📋 Транзакції'!$F$5:$F$3623,'📋 Транзакції'!$B$5:$B$3623,A110,'📋 Транзакції'!$C$5:$C$3623,"&gt;="&amp;EDATE(DATEVALUE(C110&amp;"-01"),8),'📋 Транзакції'!$C$5:$C$3623,"&lt;"&amp;EDATE(DATEVALUE(C110&amp;"-01"),9))</f>
        <v>0</v>
      </c>
      <c r="AB110" s="37">
        <f>SUMIFS('📋 Транзакції'!$F$5:$F$3623,'📋 Транзакції'!$B$5:$B$3623,A110,'📋 Транзакції'!$C$5:$C$3623,"&gt;="&amp;EDATE(DATEVALUE(C110&amp;"-01"),9),'📋 Транзакції'!$C$5:$C$3623,"&lt;"&amp;EDATE(DATEVALUE(C110&amp;"-01"),10))</f>
        <v>0</v>
      </c>
      <c r="AC110" s="37">
        <f>SUMIFS('📋 Транзакції'!$F$5:$F$3623,'📋 Транзакції'!$B$5:$B$3623,A110,'📋 Транзакції'!$C$5:$C$3623,"&gt;="&amp;EDATE(DATEVALUE(C110&amp;"-01"),10),'📋 Транзакції'!$C$5:$C$3623,"&lt;"&amp;EDATE(DATEVALUE(C110&amp;"-01"),11))</f>
        <v>0</v>
      </c>
      <c r="AD110" s="37">
        <f>SUMIFS('📋 Транзакції'!$F$5:$F$3623,'📋 Транзакції'!$B$5:$B$3623,A110,'📋 Транзакції'!$C$5:$C$3623,"&gt;="&amp;EDATE(DATEVALUE(C110&amp;"-01"),11),'📋 Транзакції'!$C$5:$C$3623,"&lt;"&amp;EDATE(DATEVALUE(C110&amp;"-01"),12))</f>
        <v>0</v>
      </c>
    </row>
    <row r="111" ht="15.75" customHeight="1">
      <c r="A111" s="33" t="str">
        <f>'📋 Реєстрації'!A111:A712</f>
        <v>U0295</v>
      </c>
      <c r="B111" s="34">
        <f t="array" ref="B111">INDEX('📋 Транзакції'!$C$5:$C$3623,MATCH(A111,'📋 Транзакції'!$B$5:$B$3623,0))</f>
        <v>45403</v>
      </c>
      <c r="C111" s="35" t="str">
        <f t="shared" si="1"/>
        <v>2024-04</v>
      </c>
      <c r="D111" s="36">
        <f>COUNTIF('📋 Транзакції'!$B$5:$B$3623,A111)</f>
        <v>2</v>
      </c>
      <c r="E111" s="36">
        <f>SUMIF('📋 Транзакції'!$B$5:$B$3623,A111,'📋 Транзакції'!$F$5:$F$3623)</f>
        <v>19.99</v>
      </c>
      <c r="F111" s="35">
        <f>INT($A$1-MAXIFS('📋 Транзакції'!$C$5:$C$3623,'📋 Транзакції'!$B$5:$B$3623,A111))</f>
        <v>337</v>
      </c>
      <c r="G111" s="37">
        <f>IF(COUNTIFS('📋 Транзакції'!$B$5:$B$3623,A111,'📋 Транзакції'!$C$5:$C$3623,"&gt;="&amp;EDATE(DATEVALUE(C111&amp;"-01"),0),'📋 Транзакції'!$C$5:$C$3623,"&lt;"&amp;EDATE(DATEVALUE(C111&amp;"-01"),1))&gt;0,1,0)</f>
        <v>1</v>
      </c>
      <c r="H111" s="37">
        <f>IF(COUNTIFS('📋 Транзакції'!$B$5:$B$3623,A111,'📋 Транзакції'!$C$5:$C$3623,"&gt;="&amp;EDATE(DATEVALUE(C111&amp;"-01"),1),'📋 Транзакції'!$C$5:$C$3623,"&lt;"&amp;EDATE(DATEVALUE(C111&amp;"-01"),2))&gt;0,1,0)</f>
        <v>0</v>
      </c>
      <c r="I111" s="37">
        <f>IF(COUNTIFS('📋 Транзакції'!$B$5:$B$3623,A111,'📋 Транзакції'!$C$5:$C$3623,"&gt;="&amp;EDATE(DATEVALUE(C111&amp;"-01"),2),'📋 Транзакції'!$C$5:$C$3623,"&lt;"&amp;EDATE(DATEVALUE(C111&amp;"-01"),3))&gt;0,1,0)</f>
        <v>0</v>
      </c>
      <c r="J111" s="37">
        <f>IF(COUNTIFS('📋 Транзакції'!$B$5:$B$3623,A111,'📋 Транзакції'!$C$5:$C$3623,"&gt;="&amp;EDATE(DATEVALUE(C111&amp;"-01"),3),'📋 Транзакції'!$C$5:$C$3623,"&lt;"&amp;EDATE(DATEVALUE(C111&amp;"-01"),4))&gt;0,1,0)</f>
        <v>0</v>
      </c>
      <c r="K111" s="37">
        <f>IF(COUNTIFS('📋 Транзакції'!$B$5:$B$3623,A111,'📋 Транзакції'!$C$5:$C$3623,"&gt;="&amp;EDATE(DATEVALUE(C111&amp;"-01"),4),'📋 Транзакції'!$C$5:$C$3623,"&lt;"&amp;EDATE(DATEVALUE(C111&amp;"-01"),5))&gt;0,1,0)</f>
        <v>0</v>
      </c>
      <c r="L111" s="37">
        <f>IF(COUNTIFS('📋 Транзакції'!$B$5:$B$3623,A111,'📋 Транзакції'!$C$5:$C$3623,"&gt;="&amp;EDATE(DATEVALUE(C111&amp;"-01"),5),'📋 Транзакції'!$C$5:$C$3623,"&lt;"&amp;EDATE(DATEVALUE(C111&amp;"-01"),6))&gt;0,1,0)</f>
        <v>0</v>
      </c>
      <c r="M111" s="37">
        <f>IF(COUNTIFS('📋 Транзакції'!$B$5:$B$3623,A111,'📋 Транзакції'!$C$5:$C$3623,"&gt;="&amp;EDATE(DATEVALUE(C111&amp;"-01"),6),'📋 Транзакції'!$C$5:$C$3623,"&lt;"&amp;EDATE(DATEVALUE(C111&amp;"-01"),7))&gt;0,1,0)</f>
        <v>0</v>
      </c>
      <c r="N111" s="37">
        <f>IF(COUNTIFS('📋 Транзакції'!$B$5:$B$3623,A111,'📋 Транзакції'!$C$5:$C$3623,"&gt;="&amp;EDATE(DATEVALUE(C111&amp;"-01"),7),'📋 Транзакції'!$C$5:$C$3623,"&lt;"&amp;EDATE(DATEVALUE(C111&amp;"-01"),8))&gt;0,1,0)</f>
        <v>0</v>
      </c>
      <c r="O111" s="37">
        <f>IF(COUNTIFS('📋 Транзакції'!$B$5:$B$3623,A111,'📋 Транзакції'!$C$5:$C$3623,"&gt;="&amp;EDATE(DATEVALUE(C111&amp;"-01"),8),'📋 Транзакції'!$C$5:$C$3623,"&lt;"&amp;EDATE(DATEVALUE(C111&amp;"-01"),9))&gt;0,1,0)</f>
        <v>0</v>
      </c>
      <c r="P111" s="37">
        <f>IF(COUNTIFS('📋 Транзакції'!$B$5:$B$3623,A111,'📋 Транзакції'!$C$5:$C$3623,"&gt;="&amp;EDATE(DATEVALUE(C111&amp;"-01"),9),'📋 Транзакції'!$C$5:$C$3623,"&lt;"&amp;EDATE(DATEVALUE(C111&amp;"-01"),10))&gt;0,1,0)</f>
        <v>0</v>
      </c>
      <c r="Q111" s="37">
        <f>IF(COUNTIFS('📋 Транзакції'!$B$5:$B$3623,A111,'📋 Транзакції'!$C$5:$C$3623,"&gt;="&amp;EDATE(DATEVALUE(C111&amp;"-01"),10),'📋 Транзакції'!$C$5:$C$3623,"&lt;"&amp;EDATE(DATEVALUE(C111&amp;"-01"),11))&gt;0,1,0)</f>
        <v>0</v>
      </c>
      <c r="R111" s="37">
        <f>IF(COUNTIFS('📋 Транзакції'!$B$5:$B$3623,A111,'📋 Транзакції'!$C$5:$C$3623,"&gt;="&amp;EDATE(DATEVALUE(C111&amp;"-01"),11),'📋 Транзакції'!$C$5:$C$3623,"&lt;"&amp;EDATE(DATEVALUE(C111&amp;"-01"),12))&gt;0,1,0)</f>
        <v>0</v>
      </c>
      <c r="S111" s="37">
        <f>SUMIFS('📋 Транзакції'!$F$5:$F$3623,'📋 Транзакції'!$B$5:$B$3623,A111,'📋 Транзакції'!$C$5:$C$3623,"&gt;="&amp;EDATE(DATEVALUE(C111&amp;"-01"),0),'📋 Транзакції'!$C$5:$C$3623,"&lt;"&amp;EDATE(DATEVALUE(C111&amp;"-01"),1))</f>
        <v>19.99</v>
      </c>
      <c r="T111" s="37">
        <f>SUMIFS('📋 Транзакції'!$F$5:$F$3623,'📋 Транзакції'!$B$5:$B$3623,A111,'📋 Транзакції'!$C$5:$C$3623,"&gt;="&amp;EDATE(DATEVALUE(C111&amp;"-01"),1),'📋 Транзакції'!$C$5:$C$3623,"&lt;"&amp;EDATE(DATEVALUE(C111&amp;"-01"),2))</f>
        <v>0</v>
      </c>
      <c r="U111" s="37">
        <f>SUMIFS('📋 Транзакції'!$F$5:$F$3623,'📋 Транзакції'!$B$5:$B$3623,A111,'📋 Транзакції'!$C$5:$C$3623,"&gt;="&amp;EDATE(DATEVALUE(C111&amp;"-01"),2),'📋 Транзакції'!$C$5:$C$3623,"&lt;"&amp;EDATE(DATEVALUE(C111&amp;"-01"),3))</f>
        <v>0</v>
      </c>
      <c r="V111" s="37">
        <f>SUMIFS('📋 Транзакції'!$F$5:$F$3623,'📋 Транзакції'!$B$5:$B$3623,A111,'📋 Транзакції'!$C$5:$C$3623,"&gt;="&amp;EDATE(DATEVALUE(C111&amp;"-01"),3),'📋 Транзакції'!$C$5:$C$3623,"&lt;"&amp;EDATE(DATEVALUE(C111&amp;"-01"),4))</f>
        <v>0</v>
      </c>
      <c r="W111" s="37">
        <f>SUMIFS('📋 Транзакції'!$F$5:$F$3623,'📋 Транзакції'!$B$5:$B$3623,A111,'📋 Транзакції'!$C$5:$C$3623,"&gt;="&amp;EDATE(DATEVALUE(C111&amp;"-01"),4),'📋 Транзакції'!$C$5:$C$3623,"&lt;"&amp;EDATE(DATEVALUE(C111&amp;"-01"),5))</f>
        <v>0</v>
      </c>
      <c r="X111" s="37">
        <f>SUMIFS('📋 Транзакції'!$F$5:$F$3623,'📋 Транзакції'!$B$5:$B$3623,A111,'📋 Транзакції'!$C$5:$C$3623,"&gt;="&amp;EDATE(DATEVALUE(C111&amp;"-01"),5),'📋 Транзакції'!$C$5:$C$3623,"&lt;"&amp;EDATE(DATEVALUE(C111&amp;"-01"),6))</f>
        <v>0</v>
      </c>
      <c r="Y111" s="37">
        <f>SUMIFS('📋 Транзакції'!$F$5:$F$3623,'📋 Транзакції'!$B$5:$B$3623,A111,'📋 Транзакції'!$C$5:$C$3623,"&gt;="&amp;EDATE(DATEVALUE(C111&amp;"-01"),6),'📋 Транзакції'!$C$5:$C$3623,"&lt;"&amp;EDATE(DATEVALUE(C111&amp;"-01"),7))</f>
        <v>0</v>
      </c>
      <c r="Z111" s="37">
        <f>SUMIFS('📋 Транзакції'!$F$5:$F$3623,'📋 Транзакції'!$B$5:$B$3623,A111,'📋 Транзакції'!$C$5:$C$3623,"&gt;="&amp;EDATE(DATEVALUE(C111&amp;"-01"),7),'📋 Транзакції'!$C$5:$C$3623,"&lt;"&amp;EDATE(DATEVALUE(C111&amp;"-01"),8))</f>
        <v>0</v>
      </c>
      <c r="AA111" s="37">
        <f>SUMIFS('📋 Транзакції'!$F$5:$F$3623,'📋 Транзакції'!$B$5:$B$3623,A111,'📋 Транзакції'!$C$5:$C$3623,"&gt;="&amp;EDATE(DATEVALUE(C111&amp;"-01"),8),'📋 Транзакції'!$C$5:$C$3623,"&lt;"&amp;EDATE(DATEVALUE(C111&amp;"-01"),9))</f>
        <v>0</v>
      </c>
      <c r="AB111" s="37">
        <f>SUMIFS('📋 Транзакції'!$F$5:$F$3623,'📋 Транзакції'!$B$5:$B$3623,A111,'📋 Транзакції'!$C$5:$C$3623,"&gt;="&amp;EDATE(DATEVALUE(C111&amp;"-01"),9),'📋 Транзакції'!$C$5:$C$3623,"&lt;"&amp;EDATE(DATEVALUE(C111&amp;"-01"),10))</f>
        <v>0</v>
      </c>
      <c r="AC111" s="37">
        <f>SUMIFS('📋 Транзакції'!$F$5:$F$3623,'📋 Транзакції'!$B$5:$B$3623,A111,'📋 Транзакції'!$C$5:$C$3623,"&gt;="&amp;EDATE(DATEVALUE(C111&amp;"-01"),10),'📋 Транзакції'!$C$5:$C$3623,"&lt;"&amp;EDATE(DATEVALUE(C111&amp;"-01"),11))</f>
        <v>0</v>
      </c>
      <c r="AD111" s="37">
        <f>SUMIFS('📋 Транзакції'!$F$5:$F$3623,'📋 Транзакції'!$B$5:$B$3623,A111,'📋 Транзакції'!$C$5:$C$3623,"&gt;="&amp;EDATE(DATEVALUE(C111&amp;"-01"),11),'📋 Транзакції'!$C$5:$C$3623,"&lt;"&amp;EDATE(DATEVALUE(C111&amp;"-01"),12))</f>
        <v>0</v>
      </c>
    </row>
    <row r="112" ht="15.75" customHeight="1">
      <c r="A112" s="33" t="str">
        <f>'📋 Реєстрації'!A112:A713</f>
        <v>U0761</v>
      </c>
      <c r="B112" s="34">
        <f t="array" ref="B112">INDEX('📋 Транзакції'!$C$5:$C$3623,MATCH(A112,'📋 Транзакції'!$B$5:$B$3623,0))</f>
        <v>45403</v>
      </c>
      <c r="C112" s="35" t="str">
        <f t="shared" si="1"/>
        <v>2024-04</v>
      </c>
      <c r="D112" s="36">
        <f>COUNTIF('📋 Транзакції'!$B$5:$B$3623,A112)</f>
        <v>13</v>
      </c>
      <c r="E112" s="36">
        <f>SUMIF('📋 Транзакції'!$B$5:$B$3623,A112,'📋 Транзакції'!$F$5:$F$3623)</f>
        <v>239.88</v>
      </c>
      <c r="F112" s="35">
        <f>INT($A$1-MAXIFS('📋 Транзакції'!$C$5:$C$3623,'📋 Транзакції'!$B$5:$B$3623,A112))</f>
        <v>7</v>
      </c>
      <c r="G112" s="37">
        <f>IF(COUNTIFS('📋 Транзакції'!$B$5:$B$3623,A112,'📋 Транзакції'!$C$5:$C$3623,"&gt;="&amp;EDATE(DATEVALUE(C112&amp;"-01"),0),'📋 Транзакції'!$C$5:$C$3623,"&lt;"&amp;EDATE(DATEVALUE(C112&amp;"-01"),1))&gt;0,1,0)</f>
        <v>1</v>
      </c>
      <c r="H112" s="37">
        <f>IF(COUNTIFS('📋 Транзакції'!$B$5:$B$3623,A112,'📋 Транзакції'!$C$5:$C$3623,"&gt;="&amp;EDATE(DATEVALUE(C112&amp;"-01"),1),'📋 Транзакції'!$C$5:$C$3623,"&lt;"&amp;EDATE(DATEVALUE(C112&amp;"-01"),2))&gt;0,1,0)</f>
        <v>1</v>
      </c>
      <c r="I112" s="37">
        <f>IF(COUNTIFS('📋 Транзакції'!$B$5:$B$3623,A112,'📋 Транзакції'!$C$5:$C$3623,"&gt;="&amp;EDATE(DATEVALUE(C112&amp;"-01"),2),'📋 Транзакції'!$C$5:$C$3623,"&lt;"&amp;EDATE(DATEVALUE(C112&amp;"-01"),3))&gt;0,1,0)</f>
        <v>1</v>
      </c>
      <c r="J112" s="37">
        <f>IF(COUNTIFS('📋 Транзакції'!$B$5:$B$3623,A112,'📋 Транзакції'!$C$5:$C$3623,"&gt;="&amp;EDATE(DATEVALUE(C112&amp;"-01"),3),'📋 Транзакції'!$C$5:$C$3623,"&lt;"&amp;EDATE(DATEVALUE(C112&amp;"-01"),4))&gt;0,1,0)</f>
        <v>1</v>
      </c>
      <c r="K112" s="37">
        <f>IF(COUNTIFS('📋 Транзакції'!$B$5:$B$3623,A112,'📋 Транзакції'!$C$5:$C$3623,"&gt;="&amp;EDATE(DATEVALUE(C112&amp;"-01"),4),'📋 Транзакції'!$C$5:$C$3623,"&lt;"&amp;EDATE(DATEVALUE(C112&amp;"-01"),5))&gt;0,1,0)</f>
        <v>1</v>
      </c>
      <c r="L112" s="37">
        <f>IF(COUNTIFS('📋 Транзакції'!$B$5:$B$3623,A112,'📋 Транзакції'!$C$5:$C$3623,"&gt;="&amp;EDATE(DATEVALUE(C112&amp;"-01"),5),'📋 Транзакції'!$C$5:$C$3623,"&lt;"&amp;EDATE(DATEVALUE(C112&amp;"-01"),6))&gt;0,1,0)</f>
        <v>1</v>
      </c>
      <c r="M112" s="37">
        <f>IF(COUNTIFS('📋 Транзакції'!$B$5:$B$3623,A112,'📋 Транзакції'!$C$5:$C$3623,"&gt;="&amp;EDATE(DATEVALUE(C112&amp;"-01"),6),'📋 Транзакції'!$C$5:$C$3623,"&lt;"&amp;EDATE(DATEVALUE(C112&amp;"-01"),7))&gt;0,1,0)</f>
        <v>1</v>
      </c>
      <c r="N112" s="37">
        <f>IF(COUNTIFS('📋 Транзакції'!$B$5:$B$3623,A112,'📋 Транзакції'!$C$5:$C$3623,"&gt;="&amp;EDATE(DATEVALUE(C112&amp;"-01"),7),'📋 Транзакції'!$C$5:$C$3623,"&lt;"&amp;EDATE(DATEVALUE(C112&amp;"-01"),8))&gt;0,1,0)</f>
        <v>1</v>
      </c>
      <c r="O112" s="37">
        <f>IF(COUNTIFS('📋 Транзакції'!$B$5:$B$3623,A112,'📋 Транзакції'!$C$5:$C$3623,"&gt;="&amp;EDATE(DATEVALUE(C112&amp;"-01"),8),'📋 Транзакції'!$C$5:$C$3623,"&lt;"&amp;EDATE(DATEVALUE(C112&amp;"-01"),9))&gt;0,1,0)</f>
        <v>1</v>
      </c>
      <c r="P112" s="37">
        <f>IF(COUNTIFS('📋 Транзакції'!$B$5:$B$3623,A112,'📋 Транзакції'!$C$5:$C$3623,"&gt;="&amp;EDATE(DATEVALUE(C112&amp;"-01"),9),'📋 Транзакції'!$C$5:$C$3623,"&lt;"&amp;EDATE(DATEVALUE(C112&amp;"-01"),10))&gt;0,1,0)</f>
        <v>1</v>
      </c>
      <c r="Q112" s="37">
        <f>IF(COUNTIFS('📋 Транзакції'!$B$5:$B$3623,A112,'📋 Транзакції'!$C$5:$C$3623,"&gt;="&amp;EDATE(DATEVALUE(C112&amp;"-01"),10),'📋 Транзакції'!$C$5:$C$3623,"&lt;"&amp;EDATE(DATEVALUE(C112&amp;"-01"),11))&gt;0,1,0)</f>
        <v>1</v>
      </c>
      <c r="R112" s="37">
        <f>IF(COUNTIFS('📋 Транзакції'!$B$5:$B$3623,A112,'📋 Транзакції'!$C$5:$C$3623,"&gt;="&amp;EDATE(DATEVALUE(C112&amp;"-01"),11),'📋 Транзакції'!$C$5:$C$3623,"&lt;"&amp;EDATE(DATEVALUE(C112&amp;"-01"),12))&gt;0,1,0)</f>
        <v>1</v>
      </c>
      <c r="S112" s="37">
        <f>SUMIFS('📋 Транзакції'!$F$5:$F$3623,'📋 Транзакції'!$B$5:$B$3623,A112,'📋 Транзакції'!$C$5:$C$3623,"&gt;="&amp;EDATE(DATEVALUE(C112&amp;"-01"),0),'📋 Транзакції'!$C$5:$C$3623,"&lt;"&amp;EDATE(DATEVALUE(C112&amp;"-01"),1))</f>
        <v>19.99</v>
      </c>
      <c r="T112" s="37">
        <f>SUMIFS('📋 Транзакції'!$F$5:$F$3623,'📋 Транзакції'!$B$5:$B$3623,A112,'📋 Транзакції'!$C$5:$C$3623,"&gt;="&amp;EDATE(DATEVALUE(C112&amp;"-01"),1),'📋 Транзакції'!$C$5:$C$3623,"&lt;"&amp;EDATE(DATEVALUE(C112&amp;"-01"),2))</f>
        <v>19.99</v>
      </c>
      <c r="U112" s="37">
        <f>SUMIFS('📋 Транзакції'!$F$5:$F$3623,'📋 Транзакції'!$B$5:$B$3623,A112,'📋 Транзакції'!$C$5:$C$3623,"&gt;="&amp;EDATE(DATEVALUE(C112&amp;"-01"),2),'📋 Транзакції'!$C$5:$C$3623,"&lt;"&amp;EDATE(DATEVALUE(C112&amp;"-01"),3))</f>
        <v>19.99</v>
      </c>
      <c r="V112" s="37">
        <f>SUMIFS('📋 Транзакції'!$F$5:$F$3623,'📋 Транзакції'!$B$5:$B$3623,A112,'📋 Транзакції'!$C$5:$C$3623,"&gt;="&amp;EDATE(DATEVALUE(C112&amp;"-01"),3),'📋 Транзакції'!$C$5:$C$3623,"&lt;"&amp;EDATE(DATEVALUE(C112&amp;"-01"),4))</f>
        <v>19.99</v>
      </c>
      <c r="W112" s="37">
        <f>SUMIFS('📋 Транзакції'!$F$5:$F$3623,'📋 Транзакції'!$B$5:$B$3623,A112,'📋 Транзакції'!$C$5:$C$3623,"&gt;="&amp;EDATE(DATEVALUE(C112&amp;"-01"),4),'📋 Транзакції'!$C$5:$C$3623,"&lt;"&amp;EDATE(DATEVALUE(C112&amp;"-01"),5))</f>
        <v>19.99</v>
      </c>
      <c r="X112" s="37">
        <f>SUMIFS('📋 Транзакції'!$F$5:$F$3623,'📋 Транзакції'!$B$5:$B$3623,A112,'📋 Транзакції'!$C$5:$C$3623,"&gt;="&amp;EDATE(DATEVALUE(C112&amp;"-01"),5),'📋 Транзакції'!$C$5:$C$3623,"&lt;"&amp;EDATE(DATEVALUE(C112&amp;"-01"),6))</f>
        <v>19.99</v>
      </c>
      <c r="Y112" s="37">
        <f>SUMIFS('📋 Транзакції'!$F$5:$F$3623,'📋 Транзакції'!$B$5:$B$3623,A112,'📋 Транзакції'!$C$5:$C$3623,"&gt;="&amp;EDATE(DATEVALUE(C112&amp;"-01"),6),'📋 Транзакції'!$C$5:$C$3623,"&lt;"&amp;EDATE(DATEVALUE(C112&amp;"-01"),7))</f>
        <v>19.99</v>
      </c>
      <c r="Z112" s="37">
        <f>SUMIFS('📋 Транзакції'!$F$5:$F$3623,'📋 Транзакції'!$B$5:$B$3623,A112,'📋 Транзакції'!$C$5:$C$3623,"&gt;="&amp;EDATE(DATEVALUE(C112&amp;"-01"),7),'📋 Транзакції'!$C$5:$C$3623,"&lt;"&amp;EDATE(DATEVALUE(C112&amp;"-01"),8))</f>
        <v>19.99</v>
      </c>
      <c r="AA112" s="37">
        <f>SUMIFS('📋 Транзакції'!$F$5:$F$3623,'📋 Транзакції'!$B$5:$B$3623,A112,'📋 Транзакції'!$C$5:$C$3623,"&gt;="&amp;EDATE(DATEVALUE(C112&amp;"-01"),8),'📋 Транзакції'!$C$5:$C$3623,"&lt;"&amp;EDATE(DATEVALUE(C112&amp;"-01"),9))</f>
        <v>19.99</v>
      </c>
      <c r="AB112" s="37">
        <f>SUMIFS('📋 Транзакції'!$F$5:$F$3623,'📋 Транзакції'!$B$5:$B$3623,A112,'📋 Транзакції'!$C$5:$C$3623,"&gt;="&amp;EDATE(DATEVALUE(C112&amp;"-01"),9),'📋 Транзакції'!$C$5:$C$3623,"&lt;"&amp;EDATE(DATEVALUE(C112&amp;"-01"),10))</f>
        <v>19.99</v>
      </c>
      <c r="AC112" s="37">
        <f>SUMIFS('📋 Транзакції'!$F$5:$F$3623,'📋 Транзакції'!$B$5:$B$3623,A112,'📋 Транзакції'!$C$5:$C$3623,"&gt;="&amp;EDATE(DATEVALUE(C112&amp;"-01"),10),'📋 Транзакції'!$C$5:$C$3623,"&lt;"&amp;EDATE(DATEVALUE(C112&amp;"-01"),11))</f>
        <v>19.99</v>
      </c>
      <c r="AD112" s="37">
        <f>SUMIFS('📋 Транзакції'!$F$5:$F$3623,'📋 Транзакції'!$B$5:$B$3623,A112,'📋 Транзакції'!$C$5:$C$3623,"&gt;="&amp;EDATE(DATEVALUE(C112&amp;"-01"),11),'📋 Транзакції'!$C$5:$C$3623,"&lt;"&amp;EDATE(DATEVALUE(C112&amp;"-01"),12))</f>
        <v>19.99</v>
      </c>
    </row>
    <row r="113" ht="15.75" customHeight="1">
      <c r="A113" s="33" t="str">
        <f>'📋 Реєстрації'!A113:A714</f>
        <v>U0563</v>
      </c>
      <c r="B113" s="34">
        <f t="array" ref="B113">INDEX('📋 Транзакції'!$C$5:$C$3623,MATCH(A113,'📋 Транзакції'!$B$5:$B$3623,0))</f>
        <v>45404</v>
      </c>
      <c r="C113" s="35" t="str">
        <f t="shared" si="1"/>
        <v>2024-04</v>
      </c>
      <c r="D113" s="36">
        <f>COUNTIF('📋 Транзакції'!$B$5:$B$3623,A113)</f>
        <v>13</v>
      </c>
      <c r="E113" s="36">
        <f>SUMIF('📋 Транзакції'!$B$5:$B$3623,A113,'📋 Транзакції'!$F$5:$F$3623)</f>
        <v>239.88</v>
      </c>
      <c r="F113" s="35">
        <f>INT($A$1-MAXIFS('📋 Транзакції'!$C$5:$C$3623,'📋 Транзакції'!$B$5:$B$3623,A113))</f>
        <v>6</v>
      </c>
      <c r="G113" s="37">
        <f>IF(COUNTIFS('📋 Транзакції'!$B$5:$B$3623,A113,'📋 Транзакції'!$C$5:$C$3623,"&gt;="&amp;EDATE(DATEVALUE(C113&amp;"-01"),0),'📋 Транзакції'!$C$5:$C$3623,"&lt;"&amp;EDATE(DATEVALUE(C113&amp;"-01"),1))&gt;0,1,0)</f>
        <v>1</v>
      </c>
      <c r="H113" s="37">
        <f>IF(COUNTIFS('📋 Транзакції'!$B$5:$B$3623,A113,'📋 Транзакції'!$C$5:$C$3623,"&gt;="&amp;EDATE(DATEVALUE(C113&amp;"-01"),1),'📋 Транзакції'!$C$5:$C$3623,"&lt;"&amp;EDATE(DATEVALUE(C113&amp;"-01"),2))&gt;0,1,0)</f>
        <v>1</v>
      </c>
      <c r="I113" s="37">
        <f>IF(COUNTIFS('📋 Транзакції'!$B$5:$B$3623,A113,'📋 Транзакції'!$C$5:$C$3623,"&gt;="&amp;EDATE(DATEVALUE(C113&amp;"-01"),2),'📋 Транзакції'!$C$5:$C$3623,"&lt;"&amp;EDATE(DATEVALUE(C113&amp;"-01"),3))&gt;0,1,0)</f>
        <v>1</v>
      </c>
      <c r="J113" s="37">
        <f>IF(COUNTIFS('📋 Транзакції'!$B$5:$B$3623,A113,'📋 Транзакції'!$C$5:$C$3623,"&gt;="&amp;EDATE(DATEVALUE(C113&amp;"-01"),3),'📋 Транзакції'!$C$5:$C$3623,"&lt;"&amp;EDATE(DATEVALUE(C113&amp;"-01"),4))&gt;0,1,0)</f>
        <v>1</v>
      </c>
      <c r="K113" s="37">
        <f>IF(COUNTIFS('📋 Транзакції'!$B$5:$B$3623,A113,'📋 Транзакції'!$C$5:$C$3623,"&gt;="&amp;EDATE(DATEVALUE(C113&amp;"-01"),4),'📋 Транзакції'!$C$5:$C$3623,"&lt;"&amp;EDATE(DATEVALUE(C113&amp;"-01"),5))&gt;0,1,0)</f>
        <v>1</v>
      </c>
      <c r="L113" s="37">
        <f>IF(COUNTIFS('📋 Транзакції'!$B$5:$B$3623,A113,'📋 Транзакції'!$C$5:$C$3623,"&gt;="&amp;EDATE(DATEVALUE(C113&amp;"-01"),5),'📋 Транзакції'!$C$5:$C$3623,"&lt;"&amp;EDATE(DATEVALUE(C113&amp;"-01"),6))&gt;0,1,0)</f>
        <v>1</v>
      </c>
      <c r="M113" s="37">
        <f>IF(COUNTIFS('📋 Транзакції'!$B$5:$B$3623,A113,'📋 Транзакції'!$C$5:$C$3623,"&gt;="&amp;EDATE(DATEVALUE(C113&amp;"-01"),6),'📋 Транзакції'!$C$5:$C$3623,"&lt;"&amp;EDATE(DATEVALUE(C113&amp;"-01"),7))&gt;0,1,0)</f>
        <v>1</v>
      </c>
      <c r="N113" s="37">
        <f>IF(COUNTIFS('📋 Транзакції'!$B$5:$B$3623,A113,'📋 Транзакції'!$C$5:$C$3623,"&gt;="&amp;EDATE(DATEVALUE(C113&amp;"-01"),7),'📋 Транзакції'!$C$5:$C$3623,"&lt;"&amp;EDATE(DATEVALUE(C113&amp;"-01"),8))&gt;0,1,0)</f>
        <v>1</v>
      </c>
      <c r="O113" s="37">
        <f>IF(COUNTIFS('📋 Транзакції'!$B$5:$B$3623,A113,'📋 Транзакції'!$C$5:$C$3623,"&gt;="&amp;EDATE(DATEVALUE(C113&amp;"-01"),8),'📋 Транзакції'!$C$5:$C$3623,"&lt;"&amp;EDATE(DATEVALUE(C113&amp;"-01"),9))&gt;0,1,0)</f>
        <v>1</v>
      </c>
      <c r="P113" s="37">
        <f>IF(COUNTIFS('📋 Транзакції'!$B$5:$B$3623,A113,'📋 Транзакції'!$C$5:$C$3623,"&gt;="&amp;EDATE(DATEVALUE(C113&amp;"-01"),9),'📋 Транзакції'!$C$5:$C$3623,"&lt;"&amp;EDATE(DATEVALUE(C113&amp;"-01"),10))&gt;0,1,0)</f>
        <v>1</v>
      </c>
      <c r="Q113" s="37">
        <f>IF(COUNTIFS('📋 Транзакції'!$B$5:$B$3623,A113,'📋 Транзакції'!$C$5:$C$3623,"&gt;="&amp;EDATE(DATEVALUE(C113&amp;"-01"),10),'📋 Транзакції'!$C$5:$C$3623,"&lt;"&amp;EDATE(DATEVALUE(C113&amp;"-01"),11))&gt;0,1,0)</f>
        <v>1</v>
      </c>
      <c r="R113" s="37">
        <f>IF(COUNTIFS('📋 Транзакції'!$B$5:$B$3623,A113,'📋 Транзакції'!$C$5:$C$3623,"&gt;="&amp;EDATE(DATEVALUE(C113&amp;"-01"),11),'📋 Транзакції'!$C$5:$C$3623,"&lt;"&amp;EDATE(DATEVALUE(C113&amp;"-01"),12))&gt;0,1,0)</f>
        <v>1</v>
      </c>
      <c r="S113" s="37">
        <f>SUMIFS('📋 Транзакції'!$F$5:$F$3623,'📋 Транзакції'!$B$5:$B$3623,A113,'📋 Транзакції'!$C$5:$C$3623,"&gt;="&amp;EDATE(DATEVALUE(C113&amp;"-01"),0),'📋 Транзакції'!$C$5:$C$3623,"&lt;"&amp;EDATE(DATEVALUE(C113&amp;"-01"),1))</f>
        <v>19.99</v>
      </c>
      <c r="T113" s="37">
        <f>SUMIFS('📋 Транзакції'!$F$5:$F$3623,'📋 Транзакції'!$B$5:$B$3623,A113,'📋 Транзакції'!$C$5:$C$3623,"&gt;="&amp;EDATE(DATEVALUE(C113&amp;"-01"),1),'📋 Транзакції'!$C$5:$C$3623,"&lt;"&amp;EDATE(DATEVALUE(C113&amp;"-01"),2))</f>
        <v>19.99</v>
      </c>
      <c r="U113" s="37">
        <f>SUMIFS('📋 Транзакції'!$F$5:$F$3623,'📋 Транзакції'!$B$5:$B$3623,A113,'📋 Транзакції'!$C$5:$C$3623,"&gt;="&amp;EDATE(DATEVALUE(C113&amp;"-01"),2),'📋 Транзакції'!$C$5:$C$3623,"&lt;"&amp;EDATE(DATEVALUE(C113&amp;"-01"),3))</f>
        <v>19.99</v>
      </c>
      <c r="V113" s="37">
        <f>SUMIFS('📋 Транзакції'!$F$5:$F$3623,'📋 Транзакції'!$B$5:$B$3623,A113,'📋 Транзакції'!$C$5:$C$3623,"&gt;="&amp;EDATE(DATEVALUE(C113&amp;"-01"),3),'📋 Транзакції'!$C$5:$C$3623,"&lt;"&amp;EDATE(DATEVALUE(C113&amp;"-01"),4))</f>
        <v>19.99</v>
      </c>
      <c r="W113" s="37">
        <f>SUMIFS('📋 Транзакції'!$F$5:$F$3623,'📋 Транзакції'!$B$5:$B$3623,A113,'📋 Транзакції'!$C$5:$C$3623,"&gt;="&amp;EDATE(DATEVALUE(C113&amp;"-01"),4),'📋 Транзакції'!$C$5:$C$3623,"&lt;"&amp;EDATE(DATEVALUE(C113&amp;"-01"),5))</f>
        <v>19.99</v>
      </c>
      <c r="X113" s="37">
        <f>SUMIFS('📋 Транзакції'!$F$5:$F$3623,'📋 Транзакції'!$B$5:$B$3623,A113,'📋 Транзакції'!$C$5:$C$3623,"&gt;="&amp;EDATE(DATEVALUE(C113&amp;"-01"),5),'📋 Транзакції'!$C$5:$C$3623,"&lt;"&amp;EDATE(DATEVALUE(C113&amp;"-01"),6))</f>
        <v>19.99</v>
      </c>
      <c r="Y113" s="37">
        <f>SUMIFS('📋 Транзакції'!$F$5:$F$3623,'📋 Транзакції'!$B$5:$B$3623,A113,'📋 Транзакції'!$C$5:$C$3623,"&gt;="&amp;EDATE(DATEVALUE(C113&amp;"-01"),6),'📋 Транзакції'!$C$5:$C$3623,"&lt;"&amp;EDATE(DATEVALUE(C113&amp;"-01"),7))</f>
        <v>19.99</v>
      </c>
      <c r="Z113" s="37">
        <f>SUMIFS('📋 Транзакції'!$F$5:$F$3623,'📋 Транзакції'!$B$5:$B$3623,A113,'📋 Транзакції'!$C$5:$C$3623,"&gt;="&amp;EDATE(DATEVALUE(C113&amp;"-01"),7),'📋 Транзакції'!$C$5:$C$3623,"&lt;"&amp;EDATE(DATEVALUE(C113&amp;"-01"),8))</f>
        <v>19.99</v>
      </c>
      <c r="AA113" s="37">
        <f>SUMIFS('📋 Транзакції'!$F$5:$F$3623,'📋 Транзакції'!$B$5:$B$3623,A113,'📋 Транзакції'!$C$5:$C$3623,"&gt;="&amp;EDATE(DATEVALUE(C113&amp;"-01"),8),'📋 Транзакції'!$C$5:$C$3623,"&lt;"&amp;EDATE(DATEVALUE(C113&amp;"-01"),9))</f>
        <v>19.99</v>
      </c>
      <c r="AB113" s="37">
        <f>SUMIFS('📋 Транзакції'!$F$5:$F$3623,'📋 Транзакції'!$B$5:$B$3623,A113,'📋 Транзакції'!$C$5:$C$3623,"&gt;="&amp;EDATE(DATEVALUE(C113&amp;"-01"),9),'📋 Транзакції'!$C$5:$C$3623,"&lt;"&amp;EDATE(DATEVALUE(C113&amp;"-01"),10))</f>
        <v>19.99</v>
      </c>
      <c r="AC113" s="37">
        <f>SUMIFS('📋 Транзакції'!$F$5:$F$3623,'📋 Транзакції'!$B$5:$B$3623,A113,'📋 Транзакції'!$C$5:$C$3623,"&gt;="&amp;EDATE(DATEVALUE(C113&amp;"-01"),10),'📋 Транзакції'!$C$5:$C$3623,"&lt;"&amp;EDATE(DATEVALUE(C113&amp;"-01"),11))</f>
        <v>19.99</v>
      </c>
      <c r="AD113" s="37">
        <f>SUMIFS('📋 Транзакції'!$F$5:$F$3623,'📋 Транзакції'!$B$5:$B$3623,A113,'📋 Транзакції'!$C$5:$C$3623,"&gt;="&amp;EDATE(DATEVALUE(C113&amp;"-01"),11),'📋 Транзакції'!$C$5:$C$3623,"&lt;"&amp;EDATE(DATEVALUE(C113&amp;"-01"),12))</f>
        <v>19.99</v>
      </c>
    </row>
    <row r="114" ht="15.75" customHeight="1">
      <c r="A114" s="33" t="str">
        <f>'📋 Реєстрації'!A114:A715</f>
        <v>U0751</v>
      </c>
      <c r="B114" s="34">
        <f t="array" ref="B114">INDEX('📋 Транзакції'!$C$5:$C$3623,MATCH(A114,'📋 Транзакції'!$B$5:$B$3623,0))</f>
        <v>45406</v>
      </c>
      <c r="C114" s="35" t="str">
        <f t="shared" si="1"/>
        <v>2024-04</v>
      </c>
      <c r="D114" s="36">
        <f>COUNTIF('📋 Транзакції'!$B$5:$B$3623,A114)</f>
        <v>13</v>
      </c>
      <c r="E114" s="36">
        <f>SUMIF('📋 Транзакції'!$B$5:$B$3623,A114,'📋 Транзакції'!$F$5:$F$3623)</f>
        <v>239.88</v>
      </c>
      <c r="F114" s="35">
        <f>INT($A$1-MAXIFS('📋 Транзакції'!$C$5:$C$3623,'📋 Транзакції'!$B$5:$B$3623,A114))</f>
        <v>4</v>
      </c>
      <c r="G114" s="37">
        <f>IF(COUNTIFS('📋 Транзакції'!$B$5:$B$3623,A114,'📋 Транзакції'!$C$5:$C$3623,"&gt;="&amp;EDATE(DATEVALUE(C114&amp;"-01"),0),'📋 Транзакції'!$C$5:$C$3623,"&lt;"&amp;EDATE(DATEVALUE(C114&amp;"-01"),1))&gt;0,1,0)</f>
        <v>1</v>
      </c>
      <c r="H114" s="37">
        <f>IF(COUNTIFS('📋 Транзакції'!$B$5:$B$3623,A114,'📋 Транзакції'!$C$5:$C$3623,"&gt;="&amp;EDATE(DATEVALUE(C114&amp;"-01"),1),'📋 Транзакції'!$C$5:$C$3623,"&lt;"&amp;EDATE(DATEVALUE(C114&amp;"-01"),2))&gt;0,1,0)</f>
        <v>1</v>
      </c>
      <c r="I114" s="37">
        <f>IF(COUNTIFS('📋 Транзакції'!$B$5:$B$3623,A114,'📋 Транзакції'!$C$5:$C$3623,"&gt;="&amp;EDATE(DATEVALUE(C114&amp;"-01"),2),'📋 Транзакції'!$C$5:$C$3623,"&lt;"&amp;EDATE(DATEVALUE(C114&amp;"-01"),3))&gt;0,1,0)</f>
        <v>1</v>
      </c>
      <c r="J114" s="37">
        <f>IF(COUNTIFS('📋 Транзакції'!$B$5:$B$3623,A114,'📋 Транзакції'!$C$5:$C$3623,"&gt;="&amp;EDATE(DATEVALUE(C114&amp;"-01"),3),'📋 Транзакції'!$C$5:$C$3623,"&lt;"&amp;EDATE(DATEVALUE(C114&amp;"-01"),4))&gt;0,1,0)</f>
        <v>1</v>
      </c>
      <c r="K114" s="37">
        <f>IF(COUNTIFS('📋 Транзакції'!$B$5:$B$3623,A114,'📋 Транзакції'!$C$5:$C$3623,"&gt;="&amp;EDATE(DATEVALUE(C114&amp;"-01"),4),'📋 Транзакції'!$C$5:$C$3623,"&lt;"&amp;EDATE(DATEVALUE(C114&amp;"-01"),5))&gt;0,1,0)</f>
        <v>1</v>
      </c>
      <c r="L114" s="37">
        <f>IF(COUNTIFS('📋 Транзакції'!$B$5:$B$3623,A114,'📋 Транзакції'!$C$5:$C$3623,"&gt;="&amp;EDATE(DATEVALUE(C114&amp;"-01"),5),'📋 Транзакції'!$C$5:$C$3623,"&lt;"&amp;EDATE(DATEVALUE(C114&amp;"-01"),6))&gt;0,1,0)</f>
        <v>1</v>
      </c>
      <c r="M114" s="37">
        <f>IF(COUNTIFS('📋 Транзакції'!$B$5:$B$3623,A114,'📋 Транзакції'!$C$5:$C$3623,"&gt;="&amp;EDATE(DATEVALUE(C114&amp;"-01"),6),'📋 Транзакції'!$C$5:$C$3623,"&lt;"&amp;EDATE(DATEVALUE(C114&amp;"-01"),7))&gt;0,1,0)</f>
        <v>1</v>
      </c>
      <c r="N114" s="37">
        <f>IF(COUNTIFS('📋 Транзакції'!$B$5:$B$3623,A114,'📋 Транзакції'!$C$5:$C$3623,"&gt;="&amp;EDATE(DATEVALUE(C114&amp;"-01"),7),'📋 Транзакції'!$C$5:$C$3623,"&lt;"&amp;EDATE(DATEVALUE(C114&amp;"-01"),8))&gt;0,1,0)</f>
        <v>1</v>
      </c>
      <c r="O114" s="37">
        <f>IF(COUNTIFS('📋 Транзакції'!$B$5:$B$3623,A114,'📋 Транзакції'!$C$5:$C$3623,"&gt;="&amp;EDATE(DATEVALUE(C114&amp;"-01"),8),'📋 Транзакції'!$C$5:$C$3623,"&lt;"&amp;EDATE(DATEVALUE(C114&amp;"-01"),9))&gt;0,1,0)</f>
        <v>1</v>
      </c>
      <c r="P114" s="37">
        <f>IF(COUNTIFS('📋 Транзакції'!$B$5:$B$3623,A114,'📋 Транзакції'!$C$5:$C$3623,"&gt;="&amp;EDATE(DATEVALUE(C114&amp;"-01"),9),'📋 Транзакції'!$C$5:$C$3623,"&lt;"&amp;EDATE(DATEVALUE(C114&amp;"-01"),10))&gt;0,1,0)</f>
        <v>1</v>
      </c>
      <c r="Q114" s="37">
        <f>IF(COUNTIFS('📋 Транзакції'!$B$5:$B$3623,A114,'📋 Транзакції'!$C$5:$C$3623,"&gt;="&amp;EDATE(DATEVALUE(C114&amp;"-01"),10),'📋 Транзакції'!$C$5:$C$3623,"&lt;"&amp;EDATE(DATEVALUE(C114&amp;"-01"),11))&gt;0,1,0)</f>
        <v>1</v>
      </c>
      <c r="R114" s="37">
        <f>IF(COUNTIFS('📋 Транзакції'!$B$5:$B$3623,A114,'📋 Транзакції'!$C$5:$C$3623,"&gt;="&amp;EDATE(DATEVALUE(C114&amp;"-01"),11),'📋 Транзакції'!$C$5:$C$3623,"&lt;"&amp;EDATE(DATEVALUE(C114&amp;"-01"),12))&gt;0,1,0)</f>
        <v>1</v>
      </c>
      <c r="S114" s="37">
        <f>SUMIFS('📋 Транзакції'!$F$5:$F$3623,'📋 Транзакції'!$B$5:$B$3623,A114,'📋 Транзакції'!$C$5:$C$3623,"&gt;="&amp;EDATE(DATEVALUE(C114&amp;"-01"),0),'📋 Транзакції'!$C$5:$C$3623,"&lt;"&amp;EDATE(DATEVALUE(C114&amp;"-01"),1))</f>
        <v>0</v>
      </c>
      <c r="T114" s="37">
        <f>SUMIFS('📋 Транзакції'!$F$5:$F$3623,'📋 Транзакції'!$B$5:$B$3623,A114,'📋 Транзакції'!$C$5:$C$3623,"&gt;="&amp;EDATE(DATEVALUE(C114&amp;"-01"),1),'📋 Транзакції'!$C$5:$C$3623,"&lt;"&amp;EDATE(DATEVALUE(C114&amp;"-01"),2))</f>
        <v>39.98</v>
      </c>
      <c r="U114" s="37">
        <f>SUMIFS('📋 Транзакції'!$F$5:$F$3623,'📋 Транзакції'!$B$5:$B$3623,A114,'📋 Транзакції'!$C$5:$C$3623,"&gt;="&amp;EDATE(DATEVALUE(C114&amp;"-01"),2),'📋 Транзакції'!$C$5:$C$3623,"&lt;"&amp;EDATE(DATEVALUE(C114&amp;"-01"),3))</f>
        <v>19.99</v>
      </c>
      <c r="V114" s="37">
        <f>SUMIFS('📋 Транзакції'!$F$5:$F$3623,'📋 Транзакції'!$B$5:$B$3623,A114,'📋 Транзакції'!$C$5:$C$3623,"&gt;="&amp;EDATE(DATEVALUE(C114&amp;"-01"),3),'📋 Транзакції'!$C$5:$C$3623,"&lt;"&amp;EDATE(DATEVALUE(C114&amp;"-01"),4))</f>
        <v>19.99</v>
      </c>
      <c r="W114" s="37">
        <f>SUMIFS('📋 Транзакції'!$F$5:$F$3623,'📋 Транзакції'!$B$5:$B$3623,A114,'📋 Транзакції'!$C$5:$C$3623,"&gt;="&amp;EDATE(DATEVALUE(C114&amp;"-01"),4),'📋 Транзакції'!$C$5:$C$3623,"&lt;"&amp;EDATE(DATEVALUE(C114&amp;"-01"),5))</f>
        <v>19.99</v>
      </c>
      <c r="X114" s="37">
        <f>SUMIFS('📋 Транзакції'!$F$5:$F$3623,'📋 Транзакції'!$B$5:$B$3623,A114,'📋 Транзакції'!$C$5:$C$3623,"&gt;="&amp;EDATE(DATEVALUE(C114&amp;"-01"),5),'📋 Транзакції'!$C$5:$C$3623,"&lt;"&amp;EDATE(DATEVALUE(C114&amp;"-01"),6))</f>
        <v>19.99</v>
      </c>
      <c r="Y114" s="37">
        <f>SUMIFS('📋 Транзакції'!$F$5:$F$3623,'📋 Транзакції'!$B$5:$B$3623,A114,'📋 Транзакції'!$C$5:$C$3623,"&gt;="&amp;EDATE(DATEVALUE(C114&amp;"-01"),6),'📋 Транзакції'!$C$5:$C$3623,"&lt;"&amp;EDATE(DATEVALUE(C114&amp;"-01"),7))</f>
        <v>19.99</v>
      </c>
      <c r="Z114" s="37">
        <f>SUMIFS('📋 Транзакції'!$F$5:$F$3623,'📋 Транзакції'!$B$5:$B$3623,A114,'📋 Транзакції'!$C$5:$C$3623,"&gt;="&amp;EDATE(DATEVALUE(C114&amp;"-01"),7),'📋 Транзакції'!$C$5:$C$3623,"&lt;"&amp;EDATE(DATEVALUE(C114&amp;"-01"),8))</f>
        <v>19.99</v>
      </c>
      <c r="AA114" s="37">
        <f>SUMIFS('📋 Транзакції'!$F$5:$F$3623,'📋 Транзакції'!$B$5:$B$3623,A114,'📋 Транзакції'!$C$5:$C$3623,"&gt;="&amp;EDATE(DATEVALUE(C114&amp;"-01"),8),'📋 Транзакції'!$C$5:$C$3623,"&lt;"&amp;EDATE(DATEVALUE(C114&amp;"-01"),9))</f>
        <v>19.99</v>
      </c>
      <c r="AB114" s="37">
        <f>SUMIFS('📋 Транзакції'!$F$5:$F$3623,'📋 Транзакції'!$B$5:$B$3623,A114,'📋 Транзакції'!$C$5:$C$3623,"&gt;="&amp;EDATE(DATEVALUE(C114&amp;"-01"),9),'📋 Транзакції'!$C$5:$C$3623,"&lt;"&amp;EDATE(DATEVALUE(C114&amp;"-01"),10))</f>
        <v>19.99</v>
      </c>
      <c r="AC114" s="37">
        <f>SUMIFS('📋 Транзакції'!$F$5:$F$3623,'📋 Транзакції'!$B$5:$B$3623,A114,'📋 Транзакції'!$C$5:$C$3623,"&gt;="&amp;EDATE(DATEVALUE(C114&amp;"-01"),10),'📋 Транзакції'!$C$5:$C$3623,"&lt;"&amp;EDATE(DATEVALUE(C114&amp;"-01"),11))</f>
        <v>19.99</v>
      </c>
      <c r="AD114" s="37">
        <f>SUMIFS('📋 Транзакції'!$F$5:$F$3623,'📋 Транзакції'!$B$5:$B$3623,A114,'📋 Транзакції'!$C$5:$C$3623,"&gt;="&amp;EDATE(DATEVALUE(C114&amp;"-01"),11),'📋 Транзакції'!$C$5:$C$3623,"&lt;"&amp;EDATE(DATEVALUE(C114&amp;"-01"),12))</f>
        <v>19.99</v>
      </c>
    </row>
    <row r="115" ht="15.75" customHeight="1">
      <c r="A115" s="33" t="str">
        <f>'📋 Реєстрації'!A115:A716</f>
        <v>U0876</v>
      </c>
      <c r="B115" s="34">
        <f t="array" ref="B115">INDEX('📋 Транзакції'!$C$5:$C$3623,MATCH(A115,'📋 Транзакції'!$B$5:$B$3623,0))</f>
        <v>45406</v>
      </c>
      <c r="C115" s="35" t="str">
        <f t="shared" si="1"/>
        <v>2024-04</v>
      </c>
      <c r="D115" s="36">
        <f>COUNTIF('📋 Транзакції'!$B$5:$B$3623,A115)</f>
        <v>13</v>
      </c>
      <c r="E115" s="36">
        <f>SUMIF('📋 Транзакції'!$B$5:$B$3623,A115,'📋 Транзакції'!$F$5:$F$3623)</f>
        <v>239.88</v>
      </c>
      <c r="F115" s="35">
        <f>INT($A$1-MAXIFS('📋 Транзакції'!$C$5:$C$3623,'📋 Транзакції'!$B$5:$B$3623,A115))</f>
        <v>4</v>
      </c>
      <c r="G115" s="37">
        <f>IF(COUNTIFS('📋 Транзакції'!$B$5:$B$3623,A115,'📋 Транзакції'!$C$5:$C$3623,"&gt;="&amp;EDATE(DATEVALUE(C115&amp;"-01"),0),'📋 Транзакції'!$C$5:$C$3623,"&lt;"&amp;EDATE(DATEVALUE(C115&amp;"-01"),1))&gt;0,1,0)</f>
        <v>1</v>
      </c>
      <c r="H115" s="37">
        <f>IF(COUNTIFS('📋 Транзакції'!$B$5:$B$3623,A115,'📋 Транзакції'!$C$5:$C$3623,"&gt;="&amp;EDATE(DATEVALUE(C115&amp;"-01"),1),'📋 Транзакції'!$C$5:$C$3623,"&lt;"&amp;EDATE(DATEVALUE(C115&amp;"-01"),2))&gt;0,1,0)</f>
        <v>1</v>
      </c>
      <c r="I115" s="37">
        <f>IF(COUNTIFS('📋 Транзакції'!$B$5:$B$3623,A115,'📋 Транзакції'!$C$5:$C$3623,"&gt;="&amp;EDATE(DATEVALUE(C115&amp;"-01"),2),'📋 Транзакції'!$C$5:$C$3623,"&lt;"&amp;EDATE(DATEVALUE(C115&amp;"-01"),3))&gt;0,1,0)</f>
        <v>1</v>
      </c>
      <c r="J115" s="37">
        <f>IF(COUNTIFS('📋 Транзакції'!$B$5:$B$3623,A115,'📋 Транзакції'!$C$5:$C$3623,"&gt;="&amp;EDATE(DATEVALUE(C115&amp;"-01"),3),'📋 Транзакції'!$C$5:$C$3623,"&lt;"&amp;EDATE(DATEVALUE(C115&amp;"-01"),4))&gt;0,1,0)</f>
        <v>1</v>
      </c>
      <c r="K115" s="37">
        <f>IF(COUNTIFS('📋 Транзакції'!$B$5:$B$3623,A115,'📋 Транзакції'!$C$5:$C$3623,"&gt;="&amp;EDATE(DATEVALUE(C115&amp;"-01"),4),'📋 Транзакції'!$C$5:$C$3623,"&lt;"&amp;EDATE(DATEVALUE(C115&amp;"-01"),5))&gt;0,1,0)</f>
        <v>1</v>
      </c>
      <c r="L115" s="37">
        <f>IF(COUNTIFS('📋 Транзакції'!$B$5:$B$3623,A115,'📋 Транзакції'!$C$5:$C$3623,"&gt;="&amp;EDATE(DATEVALUE(C115&amp;"-01"),5),'📋 Транзакції'!$C$5:$C$3623,"&lt;"&amp;EDATE(DATEVALUE(C115&amp;"-01"),6))&gt;0,1,0)</f>
        <v>1</v>
      </c>
      <c r="M115" s="37">
        <f>IF(COUNTIFS('📋 Транзакції'!$B$5:$B$3623,A115,'📋 Транзакції'!$C$5:$C$3623,"&gt;="&amp;EDATE(DATEVALUE(C115&amp;"-01"),6),'📋 Транзакції'!$C$5:$C$3623,"&lt;"&amp;EDATE(DATEVALUE(C115&amp;"-01"),7))&gt;0,1,0)</f>
        <v>1</v>
      </c>
      <c r="N115" s="37">
        <f>IF(COUNTIFS('📋 Транзакції'!$B$5:$B$3623,A115,'📋 Транзакції'!$C$5:$C$3623,"&gt;="&amp;EDATE(DATEVALUE(C115&amp;"-01"),7),'📋 Транзакції'!$C$5:$C$3623,"&lt;"&amp;EDATE(DATEVALUE(C115&amp;"-01"),8))&gt;0,1,0)</f>
        <v>1</v>
      </c>
      <c r="O115" s="37">
        <f>IF(COUNTIFS('📋 Транзакції'!$B$5:$B$3623,A115,'📋 Транзакції'!$C$5:$C$3623,"&gt;="&amp;EDATE(DATEVALUE(C115&amp;"-01"),8),'📋 Транзакції'!$C$5:$C$3623,"&lt;"&amp;EDATE(DATEVALUE(C115&amp;"-01"),9))&gt;0,1,0)</f>
        <v>1</v>
      </c>
      <c r="P115" s="37">
        <f>IF(COUNTIFS('📋 Транзакції'!$B$5:$B$3623,A115,'📋 Транзакції'!$C$5:$C$3623,"&gt;="&amp;EDATE(DATEVALUE(C115&amp;"-01"),9),'📋 Транзакції'!$C$5:$C$3623,"&lt;"&amp;EDATE(DATEVALUE(C115&amp;"-01"),10))&gt;0,1,0)</f>
        <v>1</v>
      </c>
      <c r="Q115" s="37">
        <f>IF(COUNTIFS('📋 Транзакції'!$B$5:$B$3623,A115,'📋 Транзакції'!$C$5:$C$3623,"&gt;="&amp;EDATE(DATEVALUE(C115&amp;"-01"),10),'📋 Транзакції'!$C$5:$C$3623,"&lt;"&amp;EDATE(DATEVALUE(C115&amp;"-01"),11))&gt;0,1,0)</f>
        <v>1</v>
      </c>
      <c r="R115" s="37">
        <f>IF(COUNTIFS('📋 Транзакції'!$B$5:$B$3623,A115,'📋 Транзакції'!$C$5:$C$3623,"&gt;="&amp;EDATE(DATEVALUE(C115&amp;"-01"),11),'📋 Транзакції'!$C$5:$C$3623,"&lt;"&amp;EDATE(DATEVALUE(C115&amp;"-01"),12))&gt;0,1,0)</f>
        <v>1</v>
      </c>
      <c r="S115" s="37">
        <f>SUMIFS('📋 Транзакції'!$F$5:$F$3623,'📋 Транзакції'!$B$5:$B$3623,A115,'📋 Транзакції'!$C$5:$C$3623,"&gt;="&amp;EDATE(DATEVALUE(C115&amp;"-01"),0),'📋 Транзакції'!$C$5:$C$3623,"&lt;"&amp;EDATE(DATEVALUE(C115&amp;"-01"),1))</f>
        <v>0</v>
      </c>
      <c r="T115" s="37">
        <f>SUMIFS('📋 Транзакції'!$F$5:$F$3623,'📋 Транзакції'!$B$5:$B$3623,A115,'📋 Транзакції'!$C$5:$C$3623,"&gt;="&amp;EDATE(DATEVALUE(C115&amp;"-01"),1),'📋 Транзакції'!$C$5:$C$3623,"&lt;"&amp;EDATE(DATEVALUE(C115&amp;"-01"),2))</f>
        <v>39.98</v>
      </c>
      <c r="U115" s="37">
        <f>SUMIFS('📋 Транзакції'!$F$5:$F$3623,'📋 Транзакції'!$B$5:$B$3623,A115,'📋 Транзакції'!$C$5:$C$3623,"&gt;="&amp;EDATE(DATEVALUE(C115&amp;"-01"),2),'📋 Транзакції'!$C$5:$C$3623,"&lt;"&amp;EDATE(DATEVALUE(C115&amp;"-01"),3))</f>
        <v>19.99</v>
      </c>
      <c r="V115" s="37">
        <f>SUMIFS('📋 Транзакції'!$F$5:$F$3623,'📋 Транзакції'!$B$5:$B$3623,A115,'📋 Транзакції'!$C$5:$C$3623,"&gt;="&amp;EDATE(DATEVALUE(C115&amp;"-01"),3),'📋 Транзакції'!$C$5:$C$3623,"&lt;"&amp;EDATE(DATEVALUE(C115&amp;"-01"),4))</f>
        <v>19.99</v>
      </c>
      <c r="W115" s="37">
        <f>SUMIFS('📋 Транзакції'!$F$5:$F$3623,'📋 Транзакції'!$B$5:$B$3623,A115,'📋 Транзакції'!$C$5:$C$3623,"&gt;="&amp;EDATE(DATEVALUE(C115&amp;"-01"),4),'📋 Транзакції'!$C$5:$C$3623,"&lt;"&amp;EDATE(DATEVALUE(C115&amp;"-01"),5))</f>
        <v>19.99</v>
      </c>
      <c r="X115" s="37">
        <f>SUMIFS('📋 Транзакції'!$F$5:$F$3623,'📋 Транзакції'!$B$5:$B$3623,A115,'📋 Транзакції'!$C$5:$C$3623,"&gt;="&amp;EDATE(DATEVALUE(C115&amp;"-01"),5),'📋 Транзакції'!$C$5:$C$3623,"&lt;"&amp;EDATE(DATEVALUE(C115&amp;"-01"),6))</f>
        <v>19.99</v>
      </c>
      <c r="Y115" s="37">
        <f>SUMIFS('📋 Транзакції'!$F$5:$F$3623,'📋 Транзакції'!$B$5:$B$3623,A115,'📋 Транзакції'!$C$5:$C$3623,"&gt;="&amp;EDATE(DATEVALUE(C115&amp;"-01"),6),'📋 Транзакції'!$C$5:$C$3623,"&lt;"&amp;EDATE(DATEVALUE(C115&amp;"-01"),7))</f>
        <v>19.99</v>
      </c>
      <c r="Z115" s="37">
        <f>SUMIFS('📋 Транзакції'!$F$5:$F$3623,'📋 Транзакції'!$B$5:$B$3623,A115,'📋 Транзакції'!$C$5:$C$3623,"&gt;="&amp;EDATE(DATEVALUE(C115&amp;"-01"),7),'📋 Транзакції'!$C$5:$C$3623,"&lt;"&amp;EDATE(DATEVALUE(C115&amp;"-01"),8))</f>
        <v>19.99</v>
      </c>
      <c r="AA115" s="37">
        <f>SUMIFS('📋 Транзакції'!$F$5:$F$3623,'📋 Транзакції'!$B$5:$B$3623,A115,'📋 Транзакції'!$C$5:$C$3623,"&gt;="&amp;EDATE(DATEVALUE(C115&amp;"-01"),8),'📋 Транзакції'!$C$5:$C$3623,"&lt;"&amp;EDATE(DATEVALUE(C115&amp;"-01"),9))</f>
        <v>19.99</v>
      </c>
      <c r="AB115" s="37">
        <f>SUMIFS('📋 Транзакції'!$F$5:$F$3623,'📋 Транзакції'!$B$5:$B$3623,A115,'📋 Транзакції'!$C$5:$C$3623,"&gt;="&amp;EDATE(DATEVALUE(C115&amp;"-01"),9),'📋 Транзакції'!$C$5:$C$3623,"&lt;"&amp;EDATE(DATEVALUE(C115&amp;"-01"),10))</f>
        <v>19.99</v>
      </c>
      <c r="AC115" s="37">
        <f>SUMIFS('📋 Транзакції'!$F$5:$F$3623,'📋 Транзакції'!$B$5:$B$3623,A115,'📋 Транзакції'!$C$5:$C$3623,"&gt;="&amp;EDATE(DATEVALUE(C115&amp;"-01"),10),'📋 Транзакції'!$C$5:$C$3623,"&lt;"&amp;EDATE(DATEVALUE(C115&amp;"-01"),11))</f>
        <v>19.99</v>
      </c>
      <c r="AD115" s="37">
        <f>SUMIFS('📋 Транзакції'!$F$5:$F$3623,'📋 Транзакції'!$B$5:$B$3623,A115,'📋 Транзакції'!$C$5:$C$3623,"&gt;="&amp;EDATE(DATEVALUE(C115&amp;"-01"),11),'📋 Транзакції'!$C$5:$C$3623,"&lt;"&amp;EDATE(DATEVALUE(C115&amp;"-01"),12))</f>
        <v>19.99</v>
      </c>
    </row>
    <row r="116" ht="15.75" customHeight="1">
      <c r="A116" s="33" t="str">
        <f>'📋 Реєстрації'!A116:A717</f>
        <v>U0091</v>
      </c>
      <c r="B116" s="34">
        <f t="array" ref="B116">INDEX('📋 Транзакції'!$C$5:$C$3623,MATCH(A116,'📋 Транзакції'!$B$5:$B$3623,0))</f>
        <v>45407</v>
      </c>
      <c r="C116" s="35" t="str">
        <f t="shared" si="1"/>
        <v>2024-04</v>
      </c>
      <c r="D116" s="36">
        <f>COUNTIF('📋 Транзакції'!$B$5:$B$3623,A116)</f>
        <v>13</v>
      </c>
      <c r="E116" s="36">
        <f>SUMIF('📋 Транзакції'!$B$5:$B$3623,A116,'📋 Транзакції'!$F$5:$F$3623)</f>
        <v>239.88</v>
      </c>
      <c r="F116" s="35">
        <f>INT($A$1-MAXIFS('📋 Транзакції'!$C$5:$C$3623,'📋 Транзакції'!$B$5:$B$3623,A116))</f>
        <v>3</v>
      </c>
      <c r="G116" s="37">
        <f>IF(COUNTIFS('📋 Транзакції'!$B$5:$B$3623,A116,'📋 Транзакції'!$C$5:$C$3623,"&gt;="&amp;EDATE(DATEVALUE(C116&amp;"-01"),0),'📋 Транзакції'!$C$5:$C$3623,"&lt;"&amp;EDATE(DATEVALUE(C116&amp;"-01"),1))&gt;0,1,0)</f>
        <v>1</v>
      </c>
      <c r="H116" s="37">
        <f>IF(COUNTIFS('📋 Транзакції'!$B$5:$B$3623,A116,'📋 Транзакції'!$C$5:$C$3623,"&gt;="&amp;EDATE(DATEVALUE(C116&amp;"-01"),1),'📋 Транзакції'!$C$5:$C$3623,"&lt;"&amp;EDATE(DATEVALUE(C116&amp;"-01"),2))&gt;0,1,0)</f>
        <v>1</v>
      </c>
      <c r="I116" s="37">
        <f>IF(COUNTIFS('📋 Транзакції'!$B$5:$B$3623,A116,'📋 Транзакції'!$C$5:$C$3623,"&gt;="&amp;EDATE(DATEVALUE(C116&amp;"-01"),2),'📋 Транзакції'!$C$5:$C$3623,"&lt;"&amp;EDATE(DATEVALUE(C116&amp;"-01"),3))&gt;0,1,0)</f>
        <v>1</v>
      </c>
      <c r="J116" s="37">
        <f>IF(COUNTIFS('📋 Транзакції'!$B$5:$B$3623,A116,'📋 Транзакції'!$C$5:$C$3623,"&gt;="&amp;EDATE(DATEVALUE(C116&amp;"-01"),3),'📋 Транзакції'!$C$5:$C$3623,"&lt;"&amp;EDATE(DATEVALUE(C116&amp;"-01"),4))&gt;0,1,0)</f>
        <v>1</v>
      </c>
      <c r="K116" s="37">
        <f>IF(COUNTIFS('📋 Транзакції'!$B$5:$B$3623,A116,'📋 Транзакції'!$C$5:$C$3623,"&gt;="&amp;EDATE(DATEVALUE(C116&amp;"-01"),4),'📋 Транзакції'!$C$5:$C$3623,"&lt;"&amp;EDATE(DATEVALUE(C116&amp;"-01"),5))&gt;0,1,0)</f>
        <v>1</v>
      </c>
      <c r="L116" s="37">
        <f>IF(COUNTIFS('📋 Транзакції'!$B$5:$B$3623,A116,'📋 Транзакції'!$C$5:$C$3623,"&gt;="&amp;EDATE(DATEVALUE(C116&amp;"-01"),5),'📋 Транзакції'!$C$5:$C$3623,"&lt;"&amp;EDATE(DATEVALUE(C116&amp;"-01"),6))&gt;0,1,0)</f>
        <v>1</v>
      </c>
      <c r="M116" s="37">
        <f>IF(COUNTIFS('📋 Транзакції'!$B$5:$B$3623,A116,'📋 Транзакції'!$C$5:$C$3623,"&gt;="&amp;EDATE(DATEVALUE(C116&amp;"-01"),6),'📋 Транзакції'!$C$5:$C$3623,"&lt;"&amp;EDATE(DATEVALUE(C116&amp;"-01"),7))&gt;0,1,0)</f>
        <v>1</v>
      </c>
      <c r="N116" s="37">
        <f>IF(COUNTIFS('📋 Транзакції'!$B$5:$B$3623,A116,'📋 Транзакції'!$C$5:$C$3623,"&gt;="&amp;EDATE(DATEVALUE(C116&amp;"-01"),7),'📋 Транзакції'!$C$5:$C$3623,"&lt;"&amp;EDATE(DATEVALUE(C116&amp;"-01"),8))&gt;0,1,0)</f>
        <v>1</v>
      </c>
      <c r="O116" s="37">
        <f>IF(COUNTIFS('📋 Транзакції'!$B$5:$B$3623,A116,'📋 Транзакції'!$C$5:$C$3623,"&gt;="&amp;EDATE(DATEVALUE(C116&amp;"-01"),8),'📋 Транзакції'!$C$5:$C$3623,"&lt;"&amp;EDATE(DATEVALUE(C116&amp;"-01"),9))&gt;0,1,0)</f>
        <v>1</v>
      </c>
      <c r="P116" s="37">
        <f>IF(COUNTIFS('📋 Транзакції'!$B$5:$B$3623,A116,'📋 Транзакції'!$C$5:$C$3623,"&gt;="&amp;EDATE(DATEVALUE(C116&amp;"-01"),9),'📋 Транзакції'!$C$5:$C$3623,"&lt;"&amp;EDATE(DATEVALUE(C116&amp;"-01"),10))&gt;0,1,0)</f>
        <v>1</v>
      </c>
      <c r="Q116" s="37">
        <f>IF(COUNTIFS('📋 Транзакції'!$B$5:$B$3623,A116,'📋 Транзакції'!$C$5:$C$3623,"&gt;="&amp;EDATE(DATEVALUE(C116&amp;"-01"),10),'📋 Транзакції'!$C$5:$C$3623,"&lt;"&amp;EDATE(DATEVALUE(C116&amp;"-01"),11))&gt;0,1,0)</f>
        <v>1</v>
      </c>
      <c r="R116" s="37">
        <f>IF(COUNTIFS('📋 Транзакції'!$B$5:$B$3623,A116,'📋 Транзакції'!$C$5:$C$3623,"&gt;="&amp;EDATE(DATEVALUE(C116&amp;"-01"),11),'📋 Транзакції'!$C$5:$C$3623,"&lt;"&amp;EDATE(DATEVALUE(C116&amp;"-01"),12))&gt;0,1,0)</f>
        <v>1</v>
      </c>
      <c r="S116" s="37">
        <f>SUMIFS('📋 Транзакції'!$F$5:$F$3623,'📋 Транзакції'!$B$5:$B$3623,A116,'📋 Транзакції'!$C$5:$C$3623,"&gt;="&amp;EDATE(DATEVALUE(C116&amp;"-01"),0),'📋 Транзакції'!$C$5:$C$3623,"&lt;"&amp;EDATE(DATEVALUE(C116&amp;"-01"),1))</f>
        <v>0</v>
      </c>
      <c r="T116" s="37">
        <f>SUMIFS('📋 Транзакції'!$F$5:$F$3623,'📋 Транзакції'!$B$5:$B$3623,A116,'📋 Транзакції'!$C$5:$C$3623,"&gt;="&amp;EDATE(DATEVALUE(C116&amp;"-01"),1),'📋 Транзакції'!$C$5:$C$3623,"&lt;"&amp;EDATE(DATEVALUE(C116&amp;"-01"),2))</f>
        <v>19.99</v>
      </c>
      <c r="U116" s="37">
        <f>SUMIFS('📋 Транзакції'!$F$5:$F$3623,'📋 Транзакції'!$B$5:$B$3623,A116,'📋 Транзакції'!$C$5:$C$3623,"&gt;="&amp;EDATE(DATEVALUE(C116&amp;"-01"),2),'📋 Транзакції'!$C$5:$C$3623,"&lt;"&amp;EDATE(DATEVALUE(C116&amp;"-01"),3))</f>
        <v>19.99</v>
      </c>
      <c r="V116" s="37">
        <f>SUMIFS('📋 Транзакції'!$F$5:$F$3623,'📋 Транзакції'!$B$5:$B$3623,A116,'📋 Транзакції'!$C$5:$C$3623,"&gt;="&amp;EDATE(DATEVALUE(C116&amp;"-01"),3),'📋 Транзакції'!$C$5:$C$3623,"&lt;"&amp;EDATE(DATEVALUE(C116&amp;"-01"),4))</f>
        <v>39.98</v>
      </c>
      <c r="W116" s="37">
        <f>SUMIFS('📋 Транзакції'!$F$5:$F$3623,'📋 Транзакції'!$B$5:$B$3623,A116,'📋 Транзакції'!$C$5:$C$3623,"&gt;="&amp;EDATE(DATEVALUE(C116&amp;"-01"),4),'📋 Транзакції'!$C$5:$C$3623,"&lt;"&amp;EDATE(DATEVALUE(C116&amp;"-01"),5))</f>
        <v>19.99</v>
      </c>
      <c r="X116" s="37">
        <f>SUMIFS('📋 Транзакції'!$F$5:$F$3623,'📋 Транзакції'!$B$5:$B$3623,A116,'📋 Транзакції'!$C$5:$C$3623,"&gt;="&amp;EDATE(DATEVALUE(C116&amp;"-01"),5),'📋 Транзакції'!$C$5:$C$3623,"&lt;"&amp;EDATE(DATEVALUE(C116&amp;"-01"),6))</f>
        <v>19.99</v>
      </c>
      <c r="Y116" s="37">
        <f>SUMIFS('📋 Транзакції'!$F$5:$F$3623,'📋 Транзакції'!$B$5:$B$3623,A116,'📋 Транзакції'!$C$5:$C$3623,"&gt;="&amp;EDATE(DATEVALUE(C116&amp;"-01"),6),'📋 Транзакції'!$C$5:$C$3623,"&lt;"&amp;EDATE(DATEVALUE(C116&amp;"-01"),7))</f>
        <v>19.99</v>
      </c>
      <c r="Z116" s="37">
        <f>SUMIFS('📋 Транзакції'!$F$5:$F$3623,'📋 Транзакції'!$B$5:$B$3623,A116,'📋 Транзакції'!$C$5:$C$3623,"&gt;="&amp;EDATE(DATEVALUE(C116&amp;"-01"),7),'📋 Транзакції'!$C$5:$C$3623,"&lt;"&amp;EDATE(DATEVALUE(C116&amp;"-01"),8))</f>
        <v>19.99</v>
      </c>
      <c r="AA116" s="37">
        <f>SUMIFS('📋 Транзакції'!$F$5:$F$3623,'📋 Транзакції'!$B$5:$B$3623,A116,'📋 Транзакції'!$C$5:$C$3623,"&gt;="&amp;EDATE(DATEVALUE(C116&amp;"-01"),8),'📋 Транзакції'!$C$5:$C$3623,"&lt;"&amp;EDATE(DATEVALUE(C116&amp;"-01"),9))</f>
        <v>19.99</v>
      </c>
      <c r="AB116" s="37">
        <f>SUMIFS('📋 Транзакції'!$F$5:$F$3623,'📋 Транзакції'!$B$5:$B$3623,A116,'📋 Транзакції'!$C$5:$C$3623,"&gt;="&amp;EDATE(DATEVALUE(C116&amp;"-01"),9),'📋 Транзакції'!$C$5:$C$3623,"&lt;"&amp;EDATE(DATEVALUE(C116&amp;"-01"),10))</f>
        <v>19.99</v>
      </c>
      <c r="AC116" s="37">
        <f>SUMIFS('📋 Транзакції'!$F$5:$F$3623,'📋 Транзакції'!$B$5:$B$3623,A116,'📋 Транзакції'!$C$5:$C$3623,"&gt;="&amp;EDATE(DATEVALUE(C116&amp;"-01"),10),'📋 Транзакції'!$C$5:$C$3623,"&lt;"&amp;EDATE(DATEVALUE(C116&amp;"-01"),11))</f>
        <v>19.99</v>
      </c>
      <c r="AD116" s="37">
        <f>SUMIFS('📋 Транзакції'!$F$5:$F$3623,'📋 Транзакції'!$B$5:$B$3623,A116,'📋 Транзакції'!$C$5:$C$3623,"&gt;="&amp;EDATE(DATEVALUE(C116&amp;"-01"),11),'📋 Транзакції'!$C$5:$C$3623,"&lt;"&amp;EDATE(DATEVALUE(C116&amp;"-01"),12))</f>
        <v>19.99</v>
      </c>
    </row>
    <row r="117" ht="15.75" customHeight="1">
      <c r="A117" s="33" t="str">
        <f>'📋 Реєстрації'!A117:A718</f>
        <v>U0005</v>
      </c>
      <c r="B117" s="34">
        <f t="array" ref="B117">INDEX('📋 Транзакції'!$C$5:$C$3623,MATCH(A117,'📋 Транзакції'!$B$5:$B$3623,0))</f>
        <v>45408</v>
      </c>
      <c r="C117" s="35" t="str">
        <f t="shared" si="1"/>
        <v>2024-04</v>
      </c>
      <c r="D117" s="36">
        <f>COUNTIF('📋 Транзакції'!$B$5:$B$3623,A117)</f>
        <v>13</v>
      </c>
      <c r="E117" s="36">
        <f>SUMIF('📋 Транзакції'!$B$5:$B$3623,A117,'📋 Транзакції'!$F$5:$F$3623)</f>
        <v>239.88</v>
      </c>
      <c r="F117" s="35">
        <f>INT($A$1-MAXIFS('📋 Транзакції'!$C$5:$C$3623,'📋 Транзакції'!$B$5:$B$3623,A117))</f>
        <v>2</v>
      </c>
      <c r="G117" s="37">
        <f>IF(COUNTIFS('📋 Транзакції'!$B$5:$B$3623,A117,'📋 Транзакції'!$C$5:$C$3623,"&gt;="&amp;EDATE(DATEVALUE(C117&amp;"-01"),0),'📋 Транзакції'!$C$5:$C$3623,"&lt;"&amp;EDATE(DATEVALUE(C117&amp;"-01"),1))&gt;0,1,0)</f>
        <v>1</v>
      </c>
      <c r="H117" s="37">
        <f>IF(COUNTIFS('📋 Транзакції'!$B$5:$B$3623,A117,'📋 Транзакції'!$C$5:$C$3623,"&gt;="&amp;EDATE(DATEVALUE(C117&amp;"-01"),1),'📋 Транзакції'!$C$5:$C$3623,"&lt;"&amp;EDATE(DATEVALUE(C117&amp;"-01"),2))&gt;0,1,0)</f>
        <v>1</v>
      </c>
      <c r="I117" s="37">
        <f>IF(COUNTIFS('📋 Транзакції'!$B$5:$B$3623,A117,'📋 Транзакції'!$C$5:$C$3623,"&gt;="&amp;EDATE(DATEVALUE(C117&amp;"-01"),2),'📋 Транзакції'!$C$5:$C$3623,"&lt;"&amp;EDATE(DATEVALUE(C117&amp;"-01"),3))&gt;0,1,0)</f>
        <v>1</v>
      </c>
      <c r="J117" s="37">
        <f>IF(COUNTIFS('📋 Транзакції'!$B$5:$B$3623,A117,'📋 Транзакції'!$C$5:$C$3623,"&gt;="&amp;EDATE(DATEVALUE(C117&amp;"-01"),3),'📋 Транзакції'!$C$5:$C$3623,"&lt;"&amp;EDATE(DATEVALUE(C117&amp;"-01"),4))&gt;0,1,0)</f>
        <v>1</v>
      </c>
      <c r="K117" s="37">
        <f>IF(COUNTIFS('📋 Транзакції'!$B$5:$B$3623,A117,'📋 Транзакції'!$C$5:$C$3623,"&gt;="&amp;EDATE(DATEVALUE(C117&amp;"-01"),4),'📋 Транзакції'!$C$5:$C$3623,"&lt;"&amp;EDATE(DATEVALUE(C117&amp;"-01"),5))&gt;0,1,0)</f>
        <v>1</v>
      </c>
      <c r="L117" s="37">
        <f>IF(COUNTIFS('📋 Транзакції'!$B$5:$B$3623,A117,'📋 Транзакції'!$C$5:$C$3623,"&gt;="&amp;EDATE(DATEVALUE(C117&amp;"-01"),5),'📋 Транзакції'!$C$5:$C$3623,"&lt;"&amp;EDATE(DATEVALUE(C117&amp;"-01"),6))&gt;0,1,0)</f>
        <v>1</v>
      </c>
      <c r="M117" s="37">
        <f>IF(COUNTIFS('📋 Транзакції'!$B$5:$B$3623,A117,'📋 Транзакції'!$C$5:$C$3623,"&gt;="&amp;EDATE(DATEVALUE(C117&amp;"-01"),6),'📋 Транзакції'!$C$5:$C$3623,"&lt;"&amp;EDATE(DATEVALUE(C117&amp;"-01"),7))&gt;0,1,0)</f>
        <v>1</v>
      </c>
      <c r="N117" s="37">
        <f>IF(COUNTIFS('📋 Транзакції'!$B$5:$B$3623,A117,'📋 Транзакції'!$C$5:$C$3623,"&gt;="&amp;EDATE(DATEVALUE(C117&amp;"-01"),7),'📋 Транзакції'!$C$5:$C$3623,"&lt;"&amp;EDATE(DATEVALUE(C117&amp;"-01"),8))&gt;0,1,0)</f>
        <v>1</v>
      </c>
      <c r="O117" s="37">
        <f>IF(COUNTIFS('📋 Транзакції'!$B$5:$B$3623,A117,'📋 Транзакції'!$C$5:$C$3623,"&gt;="&amp;EDATE(DATEVALUE(C117&amp;"-01"),8),'📋 Транзакції'!$C$5:$C$3623,"&lt;"&amp;EDATE(DATEVALUE(C117&amp;"-01"),9))&gt;0,1,0)</f>
        <v>1</v>
      </c>
      <c r="P117" s="37">
        <f>IF(COUNTIFS('📋 Транзакції'!$B$5:$B$3623,A117,'📋 Транзакції'!$C$5:$C$3623,"&gt;="&amp;EDATE(DATEVALUE(C117&amp;"-01"),9),'📋 Транзакції'!$C$5:$C$3623,"&lt;"&amp;EDATE(DATEVALUE(C117&amp;"-01"),10))&gt;0,1,0)</f>
        <v>1</v>
      </c>
      <c r="Q117" s="37">
        <f>IF(COUNTIFS('📋 Транзакції'!$B$5:$B$3623,A117,'📋 Транзакції'!$C$5:$C$3623,"&gt;="&amp;EDATE(DATEVALUE(C117&amp;"-01"),10),'📋 Транзакції'!$C$5:$C$3623,"&lt;"&amp;EDATE(DATEVALUE(C117&amp;"-01"),11))&gt;0,1,0)</f>
        <v>1</v>
      </c>
      <c r="R117" s="37">
        <f>IF(COUNTIFS('📋 Транзакції'!$B$5:$B$3623,A117,'📋 Транзакції'!$C$5:$C$3623,"&gt;="&amp;EDATE(DATEVALUE(C117&amp;"-01"),11),'📋 Транзакції'!$C$5:$C$3623,"&lt;"&amp;EDATE(DATEVALUE(C117&amp;"-01"),12))&gt;0,1,0)</f>
        <v>1</v>
      </c>
      <c r="S117" s="37">
        <f>SUMIFS('📋 Транзакції'!$F$5:$F$3623,'📋 Транзакції'!$B$5:$B$3623,A117,'📋 Транзакції'!$C$5:$C$3623,"&gt;="&amp;EDATE(DATEVALUE(C117&amp;"-01"),0),'📋 Транзакції'!$C$5:$C$3623,"&lt;"&amp;EDATE(DATEVALUE(C117&amp;"-01"),1))</f>
        <v>0</v>
      </c>
      <c r="T117" s="37">
        <f>SUMIFS('📋 Транзакції'!$F$5:$F$3623,'📋 Транзакції'!$B$5:$B$3623,A117,'📋 Транзакції'!$C$5:$C$3623,"&gt;="&amp;EDATE(DATEVALUE(C117&amp;"-01"),1),'📋 Транзакції'!$C$5:$C$3623,"&lt;"&amp;EDATE(DATEVALUE(C117&amp;"-01"),2))</f>
        <v>19.99</v>
      </c>
      <c r="U117" s="37">
        <f>SUMIFS('📋 Транзакції'!$F$5:$F$3623,'📋 Транзакції'!$B$5:$B$3623,A117,'📋 Транзакції'!$C$5:$C$3623,"&gt;="&amp;EDATE(DATEVALUE(C117&amp;"-01"),2),'📋 Транзакції'!$C$5:$C$3623,"&lt;"&amp;EDATE(DATEVALUE(C117&amp;"-01"),3))</f>
        <v>19.99</v>
      </c>
      <c r="V117" s="37">
        <f>SUMIFS('📋 Транзакції'!$F$5:$F$3623,'📋 Транзакції'!$B$5:$B$3623,A117,'📋 Транзакції'!$C$5:$C$3623,"&gt;="&amp;EDATE(DATEVALUE(C117&amp;"-01"),3),'📋 Транзакції'!$C$5:$C$3623,"&lt;"&amp;EDATE(DATEVALUE(C117&amp;"-01"),4))</f>
        <v>19.99</v>
      </c>
      <c r="W117" s="37">
        <f>SUMIFS('📋 Транзакції'!$F$5:$F$3623,'📋 Транзакції'!$B$5:$B$3623,A117,'📋 Транзакції'!$C$5:$C$3623,"&gt;="&amp;EDATE(DATEVALUE(C117&amp;"-01"),4),'📋 Транзакції'!$C$5:$C$3623,"&lt;"&amp;EDATE(DATEVALUE(C117&amp;"-01"),5))</f>
        <v>39.98</v>
      </c>
      <c r="X117" s="37">
        <f>SUMIFS('📋 Транзакції'!$F$5:$F$3623,'📋 Транзакції'!$B$5:$B$3623,A117,'📋 Транзакції'!$C$5:$C$3623,"&gt;="&amp;EDATE(DATEVALUE(C117&amp;"-01"),5),'📋 Транзакції'!$C$5:$C$3623,"&lt;"&amp;EDATE(DATEVALUE(C117&amp;"-01"),6))</f>
        <v>19.99</v>
      </c>
      <c r="Y117" s="37">
        <f>SUMIFS('📋 Транзакції'!$F$5:$F$3623,'📋 Транзакції'!$B$5:$B$3623,A117,'📋 Транзакції'!$C$5:$C$3623,"&gt;="&amp;EDATE(DATEVALUE(C117&amp;"-01"),6),'📋 Транзакції'!$C$5:$C$3623,"&lt;"&amp;EDATE(DATEVALUE(C117&amp;"-01"),7))</f>
        <v>19.99</v>
      </c>
      <c r="Z117" s="37">
        <f>SUMIFS('📋 Транзакції'!$F$5:$F$3623,'📋 Транзакції'!$B$5:$B$3623,A117,'📋 Транзакції'!$C$5:$C$3623,"&gt;="&amp;EDATE(DATEVALUE(C117&amp;"-01"),7),'📋 Транзакції'!$C$5:$C$3623,"&lt;"&amp;EDATE(DATEVALUE(C117&amp;"-01"),8))</f>
        <v>19.99</v>
      </c>
      <c r="AA117" s="37">
        <f>SUMIFS('📋 Транзакції'!$F$5:$F$3623,'📋 Транзакції'!$B$5:$B$3623,A117,'📋 Транзакції'!$C$5:$C$3623,"&gt;="&amp;EDATE(DATEVALUE(C117&amp;"-01"),8),'📋 Транзакції'!$C$5:$C$3623,"&lt;"&amp;EDATE(DATEVALUE(C117&amp;"-01"),9))</f>
        <v>19.99</v>
      </c>
      <c r="AB117" s="37">
        <f>SUMIFS('📋 Транзакції'!$F$5:$F$3623,'📋 Транзакції'!$B$5:$B$3623,A117,'📋 Транзакції'!$C$5:$C$3623,"&gt;="&amp;EDATE(DATEVALUE(C117&amp;"-01"),9),'📋 Транзакції'!$C$5:$C$3623,"&lt;"&amp;EDATE(DATEVALUE(C117&amp;"-01"),10))</f>
        <v>19.99</v>
      </c>
      <c r="AC117" s="37">
        <f>SUMIFS('📋 Транзакції'!$F$5:$F$3623,'📋 Транзакції'!$B$5:$B$3623,A117,'📋 Транзакції'!$C$5:$C$3623,"&gt;="&amp;EDATE(DATEVALUE(C117&amp;"-01"),10),'📋 Транзакції'!$C$5:$C$3623,"&lt;"&amp;EDATE(DATEVALUE(C117&amp;"-01"),11))</f>
        <v>19.99</v>
      </c>
      <c r="AD117" s="37">
        <f>SUMIFS('📋 Транзакції'!$F$5:$F$3623,'📋 Транзакції'!$B$5:$B$3623,A117,'📋 Транзакції'!$C$5:$C$3623,"&gt;="&amp;EDATE(DATEVALUE(C117&amp;"-01"),11),'📋 Транзакції'!$C$5:$C$3623,"&lt;"&amp;EDATE(DATEVALUE(C117&amp;"-01"),12))</f>
        <v>19.99</v>
      </c>
    </row>
    <row r="118" ht="15.75" customHeight="1">
      <c r="A118" s="33" t="str">
        <f>'📋 Реєстрації'!A118:A719</f>
        <v>U0203</v>
      </c>
      <c r="B118" s="34">
        <f t="array" ref="B118">INDEX('📋 Транзакції'!$C$5:$C$3623,MATCH(A118,'📋 Транзакції'!$B$5:$B$3623,0))</f>
        <v>45408</v>
      </c>
      <c r="C118" s="35" t="str">
        <f t="shared" si="1"/>
        <v>2024-04</v>
      </c>
      <c r="D118" s="36">
        <f>COUNTIF('📋 Транзакції'!$B$5:$B$3623,A118)</f>
        <v>13</v>
      </c>
      <c r="E118" s="36">
        <f>SUMIF('📋 Транзакції'!$B$5:$B$3623,A118,'📋 Транзакції'!$F$5:$F$3623)</f>
        <v>239.88</v>
      </c>
      <c r="F118" s="35">
        <f>INT($A$1-MAXIFS('📋 Транзакції'!$C$5:$C$3623,'📋 Транзакції'!$B$5:$B$3623,A118))</f>
        <v>2</v>
      </c>
      <c r="G118" s="37">
        <f>IF(COUNTIFS('📋 Транзакції'!$B$5:$B$3623,A118,'📋 Транзакції'!$C$5:$C$3623,"&gt;="&amp;EDATE(DATEVALUE(C118&amp;"-01"),0),'📋 Транзакції'!$C$5:$C$3623,"&lt;"&amp;EDATE(DATEVALUE(C118&amp;"-01"),1))&gt;0,1,0)</f>
        <v>1</v>
      </c>
      <c r="H118" s="37">
        <f>IF(COUNTIFS('📋 Транзакції'!$B$5:$B$3623,A118,'📋 Транзакції'!$C$5:$C$3623,"&gt;="&amp;EDATE(DATEVALUE(C118&amp;"-01"),1),'📋 Транзакції'!$C$5:$C$3623,"&lt;"&amp;EDATE(DATEVALUE(C118&amp;"-01"),2))&gt;0,1,0)</f>
        <v>1</v>
      </c>
      <c r="I118" s="37">
        <f>IF(COUNTIFS('📋 Транзакції'!$B$5:$B$3623,A118,'📋 Транзакції'!$C$5:$C$3623,"&gt;="&amp;EDATE(DATEVALUE(C118&amp;"-01"),2),'📋 Транзакції'!$C$5:$C$3623,"&lt;"&amp;EDATE(DATEVALUE(C118&amp;"-01"),3))&gt;0,1,0)</f>
        <v>1</v>
      </c>
      <c r="J118" s="37">
        <f>IF(COUNTIFS('📋 Транзакції'!$B$5:$B$3623,A118,'📋 Транзакції'!$C$5:$C$3623,"&gt;="&amp;EDATE(DATEVALUE(C118&amp;"-01"),3),'📋 Транзакції'!$C$5:$C$3623,"&lt;"&amp;EDATE(DATEVALUE(C118&amp;"-01"),4))&gt;0,1,0)</f>
        <v>1</v>
      </c>
      <c r="K118" s="37">
        <f>IF(COUNTIFS('📋 Транзакції'!$B$5:$B$3623,A118,'📋 Транзакції'!$C$5:$C$3623,"&gt;="&amp;EDATE(DATEVALUE(C118&amp;"-01"),4),'📋 Транзакції'!$C$5:$C$3623,"&lt;"&amp;EDATE(DATEVALUE(C118&amp;"-01"),5))&gt;0,1,0)</f>
        <v>1</v>
      </c>
      <c r="L118" s="37">
        <f>IF(COUNTIFS('📋 Транзакції'!$B$5:$B$3623,A118,'📋 Транзакції'!$C$5:$C$3623,"&gt;="&amp;EDATE(DATEVALUE(C118&amp;"-01"),5),'📋 Транзакції'!$C$5:$C$3623,"&lt;"&amp;EDATE(DATEVALUE(C118&amp;"-01"),6))&gt;0,1,0)</f>
        <v>1</v>
      </c>
      <c r="M118" s="37">
        <f>IF(COUNTIFS('📋 Транзакції'!$B$5:$B$3623,A118,'📋 Транзакції'!$C$5:$C$3623,"&gt;="&amp;EDATE(DATEVALUE(C118&amp;"-01"),6),'📋 Транзакції'!$C$5:$C$3623,"&lt;"&amp;EDATE(DATEVALUE(C118&amp;"-01"),7))&gt;0,1,0)</f>
        <v>1</v>
      </c>
      <c r="N118" s="37">
        <f>IF(COUNTIFS('📋 Транзакції'!$B$5:$B$3623,A118,'📋 Транзакції'!$C$5:$C$3623,"&gt;="&amp;EDATE(DATEVALUE(C118&amp;"-01"),7),'📋 Транзакції'!$C$5:$C$3623,"&lt;"&amp;EDATE(DATEVALUE(C118&amp;"-01"),8))&gt;0,1,0)</f>
        <v>1</v>
      </c>
      <c r="O118" s="37">
        <f>IF(COUNTIFS('📋 Транзакції'!$B$5:$B$3623,A118,'📋 Транзакції'!$C$5:$C$3623,"&gt;="&amp;EDATE(DATEVALUE(C118&amp;"-01"),8),'📋 Транзакції'!$C$5:$C$3623,"&lt;"&amp;EDATE(DATEVALUE(C118&amp;"-01"),9))&gt;0,1,0)</f>
        <v>1</v>
      </c>
      <c r="P118" s="37">
        <f>IF(COUNTIFS('📋 Транзакції'!$B$5:$B$3623,A118,'📋 Транзакції'!$C$5:$C$3623,"&gt;="&amp;EDATE(DATEVALUE(C118&amp;"-01"),9),'📋 Транзакції'!$C$5:$C$3623,"&lt;"&amp;EDATE(DATEVALUE(C118&amp;"-01"),10))&gt;0,1,0)</f>
        <v>1</v>
      </c>
      <c r="Q118" s="37">
        <f>IF(COUNTIFS('📋 Транзакції'!$B$5:$B$3623,A118,'📋 Транзакції'!$C$5:$C$3623,"&gt;="&amp;EDATE(DATEVALUE(C118&amp;"-01"),10),'📋 Транзакції'!$C$5:$C$3623,"&lt;"&amp;EDATE(DATEVALUE(C118&amp;"-01"),11))&gt;0,1,0)</f>
        <v>1</v>
      </c>
      <c r="R118" s="37">
        <f>IF(COUNTIFS('📋 Транзакції'!$B$5:$B$3623,A118,'📋 Транзакції'!$C$5:$C$3623,"&gt;="&amp;EDATE(DATEVALUE(C118&amp;"-01"),11),'📋 Транзакції'!$C$5:$C$3623,"&lt;"&amp;EDATE(DATEVALUE(C118&amp;"-01"),12))&gt;0,1,0)</f>
        <v>1</v>
      </c>
      <c r="S118" s="37">
        <f>SUMIFS('📋 Транзакції'!$F$5:$F$3623,'📋 Транзакції'!$B$5:$B$3623,A118,'📋 Транзакції'!$C$5:$C$3623,"&gt;="&amp;EDATE(DATEVALUE(C118&amp;"-01"),0),'📋 Транзакції'!$C$5:$C$3623,"&lt;"&amp;EDATE(DATEVALUE(C118&amp;"-01"),1))</f>
        <v>0</v>
      </c>
      <c r="T118" s="37">
        <f>SUMIFS('📋 Транзакції'!$F$5:$F$3623,'📋 Транзакції'!$B$5:$B$3623,A118,'📋 Транзакції'!$C$5:$C$3623,"&gt;="&amp;EDATE(DATEVALUE(C118&amp;"-01"),1),'📋 Транзакції'!$C$5:$C$3623,"&lt;"&amp;EDATE(DATEVALUE(C118&amp;"-01"),2))</f>
        <v>19.99</v>
      </c>
      <c r="U118" s="37">
        <f>SUMIFS('📋 Транзакції'!$F$5:$F$3623,'📋 Транзакції'!$B$5:$B$3623,A118,'📋 Транзакції'!$C$5:$C$3623,"&gt;="&amp;EDATE(DATEVALUE(C118&amp;"-01"),2),'📋 Транзакції'!$C$5:$C$3623,"&lt;"&amp;EDATE(DATEVALUE(C118&amp;"-01"),3))</f>
        <v>19.99</v>
      </c>
      <c r="V118" s="37">
        <f>SUMIFS('📋 Транзакції'!$F$5:$F$3623,'📋 Транзакції'!$B$5:$B$3623,A118,'📋 Транзакції'!$C$5:$C$3623,"&gt;="&amp;EDATE(DATEVALUE(C118&amp;"-01"),3),'📋 Транзакції'!$C$5:$C$3623,"&lt;"&amp;EDATE(DATEVALUE(C118&amp;"-01"),4))</f>
        <v>19.99</v>
      </c>
      <c r="W118" s="37">
        <f>SUMIFS('📋 Транзакції'!$F$5:$F$3623,'📋 Транзакції'!$B$5:$B$3623,A118,'📋 Транзакції'!$C$5:$C$3623,"&gt;="&amp;EDATE(DATEVALUE(C118&amp;"-01"),4),'📋 Транзакції'!$C$5:$C$3623,"&lt;"&amp;EDATE(DATEVALUE(C118&amp;"-01"),5))</f>
        <v>39.98</v>
      </c>
      <c r="X118" s="37">
        <f>SUMIFS('📋 Транзакції'!$F$5:$F$3623,'📋 Транзакції'!$B$5:$B$3623,A118,'📋 Транзакції'!$C$5:$C$3623,"&gt;="&amp;EDATE(DATEVALUE(C118&amp;"-01"),5),'📋 Транзакції'!$C$5:$C$3623,"&lt;"&amp;EDATE(DATEVALUE(C118&amp;"-01"),6))</f>
        <v>19.99</v>
      </c>
      <c r="Y118" s="37">
        <f>SUMIFS('📋 Транзакції'!$F$5:$F$3623,'📋 Транзакції'!$B$5:$B$3623,A118,'📋 Транзакції'!$C$5:$C$3623,"&gt;="&amp;EDATE(DATEVALUE(C118&amp;"-01"),6),'📋 Транзакції'!$C$5:$C$3623,"&lt;"&amp;EDATE(DATEVALUE(C118&amp;"-01"),7))</f>
        <v>19.99</v>
      </c>
      <c r="Z118" s="37">
        <f>SUMIFS('📋 Транзакції'!$F$5:$F$3623,'📋 Транзакції'!$B$5:$B$3623,A118,'📋 Транзакції'!$C$5:$C$3623,"&gt;="&amp;EDATE(DATEVALUE(C118&amp;"-01"),7),'📋 Транзакції'!$C$5:$C$3623,"&lt;"&amp;EDATE(DATEVALUE(C118&amp;"-01"),8))</f>
        <v>19.99</v>
      </c>
      <c r="AA118" s="37">
        <f>SUMIFS('📋 Транзакції'!$F$5:$F$3623,'📋 Транзакції'!$B$5:$B$3623,A118,'📋 Транзакції'!$C$5:$C$3623,"&gt;="&amp;EDATE(DATEVALUE(C118&amp;"-01"),8),'📋 Транзакції'!$C$5:$C$3623,"&lt;"&amp;EDATE(DATEVALUE(C118&amp;"-01"),9))</f>
        <v>19.99</v>
      </c>
      <c r="AB118" s="37">
        <f>SUMIFS('📋 Транзакції'!$F$5:$F$3623,'📋 Транзакції'!$B$5:$B$3623,A118,'📋 Транзакції'!$C$5:$C$3623,"&gt;="&amp;EDATE(DATEVALUE(C118&amp;"-01"),9),'📋 Транзакції'!$C$5:$C$3623,"&lt;"&amp;EDATE(DATEVALUE(C118&amp;"-01"),10))</f>
        <v>19.99</v>
      </c>
      <c r="AC118" s="37">
        <f>SUMIFS('📋 Транзакції'!$F$5:$F$3623,'📋 Транзакції'!$B$5:$B$3623,A118,'📋 Транзакції'!$C$5:$C$3623,"&gt;="&amp;EDATE(DATEVALUE(C118&amp;"-01"),10),'📋 Транзакції'!$C$5:$C$3623,"&lt;"&amp;EDATE(DATEVALUE(C118&amp;"-01"),11))</f>
        <v>19.99</v>
      </c>
      <c r="AD118" s="37">
        <f>SUMIFS('📋 Транзакції'!$F$5:$F$3623,'📋 Транзакції'!$B$5:$B$3623,A118,'📋 Транзакції'!$C$5:$C$3623,"&gt;="&amp;EDATE(DATEVALUE(C118&amp;"-01"),11),'📋 Транзакції'!$C$5:$C$3623,"&lt;"&amp;EDATE(DATEVALUE(C118&amp;"-01"),12))</f>
        <v>19.99</v>
      </c>
    </row>
    <row r="119" ht="15.75" customHeight="1">
      <c r="A119" s="33" t="str">
        <f>'📋 Реєстрації'!A119:A720</f>
        <v>U0461</v>
      </c>
      <c r="B119" s="34">
        <f t="array" ref="B119">INDEX('📋 Транзакції'!$C$5:$C$3623,MATCH(A119,'📋 Транзакції'!$B$5:$B$3623,0))</f>
        <v>45408</v>
      </c>
      <c r="C119" s="35" t="str">
        <f t="shared" si="1"/>
        <v>2024-04</v>
      </c>
      <c r="D119" s="36">
        <f>COUNTIF('📋 Транзакції'!$B$5:$B$3623,A119)</f>
        <v>3</v>
      </c>
      <c r="E119" s="36">
        <f>SUMIF('📋 Транзакції'!$B$5:$B$3623,A119,'📋 Транзакції'!$F$5:$F$3623)</f>
        <v>39.98</v>
      </c>
      <c r="F119" s="35">
        <f>INT($A$1-MAXIFS('📋 Транзакції'!$C$5:$C$3623,'📋 Транзакції'!$B$5:$B$3623,A119))</f>
        <v>302</v>
      </c>
      <c r="G119" s="37">
        <f>IF(COUNTIFS('📋 Транзакції'!$B$5:$B$3623,A119,'📋 Транзакції'!$C$5:$C$3623,"&gt;="&amp;EDATE(DATEVALUE(C119&amp;"-01"),0),'📋 Транзакції'!$C$5:$C$3623,"&lt;"&amp;EDATE(DATEVALUE(C119&amp;"-01"),1))&gt;0,1,0)</f>
        <v>1</v>
      </c>
      <c r="H119" s="37">
        <f>IF(COUNTIFS('📋 Транзакції'!$B$5:$B$3623,A119,'📋 Транзакції'!$C$5:$C$3623,"&gt;="&amp;EDATE(DATEVALUE(C119&amp;"-01"),1),'📋 Транзакції'!$C$5:$C$3623,"&lt;"&amp;EDATE(DATEVALUE(C119&amp;"-01"),2))&gt;0,1,0)</f>
        <v>1</v>
      </c>
      <c r="I119" s="37">
        <f>IF(COUNTIFS('📋 Транзакції'!$B$5:$B$3623,A119,'📋 Транзакції'!$C$5:$C$3623,"&gt;="&amp;EDATE(DATEVALUE(C119&amp;"-01"),2),'📋 Транзакції'!$C$5:$C$3623,"&lt;"&amp;EDATE(DATEVALUE(C119&amp;"-01"),3))&gt;0,1,0)</f>
        <v>1</v>
      </c>
      <c r="J119" s="37">
        <f>IF(COUNTIFS('📋 Транзакції'!$B$5:$B$3623,A119,'📋 Транзакції'!$C$5:$C$3623,"&gt;="&amp;EDATE(DATEVALUE(C119&amp;"-01"),3),'📋 Транзакції'!$C$5:$C$3623,"&lt;"&amp;EDATE(DATEVALUE(C119&amp;"-01"),4))&gt;0,1,0)</f>
        <v>0</v>
      </c>
      <c r="K119" s="37">
        <f>IF(COUNTIFS('📋 Транзакції'!$B$5:$B$3623,A119,'📋 Транзакції'!$C$5:$C$3623,"&gt;="&amp;EDATE(DATEVALUE(C119&amp;"-01"),4),'📋 Транзакції'!$C$5:$C$3623,"&lt;"&amp;EDATE(DATEVALUE(C119&amp;"-01"),5))&gt;0,1,0)</f>
        <v>0</v>
      </c>
      <c r="L119" s="37">
        <f>IF(COUNTIFS('📋 Транзакції'!$B$5:$B$3623,A119,'📋 Транзакції'!$C$5:$C$3623,"&gt;="&amp;EDATE(DATEVALUE(C119&amp;"-01"),5),'📋 Транзакції'!$C$5:$C$3623,"&lt;"&amp;EDATE(DATEVALUE(C119&amp;"-01"),6))&gt;0,1,0)</f>
        <v>0</v>
      </c>
      <c r="M119" s="37">
        <f>IF(COUNTIFS('📋 Транзакції'!$B$5:$B$3623,A119,'📋 Транзакції'!$C$5:$C$3623,"&gt;="&amp;EDATE(DATEVALUE(C119&amp;"-01"),6),'📋 Транзакції'!$C$5:$C$3623,"&lt;"&amp;EDATE(DATEVALUE(C119&amp;"-01"),7))&gt;0,1,0)</f>
        <v>0</v>
      </c>
      <c r="N119" s="37">
        <f>IF(COUNTIFS('📋 Транзакції'!$B$5:$B$3623,A119,'📋 Транзакції'!$C$5:$C$3623,"&gt;="&amp;EDATE(DATEVALUE(C119&amp;"-01"),7),'📋 Транзакції'!$C$5:$C$3623,"&lt;"&amp;EDATE(DATEVALUE(C119&amp;"-01"),8))&gt;0,1,0)</f>
        <v>0</v>
      </c>
      <c r="O119" s="37">
        <f>IF(COUNTIFS('📋 Транзакції'!$B$5:$B$3623,A119,'📋 Транзакції'!$C$5:$C$3623,"&gt;="&amp;EDATE(DATEVALUE(C119&amp;"-01"),8),'📋 Транзакції'!$C$5:$C$3623,"&lt;"&amp;EDATE(DATEVALUE(C119&amp;"-01"),9))&gt;0,1,0)</f>
        <v>0</v>
      </c>
      <c r="P119" s="37">
        <f>IF(COUNTIFS('📋 Транзакції'!$B$5:$B$3623,A119,'📋 Транзакції'!$C$5:$C$3623,"&gt;="&amp;EDATE(DATEVALUE(C119&amp;"-01"),9),'📋 Транзакції'!$C$5:$C$3623,"&lt;"&amp;EDATE(DATEVALUE(C119&amp;"-01"),10))&gt;0,1,0)</f>
        <v>0</v>
      </c>
      <c r="Q119" s="37">
        <f>IF(COUNTIFS('📋 Транзакції'!$B$5:$B$3623,A119,'📋 Транзакції'!$C$5:$C$3623,"&gt;="&amp;EDATE(DATEVALUE(C119&amp;"-01"),10),'📋 Транзакції'!$C$5:$C$3623,"&lt;"&amp;EDATE(DATEVALUE(C119&amp;"-01"),11))&gt;0,1,0)</f>
        <v>0</v>
      </c>
      <c r="R119" s="37">
        <f>IF(COUNTIFS('📋 Транзакції'!$B$5:$B$3623,A119,'📋 Транзакції'!$C$5:$C$3623,"&gt;="&amp;EDATE(DATEVALUE(C119&amp;"-01"),11),'📋 Транзакції'!$C$5:$C$3623,"&lt;"&amp;EDATE(DATEVALUE(C119&amp;"-01"),12))&gt;0,1,0)</f>
        <v>0</v>
      </c>
      <c r="S119" s="37">
        <f>SUMIFS('📋 Транзакції'!$F$5:$F$3623,'📋 Транзакції'!$B$5:$B$3623,A119,'📋 Транзакції'!$C$5:$C$3623,"&gt;="&amp;EDATE(DATEVALUE(C119&amp;"-01"),0),'📋 Транзакції'!$C$5:$C$3623,"&lt;"&amp;EDATE(DATEVALUE(C119&amp;"-01"),1))</f>
        <v>0</v>
      </c>
      <c r="T119" s="37">
        <f>SUMIFS('📋 Транзакції'!$F$5:$F$3623,'📋 Транзакції'!$B$5:$B$3623,A119,'📋 Транзакції'!$C$5:$C$3623,"&gt;="&amp;EDATE(DATEVALUE(C119&amp;"-01"),1),'📋 Транзакції'!$C$5:$C$3623,"&lt;"&amp;EDATE(DATEVALUE(C119&amp;"-01"),2))</f>
        <v>19.99</v>
      </c>
      <c r="U119" s="37">
        <f>SUMIFS('📋 Транзакції'!$F$5:$F$3623,'📋 Транзакції'!$B$5:$B$3623,A119,'📋 Транзакції'!$C$5:$C$3623,"&gt;="&amp;EDATE(DATEVALUE(C119&amp;"-01"),2),'📋 Транзакції'!$C$5:$C$3623,"&lt;"&amp;EDATE(DATEVALUE(C119&amp;"-01"),3))</f>
        <v>19.99</v>
      </c>
      <c r="V119" s="37">
        <f>SUMIFS('📋 Транзакції'!$F$5:$F$3623,'📋 Транзакції'!$B$5:$B$3623,A119,'📋 Транзакції'!$C$5:$C$3623,"&gt;="&amp;EDATE(DATEVALUE(C119&amp;"-01"),3),'📋 Транзакції'!$C$5:$C$3623,"&lt;"&amp;EDATE(DATEVALUE(C119&amp;"-01"),4))</f>
        <v>0</v>
      </c>
      <c r="W119" s="37">
        <f>SUMIFS('📋 Транзакції'!$F$5:$F$3623,'📋 Транзакції'!$B$5:$B$3623,A119,'📋 Транзакції'!$C$5:$C$3623,"&gt;="&amp;EDATE(DATEVALUE(C119&amp;"-01"),4),'📋 Транзакції'!$C$5:$C$3623,"&lt;"&amp;EDATE(DATEVALUE(C119&amp;"-01"),5))</f>
        <v>0</v>
      </c>
      <c r="X119" s="37">
        <f>SUMIFS('📋 Транзакції'!$F$5:$F$3623,'📋 Транзакції'!$B$5:$B$3623,A119,'📋 Транзакції'!$C$5:$C$3623,"&gt;="&amp;EDATE(DATEVALUE(C119&amp;"-01"),5),'📋 Транзакції'!$C$5:$C$3623,"&lt;"&amp;EDATE(DATEVALUE(C119&amp;"-01"),6))</f>
        <v>0</v>
      </c>
      <c r="Y119" s="37">
        <f>SUMIFS('📋 Транзакції'!$F$5:$F$3623,'📋 Транзакції'!$B$5:$B$3623,A119,'📋 Транзакції'!$C$5:$C$3623,"&gt;="&amp;EDATE(DATEVALUE(C119&amp;"-01"),6),'📋 Транзакції'!$C$5:$C$3623,"&lt;"&amp;EDATE(DATEVALUE(C119&amp;"-01"),7))</f>
        <v>0</v>
      </c>
      <c r="Z119" s="37">
        <f>SUMIFS('📋 Транзакції'!$F$5:$F$3623,'📋 Транзакції'!$B$5:$B$3623,A119,'📋 Транзакції'!$C$5:$C$3623,"&gt;="&amp;EDATE(DATEVALUE(C119&amp;"-01"),7),'📋 Транзакції'!$C$5:$C$3623,"&lt;"&amp;EDATE(DATEVALUE(C119&amp;"-01"),8))</f>
        <v>0</v>
      </c>
      <c r="AA119" s="37">
        <f>SUMIFS('📋 Транзакції'!$F$5:$F$3623,'📋 Транзакції'!$B$5:$B$3623,A119,'📋 Транзакції'!$C$5:$C$3623,"&gt;="&amp;EDATE(DATEVALUE(C119&amp;"-01"),8),'📋 Транзакції'!$C$5:$C$3623,"&lt;"&amp;EDATE(DATEVALUE(C119&amp;"-01"),9))</f>
        <v>0</v>
      </c>
      <c r="AB119" s="37">
        <f>SUMIFS('📋 Транзакції'!$F$5:$F$3623,'📋 Транзакції'!$B$5:$B$3623,A119,'📋 Транзакції'!$C$5:$C$3623,"&gt;="&amp;EDATE(DATEVALUE(C119&amp;"-01"),9),'📋 Транзакції'!$C$5:$C$3623,"&lt;"&amp;EDATE(DATEVALUE(C119&amp;"-01"),10))</f>
        <v>0</v>
      </c>
      <c r="AC119" s="37">
        <f>SUMIFS('📋 Транзакції'!$F$5:$F$3623,'📋 Транзакції'!$B$5:$B$3623,A119,'📋 Транзакції'!$C$5:$C$3623,"&gt;="&amp;EDATE(DATEVALUE(C119&amp;"-01"),10),'📋 Транзакції'!$C$5:$C$3623,"&lt;"&amp;EDATE(DATEVALUE(C119&amp;"-01"),11))</f>
        <v>0</v>
      </c>
      <c r="AD119" s="37">
        <f>SUMIFS('📋 Транзакції'!$F$5:$F$3623,'📋 Транзакції'!$B$5:$B$3623,A119,'📋 Транзакції'!$C$5:$C$3623,"&gt;="&amp;EDATE(DATEVALUE(C119&amp;"-01"),11),'📋 Транзакції'!$C$5:$C$3623,"&lt;"&amp;EDATE(DATEVALUE(C119&amp;"-01"),12))</f>
        <v>0</v>
      </c>
    </row>
    <row r="120" ht="15.75" customHeight="1">
      <c r="A120" s="33" t="str">
        <f>'📋 Реєстрації'!A120:A721</f>
        <v>U0590</v>
      </c>
      <c r="B120" s="34">
        <f t="array" ref="B120">INDEX('📋 Транзакції'!$C$5:$C$3623,MATCH(A120,'📋 Транзакції'!$B$5:$B$3623,0))</f>
        <v>45408</v>
      </c>
      <c r="C120" s="35" t="str">
        <f t="shared" si="1"/>
        <v>2024-04</v>
      </c>
      <c r="D120" s="36">
        <f>COUNTIF('📋 Транзакції'!$B$5:$B$3623,A120)</f>
        <v>13</v>
      </c>
      <c r="E120" s="36">
        <f>SUMIF('📋 Транзакції'!$B$5:$B$3623,A120,'📋 Транзакції'!$F$5:$F$3623)</f>
        <v>239.88</v>
      </c>
      <c r="F120" s="35">
        <f>INT($A$1-MAXIFS('📋 Транзакції'!$C$5:$C$3623,'📋 Транзакції'!$B$5:$B$3623,A120))</f>
        <v>2</v>
      </c>
      <c r="G120" s="37">
        <f>IF(COUNTIFS('📋 Транзакції'!$B$5:$B$3623,A120,'📋 Транзакції'!$C$5:$C$3623,"&gt;="&amp;EDATE(DATEVALUE(C120&amp;"-01"),0),'📋 Транзакції'!$C$5:$C$3623,"&lt;"&amp;EDATE(DATEVALUE(C120&amp;"-01"),1))&gt;0,1,0)</f>
        <v>1</v>
      </c>
      <c r="H120" s="37">
        <f>IF(COUNTIFS('📋 Транзакції'!$B$5:$B$3623,A120,'📋 Транзакції'!$C$5:$C$3623,"&gt;="&amp;EDATE(DATEVALUE(C120&amp;"-01"),1),'📋 Транзакції'!$C$5:$C$3623,"&lt;"&amp;EDATE(DATEVALUE(C120&amp;"-01"),2))&gt;0,1,0)</f>
        <v>1</v>
      </c>
      <c r="I120" s="37">
        <f>IF(COUNTIFS('📋 Транзакції'!$B$5:$B$3623,A120,'📋 Транзакції'!$C$5:$C$3623,"&gt;="&amp;EDATE(DATEVALUE(C120&amp;"-01"),2),'📋 Транзакції'!$C$5:$C$3623,"&lt;"&amp;EDATE(DATEVALUE(C120&amp;"-01"),3))&gt;0,1,0)</f>
        <v>1</v>
      </c>
      <c r="J120" s="37">
        <f>IF(COUNTIFS('📋 Транзакції'!$B$5:$B$3623,A120,'📋 Транзакції'!$C$5:$C$3623,"&gt;="&amp;EDATE(DATEVALUE(C120&amp;"-01"),3),'📋 Транзакції'!$C$5:$C$3623,"&lt;"&amp;EDATE(DATEVALUE(C120&amp;"-01"),4))&gt;0,1,0)</f>
        <v>1</v>
      </c>
      <c r="K120" s="37">
        <f>IF(COUNTIFS('📋 Транзакції'!$B$5:$B$3623,A120,'📋 Транзакції'!$C$5:$C$3623,"&gt;="&amp;EDATE(DATEVALUE(C120&amp;"-01"),4),'📋 Транзакції'!$C$5:$C$3623,"&lt;"&amp;EDATE(DATEVALUE(C120&amp;"-01"),5))&gt;0,1,0)</f>
        <v>1</v>
      </c>
      <c r="L120" s="37">
        <f>IF(COUNTIFS('📋 Транзакції'!$B$5:$B$3623,A120,'📋 Транзакції'!$C$5:$C$3623,"&gt;="&amp;EDATE(DATEVALUE(C120&amp;"-01"),5),'📋 Транзакції'!$C$5:$C$3623,"&lt;"&amp;EDATE(DATEVALUE(C120&amp;"-01"),6))&gt;0,1,0)</f>
        <v>1</v>
      </c>
      <c r="M120" s="37">
        <f>IF(COUNTIFS('📋 Транзакції'!$B$5:$B$3623,A120,'📋 Транзакції'!$C$5:$C$3623,"&gt;="&amp;EDATE(DATEVALUE(C120&amp;"-01"),6),'📋 Транзакції'!$C$5:$C$3623,"&lt;"&amp;EDATE(DATEVALUE(C120&amp;"-01"),7))&gt;0,1,0)</f>
        <v>1</v>
      </c>
      <c r="N120" s="37">
        <f>IF(COUNTIFS('📋 Транзакції'!$B$5:$B$3623,A120,'📋 Транзакції'!$C$5:$C$3623,"&gt;="&amp;EDATE(DATEVALUE(C120&amp;"-01"),7),'📋 Транзакції'!$C$5:$C$3623,"&lt;"&amp;EDATE(DATEVALUE(C120&amp;"-01"),8))&gt;0,1,0)</f>
        <v>1</v>
      </c>
      <c r="O120" s="37">
        <f>IF(COUNTIFS('📋 Транзакції'!$B$5:$B$3623,A120,'📋 Транзакції'!$C$5:$C$3623,"&gt;="&amp;EDATE(DATEVALUE(C120&amp;"-01"),8),'📋 Транзакції'!$C$5:$C$3623,"&lt;"&amp;EDATE(DATEVALUE(C120&amp;"-01"),9))&gt;0,1,0)</f>
        <v>1</v>
      </c>
      <c r="P120" s="37">
        <f>IF(COUNTIFS('📋 Транзакції'!$B$5:$B$3623,A120,'📋 Транзакції'!$C$5:$C$3623,"&gt;="&amp;EDATE(DATEVALUE(C120&amp;"-01"),9),'📋 Транзакції'!$C$5:$C$3623,"&lt;"&amp;EDATE(DATEVALUE(C120&amp;"-01"),10))&gt;0,1,0)</f>
        <v>1</v>
      </c>
      <c r="Q120" s="37">
        <f>IF(COUNTIFS('📋 Транзакції'!$B$5:$B$3623,A120,'📋 Транзакції'!$C$5:$C$3623,"&gt;="&amp;EDATE(DATEVALUE(C120&amp;"-01"),10),'📋 Транзакції'!$C$5:$C$3623,"&lt;"&amp;EDATE(DATEVALUE(C120&amp;"-01"),11))&gt;0,1,0)</f>
        <v>1</v>
      </c>
      <c r="R120" s="37">
        <f>IF(COUNTIFS('📋 Транзакції'!$B$5:$B$3623,A120,'📋 Транзакції'!$C$5:$C$3623,"&gt;="&amp;EDATE(DATEVALUE(C120&amp;"-01"),11),'📋 Транзакції'!$C$5:$C$3623,"&lt;"&amp;EDATE(DATEVALUE(C120&amp;"-01"),12))&gt;0,1,0)</f>
        <v>1</v>
      </c>
      <c r="S120" s="37">
        <f>SUMIFS('📋 Транзакції'!$F$5:$F$3623,'📋 Транзакції'!$B$5:$B$3623,A120,'📋 Транзакції'!$C$5:$C$3623,"&gt;="&amp;EDATE(DATEVALUE(C120&amp;"-01"),0),'📋 Транзакції'!$C$5:$C$3623,"&lt;"&amp;EDATE(DATEVALUE(C120&amp;"-01"),1))</f>
        <v>0</v>
      </c>
      <c r="T120" s="37">
        <f>SUMIFS('📋 Транзакції'!$F$5:$F$3623,'📋 Транзакції'!$B$5:$B$3623,A120,'📋 Транзакції'!$C$5:$C$3623,"&gt;="&amp;EDATE(DATEVALUE(C120&amp;"-01"),1),'📋 Транзакції'!$C$5:$C$3623,"&lt;"&amp;EDATE(DATEVALUE(C120&amp;"-01"),2))</f>
        <v>19.99</v>
      </c>
      <c r="U120" s="37">
        <f>SUMIFS('📋 Транзакції'!$F$5:$F$3623,'📋 Транзакції'!$B$5:$B$3623,A120,'📋 Транзакції'!$C$5:$C$3623,"&gt;="&amp;EDATE(DATEVALUE(C120&amp;"-01"),2),'📋 Транзакції'!$C$5:$C$3623,"&lt;"&amp;EDATE(DATEVALUE(C120&amp;"-01"),3))</f>
        <v>19.99</v>
      </c>
      <c r="V120" s="37">
        <f>SUMIFS('📋 Транзакції'!$F$5:$F$3623,'📋 Транзакції'!$B$5:$B$3623,A120,'📋 Транзакції'!$C$5:$C$3623,"&gt;="&amp;EDATE(DATEVALUE(C120&amp;"-01"),3),'📋 Транзакції'!$C$5:$C$3623,"&lt;"&amp;EDATE(DATEVALUE(C120&amp;"-01"),4))</f>
        <v>19.99</v>
      </c>
      <c r="W120" s="37">
        <f>SUMIFS('📋 Транзакції'!$F$5:$F$3623,'📋 Транзакції'!$B$5:$B$3623,A120,'📋 Транзакції'!$C$5:$C$3623,"&gt;="&amp;EDATE(DATEVALUE(C120&amp;"-01"),4),'📋 Транзакції'!$C$5:$C$3623,"&lt;"&amp;EDATE(DATEVALUE(C120&amp;"-01"),5))</f>
        <v>39.98</v>
      </c>
      <c r="X120" s="37">
        <f>SUMIFS('📋 Транзакції'!$F$5:$F$3623,'📋 Транзакції'!$B$5:$B$3623,A120,'📋 Транзакції'!$C$5:$C$3623,"&gt;="&amp;EDATE(DATEVALUE(C120&amp;"-01"),5),'📋 Транзакції'!$C$5:$C$3623,"&lt;"&amp;EDATE(DATEVALUE(C120&amp;"-01"),6))</f>
        <v>19.99</v>
      </c>
      <c r="Y120" s="37">
        <f>SUMIFS('📋 Транзакції'!$F$5:$F$3623,'📋 Транзакції'!$B$5:$B$3623,A120,'📋 Транзакції'!$C$5:$C$3623,"&gt;="&amp;EDATE(DATEVALUE(C120&amp;"-01"),6),'📋 Транзакції'!$C$5:$C$3623,"&lt;"&amp;EDATE(DATEVALUE(C120&amp;"-01"),7))</f>
        <v>19.99</v>
      </c>
      <c r="Z120" s="37">
        <f>SUMIFS('📋 Транзакції'!$F$5:$F$3623,'📋 Транзакції'!$B$5:$B$3623,A120,'📋 Транзакції'!$C$5:$C$3623,"&gt;="&amp;EDATE(DATEVALUE(C120&amp;"-01"),7),'📋 Транзакції'!$C$5:$C$3623,"&lt;"&amp;EDATE(DATEVALUE(C120&amp;"-01"),8))</f>
        <v>19.99</v>
      </c>
      <c r="AA120" s="37">
        <f>SUMIFS('📋 Транзакції'!$F$5:$F$3623,'📋 Транзакції'!$B$5:$B$3623,A120,'📋 Транзакції'!$C$5:$C$3623,"&gt;="&amp;EDATE(DATEVALUE(C120&amp;"-01"),8),'📋 Транзакції'!$C$5:$C$3623,"&lt;"&amp;EDATE(DATEVALUE(C120&amp;"-01"),9))</f>
        <v>19.99</v>
      </c>
      <c r="AB120" s="37">
        <f>SUMIFS('📋 Транзакції'!$F$5:$F$3623,'📋 Транзакції'!$B$5:$B$3623,A120,'📋 Транзакції'!$C$5:$C$3623,"&gt;="&amp;EDATE(DATEVALUE(C120&amp;"-01"),9),'📋 Транзакції'!$C$5:$C$3623,"&lt;"&amp;EDATE(DATEVALUE(C120&amp;"-01"),10))</f>
        <v>19.99</v>
      </c>
      <c r="AC120" s="37">
        <f>SUMIFS('📋 Транзакції'!$F$5:$F$3623,'📋 Транзакції'!$B$5:$B$3623,A120,'📋 Транзакції'!$C$5:$C$3623,"&gt;="&amp;EDATE(DATEVALUE(C120&amp;"-01"),10),'📋 Транзакції'!$C$5:$C$3623,"&lt;"&amp;EDATE(DATEVALUE(C120&amp;"-01"),11))</f>
        <v>19.99</v>
      </c>
      <c r="AD120" s="37">
        <f>SUMIFS('📋 Транзакції'!$F$5:$F$3623,'📋 Транзакції'!$B$5:$B$3623,A120,'📋 Транзакції'!$C$5:$C$3623,"&gt;="&amp;EDATE(DATEVALUE(C120&amp;"-01"),11),'📋 Транзакції'!$C$5:$C$3623,"&lt;"&amp;EDATE(DATEVALUE(C120&amp;"-01"),12))</f>
        <v>19.99</v>
      </c>
    </row>
    <row r="121" ht="15.75" customHeight="1">
      <c r="A121" s="33" t="str">
        <f>'📋 Реєстрації'!A121:A722</f>
        <v>U0430</v>
      </c>
      <c r="B121" s="34">
        <f t="array" ref="B121">INDEX('📋 Транзакції'!$C$5:$C$3623,MATCH(A121,'📋 Транзакції'!$B$5:$B$3623,0))</f>
        <v>45409</v>
      </c>
      <c r="C121" s="35" t="str">
        <f t="shared" si="1"/>
        <v>2024-04</v>
      </c>
      <c r="D121" s="36">
        <f>COUNTIF('📋 Транзакції'!$B$5:$B$3623,A121)</f>
        <v>13</v>
      </c>
      <c r="E121" s="36">
        <f>SUMIF('📋 Транзакції'!$B$5:$B$3623,A121,'📋 Транзакції'!$F$5:$F$3623)</f>
        <v>239.88</v>
      </c>
      <c r="F121" s="35">
        <f>INT($A$1-MAXIFS('📋 Транзакції'!$C$5:$C$3623,'📋 Транзакції'!$B$5:$B$3623,A121))</f>
        <v>1</v>
      </c>
      <c r="G121" s="37">
        <f>IF(COUNTIFS('📋 Транзакції'!$B$5:$B$3623,A121,'📋 Транзакції'!$C$5:$C$3623,"&gt;="&amp;EDATE(DATEVALUE(C121&amp;"-01"),0),'📋 Транзакції'!$C$5:$C$3623,"&lt;"&amp;EDATE(DATEVALUE(C121&amp;"-01"),1))&gt;0,1,0)</f>
        <v>1</v>
      </c>
      <c r="H121" s="37">
        <f>IF(COUNTIFS('📋 Транзакції'!$B$5:$B$3623,A121,'📋 Транзакції'!$C$5:$C$3623,"&gt;="&amp;EDATE(DATEVALUE(C121&amp;"-01"),1),'📋 Транзакції'!$C$5:$C$3623,"&lt;"&amp;EDATE(DATEVALUE(C121&amp;"-01"),2))&gt;0,1,0)</f>
        <v>1</v>
      </c>
      <c r="I121" s="37">
        <f>IF(COUNTIFS('📋 Транзакції'!$B$5:$B$3623,A121,'📋 Транзакції'!$C$5:$C$3623,"&gt;="&amp;EDATE(DATEVALUE(C121&amp;"-01"),2),'📋 Транзакції'!$C$5:$C$3623,"&lt;"&amp;EDATE(DATEVALUE(C121&amp;"-01"),3))&gt;0,1,0)</f>
        <v>1</v>
      </c>
      <c r="J121" s="37">
        <f>IF(COUNTIFS('📋 Транзакції'!$B$5:$B$3623,A121,'📋 Транзакції'!$C$5:$C$3623,"&gt;="&amp;EDATE(DATEVALUE(C121&amp;"-01"),3),'📋 Транзакції'!$C$5:$C$3623,"&lt;"&amp;EDATE(DATEVALUE(C121&amp;"-01"),4))&gt;0,1,0)</f>
        <v>1</v>
      </c>
      <c r="K121" s="37">
        <f>IF(COUNTIFS('📋 Транзакції'!$B$5:$B$3623,A121,'📋 Транзакції'!$C$5:$C$3623,"&gt;="&amp;EDATE(DATEVALUE(C121&amp;"-01"),4),'📋 Транзакції'!$C$5:$C$3623,"&lt;"&amp;EDATE(DATEVALUE(C121&amp;"-01"),5))&gt;0,1,0)</f>
        <v>1</v>
      </c>
      <c r="L121" s="37">
        <f>IF(COUNTIFS('📋 Транзакції'!$B$5:$B$3623,A121,'📋 Транзакції'!$C$5:$C$3623,"&gt;="&amp;EDATE(DATEVALUE(C121&amp;"-01"),5),'📋 Транзакції'!$C$5:$C$3623,"&lt;"&amp;EDATE(DATEVALUE(C121&amp;"-01"),6))&gt;0,1,0)</f>
        <v>1</v>
      </c>
      <c r="M121" s="37">
        <f>IF(COUNTIFS('📋 Транзакції'!$B$5:$B$3623,A121,'📋 Транзакції'!$C$5:$C$3623,"&gt;="&amp;EDATE(DATEVALUE(C121&amp;"-01"),6),'📋 Транзакції'!$C$5:$C$3623,"&lt;"&amp;EDATE(DATEVALUE(C121&amp;"-01"),7))&gt;0,1,0)</f>
        <v>1</v>
      </c>
      <c r="N121" s="37">
        <f>IF(COUNTIFS('📋 Транзакції'!$B$5:$B$3623,A121,'📋 Транзакції'!$C$5:$C$3623,"&gt;="&amp;EDATE(DATEVALUE(C121&amp;"-01"),7),'📋 Транзакції'!$C$5:$C$3623,"&lt;"&amp;EDATE(DATEVALUE(C121&amp;"-01"),8))&gt;0,1,0)</f>
        <v>1</v>
      </c>
      <c r="O121" s="37">
        <f>IF(COUNTIFS('📋 Транзакції'!$B$5:$B$3623,A121,'📋 Транзакції'!$C$5:$C$3623,"&gt;="&amp;EDATE(DATEVALUE(C121&amp;"-01"),8),'📋 Транзакції'!$C$5:$C$3623,"&lt;"&amp;EDATE(DATEVALUE(C121&amp;"-01"),9))&gt;0,1,0)</f>
        <v>1</v>
      </c>
      <c r="P121" s="37">
        <f>IF(COUNTIFS('📋 Транзакції'!$B$5:$B$3623,A121,'📋 Транзакції'!$C$5:$C$3623,"&gt;="&amp;EDATE(DATEVALUE(C121&amp;"-01"),9),'📋 Транзакції'!$C$5:$C$3623,"&lt;"&amp;EDATE(DATEVALUE(C121&amp;"-01"),10))&gt;0,1,0)</f>
        <v>1</v>
      </c>
      <c r="Q121" s="37">
        <f>IF(COUNTIFS('📋 Транзакції'!$B$5:$B$3623,A121,'📋 Транзакції'!$C$5:$C$3623,"&gt;="&amp;EDATE(DATEVALUE(C121&amp;"-01"),10),'📋 Транзакції'!$C$5:$C$3623,"&lt;"&amp;EDATE(DATEVALUE(C121&amp;"-01"),11))&gt;0,1,0)</f>
        <v>1</v>
      </c>
      <c r="R121" s="37">
        <f>IF(COUNTIFS('📋 Транзакції'!$B$5:$B$3623,A121,'📋 Транзакції'!$C$5:$C$3623,"&gt;="&amp;EDATE(DATEVALUE(C121&amp;"-01"),11),'📋 Транзакції'!$C$5:$C$3623,"&lt;"&amp;EDATE(DATEVALUE(C121&amp;"-01"),12))&gt;0,1,0)</f>
        <v>1</v>
      </c>
      <c r="S121" s="37">
        <f>SUMIFS('📋 Транзакції'!$F$5:$F$3623,'📋 Транзакції'!$B$5:$B$3623,A121,'📋 Транзакції'!$C$5:$C$3623,"&gt;="&amp;EDATE(DATEVALUE(C121&amp;"-01"),0),'📋 Транзакції'!$C$5:$C$3623,"&lt;"&amp;EDATE(DATEVALUE(C121&amp;"-01"),1))</f>
        <v>0</v>
      </c>
      <c r="T121" s="37">
        <f>SUMIFS('📋 Транзакції'!$F$5:$F$3623,'📋 Транзакції'!$B$5:$B$3623,A121,'📋 Транзакції'!$C$5:$C$3623,"&gt;="&amp;EDATE(DATEVALUE(C121&amp;"-01"),1),'📋 Транзакції'!$C$5:$C$3623,"&lt;"&amp;EDATE(DATEVALUE(C121&amp;"-01"),2))</f>
        <v>19.99</v>
      </c>
      <c r="U121" s="37">
        <f>SUMIFS('📋 Транзакції'!$F$5:$F$3623,'📋 Транзакції'!$B$5:$B$3623,A121,'📋 Транзакції'!$C$5:$C$3623,"&gt;="&amp;EDATE(DATEVALUE(C121&amp;"-01"),2),'📋 Транзакції'!$C$5:$C$3623,"&lt;"&amp;EDATE(DATEVALUE(C121&amp;"-01"),3))</f>
        <v>19.99</v>
      </c>
      <c r="V121" s="37">
        <f>SUMIFS('📋 Транзакції'!$F$5:$F$3623,'📋 Транзакції'!$B$5:$B$3623,A121,'📋 Транзакції'!$C$5:$C$3623,"&gt;="&amp;EDATE(DATEVALUE(C121&amp;"-01"),3),'📋 Транзакції'!$C$5:$C$3623,"&lt;"&amp;EDATE(DATEVALUE(C121&amp;"-01"),4))</f>
        <v>19.99</v>
      </c>
      <c r="W121" s="37">
        <f>SUMIFS('📋 Транзакції'!$F$5:$F$3623,'📋 Транзакції'!$B$5:$B$3623,A121,'📋 Транзакції'!$C$5:$C$3623,"&gt;="&amp;EDATE(DATEVALUE(C121&amp;"-01"),4),'📋 Транзакції'!$C$5:$C$3623,"&lt;"&amp;EDATE(DATEVALUE(C121&amp;"-01"),5))</f>
        <v>19.99</v>
      </c>
      <c r="X121" s="37">
        <f>SUMIFS('📋 Транзакції'!$F$5:$F$3623,'📋 Транзакції'!$B$5:$B$3623,A121,'📋 Транзакції'!$C$5:$C$3623,"&gt;="&amp;EDATE(DATEVALUE(C121&amp;"-01"),5),'📋 Транзакції'!$C$5:$C$3623,"&lt;"&amp;EDATE(DATEVALUE(C121&amp;"-01"),6))</f>
        <v>19.99</v>
      </c>
      <c r="Y121" s="37">
        <f>SUMIFS('📋 Транзакції'!$F$5:$F$3623,'📋 Транзакції'!$B$5:$B$3623,A121,'📋 Транзакції'!$C$5:$C$3623,"&gt;="&amp;EDATE(DATEVALUE(C121&amp;"-01"),6),'📋 Транзакції'!$C$5:$C$3623,"&lt;"&amp;EDATE(DATEVALUE(C121&amp;"-01"),7))</f>
        <v>39.98</v>
      </c>
      <c r="Z121" s="37">
        <f>SUMIFS('📋 Транзакції'!$F$5:$F$3623,'📋 Транзакції'!$B$5:$B$3623,A121,'📋 Транзакції'!$C$5:$C$3623,"&gt;="&amp;EDATE(DATEVALUE(C121&amp;"-01"),7),'📋 Транзакції'!$C$5:$C$3623,"&lt;"&amp;EDATE(DATEVALUE(C121&amp;"-01"),8))</f>
        <v>19.99</v>
      </c>
      <c r="AA121" s="37">
        <f>SUMIFS('📋 Транзакції'!$F$5:$F$3623,'📋 Транзакції'!$B$5:$B$3623,A121,'📋 Транзакції'!$C$5:$C$3623,"&gt;="&amp;EDATE(DATEVALUE(C121&amp;"-01"),8),'📋 Транзакції'!$C$5:$C$3623,"&lt;"&amp;EDATE(DATEVALUE(C121&amp;"-01"),9))</f>
        <v>19.99</v>
      </c>
      <c r="AB121" s="37">
        <f>SUMIFS('📋 Транзакції'!$F$5:$F$3623,'📋 Транзакції'!$B$5:$B$3623,A121,'📋 Транзакції'!$C$5:$C$3623,"&gt;="&amp;EDATE(DATEVALUE(C121&amp;"-01"),9),'📋 Транзакції'!$C$5:$C$3623,"&lt;"&amp;EDATE(DATEVALUE(C121&amp;"-01"),10))</f>
        <v>19.99</v>
      </c>
      <c r="AC121" s="37">
        <f>SUMIFS('📋 Транзакції'!$F$5:$F$3623,'📋 Транзакції'!$B$5:$B$3623,A121,'📋 Транзакції'!$C$5:$C$3623,"&gt;="&amp;EDATE(DATEVALUE(C121&amp;"-01"),10),'📋 Транзакції'!$C$5:$C$3623,"&lt;"&amp;EDATE(DATEVALUE(C121&amp;"-01"),11))</f>
        <v>19.99</v>
      </c>
      <c r="AD121" s="37">
        <f>SUMIFS('📋 Транзакції'!$F$5:$F$3623,'📋 Транзакції'!$B$5:$B$3623,A121,'📋 Транзакції'!$C$5:$C$3623,"&gt;="&amp;EDATE(DATEVALUE(C121&amp;"-01"),11),'📋 Транзакції'!$C$5:$C$3623,"&lt;"&amp;EDATE(DATEVALUE(C121&amp;"-01"),12))</f>
        <v>19.99</v>
      </c>
    </row>
    <row r="122" ht="15.75" customHeight="1">
      <c r="A122" s="33" t="str">
        <f>'📋 Реєстрації'!A122:A723</f>
        <v>U0112</v>
      </c>
      <c r="B122" s="34">
        <f t="array" ref="B122">INDEX('📋 Транзакції'!$C$5:$C$3623,MATCH(A122,'📋 Транзакції'!$B$5:$B$3623,0))</f>
        <v>45410</v>
      </c>
      <c r="C122" s="35" t="str">
        <f t="shared" si="1"/>
        <v>2024-04</v>
      </c>
      <c r="D122" s="36">
        <f>COUNTIF('📋 Транзакції'!$B$5:$B$3623,A122)</f>
        <v>13</v>
      </c>
      <c r="E122" s="36">
        <f>SUMIF('📋 Транзакції'!$B$5:$B$3623,A122,'📋 Транзакції'!$F$5:$F$3623)</f>
        <v>239.88</v>
      </c>
      <c r="F122" s="35">
        <f>INT($A$1-MAXIFS('📋 Транзакції'!$C$5:$C$3623,'📋 Транзакції'!$B$5:$B$3623,A122))</f>
        <v>0</v>
      </c>
      <c r="G122" s="37">
        <f>IF(COUNTIFS('📋 Транзакції'!$B$5:$B$3623,A122,'📋 Транзакції'!$C$5:$C$3623,"&gt;="&amp;EDATE(DATEVALUE(C122&amp;"-01"),0),'📋 Транзакції'!$C$5:$C$3623,"&lt;"&amp;EDATE(DATEVALUE(C122&amp;"-01"),1))&gt;0,1,0)</f>
        <v>1</v>
      </c>
      <c r="H122" s="37">
        <f>IF(COUNTIFS('📋 Транзакції'!$B$5:$B$3623,A122,'📋 Транзакції'!$C$5:$C$3623,"&gt;="&amp;EDATE(DATEVALUE(C122&amp;"-01"),1),'📋 Транзакції'!$C$5:$C$3623,"&lt;"&amp;EDATE(DATEVALUE(C122&amp;"-01"),2))&gt;0,1,0)</f>
        <v>1</v>
      </c>
      <c r="I122" s="37">
        <f>IF(COUNTIFS('📋 Транзакції'!$B$5:$B$3623,A122,'📋 Транзакції'!$C$5:$C$3623,"&gt;="&amp;EDATE(DATEVALUE(C122&amp;"-01"),2),'📋 Транзакції'!$C$5:$C$3623,"&lt;"&amp;EDATE(DATEVALUE(C122&amp;"-01"),3))&gt;0,1,0)</f>
        <v>1</v>
      </c>
      <c r="J122" s="37">
        <f>IF(COUNTIFS('📋 Транзакції'!$B$5:$B$3623,A122,'📋 Транзакції'!$C$5:$C$3623,"&gt;="&amp;EDATE(DATEVALUE(C122&amp;"-01"),3),'📋 Транзакції'!$C$5:$C$3623,"&lt;"&amp;EDATE(DATEVALUE(C122&amp;"-01"),4))&gt;0,1,0)</f>
        <v>1</v>
      </c>
      <c r="K122" s="37">
        <f>IF(COUNTIFS('📋 Транзакції'!$B$5:$B$3623,A122,'📋 Транзакції'!$C$5:$C$3623,"&gt;="&amp;EDATE(DATEVALUE(C122&amp;"-01"),4),'📋 Транзакції'!$C$5:$C$3623,"&lt;"&amp;EDATE(DATEVALUE(C122&amp;"-01"),5))&gt;0,1,0)</f>
        <v>1</v>
      </c>
      <c r="L122" s="37">
        <f>IF(COUNTIFS('📋 Транзакції'!$B$5:$B$3623,A122,'📋 Транзакції'!$C$5:$C$3623,"&gt;="&amp;EDATE(DATEVALUE(C122&amp;"-01"),5),'📋 Транзакції'!$C$5:$C$3623,"&lt;"&amp;EDATE(DATEVALUE(C122&amp;"-01"),6))&gt;0,1,0)</f>
        <v>1</v>
      </c>
      <c r="M122" s="37">
        <f>IF(COUNTIFS('📋 Транзакції'!$B$5:$B$3623,A122,'📋 Транзакції'!$C$5:$C$3623,"&gt;="&amp;EDATE(DATEVALUE(C122&amp;"-01"),6),'📋 Транзакції'!$C$5:$C$3623,"&lt;"&amp;EDATE(DATEVALUE(C122&amp;"-01"),7))&gt;0,1,0)</f>
        <v>1</v>
      </c>
      <c r="N122" s="37">
        <f>IF(COUNTIFS('📋 Транзакції'!$B$5:$B$3623,A122,'📋 Транзакції'!$C$5:$C$3623,"&gt;="&amp;EDATE(DATEVALUE(C122&amp;"-01"),7),'📋 Транзакції'!$C$5:$C$3623,"&lt;"&amp;EDATE(DATEVALUE(C122&amp;"-01"),8))&gt;0,1,0)</f>
        <v>1</v>
      </c>
      <c r="O122" s="37">
        <f>IF(COUNTIFS('📋 Транзакції'!$B$5:$B$3623,A122,'📋 Транзакції'!$C$5:$C$3623,"&gt;="&amp;EDATE(DATEVALUE(C122&amp;"-01"),8),'📋 Транзакції'!$C$5:$C$3623,"&lt;"&amp;EDATE(DATEVALUE(C122&amp;"-01"),9))&gt;0,1,0)</f>
        <v>1</v>
      </c>
      <c r="P122" s="37">
        <f>IF(COUNTIFS('📋 Транзакції'!$B$5:$B$3623,A122,'📋 Транзакції'!$C$5:$C$3623,"&gt;="&amp;EDATE(DATEVALUE(C122&amp;"-01"),9),'📋 Транзакції'!$C$5:$C$3623,"&lt;"&amp;EDATE(DATEVALUE(C122&amp;"-01"),10))&gt;0,1,0)</f>
        <v>1</v>
      </c>
      <c r="Q122" s="37">
        <f>IF(COUNTIFS('📋 Транзакції'!$B$5:$B$3623,A122,'📋 Транзакції'!$C$5:$C$3623,"&gt;="&amp;EDATE(DATEVALUE(C122&amp;"-01"),10),'📋 Транзакції'!$C$5:$C$3623,"&lt;"&amp;EDATE(DATEVALUE(C122&amp;"-01"),11))&gt;0,1,0)</f>
        <v>0</v>
      </c>
      <c r="R122" s="37">
        <f>IF(COUNTIFS('📋 Транзакції'!$B$5:$B$3623,A122,'📋 Транзакції'!$C$5:$C$3623,"&gt;="&amp;EDATE(DATEVALUE(C122&amp;"-01"),11),'📋 Транзакції'!$C$5:$C$3623,"&lt;"&amp;EDATE(DATEVALUE(C122&amp;"-01"),12))&gt;0,1,0)</f>
        <v>1</v>
      </c>
      <c r="S122" s="37">
        <f>SUMIFS('📋 Транзакції'!$F$5:$F$3623,'📋 Транзакції'!$B$5:$B$3623,A122,'📋 Транзакції'!$C$5:$C$3623,"&gt;="&amp;EDATE(DATEVALUE(C122&amp;"-01"),0),'📋 Транзакції'!$C$5:$C$3623,"&lt;"&amp;EDATE(DATEVALUE(C122&amp;"-01"),1))</f>
        <v>0</v>
      </c>
      <c r="T122" s="37">
        <f>SUMIFS('📋 Транзакції'!$F$5:$F$3623,'📋 Транзакції'!$B$5:$B$3623,A122,'📋 Транзакції'!$C$5:$C$3623,"&gt;="&amp;EDATE(DATEVALUE(C122&amp;"-01"),1),'📋 Транзакції'!$C$5:$C$3623,"&lt;"&amp;EDATE(DATEVALUE(C122&amp;"-01"),2))</f>
        <v>19.99</v>
      </c>
      <c r="U122" s="37">
        <f>SUMIFS('📋 Транзакції'!$F$5:$F$3623,'📋 Транзакції'!$B$5:$B$3623,A122,'📋 Транзакції'!$C$5:$C$3623,"&gt;="&amp;EDATE(DATEVALUE(C122&amp;"-01"),2),'📋 Транзакції'!$C$5:$C$3623,"&lt;"&amp;EDATE(DATEVALUE(C122&amp;"-01"),3))</f>
        <v>19.99</v>
      </c>
      <c r="V122" s="37">
        <f>SUMIFS('📋 Транзакції'!$F$5:$F$3623,'📋 Транзакції'!$B$5:$B$3623,A122,'📋 Транзакції'!$C$5:$C$3623,"&gt;="&amp;EDATE(DATEVALUE(C122&amp;"-01"),3),'📋 Транзакції'!$C$5:$C$3623,"&lt;"&amp;EDATE(DATEVALUE(C122&amp;"-01"),4))</f>
        <v>19.99</v>
      </c>
      <c r="W122" s="37">
        <f>SUMIFS('📋 Транзакції'!$F$5:$F$3623,'📋 Транзакції'!$B$5:$B$3623,A122,'📋 Транзакції'!$C$5:$C$3623,"&gt;="&amp;EDATE(DATEVALUE(C122&amp;"-01"),4),'📋 Транзакції'!$C$5:$C$3623,"&lt;"&amp;EDATE(DATEVALUE(C122&amp;"-01"),5))</f>
        <v>19.99</v>
      </c>
      <c r="X122" s="37">
        <f>SUMIFS('📋 Транзакції'!$F$5:$F$3623,'📋 Транзакції'!$B$5:$B$3623,A122,'📋 Транзакції'!$C$5:$C$3623,"&gt;="&amp;EDATE(DATEVALUE(C122&amp;"-01"),5),'📋 Транзакції'!$C$5:$C$3623,"&lt;"&amp;EDATE(DATEVALUE(C122&amp;"-01"),6))</f>
        <v>19.99</v>
      </c>
      <c r="Y122" s="37">
        <f>SUMIFS('📋 Транзакції'!$F$5:$F$3623,'📋 Транзакції'!$B$5:$B$3623,A122,'📋 Транзакції'!$C$5:$C$3623,"&gt;="&amp;EDATE(DATEVALUE(C122&amp;"-01"),6),'📋 Транзакції'!$C$5:$C$3623,"&lt;"&amp;EDATE(DATEVALUE(C122&amp;"-01"),7))</f>
        <v>19.99</v>
      </c>
      <c r="Z122" s="37">
        <f>SUMIFS('📋 Транзакції'!$F$5:$F$3623,'📋 Транзакції'!$B$5:$B$3623,A122,'📋 Транзакції'!$C$5:$C$3623,"&gt;="&amp;EDATE(DATEVALUE(C122&amp;"-01"),7),'📋 Транзакції'!$C$5:$C$3623,"&lt;"&amp;EDATE(DATEVALUE(C122&amp;"-01"),8))</f>
        <v>19.99</v>
      </c>
      <c r="AA122" s="37">
        <f>SUMIFS('📋 Транзакції'!$F$5:$F$3623,'📋 Транзакції'!$B$5:$B$3623,A122,'📋 Транзакції'!$C$5:$C$3623,"&gt;="&amp;EDATE(DATEVALUE(C122&amp;"-01"),8),'📋 Транзакції'!$C$5:$C$3623,"&lt;"&amp;EDATE(DATEVALUE(C122&amp;"-01"),9))</f>
        <v>39.98</v>
      </c>
      <c r="AB122" s="37">
        <f>SUMIFS('📋 Транзакції'!$F$5:$F$3623,'📋 Транзакції'!$B$5:$B$3623,A122,'📋 Транзакції'!$C$5:$C$3623,"&gt;="&amp;EDATE(DATEVALUE(C122&amp;"-01"),9),'📋 Транзакції'!$C$5:$C$3623,"&lt;"&amp;EDATE(DATEVALUE(C122&amp;"-01"),10))</f>
        <v>19.99</v>
      </c>
      <c r="AC122" s="37">
        <f>SUMIFS('📋 Транзакції'!$F$5:$F$3623,'📋 Транзакції'!$B$5:$B$3623,A122,'📋 Транзакції'!$C$5:$C$3623,"&gt;="&amp;EDATE(DATEVALUE(C122&amp;"-01"),10),'📋 Транзакції'!$C$5:$C$3623,"&lt;"&amp;EDATE(DATEVALUE(C122&amp;"-01"),11))</f>
        <v>0</v>
      </c>
      <c r="AD122" s="37">
        <f>SUMIFS('📋 Транзакції'!$F$5:$F$3623,'📋 Транзакції'!$B$5:$B$3623,A122,'📋 Транзакції'!$C$5:$C$3623,"&gt;="&amp;EDATE(DATEVALUE(C122&amp;"-01"),11),'📋 Транзакції'!$C$5:$C$3623,"&lt;"&amp;EDATE(DATEVALUE(C122&amp;"-01"),12))</f>
        <v>39.98</v>
      </c>
    </row>
    <row r="123" ht="15.75" customHeight="1">
      <c r="A123" s="33" t="str">
        <f>'📋 Реєстрації'!A123:A724</f>
        <v>U0645</v>
      </c>
      <c r="B123" s="34">
        <f t="array" ref="B123">INDEX('📋 Транзакції'!$C$5:$C$3623,MATCH(A123,'📋 Транзакції'!$B$5:$B$3623,0))</f>
        <v>45411</v>
      </c>
      <c r="C123" s="35" t="str">
        <f t="shared" si="1"/>
        <v>2024-04</v>
      </c>
      <c r="D123" s="36">
        <f>COUNTIF('📋 Транзакції'!$B$5:$B$3623,A123)</f>
        <v>6</v>
      </c>
      <c r="E123" s="36">
        <f>SUMIF('📋 Транзакції'!$B$5:$B$3623,A123,'📋 Транзакції'!$F$5:$F$3623)</f>
        <v>99.95</v>
      </c>
      <c r="F123" s="35">
        <f>INT($A$1-MAXIFS('📋 Транзакції'!$C$5:$C$3623,'📋 Транзакції'!$B$5:$B$3623,A123))</f>
        <v>209</v>
      </c>
      <c r="G123" s="37">
        <f>IF(COUNTIFS('📋 Транзакції'!$B$5:$B$3623,A123,'📋 Транзакції'!$C$5:$C$3623,"&gt;="&amp;EDATE(DATEVALUE(C123&amp;"-01"),0),'📋 Транзакції'!$C$5:$C$3623,"&lt;"&amp;EDATE(DATEVALUE(C123&amp;"-01"),1))&gt;0,1,0)</f>
        <v>1</v>
      </c>
      <c r="H123" s="37">
        <f>IF(COUNTIFS('📋 Транзакції'!$B$5:$B$3623,A123,'📋 Транзакції'!$C$5:$C$3623,"&gt;="&amp;EDATE(DATEVALUE(C123&amp;"-01"),1),'📋 Транзакції'!$C$5:$C$3623,"&lt;"&amp;EDATE(DATEVALUE(C123&amp;"-01"),2))&gt;0,1,0)</f>
        <v>1</v>
      </c>
      <c r="I123" s="37">
        <f>IF(COUNTIFS('📋 Транзакції'!$B$5:$B$3623,A123,'📋 Транзакції'!$C$5:$C$3623,"&gt;="&amp;EDATE(DATEVALUE(C123&amp;"-01"),2),'📋 Транзакції'!$C$5:$C$3623,"&lt;"&amp;EDATE(DATEVALUE(C123&amp;"-01"),3))&gt;0,1,0)</f>
        <v>1</v>
      </c>
      <c r="J123" s="37">
        <f>IF(COUNTIFS('📋 Транзакції'!$B$5:$B$3623,A123,'📋 Транзакції'!$C$5:$C$3623,"&gt;="&amp;EDATE(DATEVALUE(C123&amp;"-01"),3),'📋 Транзакції'!$C$5:$C$3623,"&lt;"&amp;EDATE(DATEVALUE(C123&amp;"-01"),4))&gt;0,1,0)</f>
        <v>1</v>
      </c>
      <c r="K123" s="37">
        <f>IF(COUNTIFS('📋 Транзакції'!$B$5:$B$3623,A123,'📋 Транзакції'!$C$5:$C$3623,"&gt;="&amp;EDATE(DATEVALUE(C123&amp;"-01"),4),'📋 Транзакції'!$C$5:$C$3623,"&lt;"&amp;EDATE(DATEVALUE(C123&amp;"-01"),5))&gt;0,1,0)</f>
        <v>1</v>
      </c>
      <c r="L123" s="37">
        <f>IF(COUNTIFS('📋 Транзакції'!$B$5:$B$3623,A123,'📋 Транзакції'!$C$5:$C$3623,"&gt;="&amp;EDATE(DATEVALUE(C123&amp;"-01"),5),'📋 Транзакції'!$C$5:$C$3623,"&lt;"&amp;EDATE(DATEVALUE(C123&amp;"-01"),6))&gt;0,1,0)</f>
        <v>1</v>
      </c>
      <c r="M123" s="37">
        <f>IF(COUNTIFS('📋 Транзакції'!$B$5:$B$3623,A123,'📋 Транзакції'!$C$5:$C$3623,"&gt;="&amp;EDATE(DATEVALUE(C123&amp;"-01"),6),'📋 Транзакції'!$C$5:$C$3623,"&lt;"&amp;EDATE(DATEVALUE(C123&amp;"-01"),7))&gt;0,1,0)</f>
        <v>0</v>
      </c>
      <c r="N123" s="37">
        <f>IF(COUNTIFS('📋 Транзакції'!$B$5:$B$3623,A123,'📋 Транзакції'!$C$5:$C$3623,"&gt;="&amp;EDATE(DATEVALUE(C123&amp;"-01"),7),'📋 Транзакції'!$C$5:$C$3623,"&lt;"&amp;EDATE(DATEVALUE(C123&amp;"-01"),8))&gt;0,1,0)</f>
        <v>0</v>
      </c>
      <c r="O123" s="37">
        <f>IF(COUNTIFS('📋 Транзакції'!$B$5:$B$3623,A123,'📋 Транзакції'!$C$5:$C$3623,"&gt;="&amp;EDATE(DATEVALUE(C123&amp;"-01"),8),'📋 Транзакції'!$C$5:$C$3623,"&lt;"&amp;EDATE(DATEVALUE(C123&amp;"-01"),9))&gt;0,1,0)</f>
        <v>0</v>
      </c>
      <c r="P123" s="37">
        <f>IF(COUNTIFS('📋 Транзакції'!$B$5:$B$3623,A123,'📋 Транзакції'!$C$5:$C$3623,"&gt;="&amp;EDATE(DATEVALUE(C123&amp;"-01"),9),'📋 Транзакції'!$C$5:$C$3623,"&lt;"&amp;EDATE(DATEVALUE(C123&amp;"-01"),10))&gt;0,1,0)</f>
        <v>0</v>
      </c>
      <c r="Q123" s="37">
        <f>IF(COUNTIFS('📋 Транзакції'!$B$5:$B$3623,A123,'📋 Транзакції'!$C$5:$C$3623,"&gt;="&amp;EDATE(DATEVALUE(C123&amp;"-01"),10),'📋 Транзакції'!$C$5:$C$3623,"&lt;"&amp;EDATE(DATEVALUE(C123&amp;"-01"),11))&gt;0,1,0)</f>
        <v>0</v>
      </c>
      <c r="R123" s="37">
        <f>IF(COUNTIFS('📋 Транзакції'!$B$5:$B$3623,A123,'📋 Транзакції'!$C$5:$C$3623,"&gt;="&amp;EDATE(DATEVALUE(C123&amp;"-01"),11),'📋 Транзакції'!$C$5:$C$3623,"&lt;"&amp;EDATE(DATEVALUE(C123&amp;"-01"),12))&gt;0,1,0)</f>
        <v>0</v>
      </c>
      <c r="S123" s="37">
        <f>SUMIFS('📋 Транзакції'!$F$5:$F$3623,'📋 Транзакції'!$B$5:$B$3623,A123,'📋 Транзакції'!$C$5:$C$3623,"&gt;="&amp;EDATE(DATEVALUE(C123&amp;"-01"),0),'📋 Транзакції'!$C$5:$C$3623,"&lt;"&amp;EDATE(DATEVALUE(C123&amp;"-01"),1))</f>
        <v>0</v>
      </c>
      <c r="T123" s="37">
        <f>SUMIFS('📋 Транзакції'!$F$5:$F$3623,'📋 Транзакції'!$B$5:$B$3623,A123,'📋 Транзакції'!$C$5:$C$3623,"&gt;="&amp;EDATE(DATEVALUE(C123&amp;"-01"),1),'📋 Транзакції'!$C$5:$C$3623,"&lt;"&amp;EDATE(DATEVALUE(C123&amp;"-01"),2))</f>
        <v>19.99</v>
      </c>
      <c r="U123" s="37">
        <f>SUMIFS('📋 Транзакції'!$F$5:$F$3623,'📋 Транзакції'!$B$5:$B$3623,A123,'📋 Транзакції'!$C$5:$C$3623,"&gt;="&amp;EDATE(DATEVALUE(C123&amp;"-01"),2),'📋 Транзакції'!$C$5:$C$3623,"&lt;"&amp;EDATE(DATEVALUE(C123&amp;"-01"),3))</f>
        <v>19.99</v>
      </c>
      <c r="V123" s="37">
        <f>SUMIFS('📋 Транзакції'!$F$5:$F$3623,'📋 Транзакції'!$B$5:$B$3623,A123,'📋 Транзакції'!$C$5:$C$3623,"&gt;="&amp;EDATE(DATEVALUE(C123&amp;"-01"),3),'📋 Транзакції'!$C$5:$C$3623,"&lt;"&amp;EDATE(DATEVALUE(C123&amp;"-01"),4))</f>
        <v>19.99</v>
      </c>
      <c r="W123" s="37">
        <f>SUMIFS('📋 Транзакції'!$F$5:$F$3623,'📋 Транзакції'!$B$5:$B$3623,A123,'📋 Транзакції'!$C$5:$C$3623,"&gt;="&amp;EDATE(DATEVALUE(C123&amp;"-01"),4),'📋 Транзакції'!$C$5:$C$3623,"&lt;"&amp;EDATE(DATEVALUE(C123&amp;"-01"),5))</f>
        <v>19.99</v>
      </c>
      <c r="X123" s="37">
        <f>SUMIFS('📋 Транзакції'!$F$5:$F$3623,'📋 Транзакції'!$B$5:$B$3623,A123,'📋 Транзакції'!$C$5:$C$3623,"&gt;="&amp;EDATE(DATEVALUE(C123&amp;"-01"),5),'📋 Транзакції'!$C$5:$C$3623,"&lt;"&amp;EDATE(DATEVALUE(C123&amp;"-01"),6))</f>
        <v>19.99</v>
      </c>
      <c r="Y123" s="37">
        <f>SUMIFS('📋 Транзакції'!$F$5:$F$3623,'📋 Транзакції'!$B$5:$B$3623,A123,'📋 Транзакції'!$C$5:$C$3623,"&gt;="&amp;EDATE(DATEVALUE(C123&amp;"-01"),6),'📋 Транзакції'!$C$5:$C$3623,"&lt;"&amp;EDATE(DATEVALUE(C123&amp;"-01"),7))</f>
        <v>0</v>
      </c>
      <c r="Z123" s="37">
        <f>SUMIFS('📋 Транзакції'!$F$5:$F$3623,'📋 Транзакції'!$B$5:$B$3623,A123,'📋 Транзакції'!$C$5:$C$3623,"&gt;="&amp;EDATE(DATEVALUE(C123&amp;"-01"),7),'📋 Транзакції'!$C$5:$C$3623,"&lt;"&amp;EDATE(DATEVALUE(C123&amp;"-01"),8))</f>
        <v>0</v>
      </c>
      <c r="AA123" s="37">
        <f>SUMIFS('📋 Транзакції'!$F$5:$F$3623,'📋 Транзакції'!$B$5:$B$3623,A123,'📋 Транзакції'!$C$5:$C$3623,"&gt;="&amp;EDATE(DATEVALUE(C123&amp;"-01"),8),'📋 Транзакції'!$C$5:$C$3623,"&lt;"&amp;EDATE(DATEVALUE(C123&amp;"-01"),9))</f>
        <v>0</v>
      </c>
      <c r="AB123" s="37">
        <f>SUMIFS('📋 Транзакції'!$F$5:$F$3623,'📋 Транзакції'!$B$5:$B$3623,A123,'📋 Транзакції'!$C$5:$C$3623,"&gt;="&amp;EDATE(DATEVALUE(C123&amp;"-01"),9),'📋 Транзакції'!$C$5:$C$3623,"&lt;"&amp;EDATE(DATEVALUE(C123&amp;"-01"),10))</f>
        <v>0</v>
      </c>
      <c r="AC123" s="37">
        <f>SUMIFS('📋 Транзакції'!$F$5:$F$3623,'📋 Транзакції'!$B$5:$B$3623,A123,'📋 Транзакції'!$C$5:$C$3623,"&gt;="&amp;EDATE(DATEVALUE(C123&amp;"-01"),10),'📋 Транзакції'!$C$5:$C$3623,"&lt;"&amp;EDATE(DATEVALUE(C123&amp;"-01"),11))</f>
        <v>0</v>
      </c>
      <c r="AD123" s="37">
        <f>SUMIFS('📋 Транзакції'!$F$5:$F$3623,'📋 Транзакції'!$B$5:$B$3623,A123,'📋 Транзакції'!$C$5:$C$3623,"&gt;="&amp;EDATE(DATEVALUE(C123&amp;"-01"),11),'📋 Транзакції'!$C$5:$C$3623,"&lt;"&amp;EDATE(DATEVALUE(C123&amp;"-01"),12))</f>
        <v>0</v>
      </c>
    </row>
    <row r="124" ht="15.75" customHeight="1">
      <c r="A124" s="33" t="str">
        <f>'📋 Реєстрації'!A124:A725</f>
        <v>U0006</v>
      </c>
      <c r="B124" s="34">
        <f t="array" ref="B124">INDEX('📋 Транзакції'!$C$5:$C$3623,MATCH(A124,'📋 Транзакції'!$B$5:$B$3623,0))</f>
        <v>45412</v>
      </c>
      <c r="C124" s="35" t="str">
        <f t="shared" si="1"/>
        <v>2024-04</v>
      </c>
      <c r="D124" s="36">
        <f>COUNTIF('📋 Транзакції'!$B$5:$B$3623,A124)</f>
        <v>8</v>
      </c>
      <c r="E124" s="36">
        <f>SUMIF('📋 Транзакції'!$B$5:$B$3623,A124,'📋 Транзакції'!$F$5:$F$3623)</f>
        <v>139.93</v>
      </c>
      <c r="F124" s="35">
        <f>INT($A$1-MAXIFS('📋 Транзакції'!$C$5:$C$3623,'📋 Транзакції'!$B$5:$B$3623,A124))</f>
        <v>148</v>
      </c>
      <c r="G124" s="37">
        <f>IF(COUNTIFS('📋 Транзакції'!$B$5:$B$3623,A124,'📋 Транзакції'!$C$5:$C$3623,"&gt;="&amp;EDATE(DATEVALUE(C124&amp;"-01"),0),'📋 Транзакції'!$C$5:$C$3623,"&lt;"&amp;EDATE(DATEVALUE(C124&amp;"-01"),1))&gt;0,1,0)</f>
        <v>1</v>
      </c>
      <c r="H124" s="37">
        <f>IF(COUNTIFS('📋 Транзакції'!$B$5:$B$3623,A124,'📋 Транзакції'!$C$5:$C$3623,"&gt;="&amp;EDATE(DATEVALUE(C124&amp;"-01"),1),'📋 Транзакції'!$C$5:$C$3623,"&lt;"&amp;EDATE(DATEVALUE(C124&amp;"-01"),2))&gt;0,1,0)</f>
        <v>1</v>
      </c>
      <c r="I124" s="37">
        <f>IF(COUNTIFS('📋 Транзакції'!$B$5:$B$3623,A124,'📋 Транзакції'!$C$5:$C$3623,"&gt;="&amp;EDATE(DATEVALUE(C124&amp;"-01"),2),'📋 Транзакції'!$C$5:$C$3623,"&lt;"&amp;EDATE(DATEVALUE(C124&amp;"-01"),3))&gt;0,1,0)</f>
        <v>1</v>
      </c>
      <c r="J124" s="37">
        <f>IF(COUNTIFS('📋 Транзакції'!$B$5:$B$3623,A124,'📋 Транзакції'!$C$5:$C$3623,"&gt;="&amp;EDATE(DATEVALUE(C124&amp;"-01"),3),'📋 Транзакції'!$C$5:$C$3623,"&lt;"&amp;EDATE(DATEVALUE(C124&amp;"-01"),4))&gt;0,1,0)</f>
        <v>1</v>
      </c>
      <c r="K124" s="37">
        <f>IF(COUNTIFS('📋 Транзакції'!$B$5:$B$3623,A124,'📋 Транзакції'!$C$5:$C$3623,"&gt;="&amp;EDATE(DATEVALUE(C124&amp;"-01"),4),'📋 Транзакції'!$C$5:$C$3623,"&lt;"&amp;EDATE(DATEVALUE(C124&amp;"-01"),5))&gt;0,1,0)</f>
        <v>1</v>
      </c>
      <c r="L124" s="37">
        <f>IF(COUNTIFS('📋 Транзакції'!$B$5:$B$3623,A124,'📋 Транзакції'!$C$5:$C$3623,"&gt;="&amp;EDATE(DATEVALUE(C124&amp;"-01"),5),'📋 Транзакції'!$C$5:$C$3623,"&lt;"&amp;EDATE(DATEVALUE(C124&amp;"-01"),6))&gt;0,1,0)</f>
        <v>1</v>
      </c>
      <c r="M124" s="37">
        <f>IF(COUNTIFS('📋 Транзакції'!$B$5:$B$3623,A124,'📋 Транзакції'!$C$5:$C$3623,"&gt;="&amp;EDATE(DATEVALUE(C124&amp;"-01"),6),'📋 Транзакції'!$C$5:$C$3623,"&lt;"&amp;EDATE(DATEVALUE(C124&amp;"-01"),7))&gt;0,1,0)</f>
        <v>1</v>
      </c>
      <c r="N124" s="37">
        <f>IF(COUNTIFS('📋 Транзакції'!$B$5:$B$3623,A124,'📋 Транзакції'!$C$5:$C$3623,"&gt;="&amp;EDATE(DATEVALUE(C124&amp;"-01"),7),'📋 Транзакції'!$C$5:$C$3623,"&lt;"&amp;EDATE(DATEVALUE(C124&amp;"-01"),8))&gt;0,1,0)</f>
        <v>1</v>
      </c>
      <c r="O124" s="37">
        <f>IF(COUNTIFS('📋 Транзакції'!$B$5:$B$3623,A124,'📋 Транзакції'!$C$5:$C$3623,"&gt;="&amp;EDATE(DATEVALUE(C124&amp;"-01"),8),'📋 Транзакції'!$C$5:$C$3623,"&lt;"&amp;EDATE(DATEVALUE(C124&amp;"-01"),9))&gt;0,1,0)</f>
        <v>0</v>
      </c>
      <c r="P124" s="37">
        <f>IF(COUNTIFS('📋 Транзакції'!$B$5:$B$3623,A124,'📋 Транзакції'!$C$5:$C$3623,"&gt;="&amp;EDATE(DATEVALUE(C124&amp;"-01"),9),'📋 Транзакції'!$C$5:$C$3623,"&lt;"&amp;EDATE(DATEVALUE(C124&amp;"-01"),10))&gt;0,1,0)</f>
        <v>0</v>
      </c>
      <c r="Q124" s="37">
        <f>IF(COUNTIFS('📋 Транзакції'!$B$5:$B$3623,A124,'📋 Транзакції'!$C$5:$C$3623,"&gt;="&amp;EDATE(DATEVALUE(C124&amp;"-01"),10),'📋 Транзакції'!$C$5:$C$3623,"&lt;"&amp;EDATE(DATEVALUE(C124&amp;"-01"),11))&gt;0,1,0)</f>
        <v>0</v>
      </c>
      <c r="R124" s="37">
        <f>IF(COUNTIFS('📋 Транзакції'!$B$5:$B$3623,A124,'📋 Транзакції'!$C$5:$C$3623,"&gt;="&amp;EDATE(DATEVALUE(C124&amp;"-01"),11),'📋 Транзакції'!$C$5:$C$3623,"&lt;"&amp;EDATE(DATEVALUE(C124&amp;"-01"),12))&gt;0,1,0)</f>
        <v>0</v>
      </c>
      <c r="S124" s="37">
        <f>SUMIFS('📋 Транзакції'!$F$5:$F$3623,'📋 Транзакції'!$B$5:$B$3623,A124,'📋 Транзакції'!$C$5:$C$3623,"&gt;="&amp;EDATE(DATEVALUE(C124&amp;"-01"),0),'📋 Транзакції'!$C$5:$C$3623,"&lt;"&amp;EDATE(DATEVALUE(C124&amp;"-01"),1))</f>
        <v>0</v>
      </c>
      <c r="T124" s="37">
        <f>SUMIFS('📋 Транзакції'!$F$5:$F$3623,'📋 Транзакції'!$B$5:$B$3623,A124,'📋 Транзакції'!$C$5:$C$3623,"&gt;="&amp;EDATE(DATEVALUE(C124&amp;"-01"),1),'📋 Транзакції'!$C$5:$C$3623,"&lt;"&amp;EDATE(DATEVALUE(C124&amp;"-01"),2))</f>
        <v>19.99</v>
      </c>
      <c r="U124" s="37">
        <f>SUMIFS('📋 Транзакції'!$F$5:$F$3623,'📋 Транзакції'!$B$5:$B$3623,A124,'📋 Транзакції'!$C$5:$C$3623,"&gt;="&amp;EDATE(DATEVALUE(C124&amp;"-01"),2),'📋 Транзакції'!$C$5:$C$3623,"&lt;"&amp;EDATE(DATEVALUE(C124&amp;"-01"),3))</f>
        <v>19.99</v>
      </c>
      <c r="V124" s="37">
        <f>SUMIFS('📋 Транзакції'!$F$5:$F$3623,'📋 Транзакції'!$B$5:$B$3623,A124,'📋 Транзакції'!$C$5:$C$3623,"&gt;="&amp;EDATE(DATEVALUE(C124&amp;"-01"),3),'📋 Транзакції'!$C$5:$C$3623,"&lt;"&amp;EDATE(DATEVALUE(C124&amp;"-01"),4))</f>
        <v>19.99</v>
      </c>
      <c r="W124" s="37">
        <f>SUMIFS('📋 Транзакції'!$F$5:$F$3623,'📋 Транзакції'!$B$5:$B$3623,A124,'📋 Транзакції'!$C$5:$C$3623,"&gt;="&amp;EDATE(DATEVALUE(C124&amp;"-01"),4),'📋 Транзакції'!$C$5:$C$3623,"&lt;"&amp;EDATE(DATEVALUE(C124&amp;"-01"),5))</f>
        <v>19.99</v>
      </c>
      <c r="X124" s="37">
        <f>SUMIFS('📋 Транзакції'!$F$5:$F$3623,'📋 Транзакції'!$B$5:$B$3623,A124,'📋 Транзакції'!$C$5:$C$3623,"&gt;="&amp;EDATE(DATEVALUE(C124&amp;"-01"),5),'📋 Транзакції'!$C$5:$C$3623,"&lt;"&amp;EDATE(DATEVALUE(C124&amp;"-01"),6))</f>
        <v>19.99</v>
      </c>
      <c r="Y124" s="37">
        <f>SUMIFS('📋 Транзакції'!$F$5:$F$3623,'📋 Транзакції'!$B$5:$B$3623,A124,'📋 Транзакції'!$C$5:$C$3623,"&gt;="&amp;EDATE(DATEVALUE(C124&amp;"-01"),6),'📋 Транзакції'!$C$5:$C$3623,"&lt;"&amp;EDATE(DATEVALUE(C124&amp;"-01"),7))</f>
        <v>19.99</v>
      </c>
      <c r="Z124" s="37">
        <f>SUMIFS('📋 Транзакції'!$F$5:$F$3623,'📋 Транзакції'!$B$5:$B$3623,A124,'📋 Транзакції'!$C$5:$C$3623,"&gt;="&amp;EDATE(DATEVALUE(C124&amp;"-01"),7),'📋 Транзакції'!$C$5:$C$3623,"&lt;"&amp;EDATE(DATEVALUE(C124&amp;"-01"),8))</f>
        <v>19.99</v>
      </c>
      <c r="AA124" s="37">
        <f>SUMIFS('📋 Транзакції'!$F$5:$F$3623,'📋 Транзакції'!$B$5:$B$3623,A124,'📋 Транзакції'!$C$5:$C$3623,"&gt;="&amp;EDATE(DATEVALUE(C124&amp;"-01"),8),'📋 Транзакції'!$C$5:$C$3623,"&lt;"&amp;EDATE(DATEVALUE(C124&amp;"-01"),9))</f>
        <v>0</v>
      </c>
      <c r="AB124" s="37">
        <f>SUMIFS('📋 Транзакції'!$F$5:$F$3623,'📋 Транзакції'!$B$5:$B$3623,A124,'📋 Транзакції'!$C$5:$C$3623,"&gt;="&amp;EDATE(DATEVALUE(C124&amp;"-01"),9),'📋 Транзакції'!$C$5:$C$3623,"&lt;"&amp;EDATE(DATEVALUE(C124&amp;"-01"),10))</f>
        <v>0</v>
      </c>
      <c r="AC124" s="37">
        <f>SUMIFS('📋 Транзакції'!$F$5:$F$3623,'📋 Транзакції'!$B$5:$B$3623,A124,'📋 Транзакції'!$C$5:$C$3623,"&gt;="&amp;EDATE(DATEVALUE(C124&amp;"-01"),10),'📋 Транзакції'!$C$5:$C$3623,"&lt;"&amp;EDATE(DATEVALUE(C124&amp;"-01"),11))</f>
        <v>0</v>
      </c>
      <c r="AD124" s="37">
        <f>SUMIFS('📋 Транзакції'!$F$5:$F$3623,'📋 Транзакції'!$B$5:$B$3623,A124,'📋 Транзакції'!$C$5:$C$3623,"&gt;="&amp;EDATE(DATEVALUE(C124&amp;"-01"),11),'📋 Транзакції'!$C$5:$C$3623,"&lt;"&amp;EDATE(DATEVALUE(C124&amp;"-01"),12))</f>
        <v>0</v>
      </c>
    </row>
    <row r="125" ht="15.75" customHeight="1">
      <c r="A125" s="33" t="str">
        <f>'📋 Реєстрації'!A125:A726</f>
        <v>U0235</v>
      </c>
      <c r="B125" s="34">
        <f t="array" ref="B125">INDEX('📋 Транзакції'!$C$5:$C$3623,MATCH(A125,'📋 Транзакції'!$B$5:$B$3623,0))</f>
        <v>45413</v>
      </c>
      <c r="C125" s="35" t="str">
        <f t="shared" si="1"/>
        <v>2024-05</v>
      </c>
      <c r="D125" s="36">
        <f>COUNTIF('📋 Транзакції'!$B$5:$B$3623,A125)</f>
        <v>2</v>
      </c>
      <c r="E125" s="36">
        <f>SUMIF('📋 Транзакції'!$B$5:$B$3623,A125,'📋 Транзакції'!$F$5:$F$3623)</f>
        <v>19.99</v>
      </c>
      <c r="F125" s="35">
        <f>INT($A$1-MAXIFS('📋 Транзакції'!$C$5:$C$3623,'📋 Транзакції'!$B$5:$B$3623,A125))</f>
        <v>327</v>
      </c>
      <c r="G125" s="37">
        <f>IF(COUNTIFS('📋 Транзакції'!$B$5:$B$3623,A125,'📋 Транзакції'!$C$5:$C$3623,"&gt;="&amp;EDATE(DATEVALUE(C125&amp;"-01"),0),'📋 Транзакції'!$C$5:$C$3623,"&lt;"&amp;EDATE(DATEVALUE(C125&amp;"-01"),1))&gt;0,1,0)</f>
        <v>1</v>
      </c>
      <c r="H125" s="37">
        <f>IF(COUNTIFS('📋 Транзакції'!$B$5:$B$3623,A125,'📋 Транзакції'!$C$5:$C$3623,"&gt;="&amp;EDATE(DATEVALUE(C125&amp;"-01"),1),'📋 Транзакції'!$C$5:$C$3623,"&lt;"&amp;EDATE(DATEVALUE(C125&amp;"-01"),2))&gt;0,1,0)</f>
        <v>0</v>
      </c>
      <c r="I125" s="37">
        <f>IF(COUNTIFS('📋 Транзакції'!$B$5:$B$3623,A125,'📋 Транзакції'!$C$5:$C$3623,"&gt;="&amp;EDATE(DATEVALUE(C125&amp;"-01"),2),'📋 Транзакції'!$C$5:$C$3623,"&lt;"&amp;EDATE(DATEVALUE(C125&amp;"-01"),3))&gt;0,1,0)</f>
        <v>0</v>
      </c>
      <c r="J125" s="37">
        <f>IF(COUNTIFS('📋 Транзакції'!$B$5:$B$3623,A125,'📋 Транзакції'!$C$5:$C$3623,"&gt;="&amp;EDATE(DATEVALUE(C125&amp;"-01"),3),'📋 Транзакції'!$C$5:$C$3623,"&lt;"&amp;EDATE(DATEVALUE(C125&amp;"-01"),4))&gt;0,1,0)</f>
        <v>0</v>
      </c>
      <c r="K125" s="37">
        <f>IF(COUNTIFS('📋 Транзакції'!$B$5:$B$3623,A125,'📋 Транзакції'!$C$5:$C$3623,"&gt;="&amp;EDATE(DATEVALUE(C125&amp;"-01"),4),'📋 Транзакції'!$C$5:$C$3623,"&lt;"&amp;EDATE(DATEVALUE(C125&amp;"-01"),5))&gt;0,1,0)</f>
        <v>0</v>
      </c>
      <c r="L125" s="37">
        <f>IF(COUNTIFS('📋 Транзакції'!$B$5:$B$3623,A125,'📋 Транзакції'!$C$5:$C$3623,"&gt;="&amp;EDATE(DATEVALUE(C125&amp;"-01"),5),'📋 Транзакції'!$C$5:$C$3623,"&lt;"&amp;EDATE(DATEVALUE(C125&amp;"-01"),6))&gt;0,1,0)</f>
        <v>0</v>
      </c>
      <c r="M125" s="37">
        <f>IF(COUNTIFS('📋 Транзакції'!$B$5:$B$3623,A125,'📋 Транзакції'!$C$5:$C$3623,"&gt;="&amp;EDATE(DATEVALUE(C125&amp;"-01"),6),'📋 Транзакції'!$C$5:$C$3623,"&lt;"&amp;EDATE(DATEVALUE(C125&amp;"-01"),7))&gt;0,1,0)</f>
        <v>0</v>
      </c>
      <c r="N125" s="37">
        <f>IF(COUNTIFS('📋 Транзакції'!$B$5:$B$3623,A125,'📋 Транзакції'!$C$5:$C$3623,"&gt;="&amp;EDATE(DATEVALUE(C125&amp;"-01"),7),'📋 Транзакції'!$C$5:$C$3623,"&lt;"&amp;EDATE(DATEVALUE(C125&amp;"-01"),8))&gt;0,1,0)</f>
        <v>0</v>
      </c>
      <c r="O125" s="37">
        <f>IF(COUNTIFS('📋 Транзакції'!$B$5:$B$3623,A125,'📋 Транзакції'!$C$5:$C$3623,"&gt;="&amp;EDATE(DATEVALUE(C125&amp;"-01"),8),'📋 Транзакції'!$C$5:$C$3623,"&lt;"&amp;EDATE(DATEVALUE(C125&amp;"-01"),9))&gt;0,1,0)</f>
        <v>0</v>
      </c>
      <c r="P125" s="37">
        <f>IF(COUNTIFS('📋 Транзакції'!$B$5:$B$3623,A125,'📋 Транзакції'!$C$5:$C$3623,"&gt;="&amp;EDATE(DATEVALUE(C125&amp;"-01"),9),'📋 Транзакції'!$C$5:$C$3623,"&lt;"&amp;EDATE(DATEVALUE(C125&amp;"-01"),10))&gt;0,1,0)</f>
        <v>0</v>
      </c>
      <c r="Q125" s="37">
        <f>IF(COUNTIFS('📋 Транзакції'!$B$5:$B$3623,A125,'📋 Транзакції'!$C$5:$C$3623,"&gt;="&amp;EDATE(DATEVALUE(C125&amp;"-01"),10),'📋 Транзакції'!$C$5:$C$3623,"&lt;"&amp;EDATE(DATEVALUE(C125&amp;"-01"),11))&gt;0,1,0)</f>
        <v>0</v>
      </c>
      <c r="R125" s="37">
        <f>IF(COUNTIFS('📋 Транзакції'!$B$5:$B$3623,A125,'📋 Транзакції'!$C$5:$C$3623,"&gt;="&amp;EDATE(DATEVALUE(C125&amp;"-01"),11),'📋 Транзакції'!$C$5:$C$3623,"&lt;"&amp;EDATE(DATEVALUE(C125&amp;"-01"),12))&gt;0,1,0)</f>
        <v>0</v>
      </c>
      <c r="S125" s="37">
        <f>SUMIFS('📋 Транзакції'!$F$5:$F$3623,'📋 Транзакції'!$B$5:$B$3623,A125,'📋 Транзакції'!$C$5:$C$3623,"&gt;="&amp;EDATE(DATEVALUE(C125&amp;"-01"),0),'📋 Транзакції'!$C$5:$C$3623,"&lt;"&amp;EDATE(DATEVALUE(C125&amp;"-01"),1))</f>
        <v>19.99</v>
      </c>
      <c r="T125" s="37">
        <f>SUMIFS('📋 Транзакції'!$F$5:$F$3623,'📋 Транзакції'!$B$5:$B$3623,A125,'📋 Транзакції'!$C$5:$C$3623,"&gt;="&amp;EDATE(DATEVALUE(C125&amp;"-01"),1),'📋 Транзакції'!$C$5:$C$3623,"&lt;"&amp;EDATE(DATEVALUE(C125&amp;"-01"),2))</f>
        <v>0</v>
      </c>
      <c r="U125" s="37">
        <f>SUMIFS('📋 Транзакції'!$F$5:$F$3623,'📋 Транзакції'!$B$5:$B$3623,A125,'📋 Транзакції'!$C$5:$C$3623,"&gt;="&amp;EDATE(DATEVALUE(C125&amp;"-01"),2),'📋 Транзакції'!$C$5:$C$3623,"&lt;"&amp;EDATE(DATEVALUE(C125&amp;"-01"),3))</f>
        <v>0</v>
      </c>
      <c r="V125" s="37">
        <f>SUMIFS('📋 Транзакції'!$F$5:$F$3623,'📋 Транзакції'!$B$5:$B$3623,A125,'📋 Транзакції'!$C$5:$C$3623,"&gt;="&amp;EDATE(DATEVALUE(C125&amp;"-01"),3),'📋 Транзакції'!$C$5:$C$3623,"&lt;"&amp;EDATE(DATEVALUE(C125&amp;"-01"),4))</f>
        <v>0</v>
      </c>
      <c r="W125" s="37">
        <f>SUMIFS('📋 Транзакції'!$F$5:$F$3623,'📋 Транзакції'!$B$5:$B$3623,A125,'📋 Транзакції'!$C$5:$C$3623,"&gt;="&amp;EDATE(DATEVALUE(C125&amp;"-01"),4),'📋 Транзакції'!$C$5:$C$3623,"&lt;"&amp;EDATE(DATEVALUE(C125&amp;"-01"),5))</f>
        <v>0</v>
      </c>
      <c r="X125" s="37">
        <f>SUMIFS('📋 Транзакції'!$F$5:$F$3623,'📋 Транзакції'!$B$5:$B$3623,A125,'📋 Транзакції'!$C$5:$C$3623,"&gt;="&amp;EDATE(DATEVALUE(C125&amp;"-01"),5),'📋 Транзакції'!$C$5:$C$3623,"&lt;"&amp;EDATE(DATEVALUE(C125&amp;"-01"),6))</f>
        <v>0</v>
      </c>
      <c r="Y125" s="37">
        <f>SUMIFS('📋 Транзакції'!$F$5:$F$3623,'📋 Транзакції'!$B$5:$B$3623,A125,'📋 Транзакції'!$C$5:$C$3623,"&gt;="&amp;EDATE(DATEVALUE(C125&amp;"-01"),6),'📋 Транзакції'!$C$5:$C$3623,"&lt;"&amp;EDATE(DATEVALUE(C125&amp;"-01"),7))</f>
        <v>0</v>
      </c>
      <c r="Z125" s="37">
        <f>SUMIFS('📋 Транзакції'!$F$5:$F$3623,'📋 Транзакції'!$B$5:$B$3623,A125,'📋 Транзакції'!$C$5:$C$3623,"&gt;="&amp;EDATE(DATEVALUE(C125&amp;"-01"),7),'📋 Транзакції'!$C$5:$C$3623,"&lt;"&amp;EDATE(DATEVALUE(C125&amp;"-01"),8))</f>
        <v>0</v>
      </c>
      <c r="AA125" s="37">
        <f>SUMIFS('📋 Транзакції'!$F$5:$F$3623,'📋 Транзакції'!$B$5:$B$3623,A125,'📋 Транзакції'!$C$5:$C$3623,"&gt;="&amp;EDATE(DATEVALUE(C125&amp;"-01"),8),'📋 Транзакції'!$C$5:$C$3623,"&lt;"&amp;EDATE(DATEVALUE(C125&amp;"-01"),9))</f>
        <v>0</v>
      </c>
      <c r="AB125" s="37">
        <f>SUMIFS('📋 Транзакції'!$F$5:$F$3623,'📋 Транзакції'!$B$5:$B$3623,A125,'📋 Транзакції'!$C$5:$C$3623,"&gt;="&amp;EDATE(DATEVALUE(C125&amp;"-01"),9),'📋 Транзакції'!$C$5:$C$3623,"&lt;"&amp;EDATE(DATEVALUE(C125&amp;"-01"),10))</f>
        <v>0</v>
      </c>
      <c r="AC125" s="37">
        <f>SUMIFS('📋 Транзакції'!$F$5:$F$3623,'📋 Транзакції'!$B$5:$B$3623,A125,'📋 Транзакції'!$C$5:$C$3623,"&gt;="&amp;EDATE(DATEVALUE(C125&amp;"-01"),10),'📋 Транзакції'!$C$5:$C$3623,"&lt;"&amp;EDATE(DATEVALUE(C125&amp;"-01"),11))</f>
        <v>0</v>
      </c>
      <c r="AD125" s="37">
        <f>SUMIFS('📋 Транзакції'!$F$5:$F$3623,'📋 Транзакції'!$B$5:$B$3623,A125,'📋 Транзакції'!$C$5:$C$3623,"&gt;="&amp;EDATE(DATEVALUE(C125&amp;"-01"),11),'📋 Транзакції'!$C$5:$C$3623,"&lt;"&amp;EDATE(DATEVALUE(C125&amp;"-01"),12))</f>
        <v>0</v>
      </c>
    </row>
    <row r="126" ht="15.75" customHeight="1">
      <c r="A126" s="33" t="str">
        <f>'📋 Реєстрації'!A126:A727</f>
        <v>U0690</v>
      </c>
      <c r="B126" s="34">
        <f t="array" ref="B126">INDEX('📋 Транзакції'!$C$5:$C$3623,MATCH(A126,'📋 Транзакції'!$B$5:$B$3623,0))</f>
        <v>45413</v>
      </c>
      <c r="C126" s="35" t="str">
        <f t="shared" si="1"/>
        <v>2024-05</v>
      </c>
      <c r="D126" s="36">
        <f>COUNTIF('📋 Транзакції'!$B$5:$B$3623,A126)</f>
        <v>2</v>
      </c>
      <c r="E126" s="36">
        <f>SUMIF('📋 Транзакції'!$B$5:$B$3623,A126,'📋 Транзакції'!$F$5:$F$3623)</f>
        <v>19.99</v>
      </c>
      <c r="F126" s="35">
        <f>INT($A$1-MAXIFS('📋 Транзакції'!$C$5:$C$3623,'📋 Транзакції'!$B$5:$B$3623,A126))</f>
        <v>327</v>
      </c>
      <c r="G126" s="37">
        <f>IF(COUNTIFS('📋 Транзакції'!$B$5:$B$3623,A126,'📋 Транзакції'!$C$5:$C$3623,"&gt;="&amp;EDATE(DATEVALUE(C126&amp;"-01"),0),'📋 Транзакції'!$C$5:$C$3623,"&lt;"&amp;EDATE(DATEVALUE(C126&amp;"-01"),1))&gt;0,1,0)</f>
        <v>1</v>
      </c>
      <c r="H126" s="37">
        <f>IF(COUNTIFS('📋 Транзакції'!$B$5:$B$3623,A126,'📋 Транзакції'!$C$5:$C$3623,"&gt;="&amp;EDATE(DATEVALUE(C126&amp;"-01"),1),'📋 Транзакції'!$C$5:$C$3623,"&lt;"&amp;EDATE(DATEVALUE(C126&amp;"-01"),2))&gt;0,1,0)</f>
        <v>0</v>
      </c>
      <c r="I126" s="37">
        <f>IF(COUNTIFS('📋 Транзакції'!$B$5:$B$3623,A126,'📋 Транзакції'!$C$5:$C$3623,"&gt;="&amp;EDATE(DATEVALUE(C126&amp;"-01"),2),'📋 Транзакції'!$C$5:$C$3623,"&lt;"&amp;EDATE(DATEVALUE(C126&amp;"-01"),3))&gt;0,1,0)</f>
        <v>0</v>
      </c>
      <c r="J126" s="37">
        <f>IF(COUNTIFS('📋 Транзакції'!$B$5:$B$3623,A126,'📋 Транзакції'!$C$5:$C$3623,"&gt;="&amp;EDATE(DATEVALUE(C126&amp;"-01"),3),'📋 Транзакції'!$C$5:$C$3623,"&lt;"&amp;EDATE(DATEVALUE(C126&amp;"-01"),4))&gt;0,1,0)</f>
        <v>0</v>
      </c>
      <c r="K126" s="37">
        <f>IF(COUNTIFS('📋 Транзакції'!$B$5:$B$3623,A126,'📋 Транзакції'!$C$5:$C$3623,"&gt;="&amp;EDATE(DATEVALUE(C126&amp;"-01"),4),'📋 Транзакції'!$C$5:$C$3623,"&lt;"&amp;EDATE(DATEVALUE(C126&amp;"-01"),5))&gt;0,1,0)</f>
        <v>0</v>
      </c>
      <c r="L126" s="37">
        <f>IF(COUNTIFS('📋 Транзакції'!$B$5:$B$3623,A126,'📋 Транзакції'!$C$5:$C$3623,"&gt;="&amp;EDATE(DATEVALUE(C126&amp;"-01"),5),'📋 Транзакції'!$C$5:$C$3623,"&lt;"&amp;EDATE(DATEVALUE(C126&amp;"-01"),6))&gt;0,1,0)</f>
        <v>0</v>
      </c>
      <c r="M126" s="37">
        <f>IF(COUNTIFS('📋 Транзакції'!$B$5:$B$3623,A126,'📋 Транзакції'!$C$5:$C$3623,"&gt;="&amp;EDATE(DATEVALUE(C126&amp;"-01"),6),'📋 Транзакції'!$C$5:$C$3623,"&lt;"&amp;EDATE(DATEVALUE(C126&amp;"-01"),7))&gt;0,1,0)</f>
        <v>0</v>
      </c>
      <c r="N126" s="37">
        <f>IF(COUNTIFS('📋 Транзакції'!$B$5:$B$3623,A126,'📋 Транзакції'!$C$5:$C$3623,"&gt;="&amp;EDATE(DATEVALUE(C126&amp;"-01"),7),'📋 Транзакції'!$C$5:$C$3623,"&lt;"&amp;EDATE(DATEVALUE(C126&amp;"-01"),8))&gt;0,1,0)</f>
        <v>0</v>
      </c>
      <c r="O126" s="37">
        <f>IF(COUNTIFS('📋 Транзакції'!$B$5:$B$3623,A126,'📋 Транзакції'!$C$5:$C$3623,"&gt;="&amp;EDATE(DATEVALUE(C126&amp;"-01"),8),'📋 Транзакції'!$C$5:$C$3623,"&lt;"&amp;EDATE(DATEVALUE(C126&amp;"-01"),9))&gt;0,1,0)</f>
        <v>0</v>
      </c>
      <c r="P126" s="37">
        <f>IF(COUNTIFS('📋 Транзакції'!$B$5:$B$3623,A126,'📋 Транзакції'!$C$5:$C$3623,"&gt;="&amp;EDATE(DATEVALUE(C126&amp;"-01"),9),'📋 Транзакції'!$C$5:$C$3623,"&lt;"&amp;EDATE(DATEVALUE(C126&amp;"-01"),10))&gt;0,1,0)</f>
        <v>0</v>
      </c>
      <c r="Q126" s="37">
        <f>IF(COUNTIFS('📋 Транзакції'!$B$5:$B$3623,A126,'📋 Транзакції'!$C$5:$C$3623,"&gt;="&amp;EDATE(DATEVALUE(C126&amp;"-01"),10),'📋 Транзакції'!$C$5:$C$3623,"&lt;"&amp;EDATE(DATEVALUE(C126&amp;"-01"),11))&gt;0,1,0)</f>
        <v>0</v>
      </c>
      <c r="R126" s="37">
        <f>IF(COUNTIFS('📋 Транзакції'!$B$5:$B$3623,A126,'📋 Транзакції'!$C$5:$C$3623,"&gt;="&amp;EDATE(DATEVALUE(C126&amp;"-01"),11),'📋 Транзакції'!$C$5:$C$3623,"&lt;"&amp;EDATE(DATEVALUE(C126&amp;"-01"),12))&gt;0,1,0)</f>
        <v>0</v>
      </c>
      <c r="S126" s="37">
        <f>SUMIFS('📋 Транзакції'!$F$5:$F$3623,'📋 Транзакції'!$B$5:$B$3623,A126,'📋 Транзакції'!$C$5:$C$3623,"&gt;="&amp;EDATE(DATEVALUE(C126&amp;"-01"),0),'📋 Транзакції'!$C$5:$C$3623,"&lt;"&amp;EDATE(DATEVALUE(C126&amp;"-01"),1))</f>
        <v>19.99</v>
      </c>
      <c r="T126" s="37">
        <f>SUMIFS('📋 Транзакції'!$F$5:$F$3623,'📋 Транзакції'!$B$5:$B$3623,A126,'📋 Транзакції'!$C$5:$C$3623,"&gt;="&amp;EDATE(DATEVALUE(C126&amp;"-01"),1),'📋 Транзакції'!$C$5:$C$3623,"&lt;"&amp;EDATE(DATEVALUE(C126&amp;"-01"),2))</f>
        <v>0</v>
      </c>
      <c r="U126" s="37">
        <f>SUMIFS('📋 Транзакції'!$F$5:$F$3623,'📋 Транзакції'!$B$5:$B$3623,A126,'📋 Транзакції'!$C$5:$C$3623,"&gt;="&amp;EDATE(DATEVALUE(C126&amp;"-01"),2),'📋 Транзакції'!$C$5:$C$3623,"&lt;"&amp;EDATE(DATEVALUE(C126&amp;"-01"),3))</f>
        <v>0</v>
      </c>
      <c r="V126" s="37">
        <f>SUMIFS('📋 Транзакції'!$F$5:$F$3623,'📋 Транзакції'!$B$5:$B$3623,A126,'📋 Транзакції'!$C$5:$C$3623,"&gt;="&amp;EDATE(DATEVALUE(C126&amp;"-01"),3),'📋 Транзакції'!$C$5:$C$3623,"&lt;"&amp;EDATE(DATEVALUE(C126&amp;"-01"),4))</f>
        <v>0</v>
      </c>
      <c r="W126" s="37">
        <f>SUMIFS('📋 Транзакції'!$F$5:$F$3623,'📋 Транзакції'!$B$5:$B$3623,A126,'📋 Транзакції'!$C$5:$C$3623,"&gt;="&amp;EDATE(DATEVALUE(C126&amp;"-01"),4),'📋 Транзакції'!$C$5:$C$3623,"&lt;"&amp;EDATE(DATEVALUE(C126&amp;"-01"),5))</f>
        <v>0</v>
      </c>
      <c r="X126" s="37">
        <f>SUMIFS('📋 Транзакції'!$F$5:$F$3623,'📋 Транзакції'!$B$5:$B$3623,A126,'📋 Транзакції'!$C$5:$C$3623,"&gt;="&amp;EDATE(DATEVALUE(C126&amp;"-01"),5),'📋 Транзакції'!$C$5:$C$3623,"&lt;"&amp;EDATE(DATEVALUE(C126&amp;"-01"),6))</f>
        <v>0</v>
      </c>
      <c r="Y126" s="37">
        <f>SUMIFS('📋 Транзакції'!$F$5:$F$3623,'📋 Транзакції'!$B$5:$B$3623,A126,'📋 Транзакції'!$C$5:$C$3623,"&gt;="&amp;EDATE(DATEVALUE(C126&amp;"-01"),6),'📋 Транзакції'!$C$5:$C$3623,"&lt;"&amp;EDATE(DATEVALUE(C126&amp;"-01"),7))</f>
        <v>0</v>
      </c>
      <c r="Z126" s="37">
        <f>SUMIFS('📋 Транзакції'!$F$5:$F$3623,'📋 Транзакції'!$B$5:$B$3623,A126,'📋 Транзакції'!$C$5:$C$3623,"&gt;="&amp;EDATE(DATEVALUE(C126&amp;"-01"),7),'📋 Транзакції'!$C$5:$C$3623,"&lt;"&amp;EDATE(DATEVALUE(C126&amp;"-01"),8))</f>
        <v>0</v>
      </c>
      <c r="AA126" s="37">
        <f>SUMIFS('📋 Транзакції'!$F$5:$F$3623,'📋 Транзакції'!$B$5:$B$3623,A126,'📋 Транзакції'!$C$5:$C$3623,"&gt;="&amp;EDATE(DATEVALUE(C126&amp;"-01"),8),'📋 Транзакції'!$C$5:$C$3623,"&lt;"&amp;EDATE(DATEVALUE(C126&amp;"-01"),9))</f>
        <v>0</v>
      </c>
      <c r="AB126" s="37">
        <f>SUMIFS('📋 Транзакції'!$F$5:$F$3623,'📋 Транзакції'!$B$5:$B$3623,A126,'📋 Транзакції'!$C$5:$C$3623,"&gt;="&amp;EDATE(DATEVALUE(C126&amp;"-01"),9),'📋 Транзакції'!$C$5:$C$3623,"&lt;"&amp;EDATE(DATEVALUE(C126&amp;"-01"),10))</f>
        <v>0</v>
      </c>
      <c r="AC126" s="37">
        <f>SUMIFS('📋 Транзакції'!$F$5:$F$3623,'📋 Транзакції'!$B$5:$B$3623,A126,'📋 Транзакції'!$C$5:$C$3623,"&gt;="&amp;EDATE(DATEVALUE(C126&amp;"-01"),10),'📋 Транзакції'!$C$5:$C$3623,"&lt;"&amp;EDATE(DATEVALUE(C126&amp;"-01"),11))</f>
        <v>0</v>
      </c>
      <c r="AD126" s="37">
        <f>SUMIFS('📋 Транзакції'!$F$5:$F$3623,'📋 Транзакції'!$B$5:$B$3623,A126,'📋 Транзакції'!$C$5:$C$3623,"&gt;="&amp;EDATE(DATEVALUE(C126&amp;"-01"),11),'📋 Транзакції'!$C$5:$C$3623,"&lt;"&amp;EDATE(DATEVALUE(C126&amp;"-01"),12))</f>
        <v>0</v>
      </c>
    </row>
    <row r="127" ht="15.75" customHeight="1">
      <c r="A127" s="33" t="str">
        <f>'📋 Реєстрації'!A127:A728</f>
        <v>U0168</v>
      </c>
      <c r="B127" s="34">
        <f t="array" ref="B127">INDEX('📋 Транзакції'!$C$5:$C$3623,MATCH(A127,'📋 Транзакції'!$B$5:$B$3623,0))</f>
        <v>45415</v>
      </c>
      <c r="C127" s="35" t="str">
        <f t="shared" si="1"/>
        <v>2024-05</v>
      </c>
      <c r="D127" s="36">
        <f>COUNTIF('📋 Транзакції'!$B$5:$B$3623,A127)</f>
        <v>12</v>
      </c>
      <c r="E127" s="36">
        <f>SUMIF('📋 Транзакції'!$B$5:$B$3623,A127,'📋 Транзакції'!$F$5:$F$3623)</f>
        <v>219.89</v>
      </c>
      <c r="F127" s="35">
        <f>INT($A$1-MAXIFS('📋 Транзакції'!$C$5:$C$3623,'📋 Транзакції'!$B$5:$B$3623,A127))</f>
        <v>25</v>
      </c>
      <c r="G127" s="37">
        <f>IF(COUNTIFS('📋 Транзакції'!$B$5:$B$3623,A127,'📋 Транзакції'!$C$5:$C$3623,"&gt;="&amp;EDATE(DATEVALUE(C127&amp;"-01"),0),'📋 Транзакції'!$C$5:$C$3623,"&lt;"&amp;EDATE(DATEVALUE(C127&amp;"-01"),1))&gt;0,1,0)</f>
        <v>1</v>
      </c>
      <c r="H127" s="37">
        <f>IF(COUNTIFS('📋 Транзакції'!$B$5:$B$3623,A127,'📋 Транзакції'!$C$5:$C$3623,"&gt;="&amp;EDATE(DATEVALUE(C127&amp;"-01"),1),'📋 Транзакції'!$C$5:$C$3623,"&lt;"&amp;EDATE(DATEVALUE(C127&amp;"-01"),2))&gt;0,1,0)</f>
        <v>1</v>
      </c>
      <c r="I127" s="37">
        <f>IF(COUNTIFS('📋 Транзакції'!$B$5:$B$3623,A127,'📋 Транзакції'!$C$5:$C$3623,"&gt;="&amp;EDATE(DATEVALUE(C127&amp;"-01"),2),'📋 Транзакції'!$C$5:$C$3623,"&lt;"&amp;EDATE(DATEVALUE(C127&amp;"-01"),3))&gt;0,1,0)</f>
        <v>1</v>
      </c>
      <c r="J127" s="37">
        <f>IF(COUNTIFS('📋 Транзакції'!$B$5:$B$3623,A127,'📋 Транзакції'!$C$5:$C$3623,"&gt;="&amp;EDATE(DATEVALUE(C127&amp;"-01"),3),'📋 Транзакції'!$C$5:$C$3623,"&lt;"&amp;EDATE(DATEVALUE(C127&amp;"-01"),4))&gt;0,1,0)</f>
        <v>1</v>
      </c>
      <c r="K127" s="37">
        <f>IF(COUNTIFS('📋 Транзакції'!$B$5:$B$3623,A127,'📋 Транзакції'!$C$5:$C$3623,"&gt;="&amp;EDATE(DATEVALUE(C127&amp;"-01"),4),'📋 Транзакції'!$C$5:$C$3623,"&lt;"&amp;EDATE(DATEVALUE(C127&amp;"-01"),5))&gt;0,1,0)</f>
        <v>1</v>
      </c>
      <c r="L127" s="37">
        <f>IF(COUNTIFS('📋 Транзакції'!$B$5:$B$3623,A127,'📋 Транзакції'!$C$5:$C$3623,"&gt;="&amp;EDATE(DATEVALUE(C127&amp;"-01"),5),'📋 Транзакції'!$C$5:$C$3623,"&lt;"&amp;EDATE(DATEVALUE(C127&amp;"-01"),6))&gt;0,1,0)</f>
        <v>1</v>
      </c>
      <c r="M127" s="37">
        <f>IF(COUNTIFS('📋 Транзакції'!$B$5:$B$3623,A127,'📋 Транзакції'!$C$5:$C$3623,"&gt;="&amp;EDATE(DATEVALUE(C127&amp;"-01"),6),'📋 Транзакції'!$C$5:$C$3623,"&lt;"&amp;EDATE(DATEVALUE(C127&amp;"-01"),7))&gt;0,1,0)</f>
        <v>1</v>
      </c>
      <c r="N127" s="37">
        <f>IF(COUNTIFS('📋 Транзакції'!$B$5:$B$3623,A127,'📋 Транзакції'!$C$5:$C$3623,"&gt;="&amp;EDATE(DATEVALUE(C127&amp;"-01"),7),'📋 Транзакції'!$C$5:$C$3623,"&lt;"&amp;EDATE(DATEVALUE(C127&amp;"-01"),8))&gt;0,1,0)</f>
        <v>1</v>
      </c>
      <c r="O127" s="37">
        <f>IF(COUNTIFS('📋 Транзакції'!$B$5:$B$3623,A127,'📋 Транзакції'!$C$5:$C$3623,"&gt;="&amp;EDATE(DATEVALUE(C127&amp;"-01"),8),'📋 Транзакції'!$C$5:$C$3623,"&lt;"&amp;EDATE(DATEVALUE(C127&amp;"-01"),9))&gt;0,1,0)</f>
        <v>1</v>
      </c>
      <c r="P127" s="37">
        <f>IF(COUNTIFS('📋 Транзакції'!$B$5:$B$3623,A127,'📋 Транзакції'!$C$5:$C$3623,"&gt;="&amp;EDATE(DATEVALUE(C127&amp;"-01"),9),'📋 Транзакції'!$C$5:$C$3623,"&lt;"&amp;EDATE(DATEVALUE(C127&amp;"-01"),10))&gt;0,1,0)</f>
        <v>1</v>
      </c>
      <c r="Q127" s="37">
        <f>IF(COUNTIFS('📋 Транзакції'!$B$5:$B$3623,A127,'📋 Транзакції'!$C$5:$C$3623,"&gt;="&amp;EDATE(DATEVALUE(C127&amp;"-01"),10),'📋 Транзакції'!$C$5:$C$3623,"&lt;"&amp;EDATE(DATEVALUE(C127&amp;"-01"),11))&gt;0,1,0)</f>
        <v>1</v>
      </c>
      <c r="R127" s="37">
        <f>IF(COUNTIFS('📋 Транзакції'!$B$5:$B$3623,A127,'📋 Транзакції'!$C$5:$C$3623,"&gt;="&amp;EDATE(DATEVALUE(C127&amp;"-01"),11),'📋 Транзакції'!$C$5:$C$3623,"&lt;"&amp;EDATE(DATEVALUE(C127&amp;"-01"),12))&gt;0,1,0)</f>
        <v>0</v>
      </c>
      <c r="S127" s="37">
        <f>SUMIFS('📋 Транзакції'!$F$5:$F$3623,'📋 Транзакції'!$B$5:$B$3623,A127,'📋 Транзакції'!$C$5:$C$3623,"&gt;="&amp;EDATE(DATEVALUE(C127&amp;"-01"),0),'📋 Транзакції'!$C$5:$C$3623,"&lt;"&amp;EDATE(DATEVALUE(C127&amp;"-01"),1))</f>
        <v>19.99</v>
      </c>
      <c r="T127" s="37">
        <f>SUMIFS('📋 Транзакції'!$F$5:$F$3623,'📋 Транзакції'!$B$5:$B$3623,A127,'📋 Транзакції'!$C$5:$C$3623,"&gt;="&amp;EDATE(DATEVALUE(C127&amp;"-01"),1),'📋 Транзакції'!$C$5:$C$3623,"&lt;"&amp;EDATE(DATEVALUE(C127&amp;"-01"),2))</f>
        <v>19.99</v>
      </c>
      <c r="U127" s="37">
        <f>SUMIFS('📋 Транзакції'!$F$5:$F$3623,'📋 Транзакції'!$B$5:$B$3623,A127,'📋 Транзакції'!$C$5:$C$3623,"&gt;="&amp;EDATE(DATEVALUE(C127&amp;"-01"),2),'📋 Транзакції'!$C$5:$C$3623,"&lt;"&amp;EDATE(DATEVALUE(C127&amp;"-01"),3))</f>
        <v>19.99</v>
      </c>
      <c r="V127" s="37">
        <f>SUMIFS('📋 Транзакції'!$F$5:$F$3623,'📋 Транзакції'!$B$5:$B$3623,A127,'📋 Транзакції'!$C$5:$C$3623,"&gt;="&amp;EDATE(DATEVALUE(C127&amp;"-01"),3),'📋 Транзакції'!$C$5:$C$3623,"&lt;"&amp;EDATE(DATEVALUE(C127&amp;"-01"),4))</f>
        <v>19.99</v>
      </c>
      <c r="W127" s="37">
        <f>SUMIFS('📋 Транзакції'!$F$5:$F$3623,'📋 Транзакції'!$B$5:$B$3623,A127,'📋 Транзакції'!$C$5:$C$3623,"&gt;="&amp;EDATE(DATEVALUE(C127&amp;"-01"),4),'📋 Транзакції'!$C$5:$C$3623,"&lt;"&amp;EDATE(DATEVALUE(C127&amp;"-01"),5))</f>
        <v>19.99</v>
      </c>
      <c r="X127" s="37">
        <f>SUMIFS('📋 Транзакції'!$F$5:$F$3623,'📋 Транзакції'!$B$5:$B$3623,A127,'📋 Транзакції'!$C$5:$C$3623,"&gt;="&amp;EDATE(DATEVALUE(C127&amp;"-01"),5),'📋 Транзакції'!$C$5:$C$3623,"&lt;"&amp;EDATE(DATEVALUE(C127&amp;"-01"),6))</f>
        <v>19.99</v>
      </c>
      <c r="Y127" s="37">
        <f>SUMIFS('📋 Транзакції'!$F$5:$F$3623,'📋 Транзакції'!$B$5:$B$3623,A127,'📋 Транзакції'!$C$5:$C$3623,"&gt;="&amp;EDATE(DATEVALUE(C127&amp;"-01"),6),'📋 Транзакції'!$C$5:$C$3623,"&lt;"&amp;EDATE(DATEVALUE(C127&amp;"-01"),7))</f>
        <v>19.99</v>
      </c>
      <c r="Z127" s="37">
        <f>SUMIFS('📋 Транзакції'!$F$5:$F$3623,'📋 Транзакції'!$B$5:$B$3623,A127,'📋 Транзакції'!$C$5:$C$3623,"&gt;="&amp;EDATE(DATEVALUE(C127&amp;"-01"),7),'📋 Транзакції'!$C$5:$C$3623,"&lt;"&amp;EDATE(DATEVALUE(C127&amp;"-01"),8))</f>
        <v>19.99</v>
      </c>
      <c r="AA127" s="37">
        <f>SUMIFS('📋 Транзакції'!$F$5:$F$3623,'📋 Транзакції'!$B$5:$B$3623,A127,'📋 Транзакції'!$C$5:$C$3623,"&gt;="&amp;EDATE(DATEVALUE(C127&amp;"-01"),8),'📋 Транзакції'!$C$5:$C$3623,"&lt;"&amp;EDATE(DATEVALUE(C127&amp;"-01"),9))</f>
        <v>19.99</v>
      </c>
      <c r="AB127" s="37">
        <f>SUMIFS('📋 Транзакції'!$F$5:$F$3623,'📋 Транзакції'!$B$5:$B$3623,A127,'📋 Транзакції'!$C$5:$C$3623,"&gt;="&amp;EDATE(DATEVALUE(C127&amp;"-01"),9),'📋 Транзакції'!$C$5:$C$3623,"&lt;"&amp;EDATE(DATEVALUE(C127&amp;"-01"),10))</f>
        <v>19.99</v>
      </c>
      <c r="AC127" s="37">
        <f>SUMIFS('📋 Транзакції'!$F$5:$F$3623,'📋 Транзакції'!$B$5:$B$3623,A127,'📋 Транзакції'!$C$5:$C$3623,"&gt;="&amp;EDATE(DATEVALUE(C127&amp;"-01"),10),'📋 Транзакції'!$C$5:$C$3623,"&lt;"&amp;EDATE(DATEVALUE(C127&amp;"-01"),11))</f>
        <v>19.99</v>
      </c>
      <c r="AD127" s="37">
        <f>SUMIFS('📋 Транзакції'!$F$5:$F$3623,'📋 Транзакції'!$B$5:$B$3623,A127,'📋 Транзакції'!$C$5:$C$3623,"&gt;="&amp;EDATE(DATEVALUE(C127&amp;"-01"),11),'📋 Транзакції'!$C$5:$C$3623,"&lt;"&amp;EDATE(DATEVALUE(C127&amp;"-01"),12))</f>
        <v>0</v>
      </c>
    </row>
    <row r="128" ht="15.75" customHeight="1">
      <c r="A128" s="33" t="str">
        <f>'📋 Реєстрації'!A128:A729</f>
        <v>U0607</v>
      </c>
      <c r="B128" s="34">
        <f t="array" ref="B128">INDEX('📋 Транзакції'!$C$5:$C$3623,MATCH(A128,'📋 Транзакції'!$B$5:$B$3623,0))</f>
        <v>45415</v>
      </c>
      <c r="C128" s="35" t="str">
        <f t="shared" si="1"/>
        <v>2024-05</v>
      </c>
      <c r="D128" s="36">
        <f>COUNTIF('📋 Транзакції'!$B$5:$B$3623,A128)</f>
        <v>12</v>
      </c>
      <c r="E128" s="36">
        <f>SUMIF('📋 Транзакції'!$B$5:$B$3623,A128,'📋 Транзакції'!$F$5:$F$3623)</f>
        <v>219.89</v>
      </c>
      <c r="F128" s="35">
        <f>INT($A$1-MAXIFS('📋 Транзакції'!$C$5:$C$3623,'📋 Транзакції'!$B$5:$B$3623,A128))</f>
        <v>25</v>
      </c>
      <c r="G128" s="37">
        <f>IF(COUNTIFS('📋 Транзакції'!$B$5:$B$3623,A128,'📋 Транзакції'!$C$5:$C$3623,"&gt;="&amp;EDATE(DATEVALUE(C128&amp;"-01"),0),'📋 Транзакції'!$C$5:$C$3623,"&lt;"&amp;EDATE(DATEVALUE(C128&amp;"-01"),1))&gt;0,1,0)</f>
        <v>1</v>
      </c>
      <c r="H128" s="37">
        <f>IF(COUNTIFS('📋 Транзакції'!$B$5:$B$3623,A128,'📋 Транзакції'!$C$5:$C$3623,"&gt;="&amp;EDATE(DATEVALUE(C128&amp;"-01"),1),'📋 Транзакції'!$C$5:$C$3623,"&lt;"&amp;EDATE(DATEVALUE(C128&amp;"-01"),2))&gt;0,1,0)</f>
        <v>1</v>
      </c>
      <c r="I128" s="37">
        <f>IF(COUNTIFS('📋 Транзакції'!$B$5:$B$3623,A128,'📋 Транзакції'!$C$5:$C$3623,"&gt;="&amp;EDATE(DATEVALUE(C128&amp;"-01"),2),'📋 Транзакції'!$C$5:$C$3623,"&lt;"&amp;EDATE(DATEVALUE(C128&amp;"-01"),3))&gt;0,1,0)</f>
        <v>1</v>
      </c>
      <c r="J128" s="37">
        <f>IF(COUNTIFS('📋 Транзакції'!$B$5:$B$3623,A128,'📋 Транзакції'!$C$5:$C$3623,"&gt;="&amp;EDATE(DATEVALUE(C128&amp;"-01"),3),'📋 Транзакції'!$C$5:$C$3623,"&lt;"&amp;EDATE(DATEVALUE(C128&amp;"-01"),4))&gt;0,1,0)</f>
        <v>1</v>
      </c>
      <c r="K128" s="37">
        <f>IF(COUNTIFS('📋 Транзакції'!$B$5:$B$3623,A128,'📋 Транзакції'!$C$5:$C$3623,"&gt;="&amp;EDATE(DATEVALUE(C128&amp;"-01"),4),'📋 Транзакції'!$C$5:$C$3623,"&lt;"&amp;EDATE(DATEVALUE(C128&amp;"-01"),5))&gt;0,1,0)</f>
        <v>1</v>
      </c>
      <c r="L128" s="37">
        <f>IF(COUNTIFS('📋 Транзакції'!$B$5:$B$3623,A128,'📋 Транзакції'!$C$5:$C$3623,"&gt;="&amp;EDATE(DATEVALUE(C128&amp;"-01"),5),'📋 Транзакції'!$C$5:$C$3623,"&lt;"&amp;EDATE(DATEVALUE(C128&amp;"-01"),6))&gt;0,1,0)</f>
        <v>1</v>
      </c>
      <c r="M128" s="37">
        <f>IF(COUNTIFS('📋 Транзакції'!$B$5:$B$3623,A128,'📋 Транзакції'!$C$5:$C$3623,"&gt;="&amp;EDATE(DATEVALUE(C128&amp;"-01"),6),'📋 Транзакції'!$C$5:$C$3623,"&lt;"&amp;EDATE(DATEVALUE(C128&amp;"-01"),7))&gt;0,1,0)</f>
        <v>1</v>
      </c>
      <c r="N128" s="37">
        <f>IF(COUNTIFS('📋 Транзакції'!$B$5:$B$3623,A128,'📋 Транзакції'!$C$5:$C$3623,"&gt;="&amp;EDATE(DATEVALUE(C128&amp;"-01"),7),'📋 Транзакції'!$C$5:$C$3623,"&lt;"&amp;EDATE(DATEVALUE(C128&amp;"-01"),8))&gt;0,1,0)</f>
        <v>1</v>
      </c>
      <c r="O128" s="37">
        <f>IF(COUNTIFS('📋 Транзакції'!$B$5:$B$3623,A128,'📋 Транзакції'!$C$5:$C$3623,"&gt;="&amp;EDATE(DATEVALUE(C128&amp;"-01"),8),'📋 Транзакції'!$C$5:$C$3623,"&lt;"&amp;EDATE(DATEVALUE(C128&amp;"-01"),9))&gt;0,1,0)</f>
        <v>1</v>
      </c>
      <c r="P128" s="37">
        <f>IF(COUNTIFS('📋 Транзакції'!$B$5:$B$3623,A128,'📋 Транзакції'!$C$5:$C$3623,"&gt;="&amp;EDATE(DATEVALUE(C128&amp;"-01"),9),'📋 Транзакції'!$C$5:$C$3623,"&lt;"&amp;EDATE(DATEVALUE(C128&amp;"-01"),10))&gt;0,1,0)</f>
        <v>1</v>
      </c>
      <c r="Q128" s="37">
        <f>IF(COUNTIFS('📋 Транзакції'!$B$5:$B$3623,A128,'📋 Транзакції'!$C$5:$C$3623,"&gt;="&amp;EDATE(DATEVALUE(C128&amp;"-01"),10),'📋 Транзакції'!$C$5:$C$3623,"&lt;"&amp;EDATE(DATEVALUE(C128&amp;"-01"),11))&gt;0,1,0)</f>
        <v>1</v>
      </c>
      <c r="R128" s="37">
        <f>IF(COUNTIFS('📋 Транзакції'!$B$5:$B$3623,A128,'📋 Транзакції'!$C$5:$C$3623,"&gt;="&amp;EDATE(DATEVALUE(C128&amp;"-01"),11),'📋 Транзакції'!$C$5:$C$3623,"&lt;"&amp;EDATE(DATEVALUE(C128&amp;"-01"),12))&gt;0,1,0)</f>
        <v>0</v>
      </c>
      <c r="S128" s="37">
        <f>SUMIFS('📋 Транзакції'!$F$5:$F$3623,'📋 Транзакції'!$B$5:$B$3623,A128,'📋 Транзакції'!$C$5:$C$3623,"&gt;="&amp;EDATE(DATEVALUE(C128&amp;"-01"),0),'📋 Транзакції'!$C$5:$C$3623,"&lt;"&amp;EDATE(DATEVALUE(C128&amp;"-01"),1))</f>
        <v>19.99</v>
      </c>
      <c r="T128" s="37">
        <f>SUMIFS('📋 Транзакції'!$F$5:$F$3623,'📋 Транзакції'!$B$5:$B$3623,A128,'📋 Транзакції'!$C$5:$C$3623,"&gt;="&amp;EDATE(DATEVALUE(C128&amp;"-01"),1),'📋 Транзакції'!$C$5:$C$3623,"&lt;"&amp;EDATE(DATEVALUE(C128&amp;"-01"),2))</f>
        <v>19.99</v>
      </c>
      <c r="U128" s="37">
        <f>SUMIFS('📋 Транзакції'!$F$5:$F$3623,'📋 Транзакції'!$B$5:$B$3623,A128,'📋 Транзакції'!$C$5:$C$3623,"&gt;="&amp;EDATE(DATEVALUE(C128&amp;"-01"),2),'📋 Транзакції'!$C$5:$C$3623,"&lt;"&amp;EDATE(DATEVALUE(C128&amp;"-01"),3))</f>
        <v>19.99</v>
      </c>
      <c r="V128" s="37">
        <f>SUMIFS('📋 Транзакції'!$F$5:$F$3623,'📋 Транзакції'!$B$5:$B$3623,A128,'📋 Транзакції'!$C$5:$C$3623,"&gt;="&amp;EDATE(DATEVALUE(C128&amp;"-01"),3),'📋 Транзакції'!$C$5:$C$3623,"&lt;"&amp;EDATE(DATEVALUE(C128&amp;"-01"),4))</f>
        <v>19.99</v>
      </c>
      <c r="W128" s="37">
        <f>SUMIFS('📋 Транзакції'!$F$5:$F$3623,'📋 Транзакції'!$B$5:$B$3623,A128,'📋 Транзакції'!$C$5:$C$3623,"&gt;="&amp;EDATE(DATEVALUE(C128&amp;"-01"),4),'📋 Транзакції'!$C$5:$C$3623,"&lt;"&amp;EDATE(DATEVALUE(C128&amp;"-01"),5))</f>
        <v>19.99</v>
      </c>
      <c r="X128" s="37">
        <f>SUMIFS('📋 Транзакції'!$F$5:$F$3623,'📋 Транзакції'!$B$5:$B$3623,A128,'📋 Транзакції'!$C$5:$C$3623,"&gt;="&amp;EDATE(DATEVALUE(C128&amp;"-01"),5),'📋 Транзакції'!$C$5:$C$3623,"&lt;"&amp;EDATE(DATEVALUE(C128&amp;"-01"),6))</f>
        <v>19.99</v>
      </c>
      <c r="Y128" s="37">
        <f>SUMIFS('📋 Транзакції'!$F$5:$F$3623,'📋 Транзакції'!$B$5:$B$3623,A128,'📋 Транзакції'!$C$5:$C$3623,"&gt;="&amp;EDATE(DATEVALUE(C128&amp;"-01"),6),'📋 Транзакції'!$C$5:$C$3623,"&lt;"&amp;EDATE(DATEVALUE(C128&amp;"-01"),7))</f>
        <v>19.99</v>
      </c>
      <c r="Z128" s="37">
        <f>SUMIFS('📋 Транзакції'!$F$5:$F$3623,'📋 Транзакції'!$B$5:$B$3623,A128,'📋 Транзакції'!$C$5:$C$3623,"&gt;="&amp;EDATE(DATEVALUE(C128&amp;"-01"),7),'📋 Транзакції'!$C$5:$C$3623,"&lt;"&amp;EDATE(DATEVALUE(C128&amp;"-01"),8))</f>
        <v>19.99</v>
      </c>
      <c r="AA128" s="37">
        <f>SUMIFS('📋 Транзакції'!$F$5:$F$3623,'📋 Транзакції'!$B$5:$B$3623,A128,'📋 Транзакції'!$C$5:$C$3623,"&gt;="&amp;EDATE(DATEVALUE(C128&amp;"-01"),8),'📋 Транзакції'!$C$5:$C$3623,"&lt;"&amp;EDATE(DATEVALUE(C128&amp;"-01"),9))</f>
        <v>19.99</v>
      </c>
      <c r="AB128" s="37">
        <f>SUMIFS('📋 Транзакції'!$F$5:$F$3623,'📋 Транзакції'!$B$5:$B$3623,A128,'📋 Транзакції'!$C$5:$C$3623,"&gt;="&amp;EDATE(DATEVALUE(C128&amp;"-01"),9),'📋 Транзакції'!$C$5:$C$3623,"&lt;"&amp;EDATE(DATEVALUE(C128&amp;"-01"),10))</f>
        <v>19.99</v>
      </c>
      <c r="AC128" s="37">
        <f>SUMIFS('📋 Транзакції'!$F$5:$F$3623,'📋 Транзакції'!$B$5:$B$3623,A128,'📋 Транзакції'!$C$5:$C$3623,"&gt;="&amp;EDATE(DATEVALUE(C128&amp;"-01"),10),'📋 Транзакції'!$C$5:$C$3623,"&lt;"&amp;EDATE(DATEVALUE(C128&amp;"-01"),11))</f>
        <v>19.99</v>
      </c>
      <c r="AD128" s="37">
        <f>SUMIFS('📋 Транзакції'!$F$5:$F$3623,'📋 Транзакції'!$B$5:$B$3623,A128,'📋 Транзакції'!$C$5:$C$3623,"&gt;="&amp;EDATE(DATEVALUE(C128&amp;"-01"),11),'📋 Транзакції'!$C$5:$C$3623,"&lt;"&amp;EDATE(DATEVALUE(C128&amp;"-01"),12))</f>
        <v>0</v>
      </c>
    </row>
    <row r="129" ht="15.75" customHeight="1">
      <c r="A129" s="33" t="str">
        <f>'📋 Реєстрації'!A129:A730</f>
        <v>U0896</v>
      </c>
      <c r="B129" s="34">
        <f t="array" ref="B129">INDEX('📋 Транзакції'!$C$5:$C$3623,MATCH(A129,'📋 Транзакції'!$B$5:$B$3623,0))</f>
        <v>45417</v>
      </c>
      <c r="C129" s="35" t="str">
        <f t="shared" si="1"/>
        <v>2024-05</v>
      </c>
      <c r="D129" s="36">
        <f>COUNTIF('📋 Транзакції'!$B$5:$B$3623,A129)</f>
        <v>3</v>
      </c>
      <c r="E129" s="36">
        <f>SUMIF('📋 Транзакції'!$B$5:$B$3623,A129,'📋 Транзакції'!$F$5:$F$3623)</f>
        <v>39.98</v>
      </c>
      <c r="F129" s="35">
        <f>INT($A$1-MAXIFS('📋 Транзакції'!$C$5:$C$3623,'📋 Транзакції'!$B$5:$B$3623,A129))</f>
        <v>293</v>
      </c>
      <c r="G129" s="37">
        <f>IF(COUNTIFS('📋 Транзакції'!$B$5:$B$3623,A129,'📋 Транзакції'!$C$5:$C$3623,"&gt;="&amp;EDATE(DATEVALUE(C129&amp;"-01"),0),'📋 Транзакції'!$C$5:$C$3623,"&lt;"&amp;EDATE(DATEVALUE(C129&amp;"-01"),1))&gt;0,1,0)</f>
        <v>1</v>
      </c>
      <c r="H129" s="37">
        <f>IF(COUNTIFS('📋 Транзакції'!$B$5:$B$3623,A129,'📋 Транзакції'!$C$5:$C$3623,"&gt;="&amp;EDATE(DATEVALUE(C129&amp;"-01"),1),'📋 Транзакції'!$C$5:$C$3623,"&lt;"&amp;EDATE(DATEVALUE(C129&amp;"-01"),2))&gt;0,1,0)</f>
        <v>1</v>
      </c>
      <c r="I129" s="37">
        <f>IF(COUNTIFS('📋 Транзакції'!$B$5:$B$3623,A129,'📋 Транзакції'!$C$5:$C$3623,"&gt;="&amp;EDATE(DATEVALUE(C129&amp;"-01"),2),'📋 Транзакції'!$C$5:$C$3623,"&lt;"&amp;EDATE(DATEVALUE(C129&amp;"-01"),3))&gt;0,1,0)</f>
        <v>0</v>
      </c>
      <c r="J129" s="37">
        <f>IF(COUNTIFS('📋 Транзакції'!$B$5:$B$3623,A129,'📋 Транзакції'!$C$5:$C$3623,"&gt;="&amp;EDATE(DATEVALUE(C129&amp;"-01"),3),'📋 Транзакції'!$C$5:$C$3623,"&lt;"&amp;EDATE(DATEVALUE(C129&amp;"-01"),4))&gt;0,1,0)</f>
        <v>0</v>
      </c>
      <c r="K129" s="37">
        <f>IF(COUNTIFS('📋 Транзакції'!$B$5:$B$3623,A129,'📋 Транзакції'!$C$5:$C$3623,"&gt;="&amp;EDATE(DATEVALUE(C129&amp;"-01"),4),'📋 Транзакції'!$C$5:$C$3623,"&lt;"&amp;EDATE(DATEVALUE(C129&amp;"-01"),5))&gt;0,1,0)</f>
        <v>0</v>
      </c>
      <c r="L129" s="37">
        <f>IF(COUNTIFS('📋 Транзакції'!$B$5:$B$3623,A129,'📋 Транзакції'!$C$5:$C$3623,"&gt;="&amp;EDATE(DATEVALUE(C129&amp;"-01"),5),'📋 Транзакції'!$C$5:$C$3623,"&lt;"&amp;EDATE(DATEVALUE(C129&amp;"-01"),6))&gt;0,1,0)</f>
        <v>0</v>
      </c>
      <c r="M129" s="37">
        <f>IF(COUNTIFS('📋 Транзакції'!$B$5:$B$3623,A129,'📋 Транзакції'!$C$5:$C$3623,"&gt;="&amp;EDATE(DATEVALUE(C129&amp;"-01"),6),'📋 Транзакції'!$C$5:$C$3623,"&lt;"&amp;EDATE(DATEVALUE(C129&amp;"-01"),7))&gt;0,1,0)</f>
        <v>0</v>
      </c>
      <c r="N129" s="37">
        <f>IF(COUNTIFS('📋 Транзакції'!$B$5:$B$3623,A129,'📋 Транзакції'!$C$5:$C$3623,"&gt;="&amp;EDATE(DATEVALUE(C129&amp;"-01"),7),'📋 Транзакції'!$C$5:$C$3623,"&lt;"&amp;EDATE(DATEVALUE(C129&amp;"-01"),8))&gt;0,1,0)</f>
        <v>0</v>
      </c>
      <c r="O129" s="37">
        <f>IF(COUNTIFS('📋 Транзакції'!$B$5:$B$3623,A129,'📋 Транзакції'!$C$5:$C$3623,"&gt;="&amp;EDATE(DATEVALUE(C129&amp;"-01"),8),'📋 Транзакції'!$C$5:$C$3623,"&lt;"&amp;EDATE(DATEVALUE(C129&amp;"-01"),9))&gt;0,1,0)</f>
        <v>0</v>
      </c>
      <c r="P129" s="37">
        <f>IF(COUNTIFS('📋 Транзакції'!$B$5:$B$3623,A129,'📋 Транзакції'!$C$5:$C$3623,"&gt;="&amp;EDATE(DATEVALUE(C129&amp;"-01"),9),'📋 Транзакції'!$C$5:$C$3623,"&lt;"&amp;EDATE(DATEVALUE(C129&amp;"-01"),10))&gt;0,1,0)</f>
        <v>0</v>
      </c>
      <c r="Q129" s="37">
        <f>IF(COUNTIFS('📋 Транзакції'!$B$5:$B$3623,A129,'📋 Транзакції'!$C$5:$C$3623,"&gt;="&amp;EDATE(DATEVALUE(C129&amp;"-01"),10),'📋 Транзакції'!$C$5:$C$3623,"&lt;"&amp;EDATE(DATEVALUE(C129&amp;"-01"),11))&gt;0,1,0)</f>
        <v>0</v>
      </c>
      <c r="R129" s="37">
        <f>IF(COUNTIFS('📋 Транзакції'!$B$5:$B$3623,A129,'📋 Транзакції'!$C$5:$C$3623,"&gt;="&amp;EDATE(DATEVALUE(C129&amp;"-01"),11),'📋 Транзакції'!$C$5:$C$3623,"&lt;"&amp;EDATE(DATEVALUE(C129&amp;"-01"),12))&gt;0,1,0)</f>
        <v>0</v>
      </c>
      <c r="S129" s="37">
        <f>SUMIFS('📋 Транзакції'!$F$5:$F$3623,'📋 Транзакції'!$B$5:$B$3623,A129,'📋 Транзакції'!$C$5:$C$3623,"&gt;="&amp;EDATE(DATEVALUE(C129&amp;"-01"),0),'📋 Транзакції'!$C$5:$C$3623,"&lt;"&amp;EDATE(DATEVALUE(C129&amp;"-01"),1))</f>
        <v>19.99</v>
      </c>
      <c r="T129" s="37">
        <f>SUMIFS('📋 Транзакції'!$F$5:$F$3623,'📋 Транзакції'!$B$5:$B$3623,A129,'📋 Транзакції'!$C$5:$C$3623,"&gt;="&amp;EDATE(DATEVALUE(C129&amp;"-01"),1),'📋 Транзакції'!$C$5:$C$3623,"&lt;"&amp;EDATE(DATEVALUE(C129&amp;"-01"),2))</f>
        <v>19.99</v>
      </c>
      <c r="U129" s="37">
        <f>SUMIFS('📋 Транзакції'!$F$5:$F$3623,'📋 Транзакції'!$B$5:$B$3623,A129,'📋 Транзакції'!$C$5:$C$3623,"&gt;="&amp;EDATE(DATEVALUE(C129&amp;"-01"),2),'📋 Транзакції'!$C$5:$C$3623,"&lt;"&amp;EDATE(DATEVALUE(C129&amp;"-01"),3))</f>
        <v>0</v>
      </c>
      <c r="V129" s="37">
        <f>SUMIFS('📋 Транзакції'!$F$5:$F$3623,'📋 Транзакції'!$B$5:$B$3623,A129,'📋 Транзакції'!$C$5:$C$3623,"&gt;="&amp;EDATE(DATEVALUE(C129&amp;"-01"),3),'📋 Транзакції'!$C$5:$C$3623,"&lt;"&amp;EDATE(DATEVALUE(C129&amp;"-01"),4))</f>
        <v>0</v>
      </c>
      <c r="W129" s="37">
        <f>SUMIFS('📋 Транзакції'!$F$5:$F$3623,'📋 Транзакції'!$B$5:$B$3623,A129,'📋 Транзакції'!$C$5:$C$3623,"&gt;="&amp;EDATE(DATEVALUE(C129&amp;"-01"),4),'📋 Транзакції'!$C$5:$C$3623,"&lt;"&amp;EDATE(DATEVALUE(C129&amp;"-01"),5))</f>
        <v>0</v>
      </c>
      <c r="X129" s="37">
        <f>SUMIFS('📋 Транзакції'!$F$5:$F$3623,'📋 Транзакції'!$B$5:$B$3623,A129,'📋 Транзакції'!$C$5:$C$3623,"&gt;="&amp;EDATE(DATEVALUE(C129&amp;"-01"),5),'📋 Транзакції'!$C$5:$C$3623,"&lt;"&amp;EDATE(DATEVALUE(C129&amp;"-01"),6))</f>
        <v>0</v>
      </c>
      <c r="Y129" s="37">
        <f>SUMIFS('📋 Транзакції'!$F$5:$F$3623,'📋 Транзакції'!$B$5:$B$3623,A129,'📋 Транзакції'!$C$5:$C$3623,"&gt;="&amp;EDATE(DATEVALUE(C129&amp;"-01"),6),'📋 Транзакції'!$C$5:$C$3623,"&lt;"&amp;EDATE(DATEVALUE(C129&amp;"-01"),7))</f>
        <v>0</v>
      </c>
      <c r="Z129" s="37">
        <f>SUMIFS('📋 Транзакції'!$F$5:$F$3623,'📋 Транзакції'!$B$5:$B$3623,A129,'📋 Транзакції'!$C$5:$C$3623,"&gt;="&amp;EDATE(DATEVALUE(C129&amp;"-01"),7),'📋 Транзакції'!$C$5:$C$3623,"&lt;"&amp;EDATE(DATEVALUE(C129&amp;"-01"),8))</f>
        <v>0</v>
      </c>
      <c r="AA129" s="37">
        <f>SUMIFS('📋 Транзакції'!$F$5:$F$3623,'📋 Транзакції'!$B$5:$B$3623,A129,'📋 Транзакції'!$C$5:$C$3623,"&gt;="&amp;EDATE(DATEVALUE(C129&amp;"-01"),8),'📋 Транзакції'!$C$5:$C$3623,"&lt;"&amp;EDATE(DATEVALUE(C129&amp;"-01"),9))</f>
        <v>0</v>
      </c>
      <c r="AB129" s="37">
        <f>SUMIFS('📋 Транзакції'!$F$5:$F$3623,'📋 Транзакції'!$B$5:$B$3623,A129,'📋 Транзакції'!$C$5:$C$3623,"&gt;="&amp;EDATE(DATEVALUE(C129&amp;"-01"),9),'📋 Транзакції'!$C$5:$C$3623,"&lt;"&amp;EDATE(DATEVALUE(C129&amp;"-01"),10))</f>
        <v>0</v>
      </c>
      <c r="AC129" s="37">
        <f>SUMIFS('📋 Транзакції'!$F$5:$F$3623,'📋 Транзакції'!$B$5:$B$3623,A129,'📋 Транзакції'!$C$5:$C$3623,"&gt;="&amp;EDATE(DATEVALUE(C129&amp;"-01"),10),'📋 Транзакції'!$C$5:$C$3623,"&lt;"&amp;EDATE(DATEVALUE(C129&amp;"-01"),11))</f>
        <v>0</v>
      </c>
      <c r="AD129" s="37">
        <f>SUMIFS('📋 Транзакції'!$F$5:$F$3623,'📋 Транзакції'!$B$5:$B$3623,A129,'📋 Транзакції'!$C$5:$C$3623,"&gt;="&amp;EDATE(DATEVALUE(C129&amp;"-01"),11),'📋 Транзакції'!$C$5:$C$3623,"&lt;"&amp;EDATE(DATEVALUE(C129&amp;"-01"),12))</f>
        <v>0</v>
      </c>
    </row>
    <row r="130" ht="15.75" customHeight="1">
      <c r="A130" s="33" t="str">
        <f>'📋 Реєстрації'!A130:A731</f>
        <v>U0731</v>
      </c>
      <c r="B130" s="34">
        <f t="array" ref="B130">INDEX('📋 Транзакції'!$C$5:$C$3623,MATCH(A130,'📋 Транзакції'!$B$5:$B$3623,0))</f>
        <v>45418</v>
      </c>
      <c r="C130" s="35" t="str">
        <f t="shared" si="1"/>
        <v>2024-05</v>
      </c>
      <c r="D130" s="36">
        <f>COUNTIF('📋 Транзакції'!$B$5:$B$3623,A130)</f>
        <v>12</v>
      </c>
      <c r="E130" s="36">
        <f>SUMIF('📋 Транзакції'!$B$5:$B$3623,A130,'📋 Транзакції'!$F$5:$F$3623)</f>
        <v>219.89</v>
      </c>
      <c r="F130" s="35">
        <f>INT($A$1-MAXIFS('📋 Транзакції'!$C$5:$C$3623,'📋 Транзакції'!$B$5:$B$3623,A130))</f>
        <v>22</v>
      </c>
      <c r="G130" s="37">
        <f>IF(COUNTIFS('📋 Транзакції'!$B$5:$B$3623,A130,'📋 Транзакції'!$C$5:$C$3623,"&gt;="&amp;EDATE(DATEVALUE(C130&amp;"-01"),0),'📋 Транзакції'!$C$5:$C$3623,"&lt;"&amp;EDATE(DATEVALUE(C130&amp;"-01"),1))&gt;0,1,0)</f>
        <v>1</v>
      </c>
      <c r="H130" s="37">
        <f>IF(COUNTIFS('📋 Транзакції'!$B$5:$B$3623,A130,'📋 Транзакції'!$C$5:$C$3623,"&gt;="&amp;EDATE(DATEVALUE(C130&amp;"-01"),1),'📋 Транзакції'!$C$5:$C$3623,"&lt;"&amp;EDATE(DATEVALUE(C130&amp;"-01"),2))&gt;0,1,0)</f>
        <v>1</v>
      </c>
      <c r="I130" s="37">
        <f>IF(COUNTIFS('📋 Транзакції'!$B$5:$B$3623,A130,'📋 Транзакції'!$C$5:$C$3623,"&gt;="&amp;EDATE(DATEVALUE(C130&amp;"-01"),2),'📋 Транзакції'!$C$5:$C$3623,"&lt;"&amp;EDATE(DATEVALUE(C130&amp;"-01"),3))&gt;0,1,0)</f>
        <v>1</v>
      </c>
      <c r="J130" s="37">
        <f>IF(COUNTIFS('📋 Транзакції'!$B$5:$B$3623,A130,'📋 Транзакції'!$C$5:$C$3623,"&gt;="&amp;EDATE(DATEVALUE(C130&amp;"-01"),3),'📋 Транзакції'!$C$5:$C$3623,"&lt;"&amp;EDATE(DATEVALUE(C130&amp;"-01"),4))&gt;0,1,0)</f>
        <v>1</v>
      </c>
      <c r="K130" s="37">
        <f>IF(COUNTIFS('📋 Транзакції'!$B$5:$B$3623,A130,'📋 Транзакції'!$C$5:$C$3623,"&gt;="&amp;EDATE(DATEVALUE(C130&amp;"-01"),4),'📋 Транзакції'!$C$5:$C$3623,"&lt;"&amp;EDATE(DATEVALUE(C130&amp;"-01"),5))&gt;0,1,0)</f>
        <v>1</v>
      </c>
      <c r="L130" s="37">
        <f>IF(COUNTIFS('📋 Транзакції'!$B$5:$B$3623,A130,'📋 Транзакції'!$C$5:$C$3623,"&gt;="&amp;EDATE(DATEVALUE(C130&amp;"-01"),5),'📋 Транзакції'!$C$5:$C$3623,"&lt;"&amp;EDATE(DATEVALUE(C130&amp;"-01"),6))&gt;0,1,0)</f>
        <v>1</v>
      </c>
      <c r="M130" s="37">
        <f>IF(COUNTIFS('📋 Транзакції'!$B$5:$B$3623,A130,'📋 Транзакції'!$C$5:$C$3623,"&gt;="&amp;EDATE(DATEVALUE(C130&amp;"-01"),6),'📋 Транзакції'!$C$5:$C$3623,"&lt;"&amp;EDATE(DATEVALUE(C130&amp;"-01"),7))&gt;0,1,0)</f>
        <v>1</v>
      </c>
      <c r="N130" s="37">
        <f>IF(COUNTIFS('📋 Транзакції'!$B$5:$B$3623,A130,'📋 Транзакції'!$C$5:$C$3623,"&gt;="&amp;EDATE(DATEVALUE(C130&amp;"-01"),7),'📋 Транзакції'!$C$5:$C$3623,"&lt;"&amp;EDATE(DATEVALUE(C130&amp;"-01"),8))&gt;0,1,0)</f>
        <v>1</v>
      </c>
      <c r="O130" s="37">
        <f>IF(COUNTIFS('📋 Транзакції'!$B$5:$B$3623,A130,'📋 Транзакції'!$C$5:$C$3623,"&gt;="&amp;EDATE(DATEVALUE(C130&amp;"-01"),8),'📋 Транзакції'!$C$5:$C$3623,"&lt;"&amp;EDATE(DATEVALUE(C130&amp;"-01"),9))&gt;0,1,0)</f>
        <v>1</v>
      </c>
      <c r="P130" s="37">
        <f>IF(COUNTIFS('📋 Транзакції'!$B$5:$B$3623,A130,'📋 Транзакції'!$C$5:$C$3623,"&gt;="&amp;EDATE(DATEVALUE(C130&amp;"-01"),9),'📋 Транзакції'!$C$5:$C$3623,"&lt;"&amp;EDATE(DATEVALUE(C130&amp;"-01"),10))&gt;0,1,0)</f>
        <v>1</v>
      </c>
      <c r="Q130" s="37">
        <f>IF(COUNTIFS('📋 Транзакції'!$B$5:$B$3623,A130,'📋 Транзакції'!$C$5:$C$3623,"&gt;="&amp;EDATE(DATEVALUE(C130&amp;"-01"),10),'📋 Транзакції'!$C$5:$C$3623,"&lt;"&amp;EDATE(DATEVALUE(C130&amp;"-01"),11))&gt;0,1,0)</f>
        <v>1</v>
      </c>
      <c r="R130" s="37">
        <f>IF(COUNTIFS('📋 Транзакції'!$B$5:$B$3623,A130,'📋 Транзакції'!$C$5:$C$3623,"&gt;="&amp;EDATE(DATEVALUE(C130&amp;"-01"),11),'📋 Транзакції'!$C$5:$C$3623,"&lt;"&amp;EDATE(DATEVALUE(C130&amp;"-01"),12))&gt;0,1,0)</f>
        <v>0</v>
      </c>
      <c r="S130" s="37">
        <f>SUMIFS('📋 Транзакції'!$F$5:$F$3623,'📋 Транзакції'!$B$5:$B$3623,A130,'📋 Транзакції'!$C$5:$C$3623,"&gt;="&amp;EDATE(DATEVALUE(C130&amp;"-01"),0),'📋 Транзакції'!$C$5:$C$3623,"&lt;"&amp;EDATE(DATEVALUE(C130&amp;"-01"),1))</f>
        <v>19.99</v>
      </c>
      <c r="T130" s="37">
        <f>SUMIFS('📋 Транзакції'!$F$5:$F$3623,'📋 Транзакції'!$B$5:$B$3623,A130,'📋 Транзакції'!$C$5:$C$3623,"&gt;="&amp;EDATE(DATEVALUE(C130&amp;"-01"),1),'📋 Транзакції'!$C$5:$C$3623,"&lt;"&amp;EDATE(DATEVALUE(C130&amp;"-01"),2))</f>
        <v>19.99</v>
      </c>
      <c r="U130" s="37">
        <f>SUMIFS('📋 Транзакції'!$F$5:$F$3623,'📋 Транзакції'!$B$5:$B$3623,A130,'📋 Транзакції'!$C$5:$C$3623,"&gt;="&amp;EDATE(DATEVALUE(C130&amp;"-01"),2),'📋 Транзакції'!$C$5:$C$3623,"&lt;"&amp;EDATE(DATEVALUE(C130&amp;"-01"),3))</f>
        <v>19.99</v>
      </c>
      <c r="V130" s="37">
        <f>SUMIFS('📋 Транзакції'!$F$5:$F$3623,'📋 Транзакції'!$B$5:$B$3623,A130,'📋 Транзакції'!$C$5:$C$3623,"&gt;="&amp;EDATE(DATEVALUE(C130&amp;"-01"),3),'📋 Транзакції'!$C$5:$C$3623,"&lt;"&amp;EDATE(DATEVALUE(C130&amp;"-01"),4))</f>
        <v>19.99</v>
      </c>
      <c r="W130" s="37">
        <f>SUMIFS('📋 Транзакції'!$F$5:$F$3623,'📋 Транзакції'!$B$5:$B$3623,A130,'📋 Транзакції'!$C$5:$C$3623,"&gt;="&amp;EDATE(DATEVALUE(C130&amp;"-01"),4),'📋 Транзакції'!$C$5:$C$3623,"&lt;"&amp;EDATE(DATEVALUE(C130&amp;"-01"),5))</f>
        <v>19.99</v>
      </c>
      <c r="X130" s="37">
        <f>SUMIFS('📋 Транзакції'!$F$5:$F$3623,'📋 Транзакції'!$B$5:$B$3623,A130,'📋 Транзакції'!$C$5:$C$3623,"&gt;="&amp;EDATE(DATEVALUE(C130&amp;"-01"),5),'📋 Транзакції'!$C$5:$C$3623,"&lt;"&amp;EDATE(DATEVALUE(C130&amp;"-01"),6))</f>
        <v>19.99</v>
      </c>
      <c r="Y130" s="37">
        <f>SUMIFS('📋 Транзакції'!$F$5:$F$3623,'📋 Транзакції'!$B$5:$B$3623,A130,'📋 Транзакції'!$C$5:$C$3623,"&gt;="&amp;EDATE(DATEVALUE(C130&amp;"-01"),6),'📋 Транзакції'!$C$5:$C$3623,"&lt;"&amp;EDATE(DATEVALUE(C130&amp;"-01"),7))</f>
        <v>19.99</v>
      </c>
      <c r="Z130" s="37">
        <f>SUMIFS('📋 Транзакції'!$F$5:$F$3623,'📋 Транзакції'!$B$5:$B$3623,A130,'📋 Транзакції'!$C$5:$C$3623,"&gt;="&amp;EDATE(DATEVALUE(C130&amp;"-01"),7),'📋 Транзакції'!$C$5:$C$3623,"&lt;"&amp;EDATE(DATEVALUE(C130&amp;"-01"),8))</f>
        <v>19.99</v>
      </c>
      <c r="AA130" s="37">
        <f>SUMIFS('📋 Транзакції'!$F$5:$F$3623,'📋 Транзакції'!$B$5:$B$3623,A130,'📋 Транзакції'!$C$5:$C$3623,"&gt;="&amp;EDATE(DATEVALUE(C130&amp;"-01"),8),'📋 Транзакції'!$C$5:$C$3623,"&lt;"&amp;EDATE(DATEVALUE(C130&amp;"-01"),9))</f>
        <v>19.99</v>
      </c>
      <c r="AB130" s="37">
        <f>SUMIFS('📋 Транзакції'!$F$5:$F$3623,'📋 Транзакції'!$B$5:$B$3623,A130,'📋 Транзакції'!$C$5:$C$3623,"&gt;="&amp;EDATE(DATEVALUE(C130&amp;"-01"),9),'📋 Транзакції'!$C$5:$C$3623,"&lt;"&amp;EDATE(DATEVALUE(C130&amp;"-01"),10))</f>
        <v>19.99</v>
      </c>
      <c r="AC130" s="37">
        <f>SUMIFS('📋 Транзакції'!$F$5:$F$3623,'📋 Транзакції'!$B$5:$B$3623,A130,'📋 Транзакції'!$C$5:$C$3623,"&gt;="&amp;EDATE(DATEVALUE(C130&amp;"-01"),10),'📋 Транзакції'!$C$5:$C$3623,"&lt;"&amp;EDATE(DATEVALUE(C130&amp;"-01"),11))</f>
        <v>19.99</v>
      </c>
      <c r="AD130" s="37">
        <f>SUMIFS('📋 Транзакції'!$F$5:$F$3623,'📋 Транзакції'!$B$5:$B$3623,A130,'📋 Транзакції'!$C$5:$C$3623,"&gt;="&amp;EDATE(DATEVALUE(C130&amp;"-01"),11),'📋 Транзакції'!$C$5:$C$3623,"&lt;"&amp;EDATE(DATEVALUE(C130&amp;"-01"),12))</f>
        <v>0</v>
      </c>
    </row>
    <row r="131" ht="15.75" customHeight="1">
      <c r="A131" s="33" t="str">
        <f>'📋 Реєстрації'!A131:A732</f>
        <v>U0118</v>
      </c>
      <c r="B131" s="34">
        <f t="array" ref="B131">INDEX('📋 Транзакції'!$C$5:$C$3623,MATCH(A131,'📋 Транзакції'!$B$5:$B$3623,0))</f>
        <v>45419</v>
      </c>
      <c r="C131" s="35" t="str">
        <f t="shared" si="1"/>
        <v>2024-05</v>
      </c>
      <c r="D131" s="36">
        <f>COUNTIF('📋 Транзакції'!$B$5:$B$3623,A131)</f>
        <v>12</v>
      </c>
      <c r="E131" s="36">
        <f>SUMIF('📋 Транзакції'!$B$5:$B$3623,A131,'📋 Транзакції'!$F$5:$F$3623)</f>
        <v>219.89</v>
      </c>
      <c r="F131" s="35">
        <f>INT($A$1-MAXIFS('📋 Транзакції'!$C$5:$C$3623,'📋 Транзакції'!$B$5:$B$3623,A131))</f>
        <v>21</v>
      </c>
      <c r="G131" s="37">
        <f>IF(COUNTIFS('📋 Транзакції'!$B$5:$B$3623,A131,'📋 Транзакції'!$C$5:$C$3623,"&gt;="&amp;EDATE(DATEVALUE(C131&amp;"-01"),0),'📋 Транзакції'!$C$5:$C$3623,"&lt;"&amp;EDATE(DATEVALUE(C131&amp;"-01"),1))&gt;0,1,0)</f>
        <v>1</v>
      </c>
      <c r="H131" s="37">
        <f>IF(COUNTIFS('📋 Транзакції'!$B$5:$B$3623,A131,'📋 Транзакції'!$C$5:$C$3623,"&gt;="&amp;EDATE(DATEVALUE(C131&amp;"-01"),1),'📋 Транзакції'!$C$5:$C$3623,"&lt;"&amp;EDATE(DATEVALUE(C131&amp;"-01"),2))&gt;0,1,0)</f>
        <v>1</v>
      </c>
      <c r="I131" s="37">
        <f>IF(COUNTIFS('📋 Транзакції'!$B$5:$B$3623,A131,'📋 Транзакції'!$C$5:$C$3623,"&gt;="&amp;EDATE(DATEVALUE(C131&amp;"-01"),2),'📋 Транзакції'!$C$5:$C$3623,"&lt;"&amp;EDATE(DATEVALUE(C131&amp;"-01"),3))&gt;0,1,0)</f>
        <v>1</v>
      </c>
      <c r="J131" s="37">
        <f>IF(COUNTIFS('📋 Транзакції'!$B$5:$B$3623,A131,'📋 Транзакції'!$C$5:$C$3623,"&gt;="&amp;EDATE(DATEVALUE(C131&amp;"-01"),3),'📋 Транзакції'!$C$5:$C$3623,"&lt;"&amp;EDATE(DATEVALUE(C131&amp;"-01"),4))&gt;0,1,0)</f>
        <v>1</v>
      </c>
      <c r="K131" s="37">
        <f>IF(COUNTIFS('📋 Транзакції'!$B$5:$B$3623,A131,'📋 Транзакції'!$C$5:$C$3623,"&gt;="&amp;EDATE(DATEVALUE(C131&amp;"-01"),4),'📋 Транзакції'!$C$5:$C$3623,"&lt;"&amp;EDATE(DATEVALUE(C131&amp;"-01"),5))&gt;0,1,0)</f>
        <v>1</v>
      </c>
      <c r="L131" s="37">
        <f>IF(COUNTIFS('📋 Транзакції'!$B$5:$B$3623,A131,'📋 Транзакції'!$C$5:$C$3623,"&gt;="&amp;EDATE(DATEVALUE(C131&amp;"-01"),5),'📋 Транзакції'!$C$5:$C$3623,"&lt;"&amp;EDATE(DATEVALUE(C131&amp;"-01"),6))&gt;0,1,0)</f>
        <v>1</v>
      </c>
      <c r="M131" s="37">
        <f>IF(COUNTIFS('📋 Транзакції'!$B$5:$B$3623,A131,'📋 Транзакції'!$C$5:$C$3623,"&gt;="&amp;EDATE(DATEVALUE(C131&amp;"-01"),6),'📋 Транзакції'!$C$5:$C$3623,"&lt;"&amp;EDATE(DATEVALUE(C131&amp;"-01"),7))&gt;0,1,0)</f>
        <v>1</v>
      </c>
      <c r="N131" s="37">
        <f>IF(COUNTIFS('📋 Транзакції'!$B$5:$B$3623,A131,'📋 Транзакції'!$C$5:$C$3623,"&gt;="&amp;EDATE(DATEVALUE(C131&amp;"-01"),7),'📋 Транзакції'!$C$5:$C$3623,"&lt;"&amp;EDATE(DATEVALUE(C131&amp;"-01"),8))&gt;0,1,0)</f>
        <v>1</v>
      </c>
      <c r="O131" s="37">
        <f>IF(COUNTIFS('📋 Транзакції'!$B$5:$B$3623,A131,'📋 Транзакції'!$C$5:$C$3623,"&gt;="&amp;EDATE(DATEVALUE(C131&amp;"-01"),8),'📋 Транзакції'!$C$5:$C$3623,"&lt;"&amp;EDATE(DATEVALUE(C131&amp;"-01"),9))&gt;0,1,0)</f>
        <v>1</v>
      </c>
      <c r="P131" s="37">
        <f>IF(COUNTIFS('📋 Транзакції'!$B$5:$B$3623,A131,'📋 Транзакції'!$C$5:$C$3623,"&gt;="&amp;EDATE(DATEVALUE(C131&amp;"-01"),9),'📋 Транзакції'!$C$5:$C$3623,"&lt;"&amp;EDATE(DATEVALUE(C131&amp;"-01"),10))&gt;0,1,0)</f>
        <v>1</v>
      </c>
      <c r="Q131" s="37">
        <f>IF(COUNTIFS('📋 Транзакції'!$B$5:$B$3623,A131,'📋 Транзакції'!$C$5:$C$3623,"&gt;="&amp;EDATE(DATEVALUE(C131&amp;"-01"),10),'📋 Транзакції'!$C$5:$C$3623,"&lt;"&amp;EDATE(DATEVALUE(C131&amp;"-01"),11))&gt;0,1,0)</f>
        <v>1</v>
      </c>
      <c r="R131" s="37">
        <f>IF(COUNTIFS('📋 Транзакції'!$B$5:$B$3623,A131,'📋 Транзакції'!$C$5:$C$3623,"&gt;="&amp;EDATE(DATEVALUE(C131&amp;"-01"),11),'📋 Транзакції'!$C$5:$C$3623,"&lt;"&amp;EDATE(DATEVALUE(C131&amp;"-01"),12))&gt;0,1,0)</f>
        <v>0</v>
      </c>
      <c r="S131" s="37">
        <f>SUMIFS('📋 Транзакції'!$F$5:$F$3623,'📋 Транзакції'!$B$5:$B$3623,A131,'📋 Транзакції'!$C$5:$C$3623,"&gt;="&amp;EDATE(DATEVALUE(C131&amp;"-01"),0),'📋 Транзакції'!$C$5:$C$3623,"&lt;"&amp;EDATE(DATEVALUE(C131&amp;"-01"),1))</f>
        <v>19.99</v>
      </c>
      <c r="T131" s="37">
        <f>SUMIFS('📋 Транзакції'!$F$5:$F$3623,'📋 Транзакції'!$B$5:$B$3623,A131,'📋 Транзакції'!$C$5:$C$3623,"&gt;="&amp;EDATE(DATEVALUE(C131&amp;"-01"),1),'📋 Транзакції'!$C$5:$C$3623,"&lt;"&amp;EDATE(DATEVALUE(C131&amp;"-01"),2))</f>
        <v>19.99</v>
      </c>
      <c r="U131" s="37">
        <f>SUMIFS('📋 Транзакції'!$F$5:$F$3623,'📋 Транзакції'!$B$5:$B$3623,A131,'📋 Транзакції'!$C$5:$C$3623,"&gt;="&amp;EDATE(DATEVALUE(C131&amp;"-01"),2),'📋 Транзакції'!$C$5:$C$3623,"&lt;"&amp;EDATE(DATEVALUE(C131&amp;"-01"),3))</f>
        <v>19.99</v>
      </c>
      <c r="V131" s="37">
        <f>SUMIFS('📋 Транзакції'!$F$5:$F$3623,'📋 Транзакції'!$B$5:$B$3623,A131,'📋 Транзакції'!$C$5:$C$3623,"&gt;="&amp;EDATE(DATEVALUE(C131&amp;"-01"),3),'📋 Транзакції'!$C$5:$C$3623,"&lt;"&amp;EDATE(DATEVALUE(C131&amp;"-01"),4))</f>
        <v>19.99</v>
      </c>
      <c r="W131" s="37">
        <f>SUMIFS('📋 Транзакції'!$F$5:$F$3623,'📋 Транзакції'!$B$5:$B$3623,A131,'📋 Транзакції'!$C$5:$C$3623,"&gt;="&amp;EDATE(DATEVALUE(C131&amp;"-01"),4),'📋 Транзакції'!$C$5:$C$3623,"&lt;"&amp;EDATE(DATEVALUE(C131&amp;"-01"),5))</f>
        <v>19.99</v>
      </c>
      <c r="X131" s="37">
        <f>SUMIFS('📋 Транзакції'!$F$5:$F$3623,'📋 Транзакції'!$B$5:$B$3623,A131,'📋 Транзакції'!$C$5:$C$3623,"&gt;="&amp;EDATE(DATEVALUE(C131&amp;"-01"),5),'📋 Транзакції'!$C$5:$C$3623,"&lt;"&amp;EDATE(DATEVALUE(C131&amp;"-01"),6))</f>
        <v>19.99</v>
      </c>
      <c r="Y131" s="37">
        <f>SUMIFS('📋 Транзакції'!$F$5:$F$3623,'📋 Транзакції'!$B$5:$B$3623,A131,'📋 Транзакції'!$C$5:$C$3623,"&gt;="&amp;EDATE(DATEVALUE(C131&amp;"-01"),6),'📋 Транзакції'!$C$5:$C$3623,"&lt;"&amp;EDATE(DATEVALUE(C131&amp;"-01"),7))</f>
        <v>19.99</v>
      </c>
      <c r="Z131" s="37">
        <f>SUMIFS('📋 Транзакції'!$F$5:$F$3623,'📋 Транзакції'!$B$5:$B$3623,A131,'📋 Транзакції'!$C$5:$C$3623,"&gt;="&amp;EDATE(DATEVALUE(C131&amp;"-01"),7),'📋 Транзакції'!$C$5:$C$3623,"&lt;"&amp;EDATE(DATEVALUE(C131&amp;"-01"),8))</f>
        <v>19.99</v>
      </c>
      <c r="AA131" s="37">
        <f>SUMIFS('📋 Транзакції'!$F$5:$F$3623,'📋 Транзакції'!$B$5:$B$3623,A131,'📋 Транзакції'!$C$5:$C$3623,"&gt;="&amp;EDATE(DATEVALUE(C131&amp;"-01"),8),'📋 Транзакції'!$C$5:$C$3623,"&lt;"&amp;EDATE(DATEVALUE(C131&amp;"-01"),9))</f>
        <v>19.99</v>
      </c>
      <c r="AB131" s="37">
        <f>SUMIFS('📋 Транзакції'!$F$5:$F$3623,'📋 Транзакції'!$B$5:$B$3623,A131,'📋 Транзакції'!$C$5:$C$3623,"&gt;="&amp;EDATE(DATEVALUE(C131&amp;"-01"),9),'📋 Транзакції'!$C$5:$C$3623,"&lt;"&amp;EDATE(DATEVALUE(C131&amp;"-01"),10))</f>
        <v>19.99</v>
      </c>
      <c r="AC131" s="37">
        <f>SUMIFS('📋 Транзакції'!$F$5:$F$3623,'📋 Транзакції'!$B$5:$B$3623,A131,'📋 Транзакції'!$C$5:$C$3623,"&gt;="&amp;EDATE(DATEVALUE(C131&amp;"-01"),10),'📋 Транзакції'!$C$5:$C$3623,"&lt;"&amp;EDATE(DATEVALUE(C131&amp;"-01"),11))</f>
        <v>19.99</v>
      </c>
      <c r="AD131" s="37">
        <f>SUMIFS('📋 Транзакції'!$F$5:$F$3623,'📋 Транзакції'!$B$5:$B$3623,A131,'📋 Транзакції'!$C$5:$C$3623,"&gt;="&amp;EDATE(DATEVALUE(C131&amp;"-01"),11),'📋 Транзакції'!$C$5:$C$3623,"&lt;"&amp;EDATE(DATEVALUE(C131&amp;"-01"),12))</f>
        <v>0</v>
      </c>
    </row>
    <row r="132" ht="15.75" customHeight="1">
      <c r="A132" s="33" t="str">
        <f>'📋 Реєстрації'!A132:A733</f>
        <v>U0494</v>
      </c>
      <c r="B132" s="34">
        <f t="array" ref="B132">INDEX('📋 Транзакції'!$C$5:$C$3623,MATCH(A132,'📋 Транзакції'!$B$5:$B$3623,0))</f>
        <v>45420</v>
      </c>
      <c r="C132" s="35" t="str">
        <f t="shared" si="1"/>
        <v>2024-05</v>
      </c>
      <c r="D132" s="36">
        <f>COUNTIF('📋 Транзакції'!$B$5:$B$3623,A132)</f>
        <v>12</v>
      </c>
      <c r="E132" s="36">
        <f>SUMIF('📋 Транзакції'!$B$5:$B$3623,A132,'📋 Транзакції'!$F$5:$F$3623)</f>
        <v>219.89</v>
      </c>
      <c r="F132" s="35">
        <f>INT($A$1-MAXIFS('📋 Транзакції'!$C$5:$C$3623,'📋 Транзакції'!$B$5:$B$3623,A132))</f>
        <v>20</v>
      </c>
      <c r="G132" s="37">
        <f>IF(COUNTIFS('📋 Транзакції'!$B$5:$B$3623,A132,'📋 Транзакції'!$C$5:$C$3623,"&gt;="&amp;EDATE(DATEVALUE(C132&amp;"-01"),0),'📋 Транзакції'!$C$5:$C$3623,"&lt;"&amp;EDATE(DATEVALUE(C132&amp;"-01"),1))&gt;0,1,0)</f>
        <v>1</v>
      </c>
      <c r="H132" s="37">
        <f>IF(COUNTIFS('📋 Транзакції'!$B$5:$B$3623,A132,'📋 Транзакції'!$C$5:$C$3623,"&gt;="&amp;EDATE(DATEVALUE(C132&amp;"-01"),1),'📋 Транзакції'!$C$5:$C$3623,"&lt;"&amp;EDATE(DATEVALUE(C132&amp;"-01"),2))&gt;0,1,0)</f>
        <v>1</v>
      </c>
      <c r="I132" s="37">
        <f>IF(COUNTIFS('📋 Транзакції'!$B$5:$B$3623,A132,'📋 Транзакції'!$C$5:$C$3623,"&gt;="&amp;EDATE(DATEVALUE(C132&amp;"-01"),2),'📋 Транзакції'!$C$5:$C$3623,"&lt;"&amp;EDATE(DATEVALUE(C132&amp;"-01"),3))&gt;0,1,0)</f>
        <v>1</v>
      </c>
      <c r="J132" s="37">
        <f>IF(COUNTIFS('📋 Транзакції'!$B$5:$B$3623,A132,'📋 Транзакції'!$C$5:$C$3623,"&gt;="&amp;EDATE(DATEVALUE(C132&amp;"-01"),3),'📋 Транзакції'!$C$5:$C$3623,"&lt;"&amp;EDATE(DATEVALUE(C132&amp;"-01"),4))&gt;0,1,0)</f>
        <v>1</v>
      </c>
      <c r="K132" s="37">
        <f>IF(COUNTIFS('📋 Транзакції'!$B$5:$B$3623,A132,'📋 Транзакції'!$C$5:$C$3623,"&gt;="&amp;EDATE(DATEVALUE(C132&amp;"-01"),4),'📋 Транзакції'!$C$5:$C$3623,"&lt;"&amp;EDATE(DATEVALUE(C132&amp;"-01"),5))&gt;0,1,0)</f>
        <v>1</v>
      </c>
      <c r="L132" s="37">
        <f>IF(COUNTIFS('📋 Транзакції'!$B$5:$B$3623,A132,'📋 Транзакції'!$C$5:$C$3623,"&gt;="&amp;EDATE(DATEVALUE(C132&amp;"-01"),5),'📋 Транзакції'!$C$5:$C$3623,"&lt;"&amp;EDATE(DATEVALUE(C132&amp;"-01"),6))&gt;0,1,0)</f>
        <v>1</v>
      </c>
      <c r="M132" s="37">
        <f>IF(COUNTIFS('📋 Транзакції'!$B$5:$B$3623,A132,'📋 Транзакції'!$C$5:$C$3623,"&gt;="&amp;EDATE(DATEVALUE(C132&amp;"-01"),6),'📋 Транзакції'!$C$5:$C$3623,"&lt;"&amp;EDATE(DATEVALUE(C132&amp;"-01"),7))&gt;0,1,0)</f>
        <v>1</v>
      </c>
      <c r="N132" s="37">
        <f>IF(COUNTIFS('📋 Транзакції'!$B$5:$B$3623,A132,'📋 Транзакції'!$C$5:$C$3623,"&gt;="&amp;EDATE(DATEVALUE(C132&amp;"-01"),7),'📋 Транзакції'!$C$5:$C$3623,"&lt;"&amp;EDATE(DATEVALUE(C132&amp;"-01"),8))&gt;0,1,0)</f>
        <v>1</v>
      </c>
      <c r="O132" s="37">
        <f>IF(COUNTIFS('📋 Транзакції'!$B$5:$B$3623,A132,'📋 Транзакції'!$C$5:$C$3623,"&gt;="&amp;EDATE(DATEVALUE(C132&amp;"-01"),8),'📋 Транзакції'!$C$5:$C$3623,"&lt;"&amp;EDATE(DATEVALUE(C132&amp;"-01"),9))&gt;0,1,0)</f>
        <v>1</v>
      </c>
      <c r="P132" s="37">
        <f>IF(COUNTIFS('📋 Транзакції'!$B$5:$B$3623,A132,'📋 Транзакції'!$C$5:$C$3623,"&gt;="&amp;EDATE(DATEVALUE(C132&amp;"-01"),9),'📋 Транзакції'!$C$5:$C$3623,"&lt;"&amp;EDATE(DATEVALUE(C132&amp;"-01"),10))&gt;0,1,0)</f>
        <v>1</v>
      </c>
      <c r="Q132" s="37">
        <f>IF(COUNTIFS('📋 Транзакції'!$B$5:$B$3623,A132,'📋 Транзакції'!$C$5:$C$3623,"&gt;="&amp;EDATE(DATEVALUE(C132&amp;"-01"),10),'📋 Транзакції'!$C$5:$C$3623,"&lt;"&amp;EDATE(DATEVALUE(C132&amp;"-01"),11))&gt;0,1,0)</f>
        <v>1</v>
      </c>
      <c r="R132" s="37">
        <f>IF(COUNTIFS('📋 Транзакції'!$B$5:$B$3623,A132,'📋 Транзакції'!$C$5:$C$3623,"&gt;="&amp;EDATE(DATEVALUE(C132&amp;"-01"),11),'📋 Транзакції'!$C$5:$C$3623,"&lt;"&amp;EDATE(DATEVALUE(C132&amp;"-01"),12))&gt;0,1,0)</f>
        <v>0</v>
      </c>
      <c r="S132" s="37">
        <f>SUMIFS('📋 Транзакції'!$F$5:$F$3623,'📋 Транзакції'!$B$5:$B$3623,A132,'📋 Транзакції'!$C$5:$C$3623,"&gt;="&amp;EDATE(DATEVALUE(C132&amp;"-01"),0),'📋 Транзакції'!$C$5:$C$3623,"&lt;"&amp;EDATE(DATEVALUE(C132&amp;"-01"),1))</f>
        <v>19.99</v>
      </c>
      <c r="T132" s="37">
        <f>SUMIFS('📋 Транзакції'!$F$5:$F$3623,'📋 Транзакції'!$B$5:$B$3623,A132,'📋 Транзакції'!$C$5:$C$3623,"&gt;="&amp;EDATE(DATEVALUE(C132&amp;"-01"),1),'📋 Транзакції'!$C$5:$C$3623,"&lt;"&amp;EDATE(DATEVALUE(C132&amp;"-01"),2))</f>
        <v>19.99</v>
      </c>
      <c r="U132" s="37">
        <f>SUMIFS('📋 Транзакції'!$F$5:$F$3623,'📋 Транзакції'!$B$5:$B$3623,A132,'📋 Транзакції'!$C$5:$C$3623,"&gt;="&amp;EDATE(DATEVALUE(C132&amp;"-01"),2),'📋 Транзакції'!$C$5:$C$3623,"&lt;"&amp;EDATE(DATEVALUE(C132&amp;"-01"),3))</f>
        <v>19.99</v>
      </c>
      <c r="V132" s="37">
        <f>SUMIFS('📋 Транзакції'!$F$5:$F$3623,'📋 Транзакції'!$B$5:$B$3623,A132,'📋 Транзакції'!$C$5:$C$3623,"&gt;="&amp;EDATE(DATEVALUE(C132&amp;"-01"),3),'📋 Транзакції'!$C$5:$C$3623,"&lt;"&amp;EDATE(DATEVALUE(C132&amp;"-01"),4))</f>
        <v>19.99</v>
      </c>
      <c r="W132" s="37">
        <f>SUMIFS('📋 Транзакції'!$F$5:$F$3623,'📋 Транзакції'!$B$5:$B$3623,A132,'📋 Транзакції'!$C$5:$C$3623,"&gt;="&amp;EDATE(DATEVALUE(C132&amp;"-01"),4),'📋 Транзакції'!$C$5:$C$3623,"&lt;"&amp;EDATE(DATEVALUE(C132&amp;"-01"),5))</f>
        <v>19.99</v>
      </c>
      <c r="X132" s="37">
        <f>SUMIFS('📋 Транзакції'!$F$5:$F$3623,'📋 Транзакції'!$B$5:$B$3623,A132,'📋 Транзакції'!$C$5:$C$3623,"&gt;="&amp;EDATE(DATEVALUE(C132&amp;"-01"),5),'📋 Транзакції'!$C$5:$C$3623,"&lt;"&amp;EDATE(DATEVALUE(C132&amp;"-01"),6))</f>
        <v>19.99</v>
      </c>
      <c r="Y132" s="37">
        <f>SUMIFS('📋 Транзакції'!$F$5:$F$3623,'📋 Транзакції'!$B$5:$B$3623,A132,'📋 Транзакції'!$C$5:$C$3623,"&gt;="&amp;EDATE(DATEVALUE(C132&amp;"-01"),6),'📋 Транзакції'!$C$5:$C$3623,"&lt;"&amp;EDATE(DATEVALUE(C132&amp;"-01"),7))</f>
        <v>19.99</v>
      </c>
      <c r="Z132" s="37">
        <f>SUMIFS('📋 Транзакції'!$F$5:$F$3623,'📋 Транзакції'!$B$5:$B$3623,A132,'📋 Транзакції'!$C$5:$C$3623,"&gt;="&amp;EDATE(DATEVALUE(C132&amp;"-01"),7),'📋 Транзакції'!$C$5:$C$3623,"&lt;"&amp;EDATE(DATEVALUE(C132&amp;"-01"),8))</f>
        <v>19.99</v>
      </c>
      <c r="AA132" s="37">
        <f>SUMIFS('📋 Транзакції'!$F$5:$F$3623,'📋 Транзакції'!$B$5:$B$3623,A132,'📋 Транзакції'!$C$5:$C$3623,"&gt;="&amp;EDATE(DATEVALUE(C132&amp;"-01"),8),'📋 Транзакції'!$C$5:$C$3623,"&lt;"&amp;EDATE(DATEVALUE(C132&amp;"-01"),9))</f>
        <v>19.99</v>
      </c>
      <c r="AB132" s="37">
        <f>SUMIFS('📋 Транзакції'!$F$5:$F$3623,'📋 Транзакції'!$B$5:$B$3623,A132,'📋 Транзакції'!$C$5:$C$3623,"&gt;="&amp;EDATE(DATEVALUE(C132&amp;"-01"),9),'📋 Транзакції'!$C$5:$C$3623,"&lt;"&amp;EDATE(DATEVALUE(C132&amp;"-01"),10))</f>
        <v>19.99</v>
      </c>
      <c r="AC132" s="37">
        <f>SUMIFS('📋 Транзакції'!$F$5:$F$3623,'📋 Транзакції'!$B$5:$B$3623,A132,'📋 Транзакції'!$C$5:$C$3623,"&gt;="&amp;EDATE(DATEVALUE(C132&amp;"-01"),10),'📋 Транзакції'!$C$5:$C$3623,"&lt;"&amp;EDATE(DATEVALUE(C132&amp;"-01"),11))</f>
        <v>19.99</v>
      </c>
      <c r="AD132" s="37">
        <f>SUMIFS('📋 Транзакції'!$F$5:$F$3623,'📋 Транзакції'!$B$5:$B$3623,A132,'📋 Транзакції'!$C$5:$C$3623,"&gt;="&amp;EDATE(DATEVALUE(C132&amp;"-01"),11),'📋 Транзакції'!$C$5:$C$3623,"&lt;"&amp;EDATE(DATEVALUE(C132&amp;"-01"),12))</f>
        <v>0</v>
      </c>
    </row>
    <row r="133" ht="15.75" customHeight="1">
      <c r="A133" s="33" t="str">
        <f>'📋 Реєстрації'!A133:A734</f>
        <v>U0176</v>
      </c>
      <c r="B133" s="34">
        <f t="array" ref="B133">INDEX('📋 Транзакції'!$C$5:$C$3623,MATCH(A133,'📋 Транзакції'!$B$5:$B$3623,0))</f>
        <v>45422</v>
      </c>
      <c r="C133" s="35" t="str">
        <f t="shared" si="1"/>
        <v>2024-05</v>
      </c>
      <c r="D133" s="36">
        <f>COUNTIF('📋 Транзакції'!$B$5:$B$3623,A133)</f>
        <v>12</v>
      </c>
      <c r="E133" s="36">
        <f>SUMIF('📋 Транзакції'!$B$5:$B$3623,A133,'📋 Транзакції'!$F$5:$F$3623)</f>
        <v>219.89</v>
      </c>
      <c r="F133" s="35">
        <f>INT($A$1-MAXIFS('📋 Транзакції'!$C$5:$C$3623,'📋 Транзакції'!$B$5:$B$3623,A133))</f>
        <v>18</v>
      </c>
      <c r="G133" s="37">
        <f>IF(COUNTIFS('📋 Транзакції'!$B$5:$B$3623,A133,'📋 Транзакції'!$C$5:$C$3623,"&gt;="&amp;EDATE(DATEVALUE(C133&amp;"-01"),0),'📋 Транзакції'!$C$5:$C$3623,"&lt;"&amp;EDATE(DATEVALUE(C133&amp;"-01"),1))&gt;0,1,0)</f>
        <v>1</v>
      </c>
      <c r="H133" s="37">
        <f>IF(COUNTIFS('📋 Транзакції'!$B$5:$B$3623,A133,'📋 Транзакції'!$C$5:$C$3623,"&gt;="&amp;EDATE(DATEVALUE(C133&amp;"-01"),1),'📋 Транзакції'!$C$5:$C$3623,"&lt;"&amp;EDATE(DATEVALUE(C133&amp;"-01"),2))&gt;0,1,0)</f>
        <v>1</v>
      </c>
      <c r="I133" s="37">
        <f>IF(COUNTIFS('📋 Транзакції'!$B$5:$B$3623,A133,'📋 Транзакції'!$C$5:$C$3623,"&gt;="&amp;EDATE(DATEVALUE(C133&amp;"-01"),2),'📋 Транзакції'!$C$5:$C$3623,"&lt;"&amp;EDATE(DATEVALUE(C133&amp;"-01"),3))&gt;0,1,0)</f>
        <v>1</v>
      </c>
      <c r="J133" s="37">
        <f>IF(COUNTIFS('📋 Транзакції'!$B$5:$B$3623,A133,'📋 Транзакції'!$C$5:$C$3623,"&gt;="&amp;EDATE(DATEVALUE(C133&amp;"-01"),3),'📋 Транзакції'!$C$5:$C$3623,"&lt;"&amp;EDATE(DATEVALUE(C133&amp;"-01"),4))&gt;0,1,0)</f>
        <v>1</v>
      </c>
      <c r="K133" s="37">
        <f>IF(COUNTIFS('📋 Транзакції'!$B$5:$B$3623,A133,'📋 Транзакції'!$C$5:$C$3623,"&gt;="&amp;EDATE(DATEVALUE(C133&amp;"-01"),4),'📋 Транзакції'!$C$5:$C$3623,"&lt;"&amp;EDATE(DATEVALUE(C133&amp;"-01"),5))&gt;0,1,0)</f>
        <v>1</v>
      </c>
      <c r="L133" s="37">
        <f>IF(COUNTIFS('📋 Транзакції'!$B$5:$B$3623,A133,'📋 Транзакції'!$C$5:$C$3623,"&gt;="&amp;EDATE(DATEVALUE(C133&amp;"-01"),5),'📋 Транзакції'!$C$5:$C$3623,"&lt;"&amp;EDATE(DATEVALUE(C133&amp;"-01"),6))&gt;0,1,0)</f>
        <v>1</v>
      </c>
      <c r="M133" s="37">
        <f>IF(COUNTIFS('📋 Транзакції'!$B$5:$B$3623,A133,'📋 Транзакції'!$C$5:$C$3623,"&gt;="&amp;EDATE(DATEVALUE(C133&amp;"-01"),6),'📋 Транзакції'!$C$5:$C$3623,"&lt;"&amp;EDATE(DATEVALUE(C133&amp;"-01"),7))&gt;0,1,0)</f>
        <v>1</v>
      </c>
      <c r="N133" s="37">
        <f>IF(COUNTIFS('📋 Транзакції'!$B$5:$B$3623,A133,'📋 Транзакції'!$C$5:$C$3623,"&gt;="&amp;EDATE(DATEVALUE(C133&amp;"-01"),7),'📋 Транзакції'!$C$5:$C$3623,"&lt;"&amp;EDATE(DATEVALUE(C133&amp;"-01"),8))&gt;0,1,0)</f>
        <v>1</v>
      </c>
      <c r="O133" s="37">
        <f>IF(COUNTIFS('📋 Транзакції'!$B$5:$B$3623,A133,'📋 Транзакції'!$C$5:$C$3623,"&gt;="&amp;EDATE(DATEVALUE(C133&amp;"-01"),8),'📋 Транзакції'!$C$5:$C$3623,"&lt;"&amp;EDATE(DATEVALUE(C133&amp;"-01"),9))&gt;0,1,0)</f>
        <v>1</v>
      </c>
      <c r="P133" s="37">
        <f>IF(COUNTIFS('📋 Транзакції'!$B$5:$B$3623,A133,'📋 Транзакції'!$C$5:$C$3623,"&gt;="&amp;EDATE(DATEVALUE(C133&amp;"-01"),9),'📋 Транзакції'!$C$5:$C$3623,"&lt;"&amp;EDATE(DATEVALUE(C133&amp;"-01"),10))&gt;0,1,0)</f>
        <v>1</v>
      </c>
      <c r="Q133" s="37">
        <f>IF(COUNTIFS('📋 Транзакції'!$B$5:$B$3623,A133,'📋 Транзакції'!$C$5:$C$3623,"&gt;="&amp;EDATE(DATEVALUE(C133&amp;"-01"),10),'📋 Транзакції'!$C$5:$C$3623,"&lt;"&amp;EDATE(DATEVALUE(C133&amp;"-01"),11))&gt;0,1,0)</f>
        <v>1</v>
      </c>
      <c r="R133" s="37">
        <f>IF(COUNTIFS('📋 Транзакції'!$B$5:$B$3623,A133,'📋 Транзакції'!$C$5:$C$3623,"&gt;="&amp;EDATE(DATEVALUE(C133&amp;"-01"),11),'📋 Транзакції'!$C$5:$C$3623,"&lt;"&amp;EDATE(DATEVALUE(C133&amp;"-01"),12))&gt;0,1,0)</f>
        <v>0</v>
      </c>
      <c r="S133" s="37">
        <f>SUMIFS('📋 Транзакції'!$F$5:$F$3623,'📋 Транзакції'!$B$5:$B$3623,A133,'📋 Транзакції'!$C$5:$C$3623,"&gt;="&amp;EDATE(DATEVALUE(C133&amp;"-01"),0),'📋 Транзакції'!$C$5:$C$3623,"&lt;"&amp;EDATE(DATEVALUE(C133&amp;"-01"),1))</f>
        <v>19.99</v>
      </c>
      <c r="T133" s="37">
        <f>SUMIFS('📋 Транзакції'!$F$5:$F$3623,'📋 Транзакції'!$B$5:$B$3623,A133,'📋 Транзакції'!$C$5:$C$3623,"&gt;="&amp;EDATE(DATEVALUE(C133&amp;"-01"),1),'📋 Транзакції'!$C$5:$C$3623,"&lt;"&amp;EDATE(DATEVALUE(C133&amp;"-01"),2))</f>
        <v>19.99</v>
      </c>
      <c r="U133" s="37">
        <f>SUMIFS('📋 Транзакції'!$F$5:$F$3623,'📋 Транзакції'!$B$5:$B$3623,A133,'📋 Транзакції'!$C$5:$C$3623,"&gt;="&amp;EDATE(DATEVALUE(C133&amp;"-01"),2),'📋 Транзакції'!$C$5:$C$3623,"&lt;"&amp;EDATE(DATEVALUE(C133&amp;"-01"),3))</f>
        <v>19.99</v>
      </c>
      <c r="V133" s="37">
        <f>SUMIFS('📋 Транзакції'!$F$5:$F$3623,'📋 Транзакції'!$B$5:$B$3623,A133,'📋 Транзакції'!$C$5:$C$3623,"&gt;="&amp;EDATE(DATEVALUE(C133&amp;"-01"),3),'📋 Транзакції'!$C$5:$C$3623,"&lt;"&amp;EDATE(DATEVALUE(C133&amp;"-01"),4))</f>
        <v>19.99</v>
      </c>
      <c r="W133" s="37">
        <f>SUMIFS('📋 Транзакції'!$F$5:$F$3623,'📋 Транзакції'!$B$5:$B$3623,A133,'📋 Транзакції'!$C$5:$C$3623,"&gt;="&amp;EDATE(DATEVALUE(C133&amp;"-01"),4),'📋 Транзакції'!$C$5:$C$3623,"&lt;"&amp;EDATE(DATEVALUE(C133&amp;"-01"),5))</f>
        <v>19.99</v>
      </c>
      <c r="X133" s="37">
        <f>SUMIFS('📋 Транзакції'!$F$5:$F$3623,'📋 Транзакції'!$B$5:$B$3623,A133,'📋 Транзакції'!$C$5:$C$3623,"&gt;="&amp;EDATE(DATEVALUE(C133&amp;"-01"),5),'📋 Транзакції'!$C$5:$C$3623,"&lt;"&amp;EDATE(DATEVALUE(C133&amp;"-01"),6))</f>
        <v>19.99</v>
      </c>
      <c r="Y133" s="37">
        <f>SUMIFS('📋 Транзакції'!$F$5:$F$3623,'📋 Транзакції'!$B$5:$B$3623,A133,'📋 Транзакції'!$C$5:$C$3623,"&gt;="&amp;EDATE(DATEVALUE(C133&amp;"-01"),6),'📋 Транзакції'!$C$5:$C$3623,"&lt;"&amp;EDATE(DATEVALUE(C133&amp;"-01"),7))</f>
        <v>19.99</v>
      </c>
      <c r="Z133" s="37">
        <f>SUMIFS('📋 Транзакції'!$F$5:$F$3623,'📋 Транзакції'!$B$5:$B$3623,A133,'📋 Транзакції'!$C$5:$C$3623,"&gt;="&amp;EDATE(DATEVALUE(C133&amp;"-01"),7),'📋 Транзакції'!$C$5:$C$3623,"&lt;"&amp;EDATE(DATEVALUE(C133&amp;"-01"),8))</f>
        <v>19.99</v>
      </c>
      <c r="AA133" s="37">
        <f>SUMIFS('📋 Транзакції'!$F$5:$F$3623,'📋 Транзакції'!$B$5:$B$3623,A133,'📋 Транзакції'!$C$5:$C$3623,"&gt;="&amp;EDATE(DATEVALUE(C133&amp;"-01"),8),'📋 Транзакції'!$C$5:$C$3623,"&lt;"&amp;EDATE(DATEVALUE(C133&amp;"-01"),9))</f>
        <v>19.99</v>
      </c>
      <c r="AB133" s="37">
        <f>SUMIFS('📋 Транзакції'!$F$5:$F$3623,'📋 Транзакції'!$B$5:$B$3623,A133,'📋 Транзакції'!$C$5:$C$3623,"&gt;="&amp;EDATE(DATEVALUE(C133&amp;"-01"),9),'📋 Транзакції'!$C$5:$C$3623,"&lt;"&amp;EDATE(DATEVALUE(C133&amp;"-01"),10))</f>
        <v>19.99</v>
      </c>
      <c r="AC133" s="37">
        <f>SUMIFS('📋 Транзакції'!$F$5:$F$3623,'📋 Транзакції'!$B$5:$B$3623,A133,'📋 Транзакції'!$C$5:$C$3623,"&gt;="&amp;EDATE(DATEVALUE(C133&amp;"-01"),10),'📋 Транзакції'!$C$5:$C$3623,"&lt;"&amp;EDATE(DATEVALUE(C133&amp;"-01"),11))</f>
        <v>19.99</v>
      </c>
      <c r="AD133" s="37">
        <f>SUMIFS('📋 Транзакції'!$F$5:$F$3623,'📋 Транзакції'!$B$5:$B$3623,A133,'📋 Транзакції'!$C$5:$C$3623,"&gt;="&amp;EDATE(DATEVALUE(C133&amp;"-01"),11),'📋 Транзакції'!$C$5:$C$3623,"&lt;"&amp;EDATE(DATEVALUE(C133&amp;"-01"),12))</f>
        <v>0</v>
      </c>
    </row>
    <row r="134" ht="15.75" customHeight="1">
      <c r="A134" s="33" t="str">
        <f>'📋 Реєстрації'!A134:A735</f>
        <v>U0621</v>
      </c>
      <c r="B134" s="34">
        <f t="array" ref="B134">INDEX('📋 Транзакції'!$C$5:$C$3623,MATCH(A134,'📋 Транзакції'!$B$5:$B$3623,0))</f>
        <v>45422</v>
      </c>
      <c r="C134" s="35" t="str">
        <f t="shared" si="1"/>
        <v>2024-05</v>
      </c>
      <c r="D134" s="36">
        <f>COUNTIF('📋 Транзакції'!$B$5:$B$3623,A134)</f>
        <v>2</v>
      </c>
      <c r="E134" s="36">
        <f>SUMIF('📋 Транзакції'!$B$5:$B$3623,A134,'📋 Транзакції'!$F$5:$F$3623)</f>
        <v>19.99</v>
      </c>
      <c r="F134" s="35">
        <f>INT($A$1-MAXIFS('📋 Транзакції'!$C$5:$C$3623,'📋 Транзакції'!$B$5:$B$3623,A134))</f>
        <v>318</v>
      </c>
      <c r="G134" s="37">
        <f>IF(COUNTIFS('📋 Транзакції'!$B$5:$B$3623,A134,'📋 Транзакції'!$C$5:$C$3623,"&gt;="&amp;EDATE(DATEVALUE(C134&amp;"-01"),0),'📋 Транзакції'!$C$5:$C$3623,"&lt;"&amp;EDATE(DATEVALUE(C134&amp;"-01"),1))&gt;0,1,0)</f>
        <v>1</v>
      </c>
      <c r="H134" s="37">
        <f>IF(COUNTIFS('📋 Транзакції'!$B$5:$B$3623,A134,'📋 Транзакції'!$C$5:$C$3623,"&gt;="&amp;EDATE(DATEVALUE(C134&amp;"-01"),1),'📋 Транзакції'!$C$5:$C$3623,"&lt;"&amp;EDATE(DATEVALUE(C134&amp;"-01"),2))&gt;0,1,0)</f>
        <v>0</v>
      </c>
      <c r="I134" s="37">
        <f>IF(COUNTIFS('📋 Транзакції'!$B$5:$B$3623,A134,'📋 Транзакції'!$C$5:$C$3623,"&gt;="&amp;EDATE(DATEVALUE(C134&amp;"-01"),2),'📋 Транзакції'!$C$5:$C$3623,"&lt;"&amp;EDATE(DATEVALUE(C134&amp;"-01"),3))&gt;0,1,0)</f>
        <v>0</v>
      </c>
      <c r="J134" s="37">
        <f>IF(COUNTIFS('📋 Транзакції'!$B$5:$B$3623,A134,'📋 Транзакції'!$C$5:$C$3623,"&gt;="&amp;EDATE(DATEVALUE(C134&amp;"-01"),3),'📋 Транзакції'!$C$5:$C$3623,"&lt;"&amp;EDATE(DATEVALUE(C134&amp;"-01"),4))&gt;0,1,0)</f>
        <v>0</v>
      </c>
      <c r="K134" s="37">
        <f>IF(COUNTIFS('📋 Транзакції'!$B$5:$B$3623,A134,'📋 Транзакції'!$C$5:$C$3623,"&gt;="&amp;EDATE(DATEVALUE(C134&amp;"-01"),4),'📋 Транзакції'!$C$5:$C$3623,"&lt;"&amp;EDATE(DATEVALUE(C134&amp;"-01"),5))&gt;0,1,0)</f>
        <v>0</v>
      </c>
      <c r="L134" s="37">
        <f>IF(COUNTIFS('📋 Транзакції'!$B$5:$B$3623,A134,'📋 Транзакції'!$C$5:$C$3623,"&gt;="&amp;EDATE(DATEVALUE(C134&amp;"-01"),5),'📋 Транзакції'!$C$5:$C$3623,"&lt;"&amp;EDATE(DATEVALUE(C134&amp;"-01"),6))&gt;0,1,0)</f>
        <v>0</v>
      </c>
      <c r="M134" s="37">
        <f>IF(COUNTIFS('📋 Транзакції'!$B$5:$B$3623,A134,'📋 Транзакції'!$C$5:$C$3623,"&gt;="&amp;EDATE(DATEVALUE(C134&amp;"-01"),6),'📋 Транзакції'!$C$5:$C$3623,"&lt;"&amp;EDATE(DATEVALUE(C134&amp;"-01"),7))&gt;0,1,0)</f>
        <v>0</v>
      </c>
      <c r="N134" s="37">
        <f>IF(COUNTIFS('📋 Транзакції'!$B$5:$B$3623,A134,'📋 Транзакції'!$C$5:$C$3623,"&gt;="&amp;EDATE(DATEVALUE(C134&amp;"-01"),7),'📋 Транзакції'!$C$5:$C$3623,"&lt;"&amp;EDATE(DATEVALUE(C134&amp;"-01"),8))&gt;0,1,0)</f>
        <v>0</v>
      </c>
      <c r="O134" s="37">
        <f>IF(COUNTIFS('📋 Транзакції'!$B$5:$B$3623,A134,'📋 Транзакції'!$C$5:$C$3623,"&gt;="&amp;EDATE(DATEVALUE(C134&amp;"-01"),8),'📋 Транзакції'!$C$5:$C$3623,"&lt;"&amp;EDATE(DATEVALUE(C134&amp;"-01"),9))&gt;0,1,0)</f>
        <v>0</v>
      </c>
      <c r="P134" s="37">
        <f>IF(COUNTIFS('📋 Транзакції'!$B$5:$B$3623,A134,'📋 Транзакції'!$C$5:$C$3623,"&gt;="&amp;EDATE(DATEVALUE(C134&amp;"-01"),9),'📋 Транзакції'!$C$5:$C$3623,"&lt;"&amp;EDATE(DATEVALUE(C134&amp;"-01"),10))&gt;0,1,0)</f>
        <v>0</v>
      </c>
      <c r="Q134" s="37">
        <f>IF(COUNTIFS('📋 Транзакції'!$B$5:$B$3623,A134,'📋 Транзакції'!$C$5:$C$3623,"&gt;="&amp;EDATE(DATEVALUE(C134&amp;"-01"),10),'📋 Транзакції'!$C$5:$C$3623,"&lt;"&amp;EDATE(DATEVALUE(C134&amp;"-01"),11))&gt;0,1,0)</f>
        <v>0</v>
      </c>
      <c r="R134" s="37">
        <f>IF(COUNTIFS('📋 Транзакції'!$B$5:$B$3623,A134,'📋 Транзакції'!$C$5:$C$3623,"&gt;="&amp;EDATE(DATEVALUE(C134&amp;"-01"),11),'📋 Транзакції'!$C$5:$C$3623,"&lt;"&amp;EDATE(DATEVALUE(C134&amp;"-01"),12))&gt;0,1,0)</f>
        <v>0</v>
      </c>
      <c r="S134" s="37">
        <f>SUMIFS('📋 Транзакції'!$F$5:$F$3623,'📋 Транзакції'!$B$5:$B$3623,A134,'📋 Транзакції'!$C$5:$C$3623,"&gt;="&amp;EDATE(DATEVALUE(C134&amp;"-01"),0),'📋 Транзакції'!$C$5:$C$3623,"&lt;"&amp;EDATE(DATEVALUE(C134&amp;"-01"),1))</f>
        <v>19.99</v>
      </c>
      <c r="T134" s="37">
        <f>SUMIFS('📋 Транзакції'!$F$5:$F$3623,'📋 Транзакції'!$B$5:$B$3623,A134,'📋 Транзакції'!$C$5:$C$3623,"&gt;="&amp;EDATE(DATEVALUE(C134&amp;"-01"),1),'📋 Транзакції'!$C$5:$C$3623,"&lt;"&amp;EDATE(DATEVALUE(C134&amp;"-01"),2))</f>
        <v>0</v>
      </c>
      <c r="U134" s="37">
        <f>SUMIFS('📋 Транзакції'!$F$5:$F$3623,'📋 Транзакції'!$B$5:$B$3623,A134,'📋 Транзакції'!$C$5:$C$3623,"&gt;="&amp;EDATE(DATEVALUE(C134&amp;"-01"),2),'📋 Транзакції'!$C$5:$C$3623,"&lt;"&amp;EDATE(DATEVALUE(C134&amp;"-01"),3))</f>
        <v>0</v>
      </c>
      <c r="V134" s="37">
        <f>SUMIFS('📋 Транзакції'!$F$5:$F$3623,'📋 Транзакції'!$B$5:$B$3623,A134,'📋 Транзакції'!$C$5:$C$3623,"&gt;="&amp;EDATE(DATEVALUE(C134&amp;"-01"),3),'📋 Транзакції'!$C$5:$C$3623,"&lt;"&amp;EDATE(DATEVALUE(C134&amp;"-01"),4))</f>
        <v>0</v>
      </c>
      <c r="W134" s="37">
        <f>SUMIFS('📋 Транзакції'!$F$5:$F$3623,'📋 Транзакції'!$B$5:$B$3623,A134,'📋 Транзакції'!$C$5:$C$3623,"&gt;="&amp;EDATE(DATEVALUE(C134&amp;"-01"),4),'📋 Транзакції'!$C$5:$C$3623,"&lt;"&amp;EDATE(DATEVALUE(C134&amp;"-01"),5))</f>
        <v>0</v>
      </c>
      <c r="X134" s="37">
        <f>SUMIFS('📋 Транзакції'!$F$5:$F$3623,'📋 Транзакції'!$B$5:$B$3623,A134,'📋 Транзакції'!$C$5:$C$3623,"&gt;="&amp;EDATE(DATEVALUE(C134&amp;"-01"),5),'📋 Транзакції'!$C$5:$C$3623,"&lt;"&amp;EDATE(DATEVALUE(C134&amp;"-01"),6))</f>
        <v>0</v>
      </c>
      <c r="Y134" s="37">
        <f>SUMIFS('📋 Транзакції'!$F$5:$F$3623,'📋 Транзакції'!$B$5:$B$3623,A134,'📋 Транзакції'!$C$5:$C$3623,"&gt;="&amp;EDATE(DATEVALUE(C134&amp;"-01"),6),'📋 Транзакції'!$C$5:$C$3623,"&lt;"&amp;EDATE(DATEVALUE(C134&amp;"-01"),7))</f>
        <v>0</v>
      </c>
      <c r="Z134" s="37">
        <f>SUMIFS('📋 Транзакції'!$F$5:$F$3623,'📋 Транзакції'!$B$5:$B$3623,A134,'📋 Транзакції'!$C$5:$C$3623,"&gt;="&amp;EDATE(DATEVALUE(C134&amp;"-01"),7),'📋 Транзакції'!$C$5:$C$3623,"&lt;"&amp;EDATE(DATEVALUE(C134&amp;"-01"),8))</f>
        <v>0</v>
      </c>
      <c r="AA134" s="37">
        <f>SUMIFS('📋 Транзакції'!$F$5:$F$3623,'📋 Транзакції'!$B$5:$B$3623,A134,'📋 Транзакції'!$C$5:$C$3623,"&gt;="&amp;EDATE(DATEVALUE(C134&amp;"-01"),8),'📋 Транзакції'!$C$5:$C$3623,"&lt;"&amp;EDATE(DATEVALUE(C134&amp;"-01"),9))</f>
        <v>0</v>
      </c>
      <c r="AB134" s="37">
        <f>SUMIFS('📋 Транзакції'!$F$5:$F$3623,'📋 Транзакції'!$B$5:$B$3623,A134,'📋 Транзакції'!$C$5:$C$3623,"&gt;="&amp;EDATE(DATEVALUE(C134&amp;"-01"),9),'📋 Транзакції'!$C$5:$C$3623,"&lt;"&amp;EDATE(DATEVALUE(C134&amp;"-01"),10))</f>
        <v>0</v>
      </c>
      <c r="AC134" s="37">
        <f>SUMIFS('📋 Транзакції'!$F$5:$F$3623,'📋 Транзакції'!$B$5:$B$3623,A134,'📋 Транзакції'!$C$5:$C$3623,"&gt;="&amp;EDATE(DATEVALUE(C134&amp;"-01"),10),'📋 Транзакції'!$C$5:$C$3623,"&lt;"&amp;EDATE(DATEVALUE(C134&amp;"-01"),11))</f>
        <v>0</v>
      </c>
      <c r="AD134" s="37">
        <f>SUMIFS('📋 Транзакції'!$F$5:$F$3623,'📋 Транзакції'!$B$5:$B$3623,A134,'📋 Транзакції'!$C$5:$C$3623,"&gt;="&amp;EDATE(DATEVALUE(C134&amp;"-01"),11),'📋 Транзакції'!$C$5:$C$3623,"&lt;"&amp;EDATE(DATEVALUE(C134&amp;"-01"),12))</f>
        <v>0</v>
      </c>
    </row>
    <row r="135" ht="15.75" customHeight="1">
      <c r="A135" s="33" t="str">
        <f>'📋 Реєстрації'!A135:A736</f>
        <v>U0016</v>
      </c>
      <c r="B135" s="34">
        <f t="array" ref="B135">INDEX('📋 Транзакції'!$C$5:$C$3623,MATCH(A135,'📋 Транзакції'!$B$5:$B$3623,0))</f>
        <v>45425</v>
      </c>
      <c r="C135" s="35" t="str">
        <f t="shared" si="1"/>
        <v>2024-05</v>
      </c>
      <c r="D135" s="36">
        <f>COUNTIF('📋 Транзакції'!$B$5:$B$3623,A135)</f>
        <v>12</v>
      </c>
      <c r="E135" s="36">
        <f>SUMIF('📋 Транзакції'!$B$5:$B$3623,A135,'📋 Транзакції'!$F$5:$F$3623)</f>
        <v>219.89</v>
      </c>
      <c r="F135" s="35">
        <f>INT($A$1-MAXIFS('📋 Транзакції'!$C$5:$C$3623,'📋 Транзакції'!$B$5:$B$3623,A135))</f>
        <v>15</v>
      </c>
      <c r="G135" s="37">
        <f>IF(COUNTIFS('📋 Транзакції'!$B$5:$B$3623,A135,'📋 Транзакції'!$C$5:$C$3623,"&gt;="&amp;EDATE(DATEVALUE(C135&amp;"-01"),0),'📋 Транзакції'!$C$5:$C$3623,"&lt;"&amp;EDATE(DATEVALUE(C135&amp;"-01"),1))&gt;0,1,0)</f>
        <v>1</v>
      </c>
      <c r="H135" s="37">
        <f>IF(COUNTIFS('📋 Транзакції'!$B$5:$B$3623,A135,'📋 Транзакції'!$C$5:$C$3623,"&gt;="&amp;EDATE(DATEVALUE(C135&amp;"-01"),1),'📋 Транзакції'!$C$5:$C$3623,"&lt;"&amp;EDATE(DATEVALUE(C135&amp;"-01"),2))&gt;0,1,0)</f>
        <v>1</v>
      </c>
      <c r="I135" s="37">
        <f>IF(COUNTIFS('📋 Транзакції'!$B$5:$B$3623,A135,'📋 Транзакції'!$C$5:$C$3623,"&gt;="&amp;EDATE(DATEVALUE(C135&amp;"-01"),2),'📋 Транзакції'!$C$5:$C$3623,"&lt;"&amp;EDATE(DATEVALUE(C135&amp;"-01"),3))&gt;0,1,0)</f>
        <v>1</v>
      </c>
      <c r="J135" s="37">
        <f>IF(COUNTIFS('📋 Транзакції'!$B$5:$B$3623,A135,'📋 Транзакції'!$C$5:$C$3623,"&gt;="&amp;EDATE(DATEVALUE(C135&amp;"-01"),3),'📋 Транзакції'!$C$5:$C$3623,"&lt;"&amp;EDATE(DATEVALUE(C135&amp;"-01"),4))&gt;0,1,0)</f>
        <v>1</v>
      </c>
      <c r="K135" s="37">
        <f>IF(COUNTIFS('📋 Транзакції'!$B$5:$B$3623,A135,'📋 Транзакції'!$C$5:$C$3623,"&gt;="&amp;EDATE(DATEVALUE(C135&amp;"-01"),4),'📋 Транзакції'!$C$5:$C$3623,"&lt;"&amp;EDATE(DATEVALUE(C135&amp;"-01"),5))&gt;0,1,0)</f>
        <v>1</v>
      </c>
      <c r="L135" s="37">
        <f>IF(COUNTIFS('📋 Транзакції'!$B$5:$B$3623,A135,'📋 Транзакції'!$C$5:$C$3623,"&gt;="&amp;EDATE(DATEVALUE(C135&amp;"-01"),5),'📋 Транзакції'!$C$5:$C$3623,"&lt;"&amp;EDATE(DATEVALUE(C135&amp;"-01"),6))&gt;0,1,0)</f>
        <v>1</v>
      </c>
      <c r="M135" s="37">
        <f>IF(COUNTIFS('📋 Транзакції'!$B$5:$B$3623,A135,'📋 Транзакції'!$C$5:$C$3623,"&gt;="&amp;EDATE(DATEVALUE(C135&amp;"-01"),6),'📋 Транзакції'!$C$5:$C$3623,"&lt;"&amp;EDATE(DATEVALUE(C135&amp;"-01"),7))&gt;0,1,0)</f>
        <v>1</v>
      </c>
      <c r="N135" s="37">
        <f>IF(COUNTIFS('📋 Транзакції'!$B$5:$B$3623,A135,'📋 Транзакції'!$C$5:$C$3623,"&gt;="&amp;EDATE(DATEVALUE(C135&amp;"-01"),7),'📋 Транзакції'!$C$5:$C$3623,"&lt;"&amp;EDATE(DATEVALUE(C135&amp;"-01"),8))&gt;0,1,0)</f>
        <v>1</v>
      </c>
      <c r="O135" s="37">
        <f>IF(COUNTIFS('📋 Транзакції'!$B$5:$B$3623,A135,'📋 Транзакції'!$C$5:$C$3623,"&gt;="&amp;EDATE(DATEVALUE(C135&amp;"-01"),8),'📋 Транзакції'!$C$5:$C$3623,"&lt;"&amp;EDATE(DATEVALUE(C135&amp;"-01"),9))&gt;0,1,0)</f>
        <v>1</v>
      </c>
      <c r="P135" s="37">
        <f>IF(COUNTIFS('📋 Транзакції'!$B$5:$B$3623,A135,'📋 Транзакції'!$C$5:$C$3623,"&gt;="&amp;EDATE(DATEVALUE(C135&amp;"-01"),9),'📋 Транзакції'!$C$5:$C$3623,"&lt;"&amp;EDATE(DATEVALUE(C135&amp;"-01"),10))&gt;0,1,0)</f>
        <v>1</v>
      </c>
      <c r="Q135" s="37">
        <f>IF(COUNTIFS('📋 Транзакції'!$B$5:$B$3623,A135,'📋 Транзакції'!$C$5:$C$3623,"&gt;="&amp;EDATE(DATEVALUE(C135&amp;"-01"),10),'📋 Транзакції'!$C$5:$C$3623,"&lt;"&amp;EDATE(DATEVALUE(C135&amp;"-01"),11))&gt;0,1,0)</f>
        <v>1</v>
      </c>
      <c r="R135" s="37">
        <f>IF(COUNTIFS('📋 Транзакції'!$B$5:$B$3623,A135,'📋 Транзакції'!$C$5:$C$3623,"&gt;="&amp;EDATE(DATEVALUE(C135&amp;"-01"),11),'📋 Транзакції'!$C$5:$C$3623,"&lt;"&amp;EDATE(DATEVALUE(C135&amp;"-01"),12))&gt;0,1,0)</f>
        <v>0</v>
      </c>
      <c r="S135" s="37">
        <f>SUMIFS('📋 Транзакції'!$F$5:$F$3623,'📋 Транзакції'!$B$5:$B$3623,A135,'📋 Транзакції'!$C$5:$C$3623,"&gt;="&amp;EDATE(DATEVALUE(C135&amp;"-01"),0),'📋 Транзакції'!$C$5:$C$3623,"&lt;"&amp;EDATE(DATEVALUE(C135&amp;"-01"),1))</f>
        <v>19.99</v>
      </c>
      <c r="T135" s="37">
        <f>SUMIFS('📋 Транзакції'!$F$5:$F$3623,'📋 Транзакції'!$B$5:$B$3623,A135,'📋 Транзакції'!$C$5:$C$3623,"&gt;="&amp;EDATE(DATEVALUE(C135&amp;"-01"),1),'📋 Транзакції'!$C$5:$C$3623,"&lt;"&amp;EDATE(DATEVALUE(C135&amp;"-01"),2))</f>
        <v>19.99</v>
      </c>
      <c r="U135" s="37">
        <f>SUMIFS('📋 Транзакції'!$F$5:$F$3623,'📋 Транзакції'!$B$5:$B$3623,A135,'📋 Транзакції'!$C$5:$C$3623,"&gt;="&amp;EDATE(DATEVALUE(C135&amp;"-01"),2),'📋 Транзакції'!$C$5:$C$3623,"&lt;"&amp;EDATE(DATEVALUE(C135&amp;"-01"),3))</f>
        <v>19.99</v>
      </c>
      <c r="V135" s="37">
        <f>SUMIFS('📋 Транзакції'!$F$5:$F$3623,'📋 Транзакції'!$B$5:$B$3623,A135,'📋 Транзакції'!$C$5:$C$3623,"&gt;="&amp;EDATE(DATEVALUE(C135&amp;"-01"),3),'📋 Транзакції'!$C$5:$C$3623,"&lt;"&amp;EDATE(DATEVALUE(C135&amp;"-01"),4))</f>
        <v>19.99</v>
      </c>
      <c r="W135" s="37">
        <f>SUMIFS('📋 Транзакції'!$F$5:$F$3623,'📋 Транзакції'!$B$5:$B$3623,A135,'📋 Транзакції'!$C$5:$C$3623,"&gt;="&amp;EDATE(DATEVALUE(C135&amp;"-01"),4),'📋 Транзакції'!$C$5:$C$3623,"&lt;"&amp;EDATE(DATEVALUE(C135&amp;"-01"),5))</f>
        <v>19.99</v>
      </c>
      <c r="X135" s="37">
        <f>SUMIFS('📋 Транзакції'!$F$5:$F$3623,'📋 Транзакції'!$B$5:$B$3623,A135,'📋 Транзакції'!$C$5:$C$3623,"&gt;="&amp;EDATE(DATEVALUE(C135&amp;"-01"),5),'📋 Транзакції'!$C$5:$C$3623,"&lt;"&amp;EDATE(DATEVALUE(C135&amp;"-01"),6))</f>
        <v>19.99</v>
      </c>
      <c r="Y135" s="37">
        <f>SUMIFS('📋 Транзакції'!$F$5:$F$3623,'📋 Транзакції'!$B$5:$B$3623,A135,'📋 Транзакції'!$C$5:$C$3623,"&gt;="&amp;EDATE(DATEVALUE(C135&amp;"-01"),6),'📋 Транзакції'!$C$5:$C$3623,"&lt;"&amp;EDATE(DATEVALUE(C135&amp;"-01"),7))</f>
        <v>19.99</v>
      </c>
      <c r="Z135" s="37">
        <f>SUMIFS('📋 Транзакції'!$F$5:$F$3623,'📋 Транзакції'!$B$5:$B$3623,A135,'📋 Транзакції'!$C$5:$C$3623,"&gt;="&amp;EDATE(DATEVALUE(C135&amp;"-01"),7),'📋 Транзакції'!$C$5:$C$3623,"&lt;"&amp;EDATE(DATEVALUE(C135&amp;"-01"),8))</f>
        <v>19.99</v>
      </c>
      <c r="AA135" s="37">
        <f>SUMIFS('📋 Транзакції'!$F$5:$F$3623,'📋 Транзакції'!$B$5:$B$3623,A135,'📋 Транзакції'!$C$5:$C$3623,"&gt;="&amp;EDATE(DATEVALUE(C135&amp;"-01"),8),'📋 Транзакції'!$C$5:$C$3623,"&lt;"&amp;EDATE(DATEVALUE(C135&amp;"-01"),9))</f>
        <v>19.99</v>
      </c>
      <c r="AB135" s="37">
        <f>SUMIFS('📋 Транзакції'!$F$5:$F$3623,'📋 Транзакції'!$B$5:$B$3623,A135,'📋 Транзакції'!$C$5:$C$3623,"&gt;="&amp;EDATE(DATEVALUE(C135&amp;"-01"),9),'📋 Транзакції'!$C$5:$C$3623,"&lt;"&amp;EDATE(DATEVALUE(C135&amp;"-01"),10))</f>
        <v>19.99</v>
      </c>
      <c r="AC135" s="37">
        <f>SUMIFS('📋 Транзакції'!$F$5:$F$3623,'📋 Транзакції'!$B$5:$B$3623,A135,'📋 Транзакції'!$C$5:$C$3623,"&gt;="&amp;EDATE(DATEVALUE(C135&amp;"-01"),10),'📋 Транзакції'!$C$5:$C$3623,"&lt;"&amp;EDATE(DATEVALUE(C135&amp;"-01"),11))</f>
        <v>19.99</v>
      </c>
      <c r="AD135" s="37">
        <f>SUMIFS('📋 Транзакції'!$F$5:$F$3623,'📋 Транзакції'!$B$5:$B$3623,A135,'📋 Транзакції'!$C$5:$C$3623,"&gt;="&amp;EDATE(DATEVALUE(C135&amp;"-01"),11),'📋 Транзакції'!$C$5:$C$3623,"&lt;"&amp;EDATE(DATEVALUE(C135&amp;"-01"),12))</f>
        <v>0</v>
      </c>
    </row>
    <row r="136" ht="15.75" customHeight="1">
      <c r="A136" s="33" t="str">
        <f>'📋 Реєстрації'!A136:A737</f>
        <v>U0388</v>
      </c>
      <c r="B136" s="34">
        <f t="array" ref="B136">INDEX('📋 Транзакції'!$C$5:$C$3623,MATCH(A136,'📋 Транзакції'!$B$5:$B$3623,0))</f>
        <v>45425</v>
      </c>
      <c r="C136" s="35" t="str">
        <f t="shared" si="1"/>
        <v>2024-05</v>
      </c>
      <c r="D136" s="36">
        <f>COUNTIF('📋 Транзакції'!$B$5:$B$3623,A136)</f>
        <v>4</v>
      </c>
      <c r="E136" s="36">
        <f>SUMIF('📋 Транзакції'!$B$5:$B$3623,A136,'📋 Транзакції'!$F$5:$F$3623)</f>
        <v>59.97</v>
      </c>
      <c r="F136" s="35">
        <f>INT($A$1-MAXIFS('📋 Транзакції'!$C$5:$C$3623,'📋 Транзакції'!$B$5:$B$3623,A136))</f>
        <v>255</v>
      </c>
      <c r="G136" s="37">
        <f>IF(COUNTIFS('📋 Транзакції'!$B$5:$B$3623,A136,'📋 Транзакції'!$C$5:$C$3623,"&gt;="&amp;EDATE(DATEVALUE(C136&amp;"-01"),0),'📋 Транзакції'!$C$5:$C$3623,"&lt;"&amp;EDATE(DATEVALUE(C136&amp;"-01"),1))&gt;0,1,0)</f>
        <v>1</v>
      </c>
      <c r="H136" s="37">
        <f>IF(COUNTIFS('📋 Транзакції'!$B$5:$B$3623,A136,'📋 Транзакції'!$C$5:$C$3623,"&gt;="&amp;EDATE(DATEVALUE(C136&amp;"-01"),1),'📋 Транзакції'!$C$5:$C$3623,"&lt;"&amp;EDATE(DATEVALUE(C136&amp;"-01"),2))&gt;0,1,0)</f>
        <v>1</v>
      </c>
      <c r="I136" s="37">
        <f>IF(COUNTIFS('📋 Транзакції'!$B$5:$B$3623,A136,'📋 Транзакції'!$C$5:$C$3623,"&gt;="&amp;EDATE(DATEVALUE(C136&amp;"-01"),2),'📋 Транзакції'!$C$5:$C$3623,"&lt;"&amp;EDATE(DATEVALUE(C136&amp;"-01"),3))&gt;0,1,0)</f>
        <v>1</v>
      </c>
      <c r="J136" s="37">
        <f>IF(COUNTIFS('📋 Транзакції'!$B$5:$B$3623,A136,'📋 Транзакції'!$C$5:$C$3623,"&gt;="&amp;EDATE(DATEVALUE(C136&amp;"-01"),3),'📋 Транзакції'!$C$5:$C$3623,"&lt;"&amp;EDATE(DATEVALUE(C136&amp;"-01"),4))&gt;0,1,0)</f>
        <v>0</v>
      </c>
      <c r="K136" s="37">
        <f>IF(COUNTIFS('📋 Транзакції'!$B$5:$B$3623,A136,'📋 Транзакції'!$C$5:$C$3623,"&gt;="&amp;EDATE(DATEVALUE(C136&amp;"-01"),4),'📋 Транзакції'!$C$5:$C$3623,"&lt;"&amp;EDATE(DATEVALUE(C136&amp;"-01"),5))&gt;0,1,0)</f>
        <v>0</v>
      </c>
      <c r="L136" s="37">
        <f>IF(COUNTIFS('📋 Транзакції'!$B$5:$B$3623,A136,'📋 Транзакції'!$C$5:$C$3623,"&gt;="&amp;EDATE(DATEVALUE(C136&amp;"-01"),5),'📋 Транзакції'!$C$5:$C$3623,"&lt;"&amp;EDATE(DATEVALUE(C136&amp;"-01"),6))&gt;0,1,0)</f>
        <v>0</v>
      </c>
      <c r="M136" s="37">
        <f>IF(COUNTIFS('📋 Транзакції'!$B$5:$B$3623,A136,'📋 Транзакції'!$C$5:$C$3623,"&gt;="&amp;EDATE(DATEVALUE(C136&amp;"-01"),6),'📋 Транзакції'!$C$5:$C$3623,"&lt;"&amp;EDATE(DATEVALUE(C136&amp;"-01"),7))&gt;0,1,0)</f>
        <v>0</v>
      </c>
      <c r="N136" s="37">
        <f>IF(COUNTIFS('📋 Транзакції'!$B$5:$B$3623,A136,'📋 Транзакції'!$C$5:$C$3623,"&gt;="&amp;EDATE(DATEVALUE(C136&amp;"-01"),7),'📋 Транзакції'!$C$5:$C$3623,"&lt;"&amp;EDATE(DATEVALUE(C136&amp;"-01"),8))&gt;0,1,0)</f>
        <v>0</v>
      </c>
      <c r="O136" s="37">
        <f>IF(COUNTIFS('📋 Транзакції'!$B$5:$B$3623,A136,'📋 Транзакції'!$C$5:$C$3623,"&gt;="&amp;EDATE(DATEVALUE(C136&amp;"-01"),8),'📋 Транзакції'!$C$5:$C$3623,"&lt;"&amp;EDATE(DATEVALUE(C136&amp;"-01"),9))&gt;0,1,0)</f>
        <v>0</v>
      </c>
      <c r="P136" s="37">
        <f>IF(COUNTIFS('📋 Транзакції'!$B$5:$B$3623,A136,'📋 Транзакції'!$C$5:$C$3623,"&gt;="&amp;EDATE(DATEVALUE(C136&amp;"-01"),9),'📋 Транзакції'!$C$5:$C$3623,"&lt;"&amp;EDATE(DATEVALUE(C136&amp;"-01"),10))&gt;0,1,0)</f>
        <v>0</v>
      </c>
      <c r="Q136" s="37">
        <f>IF(COUNTIFS('📋 Транзакції'!$B$5:$B$3623,A136,'📋 Транзакції'!$C$5:$C$3623,"&gt;="&amp;EDATE(DATEVALUE(C136&amp;"-01"),10),'📋 Транзакції'!$C$5:$C$3623,"&lt;"&amp;EDATE(DATEVALUE(C136&amp;"-01"),11))&gt;0,1,0)</f>
        <v>0</v>
      </c>
      <c r="R136" s="37">
        <f>IF(COUNTIFS('📋 Транзакції'!$B$5:$B$3623,A136,'📋 Транзакції'!$C$5:$C$3623,"&gt;="&amp;EDATE(DATEVALUE(C136&amp;"-01"),11),'📋 Транзакції'!$C$5:$C$3623,"&lt;"&amp;EDATE(DATEVALUE(C136&amp;"-01"),12))&gt;0,1,0)</f>
        <v>0</v>
      </c>
      <c r="S136" s="37">
        <f>SUMIFS('📋 Транзакції'!$F$5:$F$3623,'📋 Транзакції'!$B$5:$B$3623,A136,'📋 Транзакції'!$C$5:$C$3623,"&gt;="&amp;EDATE(DATEVALUE(C136&amp;"-01"),0),'📋 Транзакції'!$C$5:$C$3623,"&lt;"&amp;EDATE(DATEVALUE(C136&amp;"-01"),1))</f>
        <v>19.99</v>
      </c>
      <c r="T136" s="37">
        <f>SUMIFS('📋 Транзакції'!$F$5:$F$3623,'📋 Транзакції'!$B$5:$B$3623,A136,'📋 Транзакції'!$C$5:$C$3623,"&gt;="&amp;EDATE(DATEVALUE(C136&amp;"-01"),1),'📋 Транзакції'!$C$5:$C$3623,"&lt;"&amp;EDATE(DATEVALUE(C136&amp;"-01"),2))</f>
        <v>19.99</v>
      </c>
      <c r="U136" s="37">
        <f>SUMIFS('📋 Транзакції'!$F$5:$F$3623,'📋 Транзакції'!$B$5:$B$3623,A136,'📋 Транзакції'!$C$5:$C$3623,"&gt;="&amp;EDATE(DATEVALUE(C136&amp;"-01"),2),'📋 Транзакції'!$C$5:$C$3623,"&lt;"&amp;EDATE(DATEVALUE(C136&amp;"-01"),3))</f>
        <v>19.99</v>
      </c>
      <c r="V136" s="37">
        <f>SUMIFS('📋 Транзакції'!$F$5:$F$3623,'📋 Транзакції'!$B$5:$B$3623,A136,'📋 Транзакції'!$C$5:$C$3623,"&gt;="&amp;EDATE(DATEVALUE(C136&amp;"-01"),3),'📋 Транзакції'!$C$5:$C$3623,"&lt;"&amp;EDATE(DATEVALUE(C136&amp;"-01"),4))</f>
        <v>0</v>
      </c>
      <c r="W136" s="37">
        <f>SUMIFS('📋 Транзакції'!$F$5:$F$3623,'📋 Транзакції'!$B$5:$B$3623,A136,'📋 Транзакції'!$C$5:$C$3623,"&gt;="&amp;EDATE(DATEVALUE(C136&amp;"-01"),4),'📋 Транзакції'!$C$5:$C$3623,"&lt;"&amp;EDATE(DATEVALUE(C136&amp;"-01"),5))</f>
        <v>0</v>
      </c>
      <c r="X136" s="37">
        <f>SUMIFS('📋 Транзакції'!$F$5:$F$3623,'📋 Транзакції'!$B$5:$B$3623,A136,'📋 Транзакції'!$C$5:$C$3623,"&gt;="&amp;EDATE(DATEVALUE(C136&amp;"-01"),5),'📋 Транзакції'!$C$5:$C$3623,"&lt;"&amp;EDATE(DATEVALUE(C136&amp;"-01"),6))</f>
        <v>0</v>
      </c>
      <c r="Y136" s="37">
        <f>SUMIFS('📋 Транзакції'!$F$5:$F$3623,'📋 Транзакції'!$B$5:$B$3623,A136,'📋 Транзакції'!$C$5:$C$3623,"&gt;="&amp;EDATE(DATEVALUE(C136&amp;"-01"),6),'📋 Транзакції'!$C$5:$C$3623,"&lt;"&amp;EDATE(DATEVALUE(C136&amp;"-01"),7))</f>
        <v>0</v>
      </c>
      <c r="Z136" s="37">
        <f>SUMIFS('📋 Транзакції'!$F$5:$F$3623,'📋 Транзакції'!$B$5:$B$3623,A136,'📋 Транзакції'!$C$5:$C$3623,"&gt;="&amp;EDATE(DATEVALUE(C136&amp;"-01"),7),'📋 Транзакції'!$C$5:$C$3623,"&lt;"&amp;EDATE(DATEVALUE(C136&amp;"-01"),8))</f>
        <v>0</v>
      </c>
      <c r="AA136" s="37">
        <f>SUMIFS('📋 Транзакції'!$F$5:$F$3623,'📋 Транзакції'!$B$5:$B$3623,A136,'📋 Транзакції'!$C$5:$C$3623,"&gt;="&amp;EDATE(DATEVALUE(C136&amp;"-01"),8),'📋 Транзакції'!$C$5:$C$3623,"&lt;"&amp;EDATE(DATEVALUE(C136&amp;"-01"),9))</f>
        <v>0</v>
      </c>
      <c r="AB136" s="37">
        <f>SUMIFS('📋 Транзакції'!$F$5:$F$3623,'📋 Транзакції'!$B$5:$B$3623,A136,'📋 Транзакції'!$C$5:$C$3623,"&gt;="&amp;EDATE(DATEVALUE(C136&amp;"-01"),9),'📋 Транзакції'!$C$5:$C$3623,"&lt;"&amp;EDATE(DATEVALUE(C136&amp;"-01"),10))</f>
        <v>0</v>
      </c>
      <c r="AC136" s="37">
        <f>SUMIFS('📋 Транзакції'!$F$5:$F$3623,'📋 Транзакції'!$B$5:$B$3623,A136,'📋 Транзакції'!$C$5:$C$3623,"&gt;="&amp;EDATE(DATEVALUE(C136&amp;"-01"),10),'📋 Транзакції'!$C$5:$C$3623,"&lt;"&amp;EDATE(DATEVALUE(C136&amp;"-01"),11))</f>
        <v>0</v>
      </c>
      <c r="AD136" s="37">
        <f>SUMIFS('📋 Транзакції'!$F$5:$F$3623,'📋 Транзакції'!$B$5:$B$3623,A136,'📋 Транзакції'!$C$5:$C$3623,"&gt;="&amp;EDATE(DATEVALUE(C136&amp;"-01"),11),'📋 Транзакції'!$C$5:$C$3623,"&lt;"&amp;EDATE(DATEVALUE(C136&amp;"-01"),12))</f>
        <v>0</v>
      </c>
    </row>
    <row r="137" ht="15.75" customHeight="1">
      <c r="A137" s="33" t="str">
        <f>'📋 Реєстрації'!A137:A738</f>
        <v>U0853</v>
      </c>
      <c r="B137" s="34">
        <f t="array" ref="B137">INDEX('📋 Транзакції'!$C$5:$C$3623,MATCH(A137,'📋 Транзакції'!$B$5:$B$3623,0))</f>
        <v>45425</v>
      </c>
      <c r="C137" s="35" t="str">
        <f t="shared" si="1"/>
        <v>2024-05</v>
      </c>
      <c r="D137" s="36">
        <f>COUNTIF('📋 Транзакції'!$B$5:$B$3623,A137)</f>
        <v>4</v>
      </c>
      <c r="E137" s="36">
        <f>SUMIF('📋 Транзакції'!$B$5:$B$3623,A137,'📋 Транзакції'!$F$5:$F$3623)</f>
        <v>59.97</v>
      </c>
      <c r="F137" s="35">
        <f>INT($A$1-MAXIFS('📋 Транзакції'!$C$5:$C$3623,'📋 Транзакції'!$B$5:$B$3623,A137))</f>
        <v>255</v>
      </c>
      <c r="G137" s="37">
        <f>IF(COUNTIFS('📋 Транзакції'!$B$5:$B$3623,A137,'📋 Транзакції'!$C$5:$C$3623,"&gt;="&amp;EDATE(DATEVALUE(C137&amp;"-01"),0),'📋 Транзакції'!$C$5:$C$3623,"&lt;"&amp;EDATE(DATEVALUE(C137&amp;"-01"),1))&gt;0,1,0)</f>
        <v>1</v>
      </c>
      <c r="H137" s="37">
        <f>IF(COUNTIFS('📋 Транзакції'!$B$5:$B$3623,A137,'📋 Транзакції'!$C$5:$C$3623,"&gt;="&amp;EDATE(DATEVALUE(C137&amp;"-01"),1),'📋 Транзакції'!$C$5:$C$3623,"&lt;"&amp;EDATE(DATEVALUE(C137&amp;"-01"),2))&gt;0,1,0)</f>
        <v>1</v>
      </c>
      <c r="I137" s="37">
        <f>IF(COUNTIFS('📋 Транзакції'!$B$5:$B$3623,A137,'📋 Транзакції'!$C$5:$C$3623,"&gt;="&amp;EDATE(DATEVALUE(C137&amp;"-01"),2),'📋 Транзакції'!$C$5:$C$3623,"&lt;"&amp;EDATE(DATEVALUE(C137&amp;"-01"),3))&gt;0,1,0)</f>
        <v>1</v>
      </c>
      <c r="J137" s="37">
        <f>IF(COUNTIFS('📋 Транзакції'!$B$5:$B$3623,A137,'📋 Транзакції'!$C$5:$C$3623,"&gt;="&amp;EDATE(DATEVALUE(C137&amp;"-01"),3),'📋 Транзакції'!$C$5:$C$3623,"&lt;"&amp;EDATE(DATEVALUE(C137&amp;"-01"),4))&gt;0,1,0)</f>
        <v>0</v>
      </c>
      <c r="K137" s="37">
        <f>IF(COUNTIFS('📋 Транзакції'!$B$5:$B$3623,A137,'📋 Транзакції'!$C$5:$C$3623,"&gt;="&amp;EDATE(DATEVALUE(C137&amp;"-01"),4),'📋 Транзакції'!$C$5:$C$3623,"&lt;"&amp;EDATE(DATEVALUE(C137&amp;"-01"),5))&gt;0,1,0)</f>
        <v>0</v>
      </c>
      <c r="L137" s="37">
        <f>IF(COUNTIFS('📋 Транзакції'!$B$5:$B$3623,A137,'📋 Транзакції'!$C$5:$C$3623,"&gt;="&amp;EDATE(DATEVALUE(C137&amp;"-01"),5),'📋 Транзакції'!$C$5:$C$3623,"&lt;"&amp;EDATE(DATEVALUE(C137&amp;"-01"),6))&gt;0,1,0)</f>
        <v>0</v>
      </c>
      <c r="M137" s="37">
        <f>IF(COUNTIFS('📋 Транзакції'!$B$5:$B$3623,A137,'📋 Транзакції'!$C$5:$C$3623,"&gt;="&amp;EDATE(DATEVALUE(C137&amp;"-01"),6),'📋 Транзакції'!$C$5:$C$3623,"&lt;"&amp;EDATE(DATEVALUE(C137&amp;"-01"),7))&gt;0,1,0)</f>
        <v>0</v>
      </c>
      <c r="N137" s="37">
        <f>IF(COUNTIFS('📋 Транзакції'!$B$5:$B$3623,A137,'📋 Транзакції'!$C$5:$C$3623,"&gt;="&amp;EDATE(DATEVALUE(C137&amp;"-01"),7),'📋 Транзакції'!$C$5:$C$3623,"&lt;"&amp;EDATE(DATEVALUE(C137&amp;"-01"),8))&gt;0,1,0)</f>
        <v>0</v>
      </c>
      <c r="O137" s="37">
        <f>IF(COUNTIFS('📋 Транзакції'!$B$5:$B$3623,A137,'📋 Транзакції'!$C$5:$C$3623,"&gt;="&amp;EDATE(DATEVALUE(C137&amp;"-01"),8),'📋 Транзакції'!$C$5:$C$3623,"&lt;"&amp;EDATE(DATEVALUE(C137&amp;"-01"),9))&gt;0,1,0)</f>
        <v>0</v>
      </c>
      <c r="P137" s="37">
        <f>IF(COUNTIFS('📋 Транзакції'!$B$5:$B$3623,A137,'📋 Транзакції'!$C$5:$C$3623,"&gt;="&amp;EDATE(DATEVALUE(C137&amp;"-01"),9),'📋 Транзакції'!$C$5:$C$3623,"&lt;"&amp;EDATE(DATEVALUE(C137&amp;"-01"),10))&gt;0,1,0)</f>
        <v>0</v>
      </c>
      <c r="Q137" s="37">
        <f>IF(COUNTIFS('📋 Транзакції'!$B$5:$B$3623,A137,'📋 Транзакції'!$C$5:$C$3623,"&gt;="&amp;EDATE(DATEVALUE(C137&amp;"-01"),10),'📋 Транзакції'!$C$5:$C$3623,"&lt;"&amp;EDATE(DATEVALUE(C137&amp;"-01"),11))&gt;0,1,0)</f>
        <v>0</v>
      </c>
      <c r="R137" s="37">
        <f>IF(COUNTIFS('📋 Транзакції'!$B$5:$B$3623,A137,'📋 Транзакції'!$C$5:$C$3623,"&gt;="&amp;EDATE(DATEVALUE(C137&amp;"-01"),11),'📋 Транзакції'!$C$5:$C$3623,"&lt;"&amp;EDATE(DATEVALUE(C137&amp;"-01"),12))&gt;0,1,0)</f>
        <v>0</v>
      </c>
      <c r="S137" s="37">
        <f>SUMIFS('📋 Транзакції'!$F$5:$F$3623,'📋 Транзакції'!$B$5:$B$3623,A137,'📋 Транзакції'!$C$5:$C$3623,"&gt;="&amp;EDATE(DATEVALUE(C137&amp;"-01"),0),'📋 Транзакції'!$C$5:$C$3623,"&lt;"&amp;EDATE(DATEVALUE(C137&amp;"-01"),1))</f>
        <v>19.99</v>
      </c>
      <c r="T137" s="37">
        <f>SUMIFS('📋 Транзакції'!$F$5:$F$3623,'📋 Транзакції'!$B$5:$B$3623,A137,'📋 Транзакції'!$C$5:$C$3623,"&gt;="&amp;EDATE(DATEVALUE(C137&amp;"-01"),1),'📋 Транзакції'!$C$5:$C$3623,"&lt;"&amp;EDATE(DATEVALUE(C137&amp;"-01"),2))</f>
        <v>19.99</v>
      </c>
      <c r="U137" s="37">
        <f>SUMIFS('📋 Транзакції'!$F$5:$F$3623,'📋 Транзакції'!$B$5:$B$3623,A137,'📋 Транзакції'!$C$5:$C$3623,"&gt;="&amp;EDATE(DATEVALUE(C137&amp;"-01"),2),'📋 Транзакції'!$C$5:$C$3623,"&lt;"&amp;EDATE(DATEVALUE(C137&amp;"-01"),3))</f>
        <v>19.99</v>
      </c>
      <c r="V137" s="37">
        <f>SUMIFS('📋 Транзакції'!$F$5:$F$3623,'📋 Транзакції'!$B$5:$B$3623,A137,'📋 Транзакції'!$C$5:$C$3623,"&gt;="&amp;EDATE(DATEVALUE(C137&amp;"-01"),3),'📋 Транзакції'!$C$5:$C$3623,"&lt;"&amp;EDATE(DATEVALUE(C137&amp;"-01"),4))</f>
        <v>0</v>
      </c>
      <c r="W137" s="37">
        <f>SUMIFS('📋 Транзакції'!$F$5:$F$3623,'📋 Транзакції'!$B$5:$B$3623,A137,'📋 Транзакції'!$C$5:$C$3623,"&gt;="&amp;EDATE(DATEVALUE(C137&amp;"-01"),4),'📋 Транзакції'!$C$5:$C$3623,"&lt;"&amp;EDATE(DATEVALUE(C137&amp;"-01"),5))</f>
        <v>0</v>
      </c>
      <c r="X137" s="37">
        <f>SUMIFS('📋 Транзакції'!$F$5:$F$3623,'📋 Транзакції'!$B$5:$B$3623,A137,'📋 Транзакції'!$C$5:$C$3623,"&gt;="&amp;EDATE(DATEVALUE(C137&amp;"-01"),5),'📋 Транзакції'!$C$5:$C$3623,"&lt;"&amp;EDATE(DATEVALUE(C137&amp;"-01"),6))</f>
        <v>0</v>
      </c>
      <c r="Y137" s="37">
        <f>SUMIFS('📋 Транзакції'!$F$5:$F$3623,'📋 Транзакції'!$B$5:$B$3623,A137,'📋 Транзакції'!$C$5:$C$3623,"&gt;="&amp;EDATE(DATEVALUE(C137&amp;"-01"),6),'📋 Транзакції'!$C$5:$C$3623,"&lt;"&amp;EDATE(DATEVALUE(C137&amp;"-01"),7))</f>
        <v>0</v>
      </c>
      <c r="Z137" s="37">
        <f>SUMIFS('📋 Транзакції'!$F$5:$F$3623,'📋 Транзакції'!$B$5:$B$3623,A137,'📋 Транзакції'!$C$5:$C$3623,"&gt;="&amp;EDATE(DATEVALUE(C137&amp;"-01"),7),'📋 Транзакції'!$C$5:$C$3623,"&lt;"&amp;EDATE(DATEVALUE(C137&amp;"-01"),8))</f>
        <v>0</v>
      </c>
      <c r="AA137" s="37">
        <f>SUMIFS('📋 Транзакції'!$F$5:$F$3623,'📋 Транзакції'!$B$5:$B$3623,A137,'📋 Транзакції'!$C$5:$C$3623,"&gt;="&amp;EDATE(DATEVALUE(C137&amp;"-01"),8),'📋 Транзакції'!$C$5:$C$3623,"&lt;"&amp;EDATE(DATEVALUE(C137&amp;"-01"),9))</f>
        <v>0</v>
      </c>
      <c r="AB137" s="37">
        <f>SUMIFS('📋 Транзакції'!$F$5:$F$3623,'📋 Транзакції'!$B$5:$B$3623,A137,'📋 Транзакції'!$C$5:$C$3623,"&gt;="&amp;EDATE(DATEVALUE(C137&amp;"-01"),9),'📋 Транзакції'!$C$5:$C$3623,"&lt;"&amp;EDATE(DATEVALUE(C137&amp;"-01"),10))</f>
        <v>0</v>
      </c>
      <c r="AC137" s="37">
        <f>SUMIFS('📋 Транзакції'!$F$5:$F$3623,'📋 Транзакції'!$B$5:$B$3623,A137,'📋 Транзакції'!$C$5:$C$3623,"&gt;="&amp;EDATE(DATEVALUE(C137&amp;"-01"),10),'📋 Транзакції'!$C$5:$C$3623,"&lt;"&amp;EDATE(DATEVALUE(C137&amp;"-01"),11))</f>
        <v>0</v>
      </c>
      <c r="AD137" s="37">
        <f>SUMIFS('📋 Транзакції'!$F$5:$F$3623,'📋 Транзакції'!$B$5:$B$3623,A137,'📋 Транзакції'!$C$5:$C$3623,"&gt;="&amp;EDATE(DATEVALUE(C137&amp;"-01"),11),'📋 Транзакції'!$C$5:$C$3623,"&lt;"&amp;EDATE(DATEVALUE(C137&amp;"-01"),12))</f>
        <v>0</v>
      </c>
    </row>
    <row r="138" ht="15.75" customHeight="1">
      <c r="A138" s="33" t="str">
        <f>'📋 Реєстрації'!A138:A739</f>
        <v>U0318</v>
      </c>
      <c r="B138" s="34">
        <f t="array" ref="B138">INDEX('📋 Транзакції'!$C$5:$C$3623,MATCH(A138,'📋 Транзакції'!$B$5:$B$3623,0))</f>
        <v>45426</v>
      </c>
      <c r="C138" s="35" t="str">
        <f t="shared" si="1"/>
        <v>2024-05</v>
      </c>
      <c r="D138" s="36">
        <f>COUNTIF('📋 Транзакції'!$B$5:$B$3623,A138)</f>
        <v>12</v>
      </c>
      <c r="E138" s="36">
        <f>SUMIF('📋 Транзакції'!$B$5:$B$3623,A138,'📋 Транзакції'!$F$5:$F$3623)</f>
        <v>219.89</v>
      </c>
      <c r="F138" s="35">
        <f>INT($A$1-MAXIFS('📋 Транзакції'!$C$5:$C$3623,'📋 Транзакції'!$B$5:$B$3623,A138))</f>
        <v>14</v>
      </c>
      <c r="G138" s="37">
        <f>IF(COUNTIFS('📋 Транзакції'!$B$5:$B$3623,A138,'📋 Транзакції'!$C$5:$C$3623,"&gt;="&amp;EDATE(DATEVALUE(C138&amp;"-01"),0),'📋 Транзакції'!$C$5:$C$3623,"&lt;"&amp;EDATE(DATEVALUE(C138&amp;"-01"),1))&gt;0,1,0)</f>
        <v>1</v>
      </c>
      <c r="H138" s="37">
        <f>IF(COUNTIFS('📋 Транзакції'!$B$5:$B$3623,A138,'📋 Транзакції'!$C$5:$C$3623,"&gt;="&amp;EDATE(DATEVALUE(C138&amp;"-01"),1),'📋 Транзакції'!$C$5:$C$3623,"&lt;"&amp;EDATE(DATEVALUE(C138&amp;"-01"),2))&gt;0,1,0)</f>
        <v>1</v>
      </c>
      <c r="I138" s="37">
        <f>IF(COUNTIFS('📋 Транзакції'!$B$5:$B$3623,A138,'📋 Транзакції'!$C$5:$C$3623,"&gt;="&amp;EDATE(DATEVALUE(C138&amp;"-01"),2),'📋 Транзакції'!$C$5:$C$3623,"&lt;"&amp;EDATE(DATEVALUE(C138&amp;"-01"),3))&gt;0,1,0)</f>
        <v>1</v>
      </c>
      <c r="J138" s="37">
        <f>IF(COUNTIFS('📋 Транзакції'!$B$5:$B$3623,A138,'📋 Транзакції'!$C$5:$C$3623,"&gt;="&amp;EDATE(DATEVALUE(C138&amp;"-01"),3),'📋 Транзакції'!$C$5:$C$3623,"&lt;"&amp;EDATE(DATEVALUE(C138&amp;"-01"),4))&gt;0,1,0)</f>
        <v>1</v>
      </c>
      <c r="K138" s="37">
        <f>IF(COUNTIFS('📋 Транзакції'!$B$5:$B$3623,A138,'📋 Транзакції'!$C$5:$C$3623,"&gt;="&amp;EDATE(DATEVALUE(C138&amp;"-01"),4),'📋 Транзакції'!$C$5:$C$3623,"&lt;"&amp;EDATE(DATEVALUE(C138&amp;"-01"),5))&gt;0,1,0)</f>
        <v>1</v>
      </c>
      <c r="L138" s="37">
        <f>IF(COUNTIFS('📋 Транзакції'!$B$5:$B$3623,A138,'📋 Транзакції'!$C$5:$C$3623,"&gt;="&amp;EDATE(DATEVALUE(C138&amp;"-01"),5),'📋 Транзакції'!$C$5:$C$3623,"&lt;"&amp;EDATE(DATEVALUE(C138&amp;"-01"),6))&gt;0,1,0)</f>
        <v>1</v>
      </c>
      <c r="M138" s="37">
        <f>IF(COUNTIFS('📋 Транзакції'!$B$5:$B$3623,A138,'📋 Транзакції'!$C$5:$C$3623,"&gt;="&amp;EDATE(DATEVALUE(C138&amp;"-01"),6),'📋 Транзакції'!$C$5:$C$3623,"&lt;"&amp;EDATE(DATEVALUE(C138&amp;"-01"),7))&gt;0,1,0)</f>
        <v>1</v>
      </c>
      <c r="N138" s="37">
        <f>IF(COUNTIFS('📋 Транзакції'!$B$5:$B$3623,A138,'📋 Транзакції'!$C$5:$C$3623,"&gt;="&amp;EDATE(DATEVALUE(C138&amp;"-01"),7),'📋 Транзакції'!$C$5:$C$3623,"&lt;"&amp;EDATE(DATEVALUE(C138&amp;"-01"),8))&gt;0,1,0)</f>
        <v>1</v>
      </c>
      <c r="O138" s="37">
        <f>IF(COUNTIFS('📋 Транзакції'!$B$5:$B$3623,A138,'📋 Транзакції'!$C$5:$C$3623,"&gt;="&amp;EDATE(DATEVALUE(C138&amp;"-01"),8),'📋 Транзакції'!$C$5:$C$3623,"&lt;"&amp;EDATE(DATEVALUE(C138&amp;"-01"),9))&gt;0,1,0)</f>
        <v>1</v>
      </c>
      <c r="P138" s="37">
        <f>IF(COUNTIFS('📋 Транзакції'!$B$5:$B$3623,A138,'📋 Транзакції'!$C$5:$C$3623,"&gt;="&amp;EDATE(DATEVALUE(C138&amp;"-01"),9),'📋 Транзакції'!$C$5:$C$3623,"&lt;"&amp;EDATE(DATEVALUE(C138&amp;"-01"),10))&gt;0,1,0)</f>
        <v>1</v>
      </c>
      <c r="Q138" s="37">
        <f>IF(COUNTIFS('📋 Транзакції'!$B$5:$B$3623,A138,'📋 Транзакції'!$C$5:$C$3623,"&gt;="&amp;EDATE(DATEVALUE(C138&amp;"-01"),10),'📋 Транзакції'!$C$5:$C$3623,"&lt;"&amp;EDATE(DATEVALUE(C138&amp;"-01"),11))&gt;0,1,0)</f>
        <v>1</v>
      </c>
      <c r="R138" s="37">
        <f>IF(COUNTIFS('📋 Транзакції'!$B$5:$B$3623,A138,'📋 Транзакції'!$C$5:$C$3623,"&gt;="&amp;EDATE(DATEVALUE(C138&amp;"-01"),11),'📋 Транзакції'!$C$5:$C$3623,"&lt;"&amp;EDATE(DATEVALUE(C138&amp;"-01"),12))&gt;0,1,0)</f>
        <v>0</v>
      </c>
      <c r="S138" s="37">
        <f>SUMIFS('📋 Транзакції'!$F$5:$F$3623,'📋 Транзакції'!$B$5:$B$3623,A138,'📋 Транзакції'!$C$5:$C$3623,"&gt;="&amp;EDATE(DATEVALUE(C138&amp;"-01"),0),'📋 Транзакції'!$C$5:$C$3623,"&lt;"&amp;EDATE(DATEVALUE(C138&amp;"-01"),1))</f>
        <v>19.99</v>
      </c>
      <c r="T138" s="37">
        <f>SUMIFS('📋 Транзакції'!$F$5:$F$3623,'📋 Транзакції'!$B$5:$B$3623,A138,'📋 Транзакції'!$C$5:$C$3623,"&gt;="&amp;EDATE(DATEVALUE(C138&amp;"-01"),1),'📋 Транзакції'!$C$5:$C$3623,"&lt;"&amp;EDATE(DATEVALUE(C138&amp;"-01"),2))</f>
        <v>19.99</v>
      </c>
      <c r="U138" s="37">
        <f>SUMIFS('📋 Транзакції'!$F$5:$F$3623,'📋 Транзакції'!$B$5:$B$3623,A138,'📋 Транзакції'!$C$5:$C$3623,"&gt;="&amp;EDATE(DATEVALUE(C138&amp;"-01"),2),'📋 Транзакції'!$C$5:$C$3623,"&lt;"&amp;EDATE(DATEVALUE(C138&amp;"-01"),3))</f>
        <v>19.99</v>
      </c>
      <c r="V138" s="37">
        <f>SUMIFS('📋 Транзакції'!$F$5:$F$3623,'📋 Транзакції'!$B$5:$B$3623,A138,'📋 Транзакції'!$C$5:$C$3623,"&gt;="&amp;EDATE(DATEVALUE(C138&amp;"-01"),3),'📋 Транзакції'!$C$5:$C$3623,"&lt;"&amp;EDATE(DATEVALUE(C138&amp;"-01"),4))</f>
        <v>19.99</v>
      </c>
      <c r="W138" s="37">
        <f>SUMIFS('📋 Транзакції'!$F$5:$F$3623,'📋 Транзакції'!$B$5:$B$3623,A138,'📋 Транзакції'!$C$5:$C$3623,"&gt;="&amp;EDATE(DATEVALUE(C138&amp;"-01"),4),'📋 Транзакції'!$C$5:$C$3623,"&lt;"&amp;EDATE(DATEVALUE(C138&amp;"-01"),5))</f>
        <v>19.99</v>
      </c>
      <c r="X138" s="37">
        <f>SUMIFS('📋 Транзакції'!$F$5:$F$3623,'📋 Транзакції'!$B$5:$B$3623,A138,'📋 Транзакції'!$C$5:$C$3623,"&gt;="&amp;EDATE(DATEVALUE(C138&amp;"-01"),5),'📋 Транзакції'!$C$5:$C$3623,"&lt;"&amp;EDATE(DATEVALUE(C138&amp;"-01"),6))</f>
        <v>19.99</v>
      </c>
      <c r="Y138" s="37">
        <f>SUMIFS('📋 Транзакції'!$F$5:$F$3623,'📋 Транзакції'!$B$5:$B$3623,A138,'📋 Транзакції'!$C$5:$C$3623,"&gt;="&amp;EDATE(DATEVALUE(C138&amp;"-01"),6),'📋 Транзакції'!$C$5:$C$3623,"&lt;"&amp;EDATE(DATEVALUE(C138&amp;"-01"),7))</f>
        <v>19.99</v>
      </c>
      <c r="Z138" s="37">
        <f>SUMIFS('📋 Транзакції'!$F$5:$F$3623,'📋 Транзакції'!$B$5:$B$3623,A138,'📋 Транзакції'!$C$5:$C$3623,"&gt;="&amp;EDATE(DATEVALUE(C138&amp;"-01"),7),'📋 Транзакції'!$C$5:$C$3623,"&lt;"&amp;EDATE(DATEVALUE(C138&amp;"-01"),8))</f>
        <v>19.99</v>
      </c>
      <c r="AA138" s="37">
        <f>SUMIFS('📋 Транзакції'!$F$5:$F$3623,'📋 Транзакції'!$B$5:$B$3623,A138,'📋 Транзакції'!$C$5:$C$3623,"&gt;="&amp;EDATE(DATEVALUE(C138&amp;"-01"),8),'📋 Транзакції'!$C$5:$C$3623,"&lt;"&amp;EDATE(DATEVALUE(C138&amp;"-01"),9))</f>
        <v>19.99</v>
      </c>
      <c r="AB138" s="37">
        <f>SUMIFS('📋 Транзакції'!$F$5:$F$3623,'📋 Транзакції'!$B$5:$B$3623,A138,'📋 Транзакції'!$C$5:$C$3623,"&gt;="&amp;EDATE(DATEVALUE(C138&amp;"-01"),9),'📋 Транзакції'!$C$5:$C$3623,"&lt;"&amp;EDATE(DATEVALUE(C138&amp;"-01"),10))</f>
        <v>19.99</v>
      </c>
      <c r="AC138" s="37">
        <f>SUMIFS('📋 Транзакції'!$F$5:$F$3623,'📋 Транзакції'!$B$5:$B$3623,A138,'📋 Транзакції'!$C$5:$C$3623,"&gt;="&amp;EDATE(DATEVALUE(C138&amp;"-01"),10),'📋 Транзакції'!$C$5:$C$3623,"&lt;"&amp;EDATE(DATEVALUE(C138&amp;"-01"),11))</f>
        <v>19.99</v>
      </c>
      <c r="AD138" s="37">
        <f>SUMIFS('📋 Транзакції'!$F$5:$F$3623,'📋 Транзакції'!$B$5:$B$3623,A138,'📋 Транзакції'!$C$5:$C$3623,"&gt;="&amp;EDATE(DATEVALUE(C138&amp;"-01"),11),'📋 Транзакції'!$C$5:$C$3623,"&lt;"&amp;EDATE(DATEVALUE(C138&amp;"-01"),12))</f>
        <v>0</v>
      </c>
    </row>
    <row r="139" ht="15.75" customHeight="1">
      <c r="A139" s="33" t="str">
        <f>'📋 Реєстрації'!A139:A740</f>
        <v>U0671</v>
      </c>
      <c r="B139" s="34">
        <f t="array" ref="B139">INDEX('📋 Транзакції'!$C$5:$C$3623,MATCH(A139,'📋 Транзакції'!$B$5:$B$3623,0))</f>
        <v>45427</v>
      </c>
      <c r="C139" s="35" t="str">
        <f t="shared" si="1"/>
        <v>2024-05</v>
      </c>
      <c r="D139" s="36">
        <f>COUNTIF('📋 Транзакції'!$B$5:$B$3623,A139)</f>
        <v>12</v>
      </c>
      <c r="E139" s="36">
        <f>SUMIF('📋 Транзакції'!$B$5:$B$3623,A139,'📋 Транзакції'!$F$5:$F$3623)</f>
        <v>219.89</v>
      </c>
      <c r="F139" s="35">
        <f>INT($A$1-MAXIFS('📋 Транзакції'!$C$5:$C$3623,'📋 Транзакції'!$B$5:$B$3623,A139))</f>
        <v>13</v>
      </c>
      <c r="G139" s="37">
        <f>IF(COUNTIFS('📋 Транзакції'!$B$5:$B$3623,A139,'📋 Транзакції'!$C$5:$C$3623,"&gt;="&amp;EDATE(DATEVALUE(C139&amp;"-01"),0),'📋 Транзакції'!$C$5:$C$3623,"&lt;"&amp;EDATE(DATEVALUE(C139&amp;"-01"),1))&gt;0,1,0)</f>
        <v>1</v>
      </c>
      <c r="H139" s="37">
        <f>IF(COUNTIFS('📋 Транзакції'!$B$5:$B$3623,A139,'📋 Транзакції'!$C$5:$C$3623,"&gt;="&amp;EDATE(DATEVALUE(C139&amp;"-01"),1),'📋 Транзакції'!$C$5:$C$3623,"&lt;"&amp;EDATE(DATEVALUE(C139&amp;"-01"),2))&gt;0,1,0)</f>
        <v>1</v>
      </c>
      <c r="I139" s="37">
        <f>IF(COUNTIFS('📋 Транзакції'!$B$5:$B$3623,A139,'📋 Транзакції'!$C$5:$C$3623,"&gt;="&amp;EDATE(DATEVALUE(C139&amp;"-01"),2),'📋 Транзакції'!$C$5:$C$3623,"&lt;"&amp;EDATE(DATEVALUE(C139&amp;"-01"),3))&gt;0,1,0)</f>
        <v>1</v>
      </c>
      <c r="J139" s="37">
        <f>IF(COUNTIFS('📋 Транзакції'!$B$5:$B$3623,A139,'📋 Транзакції'!$C$5:$C$3623,"&gt;="&amp;EDATE(DATEVALUE(C139&amp;"-01"),3),'📋 Транзакції'!$C$5:$C$3623,"&lt;"&amp;EDATE(DATEVALUE(C139&amp;"-01"),4))&gt;0,1,0)</f>
        <v>1</v>
      </c>
      <c r="K139" s="37">
        <f>IF(COUNTIFS('📋 Транзакції'!$B$5:$B$3623,A139,'📋 Транзакції'!$C$5:$C$3623,"&gt;="&amp;EDATE(DATEVALUE(C139&amp;"-01"),4),'📋 Транзакції'!$C$5:$C$3623,"&lt;"&amp;EDATE(DATEVALUE(C139&amp;"-01"),5))&gt;0,1,0)</f>
        <v>1</v>
      </c>
      <c r="L139" s="37">
        <f>IF(COUNTIFS('📋 Транзакції'!$B$5:$B$3623,A139,'📋 Транзакції'!$C$5:$C$3623,"&gt;="&amp;EDATE(DATEVALUE(C139&amp;"-01"),5),'📋 Транзакції'!$C$5:$C$3623,"&lt;"&amp;EDATE(DATEVALUE(C139&amp;"-01"),6))&gt;0,1,0)</f>
        <v>1</v>
      </c>
      <c r="M139" s="37">
        <f>IF(COUNTIFS('📋 Транзакції'!$B$5:$B$3623,A139,'📋 Транзакції'!$C$5:$C$3623,"&gt;="&amp;EDATE(DATEVALUE(C139&amp;"-01"),6),'📋 Транзакції'!$C$5:$C$3623,"&lt;"&amp;EDATE(DATEVALUE(C139&amp;"-01"),7))&gt;0,1,0)</f>
        <v>1</v>
      </c>
      <c r="N139" s="37">
        <f>IF(COUNTIFS('📋 Транзакції'!$B$5:$B$3623,A139,'📋 Транзакції'!$C$5:$C$3623,"&gt;="&amp;EDATE(DATEVALUE(C139&amp;"-01"),7),'📋 Транзакції'!$C$5:$C$3623,"&lt;"&amp;EDATE(DATEVALUE(C139&amp;"-01"),8))&gt;0,1,0)</f>
        <v>1</v>
      </c>
      <c r="O139" s="37">
        <f>IF(COUNTIFS('📋 Транзакції'!$B$5:$B$3623,A139,'📋 Транзакції'!$C$5:$C$3623,"&gt;="&amp;EDATE(DATEVALUE(C139&amp;"-01"),8),'📋 Транзакції'!$C$5:$C$3623,"&lt;"&amp;EDATE(DATEVALUE(C139&amp;"-01"),9))&gt;0,1,0)</f>
        <v>1</v>
      </c>
      <c r="P139" s="37">
        <f>IF(COUNTIFS('📋 Транзакції'!$B$5:$B$3623,A139,'📋 Транзакції'!$C$5:$C$3623,"&gt;="&amp;EDATE(DATEVALUE(C139&amp;"-01"),9),'📋 Транзакції'!$C$5:$C$3623,"&lt;"&amp;EDATE(DATEVALUE(C139&amp;"-01"),10))&gt;0,1,0)</f>
        <v>1</v>
      </c>
      <c r="Q139" s="37">
        <f>IF(COUNTIFS('📋 Транзакції'!$B$5:$B$3623,A139,'📋 Транзакції'!$C$5:$C$3623,"&gt;="&amp;EDATE(DATEVALUE(C139&amp;"-01"),10),'📋 Транзакції'!$C$5:$C$3623,"&lt;"&amp;EDATE(DATEVALUE(C139&amp;"-01"),11))&gt;0,1,0)</f>
        <v>1</v>
      </c>
      <c r="R139" s="37">
        <f>IF(COUNTIFS('📋 Транзакції'!$B$5:$B$3623,A139,'📋 Транзакції'!$C$5:$C$3623,"&gt;="&amp;EDATE(DATEVALUE(C139&amp;"-01"),11),'📋 Транзакції'!$C$5:$C$3623,"&lt;"&amp;EDATE(DATEVALUE(C139&amp;"-01"),12))&gt;0,1,0)</f>
        <v>0</v>
      </c>
      <c r="S139" s="37">
        <f>SUMIFS('📋 Транзакції'!$F$5:$F$3623,'📋 Транзакції'!$B$5:$B$3623,A139,'📋 Транзакції'!$C$5:$C$3623,"&gt;="&amp;EDATE(DATEVALUE(C139&amp;"-01"),0),'📋 Транзакції'!$C$5:$C$3623,"&lt;"&amp;EDATE(DATEVALUE(C139&amp;"-01"),1))</f>
        <v>19.99</v>
      </c>
      <c r="T139" s="37">
        <f>SUMIFS('📋 Транзакції'!$F$5:$F$3623,'📋 Транзакції'!$B$5:$B$3623,A139,'📋 Транзакції'!$C$5:$C$3623,"&gt;="&amp;EDATE(DATEVALUE(C139&amp;"-01"),1),'📋 Транзакції'!$C$5:$C$3623,"&lt;"&amp;EDATE(DATEVALUE(C139&amp;"-01"),2))</f>
        <v>19.99</v>
      </c>
      <c r="U139" s="37">
        <f>SUMIFS('📋 Транзакції'!$F$5:$F$3623,'📋 Транзакції'!$B$5:$B$3623,A139,'📋 Транзакції'!$C$5:$C$3623,"&gt;="&amp;EDATE(DATEVALUE(C139&amp;"-01"),2),'📋 Транзакції'!$C$5:$C$3623,"&lt;"&amp;EDATE(DATEVALUE(C139&amp;"-01"),3))</f>
        <v>19.99</v>
      </c>
      <c r="V139" s="37">
        <f>SUMIFS('📋 Транзакції'!$F$5:$F$3623,'📋 Транзакції'!$B$5:$B$3623,A139,'📋 Транзакції'!$C$5:$C$3623,"&gt;="&amp;EDATE(DATEVALUE(C139&amp;"-01"),3),'📋 Транзакції'!$C$5:$C$3623,"&lt;"&amp;EDATE(DATEVALUE(C139&amp;"-01"),4))</f>
        <v>19.99</v>
      </c>
      <c r="W139" s="37">
        <f>SUMIFS('📋 Транзакції'!$F$5:$F$3623,'📋 Транзакції'!$B$5:$B$3623,A139,'📋 Транзакції'!$C$5:$C$3623,"&gt;="&amp;EDATE(DATEVALUE(C139&amp;"-01"),4),'📋 Транзакції'!$C$5:$C$3623,"&lt;"&amp;EDATE(DATEVALUE(C139&amp;"-01"),5))</f>
        <v>19.99</v>
      </c>
      <c r="X139" s="37">
        <f>SUMIFS('📋 Транзакції'!$F$5:$F$3623,'📋 Транзакції'!$B$5:$B$3623,A139,'📋 Транзакції'!$C$5:$C$3623,"&gt;="&amp;EDATE(DATEVALUE(C139&amp;"-01"),5),'📋 Транзакції'!$C$5:$C$3623,"&lt;"&amp;EDATE(DATEVALUE(C139&amp;"-01"),6))</f>
        <v>19.99</v>
      </c>
      <c r="Y139" s="37">
        <f>SUMIFS('📋 Транзакції'!$F$5:$F$3623,'📋 Транзакції'!$B$5:$B$3623,A139,'📋 Транзакції'!$C$5:$C$3623,"&gt;="&amp;EDATE(DATEVALUE(C139&amp;"-01"),6),'📋 Транзакції'!$C$5:$C$3623,"&lt;"&amp;EDATE(DATEVALUE(C139&amp;"-01"),7))</f>
        <v>19.99</v>
      </c>
      <c r="Z139" s="37">
        <f>SUMIFS('📋 Транзакції'!$F$5:$F$3623,'📋 Транзакції'!$B$5:$B$3623,A139,'📋 Транзакції'!$C$5:$C$3623,"&gt;="&amp;EDATE(DATEVALUE(C139&amp;"-01"),7),'📋 Транзакції'!$C$5:$C$3623,"&lt;"&amp;EDATE(DATEVALUE(C139&amp;"-01"),8))</f>
        <v>19.99</v>
      </c>
      <c r="AA139" s="37">
        <f>SUMIFS('📋 Транзакції'!$F$5:$F$3623,'📋 Транзакції'!$B$5:$B$3623,A139,'📋 Транзакції'!$C$5:$C$3623,"&gt;="&amp;EDATE(DATEVALUE(C139&amp;"-01"),8),'📋 Транзакції'!$C$5:$C$3623,"&lt;"&amp;EDATE(DATEVALUE(C139&amp;"-01"),9))</f>
        <v>19.99</v>
      </c>
      <c r="AB139" s="37">
        <f>SUMIFS('📋 Транзакції'!$F$5:$F$3623,'📋 Транзакції'!$B$5:$B$3623,A139,'📋 Транзакції'!$C$5:$C$3623,"&gt;="&amp;EDATE(DATEVALUE(C139&amp;"-01"),9),'📋 Транзакції'!$C$5:$C$3623,"&lt;"&amp;EDATE(DATEVALUE(C139&amp;"-01"),10))</f>
        <v>19.99</v>
      </c>
      <c r="AC139" s="37">
        <f>SUMIFS('📋 Транзакції'!$F$5:$F$3623,'📋 Транзакції'!$B$5:$B$3623,A139,'📋 Транзакції'!$C$5:$C$3623,"&gt;="&amp;EDATE(DATEVALUE(C139&amp;"-01"),10),'📋 Транзакції'!$C$5:$C$3623,"&lt;"&amp;EDATE(DATEVALUE(C139&amp;"-01"),11))</f>
        <v>19.99</v>
      </c>
      <c r="AD139" s="37">
        <f>SUMIFS('📋 Транзакції'!$F$5:$F$3623,'📋 Транзакції'!$B$5:$B$3623,A139,'📋 Транзакції'!$C$5:$C$3623,"&gt;="&amp;EDATE(DATEVALUE(C139&amp;"-01"),11),'📋 Транзакції'!$C$5:$C$3623,"&lt;"&amp;EDATE(DATEVALUE(C139&amp;"-01"),12))</f>
        <v>0</v>
      </c>
    </row>
    <row r="140" ht="15.75" customHeight="1">
      <c r="A140" s="33" t="str">
        <f>'📋 Реєстрації'!A140:A741</f>
        <v>U0506</v>
      </c>
      <c r="B140" s="34">
        <f t="array" ref="B140">INDEX('📋 Транзакції'!$C$5:$C$3623,MATCH(A140,'📋 Транзакції'!$B$5:$B$3623,0))</f>
        <v>45428</v>
      </c>
      <c r="C140" s="35" t="str">
        <f t="shared" si="1"/>
        <v>2024-05</v>
      </c>
      <c r="D140" s="36">
        <f>COUNTIF('📋 Транзакції'!$B$5:$B$3623,A140)</f>
        <v>2</v>
      </c>
      <c r="E140" s="36">
        <f>SUMIF('📋 Транзакції'!$B$5:$B$3623,A140,'📋 Транзакції'!$F$5:$F$3623)</f>
        <v>19.99</v>
      </c>
      <c r="F140" s="35">
        <f>INT($A$1-MAXIFS('📋 Транзакції'!$C$5:$C$3623,'📋 Транзакції'!$B$5:$B$3623,A140))</f>
        <v>312</v>
      </c>
      <c r="G140" s="37">
        <f>IF(COUNTIFS('📋 Транзакції'!$B$5:$B$3623,A140,'📋 Транзакції'!$C$5:$C$3623,"&gt;="&amp;EDATE(DATEVALUE(C140&amp;"-01"),0),'📋 Транзакції'!$C$5:$C$3623,"&lt;"&amp;EDATE(DATEVALUE(C140&amp;"-01"),1))&gt;0,1,0)</f>
        <v>1</v>
      </c>
      <c r="H140" s="37">
        <f>IF(COUNTIFS('📋 Транзакції'!$B$5:$B$3623,A140,'📋 Транзакції'!$C$5:$C$3623,"&gt;="&amp;EDATE(DATEVALUE(C140&amp;"-01"),1),'📋 Транзакції'!$C$5:$C$3623,"&lt;"&amp;EDATE(DATEVALUE(C140&amp;"-01"),2))&gt;0,1,0)</f>
        <v>0</v>
      </c>
      <c r="I140" s="37">
        <f>IF(COUNTIFS('📋 Транзакції'!$B$5:$B$3623,A140,'📋 Транзакції'!$C$5:$C$3623,"&gt;="&amp;EDATE(DATEVALUE(C140&amp;"-01"),2),'📋 Транзакції'!$C$5:$C$3623,"&lt;"&amp;EDATE(DATEVALUE(C140&amp;"-01"),3))&gt;0,1,0)</f>
        <v>0</v>
      </c>
      <c r="J140" s="37">
        <f>IF(COUNTIFS('📋 Транзакції'!$B$5:$B$3623,A140,'📋 Транзакції'!$C$5:$C$3623,"&gt;="&amp;EDATE(DATEVALUE(C140&amp;"-01"),3),'📋 Транзакції'!$C$5:$C$3623,"&lt;"&amp;EDATE(DATEVALUE(C140&amp;"-01"),4))&gt;0,1,0)</f>
        <v>0</v>
      </c>
      <c r="K140" s="37">
        <f>IF(COUNTIFS('📋 Транзакції'!$B$5:$B$3623,A140,'📋 Транзакції'!$C$5:$C$3623,"&gt;="&amp;EDATE(DATEVALUE(C140&amp;"-01"),4),'📋 Транзакції'!$C$5:$C$3623,"&lt;"&amp;EDATE(DATEVALUE(C140&amp;"-01"),5))&gt;0,1,0)</f>
        <v>0</v>
      </c>
      <c r="L140" s="37">
        <f>IF(COUNTIFS('📋 Транзакції'!$B$5:$B$3623,A140,'📋 Транзакції'!$C$5:$C$3623,"&gt;="&amp;EDATE(DATEVALUE(C140&amp;"-01"),5),'📋 Транзакції'!$C$5:$C$3623,"&lt;"&amp;EDATE(DATEVALUE(C140&amp;"-01"),6))&gt;0,1,0)</f>
        <v>0</v>
      </c>
      <c r="M140" s="37">
        <f>IF(COUNTIFS('📋 Транзакції'!$B$5:$B$3623,A140,'📋 Транзакції'!$C$5:$C$3623,"&gt;="&amp;EDATE(DATEVALUE(C140&amp;"-01"),6),'📋 Транзакції'!$C$5:$C$3623,"&lt;"&amp;EDATE(DATEVALUE(C140&amp;"-01"),7))&gt;0,1,0)</f>
        <v>0</v>
      </c>
      <c r="N140" s="37">
        <f>IF(COUNTIFS('📋 Транзакції'!$B$5:$B$3623,A140,'📋 Транзакції'!$C$5:$C$3623,"&gt;="&amp;EDATE(DATEVALUE(C140&amp;"-01"),7),'📋 Транзакції'!$C$5:$C$3623,"&lt;"&amp;EDATE(DATEVALUE(C140&amp;"-01"),8))&gt;0,1,0)</f>
        <v>0</v>
      </c>
      <c r="O140" s="37">
        <f>IF(COUNTIFS('📋 Транзакції'!$B$5:$B$3623,A140,'📋 Транзакції'!$C$5:$C$3623,"&gt;="&amp;EDATE(DATEVALUE(C140&amp;"-01"),8),'📋 Транзакції'!$C$5:$C$3623,"&lt;"&amp;EDATE(DATEVALUE(C140&amp;"-01"),9))&gt;0,1,0)</f>
        <v>0</v>
      </c>
      <c r="P140" s="37">
        <f>IF(COUNTIFS('📋 Транзакції'!$B$5:$B$3623,A140,'📋 Транзакції'!$C$5:$C$3623,"&gt;="&amp;EDATE(DATEVALUE(C140&amp;"-01"),9),'📋 Транзакції'!$C$5:$C$3623,"&lt;"&amp;EDATE(DATEVALUE(C140&amp;"-01"),10))&gt;0,1,0)</f>
        <v>0</v>
      </c>
      <c r="Q140" s="37">
        <f>IF(COUNTIFS('📋 Транзакції'!$B$5:$B$3623,A140,'📋 Транзакції'!$C$5:$C$3623,"&gt;="&amp;EDATE(DATEVALUE(C140&amp;"-01"),10),'📋 Транзакції'!$C$5:$C$3623,"&lt;"&amp;EDATE(DATEVALUE(C140&amp;"-01"),11))&gt;0,1,0)</f>
        <v>0</v>
      </c>
      <c r="R140" s="37">
        <f>IF(COUNTIFS('📋 Транзакції'!$B$5:$B$3623,A140,'📋 Транзакції'!$C$5:$C$3623,"&gt;="&amp;EDATE(DATEVALUE(C140&amp;"-01"),11),'📋 Транзакції'!$C$5:$C$3623,"&lt;"&amp;EDATE(DATEVALUE(C140&amp;"-01"),12))&gt;0,1,0)</f>
        <v>0</v>
      </c>
      <c r="S140" s="37">
        <f>SUMIFS('📋 Транзакції'!$F$5:$F$3623,'📋 Транзакції'!$B$5:$B$3623,A140,'📋 Транзакції'!$C$5:$C$3623,"&gt;="&amp;EDATE(DATEVALUE(C140&amp;"-01"),0),'📋 Транзакції'!$C$5:$C$3623,"&lt;"&amp;EDATE(DATEVALUE(C140&amp;"-01"),1))</f>
        <v>19.99</v>
      </c>
      <c r="T140" s="37">
        <f>SUMIFS('📋 Транзакції'!$F$5:$F$3623,'📋 Транзакції'!$B$5:$B$3623,A140,'📋 Транзакції'!$C$5:$C$3623,"&gt;="&amp;EDATE(DATEVALUE(C140&amp;"-01"),1),'📋 Транзакції'!$C$5:$C$3623,"&lt;"&amp;EDATE(DATEVALUE(C140&amp;"-01"),2))</f>
        <v>0</v>
      </c>
      <c r="U140" s="37">
        <f>SUMIFS('📋 Транзакції'!$F$5:$F$3623,'📋 Транзакції'!$B$5:$B$3623,A140,'📋 Транзакції'!$C$5:$C$3623,"&gt;="&amp;EDATE(DATEVALUE(C140&amp;"-01"),2),'📋 Транзакції'!$C$5:$C$3623,"&lt;"&amp;EDATE(DATEVALUE(C140&amp;"-01"),3))</f>
        <v>0</v>
      </c>
      <c r="V140" s="37">
        <f>SUMIFS('📋 Транзакції'!$F$5:$F$3623,'📋 Транзакції'!$B$5:$B$3623,A140,'📋 Транзакції'!$C$5:$C$3623,"&gt;="&amp;EDATE(DATEVALUE(C140&amp;"-01"),3),'📋 Транзакції'!$C$5:$C$3623,"&lt;"&amp;EDATE(DATEVALUE(C140&amp;"-01"),4))</f>
        <v>0</v>
      </c>
      <c r="W140" s="37">
        <f>SUMIFS('📋 Транзакції'!$F$5:$F$3623,'📋 Транзакції'!$B$5:$B$3623,A140,'📋 Транзакції'!$C$5:$C$3623,"&gt;="&amp;EDATE(DATEVALUE(C140&amp;"-01"),4),'📋 Транзакції'!$C$5:$C$3623,"&lt;"&amp;EDATE(DATEVALUE(C140&amp;"-01"),5))</f>
        <v>0</v>
      </c>
      <c r="X140" s="37">
        <f>SUMIFS('📋 Транзакції'!$F$5:$F$3623,'📋 Транзакції'!$B$5:$B$3623,A140,'📋 Транзакції'!$C$5:$C$3623,"&gt;="&amp;EDATE(DATEVALUE(C140&amp;"-01"),5),'📋 Транзакції'!$C$5:$C$3623,"&lt;"&amp;EDATE(DATEVALUE(C140&amp;"-01"),6))</f>
        <v>0</v>
      </c>
      <c r="Y140" s="37">
        <f>SUMIFS('📋 Транзакції'!$F$5:$F$3623,'📋 Транзакції'!$B$5:$B$3623,A140,'📋 Транзакції'!$C$5:$C$3623,"&gt;="&amp;EDATE(DATEVALUE(C140&amp;"-01"),6),'📋 Транзакції'!$C$5:$C$3623,"&lt;"&amp;EDATE(DATEVALUE(C140&amp;"-01"),7))</f>
        <v>0</v>
      </c>
      <c r="Z140" s="37">
        <f>SUMIFS('📋 Транзакції'!$F$5:$F$3623,'📋 Транзакції'!$B$5:$B$3623,A140,'📋 Транзакції'!$C$5:$C$3623,"&gt;="&amp;EDATE(DATEVALUE(C140&amp;"-01"),7),'📋 Транзакції'!$C$5:$C$3623,"&lt;"&amp;EDATE(DATEVALUE(C140&amp;"-01"),8))</f>
        <v>0</v>
      </c>
      <c r="AA140" s="37">
        <f>SUMIFS('📋 Транзакції'!$F$5:$F$3623,'📋 Транзакції'!$B$5:$B$3623,A140,'📋 Транзакції'!$C$5:$C$3623,"&gt;="&amp;EDATE(DATEVALUE(C140&amp;"-01"),8),'📋 Транзакції'!$C$5:$C$3623,"&lt;"&amp;EDATE(DATEVALUE(C140&amp;"-01"),9))</f>
        <v>0</v>
      </c>
      <c r="AB140" s="37">
        <f>SUMIFS('📋 Транзакції'!$F$5:$F$3623,'📋 Транзакції'!$B$5:$B$3623,A140,'📋 Транзакції'!$C$5:$C$3623,"&gt;="&amp;EDATE(DATEVALUE(C140&amp;"-01"),9),'📋 Транзакції'!$C$5:$C$3623,"&lt;"&amp;EDATE(DATEVALUE(C140&amp;"-01"),10))</f>
        <v>0</v>
      </c>
      <c r="AC140" s="37">
        <f>SUMIFS('📋 Транзакції'!$F$5:$F$3623,'📋 Транзакції'!$B$5:$B$3623,A140,'📋 Транзакції'!$C$5:$C$3623,"&gt;="&amp;EDATE(DATEVALUE(C140&amp;"-01"),10),'📋 Транзакції'!$C$5:$C$3623,"&lt;"&amp;EDATE(DATEVALUE(C140&amp;"-01"),11))</f>
        <v>0</v>
      </c>
      <c r="AD140" s="37">
        <f>SUMIFS('📋 Транзакції'!$F$5:$F$3623,'📋 Транзакції'!$B$5:$B$3623,A140,'📋 Транзакції'!$C$5:$C$3623,"&gt;="&amp;EDATE(DATEVALUE(C140&amp;"-01"),11),'📋 Транзакції'!$C$5:$C$3623,"&lt;"&amp;EDATE(DATEVALUE(C140&amp;"-01"),12))</f>
        <v>0</v>
      </c>
    </row>
    <row r="141" ht="15.75" customHeight="1">
      <c r="A141" s="33" t="str">
        <f>'📋 Реєстрації'!A141:A742</f>
        <v>U0593</v>
      </c>
      <c r="B141" s="34">
        <f t="array" ref="B141">INDEX('📋 Транзакції'!$C$5:$C$3623,MATCH(A141,'📋 Транзакції'!$B$5:$B$3623,0))</f>
        <v>45428</v>
      </c>
      <c r="C141" s="35" t="str">
        <f t="shared" si="1"/>
        <v>2024-05</v>
      </c>
      <c r="D141" s="36">
        <f>COUNTIF('📋 Транзакції'!$B$5:$B$3623,A141)</f>
        <v>3</v>
      </c>
      <c r="E141" s="36">
        <f>SUMIF('📋 Транзакції'!$B$5:$B$3623,A141,'📋 Транзакції'!$F$5:$F$3623)</f>
        <v>39.98</v>
      </c>
      <c r="F141" s="35">
        <f>INT($A$1-MAXIFS('📋 Транзакції'!$C$5:$C$3623,'📋 Транзакції'!$B$5:$B$3623,A141))</f>
        <v>282</v>
      </c>
      <c r="G141" s="37">
        <f>IF(COUNTIFS('📋 Транзакції'!$B$5:$B$3623,A141,'📋 Транзакції'!$C$5:$C$3623,"&gt;="&amp;EDATE(DATEVALUE(C141&amp;"-01"),0),'📋 Транзакції'!$C$5:$C$3623,"&lt;"&amp;EDATE(DATEVALUE(C141&amp;"-01"),1))&gt;0,1,0)</f>
        <v>1</v>
      </c>
      <c r="H141" s="37">
        <f>IF(COUNTIFS('📋 Транзакції'!$B$5:$B$3623,A141,'📋 Транзакції'!$C$5:$C$3623,"&gt;="&amp;EDATE(DATEVALUE(C141&amp;"-01"),1),'📋 Транзакції'!$C$5:$C$3623,"&lt;"&amp;EDATE(DATEVALUE(C141&amp;"-01"),2))&gt;0,1,0)</f>
        <v>1</v>
      </c>
      <c r="I141" s="37">
        <f>IF(COUNTIFS('📋 Транзакції'!$B$5:$B$3623,A141,'📋 Транзакції'!$C$5:$C$3623,"&gt;="&amp;EDATE(DATEVALUE(C141&amp;"-01"),2),'📋 Транзакції'!$C$5:$C$3623,"&lt;"&amp;EDATE(DATEVALUE(C141&amp;"-01"),3))&gt;0,1,0)</f>
        <v>0</v>
      </c>
      <c r="J141" s="37">
        <f>IF(COUNTIFS('📋 Транзакції'!$B$5:$B$3623,A141,'📋 Транзакції'!$C$5:$C$3623,"&gt;="&amp;EDATE(DATEVALUE(C141&amp;"-01"),3),'📋 Транзакції'!$C$5:$C$3623,"&lt;"&amp;EDATE(DATEVALUE(C141&amp;"-01"),4))&gt;0,1,0)</f>
        <v>0</v>
      </c>
      <c r="K141" s="37">
        <f>IF(COUNTIFS('📋 Транзакції'!$B$5:$B$3623,A141,'📋 Транзакції'!$C$5:$C$3623,"&gt;="&amp;EDATE(DATEVALUE(C141&amp;"-01"),4),'📋 Транзакції'!$C$5:$C$3623,"&lt;"&amp;EDATE(DATEVALUE(C141&amp;"-01"),5))&gt;0,1,0)</f>
        <v>0</v>
      </c>
      <c r="L141" s="37">
        <f>IF(COUNTIFS('📋 Транзакції'!$B$5:$B$3623,A141,'📋 Транзакції'!$C$5:$C$3623,"&gt;="&amp;EDATE(DATEVALUE(C141&amp;"-01"),5),'📋 Транзакції'!$C$5:$C$3623,"&lt;"&amp;EDATE(DATEVALUE(C141&amp;"-01"),6))&gt;0,1,0)</f>
        <v>0</v>
      </c>
      <c r="M141" s="37">
        <f>IF(COUNTIFS('📋 Транзакції'!$B$5:$B$3623,A141,'📋 Транзакції'!$C$5:$C$3623,"&gt;="&amp;EDATE(DATEVALUE(C141&amp;"-01"),6),'📋 Транзакції'!$C$5:$C$3623,"&lt;"&amp;EDATE(DATEVALUE(C141&amp;"-01"),7))&gt;0,1,0)</f>
        <v>0</v>
      </c>
      <c r="N141" s="37">
        <f>IF(COUNTIFS('📋 Транзакції'!$B$5:$B$3623,A141,'📋 Транзакції'!$C$5:$C$3623,"&gt;="&amp;EDATE(DATEVALUE(C141&amp;"-01"),7),'📋 Транзакції'!$C$5:$C$3623,"&lt;"&amp;EDATE(DATEVALUE(C141&amp;"-01"),8))&gt;0,1,0)</f>
        <v>0</v>
      </c>
      <c r="O141" s="37">
        <f>IF(COUNTIFS('📋 Транзакції'!$B$5:$B$3623,A141,'📋 Транзакції'!$C$5:$C$3623,"&gt;="&amp;EDATE(DATEVALUE(C141&amp;"-01"),8),'📋 Транзакції'!$C$5:$C$3623,"&lt;"&amp;EDATE(DATEVALUE(C141&amp;"-01"),9))&gt;0,1,0)</f>
        <v>0</v>
      </c>
      <c r="P141" s="37">
        <f>IF(COUNTIFS('📋 Транзакції'!$B$5:$B$3623,A141,'📋 Транзакції'!$C$5:$C$3623,"&gt;="&amp;EDATE(DATEVALUE(C141&amp;"-01"),9),'📋 Транзакції'!$C$5:$C$3623,"&lt;"&amp;EDATE(DATEVALUE(C141&amp;"-01"),10))&gt;0,1,0)</f>
        <v>0</v>
      </c>
      <c r="Q141" s="37">
        <f>IF(COUNTIFS('📋 Транзакції'!$B$5:$B$3623,A141,'📋 Транзакції'!$C$5:$C$3623,"&gt;="&amp;EDATE(DATEVALUE(C141&amp;"-01"),10),'📋 Транзакції'!$C$5:$C$3623,"&lt;"&amp;EDATE(DATEVALUE(C141&amp;"-01"),11))&gt;0,1,0)</f>
        <v>0</v>
      </c>
      <c r="R141" s="37">
        <f>IF(COUNTIFS('📋 Транзакції'!$B$5:$B$3623,A141,'📋 Транзакції'!$C$5:$C$3623,"&gt;="&amp;EDATE(DATEVALUE(C141&amp;"-01"),11),'📋 Транзакції'!$C$5:$C$3623,"&lt;"&amp;EDATE(DATEVALUE(C141&amp;"-01"),12))&gt;0,1,0)</f>
        <v>0</v>
      </c>
      <c r="S141" s="37">
        <f>SUMIFS('📋 Транзакції'!$F$5:$F$3623,'📋 Транзакції'!$B$5:$B$3623,A141,'📋 Транзакції'!$C$5:$C$3623,"&gt;="&amp;EDATE(DATEVALUE(C141&amp;"-01"),0),'📋 Транзакції'!$C$5:$C$3623,"&lt;"&amp;EDATE(DATEVALUE(C141&amp;"-01"),1))</f>
        <v>19.99</v>
      </c>
      <c r="T141" s="37">
        <f>SUMIFS('📋 Транзакції'!$F$5:$F$3623,'📋 Транзакції'!$B$5:$B$3623,A141,'📋 Транзакції'!$C$5:$C$3623,"&gt;="&amp;EDATE(DATEVALUE(C141&amp;"-01"),1),'📋 Транзакції'!$C$5:$C$3623,"&lt;"&amp;EDATE(DATEVALUE(C141&amp;"-01"),2))</f>
        <v>19.99</v>
      </c>
      <c r="U141" s="37">
        <f>SUMIFS('📋 Транзакції'!$F$5:$F$3623,'📋 Транзакції'!$B$5:$B$3623,A141,'📋 Транзакції'!$C$5:$C$3623,"&gt;="&amp;EDATE(DATEVALUE(C141&amp;"-01"),2),'📋 Транзакції'!$C$5:$C$3623,"&lt;"&amp;EDATE(DATEVALUE(C141&amp;"-01"),3))</f>
        <v>0</v>
      </c>
      <c r="V141" s="37">
        <f>SUMIFS('📋 Транзакції'!$F$5:$F$3623,'📋 Транзакції'!$B$5:$B$3623,A141,'📋 Транзакції'!$C$5:$C$3623,"&gt;="&amp;EDATE(DATEVALUE(C141&amp;"-01"),3),'📋 Транзакції'!$C$5:$C$3623,"&lt;"&amp;EDATE(DATEVALUE(C141&amp;"-01"),4))</f>
        <v>0</v>
      </c>
      <c r="W141" s="37">
        <f>SUMIFS('📋 Транзакції'!$F$5:$F$3623,'📋 Транзакції'!$B$5:$B$3623,A141,'📋 Транзакції'!$C$5:$C$3623,"&gt;="&amp;EDATE(DATEVALUE(C141&amp;"-01"),4),'📋 Транзакції'!$C$5:$C$3623,"&lt;"&amp;EDATE(DATEVALUE(C141&amp;"-01"),5))</f>
        <v>0</v>
      </c>
      <c r="X141" s="37">
        <f>SUMIFS('📋 Транзакції'!$F$5:$F$3623,'📋 Транзакції'!$B$5:$B$3623,A141,'📋 Транзакції'!$C$5:$C$3623,"&gt;="&amp;EDATE(DATEVALUE(C141&amp;"-01"),5),'📋 Транзакції'!$C$5:$C$3623,"&lt;"&amp;EDATE(DATEVALUE(C141&amp;"-01"),6))</f>
        <v>0</v>
      </c>
      <c r="Y141" s="37">
        <f>SUMIFS('📋 Транзакції'!$F$5:$F$3623,'📋 Транзакції'!$B$5:$B$3623,A141,'📋 Транзакції'!$C$5:$C$3623,"&gt;="&amp;EDATE(DATEVALUE(C141&amp;"-01"),6),'📋 Транзакції'!$C$5:$C$3623,"&lt;"&amp;EDATE(DATEVALUE(C141&amp;"-01"),7))</f>
        <v>0</v>
      </c>
      <c r="Z141" s="37">
        <f>SUMIFS('📋 Транзакції'!$F$5:$F$3623,'📋 Транзакції'!$B$5:$B$3623,A141,'📋 Транзакції'!$C$5:$C$3623,"&gt;="&amp;EDATE(DATEVALUE(C141&amp;"-01"),7),'📋 Транзакції'!$C$5:$C$3623,"&lt;"&amp;EDATE(DATEVALUE(C141&amp;"-01"),8))</f>
        <v>0</v>
      </c>
      <c r="AA141" s="37">
        <f>SUMIFS('📋 Транзакції'!$F$5:$F$3623,'📋 Транзакції'!$B$5:$B$3623,A141,'📋 Транзакції'!$C$5:$C$3623,"&gt;="&amp;EDATE(DATEVALUE(C141&amp;"-01"),8),'📋 Транзакції'!$C$5:$C$3623,"&lt;"&amp;EDATE(DATEVALUE(C141&amp;"-01"),9))</f>
        <v>0</v>
      </c>
      <c r="AB141" s="37">
        <f>SUMIFS('📋 Транзакції'!$F$5:$F$3623,'📋 Транзакції'!$B$5:$B$3623,A141,'📋 Транзакції'!$C$5:$C$3623,"&gt;="&amp;EDATE(DATEVALUE(C141&amp;"-01"),9),'📋 Транзакції'!$C$5:$C$3623,"&lt;"&amp;EDATE(DATEVALUE(C141&amp;"-01"),10))</f>
        <v>0</v>
      </c>
      <c r="AC141" s="37">
        <f>SUMIFS('📋 Транзакції'!$F$5:$F$3623,'📋 Транзакції'!$B$5:$B$3623,A141,'📋 Транзакції'!$C$5:$C$3623,"&gt;="&amp;EDATE(DATEVALUE(C141&amp;"-01"),10),'📋 Транзакції'!$C$5:$C$3623,"&lt;"&amp;EDATE(DATEVALUE(C141&amp;"-01"),11))</f>
        <v>0</v>
      </c>
      <c r="AD141" s="37">
        <f>SUMIFS('📋 Транзакції'!$F$5:$F$3623,'📋 Транзакції'!$B$5:$B$3623,A141,'📋 Транзакції'!$C$5:$C$3623,"&gt;="&amp;EDATE(DATEVALUE(C141&amp;"-01"),11),'📋 Транзакції'!$C$5:$C$3623,"&lt;"&amp;EDATE(DATEVALUE(C141&amp;"-01"),12))</f>
        <v>0</v>
      </c>
    </row>
    <row r="142" ht="15.75" customHeight="1">
      <c r="A142" s="33" t="str">
        <f>'📋 Реєстрації'!A142:A743</f>
        <v>U0050</v>
      </c>
      <c r="B142" s="34">
        <f t="array" ref="B142">INDEX('📋 Транзакції'!$C$5:$C$3623,MATCH(A142,'📋 Транзакції'!$B$5:$B$3623,0))</f>
        <v>45429</v>
      </c>
      <c r="C142" s="35" t="str">
        <f t="shared" si="1"/>
        <v>2024-05</v>
      </c>
      <c r="D142" s="36">
        <f>COUNTIF('📋 Транзакції'!$B$5:$B$3623,A142)</f>
        <v>7</v>
      </c>
      <c r="E142" s="36">
        <f>SUMIF('📋 Транзакції'!$B$5:$B$3623,A142,'📋 Транзакції'!$F$5:$F$3623)</f>
        <v>119.94</v>
      </c>
      <c r="F142" s="35">
        <f>INT($A$1-MAXIFS('📋 Транзакції'!$C$5:$C$3623,'📋 Транзакції'!$B$5:$B$3623,A142))</f>
        <v>161</v>
      </c>
      <c r="G142" s="37">
        <f>IF(COUNTIFS('📋 Транзакції'!$B$5:$B$3623,A142,'📋 Транзакції'!$C$5:$C$3623,"&gt;="&amp;EDATE(DATEVALUE(C142&amp;"-01"),0),'📋 Транзакції'!$C$5:$C$3623,"&lt;"&amp;EDATE(DATEVALUE(C142&amp;"-01"),1))&gt;0,1,0)</f>
        <v>1</v>
      </c>
      <c r="H142" s="37">
        <f>IF(COUNTIFS('📋 Транзакції'!$B$5:$B$3623,A142,'📋 Транзакції'!$C$5:$C$3623,"&gt;="&amp;EDATE(DATEVALUE(C142&amp;"-01"),1),'📋 Транзакції'!$C$5:$C$3623,"&lt;"&amp;EDATE(DATEVALUE(C142&amp;"-01"),2))&gt;0,1,0)</f>
        <v>1</v>
      </c>
      <c r="I142" s="37">
        <f>IF(COUNTIFS('📋 Транзакції'!$B$5:$B$3623,A142,'📋 Транзакції'!$C$5:$C$3623,"&gt;="&amp;EDATE(DATEVALUE(C142&amp;"-01"),2),'📋 Транзакції'!$C$5:$C$3623,"&lt;"&amp;EDATE(DATEVALUE(C142&amp;"-01"),3))&gt;0,1,0)</f>
        <v>1</v>
      </c>
      <c r="J142" s="37">
        <f>IF(COUNTIFS('📋 Транзакції'!$B$5:$B$3623,A142,'📋 Транзакції'!$C$5:$C$3623,"&gt;="&amp;EDATE(DATEVALUE(C142&amp;"-01"),3),'📋 Транзакції'!$C$5:$C$3623,"&lt;"&amp;EDATE(DATEVALUE(C142&amp;"-01"),4))&gt;0,1,0)</f>
        <v>1</v>
      </c>
      <c r="K142" s="37">
        <f>IF(COUNTIFS('📋 Транзакції'!$B$5:$B$3623,A142,'📋 Транзакції'!$C$5:$C$3623,"&gt;="&amp;EDATE(DATEVALUE(C142&amp;"-01"),4),'📋 Транзакції'!$C$5:$C$3623,"&lt;"&amp;EDATE(DATEVALUE(C142&amp;"-01"),5))&gt;0,1,0)</f>
        <v>1</v>
      </c>
      <c r="L142" s="37">
        <f>IF(COUNTIFS('📋 Транзакції'!$B$5:$B$3623,A142,'📋 Транзакції'!$C$5:$C$3623,"&gt;="&amp;EDATE(DATEVALUE(C142&amp;"-01"),5),'📋 Транзакції'!$C$5:$C$3623,"&lt;"&amp;EDATE(DATEVALUE(C142&amp;"-01"),6))&gt;0,1,0)</f>
        <v>1</v>
      </c>
      <c r="M142" s="37">
        <f>IF(COUNTIFS('📋 Транзакції'!$B$5:$B$3623,A142,'📋 Транзакції'!$C$5:$C$3623,"&gt;="&amp;EDATE(DATEVALUE(C142&amp;"-01"),6),'📋 Транзакції'!$C$5:$C$3623,"&lt;"&amp;EDATE(DATEVALUE(C142&amp;"-01"),7))&gt;0,1,0)</f>
        <v>0</v>
      </c>
      <c r="N142" s="37">
        <f>IF(COUNTIFS('📋 Транзакції'!$B$5:$B$3623,A142,'📋 Транзакції'!$C$5:$C$3623,"&gt;="&amp;EDATE(DATEVALUE(C142&amp;"-01"),7),'📋 Транзакції'!$C$5:$C$3623,"&lt;"&amp;EDATE(DATEVALUE(C142&amp;"-01"),8))&gt;0,1,0)</f>
        <v>0</v>
      </c>
      <c r="O142" s="37">
        <f>IF(COUNTIFS('📋 Транзакції'!$B$5:$B$3623,A142,'📋 Транзакції'!$C$5:$C$3623,"&gt;="&amp;EDATE(DATEVALUE(C142&amp;"-01"),8),'📋 Транзакції'!$C$5:$C$3623,"&lt;"&amp;EDATE(DATEVALUE(C142&amp;"-01"),9))&gt;0,1,0)</f>
        <v>0</v>
      </c>
      <c r="P142" s="37">
        <f>IF(COUNTIFS('📋 Транзакції'!$B$5:$B$3623,A142,'📋 Транзакції'!$C$5:$C$3623,"&gt;="&amp;EDATE(DATEVALUE(C142&amp;"-01"),9),'📋 Транзакції'!$C$5:$C$3623,"&lt;"&amp;EDATE(DATEVALUE(C142&amp;"-01"),10))&gt;0,1,0)</f>
        <v>0</v>
      </c>
      <c r="Q142" s="37">
        <f>IF(COUNTIFS('📋 Транзакції'!$B$5:$B$3623,A142,'📋 Транзакції'!$C$5:$C$3623,"&gt;="&amp;EDATE(DATEVALUE(C142&amp;"-01"),10),'📋 Транзакції'!$C$5:$C$3623,"&lt;"&amp;EDATE(DATEVALUE(C142&amp;"-01"),11))&gt;0,1,0)</f>
        <v>0</v>
      </c>
      <c r="R142" s="37">
        <f>IF(COUNTIFS('📋 Транзакції'!$B$5:$B$3623,A142,'📋 Транзакції'!$C$5:$C$3623,"&gt;="&amp;EDATE(DATEVALUE(C142&amp;"-01"),11),'📋 Транзакції'!$C$5:$C$3623,"&lt;"&amp;EDATE(DATEVALUE(C142&amp;"-01"),12))&gt;0,1,0)</f>
        <v>0</v>
      </c>
      <c r="S142" s="37">
        <f>SUMIFS('📋 Транзакції'!$F$5:$F$3623,'📋 Транзакції'!$B$5:$B$3623,A142,'📋 Транзакції'!$C$5:$C$3623,"&gt;="&amp;EDATE(DATEVALUE(C142&amp;"-01"),0),'📋 Транзакції'!$C$5:$C$3623,"&lt;"&amp;EDATE(DATEVALUE(C142&amp;"-01"),1))</f>
        <v>19.99</v>
      </c>
      <c r="T142" s="37">
        <f>SUMIFS('📋 Транзакції'!$F$5:$F$3623,'📋 Транзакції'!$B$5:$B$3623,A142,'📋 Транзакції'!$C$5:$C$3623,"&gt;="&amp;EDATE(DATEVALUE(C142&amp;"-01"),1),'📋 Транзакції'!$C$5:$C$3623,"&lt;"&amp;EDATE(DATEVALUE(C142&amp;"-01"),2))</f>
        <v>19.99</v>
      </c>
      <c r="U142" s="37">
        <f>SUMIFS('📋 Транзакції'!$F$5:$F$3623,'📋 Транзакції'!$B$5:$B$3623,A142,'📋 Транзакції'!$C$5:$C$3623,"&gt;="&amp;EDATE(DATEVALUE(C142&amp;"-01"),2),'📋 Транзакції'!$C$5:$C$3623,"&lt;"&amp;EDATE(DATEVALUE(C142&amp;"-01"),3))</f>
        <v>19.99</v>
      </c>
      <c r="V142" s="37">
        <f>SUMIFS('📋 Транзакції'!$F$5:$F$3623,'📋 Транзакції'!$B$5:$B$3623,A142,'📋 Транзакції'!$C$5:$C$3623,"&gt;="&amp;EDATE(DATEVALUE(C142&amp;"-01"),3),'📋 Транзакції'!$C$5:$C$3623,"&lt;"&amp;EDATE(DATEVALUE(C142&amp;"-01"),4))</f>
        <v>19.99</v>
      </c>
      <c r="W142" s="37">
        <f>SUMIFS('📋 Транзакції'!$F$5:$F$3623,'📋 Транзакції'!$B$5:$B$3623,A142,'📋 Транзакції'!$C$5:$C$3623,"&gt;="&amp;EDATE(DATEVALUE(C142&amp;"-01"),4),'📋 Транзакції'!$C$5:$C$3623,"&lt;"&amp;EDATE(DATEVALUE(C142&amp;"-01"),5))</f>
        <v>19.99</v>
      </c>
      <c r="X142" s="37">
        <f>SUMIFS('📋 Транзакції'!$F$5:$F$3623,'📋 Транзакції'!$B$5:$B$3623,A142,'📋 Транзакції'!$C$5:$C$3623,"&gt;="&amp;EDATE(DATEVALUE(C142&amp;"-01"),5),'📋 Транзакції'!$C$5:$C$3623,"&lt;"&amp;EDATE(DATEVALUE(C142&amp;"-01"),6))</f>
        <v>19.99</v>
      </c>
      <c r="Y142" s="37">
        <f>SUMIFS('📋 Транзакції'!$F$5:$F$3623,'📋 Транзакції'!$B$5:$B$3623,A142,'📋 Транзакції'!$C$5:$C$3623,"&gt;="&amp;EDATE(DATEVALUE(C142&amp;"-01"),6),'📋 Транзакції'!$C$5:$C$3623,"&lt;"&amp;EDATE(DATEVALUE(C142&amp;"-01"),7))</f>
        <v>0</v>
      </c>
      <c r="Z142" s="37">
        <f>SUMIFS('📋 Транзакції'!$F$5:$F$3623,'📋 Транзакції'!$B$5:$B$3623,A142,'📋 Транзакції'!$C$5:$C$3623,"&gt;="&amp;EDATE(DATEVALUE(C142&amp;"-01"),7),'📋 Транзакції'!$C$5:$C$3623,"&lt;"&amp;EDATE(DATEVALUE(C142&amp;"-01"),8))</f>
        <v>0</v>
      </c>
      <c r="AA142" s="37">
        <f>SUMIFS('📋 Транзакції'!$F$5:$F$3623,'📋 Транзакції'!$B$5:$B$3623,A142,'📋 Транзакції'!$C$5:$C$3623,"&gt;="&amp;EDATE(DATEVALUE(C142&amp;"-01"),8),'📋 Транзакції'!$C$5:$C$3623,"&lt;"&amp;EDATE(DATEVALUE(C142&amp;"-01"),9))</f>
        <v>0</v>
      </c>
      <c r="AB142" s="37">
        <f>SUMIFS('📋 Транзакції'!$F$5:$F$3623,'📋 Транзакції'!$B$5:$B$3623,A142,'📋 Транзакції'!$C$5:$C$3623,"&gt;="&amp;EDATE(DATEVALUE(C142&amp;"-01"),9),'📋 Транзакції'!$C$5:$C$3623,"&lt;"&amp;EDATE(DATEVALUE(C142&amp;"-01"),10))</f>
        <v>0</v>
      </c>
      <c r="AC142" s="37">
        <f>SUMIFS('📋 Транзакції'!$F$5:$F$3623,'📋 Транзакції'!$B$5:$B$3623,A142,'📋 Транзакції'!$C$5:$C$3623,"&gt;="&amp;EDATE(DATEVALUE(C142&amp;"-01"),10),'📋 Транзакції'!$C$5:$C$3623,"&lt;"&amp;EDATE(DATEVALUE(C142&amp;"-01"),11))</f>
        <v>0</v>
      </c>
      <c r="AD142" s="37">
        <f>SUMIFS('📋 Транзакції'!$F$5:$F$3623,'📋 Транзакції'!$B$5:$B$3623,A142,'📋 Транзакції'!$C$5:$C$3623,"&gt;="&amp;EDATE(DATEVALUE(C142&amp;"-01"),11),'📋 Транзакції'!$C$5:$C$3623,"&lt;"&amp;EDATE(DATEVALUE(C142&amp;"-01"),12))</f>
        <v>0</v>
      </c>
    </row>
    <row r="143" ht="15.75" customHeight="1">
      <c r="A143" s="33" t="str">
        <f>'📋 Реєстрації'!A143:A744</f>
        <v>U0343</v>
      </c>
      <c r="B143" s="34">
        <f t="array" ref="B143">INDEX('📋 Транзакції'!$C$5:$C$3623,MATCH(A143,'📋 Транзакції'!$B$5:$B$3623,0))</f>
        <v>45429</v>
      </c>
      <c r="C143" s="35" t="str">
        <f t="shared" si="1"/>
        <v>2024-05</v>
      </c>
      <c r="D143" s="36">
        <f>COUNTIF('📋 Транзакції'!$B$5:$B$3623,A143)</f>
        <v>6</v>
      </c>
      <c r="E143" s="36">
        <f>SUMIF('📋 Транзакції'!$B$5:$B$3623,A143,'📋 Транзакції'!$F$5:$F$3623)</f>
        <v>99.95</v>
      </c>
      <c r="F143" s="35">
        <f>INT($A$1-MAXIFS('📋 Транзакції'!$C$5:$C$3623,'📋 Транзакції'!$B$5:$B$3623,A143))</f>
        <v>191</v>
      </c>
      <c r="G143" s="37">
        <f>IF(COUNTIFS('📋 Транзакції'!$B$5:$B$3623,A143,'📋 Транзакції'!$C$5:$C$3623,"&gt;="&amp;EDATE(DATEVALUE(C143&amp;"-01"),0),'📋 Транзакції'!$C$5:$C$3623,"&lt;"&amp;EDATE(DATEVALUE(C143&amp;"-01"),1))&gt;0,1,0)</f>
        <v>1</v>
      </c>
      <c r="H143" s="37">
        <f>IF(COUNTIFS('📋 Транзакції'!$B$5:$B$3623,A143,'📋 Транзакції'!$C$5:$C$3623,"&gt;="&amp;EDATE(DATEVALUE(C143&amp;"-01"),1),'📋 Транзакції'!$C$5:$C$3623,"&lt;"&amp;EDATE(DATEVALUE(C143&amp;"-01"),2))&gt;0,1,0)</f>
        <v>1</v>
      </c>
      <c r="I143" s="37">
        <f>IF(COUNTIFS('📋 Транзакції'!$B$5:$B$3623,A143,'📋 Транзакції'!$C$5:$C$3623,"&gt;="&amp;EDATE(DATEVALUE(C143&amp;"-01"),2),'📋 Транзакції'!$C$5:$C$3623,"&lt;"&amp;EDATE(DATEVALUE(C143&amp;"-01"),3))&gt;0,1,0)</f>
        <v>1</v>
      </c>
      <c r="J143" s="37">
        <f>IF(COUNTIFS('📋 Транзакції'!$B$5:$B$3623,A143,'📋 Транзакції'!$C$5:$C$3623,"&gt;="&amp;EDATE(DATEVALUE(C143&amp;"-01"),3),'📋 Транзакції'!$C$5:$C$3623,"&lt;"&amp;EDATE(DATEVALUE(C143&amp;"-01"),4))&gt;0,1,0)</f>
        <v>1</v>
      </c>
      <c r="K143" s="37">
        <f>IF(COUNTIFS('📋 Транзакції'!$B$5:$B$3623,A143,'📋 Транзакції'!$C$5:$C$3623,"&gt;="&amp;EDATE(DATEVALUE(C143&amp;"-01"),4),'📋 Транзакції'!$C$5:$C$3623,"&lt;"&amp;EDATE(DATEVALUE(C143&amp;"-01"),5))&gt;0,1,0)</f>
        <v>1</v>
      </c>
      <c r="L143" s="37">
        <f>IF(COUNTIFS('📋 Транзакції'!$B$5:$B$3623,A143,'📋 Транзакції'!$C$5:$C$3623,"&gt;="&amp;EDATE(DATEVALUE(C143&amp;"-01"),5),'📋 Транзакції'!$C$5:$C$3623,"&lt;"&amp;EDATE(DATEVALUE(C143&amp;"-01"),6))&gt;0,1,0)</f>
        <v>0</v>
      </c>
      <c r="M143" s="37">
        <f>IF(COUNTIFS('📋 Транзакції'!$B$5:$B$3623,A143,'📋 Транзакції'!$C$5:$C$3623,"&gt;="&amp;EDATE(DATEVALUE(C143&amp;"-01"),6),'📋 Транзакції'!$C$5:$C$3623,"&lt;"&amp;EDATE(DATEVALUE(C143&amp;"-01"),7))&gt;0,1,0)</f>
        <v>0</v>
      </c>
      <c r="N143" s="37">
        <f>IF(COUNTIFS('📋 Транзакції'!$B$5:$B$3623,A143,'📋 Транзакції'!$C$5:$C$3623,"&gt;="&amp;EDATE(DATEVALUE(C143&amp;"-01"),7),'📋 Транзакції'!$C$5:$C$3623,"&lt;"&amp;EDATE(DATEVALUE(C143&amp;"-01"),8))&gt;0,1,0)</f>
        <v>0</v>
      </c>
      <c r="O143" s="37">
        <f>IF(COUNTIFS('📋 Транзакції'!$B$5:$B$3623,A143,'📋 Транзакції'!$C$5:$C$3623,"&gt;="&amp;EDATE(DATEVALUE(C143&amp;"-01"),8),'📋 Транзакції'!$C$5:$C$3623,"&lt;"&amp;EDATE(DATEVALUE(C143&amp;"-01"),9))&gt;0,1,0)</f>
        <v>0</v>
      </c>
      <c r="P143" s="37">
        <f>IF(COUNTIFS('📋 Транзакції'!$B$5:$B$3623,A143,'📋 Транзакції'!$C$5:$C$3623,"&gt;="&amp;EDATE(DATEVALUE(C143&amp;"-01"),9),'📋 Транзакції'!$C$5:$C$3623,"&lt;"&amp;EDATE(DATEVALUE(C143&amp;"-01"),10))&gt;0,1,0)</f>
        <v>0</v>
      </c>
      <c r="Q143" s="37">
        <f>IF(COUNTIFS('📋 Транзакції'!$B$5:$B$3623,A143,'📋 Транзакції'!$C$5:$C$3623,"&gt;="&amp;EDATE(DATEVALUE(C143&amp;"-01"),10),'📋 Транзакції'!$C$5:$C$3623,"&lt;"&amp;EDATE(DATEVALUE(C143&amp;"-01"),11))&gt;0,1,0)</f>
        <v>0</v>
      </c>
      <c r="R143" s="37">
        <f>IF(COUNTIFS('📋 Транзакції'!$B$5:$B$3623,A143,'📋 Транзакції'!$C$5:$C$3623,"&gt;="&amp;EDATE(DATEVALUE(C143&amp;"-01"),11),'📋 Транзакції'!$C$5:$C$3623,"&lt;"&amp;EDATE(DATEVALUE(C143&amp;"-01"),12))&gt;0,1,0)</f>
        <v>0</v>
      </c>
      <c r="S143" s="37">
        <f>SUMIFS('📋 Транзакції'!$F$5:$F$3623,'📋 Транзакції'!$B$5:$B$3623,A143,'📋 Транзакції'!$C$5:$C$3623,"&gt;="&amp;EDATE(DATEVALUE(C143&amp;"-01"),0),'📋 Транзакції'!$C$5:$C$3623,"&lt;"&amp;EDATE(DATEVALUE(C143&amp;"-01"),1))</f>
        <v>19.99</v>
      </c>
      <c r="T143" s="37">
        <f>SUMIFS('📋 Транзакції'!$F$5:$F$3623,'📋 Транзакції'!$B$5:$B$3623,A143,'📋 Транзакції'!$C$5:$C$3623,"&gt;="&amp;EDATE(DATEVALUE(C143&amp;"-01"),1),'📋 Транзакції'!$C$5:$C$3623,"&lt;"&amp;EDATE(DATEVALUE(C143&amp;"-01"),2))</f>
        <v>19.99</v>
      </c>
      <c r="U143" s="37">
        <f>SUMIFS('📋 Транзакції'!$F$5:$F$3623,'📋 Транзакції'!$B$5:$B$3623,A143,'📋 Транзакції'!$C$5:$C$3623,"&gt;="&amp;EDATE(DATEVALUE(C143&amp;"-01"),2),'📋 Транзакції'!$C$5:$C$3623,"&lt;"&amp;EDATE(DATEVALUE(C143&amp;"-01"),3))</f>
        <v>19.99</v>
      </c>
      <c r="V143" s="37">
        <f>SUMIFS('📋 Транзакції'!$F$5:$F$3623,'📋 Транзакції'!$B$5:$B$3623,A143,'📋 Транзакції'!$C$5:$C$3623,"&gt;="&amp;EDATE(DATEVALUE(C143&amp;"-01"),3),'📋 Транзакції'!$C$5:$C$3623,"&lt;"&amp;EDATE(DATEVALUE(C143&amp;"-01"),4))</f>
        <v>19.99</v>
      </c>
      <c r="W143" s="37">
        <f>SUMIFS('📋 Транзакції'!$F$5:$F$3623,'📋 Транзакції'!$B$5:$B$3623,A143,'📋 Транзакції'!$C$5:$C$3623,"&gt;="&amp;EDATE(DATEVALUE(C143&amp;"-01"),4),'📋 Транзакції'!$C$5:$C$3623,"&lt;"&amp;EDATE(DATEVALUE(C143&amp;"-01"),5))</f>
        <v>19.99</v>
      </c>
      <c r="X143" s="37">
        <f>SUMIFS('📋 Транзакції'!$F$5:$F$3623,'📋 Транзакції'!$B$5:$B$3623,A143,'📋 Транзакції'!$C$5:$C$3623,"&gt;="&amp;EDATE(DATEVALUE(C143&amp;"-01"),5),'📋 Транзакції'!$C$5:$C$3623,"&lt;"&amp;EDATE(DATEVALUE(C143&amp;"-01"),6))</f>
        <v>0</v>
      </c>
      <c r="Y143" s="37">
        <f>SUMIFS('📋 Транзакції'!$F$5:$F$3623,'📋 Транзакції'!$B$5:$B$3623,A143,'📋 Транзакції'!$C$5:$C$3623,"&gt;="&amp;EDATE(DATEVALUE(C143&amp;"-01"),6),'📋 Транзакції'!$C$5:$C$3623,"&lt;"&amp;EDATE(DATEVALUE(C143&amp;"-01"),7))</f>
        <v>0</v>
      </c>
      <c r="Z143" s="37">
        <f>SUMIFS('📋 Транзакції'!$F$5:$F$3623,'📋 Транзакції'!$B$5:$B$3623,A143,'📋 Транзакції'!$C$5:$C$3623,"&gt;="&amp;EDATE(DATEVALUE(C143&amp;"-01"),7),'📋 Транзакції'!$C$5:$C$3623,"&lt;"&amp;EDATE(DATEVALUE(C143&amp;"-01"),8))</f>
        <v>0</v>
      </c>
      <c r="AA143" s="37">
        <f>SUMIFS('📋 Транзакції'!$F$5:$F$3623,'📋 Транзакції'!$B$5:$B$3623,A143,'📋 Транзакції'!$C$5:$C$3623,"&gt;="&amp;EDATE(DATEVALUE(C143&amp;"-01"),8),'📋 Транзакції'!$C$5:$C$3623,"&lt;"&amp;EDATE(DATEVALUE(C143&amp;"-01"),9))</f>
        <v>0</v>
      </c>
      <c r="AB143" s="37">
        <f>SUMIFS('📋 Транзакції'!$F$5:$F$3623,'📋 Транзакції'!$B$5:$B$3623,A143,'📋 Транзакції'!$C$5:$C$3623,"&gt;="&amp;EDATE(DATEVALUE(C143&amp;"-01"),9),'📋 Транзакції'!$C$5:$C$3623,"&lt;"&amp;EDATE(DATEVALUE(C143&amp;"-01"),10))</f>
        <v>0</v>
      </c>
      <c r="AC143" s="37">
        <f>SUMIFS('📋 Транзакції'!$F$5:$F$3623,'📋 Транзакції'!$B$5:$B$3623,A143,'📋 Транзакції'!$C$5:$C$3623,"&gt;="&amp;EDATE(DATEVALUE(C143&amp;"-01"),10),'📋 Транзакції'!$C$5:$C$3623,"&lt;"&amp;EDATE(DATEVALUE(C143&amp;"-01"),11))</f>
        <v>0</v>
      </c>
      <c r="AD143" s="37">
        <f>SUMIFS('📋 Транзакції'!$F$5:$F$3623,'📋 Транзакції'!$B$5:$B$3623,A143,'📋 Транзакції'!$C$5:$C$3623,"&gt;="&amp;EDATE(DATEVALUE(C143&amp;"-01"),11),'📋 Транзакції'!$C$5:$C$3623,"&lt;"&amp;EDATE(DATEVALUE(C143&amp;"-01"),12))</f>
        <v>0</v>
      </c>
    </row>
    <row r="144" ht="15.75" customHeight="1">
      <c r="A144" s="33" t="str">
        <f>'📋 Реєстрації'!A144:A745</f>
        <v>U0014</v>
      </c>
      <c r="B144" s="34">
        <f t="array" ref="B144">INDEX('📋 Транзакції'!$C$5:$C$3623,MATCH(A144,'📋 Транзакції'!$B$5:$B$3623,0))</f>
        <v>45430</v>
      </c>
      <c r="C144" s="35" t="str">
        <f t="shared" si="1"/>
        <v>2024-05</v>
      </c>
      <c r="D144" s="36">
        <f>COUNTIF('📋 Транзакції'!$B$5:$B$3623,A144)</f>
        <v>12</v>
      </c>
      <c r="E144" s="36">
        <f>SUMIF('📋 Транзакції'!$B$5:$B$3623,A144,'📋 Транзакції'!$F$5:$F$3623)</f>
        <v>219.89</v>
      </c>
      <c r="F144" s="35">
        <f>INT($A$1-MAXIFS('📋 Транзакції'!$C$5:$C$3623,'📋 Транзакції'!$B$5:$B$3623,A144))</f>
        <v>10</v>
      </c>
      <c r="G144" s="37">
        <f>IF(COUNTIFS('📋 Транзакції'!$B$5:$B$3623,A144,'📋 Транзакції'!$C$5:$C$3623,"&gt;="&amp;EDATE(DATEVALUE(C144&amp;"-01"),0),'📋 Транзакції'!$C$5:$C$3623,"&lt;"&amp;EDATE(DATEVALUE(C144&amp;"-01"),1))&gt;0,1,0)</f>
        <v>1</v>
      </c>
      <c r="H144" s="37">
        <f>IF(COUNTIFS('📋 Транзакції'!$B$5:$B$3623,A144,'📋 Транзакції'!$C$5:$C$3623,"&gt;="&amp;EDATE(DATEVALUE(C144&amp;"-01"),1),'📋 Транзакції'!$C$5:$C$3623,"&lt;"&amp;EDATE(DATEVALUE(C144&amp;"-01"),2))&gt;0,1,0)</f>
        <v>1</v>
      </c>
      <c r="I144" s="37">
        <f>IF(COUNTIFS('📋 Транзакції'!$B$5:$B$3623,A144,'📋 Транзакції'!$C$5:$C$3623,"&gt;="&amp;EDATE(DATEVALUE(C144&amp;"-01"),2),'📋 Транзакції'!$C$5:$C$3623,"&lt;"&amp;EDATE(DATEVALUE(C144&amp;"-01"),3))&gt;0,1,0)</f>
        <v>1</v>
      </c>
      <c r="J144" s="37">
        <f>IF(COUNTIFS('📋 Транзакції'!$B$5:$B$3623,A144,'📋 Транзакції'!$C$5:$C$3623,"&gt;="&amp;EDATE(DATEVALUE(C144&amp;"-01"),3),'📋 Транзакції'!$C$5:$C$3623,"&lt;"&amp;EDATE(DATEVALUE(C144&amp;"-01"),4))&gt;0,1,0)</f>
        <v>1</v>
      </c>
      <c r="K144" s="37">
        <f>IF(COUNTIFS('📋 Транзакції'!$B$5:$B$3623,A144,'📋 Транзакції'!$C$5:$C$3623,"&gt;="&amp;EDATE(DATEVALUE(C144&amp;"-01"),4),'📋 Транзакції'!$C$5:$C$3623,"&lt;"&amp;EDATE(DATEVALUE(C144&amp;"-01"),5))&gt;0,1,0)</f>
        <v>1</v>
      </c>
      <c r="L144" s="37">
        <f>IF(COUNTIFS('📋 Транзакції'!$B$5:$B$3623,A144,'📋 Транзакції'!$C$5:$C$3623,"&gt;="&amp;EDATE(DATEVALUE(C144&amp;"-01"),5),'📋 Транзакції'!$C$5:$C$3623,"&lt;"&amp;EDATE(DATEVALUE(C144&amp;"-01"),6))&gt;0,1,0)</f>
        <v>1</v>
      </c>
      <c r="M144" s="37">
        <f>IF(COUNTIFS('📋 Транзакції'!$B$5:$B$3623,A144,'📋 Транзакції'!$C$5:$C$3623,"&gt;="&amp;EDATE(DATEVALUE(C144&amp;"-01"),6),'📋 Транзакції'!$C$5:$C$3623,"&lt;"&amp;EDATE(DATEVALUE(C144&amp;"-01"),7))&gt;0,1,0)</f>
        <v>1</v>
      </c>
      <c r="N144" s="37">
        <f>IF(COUNTIFS('📋 Транзакції'!$B$5:$B$3623,A144,'📋 Транзакції'!$C$5:$C$3623,"&gt;="&amp;EDATE(DATEVALUE(C144&amp;"-01"),7),'📋 Транзакції'!$C$5:$C$3623,"&lt;"&amp;EDATE(DATEVALUE(C144&amp;"-01"),8))&gt;0,1,0)</f>
        <v>1</v>
      </c>
      <c r="O144" s="37">
        <f>IF(COUNTIFS('📋 Транзакції'!$B$5:$B$3623,A144,'📋 Транзакції'!$C$5:$C$3623,"&gt;="&amp;EDATE(DATEVALUE(C144&amp;"-01"),8),'📋 Транзакції'!$C$5:$C$3623,"&lt;"&amp;EDATE(DATEVALUE(C144&amp;"-01"),9))&gt;0,1,0)</f>
        <v>1</v>
      </c>
      <c r="P144" s="37">
        <f>IF(COUNTIFS('📋 Транзакції'!$B$5:$B$3623,A144,'📋 Транзакції'!$C$5:$C$3623,"&gt;="&amp;EDATE(DATEVALUE(C144&amp;"-01"),9),'📋 Транзакції'!$C$5:$C$3623,"&lt;"&amp;EDATE(DATEVALUE(C144&amp;"-01"),10))&gt;0,1,0)</f>
        <v>1</v>
      </c>
      <c r="Q144" s="37">
        <f>IF(COUNTIFS('📋 Транзакції'!$B$5:$B$3623,A144,'📋 Транзакції'!$C$5:$C$3623,"&gt;="&amp;EDATE(DATEVALUE(C144&amp;"-01"),10),'📋 Транзакції'!$C$5:$C$3623,"&lt;"&amp;EDATE(DATEVALUE(C144&amp;"-01"),11))&gt;0,1,0)</f>
        <v>1</v>
      </c>
      <c r="R144" s="37">
        <f>IF(COUNTIFS('📋 Транзакції'!$B$5:$B$3623,A144,'📋 Транзакції'!$C$5:$C$3623,"&gt;="&amp;EDATE(DATEVALUE(C144&amp;"-01"),11),'📋 Транзакції'!$C$5:$C$3623,"&lt;"&amp;EDATE(DATEVALUE(C144&amp;"-01"),12))&gt;0,1,0)</f>
        <v>0</v>
      </c>
      <c r="S144" s="37">
        <f>SUMIFS('📋 Транзакції'!$F$5:$F$3623,'📋 Транзакції'!$B$5:$B$3623,A144,'📋 Транзакції'!$C$5:$C$3623,"&gt;="&amp;EDATE(DATEVALUE(C144&amp;"-01"),0),'📋 Транзакції'!$C$5:$C$3623,"&lt;"&amp;EDATE(DATEVALUE(C144&amp;"-01"),1))</f>
        <v>19.99</v>
      </c>
      <c r="T144" s="37">
        <f>SUMIFS('📋 Транзакції'!$F$5:$F$3623,'📋 Транзакції'!$B$5:$B$3623,A144,'📋 Транзакції'!$C$5:$C$3623,"&gt;="&amp;EDATE(DATEVALUE(C144&amp;"-01"),1),'📋 Транзакції'!$C$5:$C$3623,"&lt;"&amp;EDATE(DATEVALUE(C144&amp;"-01"),2))</f>
        <v>19.99</v>
      </c>
      <c r="U144" s="37">
        <f>SUMIFS('📋 Транзакції'!$F$5:$F$3623,'📋 Транзакції'!$B$5:$B$3623,A144,'📋 Транзакції'!$C$5:$C$3623,"&gt;="&amp;EDATE(DATEVALUE(C144&amp;"-01"),2),'📋 Транзакції'!$C$5:$C$3623,"&lt;"&amp;EDATE(DATEVALUE(C144&amp;"-01"),3))</f>
        <v>19.99</v>
      </c>
      <c r="V144" s="37">
        <f>SUMIFS('📋 Транзакції'!$F$5:$F$3623,'📋 Транзакції'!$B$5:$B$3623,A144,'📋 Транзакції'!$C$5:$C$3623,"&gt;="&amp;EDATE(DATEVALUE(C144&amp;"-01"),3),'📋 Транзакції'!$C$5:$C$3623,"&lt;"&amp;EDATE(DATEVALUE(C144&amp;"-01"),4))</f>
        <v>19.99</v>
      </c>
      <c r="W144" s="37">
        <f>SUMIFS('📋 Транзакції'!$F$5:$F$3623,'📋 Транзакції'!$B$5:$B$3623,A144,'📋 Транзакції'!$C$5:$C$3623,"&gt;="&amp;EDATE(DATEVALUE(C144&amp;"-01"),4),'📋 Транзакції'!$C$5:$C$3623,"&lt;"&amp;EDATE(DATEVALUE(C144&amp;"-01"),5))</f>
        <v>19.99</v>
      </c>
      <c r="X144" s="37">
        <f>SUMIFS('📋 Транзакції'!$F$5:$F$3623,'📋 Транзакції'!$B$5:$B$3623,A144,'📋 Транзакції'!$C$5:$C$3623,"&gt;="&amp;EDATE(DATEVALUE(C144&amp;"-01"),5),'📋 Транзакції'!$C$5:$C$3623,"&lt;"&amp;EDATE(DATEVALUE(C144&amp;"-01"),6))</f>
        <v>19.99</v>
      </c>
      <c r="Y144" s="37">
        <f>SUMIFS('📋 Транзакції'!$F$5:$F$3623,'📋 Транзакції'!$B$5:$B$3623,A144,'📋 Транзакції'!$C$5:$C$3623,"&gt;="&amp;EDATE(DATEVALUE(C144&amp;"-01"),6),'📋 Транзакції'!$C$5:$C$3623,"&lt;"&amp;EDATE(DATEVALUE(C144&amp;"-01"),7))</f>
        <v>19.99</v>
      </c>
      <c r="Z144" s="37">
        <f>SUMIFS('📋 Транзакції'!$F$5:$F$3623,'📋 Транзакції'!$B$5:$B$3623,A144,'📋 Транзакції'!$C$5:$C$3623,"&gt;="&amp;EDATE(DATEVALUE(C144&amp;"-01"),7),'📋 Транзакції'!$C$5:$C$3623,"&lt;"&amp;EDATE(DATEVALUE(C144&amp;"-01"),8))</f>
        <v>19.99</v>
      </c>
      <c r="AA144" s="37">
        <f>SUMIFS('📋 Транзакції'!$F$5:$F$3623,'📋 Транзакції'!$B$5:$B$3623,A144,'📋 Транзакції'!$C$5:$C$3623,"&gt;="&amp;EDATE(DATEVALUE(C144&amp;"-01"),8),'📋 Транзакції'!$C$5:$C$3623,"&lt;"&amp;EDATE(DATEVALUE(C144&amp;"-01"),9))</f>
        <v>19.99</v>
      </c>
      <c r="AB144" s="37">
        <f>SUMIFS('📋 Транзакції'!$F$5:$F$3623,'📋 Транзакції'!$B$5:$B$3623,A144,'📋 Транзакції'!$C$5:$C$3623,"&gt;="&amp;EDATE(DATEVALUE(C144&amp;"-01"),9),'📋 Транзакції'!$C$5:$C$3623,"&lt;"&amp;EDATE(DATEVALUE(C144&amp;"-01"),10))</f>
        <v>19.99</v>
      </c>
      <c r="AC144" s="37">
        <f>SUMIFS('📋 Транзакції'!$F$5:$F$3623,'📋 Транзакції'!$B$5:$B$3623,A144,'📋 Транзакції'!$C$5:$C$3623,"&gt;="&amp;EDATE(DATEVALUE(C144&amp;"-01"),10),'📋 Транзакції'!$C$5:$C$3623,"&lt;"&amp;EDATE(DATEVALUE(C144&amp;"-01"),11))</f>
        <v>19.99</v>
      </c>
      <c r="AD144" s="37">
        <f>SUMIFS('📋 Транзакції'!$F$5:$F$3623,'📋 Транзакції'!$B$5:$B$3623,A144,'📋 Транзакції'!$C$5:$C$3623,"&gt;="&amp;EDATE(DATEVALUE(C144&amp;"-01"),11),'📋 Транзакції'!$C$5:$C$3623,"&lt;"&amp;EDATE(DATEVALUE(C144&amp;"-01"),12))</f>
        <v>0</v>
      </c>
    </row>
    <row r="145" ht="15.75" customHeight="1">
      <c r="A145" s="33" t="str">
        <f>'📋 Реєстрації'!A145:A746</f>
        <v>U0354</v>
      </c>
      <c r="B145" s="34">
        <f t="array" ref="B145">INDEX('📋 Транзакції'!$C$5:$C$3623,MATCH(A145,'📋 Транзакції'!$B$5:$B$3623,0))</f>
        <v>45430</v>
      </c>
      <c r="C145" s="35" t="str">
        <f t="shared" si="1"/>
        <v>2024-05</v>
      </c>
      <c r="D145" s="36">
        <f>COUNTIF('📋 Транзакції'!$B$5:$B$3623,A145)</f>
        <v>2</v>
      </c>
      <c r="E145" s="36">
        <f>SUMIF('📋 Транзакції'!$B$5:$B$3623,A145,'📋 Транзакції'!$F$5:$F$3623)</f>
        <v>19.99</v>
      </c>
      <c r="F145" s="35">
        <f>INT($A$1-MAXIFS('📋 Транзакції'!$C$5:$C$3623,'📋 Транзакції'!$B$5:$B$3623,A145))</f>
        <v>310</v>
      </c>
      <c r="G145" s="37">
        <f>IF(COUNTIFS('📋 Транзакції'!$B$5:$B$3623,A145,'📋 Транзакції'!$C$5:$C$3623,"&gt;="&amp;EDATE(DATEVALUE(C145&amp;"-01"),0),'📋 Транзакції'!$C$5:$C$3623,"&lt;"&amp;EDATE(DATEVALUE(C145&amp;"-01"),1))&gt;0,1,0)</f>
        <v>1</v>
      </c>
      <c r="H145" s="37">
        <f>IF(COUNTIFS('📋 Транзакції'!$B$5:$B$3623,A145,'📋 Транзакції'!$C$5:$C$3623,"&gt;="&amp;EDATE(DATEVALUE(C145&amp;"-01"),1),'📋 Транзакції'!$C$5:$C$3623,"&lt;"&amp;EDATE(DATEVALUE(C145&amp;"-01"),2))&gt;0,1,0)</f>
        <v>0</v>
      </c>
      <c r="I145" s="37">
        <f>IF(COUNTIFS('📋 Транзакції'!$B$5:$B$3623,A145,'📋 Транзакції'!$C$5:$C$3623,"&gt;="&amp;EDATE(DATEVALUE(C145&amp;"-01"),2),'📋 Транзакції'!$C$5:$C$3623,"&lt;"&amp;EDATE(DATEVALUE(C145&amp;"-01"),3))&gt;0,1,0)</f>
        <v>0</v>
      </c>
      <c r="J145" s="37">
        <f>IF(COUNTIFS('📋 Транзакції'!$B$5:$B$3623,A145,'📋 Транзакції'!$C$5:$C$3623,"&gt;="&amp;EDATE(DATEVALUE(C145&amp;"-01"),3),'📋 Транзакції'!$C$5:$C$3623,"&lt;"&amp;EDATE(DATEVALUE(C145&amp;"-01"),4))&gt;0,1,0)</f>
        <v>0</v>
      </c>
      <c r="K145" s="37">
        <f>IF(COUNTIFS('📋 Транзакції'!$B$5:$B$3623,A145,'📋 Транзакції'!$C$5:$C$3623,"&gt;="&amp;EDATE(DATEVALUE(C145&amp;"-01"),4),'📋 Транзакції'!$C$5:$C$3623,"&lt;"&amp;EDATE(DATEVALUE(C145&amp;"-01"),5))&gt;0,1,0)</f>
        <v>0</v>
      </c>
      <c r="L145" s="37">
        <f>IF(COUNTIFS('📋 Транзакції'!$B$5:$B$3623,A145,'📋 Транзакції'!$C$5:$C$3623,"&gt;="&amp;EDATE(DATEVALUE(C145&amp;"-01"),5),'📋 Транзакції'!$C$5:$C$3623,"&lt;"&amp;EDATE(DATEVALUE(C145&amp;"-01"),6))&gt;0,1,0)</f>
        <v>0</v>
      </c>
      <c r="M145" s="37">
        <f>IF(COUNTIFS('📋 Транзакції'!$B$5:$B$3623,A145,'📋 Транзакції'!$C$5:$C$3623,"&gt;="&amp;EDATE(DATEVALUE(C145&amp;"-01"),6),'📋 Транзакції'!$C$5:$C$3623,"&lt;"&amp;EDATE(DATEVALUE(C145&amp;"-01"),7))&gt;0,1,0)</f>
        <v>0</v>
      </c>
      <c r="N145" s="37">
        <f>IF(COUNTIFS('📋 Транзакції'!$B$5:$B$3623,A145,'📋 Транзакції'!$C$5:$C$3623,"&gt;="&amp;EDATE(DATEVALUE(C145&amp;"-01"),7),'📋 Транзакції'!$C$5:$C$3623,"&lt;"&amp;EDATE(DATEVALUE(C145&amp;"-01"),8))&gt;0,1,0)</f>
        <v>0</v>
      </c>
      <c r="O145" s="37">
        <f>IF(COUNTIFS('📋 Транзакції'!$B$5:$B$3623,A145,'📋 Транзакції'!$C$5:$C$3623,"&gt;="&amp;EDATE(DATEVALUE(C145&amp;"-01"),8),'📋 Транзакції'!$C$5:$C$3623,"&lt;"&amp;EDATE(DATEVALUE(C145&amp;"-01"),9))&gt;0,1,0)</f>
        <v>0</v>
      </c>
      <c r="P145" s="37">
        <f>IF(COUNTIFS('📋 Транзакції'!$B$5:$B$3623,A145,'📋 Транзакції'!$C$5:$C$3623,"&gt;="&amp;EDATE(DATEVALUE(C145&amp;"-01"),9),'📋 Транзакції'!$C$5:$C$3623,"&lt;"&amp;EDATE(DATEVALUE(C145&amp;"-01"),10))&gt;0,1,0)</f>
        <v>0</v>
      </c>
      <c r="Q145" s="37">
        <f>IF(COUNTIFS('📋 Транзакції'!$B$5:$B$3623,A145,'📋 Транзакції'!$C$5:$C$3623,"&gt;="&amp;EDATE(DATEVALUE(C145&amp;"-01"),10),'📋 Транзакції'!$C$5:$C$3623,"&lt;"&amp;EDATE(DATEVALUE(C145&amp;"-01"),11))&gt;0,1,0)</f>
        <v>0</v>
      </c>
      <c r="R145" s="37">
        <f>IF(COUNTIFS('📋 Транзакції'!$B$5:$B$3623,A145,'📋 Транзакції'!$C$5:$C$3623,"&gt;="&amp;EDATE(DATEVALUE(C145&amp;"-01"),11),'📋 Транзакції'!$C$5:$C$3623,"&lt;"&amp;EDATE(DATEVALUE(C145&amp;"-01"),12))&gt;0,1,0)</f>
        <v>0</v>
      </c>
      <c r="S145" s="37">
        <f>SUMIFS('📋 Транзакції'!$F$5:$F$3623,'📋 Транзакції'!$B$5:$B$3623,A145,'📋 Транзакції'!$C$5:$C$3623,"&gt;="&amp;EDATE(DATEVALUE(C145&amp;"-01"),0),'📋 Транзакції'!$C$5:$C$3623,"&lt;"&amp;EDATE(DATEVALUE(C145&amp;"-01"),1))</f>
        <v>19.99</v>
      </c>
      <c r="T145" s="37">
        <f>SUMIFS('📋 Транзакції'!$F$5:$F$3623,'📋 Транзакції'!$B$5:$B$3623,A145,'📋 Транзакції'!$C$5:$C$3623,"&gt;="&amp;EDATE(DATEVALUE(C145&amp;"-01"),1),'📋 Транзакції'!$C$5:$C$3623,"&lt;"&amp;EDATE(DATEVALUE(C145&amp;"-01"),2))</f>
        <v>0</v>
      </c>
      <c r="U145" s="37">
        <f>SUMIFS('📋 Транзакції'!$F$5:$F$3623,'📋 Транзакції'!$B$5:$B$3623,A145,'📋 Транзакції'!$C$5:$C$3623,"&gt;="&amp;EDATE(DATEVALUE(C145&amp;"-01"),2),'📋 Транзакції'!$C$5:$C$3623,"&lt;"&amp;EDATE(DATEVALUE(C145&amp;"-01"),3))</f>
        <v>0</v>
      </c>
      <c r="V145" s="37">
        <f>SUMIFS('📋 Транзакції'!$F$5:$F$3623,'📋 Транзакції'!$B$5:$B$3623,A145,'📋 Транзакції'!$C$5:$C$3623,"&gt;="&amp;EDATE(DATEVALUE(C145&amp;"-01"),3),'📋 Транзакції'!$C$5:$C$3623,"&lt;"&amp;EDATE(DATEVALUE(C145&amp;"-01"),4))</f>
        <v>0</v>
      </c>
      <c r="W145" s="37">
        <f>SUMIFS('📋 Транзакції'!$F$5:$F$3623,'📋 Транзакції'!$B$5:$B$3623,A145,'📋 Транзакції'!$C$5:$C$3623,"&gt;="&amp;EDATE(DATEVALUE(C145&amp;"-01"),4),'📋 Транзакції'!$C$5:$C$3623,"&lt;"&amp;EDATE(DATEVALUE(C145&amp;"-01"),5))</f>
        <v>0</v>
      </c>
      <c r="X145" s="37">
        <f>SUMIFS('📋 Транзакції'!$F$5:$F$3623,'📋 Транзакції'!$B$5:$B$3623,A145,'📋 Транзакції'!$C$5:$C$3623,"&gt;="&amp;EDATE(DATEVALUE(C145&amp;"-01"),5),'📋 Транзакції'!$C$5:$C$3623,"&lt;"&amp;EDATE(DATEVALUE(C145&amp;"-01"),6))</f>
        <v>0</v>
      </c>
      <c r="Y145" s="37">
        <f>SUMIFS('📋 Транзакції'!$F$5:$F$3623,'📋 Транзакції'!$B$5:$B$3623,A145,'📋 Транзакції'!$C$5:$C$3623,"&gt;="&amp;EDATE(DATEVALUE(C145&amp;"-01"),6),'📋 Транзакції'!$C$5:$C$3623,"&lt;"&amp;EDATE(DATEVALUE(C145&amp;"-01"),7))</f>
        <v>0</v>
      </c>
      <c r="Z145" s="37">
        <f>SUMIFS('📋 Транзакції'!$F$5:$F$3623,'📋 Транзакції'!$B$5:$B$3623,A145,'📋 Транзакції'!$C$5:$C$3623,"&gt;="&amp;EDATE(DATEVALUE(C145&amp;"-01"),7),'📋 Транзакції'!$C$5:$C$3623,"&lt;"&amp;EDATE(DATEVALUE(C145&amp;"-01"),8))</f>
        <v>0</v>
      </c>
      <c r="AA145" s="37">
        <f>SUMIFS('📋 Транзакції'!$F$5:$F$3623,'📋 Транзакції'!$B$5:$B$3623,A145,'📋 Транзакції'!$C$5:$C$3623,"&gt;="&amp;EDATE(DATEVALUE(C145&amp;"-01"),8),'📋 Транзакції'!$C$5:$C$3623,"&lt;"&amp;EDATE(DATEVALUE(C145&amp;"-01"),9))</f>
        <v>0</v>
      </c>
      <c r="AB145" s="37">
        <f>SUMIFS('📋 Транзакції'!$F$5:$F$3623,'📋 Транзакції'!$B$5:$B$3623,A145,'📋 Транзакції'!$C$5:$C$3623,"&gt;="&amp;EDATE(DATEVALUE(C145&amp;"-01"),9),'📋 Транзакції'!$C$5:$C$3623,"&lt;"&amp;EDATE(DATEVALUE(C145&amp;"-01"),10))</f>
        <v>0</v>
      </c>
      <c r="AC145" s="37">
        <f>SUMIFS('📋 Транзакції'!$F$5:$F$3623,'📋 Транзакції'!$B$5:$B$3623,A145,'📋 Транзакції'!$C$5:$C$3623,"&gt;="&amp;EDATE(DATEVALUE(C145&amp;"-01"),10),'📋 Транзакції'!$C$5:$C$3623,"&lt;"&amp;EDATE(DATEVALUE(C145&amp;"-01"),11))</f>
        <v>0</v>
      </c>
      <c r="AD145" s="37">
        <f>SUMIFS('📋 Транзакції'!$F$5:$F$3623,'📋 Транзакції'!$B$5:$B$3623,A145,'📋 Транзакції'!$C$5:$C$3623,"&gt;="&amp;EDATE(DATEVALUE(C145&amp;"-01"),11),'📋 Транзакції'!$C$5:$C$3623,"&lt;"&amp;EDATE(DATEVALUE(C145&amp;"-01"),12))</f>
        <v>0</v>
      </c>
    </row>
    <row r="146" ht="15.75" customHeight="1">
      <c r="A146" s="33" t="str">
        <f>'📋 Реєстрації'!A146:A747</f>
        <v>U0562</v>
      </c>
      <c r="B146" s="34">
        <f t="array" ref="B146">INDEX('📋 Транзакції'!$C$5:$C$3623,MATCH(A146,'📋 Транзакції'!$B$5:$B$3623,0))</f>
        <v>45430</v>
      </c>
      <c r="C146" s="35" t="str">
        <f t="shared" si="1"/>
        <v>2024-05</v>
      </c>
      <c r="D146" s="36">
        <f>COUNTIF('📋 Транзакції'!$B$5:$B$3623,A146)</f>
        <v>5</v>
      </c>
      <c r="E146" s="36">
        <f>SUMIF('📋 Транзакції'!$B$5:$B$3623,A146,'📋 Транзакції'!$F$5:$F$3623)</f>
        <v>79.96</v>
      </c>
      <c r="F146" s="35">
        <f>INT($A$1-MAXIFS('📋 Транзакції'!$C$5:$C$3623,'📋 Транзакції'!$B$5:$B$3623,A146))</f>
        <v>220</v>
      </c>
      <c r="G146" s="37">
        <f>IF(COUNTIFS('📋 Транзакції'!$B$5:$B$3623,A146,'📋 Транзакції'!$C$5:$C$3623,"&gt;="&amp;EDATE(DATEVALUE(C146&amp;"-01"),0),'📋 Транзакції'!$C$5:$C$3623,"&lt;"&amp;EDATE(DATEVALUE(C146&amp;"-01"),1))&gt;0,1,0)</f>
        <v>1</v>
      </c>
      <c r="H146" s="37">
        <f>IF(COUNTIFS('📋 Транзакції'!$B$5:$B$3623,A146,'📋 Транзакції'!$C$5:$C$3623,"&gt;="&amp;EDATE(DATEVALUE(C146&amp;"-01"),1),'📋 Транзакції'!$C$5:$C$3623,"&lt;"&amp;EDATE(DATEVALUE(C146&amp;"-01"),2))&gt;0,1,0)</f>
        <v>1</v>
      </c>
      <c r="I146" s="37">
        <f>IF(COUNTIFS('📋 Транзакції'!$B$5:$B$3623,A146,'📋 Транзакції'!$C$5:$C$3623,"&gt;="&amp;EDATE(DATEVALUE(C146&amp;"-01"),2),'📋 Транзакції'!$C$5:$C$3623,"&lt;"&amp;EDATE(DATEVALUE(C146&amp;"-01"),3))&gt;0,1,0)</f>
        <v>1</v>
      </c>
      <c r="J146" s="37">
        <f>IF(COUNTIFS('📋 Транзакції'!$B$5:$B$3623,A146,'📋 Транзакції'!$C$5:$C$3623,"&gt;="&amp;EDATE(DATEVALUE(C146&amp;"-01"),3),'📋 Транзакції'!$C$5:$C$3623,"&lt;"&amp;EDATE(DATEVALUE(C146&amp;"-01"),4))&gt;0,1,0)</f>
        <v>1</v>
      </c>
      <c r="K146" s="37">
        <f>IF(COUNTIFS('📋 Транзакції'!$B$5:$B$3623,A146,'📋 Транзакції'!$C$5:$C$3623,"&gt;="&amp;EDATE(DATEVALUE(C146&amp;"-01"),4),'📋 Транзакції'!$C$5:$C$3623,"&lt;"&amp;EDATE(DATEVALUE(C146&amp;"-01"),5))&gt;0,1,0)</f>
        <v>0</v>
      </c>
      <c r="L146" s="37">
        <f>IF(COUNTIFS('📋 Транзакції'!$B$5:$B$3623,A146,'📋 Транзакції'!$C$5:$C$3623,"&gt;="&amp;EDATE(DATEVALUE(C146&amp;"-01"),5),'📋 Транзакції'!$C$5:$C$3623,"&lt;"&amp;EDATE(DATEVALUE(C146&amp;"-01"),6))&gt;0,1,0)</f>
        <v>0</v>
      </c>
      <c r="M146" s="37">
        <f>IF(COUNTIFS('📋 Транзакції'!$B$5:$B$3623,A146,'📋 Транзакції'!$C$5:$C$3623,"&gt;="&amp;EDATE(DATEVALUE(C146&amp;"-01"),6),'📋 Транзакції'!$C$5:$C$3623,"&lt;"&amp;EDATE(DATEVALUE(C146&amp;"-01"),7))&gt;0,1,0)</f>
        <v>0</v>
      </c>
      <c r="N146" s="37">
        <f>IF(COUNTIFS('📋 Транзакції'!$B$5:$B$3623,A146,'📋 Транзакції'!$C$5:$C$3623,"&gt;="&amp;EDATE(DATEVALUE(C146&amp;"-01"),7),'📋 Транзакції'!$C$5:$C$3623,"&lt;"&amp;EDATE(DATEVALUE(C146&amp;"-01"),8))&gt;0,1,0)</f>
        <v>0</v>
      </c>
      <c r="O146" s="37">
        <f>IF(COUNTIFS('📋 Транзакції'!$B$5:$B$3623,A146,'📋 Транзакції'!$C$5:$C$3623,"&gt;="&amp;EDATE(DATEVALUE(C146&amp;"-01"),8),'📋 Транзакції'!$C$5:$C$3623,"&lt;"&amp;EDATE(DATEVALUE(C146&amp;"-01"),9))&gt;0,1,0)</f>
        <v>0</v>
      </c>
      <c r="P146" s="37">
        <f>IF(COUNTIFS('📋 Транзакції'!$B$5:$B$3623,A146,'📋 Транзакції'!$C$5:$C$3623,"&gt;="&amp;EDATE(DATEVALUE(C146&amp;"-01"),9),'📋 Транзакції'!$C$5:$C$3623,"&lt;"&amp;EDATE(DATEVALUE(C146&amp;"-01"),10))&gt;0,1,0)</f>
        <v>0</v>
      </c>
      <c r="Q146" s="37">
        <f>IF(COUNTIFS('📋 Транзакції'!$B$5:$B$3623,A146,'📋 Транзакції'!$C$5:$C$3623,"&gt;="&amp;EDATE(DATEVALUE(C146&amp;"-01"),10),'📋 Транзакції'!$C$5:$C$3623,"&lt;"&amp;EDATE(DATEVALUE(C146&amp;"-01"),11))&gt;0,1,0)</f>
        <v>0</v>
      </c>
      <c r="R146" s="37">
        <f>IF(COUNTIFS('📋 Транзакції'!$B$5:$B$3623,A146,'📋 Транзакції'!$C$5:$C$3623,"&gt;="&amp;EDATE(DATEVALUE(C146&amp;"-01"),11),'📋 Транзакції'!$C$5:$C$3623,"&lt;"&amp;EDATE(DATEVALUE(C146&amp;"-01"),12))&gt;0,1,0)</f>
        <v>0</v>
      </c>
      <c r="S146" s="37">
        <f>SUMIFS('📋 Транзакції'!$F$5:$F$3623,'📋 Транзакції'!$B$5:$B$3623,A146,'📋 Транзакції'!$C$5:$C$3623,"&gt;="&amp;EDATE(DATEVALUE(C146&amp;"-01"),0),'📋 Транзакції'!$C$5:$C$3623,"&lt;"&amp;EDATE(DATEVALUE(C146&amp;"-01"),1))</f>
        <v>19.99</v>
      </c>
      <c r="T146" s="37">
        <f>SUMIFS('📋 Транзакції'!$F$5:$F$3623,'📋 Транзакції'!$B$5:$B$3623,A146,'📋 Транзакції'!$C$5:$C$3623,"&gt;="&amp;EDATE(DATEVALUE(C146&amp;"-01"),1),'📋 Транзакції'!$C$5:$C$3623,"&lt;"&amp;EDATE(DATEVALUE(C146&amp;"-01"),2))</f>
        <v>19.99</v>
      </c>
      <c r="U146" s="37">
        <f>SUMIFS('📋 Транзакції'!$F$5:$F$3623,'📋 Транзакції'!$B$5:$B$3623,A146,'📋 Транзакції'!$C$5:$C$3623,"&gt;="&amp;EDATE(DATEVALUE(C146&amp;"-01"),2),'📋 Транзакції'!$C$5:$C$3623,"&lt;"&amp;EDATE(DATEVALUE(C146&amp;"-01"),3))</f>
        <v>19.99</v>
      </c>
      <c r="V146" s="37">
        <f>SUMIFS('📋 Транзакції'!$F$5:$F$3623,'📋 Транзакції'!$B$5:$B$3623,A146,'📋 Транзакції'!$C$5:$C$3623,"&gt;="&amp;EDATE(DATEVALUE(C146&amp;"-01"),3),'📋 Транзакції'!$C$5:$C$3623,"&lt;"&amp;EDATE(DATEVALUE(C146&amp;"-01"),4))</f>
        <v>19.99</v>
      </c>
      <c r="W146" s="37">
        <f>SUMIFS('📋 Транзакції'!$F$5:$F$3623,'📋 Транзакції'!$B$5:$B$3623,A146,'📋 Транзакції'!$C$5:$C$3623,"&gt;="&amp;EDATE(DATEVALUE(C146&amp;"-01"),4),'📋 Транзакції'!$C$5:$C$3623,"&lt;"&amp;EDATE(DATEVALUE(C146&amp;"-01"),5))</f>
        <v>0</v>
      </c>
      <c r="X146" s="37">
        <f>SUMIFS('📋 Транзакції'!$F$5:$F$3623,'📋 Транзакції'!$B$5:$B$3623,A146,'📋 Транзакції'!$C$5:$C$3623,"&gt;="&amp;EDATE(DATEVALUE(C146&amp;"-01"),5),'📋 Транзакції'!$C$5:$C$3623,"&lt;"&amp;EDATE(DATEVALUE(C146&amp;"-01"),6))</f>
        <v>0</v>
      </c>
      <c r="Y146" s="37">
        <f>SUMIFS('📋 Транзакції'!$F$5:$F$3623,'📋 Транзакції'!$B$5:$B$3623,A146,'📋 Транзакції'!$C$5:$C$3623,"&gt;="&amp;EDATE(DATEVALUE(C146&amp;"-01"),6),'📋 Транзакції'!$C$5:$C$3623,"&lt;"&amp;EDATE(DATEVALUE(C146&amp;"-01"),7))</f>
        <v>0</v>
      </c>
      <c r="Z146" s="37">
        <f>SUMIFS('📋 Транзакції'!$F$5:$F$3623,'📋 Транзакції'!$B$5:$B$3623,A146,'📋 Транзакції'!$C$5:$C$3623,"&gt;="&amp;EDATE(DATEVALUE(C146&amp;"-01"),7),'📋 Транзакції'!$C$5:$C$3623,"&lt;"&amp;EDATE(DATEVALUE(C146&amp;"-01"),8))</f>
        <v>0</v>
      </c>
      <c r="AA146" s="37">
        <f>SUMIFS('📋 Транзакції'!$F$5:$F$3623,'📋 Транзакції'!$B$5:$B$3623,A146,'📋 Транзакції'!$C$5:$C$3623,"&gt;="&amp;EDATE(DATEVALUE(C146&amp;"-01"),8),'📋 Транзакції'!$C$5:$C$3623,"&lt;"&amp;EDATE(DATEVALUE(C146&amp;"-01"),9))</f>
        <v>0</v>
      </c>
      <c r="AB146" s="37">
        <f>SUMIFS('📋 Транзакції'!$F$5:$F$3623,'📋 Транзакції'!$B$5:$B$3623,A146,'📋 Транзакції'!$C$5:$C$3623,"&gt;="&amp;EDATE(DATEVALUE(C146&amp;"-01"),9),'📋 Транзакції'!$C$5:$C$3623,"&lt;"&amp;EDATE(DATEVALUE(C146&amp;"-01"),10))</f>
        <v>0</v>
      </c>
      <c r="AC146" s="37">
        <f>SUMIFS('📋 Транзакції'!$F$5:$F$3623,'📋 Транзакції'!$B$5:$B$3623,A146,'📋 Транзакції'!$C$5:$C$3623,"&gt;="&amp;EDATE(DATEVALUE(C146&amp;"-01"),10),'📋 Транзакції'!$C$5:$C$3623,"&lt;"&amp;EDATE(DATEVALUE(C146&amp;"-01"),11))</f>
        <v>0</v>
      </c>
      <c r="AD146" s="37">
        <f>SUMIFS('📋 Транзакції'!$F$5:$F$3623,'📋 Транзакції'!$B$5:$B$3623,A146,'📋 Транзакції'!$C$5:$C$3623,"&gt;="&amp;EDATE(DATEVALUE(C146&amp;"-01"),11),'📋 Транзакції'!$C$5:$C$3623,"&lt;"&amp;EDATE(DATEVALUE(C146&amp;"-01"),12))</f>
        <v>0</v>
      </c>
    </row>
    <row r="147" ht="15.75" customHeight="1">
      <c r="A147" s="33" t="str">
        <f>'📋 Реєстрації'!A147:A748</f>
        <v>U0603</v>
      </c>
      <c r="B147" s="34">
        <f t="array" ref="B147">INDEX('📋 Транзакції'!$C$5:$C$3623,MATCH(A147,'📋 Транзакції'!$B$5:$B$3623,0))</f>
        <v>45430</v>
      </c>
      <c r="C147" s="35" t="str">
        <f t="shared" si="1"/>
        <v>2024-05</v>
      </c>
      <c r="D147" s="36">
        <f>COUNTIF('📋 Транзакції'!$B$5:$B$3623,A147)</f>
        <v>12</v>
      </c>
      <c r="E147" s="36">
        <f>SUMIF('📋 Транзакції'!$B$5:$B$3623,A147,'📋 Транзакції'!$F$5:$F$3623)</f>
        <v>219.89</v>
      </c>
      <c r="F147" s="35">
        <f>INT($A$1-MAXIFS('📋 Транзакції'!$C$5:$C$3623,'📋 Транзакції'!$B$5:$B$3623,A147))</f>
        <v>10</v>
      </c>
      <c r="G147" s="37">
        <f>IF(COUNTIFS('📋 Транзакції'!$B$5:$B$3623,A147,'📋 Транзакції'!$C$5:$C$3623,"&gt;="&amp;EDATE(DATEVALUE(C147&amp;"-01"),0),'📋 Транзакції'!$C$5:$C$3623,"&lt;"&amp;EDATE(DATEVALUE(C147&amp;"-01"),1))&gt;0,1,0)</f>
        <v>1</v>
      </c>
      <c r="H147" s="37">
        <f>IF(COUNTIFS('📋 Транзакції'!$B$5:$B$3623,A147,'📋 Транзакції'!$C$5:$C$3623,"&gt;="&amp;EDATE(DATEVALUE(C147&amp;"-01"),1),'📋 Транзакції'!$C$5:$C$3623,"&lt;"&amp;EDATE(DATEVALUE(C147&amp;"-01"),2))&gt;0,1,0)</f>
        <v>1</v>
      </c>
      <c r="I147" s="37">
        <f>IF(COUNTIFS('📋 Транзакції'!$B$5:$B$3623,A147,'📋 Транзакції'!$C$5:$C$3623,"&gt;="&amp;EDATE(DATEVALUE(C147&amp;"-01"),2),'📋 Транзакції'!$C$5:$C$3623,"&lt;"&amp;EDATE(DATEVALUE(C147&amp;"-01"),3))&gt;0,1,0)</f>
        <v>1</v>
      </c>
      <c r="J147" s="37">
        <f>IF(COUNTIFS('📋 Транзакції'!$B$5:$B$3623,A147,'📋 Транзакції'!$C$5:$C$3623,"&gt;="&amp;EDATE(DATEVALUE(C147&amp;"-01"),3),'📋 Транзакції'!$C$5:$C$3623,"&lt;"&amp;EDATE(DATEVALUE(C147&amp;"-01"),4))&gt;0,1,0)</f>
        <v>1</v>
      </c>
      <c r="K147" s="37">
        <f>IF(COUNTIFS('📋 Транзакції'!$B$5:$B$3623,A147,'📋 Транзакції'!$C$5:$C$3623,"&gt;="&amp;EDATE(DATEVALUE(C147&amp;"-01"),4),'📋 Транзакції'!$C$5:$C$3623,"&lt;"&amp;EDATE(DATEVALUE(C147&amp;"-01"),5))&gt;0,1,0)</f>
        <v>1</v>
      </c>
      <c r="L147" s="37">
        <f>IF(COUNTIFS('📋 Транзакції'!$B$5:$B$3623,A147,'📋 Транзакції'!$C$5:$C$3623,"&gt;="&amp;EDATE(DATEVALUE(C147&amp;"-01"),5),'📋 Транзакції'!$C$5:$C$3623,"&lt;"&amp;EDATE(DATEVALUE(C147&amp;"-01"),6))&gt;0,1,0)</f>
        <v>1</v>
      </c>
      <c r="M147" s="37">
        <f>IF(COUNTIFS('📋 Транзакції'!$B$5:$B$3623,A147,'📋 Транзакції'!$C$5:$C$3623,"&gt;="&amp;EDATE(DATEVALUE(C147&amp;"-01"),6),'📋 Транзакції'!$C$5:$C$3623,"&lt;"&amp;EDATE(DATEVALUE(C147&amp;"-01"),7))&gt;0,1,0)</f>
        <v>1</v>
      </c>
      <c r="N147" s="37">
        <f>IF(COUNTIFS('📋 Транзакції'!$B$5:$B$3623,A147,'📋 Транзакції'!$C$5:$C$3623,"&gt;="&amp;EDATE(DATEVALUE(C147&amp;"-01"),7),'📋 Транзакції'!$C$5:$C$3623,"&lt;"&amp;EDATE(DATEVALUE(C147&amp;"-01"),8))&gt;0,1,0)</f>
        <v>1</v>
      </c>
      <c r="O147" s="37">
        <f>IF(COUNTIFS('📋 Транзакції'!$B$5:$B$3623,A147,'📋 Транзакції'!$C$5:$C$3623,"&gt;="&amp;EDATE(DATEVALUE(C147&amp;"-01"),8),'📋 Транзакції'!$C$5:$C$3623,"&lt;"&amp;EDATE(DATEVALUE(C147&amp;"-01"),9))&gt;0,1,0)</f>
        <v>1</v>
      </c>
      <c r="P147" s="37">
        <f>IF(COUNTIFS('📋 Транзакції'!$B$5:$B$3623,A147,'📋 Транзакції'!$C$5:$C$3623,"&gt;="&amp;EDATE(DATEVALUE(C147&amp;"-01"),9),'📋 Транзакції'!$C$5:$C$3623,"&lt;"&amp;EDATE(DATEVALUE(C147&amp;"-01"),10))&gt;0,1,0)</f>
        <v>1</v>
      </c>
      <c r="Q147" s="37">
        <f>IF(COUNTIFS('📋 Транзакції'!$B$5:$B$3623,A147,'📋 Транзакції'!$C$5:$C$3623,"&gt;="&amp;EDATE(DATEVALUE(C147&amp;"-01"),10),'📋 Транзакції'!$C$5:$C$3623,"&lt;"&amp;EDATE(DATEVALUE(C147&amp;"-01"),11))&gt;0,1,0)</f>
        <v>1</v>
      </c>
      <c r="R147" s="37">
        <f>IF(COUNTIFS('📋 Транзакції'!$B$5:$B$3623,A147,'📋 Транзакції'!$C$5:$C$3623,"&gt;="&amp;EDATE(DATEVALUE(C147&amp;"-01"),11),'📋 Транзакції'!$C$5:$C$3623,"&lt;"&amp;EDATE(DATEVALUE(C147&amp;"-01"),12))&gt;0,1,0)</f>
        <v>0</v>
      </c>
      <c r="S147" s="37">
        <f>SUMIFS('📋 Транзакції'!$F$5:$F$3623,'📋 Транзакції'!$B$5:$B$3623,A147,'📋 Транзакції'!$C$5:$C$3623,"&gt;="&amp;EDATE(DATEVALUE(C147&amp;"-01"),0),'📋 Транзакції'!$C$5:$C$3623,"&lt;"&amp;EDATE(DATEVALUE(C147&amp;"-01"),1))</f>
        <v>19.99</v>
      </c>
      <c r="T147" s="37">
        <f>SUMIFS('📋 Транзакції'!$F$5:$F$3623,'📋 Транзакції'!$B$5:$B$3623,A147,'📋 Транзакції'!$C$5:$C$3623,"&gt;="&amp;EDATE(DATEVALUE(C147&amp;"-01"),1),'📋 Транзакції'!$C$5:$C$3623,"&lt;"&amp;EDATE(DATEVALUE(C147&amp;"-01"),2))</f>
        <v>19.99</v>
      </c>
      <c r="U147" s="37">
        <f>SUMIFS('📋 Транзакції'!$F$5:$F$3623,'📋 Транзакції'!$B$5:$B$3623,A147,'📋 Транзакції'!$C$5:$C$3623,"&gt;="&amp;EDATE(DATEVALUE(C147&amp;"-01"),2),'📋 Транзакції'!$C$5:$C$3623,"&lt;"&amp;EDATE(DATEVALUE(C147&amp;"-01"),3))</f>
        <v>19.99</v>
      </c>
      <c r="V147" s="37">
        <f>SUMIFS('📋 Транзакції'!$F$5:$F$3623,'📋 Транзакції'!$B$5:$B$3623,A147,'📋 Транзакції'!$C$5:$C$3623,"&gt;="&amp;EDATE(DATEVALUE(C147&amp;"-01"),3),'📋 Транзакції'!$C$5:$C$3623,"&lt;"&amp;EDATE(DATEVALUE(C147&amp;"-01"),4))</f>
        <v>19.99</v>
      </c>
      <c r="W147" s="37">
        <f>SUMIFS('📋 Транзакції'!$F$5:$F$3623,'📋 Транзакції'!$B$5:$B$3623,A147,'📋 Транзакції'!$C$5:$C$3623,"&gt;="&amp;EDATE(DATEVALUE(C147&amp;"-01"),4),'📋 Транзакції'!$C$5:$C$3623,"&lt;"&amp;EDATE(DATEVALUE(C147&amp;"-01"),5))</f>
        <v>19.99</v>
      </c>
      <c r="X147" s="37">
        <f>SUMIFS('📋 Транзакції'!$F$5:$F$3623,'📋 Транзакції'!$B$5:$B$3623,A147,'📋 Транзакції'!$C$5:$C$3623,"&gt;="&amp;EDATE(DATEVALUE(C147&amp;"-01"),5),'📋 Транзакції'!$C$5:$C$3623,"&lt;"&amp;EDATE(DATEVALUE(C147&amp;"-01"),6))</f>
        <v>19.99</v>
      </c>
      <c r="Y147" s="37">
        <f>SUMIFS('📋 Транзакції'!$F$5:$F$3623,'📋 Транзакції'!$B$5:$B$3623,A147,'📋 Транзакції'!$C$5:$C$3623,"&gt;="&amp;EDATE(DATEVALUE(C147&amp;"-01"),6),'📋 Транзакції'!$C$5:$C$3623,"&lt;"&amp;EDATE(DATEVALUE(C147&amp;"-01"),7))</f>
        <v>19.99</v>
      </c>
      <c r="Z147" s="37">
        <f>SUMIFS('📋 Транзакції'!$F$5:$F$3623,'📋 Транзакції'!$B$5:$B$3623,A147,'📋 Транзакції'!$C$5:$C$3623,"&gt;="&amp;EDATE(DATEVALUE(C147&amp;"-01"),7),'📋 Транзакції'!$C$5:$C$3623,"&lt;"&amp;EDATE(DATEVALUE(C147&amp;"-01"),8))</f>
        <v>19.99</v>
      </c>
      <c r="AA147" s="37">
        <f>SUMIFS('📋 Транзакції'!$F$5:$F$3623,'📋 Транзакції'!$B$5:$B$3623,A147,'📋 Транзакції'!$C$5:$C$3623,"&gt;="&amp;EDATE(DATEVALUE(C147&amp;"-01"),8),'📋 Транзакції'!$C$5:$C$3623,"&lt;"&amp;EDATE(DATEVALUE(C147&amp;"-01"),9))</f>
        <v>19.99</v>
      </c>
      <c r="AB147" s="37">
        <f>SUMIFS('📋 Транзакції'!$F$5:$F$3623,'📋 Транзакції'!$B$5:$B$3623,A147,'📋 Транзакції'!$C$5:$C$3623,"&gt;="&amp;EDATE(DATEVALUE(C147&amp;"-01"),9),'📋 Транзакції'!$C$5:$C$3623,"&lt;"&amp;EDATE(DATEVALUE(C147&amp;"-01"),10))</f>
        <v>19.99</v>
      </c>
      <c r="AC147" s="37">
        <f>SUMIFS('📋 Транзакції'!$F$5:$F$3623,'📋 Транзакції'!$B$5:$B$3623,A147,'📋 Транзакції'!$C$5:$C$3623,"&gt;="&amp;EDATE(DATEVALUE(C147&amp;"-01"),10),'📋 Транзакції'!$C$5:$C$3623,"&lt;"&amp;EDATE(DATEVALUE(C147&amp;"-01"),11))</f>
        <v>19.99</v>
      </c>
      <c r="AD147" s="37">
        <f>SUMIFS('📋 Транзакції'!$F$5:$F$3623,'📋 Транзакції'!$B$5:$B$3623,A147,'📋 Транзакції'!$C$5:$C$3623,"&gt;="&amp;EDATE(DATEVALUE(C147&amp;"-01"),11),'📋 Транзакції'!$C$5:$C$3623,"&lt;"&amp;EDATE(DATEVALUE(C147&amp;"-01"),12))</f>
        <v>0</v>
      </c>
    </row>
    <row r="148" ht="15.75" customHeight="1">
      <c r="A148" s="33" t="str">
        <f>'📋 Реєстрації'!A148:A749</f>
        <v>U0598</v>
      </c>
      <c r="B148" s="34">
        <f t="array" ref="B148">INDEX('📋 Транзакції'!$C$5:$C$3623,MATCH(A148,'📋 Транзакції'!$B$5:$B$3623,0))</f>
        <v>45431</v>
      </c>
      <c r="C148" s="35" t="str">
        <f t="shared" si="1"/>
        <v>2024-05</v>
      </c>
      <c r="D148" s="36">
        <f>COUNTIF('📋 Транзакції'!$B$5:$B$3623,A148)</f>
        <v>2</v>
      </c>
      <c r="E148" s="36">
        <f>SUMIF('📋 Транзакції'!$B$5:$B$3623,A148,'📋 Транзакції'!$F$5:$F$3623)</f>
        <v>19.99</v>
      </c>
      <c r="F148" s="35">
        <f>INT($A$1-MAXIFS('📋 Транзакції'!$C$5:$C$3623,'📋 Транзакції'!$B$5:$B$3623,A148))</f>
        <v>309</v>
      </c>
      <c r="G148" s="37">
        <f>IF(COUNTIFS('📋 Транзакції'!$B$5:$B$3623,A148,'📋 Транзакції'!$C$5:$C$3623,"&gt;="&amp;EDATE(DATEVALUE(C148&amp;"-01"),0),'📋 Транзакції'!$C$5:$C$3623,"&lt;"&amp;EDATE(DATEVALUE(C148&amp;"-01"),1))&gt;0,1,0)</f>
        <v>1</v>
      </c>
      <c r="H148" s="37">
        <f>IF(COUNTIFS('📋 Транзакції'!$B$5:$B$3623,A148,'📋 Транзакції'!$C$5:$C$3623,"&gt;="&amp;EDATE(DATEVALUE(C148&amp;"-01"),1),'📋 Транзакції'!$C$5:$C$3623,"&lt;"&amp;EDATE(DATEVALUE(C148&amp;"-01"),2))&gt;0,1,0)</f>
        <v>0</v>
      </c>
      <c r="I148" s="37">
        <f>IF(COUNTIFS('📋 Транзакції'!$B$5:$B$3623,A148,'📋 Транзакції'!$C$5:$C$3623,"&gt;="&amp;EDATE(DATEVALUE(C148&amp;"-01"),2),'📋 Транзакції'!$C$5:$C$3623,"&lt;"&amp;EDATE(DATEVALUE(C148&amp;"-01"),3))&gt;0,1,0)</f>
        <v>0</v>
      </c>
      <c r="J148" s="37">
        <f>IF(COUNTIFS('📋 Транзакції'!$B$5:$B$3623,A148,'📋 Транзакції'!$C$5:$C$3623,"&gt;="&amp;EDATE(DATEVALUE(C148&amp;"-01"),3),'📋 Транзакції'!$C$5:$C$3623,"&lt;"&amp;EDATE(DATEVALUE(C148&amp;"-01"),4))&gt;0,1,0)</f>
        <v>0</v>
      </c>
      <c r="K148" s="37">
        <f>IF(COUNTIFS('📋 Транзакції'!$B$5:$B$3623,A148,'📋 Транзакції'!$C$5:$C$3623,"&gt;="&amp;EDATE(DATEVALUE(C148&amp;"-01"),4),'📋 Транзакції'!$C$5:$C$3623,"&lt;"&amp;EDATE(DATEVALUE(C148&amp;"-01"),5))&gt;0,1,0)</f>
        <v>0</v>
      </c>
      <c r="L148" s="37">
        <f>IF(COUNTIFS('📋 Транзакції'!$B$5:$B$3623,A148,'📋 Транзакції'!$C$5:$C$3623,"&gt;="&amp;EDATE(DATEVALUE(C148&amp;"-01"),5),'📋 Транзакції'!$C$5:$C$3623,"&lt;"&amp;EDATE(DATEVALUE(C148&amp;"-01"),6))&gt;0,1,0)</f>
        <v>0</v>
      </c>
      <c r="M148" s="37">
        <f>IF(COUNTIFS('📋 Транзакції'!$B$5:$B$3623,A148,'📋 Транзакції'!$C$5:$C$3623,"&gt;="&amp;EDATE(DATEVALUE(C148&amp;"-01"),6),'📋 Транзакції'!$C$5:$C$3623,"&lt;"&amp;EDATE(DATEVALUE(C148&amp;"-01"),7))&gt;0,1,0)</f>
        <v>0</v>
      </c>
      <c r="N148" s="37">
        <f>IF(COUNTIFS('📋 Транзакції'!$B$5:$B$3623,A148,'📋 Транзакції'!$C$5:$C$3623,"&gt;="&amp;EDATE(DATEVALUE(C148&amp;"-01"),7),'📋 Транзакції'!$C$5:$C$3623,"&lt;"&amp;EDATE(DATEVALUE(C148&amp;"-01"),8))&gt;0,1,0)</f>
        <v>0</v>
      </c>
      <c r="O148" s="37">
        <f>IF(COUNTIFS('📋 Транзакції'!$B$5:$B$3623,A148,'📋 Транзакції'!$C$5:$C$3623,"&gt;="&amp;EDATE(DATEVALUE(C148&amp;"-01"),8),'📋 Транзакції'!$C$5:$C$3623,"&lt;"&amp;EDATE(DATEVALUE(C148&amp;"-01"),9))&gt;0,1,0)</f>
        <v>0</v>
      </c>
      <c r="P148" s="37">
        <f>IF(COUNTIFS('📋 Транзакції'!$B$5:$B$3623,A148,'📋 Транзакції'!$C$5:$C$3623,"&gt;="&amp;EDATE(DATEVALUE(C148&amp;"-01"),9),'📋 Транзакції'!$C$5:$C$3623,"&lt;"&amp;EDATE(DATEVALUE(C148&amp;"-01"),10))&gt;0,1,0)</f>
        <v>0</v>
      </c>
      <c r="Q148" s="37">
        <f>IF(COUNTIFS('📋 Транзакції'!$B$5:$B$3623,A148,'📋 Транзакції'!$C$5:$C$3623,"&gt;="&amp;EDATE(DATEVALUE(C148&amp;"-01"),10),'📋 Транзакції'!$C$5:$C$3623,"&lt;"&amp;EDATE(DATEVALUE(C148&amp;"-01"),11))&gt;0,1,0)</f>
        <v>0</v>
      </c>
      <c r="R148" s="37">
        <f>IF(COUNTIFS('📋 Транзакції'!$B$5:$B$3623,A148,'📋 Транзакції'!$C$5:$C$3623,"&gt;="&amp;EDATE(DATEVALUE(C148&amp;"-01"),11),'📋 Транзакції'!$C$5:$C$3623,"&lt;"&amp;EDATE(DATEVALUE(C148&amp;"-01"),12))&gt;0,1,0)</f>
        <v>0</v>
      </c>
      <c r="S148" s="37">
        <f>SUMIFS('📋 Транзакції'!$F$5:$F$3623,'📋 Транзакції'!$B$5:$B$3623,A148,'📋 Транзакції'!$C$5:$C$3623,"&gt;="&amp;EDATE(DATEVALUE(C148&amp;"-01"),0),'📋 Транзакції'!$C$5:$C$3623,"&lt;"&amp;EDATE(DATEVALUE(C148&amp;"-01"),1))</f>
        <v>19.99</v>
      </c>
      <c r="T148" s="37">
        <f>SUMIFS('📋 Транзакції'!$F$5:$F$3623,'📋 Транзакції'!$B$5:$B$3623,A148,'📋 Транзакції'!$C$5:$C$3623,"&gt;="&amp;EDATE(DATEVALUE(C148&amp;"-01"),1),'📋 Транзакції'!$C$5:$C$3623,"&lt;"&amp;EDATE(DATEVALUE(C148&amp;"-01"),2))</f>
        <v>0</v>
      </c>
      <c r="U148" s="37">
        <f>SUMIFS('📋 Транзакції'!$F$5:$F$3623,'📋 Транзакції'!$B$5:$B$3623,A148,'📋 Транзакції'!$C$5:$C$3623,"&gt;="&amp;EDATE(DATEVALUE(C148&amp;"-01"),2),'📋 Транзакції'!$C$5:$C$3623,"&lt;"&amp;EDATE(DATEVALUE(C148&amp;"-01"),3))</f>
        <v>0</v>
      </c>
      <c r="V148" s="37">
        <f>SUMIFS('📋 Транзакції'!$F$5:$F$3623,'📋 Транзакції'!$B$5:$B$3623,A148,'📋 Транзакції'!$C$5:$C$3623,"&gt;="&amp;EDATE(DATEVALUE(C148&amp;"-01"),3),'📋 Транзакції'!$C$5:$C$3623,"&lt;"&amp;EDATE(DATEVALUE(C148&amp;"-01"),4))</f>
        <v>0</v>
      </c>
      <c r="W148" s="37">
        <f>SUMIFS('📋 Транзакції'!$F$5:$F$3623,'📋 Транзакції'!$B$5:$B$3623,A148,'📋 Транзакції'!$C$5:$C$3623,"&gt;="&amp;EDATE(DATEVALUE(C148&amp;"-01"),4),'📋 Транзакції'!$C$5:$C$3623,"&lt;"&amp;EDATE(DATEVALUE(C148&amp;"-01"),5))</f>
        <v>0</v>
      </c>
      <c r="X148" s="37">
        <f>SUMIFS('📋 Транзакції'!$F$5:$F$3623,'📋 Транзакції'!$B$5:$B$3623,A148,'📋 Транзакції'!$C$5:$C$3623,"&gt;="&amp;EDATE(DATEVALUE(C148&amp;"-01"),5),'📋 Транзакції'!$C$5:$C$3623,"&lt;"&amp;EDATE(DATEVALUE(C148&amp;"-01"),6))</f>
        <v>0</v>
      </c>
      <c r="Y148" s="37">
        <f>SUMIFS('📋 Транзакції'!$F$5:$F$3623,'📋 Транзакції'!$B$5:$B$3623,A148,'📋 Транзакції'!$C$5:$C$3623,"&gt;="&amp;EDATE(DATEVALUE(C148&amp;"-01"),6),'📋 Транзакції'!$C$5:$C$3623,"&lt;"&amp;EDATE(DATEVALUE(C148&amp;"-01"),7))</f>
        <v>0</v>
      </c>
      <c r="Z148" s="37">
        <f>SUMIFS('📋 Транзакції'!$F$5:$F$3623,'📋 Транзакції'!$B$5:$B$3623,A148,'📋 Транзакції'!$C$5:$C$3623,"&gt;="&amp;EDATE(DATEVALUE(C148&amp;"-01"),7),'📋 Транзакції'!$C$5:$C$3623,"&lt;"&amp;EDATE(DATEVALUE(C148&amp;"-01"),8))</f>
        <v>0</v>
      </c>
      <c r="AA148" s="37">
        <f>SUMIFS('📋 Транзакції'!$F$5:$F$3623,'📋 Транзакції'!$B$5:$B$3623,A148,'📋 Транзакції'!$C$5:$C$3623,"&gt;="&amp;EDATE(DATEVALUE(C148&amp;"-01"),8),'📋 Транзакції'!$C$5:$C$3623,"&lt;"&amp;EDATE(DATEVALUE(C148&amp;"-01"),9))</f>
        <v>0</v>
      </c>
      <c r="AB148" s="37">
        <f>SUMIFS('📋 Транзакції'!$F$5:$F$3623,'📋 Транзакції'!$B$5:$B$3623,A148,'📋 Транзакції'!$C$5:$C$3623,"&gt;="&amp;EDATE(DATEVALUE(C148&amp;"-01"),9),'📋 Транзакції'!$C$5:$C$3623,"&lt;"&amp;EDATE(DATEVALUE(C148&amp;"-01"),10))</f>
        <v>0</v>
      </c>
      <c r="AC148" s="37">
        <f>SUMIFS('📋 Транзакції'!$F$5:$F$3623,'📋 Транзакції'!$B$5:$B$3623,A148,'📋 Транзакції'!$C$5:$C$3623,"&gt;="&amp;EDATE(DATEVALUE(C148&amp;"-01"),10),'📋 Транзакції'!$C$5:$C$3623,"&lt;"&amp;EDATE(DATEVALUE(C148&amp;"-01"),11))</f>
        <v>0</v>
      </c>
      <c r="AD148" s="37">
        <f>SUMIFS('📋 Транзакції'!$F$5:$F$3623,'📋 Транзакції'!$B$5:$B$3623,A148,'📋 Транзакції'!$C$5:$C$3623,"&gt;="&amp;EDATE(DATEVALUE(C148&amp;"-01"),11),'📋 Транзакції'!$C$5:$C$3623,"&lt;"&amp;EDATE(DATEVALUE(C148&amp;"-01"),12))</f>
        <v>0</v>
      </c>
    </row>
    <row r="149" ht="15.75" customHeight="1">
      <c r="A149" s="33" t="str">
        <f>'📋 Реєстрації'!A149:A750</f>
        <v>U0855</v>
      </c>
      <c r="B149" s="34">
        <f t="array" ref="B149">INDEX('📋 Транзакції'!$C$5:$C$3623,MATCH(A149,'📋 Транзакції'!$B$5:$B$3623,0))</f>
        <v>45431</v>
      </c>
      <c r="C149" s="35" t="str">
        <f t="shared" si="1"/>
        <v>2024-05</v>
      </c>
      <c r="D149" s="36">
        <f>COUNTIF('📋 Транзакції'!$B$5:$B$3623,A149)</f>
        <v>12</v>
      </c>
      <c r="E149" s="36">
        <f>SUMIF('📋 Транзакції'!$B$5:$B$3623,A149,'📋 Транзакції'!$F$5:$F$3623)</f>
        <v>219.89</v>
      </c>
      <c r="F149" s="35">
        <f>INT($A$1-MAXIFS('📋 Транзакції'!$C$5:$C$3623,'📋 Транзакції'!$B$5:$B$3623,A149))</f>
        <v>9</v>
      </c>
      <c r="G149" s="37">
        <f>IF(COUNTIFS('📋 Транзакції'!$B$5:$B$3623,A149,'📋 Транзакції'!$C$5:$C$3623,"&gt;="&amp;EDATE(DATEVALUE(C149&amp;"-01"),0),'📋 Транзакції'!$C$5:$C$3623,"&lt;"&amp;EDATE(DATEVALUE(C149&amp;"-01"),1))&gt;0,1,0)</f>
        <v>1</v>
      </c>
      <c r="H149" s="37">
        <f>IF(COUNTIFS('📋 Транзакції'!$B$5:$B$3623,A149,'📋 Транзакції'!$C$5:$C$3623,"&gt;="&amp;EDATE(DATEVALUE(C149&amp;"-01"),1),'📋 Транзакції'!$C$5:$C$3623,"&lt;"&amp;EDATE(DATEVALUE(C149&amp;"-01"),2))&gt;0,1,0)</f>
        <v>1</v>
      </c>
      <c r="I149" s="37">
        <f>IF(COUNTIFS('📋 Транзакції'!$B$5:$B$3623,A149,'📋 Транзакції'!$C$5:$C$3623,"&gt;="&amp;EDATE(DATEVALUE(C149&amp;"-01"),2),'📋 Транзакції'!$C$5:$C$3623,"&lt;"&amp;EDATE(DATEVALUE(C149&amp;"-01"),3))&gt;0,1,0)</f>
        <v>1</v>
      </c>
      <c r="J149" s="37">
        <f>IF(COUNTIFS('📋 Транзакції'!$B$5:$B$3623,A149,'📋 Транзакції'!$C$5:$C$3623,"&gt;="&amp;EDATE(DATEVALUE(C149&amp;"-01"),3),'📋 Транзакції'!$C$5:$C$3623,"&lt;"&amp;EDATE(DATEVALUE(C149&amp;"-01"),4))&gt;0,1,0)</f>
        <v>1</v>
      </c>
      <c r="K149" s="37">
        <f>IF(COUNTIFS('📋 Транзакції'!$B$5:$B$3623,A149,'📋 Транзакції'!$C$5:$C$3623,"&gt;="&amp;EDATE(DATEVALUE(C149&amp;"-01"),4),'📋 Транзакції'!$C$5:$C$3623,"&lt;"&amp;EDATE(DATEVALUE(C149&amp;"-01"),5))&gt;0,1,0)</f>
        <v>1</v>
      </c>
      <c r="L149" s="37">
        <f>IF(COUNTIFS('📋 Транзакції'!$B$5:$B$3623,A149,'📋 Транзакції'!$C$5:$C$3623,"&gt;="&amp;EDATE(DATEVALUE(C149&amp;"-01"),5),'📋 Транзакції'!$C$5:$C$3623,"&lt;"&amp;EDATE(DATEVALUE(C149&amp;"-01"),6))&gt;0,1,0)</f>
        <v>1</v>
      </c>
      <c r="M149" s="37">
        <f>IF(COUNTIFS('📋 Транзакції'!$B$5:$B$3623,A149,'📋 Транзакції'!$C$5:$C$3623,"&gt;="&amp;EDATE(DATEVALUE(C149&amp;"-01"),6),'📋 Транзакції'!$C$5:$C$3623,"&lt;"&amp;EDATE(DATEVALUE(C149&amp;"-01"),7))&gt;0,1,0)</f>
        <v>1</v>
      </c>
      <c r="N149" s="37">
        <f>IF(COUNTIFS('📋 Транзакції'!$B$5:$B$3623,A149,'📋 Транзакції'!$C$5:$C$3623,"&gt;="&amp;EDATE(DATEVALUE(C149&amp;"-01"),7),'📋 Транзакції'!$C$5:$C$3623,"&lt;"&amp;EDATE(DATEVALUE(C149&amp;"-01"),8))&gt;0,1,0)</f>
        <v>1</v>
      </c>
      <c r="O149" s="37">
        <f>IF(COUNTIFS('📋 Транзакції'!$B$5:$B$3623,A149,'📋 Транзакції'!$C$5:$C$3623,"&gt;="&amp;EDATE(DATEVALUE(C149&amp;"-01"),8),'📋 Транзакції'!$C$5:$C$3623,"&lt;"&amp;EDATE(DATEVALUE(C149&amp;"-01"),9))&gt;0,1,0)</f>
        <v>1</v>
      </c>
      <c r="P149" s="37">
        <f>IF(COUNTIFS('📋 Транзакції'!$B$5:$B$3623,A149,'📋 Транзакції'!$C$5:$C$3623,"&gt;="&amp;EDATE(DATEVALUE(C149&amp;"-01"),9),'📋 Транзакції'!$C$5:$C$3623,"&lt;"&amp;EDATE(DATEVALUE(C149&amp;"-01"),10))&gt;0,1,0)</f>
        <v>1</v>
      </c>
      <c r="Q149" s="37">
        <f>IF(COUNTIFS('📋 Транзакції'!$B$5:$B$3623,A149,'📋 Транзакції'!$C$5:$C$3623,"&gt;="&amp;EDATE(DATEVALUE(C149&amp;"-01"),10),'📋 Транзакції'!$C$5:$C$3623,"&lt;"&amp;EDATE(DATEVALUE(C149&amp;"-01"),11))&gt;0,1,0)</f>
        <v>1</v>
      </c>
      <c r="R149" s="37">
        <f>IF(COUNTIFS('📋 Транзакції'!$B$5:$B$3623,A149,'📋 Транзакції'!$C$5:$C$3623,"&gt;="&amp;EDATE(DATEVALUE(C149&amp;"-01"),11),'📋 Транзакції'!$C$5:$C$3623,"&lt;"&amp;EDATE(DATEVALUE(C149&amp;"-01"),12))&gt;0,1,0)</f>
        <v>0</v>
      </c>
      <c r="S149" s="37">
        <f>SUMIFS('📋 Транзакції'!$F$5:$F$3623,'📋 Транзакції'!$B$5:$B$3623,A149,'📋 Транзакції'!$C$5:$C$3623,"&gt;="&amp;EDATE(DATEVALUE(C149&amp;"-01"),0),'📋 Транзакції'!$C$5:$C$3623,"&lt;"&amp;EDATE(DATEVALUE(C149&amp;"-01"),1))</f>
        <v>19.99</v>
      </c>
      <c r="T149" s="37">
        <f>SUMIFS('📋 Транзакції'!$F$5:$F$3623,'📋 Транзакції'!$B$5:$B$3623,A149,'📋 Транзакції'!$C$5:$C$3623,"&gt;="&amp;EDATE(DATEVALUE(C149&amp;"-01"),1),'📋 Транзакції'!$C$5:$C$3623,"&lt;"&amp;EDATE(DATEVALUE(C149&amp;"-01"),2))</f>
        <v>19.99</v>
      </c>
      <c r="U149" s="37">
        <f>SUMIFS('📋 Транзакції'!$F$5:$F$3623,'📋 Транзакції'!$B$5:$B$3623,A149,'📋 Транзакції'!$C$5:$C$3623,"&gt;="&amp;EDATE(DATEVALUE(C149&amp;"-01"),2),'📋 Транзакції'!$C$5:$C$3623,"&lt;"&amp;EDATE(DATEVALUE(C149&amp;"-01"),3))</f>
        <v>19.99</v>
      </c>
      <c r="V149" s="37">
        <f>SUMIFS('📋 Транзакції'!$F$5:$F$3623,'📋 Транзакції'!$B$5:$B$3623,A149,'📋 Транзакції'!$C$5:$C$3623,"&gt;="&amp;EDATE(DATEVALUE(C149&amp;"-01"),3),'📋 Транзакції'!$C$5:$C$3623,"&lt;"&amp;EDATE(DATEVALUE(C149&amp;"-01"),4))</f>
        <v>19.99</v>
      </c>
      <c r="W149" s="37">
        <f>SUMIFS('📋 Транзакції'!$F$5:$F$3623,'📋 Транзакції'!$B$5:$B$3623,A149,'📋 Транзакції'!$C$5:$C$3623,"&gt;="&amp;EDATE(DATEVALUE(C149&amp;"-01"),4),'📋 Транзакції'!$C$5:$C$3623,"&lt;"&amp;EDATE(DATEVALUE(C149&amp;"-01"),5))</f>
        <v>19.99</v>
      </c>
      <c r="X149" s="37">
        <f>SUMIFS('📋 Транзакції'!$F$5:$F$3623,'📋 Транзакції'!$B$5:$B$3623,A149,'📋 Транзакції'!$C$5:$C$3623,"&gt;="&amp;EDATE(DATEVALUE(C149&amp;"-01"),5),'📋 Транзакції'!$C$5:$C$3623,"&lt;"&amp;EDATE(DATEVALUE(C149&amp;"-01"),6))</f>
        <v>19.99</v>
      </c>
      <c r="Y149" s="37">
        <f>SUMIFS('📋 Транзакції'!$F$5:$F$3623,'📋 Транзакції'!$B$5:$B$3623,A149,'📋 Транзакції'!$C$5:$C$3623,"&gt;="&amp;EDATE(DATEVALUE(C149&amp;"-01"),6),'📋 Транзакції'!$C$5:$C$3623,"&lt;"&amp;EDATE(DATEVALUE(C149&amp;"-01"),7))</f>
        <v>19.99</v>
      </c>
      <c r="Z149" s="37">
        <f>SUMIFS('📋 Транзакції'!$F$5:$F$3623,'📋 Транзакції'!$B$5:$B$3623,A149,'📋 Транзакції'!$C$5:$C$3623,"&gt;="&amp;EDATE(DATEVALUE(C149&amp;"-01"),7),'📋 Транзакції'!$C$5:$C$3623,"&lt;"&amp;EDATE(DATEVALUE(C149&amp;"-01"),8))</f>
        <v>19.99</v>
      </c>
      <c r="AA149" s="37">
        <f>SUMIFS('📋 Транзакції'!$F$5:$F$3623,'📋 Транзакції'!$B$5:$B$3623,A149,'📋 Транзакції'!$C$5:$C$3623,"&gt;="&amp;EDATE(DATEVALUE(C149&amp;"-01"),8),'📋 Транзакції'!$C$5:$C$3623,"&lt;"&amp;EDATE(DATEVALUE(C149&amp;"-01"),9))</f>
        <v>19.99</v>
      </c>
      <c r="AB149" s="37">
        <f>SUMIFS('📋 Транзакції'!$F$5:$F$3623,'📋 Транзакції'!$B$5:$B$3623,A149,'📋 Транзакції'!$C$5:$C$3623,"&gt;="&amp;EDATE(DATEVALUE(C149&amp;"-01"),9),'📋 Транзакції'!$C$5:$C$3623,"&lt;"&amp;EDATE(DATEVALUE(C149&amp;"-01"),10))</f>
        <v>19.99</v>
      </c>
      <c r="AC149" s="37">
        <f>SUMIFS('📋 Транзакції'!$F$5:$F$3623,'📋 Транзакції'!$B$5:$B$3623,A149,'📋 Транзакції'!$C$5:$C$3623,"&gt;="&amp;EDATE(DATEVALUE(C149&amp;"-01"),10),'📋 Транзакції'!$C$5:$C$3623,"&lt;"&amp;EDATE(DATEVALUE(C149&amp;"-01"),11))</f>
        <v>19.99</v>
      </c>
      <c r="AD149" s="37">
        <f>SUMIFS('📋 Транзакції'!$F$5:$F$3623,'📋 Транзакції'!$B$5:$B$3623,A149,'📋 Транзакції'!$C$5:$C$3623,"&gt;="&amp;EDATE(DATEVALUE(C149&amp;"-01"),11),'📋 Транзакції'!$C$5:$C$3623,"&lt;"&amp;EDATE(DATEVALUE(C149&amp;"-01"),12))</f>
        <v>0</v>
      </c>
    </row>
    <row r="150" ht="15.75" customHeight="1">
      <c r="A150" s="33" t="str">
        <f>'📋 Реєстрації'!A150:A751</f>
        <v>U0015</v>
      </c>
      <c r="B150" s="34">
        <f t="array" ref="B150">INDEX('📋 Транзакції'!$C$5:$C$3623,MATCH(A150,'📋 Транзакції'!$B$5:$B$3623,0))</f>
        <v>45434</v>
      </c>
      <c r="C150" s="35" t="str">
        <f t="shared" si="1"/>
        <v>2024-05</v>
      </c>
      <c r="D150" s="36">
        <f>COUNTIF('📋 Транзакції'!$B$5:$B$3623,A150)</f>
        <v>2</v>
      </c>
      <c r="E150" s="36">
        <f>SUMIF('📋 Транзакції'!$B$5:$B$3623,A150,'📋 Транзакції'!$F$5:$F$3623)</f>
        <v>19.99</v>
      </c>
      <c r="F150" s="35">
        <f>INT($A$1-MAXIFS('📋 Транзакції'!$C$5:$C$3623,'📋 Транзакції'!$B$5:$B$3623,A150))</f>
        <v>306</v>
      </c>
      <c r="G150" s="37">
        <f>IF(COUNTIFS('📋 Транзакції'!$B$5:$B$3623,A150,'📋 Транзакції'!$C$5:$C$3623,"&gt;="&amp;EDATE(DATEVALUE(C150&amp;"-01"),0),'📋 Транзакції'!$C$5:$C$3623,"&lt;"&amp;EDATE(DATEVALUE(C150&amp;"-01"),1))&gt;0,1,0)</f>
        <v>1</v>
      </c>
      <c r="H150" s="37">
        <f>IF(COUNTIFS('📋 Транзакції'!$B$5:$B$3623,A150,'📋 Транзакції'!$C$5:$C$3623,"&gt;="&amp;EDATE(DATEVALUE(C150&amp;"-01"),1),'📋 Транзакції'!$C$5:$C$3623,"&lt;"&amp;EDATE(DATEVALUE(C150&amp;"-01"),2))&gt;0,1,0)</f>
        <v>0</v>
      </c>
      <c r="I150" s="37">
        <f>IF(COUNTIFS('📋 Транзакції'!$B$5:$B$3623,A150,'📋 Транзакції'!$C$5:$C$3623,"&gt;="&amp;EDATE(DATEVALUE(C150&amp;"-01"),2),'📋 Транзакції'!$C$5:$C$3623,"&lt;"&amp;EDATE(DATEVALUE(C150&amp;"-01"),3))&gt;0,1,0)</f>
        <v>0</v>
      </c>
      <c r="J150" s="37">
        <f>IF(COUNTIFS('📋 Транзакції'!$B$5:$B$3623,A150,'📋 Транзакції'!$C$5:$C$3623,"&gt;="&amp;EDATE(DATEVALUE(C150&amp;"-01"),3),'📋 Транзакції'!$C$5:$C$3623,"&lt;"&amp;EDATE(DATEVALUE(C150&amp;"-01"),4))&gt;0,1,0)</f>
        <v>0</v>
      </c>
      <c r="K150" s="37">
        <f>IF(COUNTIFS('📋 Транзакції'!$B$5:$B$3623,A150,'📋 Транзакції'!$C$5:$C$3623,"&gt;="&amp;EDATE(DATEVALUE(C150&amp;"-01"),4),'📋 Транзакції'!$C$5:$C$3623,"&lt;"&amp;EDATE(DATEVALUE(C150&amp;"-01"),5))&gt;0,1,0)</f>
        <v>0</v>
      </c>
      <c r="L150" s="37">
        <f>IF(COUNTIFS('📋 Транзакції'!$B$5:$B$3623,A150,'📋 Транзакції'!$C$5:$C$3623,"&gt;="&amp;EDATE(DATEVALUE(C150&amp;"-01"),5),'📋 Транзакції'!$C$5:$C$3623,"&lt;"&amp;EDATE(DATEVALUE(C150&amp;"-01"),6))&gt;0,1,0)</f>
        <v>0</v>
      </c>
      <c r="M150" s="37">
        <f>IF(COUNTIFS('📋 Транзакції'!$B$5:$B$3623,A150,'📋 Транзакції'!$C$5:$C$3623,"&gt;="&amp;EDATE(DATEVALUE(C150&amp;"-01"),6),'📋 Транзакції'!$C$5:$C$3623,"&lt;"&amp;EDATE(DATEVALUE(C150&amp;"-01"),7))&gt;0,1,0)</f>
        <v>0</v>
      </c>
      <c r="N150" s="37">
        <f>IF(COUNTIFS('📋 Транзакції'!$B$5:$B$3623,A150,'📋 Транзакції'!$C$5:$C$3623,"&gt;="&amp;EDATE(DATEVALUE(C150&amp;"-01"),7),'📋 Транзакції'!$C$5:$C$3623,"&lt;"&amp;EDATE(DATEVALUE(C150&amp;"-01"),8))&gt;0,1,0)</f>
        <v>0</v>
      </c>
      <c r="O150" s="37">
        <f>IF(COUNTIFS('📋 Транзакції'!$B$5:$B$3623,A150,'📋 Транзакції'!$C$5:$C$3623,"&gt;="&amp;EDATE(DATEVALUE(C150&amp;"-01"),8),'📋 Транзакції'!$C$5:$C$3623,"&lt;"&amp;EDATE(DATEVALUE(C150&amp;"-01"),9))&gt;0,1,0)</f>
        <v>0</v>
      </c>
      <c r="P150" s="37">
        <f>IF(COUNTIFS('📋 Транзакції'!$B$5:$B$3623,A150,'📋 Транзакції'!$C$5:$C$3623,"&gt;="&amp;EDATE(DATEVALUE(C150&amp;"-01"),9),'📋 Транзакції'!$C$5:$C$3623,"&lt;"&amp;EDATE(DATEVALUE(C150&amp;"-01"),10))&gt;0,1,0)</f>
        <v>0</v>
      </c>
      <c r="Q150" s="37">
        <f>IF(COUNTIFS('📋 Транзакції'!$B$5:$B$3623,A150,'📋 Транзакції'!$C$5:$C$3623,"&gt;="&amp;EDATE(DATEVALUE(C150&amp;"-01"),10),'📋 Транзакції'!$C$5:$C$3623,"&lt;"&amp;EDATE(DATEVALUE(C150&amp;"-01"),11))&gt;0,1,0)</f>
        <v>0</v>
      </c>
      <c r="R150" s="37">
        <f>IF(COUNTIFS('📋 Транзакції'!$B$5:$B$3623,A150,'📋 Транзакції'!$C$5:$C$3623,"&gt;="&amp;EDATE(DATEVALUE(C150&amp;"-01"),11),'📋 Транзакції'!$C$5:$C$3623,"&lt;"&amp;EDATE(DATEVALUE(C150&amp;"-01"),12))&gt;0,1,0)</f>
        <v>0</v>
      </c>
      <c r="S150" s="37">
        <f>SUMIFS('📋 Транзакції'!$F$5:$F$3623,'📋 Транзакції'!$B$5:$B$3623,A150,'📋 Транзакції'!$C$5:$C$3623,"&gt;="&amp;EDATE(DATEVALUE(C150&amp;"-01"),0),'📋 Транзакції'!$C$5:$C$3623,"&lt;"&amp;EDATE(DATEVALUE(C150&amp;"-01"),1))</f>
        <v>19.99</v>
      </c>
      <c r="T150" s="37">
        <f>SUMIFS('📋 Транзакції'!$F$5:$F$3623,'📋 Транзакції'!$B$5:$B$3623,A150,'📋 Транзакції'!$C$5:$C$3623,"&gt;="&amp;EDATE(DATEVALUE(C150&amp;"-01"),1),'📋 Транзакції'!$C$5:$C$3623,"&lt;"&amp;EDATE(DATEVALUE(C150&amp;"-01"),2))</f>
        <v>0</v>
      </c>
      <c r="U150" s="37">
        <f>SUMIFS('📋 Транзакції'!$F$5:$F$3623,'📋 Транзакції'!$B$5:$B$3623,A150,'📋 Транзакції'!$C$5:$C$3623,"&gt;="&amp;EDATE(DATEVALUE(C150&amp;"-01"),2),'📋 Транзакції'!$C$5:$C$3623,"&lt;"&amp;EDATE(DATEVALUE(C150&amp;"-01"),3))</f>
        <v>0</v>
      </c>
      <c r="V150" s="37">
        <f>SUMIFS('📋 Транзакції'!$F$5:$F$3623,'📋 Транзакції'!$B$5:$B$3623,A150,'📋 Транзакції'!$C$5:$C$3623,"&gt;="&amp;EDATE(DATEVALUE(C150&amp;"-01"),3),'📋 Транзакції'!$C$5:$C$3623,"&lt;"&amp;EDATE(DATEVALUE(C150&amp;"-01"),4))</f>
        <v>0</v>
      </c>
      <c r="W150" s="37">
        <f>SUMIFS('📋 Транзакції'!$F$5:$F$3623,'📋 Транзакції'!$B$5:$B$3623,A150,'📋 Транзакції'!$C$5:$C$3623,"&gt;="&amp;EDATE(DATEVALUE(C150&amp;"-01"),4),'📋 Транзакції'!$C$5:$C$3623,"&lt;"&amp;EDATE(DATEVALUE(C150&amp;"-01"),5))</f>
        <v>0</v>
      </c>
      <c r="X150" s="37">
        <f>SUMIFS('📋 Транзакції'!$F$5:$F$3623,'📋 Транзакції'!$B$5:$B$3623,A150,'📋 Транзакції'!$C$5:$C$3623,"&gt;="&amp;EDATE(DATEVALUE(C150&amp;"-01"),5),'📋 Транзакції'!$C$5:$C$3623,"&lt;"&amp;EDATE(DATEVALUE(C150&amp;"-01"),6))</f>
        <v>0</v>
      </c>
      <c r="Y150" s="37">
        <f>SUMIFS('📋 Транзакції'!$F$5:$F$3623,'📋 Транзакції'!$B$5:$B$3623,A150,'📋 Транзакції'!$C$5:$C$3623,"&gt;="&amp;EDATE(DATEVALUE(C150&amp;"-01"),6),'📋 Транзакції'!$C$5:$C$3623,"&lt;"&amp;EDATE(DATEVALUE(C150&amp;"-01"),7))</f>
        <v>0</v>
      </c>
      <c r="Z150" s="37">
        <f>SUMIFS('📋 Транзакції'!$F$5:$F$3623,'📋 Транзакції'!$B$5:$B$3623,A150,'📋 Транзакції'!$C$5:$C$3623,"&gt;="&amp;EDATE(DATEVALUE(C150&amp;"-01"),7),'📋 Транзакції'!$C$5:$C$3623,"&lt;"&amp;EDATE(DATEVALUE(C150&amp;"-01"),8))</f>
        <v>0</v>
      </c>
      <c r="AA150" s="37">
        <f>SUMIFS('📋 Транзакції'!$F$5:$F$3623,'📋 Транзакції'!$B$5:$B$3623,A150,'📋 Транзакції'!$C$5:$C$3623,"&gt;="&amp;EDATE(DATEVALUE(C150&amp;"-01"),8),'📋 Транзакції'!$C$5:$C$3623,"&lt;"&amp;EDATE(DATEVALUE(C150&amp;"-01"),9))</f>
        <v>0</v>
      </c>
      <c r="AB150" s="37">
        <f>SUMIFS('📋 Транзакції'!$F$5:$F$3623,'📋 Транзакції'!$B$5:$B$3623,A150,'📋 Транзакції'!$C$5:$C$3623,"&gt;="&amp;EDATE(DATEVALUE(C150&amp;"-01"),9),'📋 Транзакції'!$C$5:$C$3623,"&lt;"&amp;EDATE(DATEVALUE(C150&amp;"-01"),10))</f>
        <v>0</v>
      </c>
      <c r="AC150" s="37">
        <f>SUMIFS('📋 Транзакції'!$F$5:$F$3623,'📋 Транзакції'!$B$5:$B$3623,A150,'📋 Транзакції'!$C$5:$C$3623,"&gt;="&amp;EDATE(DATEVALUE(C150&amp;"-01"),10),'📋 Транзакції'!$C$5:$C$3623,"&lt;"&amp;EDATE(DATEVALUE(C150&amp;"-01"),11))</f>
        <v>0</v>
      </c>
      <c r="AD150" s="37">
        <f>SUMIFS('📋 Транзакції'!$F$5:$F$3623,'📋 Транзакції'!$B$5:$B$3623,A150,'📋 Транзакції'!$C$5:$C$3623,"&gt;="&amp;EDATE(DATEVALUE(C150&amp;"-01"),11),'📋 Транзакції'!$C$5:$C$3623,"&lt;"&amp;EDATE(DATEVALUE(C150&amp;"-01"),12))</f>
        <v>0</v>
      </c>
    </row>
    <row r="151" ht="15.75" customHeight="1">
      <c r="A151" s="33" t="str">
        <f>'📋 Реєстрації'!A151:A752</f>
        <v>U0834</v>
      </c>
      <c r="B151" s="34">
        <f t="array" ref="B151">INDEX('📋 Транзакції'!$C$5:$C$3623,MATCH(A151,'📋 Транзакції'!$B$5:$B$3623,0))</f>
        <v>45434</v>
      </c>
      <c r="C151" s="35" t="str">
        <f t="shared" si="1"/>
        <v>2024-05</v>
      </c>
      <c r="D151" s="36">
        <f>COUNTIF('📋 Транзакції'!$B$5:$B$3623,A151)</f>
        <v>12</v>
      </c>
      <c r="E151" s="36">
        <f>SUMIF('📋 Транзакції'!$B$5:$B$3623,A151,'📋 Транзакції'!$F$5:$F$3623)</f>
        <v>219.89</v>
      </c>
      <c r="F151" s="35">
        <f>INT($A$1-MAXIFS('📋 Транзакції'!$C$5:$C$3623,'📋 Транзакції'!$B$5:$B$3623,A151))</f>
        <v>6</v>
      </c>
      <c r="G151" s="37">
        <f>IF(COUNTIFS('📋 Транзакції'!$B$5:$B$3623,A151,'📋 Транзакції'!$C$5:$C$3623,"&gt;="&amp;EDATE(DATEVALUE(C151&amp;"-01"),0),'📋 Транзакції'!$C$5:$C$3623,"&lt;"&amp;EDATE(DATEVALUE(C151&amp;"-01"),1))&gt;0,1,0)</f>
        <v>1</v>
      </c>
      <c r="H151" s="37">
        <f>IF(COUNTIFS('📋 Транзакції'!$B$5:$B$3623,A151,'📋 Транзакції'!$C$5:$C$3623,"&gt;="&amp;EDATE(DATEVALUE(C151&amp;"-01"),1),'📋 Транзакції'!$C$5:$C$3623,"&lt;"&amp;EDATE(DATEVALUE(C151&amp;"-01"),2))&gt;0,1,0)</f>
        <v>1</v>
      </c>
      <c r="I151" s="37">
        <f>IF(COUNTIFS('📋 Транзакції'!$B$5:$B$3623,A151,'📋 Транзакції'!$C$5:$C$3623,"&gt;="&amp;EDATE(DATEVALUE(C151&amp;"-01"),2),'📋 Транзакції'!$C$5:$C$3623,"&lt;"&amp;EDATE(DATEVALUE(C151&amp;"-01"),3))&gt;0,1,0)</f>
        <v>1</v>
      </c>
      <c r="J151" s="37">
        <f>IF(COUNTIFS('📋 Транзакції'!$B$5:$B$3623,A151,'📋 Транзакції'!$C$5:$C$3623,"&gt;="&amp;EDATE(DATEVALUE(C151&amp;"-01"),3),'📋 Транзакції'!$C$5:$C$3623,"&lt;"&amp;EDATE(DATEVALUE(C151&amp;"-01"),4))&gt;0,1,0)</f>
        <v>1</v>
      </c>
      <c r="K151" s="37">
        <f>IF(COUNTIFS('📋 Транзакції'!$B$5:$B$3623,A151,'📋 Транзакції'!$C$5:$C$3623,"&gt;="&amp;EDATE(DATEVALUE(C151&amp;"-01"),4),'📋 Транзакції'!$C$5:$C$3623,"&lt;"&amp;EDATE(DATEVALUE(C151&amp;"-01"),5))&gt;0,1,0)</f>
        <v>1</v>
      </c>
      <c r="L151" s="37">
        <f>IF(COUNTIFS('📋 Транзакції'!$B$5:$B$3623,A151,'📋 Транзакції'!$C$5:$C$3623,"&gt;="&amp;EDATE(DATEVALUE(C151&amp;"-01"),5),'📋 Транзакції'!$C$5:$C$3623,"&lt;"&amp;EDATE(DATEVALUE(C151&amp;"-01"),6))&gt;0,1,0)</f>
        <v>1</v>
      </c>
      <c r="M151" s="37">
        <f>IF(COUNTIFS('📋 Транзакції'!$B$5:$B$3623,A151,'📋 Транзакції'!$C$5:$C$3623,"&gt;="&amp;EDATE(DATEVALUE(C151&amp;"-01"),6),'📋 Транзакції'!$C$5:$C$3623,"&lt;"&amp;EDATE(DATEVALUE(C151&amp;"-01"),7))&gt;0,1,0)</f>
        <v>1</v>
      </c>
      <c r="N151" s="37">
        <f>IF(COUNTIFS('📋 Транзакції'!$B$5:$B$3623,A151,'📋 Транзакції'!$C$5:$C$3623,"&gt;="&amp;EDATE(DATEVALUE(C151&amp;"-01"),7),'📋 Транзакції'!$C$5:$C$3623,"&lt;"&amp;EDATE(DATEVALUE(C151&amp;"-01"),8))&gt;0,1,0)</f>
        <v>1</v>
      </c>
      <c r="O151" s="37">
        <f>IF(COUNTIFS('📋 Транзакції'!$B$5:$B$3623,A151,'📋 Транзакції'!$C$5:$C$3623,"&gt;="&amp;EDATE(DATEVALUE(C151&amp;"-01"),8),'📋 Транзакції'!$C$5:$C$3623,"&lt;"&amp;EDATE(DATEVALUE(C151&amp;"-01"),9))&gt;0,1,0)</f>
        <v>1</v>
      </c>
      <c r="P151" s="37">
        <f>IF(COUNTIFS('📋 Транзакції'!$B$5:$B$3623,A151,'📋 Транзакції'!$C$5:$C$3623,"&gt;="&amp;EDATE(DATEVALUE(C151&amp;"-01"),9),'📋 Транзакції'!$C$5:$C$3623,"&lt;"&amp;EDATE(DATEVALUE(C151&amp;"-01"),10))&gt;0,1,0)</f>
        <v>1</v>
      </c>
      <c r="Q151" s="37">
        <f>IF(COUNTIFS('📋 Транзакції'!$B$5:$B$3623,A151,'📋 Транзакції'!$C$5:$C$3623,"&gt;="&amp;EDATE(DATEVALUE(C151&amp;"-01"),10),'📋 Транзакції'!$C$5:$C$3623,"&lt;"&amp;EDATE(DATEVALUE(C151&amp;"-01"),11))&gt;0,1,0)</f>
        <v>1</v>
      </c>
      <c r="R151" s="37">
        <f>IF(COUNTIFS('📋 Транзакції'!$B$5:$B$3623,A151,'📋 Транзакції'!$C$5:$C$3623,"&gt;="&amp;EDATE(DATEVALUE(C151&amp;"-01"),11),'📋 Транзакції'!$C$5:$C$3623,"&lt;"&amp;EDATE(DATEVALUE(C151&amp;"-01"),12))&gt;0,1,0)</f>
        <v>0</v>
      </c>
      <c r="S151" s="37">
        <f>SUMIFS('📋 Транзакції'!$F$5:$F$3623,'📋 Транзакції'!$B$5:$B$3623,A151,'📋 Транзакції'!$C$5:$C$3623,"&gt;="&amp;EDATE(DATEVALUE(C151&amp;"-01"),0),'📋 Транзакції'!$C$5:$C$3623,"&lt;"&amp;EDATE(DATEVALUE(C151&amp;"-01"),1))</f>
        <v>19.99</v>
      </c>
      <c r="T151" s="37">
        <f>SUMIFS('📋 Транзакції'!$F$5:$F$3623,'📋 Транзакції'!$B$5:$B$3623,A151,'📋 Транзакції'!$C$5:$C$3623,"&gt;="&amp;EDATE(DATEVALUE(C151&amp;"-01"),1),'📋 Транзакції'!$C$5:$C$3623,"&lt;"&amp;EDATE(DATEVALUE(C151&amp;"-01"),2))</f>
        <v>19.99</v>
      </c>
      <c r="U151" s="37">
        <f>SUMIFS('📋 Транзакції'!$F$5:$F$3623,'📋 Транзакції'!$B$5:$B$3623,A151,'📋 Транзакції'!$C$5:$C$3623,"&gt;="&amp;EDATE(DATEVALUE(C151&amp;"-01"),2),'📋 Транзакції'!$C$5:$C$3623,"&lt;"&amp;EDATE(DATEVALUE(C151&amp;"-01"),3))</f>
        <v>19.99</v>
      </c>
      <c r="V151" s="37">
        <f>SUMIFS('📋 Транзакції'!$F$5:$F$3623,'📋 Транзакції'!$B$5:$B$3623,A151,'📋 Транзакції'!$C$5:$C$3623,"&gt;="&amp;EDATE(DATEVALUE(C151&amp;"-01"),3),'📋 Транзакції'!$C$5:$C$3623,"&lt;"&amp;EDATE(DATEVALUE(C151&amp;"-01"),4))</f>
        <v>19.99</v>
      </c>
      <c r="W151" s="37">
        <f>SUMIFS('📋 Транзакції'!$F$5:$F$3623,'📋 Транзакції'!$B$5:$B$3623,A151,'📋 Транзакції'!$C$5:$C$3623,"&gt;="&amp;EDATE(DATEVALUE(C151&amp;"-01"),4),'📋 Транзакції'!$C$5:$C$3623,"&lt;"&amp;EDATE(DATEVALUE(C151&amp;"-01"),5))</f>
        <v>19.99</v>
      </c>
      <c r="X151" s="37">
        <f>SUMIFS('📋 Транзакції'!$F$5:$F$3623,'📋 Транзакції'!$B$5:$B$3623,A151,'📋 Транзакції'!$C$5:$C$3623,"&gt;="&amp;EDATE(DATEVALUE(C151&amp;"-01"),5),'📋 Транзакції'!$C$5:$C$3623,"&lt;"&amp;EDATE(DATEVALUE(C151&amp;"-01"),6))</f>
        <v>19.99</v>
      </c>
      <c r="Y151" s="37">
        <f>SUMIFS('📋 Транзакції'!$F$5:$F$3623,'📋 Транзакції'!$B$5:$B$3623,A151,'📋 Транзакції'!$C$5:$C$3623,"&gt;="&amp;EDATE(DATEVALUE(C151&amp;"-01"),6),'📋 Транзакції'!$C$5:$C$3623,"&lt;"&amp;EDATE(DATEVALUE(C151&amp;"-01"),7))</f>
        <v>19.99</v>
      </c>
      <c r="Z151" s="37">
        <f>SUMIFS('📋 Транзакції'!$F$5:$F$3623,'📋 Транзакції'!$B$5:$B$3623,A151,'📋 Транзакції'!$C$5:$C$3623,"&gt;="&amp;EDATE(DATEVALUE(C151&amp;"-01"),7),'📋 Транзакції'!$C$5:$C$3623,"&lt;"&amp;EDATE(DATEVALUE(C151&amp;"-01"),8))</f>
        <v>19.99</v>
      </c>
      <c r="AA151" s="37">
        <f>SUMIFS('📋 Транзакції'!$F$5:$F$3623,'📋 Транзакції'!$B$5:$B$3623,A151,'📋 Транзакції'!$C$5:$C$3623,"&gt;="&amp;EDATE(DATEVALUE(C151&amp;"-01"),8),'📋 Транзакції'!$C$5:$C$3623,"&lt;"&amp;EDATE(DATEVALUE(C151&amp;"-01"),9))</f>
        <v>19.99</v>
      </c>
      <c r="AB151" s="37">
        <f>SUMIFS('📋 Транзакції'!$F$5:$F$3623,'📋 Транзакції'!$B$5:$B$3623,A151,'📋 Транзакції'!$C$5:$C$3623,"&gt;="&amp;EDATE(DATEVALUE(C151&amp;"-01"),9),'📋 Транзакції'!$C$5:$C$3623,"&lt;"&amp;EDATE(DATEVALUE(C151&amp;"-01"),10))</f>
        <v>19.99</v>
      </c>
      <c r="AC151" s="37">
        <f>SUMIFS('📋 Транзакції'!$F$5:$F$3623,'📋 Транзакції'!$B$5:$B$3623,A151,'📋 Транзакції'!$C$5:$C$3623,"&gt;="&amp;EDATE(DATEVALUE(C151&amp;"-01"),10),'📋 Транзакції'!$C$5:$C$3623,"&lt;"&amp;EDATE(DATEVALUE(C151&amp;"-01"),11))</f>
        <v>19.99</v>
      </c>
      <c r="AD151" s="37">
        <f>SUMIFS('📋 Транзакції'!$F$5:$F$3623,'📋 Транзакції'!$B$5:$B$3623,A151,'📋 Транзакції'!$C$5:$C$3623,"&gt;="&amp;EDATE(DATEVALUE(C151&amp;"-01"),11),'📋 Транзакції'!$C$5:$C$3623,"&lt;"&amp;EDATE(DATEVALUE(C151&amp;"-01"),12))</f>
        <v>0</v>
      </c>
    </row>
    <row r="152" ht="15.75" customHeight="1">
      <c r="A152" s="33" t="str">
        <f>'📋 Реєстрації'!A152:A753</f>
        <v>U0255</v>
      </c>
      <c r="B152" s="34">
        <f t="array" ref="B152">INDEX('📋 Транзакції'!$C$5:$C$3623,MATCH(A152,'📋 Транзакції'!$B$5:$B$3623,0))</f>
        <v>45435</v>
      </c>
      <c r="C152" s="35" t="str">
        <f t="shared" si="1"/>
        <v>2024-05</v>
      </c>
      <c r="D152" s="36">
        <f>COUNTIF('📋 Транзакції'!$B$5:$B$3623,A152)</f>
        <v>12</v>
      </c>
      <c r="E152" s="36">
        <f>SUMIF('📋 Транзакції'!$B$5:$B$3623,A152,'📋 Транзакції'!$F$5:$F$3623)</f>
        <v>219.89</v>
      </c>
      <c r="F152" s="35">
        <f>INT($A$1-MAXIFS('📋 Транзакції'!$C$5:$C$3623,'📋 Транзакції'!$B$5:$B$3623,A152))</f>
        <v>5</v>
      </c>
      <c r="G152" s="37">
        <f>IF(COUNTIFS('📋 Транзакції'!$B$5:$B$3623,A152,'📋 Транзакції'!$C$5:$C$3623,"&gt;="&amp;EDATE(DATEVALUE(C152&amp;"-01"),0),'📋 Транзакції'!$C$5:$C$3623,"&lt;"&amp;EDATE(DATEVALUE(C152&amp;"-01"),1))&gt;0,1,0)</f>
        <v>1</v>
      </c>
      <c r="H152" s="37">
        <f>IF(COUNTIFS('📋 Транзакції'!$B$5:$B$3623,A152,'📋 Транзакції'!$C$5:$C$3623,"&gt;="&amp;EDATE(DATEVALUE(C152&amp;"-01"),1),'📋 Транзакції'!$C$5:$C$3623,"&lt;"&amp;EDATE(DATEVALUE(C152&amp;"-01"),2))&gt;0,1,0)</f>
        <v>1</v>
      </c>
      <c r="I152" s="37">
        <f>IF(COUNTIFS('📋 Транзакції'!$B$5:$B$3623,A152,'📋 Транзакції'!$C$5:$C$3623,"&gt;="&amp;EDATE(DATEVALUE(C152&amp;"-01"),2),'📋 Транзакції'!$C$5:$C$3623,"&lt;"&amp;EDATE(DATEVALUE(C152&amp;"-01"),3))&gt;0,1,0)</f>
        <v>1</v>
      </c>
      <c r="J152" s="37">
        <f>IF(COUNTIFS('📋 Транзакції'!$B$5:$B$3623,A152,'📋 Транзакції'!$C$5:$C$3623,"&gt;="&amp;EDATE(DATEVALUE(C152&amp;"-01"),3),'📋 Транзакції'!$C$5:$C$3623,"&lt;"&amp;EDATE(DATEVALUE(C152&amp;"-01"),4))&gt;0,1,0)</f>
        <v>1</v>
      </c>
      <c r="K152" s="37">
        <f>IF(COUNTIFS('📋 Транзакції'!$B$5:$B$3623,A152,'📋 Транзакції'!$C$5:$C$3623,"&gt;="&amp;EDATE(DATEVALUE(C152&amp;"-01"),4),'📋 Транзакції'!$C$5:$C$3623,"&lt;"&amp;EDATE(DATEVALUE(C152&amp;"-01"),5))&gt;0,1,0)</f>
        <v>1</v>
      </c>
      <c r="L152" s="37">
        <f>IF(COUNTIFS('📋 Транзакції'!$B$5:$B$3623,A152,'📋 Транзакції'!$C$5:$C$3623,"&gt;="&amp;EDATE(DATEVALUE(C152&amp;"-01"),5),'📋 Транзакції'!$C$5:$C$3623,"&lt;"&amp;EDATE(DATEVALUE(C152&amp;"-01"),6))&gt;0,1,0)</f>
        <v>1</v>
      </c>
      <c r="M152" s="37">
        <f>IF(COUNTIFS('📋 Транзакції'!$B$5:$B$3623,A152,'📋 Транзакції'!$C$5:$C$3623,"&gt;="&amp;EDATE(DATEVALUE(C152&amp;"-01"),6),'📋 Транзакції'!$C$5:$C$3623,"&lt;"&amp;EDATE(DATEVALUE(C152&amp;"-01"),7))&gt;0,1,0)</f>
        <v>1</v>
      </c>
      <c r="N152" s="37">
        <f>IF(COUNTIFS('📋 Транзакції'!$B$5:$B$3623,A152,'📋 Транзакції'!$C$5:$C$3623,"&gt;="&amp;EDATE(DATEVALUE(C152&amp;"-01"),7),'📋 Транзакції'!$C$5:$C$3623,"&lt;"&amp;EDATE(DATEVALUE(C152&amp;"-01"),8))&gt;0,1,0)</f>
        <v>1</v>
      </c>
      <c r="O152" s="37">
        <f>IF(COUNTIFS('📋 Транзакції'!$B$5:$B$3623,A152,'📋 Транзакції'!$C$5:$C$3623,"&gt;="&amp;EDATE(DATEVALUE(C152&amp;"-01"),8),'📋 Транзакції'!$C$5:$C$3623,"&lt;"&amp;EDATE(DATEVALUE(C152&amp;"-01"),9))&gt;0,1,0)</f>
        <v>1</v>
      </c>
      <c r="P152" s="37">
        <f>IF(COUNTIFS('📋 Транзакції'!$B$5:$B$3623,A152,'📋 Транзакції'!$C$5:$C$3623,"&gt;="&amp;EDATE(DATEVALUE(C152&amp;"-01"),9),'📋 Транзакції'!$C$5:$C$3623,"&lt;"&amp;EDATE(DATEVALUE(C152&amp;"-01"),10))&gt;0,1,0)</f>
        <v>1</v>
      </c>
      <c r="Q152" s="37">
        <f>IF(COUNTIFS('📋 Транзакції'!$B$5:$B$3623,A152,'📋 Транзакції'!$C$5:$C$3623,"&gt;="&amp;EDATE(DATEVALUE(C152&amp;"-01"),10),'📋 Транзакції'!$C$5:$C$3623,"&lt;"&amp;EDATE(DATEVALUE(C152&amp;"-01"),11))&gt;0,1,0)</f>
        <v>1</v>
      </c>
      <c r="R152" s="37">
        <f>IF(COUNTIFS('📋 Транзакції'!$B$5:$B$3623,A152,'📋 Транзакції'!$C$5:$C$3623,"&gt;="&amp;EDATE(DATEVALUE(C152&amp;"-01"),11),'📋 Транзакції'!$C$5:$C$3623,"&lt;"&amp;EDATE(DATEVALUE(C152&amp;"-01"),12))&gt;0,1,0)</f>
        <v>0</v>
      </c>
      <c r="S152" s="37">
        <f>SUMIFS('📋 Транзакції'!$F$5:$F$3623,'📋 Транзакції'!$B$5:$B$3623,A152,'📋 Транзакції'!$C$5:$C$3623,"&gt;="&amp;EDATE(DATEVALUE(C152&amp;"-01"),0),'📋 Транзакції'!$C$5:$C$3623,"&lt;"&amp;EDATE(DATEVALUE(C152&amp;"-01"),1))</f>
        <v>19.99</v>
      </c>
      <c r="T152" s="37">
        <f>SUMIFS('📋 Транзакції'!$F$5:$F$3623,'📋 Транзакції'!$B$5:$B$3623,A152,'📋 Транзакції'!$C$5:$C$3623,"&gt;="&amp;EDATE(DATEVALUE(C152&amp;"-01"),1),'📋 Транзакції'!$C$5:$C$3623,"&lt;"&amp;EDATE(DATEVALUE(C152&amp;"-01"),2))</f>
        <v>19.99</v>
      </c>
      <c r="U152" s="37">
        <f>SUMIFS('📋 Транзакції'!$F$5:$F$3623,'📋 Транзакції'!$B$5:$B$3623,A152,'📋 Транзакції'!$C$5:$C$3623,"&gt;="&amp;EDATE(DATEVALUE(C152&amp;"-01"),2),'📋 Транзакції'!$C$5:$C$3623,"&lt;"&amp;EDATE(DATEVALUE(C152&amp;"-01"),3))</f>
        <v>19.99</v>
      </c>
      <c r="V152" s="37">
        <f>SUMIFS('📋 Транзакції'!$F$5:$F$3623,'📋 Транзакції'!$B$5:$B$3623,A152,'📋 Транзакції'!$C$5:$C$3623,"&gt;="&amp;EDATE(DATEVALUE(C152&amp;"-01"),3),'📋 Транзакції'!$C$5:$C$3623,"&lt;"&amp;EDATE(DATEVALUE(C152&amp;"-01"),4))</f>
        <v>19.99</v>
      </c>
      <c r="W152" s="37">
        <f>SUMIFS('📋 Транзакції'!$F$5:$F$3623,'📋 Транзакції'!$B$5:$B$3623,A152,'📋 Транзакції'!$C$5:$C$3623,"&gt;="&amp;EDATE(DATEVALUE(C152&amp;"-01"),4),'📋 Транзакції'!$C$5:$C$3623,"&lt;"&amp;EDATE(DATEVALUE(C152&amp;"-01"),5))</f>
        <v>19.99</v>
      </c>
      <c r="X152" s="37">
        <f>SUMIFS('📋 Транзакції'!$F$5:$F$3623,'📋 Транзакції'!$B$5:$B$3623,A152,'📋 Транзакції'!$C$5:$C$3623,"&gt;="&amp;EDATE(DATEVALUE(C152&amp;"-01"),5),'📋 Транзакції'!$C$5:$C$3623,"&lt;"&amp;EDATE(DATEVALUE(C152&amp;"-01"),6))</f>
        <v>19.99</v>
      </c>
      <c r="Y152" s="37">
        <f>SUMIFS('📋 Транзакції'!$F$5:$F$3623,'📋 Транзакції'!$B$5:$B$3623,A152,'📋 Транзакції'!$C$5:$C$3623,"&gt;="&amp;EDATE(DATEVALUE(C152&amp;"-01"),6),'📋 Транзакції'!$C$5:$C$3623,"&lt;"&amp;EDATE(DATEVALUE(C152&amp;"-01"),7))</f>
        <v>19.99</v>
      </c>
      <c r="Z152" s="37">
        <f>SUMIFS('📋 Транзакції'!$F$5:$F$3623,'📋 Транзакції'!$B$5:$B$3623,A152,'📋 Транзакції'!$C$5:$C$3623,"&gt;="&amp;EDATE(DATEVALUE(C152&amp;"-01"),7),'📋 Транзакції'!$C$5:$C$3623,"&lt;"&amp;EDATE(DATEVALUE(C152&amp;"-01"),8))</f>
        <v>19.99</v>
      </c>
      <c r="AA152" s="37">
        <f>SUMIFS('📋 Транзакції'!$F$5:$F$3623,'📋 Транзакції'!$B$5:$B$3623,A152,'📋 Транзакції'!$C$5:$C$3623,"&gt;="&amp;EDATE(DATEVALUE(C152&amp;"-01"),8),'📋 Транзакції'!$C$5:$C$3623,"&lt;"&amp;EDATE(DATEVALUE(C152&amp;"-01"),9))</f>
        <v>19.99</v>
      </c>
      <c r="AB152" s="37">
        <f>SUMIFS('📋 Транзакції'!$F$5:$F$3623,'📋 Транзакції'!$B$5:$B$3623,A152,'📋 Транзакції'!$C$5:$C$3623,"&gt;="&amp;EDATE(DATEVALUE(C152&amp;"-01"),9),'📋 Транзакції'!$C$5:$C$3623,"&lt;"&amp;EDATE(DATEVALUE(C152&amp;"-01"),10))</f>
        <v>19.99</v>
      </c>
      <c r="AC152" s="37">
        <f>SUMIFS('📋 Транзакції'!$F$5:$F$3623,'📋 Транзакції'!$B$5:$B$3623,A152,'📋 Транзакції'!$C$5:$C$3623,"&gt;="&amp;EDATE(DATEVALUE(C152&amp;"-01"),10),'📋 Транзакції'!$C$5:$C$3623,"&lt;"&amp;EDATE(DATEVALUE(C152&amp;"-01"),11))</f>
        <v>19.99</v>
      </c>
      <c r="AD152" s="37">
        <f>SUMIFS('📋 Транзакції'!$F$5:$F$3623,'📋 Транзакції'!$B$5:$B$3623,A152,'📋 Транзакції'!$C$5:$C$3623,"&gt;="&amp;EDATE(DATEVALUE(C152&amp;"-01"),11),'📋 Транзакції'!$C$5:$C$3623,"&lt;"&amp;EDATE(DATEVALUE(C152&amp;"-01"),12))</f>
        <v>0</v>
      </c>
    </row>
    <row r="153" ht="15.75" customHeight="1">
      <c r="A153" s="33" t="str">
        <f>'📋 Реєстрації'!A153:A754</f>
        <v>U0722</v>
      </c>
      <c r="B153" s="34">
        <f t="array" ref="B153">INDEX('📋 Транзакції'!$C$5:$C$3623,MATCH(A153,'📋 Транзакції'!$B$5:$B$3623,0))</f>
        <v>45439</v>
      </c>
      <c r="C153" s="35" t="str">
        <f t="shared" si="1"/>
        <v>2024-05</v>
      </c>
      <c r="D153" s="36">
        <f>COUNTIF('📋 Транзакції'!$B$5:$B$3623,A153)</f>
        <v>12</v>
      </c>
      <c r="E153" s="36">
        <f>SUMIF('📋 Транзакції'!$B$5:$B$3623,A153,'📋 Транзакції'!$F$5:$F$3623)</f>
        <v>219.89</v>
      </c>
      <c r="F153" s="35">
        <f>INT($A$1-MAXIFS('📋 Транзакції'!$C$5:$C$3623,'📋 Транзакції'!$B$5:$B$3623,A153))</f>
        <v>1</v>
      </c>
      <c r="G153" s="37">
        <f>IF(COUNTIFS('📋 Транзакції'!$B$5:$B$3623,A153,'📋 Транзакції'!$C$5:$C$3623,"&gt;="&amp;EDATE(DATEVALUE(C153&amp;"-01"),0),'📋 Транзакції'!$C$5:$C$3623,"&lt;"&amp;EDATE(DATEVALUE(C153&amp;"-01"),1))&gt;0,1,0)</f>
        <v>1</v>
      </c>
      <c r="H153" s="37">
        <f>IF(COUNTIFS('📋 Транзакції'!$B$5:$B$3623,A153,'📋 Транзакції'!$C$5:$C$3623,"&gt;="&amp;EDATE(DATEVALUE(C153&amp;"-01"),1),'📋 Транзакції'!$C$5:$C$3623,"&lt;"&amp;EDATE(DATEVALUE(C153&amp;"-01"),2))&gt;0,1,0)</f>
        <v>1</v>
      </c>
      <c r="I153" s="37">
        <f>IF(COUNTIFS('📋 Транзакції'!$B$5:$B$3623,A153,'📋 Транзакції'!$C$5:$C$3623,"&gt;="&amp;EDATE(DATEVALUE(C153&amp;"-01"),2),'📋 Транзакції'!$C$5:$C$3623,"&lt;"&amp;EDATE(DATEVALUE(C153&amp;"-01"),3))&gt;0,1,0)</f>
        <v>1</v>
      </c>
      <c r="J153" s="37">
        <f>IF(COUNTIFS('📋 Транзакції'!$B$5:$B$3623,A153,'📋 Транзакції'!$C$5:$C$3623,"&gt;="&amp;EDATE(DATEVALUE(C153&amp;"-01"),3),'📋 Транзакції'!$C$5:$C$3623,"&lt;"&amp;EDATE(DATEVALUE(C153&amp;"-01"),4))&gt;0,1,0)</f>
        <v>1</v>
      </c>
      <c r="K153" s="37">
        <f>IF(COUNTIFS('📋 Транзакції'!$B$5:$B$3623,A153,'📋 Транзакції'!$C$5:$C$3623,"&gt;="&amp;EDATE(DATEVALUE(C153&amp;"-01"),4),'📋 Транзакції'!$C$5:$C$3623,"&lt;"&amp;EDATE(DATEVALUE(C153&amp;"-01"),5))&gt;0,1,0)</f>
        <v>1</v>
      </c>
      <c r="L153" s="37">
        <f>IF(COUNTIFS('📋 Транзакції'!$B$5:$B$3623,A153,'📋 Транзакції'!$C$5:$C$3623,"&gt;="&amp;EDATE(DATEVALUE(C153&amp;"-01"),5),'📋 Транзакції'!$C$5:$C$3623,"&lt;"&amp;EDATE(DATEVALUE(C153&amp;"-01"),6))&gt;0,1,0)</f>
        <v>1</v>
      </c>
      <c r="M153" s="37">
        <f>IF(COUNTIFS('📋 Транзакції'!$B$5:$B$3623,A153,'📋 Транзакції'!$C$5:$C$3623,"&gt;="&amp;EDATE(DATEVALUE(C153&amp;"-01"),6),'📋 Транзакції'!$C$5:$C$3623,"&lt;"&amp;EDATE(DATEVALUE(C153&amp;"-01"),7))&gt;0,1,0)</f>
        <v>1</v>
      </c>
      <c r="N153" s="37">
        <f>IF(COUNTIFS('📋 Транзакції'!$B$5:$B$3623,A153,'📋 Транзакції'!$C$5:$C$3623,"&gt;="&amp;EDATE(DATEVALUE(C153&amp;"-01"),7),'📋 Транзакції'!$C$5:$C$3623,"&lt;"&amp;EDATE(DATEVALUE(C153&amp;"-01"),8))&gt;0,1,0)</f>
        <v>1</v>
      </c>
      <c r="O153" s="37">
        <f>IF(COUNTIFS('📋 Транзакції'!$B$5:$B$3623,A153,'📋 Транзакції'!$C$5:$C$3623,"&gt;="&amp;EDATE(DATEVALUE(C153&amp;"-01"),8),'📋 Транзакції'!$C$5:$C$3623,"&lt;"&amp;EDATE(DATEVALUE(C153&amp;"-01"),9))&gt;0,1,0)</f>
        <v>1</v>
      </c>
      <c r="P153" s="37">
        <f>IF(COUNTIFS('📋 Транзакції'!$B$5:$B$3623,A153,'📋 Транзакції'!$C$5:$C$3623,"&gt;="&amp;EDATE(DATEVALUE(C153&amp;"-01"),9),'📋 Транзакції'!$C$5:$C$3623,"&lt;"&amp;EDATE(DATEVALUE(C153&amp;"-01"),10))&gt;0,1,0)</f>
        <v>1</v>
      </c>
      <c r="Q153" s="37">
        <f>IF(COUNTIFS('📋 Транзакції'!$B$5:$B$3623,A153,'📋 Транзакції'!$C$5:$C$3623,"&gt;="&amp;EDATE(DATEVALUE(C153&amp;"-01"),10),'📋 Транзакції'!$C$5:$C$3623,"&lt;"&amp;EDATE(DATEVALUE(C153&amp;"-01"),11))&gt;0,1,0)</f>
        <v>1</v>
      </c>
      <c r="R153" s="37">
        <f>IF(COUNTIFS('📋 Транзакції'!$B$5:$B$3623,A153,'📋 Транзакції'!$C$5:$C$3623,"&gt;="&amp;EDATE(DATEVALUE(C153&amp;"-01"),11),'📋 Транзакції'!$C$5:$C$3623,"&lt;"&amp;EDATE(DATEVALUE(C153&amp;"-01"),12))&gt;0,1,0)</f>
        <v>0</v>
      </c>
      <c r="S153" s="37">
        <f>SUMIFS('📋 Транзакції'!$F$5:$F$3623,'📋 Транзакції'!$B$5:$B$3623,A153,'📋 Транзакції'!$C$5:$C$3623,"&gt;="&amp;EDATE(DATEVALUE(C153&amp;"-01"),0),'📋 Транзакції'!$C$5:$C$3623,"&lt;"&amp;EDATE(DATEVALUE(C153&amp;"-01"),1))</f>
        <v>0</v>
      </c>
      <c r="T153" s="37">
        <f>SUMIFS('📋 Транзакції'!$F$5:$F$3623,'📋 Транзакції'!$B$5:$B$3623,A153,'📋 Транзакції'!$C$5:$C$3623,"&gt;="&amp;EDATE(DATEVALUE(C153&amp;"-01"),1),'📋 Транзакції'!$C$5:$C$3623,"&lt;"&amp;EDATE(DATEVALUE(C153&amp;"-01"),2))</f>
        <v>19.99</v>
      </c>
      <c r="U153" s="37">
        <f>SUMIFS('📋 Транзакції'!$F$5:$F$3623,'📋 Транзакції'!$B$5:$B$3623,A153,'📋 Транзакції'!$C$5:$C$3623,"&gt;="&amp;EDATE(DATEVALUE(C153&amp;"-01"),2),'📋 Транзакції'!$C$5:$C$3623,"&lt;"&amp;EDATE(DATEVALUE(C153&amp;"-01"),3))</f>
        <v>19.99</v>
      </c>
      <c r="V153" s="37">
        <f>SUMIFS('📋 Транзакції'!$F$5:$F$3623,'📋 Транзакції'!$B$5:$B$3623,A153,'📋 Транзакції'!$C$5:$C$3623,"&gt;="&amp;EDATE(DATEVALUE(C153&amp;"-01"),3),'📋 Транзакції'!$C$5:$C$3623,"&lt;"&amp;EDATE(DATEVALUE(C153&amp;"-01"),4))</f>
        <v>19.99</v>
      </c>
      <c r="W153" s="37">
        <f>SUMIFS('📋 Транзакції'!$F$5:$F$3623,'📋 Транзакції'!$B$5:$B$3623,A153,'📋 Транзакції'!$C$5:$C$3623,"&gt;="&amp;EDATE(DATEVALUE(C153&amp;"-01"),4),'📋 Транзакції'!$C$5:$C$3623,"&lt;"&amp;EDATE(DATEVALUE(C153&amp;"-01"),5))</f>
        <v>19.99</v>
      </c>
      <c r="X153" s="37">
        <f>SUMIFS('📋 Транзакції'!$F$5:$F$3623,'📋 Транзакції'!$B$5:$B$3623,A153,'📋 Транзакції'!$C$5:$C$3623,"&gt;="&amp;EDATE(DATEVALUE(C153&amp;"-01"),5),'📋 Транзакції'!$C$5:$C$3623,"&lt;"&amp;EDATE(DATEVALUE(C153&amp;"-01"),6))</f>
        <v>39.98</v>
      </c>
      <c r="Y153" s="37">
        <f>SUMIFS('📋 Транзакції'!$F$5:$F$3623,'📋 Транзакції'!$B$5:$B$3623,A153,'📋 Транзакції'!$C$5:$C$3623,"&gt;="&amp;EDATE(DATEVALUE(C153&amp;"-01"),6),'📋 Транзакції'!$C$5:$C$3623,"&lt;"&amp;EDATE(DATEVALUE(C153&amp;"-01"),7))</f>
        <v>19.99</v>
      </c>
      <c r="Z153" s="37">
        <f>SUMIFS('📋 Транзакції'!$F$5:$F$3623,'📋 Транзакції'!$B$5:$B$3623,A153,'📋 Транзакції'!$C$5:$C$3623,"&gt;="&amp;EDATE(DATEVALUE(C153&amp;"-01"),7),'📋 Транзакції'!$C$5:$C$3623,"&lt;"&amp;EDATE(DATEVALUE(C153&amp;"-01"),8))</f>
        <v>19.99</v>
      </c>
      <c r="AA153" s="37">
        <f>SUMIFS('📋 Транзакції'!$F$5:$F$3623,'📋 Транзакції'!$B$5:$B$3623,A153,'📋 Транзакції'!$C$5:$C$3623,"&gt;="&amp;EDATE(DATEVALUE(C153&amp;"-01"),8),'📋 Транзакції'!$C$5:$C$3623,"&lt;"&amp;EDATE(DATEVALUE(C153&amp;"-01"),9))</f>
        <v>19.99</v>
      </c>
      <c r="AB153" s="37">
        <f>SUMIFS('📋 Транзакції'!$F$5:$F$3623,'📋 Транзакції'!$B$5:$B$3623,A153,'📋 Транзакції'!$C$5:$C$3623,"&gt;="&amp;EDATE(DATEVALUE(C153&amp;"-01"),9),'📋 Транзакції'!$C$5:$C$3623,"&lt;"&amp;EDATE(DATEVALUE(C153&amp;"-01"),10))</f>
        <v>19.99</v>
      </c>
      <c r="AC153" s="37">
        <f>SUMIFS('📋 Транзакції'!$F$5:$F$3623,'📋 Транзакції'!$B$5:$B$3623,A153,'📋 Транзакції'!$C$5:$C$3623,"&gt;="&amp;EDATE(DATEVALUE(C153&amp;"-01"),10),'📋 Транзакції'!$C$5:$C$3623,"&lt;"&amp;EDATE(DATEVALUE(C153&amp;"-01"),11))</f>
        <v>19.99</v>
      </c>
      <c r="AD153" s="37">
        <f>SUMIFS('📋 Транзакції'!$F$5:$F$3623,'📋 Транзакції'!$B$5:$B$3623,A153,'📋 Транзакції'!$C$5:$C$3623,"&gt;="&amp;EDATE(DATEVALUE(C153&amp;"-01"),11),'📋 Транзакції'!$C$5:$C$3623,"&lt;"&amp;EDATE(DATEVALUE(C153&amp;"-01"),12))</f>
        <v>0</v>
      </c>
    </row>
    <row r="154" ht="15.75" customHeight="1">
      <c r="A154" s="33" t="str">
        <f>'📋 Реєстрації'!A154:A755</f>
        <v>U0027</v>
      </c>
      <c r="B154" s="34">
        <f t="array" ref="B154">INDEX('📋 Транзакції'!$C$5:$C$3623,MATCH(A154,'📋 Транзакції'!$B$5:$B$3623,0))</f>
        <v>45441</v>
      </c>
      <c r="C154" s="35" t="str">
        <f t="shared" si="1"/>
        <v>2024-05</v>
      </c>
      <c r="D154" s="36">
        <f>COUNTIF('📋 Транзакції'!$B$5:$B$3623,A154)</f>
        <v>11</v>
      </c>
      <c r="E154" s="36">
        <f>SUMIF('📋 Транзакції'!$B$5:$B$3623,A154,'📋 Транзакції'!$F$5:$F$3623)</f>
        <v>199.9</v>
      </c>
      <c r="F154" s="35">
        <f>INT($A$1-MAXIFS('📋 Транзакції'!$C$5:$C$3623,'📋 Транзакції'!$B$5:$B$3623,A154))</f>
        <v>29</v>
      </c>
      <c r="G154" s="37">
        <f>IF(COUNTIFS('📋 Транзакції'!$B$5:$B$3623,A154,'📋 Транзакції'!$C$5:$C$3623,"&gt;="&amp;EDATE(DATEVALUE(C154&amp;"-01"),0),'📋 Транзакції'!$C$5:$C$3623,"&lt;"&amp;EDATE(DATEVALUE(C154&amp;"-01"),1))&gt;0,1,0)</f>
        <v>1</v>
      </c>
      <c r="H154" s="37">
        <f>IF(COUNTIFS('📋 Транзакції'!$B$5:$B$3623,A154,'📋 Транзакції'!$C$5:$C$3623,"&gt;="&amp;EDATE(DATEVALUE(C154&amp;"-01"),1),'📋 Транзакції'!$C$5:$C$3623,"&lt;"&amp;EDATE(DATEVALUE(C154&amp;"-01"),2))&gt;0,1,0)</f>
        <v>1</v>
      </c>
      <c r="I154" s="37">
        <f>IF(COUNTIFS('📋 Транзакції'!$B$5:$B$3623,A154,'📋 Транзакції'!$C$5:$C$3623,"&gt;="&amp;EDATE(DATEVALUE(C154&amp;"-01"),2),'📋 Транзакції'!$C$5:$C$3623,"&lt;"&amp;EDATE(DATEVALUE(C154&amp;"-01"),3))&gt;0,1,0)</f>
        <v>1</v>
      </c>
      <c r="J154" s="37">
        <f>IF(COUNTIFS('📋 Транзакції'!$B$5:$B$3623,A154,'📋 Транзакції'!$C$5:$C$3623,"&gt;="&amp;EDATE(DATEVALUE(C154&amp;"-01"),3),'📋 Транзакції'!$C$5:$C$3623,"&lt;"&amp;EDATE(DATEVALUE(C154&amp;"-01"),4))&gt;0,1,0)</f>
        <v>1</v>
      </c>
      <c r="K154" s="37">
        <f>IF(COUNTIFS('📋 Транзакції'!$B$5:$B$3623,A154,'📋 Транзакції'!$C$5:$C$3623,"&gt;="&amp;EDATE(DATEVALUE(C154&amp;"-01"),4),'📋 Транзакції'!$C$5:$C$3623,"&lt;"&amp;EDATE(DATEVALUE(C154&amp;"-01"),5))&gt;0,1,0)</f>
        <v>1</v>
      </c>
      <c r="L154" s="37">
        <f>IF(COUNTIFS('📋 Транзакції'!$B$5:$B$3623,A154,'📋 Транзакції'!$C$5:$C$3623,"&gt;="&amp;EDATE(DATEVALUE(C154&amp;"-01"),5),'📋 Транзакції'!$C$5:$C$3623,"&lt;"&amp;EDATE(DATEVALUE(C154&amp;"-01"),6))&gt;0,1,0)</f>
        <v>1</v>
      </c>
      <c r="M154" s="37">
        <f>IF(COUNTIFS('📋 Транзакції'!$B$5:$B$3623,A154,'📋 Транзакції'!$C$5:$C$3623,"&gt;="&amp;EDATE(DATEVALUE(C154&amp;"-01"),6),'📋 Транзакції'!$C$5:$C$3623,"&lt;"&amp;EDATE(DATEVALUE(C154&amp;"-01"),7))&gt;0,1,0)</f>
        <v>1</v>
      </c>
      <c r="N154" s="37">
        <f>IF(COUNTIFS('📋 Транзакції'!$B$5:$B$3623,A154,'📋 Транзакції'!$C$5:$C$3623,"&gt;="&amp;EDATE(DATEVALUE(C154&amp;"-01"),7),'📋 Транзакції'!$C$5:$C$3623,"&lt;"&amp;EDATE(DATEVALUE(C154&amp;"-01"),8))&gt;0,1,0)</f>
        <v>1</v>
      </c>
      <c r="O154" s="37">
        <f>IF(COUNTIFS('📋 Транзакції'!$B$5:$B$3623,A154,'📋 Транзакції'!$C$5:$C$3623,"&gt;="&amp;EDATE(DATEVALUE(C154&amp;"-01"),8),'📋 Транзакції'!$C$5:$C$3623,"&lt;"&amp;EDATE(DATEVALUE(C154&amp;"-01"),9))&gt;0,1,0)</f>
        <v>1</v>
      </c>
      <c r="P154" s="37">
        <f>IF(COUNTIFS('📋 Транзакції'!$B$5:$B$3623,A154,'📋 Транзакції'!$C$5:$C$3623,"&gt;="&amp;EDATE(DATEVALUE(C154&amp;"-01"),9),'📋 Транзакції'!$C$5:$C$3623,"&lt;"&amp;EDATE(DATEVALUE(C154&amp;"-01"),10))&gt;0,1,0)</f>
        <v>0</v>
      </c>
      <c r="Q154" s="37">
        <f>IF(COUNTIFS('📋 Транзакції'!$B$5:$B$3623,A154,'📋 Транзакції'!$C$5:$C$3623,"&gt;="&amp;EDATE(DATEVALUE(C154&amp;"-01"),10),'📋 Транзакції'!$C$5:$C$3623,"&lt;"&amp;EDATE(DATEVALUE(C154&amp;"-01"),11))&gt;0,1,0)</f>
        <v>1</v>
      </c>
      <c r="R154" s="37">
        <f>IF(COUNTIFS('📋 Транзакції'!$B$5:$B$3623,A154,'📋 Транзакції'!$C$5:$C$3623,"&gt;="&amp;EDATE(DATEVALUE(C154&amp;"-01"),11),'📋 Транзакції'!$C$5:$C$3623,"&lt;"&amp;EDATE(DATEVALUE(C154&amp;"-01"),12))&gt;0,1,0)</f>
        <v>0</v>
      </c>
      <c r="S154" s="37">
        <f>SUMIFS('📋 Транзакції'!$F$5:$F$3623,'📋 Транзакції'!$B$5:$B$3623,A154,'📋 Транзакції'!$C$5:$C$3623,"&gt;="&amp;EDATE(DATEVALUE(C154&amp;"-01"),0),'📋 Транзакції'!$C$5:$C$3623,"&lt;"&amp;EDATE(DATEVALUE(C154&amp;"-01"),1))</f>
        <v>0</v>
      </c>
      <c r="T154" s="37">
        <f>SUMIFS('📋 Транзакції'!$F$5:$F$3623,'📋 Транзакції'!$B$5:$B$3623,A154,'📋 Транзакції'!$C$5:$C$3623,"&gt;="&amp;EDATE(DATEVALUE(C154&amp;"-01"),1),'📋 Транзакції'!$C$5:$C$3623,"&lt;"&amp;EDATE(DATEVALUE(C154&amp;"-01"),2))</f>
        <v>19.99</v>
      </c>
      <c r="U154" s="37">
        <f>SUMIFS('📋 Транзакції'!$F$5:$F$3623,'📋 Транзакції'!$B$5:$B$3623,A154,'📋 Транзакції'!$C$5:$C$3623,"&gt;="&amp;EDATE(DATEVALUE(C154&amp;"-01"),2),'📋 Транзакції'!$C$5:$C$3623,"&lt;"&amp;EDATE(DATEVALUE(C154&amp;"-01"),3))</f>
        <v>19.99</v>
      </c>
      <c r="V154" s="37">
        <f>SUMIFS('📋 Транзакції'!$F$5:$F$3623,'📋 Транзакції'!$B$5:$B$3623,A154,'📋 Транзакції'!$C$5:$C$3623,"&gt;="&amp;EDATE(DATEVALUE(C154&amp;"-01"),3),'📋 Транзакції'!$C$5:$C$3623,"&lt;"&amp;EDATE(DATEVALUE(C154&amp;"-01"),4))</f>
        <v>19.99</v>
      </c>
      <c r="W154" s="37">
        <f>SUMIFS('📋 Транзакції'!$F$5:$F$3623,'📋 Транзакції'!$B$5:$B$3623,A154,'📋 Транзакції'!$C$5:$C$3623,"&gt;="&amp;EDATE(DATEVALUE(C154&amp;"-01"),4),'📋 Транзакції'!$C$5:$C$3623,"&lt;"&amp;EDATE(DATEVALUE(C154&amp;"-01"),5))</f>
        <v>19.99</v>
      </c>
      <c r="X154" s="37">
        <f>SUMIFS('📋 Транзакції'!$F$5:$F$3623,'📋 Транзакції'!$B$5:$B$3623,A154,'📋 Транзакції'!$C$5:$C$3623,"&gt;="&amp;EDATE(DATEVALUE(C154&amp;"-01"),5),'📋 Транзакції'!$C$5:$C$3623,"&lt;"&amp;EDATE(DATEVALUE(C154&amp;"-01"),6))</f>
        <v>19.99</v>
      </c>
      <c r="Y154" s="37">
        <f>SUMIFS('📋 Транзакції'!$F$5:$F$3623,'📋 Транзакції'!$B$5:$B$3623,A154,'📋 Транзакції'!$C$5:$C$3623,"&gt;="&amp;EDATE(DATEVALUE(C154&amp;"-01"),6),'📋 Транзакції'!$C$5:$C$3623,"&lt;"&amp;EDATE(DATEVALUE(C154&amp;"-01"),7))</f>
        <v>19.99</v>
      </c>
      <c r="Z154" s="37">
        <f>SUMIFS('📋 Транзакції'!$F$5:$F$3623,'📋 Транзакції'!$B$5:$B$3623,A154,'📋 Транзакції'!$C$5:$C$3623,"&gt;="&amp;EDATE(DATEVALUE(C154&amp;"-01"),7),'📋 Транзакції'!$C$5:$C$3623,"&lt;"&amp;EDATE(DATEVALUE(C154&amp;"-01"),8))</f>
        <v>19.99</v>
      </c>
      <c r="AA154" s="37">
        <f>SUMIFS('📋 Транзакції'!$F$5:$F$3623,'📋 Транзакції'!$B$5:$B$3623,A154,'📋 Транзакції'!$C$5:$C$3623,"&gt;="&amp;EDATE(DATEVALUE(C154&amp;"-01"),8),'📋 Транзакції'!$C$5:$C$3623,"&lt;"&amp;EDATE(DATEVALUE(C154&amp;"-01"),9))</f>
        <v>39.98</v>
      </c>
      <c r="AB154" s="37">
        <f>SUMIFS('📋 Транзакції'!$F$5:$F$3623,'📋 Транзакції'!$B$5:$B$3623,A154,'📋 Транзакції'!$C$5:$C$3623,"&gt;="&amp;EDATE(DATEVALUE(C154&amp;"-01"),9),'📋 Транзакції'!$C$5:$C$3623,"&lt;"&amp;EDATE(DATEVALUE(C154&amp;"-01"),10))</f>
        <v>0</v>
      </c>
      <c r="AC154" s="37">
        <f>SUMIFS('📋 Транзакції'!$F$5:$F$3623,'📋 Транзакції'!$B$5:$B$3623,A154,'📋 Транзакції'!$C$5:$C$3623,"&gt;="&amp;EDATE(DATEVALUE(C154&amp;"-01"),10),'📋 Транзакції'!$C$5:$C$3623,"&lt;"&amp;EDATE(DATEVALUE(C154&amp;"-01"),11))</f>
        <v>19.99</v>
      </c>
      <c r="AD154" s="37">
        <f>SUMIFS('📋 Транзакції'!$F$5:$F$3623,'📋 Транзакції'!$B$5:$B$3623,A154,'📋 Транзакції'!$C$5:$C$3623,"&gt;="&amp;EDATE(DATEVALUE(C154&amp;"-01"),11),'📋 Транзакції'!$C$5:$C$3623,"&lt;"&amp;EDATE(DATEVALUE(C154&amp;"-01"),12))</f>
        <v>0</v>
      </c>
    </row>
    <row r="155" ht="15.75" customHeight="1">
      <c r="A155" s="33" t="str">
        <f>'📋 Реєстрації'!A155:A756</f>
        <v>U0669</v>
      </c>
      <c r="B155" s="34">
        <f t="array" ref="B155">INDEX('📋 Транзакції'!$C$5:$C$3623,MATCH(A155,'📋 Транзакції'!$B$5:$B$3623,0))</f>
        <v>45441</v>
      </c>
      <c r="C155" s="35" t="str">
        <f t="shared" si="1"/>
        <v>2024-05</v>
      </c>
      <c r="D155" s="36">
        <f>COUNTIF('📋 Транзакції'!$B$5:$B$3623,A155)</f>
        <v>11</v>
      </c>
      <c r="E155" s="36">
        <f>SUMIF('📋 Транзакції'!$B$5:$B$3623,A155,'📋 Транзакції'!$F$5:$F$3623)</f>
        <v>199.9</v>
      </c>
      <c r="F155" s="35">
        <f>INT($A$1-MAXIFS('📋 Транзакції'!$C$5:$C$3623,'📋 Транзакції'!$B$5:$B$3623,A155))</f>
        <v>29</v>
      </c>
      <c r="G155" s="37">
        <f>IF(COUNTIFS('📋 Транзакції'!$B$5:$B$3623,A155,'📋 Транзакції'!$C$5:$C$3623,"&gt;="&amp;EDATE(DATEVALUE(C155&amp;"-01"),0),'📋 Транзакції'!$C$5:$C$3623,"&lt;"&amp;EDATE(DATEVALUE(C155&amp;"-01"),1))&gt;0,1,0)</f>
        <v>1</v>
      </c>
      <c r="H155" s="37">
        <f>IF(COUNTIFS('📋 Транзакції'!$B$5:$B$3623,A155,'📋 Транзакції'!$C$5:$C$3623,"&gt;="&amp;EDATE(DATEVALUE(C155&amp;"-01"),1),'📋 Транзакції'!$C$5:$C$3623,"&lt;"&amp;EDATE(DATEVALUE(C155&amp;"-01"),2))&gt;0,1,0)</f>
        <v>1</v>
      </c>
      <c r="I155" s="37">
        <f>IF(COUNTIFS('📋 Транзакції'!$B$5:$B$3623,A155,'📋 Транзакції'!$C$5:$C$3623,"&gt;="&amp;EDATE(DATEVALUE(C155&amp;"-01"),2),'📋 Транзакції'!$C$5:$C$3623,"&lt;"&amp;EDATE(DATEVALUE(C155&amp;"-01"),3))&gt;0,1,0)</f>
        <v>1</v>
      </c>
      <c r="J155" s="37">
        <f>IF(COUNTIFS('📋 Транзакції'!$B$5:$B$3623,A155,'📋 Транзакції'!$C$5:$C$3623,"&gt;="&amp;EDATE(DATEVALUE(C155&amp;"-01"),3),'📋 Транзакції'!$C$5:$C$3623,"&lt;"&amp;EDATE(DATEVALUE(C155&amp;"-01"),4))&gt;0,1,0)</f>
        <v>1</v>
      </c>
      <c r="K155" s="37">
        <f>IF(COUNTIFS('📋 Транзакції'!$B$5:$B$3623,A155,'📋 Транзакції'!$C$5:$C$3623,"&gt;="&amp;EDATE(DATEVALUE(C155&amp;"-01"),4),'📋 Транзакції'!$C$5:$C$3623,"&lt;"&amp;EDATE(DATEVALUE(C155&amp;"-01"),5))&gt;0,1,0)</f>
        <v>1</v>
      </c>
      <c r="L155" s="37">
        <f>IF(COUNTIFS('📋 Транзакції'!$B$5:$B$3623,A155,'📋 Транзакції'!$C$5:$C$3623,"&gt;="&amp;EDATE(DATEVALUE(C155&amp;"-01"),5),'📋 Транзакції'!$C$5:$C$3623,"&lt;"&amp;EDATE(DATEVALUE(C155&amp;"-01"),6))&gt;0,1,0)</f>
        <v>1</v>
      </c>
      <c r="M155" s="37">
        <f>IF(COUNTIFS('📋 Транзакції'!$B$5:$B$3623,A155,'📋 Транзакції'!$C$5:$C$3623,"&gt;="&amp;EDATE(DATEVALUE(C155&amp;"-01"),6),'📋 Транзакції'!$C$5:$C$3623,"&lt;"&amp;EDATE(DATEVALUE(C155&amp;"-01"),7))&gt;0,1,0)</f>
        <v>1</v>
      </c>
      <c r="N155" s="37">
        <f>IF(COUNTIFS('📋 Транзакції'!$B$5:$B$3623,A155,'📋 Транзакції'!$C$5:$C$3623,"&gt;="&amp;EDATE(DATEVALUE(C155&amp;"-01"),7),'📋 Транзакції'!$C$5:$C$3623,"&lt;"&amp;EDATE(DATEVALUE(C155&amp;"-01"),8))&gt;0,1,0)</f>
        <v>1</v>
      </c>
      <c r="O155" s="37">
        <f>IF(COUNTIFS('📋 Транзакції'!$B$5:$B$3623,A155,'📋 Транзакції'!$C$5:$C$3623,"&gt;="&amp;EDATE(DATEVALUE(C155&amp;"-01"),8),'📋 Транзакції'!$C$5:$C$3623,"&lt;"&amp;EDATE(DATEVALUE(C155&amp;"-01"),9))&gt;0,1,0)</f>
        <v>1</v>
      </c>
      <c r="P155" s="37">
        <f>IF(COUNTIFS('📋 Транзакції'!$B$5:$B$3623,A155,'📋 Транзакції'!$C$5:$C$3623,"&gt;="&amp;EDATE(DATEVALUE(C155&amp;"-01"),9),'📋 Транзакції'!$C$5:$C$3623,"&lt;"&amp;EDATE(DATEVALUE(C155&amp;"-01"),10))&gt;0,1,0)</f>
        <v>0</v>
      </c>
      <c r="Q155" s="37">
        <f>IF(COUNTIFS('📋 Транзакції'!$B$5:$B$3623,A155,'📋 Транзакції'!$C$5:$C$3623,"&gt;="&amp;EDATE(DATEVALUE(C155&amp;"-01"),10),'📋 Транзакції'!$C$5:$C$3623,"&lt;"&amp;EDATE(DATEVALUE(C155&amp;"-01"),11))&gt;0,1,0)</f>
        <v>1</v>
      </c>
      <c r="R155" s="37">
        <f>IF(COUNTIFS('📋 Транзакції'!$B$5:$B$3623,A155,'📋 Транзакції'!$C$5:$C$3623,"&gt;="&amp;EDATE(DATEVALUE(C155&amp;"-01"),11),'📋 Транзакції'!$C$5:$C$3623,"&lt;"&amp;EDATE(DATEVALUE(C155&amp;"-01"),12))&gt;0,1,0)</f>
        <v>0</v>
      </c>
      <c r="S155" s="37">
        <f>SUMIFS('📋 Транзакції'!$F$5:$F$3623,'📋 Транзакції'!$B$5:$B$3623,A155,'📋 Транзакції'!$C$5:$C$3623,"&gt;="&amp;EDATE(DATEVALUE(C155&amp;"-01"),0),'📋 Транзакції'!$C$5:$C$3623,"&lt;"&amp;EDATE(DATEVALUE(C155&amp;"-01"),1))</f>
        <v>0</v>
      </c>
      <c r="T155" s="37">
        <f>SUMIFS('📋 Транзакції'!$F$5:$F$3623,'📋 Транзакції'!$B$5:$B$3623,A155,'📋 Транзакції'!$C$5:$C$3623,"&gt;="&amp;EDATE(DATEVALUE(C155&amp;"-01"),1),'📋 Транзакції'!$C$5:$C$3623,"&lt;"&amp;EDATE(DATEVALUE(C155&amp;"-01"),2))</f>
        <v>19.99</v>
      </c>
      <c r="U155" s="37">
        <f>SUMIFS('📋 Транзакції'!$F$5:$F$3623,'📋 Транзакції'!$B$5:$B$3623,A155,'📋 Транзакції'!$C$5:$C$3623,"&gt;="&amp;EDATE(DATEVALUE(C155&amp;"-01"),2),'📋 Транзакції'!$C$5:$C$3623,"&lt;"&amp;EDATE(DATEVALUE(C155&amp;"-01"),3))</f>
        <v>19.99</v>
      </c>
      <c r="V155" s="37">
        <f>SUMIFS('📋 Транзакції'!$F$5:$F$3623,'📋 Транзакції'!$B$5:$B$3623,A155,'📋 Транзакції'!$C$5:$C$3623,"&gt;="&amp;EDATE(DATEVALUE(C155&amp;"-01"),3),'📋 Транзакції'!$C$5:$C$3623,"&lt;"&amp;EDATE(DATEVALUE(C155&amp;"-01"),4))</f>
        <v>19.99</v>
      </c>
      <c r="W155" s="37">
        <f>SUMIFS('📋 Транзакції'!$F$5:$F$3623,'📋 Транзакції'!$B$5:$B$3623,A155,'📋 Транзакції'!$C$5:$C$3623,"&gt;="&amp;EDATE(DATEVALUE(C155&amp;"-01"),4),'📋 Транзакції'!$C$5:$C$3623,"&lt;"&amp;EDATE(DATEVALUE(C155&amp;"-01"),5))</f>
        <v>19.99</v>
      </c>
      <c r="X155" s="37">
        <f>SUMIFS('📋 Транзакції'!$F$5:$F$3623,'📋 Транзакції'!$B$5:$B$3623,A155,'📋 Транзакції'!$C$5:$C$3623,"&gt;="&amp;EDATE(DATEVALUE(C155&amp;"-01"),5),'📋 Транзакції'!$C$5:$C$3623,"&lt;"&amp;EDATE(DATEVALUE(C155&amp;"-01"),6))</f>
        <v>19.99</v>
      </c>
      <c r="Y155" s="37">
        <f>SUMIFS('📋 Транзакції'!$F$5:$F$3623,'📋 Транзакції'!$B$5:$B$3623,A155,'📋 Транзакції'!$C$5:$C$3623,"&gt;="&amp;EDATE(DATEVALUE(C155&amp;"-01"),6),'📋 Транзакції'!$C$5:$C$3623,"&lt;"&amp;EDATE(DATEVALUE(C155&amp;"-01"),7))</f>
        <v>19.99</v>
      </c>
      <c r="Z155" s="37">
        <f>SUMIFS('📋 Транзакції'!$F$5:$F$3623,'📋 Транзакції'!$B$5:$B$3623,A155,'📋 Транзакції'!$C$5:$C$3623,"&gt;="&amp;EDATE(DATEVALUE(C155&amp;"-01"),7),'📋 Транзакції'!$C$5:$C$3623,"&lt;"&amp;EDATE(DATEVALUE(C155&amp;"-01"),8))</f>
        <v>19.99</v>
      </c>
      <c r="AA155" s="37">
        <f>SUMIFS('📋 Транзакції'!$F$5:$F$3623,'📋 Транзакції'!$B$5:$B$3623,A155,'📋 Транзакції'!$C$5:$C$3623,"&gt;="&amp;EDATE(DATEVALUE(C155&amp;"-01"),8),'📋 Транзакції'!$C$5:$C$3623,"&lt;"&amp;EDATE(DATEVALUE(C155&amp;"-01"),9))</f>
        <v>39.98</v>
      </c>
      <c r="AB155" s="37">
        <f>SUMIFS('📋 Транзакції'!$F$5:$F$3623,'📋 Транзакції'!$B$5:$B$3623,A155,'📋 Транзакції'!$C$5:$C$3623,"&gt;="&amp;EDATE(DATEVALUE(C155&amp;"-01"),9),'📋 Транзакції'!$C$5:$C$3623,"&lt;"&amp;EDATE(DATEVALUE(C155&amp;"-01"),10))</f>
        <v>0</v>
      </c>
      <c r="AC155" s="37">
        <f>SUMIFS('📋 Транзакції'!$F$5:$F$3623,'📋 Транзакції'!$B$5:$B$3623,A155,'📋 Транзакції'!$C$5:$C$3623,"&gt;="&amp;EDATE(DATEVALUE(C155&amp;"-01"),10),'📋 Транзакції'!$C$5:$C$3623,"&lt;"&amp;EDATE(DATEVALUE(C155&amp;"-01"),11))</f>
        <v>19.99</v>
      </c>
      <c r="AD155" s="37">
        <f>SUMIFS('📋 Транзакції'!$F$5:$F$3623,'📋 Транзакції'!$B$5:$B$3623,A155,'📋 Транзакції'!$C$5:$C$3623,"&gt;="&amp;EDATE(DATEVALUE(C155&amp;"-01"),11),'📋 Транзакції'!$C$5:$C$3623,"&lt;"&amp;EDATE(DATEVALUE(C155&amp;"-01"),12))</f>
        <v>0</v>
      </c>
    </row>
    <row r="156" ht="15.75" customHeight="1">
      <c r="A156" s="33" t="str">
        <f>'📋 Реєстрації'!A156:A757</f>
        <v>U0856</v>
      </c>
      <c r="B156" s="34">
        <f t="array" ref="B156">INDEX('📋 Транзакції'!$C$5:$C$3623,MATCH(A156,'📋 Транзакції'!$B$5:$B$3623,0))</f>
        <v>45443</v>
      </c>
      <c r="C156" s="35" t="str">
        <f t="shared" si="1"/>
        <v>2024-05</v>
      </c>
      <c r="D156" s="36">
        <f>COUNTIF('📋 Транзакції'!$B$5:$B$3623,A156)</f>
        <v>11</v>
      </c>
      <c r="E156" s="36">
        <f>SUMIF('📋 Транзакції'!$B$5:$B$3623,A156,'📋 Транзакції'!$F$5:$F$3623)</f>
        <v>199.9</v>
      </c>
      <c r="F156" s="35">
        <f>INT($A$1-MAXIFS('📋 Транзакції'!$C$5:$C$3623,'📋 Транзакції'!$B$5:$B$3623,A156))</f>
        <v>27</v>
      </c>
      <c r="G156" s="37">
        <f>IF(COUNTIFS('📋 Транзакції'!$B$5:$B$3623,A156,'📋 Транзакції'!$C$5:$C$3623,"&gt;="&amp;EDATE(DATEVALUE(C156&amp;"-01"),0),'📋 Транзакції'!$C$5:$C$3623,"&lt;"&amp;EDATE(DATEVALUE(C156&amp;"-01"),1))&gt;0,1,0)</f>
        <v>1</v>
      </c>
      <c r="H156" s="37">
        <f>IF(COUNTIFS('📋 Транзакції'!$B$5:$B$3623,A156,'📋 Транзакції'!$C$5:$C$3623,"&gt;="&amp;EDATE(DATEVALUE(C156&amp;"-01"),1),'📋 Транзакції'!$C$5:$C$3623,"&lt;"&amp;EDATE(DATEVALUE(C156&amp;"-01"),2))&gt;0,1,0)</f>
        <v>1</v>
      </c>
      <c r="I156" s="37">
        <f>IF(COUNTIFS('📋 Транзакції'!$B$5:$B$3623,A156,'📋 Транзакції'!$C$5:$C$3623,"&gt;="&amp;EDATE(DATEVALUE(C156&amp;"-01"),2),'📋 Транзакції'!$C$5:$C$3623,"&lt;"&amp;EDATE(DATEVALUE(C156&amp;"-01"),3))&gt;0,1,0)</f>
        <v>1</v>
      </c>
      <c r="J156" s="37">
        <f>IF(COUNTIFS('📋 Транзакції'!$B$5:$B$3623,A156,'📋 Транзакції'!$C$5:$C$3623,"&gt;="&amp;EDATE(DATEVALUE(C156&amp;"-01"),3),'📋 Транзакції'!$C$5:$C$3623,"&lt;"&amp;EDATE(DATEVALUE(C156&amp;"-01"),4))&gt;0,1,0)</f>
        <v>1</v>
      </c>
      <c r="K156" s="37">
        <f>IF(COUNTIFS('📋 Транзакції'!$B$5:$B$3623,A156,'📋 Транзакції'!$C$5:$C$3623,"&gt;="&amp;EDATE(DATEVALUE(C156&amp;"-01"),4),'📋 Транзакції'!$C$5:$C$3623,"&lt;"&amp;EDATE(DATEVALUE(C156&amp;"-01"),5))&gt;0,1,0)</f>
        <v>1</v>
      </c>
      <c r="L156" s="37">
        <f>IF(COUNTIFS('📋 Транзакції'!$B$5:$B$3623,A156,'📋 Транзакції'!$C$5:$C$3623,"&gt;="&amp;EDATE(DATEVALUE(C156&amp;"-01"),5),'📋 Транзакції'!$C$5:$C$3623,"&lt;"&amp;EDATE(DATEVALUE(C156&amp;"-01"),6))&gt;0,1,0)</f>
        <v>1</v>
      </c>
      <c r="M156" s="37">
        <f>IF(COUNTIFS('📋 Транзакції'!$B$5:$B$3623,A156,'📋 Транзакції'!$C$5:$C$3623,"&gt;="&amp;EDATE(DATEVALUE(C156&amp;"-01"),6),'📋 Транзакції'!$C$5:$C$3623,"&lt;"&amp;EDATE(DATEVALUE(C156&amp;"-01"),7))&gt;0,1,0)</f>
        <v>1</v>
      </c>
      <c r="N156" s="37">
        <f>IF(COUNTIFS('📋 Транзакції'!$B$5:$B$3623,A156,'📋 Транзакції'!$C$5:$C$3623,"&gt;="&amp;EDATE(DATEVALUE(C156&amp;"-01"),7),'📋 Транзакції'!$C$5:$C$3623,"&lt;"&amp;EDATE(DATEVALUE(C156&amp;"-01"),8))&gt;0,1,0)</f>
        <v>1</v>
      </c>
      <c r="O156" s="37">
        <f>IF(COUNTIFS('📋 Транзакції'!$B$5:$B$3623,A156,'📋 Транзакції'!$C$5:$C$3623,"&gt;="&amp;EDATE(DATEVALUE(C156&amp;"-01"),8),'📋 Транзакції'!$C$5:$C$3623,"&lt;"&amp;EDATE(DATEVALUE(C156&amp;"-01"),9))&gt;0,1,0)</f>
        <v>1</v>
      </c>
      <c r="P156" s="37">
        <f>IF(COUNTIFS('📋 Транзакції'!$B$5:$B$3623,A156,'📋 Транзакції'!$C$5:$C$3623,"&gt;="&amp;EDATE(DATEVALUE(C156&amp;"-01"),9),'📋 Транзакції'!$C$5:$C$3623,"&lt;"&amp;EDATE(DATEVALUE(C156&amp;"-01"),10))&gt;0,1,0)</f>
        <v>1</v>
      </c>
      <c r="Q156" s="37">
        <f>IF(COUNTIFS('📋 Транзакції'!$B$5:$B$3623,A156,'📋 Транзакції'!$C$5:$C$3623,"&gt;="&amp;EDATE(DATEVALUE(C156&amp;"-01"),10),'📋 Транзакції'!$C$5:$C$3623,"&lt;"&amp;EDATE(DATEVALUE(C156&amp;"-01"),11))&gt;0,1,0)</f>
        <v>1</v>
      </c>
      <c r="R156" s="37">
        <f>IF(COUNTIFS('📋 Транзакції'!$B$5:$B$3623,A156,'📋 Транзакції'!$C$5:$C$3623,"&gt;="&amp;EDATE(DATEVALUE(C156&amp;"-01"),11),'📋 Транзакції'!$C$5:$C$3623,"&lt;"&amp;EDATE(DATEVALUE(C156&amp;"-01"),12))&gt;0,1,0)</f>
        <v>0</v>
      </c>
      <c r="S156" s="37">
        <f>SUMIFS('📋 Транзакції'!$F$5:$F$3623,'📋 Транзакції'!$B$5:$B$3623,A156,'📋 Транзакції'!$C$5:$C$3623,"&gt;="&amp;EDATE(DATEVALUE(C156&amp;"-01"),0),'📋 Транзакції'!$C$5:$C$3623,"&lt;"&amp;EDATE(DATEVALUE(C156&amp;"-01"),1))</f>
        <v>0</v>
      </c>
      <c r="T156" s="37">
        <f>SUMIFS('📋 Транзакції'!$F$5:$F$3623,'📋 Транзакції'!$B$5:$B$3623,A156,'📋 Транзакції'!$C$5:$C$3623,"&gt;="&amp;EDATE(DATEVALUE(C156&amp;"-01"),1),'📋 Транзакції'!$C$5:$C$3623,"&lt;"&amp;EDATE(DATEVALUE(C156&amp;"-01"),2))</f>
        <v>19.99</v>
      </c>
      <c r="U156" s="37">
        <f>SUMIFS('📋 Транзакції'!$F$5:$F$3623,'📋 Транзакції'!$B$5:$B$3623,A156,'📋 Транзакції'!$C$5:$C$3623,"&gt;="&amp;EDATE(DATEVALUE(C156&amp;"-01"),2),'📋 Транзакції'!$C$5:$C$3623,"&lt;"&amp;EDATE(DATEVALUE(C156&amp;"-01"),3))</f>
        <v>19.99</v>
      </c>
      <c r="V156" s="37">
        <f>SUMIFS('📋 Транзакції'!$F$5:$F$3623,'📋 Транзакції'!$B$5:$B$3623,A156,'📋 Транзакції'!$C$5:$C$3623,"&gt;="&amp;EDATE(DATEVALUE(C156&amp;"-01"),3),'📋 Транзакції'!$C$5:$C$3623,"&lt;"&amp;EDATE(DATEVALUE(C156&amp;"-01"),4))</f>
        <v>19.99</v>
      </c>
      <c r="W156" s="37">
        <f>SUMIFS('📋 Транзакції'!$F$5:$F$3623,'📋 Транзакції'!$B$5:$B$3623,A156,'📋 Транзакції'!$C$5:$C$3623,"&gt;="&amp;EDATE(DATEVALUE(C156&amp;"-01"),4),'📋 Транзакції'!$C$5:$C$3623,"&lt;"&amp;EDATE(DATEVALUE(C156&amp;"-01"),5))</f>
        <v>19.99</v>
      </c>
      <c r="X156" s="37">
        <f>SUMIFS('📋 Транзакції'!$F$5:$F$3623,'📋 Транзакції'!$B$5:$B$3623,A156,'📋 Транзакції'!$C$5:$C$3623,"&gt;="&amp;EDATE(DATEVALUE(C156&amp;"-01"),5),'📋 Транзакції'!$C$5:$C$3623,"&lt;"&amp;EDATE(DATEVALUE(C156&amp;"-01"),6))</f>
        <v>19.99</v>
      </c>
      <c r="Y156" s="37">
        <f>SUMIFS('📋 Транзакції'!$F$5:$F$3623,'📋 Транзакції'!$B$5:$B$3623,A156,'📋 Транзакції'!$C$5:$C$3623,"&gt;="&amp;EDATE(DATEVALUE(C156&amp;"-01"),6),'📋 Транзакції'!$C$5:$C$3623,"&lt;"&amp;EDATE(DATEVALUE(C156&amp;"-01"),7))</f>
        <v>19.99</v>
      </c>
      <c r="Z156" s="37">
        <f>SUMIFS('📋 Транзакції'!$F$5:$F$3623,'📋 Транзакції'!$B$5:$B$3623,A156,'📋 Транзакції'!$C$5:$C$3623,"&gt;="&amp;EDATE(DATEVALUE(C156&amp;"-01"),7),'📋 Транзакції'!$C$5:$C$3623,"&lt;"&amp;EDATE(DATEVALUE(C156&amp;"-01"),8))</f>
        <v>19.99</v>
      </c>
      <c r="AA156" s="37">
        <f>SUMIFS('📋 Транзакції'!$F$5:$F$3623,'📋 Транзакції'!$B$5:$B$3623,A156,'📋 Транзакції'!$C$5:$C$3623,"&gt;="&amp;EDATE(DATEVALUE(C156&amp;"-01"),8),'📋 Транзакції'!$C$5:$C$3623,"&lt;"&amp;EDATE(DATEVALUE(C156&amp;"-01"),9))</f>
        <v>19.99</v>
      </c>
      <c r="AB156" s="37">
        <f>SUMIFS('📋 Транзакції'!$F$5:$F$3623,'📋 Транзакції'!$B$5:$B$3623,A156,'📋 Транзакції'!$C$5:$C$3623,"&gt;="&amp;EDATE(DATEVALUE(C156&amp;"-01"),9),'📋 Транзакції'!$C$5:$C$3623,"&lt;"&amp;EDATE(DATEVALUE(C156&amp;"-01"),10))</f>
        <v>19.99</v>
      </c>
      <c r="AC156" s="37">
        <f>SUMIFS('📋 Транзакції'!$F$5:$F$3623,'📋 Транзакції'!$B$5:$B$3623,A156,'📋 Транзакції'!$C$5:$C$3623,"&gt;="&amp;EDATE(DATEVALUE(C156&amp;"-01"),10),'📋 Транзакції'!$C$5:$C$3623,"&lt;"&amp;EDATE(DATEVALUE(C156&amp;"-01"),11))</f>
        <v>19.99</v>
      </c>
      <c r="AD156" s="37">
        <f>SUMIFS('📋 Транзакції'!$F$5:$F$3623,'📋 Транзакції'!$B$5:$B$3623,A156,'📋 Транзакції'!$C$5:$C$3623,"&gt;="&amp;EDATE(DATEVALUE(C156&amp;"-01"),11),'📋 Транзакції'!$C$5:$C$3623,"&lt;"&amp;EDATE(DATEVALUE(C156&amp;"-01"),12))</f>
        <v>0</v>
      </c>
    </row>
    <row r="157" ht="15.75" customHeight="1">
      <c r="A157" s="33" t="str">
        <f>'📋 Реєстрації'!A157:A758</f>
        <v>U0226</v>
      </c>
      <c r="B157" s="34">
        <f t="array" ref="B157">INDEX('📋 Транзакції'!$C$5:$C$3623,MATCH(A157,'📋 Транзакції'!$B$5:$B$3623,0))</f>
        <v>45445</v>
      </c>
      <c r="C157" s="35" t="str">
        <f t="shared" si="1"/>
        <v>2024-06</v>
      </c>
      <c r="D157" s="36">
        <f>COUNTIF('📋 Транзакції'!$B$5:$B$3623,A157)</f>
        <v>11</v>
      </c>
      <c r="E157" s="36">
        <f>SUMIF('📋 Транзакції'!$B$5:$B$3623,A157,'📋 Транзакції'!$F$5:$F$3623)</f>
        <v>199.9</v>
      </c>
      <c r="F157" s="35">
        <f>INT($A$1-MAXIFS('📋 Транзакції'!$C$5:$C$3623,'📋 Транзакції'!$B$5:$B$3623,A157))</f>
        <v>25</v>
      </c>
      <c r="G157" s="37">
        <f>IF(COUNTIFS('📋 Транзакції'!$B$5:$B$3623,A157,'📋 Транзакції'!$C$5:$C$3623,"&gt;="&amp;EDATE(DATEVALUE(C157&amp;"-01"),0),'📋 Транзакції'!$C$5:$C$3623,"&lt;"&amp;EDATE(DATEVALUE(C157&amp;"-01"),1))&gt;0,1,0)</f>
        <v>1</v>
      </c>
      <c r="H157" s="37">
        <f>IF(COUNTIFS('📋 Транзакції'!$B$5:$B$3623,A157,'📋 Транзакції'!$C$5:$C$3623,"&gt;="&amp;EDATE(DATEVALUE(C157&amp;"-01"),1),'📋 Транзакції'!$C$5:$C$3623,"&lt;"&amp;EDATE(DATEVALUE(C157&amp;"-01"),2))&gt;0,1,0)</f>
        <v>1</v>
      </c>
      <c r="I157" s="37">
        <f>IF(COUNTIFS('📋 Транзакції'!$B$5:$B$3623,A157,'📋 Транзакції'!$C$5:$C$3623,"&gt;="&amp;EDATE(DATEVALUE(C157&amp;"-01"),2),'📋 Транзакції'!$C$5:$C$3623,"&lt;"&amp;EDATE(DATEVALUE(C157&amp;"-01"),3))&gt;0,1,0)</f>
        <v>1</v>
      </c>
      <c r="J157" s="37">
        <f>IF(COUNTIFS('📋 Транзакції'!$B$5:$B$3623,A157,'📋 Транзакції'!$C$5:$C$3623,"&gt;="&amp;EDATE(DATEVALUE(C157&amp;"-01"),3),'📋 Транзакції'!$C$5:$C$3623,"&lt;"&amp;EDATE(DATEVALUE(C157&amp;"-01"),4))&gt;0,1,0)</f>
        <v>1</v>
      </c>
      <c r="K157" s="37">
        <f>IF(COUNTIFS('📋 Транзакції'!$B$5:$B$3623,A157,'📋 Транзакції'!$C$5:$C$3623,"&gt;="&amp;EDATE(DATEVALUE(C157&amp;"-01"),4),'📋 Транзакції'!$C$5:$C$3623,"&lt;"&amp;EDATE(DATEVALUE(C157&amp;"-01"),5))&gt;0,1,0)</f>
        <v>1</v>
      </c>
      <c r="L157" s="37">
        <f>IF(COUNTIFS('📋 Транзакції'!$B$5:$B$3623,A157,'📋 Транзакції'!$C$5:$C$3623,"&gt;="&amp;EDATE(DATEVALUE(C157&amp;"-01"),5),'📋 Транзакції'!$C$5:$C$3623,"&lt;"&amp;EDATE(DATEVALUE(C157&amp;"-01"),6))&gt;0,1,0)</f>
        <v>1</v>
      </c>
      <c r="M157" s="37">
        <f>IF(COUNTIFS('📋 Транзакції'!$B$5:$B$3623,A157,'📋 Транзакції'!$C$5:$C$3623,"&gt;="&amp;EDATE(DATEVALUE(C157&amp;"-01"),6),'📋 Транзакції'!$C$5:$C$3623,"&lt;"&amp;EDATE(DATEVALUE(C157&amp;"-01"),7))&gt;0,1,0)</f>
        <v>1</v>
      </c>
      <c r="N157" s="37">
        <f>IF(COUNTIFS('📋 Транзакції'!$B$5:$B$3623,A157,'📋 Транзакції'!$C$5:$C$3623,"&gt;="&amp;EDATE(DATEVALUE(C157&amp;"-01"),7),'📋 Транзакції'!$C$5:$C$3623,"&lt;"&amp;EDATE(DATEVALUE(C157&amp;"-01"),8))&gt;0,1,0)</f>
        <v>1</v>
      </c>
      <c r="O157" s="37">
        <f>IF(COUNTIFS('📋 Транзакції'!$B$5:$B$3623,A157,'📋 Транзакції'!$C$5:$C$3623,"&gt;="&amp;EDATE(DATEVALUE(C157&amp;"-01"),8),'📋 Транзакції'!$C$5:$C$3623,"&lt;"&amp;EDATE(DATEVALUE(C157&amp;"-01"),9))&gt;0,1,0)</f>
        <v>1</v>
      </c>
      <c r="P157" s="37">
        <f>IF(COUNTIFS('📋 Транзакції'!$B$5:$B$3623,A157,'📋 Транзакції'!$C$5:$C$3623,"&gt;="&amp;EDATE(DATEVALUE(C157&amp;"-01"),9),'📋 Транзакції'!$C$5:$C$3623,"&lt;"&amp;EDATE(DATEVALUE(C157&amp;"-01"),10))&gt;0,1,0)</f>
        <v>1</v>
      </c>
      <c r="Q157" s="37">
        <f>IF(COUNTIFS('📋 Транзакції'!$B$5:$B$3623,A157,'📋 Транзакції'!$C$5:$C$3623,"&gt;="&amp;EDATE(DATEVALUE(C157&amp;"-01"),10),'📋 Транзакції'!$C$5:$C$3623,"&lt;"&amp;EDATE(DATEVALUE(C157&amp;"-01"),11))&gt;0,1,0)</f>
        <v>0</v>
      </c>
      <c r="R157" s="37">
        <f>IF(COUNTIFS('📋 Транзакції'!$B$5:$B$3623,A157,'📋 Транзакції'!$C$5:$C$3623,"&gt;="&amp;EDATE(DATEVALUE(C157&amp;"-01"),11),'📋 Транзакції'!$C$5:$C$3623,"&lt;"&amp;EDATE(DATEVALUE(C157&amp;"-01"),12))&gt;0,1,0)</f>
        <v>0</v>
      </c>
      <c r="S157" s="37">
        <f>SUMIFS('📋 Транзакції'!$F$5:$F$3623,'📋 Транзакції'!$B$5:$B$3623,A157,'📋 Транзакції'!$C$5:$C$3623,"&gt;="&amp;EDATE(DATEVALUE(C157&amp;"-01"),0),'📋 Транзакції'!$C$5:$C$3623,"&lt;"&amp;EDATE(DATEVALUE(C157&amp;"-01"),1))</f>
        <v>19.99</v>
      </c>
      <c r="T157" s="37">
        <f>SUMIFS('📋 Транзакції'!$F$5:$F$3623,'📋 Транзакції'!$B$5:$B$3623,A157,'📋 Транзакції'!$C$5:$C$3623,"&gt;="&amp;EDATE(DATEVALUE(C157&amp;"-01"),1),'📋 Транзакції'!$C$5:$C$3623,"&lt;"&amp;EDATE(DATEVALUE(C157&amp;"-01"),2))</f>
        <v>19.99</v>
      </c>
      <c r="U157" s="37">
        <f>SUMIFS('📋 Транзакції'!$F$5:$F$3623,'📋 Транзакції'!$B$5:$B$3623,A157,'📋 Транзакції'!$C$5:$C$3623,"&gt;="&amp;EDATE(DATEVALUE(C157&amp;"-01"),2),'📋 Транзакції'!$C$5:$C$3623,"&lt;"&amp;EDATE(DATEVALUE(C157&amp;"-01"),3))</f>
        <v>19.99</v>
      </c>
      <c r="V157" s="37">
        <f>SUMIFS('📋 Транзакції'!$F$5:$F$3623,'📋 Транзакції'!$B$5:$B$3623,A157,'📋 Транзакції'!$C$5:$C$3623,"&gt;="&amp;EDATE(DATEVALUE(C157&amp;"-01"),3),'📋 Транзакції'!$C$5:$C$3623,"&lt;"&amp;EDATE(DATEVALUE(C157&amp;"-01"),4))</f>
        <v>19.99</v>
      </c>
      <c r="W157" s="37">
        <f>SUMIFS('📋 Транзакції'!$F$5:$F$3623,'📋 Транзакції'!$B$5:$B$3623,A157,'📋 Транзакції'!$C$5:$C$3623,"&gt;="&amp;EDATE(DATEVALUE(C157&amp;"-01"),4),'📋 Транзакції'!$C$5:$C$3623,"&lt;"&amp;EDATE(DATEVALUE(C157&amp;"-01"),5))</f>
        <v>19.99</v>
      </c>
      <c r="X157" s="37">
        <f>SUMIFS('📋 Транзакції'!$F$5:$F$3623,'📋 Транзакції'!$B$5:$B$3623,A157,'📋 Транзакції'!$C$5:$C$3623,"&gt;="&amp;EDATE(DATEVALUE(C157&amp;"-01"),5),'📋 Транзакції'!$C$5:$C$3623,"&lt;"&amp;EDATE(DATEVALUE(C157&amp;"-01"),6))</f>
        <v>19.99</v>
      </c>
      <c r="Y157" s="37">
        <f>SUMIFS('📋 Транзакції'!$F$5:$F$3623,'📋 Транзакції'!$B$5:$B$3623,A157,'📋 Транзакції'!$C$5:$C$3623,"&gt;="&amp;EDATE(DATEVALUE(C157&amp;"-01"),6),'📋 Транзакції'!$C$5:$C$3623,"&lt;"&amp;EDATE(DATEVALUE(C157&amp;"-01"),7))</f>
        <v>19.99</v>
      </c>
      <c r="Z157" s="37">
        <f>SUMIFS('📋 Транзакції'!$F$5:$F$3623,'📋 Транзакції'!$B$5:$B$3623,A157,'📋 Транзакції'!$C$5:$C$3623,"&gt;="&amp;EDATE(DATEVALUE(C157&amp;"-01"),7),'📋 Транзакції'!$C$5:$C$3623,"&lt;"&amp;EDATE(DATEVALUE(C157&amp;"-01"),8))</f>
        <v>19.99</v>
      </c>
      <c r="AA157" s="37">
        <f>SUMIFS('📋 Транзакції'!$F$5:$F$3623,'📋 Транзакції'!$B$5:$B$3623,A157,'📋 Транзакції'!$C$5:$C$3623,"&gt;="&amp;EDATE(DATEVALUE(C157&amp;"-01"),8),'📋 Транзакції'!$C$5:$C$3623,"&lt;"&amp;EDATE(DATEVALUE(C157&amp;"-01"),9))</f>
        <v>19.99</v>
      </c>
      <c r="AB157" s="37">
        <f>SUMIFS('📋 Транзакції'!$F$5:$F$3623,'📋 Транзакції'!$B$5:$B$3623,A157,'📋 Транзакції'!$C$5:$C$3623,"&gt;="&amp;EDATE(DATEVALUE(C157&amp;"-01"),9),'📋 Транзакції'!$C$5:$C$3623,"&lt;"&amp;EDATE(DATEVALUE(C157&amp;"-01"),10))</f>
        <v>19.99</v>
      </c>
      <c r="AC157" s="37">
        <f>SUMIFS('📋 Транзакції'!$F$5:$F$3623,'📋 Транзакції'!$B$5:$B$3623,A157,'📋 Транзакції'!$C$5:$C$3623,"&gt;="&amp;EDATE(DATEVALUE(C157&amp;"-01"),10),'📋 Транзакції'!$C$5:$C$3623,"&lt;"&amp;EDATE(DATEVALUE(C157&amp;"-01"),11))</f>
        <v>0</v>
      </c>
      <c r="AD157" s="37">
        <f>SUMIFS('📋 Транзакції'!$F$5:$F$3623,'📋 Транзакції'!$B$5:$B$3623,A157,'📋 Транзакції'!$C$5:$C$3623,"&gt;="&amp;EDATE(DATEVALUE(C157&amp;"-01"),11),'📋 Транзакції'!$C$5:$C$3623,"&lt;"&amp;EDATE(DATEVALUE(C157&amp;"-01"),12))</f>
        <v>0</v>
      </c>
    </row>
    <row r="158" ht="15.75" customHeight="1">
      <c r="A158" s="33" t="str">
        <f>'📋 Реєстрації'!A158:A759</f>
        <v>U0745</v>
      </c>
      <c r="B158" s="34">
        <f t="array" ref="B158">INDEX('📋 Транзакції'!$C$5:$C$3623,MATCH(A158,'📋 Транзакції'!$B$5:$B$3623,0))</f>
        <v>45445</v>
      </c>
      <c r="C158" s="35" t="str">
        <f t="shared" si="1"/>
        <v>2024-06</v>
      </c>
      <c r="D158" s="36">
        <f>COUNTIF('📋 Транзакції'!$B$5:$B$3623,A158)</f>
        <v>10</v>
      </c>
      <c r="E158" s="36">
        <f>SUMIF('📋 Транзакції'!$B$5:$B$3623,A158,'📋 Транзакції'!$F$5:$F$3623)</f>
        <v>179.91</v>
      </c>
      <c r="F158" s="35">
        <f>INT($A$1-MAXIFS('📋 Транзакції'!$C$5:$C$3623,'📋 Транзакції'!$B$5:$B$3623,A158))</f>
        <v>55</v>
      </c>
      <c r="G158" s="37">
        <f>IF(COUNTIFS('📋 Транзакції'!$B$5:$B$3623,A158,'📋 Транзакції'!$C$5:$C$3623,"&gt;="&amp;EDATE(DATEVALUE(C158&amp;"-01"),0),'📋 Транзакції'!$C$5:$C$3623,"&lt;"&amp;EDATE(DATEVALUE(C158&amp;"-01"),1))&gt;0,1,0)</f>
        <v>1</v>
      </c>
      <c r="H158" s="37">
        <f>IF(COUNTIFS('📋 Транзакції'!$B$5:$B$3623,A158,'📋 Транзакції'!$C$5:$C$3623,"&gt;="&amp;EDATE(DATEVALUE(C158&amp;"-01"),1),'📋 Транзакції'!$C$5:$C$3623,"&lt;"&amp;EDATE(DATEVALUE(C158&amp;"-01"),2))&gt;0,1,0)</f>
        <v>1</v>
      </c>
      <c r="I158" s="37">
        <f>IF(COUNTIFS('📋 Транзакції'!$B$5:$B$3623,A158,'📋 Транзакції'!$C$5:$C$3623,"&gt;="&amp;EDATE(DATEVALUE(C158&amp;"-01"),2),'📋 Транзакції'!$C$5:$C$3623,"&lt;"&amp;EDATE(DATEVALUE(C158&amp;"-01"),3))&gt;0,1,0)</f>
        <v>1</v>
      </c>
      <c r="J158" s="37">
        <f>IF(COUNTIFS('📋 Транзакції'!$B$5:$B$3623,A158,'📋 Транзакції'!$C$5:$C$3623,"&gt;="&amp;EDATE(DATEVALUE(C158&amp;"-01"),3),'📋 Транзакції'!$C$5:$C$3623,"&lt;"&amp;EDATE(DATEVALUE(C158&amp;"-01"),4))&gt;0,1,0)</f>
        <v>1</v>
      </c>
      <c r="K158" s="37">
        <f>IF(COUNTIFS('📋 Транзакції'!$B$5:$B$3623,A158,'📋 Транзакції'!$C$5:$C$3623,"&gt;="&amp;EDATE(DATEVALUE(C158&amp;"-01"),4),'📋 Транзакції'!$C$5:$C$3623,"&lt;"&amp;EDATE(DATEVALUE(C158&amp;"-01"),5))&gt;0,1,0)</f>
        <v>1</v>
      </c>
      <c r="L158" s="37">
        <f>IF(COUNTIFS('📋 Транзакції'!$B$5:$B$3623,A158,'📋 Транзакції'!$C$5:$C$3623,"&gt;="&amp;EDATE(DATEVALUE(C158&amp;"-01"),5),'📋 Транзакції'!$C$5:$C$3623,"&lt;"&amp;EDATE(DATEVALUE(C158&amp;"-01"),6))&gt;0,1,0)</f>
        <v>1</v>
      </c>
      <c r="M158" s="37">
        <f>IF(COUNTIFS('📋 Транзакції'!$B$5:$B$3623,A158,'📋 Транзакції'!$C$5:$C$3623,"&gt;="&amp;EDATE(DATEVALUE(C158&amp;"-01"),6),'📋 Транзакції'!$C$5:$C$3623,"&lt;"&amp;EDATE(DATEVALUE(C158&amp;"-01"),7))&gt;0,1,0)</f>
        <v>1</v>
      </c>
      <c r="N158" s="37">
        <f>IF(COUNTIFS('📋 Транзакції'!$B$5:$B$3623,A158,'📋 Транзакції'!$C$5:$C$3623,"&gt;="&amp;EDATE(DATEVALUE(C158&amp;"-01"),7),'📋 Транзакції'!$C$5:$C$3623,"&lt;"&amp;EDATE(DATEVALUE(C158&amp;"-01"),8))&gt;0,1,0)</f>
        <v>1</v>
      </c>
      <c r="O158" s="37">
        <f>IF(COUNTIFS('📋 Транзакції'!$B$5:$B$3623,A158,'📋 Транзакції'!$C$5:$C$3623,"&gt;="&amp;EDATE(DATEVALUE(C158&amp;"-01"),8),'📋 Транзакції'!$C$5:$C$3623,"&lt;"&amp;EDATE(DATEVALUE(C158&amp;"-01"),9))&gt;0,1,0)</f>
        <v>1</v>
      </c>
      <c r="P158" s="37">
        <f>IF(COUNTIFS('📋 Транзакції'!$B$5:$B$3623,A158,'📋 Транзакції'!$C$5:$C$3623,"&gt;="&amp;EDATE(DATEVALUE(C158&amp;"-01"),9),'📋 Транзакції'!$C$5:$C$3623,"&lt;"&amp;EDATE(DATEVALUE(C158&amp;"-01"),10))&gt;0,1,0)</f>
        <v>0</v>
      </c>
      <c r="Q158" s="37">
        <f>IF(COUNTIFS('📋 Транзакції'!$B$5:$B$3623,A158,'📋 Транзакції'!$C$5:$C$3623,"&gt;="&amp;EDATE(DATEVALUE(C158&amp;"-01"),10),'📋 Транзакції'!$C$5:$C$3623,"&lt;"&amp;EDATE(DATEVALUE(C158&amp;"-01"),11))&gt;0,1,0)</f>
        <v>0</v>
      </c>
      <c r="R158" s="37">
        <f>IF(COUNTIFS('📋 Транзакції'!$B$5:$B$3623,A158,'📋 Транзакції'!$C$5:$C$3623,"&gt;="&amp;EDATE(DATEVALUE(C158&amp;"-01"),11),'📋 Транзакції'!$C$5:$C$3623,"&lt;"&amp;EDATE(DATEVALUE(C158&amp;"-01"),12))&gt;0,1,0)</f>
        <v>0</v>
      </c>
      <c r="S158" s="37">
        <f>SUMIFS('📋 Транзакції'!$F$5:$F$3623,'📋 Транзакції'!$B$5:$B$3623,A158,'📋 Транзакції'!$C$5:$C$3623,"&gt;="&amp;EDATE(DATEVALUE(C158&amp;"-01"),0),'📋 Транзакції'!$C$5:$C$3623,"&lt;"&amp;EDATE(DATEVALUE(C158&amp;"-01"),1))</f>
        <v>19.99</v>
      </c>
      <c r="T158" s="37">
        <f>SUMIFS('📋 Транзакції'!$F$5:$F$3623,'📋 Транзакції'!$B$5:$B$3623,A158,'📋 Транзакції'!$C$5:$C$3623,"&gt;="&amp;EDATE(DATEVALUE(C158&amp;"-01"),1),'📋 Транзакції'!$C$5:$C$3623,"&lt;"&amp;EDATE(DATEVALUE(C158&amp;"-01"),2))</f>
        <v>19.99</v>
      </c>
      <c r="U158" s="37">
        <f>SUMIFS('📋 Транзакції'!$F$5:$F$3623,'📋 Транзакції'!$B$5:$B$3623,A158,'📋 Транзакції'!$C$5:$C$3623,"&gt;="&amp;EDATE(DATEVALUE(C158&amp;"-01"),2),'📋 Транзакції'!$C$5:$C$3623,"&lt;"&amp;EDATE(DATEVALUE(C158&amp;"-01"),3))</f>
        <v>19.99</v>
      </c>
      <c r="V158" s="37">
        <f>SUMIFS('📋 Транзакції'!$F$5:$F$3623,'📋 Транзакції'!$B$5:$B$3623,A158,'📋 Транзакції'!$C$5:$C$3623,"&gt;="&amp;EDATE(DATEVALUE(C158&amp;"-01"),3),'📋 Транзакції'!$C$5:$C$3623,"&lt;"&amp;EDATE(DATEVALUE(C158&amp;"-01"),4))</f>
        <v>19.99</v>
      </c>
      <c r="W158" s="37">
        <f>SUMIFS('📋 Транзакції'!$F$5:$F$3623,'📋 Транзакції'!$B$5:$B$3623,A158,'📋 Транзакції'!$C$5:$C$3623,"&gt;="&amp;EDATE(DATEVALUE(C158&amp;"-01"),4),'📋 Транзакції'!$C$5:$C$3623,"&lt;"&amp;EDATE(DATEVALUE(C158&amp;"-01"),5))</f>
        <v>19.99</v>
      </c>
      <c r="X158" s="37">
        <f>SUMIFS('📋 Транзакції'!$F$5:$F$3623,'📋 Транзакції'!$B$5:$B$3623,A158,'📋 Транзакції'!$C$5:$C$3623,"&gt;="&amp;EDATE(DATEVALUE(C158&amp;"-01"),5),'📋 Транзакції'!$C$5:$C$3623,"&lt;"&amp;EDATE(DATEVALUE(C158&amp;"-01"),6))</f>
        <v>19.99</v>
      </c>
      <c r="Y158" s="37">
        <f>SUMIFS('📋 Транзакції'!$F$5:$F$3623,'📋 Транзакції'!$B$5:$B$3623,A158,'📋 Транзакції'!$C$5:$C$3623,"&gt;="&amp;EDATE(DATEVALUE(C158&amp;"-01"),6),'📋 Транзакції'!$C$5:$C$3623,"&lt;"&amp;EDATE(DATEVALUE(C158&amp;"-01"),7))</f>
        <v>19.99</v>
      </c>
      <c r="Z158" s="37">
        <f>SUMIFS('📋 Транзакції'!$F$5:$F$3623,'📋 Транзакції'!$B$5:$B$3623,A158,'📋 Транзакції'!$C$5:$C$3623,"&gt;="&amp;EDATE(DATEVALUE(C158&amp;"-01"),7),'📋 Транзакції'!$C$5:$C$3623,"&lt;"&amp;EDATE(DATEVALUE(C158&amp;"-01"),8))</f>
        <v>19.99</v>
      </c>
      <c r="AA158" s="37">
        <f>SUMIFS('📋 Транзакції'!$F$5:$F$3623,'📋 Транзакції'!$B$5:$B$3623,A158,'📋 Транзакції'!$C$5:$C$3623,"&gt;="&amp;EDATE(DATEVALUE(C158&amp;"-01"),8),'📋 Транзакції'!$C$5:$C$3623,"&lt;"&amp;EDATE(DATEVALUE(C158&amp;"-01"),9))</f>
        <v>19.99</v>
      </c>
      <c r="AB158" s="37">
        <f>SUMIFS('📋 Транзакції'!$F$5:$F$3623,'📋 Транзакції'!$B$5:$B$3623,A158,'📋 Транзакції'!$C$5:$C$3623,"&gt;="&amp;EDATE(DATEVALUE(C158&amp;"-01"),9),'📋 Транзакції'!$C$5:$C$3623,"&lt;"&amp;EDATE(DATEVALUE(C158&amp;"-01"),10))</f>
        <v>0</v>
      </c>
      <c r="AC158" s="37">
        <f>SUMIFS('📋 Транзакції'!$F$5:$F$3623,'📋 Транзакції'!$B$5:$B$3623,A158,'📋 Транзакції'!$C$5:$C$3623,"&gt;="&amp;EDATE(DATEVALUE(C158&amp;"-01"),10),'📋 Транзакції'!$C$5:$C$3623,"&lt;"&amp;EDATE(DATEVALUE(C158&amp;"-01"),11))</f>
        <v>0</v>
      </c>
      <c r="AD158" s="37">
        <f>SUMIFS('📋 Транзакції'!$F$5:$F$3623,'📋 Транзакції'!$B$5:$B$3623,A158,'📋 Транзакції'!$C$5:$C$3623,"&gt;="&amp;EDATE(DATEVALUE(C158&amp;"-01"),11),'📋 Транзакції'!$C$5:$C$3623,"&lt;"&amp;EDATE(DATEVALUE(C158&amp;"-01"),12))</f>
        <v>0</v>
      </c>
    </row>
    <row r="159" ht="15.75" customHeight="1">
      <c r="A159" s="33" t="str">
        <f>'📋 Реєстрації'!A159:A760</f>
        <v>U0045</v>
      </c>
      <c r="B159" s="34">
        <f t="array" ref="B159">INDEX('📋 Транзакції'!$C$5:$C$3623,MATCH(A159,'📋 Транзакції'!$B$5:$B$3623,0))</f>
        <v>45446</v>
      </c>
      <c r="C159" s="35" t="str">
        <f t="shared" si="1"/>
        <v>2024-06</v>
      </c>
      <c r="D159" s="36">
        <f>COUNTIF('📋 Транзакції'!$B$5:$B$3623,A159)</f>
        <v>11</v>
      </c>
      <c r="E159" s="36">
        <f>SUMIF('📋 Транзакції'!$B$5:$B$3623,A159,'📋 Транзакції'!$F$5:$F$3623)</f>
        <v>199.9</v>
      </c>
      <c r="F159" s="35">
        <f>INT($A$1-MAXIFS('📋 Транзакції'!$C$5:$C$3623,'📋 Транзакції'!$B$5:$B$3623,A159))</f>
        <v>24</v>
      </c>
      <c r="G159" s="37">
        <f>IF(COUNTIFS('📋 Транзакції'!$B$5:$B$3623,A159,'📋 Транзакції'!$C$5:$C$3623,"&gt;="&amp;EDATE(DATEVALUE(C159&amp;"-01"),0),'📋 Транзакції'!$C$5:$C$3623,"&lt;"&amp;EDATE(DATEVALUE(C159&amp;"-01"),1))&gt;0,1,0)</f>
        <v>1</v>
      </c>
      <c r="H159" s="37">
        <f>IF(COUNTIFS('📋 Транзакції'!$B$5:$B$3623,A159,'📋 Транзакції'!$C$5:$C$3623,"&gt;="&amp;EDATE(DATEVALUE(C159&amp;"-01"),1),'📋 Транзакції'!$C$5:$C$3623,"&lt;"&amp;EDATE(DATEVALUE(C159&amp;"-01"),2))&gt;0,1,0)</f>
        <v>1</v>
      </c>
      <c r="I159" s="37">
        <f>IF(COUNTIFS('📋 Транзакції'!$B$5:$B$3623,A159,'📋 Транзакції'!$C$5:$C$3623,"&gt;="&amp;EDATE(DATEVALUE(C159&amp;"-01"),2),'📋 Транзакції'!$C$5:$C$3623,"&lt;"&amp;EDATE(DATEVALUE(C159&amp;"-01"),3))&gt;0,1,0)</f>
        <v>1</v>
      </c>
      <c r="J159" s="37">
        <f>IF(COUNTIFS('📋 Транзакції'!$B$5:$B$3623,A159,'📋 Транзакції'!$C$5:$C$3623,"&gt;="&amp;EDATE(DATEVALUE(C159&amp;"-01"),3),'📋 Транзакції'!$C$5:$C$3623,"&lt;"&amp;EDATE(DATEVALUE(C159&amp;"-01"),4))&gt;0,1,0)</f>
        <v>1</v>
      </c>
      <c r="K159" s="37">
        <f>IF(COUNTIFS('📋 Транзакції'!$B$5:$B$3623,A159,'📋 Транзакції'!$C$5:$C$3623,"&gt;="&amp;EDATE(DATEVALUE(C159&amp;"-01"),4),'📋 Транзакції'!$C$5:$C$3623,"&lt;"&amp;EDATE(DATEVALUE(C159&amp;"-01"),5))&gt;0,1,0)</f>
        <v>1</v>
      </c>
      <c r="L159" s="37">
        <f>IF(COUNTIFS('📋 Транзакції'!$B$5:$B$3623,A159,'📋 Транзакції'!$C$5:$C$3623,"&gt;="&amp;EDATE(DATEVALUE(C159&amp;"-01"),5),'📋 Транзакції'!$C$5:$C$3623,"&lt;"&amp;EDATE(DATEVALUE(C159&amp;"-01"),6))&gt;0,1,0)</f>
        <v>1</v>
      </c>
      <c r="M159" s="37">
        <f>IF(COUNTIFS('📋 Транзакції'!$B$5:$B$3623,A159,'📋 Транзакції'!$C$5:$C$3623,"&gt;="&amp;EDATE(DATEVALUE(C159&amp;"-01"),6),'📋 Транзакції'!$C$5:$C$3623,"&lt;"&amp;EDATE(DATEVALUE(C159&amp;"-01"),7))&gt;0,1,0)</f>
        <v>1</v>
      </c>
      <c r="N159" s="37">
        <f>IF(COUNTIFS('📋 Транзакції'!$B$5:$B$3623,A159,'📋 Транзакції'!$C$5:$C$3623,"&gt;="&amp;EDATE(DATEVALUE(C159&amp;"-01"),7),'📋 Транзакції'!$C$5:$C$3623,"&lt;"&amp;EDATE(DATEVALUE(C159&amp;"-01"),8))&gt;0,1,0)</f>
        <v>1</v>
      </c>
      <c r="O159" s="37">
        <f>IF(COUNTIFS('📋 Транзакції'!$B$5:$B$3623,A159,'📋 Транзакції'!$C$5:$C$3623,"&gt;="&amp;EDATE(DATEVALUE(C159&amp;"-01"),8),'📋 Транзакції'!$C$5:$C$3623,"&lt;"&amp;EDATE(DATEVALUE(C159&amp;"-01"),9))&gt;0,1,0)</f>
        <v>1</v>
      </c>
      <c r="P159" s="37">
        <f>IF(COUNTIFS('📋 Транзакції'!$B$5:$B$3623,A159,'📋 Транзакції'!$C$5:$C$3623,"&gt;="&amp;EDATE(DATEVALUE(C159&amp;"-01"),9),'📋 Транзакції'!$C$5:$C$3623,"&lt;"&amp;EDATE(DATEVALUE(C159&amp;"-01"),10))&gt;0,1,0)</f>
        <v>1</v>
      </c>
      <c r="Q159" s="37">
        <f>IF(COUNTIFS('📋 Транзакції'!$B$5:$B$3623,A159,'📋 Транзакції'!$C$5:$C$3623,"&gt;="&amp;EDATE(DATEVALUE(C159&amp;"-01"),10),'📋 Транзакції'!$C$5:$C$3623,"&lt;"&amp;EDATE(DATEVALUE(C159&amp;"-01"),11))&gt;0,1,0)</f>
        <v>0</v>
      </c>
      <c r="R159" s="37">
        <f>IF(COUNTIFS('📋 Транзакції'!$B$5:$B$3623,A159,'📋 Транзакції'!$C$5:$C$3623,"&gt;="&amp;EDATE(DATEVALUE(C159&amp;"-01"),11),'📋 Транзакції'!$C$5:$C$3623,"&lt;"&amp;EDATE(DATEVALUE(C159&amp;"-01"),12))&gt;0,1,0)</f>
        <v>0</v>
      </c>
      <c r="S159" s="37">
        <f>SUMIFS('📋 Транзакції'!$F$5:$F$3623,'📋 Транзакції'!$B$5:$B$3623,A159,'📋 Транзакції'!$C$5:$C$3623,"&gt;="&amp;EDATE(DATEVALUE(C159&amp;"-01"),0),'📋 Транзакції'!$C$5:$C$3623,"&lt;"&amp;EDATE(DATEVALUE(C159&amp;"-01"),1))</f>
        <v>19.99</v>
      </c>
      <c r="T159" s="37">
        <f>SUMIFS('📋 Транзакції'!$F$5:$F$3623,'📋 Транзакції'!$B$5:$B$3623,A159,'📋 Транзакції'!$C$5:$C$3623,"&gt;="&amp;EDATE(DATEVALUE(C159&amp;"-01"),1),'📋 Транзакції'!$C$5:$C$3623,"&lt;"&amp;EDATE(DATEVALUE(C159&amp;"-01"),2))</f>
        <v>19.99</v>
      </c>
      <c r="U159" s="37">
        <f>SUMIFS('📋 Транзакції'!$F$5:$F$3623,'📋 Транзакції'!$B$5:$B$3623,A159,'📋 Транзакції'!$C$5:$C$3623,"&gt;="&amp;EDATE(DATEVALUE(C159&amp;"-01"),2),'📋 Транзакції'!$C$5:$C$3623,"&lt;"&amp;EDATE(DATEVALUE(C159&amp;"-01"),3))</f>
        <v>19.99</v>
      </c>
      <c r="V159" s="37">
        <f>SUMIFS('📋 Транзакції'!$F$5:$F$3623,'📋 Транзакції'!$B$5:$B$3623,A159,'📋 Транзакції'!$C$5:$C$3623,"&gt;="&amp;EDATE(DATEVALUE(C159&amp;"-01"),3),'📋 Транзакції'!$C$5:$C$3623,"&lt;"&amp;EDATE(DATEVALUE(C159&amp;"-01"),4))</f>
        <v>19.99</v>
      </c>
      <c r="W159" s="37">
        <f>SUMIFS('📋 Транзакції'!$F$5:$F$3623,'📋 Транзакції'!$B$5:$B$3623,A159,'📋 Транзакції'!$C$5:$C$3623,"&gt;="&amp;EDATE(DATEVALUE(C159&amp;"-01"),4),'📋 Транзакції'!$C$5:$C$3623,"&lt;"&amp;EDATE(DATEVALUE(C159&amp;"-01"),5))</f>
        <v>19.99</v>
      </c>
      <c r="X159" s="37">
        <f>SUMIFS('📋 Транзакції'!$F$5:$F$3623,'📋 Транзакції'!$B$5:$B$3623,A159,'📋 Транзакції'!$C$5:$C$3623,"&gt;="&amp;EDATE(DATEVALUE(C159&amp;"-01"),5),'📋 Транзакції'!$C$5:$C$3623,"&lt;"&amp;EDATE(DATEVALUE(C159&amp;"-01"),6))</f>
        <v>19.99</v>
      </c>
      <c r="Y159" s="37">
        <f>SUMIFS('📋 Транзакції'!$F$5:$F$3623,'📋 Транзакції'!$B$5:$B$3623,A159,'📋 Транзакції'!$C$5:$C$3623,"&gt;="&amp;EDATE(DATEVALUE(C159&amp;"-01"),6),'📋 Транзакції'!$C$5:$C$3623,"&lt;"&amp;EDATE(DATEVALUE(C159&amp;"-01"),7))</f>
        <v>19.99</v>
      </c>
      <c r="Z159" s="37">
        <f>SUMIFS('📋 Транзакції'!$F$5:$F$3623,'📋 Транзакції'!$B$5:$B$3623,A159,'📋 Транзакції'!$C$5:$C$3623,"&gt;="&amp;EDATE(DATEVALUE(C159&amp;"-01"),7),'📋 Транзакції'!$C$5:$C$3623,"&lt;"&amp;EDATE(DATEVALUE(C159&amp;"-01"),8))</f>
        <v>19.99</v>
      </c>
      <c r="AA159" s="37">
        <f>SUMIFS('📋 Транзакції'!$F$5:$F$3623,'📋 Транзакції'!$B$5:$B$3623,A159,'📋 Транзакції'!$C$5:$C$3623,"&gt;="&amp;EDATE(DATEVALUE(C159&amp;"-01"),8),'📋 Транзакції'!$C$5:$C$3623,"&lt;"&amp;EDATE(DATEVALUE(C159&amp;"-01"),9))</f>
        <v>19.99</v>
      </c>
      <c r="AB159" s="37">
        <f>SUMIFS('📋 Транзакції'!$F$5:$F$3623,'📋 Транзакції'!$B$5:$B$3623,A159,'📋 Транзакції'!$C$5:$C$3623,"&gt;="&amp;EDATE(DATEVALUE(C159&amp;"-01"),9),'📋 Транзакції'!$C$5:$C$3623,"&lt;"&amp;EDATE(DATEVALUE(C159&amp;"-01"),10))</f>
        <v>19.99</v>
      </c>
      <c r="AC159" s="37">
        <f>SUMIFS('📋 Транзакції'!$F$5:$F$3623,'📋 Транзакції'!$B$5:$B$3623,A159,'📋 Транзакції'!$C$5:$C$3623,"&gt;="&amp;EDATE(DATEVALUE(C159&amp;"-01"),10),'📋 Транзакції'!$C$5:$C$3623,"&lt;"&amp;EDATE(DATEVALUE(C159&amp;"-01"),11))</f>
        <v>0</v>
      </c>
      <c r="AD159" s="37">
        <f>SUMIFS('📋 Транзакції'!$F$5:$F$3623,'📋 Транзакції'!$B$5:$B$3623,A159,'📋 Транзакції'!$C$5:$C$3623,"&gt;="&amp;EDATE(DATEVALUE(C159&amp;"-01"),11),'📋 Транзакції'!$C$5:$C$3623,"&lt;"&amp;EDATE(DATEVALUE(C159&amp;"-01"),12))</f>
        <v>0</v>
      </c>
    </row>
    <row r="160" ht="15.75" customHeight="1">
      <c r="A160" s="33" t="str">
        <f>'📋 Реєстрації'!A160:A761</f>
        <v>U0109</v>
      </c>
      <c r="B160" s="34">
        <f t="array" ref="B160">INDEX('📋 Транзакції'!$C$5:$C$3623,MATCH(A160,'📋 Транзакції'!$B$5:$B$3623,0))</f>
        <v>45446</v>
      </c>
      <c r="C160" s="35" t="str">
        <f t="shared" si="1"/>
        <v>2024-06</v>
      </c>
      <c r="D160" s="36">
        <f>COUNTIF('📋 Транзакції'!$B$5:$B$3623,A160)</f>
        <v>11</v>
      </c>
      <c r="E160" s="36">
        <f>SUMIF('📋 Транзакції'!$B$5:$B$3623,A160,'📋 Транзакції'!$F$5:$F$3623)</f>
        <v>199.9</v>
      </c>
      <c r="F160" s="35">
        <f>INT($A$1-MAXIFS('📋 Транзакції'!$C$5:$C$3623,'📋 Транзакції'!$B$5:$B$3623,A160))</f>
        <v>24</v>
      </c>
      <c r="G160" s="37">
        <f>IF(COUNTIFS('📋 Транзакції'!$B$5:$B$3623,A160,'📋 Транзакції'!$C$5:$C$3623,"&gt;="&amp;EDATE(DATEVALUE(C160&amp;"-01"),0),'📋 Транзакції'!$C$5:$C$3623,"&lt;"&amp;EDATE(DATEVALUE(C160&amp;"-01"),1))&gt;0,1,0)</f>
        <v>1</v>
      </c>
      <c r="H160" s="37">
        <f>IF(COUNTIFS('📋 Транзакції'!$B$5:$B$3623,A160,'📋 Транзакції'!$C$5:$C$3623,"&gt;="&amp;EDATE(DATEVALUE(C160&amp;"-01"),1),'📋 Транзакції'!$C$5:$C$3623,"&lt;"&amp;EDATE(DATEVALUE(C160&amp;"-01"),2))&gt;0,1,0)</f>
        <v>1</v>
      </c>
      <c r="I160" s="37">
        <f>IF(COUNTIFS('📋 Транзакції'!$B$5:$B$3623,A160,'📋 Транзакції'!$C$5:$C$3623,"&gt;="&amp;EDATE(DATEVALUE(C160&amp;"-01"),2),'📋 Транзакції'!$C$5:$C$3623,"&lt;"&amp;EDATE(DATEVALUE(C160&amp;"-01"),3))&gt;0,1,0)</f>
        <v>1</v>
      </c>
      <c r="J160" s="37">
        <f>IF(COUNTIFS('📋 Транзакції'!$B$5:$B$3623,A160,'📋 Транзакції'!$C$5:$C$3623,"&gt;="&amp;EDATE(DATEVALUE(C160&amp;"-01"),3),'📋 Транзакції'!$C$5:$C$3623,"&lt;"&amp;EDATE(DATEVALUE(C160&amp;"-01"),4))&gt;0,1,0)</f>
        <v>1</v>
      </c>
      <c r="K160" s="37">
        <f>IF(COUNTIFS('📋 Транзакції'!$B$5:$B$3623,A160,'📋 Транзакції'!$C$5:$C$3623,"&gt;="&amp;EDATE(DATEVALUE(C160&amp;"-01"),4),'📋 Транзакції'!$C$5:$C$3623,"&lt;"&amp;EDATE(DATEVALUE(C160&amp;"-01"),5))&gt;0,1,0)</f>
        <v>1</v>
      </c>
      <c r="L160" s="37">
        <f>IF(COUNTIFS('📋 Транзакції'!$B$5:$B$3623,A160,'📋 Транзакції'!$C$5:$C$3623,"&gt;="&amp;EDATE(DATEVALUE(C160&amp;"-01"),5),'📋 Транзакції'!$C$5:$C$3623,"&lt;"&amp;EDATE(DATEVALUE(C160&amp;"-01"),6))&gt;0,1,0)</f>
        <v>1</v>
      </c>
      <c r="M160" s="37">
        <f>IF(COUNTIFS('📋 Транзакції'!$B$5:$B$3623,A160,'📋 Транзакції'!$C$5:$C$3623,"&gt;="&amp;EDATE(DATEVALUE(C160&amp;"-01"),6),'📋 Транзакції'!$C$5:$C$3623,"&lt;"&amp;EDATE(DATEVALUE(C160&amp;"-01"),7))&gt;0,1,0)</f>
        <v>1</v>
      </c>
      <c r="N160" s="37">
        <f>IF(COUNTIFS('📋 Транзакції'!$B$5:$B$3623,A160,'📋 Транзакції'!$C$5:$C$3623,"&gt;="&amp;EDATE(DATEVALUE(C160&amp;"-01"),7),'📋 Транзакції'!$C$5:$C$3623,"&lt;"&amp;EDATE(DATEVALUE(C160&amp;"-01"),8))&gt;0,1,0)</f>
        <v>1</v>
      </c>
      <c r="O160" s="37">
        <f>IF(COUNTIFS('📋 Транзакції'!$B$5:$B$3623,A160,'📋 Транзакції'!$C$5:$C$3623,"&gt;="&amp;EDATE(DATEVALUE(C160&amp;"-01"),8),'📋 Транзакції'!$C$5:$C$3623,"&lt;"&amp;EDATE(DATEVALUE(C160&amp;"-01"),9))&gt;0,1,0)</f>
        <v>1</v>
      </c>
      <c r="P160" s="37">
        <f>IF(COUNTIFS('📋 Транзакції'!$B$5:$B$3623,A160,'📋 Транзакції'!$C$5:$C$3623,"&gt;="&amp;EDATE(DATEVALUE(C160&amp;"-01"),9),'📋 Транзакції'!$C$5:$C$3623,"&lt;"&amp;EDATE(DATEVALUE(C160&amp;"-01"),10))&gt;0,1,0)</f>
        <v>1</v>
      </c>
      <c r="Q160" s="37">
        <f>IF(COUNTIFS('📋 Транзакції'!$B$5:$B$3623,A160,'📋 Транзакції'!$C$5:$C$3623,"&gt;="&amp;EDATE(DATEVALUE(C160&amp;"-01"),10),'📋 Транзакції'!$C$5:$C$3623,"&lt;"&amp;EDATE(DATEVALUE(C160&amp;"-01"),11))&gt;0,1,0)</f>
        <v>0</v>
      </c>
      <c r="R160" s="37">
        <f>IF(COUNTIFS('📋 Транзакції'!$B$5:$B$3623,A160,'📋 Транзакції'!$C$5:$C$3623,"&gt;="&amp;EDATE(DATEVALUE(C160&amp;"-01"),11),'📋 Транзакції'!$C$5:$C$3623,"&lt;"&amp;EDATE(DATEVALUE(C160&amp;"-01"),12))&gt;0,1,0)</f>
        <v>0</v>
      </c>
      <c r="S160" s="37">
        <f>SUMIFS('📋 Транзакції'!$F$5:$F$3623,'📋 Транзакції'!$B$5:$B$3623,A160,'📋 Транзакції'!$C$5:$C$3623,"&gt;="&amp;EDATE(DATEVALUE(C160&amp;"-01"),0),'📋 Транзакції'!$C$5:$C$3623,"&lt;"&amp;EDATE(DATEVALUE(C160&amp;"-01"),1))</f>
        <v>19.99</v>
      </c>
      <c r="T160" s="37">
        <f>SUMIFS('📋 Транзакції'!$F$5:$F$3623,'📋 Транзакції'!$B$5:$B$3623,A160,'📋 Транзакції'!$C$5:$C$3623,"&gt;="&amp;EDATE(DATEVALUE(C160&amp;"-01"),1),'📋 Транзакції'!$C$5:$C$3623,"&lt;"&amp;EDATE(DATEVALUE(C160&amp;"-01"),2))</f>
        <v>19.99</v>
      </c>
      <c r="U160" s="37">
        <f>SUMIFS('📋 Транзакції'!$F$5:$F$3623,'📋 Транзакції'!$B$5:$B$3623,A160,'📋 Транзакції'!$C$5:$C$3623,"&gt;="&amp;EDATE(DATEVALUE(C160&amp;"-01"),2),'📋 Транзакції'!$C$5:$C$3623,"&lt;"&amp;EDATE(DATEVALUE(C160&amp;"-01"),3))</f>
        <v>19.99</v>
      </c>
      <c r="V160" s="37">
        <f>SUMIFS('📋 Транзакції'!$F$5:$F$3623,'📋 Транзакції'!$B$5:$B$3623,A160,'📋 Транзакції'!$C$5:$C$3623,"&gt;="&amp;EDATE(DATEVALUE(C160&amp;"-01"),3),'📋 Транзакції'!$C$5:$C$3623,"&lt;"&amp;EDATE(DATEVALUE(C160&amp;"-01"),4))</f>
        <v>19.99</v>
      </c>
      <c r="W160" s="37">
        <f>SUMIFS('📋 Транзакції'!$F$5:$F$3623,'📋 Транзакції'!$B$5:$B$3623,A160,'📋 Транзакції'!$C$5:$C$3623,"&gt;="&amp;EDATE(DATEVALUE(C160&amp;"-01"),4),'📋 Транзакції'!$C$5:$C$3623,"&lt;"&amp;EDATE(DATEVALUE(C160&amp;"-01"),5))</f>
        <v>19.99</v>
      </c>
      <c r="X160" s="37">
        <f>SUMIFS('📋 Транзакції'!$F$5:$F$3623,'📋 Транзакції'!$B$5:$B$3623,A160,'📋 Транзакції'!$C$5:$C$3623,"&gt;="&amp;EDATE(DATEVALUE(C160&amp;"-01"),5),'📋 Транзакції'!$C$5:$C$3623,"&lt;"&amp;EDATE(DATEVALUE(C160&amp;"-01"),6))</f>
        <v>19.99</v>
      </c>
      <c r="Y160" s="37">
        <f>SUMIFS('📋 Транзакції'!$F$5:$F$3623,'📋 Транзакції'!$B$5:$B$3623,A160,'📋 Транзакції'!$C$5:$C$3623,"&gt;="&amp;EDATE(DATEVALUE(C160&amp;"-01"),6),'📋 Транзакції'!$C$5:$C$3623,"&lt;"&amp;EDATE(DATEVALUE(C160&amp;"-01"),7))</f>
        <v>19.99</v>
      </c>
      <c r="Z160" s="37">
        <f>SUMIFS('📋 Транзакції'!$F$5:$F$3623,'📋 Транзакції'!$B$5:$B$3623,A160,'📋 Транзакції'!$C$5:$C$3623,"&gt;="&amp;EDATE(DATEVALUE(C160&amp;"-01"),7),'📋 Транзакції'!$C$5:$C$3623,"&lt;"&amp;EDATE(DATEVALUE(C160&amp;"-01"),8))</f>
        <v>19.99</v>
      </c>
      <c r="AA160" s="37">
        <f>SUMIFS('📋 Транзакції'!$F$5:$F$3623,'📋 Транзакції'!$B$5:$B$3623,A160,'📋 Транзакції'!$C$5:$C$3623,"&gt;="&amp;EDATE(DATEVALUE(C160&amp;"-01"),8),'📋 Транзакції'!$C$5:$C$3623,"&lt;"&amp;EDATE(DATEVALUE(C160&amp;"-01"),9))</f>
        <v>19.99</v>
      </c>
      <c r="AB160" s="37">
        <f>SUMIFS('📋 Транзакції'!$F$5:$F$3623,'📋 Транзакції'!$B$5:$B$3623,A160,'📋 Транзакції'!$C$5:$C$3623,"&gt;="&amp;EDATE(DATEVALUE(C160&amp;"-01"),9),'📋 Транзакції'!$C$5:$C$3623,"&lt;"&amp;EDATE(DATEVALUE(C160&amp;"-01"),10))</f>
        <v>19.99</v>
      </c>
      <c r="AC160" s="37">
        <f>SUMIFS('📋 Транзакції'!$F$5:$F$3623,'📋 Транзакції'!$B$5:$B$3623,A160,'📋 Транзакції'!$C$5:$C$3623,"&gt;="&amp;EDATE(DATEVALUE(C160&amp;"-01"),10),'📋 Транзакції'!$C$5:$C$3623,"&lt;"&amp;EDATE(DATEVALUE(C160&amp;"-01"),11))</f>
        <v>0</v>
      </c>
      <c r="AD160" s="37">
        <f>SUMIFS('📋 Транзакції'!$F$5:$F$3623,'📋 Транзакції'!$B$5:$B$3623,A160,'📋 Транзакції'!$C$5:$C$3623,"&gt;="&amp;EDATE(DATEVALUE(C160&amp;"-01"),11),'📋 Транзакції'!$C$5:$C$3623,"&lt;"&amp;EDATE(DATEVALUE(C160&amp;"-01"),12))</f>
        <v>0</v>
      </c>
    </row>
    <row r="161" ht="15.75" customHeight="1">
      <c r="A161" s="33" t="str">
        <f>'📋 Реєстрації'!A161:A762</f>
        <v>U0694</v>
      </c>
      <c r="B161" s="34">
        <f t="array" ref="B161">INDEX('📋 Транзакції'!$C$5:$C$3623,MATCH(A161,'📋 Транзакції'!$B$5:$B$3623,0))</f>
        <v>45447</v>
      </c>
      <c r="C161" s="35" t="str">
        <f t="shared" si="1"/>
        <v>2024-06</v>
      </c>
      <c r="D161" s="36">
        <f>COUNTIF('📋 Транзакції'!$B$5:$B$3623,A161)</f>
        <v>11</v>
      </c>
      <c r="E161" s="36">
        <f>SUMIF('📋 Транзакції'!$B$5:$B$3623,A161,'📋 Транзакції'!$F$5:$F$3623)</f>
        <v>199.9</v>
      </c>
      <c r="F161" s="35">
        <f>INT($A$1-MAXIFS('📋 Транзакції'!$C$5:$C$3623,'📋 Транзакції'!$B$5:$B$3623,A161))</f>
        <v>23</v>
      </c>
      <c r="G161" s="37">
        <f>IF(COUNTIFS('📋 Транзакції'!$B$5:$B$3623,A161,'📋 Транзакції'!$C$5:$C$3623,"&gt;="&amp;EDATE(DATEVALUE(C161&amp;"-01"),0),'📋 Транзакції'!$C$5:$C$3623,"&lt;"&amp;EDATE(DATEVALUE(C161&amp;"-01"),1))&gt;0,1,0)</f>
        <v>1</v>
      </c>
      <c r="H161" s="37">
        <f>IF(COUNTIFS('📋 Транзакції'!$B$5:$B$3623,A161,'📋 Транзакції'!$C$5:$C$3623,"&gt;="&amp;EDATE(DATEVALUE(C161&amp;"-01"),1),'📋 Транзакції'!$C$5:$C$3623,"&lt;"&amp;EDATE(DATEVALUE(C161&amp;"-01"),2))&gt;0,1,0)</f>
        <v>1</v>
      </c>
      <c r="I161" s="37">
        <f>IF(COUNTIFS('📋 Транзакції'!$B$5:$B$3623,A161,'📋 Транзакції'!$C$5:$C$3623,"&gt;="&amp;EDATE(DATEVALUE(C161&amp;"-01"),2),'📋 Транзакції'!$C$5:$C$3623,"&lt;"&amp;EDATE(DATEVALUE(C161&amp;"-01"),3))&gt;0,1,0)</f>
        <v>1</v>
      </c>
      <c r="J161" s="37">
        <f>IF(COUNTIFS('📋 Транзакції'!$B$5:$B$3623,A161,'📋 Транзакції'!$C$5:$C$3623,"&gt;="&amp;EDATE(DATEVALUE(C161&amp;"-01"),3),'📋 Транзакції'!$C$5:$C$3623,"&lt;"&amp;EDATE(DATEVALUE(C161&amp;"-01"),4))&gt;0,1,0)</f>
        <v>1</v>
      </c>
      <c r="K161" s="37">
        <f>IF(COUNTIFS('📋 Транзакції'!$B$5:$B$3623,A161,'📋 Транзакції'!$C$5:$C$3623,"&gt;="&amp;EDATE(DATEVALUE(C161&amp;"-01"),4),'📋 Транзакції'!$C$5:$C$3623,"&lt;"&amp;EDATE(DATEVALUE(C161&amp;"-01"),5))&gt;0,1,0)</f>
        <v>1</v>
      </c>
      <c r="L161" s="37">
        <f>IF(COUNTIFS('📋 Транзакції'!$B$5:$B$3623,A161,'📋 Транзакції'!$C$5:$C$3623,"&gt;="&amp;EDATE(DATEVALUE(C161&amp;"-01"),5),'📋 Транзакції'!$C$5:$C$3623,"&lt;"&amp;EDATE(DATEVALUE(C161&amp;"-01"),6))&gt;0,1,0)</f>
        <v>1</v>
      </c>
      <c r="M161" s="37">
        <f>IF(COUNTIFS('📋 Транзакції'!$B$5:$B$3623,A161,'📋 Транзакції'!$C$5:$C$3623,"&gt;="&amp;EDATE(DATEVALUE(C161&amp;"-01"),6),'📋 Транзакції'!$C$5:$C$3623,"&lt;"&amp;EDATE(DATEVALUE(C161&amp;"-01"),7))&gt;0,1,0)</f>
        <v>1</v>
      </c>
      <c r="N161" s="37">
        <f>IF(COUNTIFS('📋 Транзакції'!$B$5:$B$3623,A161,'📋 Транзакції'!$C$5:$C$3623,"&gt;="&amp;EDATE(DATEVALUE(C161&amp;"-01"),7),'📋 Транзакції'!$C$5:$C$3623,"&lt;"&amp;EDATE(DATEVALUE(C161&amp;"-01"),8))&gt;0,1,0)</f>
        <v>1</v>
      </c>
      <c r="O161" s="37">
        <f>IF(COUNTIFS('📋 Транзакції'!$B$5:$B$3623,A161,'📋 Транзакції'!$C$5:$C$3623,"&gt;="&amp;EDATE(DATEVALUE(C161&amp;"-01"),8),'📋 Транзакції'!$C$5:$C$3623,"&lt;"&amp;EDATE(DATEVALUE(C161&amp;"-01"),9))&gt;0,1,0)</f>
        <v>1</v>
      </c>
      <c r="P161" s="37">
        <f>IF(COUNTIFS('📋 Транзакції'!$B$5:$B$3623,A161,'📋 Транзакції'!$C$5:$C$3623,"&gt;="&amp;EDATE(DATEVALUE(C161&amp;"-01"),9),'📋 Транзакції'!$C$5:$C$3623,"&lt;"&amp;EDATE(DATEVALUE(C161&amp;"-01"),10))&gt;0,1,0)</f>
        <v>1</v>
      </c>
      <c r="Q161" s="37">
        <f>IF(COUNTIFS('📋 Транзакції'!$B$5:$B$3623,A161,'📋 Транзакції'!$C$5:$C$3623,"&gt;="&amp;EDATE(DATEVALUE(C161&amp;"-01"),10),'📋 Транзакції'!$C$5:$C$3623,"&lt;"&amp;EDATE(DATEVALUE(C161&amp;"-01"),11))&gt;0,1,0)</f>
        <v>0</v>
      </c>
      <c r="R161" s="37">
        <f>IF(COUNTIFS('📋 Транзакції'!$B$5:$B$3623,A161,'📋 Транзакції'!$C$5:$C$3623,"&gt;="&amp;EDATE(DATEVALUE(C161&amp;"-01"),11),'📋 Транзакції'!$C$5:$C$3623,"&lt;"&amp;EDATE(DATEVALUE(C161&amp;"-01"),12))&gt;0,1,0)</f>
        <v>0</v>
      </c>
      <c r="S161" s="37">
        <f>SUMIFS('📋 Транзакції'!$F$5:$F$3623,'📋 Транзакції'!$B$5:$B$3623,A161,'📋 Транзакції'!$C$5:$C$3623,"&gt;="&amp;EDATE(DATEVALUE(C161&amp;"-01"),0),'📋 Транзакції'!$C$5:$C$3623,"&lt;"&amp;EDATE(DATEVALUE(C161&amp;"-01"),1))</f>
        <v>19.99</v>
      </c>
      <c r="T161" s="37">
        <f>SUMIFS('📋 Транзакції'!$F$5:$F$3623,'📋 Транзакції'!$B$5:$B$3623,A161,'📋 Транзакції'!$C$5:$C$3623,"&gt;="&amp;EDATE(DATEVALUE(C161&amp;"-01"),1),'📋 Транзакції'!$C$5:$C$3623,"&lt;"&amp;EDATE(DATEVALUE(C161&amp;"-01"),2))</f>
        <v>19.99</v>
      </c>
      <c r="U161" s="37">
        <f>SUMIFS('📋 Транзакції'!$F$5:$F$3623,'📋 Транзакції'!$B$5:$B$3623,A161,'📋 Транзакції'!$C$5:$C$3623,"&gt;="&amp;EDATE(DATEVALUE(C161&amp;"-01"),2),'📋 Транзакції'!$C$5:$C$3623,"&lt;"&amp;EDATE(DATEVALUE(C161&amp;"-01"),3))</f>
        <v>19.99</v>
      </c>
      <c r="V161" s="37">
        <f>SUMIFS('📋 Транзакції'!$F$5:$F$3623,'📋 Транзакції'!$B$5:$B$3623,A161,'📋 Транзакції'!$C$5:$C$3623,"&gt;="&amp;EDATE(DATEVALUE(C161&amp;"-01"),3),'📋 Транзакції'!$C$5:$C$3623,"&lt;"&amp;EDATE(DATEVALUE(C161&amp;"-01"),4))</f>
        <v>19.99</v>
      </c>
      <c r="W161" s="37">
        <f>SUMIFS('📋 Транзакції'!$F$5:$F$3623,'📋 Транзакції'!$B$5:$B$3623,A161,'📋 Транзакції'!$C$5:$C$3623,"&gt;="&amp;EDATE(DATEVALUE(C161&amp;"-01"),4),'📋 Транзакції'!$C$5:$C$3623,"&lt;"&amp;EDATE(DATEVALUE(C161&amp;"-01"),5))</f>
        <v>19.99</v>
      </c>
      <c r="X161" s="37">
        <f>SUMIFS('📋 Транзакції'!$F$5:$F$3623,'📋 Транзакції'!$B$5:$B$3623,A161,'📋 Транзакції'!$C$5:$C$3623,"&gt;="&amp;EDATE(DATEVALUE(C161&amp;"-01"),5),'📋 Транзакції'!$C$5:$C$3623,"&lt;"&amp;EDATE(DATEVALUE(C161&amp;"-01"),6))</f>
        <v>19.99</v>
      </c>
      <c r="Y161" s="37">
        <f>SUMIFS('📋 Транзакції'!$F$5:$F$3623,'📋 Транзакції'!$B$5:$B$3623,A161,'📋 Транзакції'!$C$5:$C$3623,"&gt;="&amp;EDATE(DATEVALUE(C161&amp;"-01"),6),'📋 Транзакції'!$C$5:$C$3623,"&lt;"&amp;EDATE(DATEVALUE(C161&amp;"-01"),7))</f>
        <v>19.99</v>
      </c>
      <c r="Z161" s="37">
        <f>SUMIFS('📋 Транзакції'!$F$5:$F$3623,'📋 Транзакції'!$B$5:$B$3623,A161,'📋 Транзакції'!$C$5:$C$3623,"&gt;="&amp;EDATE(DATEVALUE(C161&amp;"-01"),7),'📋 Транзакції'!$C$5:$C$3623,"&lt;"&amp;EDATE(DATEVALUE(C161&amp;"-01"),8))</f>
        <v>19.99</v>
      </c>
      <c r="AA161" s="37">
        <f>SUMIFS('📋 Транзакції'!$F$5:$F$3623,'📋 Транзакції'!$B$5:$B$3623,A161,'📋 Транзакції'!$C$5:$C$3623,"&gt;="&amp;EDATE(DATEVALUE(C161&amp;"-01"),8),'📋 Транзакції'!$C$5:$C$3623,"&lt;"&amp;EDATE(DATEVALUE(C161&amp;"-01"),9))</f>
        <v>19.99</v>
      </c>
      <c r="AB161" s="37">
        <f>SUMIFS('📋 Транзакції'!$F$5:$F$3623,'📋 Транзакції'!$B$5:$B$3623,A161,'📋 Транзакції'!$C$5:$C$3623,"&gt;="&amp;EDATE(DATEVALUE(C161&amp;"-01"),9),'📋 Транзакції'!$C$5:$C$3623,"&lt;"&amp;EDATE(DATEVALUE(C161&amp;"-01"),10))</f>
        <v>19.99</v>
      </c>
      <c r="AC161" s="37">
        <f>SUMIFS('📋 Транзакції'!$F$5:$F$3623,'📋 Транзакції'!$B$5:$B$3623,A161,'📋 Транзакції'!$C$5:$C$3623,"&gt;="&amp;EDATE(DATEVALUE(C161&amp;"-01"),10),'📋 Транзакції'!$C$5:$C$3623,"&lt;"&amp;EDATE(DATEVALUE(C161&amp;"-01"),11))</f>
        <v>0</v>
      </c>
      <c r="AD161" s="37">
        <f>SUMIFS('📋 Транзакції'!$F$5:$F$3623,'📋 Транзакції'!$B$5:$B$3623,A161,'📋 Транзакції'!$C$5:$C$3623,"&gt;="&amp;EDATE(DATEVALUE(C161&amp;"-01"),11),'📋 Транзакції'!$C$5:$C$3623,"&lt;"&amp;EDATE(DATEVALUE(C161&amp;"-01"),12))</f>
        <v>0</v>
      </c>
    </row>
    <row r="162" ht="15.75" customHeight="1">
      <c r="A162" s="33" t="str">
        <f>'📋 Реєстрації'!A162:A763</f>
        <v>U0763</v>
      </c>
      <c r="B162" s="34">
        <f t="array" ref="B162">INDEX('📋 Транзакції'!$C$5:$C$3623,MATCH(A162,'📋 Транзакції'!$B$5:$B$3623,0))</f>
        <v>45447</v>
      </c>
      <c r="C162" s="35" t="str">
        <f t="shared" si="1"/>
        <v>2024-06</v>
      </c>
      <c r="D162" s="36">
        <f>COUNTIF('📋 Транзакції'!$B$5:$B$3623,A162)</f>
        <v>4</v>
      </c>
      <c r="E162" s="36">
        <f>SUMIF('📋 Транзакції'!$B$5:$B$3623,A162,'📋 Транзакції'!$F$5:$F$3623)</f>
        <v>59.97</v>
      </c>
      <c r="F162" s="35">
        <f>INT($A$1-MAXIFS('📋 Транзакції'!$C$5:$C$3623,'📋 Транзакції'!$B$5:$B$3623,A162))</f>
        <v>233</v>
      </c>
      <c r="G162" s="37">
        <f>IF(COUNTIFS('📋 Транзакції'!$B$5:$B$3623,A162,'📋 Транзакції'!$C$5:$C$3623,"&gt;="&amp;EDATE(DATEVALUE(C162&amp;"-01"),0),'📋 Транзакції'!$C$5:$C$3623,"&lt;"&amp;EDATE(DATEVALUE(C162&amp;"-01"),1))&gt;0,1,0)</f>
        <v>1</v>
      </c>
      <c r="H162" s="37">
        <f>IF(COUNTIFS('📋 Транзакції'!$B$5:$B$3623,A162,'📋 Транзакції'!$C$5:$C$3623,"&gt;="&amp;EDATE(DATEVALUE(C162&amp;"-01"),1),'📋 Транзакції'!$C$5:$C$3623,"&lt;"&amp;EDATE(DATEVALUE(C162&amp;"-01"),2))&gt;0,1,0)</f>
        <v>1</v>
      </c>
      <c r="I162" s="37">
        <f>IF(COUNTIFS('📋 Транзакції'!$B$5:$B$3623,A162,'📋 Транзакції'!$C$5:$C$3623,"&gt;="&amp;EDATE(DATEVALUE(C162&amp;"-01"),2),'📋 Транзакції'!$C$5:$C$3623,"&lt;"&amp;EDATE(DATEVALUE(C162&amp;"-01"),3))&gt;0,1,0)</f>
        <v>1</v>
      </c>
      <c r="J162" s="37">
        <f>IF(COUNTIFS('📋 Транзакції'!$B$5:$B$3623,A162,'📋 Транзакції'!$C$5:$C$3623,"&gt;="&amp;EDATE(DATEVALUE(C162&amp;"-01"),3),'📋 Транзакції'!$C$5:$C$3623,"&lt;"&amp;EDATE(DATEVALUE(C162&amp;"-01"),4))&gt;0,1,0)</f>
        <v>0</v>
      </c>
      <c r="K162" s="37">
        <f>IF(COUNTIFS('📋 Транзакції'!$B$5:$B$3623,A162,'📋 Транзакції'!$C$5:$C$3623,"&gt;="&amp;EDATE(DATEVALUE(C162&amp;"-01"),4),'📋 Транзакції'!$C$5:$C$3623,"&lt;"&amp;EDATE(DATEVALUE(C162&amp;"-01"),5))&gt;0,1,0)</f>
        <v>0</v>
      </c>
      <c r="L162" s="37">
        <f>IF(COUNTIFS('📋 Транзакції'!$B$5:$B$3623,A162,'📋 Транзакції'!$C$5:$C$3623,"&gt;="&amp;EDATE(DATEVALUE(C162&amp;"-01"),5),'📋 Транзакції'!$C$5:$C$3623,"&lt;"&amp;EDATE(DATEVALUE(C162&amp;"-01"),6))&gt;0,1,0)</f>
        <v>0</v>
      </c>
      <c r="M162" s="37">
        <f>IF(COUNTIFS('📋 Транзакції'!$B$5:$B$3623,A162,'📋 Транзакції'!$C$5:$C$3623,"&gt;="&amp;EDATE(DATEVALUE(C162&amp;"-01"),6),'📋 Транзакції'!$C$5:$C$3623,"&lt;"&amp;EDATE(DATEVALUE(C162&amp;"-01"),7))&gt;0,1,0)</f>
        <v>0</v>
      </c>
      <c r="N162" s="37">
        <f>IF(COUNTIFS('📋 Транзакції'!$B$5:$B$3623,A162,'📋 Транзакції'!$C$5:$C$3623,"&gt;="&amp;EDATE(DATEVALUE(C162&amp;"-01"),7),'📋 Транзакції'!$C$5:$C$3623,"&lt;"&amp;EDATE(DATEVALUE(C162&amp;"-01"),8))&gt;0,1,0)</f>
        <v>0</v>
      </c>
      <c r="O162" s="37">
        <f>IF(COUNTIFS('📋 Транзакції'!$B$5:$B$3623,A162,'📋 Транзакції'!$C$5:$C$3623,"&gt;="&amp;EDATE(DATEVALUE(C162&amp;"-01"),8),'📋 Транзакції'!$C$5:$C$3623,"&lt;"&amp;EDATE(DATEVALUE(C162&amp;"-01"),9))&gt;0,1,0)</f>
        <v>0</v>
      </c>
      <c r="P162" s="37">
        <f>IF(COUNTIFS('📋 Транзакції'!$B$5:$B$3623,A162,'📋 Транзакції'!$C$5:$C$3623,"&gt;="&amp;EDATE(DATEVALUE(C162&amp;"-01"),9),'📋 Транзакції'!$C$5:$C$3623,"&lt;"&amp;EDATE(DATEVALUE(C162&amp;"-01"),10))&gt;0,1,0)</f>
        <v>0</v>
      </c>
      <c r="Q162" s="37">
        <f>IF(COUNTIFS('📋 Транзакції'!$B$5:$B$3623,A162,'📋 Транзакції'!$C$5:$C$3623,"&gt;="&amp;EDATE(DATEVALUE(C162&amp;"-01"),10),'📋 Транзакції'!$C$5:$C$3623,"&lt;"&amp;EDATE(DATEVALUE(C162&amp;"-01"),11))&gt;0,1,0)</f>
        <v>0</v>
      </c>
      <c r="R162" s="37">
        <f>IF(COUNTIFS('📋 Транзакції'!$B$5:$B$3623,A162,'📋 Транзакції'!$C$5:$C$3623,"&gt;="&amp;EDATE(DATEVALUE(C162&amp;"-01"),11),'📋 Транзакції'!$C$5:$C$3623,"&lt;"&amp;EDATE(DATEVALUE(C162&amp;"-01"),12))&gt;0,1,0)</f>
        <v>0</v>
      </c>
      <c r="S162" s="37">
        <f>SUMIFS('📋 Транзакції'!$F$5:$F$3623,'📋 Транзакції'!$B$5:$B$3623,A162,'📋 Транзакції'!$C$5:$C$3623,"&gt;="&amp;EDATE(DATEVALUE(C162&amp;"-01"),0),'📋 Транзакції'!$C$5:$C$3623,"&lt;"&amp;EDATE(DATEVALUE(C162&amp;"-01"),1))</f>
        <v>19.99</v>
      </c>
      <c r="T162" s="37">
        <f>SUMIFS('📋 Транзакції'!$F$5:$F$3623,'📋 Транзакції'!$B$5:$B$3623,A162,'📋 Транзакції'!$C$5:$C$3623,"&gt;="&amp;EDATE(DATEVALUE(C162&amp;"-01"),1),'📋 Транзакції'!$C$5:$C$3623,"&lt;"&amp;EDATE(DATEVALUE(C162&amp;"-01"),2))</f>
        <v>19.99</v>
      </c>
      <c r="U162" s="37">
        <f>SUMIFS('📋 Транзакції'!$F$5:$F$3623,'📋 Транзакції'!$B$5:$B$3623,A162,'📋 Транзакції'!$C$5:$C$3623,"&gt;="&amp;EDATE(DATEVALUE(C162&amp;"-01"),2),'📋 Транзакції'!$C$5:$C$3623,"&lt;"&amp;EDATE(DATEVALUE(C162&amp;"-01"),3))</f>
        <v>19.99</v>
      </c>
      <c r="V162" s="37">
        <f>SUMIFS('📋 Транзакції'!$F$5:$F$3623,'📋 Транзакції'!$B$5:$B$3623,A162,'📋 Транзакції'!$C$5:$C$3623,"&gt;="&amp;EDATE(DATEVALUE(C162&amp;"-01"),3),'📋 Транзакції'!$C$5:$C$3623,"&lt;"&amp;EDATE(DATEVALUE(C162&amp;"-01"),4))</f>
        <v>0</v>
      </c>
      <c r="W162" s="37">
        <f>SUMIFS('📋 Транзакції'!$F$5:$F$3623,'📋 Транзакції'!$B$5:$B$3623,A162,'📋 Транзакції'!$C$5:$C$3623,"&gt;="&amp;EDATE(DATEVALUE(C162&amp;"-01"),4),'📋 Транзакції'!$C$5:$C$3623,"&lt;"&amp;EDATE(DATEVALUE(C162&amp;"-01"),5))</f>
        <v>0</v>
      </c>
      <c r="X162" s="37">
        <f>SUMIFS('📋 Транзакції'!$F$5:$F$3623,'📋 Транзакції'!$B$5:$B$3623,A162,'📋 Транзакції'!$C$5:$C$3623,"&gt;="&amp;EDATE(DATEVALUE(C162&amp;"-01"),5),'📋 Транзакції'!$C$5:$C$3623,"&lt;"&amp;EDATE(DATEVALUE(C162&amp;"-01"),6))</f>
        <v>0</v>
      </c>
      <c r="Y162" s="37">
        <f>SUMIFS('📋 Транзакції'!$F$5:$F$3623,'📋 Транзакції'!$B$5:$B$3623,A162,'📋 Транзакції'!$C$5:$C$3623,"&gt;="&amp;EDATE(DATEVALUE(C162&amp;"-01"),6),'📋 Транзакції'!$C$5:$C$3623,"&lt;"&amp;EDATE(DATEVALUE(C162&amp;"-01"),7))</f>
        <v>0</v>
      </c>
      <c r="Z162" s="37">
        <f>SUMIFS('📋 Транзакції'!$F$5:$F$3623,'📋 Транзакції'!$B$5:$B$3623,A162,'📋 Транзакції'!$C$5:$C$3623,"&gt;="&amp;EDATE(DATEVALUE(C162&amp;"-01"),7),'📋 Транзакції'!$C$5:$C$3623,"&lt;"&amp;EDATE(DATEVALUE(C162&amp;"-01"),8))</f>
        <v>0</v>
      </c>
      <c r="AA162" s="37">
        <f>SUMIFS('📋 Транзакції'!$F$5:$F$3623,'📋 Транзакції'!$B$5:$B$3623,A162,'📋 Транзакції'!$C$5:$C$3623,"&gt;="&amp;EDATE(DATEVALUE(C162&amp;"-01"),8),'📋 Транзакції'!$C$5:$C$3623,"&lt;"&amp;EDATE(DATEVALUE(C162&amp;"-01"),9))</f>
        <v>0</v>
      </c>
      <c r="AB162" s="37">
        <f>SUMIFS('📋 Транзакції'!$F$5:$F$3623,'📋 Транзакції'!$B$5:$B$3623,A162,'📋 Транзакції'!$C$5:$C$3623,"&gt;="&amp;EDATE(DATEVALUE(C162&amp;"-01"),9),'📋 Транзакції'!$C$5:$C$3623,"&lt;"&amp;EDATE(DATEVALUE(C162&amp;"-01"),10))</f>
        <v>0</v>
      </c>
      <c r="AC162" s="37">
        <f>SUMIFS('📋 Транзакції'!$F$5:$F$3623,'📋 Транзакції'!$B$5:$B$3623,A162,'📋 Транзакції'!$C$5:$C$3623,"&gt;="&amp;EDATE(DATEVALUE(C162&amp;"-01"),10),'📋 Транзакції'!$C$5:$C$3623,"&lt;"&amp;EDATE(DATEVALUE(C162&amp;"-01"),11))</f>
        <v>0</v>
      </c>
      <c r="AD162" s="37">
        <f>SUMIFS('📋 Транзакції'!$F$5:$F$3623,'📋 Транзакції'!$B$5:$B$3623,A162,'📋 Транзакції'!$C$5:$C$3623,"&gt;="&amp;EDATE(DATEVALUE(C162&amp;"-01"),11),'📋 Транзакції'!$C$5:$C$3623,"&lt;"&amp;EDATE(DATEVALUE(C162&amp;"-01"),12))</f>
        <v>0</v>
      </c>
    </row>
    <row r="163" ht="15.75" customHeight="1">
      <c r="A163" s="33" t="str">
        <f>'📋 Реєстрації'!A163:A764</f>
        <v>U0586</v>
      </c>
      <c r="B163" s="34">
        <f t="array" ref="B163">INDEX('📋 Транзакції'!$C$5:$C$3623,MATCH(A163,'📋 Транзакції'!$B$5:$B$3623,0))</f>
        <v>45448</v>
      </c>
      <c r="C163" s="35" t="str">
        <f t="shared" si="1"/>
        <v>2024-06</v>
      </c>
      <c r="D163" s="36">
        <f>COUNTIF('📋 Транзакції'!$B$5:$B$3623,A163)</f>
        <v>11</v>
      </c>
      <c r="E163" s="36">
        <f>SUMIF('📋 Транзакції'!$B$5:$B$3623,A163,'📋 Транзакції'!$F$5:$F$3623)</f>
        <v>199.9</v>
      </c>
      <c r="F163" s="35">
        <f>INT($A$1-MAXIFS('📋 Транзакції'!$C$5:$C$3623,'📋 Транзакції'!$B$5:$B$3623,A163))</f>
        <v>22</v>
      </c>
      <c r="G163" s="37">
        <f>IF(COUNTIFS('📋 Транзакції'!$B$5:$B$3623,A163,'📋 Транзакції'!$C$5:$C$3623,"&gt;="&amp;EDATE(DATEVALUE(C163&amp;"-01"),0),'📋 Транзакції'!$C$5:$C$3623,"&lt;"&amp;EDATE(DATEVALUE(C163&amp;"-01"),1))&gt;0,1,0)</f>
        <v>1</v>
      </c>
      <c r="H163" s="37">
        <f>IF(COUNTIFS('📋 Транзакції'!$B$5:$B$3623,A163,'📋 Транзакції'!$C$5:$C$3623,"&gt;="&amp;EDATE(DATEVALUE(C163&amp;"-01"),1),'📋 Транзакції'!$C$5:$C$3623,"&lt;"&amp;EDATE(DATEVALUE(C163&amp;"-01"),2))&gt;0,1,0)</f>
        <v>1</v>
      </c>
      <c r="I163" s="37">
        <f>IF(COUNTIFS('📋 Транзакції'!$B$5:$B$3623,A163,'📋 Транзакції'!$C$5:$C$3623,"&gt;="&amp;EDATE(DATEVALUE(C163&amp;"-01"),2),'📋 Транзакції'!$C$5:$C$3623,"&lt;"&amp;EDATE(DATEVALUE(C163&amp;"-01"),3))&gt;0,1,0)</f>
        <v>1</v>
      </c>
      <c r="J163" s="37">
        <f>IF(COUNTIFS('📋 Транзакції'!$B$5:$B$3623,A163,'📋 Транзакції'!$C$5:$C$3623,"&gt;="&amp;EDATE(DATEVALUE(C163&amp;"-01"),3),'📋 Транзакції'!$C$5:$C$3623,"&lt;"&amp;EDATE(DATEVALUE(C163&amp;"-01"),4))&gt;0,1,0)</f>
        <v>1</v>
      </c>
      <c r="K163" s="37">
        <f>IF(COUNTIFS('📋 Транзакції'!$B$5:$B$3623,A163,'📋 Транзакції'!$C$5:$C$3623,"&gt;="&amp;EDATE(DATEVALUE(C163&amp;"-01"),4),'📋 Транзакції'!$C$5:$C$3623,"&lt;"&amp;EDATE(DATEVALUE(C163&amp;"-01"),5))&gt;0,1,0)</f>
        <v>1</v>
      </c>
      <c r="L163" s="37">
        <f>IF(COUNTIFS('📋 Транзакції'!$B$5:$B$3623,A163,'📋 Транзакції'!$C$5:$C$3623,"&gt;="&amp;EDATE(DATEVALUE(C163&amp;"-01"),5),'📋 Транзакції'!$C$5:$C$3623,"&lt;"&amp;EDATE(DATEVALUE(C163&amp;"-01"),6))&gt;0,1,0)</f>
        <v>1</v>
      </c>
      <c r="M163" s="37">
        <f>IF(COUNTIFS('📋 Транзакції'!$B$5:$B$3623,A163,'📋 Транзакції'!$C$5:$C$3623,"&gt;="&amp;EDATE(DATEVALUE(C163&amp;"-01"),6),'📋 Транзакції'!$C$5:$C$3623,"&lt;"&amp;EDATE(DATEVALUE(C163&amp;"-01"),7))&gt;0,1,0)</f>
        <v>1</v>
      </c>
      <c r="N163" s="37">
        <f>IF(COUNTIFS('📋 Транзакції'!$B$5:$B$3623,A163,'📋 Транзакції'!$C$5:$C$3623,"&gt;="&amp;EDATE(DATEVALUE(C163&amp;"-01"),7),'📋 Транзакції'!$C$5:$C$3623,"&lt;"&amp;EDATE(DATEVALUE(C163&amp;"-01"),8))&gt;0,1,0)</f>
        <v>1</v>
      </c>
      <c r="O163" s="37">
        <f>IF(COUNTIFS('📋 Транзакції'!$B$5:$B$3623,A163,'📋 Транзакції'!$C$5:$C$3623,"&gt;="&amp;EDATE(DATEVALUE(C163&amp;"-01"),8),'📋 Транзакції'!$C$5:$C$3623,"&lt;"&amp;EDATE(DATEVALUE(C163&amp;"-01"),9))&gt;0,1,0)</f>
        <v>1</v>
      </c>
      <c r="P163" s="37">
        <f>IF(COUNTIFS('📋 Транзакції'!$B$5:$B$3623,A163,'📋 Транзакції'!$C$5:$C$3623,"&gt;="&amp;EDATE(DATEVALUE(C163&amp;"-01"),9),'📋 Транзакції'!$C$5:$C$3623,"&lt;"&amp;EDATE(DATEVALUE(C163&amp;"-01"),10))&gt;0,1,0)</f>
        <v>1</v>
      </c>
      <c r="Q163" s="37">
        <f>IF(COUNTIFS('📋 Транзакції'!$B$5:$B$3623,A163,'📋 Транзакції'!$C$5:$C$3623,"&gt;="&amp;EDATE(DATEVALUE(C163&amp;"-01"),10),'📋 Транзакції'!$C$5:$C$3623,"&lt;"&amp;EDATE(DATEVALUE(C163&amp;"-01"),11))&gt;0,1,0)</f>
        <v>0</v>
      </c>
      <c r="R163" s="37">
        <f>IF(COUNTIFS('📋 Транзакції'!$B$5:$B$3623,A163,'📋 Транзакції'!$C$5:$C$3623,"&gt;="&amp;EDATE(DATEVALUE(C163&amp;"-01"),11),'📋 Транзакції'!$C$5:$C$3623,"&lt;"&amp;EDATE(DATEVALUE(C163&amp;"-01"),12))&gt;0,1,0)</f>
        <v>0</v>
      </c>
      <c r="S163" s="37">
        <f>SUMIFS('📋 Транзакції'!$F$5:$F$3623,'📋 Транзакції'!$B$5:$B$3623,A163,'📋 Транзакції'!$C$5:$C$3623,"&gt;="&amp;EDATE(DATEVALUE(C163&amp;"-01"),0),'📋 Транзакції'!$C$5:$C$3623,"&lt;"&amp;EDATE(DATEVALUE(C163&amp;"-01"),1))</f>
        <v>19.99</v>
      </c>
      <c r="T163" s="37">
        <f>SUMIFS('📋 Транзакції'!$F$5:$F$3623,'📋 Транзакції'!$B$5:$B$3623,A163,'📋 Транзакції'!$C$5:$C$3623,"&gt;="&amp;EDATE(DATEVALUE(C163&amp;"-01"),1),'📋 Транзакції'!$C$5:$C$3623,"&lt;"&amp;EDATE(DATEVALUE(C163&amp;"-01"),2))</f>
        <v>19.99</v>
      </c>
      <c r="U163" s="37">
        <f>SUMIFS('📋 Транзакції'!$F$5:$F$3623,'📋 Транзакції'!$B$5:$B$3623,A163,'📋 Транзакції'!$C$5:$C$3623,"&gt;="&amp;EDATE(DATEVALUE(C163&amp;"-01"),2),'📋 Транзакції'!$C$5:$C$3623,"&lt;"&amp;EDATE(DATEVALUE(C163&amp;"-01"),3))</f>
        <v>19.99</v>
      </c>
      <c r="V163" s="37">
        <f>SUMIFS('📋 Транзакції'!$F$5:$F$3623,'📋 Транзакції'!$B$5:$B$3623,A163,'📋 Транзакції'!$C$5:$C$3623,"&gt;="&amp;EDATE(DATEVALUE(C163&amp;"-01"),3),'📋 Транзакції'!$C$5:$C$3623,"&lt;"&amp;EDATE(DATEVALUE(C163&amp;"-01"),4))</f>
        <v>19.99</v>
      </c>
      <c r="W163" s="37">
        <f>SUMIFS('📋 Транзакції'!$F$5:$F$3623,'📋 Транзакції'!$B$5:$B$3623,A163,'📋 Транзакції'!$C$5:$C$3623,"&gt;="&amp;EDATE(DATEVALUE(C163&amp;"-01"),4),'📋 Транзакції'!$C$5:$C$3623,"&lt;"&amp;EDATE(DATEVALUE(C163&amp;"-01"),5))</f>
        <v>19.99</v>
      </c>
      <c r="X163" s="37">
        <f>SUMIFS('📋 Транзакції'!$F$5:$F$3623,'📋 Транзакції'!$B$5:$B$3623,A163,'📋 Транзакції'!$C$5:$C$3623,"&gt;="&amp;EDATE(DATEVALUE(C163&amp;"-01"),5),'📋 Транзакції'!$C$5:$C$3623,"&lt;"&amp;EDATE(DATEVALUE(C163&amp;"-01"),6))</f>
        <v>19.99</v>
      </c>
      <c r="Y163" s="37">
        <f>SUMIFS('📋 Транзакції'!$F$5:$F$3623,'📋 Транзакції'!$B$5:$B$3623,A163,'📋 Транзакції'!$C$5:$C$3623,"&gt;="&amp;EDATE(DATEVALUE(C163&amp;"-01"),6),'📋 Транзакції'!$C$5:$C$3623,"&lt;"&amp;EDATE(DATEVALUE(C163&amp;"-01"),7))</f>
        <v>19.99</v>
      </c>
      <c r="Z163" s="37">
        <f>SUMIFS('📋 Транзакції'!$F$5:$F$3623,'📋 Транзакції'!$B$5:$B$3623,A163,'📋 Транзакції'!$C$5:$C$3623,"&gt;="&amp;EDATE(DATEVALUE(C163&amp;"-01"),7),'📋 Транзакції'!$C$5:$C$3623,"&lt;"&amp;EDATE(DATEVALUE(C163&amp;"-01"),8))</f>
        <v>19.99</v>
      </c>
      <c r="AA163" s="37">
        <f>SUMIFS('📋 Транзакції'!$F$5:$F$3623,'📋 Транзакції'!$B$5:$B$3623,A163,'📋 Транзакції'!$C$5:$C$3623,"&gt;="&amp;EDATE(DATEVALUE(C163&amp;"-01"),8),'📋 Транзакції'!$C$5:$C$3623,"&lt;"&amp;EDATE(DATEVALUE(C163&amp;"-01"),9))</f>
        <v>19.99</v>
      </c>
      <c r="AB163" s="37">
        <f>SUMIFS('📋 Транзакції'!$F$5:$F$3623,'📋 Транзакції'!$B$5:$B$3623,A163,'📋 Транзакції'!$C$5:$C$3623,"&gt;="&amp;EDATE(DATEVALUE(C163&amp;"-01"),9),'📋 Транзакції'!$C$5:$C$3623,"&lt;"&amp;EDATE(DATEVALUE(C163&amp;"-01"),10))</f>
        <v>19.99</v>
      </c>
      <c r="AC163" s="37">
        <f>SUMIFS('📋 Транзакції'!$F$5:$F$3623,'📋 Транзакції'!$B$5:$B$3623,A163,'📋 Транзакції'!$C$5:$C$3623,"&gt;="&amp;EDATE(DATEVALUE(C163&amp;"-01"),10),'📋 Транзакції'!$C$5:$C$3623,"&lt;"&amp;EDATE(DATEVALUE(C163&amp;"-01"),11))</f>
        <v>0</v>
      </c>
      <c r="AD163" s="37">
        <f>SUMIFS('📋 Транзакції'!$F$5:$F$3623,'📋 Транзакції'!$B$5:$B$3623,A163,'📋 Транзакції'!$C$5:$C$3623,"&gt;="&amp;EDATE(DATEVALUE(C163&amp;"-01"),11),'📋 Транзакції'!$C$5:$C$3623,"&lt;"&amp;EDATE(DATEVALUE(C163&amp;"-01"),12))</f>
        <v>0</v>
      </c>
    </row>
    <row r="164" ht="15.75" customHeight="1">
      <c r="A164" s="33" t="str">
        <f>'📋 Реєстрації'!A164:A765</f>
        <v>U0682</v>
      </c>
      <c r="B164" s="34">
        <f t="array" ref="B164">INDEX('📋 Транзакції'!$C$5:$C$3623,MATCH(A164,'📋 Транзакції'!$B$5:$B$3623,0))</f>
        <v>45450</v>
      </c>
      <c r="C164" s="35" t="str">
        <f t="shared" si="1"/>
        <v>2024-06</v>
      </c>
      <c r="D164" s="36">
        <f>COUNTIF('📋 Транзакції'!$B$5:$B$3623,A164)</f>
        <v>4</v>
      </c>
      <c r="E164" s="36">
        <f>SUMIF('📋 Транзакції'!$B$5:$B$3623,A164,'📋 Транзакції'!$F$5:$F$3623)</f>
        <v>59.97</v>
      </c>
      <c r="F164" s="35">
        <f>INT($A$1-MAXIFS('📋 Транзакції'!$C$5:$C$3623,'📋 Транзакції'!$B$5:$B$3623,A164))</f>
        <v>230</v>
      </c>
      <c r="G164" s="37">
        <f>IF(COUNTIFS('📋 Транзакції'!$B$5:$B$3623,A164,'📋 Транзакції'!$C$5:$C$3623,"&gt;="&amp;EDATE(DATEVALUE(C164&amp;"-01"),0),'📋 Транзакції'!$C$5:$C$3623,"&lt;"&amp;EDATE(DATEVALUE(C164&amp;"-01"),1))&gt;0,1,0)</f>
        <v>1</v>
      </c>
      <c r="H164" s="37">
        <f>IF(COUNTIFS('📋 Транзакції'!$B$5:$B$3623,A164,'📋 Транзакції'!$C$5:$C$3623,"&gt;="&amp;EDATE(DATEVALUE(C164&amp;"-01"),1),'📋 Транзакції'!$C$5:$C$3623,"&lt;"&amp;EDATE(DATEVALUE(C164&amp;"-01"),2))&gt;0,1,0)</f>
        <v>1</v>
      </c>
      <c r="I164" s="37">
        <f>IF(COUNTIFS('📋 Транзакції'!$B$5:$B$3623,A164,'📋 Транзакції'!$C$5:$C$3623,"&gt;="&amp;EDATE(DATEVALUE(C164&amp;"-01"),2),'📋 Транзакції'!$C$5:$C$3623,"&lt;"&amp;EDATE(DATEVALUE(C164&amp;"-01"),3))&gt;0,1,0)</f>
        <v>1</v>
      </c>
      <c r="J164" s="37">
        <f>IF(COUNTIFS('📋 Транзакції'!$B$5:$B$3623,A164,'📋 Транзакції'!$C$5:$C$3623,"&gt;="&amp;EDATE(DATEVALUE(C164&amp;"-01"),3),'📋 Транзакції'!$C$5:$C$3623,"&lt;"&amp;EDATE(DATEVALUE(C164&amp;"-01"),4))&gt;0,1,0)</f>
        <v>0</v>
      </c>
      <c r="K164" s="37">
        <f>IF(COUNTIFS('📋 Транзакції'!$B$5:$B$3623,A164,'📋 Транзакції'!$C$5:$C$3623,"&gt;="&amp;EDATE(DATEVALUE(C164&amp;"-01"),4),'📋 Транзакції'!$C$5:$C$3623,"&lt;"&amp;EDATE(DATEVALUE(C164&amp;"-01"),5))&gt;0,1,0)</f>
        <v>0</v>
      </c>
      <c r="L164" s="37">
        <f>IF(COUNTIFS('📋 Транзакції'!$B$5:$B$3623,A164,'📋 Транзакції'!$C$5:$C$3623,"&gt;="&amp;EDATE(DATEVALUE(C164&amp;"-01"),5),'📋 Транзакції'!$C$5:$C$3623,"&lt;"&amp;EDATE(DATEVALUE(C164&amp;"-01"),6))&gt;0,1,0)</f>
        <v>0</v>
      </c>
      <c r="M164" s="37">
        <f>IF(COUNTIFS('📋 Транзакції'!$B$5:$B$3623,A164,'📋 Транзакції'!$C$5:$C$3623,"&gt;="&amp;EDATE(DATEVALUE(C164&amp;"-01"),6),'📋 Транзакції'!$C$5:$C$3623,"&lt;"&amp;EDATE(DATEVALUE(C164&amp;"-01"),7))&gt;0,1,0)</f>
        <v>0</v>
      </c>
      <c r="N164" s="37">
        <f>IF(COUNTIFS('📋 Транзакції'!$B$5:$B$3623,A164,'📋 Транзакції'!$C$5:$C$3623,"&gt;="&amp;EDATE(DATEVALUE(C164&amp;"-01"),7),'📋 Транзакції'!$C$5:$C$3623,"&lt;"&amp;EDATE(DATEVALUE(C164&amp;"-01"),8))&gt;0,1,0)</f>
        <v>0</v>
      </c>
      <c r="O164" s="37">
        <f>IF(COUNTIFS('📋 Транзакції'!$B$5:$B$3623,A164,'📋 Транзакції'!$C$5:$C$3623,"&gt;="&amp;EDATE(DATEVALUE(C164&amp;"-01"),8),'📋 Транзакції'!$C$5:$C$3623,"&lt;"&amp;EDATE(DATEVALUE(C164&amp;"-01"),9))&gt;0,1,0)</f>
        <v>0</v>
      </c>
      <c r="P164" s="37">
        <f>IF(COUNTIFS('📋 Транзакції'!$B$5:$B$3623,A164,'📋 Транзакції'!$C$5:$C$3623,"&gt;="&amp;EDATE(DATEVALUE(C164&amp;"-01"),9),'📋 Транзакції'!$C$5:$C$3623,"&lt;"&amp;EDATE(DATEVALUE(C164&amp;"-01"),10))&gt;0,1,0)</f>
        <v>0</v>
      </c>
      <c r="Q164" s="37">
        <f>IF(COUNTIFS('📋 Транзакції'!$B$5:$B$3623,A164,'📋 Транзакції'!$C$5:$C$3623,"&gt;="&amp;EDATE(DATEVALUE(C164&amp;"-01"),10),'📋 Транзакції'!$C$5:$C$3623,"&lt;"&amp;EDATE(DATEVALUE(C164&amp;"-01"),11))&gt;0,1,0)</f>
        <v>0</v>
      </c>
      <c r="R164" s="37">
        <f>IF(COUNTIFS('📋 Транзакції'!$B$5:$B$3623,A164,'📋 Транзакції'!$C$5:$C$3623,"&gt;="&amp;EDATE(DATEVALUE(C164&amp;"-01"),11),'📋 Транзакції'!$C$5:$C$3623,"&lt;"&amp;EDATE(DATEVALUE(C164&amp;"-01"),12))&gt;0,1,0)</f>
        <v>0</v>
      </c>
      <c r="S164" s="37">
        <f>SUMIFS('📋 Транзакції'!$F$5:$F$3623,'📋 Транзакції'!$B$5:$B$3623,A164,'📋 Транзакції'!$C$5:$C$3623,"&gt;="&amp;EDATE(DATEVALUE(C164&amp;"-01"),0),'📋 Транзакції'!$C$5:$C$3623,"&lt;"&amp;EDATE(DATEVALUE(C164&amp;"-01"),1))</f>
        <v>19.99</v>
      </c>
      <c r="T164" s="37">
        <f>SUMIFS('📋 Транзакції'!$F$5:$F$3623,'📋 Транзакції'!$B$5:$B$3623,A164,'📋 Транзакції'!$C$5:$C$3623,"&gt;="&amp;EDATE(DATEVALUE(C164&amp;"-01"),1),'📋 Транзакції'!$C$5:$C$3623,"&lt;"&amp;EDATE(DATEVALUE(C164&amp;"-01"),2))</f>
        <v>19.99</v>
      </c>
      <c r="U164" s="37">
        <f>SUMIFS('📋 Транзакції'!$F$5:$F$3623,'📋 Транзакції'!$B$5:$B$3623,A164,'📋 Транзакції'!$C$5:$C$3623,"&gt;="&amp;EDATE(DATEVALUE(C164&amp;"-01"),2),'📋 Транзакції'!$C$5:$C$3623,"&lt;"&amp;EDATE(DATEVALUE(C164&amp;"-01"),3))</f>
        <v>19.99</v>
      </c>
      <c r="V164" s="37">
        <f>SUMIFS('📋 Транзакції'!$F$5:$F$3623,'📋 Транзакції'!$B$5:$B$3623,A164,'📋 Транзакції'!$C$5:$C$3623,"&gt;="&amp;EDATE(DATEVALUE(C164&amp;"-01"),3),'📋 Транзакції'!$C$5:$C$3623,"&lt;"&amp;EDATE(DATEVALUE(C164&amp;"-01"),4))</f>
        <v>0</v>
      </c>
      <c r="W164" s="37">
        <f>SUMIFS('📋 Транзакції'!$F$5:$F$3623,'📋 Транзакції'!$B$5:$B$3623,A164,'📋 Транзакції'!$C$5:$C$3623,"&gt;="&amp;EDATE(DATEVALUE(C164&amp;"-01"),4),'📋 Транзакції'!$C$5:$C$3623,"&lt;"&amp;EDATE(DATEVALUE(C164&amp;"-01"),5))</f>
        <v>0</v>
      </c>
      <c r="X164" s="37">
        <f>SUMIFS('📋 Транзакції'!$F$5:$F$3623,'📋 Транзакції'!$B$5:$B$3623,A164,'📋 Транзакції'!$C$5:$C$3623,"&gt;="&amp;EDATE(DATEVALUE(C164&amp;"-01"),5),'📋 Транзакції'!$C$5:$C$3623,"&lt;"&amp;EDATE(DATEVALUE(C164&amp;"-01"),6))</f>
        <v>0</v>
      </c>
      <c r="Y164" s="37">
        <f>SUMIFS('📋 Транзакції'!$F$5:$F$3623,'📋 Транзакції'!$B$5:$B$3623,A164,'📋 Транзакції'!$C$5:$C$3623,"&gt;="&amp;EDATE(DATEVALUE(C164&amp;"-01"),6),'📋 Транзакції'!$C$5:$C$3623,"&lt;"&amp;EDATE(DATEVALUE(C164&amp;"-01"),7))</f>
        <v>0</v>
      </c>
      <c r="Z164" s="37">
        <f>SUMIFS('📋 Транзакції'!$F$5:$F$3623,'📋 Транзакції'!$B$5:$B$3623,A164,'📋 Транзакції'!$C$5:$C$3623,"&gt;="&amp;EDATE(DATEVALUE(C164&amp;"-01"),7),'📋 Транзакції'!$C$5:$C$3623,"&lt;"&amp;EDATE(DATEVALUE(C164&amp;"-01"),8))</f>
        <v>0</v>
      </c>
      <c r="AA164" s="37">
        <f>SUMIFS('📋 Транзакції'!$F$5:$F$3623,'📋 Транзакції'!$B$5:$B$3623,A164,'📋 Транзакції'!$C$5:$C$3623,"&gt;="&amp;EDATE(DATEVALUE(C164&amp;"-01"),8),'📋 Транзакції'!$C$5:$C$3623,"&lt;"&amp;EDATE(DATEVALUE(C164&amp;"-01"),9))</f>
        <v>0</v>
      </c>
      <c r="AB164" s="37">
        <f>SUMIFS('📋 Транзакції'!$F$5:$F$3623,'📋 Транзакції'!$B$5:$B$3623,A164,'📋 Транзакції'!$C$5:$C$3623,"&gt;="&amp;EDATE(DATEVALUE(C164&amp;"-01"),9),'📋 Транзакції'!$C$5:$C$3623,"&lt;"&amp;EDATE(DATEVALUE(C164&amp;"-01"),10))</f>
        <v>0</v>
      </c>
      <c r="AC164" s="37">
        <f>SUMIFS('📋 Транзакції'!$F$5:$F$3623,'📋 Транзакції'!$B$5:$B$3623,A164,'📋 Транзакції'!$C$5:$C$3623,"&gt;="&amp;EDATE(DATEVALUE(C164&amp;"-01"),10),'📋 Транзакції'!$C$5:$C$3623,"&lt;"&amp;EDATE(DATEVALUE(C164&amp;"-01"),11))</f>
        <v>0</v>
      </c>
      <c r="AD164" s="37">
        <f>SUMIFS('📋 Транзакції'!$F$5:$F$3623,'📋 Транзакції'!$B$5:$B$3623,A164,'📋 Транзакції'!$C$5:$C$3623,"&gt;="&amp;EDATE(DATEVALUE(C164&amp;"-01"),11),'📋 Транзакції'!$C$5:$C$3623,"&lt;"&amp;EDATE(DATEVALUE(C164&amp;"-01"),12))</f>
        <v>0</v>
      </c>
    </row>
    <row r="165" ht="15.75" customHeight="1">
      <c r="A165" s="33" t="str">
        <f>'📋 Реєстрації'!A165:A766</f>
        <v>U0190</v>
      </c>
      <c r="B165" s="34">
        <f t="array" ref="B165">INDEX('📋 Транзакції'!$C$5:$C$3623,MATCH(A165,'📋 Транзакції'!$B$5:$B$3623,0))</f>
        <v>45455</v>
      </c>
      <c r="C165" s="35" t="str">
        <f t="shared" si="1"/>
        <v>2024-06</v>
      </c>
      <c r="D165" s="36">
        <f>COUNTIF('📋 Транзакції'!$B$5:$B$3623,A165)</f>
        <v>3</v>
      </c>
      <c r="E165" s="36">
        <f>SUMIF('📋 Транзакції'!$B$5:$B$3623,A165,'📋 Транзакції'!$F$5:$F$3623)</f>
        <v>39.98</v>
      </c>
      <c r="F165" s="35">
        <f>INT($A$1-MAXIFS('📋 Транзакції'!$C$5:$C$3623,'📋 Транзакції'!$B$5:$B$3623,A165))</f>
        <v>255</v>
      </c>
      <c r="G165" s="37">
        <f>IF(COUNTIFS('📋 Транзакції'!$B$5:$B$3623,A165,'📋 Транзакції'!$C$5:$C$3623,"&gt;="&amp;EDATE(DATEVALUE(C165&amp;"-01"),0),'📋 Транзакції'!$C$5:$C$3623,"&lt;"&amp;EDATE(DATEVALUE(C165&amp;"-01"),1))&gt;0,1,0)</f>
        <v>1</v>
      </c>
      <c r="H165" s="37">
        <f>IF(COUNTIFS('📋 Транзакції'!$B$5:$B$3623,A165,'📋 Транзакції'!$C$5:$C$3623,"&gt;="&amp;EDATE(DATEVALUE(C165&amp;"-01"),1),'📋 Транзакції'!$C$5:$C$3623,"&lt;"&amp;EDATE(DATEVALUE(C165&amp;"-01"),2))&gt;0,1,0)</f>
        <v>1</v>
      </c>
      <c r="I165" s="37">
        <f>IF(COUNTIFS('📋 Транзакції'!$B$5:$B$3623,A165,'📋 Транзакції'!$C$5:$C$3623,"&gt;="&amp;EDATE(DATEVALUE(C165&amp;"-01"),2),'📋 Транзакції'!$C$5:$C$3623,"&lt;"&amp;EDATE(DATEVALUE(C165&amp;"-01"),3))&gt;0,1,0)</f>
        <v>0</v>
      </c>
      <c r="J165" s="37">
        <f>IF(COUNTIFS('📋 Транзакції'!$B$5:$B$3623,A165,'📋 Транзакції'!$C$5:$C$3623,"&gt;="&amp;EDATE(DATEVALUE(C165&amp;"-01"),3),'📋 Транзакції'!$C$5:$C$3623,"&lt;"&amp;EDATE(DATEVALUE(C165&amp;"-01"),4))&gt;0,1,0)</f>
        <v>0</v>
      </c>
      <c r="K165" s="37">
        <f>IF(COUNTIFS('📋 Транзакції'!$B$5:$B$3623,A165,'📋 Транзакції'!$C$5:$C$3623,"&gt;="&amp;EDATE(DATEVALUE(C165&amp;"-01"),4),'📋 Транзакції'!$C$5:$C$3623,"&lt;"&amp;EDATE(DATEVALUE(C165&amp;"-01"),5))&gt;0,1,0)</f>
        <v>0</v>
      </c>
      <c r="L165" s="37">
        <f>IF(COUNTIFS('📋 Транзакції'!$B$5:$B$3623,A165,'📋 Транзакції'!$C$5:$C$3623,"&gt;="&amp;EDATE(DATEVALUE(C165&amp;"-01"),5),'📋 Транзакції'!$C$5:$C$3623,"&lt;"&amp;EDATE(DATEVALUE(C165&amp;"-01"),6))&gt;0,1,0)</f>
        <v>0</v>
      </c>
      <c r="M165" s="37">
        <f>IF(COUNTIFS('📋 Транзакції'!$B$5:$B$3623,A165,'📋 Транзакції'!$C$5:$C$3623,"&gt;="&amp;EDATE(DATEVALUE(C165&amp;"-01"),6),'📋 Транзакції'!$C$5:$C$3623,"&lt;"&amp;EDATE(DATEVALUE(C165&amp;"-01"),7))&gt;0,1,0)</f>
        <v>0</v>
      </c>
      <c r="N165" s="37">
        <f>IF(COUNTIFS('📋 Транзакції'!$B$5:$B$3623,A165,'📋 Транзакції'!$C$5:$C$3623,"&gt;="&amp;EDATE(DATEVALUE(C165&amp;"-01"),7),'📋 Транзакції'!$C$5:$C$3623,"&lt;"&amp;EDATE(DATEVALUE(C165&amp;"-01"),8))&gt;0,1,0)</f>
        <v>0</v>
      </c>
      <c r="O165" s="37">
        <f>IF(COUNTIFS('📋 Транзакції'!$B$5:$B$3623,A165,'📋 Транзакції'!$C$5:$C$3623,"&gt;="&amp;EDATE(DATEVALUE(C165&amp;"-01"),8),'📋 Транзакції'!$C$5:$C$3623,"&lt;"&amp;EDATE(DATEVALUE(C165&amp;"-01"),9))&gt;0,1,0)</f>
        <v>0</v>
      </c>
      <c r="P165" s="37">
        <f>IF(COUNTIFS('📋 Транзакції'!$B$5:$B$3623,A165,'📋 Транзакції'!$C$5:$C$3623,"&gt;="&amp;EDATE(DATEVALUE(C165&amp;"-01"),9),'📋 Транзакції'!$C$5:$C$3623,"&lt;"&amp;EDATE(DATEVALUE(C165&amp;"-01"),10))&gt;0,1,0)</f>
        <v>0</v>
      </c>
      <c r="Q165" s="37">
        <f>IF(COUNTIFS('📋 Транзакції'!$B$5:$B$3623,A165,'📋 Транзакції'!$C$5:$C$3623,"&gt;="&amp;EDATE(DATEVALUE(C165&amp;"-01"),10),'📋 Транзакції'!$C$5:$C$3623,"&lt;"&amp;EDATE(DATEVALUE(C165&amp;"-01"),11))&gt;0,1,0)</f>
        <v>0</v>
      </c>
      <c r="R165" s="37">
        <f>IF(COUNTIFS('📋 Транзакції'!$B$5:$B$3623,A165,'📋 Транзакції'!$C$5:$C$3623,"&gt;="&amp;EDATE(DATEVALUE(C165&amp;"-01"),11),'📋 Транзакції'!$C$5:$C$3623,"&lt;"&amp;EDATE(DATEVALUE(C165&amp;"-01"),12))&gt;0,1,0)</f>
        <v>0</v>
      </c>
      <c r="S165" s="37">
        <f>SUMIFS('📋 Транзакції'!$F$5:$F$3623,'📋 Транзакції'!$B$5:$B$3623,A165,'📋 Транзакції'!$C$5:$C$3623,"&gt;="&amp;EDATE(DATEVALUE(C165&amp;"-01"),0),'📋 Транзакції'!$C$5:$C$3623,"&lt;"&amp;EDATE(DATEVALUE(C165&amp;"-01"),1))</f>
        <v>19.99</v>
      </c>
      <c r="T165" s="37">
        <f>SUMIFS('📋 Транзакції'!$F$5:$F$3623,'📋 Транзакції'!$B$5:$B$3623,A165,'📋 Транзакції'!$C$5:$C$3623,"&gt;="&amp;EDATE(DATEVALUE(C165&amp;"-01"),1),'📋 Транзакції'!$C$5:$C$3623,"&lt;"&amp;EDATE(DATEVALUE(C165&amp;"-01"),2))</f>
        <v>19.99</v>
      </c>
      <c r="U165" s="37">
        <f>SUMIFS('📋 Транзакції'!$F$5:$F$3623,'📋 Транзакції'!$B$5:$B$3623,A165,'📋 Транзакції'!$C$5:$C$3623,"&gt;="&amp;EDATE(DATEVALUE(C165&amp;"-01"),2),'📋 Транзакції'!$C$5:$C$3623,"&lt;"&amp;EDATE(DATEVALUE(C165&amp;"-01"),3))</f>
        <v>0</v>
      </c>
      <c r="V165" s="37">
        <f>SUMIFS('📋 Транзакції'!$F$5:$F$3623,'📋 Транзакції'!$B$5:$B$3623,A165,'📋 Транзакції'!$C$5:$C$3623,"&gt;="&amp;EDATE(DATEVALUE(C165&amp;"-01"),3),'📋 Транзакції'!$C$5:$C$3623,"&lt;"&amp;EDATE(DATEVALUE(C165&amp;"-01"),4))</f>
        <v>0</v>
      </c>
      <c r="W165" s="37">
        <f>SUMIFS('📋 Транзакції'!$F$5:$F$3623,'📋 Транзакції'!$B$5:$B$3623,A165,'📋 Транзакції'!$C$5:$C$3623,"&gt;="&amp;EDATE(DATEVALUE(C165&amp;"-01"),4),'📋 Транзакції'!$C$5:$C$3623,"&lt;"&amp;EDATE(DATEVALUE(C165&amp;"-01"),5))</f>
        <v>0</v>
      </c>
      <c r="X165" s="37">
        <f>SUMIFS('📋 Транзакції'!$F$5:$F$3623,'📋 Транзакції'!$B$5:$B$3623,A165,'📋 Транзакції'!$C$5:$C$3623,"&gt;="&amp;EDATE(DATEVALUE(C165&amp;"-01"),5),'📋 Транзакції'!$C$5:$C$3623,"&lt;"&amp;EDATE(DATEVALUE(C165&amp;"-01"),6))</f>
        <v>0</v>
      </c>
      <c r="Y165" s="37">
        <f>SUMIFS('📋 Транзакції'!$F$5:$F$3623,'📋 Транзакції'!$B$5:$B$3623,A165,'📋 Транзакції'!$C$5:$C$3623,"&gt;="&amp;EDATE(DATEVALUE(C165&amp;"-01"),6),'📋 Транзакції'!$C$5:$C$3623,"&lt;"&amp;EDATE(DATEVALUE(C165&amp;"-01"),7))</f>
        <v>0</v>
      </c>
      <c r="Z165" s="37">
        <f>SUMIFS('📋 Транзакції'!$F$5:$F$3623,'📋 Транзакції'!$B$5:$B$3623,A165,'📋 Транзакції'!$C$5:$C$3623,"&gt;="&amp;EDATE(DATEVALUE(C165&amp;"-01"),7),'📋 Транзакції'!$C$5:$C$3623,"&lt;"&amp;EDATE(DATEVALUE(C165&amp;"-01"),8))</f>
        <v>0</v>
      </c>
      <c r="AA165" s="37">
        <f>SUMIFS('📋 Транзакції'!$F$5:$F$3623,'📋 Транзакції'!$B$5:$B$3623,A165,'📋 Транзакції'!$C$5:$C$3623,"&gt;="&amp;EDATE(DATEVALUE(C165&amp;"-01"),8),'📋 Транзакції'!$C$5:$C$3623,"&lt;"&amp;EDATE(DATEVALUE(C165&amp;"-01"),9))</f>
        <v>0</v>
      </c>
      <c r="AB165" s="37">
        <f>SUMIFS('📋 Транзакції'!$F$5:$F$3623,'📋 Транзакції'!$B$5:$B$3623,A165,'📋 Транзакції'!$C$5:$C$3623,"&gt;="&amp;EDATE(DATEVALUE(C165&amp;"-01"),9),'📋 Транзакції'!$C$5:$C$3623,"&lt;"&amp;EDATE(DATEVALUE(C165&amp;"-01"),10))</f>
        <v>0</v>
      </c>
      <c r="AC165" s="37">
        <f>SUMIFS('📋 Транзакції'!$F$5:$F$3623,'📋 Транзакції'!$B$5:$B$3623,A165,'📋 Транзакції'!$C$5:$C$3623,"&gt;="&amp;EDATE(DATEVALUE(C165&amp;"-01"),10),'📋 Транзакції'!$C$5:$C$3623,"&lt;"&amp;EDATE(DATEVALUE(C165&amp;"-01"),11))</f>
        <v>0</v>
      </c>
      <c r="AD165" s="37">
        <f>SUMIFS('📋 Транзакції'!$F$5:$F$3623,'📋 Транзакції'!$B$5:$B$3623,A165,'📋 Транзакції'!$C$5:$C$3623,"&gt;="&amp;EDATE(DATEVALUE(C165&amp;"-01"),11),'📋 Транзакції'!$C$5:$C$3623,"&lt;"&amp;EDATE(DATEVALUE(C165&amp;"-01"),12))</f>
        <v>0</v>
      </c>
    </row>
    <row r="166" ht="15.75" customHeight="1">
      <c r="A166" s="33" t="str">
        <f>'📋 Реєстрації'!A166:A767</f>
        <v>U0880</v>
      </c>
      <c r="B166" s="34">
        <f t="array" ref="B166">INDEX('📋 Транзакції'!$C$5:$C$3623,MATCH(A166,'📋 Транзакції'!$B$5:$B$3623,0))</f>
        <v>45458</v>
      </c>
      <c r="C166" s="35" t="str">
        <f t="shared" si="1"/>
        <v>2024-06</v>
      </c>
      <c r="D166" s="36">
        <f>COUNTIF('📋 Транзакції'!$B$5:$B$3623,A166)</f>
        <v>2</v>
      </c>
      <c r="E166" s="36">
        <f>SUMIF('📋 Транзакції'!$B$5:$B$3623,A166,'📋 Транзакції'!$F$5:$F$3623)</f>
        <v>19.99</v>
      </c>
      <c r="F166" s="35">
        <f>INT($A$1-MAXIFS('📋 Транзакції'!$C$5:$C$3623,'📋 Транзакції'!$B$5:$B$3623,A166))</f>
        <v>282</v>
      </c>
      <c r="G166" s="37">
        <f>IF(COUNTIFS('📋 Транзакції'!$B$5:$B$3623,A166,'📋 Транзакції'!$C$5:$C$3623,"&gt;="&amp;EDATE(DATEVALUE(C166&amp;"-01"),0),'📋 Транзакції'!$C$5:$C$3623,"&lt;"&amp;EDATE(DATEVALUE(C166&amp;"-01"),1))&gt;0,1,0)</f>
        <v>1</v>
      </c>
      <c r="H166" s="37">
        <f>IF(COUNTIFS('📋 Транзакції'!$B$5:$B$3623,A166,'📋 Транзакції'!$C$5:$C$3623,"&gt;="&amp;EDATE(DATEVALUE(C166&amp;"-01"),1),'📋 Транзакції'!$C$5:$C$3623,"&lt;"&amp;EDATE(DATEVALUE(C166&amp;"-01"),2))&gt;0,1,0)</f>
        <v>0</v>
      </c>
      <c r="I166" s="37">
        <f>IF(COUNTIFS('📋 Транзакції'!$B$5:$B$3623,A166,'📋 Транзакції'!$C$5:$C$3623,"&gt;="&amp;EDATE(DATEVALUE(C166&amp;"-01"),2),'📋 Транзакції'!$C$5:$C$3623,"&lt;"&amp;EDATE(DATEVALUE(C166&amp;"-01"),3))&gt;0,1,0)</f>
        <v>0</v>
      </c>
      <c r="J166" s="37">
        <f>IF(COUNTIFS('📋 Транзакції'!$B$5:$B$3623,A166,'📋 Транзакції'!$C$5:$C$3623,"&gt;="&amp;EDATE(DATEVALUE(C166&amp;"-01"),3),'📋 Транзакції'!$C$5:$C$3623,"&lt;"&amp;EDATE(DATEVALUE(C166&amp;"-01"),4))&gt;0,1,0)</f>
        <v>0</v>
      </c>
      <c r="K166" s="37">
        <f>IF(COUNTIFS('📋 Транзакції'!$B$5:$B$3623,A166,'📋 Транзакції'!$C$5:$C$3623,"&gt;="&amp;EDATE(DATEVALUE(C166&amp;"-01"),4),'📋 Транзакції'!$C$5:$C$3623,"&lt;"&amp;EDATE(DATEVALUE(C166&amp;"-01"),5))&gt;0,1,0)</f>
        <v>0</v>
      </c>
      <c r="L166" s="37">
        <f>IF(COUNTIFS('📋 Транзакції'!$B$5:$B$3623,A166,'📋 Транзакції'!$C$5:$C$3623,"&gt;="&amp;EDATE(DATEVALUE(C166&amp;"-01"),5),'📋 Транзакції'!$C$5:$C$3623,"&lt;"&amp;EDATE(DATEVALUE(C166&amp;"-01"),6))&gt;0,1,0)</f>
        <v>0</v>
      </c>
      <c r="M166" s="37">
        <f>IF(COUNTIFS('📋 Транзакції'!$B$5:$B$3623,A166,'📋 Транзакції'!$C$5:$C$3623,"&gt;="&amp;EDATE(DATEVALUE(C166&amp;"-01"),6),'📋 Транзакції'!$C$5:$C$3623,"&lt;"&amp;EDATE(DATEVALUE(C166&amp;"-01"),7))&gt;0,1,0)</f>
        <v>0</v>
      </c>
      <c r="N166" s="37">
        <f>IF(COUNTIFS('📋 Транзакції'!$B$5:$B$3623,A166,'📋 Транзакції'!$C$5:$C$3623,"&gt;="&amp;EDATE(DATEVALUE(C166&amp;"-01"),7),'📋 Транзакції'!$C$5:$C$3623,"&lt;"&amp;EDATE(DATEVALUE(C166&amp;"-01"),8))&gt;0,1,0)</f>
        <v>0</v>
      </c>
      <c r="O166" s="37">
        <f>IF(COUNTIFS('📋 Транзакції'!$B$5:$B$3623,A166,'📋 Транзакції'!$C$5:$C$3623,"&gt;="&amp;EDATE(DATEVALUE(C166&amp;"-01"),8),'📋 Транзакції'!$C$5:$C$3623,"&lt;"&amp;EDATE(DATEVALUE(C166&amp;"-01"),9))&gt;0,1,0)</f>
        <v>0</v>
      </c>
      <c r="P166" s="37">
        <f>IF(COUNTIFS('📋 Транзакції'!$B$5:$B$3623,A166,'📋 Транзакції'!$C$5:$C$3623,"&gt;="&amp;EDATE(DATEVALUE(C166&amp;"-01"),9),'📋 Транзакції'!$C$5:$C$3623,"&lt;"&amp;EDATE(DATEVALUE(C166&amp;"-01"),10))&gt;0,1,0)</f>
        <v>0</v>
      </c>
      <c r="Q166" s="37">
        <f>IF(COUNTIFS('📋 Транзакції'!$B$5:$B$3623,A166,'📋 Транзакції'!$C$5:$C$3623,"&gt;="&amp;EDATE(DATEVALUE(C166&amp;"-01"),10),'📋 Транзакції'!$C$5:$C$3623,"&lt;"&amp;EDATE(DATEVALUE(C166&amp;"-01"),11))&gt;0,1,0)</f>
        <v>0</v>
      </c>
      <c r="R166" s="37">
        <f>IF(COUNTIFS('📋 Транзакції'!$B$5:$B$3623,A166,'📋 Транзакції'!$C$5:$C$3623,"&gt;="&amp;EDATE(DATEVALUE(C166&amp;"-01"),11),'📋 Транзакції'!$C$5:$C$3623,"&lt;"&amp;EDATE(DATEVALUE(C166&amp;"-01"),12))&gt;0,1,0)</f>
        <v>0</v>
      </c>
      <c r="S166" s="37">
        <f>SUMIFS('📋 Транзакції'!$F$5:$F$3623,'📋 Транзакції'!$B$5:$B$3623,A166,'📋 Транзакції'!$C$5:$C$3623,"&gt;="&amp;EDATE(DATEVALUE(C166&amp;"-01"),0),'📋 Транзакції'!$C$5:$C$3623,"&lt;"&amp;EDATE(DATEVALUE(C166&amp;"-01"),1))</f>
        <v>19.99</v>
      </c>
      <c r="T166" s="37">
        <f>SUMIFS('📋 Транзакції'!$F$5:$F$3623,'📋 Транзакції'!$B$5:$B$3623,A166,'📋 Транзакції'!$C$5:$C$3623,"&gt;="&amp;EDATE(DATEVALUE(C166&amp;"-01"),1),'📋 Транзакції'!$C$5:$C$3623,"&lt;"&amp;EDATE(DATEVALUE(C166&amp;"-01"),2))</f>
        <v>0</v>
      </c>
      <c r="U166" s="37">
        <f>SUMIFS('📋 Транзакції'!$F$5:$F$3623,'📋 Транзакції'!$B$5:$B$3623,A166,'📋 Транзакції'!$C$5:$C$3623,"&gt;="&amp;EDATE(DATEVALUE(C166&amp;"-01"),2),'📋 Транзакції'!$C$5:$C$3623,"&lt;"&amp;EDATE(DATEVALUE(C166&amp;"-01"),3))</f>
        <v>0</v>
      </c>
      <c r="V166" s="37">
        <f>SUMIFS('📋 Транзакції'!$F$5:$F$3623,'📋 Транзакції'!$B$5:$B$3623,A166,'📋 Транзакції'!$C$5:$C$3623,"&gt;="&amp;EDATE(DATEVALUE(C166&amp;"-01"),3),'📋 Транзакції'!$C$5:$C$3623,"&lt;"&amp;EDATE(DATEVALUE(C166&amp;"-01"),4))</f>
        <v>0</v>
      </c>
      <c r="W166" s="37">
        <f>SUMIFS('📋 Транзакції'!$F$5:$F$3623,'📋 Транзакції'!$B$5:$B$3623,A166,'📋 Транзакції'!$C$5:$C$3623,"&gt;="&amp;EDATE(DATEVALUE(C166&amp;"-01"),4),'📋 Транзакції'!$C$5:$C$3623,"&lt;"&amp;EDATE(DATEVALUE(C166&amp;"-01"),5))</f>
        <v>0</v>
      </c>
      <c r="X166" s="37">
        <f>SUMIFS('📋 Транзакції'!$F$5:$F$3623,'📋 Транзакції'!$B$5:$B$3623,A166,'📋 Транзакції'!$C$5:$C$3623,"&gt;="&amp;EDATE(DATEVALUE(C166&amp;"-01"),5),'📋 Транзакції'!$C$5:$C$3623,"&lt;"&amp;EDATE(DATEVALUE(C166&amp;"-01"),6))</f>
        <v>0</v>
      </c>
      <c r="Y166" s="37">
        <f>SUMIFS('📋 Транзакції'!$F$5:$F$3623,'📋 Транзакції'!$B$5:$B$3623,A166,'📋 Транзакції'!$C$5:$C$3623,"&gt;="&amp;EDATE(DATEVALUE(C166&amp;"-01"),6),'📋 Транзакції'!$C$5:$C$3623,"&lt;"&amp;EDATE(DATEVALUE(C166&amp;"-01"),7))</f>
        <v>0</v>
      </c>
      <c r="Z166" s="37">
        <f>SUMIFS('📋 Транзакції'!$F$5:$F$3623,'📋 Транзакції'!$B$5:$B$3623,A166,'📋 Транзакції'!$C$5:$C$3623,"&gt;="&amp;EDATE(DATEVALUE(C166&amp;"-01"),7),'📋 Транзакції'!$C$5:$C$3623,"&lt;"&amp;EDATE(DATEVALUE(C166&amp;"-01"),8))</f>
        <v>0</v>
      </c>
      <c r="AA166" s="37">
        <f>SUMIFS('📋 Транзакції'!$F$5:$F$3623,'📋 Транзакції'!$B$5:$B$3623,A166,'📋 Транзакції'!$C$5:$C$3623,"&gt;="&amp;EDATE(DATEVALUE(C166&amp;"-01"),8),'📋 Транзакції'!$C$5:$C$3623,"&lt;"&amp;EDATE(DATEVALUE(C166&amp;"-01"),9))</f>
        <v>0</v>
      </c>
      <c r="AB166" s="37">
        <f>SUMIFS('📋 Транзакції'!$F$5:$F$3623,'📋 Транзакції'!$B$5:$B$3623,A166,'📋 Транзакції'!$C$5:$C$3623,"&gt;="&amp;EDATE(DATEVALUE(C166&amp;"-01"),9),'📋 Транзакції'!$C$5:$C$3623,"&lt;"&amp;EDATE(DATEVALUE(C166&amp;"-01"),10))</f>
        <v>0</v>
      </c>
      <c r="AC166" s="37">
        <f>SUMIFS('📋 Транзакції'!$F$5:$F$3623,'📋 Транзакції'!$B$5:$B$3623,A166,'📋 Транзакції'!$C$5:$C$3623,"&gt;="&amp;EDATE(DATEVALUE(C166&amp;"-01"),10),'📋 Транзакції'!$C$5:$C$3623,"&lt;"&amp;EDATE(DATEVALUE(C166&amp;"-01"),11))</f>
        <v>0</v>
      </c>
      <c r="AD166" s="37">
        <f>SUMIFS('📋 Транзакції'!$F$5:$F$3623,'📋 Транзакції'!$B$5:$B$3623,A166,'📋 Транзакції'!$C$5:$C$3623,"&gt;="&amp;EDATE(DATEVALUE(C166&amp;"-01"),11),'📋 Транзакції'!$C$5:$C$3623,"&lt;"&amp;EDATE(DATEVALUE(C166&amp;"-01"),12))</f>
        <v>0</v>
      </c>
    </row>
    <row r="167" ht="15.75" customHeight="1">
      <c r="A167" s="33" t="str">
        <f>'📋 Реєстрації'!A167:A768</f>
        <v>U0298</v>
      </c>
      <c r="B167" s="34">
        <f t="array" ref="B167">INDEX('📋 Транзакції'!$C$5:$C$3623,MATCH(A167,'📋 Транзакції'!$B$5:$B$3623,0))</f>
        <v>45460</v>
      </c>
      <c r="C167" s="35" t="str">
        <f t="shared" si="1"/>
        <v>2024-06</v>
      </c>
      <c r="D167" s="36">
        <f>COUNTIF('📋 Транзакції'!$B$5:$B$3623,A167)</f>
        <v>2</v>
      </c>
      <c r="E167" s="36">
        <f>SUMIF('📋 Транзакції'!$B$5:$B$3623,A167,'📋 Транзакції'!$F$5:$F$3623)</f>
        <v>19.99</v>
      </c>
      <c r="F167" s="35">
        <f>INT($A$1-MAXIFS('📋 Транзакції'!$C$5:$C$3623,'📋 Транзакції'!$B$5:$B$3623,A167))</f>
        <v>280</v>
      </c>
      <c r="G167" s="37">
        <f>IF(COUNTIFS('📋 Транзакції'!$B$5:$B$3623,A167,'📋 Транзакції'!$C$5:$C$3623,"&gt;="&amp;EDATE(DATEVALUE(C167&amp;"-01"),0),'📋 Транзакції'!$C$5:$C$3623,"&lt;"&amp;EDATE(DATEVALUE(C167&amp;"-01"),1))&gt;0,1,0)</f>
        <v>1</v>
      </c>
      <c r="H167" s="37">
        <f>IF(COUNTIFS('📋 Транзакції'!$B$5:$B$3623,A167,'📋 Транзакції'!$C$5:$C$3623,"&gt;="&amp;EDATE(DATEVALUE(C167&amp;"-01"),1),'📋 Транзакції'!$C$5:$C$3623,"&lt;"&amp;EDATE(DATEVALUE(C167&amp;"-01"),2))&gt;0,1,0)</f>
        <v>0</v>
      </c>
      <c r="I167" s="37">
        <f>IF(COUNTIFS('📋 Транзакції'!$B$5:$B$3623,A167,'📋 Транзакції'!$C$5:$C$3623,"&gt;="&amp;EDATE(DATEVALUE(C167&amp;"-01"),2),'📋 Транзакції'!$C$5:$C$3623,"&lt;"&amp;EDATE(DATEVALUE(C167&amp;"-01"),3))&gt;0,1,0)</f>
        <v>0</v>
      </c>
      <c r="J167" s="37">
        <f>IF(COUNTIFS('📋 Транзакції'!$B$5:$B$3623,A167,'📋 Транзакції'!$C$5:$C$3623,"&gt;="&amp;EDATE(DATEVALUE(C167&amp;"-01"),3),'📋 Транзакції'!$C$5:$C$3623,"&lt;"&amp;EDATE(DATEVALUE(C167&amp;"-01"),4))&gt;0,1,0)</f>
        <v>0</v>
      </c>
      <c r="K167" s="37">
        <f>IF(COUNTIFS('📋 Транзакції'!$B$5:$B$3623,A167,'📋 Транзакції'!$C$5:$C$3623,"&gt;="&amp;EDATE(DATEVALUE(C167&amp;"-01"),4),'📋 Транзакції'!$C$5:$C$3623,"&lt;"&amp;EDATE(DATEVALUE(C167&amp;"-01"),5))&gt;0,1,0)</f>
        <v>0</v>
      </c>
      <c r="L167" s="37">
        <f>IF(COUNTIFS('📋 Транзакції'!$B$5:$B$3623,A167,'📋 Транзакції'!$C$5:$C$3623,"&gt;="&amp;EDATE(DATEVALUE(C167&amp;"-01"),5),'📋 Транзакції'!$C$5:$C$3623,"&lt;"&amp;EDATE(DATEVALUE(C167&amp;"-01"),6))&gt;0,1,0)</f>
        <v>0</v>
      </c>
      <c r="M167" s="37">
        <f>IF(COUNTIFS('📋 Транзакції'!$B$5:$B$3623,A167,'📋 Транзакції'!$C$5:$C$3623,"&gt;="&amp;EDATE(DATEVALUE(C167&amp;"-01"),6),'📋 Транзакції'!$C$5:$C$3623,"&lt;"&amp;EDATE(DATEVALUE(C167&amp;"-01"),7))&gt;0,1,0)</f>
        <v>0</v>
      </c>
      <c r="N167" s="37">
        <f>IF(COUNTIFS('📋 Транзакції'!$B$5:$B$3623,A167,'📋 Транзакції'!$C$5:$C$3623,"&gt;="&amp;EDATE(DATEVALUE(C167&amp;"-01"),7),'📋 Транзакції'!$C$5:$C$3623,"&lt;"&amp;EDATE(DATEVALUE(C167&amp;"-01"),8))&gt;0,1,0)</f>
        <v>0</v>
      </c>
      <c r="O167" s="37">
        <f>IF(COUNTIFS('📋 Транзакції'!$B$5:$B$3623,A167,'📋 Транзакції'!$C$5:$C$3623,"&gt;="&amp;EDATE(DATEVALUE(C167&amp;"-01"),8),'📋 Транзакції'!$C$5:$C$3623,"&lt;"&amp;EDATE(DATEVALUE(C167&amp;"-01"),9))&gt;0,1,0)</f>
        <v>0</v>
      </c>
      <c r="P167" s="37">
        <f>IF(COUNTIFS('📋 Транзакції'!$B$5:$B$3623,A167,'📋 Транзакції'!$C$5:$C$3623,"&gt;="&amp;EDATE(DATEVALUE(C167&amp;"-01"),9),'📋 Транзакції'!$C$5:$C$3623,"&lt;"&amp;EDATE(DATEVALUE(C167&amp;"-01"),10))&gt;0,1,0)</f>
        <v>0</v>
      </c>
      <c r="Q167" s="37">
        <f>IF(COUNTIFS('📋 Транзакції'!$B$5:$B$3623,A167,'📋 Транзакції'!$C$5:$C$3623,"&gt;="&amp;EDATE(DATEVALUE(C167&amp;"-01"),10),'📋 Транзакції'!$C$5:$C$3623,"&lt;"&amp;EDATE(DATEVALUE(C167&amp;"-01"),11))&gt;0,1,0)</f>
        <v>0</v>
      </c>
      <c r="R167" s="37">
        <f>IF(COUNTIFS('📋 Транзакції'!$B$5:$B$3623,A167,'📋 Транзакції'!$C$5:$C$3623,"&gt;="&amp;EDATE(DATEVALUE(C167&amp;"-01"),11),'📋 Транзакції'!$C$5:$C$3623,"&lt;"&amp;EDATE(DATEVALUE(C167&amp;"-01"),12))&gt;0,1,0)</f>
        <v>0</v>
      </c>
      <c r="S167" s="37">
        <f>SUMIFS('📋 Транзакції'!$F$5:$F$3623,'📋 Транзакції'!$B$5:$B$3623,A167,'📋 Транзакції'!$C$5:$C$3623,"&gt;="&amp;EDATE(DATEVALUE(C167&amp;"-01"),0),'📋 Транзакції'!$C$5:$C$3623,"&lt;"&amp;EDATE(DATEVALUE(C167&amp;"-01"),1))</f>
        <v>19.99</v>
      </c>
      <c r="T167" s="37">
        <f>SUMIFS('📋 Транзакції'!$F$5:$F$3623,'📋 Транзакції'!$B$5:$B$3623,A167,'📋 Транзакції'!$C$5:$C$3623,"&gt;="&amp;EDATE(DATEVALUE(C167&amp;"-01"),1),'📋 Транзакції'!$C$5:$C$3623,"&lt;"&amp;EDATE(DATEVALUE(C167&amp;"-01"),2))</f>
        <v>0</v>
      </c>
      <c r="U167" s="37">
        <f>SUMIFS('📋 Транзакції'!$F$5:$F$3623,'📋 Транзакції'!$B$5:$B$3623,A167,'📋 Транзакції'!$C$5:$C$3623,"&gt;="&amp;EDATE(DATEVALUE(C167&amp;"-01"),2),'📋 Транзакції'!$C$5:$C$3623,"&lt;"&amp;EDATE(DATEVALUE(C167&amp;"-01"),3))</f>
        <v>0</v>
      </c>
      <c r="V167" s="37">
        <f>SUMIFS('📋 Транзакції'!$F$5:$F$3623,'📋 Транзакції'!$B$5:$B$3623,A167,'📋 Транзакції'!$C$5:$C$3623,"&gt;="&amp;EDATE(DATEVALUE(C167&amp;"-01"),3),'📋 Транзакції'!$C$5:$C$3623,"&lt;"&amp;EDATE(DATEVALUE(C167&amp;"-01"),4))</f>
        <v>0</v>
      </c>
      <c r="W167" s="37">
        <f>SUMIFS('📋 Транзакції'!$F$5:$F$3623,'📋 Транзакції'!$B$5:$B$3623,A167,'📋 Транзакції'!$C$5:$C$3623,"&gt;="&amp;EDATE(DATEVALUE(C167&amp;"-01"),4),'📋 Транзакції'!$C$5:$C$3623,"&lt;"&amp;EDATE(DATEVALUE(C167&amp;"-01"),5))</f>
        <v>0</v>
      </c>
      <c r="X167" s="37">
        <f>SUMIFS('📋 Транзакції'!$F$5:$F$3623,'📋 Транзакції'!$B$5:$B$3623,A167,'📋 Транзакції'!$C$5:$C$3623,"&gt;="&amp;EDATE(DATEVALUE(C167&amp;"-01"),5),'📋 Транзакції'!$C$5:$C$3623,"&lt;"&amp;EDATE(DATEVALUE(C167&amp;"-01"),6))</f>
        <v>0</v>
      </c>
      <c r="Y167" s="37">
        <f>SUMIFS('📋 Транзакції'!$F$5:$F$3623,'📋 Транзакції'!$B$5:$B$3623,A167,'📋 Транзакції'!$C$5:$C$3623,"&gt;="&amp;EDATE(DATEVALUE(C167&amp;"-01"),6),'📋 Транзакції'!$C$5:$C$3623,"&lt;"&amp;EDATE(DATEVALUE(C167&amp;"-01"),7))</f>
        <v>0</v>
      </c>
      <c r="Z167" s="37">
        <f>SUMIFS('📋 Транзакції'!$F$5:$F$3623,'📋 Транзакції'!$B$5:$B$3623,A167,'📋 Транзакції'!$C$5:$C$3623,"&gt;="&amp;EDATE(DATEVALUE(C167&amp;"-01"),7),'📋 Транзакції'!$C$5:$C$3623,"&lt;"&amp;EDATE(DATEVALUE(C167&amp;"-01"),8))</f>
        <v>0</v>
      </c>
      <c r="AA167" s="37">
        <f>SUMIFS('📋 Транзакції'!$F$5:$F$3623,'📋 Транзакції'!$B$5:$B$3623,A167,'📋 Транзакції'!$C$5:$C$3623,"&gt;="&amp;EDATE(DATEVALUE(C167&amp;"-01"),8),'📋 Транзакції'!$C$5:$C$3623,"&lt;"&amp;EDATE(DATEVALUE(C167&amp;"-01"),9))</f>
        <v>0</v>
      </c>
      <c r="AB167" s="37">
        <f>SUMIFS('📋 Транзакції'!$F$5:$F$3623,'📋 Транзакції'!$B$5:$B$3623,A167,'📋 Транзакції'!$C$5:$C$3623,"&gt;="&amp;EDATE(DATEVALUE(C167&amp;"-01"),9),'📋 Транзакції'!$C$5:$C$3623,"&lt;"&amp;EDATE(DATEVALUE(C167&amp;"-01"),10))</f>
        <v>0</v>
      </c>
      <c r="AC167" s="37">
        <f>SUMIFS('📋 Транзакції'!$F$5:$F$3623,'📋 Транзакції'!$B$5:$B$3623,A167,'📋 Транзакції'!$C$5:$C$3623,"&gt;="&amp;EDATE(DATEVALUE(C167&amp;"-01"),10),'📋 Транзакції'!$C$5:$C$3623,"&lt;"&amp;EDATE(DATEVALUE(C167&amp;"-01"),11))</f>
        <v>0</v>
      </c>
      <c r="AD167" s="37">
        <f>SUMIFS('📋 Транзакції'!$F$5:$F$3623,'📋 Транзакції'!$B$5:$B$3623,A167,'📋 Транзакції'!$C$5:$C$3623,"&gt;="&amp;EDATE(DATEVALUE(C167&amp;"-01"),11),'📋 Транзакції'!$C$5:$C$3623,"&lt;"&amp;EDATE(DATEVALUE(C167&amp;"-01"),12))</f>
        <v>0</v>
      </c>
    </row>
    <row r="168" ht="15.75" customHeight="1">
      <c r="A168" s="33" t="str">
        <f>'📋 Реєстрації'!A168:A769</f>
        <v>U0330</v>
      </c>
      <c r="B168" s="34">
        <f t="array" ref="B168">INDEX('📋 Транзакції'!$C$5:$C$3623,MATCH(A168,'📋 Транзакції'!$B$5:$B$3623,0))</f>
        <v>45460</v>
      </c>
      <c r="C168" s="35" t="str">
        <f t="shared" si="1"/>
        <v>2024-06</v>
      </c>
      <c r="D168" s="36">
        <f>COUNTIF('📋 Транзакції'!$B$5:$B$3623,A168)</f>
        <v>11</v>
      </c>
      <c r="E168" s="36">
        <f>SUMIF('📋 Транзакції'!$B$5:$B$3623,A168,'📋 Транзакції'!$F$5:$F$3623)</f>
        <v>199.9</v>
      </c>
      <c r="F168" s="35">
        <f>INT($A$1-MAXIFS('📋 Транзакції'!$C$5:$C$3623,'📋 Транзакції'!$B$5:$B$3623,A168))</f>
        <v>10</v>
      </c>
      <c r="G168" s="37">
        <f>IF(COUNTIFS('📋 Транзакції'!$B$5:$B$3623,A168,'📋 Транзакції'!$C$5:$C$3623,"&gt;="&amp;EDATE(DATEVALUE(C168&amp;"-01"),0),'📋 Транзакції'!$C$5:$C$3623,"&lt;"&amp;EDATE(DATEVALUE(C168&amp;"-01"),1))&gt;0,1,0)</f>
        <v>1</v>
      </c>
      <c r="H168" s="37">
        <f>IF(COUNTIFS('📋 Транзакції'!$B$5:$B$3623,A168,'📋 Транзакції'!$C$5:$C$3623,"&gt;="&amp;EDATE(DATEVALUE(C168&amp;"-01"),1),'📋 Транзакції'!$C$5:$C$3623,"&lt;"&amp;EDATE(DATEVALUE(C168&amp;"-01"),2))&gt;0,1,0)</f>
        <v>1</v>
      </c>
      <c r="I168" s="37">
        <f>IF(COUNTIFS('📋 Транзакції'!$B$5:$B$3623,A168,'📋 Транзакції'!$C$5:$C$3623,"&gt;="&amp;EDATE(DATEVALUE(C168&amp;"-01"),2),'📋 Транзакції'!$C$5:$C$3623,"&lt;"&amp;EDATE(DATEVALUE(C168&amp;"-01"),3))&gt;0,1,0)</f>
        <v>1</v>
      </c>
      <c r="J168" s="37">
        <f>IF(COUNTIFS('📋 Транзакції'!$B$5:$B$3623,A168,'📋 Транзакції'!$C$5:$C$3623,"&gt;="&amp;EDATE(DATEVALUE(C168&amp;"-01"),3),'📋 Транзакції'!$C$5:$C$3623,"&lt;"&amp;EDATE(DATEVALUE(C168&amp;"-01"),4))&gt;0,1,0)</f>
        <v>1</v>
      </c>
      <c r="K168" s="37">
        <f>IF(COUNTIFS('📋 Транзакції'!$B$5:$B$3623,A168,'📋 Транзакції'!$C$5:$C$3623,"&gt;="&amp;EDATE(DATEVALUE(C168&amp;"-01"),4),'📋 Транзакції'!$C$5:$C$3623,"&lt;"&amp;EDATE(DATEVALUE(C168&amp;"-01"),5))&gt;0,1,0)</f>
        <v>1</v>
      </c>
      <c r="L168" s="37">
        <f>IF(COUNTIFS('📋 Транзакції'!$B$5:$B$3623,A168,'📋 Транзакції'!$C$5:$C$3623,"&gt;="&amp;EDATE(DATEVALUE(C168&amp;"-01"),5),'📋 Транзакції'!$C$5:$C$3623,"&lt;"&amp;EDATE(DATEVALUE(C168&amp;"-01"),6))&gt;0,1,0)</f>
        <v>1</v>
      </c>
      <c r="M168" s="37">
        <f>IF(COUNTIFS('📋 Транзакції'!$B$5:$B$3623,A168,'📋 Транзакції'!$C$5:$C$3623,"&gt;="&amp;EDATE(DATEVALUE(C168&amp;"-01"),6),'📋 Транзакції'!$C$5:$C$3623,"&lt;"&amp;EDATE(DATEVALUE(C168&amp;"-01"),7))&gt;0,1,0)</f>
        <v>1</v>
      </c>
      <c r="N168" s="37">
        <f>IF(COUNTIFS('📋 Транзакції'!$B$5:$B$3623,A168,'📋 Транзакції'!$C$5:$C$3623,"&gt;="&amp;EDATE(DATEVALUE(C168&amp;"-01"),7),'📋 Транзакції'!$C$5:$C$3623,"&lt;"&amp;EDATE(DATEVALUE(C168&amp;"-01"),8))&gt;0,1,0)</f>
        <v>1</v>
      </c>
      <c r="O168" s="37">
        <f>IF(COUNTIFS('📋 Транзакції'!$B$5:$B$3623,A168,'📋 Транзакції'!$C$5:$C$3623,"&gt;="&amp;EDATE(DATEVALUE(C168&amp;"-01"),8),'📋 Транзакції'!$C$5:$C$3623,"&lt;"&amp;EDATE(DATEVALUE(C168&amp;"-01"),9))&gt;0,1,0)</f>
        <v>1</v>
      </c>
      <c r="P168" s="37">
        <f>IF(COUNTIFS('📋 Транзакції'!$B$5:$B$3623,A168,'📋 Транзакції'!$C$5:$C$3623,"&gt;="&amp;EDATE(DATEVALUE(C168&amp;"-01"),9),'📋 Транзакції'!$C$5:$C$3623,"&lt;"&amp;EDATE(DATEVALUE(C168&amp;"-01"),10))&gt;0,1,0)</f>
        <v>1</v>
      </c>
      <c r="Q168" s="37">
        <f>IF(COUNTIFS('📋 Транзакції'!$B$5:$B$3623,A168,'📋 Транзакції'!$C$5:$C$3623,"&gt;="&amp;EDATE(DATEVALUE(C168&amp;"-01"),10),'📋 Транзакції'!$C$5:$C$3623,"&lt;"&amp;EDATE(DATEVALUE(C168&amp;"-01"),11))&gt;0,1,0)</f>
        <v>0</v>
      </c>
      <c r="R168" s="37">
        <f>IF(COUNTIFS('📋 Транзакції'!$B$5:$B$3623,A168,'📋 Транзакції'!$C$5:$C$3623,"&gt;="&amp;EDATE(DATEVALUE(C168&amp;"-01"),11),'📋 Транзакції'!$C$5:$C$3623,"&lt;"&amp;EDATE(DATEVALUE(C168&amp;"-01"),12))&gt;0,1,0)</f>
        <v>0</v>
      </c>
      <c r="S168" s="37">
        <f>SUMIFS('📋 Транзакції'!$F$5:$F$3623,'📋 Транзакції'!$B$5:$B$3623,A168,'📋 Транзакції'!$C$5:$C$3623,"&gt;="&amp;EDATE(DATEVALUE(C168&amp;"-01"),0),'📋 Транзакції'!$C$5:$C$3623,"&lt;"&amp;EDATE(DATEVALUE(C168&amp;"-01"),1))</f>
        <v>19.99</v>
      </c>
      <c r="T168" s="37">
        <f>SUMIFS('📋 Транзакції'!$F$5:$F$3623,'📋 Транзакції'!$B$5:$B$3623,A168,'📋 Транзакції'!$C$5:$C$3623,"&gt;="&amp;EDATE(DATEVALUE(C168&amp;"-01"),1),'📋 Транзакції'!$C$5:$C$3623,"&lt;"&amp;EDATE(DATEVALUE(C168&amp;"-01"),2))</f>
        <v>19.99</v>
      </c>
      <c r="U168" s="37">
        <f>SUMIFS('📋 Транзакції'!$F$5:$F$3623,'📋 Транзакції'!$B$5:$B$3623,A168,'📋 Транзакції'!$C$5:$C$3623,"&gt;="&amp;EDATE(DATEVALUE(C168&amp;"-01"),2),'📋 Транзакції'!$C$5:$C$3623,"&lt;"&amp;EDATE(DATEVALUE(C168&amp;"-01"),3))</f>
        <v>19.99</v>
      </c>
      <c r="V168" s="37">
        <f>SUMIFS('📋 Транзакції'!$F$5:$F$3623,'📋 Транзакції'!$B$5:$B$3623,A168,'📋 Транзакції'!$C$5:$C$3623,"&gt;="&amp;EDATE(DATEVALUE(C168&amp;"-01"),3),'📋 Транзакції'!$C$5:$C$3623,"&lt;"&amp;EDATE(DATEVALUE(C168&amp;"-01"),4))</f>
        <v>19.99</v>
      </c>
      <c r="W168" s="37">
        <f>SUMIFS('📋 Транзакції'!$F$5:$F$3623,'📋 Транзакції'!$B$5:$B$3623,A168,'📋 Транзакції'!$C$5:$C$3623,"&gt;="&amp;EDATE(DATEVALUE(C168&amp;"-01"),4),'📋 Транзакції'!$C$5:$C$3623,"&lt;"&amp;EDATE(DATEVALUE(C168&amp;"-01"),5))</f>
        <v>19.99</v>
      </c>
      <c r="X168" s="37">
        <f>SUMIFS('📋 Транзакції'!$F$5:$F$3623,'📋 Транзакції'!$B$5:$B$3623,A168,'📋 Транзакції'!$C$5:$C$3623,"&gt;="&amp;EDATE(DATEVALUE(C168&amp;"-01"),5),'📋 Транзакції'!$C$5:$C$3623,"&lt;"&amp;EDATE(DATEVALUE(C168&amp;"-01"),6))</f>
        <v>19.99</v>
      </c>
      <c r="Y168" s="37">
        <f>SUMIFS('📋 Транзакції'!$F$5:$F$3623,'📋 Транзакції'!$B$5:$B$3623,A168,'📋 Транзакції'!$C$5:$C$3623,"&gt;="&amp;EDATE(DATEVALUE(C168&amp;"-01"),6),'📋 Транзакції'!$C$5:$C$3623,"&lt;"&amp;EDATE(DATEVALUE(C168&amp;"-01"),7))</f>
        <v>19.99</v>
      </c>
      <c r="Z168" s="37">
        <f>SUMIFS('📋 Транзакції'!$F$5:$F$3623,'📋 Транзакції'!$B$5:$B$3623,A168,'📋 Транзакції'!$C$5:$C$3623,"&gt;="&amp;EDATE(DATEVALUE(C168&amp;"-01"),7),'📋 Транзакції'!$C$5:$C$3623,"&lt;"&amp;EDATE(DATEVALUE(C168&amp;"-01"),8))</f>
        <v>19.99</v>
      </c>
      <c r="AA168" s="37">
        <f>SUMIFS('📋 Транзакції'!$F$5:$F$3623,'📋 Транзакції'!$B$5:$B$3623,A168,'📋 Транзакції'!$C$5:$C$3623,"&gt;="&amp;EDATE(DATEVALUE(C168&amp;"-01"),8),'📋 Транзакції'!$C$5:$C$3623,"&lt;"&amp;EDATE(DATEVALUE(C168&amp;"-01"),9))</f>
        <v>19.99</v>
      </c>
      <c r="AB168" s="37">
        <f>SUMIFS('📋 Транзакції'!$F$5:$F$3623,'📋 Транзакції'!$B$5:$B$3623,A168,'📋 Транзакції'!$C$5:$C$3623,"&gt;="&amp;EDATE(DATEVALUE(C168&amp;"-01"),9),'📋 Транзакції'!$C$5:$C$3623,"&lt;"&amp;EDATE(DATEVALUE(C168&amp;"-01"),10))</f>
        <v>19.99</v>
      </c>
      <c r="AC168" s="37">
        <f>SUMIFS('📋 Транзакції'!$F$5:$F$3623,'📋 Транзакції'!$B$5:$B$3623,A168,'📋 Транзакції'!$C$5:$C$3623,"&gt;="&amp;EDATE(DATEVALUE(C168&amp;"-01"),10),'📋 Транзакції'!$C$5:$C$3623,"&lt;"&amp;EDATE(DATEVALUE(C168&amp;"-01"),11))</f>
        <v>0</v>
      </c>
      <c r="AD168" s="37">
        <f>SUMIFS('📋 Транзакції'!$F$5:$F$3623,'📋 Транзакції'!$B$5:$B$3623,A168,'📋 Транзакції'!$C$5:$C$3623,"&gt;="&amp;EDATE(DATEVALUE(C168&amp;"-01"),11),'📋 Транзакції'!$C$5:$C$3623,"&lt;"&amp;EDATE(DATEVALUE(C168&amp;"-01"),12))</f>
        <v>0</v>
      </c>
    </row>
    <row r="169" ht="15.75" customHeight="1">
      <c r="A169" s="33" t="str">
        <f>'📋 Реєстрації'!A169:A770</f>
        <v>U0214</v>
      </c>
      <c r="B169" s="34">
        <f t="array" ref="B169">INDEX('📋 Транзакції'!$C$5:$C$3623,MATCH(A169,'📋 Транзакції'!$B$5:$B$3623,0))</f>
        <v>45461</v>
      </c>
      <c r="C169" s="35" t="str">
        <f t="shared" si="1"/>
        <v>2024-06</v>
      </c>
      <c r="D169" s="36">
        <f>COUNTIF('📋 Транзакції'!$B$5:$B$3623,A169)</f>
        <v>11</v>
      </c>
      <c r="E169" s="36">
        <f>SUMIF('📋 Транзакції'!$B$5:$B$3623,A169,'📋 Транзакції'!$F$5:$F$3623)</f>
        <v>199.9</v>
      </c>
      <c r="F169" s="35">
        <f>INT($A$1-MAXIFS('📋 Транзакції'!$C$5:$C$3623,'📋 Транзакції'!$B$5:$B$3623,A169))</f>
        <v>9</v>
      </c>
      <c r="G169" s="37">
        <f>IF(COUNTIFS('📋 Транзакції'!$B$5:$B$3623,A169,'📋 Транзакції'!$C$5:$C$3623,"&gt;="&amp;EDATE(DATEVALUE(C169&amp;"-01"),0),'📋 Транзакції'!$C$5:$C$3623,"&lt;"&amp;EDATE(DATEVALUE(C169&amp;"-01"),1))&gt;0,1,0)</f>
        <v>1</v>
      </c>
      <c r="H169" s="37">
        <f>IF(COUNTIFS('📋 Транзакції'!$B$5:$B$3623,A169,'📋 Транзакції'!$C$5:$C$3623,"&gt;="&amp;EDATE(DATEVALUE(C169&amp;"-01"),1),'📋 Транзакції'!$C$5:$C$3623,"&lt;"&amp;EDATE(DATEVALUE(C169&amp;"-01"),2))&gt;0,1,0)</f>
        <v>1</v>
      </c>
      <c r="I169" s="37">
        <f>IF(COUNTIFS('📋 Транзакції'!$B$5:$B$3623,A169,'📋 Транзакції'!$C$5:$C$3623,"&gt;="&amp;EDATE(DATEVALUE(C169&amp;"-01"),2),'📋 Транзакції'!$C$5:$C$3623,"&lt;"&amp;EDATE(DATEVALUE(C169&amp;"-01"),3))&gt;0,1,0)</f>
        <v>1</v>
      </c>
      <c r="J169" s="37">
        <f>IF(COUNTIFS('📋 Транзакції'!$B$5:$B$3623,A169,'📋 Транзакції'!$C$5:$C$3623,"&gt;="&amp;EDATE(DATEVALUE(C169&amp;"-01"),3),'📋 Транзакції'!$C$5:$C$3623,"&lt;"&amp;EDATE(DATEVALUE(C169&amp;"-01"),4))&gt;0,1,0)</f>
        <v>1</v>
      </c>
      <c r="K169" s="37">
        <f>IF(COUNTIFS('📋 Транзакції'!$B$5:$B$3623,A169,'📋 Транзакції'!$C$5:$C$3623,"&gt;="&amp;EDATE(DATEVALUE(C169&amp;"-01"),4),'📋 Транзакції'!$C$5:$C$3623,"&lt;"&amp;EDATE(DATEVALUE(C169&amp;"-01"),5))&gt;0,1,0)</f>
        <v>1</v>
      </c>
      <c r="L169" s="37">
        <f>IF(COUNTIFS('📋 Транзакції'!$B$5:$B$3623,A169,'📋 Транзакції'!$C$5:$C$3623,"&gt;="&amp;EDATE(DATEVALUE(C169&amp;"-01"),5),'📋 Транзакції'!$C$5:$C$3623,"&lt;"&amp;EDATE(DATEVALUE(C169&amp;"-01"),6))&gt;0,1,0)</f>
        <v>1</v>
      </c>
      <c r="M169" s="37">
        <f>IF(COUNTIFS('📋 Транзакції'!$B$5:$B$3623,A169,'📋 Транзакції'!$C$5:$C$3623,"&gt;="&amp;EDATE(DATEVALUE(C169&amp;"-01"),6),'📋 Транзакції'!$C$5:$C$3623,"&lt;"&amp;EDATE(DATEVALUE(C169&amp;"-01"),7))&gt;0,1,0)</f>
        <v>1</v>
      </c>
      <c r="N169" s="37">
        <f>IF(COUNTIFS('📋 Транзакції'!$B$5:$B$3623,A169,'📋 Транзакції'!$C$5:$C$3623,"&gt;="&amp;EDATE(DATEVALUE(C169&amp;"-01"),7),'📋 Транзакції'!$C$5:$C$3623,"&lt;"&amp;EDATE(DATEVALUE(C169&amp;"-01"),8))&gt;0,1,0)</f>
        <v>1</v>
      </c>
      <c r="O169" s="37">
        <f>IF(COUNTIFS('📋 Транзакції'!$B$5:$B$3623,A169,'📋 Транзакції'!$C$5:$C$3623,"&gt;="&amp;EDATE(DATEVALUE(C169&amp;"-01"),8),'📋 Транзакції'!$C$5:$C$3623,"&lt;"&amp;EDATE(DATEVALUE(C169&amp;"-01"),9))&gt;0,1,0)</f>
        <v>1</v>
      </c>
      <c r="P169" s="37">
        <f>IF(COUNTIFS('📋 Транзакції'!$B$5:$B$3623,A169,'📋 Транзакції'!$C$5:$C$3623,"&gt;="&amp;EDATE(DATEVALUE(C169&amp;"-01"),9),'📋 Транзакції'!$C$5:$C$3623,"&lt;"&amp;EDATE(DATEVALUE(C169&amp;"-01"),10))&gt;0,1,0)</f>
        <v>1</v>
      </c>
      <c r="Q169" s="37">
        <f>IF(COUNTIFS('📋 Транзакції'!$B$5:$B$3623,A169,'📋 Транзакції'!$C$5:$C$3623,"&gt;="&amp;EDATE(DATEVALUE(C169&amp;"-01"),10),'📋 Транзакції'!$C$5:$C$3623,"&lt;"&amp;EDATE(DATEVALUE(C169&amp;"-01"),11))&gt;0,1,0)</f>
        <v>0</v>
      </c>
      <c r="R169" s="37">
        <f>IF(COUNTIFS('📋 Транзакції'!$B$5:$B$3623,A169,'📋 Транзакції'!$C$5:$C$3623,"&gt;="&amp;EDATE(DATEVALUE(C169&amp;"-01"),11),'📋 Транзакції'!$C$5:$C$3623,"&lt;"&amp;EDATE(DATEVALUE(C169&amp;"-01"),12))&gt;0,1,0)</f>
        <v>0</v>
      </c>
      <c r="S169" s="37">
        <f>SUMIFS('📋 Транзакції'!$F$5:$F$3623,'📋 Транзакції'!$B$5:$B$3623,A169,'📋 Транзакції'!$C$5:$C$3623,"&gt;="&amp;EDATE(DATEVALUE(C169&amp;"-01"),0),'📋 Транзакції'!$C$5:$C$3623,"&lt;"&amp;EDATE(DATEVALUE(C169&amp;"-01"),1))</f>
        <v>19.99</v>
      </c>
      <c r="T169" s="37">
        <f>SUMIFS('📋 Транзакції'!$F$5:$F$3623,'📋 Транзакції'!$B$5:$B$3623,A169,'📋 Транзакції'!$C$5:$C$3623,"&gt;="&amp;EDATE(DATEVALUE(C169&amp;"-01"),1),'📋 Транзакції'!$C$5:$C$3623,"&lt;"&amp;EDATE(DATEVALUE(C169&amp;"-01"),2))</f>
        <v>19.99</v>
      </c>
      <c r="U169" s="37">
        <f>SUMIFS('📋 Транзакції'!$F$5:$F$3623,'📋 Транзакції'!$B$5:$B$3623,A169,'📋 Транзакції'!$C$5:$C$3623,"&gt;="&amp;EDATE(DATEVALUE(C169&amp;"-01"),2),'📋 Транзакції'!$C$5:$C$3623,"&lt;"&amp;EDATE(DATEVALUE(C169&amp;"-01"),3))</f>
        <v>19.99</v>
      </c>
      <c r="V169" s="37">
        <f>SUMIFS('📋 Транзакції'!$F$5:$F$3623,'📋 Транзакції'!$B$5:$B$3623,A169,'📋 Транзакції'!$C$5:$C$3623,"&gt;="&amp;EDATE(DATEVALUE(C169&amp;"-01"),3),'📋 Транзакції'!$C$5:$C$3623,"&lt;"&amp;EDATE(DATEVALUE(C169&amp;"-01"),4))</f>
        <v>19.99</v>
      </c>
      <c r="W169" s="37">
        <f>SUMIFS('📋 Транзакції'!$F$5:$F$3623,'📋 Транзакції'!$B$5:$B$3623,A169,'📋 Транзакції'!$C$5:$C$3623,"&gt;="&amp;EDATE(DATEVALUE(C169&amp;"-01"),4),'📋 Транзакції'!$C$5:$C$3623,"&lt;"&amp;EDATE(DATEVALUE(C169&amp;"-01"),5))</f>
        <v>19.99</v>
      </c>
      <c r="X169" s="37">
        <f>SUMIFS('📋 Транзакції'!$F$5:$F$3623,'📋 Транзакції'!$B$5:$B$3623,A169,'📋 Транзакції'!$C$5:$C$3623,"&gt;="&amp;EDATE(DATEVALUE(C169&amp;"-01"),5),'📋 Транзакції'!$C$5:$C$3623,"&lt;"&amp;EDATE(DATEVALUE(C169&amp;"-01"),6))</f>
        <v>19.99</v>
      </c>
      <c r="Y169" s="37">
        <f>SUMIFS('📋 Транзакції'!$F$5:$F$3623,'📋 Транзакції'!$B$5:$B$3623,A169,'📋 Транзакції'!$C$5:$C$3623,"&gt;="&amp;EDATE(DATEVALUE(C169&amp;"-01"),6),'📋 Транзакції'!$C$5:$C$3623,"&lt;"&amp;EDATE(DATEVALUE(C169&amp;"-01"),7))</f>
        <v>19.99</v>
      </c>
      <c r="Z169" s="37">
        <f>SUMIFS('📋 Транзакції'!$F$5:$F$3623,'📋 Транзакції'!$B$5:$B$3623,A169,'📋 Транзакції'!$C$5:$C$3623,"&gt;="&amp;EDATE(DATEVALUE(C169&amp;"-01"),7),'📋 Транзакції'!$C$5:$C$3623,"&lt;"&amp;EDATE(DATEVALUE(C169&amp;"-01"),8))</f>
        <v>19.99</v>
      </c>
      <c r="AA169" s="37">
        <f>SUMIFS('📋 Транзакції'!$F$5:$F$3623,'📋 Транзакції'!$B$5:$B$3623,A169,'📋 Транзакції'!$C$5:$C$3623,"&gt;="&amp;EDATE(DATEVALUE(C169&amp;"-01"),8),'📋 Транзакції'!$C$5:$C$3623,"&lt;"&amp;EDATE(DATEVALUE(C169&amp;"-01"),9))</f>
        <v>19.99</v>
      </c>
      <c r="AB169" s="37">
        <f>SUMIFS('📋 Транзакції'!$F$5:$F$3623,'📋 Транзакції'!$B$5:$B$3623,A169,'📋 Транзакції'!$C$5:$C$3623,"&gt;="&amp;EDATE(DATEVALUE(C169&amp;"-01"),9),'📋 Транзакції'!$C$5:$C$3623,"&lt;"&amp;EDATE(DATEVALUE(C169&amp;"-01"),10))</f>
        <v>19.99</v>
      </c>
      <c r="AC169" s="37">
        <f>SUMIFS('📋 Транзакції'!$F$5:$F$3623,'📋 Транзакції'!$B$5:$B$3623,A169,'📋 Транзакції'!$C$5:$C$3623,"&gt;="&amp;EDATE(DATEVALUE(C169&amp;"-01"),10),'📋 Транзакції'!$C$5:$C$3623,"&lt;"&amp;EDATE(DATEVALUE(C169&amp;"-01"),11))</f>
        <v>0</v>
      </c>
      <c r="AD169" s="37">
        <f>SUMIFS('📋 Транзакції'!$F$5:$F$3623,'📋 Транзакції'!$B$5:$B$3623,A169,'📋 Транзакції'!$C$5:$C$3623,"&gt;="&amp;EDATE(DATEVALUE(C169&amp;"-01"),11),'📋 Транзакції'!$C$5:$C$3623,"&lt;"&amp;EDATE(DATEVALUE(C169&amp;"-01"),12))</f>
        <v>0</v>
      </c>
    </row>
    <row r="170" ht="15.75" customHeight="1">
      <c r="A170" s="33" t="str">
        <f>'📋 Реєстрації'!A170:A771</f>
        <v>U0320</v>
      </c>
      <c r="B170" s="34">
        <f t="array" ref="B170">INDEX('📋 Транзакції'!$C$5:$C$3623,MATCH(A170,'📋 Транзакції'!$B$5:$B$3623,0))</f>
        <v>45462</v>
      </c>
      <c r="C170" s="35" t="str">
        <f t="shared" si="1"/>
        <v>2024-06</v>
      </c>
      <c r="D170" s="36">
        <f>COUNTIF('📋 Транзакції'!$B$5:$B$3623,A170)</f>
        <v>3</v>
      </c>
      <c r="E170" s="36">
        <f>SUMIF('📋 Транзакції'!$B$5:$B$3623,A170,'📋 Транзакції'!$F$5:$F$3623)</f>
        <v>39.98</v>
      </c>
      <c r="F170" s="35">
        <f>INT($A$1-MAXIFS('📋 Транзакції'!$C$5:$C$3623,'📋 Транзакції'!$B$5:$B$3623,A170))</f>
        <v>248</v>
      </c>
      <c r="G170" s="37">
        <f>IF(COUNTIFS('📋 Транзакції'!$B$5:$B$3623,A170,'📋 Транзакції'!$C$5:$C$3623,"&gt;="&amp;EDATE(DATEVALUE(C170&amp;"-01"),0),'📋 Транзакції'!$C$5:$C$3623,"&lt;"&amp;EDATE(DATEVALUE(C170&amp;"-01"),1))&gt;0,1,0)</f>
        <v>1</v>
      </c>
      <c r="H170" s="37">
        <f>IF(COUNTIFS('📋 Транзакції'!$B$5:$B$3623,A170,'📋 Транзакції'!$C$5:$C$3623,"&gt;="&amp;EDATE(DATEVALUE(C170&amp;"-01"),1),'📋 Транзакції'!$C$5:$C$3623,"&lt;"&amp;EDATE(DATEVALUE(C170&amp;"-01"),2))&gt;0,1,0)</f>
        <v>1</v>
      </c>
      <c r="I170" s="37">
        <f>IF(COUNTIFS('📋 Транзакції'!$B$5:$B$3623,A170,'📋 Транзакції'!$C$5:$C$3623,"&gt;="&amp;EDATE(DATEVALUE(C170&amp;"-01"),2),'📋 Транзакції'!$C$5:$C$3623,"&lt;"&amp;EDATE(DATEVALUE(C170&amp;"-01"),3))&gt;0,1,0)</f>
        <v>0</v>
      </c>
      <c r="J170" s="37">
        <f>IF(COUNTIFS('📋 Транзакції'!$B$5:$B$3623,A170,'📋 Транзакції'!$C$5:$C$3623,"&gt;="&amp;EDATE(DATEVALUE(C170&amp;"-01"),3),'📋 Транзакції'!$C$5:$C$3623,"&lt;"&amp;EDATE(DATEVALUE(C170&amp;"-01"),4))&gt;0,1,0)</f>
        <v>0</v>
      </c>
      <c r="K170" s="37">
        <f>IF(COUNTIFS('📋 Транзакції'!$B$5:$B$3623,A170,'📋 Транзакції'!$C$5:$C$3623,"&gt;="&amp;EDATE(DATEVALUE(C170&amp;"-01"),4),'📋 Транзакції'!$C$5:$C$3623,"&lt;"&amp;EDATE(DATEVALUE(C170&amp;"-01"),5))&gt;0,1,0)</f>
        <v>0</v>
      </c>
      <c r="L170" s="37">
        <f>IF(COUNTIFS('📋 Транзакції'!$B$5:$B$3623,A170,'📋 Транзакції'!$C$5:$C$3623,"&gt;="&amp;EDATE(DATEVALUE(C170&amp;"-01"),5),'📋 Транзакції'!$C$5:$C$3623,"&lt;"&amp;EDATE(DATEVALUE(C170&amp;"-01"),6))&gt;0,1,0)</f>
        <v>0</v>
      </c>
      <c r="M170" s="37">
        <f>IF(COUNTIFS('📋 Транзакції'!$B$5:$B$3623,A170,'📋 Транзакції'!$C$5:$C$3623,"&gt;="&amp;EDATE(DATEVALUE(C170&amp;"-01"),6),'📋 Транзакції'!$C$5:$C$3623,"&lt;"&amp;EDATE(DATEVALUE(C170&amp;"-01"),7))&gt;0,1,0)</f>
        <v>0</v>
      </c>
      <c r="N170" s="37">
        <f>IF(COUNTIFS('📋 Транзакції'!$B$5:$B$3623,A170,'📋 Транзакції'!$C$5:$C$3623,"&gt;="&amp;EDATE(DATEVALUE(C170&amp;"-01"),7),'📋 Транзакції'!$C$5:$C$3623,"&lt;"&amp;EDATE(DATEVALUE(C170&amp;"-01"),8))&gt;0,1,0)</f>
        <v>0</v>
      </c>
      <c r="O170" s="37">
        <f>IF(COUNTIFS('📋 Транзакції'!$B$5:$B$3623,A170,'📋 Транзакції'!$C$5:$C$3623,"&gt;="&amp;EDATE(DATEVALUE(C170&amp;"-01"),8),'📋 Транзакції'!$C$5:$C$3623,"&lt;"&amp;EDATE(DATEVALUE(C170&amp;"-01"),9))&gt;0,1,0)</f>
        <v>0</v>
      </c>
      <c r="P170" s="37">
        <f>IF(COUNTIFS('📋 Транзакції'!$B$5:$B$3623,A170,'📋 Транзакції'!$C$5:$C$3623,"&gt;="&amp;EDATE(DATEVALUE(C170&amp;"-01"),9),'📋 Транзакції'!$C$5:$C$3623,"&lt;"&amp;EDATE(DATEVALUE(C170&amp;"-01"),10))&gt;0,1,0)</f>
        <v>0</v>
      </c>
      <c r="Q170" s="37">
        <f>IF(COUNTIFS('📋 Транзакції'!$B$5:$B$3623,A170,'📋 Транзакції'!$C$5:$C$3623,"&gt;="&amp;EDATE(DATEVALUE(C170&amp;"-01"),10),'📋 Транзакції'!$C$5:$C$3623,"&lt;"&amp;EDATE(DATEVALUE(C170&amp;"-01"),11))&gt;0,1,0)</f>
        <v>0</v>
      </c>
      <c r="R170" s="37">
        <f>IF(COUNTIFS('📋 Транзакції'!$B$5:$B$3623,A170,'📋 Транзакції'!$C$5:$C$3623,"&gt;="&amp;EDATE(DATEVALUE(C170&amp;"-01"),11),'📋 Транзакції'!$C$5:$C$3623,"&lt;"&amp;EDATE(DATEVALUE(C170&amp;"-01"),12))&gt;0,1,0)</f>
        <v>0</v>
      </c>
      <c r="S170" s="37">
        <f>SUMIFS('📋 Транзакції'!$F$5:$F$3623,'📋 Транзакції'!$B$5:$B$3623,A170,'📋 Транзакції'!$C$5:$C$3623,"&gt;="&amp;EDATE(DATEVALUE(C170&amp;"-01"),0),'📋 Транзакції'!$C$5:$C$3623,"&lt;"&amp;EDATE(DATEVALUE(C170&amp;"-01"),1))</f>
        <v>19.99</v>
      </c>
      <c r="T170" s="37">
        <f>SUMIFS('📋 Транзакції'!$F$5:$F$3623,'📋 Транзакції'!$B$5:$B$3623,A170,'📋 Транзакції'!$C$5:$C$3623,"&gt;="&amp;EDATE(DATEVALUE(C170&amp;"-01"),1),'📋 Транзакції'!$C$5:$C$3623,"&lt;"&amp;EDATE(DATEVALUE(C170&amp;"-01"),2))</f>
        <v>19.99</v>
      </c>
      <c r="U170" s="37">
        <f>SUMIFS('📋 Транзакції'!$F$5:$F$3623,'📋 Транзакції'!$B$5:$B$3623,A170,'📋 Транзакції'!$C$5:$C$3623,"&gt;="&amp;EDATE(DATEVALUE(C170&amp;"-01"),2),'📋 Транзакції'!$C$5:$C$3623,"&lt;"&amp;EDATE(DATEVALUE(C170&amp;"-01"),3))</f>
        <v>0</v>
      </c>
      <c r="V170" s="37">
        <f>SUMIFS('📋 Транзакції'!$F$5:$F$3623,'📋 Транзакції'!$B$5:$B$3623,A170,'📋 Транзакції'!$C$5:$C$3623,"&gt;="&amp;EDATE(DATEVALUE(C170&amp;"-01"),3),'📋 Транзакції'!$C$5:$C$3623,"&lt;"&amp;EDATE(DATEVALUE(C170&amp;"-01"),4))</f>
        <v>0</v>
      </c>
      <c r="W170" s="37">
        <f>SUMIFS('📋 Транзакції'!$F$5:$F$3623,'📋 Транзакції'!$B$5:$B$3623,A170,'📋 Транзакції'!$C$5:$C$3623,"&gt;="&amp;EDATE(DATEVALUE(C170&amp;"-01"),4),'📋 Транзакції'!$C$5:$C$3623,"&lt;"&amp;EDATE(DATEVALUE(C170&amp;"-01"),5))</f>
        <v>0</v>
      </c>
      <c r="X170" s="37">
        <f>SUMIFS('📋 Транзакції'!$F$5:$F$3623,'📋 Транзакції'!$B$5:$B$3623,A170,'📋 Транзакції'!$C$5:$C$3623,"&gt;="&amp;EDATE(DATEVALUE(C170&amp;"-01"),5),'📋 Транзакції'!$C$5:$C$3623,"&lt;"&amp;EDATE(DATEVALUE(C170&amp;"-01"),6))</f>
        <v>0</v>
      </c>
      <c r="Y170" s="37">
        <f>SUMIFS('📋 Транзакції'!$F$5:$F$3623,'📋 Транзакції'!$B$5:$B$3623,A170,'📋 Транзакції'!$C$5:$C$3623,"&gt;="&amp;EDATE(DATEVALUE(C170&amp;"-01"),6),'📋 Транзакції'!$C$5:$C$3623,"&lt;"&amp;EDATE(DATEVALUE(C170&amp;"-01"),7))</f>
        <v>0</v>
      </c>
      <c r="Z170" s="37">
        <f>SUMIFS('📋 Транзакції'!$F$5:$F$3623,'📋 Транзакції'!$B$5:$B$3623,A170,'📋 Транзакції'!$C$5:$C$3623,"&gt;="&amp;EDATE(DATEVALUE(C170&amp;"-01"),7),'📋 Транзакції'!$C$5:$C$3623,"&lt;"&amp;EDATE(DATEVALUE(C170&amp;"-01"),8))</f>
        <v>0</v>
      </c>
      <c r="AA170" s="37">
        <f>SUMIFS('📋 Транзакції'!$F$5:$F$3623,'📋 Транзакції'!$B$5:$B$3623,A170,'📋 Транзакції'!$C$5:$C$3623,"&gt;="&amp;EDATE(DATEVALUE(C170&amp;"-01"),8),'📋 Транзакції'!$C$5:$C$3623,"&lt;"&amp;EDATE(DATEVALUE(C170&amp;"-01"),9))</f>
        <v>0</v>
      </c>
      <c r="AB170" s="37">
        <f>SUMIFS('📋 Транзакції'!$F$5:$F$3623,'📋 Транзакції'!$B$5:$B$3623,A170,'📋 Транзакції'!$C$5:$C$3623,"&gt;="&amp;EDATE(DATEVALUE(C170&amp;"-01"),9),'📋 Транзакції'!$C$5:$C$3623,"&lt;"&amp;EDATE(DATEVALUE(C170&amp;"-01"),10))</f>
        <v>0</v>
      </c>
      <c r="AC170" s="37">
        <f>SUMIFS('📋 Транзакції'!$F$5:$F$3623,'📋 Транзакції'!$B$5:$B$3623,A170,'📋 Транзакції'!$C$5:$C$3623,"&gt;="&amp;EDATE(DATEVALUE(C170&amp;"-01"),10),'📋 Транзакції'!$C$5:$C$3623,"&lt;"&amp;EDATE(DATEVALUE(C170&amp;"-01"),11))</f>
        <v>0</v>
      </c>
      <c r="AD170" s="37">
        <f>SUMIFS('📋 Транзакції'!$F$5:$F$3623,'📋 Транзакції'!$B$5:$B$3623,A170,'📋 Транзакції'!$C$5:$C$3623,"&gt;="&amp;EDATE(DATEVALUE(C170&amp;"-01"),11),'📋 Транзакції'!$C$5:$C$3623,"&lt;"&amp;EDATE(DATEVALUE(C170&amp;"-01"),12))</f>
        <v>0</v>
      </c>
    </row>
    <row r="171" ht="15.75" customHeight="1">
      <c r="A171" s="33" t="str">
        <f>'📋 Реєстрації'!A171:A772</f>
        <v>U0888</v>
      </c>
      <c r="B171" s="34">
        <f t="array" ref="B171">INDEX('📋 Транзакції'!$C$5:$C$3623,MATCH(A171,'📋 Транзакції'!$B$5:$B$3623,0))</f>
        <v>45463</v>
      </c>
      <c r="C171" s="35" t="str">
        <f t="shared" si="1"/>
        <v>2024-06</v>
      </c>
      <c r="D171" s="36">
        <f>COUNTIF('📋 Транзакції'!$B$5:$B$3623,A171)</f>
        <v>11</v>
      </c>
      <c r="E171" s="36">
        <f>SUMIF('📋 Транзакції'!$B$5:$B$3623,A171,'📋 Транзакції'!$F$5:$F$3623)</f>
        <v>199.9</v>
      </c>
      <c r="F171" s="35">
        <f>INT($A$1-MAXIFS('📋 Транзакції'!$C$5:$C$3623,'📋 Транзакції'!$B$5:$B$3623,A171))</f>
        <v>7</v>
      </c>
      <c r="G171" s="37">
        <f>IF(COUNTIFS('📋 Транзакції'!$B$5:$B$3623,A171,'📋 Транзакції'!$C$5:$C$3623,"&gt;="&amp;EDATE(DATEVALUE(C171&amp;"-01"),0),'📋 Транзакції'!$C$5:$C$3623,"&lt;"&amp;EDATE(DATEVALUE(C171&amp;"-01"),1))&gt;0,1,0)</f>
        <v>1</v>
      </c>
      <c r="H171" s="37">
        <f>IF(COUNTIFS('📋 Транзакції'!$B$5:$B$3623,A171,'📋 Транзакції'!$C$5:$C$3623,"&gt;="&amp;EDATE(DATEVALUE(C171&amp;"-01"),1),'📋 Транзакції'!$C$5:$C$3623,"&lt;"&amp;EDATE(DATEVALUE(C171&amp;"-01"),2))&gt;0,1,0)</f>
        <v>1</v>
      </c>
      <c r="I171" s="37">
        <f>IF(COUNTIFS('📋 Транзакції'!$B$5:$B$3623,A171,'📋 Транзакції'!$C$5:$C$3623,"&gt;="&amp;EDATE(DATEVALUE(C171&amp;"-01"),2),'📋 Транзакції'!$C$5:$C$3623,"&lt;"&amp;EDATE(DATEVALUE(C171&amp;"-01"),3))&gt;0,1,0)</f>
        <v>1</v>
      </c>
      <c r="J171" s="37">
        <f>IF(COUNTIFS('📋 Транзакції'!$B$5:$B$3623,A171,'📋 Транзакції'!$C$5:$C$3623,"&gt;="&amp;EDATE(DATEVALUE(C171&amp;"-01"),3),'📋 Транзакції'!$C$5:$C$3623,"&lt;"&amp;EDATE(DATEVALUE(C171&amp;"-01"),4))&gt;0,1,0)</f>
        <v>1</v>
      </c>
      <c r="K171" s="37">
        <f>IF(COUNTIFS('📋 Транзакції'!$B$5:$B$3623,A171,'📋 Транзакції'!$C$5:$C$3623,"&gt;="&amp;EDATE(DATEVALUE(C171&amp;"-01"),4),'📋 Транзакції'!$C$5:$C$3623,"&lt;"&amp;EDATE(DATEVALUE(C171&amp;"-01"),5))&gt;0,1,0)</f>
        <v>1</v>
      </c>
      <c r="L171" s="37">
        <f>IF(COUNTIFS('📋 Транзакції'!$B$5:$B$3623,A171,'📋 Транзакції'!$C$5:$C$3623,"&gt;="&amp;EDATE(DATEVALUE(C171&amp;"-01"),5),'📋 Транзакції'!$C$5:$C$3623,"&lt;"&amp;EDATE(DATEVALUE(C171&amp;"-01"),6))&gt;0,1,0)</f>
        <v>1</v>
      </c>
      <c r="M171" s="37">
        <f>IF(COUNTIFS('📋 Транзакції'!$B$5:$B$3623,A171,'📋 Транзакції'!$C$5:$C$3623,"&gt;="&amp;EDATE(DATEVALUE(C171&amp;"-01"),6),'📋 Транзакції'!$C$5:$C$3623,"&lt;"&amp;EDATE(DATEVALUE(C171&amp;"-01"),7))&gt;0,1,0)</f>
        <v>1</v>
      </c>
      <c r="N171" s="37">
        <f>IF(COUNTIFS('📋 Транзакції'!$B$5:$B$3623,A171,'📋 Транзакції'!$C$5:$C$3623,"&gt;="&amp;EDATE(DATEVALUE(C171&amp;"-01"),7),'📋 Транзакції'!$C$5:$C$3623,"&lt;"&amp;EDATE(DATEVALUE(C171&amp;"-01"),8))&gt;0,1,0)</f>
        <v>1</v>
      </c>
      <c r="O171" s="37">
        <f>IF(COUNTIFS('📋 Транзакції'!$B$5:$B$3623,A171,'📋 Транзакції'!$C$5:$C$3623,"&gt;="&amp;EDATE(DATEVALUE(C171&amp;"-01"),8),'📋 Транзакції'!$C$5:$C$3623,"&lt;"&amp;EDATE(DATEVALUE(C171&amp;"-01"),9))&gt;0,1,0)</f>
        <v>1</v>
      </c>
      <c r="P171" s="37">
        <f>IF(COUNTIFS('📋 Транзакції'!$B$5:$B$3623,A171,'📋 Транзакції'!$C$5:$C$3623,"&gt;="&amp;EDATE(DATEVALUE(C171&amp;"-01"),9),'📋 Транзакції'!$C$5:$C$3623,"&lt;"&amp;EDATE(DATEVALUE(C171&amp;"-01"),10))&gt;0,1,0)</f>
        <v>1</v>
      </c>
      <c r="Q171" s="37">
        <f>IF(COUNTIFS('📋 Транзакції'!$B$5:$B$3623,A171,'📋 Транзакції'!$C$5:$C$3623,"&gt;="&amp;EDATE(DATEVALUE(C171&amp;"-01"),10),'📋 Транзакції'!$C$5:$C$3623,"&lt;"&amp;EDATE(DATEVALUE(C171&amp;"-01"),11))&gt;0,1,0)</f>
        <v>0</v>
      </c>
      <c r="R171" s="37">
        <f>IF(COUNTIFS('📋 Транзакції'!$B$5:$B$3623,A171,'📋 Транзакції'!$C$5:$C$3623,"&gt;="&amp;EDATE(DATEVALUE(C171&amp;"-01"),11),'📋 Транзакції'!$C$5:$C$3623,"&lt;"&amp;EDATE(DATEVALUE(C171&amp;"-01"),12))&gt;0,1,0)</f>
        <v>0</v>
      </c>
      <c r="S171" s="37">
        <f>SUMIFS('📋 Транзакції'!$F$5:$F$3623,'📋 Транзакції'!$B$5:$B$3623,A171,'📋 Транзакції'!$C$5:$C$3623,"&gt;="&amp;EDATE(DATEVALUE(C171&amp;"-01"),0),'📋 Транзакції'!$C$5:$C$3623,"&lt;"&amp;EDATE(DATEVALUE(C171&amp;"-01"),1))</f>
        <v>19.99</v>
      </c>
      <c r="T171" s="37">
        <f>SUMIFS('📋 Транзакції'!$F$5:$F$3623,'📋 Транзакції'!$B$5:$B$3623,A171,'📋 Транзакції'!$C$5:$C$3623,"&gt;="&amp;EDATE(DATEVALUE(C171&amp;"-01"),1),'📋 Транзакції'!$C$5:$C$3623,"&lt;"&amp;EDATE(DATEVALUE(C171&amp;"-01"),2))</f>
        <v>19.99</v>
      </c>
      <c r="U171" s="37">
        <f>SUMIFS('📋 Транзакції'!$F$5:$F$3623,'📋 Транзакції'!$B$5:$B$3623,A171,'📋 Транзакції'!$C$5:$C$3623,"&gt;="&amp;EDATE(DATEVALUE(C171&amp;"-01"),2),'📋 Транзакції'!$C$5:$C$3623,"&lt;"&amp;EDATE(DATEVALUE(C171&amp;"-01"),3))</f>
        <v>19.99</v>
      </c>
      <c r="V171" s="37">
        <f>SUMIFS('📋 Транзакції'!$F$5:$F$3623,'📋 Транзакції'!$B$5:$B$3623,A171,'📋 Транзакції'!$C$5:$C$3623,"&gt;="&amp;EDATE(DATEVALUE(C171&amp;"-01"),3),'📋 Транзакції'!$C$5:$C$3623,"&lt;"&amp;EDATE(DATEVALUE(C171&amp;"-01"),4))</f>
        <v>19.99</v>
      </c>
      <c r="W171" s="37">
        <f>SUMIFS('📋 Транзакції'!$F$5:$F$3623,'📋 Транзакції'!$B$5:$B$3623,A171,'📋 Транзакції'!$C$5:$C$3623,"&gt;="&amp;EDATE(DATEVALUE(C171&amp;"-01"),4),'📋 Транзакції'!$C$5:$C$3623,"&lt;"&amp;EDATE(DATEVALUE(C171&amp;"-01"),5))</f>
        <v>19.99</v>
      </c>
      <c r="X171" s="37">
        <f>SUMIFS('📋 Транзакції'!$F$5:$F$3623,'📋 Транзакції'!$B$5:$B$3623,A171,'📋 Транзакції'!$C$5:$C$3623,"&gt;="&amp;EDATE(DATEVALUE(C171&amp;"-01"),5),'📋 Транзакції'!$C$5:$C$3623,"&lt;"&amp;EDATE(DATEVALUE(C171&amp;"-01"),6))</f>
        <v>19.99</v>
      </c>
      <c r="Y171" s="37">
        <f>SUMIFS('📋 Транзакції'!$F$5:$F$3623,'📋 Транзакції'!$B$5:$B$3623,A171,'📋 Транзакції'!$C$5:$C$3623,"&gt;="&amp;EDATE(DATEVALUE(C171&amp;"-01"),6),'📋 Транзакції'!$C$5:$C$3623,"&lt;"&amp;EDATE(DATEVALUE(C171&amp;"-01"),7))</f>
        <v>19.99</v>
      </c>
      <c r="Z171" s="37">
        <f>SUMIFS('📋 Транзакції'!$F$5:$F$3623,'📋 Транзакції'!$B$5:$B$3623,A171,'📋 Транзакції'!$C$5:$C$3623,"&gt;="&amp;EDATE(DATEVALUE(C171&amp;"-01"),7),'📋 Транзакції'!$C$5:$C$3623,"&lt;"&amp;EDATE(DATEVALUE(C171&amp;"-01"),8))</f>
        <v>19.99</v>
      </c>
      <c r="AA171" s="37">
        <f>SUMIFS('📋 Транзакції'!$F$5:$F$3623,'📋 Транзакції'!$B$5:$B$3623,A171,'📋 Транзакції'!$C$5:$C$3623,"&gt;="&amp;EDATE(DATEVALUE(C171&amp;"-01"),8),'📋 Транзакції'!$C$5:$C$3623,"&lt;"&amp;EDATE(DATEVALUE(C171&amp;"-01"),9))</f>
        <v>19.99</v>
      </c>
      <c r="AB171" s="37">
        <f>SUMIFS('📋 Транзакції'!$F$5:$F$3623,'📋 Транзакції'!$B$5:$B$3623,A171,'📋 Транзакції'!$C$5:$C$3623,"&gt;="&amp;EDATE(DATEVALUE(C171&amp;"-01"),9),'📋 Транзакції'!$C$5:$C$3623,"&lt;"&amp;EDATE(DATEVALUE(C171&amp;"-01"),10))</f>
        <v>19.99</v>
      </c>
      <c r="AC171" s="37">
        <f>SUMIFS('📋 Транзакції'!$F$5:$F$3623,'📋 Транзакції'!$B$5:$B$3623,A171,'📋 Транзакції'!$C$5:$C$3623,"&gt;="&amp;EDATE(DATEVALUE(C171&amp;"-01"),10),'📋 Транзакції'!$C$5:$C$3623,"&lt;"&amp;EDATE(DATEVALUE(C171&amp;"-01"),11))</f>
        <v>0</v>
      </c>
      <c r="AD171" s="37">
        <f>SUMIFS('📋 Транзакції'!$F$5:$F$3623,'📋 Транзакції'!$B$5:$B$3623,A171,'📋 Транзакції'!$C$5:$C$3623,"&gt;="&amp;EDATE(DATEVALUE(C171&amp;"-01"),11),'📋 Транзакції'!$C$5:$C$3623,"&lt;"&amp;EDATE(DATEVALUE(C171&amp;"-01"),12))</f>
        <v>0</v>
      </c>
    </row>
    <row r="172" ht="15.75" customHeight="1">
      <c r="A172" s="33" t="str">
        <f>'📋 Реєстрації'!A172:A773</f>
        <v>U0709</v>
      </c>
      <c r="B172" s="34">
        <f t="array" ref="B172">INDEX('📋 Транзакції'!$C$5:$C$3623,MATCH(A172,'📋 Транзакції'!$B$5:$B$3623,0))</f>
        <v>45465</v>
      </c>
      <c r="C172" s="35" t="str">
        <f t="shared" si="1"/>
        <v>2024-06</v>
      </c>
      <c r="D172" s="36">
        <f>COUNTIF('📋 Транзакції'!$B$5:$B$3623,A172)</f>
        <v>2</v>
      </c>
      <c r="E172" s="36">
        <f>SUMIF('📋 Транзакції'!$B$5:$B$3623,A172,'📋 Транзакції'!$F$5:$F$3623)</f>
        <v>19.99</v>
      </c>
      <c r="F172" s="35">
        <f>INT($A$1-MAXIFS('📋 Транзакції'!$C$5:$C$3623,'📋 Транзакції'!$B$5:$B$3623,A172))</f>
        <v>275</v>
      </c>
      <c r="G172" s="37">
        <f>IF(COUNTIFS('📋 Транзакції'!$B$5:$B$3623,A172,'📋 Транзакції'!$C$5:$C$3623,"&gt;="&amp;EDATE(DATEVALUE(C172&amp;"-01"),0),'📋 Транзакції'!$C$5:$C$3623,"&lt;"&amp;EDATE(DATEVALUE(C172&amp;"-01"),1))&gt;0,1,0)</f>
        <v>1</v>
      </c>
      <c r="H172" s="37">
        <f>IF(COUNTIFS('📋 Транзакції'!$B$5:$B$3623,A172,'📋 Транзакції'!$C$5:$C$3623,"&gt;="&amp;EDATE(DATEVALUE(C172&amp;"-01"),1),'📋 Транзакції'!$C$5:$C$3623,"&lt;"&amp;EDATE(DATEVALUE(C172&amp;"-01"),2))&gt;0,1,0)</f>
        <v>0</v>
      </c>
      <c r="I172" s="37">
        <f>IF(COUNTIFS('📋 Транзакції'!$B$5:$B$3623,A172,'📋 Транзакції'!$C$5:$C$3623,"&gt;="&amp;EDATE(DATEVALUE(C172&amp;"-01"),2),'📋 Транзакції'!$C$5:$C$3623,"&lt;"&amp;EDATE(DATEVALUE(C172&amp;"-01"),3))&gt;0,1,0)</f>
        <v>0</v>
      </c>
      <c r="J172" s="37">
        <f>IF(COUNTIFS('📋 Транзакції'!$B$5:$B$3623,A172,'📋 Транзакції'!$C$5:$C$3623,"&gt;="&amp;EDATE(DATEVALUE(C172&amp;"-01"),3),'📋 Транзакції'!$C$5:$C$3623,"&lt;"&amp;EDATE(DATEVALUE(C172&amp;"-01"),4))&gt;0,1,0)</f>
        <v>0</v>
      </c>
      <c r="K172" s="37">
        <f>IF(COUNTIFS('📋 Транзакції'!$B$5:$B$3623,A172,'📋 Транзакції'!$C$5:$C$3623,"&gt;="&amp;EDATE(DATEVALUE(C172&amp;"-01"),4),'📋 Транзакції'!$C$5:$C$3623,"&lt;"&amp;EDATE(DATEVALUE(C172&amp;"-01"),5))&gt;0,1,0)</f>
        <v>0</v>
      </c>
      <c r="L172" s="37">
        <f>IF(COUNTIFS('📋 Транзакції'!$B$5:$B$3623,A172,'📋 Транзакції'!$C$5:$C$3623,"&gt;="&amp;EDATE(DATEVALUE(C172&amp;"-01"),5),'📋 Транзакції'!$C$5:$C$3623,"&lt;"&amp;EDATE(DATEVALUE(C172&amp;"-01"),6))&gt;0,1,0)</f>
        <v>0</v>
      </c>
      <c r="M172" s="37">
        <f>IF(COUNTIFS('📋 Транзакції'!$B$5:$B$3623,A172,'📋 Транзакції'!$C$5:$C$3623,"&gt;="&amp;EDATE(DATEVALUE(C172&amp;"-01"),6),'📋 Транзакції'!$C$5:$C$3623,"&lt;"&amp;EDATE(DATEVALUE(C172&amp;"-01"),7))&gt;0,1,0)</f>
        <v>0</v>
      </c>
      <c r="N172" s="37">
        <f>IF(COUNTIFS('📋 Транзакції'!$B$5:$B$3623,A172,'📋 Транзакції'!$C$5:$C$3623,"&gt;="&amp;EDATE(DATEVALUE(C172&amp;"-01"),7),'📋 Транзакції'!$C$5:$C$3623,"&lt;"&amp;EDATE(DATEVALUE(C172&amp;"-01"),8))&gt;0,1,0)</f>
        <v>0</v>
      </c>
      <c r="O172" s="37">
        <f>IF(COUNTIFS('📋 Транзакції'!$B$5:$B$3623,A172,'📋 Транзакції'!$C$5:$C$3623,"&gt;="&amp;EDATE(DATEVALUE(C172&amp;"-01"),8),'📋 Транзакції'!$C$5:$C$3623,"&lt;"&amp;EDATE(DATEVALUE(C172&amp;"-01"),9))&gt;0,1,0)</f>
        <v>0</v>
      </c>
      <c r="P172" s="37">
        <f>IF(COUNTIFS('📋 Транзакції'!$B$5:$B$3623,A172,'📋 Транзакції'!$C$5:$C$3623,"&gt;="&amp;EDATE(DATEVALUE(C172&amp;"-01"),9),'📋 Транзакції'!$C$5:$C$3623,"&lt;"&amp;EDATE(DATEVALUE(C172&amp;"-01"),10))&gt;0,1,0)</f>
        <v>0</v>
      </c>
      <c r="Q172" s="37">
        <f>IF(COUNTIFS('📋 Транзакції'!$B$5:$B$3623,A172,'📋 Транзакції'!$C$5:$C$3623,"&gt;="&amp;EDATE(DATEVALUE(C172&amp;"-01"),10),'📋 Транзакції'!$C$5:$C$3623,"&lt;"&amp;EDATE(DATEVALUE(C172&amp;"-01"),11))&gt;0,1,0)</f>
        <v>0</v>
      </c>
      <c r="R172" s="37">
        <f>IF(COUNTIFS('📋 Транзакції'!$B$5:$B$3623,A172,'📋 Транзакції'!$C$5:$C$3623,"&gt;="&amp;EDATE(DATEVALUE(C172&amp;"-01"),11),'📋 Транзакції'!$C$5:$C$3623,"&lt;"&amp;EDATE(DATEVALUE(C172&amp;"-01"),12))&gt;0,1,0)</f>
        <v>0</v>
      </c>
      <c r="S172" s="37">
        <f>SUMIFS('📋 Транзакції'!$F$5:$F$3623,'📋 Транзакції'!$B$5:$B$3623,A172,'📋 Транзакції'!$C$5:$C$3623,"&gt;="&amp;EDATE(DATEVALUE(C172&amp;"-01"),0),'📋 Транзакції'!$C$5:$C$3623,"&lt;"&amp;EDATE(DATEVALUE(C172&amp;"-01"),1))</f>
        <v>19.99</v>
      </c>
      <c r="T172" s="37">
        <f>SUMIFS('📋 Транзакції'!$F$5:$F$3623,'📋 Транзакції'!$B$5:$B$3623,A172,'📋 Транзакції'!$C$5:$C$3623,"&gt;="&amp;EDATE(DATEVALUE(C172&amp;"-01"),1),'📋 Транзакції'!$C$5:$C$3623,"&lt;"&amp;EDATE(DATEVALUE(C172&amp;"-01"),2))</f>
        <v>0</v>
      </c>
      <c r="U172" s="37">
        <f>SUMIFS('📋 Транзакції'!$F$5:$F$3623,'📋 Транзакції'!$B$5:$B$3623,A172,'📋 Транзакції'!$C$5:$C$3623,"&gt;="&amp;EDATE(DATEVALUE(C172&amp;"-01"),2),'📋 Транзакції'!$C$5:$C$3623,"&lt;"&amp;EDATE(DATEVALUE(C172&amp;"-01"),3))</f>
        <v>0</v>
      </c>
      <c r="V172" s="37">
        <f>SUMIFS('📋 Транзакції'!$F$5:$F$3623,'📋 Транзакції'!$B$5:$B$3623,A172,'📋 Транзакції'!$C$5:$C$3623,"&gt;="&amp;EDATE(DATEVALUE(C172&amp;"-01"),3),'📋 Транзакції'!$C$5:$C$3623,"&lt;"&amp;EDATE(DATEVALUE(C172&amp;"-01"),4))</f>
        <v>0</v>
      </c>
      <c r="W172" s="37">
        <f>SUMIFS('📋 Транзакції'!$F$5:$F$3623,'📋 Транзакції'!$B$5:$B$3623,A172,'📋 Транзакції'!$C$5:$C$3623,"&gt;="&amp;EDATE(DATEVALUE(C172&amp;"-01"),4),'📋 Транзакції'!$C$5:$C$3623,"&lt;"&amp;EDATE(DATEVALUE(C172&amp;"-01"),5))</f>
        <v>0</v>
      </c>
      <c r="X172" s="37">
        <f>SUMIFS('📋 Транзакції'!$F$5:$F$3623,'📋 Транзакції'!$B$5:$B$3623,A172,'📋 Транзакції'!$C$5:$C$3623,"&gt;="&amp;EDATE(DATEVALUE(C172&amp;"-01"),5),'📋 Транзакції'!$C$5:$C$3623,"&lt;"&amp;EDATE(DATEVALUE(C172&amp;"-01"),6))</f>
        <v>0</v>
      </c>
      <c r="Y172" s="37">
        <f>SUMIFS('📋 Транзакції'!$F$5:$F$3623,'📋 Транзакції'!$B$5:$B$3623,A172,'📋 Транзакції'!$C$5:$C$3623,"&gt;="&amp;EDATE(DATEVALUE(C172&amp;"-01"),6),'📋 Транзакції'!$C$5:$C$3623,"&lt;"&amp;EDATE(DATEVALUE(C172&amp;"-01"),7))</f>
        <v>0</v>
      </c>
      <c r="Z172" s="37">
        <f>SUMIFS('📋 Транзакції'!$F$5:$F$3623,'📋 Транзакції'!$B$5:$B$3623,A172,'📋 Транзакції'!$C$5:$C$3623,"&gt;="&amp;EDATE(DATEVALUE(C172&amp;"-01"),7),'📋 Транзакції'!$C$5:$C$3623,"&lt;"&amp;EDATE(DATEVALUE(C172&amp;"-01"),8))</f>
        <v>0</v>
      </c>
      <c r="AA172" s="37">
        <f>SUMIFS('📋 Транзакції'!$F$5:$F$3623,'📋 Транзакції'!$B$5:$B$3623,A172,'📋 Транзакції'!$C$5:$C$3623,"&gt;="&amp;EDATE(DATEVALUE(C172&amp;"-01"),8),'📋 Транзакції'!$C$5:$C$3623,"&lt;"&amp;EDATE(DATEVALUE(C172&amp;"-01"),9))</f>
        <v>0</v>
      </c>
      <c r="AB172" s="37">
        <f>SUMIFS('📋 Транзакції'!$F$5:$F$3623,'📋 Транзакції'!$B$5:$B$3623,A172,'📋 Транзакції'!$C$5:$C$3623,"&gt;="&amp;EDATE(DATEVALUE(C172&amp;"-01"),9),'📋 Транзакції'!$C$5:$C$3623,"&lt;"&amp;EDATE(DATEVALUE(C172&amp;"-01"),10))</f>
        <v>0</v>
      </c>
      <c r="AC172" s="37">
        <f>SUMIFS('📋 Транзакції'!$F$5:$F$3623,'📋 Транзакції'!$B$5:$B$3623,A172,'📋 Транзакції'!$C$5:$C$3623,"&gt;="&amp;EDATE(DATEVALUE(C172&amp;"-01"),10),'📋 Транзакції'!$C$5:$C$3623,"&lt;"&amp;EDATE(DATEVALUE(C172&amp;"-01"),11))</f>
        <v>0</v>
      </c>
      <c r="AD172" s="37">
        <f>SUMIFS('📋 Транзакції'!$F$5:$F$3623,'📋 Транзакції'!$B$5:$B$3623,A172,'📋 Транзакції'!$C$5:$C$3623,"&gt;="&amp;EDATE(DATEVALUE(C172&amp;"-01"),11),'📋 Транзакції'!$C$5:$C$3623,"&lt;"&amp;EDATE(DATEVALUE(C172&amp;"-01"),12))</f>
        <v>0</v>
      </c>
    </row>
    <row r="173" ht="15.75" customHeight="1">
      <c r="A173" s="33" t="str">
        <f>'📋 Реєстрації'!A173:A774</f>
        <v>U0538</v>
      </c>
      <c r="B173" s="34">
        <f t="array" ref="B173">INDEX('📋 Транзакції'!$C$5:$C$3623,MATCH(A173,'📋 Транзакції'!$B$5:$B$3623,0))</f>
        <v>45466</v>
      </c>
      <c r="C173" s="35" t="str">
        <f t="shared" si="1"/>
        <v>2024-06</v>
      </c>
      <c r="D173" s="36">
        <f>COUNTIF('📋 Транзакції'!$B$5:$B$3623,A173)</f>
        <v>4</v>
      </c>
      <c r="E173" s="36">
        <f>SUMIF('📋 Транзакції'!$B$5:$B$3623,A173,'📋 Транзакції'!$F$5:$F$3623)</f>
        <v>59.97</v>
      </c>
      <c r="F173" s="35">
        <f>INT($A$1-MAXIFS('📋 Транзакції'!$C$5:$C$3623,'📋 Транзакції'!$B$5:$B$3623,A173))</f>
        <v>214</v>
      </c>
      <c r="G173" s="37">
        <f>IF(COUNTIFS('📋 Транзакції'!$B$5:$B$3623,A173,'📋 Транзакції'!$C$5:$C$3623,"&gt;="&amp;EDATE(DATEVALUE(C173&amp;"-01"),0),'📋 Транзакції'!$C$5:$C$3623,"&lt;"&amp;EDATE(DATEVALUE(C173&amp;"-01"),1))&gt;0,1,0)</f>
        <v>1</v>
      </c>
      <c r="H173" s="37">
        <f>IF(COUNTIFS('📋 Транзакції'!$B$5:$B$3623,A173,'📋 Транзакції'!$C$5:$C$3623,"&gt;="&amp;EDATE(DATEVALUE(C173&amp;"-01"),1),'📋 Транзакції'!$C$5:$C$3623,"&lt;"&amp;EDATE(DATEVALUE(C173&amp;"-01"),2))&gt;0,1,0)</f>
        <v>1</v>
      </c>
      <c r="I173" s="37">
        <f>IF(COUNTIFS('📋 Транзакції'!$B$5:$B$3623,A173,'📋 Транзакції'!$C$5:$C$3623,"&gt;="&amp;EDATE(DATEVALUE(C173&amp;"-01"),2),'📋 Транзакції'!$C$5:$C$3623,"&lt;"&amp;EDATE(DATEVALUE(C173&amp;"-01"),3))&gt;0,1,0)</f>
        <v>1</v>
      </c>
      <c r="J173" s="37">
        <f>IF(COUNTIFS('📋 Транзакції'!$B$5:$B$3623,A173,'📋 Транзакції'!$C$5:$C$3623,"&gt;="&amp;EDATE(DATEVALUE(C173&amp;"-01"),3),'📋 Транзакції'!$C$5:$C$3623,"&lt;"&amp;EDATE(DATEVALUE(C173&amp;"-01"),4))&gt;0,1,0)</f>
        <v>0</v>
      </c>
      <c r="K173" s="37">
        <f>IF(COUNTIFS('📋 Транзакції'!$B$5:$B$3623,A173,'📋 Транзакції'!$C$5:$C$3623,"&gt;="&amp;EDATE(DATEVALUE(C173&amp;"-01"),4),'📋 Транзакції'!$C$5:$C$3623,"&lt;"&amp;EDATE(DATEVALUE(C173&amp;"-01"),5))&gt;0,1,0)</f>
        <v>0</v>
      </c>
      <c r="L173" s="37">
        <f>IF(COUNTIFS('📋 Транзакції'!$B$5:$B$3623,A173,'📋 Транзакції'!$C$5:$C$3623,"&gt;="&amp;EDATE(DATEVALUE(C173&amp;"-01"),5),'📋 Транзакції'!$C$5:$C$3623,"&lt;"&amp;EDATE(DATEVALUE(C173&amp;"-01"),6))&gt;0,1,0)</f>
        <v>0</v>
      </c>
      <c r="M173" s="37">
        <f>IF(COUNTIFS('📋 Транзакції'!$B$5:$B$3623,A173,'📋 Транзакції'!$C$5:$C$3623,"&gt;="&amp;EDATE(DATEVALUE(C173&amp;"-01"),6),'📋 Транзакції'!$C$5:$C$3623,"&lt;"&amp;EDATE(DATEVALUE(C173&amp;"-01"),7))&gt;0,1,0)</f>
        <v>0</v>
      </c>
      <c r="N173" s="37">
        <f>IF(COUNTIFS('📋 Транзакції'!$B$5:$B$3623,A173,'📋 Транзакції'!$C$5:$C$3623,"&gt;="&amp;EDATE(DATEVALUE(C173&amp;"-01"),7),'📋 Транзакції'!$C$5:$C$3623,"&lt;"&amp;EDATE(DATEVALUE(C173&amp;"-01"),8))&gt;0,1,0)</f>
        <v>0</v>
      </c>
      <c r="O173" s="37">
        <f>IF(COUNTIFS('📋 Транзакції'!$B$5:$B$3623,A173,'📋 Транзакції'!$C$5:$C$3623,"&gt;="&amp;EDATE(DATEVALUE(C173&amp;"-01"),8),'📋 Транзакції'!$C$5:$C$3623,"&lt;"&amp;EDATE(DATEVALUE(C173&amp;"-01"),9))&gt;0,1,0)</f>
        <v>0</v>
      </c>
      <c r="P173" s="37">
        <f>IF(COUNTIFS('📋 Транзакції'!$B$5:$B$3623,A173,'📋 Транзакції'!$C$5:$C$3623,"&gt;="&amp;EDATE(DATEVALUE(C173&amp;"-01"),9),'📋 Транзакції'!$C$5:$C$3623,"&lt;"&amp;EDATE(DATEVALUE(C173&amp;"-01"),10))&gt;0,1,0)</f>
        <v>0</v>
      </c>
      <c r="Q173" s="37">
        <f>IF(COUNTIFS('📋 Транзакції'!$B$5:$B$3623,A173,'📋 Транзакції'!$C$5:$C$3623,"&gt;="&amp;EDATE(DATEVALUE(C173&amp;"-01"),10),'📋 Транзакції'!$C$5:$C$3623,"&lt;"&amp;EDATE(DATEVALUE(C173&amp;"-01"),11))&gt;0,1,0)</f>
        <v>0</v>
      </c>
      <c r="R173" s="37">
        <f>IF(COUNTIFS('📋 Транзакції'!$B$5:$B$3623,A173,'📋 Транзакції'!$C$5:$C$3623,"&gt;="&amp;EDATE(DATEVALUE(C173&amp;"-01"),11),'📋 Транзакції'!$C$5:$C$3623,"&lt;"&amp;EDATE(DATEVALUE(C173&amp;"-01"),12))&gt;0,1,0)</f>
        <v>0</v>
      </c>
      <c r="S173" s="37">
        <f>SUMIFS('📋 Транзакції'!$F$5:$F$3623,'📋 Транзакції'!$B$5:$B$3623,A173,'📋 Транзакції'!$C$5:$C$3623,"&gt;="&amp;EDATE(DATEVALUE(C173&amp;"-01"),0),'📋 Транзакції'!$C$5:$C$3623,"&lt;"&amp;EDATE(DATEVALUE(C173&amp;"-01"),1))</f>
        <v>19.99</v>
      </c>
      <c r="T173" s="37">
        <f>SUMIFS('📋 Транзакції'!$F$5:$F$3623,'📋 Транзакції'!$B$5:$B$3623,A173,'📋 Транзакції'!$C$5:$C$3623,"&gt;="&amp;EDATE(DATEVALUE(C173&amp;"-01"),1),'📋 Транзакції'!$C$5:$C$3623,"&lt;"&amp;EDATE(DATEVALUE(C173&amp;"-01"),2))</f>
        <v>19.99</v>
      </c>
      <c r="U173" s="37">
        <f>SUMIFS('📋 Транзакції'!$F$5:$F$3623,'📋 Транзакції'!$B$5:$B$3623,A173,'📋 Транзакції'!$C$5:$C$3623,"&gt;="&amp;EDATE(DATEVALUE(C173&amp;"-01"),2),'📋 Транзакції'!$C$5:$C$3623,"&lt;"&amp;EDATE(DATEVALUE(C173&amp;"-01"),3))</f>
        <v>19.99</v>
      </c>
      <c r="V173" s="37">
        <f>SUMIFS('📋 Транзакції'!$F$5:$F$3623,'📋 Транзакції'!$B$5:$B$3623,A173,'📋 Транзакції'!$C$5:$C$3623,"&gt;="&amp;EDATE(DATEVALUE(C173&amp;"-01"),3),'📋 Транзакції'!$C$5:$C$3623,"&lt;"&amp;EDATE(DATEVALUE(C173&amp;"-01"),4))</f>
        <v>0</v>
      </c>
      <c r="W173" s="37">
        <f>SUMIFS('📋 Транзакції'!$F$5:$F$3623,'📋 Транзакції'!$B$5:$B$3623,A173,'📋 Транзакції'!$C$5:$C$3623,"&gt;="&amp;EDATE(DATEVALUE(C173&amp;"-01"),4),'📋 Транзакції'!$C$5:$C$3623,"&lt;"&amp;EDATE(DATEVALUE(C173&amp;"-01"),5))</f>
        <v>0</v>
      </c>
      <c r="X173" s="37">
        <f>SUMIFS('📋 Транзакції'!$F$5:$F$3623,'📋 Транзакції'!$B$5:$B$3623,A173,'📋 Транзакції'!$C$5:$C$3623,"&gt;="&amp;EDATE(DATEVALUE(C173&amp;"-01"),5),'📋 Транзакції'!$C$5:$C$3623,"&lt;"&amp;EDATE(DATEVALUE(C173&amp;"-01"),6))</f>
        <v>0</v>
      </c>
      <c r="Y173" s="37">
        <f>SUMIFS('📋 Транзакції'!$F$5:$F$3623,'📋 Транзакції'!$B$5:$B$3623,A173,'📋 Транзакції'!$C$5:$C$3623,"&gt;="&amp;EDATE(DATEVALUE(C173&amp;"-01"),6),'📋 Транзакції'!$C$5:$C$3623,"&lt;"&amp;EDATE(DATEVALUE(C173&amp;"-01"),7))</f>
        <v>0</v>
      </c>
      <c r="Z173" s="37">
        <f>SUMIFS('📋 Транзакції'!$F$5:$F$3623,'📋 Транзакції'!$B$5:$B$3623,A173,'📋 Транзакції'!$C$5:$C$3623,"&gt;="&amp;EDATE(DATEVALUE(C173&amp;"-01"),7),'📋 Транзакції'!$C$5:$C$3623,"&lt;"&amp;EDATE(DATEVALUE(C173&amp;"-01"),8))</f>
        <v>0</v>
      </c>
      <c r="AA173" s="37">
        <f>SUMIFS('📋 Транзакції'!$F$5:$F$3623,'📋 Транзакції'!$B$5:$B$3623,A173,'📋 Транзакції'!$C$5:$C$3623,"&gt;="&amp;EDATE(DATEVALUE(C173&amp;"-01"),8),'📋 Транзакції'!$C$5:$C$3623,"&lt;"&amp;EDATE(DATEVALUE(C173&amp;"-01"),9))</f>
        <v>0</v>
      </c>
      <c r="AB173" s="37">
        <f>SUMIFS('📋 Транзакції'!$F$5:$F$3623,'📋 Транзакції'!$B$5:$B$3623,A173,'📋 Транзакції'!$C$5:$C$3623,"&gt;="&amp;EDATE(DATEVALUE(C173&amp;"-01"),9),'📋 Транзакції'!$C$5:$C$3623,"&lt;"&amp;EDATE(DATEVALUE(C173&amp;"-01"),10))</f>
        <v>0</v>
      </c>
      <c r="AC173" s="37">
        <f>SUMIFS('📋 Транзакції'!$F$5:$F$3623,'📋 Транзакції'!$B$5:$B$3623,A173,'📋 Транзакції'!$C$5:$C$3623,"&gt;="&amp;EDATE(DATEVALUE(C173&amp;"-01"),10),'📋 Транзакції'!$C$5:$C$3623,"&lt;"&amp;EDATE(DATEVALUE(C173&amp;"-01"),11))</f>
        <v>0</v>
      </c>
      <c r="AD173" s="37">
        <f>SUMIFS('📋 Транзакції'!$F$5:$F$3623,'📋 Транзакції'!$B$5:$B$3623,A173,'📋 Транзакції'!$C$5:$C$3623,"&gt;="&amp;EDATE(DATEVALUE(C173&amp;"-01"),11),'📋 Транзакції'!$C$5:$C$3623,"&lt;"&amp;EDATE(DATEVALUE(C173&amp;"-01"),12))</f>
        <v>0</v>
      </c>
    </row>
    <row r="174" ht="15.75" customHeight="1">
      <c r="A174" s="33" t="str">
        <f>'📋 Реєстрації'!A174:A775</f>
        <v>U0543</v>
      </c>
      <c r="B174" s="34">
        <f t="array" ref="B174">INDEX('📋 Транзакції'!$C$5:$C$3623,MATCH(A174,'📋 Транзакції'!$B$5:$B$3623,0))</f>
        <v>45466</v>
      </c>
      <c r="C174" s="35" t="str">
        <f t="shared" si="1"/>
        <v>2024-06</v>
      </c>
      <c r="D174" s="36">
        <f>COUNTIF('📋 Транзакції'!$B$5:$B$3623,A174)</f>
        <v>2</v>
      </c>
      <c r="E174" s="36">
        <f>SUMIF('📋 Транзакції'!$B$5:$B$3623,A174,'📋 Транзакції'!$F$5:$F$3623)</f>
        <v>19.99</v>
      </c>
      <c r="F174" s="35">
        <f>INT($A$1-MAXIFS('📋 Транзакції'!$C$5:$C$3623,'📋 Транзакції'!$B$5:$B$3623,A174))</f>
        <v>274</v>
      </c>
      <c r="G174" s="37">
        <f>IF(COUNTIFS('📋 Транзакції'!$B$5:$B$3623,A174,'📋 Транзакції'!$C$5:$C$3623,"&gt;="&amp;EDATE(DATEVALUE(C174&amp;"-01"),0),'📋 Транзакції'!$C$5:$C$3623,"&lt;"&amp;EDATE(DATEVALUE(C174&amp;"-01"),1))&gt;0,1,0)</f>
        <v>1</v>
      </c>
      <c r="H174" s="37">
        <f>IF(COUNTIFS('📋 Транзакції'!$B$5:$B$3623,A174,'📋 Транзакції'!$C$5:$C$3623,"&gt;="&amp;EDATE(DATEVALUE(C174&amp;"-01"),1),'📋 Транзакції'!$C$5:$C$3623,"&lt;"&amp;EDATE(DATEVALUE(C174&amp;"-01"),2))&gt;0,1,0)</f>
        <v>0</v>
      </c>
      <c r="I174" s="37">
        <f>IF(COUNTIFS('📋 Транзакції'!$B$5:$B$3623,A174,'📋 Транзакції'!$C$5:$C$3623,"&gt;="&amp;EDATE(DATEVALUE(C174&amp;"-01"),2),'📋 Транзакції'!$C$5:$C$3623,"&lt;"&amp;EDATE(DATEVALUE(C174&amp;"-01"),3))&gt;0,1,0)</f>
        <v>0</v>
      </c>
      <c r="J174" s="37">
        <f>IF(COUNTIFS('📋 Транзакції'!$B$5:$B$3623,A174,'📋 Транзакції'!$C$5:$C$3623,"&gt;="&amp;EDATE(DATEVALUE(C174&amp;"-01"),3),'📋 Транзакції'!$C$5:$C$3623,"&lt;"&amp;EDATE(DATEVALUE(C174&amp;"-01"),4))&gt;0,1,0)</f>
        <v>0</v>
      </c>
      <c r="K174" s="37">
        <f>IF(COUNTIFS('📋 Транзакції'!$B$5:$B$3623,A174,'📋 Транзакції'!$C$5:$C$3623,"&gt;="&amp;EDATE(DATEVALUE(C174&amp;"-01"),4),'📋 Транзакції'!$C$5:$C$3623,"&lt;"&amp;EDATE(DATEVALUE(C174&amp;"-01"),5))&gt;0,1,0)</f>
        <v>0</v>
      </c>
      <c r="L174" s="37">
        <f>IF(COUNTIFS('📋 Транзакції'!$B$5:$B$3623,A174,'📋 Транзакції'!$C$5:$C$3623,"&gt;="&amp;EDATE(DATEVALUE(C174&amp;"-01"),5),'📋 Транзакції'!$C$5:$C$3623,"&lt;"&amp;EDATE(DATEVALUE(C174&amp;"-01"),6))&gt;0,1,0)</f>
        <v>0</v>
      </c>
      <c r="M174" s="37">
        <f>IF(COUNTIFS('📋 Транзакції'!$B$5:$B$3623,A174,'📋 Транзакції'!$C$5:$C$3623,"&gt;="&amp;EDATE(DATEVALUE(C174&amp;"-01"),6),'📋 Транзакції'!$C$5:$C$3623,"&lt;"&amp;EDATE(DATEVALUE(C174&amp;"-01"),7))&gt;0,1,0)</f>
        <v>0</v>
      </c>
      <c r="N174" s="37">
        <f>IF(COUNTIFS('📋 Транзакції'!$B$5:$B$3623,A174,'📋 Транзакції'!$C$5:$C$3623,"&gt;="&amp;EDATE(DATEVALUE(C174&amp;"-01"),7),'📋 Транзакції'!$C$5:$C$3623,"&lt;"&amp;EDATE(DATEVALUE(C174&amp;"-01"),8))&gt;0,1,0)</f>
        <v>0</v>
      </c>
      <c r="O174" s="37">
        <f>IF(COUNTIFS('📋 Транзакції'!$B$5:$B$3623,A174,'📋 Транзакції'!$C$5:$C$3623,"&gt;="&amp;EDATE(DATEVALUE(C174&amp;"-01"),8),'📋 Транзакції'!$C$5:$C$3623,"&lt;"&amp;EDATE(DATEVALUE(C174&amp;"-01"),9))&gt;0,1,0)</f>
        <v>0</v>
      </c>
      <c r="P174" s="37">
        <f>IF(COUNTIFS('📋 Транзакції'!$B$5:$B$3623,A174,'📋 Транзакції'!$C$5:$C$3623,"&gt;="&amp;EDATE(DATEVALUE(C174&amp;"-01"),9),'📋 Транзакції'!$C$5:$C$3623,"&lt;"&amp;EDATE(DATEVALUE(C174&amp;"-01"),10))&gt;0,1,0)</f>
        <v>0</v>
      </c>
      <c r="Q174" s="37">
        <f>IF(COUNTIFS('📋 Транзакції'!$B$5:$B$3623,A174,'📋 Транзакції'!$C$5:$C$3623,"&gt;="&amp;EDATE(DATEVALUE(C174&amp;"-01"),10),'📋 Транзакції'!$C$5:$C$3623,"&lt;"&amp;EDATE(DATEVALUE(C174&amp;"-01"),11))&gt;0,1,0)</f>
        <v>0</v>
      </c>
      <c r="R174" s="37">
        <f>IF(COUNTIFS('📋 Транзакції'!$B$5:$B$3623,A174,'📋 Транзакції'!$C$5:$C$3623,"&gt;="&amp;EDATE(DATEVALUE(C174&amp;"-01"),11),'📋 Транзакції'!$C$5:$C$3623,"&lt;"&amp;EDATE(DATEVALUE(C174&amp;"-01"),12))&gt;0,1,0)</f>
        <v>0</v>
      </c>
      <c r="S174" s="37">
        <f>SUMIFS('📋 Транзакції'!$F$5:$F$3623,'📋 Транзакції'!$B$5:$B$3623,A174,'📋 Транзакції'!$C$5:$C$3623,"&gt;="&amp;EDATE(DATEVALUE(C174&amp;"-01"),0),'📋 Транзакції'!$C$5:$C$3623,"&lt;"&amp;EDATE(DATEVALUE(C174&amp;"-01"),1))</f>
        <v>19.99</v>
      </c>
      <c r="T174" s="37">
        <f>SUMIFS('📋 Транзакції'!$F$5:$F$3623,'📋 Транзакції'!$B$5:$B$3623,A174,'📋 Транзакції'!$C$5:$C$3623,"&gt;="&amp;EDATE(DATEVALUE(C174&amp;"-01"),1),'📋 Транзакції'!$C$5:$C$3623,"&lt;"&amp;EDATE(DATEVALUE(C174&amp;"-01"),2))</f>
        <v>0</v>
      </c>
      <c r="U174" s="37">
        <f>SUMIFS('📋 Транзакції'!$F$5:$F$3623,'📋 Транзакції'!$B$5:$B$3623,A174,'📋 Транзакції'!$C$5:$C$3623,"&gt;="&amp;EDATE(DATEVALUE(C174&amp;"-01"),2),'📋 Транзакції'!$C$5:$C$3623,"&lt;"&amp;EDATE(DATEVALUE(C174&amp;"-01"),3))</f>
        <v>0</v>
      </c>
      <c r="V174" s="37">
        <f>SUMIFS('📋 Транзакції'!$F$5:$F$3623,'📋 Транзакції'!$B$5:$B$3623,A174,'📋 Транзакції'!$C$5:$C$3623,"&gt;="&amp;EDATE(DATEVALUE(C174&amp;"-01"),3),'📋 Транзакції'!$C$5:$C$3623,"&lt;"&amp;EDATE(DATEVALUE(C174&amp;"-01"),4))</f>
        <v>0</v>
      </c>
      <c r="W174" s="37">
        <f>SUMIFS('📋 Транзакції'!$F$5:$F$3623,'📋 Транзакції'!$B$5:$B$3623,A174,'📋 Транзакції'!$C$5:$C$3623,"&gt;="&amp;EDATE(DATEVALUE(C174&amp;"-01"),4),'📋 Транзакції'!$C$5:$C$3623,"&lt;"&amp;EDATE(DATEVALUE(C174&amp;"-01"),5))</f>
        <v>0</v>
      </c>
      <c r="X174" s="37">
        <f>SUMIFS('📋 Транзакції'!$F$5:$F$3623,'📋 Транзакції'!$B$5:$B$3623,A174,'📋 Транзакції'!$C$5:$C$3623,"&gt;="&amp;EDATE(DATEVALUE(C174&amp;"-01"),5),'📋 Транзакції'!$C$5:$C$3623,"&lt;"&amp;EDATE(DATEVALUE(C174&amp;"-01"),6))</f>
        <v>0</v>
      </c>
      <c r="Y174" s="37">
        <f>SUMIFS('📋 Транзакції'!$F$5:$F$3623,'📋 Транзакції'!$B$5:$B$3623,A174,'📋 Транзакції'!$C$5:$C$3623,"&gt;="&amp;EDATE(DATEVALUE(C174&amp;"-01"),6),'📋 Транзакції'!$C$5:$C$3623,"&lt;"&amp;EDATE(DATEVALUE(C174&amp;"-01"),7))</f>
        <v>0</v>
      </c>
      <c r="Z174" s="37">
        <f>SUMIFS('📋 Транзакції'!$F$5:$F$3623,'📋 Транзакції'!$B$5:$B$3623,A174,'📋 Транзакції'!$C$5:$C$3623,"&gt;="&amp;EDATE(DATEVALUE(C174&amp;"-01"),7),'📋 Транзакції'!$C$5:$C$3623,"&lt;"&amp;EDATE(DATEVALUE(C174&amp;"-01"),8))</f>
        <v>0</v>
      </c>
      <c r="AA174" s="37">
        <f>SUMIFS('📋 Транзакції'!$F$5:$F$3623,'📋 Транзакції'!$B$5:$B$3623,A174,'📋 Транзакції'!$C$5:$C$3623,"&gt;="&amp;EDATE(DATEVALUE(C174&amp;"-01"),8),'📋 Транзакції'!$C$5:$C$3623,"&lt;"&amp;EDATE(DATEVALUE(C174&amp;"-01"),9))</f>
        <v>0</v>
      </c>
      <c r="AB174" s="37">
        <f>SUMIFS('📋 Транзакції'!$F$5:$F$3623,'📋 Транзакції'!$B$5:$B$3623,A174,'📋 Транзакції'!$C$5:$C$3623,"&gt;="&amp;EDATE(DATEVALUE(C174&amp;"-01"),9),'📋 Транзакції'!$C$5:$C$3623,"&lt;"&amp;EDATE(DATEVALUE(C174&amp;"-01"),10))</f>
        <v>0</v>
      </c>
      <c r="AC174" s="37">
        <f>SUMIFS('📋 Транзакції'!$F$5:$F$3623,'📋 Транзакції'!$B$5:$B$3623,A174,'📋 Транзакції'!$C$5:$C$3623,"&gt;="&amp;EDATE(DATEVALUE(C174&amp;"-01"),10),'📋 Транзакції'!$C$5:$C$3623,"&lt;"&amp;EDATE(DATEVALUE(C174&amp;"-01"),11))</f>
        <v>0</v>
      </c>
      <c r="AD174" s="37">
        <f>SUMIFS('📋 Транзакції'!$F$5:$F$3623,'📋 Транзакції'!$B$5:$B$3623,A174,'📋 Транзакції'!$C$5:$C$3623,"&gt;="&amp;EDATE(DATEVALUE(C174&amp;"-01"),11),'📋 Транзакції'!$C$5:$C$3623,"&lt;"&amp;EDATE(DATEVALUE(C174&amp;"-01"),12))</f>
        <v>0</v>
      </c>
    </row>
    <row r="175" ht="15.75" customHeight="1">
      <c r="A175" s="33" t="str">
        <f>'📋 Реєстрації'!A175:A776</f>
        <v>U0872</v>
      </c>
      <c r="B175" s="34">
        <f t="array" ref="B175">INDEX('📋 Транзакції'!$C$5:$C$3623,MATCH(A175,'📋 Транзакції'!$B$5:$B$3623,0))</f>
        <v>45466</v>
      </c>
      <c r="C175" s="35" t="str">
        <f t="shared" si="1"/>
        <v>2024-06</v>
      </c>
      <c r="D175" s="36">
        <f>COUNTIF('📋 Транзакції'!$B$5:$B$3623,A175)</f>
        <v>11</v>
      </c>
      <c r="E175" s="36">
        <f>SUMIF('📋 Транзакції'!$B$5:$B$3623,A175,'📋 Транзакції'!$F$5:$F$3623)</f>
        <v>199.9</v>
      </c>
      <c r="F175" s="35">
        <f>INT($A$1-MAXIFS('📋 Транзакції'!$C$5:$C$3623,'📋 Транзакції'!$B$5:$B$3623,A175))</f>
        <v>4</v>
      </c>
      <c r="G175" s="37">
        <f>IF(COUNTIFS('📋 Транзакції'!$B$5:$B$3623,A175,'📋 Транзакції'!$C$5:$C$3623,"&gt;="&amp;EDATE(DATEVALUE(C175&amp;"-01"),0),'📋 Транзакції'!$C$5:$C$3623,"&lt;"&amp;EDATE(DATEVALUE(C175&amp;"-01"),1))&gt;0,1,0)</f>
        <v>1</v>
      </c>
      <c r="H175" s="37">
        <f>IF(COUNTIFS('📋 Транзакції'!$B$5:$B$3623,A175,'📋 Транзакції'!$C$5:$C$3623,"&gt;="&amp;EDATE(DATEVALUE(C175&amp;"-01"),1),'📋 Транзакції'!$C$5:$C$3623,"&lt;"&amp;EDATE(DATEVALUE(C175&amp;"-01"),2))&gt;0,1,0)</f>
        <v>1</v>
      </c>
      <c r="I175" s="37">
        <f>IF(COUNTIFS('📋 Транзакції'!$B$5:$B$3623,A175,'📋 Транзакції'!$C$5:$C$3623,"&gt;="&amp;EDATE(DATEVALUE(C175&amp;"-01"),2),'📋 Транзакції'!$C$5:$C$3623,"&lt;"&amp;EDATE(DATEVALUE(C175&amp;"-01"),3))&gt;0,1,0)</f>
        <v>1</v>
      </c>
      <c r="J175" s="37">
        <f>IF(COUNTIFS('📋 Транзакції'!$B$5:$B$3623,A175,'📋 Транзакції'!$C$5:$C$3623,"&gt;="&amp;EDATE(DATEVALUE(C175&amp;"-01"),3),'📋 Транзакції'!$C$5:$C$3623,"&lt;"&amp;EDATE(DATEVALUE(C175&amp;"-01"),4))&gt;0,1,0)</f>
        <v>1</v>
      </c>
      <c r="K175" s="37">
        <f>IF(COUNTIFS('📋 Транзакції'!$B$5:$B$3623,A175,'📋 Транзакції'!$C$5:$C$3623,"&gt;="&amp;EDATE(DATEVALUE(C175&amp;"-01"),4),'📋 Транзакції'!$C$5:$C$3623,"&lt;"&amp;EDATE(DATEVALUE(C175&amp;"-01"),5))&gt;0,1,0)</f>
        <v>1</v>
      </c>
      <c r="L175" s="37">
        <f>IF(COUNTIFS('📋 Транзакції'!$B$5:$B$3623,A175,'📋 Транзакції'!$C$5:$C$3623,"&gt;="&amp;EDATE(DATEVALUE(C175&amp;"-01"),5),'📋 Транзакції'!$C$5:$C$3623,"&lt;"&amp;EDATE(DATEVALUE(C175&amp;"-01"),6))&gt;0,1,0)</f>
        <v>1</v>
      </c>
      <c r="M175" s="37">
        <f>IF(COUNTIFS('📋 Транзакції'!$B$5:$B$3623,A175,'📋 Транзакції'!$C$5:$C$3623,"&gt;="&amp;EDATE(DATEVALUE(C175&amp;"-01"),6),'📋 Транзакції'!$C$5:$C$3623,"&lt;"&amp;EDATE(DATEVALUE(C175&amp;"-01"),7))&gt;0,1,0)</f>
        <v>1</v>
      </c>
      <c r="N175" s="37">
        <f>IF(COUNTIFS('📋 Транзакції'!$B$5:$B$3623,A175,'📋 Транзакції'!$C$5:$C$3623,"&gt;="&amp;EDATE(DATEVALUE(C175&amp;"-01"),7),'📋 Транзакції'!$C$5:$C$3623,"&lt;"&amp;EDATE(DATEVALUE(C175&amp;"-01"),8))&gt;0,1,0)</f>
        <v>1</v>
      </c>
      <c r="O175" s="37">
        <f>IF(COUNTIFS('📋 Транзакції'!$B$5:$B$3623,A175,'📋 Транзакції'!$C$5:$C$3623,"&gt;="&amp;EDATE(DATEVALUE(C175&amp;"-01"),8),'📋 Транзакції'!$C$5:$C$3623,"&lt;"&amp;EDATE(DATEVALUE(C175&amp;"-01"),9))&gt;0,1,0)</f>
        <v>1</v>
      </c>
      <c r="P175" s="37">
        <f>IF(COUNTIFS('📋 Транзакції'!$B$5:$B$3623,A175,'📋 Транзакції'!$C$5:$C$3623,"&gt;="&amp;EDATE(DATEVALUE(C175&amp;"-01"),9),'📋 Транзакції'!$C$5:$C$3623,"&lt;"&amp;EDATE(DATEVALUE(C175&amp;"-01"),10))&gt;0,1,0)</f>
        <v>1</v>
      </c>
      <c r="Q175" s="37">
        <f>IF(COUNTIFS('📋 Транзакції'!$B$5:$B$3623,A175,'📋 Транзакції'!$C$5:$C$3623,"&gt;="&amp;EDATE(DATEVALUE(C175&amp;"-01"),10),'📋 Транзакції'!$C$5:$C$3623,"&lt;"&amp;EDATE(DATEVALUE(C175&amp;"-01"),11))&gt;0,1,0)</f>
        <v>0</v>
      </c>
      <c r="R175" s="37">
        <f>IF(COUNTIFS('📋 Транзакції'!$B$5:$B$3623,A175,'📋 Транзакції'!$C$5:$C$3623,"&gt;="&amp;EDATE(DATEVALUE(C175&amp;"-01"),11),'📋 Транзакції'!$C$5:$C$3623,"&lt;"&amp;EDATE(DATEVALUE(C175&amp;"-01"),12))&gt;0,1,0)</f>
        <v>0</v>
      </c>
      <c r="S175" s="37">
        <f>SUMIFS('📋 Транзакції'!$F$5:$F$3623,'📋 Транзакції'!$B$5:$B$3623,A175,'📋 Транзакції'!$C$5:$C$3623,"&gt;="&amp;EDATE(DATEVALUE(C175&amp;"-01"),0),'📋 Транзакції'!$C$5:$C$3623,"&lt;"&amp;EDATE(DATEVALUE(C175&amp;"-01"),1))</f>
        <v>19.99</v>
      </c>
      <c r="T175" s="37">
        <f>SUMIFS('📋 Транзакції'!$F$5:$F$3623,'📋 Транзакції'!$B$5:$B$3623,A175,'📋 Транзакції'!$C$5:$C$3623,"&gt;="&amp;EDATE(DATEVALUE(C175&amp;"-01"),1),'📋 Транзакції'!$C$5:$C$3623,"&lt;"&amp;EDATE(DATEVALUE(C175&amp;"-01"),2))</f>
        <v>19.99</v>
      </c>
      <c r="U175" s="37">
        <f>SUMIFS('📋 Транзакції'!$F$5:$F$3623,'📋 Транзакції'!$B$5:$B$3623,A175,'📋 Транзакції'!$C$5:$C$3623,"&gt;="&amp;EDATE(DATEVALUE(C175&amp;"-01"),2),'📋 Транзакції'!$C$5:$C$3623,"&lt;"&amp;EDATE(DATEVALUE(C175&amp;"-01"),3))</f>
        <v>19.99</v>
      </c>
      <c r="V175" s="37">
        <f>SUMIFS('📋 Транзакції'!$F$5:$F$3623,'📋 Транзакції'!$B$5:$B$3623,A175,'📋 Транзакції'!$C$5:$C$3623,"&gt;="&amp;EDATE(DATEVALUE(C175&amp;"-01"),3),'📋 Транзакції'!$C$5:$C$3623,"&lt;"&amp;EDATE(DATEVALUE(C175&amp;"-01"),4))</f>
        <v>19.99</v>
      </c>
      <c r="W175" s="37">
        <f>SUMIFS('📋 Транзакції'!$F$5:$F$3623,'📋 Транзакції'!$B$5:$B$3623,A175,'📋 Транзакції'!$C$5:$C$3623,"&gt;="&amp;EDATE(DATEVALUE(C175&amp;"-01"),4),'📋 Транзакції'!$C$5:$C$3623,"&lt;"&amp;EDATE(DATEVALUE(C175&amp;"-01"),5))</f>
        <v>19.99</v>
      </c>
      <c r="X175" s="37">
        <f>SUMIFS('📋 Транзакції'!$F$5:$F$3623,'📋 Транзакції'!$B$5:$B$3623,A175,'📋 Транзакції'!$C$5:$C$3623,"&gt;="&amp;EDATE(DATEVALUE(C175&amp;"-01"),5),'📋 Транзакції'!$C$5:$C$3623,"&lt;"&amp;EDATE(DATEVALUE(C175&amp;"-01"),6))</f>
        <v>19.99</v>
      </c>
      <c r="Y175" s="37">
        <f>SUMIFS('📋 Транзакції'!$F$5:$F$3623,'📋 Транзакції'!$B$5:$B$3623,A175,'📋 Транзакції'!$C$5:$C$3623,"&gt;="&amp;EDATE(DATEVALUE(C175&amp;"-01"),6),'📋 Транзакції'!$C$5:$C$3623,"&lt;"&amp;EDATE(DATEVALUE(C175&amp;"-01"),7))</f>
        <v>19.99</v>
      </c>
      <c r="Z175" s="37">
        <f>SUMIFS('📋 Транзакції'!$F$5:$F$3623,'📋 Транзакції'!$B$5:$B$3623,A175,'📋 Транзакції'!$C$5:$C$3623,"&gt;="&amp;EDATE(DATEVALUE(C175&amp;"-01"),7),'📋 Транзакції'!$C$5:$C$3623,"&lt;"&amp;EDATE(DATEVALUE(C175&amp;"-01"),8))</f>
        <v>19.99</v>
      </c>
      <c r="AA175" s="37">
        <f>SUMIFS('📋 Транзакції'!$F$5:$F$3623,'📋 Транзакції'!$B$5:$B$3623,A175,'📋 Транзакції'!$C$5:$C$3623,"&gt;="&amp;EDATE(DATEVALUE(C175&amp;"-01"),8),'📋 Транзакції'!$C$5:$C$3623,"&lt;"&amp;EDATE(DATEVALUE(C175&amp;"-01"),9))</f>
        <v>19.99</v>
      </c>
      <c r="AB175" s="37">
        <f>SUMIFS('📋 Транзакції'!$F$5:$F$3623,'📋 Транзакції'!$B$5:$B$3623,A175,'📋 Транзакції'!$C$5:$C$3623,"&gt;="&amp;EDATE(DATEVALUE(C175&amp;"-01"),9),'📋 Транзакції'!$C$5:$C$3623,"&lt;"&amp;EDATE(DATEVALUE(C175&amp;"-01"),10))</f>
        <v>19.99</v>
      </c>
      <c r="AC175" s="37">
        <f>SUMIFS('📋 Транзакції'!$F$5:$F$3623,'📋 Транзакції'!$B$5:$B$3623,A175,'📋 Транзакції'!$C$5:$C$3623,"&gt;="&amp;EDATE(DATEVALUE(C175&amp;"-01"),10),'📋 Транзакції'!$C$5:$C$3623,"&lt;"&amp;EDATE(DATEVALUE(C175&amp;"-01"),11))</f>
        <v>0</v>
      </c>
      <c r="AD175" s="37">
        <f>SUMIFS('📋 Транзакції'!$F$5:$F$3623,'📋 Транзакції'!$B$5:$B$3623,A175,'📋 Транзакції'!$C$5:$C$3623,"&gt;="&amp;EDATE(DATEVALUE(C175&amp;"-01"),11),'📋 Транзакції'!$C$5:$C$3623,"&lt;"&amp;EDATE(DATEVALUE(C175&amp;"-01"),12))</f>
        <v>0</v>
      </c>
    </row>
    <row r="176" ht="15.75" customHeight="1">
      <c r="A176" s="33" t="str">
        <f>'📋 Реєстрації'!A176:A777</f>
        <v>U0062</v>
      </c>
      <c r="B176" s="34">
        <f t="array" ref="B176">INDEX('📋 Транзакції'!$C$5:$C$3623,MATCH(A176,'📋 Транзакції'!$B$5:$B$3623,0))</f>
        <v>45467</v>
      </c>
      <c r="C176" s="35" t="str">
        <f t="shared" si="1"/>
        <v>2024-06</v>
      </c>
      <c r="D176" s="36">
        <f>COUNTIF('📋 Транзакції'!$B$5:$B$3623,A176)</f>
        <v>11</v>
      </c>
      <c r="E176" s="36">
        <f>SUMIF('📋 Транзакції'!$B$5:$B$3623,A176,'📋 Транзакції'!$F$5:$F$3623)</f>
        <v>199.9</v>
      </c>
      <c r="F176" s="35">
        <f>INT($A$1-MAXIFS('📋 Транзакції'!$C$5:$C$3623,'📋 Транзакції'!$B$5:$B$3623,A176))</f>
        <v>3</v>
      </c>
      <c r="G176" s="37">
        <f>IF(COUNTIFS('📋 Транзакції'!$B$5:$B$3623,A176,'📋 Транзакції'!$C$5:$C$3623,"&gt;="&amp;EDATE(DATEVALUE(C176&amp;"-01"),0),'📋 Транзакції'!$C$5:$C$3623,"&lt;"&amp;EDATE(DATEVALUE(C176&amp;"-01"),1))&gt;0,1,0)</f>
        <v>1</v>
      </c>
      <c r="H176" s="37">
        <f>IF(COUNTIFS('📋 Транзакції'!$B$5:$B$3623,A176,'📋 Транзакції'!$C$5:$C$3623,"&gt;="&amp;EDATE(DATEVALUE(C176&amp;"-01"),1),'📋 Транзакції'!$C$5:$C$3623,"&lt;"&amp;EDATE(DATEVALUE(C176&amp;"-01"),2))&gt;0,1,0)</f>
        <v>1</v>
      </c>
      <c r="I176" s="37">
        <f>IF(COUNTIFS('📋 Транзакції'!$B$5:$B$3623,A176,'📋 Транзакції'!$C$5:$C$3623,"&gt;="&amp;EDATE(DATEVALUE(C176&amp;"-01"),2),'📋 Транзакції'!$C$5:$C$3623,"&lt;"&amp;EDATE(DATEVALUE(C176&amp;"-01"),3))&gt;0,1,0)</f>
        <v>1</v>
      </c>
      <c r="J176" s="37">
        <f>IF(COUNTIFS('📋 Транзакції'!$B$5:$B$3623,A176,'📋 Транзакції'!$C$5:$C$3623,"&gt;="&amp;EDATE(DATEVALUE(C176&amp;"-01"),3),'📋 Транзакції'!$C$5:$C$3623,"&lt;"&amp;EDATE(DATEVALUE(C176&amp;"-01"),4))&gt;0,1,0)</f>
        <v>1</v>
      </c>
      <c r="K176" s="37">
        <f>IF(COUNTIFS('📋 Транзакції'!$B$5:$B$3623,A176,'📋 Транзакції'!$C$5:$C$3623,"&gt;="&amp;EDATE(DATEVALUE(C176&amp;"-01"),4),'📋 Транзакції'!$C$5:$C$3623,"&lt;"&amp;EDATE(DATEVALUE(C176&amp;"-01"),5))&gt;0,1,0)</f>
        <v>1</v>
      </c>
      <c r="L176" s="37">
        <f>IF(COUNTIFS('📋 Транзакції'!$B$5:$B$3623,A176,'📋 Транзакції'!$C$5:$C$3623,"&gt;="&amp;EDATE(DATEVALUE(C176&amp;"-01"),5),'📋 Транзакції'!$C$5:$C$3623,"&lt;"&amp;EDATE(DATEVALUE(C176&amp;"-01"),6))&gt;0,1,0)</f>
        <v>1</v>
      </c>
      <c r="M176" s="37">
        <f>IF(COUNTIFS('📋 Транзакції'!$B$5:$B$3623,A176,'📋 Транзакції'!$C$5:$C$3623,"&gt;="&amp;EDATE(DATEVALUE(C176&amp;"-01"),6),'📋 Транзакції'!$C$5:$C$3623,"&lt;"&amp;EDATE(DATEVALUE(C176&amp;"-01"),7))&gt;0,1,0)</f>
        <v>1</v>
      </c>
      <c r="N176" s="37">
        <f>IF(COUNTIFS('📋 Транзакції'!$B$5:$B$3623,A176,'📋 Транзакції'!$C$5:$C$3623,"&gt;="&amp;EDATE(DATEVALUE(C176&amp;"-01"),7),'📋 Транзакції'!$C$5:$C$3623,"&lt;"&amp;EDATE(DATEVALUE(C176&amp;"-01"),8))&gt;0,1,0)</f>
        <v>1</v>
      </c>
      <c r="O176" s="37">
        <f>IF(COUNTIFS('📋 Транзакції'!$B$5:$B$3623,A176,'📋 Транзакції'!$C$5:$C$3623,"&gt;="&amp;EDATE(DATEVALUE(C176&amp;"-01"),8),'📋 Транзакції'!$C$5:$C$3623,"&lt;"&amp;EDATE(DATEVALUE(C176&amp;"-01"),9))&gt;0,1,0)</f>
        <v>1</v>
      </c>
      <c r="P176" s="37">
        <f>IF(COUNTIFS('📋 Транзакції'!$B$5:$B$3623,A176,'📋 Транзакції'!$C$5:$C$3623,"&gt;="&amp;EDATE(DATEVALUE(C176&amp;"-01"),9),'📋 Транзакції'!$C$5:$C$3623,"&lt;"&amp;EDATE(DATEVALUE(C176&amp;"-01"),10))&gt;0,1,0)</f>
        <v>1</v>
      </c>
      <c r="Q176" s="37">
        <f>IF(COUNTIFS('📋 Транзакції'!$B$5:$B$3623,A176,'📋 Транзакції'!$C$5:$C$3623,"&gt;="&amp;EDATE(DATEVALUE(C176&amp;"-01"),10),'📋 Транзакції'!$C$5:$C$3623,"&lt;"&amp;EDATE(DATEVALUE(C176&amp;"-01"),11))&gt;0,1,0)</f>
        <v>0</v>
      </c>
      <c r="R176" s="37">
        <f>IF(COUNTIFS('📋 Транзакції'!$B$5:$B$3623,A176,'📋 Транзакції'!$C$5:$C$3623,"&gt;="&amp;EDATE(DATEVALUE(C176&amp;"-01"),11),'📋 Транзакції'!$C$5:$C$3623,"&lt;"&amp;EDATE(DATEVALUE(C176&amp;"-01"),12))&gt;0,1,0)</f>
        <v>0</v>
      </c>
      <c r="S176" s="37">
        <f>SUMIFS('📋 Транзакції'!$F$5:$F$3623,'📋 Транзакції'!$B$5:$B$3623,A176,'📋 Транзакції'!$C$5:$C$3623,"&gt;="&amp;EDATE(DATEVALUE(C176&amp;"-01"),0),'📋 Транзакції'!$C$5:$C$3623,"&lt;"&amp;EDATE(DATEVALUE(C176&amp;"-01"),1))</f>
        <v>0</v>
      </c>
      <c r="T176" s="37">
        <f>SUMIFS('📋 Транзакції'!$F$5:$F$3623,'📋 Транзакції'!$B$5:$B$3623,A176,'📋 Транзакції'!$C$5:$C$3623,"&gt;="&amp;EDATE(DATEVALUE(C176&amp;"-01"),1),'📋 Транзакції'!$C$5:$C$3623,"&lt;"&amp;EDATE(DATEVALUE(C176&amp;"-01"),2))</f>
        <v>39.98</v>
      </c>
      <c r="U176" s="37">
        <f>SUMIFS('📋 Транзакції'!$F$5:$F$3623,'📋 Транзакції'!$B$5:$B$3623,A176,'📋 Транзакції'!$C$5:$C$3623,"&gt;="&amp;EDATE(DATEVALUE(C176&amp;"-01"),2),'📋 Транзакції'!$C$5:$C$3623,"&lt;"&amp;EDATE(DATEVALUE(C176&amp;"-01"),3))</f>
        <v>19.99</v>
      </c>
      <c r="V176" s="37">
        <f>SUMIFS('📋 Транзакції'!$F$5:$F$3623,'📋 Транзакції'!$B$5:$B$3623,A176,'📋 Транзакції'!$C$5:$C$3623,"&gt;="&amp;EDATE(DATEVALUE(C176&amp;"-01"),3),'📋 Транзакції'!$C$5:$C$3623,"&lt;"&amp;EDATE(DATEVALUE(C176&amp;"-01"),4))</f>
        <v>19.99</v>
      </c>
      <c r="W176" s="37">
        <f>SUMIFS('📋 Транзакції'!$F$5:$F$3623,'📋 Транзакції'!$B$5:$B$3623,A176,'📋 Транзакції'!$C$5:$C$3623,"&gt;="&amp;EDATE(DATEVALUE(C176&amp;"-01"),4),'📋 Транзакції'!$C$5:$C$3623,"&lt;"&amp;EDATE(DATEVALUE(C176&amp;"-01"),5))</f>
        <v>19.99</v>
      </c>
      <c r="X176" s="37">
        <f>SUMIFS('📋 Транзакції'!$F$5:$F$3623,'📋 Транзакції'!$B$5:$B$3623,A176,'📋 Транзакції'!$C$5:$C$3623,"&gt;="&amp;EDATE(DATEVALUE(C176&amp;"-01"),5),'📋 Транзакції'!$C$5:$C$3623,"&lt;"&amp;EDATE(DATEVALUE(C176&amp;"-01"),6))</f>
        <v>19.99</v>
      </c>
      <c r="Y176" s="37">
        <f>SUMIFS('📋 Транзакції'!$F$5:$F$3623,'📋 Транзакції'!$B$5:$B$3623,A176,'📋 Транзакції'!$C$5:$C$3623,"&gt;="&amp;EDATE(DATEVALUE(C176&amp;"-01"),6),'📋 Транзакції'!$C$5:$C$3623,"&lt;"&amp;EDATE(DATEVALUE(C176&amp;"-01"),7))</f>
        <v>19.99</v>
      </c>
      <c r="Z176" s="37">
        <f>SUMIFS('📋 Транзакції'!$F$5:$F$3623,'📋 Транзакції'!$B$5:$B$3623,A176,'📋 Транзакції'!$C$5:$C$3623,"&gt;="&amp;EDATE(DATEVALUE(C176&amp;"-01"),7),'📋 Транзакції'!$C$5:$C$3623,"&lt;"&amp;EDATE(DATEVALUE(C176&amp;"-01"),8))</f>
        <v>19.99</v>
      </c>
      <c r="AA176" s="37">
        <f>SUMIFS('📋 Транзакції'!$F$5:$F$3623,'📋 Транзакції'!$B$5:$B$3623,A176,'📋 Транзакції'!$C$5:$C$3623,"&gt;="&amp;EDATE(DATEVALUE(C176&amp;"-01"),8),'📋 Транзакції'!$C$5:$C$3623,"&lt;"&amp;EDATE(DATEVALUE(C176&amp;"-01"),9))</f>
        <v>19.99</v>
      </c>
      <c r="AB176" s="37">
        <f>SUMIFS('📋 Транзакції'!$F$5:$F$3623,'📋 Транзакції'!$B$5:$B$3623,A176,'📋 Транзакції'!$C$5:$C$3623,"&gt;="&amp;EDATE(DATEVALUE(C176&amp;"-01"),9),'📋 Транзакції'!$C$5:$C$3623,"&lt;"&amp;EDATE(DATEVALUE(C176&amp;"-01"),10))</f>
        <v>19.99</v>
      </c>
      <c r="AC176" s="37">
        <f>SUMIFS('📋 Транзакції'!$F$5:$F$3623,'📋 Транзакції'!$B$5:$B$3623,A176,'📋 Транзакції'!$C$5:$C$3623,"&gt;="&amp;EDATE(DATEVALUE(C176&amp;"-01"),10),'📋 Транзакції'!$C$5:$C$3623,"&lt;"&amp;EDATE(DATEVALUE(C176&amp;"-01"),11))</f>
        <v>0</v>
      </c>
      <c r="AD176" s="37">
        <f>SUMIFS('📋 Транзакції'!$F$5:$F$3623,'📋 Транзакції'!$B$5:$B$3623,A176,'📋 Транзакції'!$C$5:$C$3623,"&gt;="&amp;EDATE(DATEVALUE(C176&amp;"-01"),11),'📋 Транзакції'!$C$5:$C$3623,"&lt;"&amp;EDATE(DATEVALUE(C176&amp;"-01"),12))</f>
        <v>0</v>
      </c>
    </row>
    <row r="177" ht="15.75" customHeight="1">
      <c r="A177" s="33" t="str">
        <f>'📋 Реєстрації'!A177:A778</f>
        <v>U0106</v>
      </c>
      <c r="B177" s="34">
        <f t="array" ref="B177">INDEX('📋 Транзакції'!$C$5:$C$3623,MATCH(A177,'📋 Транзакції'!$B$5:$B$3623,0))</f>
        <v>45467</v>
      </c>
      <c r="C177" s="35" t="str">
        <f t="shared" si="1"/>
        <v>2024-06</v>
      </c>
      <c r="D177" s="36">
        <f>COUNTIF('📋 Транзакції'!$B$5:$B$3623,A177)</f>
        <v>11</v>
      </c>
      <c r="E177" s="36">
        <f>SUMIF('📋 Транзакції'!$B$5:$B$3623,A177,'📋 Транзакції'!$F$5:$F$3623)</f>
        <v>199.9</v>
      </c>
      <c r="F177" s="35">
        <f>INT($A$1-MAXIFS('📋 Транзакції'!$C$5:$C$3623,'📋 Транзакції'!$B$5:$B$3623,A177))</f>
        <v>3</v>
      </c>
      <c r="G177" s="37">
        <f>IF(COUNTIFS('📋 Транзакції'!$B$5:$B$3623,A177,'📋 Транзакції'!$C$5:$C$3623,"&gt;="&amp;EDATE(DATEVALUE(C177&amp;"-01"),0),'📋 Транзакції'!$C$5:$C$3623,"&lt;"&amp;EDATE(DATEVALUE(C177&amp;"-01"),1))&gt;0,1,0)</f>
        <v>1</v>
      </c>
      <c r="H177" s="37">
        <f>IF(COUNTIFS('📋 Транзакції'!$B$5:$B$3623,A177,'📋 Транзакції'!$C$5:$C$3623,"&gt;="&amp;EDATE(DATEVALUE(C177&amp;"-01"),1),'📋 Транзакції'!$C$5:$C$3623,"&lt;"&amp;EDATE(DATEVALUE(C177&amp;"-01"),2))&gt;0,1,0)</f>
        <v>1</v>
      </c>
      <c r="I177" s="37">
        <f>IF(COUNTIFS('📋 Транзакції'!$B$5:$B$3623,A177,'📋 Транзакції'!$C$5:$C$3623,"&gt;="&amp;EDATE(DATEVALUE(C177&amp;"-01"),2),'📋 Транзакції'!$C$5:$C$3623,"&lt;"&amp;EDATE(DATEVALUE(C177&amp;"-01"),3))&gt;0,1,0)</f>
        <v>1</v>
      </c>
      <c r="J177" s="37">
        <f>IF(COUNTIFS('📋 Транзакції'!$B$5:$B$3623,A177,'📋 Транзакції'!$C$5:$C$3623,"&gt;="&amp;EDATE(DATEVALUE(C177&amp;"-01"),3),'📋 Транзакції'!$C$5:$C$3623,"&lt;"&amp;EDATE(DATEVALUE(C177&amp;"-01"),4))&gt;0,1,0)</f>
        <v>1</v>
      </c>
      <c r="K177" s="37">
        <f>IF(COUNTIFS('📋 Транзакції'!$B$5:$B$3623,A177,'📋 Транзакції'!$C$5:$C$3623,"&gt;="&amp;EDATE(DATEVALUE(C177&amp;"-01"),4),'📋 Транзакції'!$C$5:$C$3623,"&lt;"&amp;EDATE(DATEVALUE(C177&amp;"-01"),5))&gt;0,1,0)</f>
        <v>1</v>
      </c>
      <c r="L177" s="37">
        <f>IF(COUNTIFS('📋 Транзакції'!$B$5:$B$3623,A177,'📋 Транзакції'!$C$5:$C$3623,"&gt;="&amp;EDATE(DATEVALUE(C177&amp;"-01"),5),'📋 Транзакції'!$C$5:$C$3623,"&lt;"&amp;EDATE(DATEVALUE(C177&amp;"-01"),6))&gt;0,1,0)</f>
        <v>1</v>
      </c>
      <c r="M177" s="37">
        <f>IF(COUNTIFS('📋 Транзакції'!$B$5:$B$3623,A177,'📋 Транзакції'!$C$5:$C$3623,"&gt;="&amp;EDATE(DATEVALUE(C177&amp;"-01"),6),'📋 Транзакції'!$C$5:$C$3623,"&lt;"&amp;EDATE(DATEVALUE(C177&amp;"-01"),7))&gt;0,1,0)</f>
        <v>1</v>
      </c>
      <c r="N177" s="37">
        <f>IF(COUNTIFS('📋 Транзакції'!$B$5:$B$3623,A177,'📋 Транзакції'!$C$5:$C$3623,"&gt;="&amp;EDATE(DATEVALUE(C177&amp;"-01"),7),'📋 Транзакції'!$C$5:$C$3623,"&lt;"&amp;EDATE(DATEVALUE(C177&amp;"-01"),8))&gt;0,1,0)</f>
        <v>1</v>
      </c>
      <c r="O177" s="37">
        <f>IF(COUNTIFS('📋 Транзакції'!$B$5:$B$3623,A177,'📋 Транзакції'!$C$5:$C$3623,"&gt;="&amp;EDATE(DATEVALUE(C177&amp;"-01"),8),'📋 Транзакції'!$C$5:$C$3623,"&lt;"&amp;EDATE(DATEVALUE(C177&amp;"-01"),9))&gt;0,1,0)</f>
        <v>1</v>
      </c>
      <c r="P177" s="37">
        <f>IF(COUNTIFS('📋 Транзакції'!$B$5:$B$3623,A177,'📋 Транзакції'!$C$5:$C$3623,"&gt;="&amp;EDATE(DATEVALUE(C177&amp;"-01"),9),'📋 Транзакції'!$C$5:$C$3623,"&lt;"&amp;EDATE(DATEVALUE(C177&amp;"-01"),10))&gt;0,1,0)</f>
        <v>1</v>
      </c>
      <c r="Q177" s="37">
        <f>IF(COUNTIFS('📋 Транзакції'!$B$5:$B$3623,A177,'📋 Транзакції'!$C$5:$C$3623,"&gt;="&amp;EDATE(DATEVALUE(C177&amp;"-01"),10),'📋 Транзакції'!$C$5:$C$3623,"&lt;"&amp;EDATE(DATEVALUE(C177&amp;"-01"),11))&gt;0,1,0)</f>
        <v>0</v>
      </c>
      <c r="R177" s="37">
        <f>IF(COUNTIFS('📋 Транзакції'!$B$5:$B$3623,A177,'📋 Транзакції'!$C$5:$C$3623,"&gt;="&amp;EDATE(DATEVALUE(C177&amp;"-01"),11),'📋 Транзакції'!$C$5:$C$3623,"&lt;"&amp;EDATE(DATEVALUE(C177&amp;"-01"),12))&gt;0,1,0)</f>
        <v>0</v>
      </c>
      <c r="S177" s="37">
        <f>SUMIFS('📋 Транзакції'!$F$5:$F$3623,'📋 Транзакції'!$B$5:$B$3623,A177,'📋 Транзакції'!$C$5:$C$3623,"&gt;="&amp;EDATE(DATEVALUE(C177&amp;"-01"),0),'📋 Транзакції'!$C$5:$C$3623,"&lt;"&amp;EDATE(DATEVALUE(C177&amp;"-01"),1))</f>
        <v>0</v>
      </c>
      <c r="T177" s="37">
        <f>SUMIFS('📋 Транзакції'!$F$5:$F$3623,'📋 Транзакції'!$B$5:$B$3623,A177,'📋 Транзакції'!$C$5:$C$3623,"&gt;="&amp;EDATE(DATEVALUE(C177&amp;"-01"),1),'📋 Транзакції'!$C$5:$C$3623,"&lt;"&amp;EDATE(DATEVALUE(C177&amp;"-01"),2))</f>
        <v>39.98</v>
      </c>
      <c r="U177" s="37">
        <f>SUMIFS('📋 Транзакції'!$F$5:$F$3623,'📋 Транзакції'!$B$5:$B$3623,A177,'📋 Транзакції'!$C$5:$C$3623,"&gt;="&amp;EDATE(DATEVALUE(C177&amp;"-01"),2),'📋 Транзакції'!$C$5:$C$3623,"&lt;"&amp;EDATE(DATEVALUE(C177&amp;"-01"),3))</f>
        <v>19.99</v>
      </c>
      <c r="V177" s="37">
        <f>SUMIFS('📋 Транзакції'!$F$5:$F$3623,'📋 Транзакції'!$B$5:$B$3623,A177,'📋 Транзакції'!$C$5:$C$3623,"&gt;="&amp;EDATE(DATEVALUE(C177&amp;"-01"),3),'📋 Транзакції'!$C$5:$C$3623,"&lt;"&amp;EDATE(DATEVALUE(C177&amp;"-01"),4))</f>
        <v>19.99</v>
      </c>
      <c r="W177" s="37">
        <f>SUMIFS('📋 Транзакції'!$F$5:$F$3623,'📋 Транзакції'!$B$5:$B$3623,A177,'📋 Транзакції'!$C$5:$C$3623,"&gt;="&amp;EDATE(DATEVALUE(C177&amp;"-01"),4),'📋 Транзакції'!$C$5:$C$3623,"&lt;"&amp;EDATE(DATEVALUE(C177&amp;"-01"),5))</f>
        <v>19.99</v>
      </c>
      <c r="X177" s="37">
        <f>SUMIFS('📋 Транзакції'!$F$5:$F$3623,'📋 Транзакції'!$B$5:$B$3623,A177,'📋 Транзакції'!$C$5:$C$3623,"&gt;="&amp;EDATE(DATEVALUE(C177&amp;"-01"),5),'📋 Транзакції'!$C$5:$C$3623,"&lt;"&amp;EDATE(DATEVALUE(C177&amp;"-01"),6))</f>
        <v>19.99</v>
      </c>
      <c r="Y177" s="37">
        <f>SUMIFS('📋 Транзакції'!$F$5:$F$3623,'📋 Транзакції'!$B$5:$B$3623,A177,'📋 Транзакції'!$C$5:$C$3623,"&gt;="&amp;EDATE(DATEVALUE(C177&amp;"-01"),6),'📋 Транзакції'!$C$5:$C$3623,"&lt;"&amp;EDATE(DATEVALUE(C177&amp;"-01"),7))</f>
        <v>19.99</v>
      </c>
      <c r="Z177" s="37">
        <f>SUMIFS('📋 Транзакції'!$F$5:$F$3623,'📋 Транзакції'!$B$5:$B$3623,A177,'📋 Транзакції'!$C$5:$C$3623,"&gt;="&amp;EDATE(DATEVALUE(C177&amp;"-01"),7),'📋 Транзакції'!$C$5:$C$3623,"&lt;"&amp;EDATE(DATEVALUE(C177&amp;"-01"),8))</f>
        <v>19.99</v>
      </c>
      <c r="AA177" s="37">
        <f>SUMIFS('📋 Транзакції'!$F$5:$F$3623,'📋 Транзакції'!$B$5:$B$3623,A177,'📋 Транзакції'!$C$5:$C$3623,"&gt;="&amp;EDATE(DATEVALUE(C177&amp;"-01"),8),'📋 Транзакції'!$C$5:$C$3623,"&lt;"&amp;EDATE(DATEVALUE(C177&amp;"-01"),9))</f>
        <v>19.99</v>
      </c>
      <c r="AB177" s="37">
        <f>SUMIFS('📋 Транзакції'!$F$5:$F$3623,'📋 Транзакції'!$B$5:$B$3623,A177,'📋 Транзакції'!$C$5:$C$3623,"&gt;="&amp;EDATE(DATEVALUE(C177&amp;"-01"),9),'📋 Транзакції'!$C$5:$C$3623,"&lt;"&amp;EDATE(DATEVALUE(C177&amp;"-01"),10))</f>
        <v>19.99</v>
      </c>
      <c r="AC177" s="37">
        <f>SUMIFS('📋 Транзакції'!$F$5:$F$3623,'📋 Транзакції'!$B$5:$B$3623,A177,'📋 Транзакції'!$C$5:$C$3623,"&gt;="&amp;EDATE(DATEVALUE(C177&amp;"-01"),10),'📋 Транзакції'!$C$5:$C$3623,"&lt;"&amp;EDATE(DATEVALUE(C177&amp;"-01"),11))</f>
        <v>0</v>
      </c>
      <c r="AD177" s="37">
        <f>SUMIFS('📋 Транзакції'!$F$5:$F$3623,'📋 Транзакції'!$B$5:$B$3623,A177,'📋 Транзакції'!$C$5:$C$3623,"&gt;="&amp;EDATE(DATEVALUE(C177&amp;"-01"),11),'📋 Транзакції'!$C$5:$C$3623,"&lt;"&amp;EDATE(DATEVALUE(C177&amp;"-01"),12))</f>
        <v>0</v>
      </c>
    </row>
    <row r="178" ht="15.75" customHeight="1">
      <c r="A178" s="33" t="str">
        <f>'📋 Реєстрації'!A178:A779</f>
        <v>U0225</v>
      </c>
      <c r="B178" s="34">
        <f t="array" ref="B178">INDEX('📋 Транзакції'!$C$5:$C$3623,MATCH(A178,'📋 Транзакції'!$B$5:$B$3623,0))</f>
        <v>45467</v>
      </c>
      <c r="C178" s="35" t="str">
        <f t="shared" si="1"/>
        <v>2024-06</v>
      </c>
      <c r="D178" s="36">
        <f>COUNTIF('📋 Транзакції'!$B$5:$B$3623,A178)</f>
        <v>11</v>
      </c>
      <c r="E178" s="36">
        <f>SUMIF('📋 Транзакції'!$B$5:$B$3623,A178,'📋 Транзакції'!$F$5:$F$3623)</f>
        <v>199.9</v>
      </c>
      <c r="F178" s="35">
        <f>INT($A$1-MAXIFS('📋 Транзакції'!$C$5:$C$3623,'📋 Транзакції'!$B$5:$B$3623,A178))</f>
        <v>3</v>
      </c>
      <c r="G178" s="37">
        <f>IF(COUNTIFS('📋 Транзакції'!$B$5:$B$3623,A178,'📋 Транзакції'!$C$5:$C$3623,"&gt;="&amp;EDATE(DATEVALUE(C178&amp;"-01"),0),'📋 Транзакції'!$C$5:$C$3623,"&lt;"&amp;EDATE(DATEVALUE(C178&amp;"-01"),1))&gt;0,1,0)</f>
        <v>1</v>
      </c>
      <c r="H178" s="37">
        <f>IF(COUNTIFS('📋 Транзакції'!$B$5:$B$3623,A178,'📋 Транзакції'!$C$5:$C$3623,"&gt;="&amp;EDATE(DATEVALUE(C178&amp;"-01"),1),'📋 Транзакції'!$C$5:$C$3623,"&lt;"&amp;EDATE(DATEVALUE(C178&amp;"-01"),2))&gt;0,1,0)</f>
        <v>1</v>
      </c>
      <c r="I178" s="37">
        <f>IF(COUNTIFS('📋 Транзакції'!$B$5:$B$3623,A178,'📋 Транзакції'!$C$5:$C$3623,"&gt;="&amp;EDATE(DATEVALUE(C178&amp;"-01"),2),'📋 Транзакції'!$C$5:$C$3623,"&lt;"&amp;EDATE(DATEVALUE(C178&amp;"-01"),3))&gt;0,1,0)</f>
        <v>1</v>
      </c>
      <c r="J178" s="37">
        <f>IF(COUNTIFS('📋 Транзакції'!$B$5:$B$3623,A178,'📋 Транзакції'!$C$5:$C$3623,"&gt;="&amp;EDATE(DATEVALUE(C178&amp;"-01"),3),'📋 Транзакції'!$C$5:$C$3623,"&lt;"&amp;EDATE(DATEVALUE(C178&amp;"-01"),4))&gt;0,1,0)</f>
        <v>1</v>
      </c>
      <c r="K178" s="37">
        <f>IF(COUNTIFS('📋 Транзакції'!$B$5:$B$3623,A178,'📋 Транзакції'!$C$5:$C$3623,"&gt;="&amp;EDATE(DATEVALUE(C178&amp;"-01"),4),'📋 Транзакції'!$C$5:$C$3623,"&lt;"&amp;EDATE(DATEVALUE(C178&amp;"-01"),5))&gt;0,1,0)</f>
        <v>1</v>
      </c>
      <c r="L178" s="37">
        <f>IF(COUNTIFS('📋 Транзакції'!$B$5:$B$3623,A178,'📋 Транзакції'!$C$5:$C$3623,"&gt;="&amp;EDATE(DATEVALUE(C178&amp;"-01"),5),'📋 Транзакції'!$C$5:$C$3623,"&lt;"&amp;EDATE(DATEVALUE(C178&amp;"-01"),6))&gt;0,1,0)</f>
        <v>1</v>
      </c>
      <c r="M178" s="37">
        <f>IF(COUNTIFS('📋 Транзакції'!$B$5:$B$3623,A178,'📋 Транзакції'!$C$5:$C$3623,"&gt;="&amp;EDATE(DATEVALUE(C178&amp;"-01"),6),'📋 Транзакції'!$C$5:$C$3623,"&lt;"&amp;EDATE(DATEVALUE(C178&amp;"-01"),7))&gt;0,1,0)</f>
        <v>1</v>
      </c>
      <c r="N178" s="37">
        <f>IF(COUNTIFS('📋 Транзакції'!$B$5:$B$3623,A178,'📋 Транзакції'!$C$5:$C$3623,"&gt;="&amp;EDATE(DATEVALUE(C178&amp;"-01"),7),'📋 Транзакції'!$C$5:$C$3623,"&lt;"&amp;EDATE(DATEVALUE(C178&amp;"-01"),8))&gt;0,1,0)</f>
        <v>1</v>
      </c>
      <c r="O178" s="37">
        <f>IF(COUNTIFS('📋 Транзакції'!$B$5:$B$3623,A178,'📋 Транзакції'!$C$5:$C$3623,"&gt;="&amp;EDATE(DATEVALUE(C178&amp;"-01"),8),'📋 Транзакції'!$C$5:$C$3623,"&lt;"&amp;EDATE(DATEVALUE(C178&amp;"-01"),9))&gt;0,1,0)</f>
        <v>1</v>
      </c>
      <c r="P178" s="37">
        <f>IF(COUNTIFS('📋 Транзакції'!$B$5:$B$3623,A178,'📋 Транзакції'!$C$5:$C$3623,"&gt;="&amp;EDATE(DATEVALUE(C178&amp;"-01"),9),'📋 Транзакції'!$C$5:$C$3623,"&lt;"&amp;EDATE(DATEVALUE(C178&amp;"-01"),10))&gt;0,1,0)</f>
        <v>1</v>
      </c>
      <c r="Q178" s="37">
        <f>IF(COUNTIFS('📋 Транзакції'!$B$5:$B$3623,A178,'📋 Транзакції'!$C$5:$C$3623,"&gt;="&amp;EDATE(DATEVALUE(C178&amp;"-01"),10),'📋 Транзакції'!$C$5:$C$3623,"&lt;"&amp;EDATE(DATEVALUE(C178&amp;"-01"),11))&gt;0,1,0)</f>
        <v>0</v>
      </c>
      <c r="R178" s="37">
        <f>IF(COUNTIFS('📋 Транзакції'!$B$5:$B$3623,A178,'📋 Транзакції'!$C$5:$C$3623,"&gt;="&amp;EDATE(DATEVALUE(C178&amp;"-01"),11),'📋 Транзакції'!$C$5:$C$3623,"&lt;"&amp;EDATE(DATEVALUE(C178&amp;"-01"),12))&gt;0,1,0)</f>
        <v>0</v>
      </c>
      <c r="S178" s="37">
        <f>SUMIFS('📋 Транзакції'!$F$5:$F$3623,'📋 Транзакції'!$B$5:$B$3623,A178,'📋 Транзакції'!$C$5:$C$3623,"&gt;="&amp;EDATE(DATEVALUE(C178&amp;"-01"),0),'📋 Транзакції'!$C$5:$C$3623,"&lt;"&amp;EDATE(DATEVALUE(C178&amp;"-01"),1))</f>
        <v>0</v>
      </c>
      <c r="T178" s="37">
        <f>SUMIFS('📋 Транзакції'!$F$5:$F$3623,'📋 Транзакції'!$B$5:$B$3623,A178,'📋 Транзакції'!$C$5:$C$3623,"&gt;="&amp;EDATE(DATEVALUE(C178&amp;"-01"),1),'📋 Транзакції'!$C$5:$C$3623,"&lt;"&amp;EDATE(DATEVALUE(C178&amp;"-01"),2))</f>
        <v>39.98</v>
      </c>
      <c r="U178" s="37">
        <f>SUMIFS('📋 Транзакції'!$F$5:$F$3623,'📋 Транзакції'!$B$5:$B$3623,A178,'📋 Транзакції'!$C$5:$C$3623,"&gt;="&amp;EDATE(DATEVALUE(C178&amp;"-01"),2),'📋 Транзакції'!$C$5:$C$3623,"&lt;"&amp;EDATE(DATEVALUE(C178&amp;"-01"),3))</f>
        <v>19.99</v>
      </c>
      <c r="V178" s="37">
        <f>SUMIFS('📋 Транзакції'!$F$5:$F$3623,'📋 Транзакції'!$B$5:$B$3623,A178,'📋 Транзакції'!$C$5:$C$3623,"&gt;="&amp;EDATE(DATEVALUE(C178&amp;"-01"),3),'📋 Транзакції'!$C$5:$C$3623,"&lt;"&amp;EDATE(DATEVALUE(C178&amp;"-01"),4))</f>
        <v>19.99</v>
      </c>
      <c r="W178" s="37">
        <f>SUMIFS('📋 Транзакції'!$F$5:$F$3623,'📋 Транзакції'!$B$5:$B$3623,A178,'📋 Транзакції'!$C$5:$C$3623,"&gt;="&amp;EDATE(DATEVALUE(C178&amp;"-01"),4),'📋 Транзакції'!$C$5:$C$3623,"&lt;"&amp;EDATE(DATEVALUE(C178&amp;"-01"),5))</f>
        <v>19.99</v>
      </c>
      <c r="X178" s="37">
        <f>SUMIFS('📋 Транзакції'!$F$5:$F$3623,'📋 Транзакції'!$B$5:$B$3623,A178,'📋 Транзакції'!$C$5:$C$3623,"&gt;="&amp;EDATE(DATEVALUE(C178&amp;"-01"),5),'📋 Транзакції'!$C$5:$C$3623,"&lt;"&amp;EDATE(DATEVALUE(C178&amp;"-01"),6))</f>
        <v>19.99</v>
      </c>
      <c r="Y178" s="37">
        <f>SUMIFS('📋 Транзакції'!$F$5:$F$3623,'📋 Транзакції'!$B$5:$B$3623,A178,'📋 Транзакції'!$C$5:$C$3623,"&gt;="&amp;EDATE(DATEVALUE(C178&amp;"-01"),6),'📋 Транзакції'!$C$5:$C$3623,"&lt;"&amp;EDATE(DATEVALUE(C178&amp;"-01"),7))</f>
        <v>19.99</v>
      </c>
      <c r="Z178" s="37">
        <f>SUMIFS('📋 Транзакції'!$F$5:$F$3623,'📋 Транзакції'!$B$5:$B$3623,A178,'📋 Транзакції'!$C$5:$C$3623,"&gt;="&amp;EDATE(DATEVALUE(C178&amp;"-01"),7),'📋 Транзакції'!$C$5:$C$3623,"&lt;"&amp;EDATE(DATEVALUE(C178&amp;"-01"),8))</f>
        <v>19.99</v>
      </c>
      <c r="AA178" s="37">
        <f>SUMIFS('📋 Транзакції'!$F$5:$F$3623,'📋 Транзакції'!$B$5:$B$3623,A178,'📋 Транзакції'!$C$5:$C$3623,"&gt;="&amp;EDATE(DATEVALUE(C178&amp;"-01"),8),'📋 Транзакції'!$C$5:$C$3623,"&lt;"&amp;EDATE(DATEVALUE(C178&amp;"-01"),9))</f>
        <v>19.99</v>
      </c>
      <c r="AB178" s="37">
        <f>SUMIFS('📋 Транзакції'!$F$5:$F$3623,'📋 Транзакції'!$B$5:$B$3623,A178,'📋 Транзакції'!$C$5:$C$3623,"&gt;="&amp;EDATE(DATEVALUE(C178&amp;"-01"),9),'📋 Транзакції'!$C$5:$C$3623,"&lt;"&amp;EDATE(DATEVALUE(C178&amp;"-01"),10))</f>
        <v>19.99</v>
      </c>
      <c r="AC178" s="37">
        <f>SUMIFS('📋 Транзакції'!$F$5:$F$3623,'📋 Транзакції'!$B$5:$B$3623,A178,'📋 Транзакції'!$C$5:$C$3623,"&gt;="&amp;EDATE(DATEVALUE(C178&amp;"-01"),10),'📋 Транзакції'!$C$5:$C$3623,"&lt;"&amp;EDATE(DATEVALUE(C178&amp;"-01"),11))</f>
        <v>0</v>
      </c>
      <c r="AD178" s="37">
        <f>SUMIFS('📋 Транзакції'!$F$5:$F$3623,'📋 Транзакції'!$B$5:$B$3623,A178,'📋 Транзакції'!$C$5:$C$3623,"&gt;="&amp;EDATE(DATEVALUE(C178&amp;"-01"),11),'📋 Транзакції'!$C$5:$C$3623,"&lt;"&amp;EDATE(DATEVALUE(C178&amp;"-01"),12))</f>
        <v>0</v>
      </c>
    </row>
    <row r="179" ht="15.75" customHeight="1">
      <c r="A179" s="33" t="str">
        <f>'📋 Реєстрації'!A179:A780</f>
        <v>U0159</v>
      </c>
      <c r="B179" s="34">
        <f t="array" ref="B179">INDEX('📋 Транзакції'!$C$5:$C$3623,MATCH(A179,'📋 Транзакції'!$B$5:$B$3623,0))</f>
        <v>45470</v>
      </c>
      <c r="C179" s="35" t="str">
        <f t="shared" si="1"/>
        <v>2024-06</v>
      </c>
      <c r="D179" s="36">
        <f>COUNTIF('📋 Транзакції'!$B$5:$B$3623,A179)</f>
        <v>11</v>
      </c>
      <c r="E179" s="36">
        <f>SUMIF('📋 Транзакції'!$B$5:$B$3623,A179,'📋 Транзакції'!$F$5:$F$3623)</f>
        <v>199.9</v>
      </c>
      <c r="F179" s="35">
        <f>INT($A$1-MAXIFS('📋 Транзакції'!$C$5:$C$3623,'📋 Транзакції'!$B$5:$B$3623,A179))</f>
        <v>0</v>
      </c>
      <c r="G179" s="37">
        <f>IF(COUNTIFS('📋 Транзакції'!$B$5:$B$3623,A179,'📋 Транзакції'!$C$5:$C$3623,"&gt;="&amp;EDATE(DATEVALUE(C179&amp;"-01"),0),'📋 Транзакції'!$C$5:$C$3623,"&lt;"&amp;EDATE(DATEVALUE(C179&amp;"-01"),1))&gt;0,1,0)</f>
        <v>1</v>
      </c>
      <c r="H179" s="37">
        <f>IF(COUNTIFS('📋 Транзакції'!$B$5:$B$3623,A179,'📋 Транзакції'!$C$5:$C$3623,"&gt;="&amp;EDATE(DATEVALUE(C179&amp;"-01"),1),'📋 Транзакції'!$C$5:$C$3623,"&lt;"&amp;EDATE(DATEVALUE(C179&amp;"-01"),2))&gt;0,1,0)</f>
        <v>1</v>
      </c>
      <c r="I179" s="37">
        <f>IF(COUNTIFS('📋 Транзакції'!$B$5:$B$3623,A179,'📋 Транзакції'!$C$5:$C$3623,"&gt;="&amp;EDATE(DATEVALUE(C179&amp;"-01"),2),'📋 Транзакції'!$C$5:$C$3623,"&lt;"&amp;EDATE(DATEVALUE(C179&amp;"-01"),3))&gt;0,1,0)</f>
        <v>1</v>
      </c>
      <c r="J179" s="37">
        <f>IF(COUNTIFS('📋 Транзакції'!$B$5:$B$3623,A179,'📋 Транзакції'!$C$5:$C$3623,"&gt;="&amp;EDATE(DATEVALUE(C179&amp;"-01"),3),'📋 Транзакції'!$C$5:$C$3623,"&lt;"&amp;EDATE(DATEVALUE(C179&amp;"-01"),4))&gt;0,1,0)</f>
        <v>1</v>
      </c>
      <c r="K179" s="37">
        <f>IF(COUNTIFS('📋 Транзакції'!$B$5:$B$3623,A179,'📋 Транзакції'!$C$5:$C$3623,"&gt;="&amp;EDATE(DATEVALUE(C179&amp;"-01"),4),'📋 Транзакції'!$C$5:$C$3623,"&lt;"&amp;EDATE(DATEVALUE(C179&amp;"-01"),5))&gt;0,1,0)</f>
        <v>1</v>
      </c>
      <c r="L179" s="37">
        <f>IF(COUNTIFS('📋 Транзакції'!$B$5:$B$3623,A179,'📋 Транзакції'!$C$5:$C$3623,"&gt;="&amp;EDATE(DATEVALUE(C179&amp;"-01"),5),'📋 Транзакції'!$C$5:$C$3623,"&lt;"&amp;EDATE(DATEVALUE(C179&amp;"-01"),6))&gt;0,1,0)</f>
        <v>1</v>
      </c>
      <c r="M179" s="37">
        <f>IF(COUNTIFS('📋 Транзакції'!$B$5:$B$3623,A179,'📋 Транзакції'!$C$5:$C$3623,"&gt;="&amp;EDATE(DATEVALUE(C179&amp;"-01"),6),'📋 Транзакції'!$C$5:$C$3623,"&lt;"&amp;EDATE(DATEVALUE(C179&amp;"-01"),7))&gt;0,1,0)</f>
        <v>1</v>
      </c>
      <c r="N179" s="37">
        <f>IF(COUNTIFS('📋 Транзакції'!$B$5:$B$3623,A179,'📋 Транзакції'!$C$5:$C$3623,"&gt;="&amp;EDATE(DATEVALUE(C179&amp;"-01"),7),'📋 Транзакції'!$C$5:$C$3623,"&lt;"&amp;EDATE(DATEVALUE(C179&amp;"-01"),8))&gt;0,1,0)</f>
        <v>1</v>
      </c>
      <c r="O179" s="37">
        <f>IF(COUNTIFS('📋 Транзакції'!$B$5:$B$3623,A179,'📋 Транзакції'!$C$5:$C$3623,"&gt;="&amp;EDATE(DATEVALUE(C179&amp;"-01"),8),'📋 Транзакції'!$C$5:$C$3623,"&lt;"&amp;EDATE(DATEVALUE(C179&amp;"-01"),9))&gt;0,1,0)</f>
        <v>0</v>
      </c>
      <c r="P179" s="37">
        <f>IF(COUNTIFS('📋 Транзакції'!$B$5:$B$3623,A179,'📋 Транзакції'!$C$5:$C$3623,"&gt;="&amp;EDATE(DATEVALUE(C179&amp;"-01"),9),'📋 Транзакції'!$C$5:$C$3623,"&lt;"&amp;EDATE(DATEVALUE(C179&amp;"-01"),10))&gt;0,1,0)</f>
        <v>1</v>
      </c>
      <c r="Q179" s="37">
        <f>IF(COUNTIFS('📋 Транзакції'!$B$5:$B$3623,A179,'📋 Транзакції'!$C$5:$C$3623,"&gt;="&amp;EDATE(DATEVALUE(C179&amp;"-01"),10),'📋 Транзакції'!$C$5:$C$3623,"&lt;"&amp;EDATE(DATEVALUE(C179&amp;"-01"),11))&gt;0,1,0)</f>
        <v>0</v>
      </c>
      <c r="R179" s="37">
        <f>IF(COUNTIFS('📋 Транзакції'!$B$5:$B$3623,A179,'📋 Транзакції'!$C$5:$C$3623,"&gt;="&amp;EDATE(DATEVALUE(C179&amp;"-01"),11),'📋 Транзакції'!$C$5:$C$3623,"&lt;"&amp;EDATE(DATEVALUE(C179&amp;"-01"),12))&gt;0,1,0)</f>
        <v>0</v>
      </c>
      <c r="S179" s="37">
        <f>SUMIFS('📋 Транзакції'!$F$5:$F$3623,'📋 Транзакції'!$B$5:$B$3623,A179,'📋 Транзакції'!$C$5:$C$3623,"&gt;="&amp;EDATE(DATEVALUE(C179&amp;"-01"),0),'📋 Транзакції'!$C$5:$C$3623,"&lt;"&amp;EDATE(DATEVALUE(C179&amp;"-01"),1))</f>
        <v>0</v>
      </c>
      <c r="T179" s="37">
        <f>SUMIFS('📋 Транзакції'!$F$5:$F$3623,'📋 Транзакції'!$B$5:$B$3623,A179,'📋 Транзакції'!$C$5:$C$3623,"&gt;="&amp;EDATE(DATEVALUE(C179&amp;"-01"),1),'📋 Транзакції'!$C$5:$C$3623,"&lt;"&amp;EDATE(DATEVALUE(C179&amp;"-01"),2))</f>
        <v>19.99</v>
      </c>
      <c r="U179" s="37">
        <f>SUMIFS('📋 Транзакції'!$F$5:$F$3623,'📋 Транзакції'!$B$5:$B$3623,A179,'📋 Транзакції'!$C$5:$C$3623,"&gt;="&amp;EDATE(DATEVALUE(C179&amp;"-01"),2),'📋 Транзакції'!$C$5:$C$3623,"&lt;"&amp;EDATE(DATEVALUE(C179&amp;"-01"),3))</f>
        <v>19.99</v>
      </c>
      <c r="V179" s="37">
        <f>SUMIFS('📋 Транзакції'!$F$5:$F$3623,'📋 Транзакції'!$B$5:$B$3623,A179,'📋 Транзакції'!$C$5:$C$3623,"&gt;="&amp;EDATE(DATEVALUE(C179&amp;"-01"),3),'📋 Транзакції'!$C$5:$C$3623,"&lt;"&amp;EDATE(DATEVALUE(C179&amp;"-01"),4))</f>
        <v>19.99</v>
      </c>
      <c r="W179" s="37">
        <f>SUMIFS('📋 Транзакції'!$F$5:$F$3623,'📋 Транзакції'!$B$5:$B$3623,A179,'📋 Транзакції'!$C$5:$C$3623,"&gt;="&amp;EDATE(DATEVALUE(C179&amp;"-01"),4),'📋 Транзакції'!$C$5:$C$3623,"&lt;"&amp;EDATE(DATEVALUE(C179&amp;"-01"),5))</f>
        <v>19.99</v>
      </c>
      <c r="X179" s="37">
        <f>SUMIFS('📋 Транзакції'!$F$5:$F$3623,'📋 Транзакції'!$B$5:$B$3623,A179,'📋 Транзакції'!$C$5:$C$3623,"&gt;="&amp;EDATE(DATEVALUE(C179&amp;"-01"),5),'📋 Транзакції'!$C$5:$C$3623,"&lt;"&amp;EDATE(DATEVALUE(C179&amp;"-01"),6))</f>
        <v>19.99</v>
      </c>
      <c r="Y179" s="37">
        <f>SUMIFS('📋 Транзакції'!$F$5:$F$3623,'📋 Транзакції'!$B$5:$B$3623,A179,'📋 Транзакції'!$C$5:$C$3623,"&gt;="&amp;EDATE(DATEVALUE(C179&amp;"-01"),6),'📋 Транзакції'!$C$5:$C$3623,"&lt;"&amp;EDATE(DATEVALUE(C179&amp;"-01"),7))</f>
        <v>39.98</v>
      </c>
      <c r="Z179" s="37">
        <f>SUMIFS('📋 Транзакції'!$F$5:$F$3623,'📋 Транзакції'!$B$5:$B$3623,A179,'📋 Транзакції'!$C$5:$C$3623,"&gt;="&amp;EDATE(DATEVALUE(C179&amp;"-01"),7),'📋 Транзакції'!$C$5:$C$3623,"&lt;"&amp;EDATE(DATEVALUE(C179&amp;"-01"),8))</f>
        <v>19.99</v>
      </c>
      <c r="AA179" s="37">
        <f>SUMIFS('📋 Транзакції'!$F$5:$F$3623,'📋 Транзакції'!$B$5:$B$3623,A179,'📋 Транзакції'!$C$5:$C$3623,"&gt;="&amp;EDATE(DATEVALUE(C179&amp;"-01"),8),'📋 Транзакції'!$C$5:$C$3623,"&lt;"&amp;EDATE(DATEVALUE(C179&amp;"-01"),9))</f>
        <v>0</v>
      </c>
      <c r="AB179" s="37">
        <f>SUMIFS('📋 Транзакції'!$F$5:$F$3623,'📋 Транзакції'!$B$5:$B$3623,A179,'📋 Транзакції'!$C$5:$C$3623,"&gt;="&amp;EDATE(DATEVALUE(C179&amp;"-01"),9),'📋 Транзакції'!$C$5:$C$3623,"&lt;"&amp;EDATE(DATEVALUE(C179&amp;"-01"),10))</f>
        <v>39.98</v>
      </c>
      <c r="AC179" s="37">
        <f>SUMIFS('📋 Транзакції'!$F$5:$F$3623,'📋 Транзакції'!$B$5:$B$3623,A179,'📋 Транзакції'!$C$5:$C$3623,"&gt;="&amp;EDATE(DATEVALUE(C179&amp;"-01"),10),'📋 Транзакції'!$C$5:$C$3623,"&lt;"&amp;EDATE(DATEVALUE(C179&amp;"-01"),11))</f>
        <v>0</v>
      </c>
      <c r="AD179" s="37">
        <f>SUMIFS('📋 Транзакції'!$F$5:$F$3623,'📋 Транзакції'!$B$5:$B$3623,A179,'📋 Транзакції'!$C$5:$C$3623,"&gt;="&amp;EDATE(DATEVALUE(C179&amp;"-01"),11),'📋 Транзакції'!$C$5:$C$3623,"&lt;"&amp;EDATE(DATEVALUE(C179&amp;"-01"),12))</f>
        <v>0</v>
      </c>
    </row>
    <row r="180" ht="15.75" customHeight="1">
      <c r="A180" s="33" t="str">
        <f>'📋 Реєстрації'!A180:A781</f>
        <v>U0667</v>
      </c>
      <c r="B180" s="34">
        <f t="array" ref="B180">INDEX('📋 Транзакції'!$C$5:$C$3623,MATCH(A180,'📋 Транзакції'!$B$5:$B$3623,0))</f>
        <v>45470</v>
      </c>
      <c r="C180" s="35" t="str">
        <f t="shared" si="1"/>
        <v>2024-06</v>
      </c>
      <c r="D180" s="36">
        <f>COUNTIF('📋 Транзакції'!$B$5:$B$3623,A180)</f>
        <v>11</v>
      </c>
      <c r="E180" s="36">
        <f>SUMIF('📋 Транзакції'!$B$5:$B$3623,A180,'📋 Транзакції'!$F$5:$F$3623)</f>
        <v>199.9</v>
      </c>
      <c r="F180" s="35">
        <f>INT($A$1-MAXIFS('📋 Транзакції'!$C$5:$C$3623,'📋 Транзакції'!$B$5:$B$3623,A180))</f>
        <v>0</v>
      </c>
      <c r="G180" s="37">
        <f>IF(COUNTIFS('📋 Транзакції'!$B$5:$B$3623,A180,'📋 Транзакції'!$C$5:$C$3623,"&gt;="&amp;EDATE(DATEVALUE(C180&amp;"-01"),0),'📋 Транзакції'!$C$5:$C$3623,"&lt;"&amp;EDATE(DATEVALUE(C180&amp;"-01"),1))&gt;0,1,0)</f>
        <v>1</v>
      </c>
      <c r="H180" s="37">
        <f>IF(COUNTIFS('📋 Транзакції'!$B$5:$B$3623,A180,'📋 Транзакції'!$C$5:$C$3623,"&gt;="&amp;EDATE(DATEVALUE(C180&amp;"-01"),1),'📋 Транзакції'!$C$5:$C$3623,"&lt;"&amp;EDATE(DATEVALUE(C180&amp;"-01"),2))&gt;0,1,0)</f>
        <v>1</v>
      </c>
      <c r="I180" s="37">
        <f>IF(COUNTIFS('📋 Транзакції'!$B$5:$B$3623,A180,'📋 Транзакції'!$C$5:$C$3623,"&gt;="&amp;EDATE(DATEVALUE(C180&amp;"-01"),2),'📋 Транзакції'!$C$5:$C$3623,"&lt;"&amp;EDATE(DATEVALUE(C180&amp;"-01"),3))&gt;0,1,0)</f>
        <v>1</v>
      </c>
      <c r="J180" s="37">
        <f>IF(COUNTIFS('📋 Транзакції'!$B$5:$B$3623,A180,'📋 Транзакції'!$C$5:$C$3623,"&gt;="&amp;EDATE(DATEVALUE(C180&amp;"-01"),3),'📋 Транзакції'!$C$5:$C$3623,"&lt;"&amp;EDATE(DATEVALUE(C180&amp;"-01"),4))&gt;0,1,0)</f>
        <v>1</v>
      </c>
      <c r="K180" s="37">
        <f>IF(COUNTIFS('📋 Транзакції'!$B$5:$B$3623,A180,'📋 Транзакції'!$C$5:$C$3623,"&gt;="&amp;EDATE(DATEVALUE(C180&amp;"-01"),4),'📋 Транзакції'!$C$5:$C$3623,"&lt;"&amp;EDATE(DATEVALUE(C180&amp;"-01"),5))&gt;0,1,0)</f>
        <v>1</v>
      </c>
      <c r="L180" s="37">
        <f>IF(COUNTIFS('📋 Транзакції'!$B$5:$B$3623,A180,'📋 Транзакції'!$C$5:$C$3623,"&gt;="&amp;EDATE(DATEVALUE(C180&amp;"-01"),5),'📋 Транзакції'!$C$5:$C$3623,"&lt;"&amp;EDATE(DATEVALUE(C180&amp;"-01"),6))&gt;0,1,0)</f>
        <v>1</v>
      </c>
      <c r="M180" s="37">
        <f>IF(COUNTIFS('📋 Транзакції'!$B$5:$B$3623,A180,'📋 Транзакції'!$C$5:$C$3623,"&gt;="&amp;EDATE(DATEVALUE(C180&amp;"-01"),6),'📋 Транзакції'!$C$5:$C$3623,"&lt;"&amp;EDATE(DATEVALUE(C180&amp;"-01"),7))&gt;0,1,0)</f>
        <v>1</v>
      </c>
      <c r="N180" s="37">
        <f>IF(COUNTIFS('📋 Транзакції'!$B$5:$B$3623,A180,'📋 Транзакції'!$C$5:$C$3623,"&gt;="&amp;EDATE(DATEVALUE(C180&amp;"-01"),7),'📋 Транзакції'!$C$5:$C$3623,"&lt;"&amp;EDATE(DATEVALUE(C180&amp;"-01"),8))&gt;0,1,0)</f>
        <v>1</v>
      </c>
      <c r="O180" s="37">
        <f>IF(COUNTIFS('📋 Транзакції'!$B$5:$B$3623,A180,'📋 Транзакції'!$C$5:$C$3623,"&gt;="&amp;EDATE(DATEVALUE(C180&amp;"-01"),8),'📋 Транзакції'!$C$5:$C$3623,"&lt;"&amp;EDATE(DATEVALUE(C180&amp;"-01"),9))&gt;0,1,0)</f>
        <v>0</v>
      </c>
      <c r="P180" s="37">
        <f>IF(COUNTIFS('📋 Транзакції'!$B$5:$B$3623,A180,'📋 Транзакції'!$C$5:$C$3623,"&gt;="&amp;EDATE(DATEVALUE(C180&amp;"-01"),9),'📋 Транзакції'!$C$5:$C$3623,"&lt;"&amp;EDATE(DATEVALUE(C180&amp;"-01"),10))&gt;0,1,0)</f>
        <v>1</v>
      </c>
      <c r="Q180" s="37">
        <f>IF(COUNTIFS('📋 Транзакції'!$B$5:$B$3623,A180,'📋 Транзакції'!$C$5:$C$3623,"&gt;="&amp;EDATE(DATEVALUE(C180&amp;"-01"),10),'📋 Транзакції'!$C$5:$C$3623,"&lt;"&amp;EDATE(DATEVALUE(C180&amp;"-01"),11))&gt;0,1,0)</f>
        <v>0</v>
      </c>
      <c r="R180" s="37">
        <f>IF(COUNTIFS('📋 Транзакції'!$B$5:$B$3623,A180,'📋 Транзакції'!$C$5:$C$3623,"&gt;="&amp;EDATE(DATEVALUE(C180&amp;"-01"),11),'📋 Транзакції'!$C$5:$C$3623,"&lt;"&amp;EDATE(DATEVALUE(C180&amp;"-01"),12))&gt;0,1,0)</f>
        <v>0</v>
      </c>
      <c r="S180" s="37">
        <f>SUMIFS('📋 Транзакції'!$F$5:$F$3623,'📋 Транзакції'!$B$5:$B$3623,A180,'📋 Транзакції'!$C$5:$C$3623,"&gt;="&amp;EDATE(DATEVALUE(C180&amp;"-01"),0),'📋 Транзакції'!$C$5:$C$3623,"&lt;"&amp;EDATE(DATEVALUE(C180&amp;"-01"),1))</f>
        <v>0</v>
      </c>
      <c r="T180" s="37">
        <f>SUMIFS('📋 Транзакції'!$F$5:$F$3623,'📋 Транзакції'!$B$5:$B$3623,A180,'📋 Транзакції'!$C$5:$C$3623,"&gt;="&amp;EDATE(DATEVALUE(C180&amp;"-01"),1),'📋 Транзакції'!$C$5:$C$3623,"&lt;"&amp;EDATE(DATEVALUE(C180&amp;"-01"),2))</f>
        <v>19.99</v>
      </c>
      <c r="U180" s="37">
        <f>SUMIFS('📋 Транзакції'!$F$5:$F$3623,'📋 Транзакції'!$B$5:$B$3623,A180,'📋 Транзакції'!$C$5:$C$3623,"&gt;="&amp;EDATE(DATEVALUE(C180&amp;"-01"),2),'📋 Транзакції'!$C$5:$C$3623,"&lt;"&amp;EDATE(DATEVALUE(C180&amp;"-01"),3))</f>
        <v>19.99</v>
      </c>
      <c r="V180" s="37">
        <f>SUMIFS('📋 Транзакції'!$F$5:$F$3623,'📋 Транзакції'!$B$5:$B$3623,A180,'📋 Транзакції'!$C$5:$C$3623,"&gt;="&amp;EDATE(DATEVALUE(C180&amp;"-01"),3),'📋 Транзакції'!$C$5:$C$3623,"&lt;"&amp;EDATE(DATEVALUE(C180&amp;"-01"),4))</f>
        <v>19.99</v>
      </c>
      <c r="W180" s="37">
        <f>SUMIFS('📋 Транзакції'!$F$5:$F$3623,'📋 Транзакції'!$B$5:$B$3623,A180,'📋 Транзакції'!$C$5:$C$3623,"&gt;="&amp;EDATE(DATEVALUE(C180&amp;"-01"),4),'📋 Транзакції'!$C$5:$C$3623,"&lt;"&amp;EDATE(DATEVALUE(C180&amp;"-01"),5))</f>
        <v>19.99</v>
      </c>
      <c r="X180" s="37">
        <f>SUMIFS('📋 Транзакції'!$F$5:$F$3623,'📋 Транзакції'!$B$5:$B$3623,A180,'📋 Транзакції'!$C$5:$C$3623,"&gt;="&amp;EDATE(DATEVALUE(C180&amp;"-01"),5),'📋 Транзакції'!$C$5:$C$3623,"&lt;"&amp;EDATE(DATEVALUE(C180&amp;"-01"),6))</f>
        <v>19.99</v>
      </c>
      <c r="Y180" s="37">
        <f>SUMIFS('📋 Транзакції'!$F$5:$F$3623,'📋 Транзакції'!$B$5:$B$3623,A180,'📋 Транзакції'!$C$5:$C$3623,"&gt;="&amp;EDATE(DATEVALUE(C180&amp;"-01"),6),'📋 Транзакції'!$C$5:$C$3623,"&lt;"&amp;EDATE(DATEVALUE(C180&amp;"-01"),7))</f>
        <v>39.98</v>
      </c>
      <c r="Z180" s="37">
        <f>SUMIFS('📋 Транзакції'!$F$5:$F$3623,'📋 Транзакції'!$B$5:$B$3623,A180,'📋 Транзакції'!$C$5:$C$3623,"&gt;="&amp;EDATE(DATEVALUE(C180&amp;"-01"),7),'📋 Транзакції'!$C$5:$C$3623,"&lt;"&amp;EDATE(DATEVALUE(C180&amp;"-01"),8))</f>
        <v>19.99</v>
      </c>
      <c r="AA180" s="37">
        <f>SUMIFS('📋 Транзакції'!$F$5:$F$3623,'📋 Транзакції'!$B$5:$B$3623,A180,'📋 Транзакції'!$C$5:$C$3623,"&gt;="&amp;EDATE(DATEVALUE(C180&amp;"-01"),8),'📋 Транзакції'!$C$5:$C$3623,"&lt;"&amp;EDATE(DATEVALUE(C180&amp;"-01"),9))</f>
        <v>0</v>
      </c>
      <c r="AB180" s="37">
        <f>SUMIFS('📋 Транзакції'!$F$5:$F$3623,'📋 Транзакції'!$B$5:$B$3623,A180,'📋 Транзакції'!$C$5:$C$3623,"&gt;="&amp;EDATE(DATEVALUE(C180&amp;"-01"),9),'📋 Транзакції'!$C$5:$C$3623,"&lt;"&amp;EDATE(DATEVALUE(C180&amp;"-01"),10))</f>
        <v>39.98</v>
      </c>
      <c r="AC180" s="37">
        <f>SUMIFS('📋 Транзакції'!$F$5:$F$3623,'📋 Транзакції'!$B$5:$B$3623,A180,'📋 Транзакції'!$C$5:$C$3623,"&gt;="&amp;EDATE(DATEVALUE(C180&amp;"-01"),10),'📋 Транзакції'!$C$5:$C$3623,"&lt;"&amp;EDATE(DATEVALUE(C180&amp;"-01"),11))</f>
        <v>0</v>
      </c>
      <c r="AD180" s="37">
        <f>SUMIFS('📋 Транзакції'!$F$5:$F$3623,'📋 Транзакції'!$B$5:$B$3623,A180,'📋 Транзакції'!$C$5:$C$3623,"&gt;="&amp;EDATE(DATEVALUE(C180&amp;"-01"),11),'📋 Транзакції'!$C$5:$C$3623,"&lt;"&amp;EDATE(DATEVALUE(C180&amp;"-01"),12))</f>
        <v>0</v>
      </c>
    </row>
    <row r="181" ht="15.75" customHeight="1">
      <c r="A181" s="33" t="str">
        <f>'📋 Реєстрації'!A181:A782</f>
        <v>U0831</v>
      </c>
      <c r="B181" s="34">
        <f t="array" ref="B181">INDEX('📋 Транзакції'!$C$5:$C$3623,MATCH(A181,'📋 Транзакції'!$B$5:$B$3623,0))</f>
        <v>45471</v>
      </c>
      <c r="C181" s="35" t="str">
        <f t="shared" si="1"/>
        <v>2024-06</v>
      </c>
      <c r="D181" s="36">
        <f>COUNTIF('📋 Транзакції'!$B$5:$B$3623,A181)</f>
        <v>5</v>
      </c>
      <c r="E181" s="36">
        <f>SUMIF('📋 Транзакції'!$B$5:$B$3623,A181,'📋 Транзакції'!$F$5:$F$3623)</f>
        <v>79.96</v>
      </c>
      <c r="F181" s="35">
        <f>INT($A$1-MAXIFS('📋 Транзакції'!$C$5:$C$3623,'📋 Транзакції'!$B$5:$B$3623,A181))</f>
        <v>179</v>
      </c>
      <c r="G181" s="37">
        <f>IF(COUNTIFS('📋 Транзакції'!$B$5:$B$3623,A181,'📋 Транзакції'!$C$5:$C$3623,"&gt;="&amp;EDATE(DATEVALUE(C181&amp;"-01"),0),'📋 Транзакції'!$C$5:$C$3623,"&lt;"&amp;EDATE(DATEVALUE(C181&amp;"-01"),1))&gt;0,1,0)</f>
        <v>1</v>
      </c>
      <c r="H181" s="37">
        <f>IF(COUNTIFS('📋 Транзакції'!$B$5:$B$3623,A181,'📋 Транзакції'!$C$5:$C$3623,"&gt;="&amp;EDATE(DATEVALUE(C181&amp;"-01"),1),'📋 Транзакції'!$C$5:$C$3623,"&lt;"&amp;EDATE(DATEVALUE(C181&amp;"-01"),2))&gt;0,1,0)</f>
        <v>1</v>
      </c>
      <c r="I181" s="37">
        <f>IF(COUNTIFS('📋 Транзакції'!$B$5:$B$3623,A181,'📋 Транзакції'!$C$5:$C$3623,"&gt;="&amp;EDATE(DATEVALUE(C181&amp;"-01"),2),'📋 Транзакції'!$C$5:$C$3623,"&lt;"&amp;EDATE(DATEVALUE(C181&amp;"-01"),3))&gt;0,1,0)</f>
        <v>1</v>
      </c>
      <c r="J181" s="37">
        <f>IF(COUNTIFS('📋 Транзакції'!$B$5:$B$3623,A181,'📋 Транзакції'!$C$5:$C$3623,"&gt;="&amp;EDATE(DATEVALUE(C181&amp;"-01"),3),'📋 Транзакції'!$C$5:$C$3623,"&lt;"&amp;EDATE(DATEVALUE(C181&amp;"-01"),4))&gt;0,1,0)</f>
        <v>1</v>
      </c>
      <c r="K181" s="37">
        <f>IF(COUNTIFS('📋 Транзакції'!$B$5:$B$3623,A181,'📋 Транзакції'!$C$5:$C$3623,"&gt;="&amp;EDATE(DATEVALUE(C181&amp;"-01"),4),'📋 Транзакції'!$C$5:$C$3623,"&lt;"&amp;EDATE(DATEVALUE(C181&amp;"-01"),5))&gt;0,1,0)</f>
        <v>1</v>
      </c>
      <c r="L181" s="37">
        <f>IF(COUNTIFS('📋 Транзакції'!$B$5:$B$3623,A181,'📋 Транзакції'!$C$5:$C$3623,"&gt;="&amp;EDATE(DATEVALUE(C181&amp;"-01"),5),'📋 Транзакції'!$C$5:$C$3623,"&lt;"&amp;EDATE(DATEVALUE(C181&amp;"-01"),6))&gt;0,1,0)</f>
        <v>0</v>
      </c>
      <c r="M181" s="37">
        <f>IF(COUNTIFS('📋 Транзакції'!$B$5:$B$3623,A181,'📋 Транзакції'!$C$5:$C$3623,"&gt;="&amp;EDATE(DATEVALUE(C181&amp;"-01"),6),'📋 Транзакції'!$C$5:$C$3623,"&lt;"&amp;EDATE(DATEVALUE(C181&amp;"-01"),7))&gt;0,1,0)</f>
        <v>0</v>
      </c>
      <c r="N181" s="37">
        <f>IF(COUNTIFS('📋 Транзакції'!$B$5:$B$3623,A181,'📋 Транзакції'!$C$5:$C$3623,"&gt;="&amp;EDATE(DATEVALUE(C181&amp;"-01"),7),'📋 Транзакції'!$C$5:$C$3623,"&lt;"&amp;EDATE(DATEVALUE(C181&amp;"-01"),8))&gt;0,1,0)</f>
        <v>0</v>
      </c>
      <c r="O181" s="37">
        <f>IF(COUNTIFS('📋 Транзакції'!$B$5:$B$3623,A181,'📋 Транзакції'!$C$5:$C$3623,"&gt;="&amp;EDATE(DATEVALUE(C181&amp;"-01"),8),'📋 Транзакції'!$C$5:$C$3623,"&lt;"&amp;EDATE(DATEVALUE(C181&amp;"-01"),9))&gt;0,1,0)</f>
        <v>0</v>
      </c>
      <c r="P181" s="37">
        <f>IF(COUNTIFS('📋 Транзакції'!$B$5:$B$3623,A181,'📋 Транзакції'!$C$5:$C$3623,"&gt;="&amp;EDATE(DATEVALUE(C181&amp;"-01"),9),'📋 Транзакції'!$C$5:$C$3623,"&lt;"&amp;EDATE(DATEVALUE(C181&amp;"-01"),10))&gt;0,1,0)</f>
        <v>0</v>
      </c>
      <c r="Q181" s="37">
        <f>IF(COUNTIFS('📋 Транзакції'!$B$5:$B$3623,A181,'📋 Транзакції'!$C$5:$C$3623,"&gt;="&amp;EDATE(DATEVALUE(C181&amp;"-01"),10),'📋 Транзакції'!$C$5:$C$3623,"&lt;"&amp;EDATE(DATEVALUE(C181&amp;"-01"),11))&gt;0,1,0)</f>
        <v>0</v>
      </c>
      <c r="R181" s="37">
        <f>IF(COUNTIFS('📋 Транзакції'!$B$5:$B$3623,A181,'📋 Транзакції'!$C$5:$C$3623,"&gt;="&amp;EDATE(DATEVALUE(C181&amp;"-01"),11),'📋 Транзакції'!$C$5:$C$3623,"&lt;"&amp;EDATE(DATEVALUE(C181&amp;"-01"),12))&gt;0,1,0)</f>
        <v>0</v>
      </c>
      <c r="S181" s="37">
        <f>SUMIFS('📋 Транзакції'!$F$5:$F$3623,'📋 Транзакції'!$B$5:$B$3623,A181,'📋 Транзакції'!$C$5:$C$3623,"&gt;="&amp;EDATE(DATEVALUE(C181&amp;"-01"),0),'📋 Транзакції'!$C$5:$C$3623,"&lt;"&amp;EDATE(DATEVALUE(C181&amp;"-01"),1))</f>
        <v>0</v>
      </c>
      <c r="T181" s="37">
        <f>SUMIFS('📋 Транзакції'!$F$5:$F$3623,'📋 Транзакції'!$B$5:$B$3623,A181,'📋 Транзакції'!$C$5:$C$3623,"&gt;="&amp;EDATE(DATEVALUE(C181&amp;"-01"),1),'📋 Транзакції'!$C$5:$C$3623,"&lt;"&amp;EDATE(DATEVALUE(C181&amp;"-01"),2))</f>
        <v>19.99</v>
      </c>
      <c r="U181" s="37">
        <f>SUMIFS('📋 Транзакції'!$F$5:$F$3623,'📋 Транзакції'!$B$5:$B$3623,A181,'📋 Транзакції'!$C$5:$C$3623,"&gt;="&amp;EDATE(DATEVALUE(C181&amp;"-01"),2),'📋 Транзакції'!$C$5:$C$3623,"&lt;"&amp;EDATE(DATEVALUE(C181&amp;"-01"),3))</f>
        <v>19.99</v>
      </c>
      <c r="V181" s="37">
        <f>SUMIFS('📋 Транзакції'!$F$5:$F$3623,'📋 Транзакції'!$B$5:$B$3623,A181,'📋 Транзакції'!$C$5:$C$3623,"&gt;="&amp;EDATE(DATEVALUE(C181&amp;"-01"),3),'📋 Транзакції'!$C$5:$C$3623,"&lt;"&amp;EDATE(DATEVALUE(C181&amp;"-01"),4))</f>
        <v>19.99</v>
      </c>
      <c r="W181" s="37">
        <f>SUMIFS('📋 Транзакції'!$F$5:$F$3623,'📋 Транзакції'!$B$5:$B$3623,A181,'📋 Транзакції'!$C$5:$C$3623,"&gt;="&amp;EDATE(DATEVALUE(C181&amp;"-01"),4),'📋 Транзакції'!$C$5:$C$3623,"&lt;"&amp;EDATE(DATEVALUE(C181&amp;"-01"),5))</f>
        <v>19.99</v>
      </c>
      <c r="X181" s="37">
        <f>SUMIFS('📋 Транзакції'!$F$5:$F$3623,'📋 Транзакції'!$B$5:$B$3623,A181,'📋 Транзакції'!$C$5:$C$3623,"&gt;="&amp;EDATE(DATEVALUE(C181&amp;"-01"),5),'📋 Транзакції'!$C$5:$C$3623,"&lt;"&amp;EDATE(DATEVALUE(C181&amp;"-01"),6))</f>
        <v>0</v>
      </c>
      <c r="Y181" s="37">
        <f>SUMIFS('📋 Транзакції'!$F$5:$F$3623,'📋 Транзакції'!$B$5:$B$3623,A181,'📋 Транзакції'!$C$5:$C$3623,"&gt;="&amp;EDATE(DATEVALUE(C181&amp;"-01"),6),'📋 Транзакції'!$C$5:$C$3623,"&lt;"&amp;EDATE(DATEVALUE(C181&amp;"-01"),7))</f>
        <v>0</v>
      </c>
      <c r="Z181" s="37">
        <f>SUMIFS('📋 Транзакції'!$F$5:$F$3623,'📋 Транзакції'!$B$5:$B$3623,A181,'📋 Транзакції'!$C$5:$C$3623,"&gt;="&amp;EDATE(DATEVALUE(C181&amp;"-01"),7),'📋 Транзакції'!$C$5:$C$3623,"&lt;"&amp;EDATE(DATEVALUE(C181&amp;"-01"),8))</f>
        <v>0</v>
      </c>
      <c r="AA181" s="37">
        <f>SUMIFS('📋 Транзакції'!$F$5:$F$3623,'📋 Транзакції'!$B$5:$B$3623,A181,'📋 Транзакції'!$C$5:$C$3623,"&gt;="&amp;EDATE(DATEVALUE(C181&amp;"-01"),8),'📋 Транзакції'!$C$5:$C$3623,"&lt;"&amp;EDATE(DATEVALUE(C181&amp;"-01"),9))</f>
        <v>0</v>
      </c>
      <c r="AB181" s="37">
        <f>SUMIFS('📋 Транзакції'!$F$5:$F$3623,'📋 Транзакції'!$B$5:$B$3623,A181,'📋 Транзакції'!$C$5:$C$3623,"&gt;="&amp;EDATE(DATEVALUE(C181&amp;"-01"),9),'📋 Транзакції'!$C$5:$C$3623,"&lt;"&amp;EDATE(DATEVALUE(C181&amp;"-01"),10))</f>
        <v>0</v>
      </c>
      <c r="AC181" s="37">
        <f>SUMIFS('📋 Транзакції'!$F$5:$F$3623,'📋 Транзакції'!$B$5:$B$3623,A181,'📋 Транзакції'!$C$5:$C$3623,"&gt;="&amp;EDATE(DATEVALUE(C181&amp;"-01"),10),'📋 Транзакції'!$C$5:$C$3623,"&lt;"&amp;EDATE(DATEVALUE(C181&amp;"-01"),11))</f>
        <v>0</v>
      </c>
      <c r="AD181" s="37">
        <f>SUMIFS('📋 Транзакції'!$F$5:$F$3623,'📋 Транзакції'!$B$5:$B$3623,A181,'📋 Транзакції'!$C$5:$C$3623,"&gt;="&amp;EDATE(DATEVALUE(C181&amp;"-01"),11),'📋 Транзакції'!$C$5:$C$3623,"&lt;"&amp;EDATE(DATEVALUE(C181&amp;"-01"),12))</f>
        <v>0</v>
      </c>
    </row>
    <row r="182" ht="15.75" customHeight="1">
      <c r="A182" s="33" t="str">
        <f>'📋 Реєстрації'!A182:A783</f>
        <v>U0890</v>
      </c>
      <c r="B182" s="34">
        <f t="array" ref="B182">INDEX('📋 Транзакції'!$C$5:$C$3623,MATCH(A182,'📋 Транзакції'!$B$5:$B$3623,0))</f>
        <v>45471</v>
      </c>
      <c r="C182" s="35" t="str">
        <f t="shared" si="1"/>
        <v>2024-06</v>
      </c>
      <c r="D182" s="36">
        <f>COUNTIF('📋 Транзакції'!$B$5:$B$3623,A182)</f>
        <v>10</v>
      </c>
      <c r="E182" s="36">
        <f>SUMIF('📋 Транзакції'!$B$5:$B$3623,A182,'📋 Транзакції'!$F$5:$F$3623)</f>
        <v>179.91</v>
      </c>
      <c r="F182" s="35">
        <f>INT($A$1-MAXIFS('📋 Транзакції'!$C$5:$C$3623,'📋 Транзакції'!$B$5:$B$3623,A182))</f>
        <v>29</v>
      </c>
      <c r="G182" s="37">
        <f>IF(COUNTIFS('📋 Транзакції'!$B$5:$B$3623,A182,'📋 Транзакції'!$C$5:$C$3623,"&gt;="&amp;EDATE(DATEVALUE(C182&amp;"-01"),0),'📋 Транзакції'!$C$5:$C$3623,"&lt;"&amp;EDATE(DATEVALUE(C182&amp;"-01"),1))&gt;0,1,0)</f>
        <v>1</v>
      </c>
      <c r="H182" s="37">
        <f>IF(COUNTIFS('📋 Транзакції'!$B$5:$B$3623,A182,'📋 Транзакції'!$C$5:$C$3623,"&gt;="&amp;EDATE(DATEVALUE(C182&amp;"-01"),1),'📋 Транзакції'!$C$5:$C$3623,"&lt;"&amp;EDATE(DATEVALUE(C182&amp;"-01"),2))&gt;0,1,0)</f>
        <v>1</v>
      </c>
      <c r="I182" s="37">
        <f>IF(COUNTIFS('📋 Транзакції'!$B$5:$B$3623,A182,'📋 Транзакції'!$C$5:$C$3623,"&gt;="&amp;EDATE(DATEVALUE(C182&amp;"-01"),2),'📋 Транзакції'!$C$5:$C$3623,"&lt;"&amp;EDATE(DATEVALUE(C182&amp;"-01"),3))&gt;0,1,0)</f>
        <v>1</v>
      </c>
      <c r="J182" s="37">
        <f>IF(COUNTIFS('📋 Транзакції'!$B$5:$B$3623,A182,'📋 Транзакції'!$C$5:$C$3623,"&gt;="&amp;EDATE(DATEVALUE(C182&amp;"-01"),3),'📋 Транзакції'!$C$5:$C$3623,"&lt;"&amp;EDATE(DATEVALUE(C182&amp;"-01"),4))&gt;0,1,0)</f>
        <v>1</v>
      </c>
      <c r="K182" s="37">
        <f>IF(COUNTIFS('📋 Транзакції'!$B$5:$B$3623,A182,'📋 Транзакції'!$C$5:$C$3623,"&gt;="&amp;EDATE(DATEVALUE(C182&amp;"-01"),4),'📋 Транзакції'!$C$5:$C$3623,"&lt;"&amp;EDATE(DATEVALUE(C182&amp;"-01"),5))&gt;0,1,0)</f>
        <v>1</v>
      </c>
      <c r="L182" s="37">
        <f>IF(COUNTIFS('📋 Транзакції'!$B$5:$B$3623,A182,'📋 Транзакції'!$C$5:$C$3623,"&gt;="&amp;EDATE(DATEVALUE(C182&amp;"-01"),5),'📋 Транзакції'!$C$5:$C$3623,"&lt;"&amp;EDATE(DATEVALUE(C182&amp;"-01"),6))&gt;0,1,0)</f>
        <v>1</v>
      </c>
      <c r="M182" s="37">
        <f>IF(COUNTIFS('📋 Транзакції'!$B$5:$B$3623,A182,'📋 Транзакції'!$C$5:$C$3623,"&gt;="&amp;EDATE(DATEVALUE(C182&amp;"-01"),6),'📋 Транзакції'!$C$5:$C$3623,"&lt;"&amp;EDATE(DATEVALUE(C182&amp;"-01"),7))&gt;0,1,0)</f>
        <v>1</v>
      </c>
      <c r="N182" s="37">
        <f>IF(COUNTIFS('📋 Транзакції'!$B$5:$B$3623,A182,'📋 Транзакції'!$C$5:$C$3623,"&gt;="&amp;EDATE(DATEVALUE(C182&amp;"-01"),7),'📋 Транзакції'!$C$5:$C$3623,"&lt;"&amp;EDATE(DATEVALUE(C182&amp;"-01"),8))&gt;0,1,0)</f>
        <v>1</v>
      </c>
      <c r="O182" s="37">
        <f>IF(COUNTIFS('📋 Транзакції'!$B$5:$B$3623,A182,'📋 Транзакції'!$C$5:$C$3623,"&gt;="&amp;EDATE(DATEVALUE(C182&amp;"-01"),8),'📋 Транзакції'!$C$5:$C$3623,"&lt;"&amp;EDATE(DATEVALUE(C182&amp;"-01"),9))&gt;0,1,0)</f>
        <v>0</v>
      </c>
      <c r="P182" s="37">
        <f>IF(COUNTIFS('📋 Транзакції'!$B$5:$B$3623,A182,'📋 Транзакції'!$C$5:$C$3623,"&gt;="&amp;EDATE(DATEVALUE(C182&amp;"-01"),9),'📋 Транзакції'!$C$5:$C$3623,"&lt;"&amp;EDATE(DATEVALUE(C182&amp;"-01"),10))&gt;0,1,0)</f>
        <v>1</v>
      </c>
      <c r="Q182" s="37">
        <f>IF(COUNTIFS('📋 Транзакції'!$B$5:$B$3623,A182,'📋 Транзакції'!$C$5:$C$3623,"&gt;="&amp;EDATE(DATEVALUE(C182&amp;"-01"),10),'📋 Транзакції'!$C$5:$C$3623,"&lt;"&amp;EDATE(DATEVALUE(C182&amp;"-01"),11))&gt;0,1,0)</f>
        <v>0</v>
      </c>
      <c r="R182" s="37">
        <f>IF(COUNTIFS('📋 Транзакції'!$B$5:$B$3623,A182,'📋 Транзакції'!$C$5:$C$3623,"&gt;="&amp;EDATE(DATEVALUE(C182&amp;"-01"),11),'📋 Транзакції'!$C$5:$C$3623,"&lt;"&amp;EDATE(DATEVALUE(C182&amp;"-01"),12))&gt;0,1,0)</f>
        <v>0</v>
      </c>
      <c r="S182" s="37">
        <f>SUMIFS('📋 Транзакції'!$F$5:$F$3623,'📋 Транзакції'!$B$5:$B$3623,A182,'📋 Транзакції'!$C$5:$C$3623,"&gt;="&amp;EDATE(DATEVALUE(C182&amp;"-01"),0),'📋 Транзакції'!$C$5:$C$3623,"&lt;"&amp;EDATE(DATEVALUE(C182&amp;"-01"),1))</f>
        <v>0</v>
      </c>
      <c r="T182" s="37">
        <f>SUMIFS('📋 Транзакції'!$F$5:$F$3623,'📋 Транзакції'!$B$5:$B$3623,A182,'📋 Транзакції'!$C$5:$C$3623,"&gt;="&amp;EDATE(DATEVALUE(C182&amp;"-01"),1),'📋 Транзакції'!$C$5:$C$3623,"&lt;"&amp;EDATE(DATEVALUE(C182&amp;"-01"),2))</f>
        <v>19.99</v>
      </c>
      <c r="U182" s="37">
        <f>SUMIFS('📋 Транзакції'!$F$5:$F$3623,'📋 Транзакції'!$B$5:$B$3623,A182,'📋 Транзакції'!$C$5:$C$3623,"&gt;="&amp;EDATE(DATEVALUE(C182&amp;"-01"),2),'📋 Транзакції'!$C$5:$C$3623,"&lt;"&amp;EDATE(DATEVALUE(C182&amp;"-01"),3))</f>
        <v>19.99</v>
      </c>
      <c r="V182" s="37">
        <f>SUMIFS('📋 Транзакції'!$F$5:$F$3623,'📋 Транзакції'!$B$5:$B$3623,A182,'📋 Транзакції'!$C$5:$C$3623,"&gt;="&amp;EDATE(DATEVALUE(C182&amp;"-01"),3),'📋 Транзакції'!$C$5:$C$3623,"&lt;"&amp;EDATE(DATEVALUE(C182&amp;"-01"),4))</f>
        <v>19.99</v>
      </c>
      <c r="W182" s="37">
        <f>SUMIFS('📋 Транзакції'!$F$5:$F$3623,'📋 Транзакції'!$B$5:$B$3623,A182,'📋 Транзакції'!$C$5:$C$3623,"&gt;="&amp;EDATE(DATEVALUE(C182&amp;"-01"),4),'📋 Транзакції'!$C$5:$C$3623,"&lt;"&amp;EDATE(DATEVALUE(C182&amp;"-01"),5))</f>
        <v>19.99</v>
      </c>
      <c r="X182" s="37">
        <f>SUMIFS('📋 Транзакції'!$F$5:$F$3623,'📋 Транзакції'!$B$5:$B$3623,A182,'📋 Транзакції'!$C$5:$C$3623,"&gt;="&amp;EDATE(DATEVALUE(C182&amp;"-01"),5),'📋 Транзакції'!$C$5:$C$3623,"&lt;"&amp;EDATE(DATEVALUE(C182&amp;"-01"),6))</f>
        <v>19.99</v>
      </c>
      <c r="Y182" s="37">
        <f>SUMIFS('📋 Транзакції'!$F$5:$F$3623,'📋 Транзакції'!$B$5:$B$3623,A182,'📋 Транзакції'!$C$5:$C$3623,"&gt;="&amp;EDATE(DATEVALUE(C182&amp;"-01"),6),'📋 Транзакції'!$C$5:$C$3623,"&lt;"&amp;EDATE(DATEVALUE(C182&amp;"-01"),7))</f>
        <v>19.99</v>
      </c>
      <c r="Z182" s="37">
        <f>SUMIFS('📋 Транзакції'!$F$5:$F$3623,'📋 Транзакції'!$B$5:$B$3623,A182,'📋 Транзакції'!$C$5:$C$3623,"&gt;="&amp;EDATE(DATEVALUE(C182&amp;"-01"),7),'📋 Транзакції'!$C$5:$C$3623,"&lt;"&amp;EDATE(DATEVALUE(C182&amp;"-01"),8))</f>
        <v>39.98</v>
      </c>
      <c r="AA182" s="37">
        <f>SUMIFS('📋 Транзакції'!$F$5:$F$3623,'📋 Транзакції'!$B$5:$B$3623,A182,'📋 Транзакції'!$C$5:$C$3623,"&gt;="&amp;EDATE(DATEVALUE(C182&amp;"-01"),8),'📋 Транзакції'!$C$5:$C$3623,"&lt;"&amp;EDATE(DATEVALUE(C182&amp;"-01"),9))</f>
        <v>0</v>
      </c>
      <c r="AB182" s="37">
        <f>SUMIFS('📋 Транзакції'!$F$5:$F$3623,'📋 Транзакції'!$B$5:$B$3623,A182,'📋 Транзакції'!$C$5:$C$3623,"&gt;="&amp;EDATE(DATEVALUE(C182&amp;"-01"),9),'📋 Транзакції'!$C$5:$C$3623,"&lt;"&amp;EDATE(DATEVALUE(C182&amp;"-01"),10))</f>
        <v>19.99</v>
      </c>
      <c r="AC182" s="37">
        <f>SUMIFS('📋 Транзакції'!$F$5:$F$3623,'📋 Транзакції'!$B$5:$B$3623,A182,'📋 Транзакції'!$C$5:$C$3623,"&gt;="&amp;EDATE(DATEVALUE(C182&amp;"-01"),10),'📋 Транзакції'!$C$5:$C$3623,"&lt;"&amp;EDATE(DATEVALUE(C182&amp;"-01"),11))</f>
        <v>0</v>
      </c>
      <c r="AD182" s="37">
        <f>SUMIFS('📋 Транзакції'!$F$5:$F$3623,'📋 Транзакції'!$B$5:$B$3623,A182,'📋 Транзакції'!$C$5:$C$3623,"&gt;="&amp;EDATE(DATEVALUE(C182&amp;"-01"),11),'📋 Транзакції'!$C$5:$C$3623,"&lt;"&amp;EDATE(DATEVALUE(C182&amp;"-01"),12))</f>
        <v>0</v>
      </c>
    </row>
    <row r="183" ht="15.75" customHeight="1">
      <c r="A183" s="33" t="str">
        <f>'📋 Реєстрації'!A183:A784</f>
        <v>U0132</v>
      </c>
      <c r="B183" s="34">
        <f t="array" ref="B183">INDEX('📋 Транзакції'!$C$5:$C$3623,MATCH(A183,'📋 Транзакції'!$B$5:$B$3623,0))</f>
        <v>45473</v>
      </c>
      <c r="C183" s="35" t="str">
        <f t="shared" si="1"/>
        <v>2024-06</v>
      </c>
      <c r="D183" s="36">
        <f>COUNTIF('📋 Транзакції'!$B$5:$B$3623,A183)</f>
        <v>2</v>
      </c>
      <c r="E183" s="36">
        <f>SUMIF('📋 Транзакції'!$B$5:$B$3623,A183,'📋 Транзакції'!$F$5:$F$3623)</f>
        <v>19.99</v>
      </c>
      <c r="F183" s="35">
        <f>INT($A$1-MAXIFS('📋 Транзакції'!$C$5:$C$3623,'📋 Транзакції'!$B$5:$B$3623,A183))</f>
        <v>267</v>
      </c>
      <c r="G183" s="37">
        <f>IF(COUNTIFS('📋 Транзакції'!$B$5:$B$3623,A183,'📋 Транзакції'!$C$5:$C$3623,"&gt;="&amp;EDATE(DATEVALUE(C183&amp;"-01"),0),'📋 Транзакції'!$C$5:$C$3623,"&lt;"&amp;EDATE(DATEVALUE(C183&amp;"-01"),1))&gt;0,1,0)</f>
        <v>1</v>
      </c>
      <c r="H183" s="37">
        <f>IF(COUNTIFS('📋 Транзакції'!$B$5:$B$3623,A183,'📋 Транзакції'!$C$5:$C$3623,"&gt;="&amp;EDATE(DATEVALUE(C183&amp;"-01"),1),'📋 Транзакції'!$C$5:$C$3623,"&lt;"&amp;EDATE(DATEVALUE(C183&amp;"-01"),2))&gt;0,1,0)</f>
        <v>1</v>
      </c>
      <c r="I183" s="37">
        <f>IF(COUNTIFS('📋 Транзакції'!$B$5:$B$3623,A183,'📋 Транзакції'!$C$5:$C$3623,"&gt;="&amp;EDATE(DATEVALUE(C183&amp;"-01"),2),'📋 Транзакції'!$C$5:$C$3623,"&lt;"&amp;EDATE(DATEVALUE(C183&amp;"-01"),3))&gt;0,1,0)</f>
        <v>0</v>
      </c>
      <c r="J183" s="37">
        <f>IF(COUNTIFS('📋 Транзакції'!$B$5:$B$3623,A183,'📋 Транзакції'!$C$5:$C$3623,"&gt;="&amp;EDATE(DATEVALUE(C183&amp;"-01"),3),'📋 Транзакції'!$C$5:$C$3623,"&lt;"&amp;EDATE(DATEVALUE(C183&amp;"-01"),4))&gt;0,1,0)</f>
        <v>0</v>
      </c>
      <c r="K183" s="37">
        <f>IF(COUNTIFS('📋 Транзакції'!$B$5:$B$3623,A183,'📋 Транзакції'!$C$5:$C$3623,"&gt;="&amp;EDATE(DATEVALUE(C183&amp;"-01"),4),'📋 Транзакції'!$C$5:$C$3623,"&lt;"&amp;EDATE(DATEVALUE(C183&amp;"-01"),5))&gt;0,1,0)</f>
        <v>0</v>
      </c>
      <c r="L183" s="37">
        <f>IF(COUNTIFS('📋 Транзакції'!$B$5:$B$3623,A183,'📋 Транзакції'!$C$5:$C$3623,"&gt;="&amp;EDATE(DATEVALUE(C183&amp;"-01"),5),'📋 Транзакції'!$C$5:$C$3623,"&lt;"&amp;EDATE(DATEVALUE(C183&amp;"-01"),6))&gt;0,1,0)</f>
        <v>0</v>
      </c>
      <c r="M183" s="37">
        <f>IF(COUNTIFS('📋 Транзакції'!$B$5:$B$3623,A183,'📋 Транзакції'!$C$5:$C$3623,"&gt;="&amp;EDATE(DATEVALUE(C183&amp;"-01"),6),'📋 Транзакції'!$C$5:$C$3623,"&lt;"&amp;EDATE(DATEVALUE(C183&amp;"-01"),7))&gt;0,1,0)</f>
        <v>0</v>
      </c>
      <c r="N183" s="37">
        <f>IF(COUNTIFS('📋 Транзакції'!$B$5:$B$3623,A183,'📋 Транзакції'!$C$5:$C$3623,"&gt;="&amp;EDATE(DATEVALUE(C183&amp;"-01"),7),'📋 Транзакції'!$C$5:$C$3623,"&lt;"&amp;EDATE(DATEVALUE(C183&amp;"-01"),8))&gt;0,1,0)</f>
        <v>0</v>
      </c>
      <c r="O183" s="37">
        <f>IF(COUNTIFS('📋 Транзакції'!$B$5:$B$3623,A183,'📋 Транзакції'!$C$5:$C$3623,"&gt;="&amp;EDATE(DATEVALUE(C183&amp;"-01"),8),'📋 Транзакції'!$C$5:$C$3623,"&lt;"&amp;EDATE(DATEVALUE(C183&amp;"-01"),9))&gt;0,1,0)</f>
        <v>0</v>
      </c>
      <c r="P183" s="37">
        <f>IF(COUNTIFS('📋 Транзакції'!$B$5:$B$3623,A183,'📋 Транзакції'!$C$5:$C$3623,"&gt;="&amp;EDATE(DATEVALUE(C183&amp;"-01"),9),'📋 Транзакції'!$C$5:$C$3623,"&lt;"&amp;EDATE(DATEVALUE(C183&amp;"-01"),10))&gt;0,1,0)</f>
        <v>0</v>
      </c>
      <c r="Q183" s="37">
        <f>IF(COUNTIFS('📋 Транзакції'!$B$5:$B$3623,A183,'📋 Транзакції'!$C$5:$C$3623,"&gt;="&amp;EDATE(DATEVALUE(C183&amp;"-01"),10),'📋 Транзакції'!$C$5:$C$3623,"&lt;"&amp;EDATE(DATEVALUE(C183&amp;"-01"),11))&gt;0,1,0)</f>
        <v>0</v>
      </c>
      <c r="R183" s="37">
        <f>IF(COUNTIFS('📋 Транзакції'!$B$5:$B$3623,A183,'📋 Транзакції'!$C$5:$C$3623,"&gt;="&amp;EDATE(DATEVALUE(C183&amp;"-01"),11),'📋 Транзакції'!$C$5:$C$3623,"&lt;"&amp;EDATE(DATEVALUE(C183&amp;"-01"),12))&gt;0,1,0)</f>
        <v>0</v>
      </c>
      <c r="S183" s="37">
        <f>SUMIFS('📋 Транзакції'!$F$5:$F$3623,'📋 Транзакції'!$B$5:$B$3623,A183,'📋 Транзакції'!$C$5:$C$3623,"&gt;="&amp;EDATE(DATEVALUE(C183&amp;"-01"),0),'📋 Транзакції'!$C$5:$C$3623,"&lt;"&amp;EDATE(DATEVALUE(C183&amp;"-01"),1))</f>
        <v>0</v>
      </c>
      <c r="T183" s="37">
        <f>SUMIFS('📋 Транзакції'!$F$5:$F$3623,'📋 Транзакції'!$B$5:$B$3623,A183,'📋 Транзакції'!$C$5:$C$3623,"&gt;="&amp;EDATE(DATEVALUE(C183&amp;"-01"),1),'📋 Транзакції'!$C$5:$C$3623,"&lt;"&amp;EDATE(DATEVALUE(C183&amp;"-01"),2))</f>
        <v>19.99</v>
      </c>
      <c r="U183" s="37">
        <f>SUMIFS('📋 Транзакції'!$F$5:$F$3623,'📋 Транзакції'!$B$5:$B$3623,A183,'📋 Транзакції'!$C$5:$C$3623,"&gt;="&amp;EDATE(DATEVALUE(C183&amp;"-01"),2),'📋 Транзакції'!$C$5:$C$3623,"&lt;"&amp;EDATE(DATEVALUE(C183&amp;"-01"),3))</f>
        <v>0</v>
      </c>
      <c r="V183" s="37">
        <f>SUMIFS('📋 Транзакції'!$F$5:$F$3623,'📋 Транзакції'!$B$5:$B$3623,A183,'📋 Транзакції'!$C$5:$C$3623,"&gt;="&amp;EDATE(DATEVALUE(C183&amp;"-01"),3),'📋 Транзакції'!$C$5:$C$3623,"&lt;"&amp;EDATE(DATEVALUE(C183&amp;"-01"),4))</f>
        <v>0</v>
      </c>
      <c r="W183" s="37">
        <f>SUMIFS('📋 Транзакції'!$F$5:$F$3623,'📋 Транзакції'!$B$5:$B$3623,A183,'📋 Транзакції'!$C$5:$C$3623,"&gt;="&amp;EDATE(DATEVALUE(C183&amp;"-01"),4),'📋 Транзакції'!$C$5:$C$3623,"&lt;"&amp;EDATE(DATEVALUE(C183&amp;"-01"),5))</f>
        <v>0</v>
      </c>
      <c r="X183" s="37">
        <f>SUMIFS('📋 Транзакції'!$F$5:$F$3623,'📋 Транзакції'!$B$5:$B$3623,A183,'📋 Транзакції'!$C$5:$C$3623,"&gt;="&amp;EDATE(DATEVALUE(C183&amp;"-01"),5),'📋 Транзакції'!$C$5:$C$3623,"&lt;"&amp;EDATE(DATEVALUE(C183&amp;"-01"),6))</f>
        <v>0</v>
      </c>
      <c r="Y183" s="37">
        <f>SUMIFS('📋 Транзакції'!$F$5:$F$3623,'📋 Транзакції'!$B$5:$B$3623,A183,'📋 Транзакції'!$C$5:$C$3623,"&gt;="&amp;EDATE(DATEVALUE(C183&amp;"-01"),6),'📋 Транзакції'!$C$5:$C$3623,"&lt;"&amp;EDATE(DATEVALUE(C183&amp;"-01"),7))</f>
        <v>0</v>
      </c>
      <c r="Z183" s="37">
        <f>SUMIFS('📋 Транзакції'!$F$5:$F$3623,'📋 Транзакції'!$B$5:$B$3623,A183,'📋 Транзакції'!$C$5:$C$3623,"&gt;="&amp;EDATE(DATEVALUE(C183&amp;"-01"),7),'📋 Транзакції'!$C$5:$C$3623,"&lt;"&amp;EDATE(DATEVALUE(C183&amp;"-01"),8))</f>
        <v>0</v>
      </c>
      <c r="AA183" s="37">
        <f>SUMIFS('📋 Транзакції'!$F$5:$F$3623,'📋 Транзакції'!$B$5:$B$3623,A183,'📋 Транзакції'!$C$5:$C$3623,"&gt;="&amp;EDATE(DATEVALUE(C183&amp;"-01"),8),'📋 Транзакції'!$C$5:$C$3623,"&lt;"&amp;EDATE(DATEVALUE(C183&amp;"-01"),9))</f>
        <v>0</v>
      </c>
      <c r="AB183" s="37">
        <f>SUMIFS('📋 Транзакції'!$F$5:$F$3623,'📋 Транзакції'!$B$5:$B$3623,A183,'📋 Транзакції'!$C$5:$C$3623,"&gt;="&amp;EDATE(DATEVALUE(C183&amp;"-01"),9),'📋 Транзакції'!$C$5:$C$3623,"&lt;"&amp;EDATE(DATEVALUE(C183&amp;"-01"),10))</f>
        <v>0</v>
      </c>
      <c r="AC183" s="37">
        <f>SUMIFS('📋 Транзакції'!$F$5:$F$3623,'📋 Транзакції'!$B$5:$B$3623,A183,'📋 Транзакції'!$C$5:$C$3623,"&gt;="&amp;EDATE(DATEVALUE(C183&amp;"-01"),10),'📋 Транзакції'!$C$5:$C$3623,"&lt;"&amp;EDATE(DATEVALUE(C183&amp;"-01"),11))</f>
        <v>0</v>
      </c>
      <c r="AD183" s="37">
        <f>SUMIFS('📋 Транзакції'!$F$5:$F$3623,'📋 Транзакції'!$B$5:$B$3623,A183,'📋 Транзакції'!$C$5:$C$3623,"&gt;="&amp;EDATE(DATEVALUE(C183&amp;"-01"),11),'📋 Транзакції'!$C$5:$C$3623,"&lt;"&amp;EDATE(DATEVALUE(C183&amp;"-01"),12))</f>
        <v>0</v>
      </c>
    </row>
    <row r="184" ht="15.75" customHeight="1">
      <c r="A184" s="33" t="str">
        <f>'📋 Реєстрації'!A184:A785</f>
        <v>U0145</v>
      </c>
      <c r="B184" s="34">
        <f t="array" ref="B184">INDEX('📋 Транзакції'!$C$5:$C$3623,MATCH(A184,'📋 Транзакції'!$B$5:$B$3623,0))</f>
        <v>45476</v>
      </c>
      <c r="C184" s="35" t="str">
        <f t="shared" si="1"/>
        <v>2024-07</v>
      </c>
      <c r="D184" s="36">
        <f>COUNTIF('📋 Транзакції'!$B$5:$B$3623,A184)</f>
        <v>10</v>
      </c>
      <c r="E184" s="36">
        <f>SUMIF('📋 Транзакції'!$B$5:$B$3623,A184,'📋 Транзакції'!$F$5:$F$3623)</f>
        <v>179.91</v>
      </c>
      <c r="F184" s="35">
        <f>INT($A$1-MAXIFS('📋 Транзакції'!$C$5:$C$3623,'📋 Транзакції'!$B$5:$B$3623,A184))</f>
        <v>24</v>
      </c>
      <c r="G184" s="37">
        <f>IF(COUNTIFS('📋 Транзакції'!$B$5:$B$3623,A184,'📋 Транзакції'!$C$5:$C$3623,"&gt;="&amp;EDATE(DATEVALUE(C184&amp;"-01"),0),'📋 Транзакції'!$C$5:$C$3623,"&lt;"&amp;EDATE(DATEVALUE(C184&amp;"-01"),1))&gt;0,1,0)</f>
        <v>1</v>
      </c>
      <c r="H184" s="37">
        <f>IF(COUNTIFS('📋 Транзакції'!$B$5:$B$3623,A184,'📋 Транзакції'!$C$5:$C$3623,"&gt;="&amp;EDATE(DATEVALUE(C184&amp;"-01"),1),'📋 Транзакції'!$C$5:$C$3623,"&lt;"&amp;EDATE(DATEVALUE(C184&amp;"-01"),2))&gt;0,1,0)</f>
        <v>1</v>
      </c>
      <c r="I184" s="37">
        <f>IF(COUNTIFS('📋 Транзакції'!$B$5:$B$3623,A184,'📋 Транзакції'!$C$5:$C$3623,"&gt;="&amp;EDATE(DATEVALUE(C184&amp;"-01"),2),'📋 Транзакції'!$C$5:$C$3623,"&lt;"&amp;EDATE(DATEVALUE(C184&amp;"-01"),3))&gt;0,1,0)</f>
        <v>1</v>
      </c>
      <c r="J184" s="37">
        <f>IF(COUNTIFS('📋 Транзакції'!$B$5:$B$3623,A184,'📋 Транзакції'!$C$5:$C$3623,"&gt;="&amp;EDATE(DATEVALUE(C184&amp;"-01"),3),'📋 Транзакції'!$C$5:$C$3623,"&lt;"&amp;EDATE(DATEVALUE(C184&amp;"-01"),4))&gt;0,1,0)</f>
        <v>1</v>
      </c>
      <c r="K184" s="37">
        <f>IF(COUNTIFS('📋 Транзакції'!$B$5:$B$3623,A184,'📋 Транзакції'!$C$5:$C$3623,"&gt;="&amp;EDATE(DATEVALUE(C184&amp;"-01"),4),'📋 Транзакції'!$C$5:$C$3623,"&lt;"&amp;EDATE(DATEVALUE(C184&amp;"-01"),5))&gt;0,1,0)</f>
        <v>1</v>
      </c>
      <c r="L184" s="37">
        <f>IF(COUNTIFS('📋 Транзакції'!$B$5:$B$3623,A184,'📋 Транзакції'!$C$5:$C$3623,"&gt;="&amp;EDATE(DATEVALUE(C184&amp;"-01"),5),'📋 Транзакції'!$C$5:$C$3623,"&lt;"&amp;EDATE(DATEVALUE(C184&amp;"-01"),6))&gt;0,1,0)</f>
        <v>1</v>
      </c>
      <c r="M184" s="37">
        <f>IF(COUNTIFS('📋 Транзакції'!$B$5:$B$3623,A184,'📋 Транзакції'!$C$5:$C$3623,"&gt;="&amp;EDATE(DATEVALUE(C184&amp;"-01"),6),'📋 Транзакції'!$C$5:$C$3623,"&lt;"&amp;EDATE(DATEVALUE(C184&amp;"-01"),7))&gt;0,1,0)</f>
        <v>1</v>
      </c>
      <c r="N184" s="37">
        <f>IF(COUNTIFS('📋 Транзакції'!$B$5:$B$3623,A184,'📋 Транзакції'!$C$5:$C$3623,"&gt;="&amp;EDATE(DATEVALUE(C184&amp;"-01"),7),'📋 Транзакції'!$C$5:$C$3623,"&lt;"&amp;EDATE(DATEVALUE(C184&amp;"-01"),8))&gt;0,1,0)</f>
        <v>1</v>
      </c>
      <c r="O184" s="37">
        <f>IF(COUNTIFS('📋 Транзакції'!$B$5:$B$3623,A184,'📋 Транзакції'!$C$5:$C$3623,"&gt;="&amp;EDATE(DATEVALUE(C184&amp;"-01"),8),'📋 Транзакції'!$C$5:$C$3623,"&lt;"&amp;EDATE(DATEVALUE(C184&amp;"-01"),9))&gt;0,1,0)</f>
        <v>1</v>
      </c>
      <c r="P184" s="37">
        <f>IF(COUNTIFS('📋 Транзакції'!$B$5:$B$3623,A184,'📋 Транзакції'!$C$5:$C$3623,"&gt;="&amp;EDATE(DATEVALUE(C184&amp;"-01"),9),'📋 Транзакції'!$C$5:$C$3623,"&lt;"&amp;EDATE(DATEVALUE(C184&amp;"-01"),10))&gt;0,1,0)</f>
        <v>0</v>
      </c>
      <c r="Q184" s="37">
        <f>IF(COUNTIFS('📋 Транзакції'!$B$5:$B$3623,A184,'📋 Транзакції'!$C$5:$C$3623,"&gt;="&amp;EDATE(DATEVALUE(C184&amp;"-01"),10),'📋 Транзакції'!$C$5:$C$3623,"&lt;"&amp;EDATE(DATEVALUE(C184&amp;"-01"),11))&gt;0,1,0)</f>
        <v>0</v>
      </c>
      <c r="R184" s="37">
        <f>IF(COUNTIFS('📋 Транзакції'!$B$5:$B$3623,A184,'📋 Транзакції'!$C$5:$C$3623,"&gt;="&amp;EDATE(DATEVALUE(C184&amp;"-01"),11),'📋 Транзакції'!$C$5:$C$3623,"&lt;"&amp;EDATE(DATEVALUE(C184&amp;"-01"),12))&gt;0,1,0)</f>
        <v>0</v>
      </c>
      <c r="S184" s="37">
        <f>SUMIFS('📋 Транзакції'!$F$5:$F$3623,'📋 Транзакції'!$B$5:$B$3623,A184,'📋 Транзакції'!$C$5:$C$3623,"&gt;="&amp;EDATE(DATEVALUE(C184&amp;"-01"),0),'📋 Транзакції'!$C$5:$C$3623,"&lt;"&amp;EDATE(DATEVALUE(C184&amp;"-01"),1))</f>
        <v>19.99</v>
      </c>
      <c r="T184" s="37">
        <f>SUMIFS('📋 Транзакції'!$F$5:$F$3623,'📋 Транзакції'!$B$5:$B$3623,A184,'📋 Транзакції'!$C$5:$C$3623,"&gt;="&amp;EDATE(DATEVALUE(C184&amp;"-01"),1),'📋 Транзакції'!$C$5:$C$3623,"&lt;"&amp;EDATE(DATEVALUE(C184&amp;"-01"),2))</f>
        <v>19.99</v>
      </c>
      <c r="U184" s="37">
        <f>SUMIFS('📋 Транзакції'!$F$5:$F$3623,'📋 Транзакції'!$B$5:$B$3623,A184,'📋 Транзакції'!$C$5:$C$3623,"&gt;="&amp;EDATE(DATEVALUE(C184&amp;"-01"),2),'📋 Транзакції'!$C$5:$C$3623,"&lt;"&amp;EDATE(DATEVALUE(C184&amp;"-01"),3))</f>
        <v>19.99</v>
      </c>
      <c r="V184" s="37">
        <f>SUMIFS('📋 Транзакції'!$F$5:$F$3623,'📋 Транзакції'!$B$5:$B$3623,A184,'📋 Транзакції'!$C$5:$C$3623,"&gt;="&amp;EDATE(DATEVALUE(C184&amp;"-01"),3),'📋 Транзакції'!$C$5:$C$3623,"&lt;"&amp;EDATE(DATEVALUE(C184&amp;"-01"),4))</f>
        <v>19.99</v>
      </c>
      <c r="W184" s="37">
        <f>SUMIFS('📋 Транзакції'!$F$5:$F$3623,'📋 Транзакції'!$B$5:$B$3623,A184,'📋 Транзакції'!$C$5:$C$3623,"&gt;="&amp;EDATE(DATEVALUE(C184&amp;"-01"),4),'📋 Транзакції'!$C$5:$C$3623,"&lt;"&amp;EDATE(DATEVALUE(C184&amp;"-01"),5))</f>
        <v>19.99</v>
      </c>
      <c r="X184" s="37">
        <f>SUMIFS('📋 Транзакції'!$F$5:$F$3623,'📋 Транзакції'!$B$5:$B$3623,A184,'📋 Транзакції'!$C$5:$C$3623,"&gt;="&amp;EDATE(DATEVALUE(C184&amp;"-01"),5),'📋 Транзакції'!$C$5:$C$3623,"&lt;"&amp;EDATE(DATEVALUE(C184&amp;"-01"),6))</f>
        <v>19.99</v>
      </c>
      <c r="Y184" s="37">
        <f>SUMIFS('📋 Транзакції'!$F$5:$F$3623,'📋 Транзакції'!$B$5:$B$3623,A184,'📋 Транзакції'!$C$5:$C$3623,"&gt;="&amp;EDATE(DATEVALUE(C184&amp;"-01"),6),'📋 Транзакції'!$C$5:$C$3623,"&lt;"&amp;EDATE(DATEVALUE(C184&amp;"-01"),7))</f>
        <v>19.99</v>
      </c>
      <c r="Z184" s="37">
        <f>SUMIFS('📋 Транзакції'!$F$5:$F$3623,'📋 Транзакції'!$B$5:$B$3623,A184,'📋 Транзакції'!$C$5:$C$3623,"&gt;="&amp;EDATE(DATEVALUE(C184&amp;"-01"),7),'📋 Транзакції'!$C$5:$C$3623,"&lt;"&amp;EDATE(DATEVALUE(C184&amp;"-01"),8))</f>
        <v>19.99</v>
      </c>
      <c r="AA184" s="37">
        <f>SUMIFS('📋 Транзакції'!$F$5:$F$3623,'📋 Транзакції'!$B$5:$B$3623,A184,'📋 Транзакції'!$C$5:$C$3623,"&gt;="&amp;EDATE(DATEVALUE(C184&amp;"-01"),8),'📋 Транзакції'!$C$5:$C$3623,"&lt;"&amp;EDATE(DATEVALUE(C184&amp;"-01"),9))</f>
        <v>19.99</v>
      </c>
      <c r="AB184" s="37">
        <f>SUMIFS('📋 Транзакції'!$F$5:$F$3623,'📋 Транзакції'!$B$5:$B$3623,A184,'📋 Транзакції'!$C$5:$C$3623,"&gt;="&amp;EDATE(DATEVALUE(C184&amp;"-01"),9),'📋 Транзакції'!$C$5:$C$3623,"&lt;"&amp;EDATE(DATEVALUE(C184&amp;"-01"),10))</f>
        <v>0</v>
      </c>
      <c r="AC184" s="37">
        <f>SUMIFS('📋 Транзакції'!$F$5:$F$3623,'📋 Транзакції'!$B$5:$B$3623,A184,'📋 Транзакції'!$C$5:$C$3623,"&gt;="&amp;EDATE(DATEVALUE(C184&amp;"-01"),10),'📋 Транзакції'!$C$5:$C$3623,"&lt;"&amp;EDATE(DATEVALUE(C184&amp;"-01"),11))</f>
        <v>0</v>
      </c>
      <c r="AD184" s="37">
        <f>SUMIFS('📋 Транзакції'!$F$5:$F$3623,'📋 Транзакції'!$B$5:$B$3623,A184,'📋 Транзакції'!$C$5:$C$3623,"&gt;="&amp;EDATE(DATEVALUE(C184&amp;"-01"),11),'📋 Транзакції'!$C$5:$C$3623,"&lt;"&amp;EDATE(DATEVALUE(C184&amp;"-01"),12))</f>
        <v>0</v>
      </c>
    </row>
    <row r="185" ht="15.75" customHeight="1">
      <c r="A185" s="33" t="str">
        <f>'📋 Реєстрації'!A185:A786</f>
        <v>U0237</v>
      </c>
      <c r="B185" s="34">
        <f t="array" ref="B185">INDEX('📋 Транзакції'!$C$5:$C$3623,MATCH(A185,'📋 Транзакції'!$B$5:$B$3623,0))</f>
        <v>45477</v>
      </c>
      <c r="C185" s="35" t="str">
        <f t="shared" si="1"/>
        <v>2024-07</v>
      </c>
      <c r="D185" s="36">
        <f>COUNTIF('📋 Транзакції'!$B$5:$B$3623,A185)</f>
        <v>10</v>
      </c>
      <c r="E185" s="36">
        <f>SUMIF('📋 Транзакції'!$B$5:$B$3623,A185,'📋 Транзакції'!$F$5:$F$3623)</f>
        <v>179.91</v>
      </c>
      <c r="F185" s="35">
        <f>INT($A$1-MAXIFS('📋 Транзакції'!$C$5:$C$3623,'📋 Транзакції'!$B$5:$B$3623,A185))</f>
        <v>23</v>
      </c>
      <c r="G185" s="37">
        <f>IF(COUNTIFS('📋 Транзакції'!$B$5:$B$3623,A185,'📋 Транзакції'!$C$5:$C$3623,"&gt;="&amp;EDATE(DATEVALUE(C185&amp;"-01"),0),'📋 Транзакції'!$C$5:$C$3623,"&lt;"&amp;EDATE(DATEVALUE(C185&amp;"-01"),1))&gt;0,1,0)</f>
        <v>1</v>
      </c>
      <c r="H185" s="37">
        <f>IF(COUNTIFS('📋 Транзакції'!$B$5:$B$3623,A185,'📋 Транзакції'!$C$5:$C$3623,"&gt;="&amp;EDATE(DATEVALUE(C185&amp;"-01"),1),'📋 Транзакції'!$C$5:$C$3623,"&lt;"&amp;EDATE(DATEVALUE(C185&amp;"-01"),2))&gt;0,1,0)</f>
        <v>1</v>
      </c>
      <c r="I185" s="37">
        <f>IF(COUNTIFS('📋 Транзакції'!$B$5:$B$3623,A185,'📋 Транзакції'!$C$5:$C$3623,"&gt;="&amp;EDATE(DATEVALUE(C185&amp;"-01"),2),'📋 Транзакції'!$C$5:$C$3623,"&lt;"&amp;EDATE(DATEVALUE(C185&amp;"-01"),3))&gt;0,1,0)</f>
        <v>1</v>
      </c>
      <c r="J185" s="37">
        <f>IF(COUNTIFS('📋 Транзакції'!$B$5:$B$3623,A185,'📋 Транзакції'!$C$5:$C$3623,"&gt;="&amp;EDATE(DATEVALUE(C185&amp;"-01"),3),'📋 Транзакції'!$C$5:$C$3623,"&lt;"&amp;EDATE(DATEVALUE(C185&amp;"-01"),4))&gt;0,1,0)</f>
        <v>1</v>
      </c>
      <c r="K185" s="37">
        <f>IF(COUNTIFS('📋 Транзакції'!$B$5:$B$3623,A185,'📋 Транзакції'!$C$5:$C$3623,"&gt;="&amp;EDATE(DATEVALUE(C185&amp;"-01"),4),'📋 Транзакції'!$C$5:$C$3623,"&lt;"&amp;EDATE(DATEVALUE(C185&amp;"-01"),5))&gt;0,1,0)</f>
        <v>1</v>
      </c>
      <c r="L185" s="37">
        <f>IF(COUNTIFS('📋 Транзакції'!$B$5:$B$3623,A185,'📋 Транзакції'!$C$5:$C$3623,"&gt;="&amp;EDATE(DATEVALUE(C185&amp;"-01"),5),'📋 Транзакції'!$C$5:$C$3623,"&lt;"&amp;EDATE(DATEVALUE(C185&amp;"-01"),6))&gt;0,1,0)</f>
        <v>1</v>
      </c>
      <c r="M185" s="37">
        <f>IF(COUNTIFS('📋 Транзакції'!$B$5:$B$3623,A185,'📋 Транзакції'!$C$5:$C$3623,"&gt;="&amp;EDATE(DATEVALUE(C185&amp;"-01"),6),'📋 Транзакції'!$C$5:$C$3623,"&lt;"&amp;EDATE(DATEVALUE(C185&amp;"-01"),7))&gt;0,1,0)</f>
        <v>1</v>
      </c>
      <c r="N185" s="37">
        <f>IF(COUNTIFS('📋 Транзакції'!$B$5:$B$3623,A185,'📋 Транзакції'!$C$5:$C$3623,"&gt;="&amp;EDATE(DATEVALUE(C185&amp;"-01"),7),'📋 Транзакції'!$C$5:$C$3623,"&lt;"&amp;EDATE(DATEVALUE(C185&amp;"-01"),8))&gt;0,1,0)</f>
        <v>1</v>
      </c>
      <c r="O185" s="37">
        <f>IF(COUNTIFS('📋 Транзакції'!$B$5:$B$3623,A185,'📋 Транзакції'!$C$5:$C$3623,"&gt;="&amp;EDATE(DATEVALUE(C185&amp;"-01"),8),'📋 Транзакції'!$C$5:$C$3623,"&lt;"&amp;EDATE(DATEVALUE(C185&amp;"-01"),9))&gt;0,1,0)</f>
        <v>1</v>
      </c>
      <c r="P185" s="37">
        <f>IF(COUNTIFS('📋 Транзакції'!$B$5:$B$3623,A185,'📋 Транзакції'!$C$5:$C$3623,"&gt;="&amp;EDATE(DATEVALUE(C185&amp;"-01"),9),'📋 Транзакції'!$C$5:$C$3623,"&lt;"&amp;EDATE(DATEVALUE(C185&amp;"-01"),10))&gt;0,1,0)</f>
        <v>0</v>
      </c>
      <c r="Q185" s="37">
        <f>IF(COUNTIFS('📋 Транзакції'!$B$5:$B$3623,A185,'📋 Транзакції'!$C$5:$C$3623,"&gt;="&amp;EDATE(DATEVALUE(C185&amp;"-01"),10),'📋 Транзакції'!$C$5:$C$3623,"&lt;"&amp;EDATE(DATEVALUE(C185&amp;"-01"),11))&gt;0,1,0)</f>
        <v>0</v>
      </c>
      <c r="R185" s="37">
        <f>IF(COUNTIFS('📋 Транзакції'!$B$5:$B$3623,A185,'📋 Транзакції'!$C$5:$C$3623,"&gt;="&amp;EDATE(DATEVALUE(C185&amp;"-01"),11),'📋 Транзакції'!$C$5:$C$3623,"&lt;"&amp;EDATE(DATEVALUE(C185&amp;"-01"),12))&gt;0,1,0)</f>
        <v>0</v>
      </c>
      <c r="S185" s="37">
        <f>SUMIFS('📋 Транзакції'!$F$5:$F$3623,'📋 Транзакції'!$B$5:$B$3623,A185,'📋 Транзакції'!$C$5:$C$3623,"&gt;="&amp;EDATE(DATEVALUE(C185&amp;"-01"),0),'📋 Транзакції'!$C$5:$C$3623,"&lt;"&amp;EDATE(DATEVALUE(C185&amp;"-01"),1))</f>
        <v>19.99</v>
      </c>
      <c r="T185" s="37">
        <f>SUMIFS('📋 Транзакції'!$F$5:$F$3623,'📋 Транзакції'!$B$5:$B$3623,A185,'📋 Транзакції'!$C$5:$C$3623,"&gt;="&amp;EDATE(DATEVALUE(C185&amp;"-01"),1),'📋 Транзакції'!$C$5:$C$3623,"&lt;"&amp;EDATE(DATEVALUE(C185&amp;"-01"),2))</f>
        <v>19.99</v>
      </c>
      <c r="U185" s="37">
        <f>SUMIFS('📋 Транзакції'!$F$5:$F$3623,'📋 Транзакції'!$B$5:$B$3623,A185,'📋 Транзакції'!$C$5:$C$3623,"&gt;="&amp;EDATE(DATEVALUE(C185&amp;"-01"),2),'📋 Транзакції'!$C$5:$C$3623,"&lt;"&amp;EDATE(DATEVALUE(C185&amp;"-01"),3))</f>
        <v>19.99</v>
      </c>
      <c r="V185" s="37">
        <f>SUMIFS('📋 Транзакції'!$F$5:$F$3623,'📋 Транзакції'!$B$5:$B$3623,A185,'📋 Транзакції'!$C$5:$C$3623,"&gt;="&amp;EDATE(DATEVALUE(C185&amp;"-01"),3),'📋 Транзакції'!$C$5:$C$3623,"&lt;"&amp;EDATE(DATEVALUE(C185&amp;"-01"),4))</f>
        <v>19.99</v>
      </c>
      <c r="W185" s="37">
        <f>SUMIFS('📋 Транзакції'!$F$5:$F$3623,'📋 Транзакції'!$B$5:$B$3623,A185,'📋 Транзакції'!$C$5:$C$3623,"&gt;="&amp;EDATE(DATEVALUE(C185&amp;"-01"),4),'📋 Транзакції'!$C$5:$C$3623,"&lt;"&amp;EDATE(DATEVALUE(C185&amp;"-01"),5))</f>
        <v>19.99</v>
      </c>
      <c r="X185" s="37">
        <f>SUMIFS('📋 Транзакції'!$F$5:$F$3623,'📋 Транзакції'!$B$5:$B$3623,A185,'📋 Транзакції'!$C$5:$C$3623,"&gt;="&amp;EDATE(DATEVALUE(C185&amp;"-01"),5),'📋 Транзакції'!$C$5:$C$3623,"&lt;"&amp;EDATE(DATEVALUE(C185&amp;"-01"),6))</f>
        <v>19.99</v>
      </c>
      <c r="Y185" s="37">
        <f>SUMIFS('📋 Транзакції'!$F$5:$F$3623,'📋 Транзакції'!$B$5:$B$3623,A185,'📋 Транзакції'!$C$5:$C$3623,"&gt;="&amp;EDATE(DATEVALUE(C185&amp;"-01"),6),'📋 Транзакції'!$C$5:$C$3623,"&lt;"&amp;EDATE(DATEVALUE(C185&amp;"-01"),7))</f>
        <v>19.99</v>
      </c>
      <c r="Z185" s="37">
        <f>SUMIFS('📋 Транзакції'!$F$5:$F$3623,'📋 Транзакції'!$B$5:$B$3623,A185,'📋 Транзакції'!$C$5:$C$3623,"&gt;="&amp;EDATE(DATEVALUE(C185&amp;"-01"),7),'📋 Транзакції'!$C$5:$C$3623,"&lt;"&amp;EDATE(DATEVALUE(C185&amp;"-01"),8))</f>
        <v>19.99</v>
      </c>
      <c r="AA185" s="37">
        <f>SUMIFS('📋 Транзакції'!$F$5:$F$3623,'📋 Транзакції'!$B$5:$B$3623,A185,'📋 Транзакції'!$C$5:$C$3623,"&gt;="&amp;EDATE(DATEVALUE(C185&amp;"-01"),8),'📋 Транзакції'!$C$5:$C$3623,"&lt;"&amp;EDATE(DATEVALUE(C185&amp;"-01"),9))</f>
        <v>19.99</v>
      </c>
      <c r="AB185" s="37">
        <f>SUMIFS('📋 Транзакції'!$F$5:$F$3623,'📋 Транзакції'!$B$5:$B$3623,A185,'📋 Транзакції'!$C$5:$C$3623,"&gt;="&amp;EDATE(DATEVALUE(C185&amp;"-01"),9),'📋 Транзакції'!$C$5:$C$3623,"&lt;"&amp;EDATE(DATEVALUE(C185&amp;"-01"),10))</f>
        <v>0</v>
      </c>
      <c r="AC185" s="37">
        <f>SUMIFS('📋 Транзакції'!$F$5:$F$3623,'📋 Транзакції'!$B$5:$B$3623,A185,'📋 Транзакції'!$C$5:$C$3623,"&gt;="&amp;EDATE(DATEVALUE(C185&amp;"-01"),10),'📋 Транзакції'!$C$5:$C$3623,"&lt;"&amp;EDATE(DATEVALUE(C185&amp;"-01"),11))</f>
        <v>0</v>
      </c>
      <c r="AD185" s="37">
        <f>SUMIFS('📋 Транзакції'!$F$5:$F$3623,'📋 Транзакції'!$B$5:$B$3623,A185,'📋 Транзакції'!$C$5:$C$3623,"&gt;="&amp;EDATE(DATEVALUE(C185&amp;"-01"),11),'📋 Транзакції'!$C$5:$C$3623,"&lt;"&amp;EDATE(DATEVALUE(C185&amp;"-01"),12))</f>
        <v>0</v>
      </c>
    </row>
    <row r="186" ht="15.75" customHeight="1">
      <c r="A186" s="33" t="str">
        <f>'📋 Реєстрації'!A186:A787</f>
        <v>U0584</v>
      </c>
      <c r="B186" s="34">
        <f t="array" ref="B186">INDEX('📋 Транзакції'!$C$5:$C$3623,MATCH(A186,'📋 Транзакції'!$B$5:$B$3623,0))</f>
        <v>45477</v>
      </c>
      <c r="C186" s="35" t="str">
        <f t="shared" si="1"/>
        <v>2024-07</v>
      </c>
      <c r="D186" s="36">
        <f>COUNTIF('📋 Транзакції'!$B$5:$B$3623,A186)</f>
        <v>7</v>
      </c>
      <c r="E186" s="36">
        <f>SUMIF('📋 Транзакції'!$B$5:$B$3623,A186,'📋 Транзакції'!$F$5:$F$3623)</f>
        <v>119.94</v>
      </c>
      <c r="F186" s="35">
        <f>INT($A$1-MAXIFS('📋 Транзакції'!$C$5:$C$3623,'📋 Транзакції'!$B$5:$B$3623,A186))</f>
        <v>113</v>
      </c>
      <c r="G186" s="37">
        <f>IF(COUNTIFS('📋 Транзакції'!$B$5:$B$3623,A186,'📋 Транзакції'!$C$5:$C$3623,"&gt;="&amp;EDATE(DATEVALUE(C186&amp;"-01"),0),'📋 Транзакції'!$C$5:$C$3623,"&lt;"&amp;EDATE(DATEVALUE(C186&amp;"-01"),1))&gt;0,1,0)</f>
        <v>1</v>
      </c>
      <c r="H186" s="37">
        <f>IF(COUNTIFS('📋 Транзакції'!$B$5:$B$3623,A186,'📋 Транзакції'!$C$5:$C$3623,"&gt;="&amp;EDATE(DATEVALUE(C186&amp;"-01"),1),'📋 Транзакції'!$C$5:$C$3623,"&lt;"&amp;EDATE(DATEVALUE(C186&amp;"-01"),2))&gt;0,1,0)</f>
        <v>1</v>
      </c>
      <c r="I186" s="37">
        <f>IF(COUNTIFS('📋 Транзакції'!$B$5:$B$3623,A186,'📋 Транзакції'!$C$5:$C$3623,"&gt;="&amp;EDATE(DATEVALUE(C186&amp;"-01"),2),'📋 Транзакції'!$C$5:$C$3623,"&lt;"&amp;EDATE(DATEVALUE(C186&amp;"-01"),3))&gt;0,1,0)</f>
        <v>1</v>
      </c>
      <c r="J186" s="37">
        <f>IF(COUNTIFS('📋 Транзакції'!$B$5:$B$3623,A186,'📋 Транзакції'!$C$5:$C$3623,"&gt;="&amp;EDATE(DATEVALUE(C186&amp;"-01"),3),'📋 Транзакції'!$C$5:$C$3623,"&lt;"&amp;EDATE(DATEVALUE(C186&amp;"-01"),4))&gt;0,1,0)</f>
        <v>1</v>
      </c>
      <c r="K186" s="37">
        <f>IF(COUNTIFS('📋 Транзакції'!$B$5:$B$3623,A186,'📋 Транзакції'!$C$5:$C$3623,"&gt;="&amp;EDATE(DATEVALUE(C186&amp;"-01"),4),'📋 Транзакції'!$C$5:$C$3623,"&lt;"&amp;EDATE(DATEVALUE(C186&amp;"-01"),5))&gt;0,1,0)</f>
        <v>1</v>
      </c>
      <c r="L186" s="37">
        <f>IF(COUNTIFS('📋 Транзакції'!$B$5:$B$3623,A186,'📋 Транзакції'!$C$5:$C$3623,"&gt;="&amp;EDATE(DATEVALUE(C186&amp;"-01"),5),'📋 Транзакції'!$C$5:$C$3623,"&lt;"&amp;EDATE(DATEVALUE(C186&amp;"-01"),6))&gt;0,1,0)</f>
        <v>1</v>
      </c>
      <c r="M186" s="37">
        <f>IF(COUNTIFS('📋 Транзакції'!$B$5:$B$3623,A186,'📋 Транзакції'!$C$5:$C$3623,"&gt;="&amp;EDATE(DATEVALUE(C186&amp;"-01"),6),'📋 Транзакції'!$C$5:$C$3623,"&lt;"&amp;EDATE(DATEVALUE(C186&amp;"-01"),7))&gt;0,1,0)</f>
        <v>0</v>
      </c>
      <c r="N186" s="37">
        <f>IF(COUNTIFS('📋 Транзакції'!$B$5:$B$3623,A186,'📋 Транзакції'!$C$5:$C$3623,"&gt;="&amp;EDATE(DATEVALUE(C186&amp;"-01"),7),'📋 Транзакції'!$C$5:$C$3623,"&lt;"&amp;EDATE(DATEVALUE(C186&amp;"-01"),8))&gt;0,1,0)</f>
        <v>0</v>
      </c>
      <c r="O186" s="37">
        <f>IF(COUNTIFS('📋 Транзакції'!$B$5:$B$3623,A186,'📋 Транзакції'!$C$5:$C$3623,"&gt;="&amp;EDATE(DATEVALUE(C186&amp;"-01"),8),'📋 Транзакції'!$C$5:$C$3623,"&lt;"&amp;EDATE(DATEVALUE(C186&amp;"-01"),9))&gt;0,1,0)</f>
        <v>0</v>
      </c>
      <c r="P186" s="37">
        <f>IF(COUNTIFS('📋 Транзакції'!$B$5:$B$3623,A186,'📋 Транзакції'!$C$5:$C$3623,"&gt;="&amp;EDATE(DATEVALUE(C186&amp;"-01"),9),'📋 Транзакції'!$C$5:$C$3623,"&lt;"&amp;EDATE(DATEVALUE(C186&amp;"-01"),10))&gt;0,1,0)</f>
        <v>0</v>
      </c>
      <c r="Q186" s="37">
        <f>IF(COUNTIFS('📋 Транзакції'!$B$5:$B$3623,A186,'📋 Транзакції'!$C$5:$C$3623,"&gt;="&amp;EDATE(DATEVALUE(C186&amp;"-01"),10),'📋 Транзакції'!$C$5:$C$3623,"&lt;"&amp;EDATE(DATEVALUE(C186&amp;"-01"),11))&gt;0,1,0)</f>
        <v>0</v>
      </c>
      <c r="R186" s="37">
        <f>IF(COUNTIFS('📋 Транзакції'!$B$5:$B$3623,A186,'📋 Транзакції'!$C$5:$C$3623,"&gt;="&amp;EDATE(DATEVALUE(C186&amp;"-01"),11),'📋 Транзакції'!$C$5:$C$3623,"&lt;"&amp;EDATE(DATEVALUE(C186&amp;"-01"),12))&gt;0,1,0)</f>
        <v>0</v>
      </c>
      <c r="S186" s="37">
        <f>SUMIFS('📋 Транзакції'!$F$5:$F$3623,'📋 Транзакції'!$B$5:$B$3623,A186,'📋 Транзакції'!$C$5:$C$3623,"&gt;="&amp;EDATE(DATEVALUE(C186&amp;"-01"),0),'📋 Транзакції'!$C$5:$C$3623,"&lt;"&amp;EDATE(DATEVALUE(C186&amp;"-01"),1))</f>
        <v>19.99</v>
      </c>
      <c r="T186" s="37">
        <f>SUMIFS('📋 Транзакції'!$F$5:$F$3623,'📋 Транзакції'!$B$5:$B$3623,A186,'📋 Транзакції'!$C$5:$C$3623,"&gt;="&amp;EDATE(DATEVALUE(C186&amp;"-01"),1),'📋 Транзакції'!$C$5:$C$3623,"&lt;"&amp;EDATE(DATEVALUE(C186&amp;"-01"),2))</f>
        <v>19.99</v>
      </c>
      <c r="U186" s="37">
        <f>SUMIFS('📋 Транзакції'!$F$5:$F$3623,'📋 Транзакції'!$B$5:$B$3623,A186,'📋 Транзакції'!$C$5:$C$3623,"&gt;="&amp;EDATE(DATEVALUE(C186&amp;"-01"),2),'📋 Транзакції'!$C$5:$C$3623,"&lt;"&amp;EDATE(DATEVALUE(C186&amp;"-01"),3))</f>
        <v>19.99</v>
      </c>
      <c r="V186" s="37">
        <f>SUMIFS('📋 Транзакції'!$F$5:$F$3623,'📋 Транзакції'!$B$5:$B$3623,A186,'📋 Транзакції'!$C$5:$C$3623,"&gt;="&amp;EDATE(DATEVALUE(C186&amp;"-01"),3),'📋 Транзакції'!$C$5:$C$3623,"&lt;"&amp;EDATE(DATEVALUE(C186&amp;"-01"),4))</f>
        <v>19.99</v>
      </c>
      <c r="W186" s="37">
        <f>SUMIFS('📋 Транзакції'!$F$5:$F$3623,'📋 Транзакції'!$B$5:$B$3623,A186,'📋 Транзакції'!$C$5:$C$3623,"&gt;="&amp;EDATE(DATEVALUE(C186&amp;"-01"),4),'📋 Транзакції'!$C$5:$C$3623,"&lt;"&amp;EDATE(DATEVALUE(C186&amp;"-01"),5))</f>
        <v>19.99</v>
      </c>
      <c r="X186" s="37">
        <f>SUMIFS('📋 Транзакції'!$F$5:$F$3623,'📋 Транзакції'!$B$5:$B$3623,A186,'📋 Транзакції'!$C$5:$C$3623,"&gt;="&amp;EDATE(DATEVALUE(C186&amp;"-01"),5),'📋 Транзакції'!$C$5:$C$3623,"&lt;"&amp;EDATE(DATEVALUE(C186&amp;"-01"),6))</f>
        <v>19.99</v>
      </c>
      <c r="Y186" s="37">
        <f>SUMIFS('📋 Транзакції'!$F$5:$F$3623,'📋 Транзакції'!$B$5:$B$3623,A186,'📋 Транзакції'!$C$5:$C$3623,"&gt;="&amp;EDATE(DATEVALUE(C186&amp;"-01"),6),'📋 Транзакції'!$C$5:$C$3623,"&lt;"&amp;EDATE(DATEVALUE(C186&amp;"-01"),7))</f>
        <v>0</v>
      </c>
      <c r="Z186" s="37">
        <f>SUMIFS('📋 Транзакції'!$F$5:$F$3623,'📋 Транзакції'!$B$5:$B$3623,A186,'📋 Транзакції'!$C$5:$C$3623,"&gt;="&amp;EDATE(DATEVALUE(C186&amp;"-01"),7),'📋 Транзакції'!$C$5:$C$3623,"&lt;"&amp;EDATE(DATEVALUE(C186&amp;"-01"),8))</f>
        <v>0</v>
      </c>
      <c r="AA186" s="37">
        <f>SUMIFS('📋 Транзакції'!$F$5:$F$3623,'📋 Транзакції'!$B$5:$B$3623,A186,'📋 Транзакції'!$C$5:$C$3623,"&gt;="&amp;EDATE(DATEVALUE(C186&amp;"-01"),8),'📋 Транзакції'!$C$5:$C$3623,"&lt;"&amp;EDATE(DATEVALUE(C186&amp;"-01"),9))</f>
        <v>0</v>
      </c>
      <c r="AB186" s="37">
        <f>SUMIFS('📋 Транзакції'!$F$5:$F$3623,'📋 Транзакції'!$B$5:$B$3623,A186,'📋 Транзакції'!$C$5:$C$3623,"&gt;="&amp;EDATE(DATEVALUE(C186&amp;"-01"),9),'📋 Транзакції'!$C$5:$C$3623,"&lt;"&amp;EDATE(DATEVALUE(C186&amp;"-01"),10))</f>
        <v>0</v>
      </c>
      <c r="AC186" s="37">
        <f>SUMIFS('📋 Транзакції'!$F$5:$F$3623,'📋 Транзакції'!$B$5:$B$3623,A186,'📋 Транзакції'!$C$5:$C$3623,"&gt;="&amp;EDATE(DATEVALUE(C186&amp;"-01"),10),'📋 Транзакції'!$C$5:$C$3623,"&lt;"&amp;EDATE(DATEVALUE(C186&amp;"-01"),11))</f>
        <v>0</v>
      </c>
      <c r="AD186" s="37">
        <f>SUMIFS('📋 Транзакції'!$F$5:$F$3623,'📋 Транзакції'!$B$5:$B$3623,A186,'📋 Транзакції'!$C$5:$C$3623,"&gt;="&amp;EDATE(DATEVALUE(C186&amp;"-01"),11),'📋 Транзакції'!$C$5:$C$3623,"&lt;"&amp;EDATE(DATEVALUE(C186&amp;"-01"),12))</f>
        <v>0</v>
      </c>
    </row>
    <row r="187" ht="15.75" customHeight="1">
      <c r="A187" s="33" t="str">
        <f>'📋 Реєстрації'!A187:A788</f>
        <v>U0023</v>
      </c>
      <c r="B187" s="34">
        <f t="array" ref="B187">INDEX('📋 Транзакції'!$C$5:$C$3623,MATCH(A187,'📋 Транзакції'!$B$5:$B$3623,0))</f>
        <v>45478</v>
      </c>
      <c r="C187" s="35" t="str">
        <f t="shared" si="1"/>
        <v>2024-07</v>
      </c>
      <c r="D187" s="36">
        <f>COUNTIF('📋 Транзакції'!$B$5:$B$3623,A187)</f>
        <v>10</v>
      </c>
      <c r="E187" s="36">
        <f>SUMIF('📋 Транзакції'!$B$5:$B$3623,A187,'📋 Транзакції'!$F$5:$F$3623)</f>
        <v>179.91</v>
      </c>
      <c r="F187" s="35">
        <f>INT($A$1-MAXIFS('📋 Транзакції'!$C$5:$C$3623,'📋 Транзакції'!$B$5:$B$3623,A187))</f>
        <v>22</v>
      </c>
      <c r="G187" s="37">
        <f>IF(COUNTIFS('📋 Транзакції'!$B$5:$B$3623,A187,'📋 Транзакції'!$C$5:$C$3623,"&gt;="&amp;EDATE(DATEVALUE(C187&amp;"-01"),0),'📋 Транзакції'!$C$5:$C$3623,"&lt;"&amp;EDATE(DATEVALUE(C187&amp;"-01"),1))&gt;0,1,0)</f>
        <v>1</v>
      </c>
      <c r="H187" s="37">
        <f>IF(COUNTIFS('📋 Транзакції'!$B$5:$B$3623,A187,'📋 Транзакції'!$C$5:$C$3623,"&gt;="&amp;EDATE(DATEVALUE(C187&amp;"-01"),1),'📋 Транзакції'!$C$5:$C$3623,"&lt;"&amp;EDATE(DATEVALUE(C187&amp;"-01"),2))&gt;0,1,0)</f>
        <v>1</v>
      </c>
      <c r="I187" s="37">
        <f>IF(COUNTIFS('📋 Транзакції'!$B$5:$B$3623,A187,'📋 Транзакції'!$C$5:$C$3623,"&gt;="&amp;EDATE(DATEVALUE(C187&amp;"-01"),2),'📋 Транзакції'!$C$5:$C$3623,"&lt;"&amp;EDATE(DATEVALUE(C187&amp;"-01"),3))&gt;0,1,0)</f>
        <v>1</v>
      </c>
      <c r="J187" s="37">
        <f>IF(COUNTIFS('📋 Транзакції'!$B$5:$B$3623,A187,'📋 Транзакції'!$C$5:$C$3623,"&gt;="&amp;EDATE(DATEVALUE(C187&amp;"-01"),3),'📋 Транзакції'!$C$5:$C$3623,"&lt;"&amp;EDATE(DATEVALUE(C187&amp;"-01"),4))&gt;0,1,0)</f>
        <v>1</v>
      </c>
      <c r="K187" s="37">
        <f>IF(COUNTIFS('📋 Транзакції'!$B$5:$B$3623,A187,'📋 Транзакції'!$C$5:$C$3623,"&gt;="&amp;EDATE(DATEVALUE(C187&amp;"-01"),4),'📋 Транзакції'!$C$5:$C$3623,"&lt;"&amp;EDATE(DATEVALUE(C187&amp;"-01"),5))&gt;0,1,0)</f>
        <v>1</v>
      </c>
      <c r="L187" s="37">
        <f>IF(COUNTIFS('📋 Транзакції'!$B$5:$B$3623,A187,'📋 Транзакції'!$C$5:$C$3623,"&gt;="&amp;EDATE(DATEVALUE(C187&amp;"-01"),5),'📋 Транзакції'!$C$5:$C$3623,"&lt;"&amp;EDATE(DATEVALUE(C187&amp;"-01"),6))&gt;0,1,0)</f>
        <v>1</v>
      </c>
      <c r="M187" s="37">
        <f>IF(COUNTIFS('📋 Транзакції'!$B$5:$B$3623,A187,'📋 Транзакції'!$C$5:$C$3623,"&gt;="&amp;EDATE(DATEVALUE(C187&amp;"-01"),6),'📋 Транзакції'!$C$5:$C$3623,"&lt;"&amp;EDATE(DATEVALUE(C187&amp;"-01"),7))&gt;0,1,0)</f>
        <v>1</v>
      </c>
      <c r="N187" s="37">
        <f>IF(COUNTIFS('📋 Транзакції'!$B$5:$B$3623,A187,'📋 Транзакції'!$C$5:$C$3623,"&gt;="&amp;EDATE(DATEVALUE(C187&amp;"-01"),7),'📋 Транзакції'!$C$5:$C$3623,"&lt;"&amp;EDATE(DATEVALUE(C187&amp;"-01"),8))&gt;0,1,0)</f>
        <v>1</v>
      </c>
      <c r="O187" s="37">
        <f>IF(COUNTIFS('📋 Транзакції'!$B$5:$B$3623,A187,'📋 Транзакції'!$C$5:$C$3623,"&gt;="&amp;EDATE(DATEVALUE(C187&amp;"-01"),8),'📋 Транзакції'!$C$5:$C$3623,"&lt;"&amp;EDATE(DATEVALUE(C187&amp;"-01"),9))&gt;0,1,0)</f>
        <v>1</v>
      </c>
      <c r="P187" s="37">
        <f>IF(COUNTIFS('📋 Транзакції'!$B$5:$B$3623,A187,'📋 Транзакції'!$C$5:$C$3623,"&gt;="&amp;EDATE(DATEVALUE(C187&amp;"-01"),9),'📋 Транзакції'!$C$5:$C$3623,"&lt;"&amp;EDATE(DATEVALUE(C187&amp;"-01"),10))&gt;0,1,0)</f>
        <v>0</v>
      </c>
      <c r="Q187" s="37">
        <f>IF(COUNTIFS('📋 Транзакції'!$B$5:$B$3623,A187,'📋 Транзакції'!$C$5:$C$3623,"&gt;="&amp;EDATE(DATEVALUE(C187&amp;"-01"),10),'📋 Транзакції'!$C$5:$C$3623,"&lt;"&amp;EDATE(DATEVALUE(C187&amp;"-01"),11))&gt;0,1,0)</f>
        <v>0</v>
      </c>
      <c r="R187" s="37">
        <f>IF(COUNTIFS('📋 Транзакції'!$B$5:$B$3623,A187,'📋 Транзакції'!$C$5:$C$3623,"&gt;="&amp;EDATE(DATEVALUE(C187&amp;"-01"),11),'📋 Транзакції'!$C$5:$C$3623,"&lt;"&amp;EDATE(DATEVALUE(C187&amp;"-01"),12))&gt;0,1,0)</f>
        <v>0</v>
      </c>
      <c r="S187" s="37">
        <f>SUMIFS('📋 Транзакції'!$F$5:$F$3623,'📋 Транзакції'!$B$5:$B$3623,A187,'📋 Транзакції'!$C$5:$C$3623,"&gt;="&amp;EDATE(DATEVALUE(C187&amp;"-01"),0),'📋 Транзакції'!$C$5:$C$3623,"&lt;"&amp;EDATE(DATEVALUE(C187&amp;"-01"),1))</f>
        <v>19.99</v>
      </c>
      <c r="T187" s="37">
        <f>SUMIFS('📋 Транзакції'!$F$5:$F$3623,'📋 Транзакції'!$B$5:$B$3623,A187,'📋 Транзакції'!$C$5:$C$3623,"&gt;="&amp;EDATE(DATEVALUE(C187&amp;"-01"),1),'📋 Транзакції'!$C$5:$C$3623,"&lt;"&amp;EDATE(DATEVALUE(C187&amp;"-01"),2))</f>
        <v>19.99</v>
      </c>
      <c r="U187" s="37">
        <f>SUMIFS('📋 Транзакції'!$F$5:$F$3623,'📋 Транзакції'!$B$5:$B$3623,A187,'📋 Транзакції'!$C$5:$C$3623,"&gt;="&amp;EDATE(DATEVALUE(C187&amp;"-01"),2),'📋 Транзакції'!$C$5:$C$3623,"&lt;"&amp;EDATE(DATEVALUE(C187&amp;"-01"),3))</f>
        <v>19.99</v>
      </c>
      <c r="V187" s="37">
        <f>SUMIFS('📋 Транзакції'!$F$5:$F$3623,'📋 Транзакції'!$B$5:$B$3623,A187,'📋 Транзакції'!$C$5:$C$3623,"&gt;="&amp;EDATE(DATEVALUE(C187&amp;"-01"),3),'📋 Транзакції'!$C$5:$C$3623,"&lt;"&amp;EDATE(DATEVALUE(C187&amp;"-01"),4))</f>
        <v>19.99</v>
      </c>
      <c r="W187" s="37">
        <f>SUMIFS('📋 Транзакції'!$F$5:$F$3623,'📋 Транзакції'!$B$5:$B$3623,A187,'📋 Транзакції'!$C$5:$C$3623,"&gt;="&amp;EDATE(DATEVALUE(C187&amp;"-01"),4),'📋 Транзакції'!$C$5:$C$3623,"&lt;"&amp;EDATE(DATEVALUE(C187&amp;"-01"),5))</f>
        <v>19.99</v>
      </c>
      <c r="X187" s="37">
        <f>SUMIFS('📋 Транзакції'!$F$5:$F$3623,'📋 Транзакції'!$B$5:$B$3623,A187,'📋 Транзакції'!$C$5:$C$3623,"&gt;="&amp;EDATE(DATEVALUE(C187&amp;"-01"),5),'📋 Транзакції'!$C$5:$C$3623,"&lt;"&amp;EDATE(DATEVALUE(C187&amp;"-01"),6))</f>
        <v>19.99</v>
      </c>
      <c r="Y187" s="37">
        <f>SUMIFS('📋 Транзакції'!$F$5:$F$3623,'📋 Транзакції'!$B$5:$B$3623,A187,'📋 Транзакції'!$C$5:$C$3623,"&gt;="&amp;EDATE(DATEVALUE(C187&amp;"-01"),6),'📋 Транзакції'!$C$5:$C$3623,"&lt;"&amp;EDATE(DATEVALUE(C187&amp;"-01"),7))</f>
        <v>19.99</v>
      </c>
      <c r="Z187" s="37">
        <f>SUMIFS('📋 Транзакції'!$F$5:$F$3623,'📋 Транзакції'!$B$5:$B$3623,A187,'📋 Транзакції'!$C$5:$C$3623,"&gt;="&amp;EDATE(DATEVALUE(C187&amp;"-01"),7),'📋 Транзакції'!$C$5:$C$3623,"&lt;"&amp;EDATE(DATEVALUE(C187&amp;"-01"),8))</f>
        <v>19.99</v>
      </c>
      <c r="AA187" s="37">
        <f>SUMIFS('📋 Транзакції'!$F$5:$F$3623,'📋 Транзакції'!$B$5:$B$3623,A187,'📋 Транзакції'!$C$5:$C$3623,"&gt;="&amp;EDATE(DATEVALUE(C187&amp;"-01"),8),'📋 Транзакції'!$C$5:$C$3623,"&lt;"&amp;EDATE(DATEVALUE(C187&amp;"-01"),9))</f>
        <v>19.99</v>
      </c>
      <c r="AB187" s="37">
        <f>SUMIFS('📋 Транзакції'!$F$5:$F$3623,'📋 Транзакції'!$B$5:$B$3623,A187,'📋 Транзакції'!$C$5:$C$3623,"&gt;="&amp;EDATE(DATEVALUE(C187&amp;"-01"),9),'📋 Транзакції'!$C$5:$C$3623,"&lt;"&amp;EDATE(DATEVALUE(C187&amp;"-01"),10))</f>
        <v>0</v>
      </c>
      <c r="AC187" s="37">
        <f>SUMIFS('📋 Транзакції'!$F$5:$F$3623,'📋 Транзакції'!$B$5:$B$3623,A187,'📋 Транзакції'!$C$5:$C$3623,"&gt;="&amp;EDATE(DATEVALUE(C187&amp;"-01"),10),'📋 Транзакції'!$C$5:$C$3623,"&lt;"&amp;EDATE(DATEVALUE(C187&amp;"-01"),11))</f>
        <v>0</v>
      </c>
      <c r="AD187" s="37">
        <f>SUMIFS('📋 Транзакції'!$F$5:$F$3623,'📋 Транзакції'!$B$5:$B$3623,A187,'📋 Транзакції'!$C$5:$C$3623,"&gt;="&amp;EDATE(DATEVALUE(C187&amp;"-01"),11),'📋 Транзакції'!$C$5:$C$3623,"&lt;"&amp;EDATE(DATEVALUE(C187&amp;"-01"),12))</f>
        <v>0</v>
      </c>
    </row>
    <row r="188" ht="15.75" customHeight="1">
      <c r="A188" s="33" t="str">
        <f>'📋 Реєстрації'!A188:A789</f>
        <v>U0017</v>
      </c>
      <c r="B188" s="34">
        <f t="array" ref="B188">INDEX('📋 Транзакції'!$C$5:$C$3623,MATCH(A188,'📋 Транзакції'!$B$5:$B$3623,0))</f>
        <v>45479</v>
      </c>
      <c r="C188" s="35" t="str">
        <f t="shared" si="1"/>
        <v>2024-07</v>
      </c>
      <c r="D188" s="36">
        <f>COUNTIF('📋 Транзакції'!$B$5:$B$3623,A188)</f>
        <v>10</v>
      </c>
      <c r="E188" s="36">
        <f>SUMIF('📋 Транзакції'!$B$5:$B$3623,A188,'📋 Транзакції'!$F$5:$F$3623)</f>
        <v>179.91</v>
      </c>
      <c r="F188" s="35">
        <f>INT($A$1-MAXIFS('📋 Транзакції'!$C$5:$C$3623,'📋 Транзакції'!$B$5:$B$3623,A188))</f>
        <v>21</v>
      </c>
      <c r="G188" s="37">
        <f>IF(COUNTIFS('📋 Транзакції'!$B$5:$B$3623,A188,'📋 Транзакції'!$C$5:$C$3623,"&gt;="&amp;EDATE(DATEVALUE(C188&amp;"-01"),0),'📋 Транзакції'!$C$5:$C$3623,"&lt;"&amp;EDATE(DATEVALUE(C188&amp;"-01"),1))&gt;0,1,0)</f>
        <v>1</v>
      </c>
      <c r="H188" s="37">
        <f>IF(COUNTIFS('📋 Транзакції'!$B$5:$B$3623,A188,'📋 Транзакції'!$C$5:$C$3623,"&gt;="&amp;EDATE(DATEVALUE(C188&amp;"-01"),1),'📋 Транзакції'!$C$5:$C$3623,"&lt;"&amp;EDATE(DATEVALUE(C188&amp;"-01"),2))&gt;0,1,0)</f>
        <v>1</v>
      </c>
      <c r="I188" s="37">
        <f>IF(COUNTIFS('📋 Транзакції'!$B$5:$B$3623,A188,'📋 Транзакції'!$C$5:$C$3623,"&gt;="&amp;EDATE(DATEVALUE(C188&amp;"-01"),2),'📋 Транзакції'!$C$5:$C$3623,"&lt;"&amp;EDATE(DATEVALUE(C188&amp;"-01"),3))&gt;0,1,0)</f>
        <v>1</v>
      </c>
      <c r="J188" s="37">
        <f>IF(COUNTIFS('📋 Транзакції'!$B$5:$B$3623,A188,'📋 Транзакції'!$C$5:$C$3623,"&gt;="&amp;EDATE(DATEVALUE(C188&amp;"-01"),3),'📋 Транзакції'!$C$5:$C$3623,"&lt;"&amp;EDATE(DATEVALUE(C188&amp;"-01"),4))&gt;0,1,0)</f>
        <v>1</v>
      </c>
      <c r="K188" s="37">
        <f>IF(COUNTIFS('📋 Транзакції'!$B$5:$B$3623,A188,'📋 Транзакції'!$C$5:$C$3623,"&gt;="&amp;EDATE(DATEVALUE(C188&amp;"-01"),4),'📋 Транзакції'!$C$5:$C$3623,"&lt;"&amp;EDATE(DATEVALUE(C188&amp;"-01"),5))&gt;0,1,0)</f>
        <v>1</v>
      </c>
      <c r="L188" s="37">
        <f>IF(COUNTIFS('📋 Транзакції'!$B$5:$B$3623,A188,'📋 Транзакції'!$C$5:$C$3623,"&gt;="&amp;EDATE(DATEVALUE(C188&amp;"-01"),5),'📋 Транзакції'!$C$5:$C$3623,"&lt;"&amp;EDATE(DATEVALUE(C188&amp;"-01"),6))&gt;0,1,0)</f>
        <v>1</v>
      </c>
      <c r="M188" s="37">
        <f>IF(COUNTIFS('📋 Транзакції'!$B$5:$B$3623,A188,'📋 Транзакції'!$C$5:$C$3623,"&gt;="&amp;EDATE(DATEVALUE(C188&amp;"-01"),6),'📋 Транзакції'!$C$5:$C$3623,"&lt;"&amp;EDATE(DATEVALUE(C188&amp;"-01"),7))&gt;0,1,0)</f>
        <v>1</v>
      </c>
      <c r="N188" s="37">
        <f>IF(COUNTIFS('📋 Транзакції'!$B$5:$B$3623,A188,'📋 Транзакції'!$C$5:$C$3623,"&gt;="&amp;EDATE(DATEVALUE(C188&amp;"-01"),7),'📋 Транзакції'!$C$5:$C$3623,"&lt;"&amp;EDATE(DATEVALUE(C188&amp;"-01"),8))&gt;0,1,0)</f>
        <v>1</v>
      </c>
      <c r="O188" s="37">
        <f>IF(COUNTIFS('📋 Транзакції'!$B$5:$B$3623,A188,'📋 Транзакції'!$C$5:$C$3623,"&gt;="&amp;EDATE(DATEVALUE(C188&amp;"-01"),8),'📋 Транзакції'!$C$5:$C$3623,"&lt;"&amp;EDATE(DATEVALUE(C188&amp;"-01"),9))&gt;0,1,0)</f>
        <v>1</v>
      </c>
      <c r="P188" s="37">
        <f>IF(COUNTIFS('📋 Транзакції'!$B$5:$B$3623,A188,'📋 Транзакції'!$C$5:$C$3623,"&gt;="&amp;EDATE(DATEVALUE(C188&amp;"-01"),9),'📋 Транзакції'!$C$5:$C$3623,"&lt;"&amp;EDATE(DATEVALUE(C188&amp;"-01"),10))&gt;0,1,0)</f>
        <v>0</v>
      </c>
      <c r="Q188" s="37">
        <f>IF(COUNTIFS('📋 Транзакції'!$B$5:$B$3623,A188,'📋 Транзакції'!$C$5:$C$3623,"&gt;="&amp;EDATE(DATEVALUE(C188&amp;"-01"),10),'📋 Транзакції'!$C$5:$C$3623,"&lt;"&amp;EDATE(DATEVALUE(C188&amp;"-01"),11))&gt;0,1,0)</f>
        <v>0</v>
      </c>
      <c r="R188" s="37">
        <f>IF(COUNTIFS('📋 Транзакції'!$B$5:$B$3623,A188,'📋 Транзакції'!$C$5:$C$3623,"&gt;="&amp;EDATE(DATEVALUE(C188&amp;"-01"),11),'📋 Транзакції'!$C$5:$C$3623,"&lt;"&amp;EDATE(DATEVALUE(C188&amp;"-01"),12))&gt;0,1,0)</f>
        <v>0</v>
      </c>
      <c r="S188" s="37">
        <f>SUMIFS('📋 Транзакції'!$F$5:$F$3623,'📋 Транзакції'!$B$5:$B$3623,A188,'📋 Транзакції'!$C$5:$C$3623,"&gt;="&amp;EDATE(DATEVALUE(C188&amp;"-01"),0),'📋 Транзакції'!$C$5:$C$3623,"&lt;"&amp;EDATE(DATEVALUE(C188&amp;"-01"),1))</f>
        <v>19.99</v>
      </c>
      <c r="T188" s="37">
        <f>SUMIFS('📋 Транзакції'!$F$5:$F$3623,'📋 Транзакції'!$B$5:$B$3623,A188,'📋 Транзакції'!$C$5:$C$3623,"&gt;="&amp;EDATE(DATEVALUE(C188&amp;"-01"),1),'📋 Транзакції'!$C$5:$C$3623,"&lt;"&amp;EDATE(DATEVALUE(C188&amp;"-01"),2))</f>
        <v>19.99</v>
      </c>
      <c r="U188" s="37">
        <f>SUMIFS('📋 Транзакції'!$F$5:$F$3623,'📋 Транзакції'!$B$5:$B$3623,A188,'📋 Транзакції'!$C$5:$C$3623,"&gt;="&amp;EDATE(DATEVALUE(C188&amp;"-01"),2),'📋 Транзакції'!$C$5:$C$3623,"&lt;"&amp;EDATE(DATEVALUE(C188&amp;"-01"),3))</f>
        <v>19.99</v>
      </c>
      <c r="V188" s="37">
        <f>SUMIFS('📋 Транзакції'!$F$5:$F$3623,'📋 Транзакції'!$B$5:$B$3623,A188,'📋 Транзакції'!$C$5:$C$3623,"&gt;="&amp;EDATE(DATEVALUE(C188&amp;"-01"),3),'📋 Транзакції'!$C$5:$C$3623,"&lt;"&amp;EDATE(DATEVALUE(C188&amp;"-01"),4))</f>
        <v>19.99</v>
      </c>
      <c r="W188" s="37">
        <f>SUMIFS('📋 Транзакції'!$F$5:$F$3623,'📋 Транзакції'!$B$5:$B$3623,A188,'📋 Транзакції'!$C$5:$C$3623,"&gt;="&amp;EDATE(DATEVALUE(C188&amp;"-01"),4),'📋 Транзакції'!$C$5:$C$3623,"&lt;"&amp;EDATE(DATEVALUE(C188&amp;"-01"),5))</f>
        <v>19.99</v>
      </c>
      <c r="X188" s="37">
        <f>SUMIFS('📋 Транзакції'!$F$5:$F$3623,'📋 Транзакції'!$B$5:$B$3623,A188,'📋 Транзакції'!$C$5:$C$3623,"&gt;="&amp;EDATE(DATEVALUE(C188&amp;"-01"),5),'📋 Транзакції'!$C$5:$C$3623,"&lt;"&amp;EDATE(DATEVALUE(C188&amp;"-01"),6))</f>
        <v>19.99</v>
      </c>
      <c r="Y188" s="37">
        <f>SUMIFS('📋 Транзакції'!$F$5:$F$3623,'📋 Транзакції'!$B$5:$B$3623,A188,'📋 Транзакції'!$C$5:$C$3623,"&gt;="&amp;EDATE(DATEVALUE(C188&amp;"-01"),6),'📋 Транзакції'!$C$5:$C$3623,"&lt;"&amp;EDATE(DATEVALUE(C188&amp;"-01"),7))</f>
        <v>19.99</v>
      </c>
      <c r="Z188" s="37">
        <f>SUMIFS('📋 Транзакції'!$F$5:$F$3623,'📋 Транзакції'!$B$5:$B$3623,A188,'📋 Транзакції'!$C$5:$C$3623,"&gt;="&amp;EDATE(DATEVALUE(C188&amp;"-01"),7),'📋 Транзакції'!$C$5:$C$3623,"&lt;"&amp;EDATE(DATEVALUE(C188&amp;"-01"),8))</f>
        <v>19.99</v>
      </c>
      <c r="AA188" s="37">
        <f>SUMIFS('📋 Транзакції'!$F$5:$F$3623,'📋 Транзакції'!$B$5:$B$3623,A188,'📋 Транзакції'!$C$5:$C$3623,"&gt;="&amp;EDATE(DATEVALUE(C188&amp;"-01"),8),'📋 Транзакції'!$C$5:$C$3623,"&lt;"&amp;EDATE(DATEVALUE(C188&amp;"-01"),9))</f>
        <v>19.99</v>
      </c>
      <c r="AB188" s="37">
        <f>SUMIFS('📋 Транзакції'!$F$5:$F$3623,'📋 Транзакції'!$B$5:$B$3623,A188,'📋 Транзакції'!$C$5:$C$3623,"&gt;="&amp;EDATE(DATEVALUE(C188&amp;"-01"),9),'📋 Транзакції'!$C$5:$C$3623,"&lt;"&amp;EDATE(DATEVALUE(C188&amp;"-01"),10))</f>
        <v>0</v>
      </c>
      <c r="AC188" s="37">
        <f>SUMIFS('📋 Транзакції'!$F$5:$F$3623,'📋 Транзакції'!$B$5:$B$3623,A188,'📋 Транзакції'!$C$5:$C$3623,"&gt;="&amp;EDATE(DATEVALUE(C188&amp;"-01"),10),'📋 Транзакції'!$C$5:$C$3623,"&lt;"&amp;EDATE(DATEVALUE(C188&amp;"-01"),11))</f>
        <v>0</v>
      </c>
      <c r="AD188" s="37">
        <f>SUMIFS('📋 Транзакції'!$F$5:$F$3623,'📋 Транзакції'!$B$5:$B$3623,A188,'📋 Транзакції'!$C$5:$C$3623,"&gt;="&amp;EDATE(DATEVALUE(C188&amp;"-01"),11),'📋 Транзакції'!$C$5:$C$3623,"&lt;"&amp;EDATE(DATEVALUE(C188&amp;"-01"),12))</f>
        <v>0</v>
      </c>
    </row>
    <row r="189" ht="15.75" customHeight="1">
      <c r="A189" s="33" t="str">
        <f>'📋 Реєстрації'!A189:A790</f>
        <v>U0150</v>
      </c>
      <c r="B189" s="34">
        <f t="array" ref="B189">INDEX('📋 Транзакції'!$C$5:$C$3623,MATCH(A189,'📋 Транзакції'!$B$5:$B$3623,0))</f>
        <v>45481</v>
      </c>
      <c r="C189" s="35" t="str">
        <f t="shared" si="1"/>
        <v>2024-07</v>
      </c>
      <c r="D189" s="36">
        <f>COUNTIF('📋 Транзакції'!$B$5:$B$3623,A189)</f>
        <v>2</v>
      </c>
      <c r="E189" s="36">
        <f>SUMIF('📋 Транзакції'!$B$5:$B$3623,A189,'📋 Транзакції'!$F$5:$F$3623)</f>
        <v>19.99</v>
      </c>
      <c r="F189" s="35">
        <f>INT($A$1-MAXIFS('📋 Транзакції'!$C$5:$C$3623,'📋 Транзакції'!$B$5:$B$3623,A189))</f>
        <v>259</v>
      </c>
      <c r="G189" s="37">
        <f>IF(COUNTIFS('📋 Транзакції'!$B$5:$B$3623,A189,'📋 Транзакції'!$C$5:$C$3623,"&gt;="&amp;EDATE(DATEVALUE(C189&amp;"-01"),0),'📋 Транзакції'!$C$5:$C$3623,"&lt;"&amp;EDATE(DATEVALUE(C189&amp;"-01"),1))&gt;0,1,0)</f>
        <v>1</v>
      </c>
      <c r="H189" s="37">
        <f>IF(COUNTIFS('📋 Транзакції'!$B$5:$B$3623,A189,'📋 Транзакції'!$C$5:$C$3623,"&gt;="&amp;EDATE(DATEVALUE(C189&amp;"-01"),1),'📋 Транзакції'!$C$5:$C$3623,"&lt;"&amp;EDATE(DATEVALUE(C189&amp;"-01"),2))&gt;0,1,0)</f>
        <v>0</v>
      </c>
      <c r="I189" s="37">
        <f>IF(COUNTIFS('📋 Транзакції'!$B$5:$B$3623,A189,'📋 Транзакції'!$C$5:$C$3623,"&gt;="&amp;EDATE(DATEVALUE(C189&amp;"-01"),2),'📋 Транзакції'!$C$5:$C$3623,"&lt;"&amp;EDATE(DATEVALUE(C189&amp;"-01"),3))&gt;0,1,0)</f>
        <v>0</v>
      </c>
      <c r="J189" s="37">
        <f>IF(COUNTIFS('📋 Транзакції'!$B$5:$B$3623,A189,'📋 Транзакції'!$C$5:$C$3623,"&gt;="&amp;EDATE(DATEVALUE(C189&amp;"-01"),3),'📋 Транзакції'!$C$5:$C$3623,"&lt;"&amp;EDATE(DATEVALUE(C189&amp;"-01"),4))&gt;0,1,0)</f>
        <v>0</v>
      </c>
      <c r="K189" s="37">
        <f>IF(COUNTIFS('📋 Транзакції'!$B$5:$B$3623,A189,'📋 Транзакції'!$C$5:$C$3623,"&gt;="&amp;EDATE(DATEVALUE(C189&amp;"-01"),4),'📋 Транзакції'!$C$5:$C$3623,"&lt;"&amp;EDATE(DATEVALUE(C189&amp;"-01"),5))&gt;0,1,0)</f>
        <v>0</v>
      </c>
      <c r="L189" s="37">
        <f>IF(COUNTIFS('📋 Транзакції'!$B$5:$B$3623,A189,'📋 Транзакції'!$C$5:$C$3623,"&gt;="&amp;EDATE(DATEVALUE(C189&amp;"-01"),5),'📋 Транзакції'!$C$5:$C$3623,"&lt;"&amp;EDATE(DATEVALUE(C189&amp;"-01"),6))&gt;0,1,0)</f>
        <v>0</v>
      </c>
      <c r="M189" s="37">
        <f>IF(COUNTIFS('📋 Транзакції'!$B$5:$B$3623,A189,'📋 Транзакції'!$C$5:$C$3623,"&gt;="&amp;EDATE(DATEVALUE(C189&amp;"-01"),6),'📋 Транзакції'!$C$5:$C$3623,"&lt;"&amp;EDATE(DATEVALUE(C189&amp;"-01"),7))&gt;0,1,0)</f>
        <v>0</v>
      </c>
      <c r="N189" s="37">
        <f>IF(COUNTIFS('📋 Транзакції'!$B$5:$B$3623,A189,'📋 Транзакції'!$C$5:$C$3623,"&gt;="&amp;EDATE(DATEVALUE(C189&amp;"-01"),7),'📋 Транзакції'!$C$5:$C$3623,"&lt;"&amp;EDATE(DATEVALUE(C189&amp;"-01"),8))&gt;0,1,0)</f>
        <v>0</v>
      </c>
      <c r="O189" s="37">
        <f>IF(COUNTIFS('📋 Транзакції'!$B$5:$B$3623,A189,'📋 Транзакції'!$C$5:$C$3623,"&gt;="&amp;EDATE(DATEVALUE(C189&amp;"-01"),8),'📋 Транзакції'!$C$5:$C$3623,"&lt;"&amp;EDATE(DATEVALUE(C189&amp;"-01"),9))&gt;0,1,0)</f>
        <v>0</v>
      </c>
      <c r="P189" s="37">
        <f>IF(COUNTIFS('📋 Транзакції'!$B$5:$B$3623,A189,'📋 Транзакції'!$C$5:$C$3623,"&gt;="&amp;EDATE(DATEVALUE(C189&amp;"-01"),9),'📋 Транзакції'!$C$5:$C$3623,"&lt;"&amp;EDATE(DATEVALUE(C189&amp;"-01"),10))&gt;0,1,0)</f>
        <v>0</v>
      </c>
      <c r="Q189" s="37">
        <f>IF(COUNTIFS('📋 Транзакції'!$B$5:$B$3623,A189,'📋 Транзакції'!$C$5:$C$3623,"&gt;="&amp;EDATE(DATEVALUE(C189&amp;"-01"),10),'📋 Транзакції'!$C$5:$C$3623,"&lt;"&amp;EDATE(DATEVALUE(C189&amp;"-01"),11))&gt;0,1,0)</f>
        <v>0</v>
      </c>
      <c r="R189" s="37">
        <f>IF(COUNTIFS('📋 Транзакції'!$B$5:$B$3623,A189,'📋 Транзакції'!$C$5:$C$3623,"&gt;="&amp;EDATE(DATEVALUE(C189&amp;"-01"),11),'📋 Транзакції'!$C$5:$C$3623,"&lt;"&amp;EDATE(DATEVALUE(C189&amp;"-01"),12))&gt;0,1,0)</f>
        <v>0</v>
      </c>
      <c r="S189" s="37">
        <f>SUMIFS('📋 Транзакції'!$F$5:$F$3623,'📋 Транзакції'!$B$5:$B$3623,A189,'📋 Транзакції'!$C$5:$C$3623,"&gt;="&amp;EDATE(DATEVALUE(C189&amp;"-01"),0),'📋 Транзакції'!$C$5:$C$3623,"&lt;"&amp;EDATE(DATEVALUE(C189&amp;"-01"),1))</f>
        <v>19.99</v>
      </c>
      <c r="T189" s="37">
        <f>SUMIFS('📋 Транзакції'!$F$5:$F$3623,'📋 Транзакції'!$B$5:$B$3623,A189,'📋 Транзакції'!$C$5:$C$3623,"&gt;="&amp;EDATE(DATEVALUE(C189&amp;"-01"),1),'📋 Транзакції'!$C$5:$C$3623,"&lt;"&amp;EDATE(DATEVALUE(C189&amp;"-01"),2))</f>
        <v>0</v>
      </c>
      <c r="U189" s="37">
        <f>SUMIFS('📋 Транзакції'!$F$5:$F$3623,'📋 Транзакції'!$B$5:$B$3623,A189,'📋 Транзакції'!$C$5:$C$3623,"&gt;="&amp;EDATE(DATEVALUE(C189&amp;"-01"),2),'📋 Транзакції'!$C$5:$C$3623,"&lt;"&amp;EDATE(DATEVALUE(C189&amp;"-01"),3))</f>
        <v>0</v>
      </c>
      <c r="V189" s="37">
        <f>SUMIFS('📋 Транзакції'!$F$5:$F$3623,'📋 Транзакції'!$B$5:$B$3623,A189,'📋 Транзакції'!$C$5:$C$3623,"&gt;="&amp;EDATE(DATEVALUE(C189&amp;"-01"),3),'📋 Транзакції'!$C$5:$C$3623,"&lt;"&amp;EDATE(DATEVALUE(C189&amp;"-01"),4))</f>
        <v>0</v>
      </c>
      <c r="W189" s="37">
        <f>SUMIFS('📋 Транзакції'!$F$5:$F$3623,'📋 Транзакції'!$B$5:$B$3623,A189,'📋 Транзакції'!$C$5:$C$3623,"&gt;="&amp;EDATE(DATEVALUE(C189&amp;"-01"),4),'📋 Транзакції'!$C$5:$C$3623,"&lt;"&amp;EDATE(DATEVALUE(C189&amp;"-01"),5))</f>
        <v>0</v>
      </c>
      <c r="X189" s="37">
        <f>SUMIFS('📋 Транзакції'!$F$5:$F$3623,'📋 Транзакції'!$B$5:$B$3623,A189,'📋 Транзакції'!$C$5:$C$3623,"&gt;="&amp;EDATE(DATEVALUE(C189&amp;"-01"),5),'📋 Транзакції'!$C$5:$C$3623,"&lt;"&amp;EDATE(DATEVALUE(C189&amp;"-01"),6))</f>
        <v>0</v>
      </c>
      <c r="Y189" s="37">
        <f>SUMIFS('📋 Транзакції'!$F$5:$F$3623,'📋 Транзакції'!$B$5:$B$3623,A189,'📋 Транзакції'!$C$5:$C$3623,"&gt;="&amp;EDATE(DATEVALUE(C189&amp;"-01"),6),'📋 Транзакції'!$C$5:$C$3623,"&lt;"&amp;EDATE(DATEVALUE(C189&amp;"-01"),7))</f>
        <v>0</v>
      </c>
      <c r="Z189" s="37">
        <f>SUMIFS('📋 Транзакції'!$F$5:$F$3623,'📋 Транзакції'!$B$5:$B$3623,A189,'📋 Транзакції'!$C$5:$C$3623,"&gt;="&amp;EDATE(DATEVALUE(C189&amp;"-01"),7),'📋 Транзакції'!$C$5:$C$3623,"&lt;"&amp;EDATE(DATEVALUE(C189&amp;"-01"),8))</f>
        <v>0</v>
      </c>
      <c r="AA189" s="37">
        <f>SUMIFS('📋 Транзакції'!$F$5:$F$3623,'📋 Транзакції'!$B$5:$B$3623,A189,'📋 Транзакції'!$C$5:$C$3623,"&gt;="&amp;EDATE(DATEVALUE(C189&amp;"-01"),8),'📋 Транзакції'!$C$5:$C$3623,"&lt;"&amp;EDATE(DATEVALUE(C189&amp;"-01"),9))</f>
        <v>0</v>
      </c>
      <c r="AB189" s="37">
        <f>SUMIFS('📋 Транзакції'!$F$5:$F$3623,'📋 Транзакції'!$B$5:$B$3623,A189,'📋 Транзакції'!$C$5:$C$3623,"&gt;="&amp;EDATE(DATEVALUE(C189&amp;"-01"),9),'📋 Транзакції'!$C$5:$C$3623,"&lt;"&amp;EDATE(DATEVALUE(C189&amp;"-01"),10))</f>
        <v>0</v>
      </c>
      <c r="AC189" s="37">
        <f>SUMIFS('📋 Транзакції'!$F$5:$F$3623,'📋 Транзакції'!$B$5:$B$3623,A189,'📋 Транзакції'!$C$5:$C$3623,"&gt;="&amp;EDATE(DATEVALUE(C189&amp;"-01"),10),'📋 Транзакції'!$C$5:$C$3623,"&lt;"&amp;EDATE(DATEVALUE(C189&amp;"-01"),11))</f>
        <v>0</v>
      </c>
      <c r="AD189" s="37">
        <f>SUMIFS('📋 Транзакції'!$F$5:$F$3623,'📋 Транзакції'!$B$5:$B$3623,A189,'📋 Транзакції'!$C$5:$C$3623,"&gt;="&amp;EDATE(DATEVALUE(C189&amp;"-01"),11),'📋 Транзакції'!$C$5:$C$3623,"&lt;"&amp;EDATE(DATEVALUE(C189&amp;"-01"),12))</f>
        <v>0</v>
      </c>
    </row>
    <row r="190" ht="15.75" customHeight="1">
      <c r="A190" s="33" t="str">
        <f>'📋 Реєстрації'!A190:A791</f>
        <v>U0308</v>
      </c>
      <c r="B190" s="34">
        <f t="array" ref="B190">INDEX('📋 Транзакції'!$C$5:$C$3623,MATCH(A190,'📋 Транзакції'!$B$5:$B$3623,0))</f>
        <v>45482</v>
      </c>
      <c r="C190" s="35" t="str">
        <f t="shared" si="1"/>
        <v>2024-07</v>
      </c>
      <c r="D190" s="36">
        <f>COUNTIF('📋 Транзакції'!$B$5:$B$3623,A190)</f>
        <v>10</v>
      </c>
      <c r="E190" s="36">
        <f>SUMIF('📋 Транзакції'!$B$5:$B$3623,A190,'📋 Транзакції'!$F$5:$F$3623)</f>
        <v>179.91</v>
      </c>
      <c r="F190" s="35">
        <f>INT($A$1-MAXIFS('📋 Транзакції'!$C$5:$C$3623,'📋 Транзакції'!$B$5:$B$3623,A190))</f>
        <v>18</v>
      </c>
      <c r="G190" s="37">
        <f>IF(COUNTIFS('📋 Транзакції'!$B$5:$B$3623,A190,'📋 Транзакції'!$C$5:$C$3623,"&gt;="&amp;EDATE(DATEVALUE(C190&amp;"-01"),0),'📋 Транзакції'!$C$5:$C$3623,"&lt;"&amp;EDATE(DATEVALUE(C190&amp;"-01"),1))&gt;0,1,0)</f>
        <v>1</v>
      </c>
      <c r="H190" s="37">
        <f>IF(COUNTIFS('📋 Транзакції'!$B$5:$B$3623,A190,'📋 Транзакції'!$C$5:$C$3623,"&gt;="&amp;EDATE(DATEVALUE(C190&amp;"-01"),1),'📋 Транзакції'!$C$5:$C$3623,"&lt;"&amp;EDATE(DATEVALUE(C190&amp;"-01"),2))&gt;0,1,0)</f>
        <v>1</v>
      </c>
      <c r="I190" s="37">
        <f>IF(COUNTIFS('📋 Транзакції'!$B$5:$B$3623,A190,'📋 Транзакції'!$C$5:$C$3623,"&gt;="&amp;EDATE(DATEVALUE(C190&amp;"-01"),2),'📋 Транзакції'!$C$5:$C$3623,"&lt;"&amp;EDATE(DATEVALUE(C190&amp;"-01"),3))&gt;0,1,0)</f>
        <v>1</v>
      </c>
      <c r="J190" s="37">
        <f>IF(COUNTIFS('📋 Транзакції'!$B$5:$B$3623,A190,'📋 Транзакції'!$C$5:$C$3623,"&gt;="&amp;EDATE(DATEVALUE(C190&amp;"-01"),3),'📋 Транзакції'!$C$5:$C$3623,"&lt;"&amp;EDATE(DATEVALUE(C190&amp;"-01"),4))&gt;0,1,0)</f>
        <v>1</v>
      </c>
      <c r="K190" s="37">
        <f>IF(COUNTIFS('📋 Транзакції'!$B$5:$B$3623,A190,'📋 Транзакції'!$C$5:$C$3623,"&gt;="&amp;EDATE(DATEVALUE(C190&amp;"-01"),4),'📋 Транзакції'!$C$5:$C$3623,"&lt;"&amp;EDATE(DATEVALUE(C190&amp;"-01"),5))&gt;0,1,0)</f>
        <v>1</v>
      </c>
      <c r="L190" s="37">
        <f>IF(COUNTIFS('📋 Транзакції'!$B$5:$B$3623,A190,'📋 Транзакції'!$C$5:$C$3623,"&gt;="&amp;EDATE(DATEVALUE(C190&amp;"-01"),5),'📋 Транзакції'!$C$5:$C$3623,"&lt;"&amp;EDATE(DATEVALUE(C190&amp;"-01"),6))&gt;0,1,0)</f>
        <v>1</v>
      </c>
      <c r="M190" s="37">
        <f>IF(COUNTIFS('📋 Транзакції'!$B$5:$B$3623,A190,'📋 Транзакції'!$C$5:$C$3623,"&gt;="&amp;EDATE(DATEVALUE(C190&amp;"-01"),6),'📋 Транзакції'!$C$5:$C$3623,"&lt;"&amp;EDATE(DATEVALUE(C190&amp;"-01"),7))&gt;0,1,0)</f>
        <v>1</v>
      </c>
      <c r="N190" s="37">
        <f>IF(COUNTIFS('📋 Транзакції'!$B$5:$B$3623,A190,'📋 Транзакції'!$C$5:$C$3623,"&gt;="&amp;EDATE(DATEVALUE(C190&amp;"-01"),7),'📋 Транзакції'!$C$5:$C$3623,"&lt;"&amp;EDATE(DATEVALUE(C190&amp;"-01"),8))&gt;0,1,0)</f>
        <v>1</v>
      </c>
      <c r="O190" s="37">
        <f>IF(COUNTIFS('📋 Транзакції'!$B$5:$B$3623,A190,'📋 Транзакції'!$C$5:$C$3623,"&gt;="&amp;EDATE(DATEVALUE(C190&amp;"-01"),8),'📋 Транзакції'!$C$5:$C$3623,"&lt;"&amp;EDATE(DATEVALUE(C190&amp;"-01"),9))&gt;0,1,0)</f>
        <v>1</v>
      </c>
      <c r="P190" s="37">
        <f>IF(COUNTIFS('📋 Транзакції'!$B$5:$B$3623,A190,'📋 Транзакції'!$C$5:$C$3623,"&gt;="&amp;EDATE(DATEVALUE(C190&amp;"-01"),9),'📋 Транзакції'!$C$5:$C$3623,"&lt;"&amp;EDATE(DATEVALUE(C190&amp;"-01"),10))&gt;0,1,0)</f>
        <v>0</v>
      </c>
      <c r="Q190" s="37">
        <f>IF(COUNTIFS('📋 Транзакції'!$B$5:$B$3623,A190,'📋 Транзакції'!$C$5:$C$3623,"&gt;="&amp;EDATE(DATEVALUE(C190&amp;"-01"),10),'📋 Транзакції'!$C$5:$C$3623,"&lt;"&amp;EDATE(DATEVALUE(C190&amp;"-01"),11))&gt;0,1,0)</f>
        <v>0</v>
      </c>
      <c r="R190" s="37">
        <f>IF(COUNTIFS('📋 Транзакції'!$B$5:$B$3623,A190,'📋 Транзакції'!$C$5:$C$3623,"&gt;="&amp;EDATE(DATEVALUE(C190&amp;"-01"),11),'📋 Транзакції'!$C$5:$C$3623,"&lt;"&amp;EDATE(DATEVALUE(C190&amp;"-01"),12))&gt;0,1,0)</f>
        <v>0</v>
      </c>
      <c r="S190" s="37">
        <f>SUMIFS('📋 Транзакції'!$F$5:$F$3623,'📋 Транзакції'!$B$5:$B$3623,A190,'📋 Транзакції'!$C$5:$C$3623,"&gt;="&amp;EDATE(DATEVALUE(C190&amp;"-01"),0),'📋 Транзакції'!$C$5:$C$3623,"&lt;"&amp;EDATE(DATEVALUE(C190&amp;"-01"),1))</f>
        <v>19.99</v>
      </c>
      <c r="T190" s="37">
        <f>SUMIFS('📋 Транзакції'!$F$5:$F$3623,'📋 Транзакції'!$B$5:$B$3623,A190,'📋 Транзакції'!$C$5:$C$3623,"&gt;="&amp;EDATE(DATEVALUE(C190&amp;"-01"),1),'📋 Транзакції'!$C$5:$C$3623,"&lt;"&amp;EDATE(DATEVALUE(C190&amp;"-01"),2))</f>
        <v>19.99</v>
      </c>
      <c r="U190" s="37">
        <f>SUMIFS('📋 Транзакції'!$F$5:$F$3623,'📋 Транзакції'!$B$5:$B$3623,A190,'📋 Транзакції'!$C$5:$C$3623,"&gt;="&amp;EDATE(DATEVALUE(C190&amp;"-01"),2),'📋 Транзакції'!$C$5:$C$3623,"&lt;"&amp;EDATE(DATEVALUE(C190&amp;"-01"),3))</f>
        <v>19.99</v>
      </c>
      <c r="V190" s="37">
        <f>SUMIFS('📋 Транзакції'!$F$5:$F$3623,'📋 Транзакції'!$B$5:$B$3623,A190,'📋 Транзакції'!$C$5:$C$3623,"&gt;="&amp;EDATE(DATEVALUE(C190&amp;"-01"),3),'📋 Транзакції'!$C$5:$C$3623,"&lt;"&amp;EDATE(DATEVALUE(C190&amp;"-01"),4))</f>
        <v>19.99</v>
      </c>
      <c r="W190" s="37">
        <f>SUMIFS('📋 Транзакції'!$F$5:$F$3623,'📋 Транзакції'!$B$5:$B$3623,A190,'📋 Транзакції'!$C$5:$C$3623,"&gt;="&amp;EDATE(DATEVALUE(C190&amp;"-01"),4),'📋 Транзакції'!$C$5:$C$3623,"&lt;"&amp;EDATE(DATEVALUE(C190&amp;"-01"),5))</f>
        <v>19.99</v>
      </c>
      <c r="X190" s="37">
        <f>SUMIFS('📋 Транзакції'!$F$5:$F$3623,'📋 Транзакції'!$B$5:$B$3623,A190,'📋 Транзакції'!$C$5:$C$3623,"&gt;="&amp;EDATE(DATEVALUE(C190&amp;"-01"),5),'📋 Транзакції'!$C$5:$C$3623,"&lt;"&amp;EDATE(DATEVALUE(C190&amp;"-01"),6))</f>
        <v>19.99</v>
      </c>
      <c r="Y190" s="37">
        <f>SUMIFS('📋 Транзакції'!$F$5:$F$3623,'📋 Транзакції'!$B$5:$B$3623,A190,'📋 Транзакції'!$C$5:$C$3623,"&gt;="&amp;EDATE(DATEVALUE(C190&amp;"-01"),6),'📋 Транзакції'!$C$5:$C$3623,"&lt;"&amp;EDATE(DATEVALUE(C190&amp;"-01"),7))</f>
        <v>19.99</v>
      </c>
      <c r="Z190" s="37">
        <f>SUMIFS('📋 Транзакції'!$F$5:$F$3623,'📋 Транзакції'!$B$5:$B$3623,A190,'📋 Транзакції'!$C$5:$C$3623,"&gt;="&amp;EDATE(DATEVALUE(C190&amp;"-01"),7),'📋 Транзакції'!$C$5:$C$3623,"&lt;"&amp;EDATE(DATEVALUE(C190&amp;"-01"),8))</f>
        <v>19.99</v>
      </c>
      <c r="AA190" s="37">
        <f>SUMIFS('📋 Транзакції'!$F$5:$F$3623,'📋 Транзакції'!$B$5:$B$3623,A190,'📋 Транзакції'!$C$5:$C$3623,"&gt;="&amp;EDATE(DATEVALUE(C190&amp;"-01"),8),'📋 Транзакції'!$C$5:$C$3623,"&lt;"&amp;EDATE(DATEVALUE(C190&amp;"-01"),9))</f>
        <v>19.99</v>
      </c>
      <c r="AB190" s="37">
        <f>SUMIFS('📋 Транзакції'!$F$5:$F$3623,'📋 Транзакції'!$B$5:$B$3623,A190,'📋 Транзакції'!$C$5:$C$3623,"&gt;="&amp;EDATE(DATEVALUE(C190&amp;"-01"),9),'📋 Транзакції'!$C$5:$C$3623,"&lt;"&amp;EDATE(DATEVALUE(C190&amp;"-01"),10))</f>
        <v>0</v>
      </c>
      <c r="AC190" s="37">
        <f>SUMIFS('📋 Транзакції'!$F$5:$F$3623,'📋 Транзакції'!$B$5:$B$3623,A190,'📋 Транзакції'!$C$5:$C$3623,"&gt;="&amp;EDATE(DATEVALUE(C190&amp;"-01"),10),'📋 Транзакції'!$C$5:$C$3623,"&lt;"&amp;EDATE(DATEVALUE(C190&amp;"-01"),11))</f>
        <v>0</v>
      </c>
      <c r="AD190" s="37">
        <f>SUMIFS('📋 Транзакції'!$F$5:$F$3623,'📋 Транзакції'!$B$5:$B$3623,A190,'📋 Транзакції'!$C$5:$C$3623,"&gt;="&amp;EDATE(DATEVALUE(C190&amp;"-01"),11),'📋 Транзакції'!$C$5:$C$3623,"&lt;"&amp;EDATE(DATEVALUE(C190&amp;"-01"),12))</f>
        <v>0</v>
      </c>
    </row>
    <row r="191" ht="15.75" customHeight="1">
      <c r="A191" s="33" t="str">
        <f>'📋 Реєстрації'!A191:A792</f>
        <v>U0418</v>
      </c>
      <c r="B191" s="34">
        <f t="array" ref="B191">INDEX('📋 Транзакції'!$C$5:$C$3623,MATCH(A191,'📋 Транзакції'!$B$5:$B$3623,0))</f>
        <v>45482</v>
      </c>
      <c r="C191" s="35" t="str">
        <f t="shared" si="1"/>
        <v>2024-07</v>
      </c>
      <c r="D191" s="36">
        <f>COUNTIF('📋 Транзакції'!$B$5:$B$3623,A191)</f>
        <v>10</v>
      </c>
      <c r="E191" s="36">
        <f>SUMIF('📋 Транзакції'!$B$5:$B$3623,A191,'📋 Транзакції'!$F$5:$F$3623)</f>
        <v>179.91</v>
      </c>
      <c r="F191" s="35">
        <f>INT($A$1-MAXIFS('📋 Транзакції'!$C$5:$C$3623,'📋 Транзакції'!$B$5:$B$3623,A191))</f>
        <v>18</v>
      </c>
      <c r="G191" s="37">
        <f>IF(COUNTIFS('📋 Транзакції'!$B$5:$B$3623,A191,'📋 Транзакції'!$C$5:$C$3623,"&gt;="&amp;EDATE(DATEVALUE(C191&amp;"-01"),0),'📋 Транзакції'!$C$5:$C$3623,"&lt;"&amp;EDATE(DATEVALUE(C191&amp;"-01"),1))&gt;0,1,0)</f>
        <v>1</v>
      </c>
      <c r="H191" s="37">
        <f>IF(COUNTIFS('📋 Транзакції'!$B$5:$B$3623,A191,'📋 Транзакції'!$C$5:$C$3623,"&gt;="&amp;EDATE(DATEVALUE(C191&amp;"-01"),1),'📋 Транзакції'!$C$5:$C$3623,"&lt;"&amp;EDATE(DATEVALUE(C191&amp;"-01"),2))&gt;0,1,0)</f>
        <v>1</v>
      </c>
      <c r="I191" s="37">
        <f>IF(COUNTIFS('📋 Транзакції'!$B$5:$B$3623,A191,'📋 Транзакції'!$C$5:$C$3623,"&gt;="&amp;EDATE(DATEVALUE(C191&amp;"-01"),2),'📋 Транзакції'!$C$5:$C$3623,"&lt;"&amp;EDATE(DATEVALUE(C191&amp;"-01"),3))&gt;0,1,0)</f>
        <v>1</v>
      </c>
      <c r="J191" s="37">
        <f>IF(COUNTIFS('📋 Транзакції'!$B$5:$B$3623,A191,'📋 Транзакції'!$C$5:$C$3623,"&gt;="&amp;EDATE(DATEVALUE(C191&amp;"-01"),3),'📋 Транзакції'!$C$5:$C$3623,"&lt;"&amp;EDATE(DATEVALUE(C191&amp;"-01"),4))&gt;0,1,0)</f>
        <v>1</v>
      </c>
      <c r="K191" s="37">
        <f>IF(COUNTIFS('📋 Транзакції'!$B$5:$B$3623,A191,'📋 Транзакції'!$C$5:$C$3623,"&gt;="&amp;EDATE(DATEVALUE(C191&amp;"-01"),4),'📋 Транзакції'!$C$5:$C$3623,"&lt;"&amp;EDATE(DATEVALUE(C191&amp;"-01"),5))&gt;0,1,0)</f>
        <v>1</v>
      </c>
      <c r="L191" s="37">
        <f>IF(COUNTIFS('📋 Транзакції'!$B$5:$B$3623,A191,'📋 Транзакції'!$C$5:$C$3623,"&gt;="&amp;EDATE(DATEVALUE(C191&amp;"-01"),5),'📋 Транзакції'!$C$5:$C$3623,"&lt;"&amp;EDATE(DATEVALUE(C191&amp;"-01"),6))&gt;0,1,0)</f>
        <v>1</v>
      </c>
      <c r="M191" s="37">
        <f>IF(COUNTIFS('📋 Транзакції'!$B$5:$B$3623,A191,'📋 Транзакції'!$C$5:$C$3623,"&gt;="&amp;EDATE(DATEVALUE(C191&amp;"-01"),6),'📋 Транзакції'!$C$5:$C$3623,"&lt;"&amp;EDATE(DATEVALUE(C191&amp;"-01"),7))&gt;0,1,0)</f>
        <v>1</v>
      </c>
      <c r="N191" s="37">
        <f>IF(COUNTIFS('📋 Транзакції'!$B$5:$B$3623,A191,'📋 Транзакції'!$C$5:$C$3623,"&gt;="&amp;EDATE(DATEVALUE(C191&amp;"-01"),7),'📋 Транзакції'!$C$5:$C$3623,"&lt;"&amp;EDATE(DATEVALUE(C191&amp;"-01"),8))&gt;0,1,0)</f>
        <v>1</v>
      </c>
      <c r="O191" s="37">
        <f>IF(COUNTIFS('📋 Транзакції'!$B$5:$B$3623,A191,'📋 Транзакції'!$C$5:$C$3623,"&gt;="&amp;EDATE(DATEVALUE(C191&amp;"-01"),8),'📋 Транзакції'!$C$5:$C$3623,"&lt;"&amp;EDATE(DATEVALUE(C191&amp;"-01"),9))&gt;0,1,0)</f>
        <v>1</v>
      </c>
      <c r="P191" s="37">
        <f>IF(COUNTIFS('📋 Транзакції'!$B$5:$B$3623,A191,'📋 Транзакції'!$C$5:$C$3623,"&gt;="&amp;EDATE(DATEVALUE(C191&amp;"-01"),9),'📋 Транзакції'!$C$5:$C$3623,"&lt;"&amp;EDATE(DATEVALUE(C191&amp;"-01"),10))&gt;0,1,0)</f>
        <v>0</v>
      </c>
      <c r="Q191" s="37">
        <f>IF(COUNTIFS('📋 Транзакції'!$B$5:$B$3623,A191,'📋 Транзакції'!$C$5:$C$3623,"&gt;="&amp;EDATE(DATEVALUE(C191&amp;"-01"),10),'📋 Транзакції'!$C$5:$C$3623,"&lt;"&amp;EDATE(DATEVALUE(C191&amp;"-01"),11))&gt;0,1,0)</f>
        <v>0</v>
      </c>
      <c r="R191" s="37">
        <f>IF(COUNTIFS('📋 Транзакції'!$B$5:$B$3623,A191,'📋 Транзакції'!$C$5:$C$3623,"&gt;="&amp;EDATE(DATEVALUE(C191&amp;"-01"),11),'📋 Транзакції'!$C$5:$C$3623,"&lt;"&amp;EDATE(DATEVALUE(C191&amp;"-01"),12))&gt;0,1,0)</f>
        <v>0</v>
      </c>
      <c r="S191" s="37">
        <f>SUMIFS('📋 Транзакції'!$F$5:$F$3623,'📋 Транзакції'!$B$5:$B$3623,A191,'📋 Транзакції'!$C$5:$C$3623,"&gt;="&amp;EDATE(DATEVALUE(C191&amp;"-01"),0),'📋 Транзакції'!$C$5:$C$3623,"&lt;"&amp;EDATE(DATEVALUE(C191&amp;"-01"),1))</f>
        <v>19.99</v>
      </c>
      <c r="T191" s="37">
        <f>SUMIFS('📋 Транзакції'!$F$5:$F$3623,'📋 Транзакції'!$B$5:$B$3623,A191,'📋 Транзакції'!$C$5:$C$3623,"&gt;="&amp;EDATE(DATEVALUE(C191&amp;"-01"),1),'📋 Транзакції'!$C$5:$C$3623,"&lt;"&amp;EDATE(DATEVALUE(C191&amp;"-01"),2))</f>
        <v>19.99</v>
      </c>
      <c r="U191" s="37">
        <f>SUMIFS('📋 Транзакції'!$F$5:$F$3623,'📋 Транзакції'!$B$5:$B$3623,A191,'📋 Транзакції'!$C$5:$C$3623,"&gt;="&amp;EDATE(DATEVALUE(C191&amp;"-01"),2),'📋 Транзакції'!$C$5:$C$3623,"&lt;"&amp;EDATE(DATEVALUE(C191&amp;"-01"),3))</f>
        <v>19.99</v>
      </c>
      <c r="V191" s="37">
        <f>SUMIFS('📋 Транзакції'!$F$5:$F$3623,'📋 Транзакції'!$B$5:$B$3623,A191,'📋 Транзакції'!$C$5:$C$3623,"&gt;="&amp;EDATE(DATEVALUE(C191&amp;"-01"),3),'📋 Транзакції'!$C$5:$C$3623,"&lt;"&amp;EDATE(DATEVALUE(C191&amp;"-01"),4))</f>
        <v>19.99</v>
      </c>
      <c r="W191" s="37">
        <f>SUMIFS('📋 Транзакції'!$F$5:$F$3623,'📋 Транзакції'!$B$5:$B$3623,A191,'📋 Транзакції'!$C$5:$C$3623,"&gt;="&amp;EDATE(DATEVALUE(C191&amp;"-01"),4),'📋 Транзакції'!$C$5:$C$3623,"&lt;"&amp;EDATE(DATEVALUE(C191&amp;"-01"),5))</f>
        <v>19.99</v>
      </c>
      <c r="X191" s="37">
        <f>SUMIFS('📋 Транзакції'!$F$5:$F$3623,'📋 Транзакції'!$B$5:$B$3623,A191,'📋 Транзакції'!$C$5:$C$3623,"&gt;="&amp;EDATE(DATEVALUE(C191&amp;"-01"),5),'📋 Транзакції'!$C$5:$C$3623,"&lt;"&amp;EDATE(DATEVALUE(C191&amp;"-01"),6))</f>
        <v>19.99</v>
      </c>
      <c r="Y191" s="37">
        <f>SUMIFS('📋 Транзакції'!$F$5:$F$3623,'📋 Транзакції'!$B$5:$B$3623,A191,'📋 Транзакції'!$C$5:$C$3623,"&gt;="&amp;EDATE(DATEVALUE(C191&amp;"-01"),6),'📋 Транзакції'!$C$5:$C$3623,"&lt;"&amp;EDATE(DATEVALUE(C191&amp;"-01"),7))</f>
        <v>19.99</v>
      </c>
      <c r="Z191" s="37">
        <f>SUMIFS('📋 Транзакції'!$F$5:$F$3623,'📋 Транзакції'!$B$5:$B$3623,A191,'📋 Транзакції'!$C$5:$C$3623,"&gt;="&amp;EDATE(DATEVALUE(C191&amp;"-01"),7),'📋 Транзакції'!$C$5:$C$3623,"&lt;"&amp;EDATE(DATEVALUE(C191&amp;"-01"),8))</f>
        <v>19.99</v>
      </c>
      <c r="AA191" s="37">
        <f>SUMIFS('📋 Транзакції'!$F$5:$F$3623,'📋 Транзакції'!$B$5:$B$3623,A191,'📋 Транзакції'!$C$5:$C$3623,"&gt;="&amp;EDATE(DATEVALUE(C191&amp;"-01"),8),'📋 Транзакції'!$C$5:$C$3623,"&lt;"&amp;EDATE(DATEVALUE(C191&amp;"-01"),9))</f>
        <v>19.99</v>
      </c>
      <c r="AB191" s="37">
        <f>SUMIFS('📋 Транзакції'!$F$5:$F$3623,'📋 Транзакції'!$B$5:$B$3623,A191,'📋 Транзакції'!$C$5:$C$3623,"&gt;="&amp;EDATE(DATEVALUE(C191&amp;"-01"),9),'📋 Транзакції'!$C$5:$C$3623,"&lt;"&amp;EDATE(DATEVALUE(C191&amp;"-01"),10))</f>
        <v>0</v>
      </c>
      <c r="AC191" s="37">
        <f>SUMIFS('📋 Транзакції'!$F$5:$F$3623,'📋 Транзакції'!$B$5:$B$3623,A191,'📋 Транзакції'!$C$5:$C$3623,"&gt;="&amp;EDATE(DATEVALUE(C191&amp;"-01"),10),'📋 Транзакції'!$C$5:$C$3623,"&lt;"&amp;EDATE(DATEVALUE(C191&amp;"-01"),11))</f>
        <v>0</v>
      </c>
      <c r="AD191" s="37">
        <f>SUMIFS('📋 Транзакції'!$F$5:$F$3623,'📋 Транзакції'!$B$5:$B$3623,A191,'📋 Транзакції'!$C$5:$C$3623,"&gt;="&amp;EDATE(DATEVALUE(C191&amp;"-01"),11),'📋 Транзакції'!$C$5:$C$3623,"&lt;"&amp;EDATE(DATEVALUE(C191&amp;"-01"),12))</f>
        <v>0</v>
      </c>
    </row>
    <row r="192" ht="15.75" customHeight="1">
      <c r="A192" s="33" t="str">
        <f>'📋 Реєстрації'!A192:A793</f>
        <v>U0688</v>
      </c>
      <c r="B192" s="34">
        <f t="array" ref="B192">INDEX('📋 Транзакції'!$C$5:$C$3623,MATCH(A192,'📋 Транзакції'!$B$5:$B$3623,0))</f>
        <v>45482</v>
      </c>
      <c r="C192" s="35" t="str">
        <f t="shared" si="1"/>
        <v>2024-07</v>
      </c>
      <c r="D192" s="36">
        <f>COUNTIF('📋 Транзакції'!$B$5:$B$3623,A192)</f>
        <v>4</v>
      </c>
      <c r="E192" s="36">
        <f>SUMIF('📋 Транзакції'!$B$5:$B$3623,A192,'📋 Транзакції'!$F$5:$F$3623)</f>
        <v>59.97</v>
      </c>
      <c r="F192" s="35">
        <f>INT($A$1-MAXIFS('📋 Транзакції'!$C$5:$C$3623,'📋 Транзакції'!$B$5:$B$3623,A192))</f>
        <v>198</v>
      </c>
      <c r="G192" s="37">
        <f>IF(COUNTIFS('📋 Транзакції'!$B$5:$B$3623,A192,'📋 Транзакції'!$C$5:$C$3623,"&gt;="&amp;EDATE(DATEVALUE(C192&amp;"-01"),0),'📋 Транзакції'!$C$5:$C$3623,"&lt;"&amp;EDATE(DATEVALUE(C192&amp;"-01"),1))&gt;0,1,0)</f>
        <v>1</v>
      </c>
      <c r="H192" s="37">
        <f>IF(COUNTIFS('📋 Транзакції'!$B$5:$B$3623,A192,'📋 Транзакції'!$C$5:$C$3623,"&gt;="&amp;EDATE(DATEVALUE(C192&amp;"-01"),1),'📋 Транзакції'!$C$5:$C$3623,"&lt;"&amp;EDATE(DATEVALUE(C192&amp;"-01"),2))&gt;0,1,0)</f>
        <v>1</v>
      </c>
      <c r="I192" s="37">
        <f>IF(COUNTIFS('📋 Транзакції'!$B$5:$B$3623,A192,'📋 Транзакції'!$C$5:$C$3623,"&gt;="&amp;EDATE(DATEVALUE(C192&amp;"-01"),2),'📋 Транзакції'!$C$5:$C$3623,"&lt;"&amp;EDATE(DATEVALUE(C192&amp;"-01"),3))&gt;0,1,0)</f>
        <v>1</v>
      </c>
      <c r="J192" s="37">
        <f>IF(COUNTIFS('📋 Транзакції'!$B$5:$B$3623,A192,'📋 Транзакції'!$C$5:$C$3623,"&gt;="&amp;EDATE(DATEVALUE(C192&amp;"-01"),3),'📋 Транзакції'!$C$5:$C$3623,"&lt;"&amp;EDATE(DATEVALUE(C192&amp;"-01"),4))&gt;0,1,0)</f>
        <v>0</v>
      </c>
      <c r="K192" s="37">
        <f>IF(COUNTIFS('📋 Транзакції'!$B$5:$B$3623,A192,'📋 Транзакції'!$C$5:$C$3623,"&gt;="&amp;EDATE(DATEVALUE(C192&amp;"-01"),4),'📋 Транзакції'!$C$5:$C$3623,"&lt;"&amp;EDATE(DATEVALUE(C192&amp;"-01"),5))&gt;0,1,0)</f>
        <v>0</v>
      </c>
      <c r="L192" s="37">
        <f>IF(COUNTIFS('📋 Транзакції'!$B$5:$B$3623,A192,'📋 Транзакції'!$C$5:$C$3623,"&gt;="&amp;EDATE(DATEVALUE(C192&amp;"-01"),5),'📋 Транзакції'!$C$5:$C$3623,"&lt;"&amp;EDATE(DATEVALUE(C192&amp;"-01"),6))&gt;0,1,0)</f>
        <v>0</v>
      </c>
      <c r="M192" s="37">
        <f>IF(COUNTIFS('📋 Транзакції'!$B$5:$B$3623,A192,'📋 Транзакції'!$C$5:$C$3623,"&gt;="&amp;EDATE(DATEVALUE(C192&amp;"-01"),6),'📋 Транзакції'!$C$5:$C$3623,"&lt;"&amp;EDATE(DATEVALUE(C192&amp;"-01"),7))&gt;0,1,0)</f>
        <v>0</v>
      </c>
      <c r="N192" s="37">
        <f>IF(COUNTIFS('📋 Транзакції'!$B$5:$B$3623,A192,'📋 Транзакції'!$C$5:$C$3623,"&gt;="&amp;EDATE(DATEVALUE(C192&amp;"-01"),7),'📋 Транзакції'!$C$5:$C$3623,"&lt;"&amp;EDATE(DATEVALUE(C192&amp;"-01"),8))&gt;0,1,0)</f>
        <v>0</v>
      </c>
      <c r="O192" s="37">
        <f>IF(COUNTIFS('📋 Транзакції'!$B$5:$B$3623,A192,'📋 Транзакції'!$C$5:$C$3623,"&gt;="&amp;EDATE(DATEVALUE(C192&amp;"-01"),8),'📋 Транзакції'!$C$5:$C$3623,"&lt;"&amp;EDATE(DATEVALUE(C192&amp;"-01"),9))&gt;0,1,0)</f>
        <v>0</v>
      </c>
      <c r="P192" s="37">
        <f>IF(COUNTIFS('📋 Транзакції'!$B$5:$B$3623,A192,'📋 Транзакції'!$C$5:$C$3623,"&gt;="&amp;EDATE(DATEVALUE(C192&amp;"-01"),9),'📋 Транзакції'!$C$5:$C$3623,"&lt;"&amp;EDATE(DATEVALUE(C192&amp;"-01"),10))&gt;0,1,0)</f>
        <v>0</v>
      </c>
      <c r="Q192" s="37">
        <f>IF(COUNTIFS('📋 Транзакції'!$B$5:$B$3623,A192,'📋 Транзакції'!$C$5:$C$3623,"&gt;="&amp;EDATE(DATEVALUE(C192&amp;"-01"),10),'📋 Транзакції'!$C$5:$C$3623,"&lt;"&amp;EDATE(DATEVALUE(C192&amp;"-01"),11))&gt;0,1,0)</f>
        <v>0</v>
      </c>
      <c r="R192" s="37">
        <f>IF(COUNTIFS('📋 Транзакції'!$B$5:$B$3623,A192,'📋 Транзакції'!$C$5:$C$3623,"&gt;="&amp;EDATE(DATEVALUE(C192&amp;"-01"),11),'📋 Транзакції'!$C$5:$C$3623,"&lt;"&amp;EDATE(DATEVALUE(C192&amp;"-01"),12))&gt;0,1,0)</f>
        <v>0</v>
      </c>
      <c r="S192" s="37">
        <f>SUMIFS('📋 Транзакції'!$F$5:$F$3623,'📋 Транзакції'!$B$5:$B$3623,A192,'📋 Транзакції'!$C$5:$C$3623,"&gt;="&amp;EDATE(DATEVALUE(C192&amp;"-01"),0),'📋 Транзакції'!$C$5:$C$3623,"&lt;"&amp;EDATE(DATEVALUE(C192&amp;"-01"),1))</f>
        <v>19.99</v>
      </c>
      <c r="T192" s="37">
        <f>SUMIFS('📋 Транзакції'!$F$5:$F$3623,'📋 Транзакції'!$B$5:$B$3623,A192,'📋 Транзакції'!$C$5:$C$3623,"&gt;="&amp;EDATE(DATEVALUE(C192&amp;"-01"),1),'📋 Транзакції'!$C$5:$C$3623,"&lt;"&amp;EDATE(DATEVALUE(C192&amp;"-01"),2))</f>
        <v>19.99</v>
      </c>
      <c r="U192" s="37">
        <f>SUMIFS('📋 Транзакції'!$F$5:$F$3623,'📋 Транзакції'!$B$5:$B$3623,A192,'📋 Транзакції'!$C$5:$C$3623,"&gt;="&amp;EDATE(DATEVALUE(C192&amp;"-01"),2),'📋 Транзакції'!$C$5:$C$3623,"&lt;"&amp;EDATE(DATEVALUE(C192&amp;"-01"),3))</f>
        <v>19.99</v>
      </c>
      <c r="V192" s="37">
        <f>SUMIFS('📋 Транзакції'!$F$5:$F$3623,'📋 Транзакції'!$B$5:$B$3623,A192,'📋 Транзакції'!$C$5:$C$3623,"&gt;="&amp;EDATE(DATEVALUE(C192&amp;"-01"),3),'📋 Транзакції'!$C$5:$C$3623,"&lt;"&amp;EDATE(DATEVALUE(C192&amp;"-01"),4))</f>
        <v>0</v>
      </c>
      <c r="W192" s="37">
        <f>SUMIFS('📋 Транзакції'!$F$5:$F$3623,'📋 Транзакції'!$B$5:$B$3623,A192,'📋 Транзакції'!$C$5:$C$3623,"&gt;="&amp;EDATE(DATEVALUE(C192&amp;"-01"),4),'📋 Транзакції'!$C$5:$C$3623,"&lt;"&amp;EDATE(DATEVALUE(C192&amp;"-01"),5))</f>
        <v>0</v>
      </c>
      <c r="X192" s="37">
        <f>SUMIFS('📋 Транзакції'!$F$5:$F$3623,'📋 Транзакції'!$B$5:$B$3623,A192,'📋 Транзакції'!$C$5:$C$3623,"&gt;="&amp;EDATE(DATEVALUE(C192&amp;"-01"),5),'📋 Транзакції'!$C$5:$C$3623,"&lt;"&amp;EDATE(DATEVALUE(C192&amp;"-01"),6))</f>
        <v>0</v>
      </c>
      <c r="Y192" s="37">
        <f>SUMIFS('📋 Транзакції'!$F$5:$F$3623,'📋 Транзакції'!$B$5:$B$3623,A192,'📋 Транзакції'!$C$5:$C$3623,"&gt;="&amp;EDATE(DATEVALUE(C192&amp;"-01"),6),'📋 Транзакції'!$C$5:$C$3623,"&lt;"&amp;EDATE(DATEVALUE(C192&amp;"-01"),7))</f>
        <v>0</v>
      </c>
      <c r="Z192" s="37">
        <f>SUMIFS('📋 Транзакції'!$F$5:$F$3623,'📋 Транзакції'!$B$5:$B$3623,A192,'📋 Транзакції'!$C$5:$C$3623,"&gt;="&amp;EDATE(DATEVALUE(C192&amp;"-01"),7),'📋 Транзакції'!$C$5:$C$3623,"&lt;"&amp;EDATE(DATEVALUE(C192&amp;"-01"),8))</f>
        <v>0</v>
      </c>
      <c r="AA192" s="37">
        <f>SUMIFS('📋 Транзакції'!$F$5:$F$3623,'📋 Транзакції'!$B$5:$B$3623,A192,'📋 Транзакції'!$C$5:$C$3623,"&gt;="&amp;EDATE(DATEVALUE(C192&amp;"-01"),8),'📋 Транзакції'!$C$5:$C$3623,"&lt;"&amp;EDATE(DATEVALUE(C192&amp;"-01"),9))</f>
        <v>0</v>
      </c>
      <c r="AB192" s="37">
        <f>SUMIFS('📋 Транзакції'!$F$5:$F$3623,'📋 Транзакції'!$B$5:$B$3623,A192,'📋 Транзакції'!$C$5:$C$3623,"&gt;="&amp;EDATE(DATEVALUE(C192&amp;"-01"),9),'📋 Транзакції'!$C$5:$C$3623,"&lt;"&amp;EDATE(DATEVALUE(C192&amp;"-01"),10))</f>
        <v>0</v>
      </c>
      <c r="AC192" s="37">
        <f>SUMIFS('📋 Транзакції'!$F$5:$F$3623,'📋 Транзакції'!$B$5:$B$3623,A192,'📋 Транзакції'!$C$5:$C$3623,"&gt;="&amp;EDATE(DATEVALUE(C192&amp;"-01"),10),'📋 Транзакції'!$C$5:$C$3623,"&lt;"&amp;EDATE(DATEVALUE(C192&amp;"-01"),11))</f>
        <v>0</v>
      </c>
      <c r="AD192" s="37">
        <f>SUMIFS('📋 Транзакції'!$F$5:$F$3623,'📋 Транзакції'!$B$5:$B$3623,A192,'📋 Транзакції'!$C$5:$C$3623,"&gt;="&amp;EDATE(DATEVALUE(C192&amp;"-01"),11),'📋 Транзакції'!$C$5:$C$3623,"&lt;"&amp;EDATE(DATEVALUE(C192&amp;"-01"),12))</f>
        <v>0</v>
      </c>
    </row>
    <row r="193" ht="15.75" customHeight="1">
      <c r="A193" s="33" t="str">
        <f>'📋 Реєстрації'!A193:A794</f>
        <v>U0467</v>
      </c>
      <c r="B193" s="34">
        <f t="array" ref="B193">INDEX('📋 Транзакції'!$C$5:$C$3623,MATCH(A193,'📋 Транзакції'!$B$5:$B$3623,0))</f>
        <v>45483</v>
      </c>
      <c r="C193" s="35" t="str">
        <f t="shared" si="1"/>
        <v>2024-07</v>
      </c>
      <c r="D193" s="36">
        <f>COUNTIF('📋 Транзакції'!$B$5:$B$3623,A193)</f>
        <v>3</v>
      </c>
      <c r="E193" s="36">
        <f>SUMIF('📋 Транзакції'!$B$5:$B$3623,A193,'📋 Транзакції'!$F$5:$F$3623)</f>
        <v>39.98</v>
      </c>
      <c r="F193" s="35">
        <f>INT($A$1-MAXIFS('📋 Транзакції'!$C$5:$C$3623,'📋 Транзакції'!$B$5:$B$3623,A193))</f>
        <v>227</v>
      </c>
      <c r="G193" s="37">
        <f>IF(COUNTIFS('📋 Транзакції'!$B$5:$B$3623,A193,'📋 Транзакції'!$C$5:$C$3623,"&gt;="&amp;EDATE(DATEVALUE(C193&amp;"-01"),0),'📋 Транзакції'!$C$5:$C$3623,"&lt;"&amp;EDATE(DATEVALUE(C193&amp;"-01"),1))&gt;0,1,0)</f>
        <v>1</v>
      </c>
      <c r="H193" s="37">
        <f>IF(COUNTIFS('📋 Транзакції'!$B$5:$B$3623,A193,'📋 Транзакції'!$C$5:$C$3623,"&gt;="&amp;EDATE(DATEVALUE(C193&amp;"-01"),1),'📋 Транзакції'!$C$5:$C$3623,"&lt;"&amp;EDATE(DATEVALUE(C193&amp;"-01"),2))&gt;0,1,0)</f>
        <v>1</v>
      </c>
      <c r="I193" s="37">
        <f>IF(COUNTIFS('📋 Транзакції'!$B$5:$B$3623,A193,'📋 Транзакції'!$C$5:$C$3623,"&gt;="&amp;EDATE(DATEVALUE(C193&amp;"-01"),2),'📋 Транзакції'!$C$5:$C$3623,"&lt;"&amp;EDATE(DATEVALUE(C193&amp;"-01"),3))&gt;0,1,0)</f>
        <v>0</v>
      </c>
      <c r="J193" s="37">
        <f>IF(COUNTIFS('📋 Транзакції'!$B$5:$B$3623,A193,'📋 Транзакції'!$C$5:$C$3623,"&gt;="&amp;EDATE(DATEVALUE(C193&amp;"-01"),3),'📋 Транзакції'!$C$5:$C$3623,"&lt;"&amp;EDATE(DATEVALUE(C193&amp;"-01"),4))&gt;0,1,0)</f>
        <v>0</v>
      </c>
      <c r="K193" s="37">
        <f>IF(COUNTIFS('📋 Транзакції'!$B$5:$B$3623,A193,'📋 Транзакції'!$C$5:$C$3623,"&gt;="&amp;EDATE(DATEVALUE(C193&amp;"-01"),4),'📋 Транзакції'!$C$5:$C$3623,"&lt;"&amp;EDATE(DATEVALUE(C193&amp;"-01"),5))&gt;0,1,0)</f>
        <v>0</v>
      </c>
      <c r="L193" s="37">
        <f>IF(COUNTIFS('📋 Транзакції'!$B$5:$B$3623,A193,'📋 Транзакції'!$C$5:$C$3623,"&gt;="&amp;EDATE(DATEVALUE(C193&amp;"-01"),5),'📋 Транзакції'!$C$5:$C$3623,"&lt;"&amp;EDATE(DATEVALUE(C193&amp;"-01"),6))&gt;0,1,0)</f>
        <v>0</v>
      </c>
      <c r="M193" s="37">
        <f>IF(COUNTIFS('📋 Транзакції'!$B$5:$B$3623,A193,'📋 Транзакції'!$C$5:$C$3623,"&gt;="&amp;EDATE(DATEVALUE(C193&amp;"-01"),6),'📋 Транзакції'!$C$5:$C$3623,"&lt;"&amp;EDATE(DATEVALUE(C193&amp;"-01"),7))&gt;0,1,0)</f>
        <v>0</v>
      </c>
      <c r="N193" s="37">
        <f>IF(COUNTIFS('📋 Транзакції'!$B$5:$B$3623,A193,'📋 Транзакції'!$C$5:$C$3623,"&gt;="&amp;EDATE(DATEVALUE(C193&amp;"-01"),7),'📋 Транзакції'!$C$5:$C$3623,"&lt;"&amp;EDATE(DATEVALUE(C193&amp;"-01"),8))&gt;0,1,0)</f>
        <v>0</v>
      </c>
      <c r="O193" s="37">
        <f>IF(COUNTIFS('📋 Транзакції'!$B$5:$B$3623,A193,'📋 Транзакції'!$C$5:$C$3623,"&gt;="&amp;EDATE(DATEVALUE(C193&amp;"-01"),8),'📋 Транзакції'!$C$5:$C$3623,"&lt;"&amp;EDATE(DATEVALUE(C193&amp;"-01"),9))&gt;0,1,0)</f>
        <v>0</v>
      </c>
      <c r="P193" s="37">
        <f>IF(COUNTIFS('📋 Транзакції'!$B$5:$B$3623,A193,'📋 Транзакції'!$C$5:$C$3623,"&gt;="&amp;EDATE(DATEVALUE(C193&amp;"-01"),9),'📋 Транзакції'!$C$5:$C$3623,"&lt;"&amp;EDATE(DATEVALUE(C193&amp;"-01"),10))&gt;0,1,0)</f>
        <v>0</v>
      </c>
      <c r="Q193" s="37">
        <f>IF(COUNTIFS('📋 Транзакції'!$B$5:$B$3623,A193,'📋 Транзакції'!$C$5:$C$3623,"&gt;="&amp;EDATE(DATEVALUE(C193&amp;"-01"),10),'📋 Транзакції'!$C$5:$C$3623,"&lt;"&amp;EDATE(DATEVALUE(C193&amp;"-01"),11))&gt;0,1,0)</f>
        <v>0</v>
      </c>
      <c r="R193" s="37">
        <f>IF(COUNTIFS('📋 Транзакції'!$B$5:$B$3623,A193,'📋 Транзакції'!$C$5:$C$3623,"&gt;="&amp;EDATE(DATEVALUE(C193&amp;"-01"),11),'📋 Транзакції'!$C$5:$C$3623,"&lt;"&amp;EDATE(DATEVALUE(C193&amp;"-01"),12))&gt;0,1,0)</f>
        <v>0</v>
      </c>
      <c r="S193" s="37">
        <f>SUMIFS('📋 Транзакції'!$F$5:$F$3623,'📋 Транзакції'!$B$5:$B$3623,A193,'📋 Транзакції'!$C$5:$C$3623,"&gt;="&amp;EDATE(DATEVALUE(C193&amp;"-01"),0),'📋 Транзакції'!$C$5:$C$3623,"&lt;"&amp;EDATE(DATEVALUE(C193&amp;"-01"),1))</f>
        <v>19.99</v>
      </c>
      <c r="T193" s="37">
        <f>SUMIFS('📋 Транзакції'!$F$5:$F$3623,'📋 Транзакції'!$B$5:$B$3623,A193,'📋 Транзакції'!$C$5:$C$3623,"&gt;="&amp;EDATE(DATEVALUE(C193&amp;"-01"),1),'📋 Транзакції'!$C$5:$C$3623,"&lt;"&amp;EDATE(DATEVALUE(C193&amp;"-01"),2))</f>
        <v>19.99</v>
      </c>
      <c r="U193" s="37">
        <f>SUMIFS('📋 Транзакції'!$F$5:$F$3623,'📋 Транзакції'!$B$5:$B$3623,A193,'📋 Транзакції'!$C$5:$C$3623,"&gt;="&amp;EDATE(DATEVALUE(C193&amp;"-01"),2),'📋 Транзакції'!$C$5:$C$3623,"&lt;"&amp;EDATE(DATEVALUE(C193&amp;"-01"),3))</f>
        <v>0</v>
      </c>
      <c r="V193" s="37">
        <f>SUMIFS('📋 Транзакції'!$F$5:$F$3623,'📋 Транзакції'!$B$5:$B$3623,A193,'📋 Транзакції'!$C$5:$C$3623,"&gt;="&amp;EDATE(DATEVALUE(C193&amp;"-01"),3),'📋 Транзакції'!$C$5:$C$3623,"&lt;"&amp;EDATE(DATEVALUE(C193&amp;"-01"),4))</f>
        <v>0</v>
      </c>
      <c r="W193" s="37">
        <f>SUMIFS('📋 Транзакції'!$F$5:$F$3623,'📋 Транзакції'!$B$5:$B$3623,A193,'📋 Транзакції'!$C$5:$C$3623,"&gt;="&amp;EDATE(DATEVALUE(C193&amp;"-01"),4),'📋 Транзакції'!$C$5:$C$3623,"&lt;"&amp;EDATE(DATEVALUE(C193&amp;"-01"),5))</f>
        <v>0</v>
      </c>
      <c r="X193" s="37">
        <f>SUMIFS('📋 Транзакції'!$F$5:$F$3623,'📋 Транзакції'!$B$5:$B$3623,A193,'📋 Транзакції'!$C$5:$C$3623,"&gt;="&amp;EDATE(DATEVALUE(C193&amp;"-01"),5),'📋 Транзакції'!$C$5:$C$3623,"&lt;"&amp;EDATE(DATEVALUE(C193&amp;"-01"),6))</f>
        <v>0</v>
      </c>
      <c r="Y193" s="37">
        <f>SUMIFS('📋 Транзакції'!$F$5:$F$3623,'📋 Транзакції'!$B$5:$B$3623,A193,'📋 Транзакції'!$C$5:$C$3623,"&gt;="&amp;EDATE(DATEVALUE(C193&amp;"-01"),6),'📋 Транзакції'!$C$5:$C$3623,"&lt;"&amp;EDATE(DATEVALUE(C193&amp;"-01"),7))</f>
        <v>0</v>
      </c>
      <c r="Z193" s="37">
        <f>SUMIFS('📋 Транзакції'!$F$5:$F$3623,'📋 Транзакції'!$B$5:$B$3623,A193,'📋 Транзакції'!$C$5:$C$3623,"&gt;="&amp;EDATE(DATEVALUE(C193&amp;"-01"),7),'📋 Транзакції'!$C$5:$C$3623,"&lt;"&amp;EDATE(DATEVALUE(C193&amp;"-01"),8))</f>
        <v>0</v>
      </c>
      <c r="AA193" s="37">
        <f>SUMIFS('📋 Транзакції'!$F$5:$F$3623,'📋 Транзакції'!$B$5:$B$3623,A193,'📋 Транзакції'!$C$5:$C$3623,"&gt;="&amp;EDATE(DATEVALUE(C193&amp;"-01"),8),'📋 Транзакції'!$C$5:$C$3623,"&lt;"&amp;EDATE(DATEVALUE(C193&amp;"-01"),9))</f>
        <v>0</v>
      </c>
      <c r="AB193" s="37">
        <f>SUMIFS('📋 Транзакції'!$F$5:$F$3623,'📋 Транзакції'!$B$5:$B$3623,A193,'📋 Транзакції'!$C$5:$C$3623,"&gt;="&amp;EDATE(DATEVALUE(C193&amp;"-01"),9),'📋 Транзакції'!$C$5:$C$3623,"&lt;"&amp;EDATE(DATEVALUE(C193&amp;"-01"),10))</f>
        <v>0</v>
      </c>
      <c r="AC193" s="37">
        <f>SUMIFS('📋 Транзакції'!$F$5:$F$3623,'📋 Транзакції'!$B$5:$B$3623,A193,'📋 Транзакції'!$C$5:$C$3623,"&gt;="&amp;EDATE(DATEVALUE(C193&amp;"-01"),10),'📋 Транзакції'!$C$5:$C$3623,"&lt;"&amp;EDATE(DATEVALUE(C193&amp;"-01"),11))</f>
        <v>0</v>
      </c>
      <c r="AD193" s="37">
        <f>SUMIFS('📋 Транзакції'!$F$5:$F$3623,'📋 Транзакції'!$B$5:$B$3623,A193,'📋 Транзакції'!$C$5:$C$3623,"&gt;="&amp;EDATE(DATEVALUE(C193&amp;"-01"),11),'📋 Транзакції'!$C$5:$C$3623,"&lt;"&amp;EDATE(DATEVALUE(C193&amp;"-01"),12))</f>
        <v>0</v>
      </c>
    </row>
    <row r="194" ht="15.75" customHeight="1">
      <c r="A194" s="33" t="str">
        <f>'📋 Реєстрації'!A194:A795</f>
        <v>U0762</v>
      </c>
      <c r="B194" s="34">
        <f t="array" ref="B194">INDEX('📋 Транзакції'!$C$5:$C$3623,MATCH(A194,'📋 Транзакції'!$B$5:$B$3623,0))</f>
        <v>45483</v>
      </c>
      <c r="C194" s="35" t="str">
        <f t="shared" si="1"/>
        <v>2024-07</v>
      </c>
      <c r="D194" s="36">
        <f>COUNTIF('📋 Транзакції'!$B$5:$B$3623,A194)</f>
        <v>10</v>
      </c>
      <c r="E194" s="36">
        <f>SUMIF('📋 Транзакції'!$B$5:$B$3623,A194,'📋 Транзакції'!$F$5:$F$3623)</f>
        <v>179.91</v>
      </c>
      <c r="F194" s="35">
        <f>INT($A$1-MAXIFS('📋 Транзакції'!$C$5:$C$3623,'📋 Транзакції'!$B$5:$B$3623,A194))</f>
        <v>17</v>
      </c>
      <c r="G194" s="37">
        <f>IF(COUNTIFS('📋 Транзакції'!$B$5:$B$3623,A194,'📋 Транзакції'!$C$5:$C$3623,"&gt;="&amp;EDATE(DATEVALUE(C194&amp;"-01"),0),'📋 Транзакції'!$C$5:$C$3623,"&lt;"&amp;EDATE(DATEVALUE(C194&amp;"-01"),1))&gt;0,1,0)</f>
        <v>1</v>
      </c>
      <c r="H194" s="37">
        <f>IF(COUNTIFS('📋 Транзакції'!$B$5:$B$3623,A194,'📋 Транзакції'!$C$5:$C$3623,"&gt;="&amp;EDATE(DATEVALUE(C194&amp;"-01"),1),'📋 Транзакції'!$C$5:$C$3623,"&lt;"&amp;EDATE(DATEVALUE(C194&amp;"-01"),2))&gt;0,1,0)</f>
        <v>1</v>
      </c>
      <c r="I194" s="37">
        <f>IF(COUNTIFS('📋 Транзакції'!$B$5:$B$3623,A194,'📋 Транзакції'!$C$5:$C$3623,"&gt;="&amp;EDATE(DATEVALUE(C194&amp;"-01"),2),'📋 Транзакції'!$C$5:$C$3623,"&lt;"&amp;EDATE(DATEVALUE(C194&amp;"-01"),3))&gt;0,1,0)</f>
        <v>1</v>
      </c>
      <c r="J194" s="37">
        <f>IF(COUNTIFS('📋 Транзакції'!$B$5:$B$3623,A194,'📋 Транзакції'!$C$5:$C$3623,"&gt;="&amp;EDATE(DATEVALUE(C194&amp;"-01"),3),'📋 Транзакції'!$C$5:$C$3623,"&lt;"&amp;EDATE(DATEVALUE(C194&amp;"-01"),4))&gt;0,1,0)</f>
        <v>1</v>
      </c>
      <c r="K194" s="37">
        <f>IF(COUNTIFS('📋 Транзакції'!$B$5:$B$3623,A194,'📋 Транзакції'!$C$5:$C$3623,"&gt;="&amp;EDATE(DATEVALUE(C194&amp;"-01"),4),'📋 Транзакції'!$C$5:$C$3623,"&lt;"&amp;EDATE(DATEVALUE(C194&amp;"-01"),5))&gt;0,1,0)</f>
        <v>1</v>
      </c>
      <c r="L194" s="37">
        <f>IF(COUNTIFS('📋 Транзакції'!$B$5:$B$3623,A194,'📋 Транзакції'!$C$5:$C$3623,"&gt;="&amp;EDATE(DATEVALUE(C194&amp;"-01"),5),'📋 Транзакції'!$C$5:$C$3623,"&lt;"&amp;EDATE(DATEVALUE(C194&amp;"-01"),6))&gt;0,1,0)</f>
        <v>1</v>
      </c>
      <c r="M194" s="37">
        <f>IF(COUNTIFS('📋 Транзакції'!$B$5:$B$3623,A194,'📋 Транзакції'!$C$5:$C$3623,"&gt;="&amp;EDATE(DATEVALUE(C194&amp;"-01"),6),'📋 Транзакції'!$C$5:$C$3623,"&lt;"&amp;EDATE(DATEVALUE(C194&amp;"-01"),7))&gt;0,1,0)</f>
        <v>1</v>
      </c>
      <c r="N194" s="37">
        <f>IF(COUNTIFS('📋 Транзакції'!$B$5:$B$3623,A194,'📋 Транзакції'!$C$5:$C$3623,"&gt;="&amp;EDATE(DATEVALUE(C194&amp;"-01"),7),'📋 Транзакції'!$C$5:$C$3623,"&lt;"&amp;EDATE(DATEVALUE(C194&amp;"-01"),8))&gt;0,1,0)</f>
        <v>1</v>
      </c>
      <c r="O194" s="37">
        <f>IF(COUNTIFS('📋 Транзакції'!$B$5:$B$3623,A194,'📋 Транзакції'!$C$5:$C$3623,"&gt;="&amp;EDATE(DATEVALUE(C194&amp;"-01"),8),'📋 Транзакції'!$C$5:$C$3623,"&lt;"&amp;EDATE(DATEVALUE(C194&amp;"-01"),9))&gt;0,1,0)</f>
        <v>1</v>
      </c>
      <c r="P194" s="37">
        <f>IF(COUNTIFS('📋 Транзакції'!$B$5:$B$3623,A194,'📋 Транзакції'!$C$5:$C$3623,"&gt;="&amp;EDATE(DATEVALUE(C194&amp;"-01"),9),'📋 Транзакції'!$C$5:$C$3623,"&lt;"&amp;EDATE(DATEVALUE(C194&amp;"-01"),10))&gt;0,1,0)</f>
        <v>0</v>
      </c>
      <c r="Q194" s="37">
        <f>IF(COUNTIFS('📋 Транзакції'!$B$5:$B$3623,A194,'📋 Транзакції'!$C$5:$C$3623,"&gt;="&amp;EDATE(DATEVALUE(C194&amp;"-01"),10),'📋 Транзакції'!$C$5:$C$3623,"&lt;"&amp;EDATE(DATEVALUE(C194&amp;"-01"),11))&gt;0,1,0)</f>
        <v>0</v>
      </c>
      <c r="R194" s="37">
        <f>IF(COUNTIFS('📋 Транзакції'!$B$5:$B$3623,A194,'📋 Транзакції'!$C$5:$C$3623,"&gt;="&amp;EDATE(DATEVALUE(C194&amp;"-01"),11),'📋 Транзакції'!$C$5:$C$3623,"&lt;"&amp;EDATE(DATEVALUE(C194&amp;"-01"),12))&gt;0,1,0)</f>
        <v>0</v>
      </c>
      <c r="S194" s="37">
        <f>SUMIFS('📋 Транзакції'!$F$5:$F$3623,'📋 Транзакції'!$B$5:$B$3623,A194,'📋 Транзакції'!$C$5:$C$3623,"&gt;="&amp;EDATE(DATEVALUE(C194&amp;"-01"),0),'📋 Транзакції'!$C$5:$C$3623,"&lt;"&amp;EDATE(DATEVALUE(C194&amp;"-01"),1))</f>
        <v>19.99</v>
      </c>
      <c r="T194" s="37">
        <f>SUMIFS('📋 Транзакції'!$F$5:$F$3623,'📋 Транзакції'!$B$5:$B$3623,A194,'📋 Транзакції'!$C$5:$C$3623,"&gt;="&amp;EDATE(DATEVALUE(C194&amp;"-01"),1),'📋 Транзакції'!$C$5:$C$3623,"&lt;"&amp;EDATE(DATEVALUE(C194&amp;"-01"),2))</f>
        <v>19.99</v>
      </c>
      <c r="U194" s="37">
        <f>SUMIFS('📋 Транзакції'!$F$5:$F$3623,'📋 Транзакції'!$B$5:$B$3623,A194,'📋 Транзакції'!$C$5:$C$3623,"&gt;="&amp;EDATE(DATEVALUE(C194&amp;"-01"),2),'📋 Транзакції'!$C$5:$C$3623,"&lt;"&amp;EDATE(DATEVALUE(C194&amp;"-01"),3))</f>
        <v>19.99</v>
      </c>
      <c r="V194" s="37">
        <f>SUMIFS('📋 Транзакції'!$F$5:$F$3623,'📋 Транзакції'!$B$5:$B$3623,A194,'📋 Транзакції'!$C$5:$C$3623,"&gt;="&amp;EDATE(DATEVALUE(C194&amp;"-01"),3),'📋 Транзакції'!$C$5:$C$3623,"&lt;"&amp;EDATE(DATEVALUE(C194&amp;"-01"),4))</f>
        <v>19.99</v>
      </c>
      <c r="W194" s="37">
        <f>SUMIFS('📋 Транзакції'!$F$5:$F$3623,'📋 Транзакції'!$B$5:$B$3623,A194,'📋 Транзакції'!$C$5:$C$3623,"&gt;="&amp;EDATE(DATEVALUE(C194&amp;"-01"),4),'📋 Транзакції'!$C$5:$C$3623,"&lt;"&amp;EDATE(DATEVALUE(C194&amp;"-01"),5))</f>
        <v>19.99</v>
      </c>
      <c r="X194" s="37">
        <f>SUMIFS('📋 Транзакції'!$F$5:$F$3623,'📋 Транзакції'!$B$5:$B$3623,A194,'📋 Транзакції'!$C$5:$C$3623,"&gt;="&amp;EDATE(DATEVALUE(C194&amp;"-01"),5),'📋 Транзакції'!$C$5:$C$3623,"&lt;"&amp;EDATE(DATEVALUE(C194&amp;"-01"),6))</f>
        <v>19.99</v>
      </c>
      <c r="Y194" s="37">
        <f>SUMIFS('📋 Транзакції'!$F$5:$F$3623,'📋 Транзакції'!$B$5:$B$3623,A194,'📋 Транзакції'!$C$5:$C$3623,"&gt;="&amp;EDATE(DATEVALUE(C194&amp;"-01"),6),'📋 Транзакції'!$C$5:$C$3623,"&lt;"&amp;EDATE(DATEVALUE(C194&amp;"-01"),7))</f>
        <v>19.99</v>
      </c>
      <c r="Z194" s="37">
        <f>SUMIFS('📋 Транзакції'!$F$5:$F$3623,'📋 Транзакції'!$B$5:$B$3623,A194,'📋 Транзакції'!$C$5:$C$3623,"&gt;="&amp;EDATE(DATEVALUE(C194&amp;"-01"),7),'📋 Транзакції'!$C$5:$C$3623,"&lt;"&amp;EDATE(DATEVALUE(C194&amp;"-01"),8))</f>
        <v>19.99</v>
      </c>
      <c r="AA194" s="37">
        <f>SUMIFS('📋 Транзакції'!$F$5:$F$3623,'📋 Транзакції'!$B$5:$B$3623,A194,'📋 Транзакції'!$C$5:$C$3623,"&gt;="&amp;EDATE(DATEVALUE(C194&amp;"-01"),8),'📋 Транзакції'!$C$5:$C$3623,"&lt;"&amp;EDATE(DATEVALUE(C194&amp;"-01"),9))</f>
        <v>19.99</v>
      </c>
      <c r="AB194" s="37">
        <f>SUMIFS('📋 Транзакції'!$F$5:$F$3623,'📋 Транзакції'!$B$5:$B$3623,A194,'📋 Транзакції'!$C$5:$C$3623,"&gt;="&amp;EDATE(DATEVALUE(C194&amp;"-01"),9),'📋 Транзакції'!$C$5:$C$3623,"&lt;"&amp;EDATE(DATEVALUE(C194&amp;"-01"),10))</f>
        <v>0</v>
      </c>
      <c r="AC194" s="37">
        <f>SUMIFS('📋 Транзакції'!$F$5:$F$3623,'📋 Транзакції'!$B$5:$B$3623,A194,'📋 Транзакції'!$C$5:$C$3623,"&gt;="&amp;EDATE(DATEVALUE(C194&amp;"-01"),10),'📋 Транзакції'!$C$5:$C$3623,"&lt;"&amp;EDATE(DATEVALUE(C194&amp;"-01"),11))</f>
        <v>0</v>
      </c>
      <c r="AD194" s="37">
        <f>SUMIFS('📋 Транзакції'!$F$5:$F$3623,'📋 Транзакції'!$B$5:$B$3623,A194,'📋 Транзакції'!$C$5:$C$3623,"&gt;="&amp;EDATE(DATEVALUE(C194&amp;"-01"),11),'📋 Транзакції'!$C$5:$C$3623,"&lt;"&amp;EDATE(DATEVALUE(C194&amp;"-01"),12))</f>
        <v>0</v>
      </c>
    </row>
    <row r="195" ht="15.75" customHeight="1">
      <c r="A195" s="33" t="str">
        <f>'📋 Реєстрації'!A195:A796</f>
        <v>U0144</v>
      </c>
      <c r="B195" s="34">
        <f t="array" ref="B195">INDEX('📋 Транзакції'!$C$5:$C$3623,MATCH(A195,'📋 Транзакції'!$B$5:$B$3623,0))</f>
        <v>45484</v>
      </c>
      <c r="C195" s="35" t="str">
        <f t="shared" si="1"/>
        <v>2024-07</v>
      </c>
      <c r="D195" s="36">
        <f>COUNTIF('📋 Транзакції'!$B$5:$B$3623,A195)</f>
        <v>6</v>
      </c>
      <c r="E195" s="36">
        <f>SUMIF('📋 Транзакції'!$B$5:$B$3623,A195,'📋 Транзакції'!$F$5:$F$3623)</f>
        <v>99.95</v>
      </c>
      <c r="F195" s="35">
        <f>INT($A$1-MAXIFS('📋 Транзакції'!$C$5:$C$3623,'📋 Транзакції'!$B$5:$B$3623,A195))</f>
        <v>136</v>
      </c>
      <c r="G195" s="37">
        <f>IF(COUNTIFS('📋 Транзакції'!$B$5:$B$3623,A195,'📋 Транзакції'!$C$5:$C$3623,"&gt;="&amp;EDATE(DATEVALUE(C195&amp;"-01"),0),'📋 Транзакції'!$C$5:$C$3623,"&lt;"&amp;EDATE(DATEVALUE(C195&amp;"-01"),1))&gt;0,1,0)</f>
        <v>1</v>
      </c>
      <c r="H195" s="37">
        <f>IF(COUNTIFS('📋 Транзакції'!$B$5:$B$3623,A195,'📋 Транзакції'!$C$5:$C$3623,"&gt;="&amp;EDATE(DATEVALUE(C195&amp;"-01"),1),'📋 Транзакції'!$C$5:$C$3623,"&lt;"&amp;EDATE(DATEVALUE(C195&amp;"-01"),2))&gt;0,1,0)</f>
        <v>1</v>
      </c>
      <c r="I195" s="37">
        <f>IF(COUNTIFS('📋 Транзакції'!$B$5:$B$3623,A195,'📋 Транзакції'!$C$5:$C$3623,"&gt;="&amp;EDATE(DATEVALUE(C195&amp;"-01"),2),'📋 Транзакції'!$C$5:$C$3623,"&lt;"&amp;EDATE(DATEVALUE(C195&amp;"-01"),3))&gt;0,1,0)</f>
        <v>1</v>
      </c>
      <c r="J195" s="37">
        <f>IF(COUNTIFS('📋 Транзакції'!$B$5:$B$3623,A195,'📋 Транзакції'!$C$5:$C$3623,"&gt;="&amp;EDATE(DATEVALUE(C195&amp;"-01"),3),'📋 Транзакції'!$C$5:$C$3623,"&lt;"&amp;EDATE(DATEVALUE(C195&amp;"-01"),4))&gt;0,1,0)</f>
        <v>1</v>
      </c>
      <c r="K195" s="37">
        <f>IF(COUNTIFS('📋 Транзакції'!$B$5:$B$3623,A195,'📋 Транзакції'!$C$5:$C$3623,"&gt;="&amp;EDATE(DATEVALUE(C195&amp;"-01"),4),'📋 Транзакції'!$C$5:$C$3623,"&lt;"&amp;EDATE(DATEVALUE(C195&amp;"-01"),5))&gt;0,1,0)</f>
        <v>1</v>
      </c>
      <c r="L195" s="37">
        <f>IF(COUNTIFS('📋 Транзакції'!$B$5:$B$3623,A195,'📋 Транзакції'!$C$5:$C$3623,"&gt;="&amp;EDATE(DATEVALUE(C195&amp;"-01"),5),'📋 Транзакції'!$C$5:$C$3623,"&lt;"&amp;EDATE(DATEVALUE(C195&amp;"-01"),6))&gt;0,1,0)</f>
        <v>0</v>
      </c>
      <c r="M195" s="37">
        <f>IF(COUNTIFS('📋 Транзакції'!$B$5:$B$3623,A195,'📋 Транзакції'!$C$5:$C$3623,"&gt;="&amp;EDATE(DATEVALUE(C195&amp;"-01"),6),'📋 Транзакції'!$C$5:$C$3623,"&lt;"&amp;EDATE(DATEVALUE(C195&amp;"-01"),7))&gt;0,1,0)</f>
        <v>0</v>
      </c>
      <c r="N195" s="37">
        <f>IF(COUNTIFS('📋 Транзакції'!$B$5:$B$3623,A195,'📋 Транзакції'!$C$5:$C$3623,"&gt;="&amp;EDATE(DATEVALUE(C195&amp;"-01"),7),'📋 Транзакції'!$C$5:$C$3623,"&lt;"&amp;EDATE(DATEVALUE(C195&amp;"-01"),8))&gt;0,1,0)</f>
        <v>0</v>
      </c>
      <c r="O195" s="37">
        <f>IF(COUNTIFS('📋 Транзакції'!$B$5:$B$3623,A195,'📋 Транзакції'!$C$5:$C$3623,"&gt;="&amp;EDATE(DATEVALUE(C195&amp;"-01"),8),'📋 Транзакції'!$C$5:$C$3623,"&lt;"&amp;EDATE(DATEVALUE(C195&amp;"-01"),9))&gt;0,1,0)</f>
        <v>0</v>
      </c>
      <c r="P195" s="37">
        <f>IF(COUNTIFS('📋 Транзакції'!$B$5:$B$3623,A195,'📋 Транзакції'!$C$5:$C$3623,"&gt;="&amp;EDATE(DATEVALUE(C195&amp;"-01"),9),'📋 Транзакції'!$C$5:$C$3623,"&lt;"&amp;EDATE(DATEVALUE(C195&amp;"-01"),10))&gt;0,1,0)</f>
        <v>0</v>
      </c>
      <c r="Q195" s="37">
        <f>IF(COUNTIFS('📋 Транзакції'!$B$5:$B$3623,A195,'📋 Транзакції'!$C$5:$C$3623,"&gt;="&amp;EDATE(DATEVALUE(C195&amp;"-01"),10),'📋 Транзакції'!$C$5:$C$3623,"&lt;"&amp;EDATE(DATEVALUE(C195&amp;"-01"),11))&gt;0,1,0)</f>
        <v>0</v>
      </c>
      <c r="R195" s="37">
        <f>IF(COUNTIFS('📋 Транзакції'!$B$5:$B$3623,A195,'📋 Транзакції'!$C$5:$C$3623,"&gt;="&amp;EDATE(DATEVALUE(C195&amp;"-01"),11),'📋 Транзакції'!$C$5:$C$3623,"&lt;"&amp;EDATE(DATEVALUE(C195&amp;"-01"),12))&gt;0,1,0)</f>
        <v>0</v>
      </c>
      <c r="S195" s="37">
        <f>SUMIFS('📋 Транзакції'!$F$5:$F$3623,'📋 Транзакції'!$B$5:$B$3623,A195,'📋 Транзакції'!$C$5:$C$3623,"&gt;="&amp;EDATE(DATEVALUE(C195&amp;"-01"),0),'📋 Транзакції'!$C$5:$C$3623,"&lt;"&amp;EDATE(DATEVALUE(C195&amp;"-01"),1))</f>
        <v>19.99</v>
      </c>
      <c r="T195" s="37">
        <f>SUMIFS('📋 Транзакції'!$F$5:$F$3623,'📋 Транзакції'!$B$5:$B$3623,A195,'📋 Транзакції'!$C$5:$C$3623,"&gt;="&amp;EDATE(DATEVALUE(C195&amp;"-01"),1),'📋 Транзакції'!$C$5:$C$3623,"&lt;"&amp;EDATE(DATEVALUE(C195&amp;"-01"),2))</f>
        <v>19.99</v>
      </c>
      <c r="U195" s="37">
        <f>SUMIFS('📋 Транзакції'!$F$5:$F$3623,'📋 Транзакції'!$B$5:$B$3623,A195,'📋 Транзакції'!$C$5:$C$3623,"&gt;="&amp;EDATE(DATEVALUE(C195&amp;"-01"),2),'📋 Транзакції'!$C$5:$C$3623,"&lt;"&amp;EDATE(DATEVALUE(C195&amp;"-01"),3))</f>
        <v>19.99</v>
      </c>
      <c r="V195" s="37">
        <f>SUMIFS('📋 Транзакції'!$F$5:$F$3623,'📋 Транзакції'!$B$5:$B$3623,A195,'📋 Транзакції'!$C$5:$C$3623,"&gt;="&amp;EDATE(DATEVALUE(C195&amp;"-01"),3),'📋 Транзакції'!$C$5:$C$3623,"&lt;"&amp;EDATE(DATEVALUE(C195&amp;"-01"),4))</f>
        <v>19.99</v>
      </c>
      <c r="W195" s="37">
        <f>SUMIFS('📋 Транзакції'!$F$5:$F$3623,'📋 Транзакції'!$B$5:$B$3623,A195,'📋 Транзакції'!$C$5:$C$3623,"&gt;="&amp;EDATE(DATEVALUE(C195&amp;"-01"),4),'📋 Транзакції'!$C$5:$C$3623,"&lt;"&amp;EDATE(DATEVALUE(C195&amp;"-01"),5))</f>
        <v>19.99</v>
      </c>
      <c r="X195" s="37">
        <f>SUMIFS('📋 Транзакції'!$F$5:$F$3623,'📋 Транзакції'!$B$5:$B$3623,A195,'📋 Транзакції'!$C$5:$C$3623,"&gt;="&amp;EDATE(DATEVALUE(C195&amp;"-01"),5),'📋 Транзакції'!$C$5:$C$3623,"&lt;"&amp;EDATE(DATEVALUE(C195&amp;"-01"),6))</f>
        <v>0</v>
      </c>
      <c r="Y195" s="37">
        <f>SUMIFS('📋 Транзакції'!$F$5:$F$3623,'📋 Транзакції'!$B$5:$B$3623,A195,'📋 Транзакції'!$C$5:$C$3623,"&gt;="&amp;EDATE(DATEVALUE(C195&amp;"-01"),6),'📋 Транзакції'!$C$5:$C$3623,"&lt;"&amp;EDATE(DATEVALUE(C195&amp;"-01"),7))</f>
        <v>0</v>
      </c>
      <c r="Z195" s="37">
        <f>SUMIFS('📋 Транзакції'!$F$5:$F$3623,'📋 Транзакції'!$B$5:$B$3623,A195,'📋 Транзакції'!$C$5:$C$3623,"&gt;="&amp;EDATE(DATEVALUE(C195&amp;"-01"),7),'📋 Транзакції'!$C$5:$C$3623,"&lt;"&amp;EDATE(DATEVALUE(C195&amp;"-01"),8))</f>
        <v>0</v>
      </c>
      <c r="AA195" s="37">
        <f>SUMIFS('📋 Транзакції'!$F$5:$F$3623,'📋 Транзакції'!$B$5:$B$3623,A195,'📋 Транзакції'!$C$5:$C$3623,"&gt;="&amp;EDATE(DATEVALUE(C195&amp;"-01"),8),'📋 Транзакції'!$C$5:$C$3623,"&lt;"&amp;EDATE(DATEVALUE(C195&amp;"-01"),9))</f>
        <v>0</v>
      </c>
      <c r="AB195" s="37">
        <f>SUMIFS('📋 Транзакції'!$F$5:$F$3623,'📋 Транзакції'!$B$5:$B$3623,A195,'📋 Транзакції'!$C$5:$C$3623,"&gt;="&amp;EDATE(DATEVALUE(C195&amp;"-01"),9),'📋 Транзакції'!$C$5:$C$3623,"&lt;"&amp;EDATE(DATEVALUE(C195&amp;"-01"),10))</f>
        <v>0</v>
      </c>
      <c r="AC195" s="37">
        <f>SUMIFS('📋 Транзакції'!$F$5:$F$3623,'📋 Транзакції'!$B$5:$B$3623,A195,'📋 Транзакції'!$C$5:$C$3623,"&gt;="&amp;EDATE(DATEVALUE(C195&amp;"-01"),10),'📋 Транзакції'!$C$5:$C$3623,"&lt;"&amp;EDATE(DATEVALUE(C195&amp;"-01"),11))</f>
        <v>0</v>
      </c>
      <c r="AD195" s="37">
        <f>SUMIFS('📋 Транзакції'!$F$5:$F$3623,'📋 Транзакції'!$B$5:$B$3623,A195,'📋 Транзакції'!$C$5:$C$3623,"&gt;="&amp;EDATE(DATEVALUE(C195&amp;"-01"),11),'📋 Транзакції'!$C$5:$C$3623,"&lt;"&amp;EDATE(DATEVALUE(C195&amp;"-01"),12))</f>
        <v>0</v>
      </c>
    </row>
    <row r="196" ht="15.75" customHeight="1">
      <c r="A196" s="33" t="str">
        <f>'📋 Реєстрації'!A196:A797</f>
        <v>U0254</v>
      </c>
      <c r="B196" s="34">
        <f t="array" ref="B196">INDEX('📋 Транзакції'!$C$5:$C$3623,MATCH(A196,'📋 Транзакції'!$B$5:$B$3623,0))</f>
        <v>45484</v>
      </c>
      <c r="C196" s="35" t="str">
        <f t="shared" si="1"/>
        <v>2024-07</v>
      </c>
      <c r="D196" s="36">
        <f>COUNTIF('📋 Транзакції'!$B$5:$B$3623,A196)</f>
        <v>10</v>
      </c>
      <c r="E196" s="36">
        <f>SUMIF('📋 Транзакції'!$B$5:$B$3623,A196,'📋 Транзакції'!$F$5:$F$3623)</f>
        <v>179.91</v>
      </c>
      <c r="F196" s="35">
        <f>INT($A$1-MAXIFS('📋 Транзакції'!$C$5:$C$3623,'📋 Транзакції'!$B$5:$B$3623,A196))</f>
        <v>16</v>
      </c>
      <c r="G196" s="37">
        <f>IF(COUNTIFS('📋 Транзакції'!$B$5:$B$3623,A196,'📋 Транзакції'!$C$5:$C$3623,"&gt;="&amp;EDATE(DATEVALUE(C196&amp;"-01"),0),'📋 Транзакції'!$C$5:$C$3623,"&lt;"&amp;EDATE(DATEVALUE(C196&amp;"-01"),1))&gt;0,1,0)</f>
        <v>1</v>
      </c>
      <c r="H196" s="37">
        <f>IF(COUNTIFS('📋 Транзакції'!$B$5:$B$3623,A196,'📋 Транзакції'!$C$5:$C$3623,"&gt;="&amp;EDATE(DATEVALUE(C196&amp;"-01"),1),'📋 Транзакції'!$C$5:$C$3623,"&lt;"&amp;EDATE(DATEVALUE(C196&amp;"-01"),2))&gt;0,1,0)</f>
        <v>1</v>
      </c>
      <c r="I196" s="37">
        <f>IF(COUNTIFS('📋 Транзакції'!$B$5:$B$3623,A196,'📋 Транзакції'!$C$5:$C$3623,"&gt;="&amp;EDATE(DATEVALUE(C196&amp;"-01"),2),'📋 Транзакції'!$C$5:$C$3623,"&lt;"&amp;EDATE(DATEVALUE(C196&amp;"-01"),3))&gt;0,1,0)</f>
        <v>1</v>
      </c>
      <c r="J196" s="37">
        <f>IF(COUNTIFS('📋 Транзакції'!$B$5:$B$3623,A196,'📋 Транзакції'!$C$5:$C$3623,"&gt;="&amp;EDATE(DATEVALUE(C196&amp;"-01"),3),'📋 Транзакції'!$C$5:$C$3623,"&lt;"&amp;EDATE(DATEVALUE(C196&amp;"-01"),4))&gt;0,1,0)</f>
        <v>1</v>
      </c>
      <c r="K196" s="37">
        <f>IF(COUNTIFS('📋 Транзакції'!$B$5:$B$3623,A196,'📋 Транзакції'!$C$5:$C$3623,"&gt;="&amp;EDATE(DATEVALUE(C196&amp;"-01"),4),'📋 Транзакції'!$C$5:$C$3623,"&lt;"&amp;EDATE(DATEVALUE(C196&amp;"-01"),5))&gt;0,1,0)</f>
        <v>1</v>
      </c>
      <c r="L196" s="37">
        <f>IF(COUNTIFS('📋 Транзакції'!$B$5:$B$3623,A196,'📋 Транзакції'!$C$5:$C$3623,"&gt;="&amp;EDATE(DATEVALUE(C196&amp;"-01"),5),'📋 Транзакції'!$C$5:$C$3623,"&lt;"&amp;EDATE(DATEVALUE(C196&amp;"-01"),6))&gt;0,1,0)</f>
        <v>1</v>
      </c>
      <c r="M196" s="37">
        <f>IF(COUNTIFS('📋 Транзакції'!$B$5:$B$3623,A196,'📋 Транзакції'!$C$5:$C$3623,"&gt;="&amp;EDATE(DATEVALUE(C196&amp;"-01"),6),'📋 Транзакції'!$C$5:$C$3623,"&lt;"&amp;EDATE(DATEVALUE(C196&amp;"-01"),7))&gt;0,1,0)</f>
        <v>1</v>
      </c>
      <c r="N196" s="37">
        <f>IF(COUNTIFS('📋 Транзакції'!$B$5:$B$3623,A196,'📋 Транзакції'!$C$5:$C$3623,"&gt;="&amp;EDATE(DATEVALUE(C196&amp;"-01"),7),'📋 Транзакції'!$C$5:$C$3623,"&lt;"&amp;EDATE(DATEVALUE(C196&amp;"-01"),8))&gt;0,1,0)</f>
        <v>1</v>
      </c>
      <c r="O196" s="37">
        <f>IF(COUNTIFS('📋 Транзакції'!$B$5:$B$3623,A196,'📋 Транзакції'!$C$5:$C$3623,"&gt;="&amp;EDATE(DATEVALUE(C196&amp;"-01"),8),'📋 Транзакції'!$C$5:$C$3623,"&lt;"&amp;EDATE(DATEVALUE(C196&amp;"-01"),9))&gt;0,1,0)</f>
        <v>1</v>
      </c>
      <c r="P196" s="37">
        <f>IF(COUNTIFS('📋 Транзакції'!$B$5:$B$3623,A196,'📋 Транзакції'!$C$5:$C$3623,"&gt;="&amp;EDATE(DATEVALUE(C196&amp;"-01"),9),'📋 Транзакції'!$C$5:$C$3623,"&lt;"&amp;EDATE(DATEVALUE(C196&amp;"-01"),10))&gt;0,1,0)</f>
        <v>0</v>
      </c>
      <c r="Q196" s="37">
        <f>IF(COUNTIFS('📋 Транзакції'!$B$5:$B$3623,A196,'📋 Транзакції'!$C$5:$C$3623,"&gt;="&amp;EDATE(DATEVALUE(C196&amp;"-01"),10),'📋 Транзакції'!$C$5:$C$3623,"&lt;"&amp;EDATE(DATEVALUE(C196&amp;"-01"),11))&gt;0,1,0)</f>
        <v>0</v>
      </c>
      <c r="R196" s="37">
        <f>IF(COUNTIFS('📋 Транзакції'!$B$5:$B$3623,A196,'📋 Транзакції'!$C$5:$C$3623,"&gt;="&amp;EDATE(DATEVALUE(C196&amp;"-01"),11),'📋 Транзакції'!$C$5:$C$3623,"&lt;"&amp;EDATE(DATEVALUE(C196&amp;"-01"),12))&gt;0,1,0)</f>
        <v>0</v>
      </c>
      <c r="S196" s="37">
        <f>SUMIFS('📋 Транзакції'!$F$5:$F$3623,'📋 Транзакції'!$B$5:$B$3623,A196,'📋 Транзакції'!$C$5:$C$3623,"&gt;="&amp;EDATE(DATEVALUE(C196&amp;"-01"),0),'📋 Транзакції'!$C$5:$C$3623,"&lt;"&amp;EDATE(DATEVALUE(C196&amp;"-01"),1))</f>
        <v>19.99</v>
      </c>
      <c r="T196" s="37">
        <f>SUMIFS('📋 Транзакції'!$F$5:$F$3623,'📋 Транзакції'!$B$5:$B$3623,A196,'📋 Транзакції'!$C$5:$C$3623,"&gt;="&amp;EDATE(DATEVALUE(C196&amp;"-01"),1),'📋 Транзакції'!$C$5:$C$3623,"&lt;"&amp;EDATE(DATEVALUE(C196&amp;"-01"),2))</f>
        <v>19.99</v>
      </c>
      <c r="U196" s="37">
        <f>SUMIFS('📋 Транзакції'!$F$5:$F$3623,'📋 Транзакції'!$B$5:$B$3623,A196,'📋 Транзакції'!$C$5:$C$3623,"&gt;="&amp;EDATE(DATEVALUE(C196&amp;"-01"),2),'📋 Транзакції'!$C$5:$C$3623,"&lt;"&amp;EDATE(DATEVALUE(C196&amp;"-01"),3))</f>
        <v>19.99</v>
      </c>
      <c r="V196" s="37">
        <f>SUMIFS('📋 Транзакції'!$F$5:$F$3623,'📋 Транзакції'!$B$5:$B$3623,A196,'📋 Транзакції'!$C$5:$C$3623,"&gt;="&amp;EDATE(DATEVALUE(C196&amp;"-01"),3),'📋 Транзакції'!$C$5:$C$3623,"&lt;"&amp;EDATE(DATEVALUE(C196&amp;"-01"),4))</f>
        <v>19.99</v>
      </c>
      <c r="W196" s="37">
        <f>SUMIFS('📋 Транзакції'!$F$5:$F$3623,'📋 Транзакції'!$B$5:$B$3623,A196,'📋 Транзакції'!$C$5:$C$3623,"&gt;="&amp;EDATE(DATEVALUE(C196&amp;"-01"),4),'📋 Транзакції'!$C$5:$C$3623,"&lt;"&amp;EDATE(DATEVALUE(C196&amp;"-01"),5))</f>
        <v>19.99</v>
      </c>
      <c r="X196" s="37">
        <f>SUMIFS('📋 Транзакції'!$F$5:$F$3623,'📋 Транзакції'!$B$5:$B$3623,A196,'📋 Транзакції'!$C$5:$C$3623,"&gt;="&amp;EDATE(DATEVALUE(C196&amp;"-01"),5),'📋 Транзакції'!$C$5:$C$3623,"&lt;"&amp;EDATE(DATEVALUE(C196&amp;"-01"),6))</f>
        <v>19.99</v>
      </c>
      <c r="Y196" s="37">
        <f>SUMIFS('📋 Транзакції'!$F$5:$F$3623,'📋 Транзакції'!$B$5:$B$3623,A196,'📋 Транзакції'!$C$5:$C$3623,"&gt;="&amp;EDATE(DATEVALUE(C196&amp;"-01"),6),'📋 Транзакції'!$C$5:$C$3623,"&lt;"&amp;EDATE(DATEVALUE(C196&amp;"-01"),7))</f>
        <v>19.99</v>
      </c>
      <c r="Z196" s="37">
        <f>SUMIFS('📋 Транзакції'!$F$5:$F$3623,'📋 Транзакції'!$B$5:$B$3623,A196,'📋 Транзакції'!$C$5:$C$3623,"&gt;="&amp;EDATE(DATEVALUE(C196&amp;"-01"),7),'📋 Транзакції'!$C$5:$C$3623,"&lt;"&amp;EDATE(DATEVALUE(C196&amp;"-01"),8))</f>
        <v>19.99</v>
      </c>
      <c r="AA196" s="37">
        <f>SUMIFS('📋 Транзакції'!$F$5:$F$3623,'📋 Транзакції'!$B$5:$B$3623,A196,'📋 Транзакції'!$C$5:$C$3623,"&gt;="&amp;EDATE(DATEVALUE(C196&amp;"-01"),8),'📋 Транзакції'!$C$5:$C$3623,"&lt;"&amp;EDATE(DATEVALUE(C196&amp;"-01"),9))</f>
        <v>19.99</v>
      </c>
      <c r="AB196" s="37">
        <f>SUMIFS('📋 Транзакції'!$F$5:$F$3623,'📋 Транзакції'!$B$5:$B$3623,A196,'📋 Транзакції'!$C$5:$C$3623,"&gt;="&amp;EDATE(DATEVALUE(C196&amp;"-01"),9),'📋 Транзакції'!$C$5:$C$3623,"&lt;"&amp;EDATE(DATEVALUE(C196&amp;"-01"),10))</f>
        <v>0</v>
      </c>
      <c r="AC196" s="37">
        <f>SUMIFS('📋 Транзакції'!$F$5:$F$3623,'📋 Транзакції'!$B$5:$B$3623,A196,'📋 Транзакції'!$C$5:$C$3623,"&gt;="&amp;EDATE(DATEVALUE(C196&amp;"-01"),10),'📋 Транзакції'!$C$5:$C$3623,"&lt;"&amp;EDATE(DATEVALUE(C196&amp;"-01"),11))</f>
        <v>0</v>
      </c>
      <c r="AD196" s="37">
        <f>SUMIFS('📋 Транзакції'!$F$5:$F$3623,'📋 Транзакції'!$B$5:$B$3623,A196,'📋 Транзакції'!$C$5:$C$3623,"&gt;="&amp;EDATE(DATEVALUE(C196&amp;"-01"),11),'📋 Транзакції'!$C$5:$C$3623,"&lt;"&amp;EDATE(DATEVALUE(C196&amp;"-01"),12))</f>
        <v>0</v>
      </c>
    </row>
    <row r="197" ht="15.75" customHeight="1">
      <c r="A197" s="33" t="str">
        <f>'📋 Реєстрації'!A197:A798</f>
        <v>U0387</v>
      </c>
      <c r="B197" s="34">
        <f t="array" ref="B197">INDEX('📋 Транзакції'!$C$5:$C$3623,MATCH(A197,'📋 Транзакції'!$B$5:$B$3623,0))</f>
        <v>45486</v>
      </c>
      <c r="C197" s="35" t="str">
        <f t="shared" si="1"/>
        <v>2024-07</v>
      </c>
      <c r="D197" s="36">
        <f>COUNTIF('📋 Транзакції'!$B$5:$B$3623,A197)</f>
        <v>10</v>
      </c>
      <c r="E197" s="36">
        <f>SUMIF('📋 Транзакції'!$B$5:$B$3623,A197,'📋 Транзакції'!$F$5:$F$3623)</f>
        <v>179.91</v>
      </c>
      <c r="F197" s="35">
        <f>INT($A$1-MAXIFS('📋 Транзакції'!$C$5:$C$3623,'📋 Транзакції'!$B$5:$B$3623,A197))</f>
        <v>14</v>
      </c>
      <c r="G197" s="37">
        <f>IF(COUNTIFS('📋 Транзакції'!$B$5:$B$3623,A197,'📋 Транзакції'!$C$5:$C$3623,"&gt;="&amp;EDATE(DATEVALUE(C197&amp;"-01"),0),'📋 Транзакції'!$C$5:$C$3623,"&lt;"&amp;EDATE(DATEVALUE(C197&amp;"-01"),1))&gt;0,1,0)</f>
        <v>1</v>
      </c>
      <c r="H197" s="37">
        <f>IF(COUNTIFS('📋 Транзакції'!$B$5:$B$3623,A197,'📋 Транзакції'!$C$5:$C$3623,"&gt;="&amp;EDATE(DATEVALUE(C197&amp;"-01"),1),'📋 Транзакції'!$C$5:$C$3623,"&lt;"&amp;EDATE(DATEVALUE(C197&amp;"-01"),2))&gt;0,1,0)</f>
        <v>1</v>
      </c>
      <c r="I197" s="37">
        <f>IF(COUNTIFS('📋 Транзакції'!$B$5:$B$3623,A197,'📋 Транзакції'!$C$5:$C$3623,"&gt;="&amp;EDATE(DATEVALUE(C197&amp;"-01"),2),'📋 Транзакції'!$C$5:$C$3623,"&lt;"&amp;EDATE(DATEVALUE(C197&amp;"-01"),3))&gt;0,1,0)</f>
        <v>1</v>
      </c>
      <c r="J197" s="37">
        <f>IF(COUNTIFS('📋 Транзакції'!$B$5:$B$3623,A197,'📋 Транзакції'!$C$5:$C$3623,"&gt;="&amp;EDATE(DATEVALUE(C197&amp;"-01"),3),'📋 Транзакції'!$C$5:$C$3623,"&lt;"&amp;EDATE(DATEVALUE(C197&amp;"-01"),4))&gt;0,1,0)</f>
        <v>1</v>
      </c>
      <c r="K197" s="37">
        <f>IF(COUNTIFS('📋 Транзакції'!$B$5:$B$3623,A197,'📋 Транзакції'!$C$5:$C$3623,"&gt;="&amp;EDATE(DATEVALUE(C197&amp;"-01"),4),'📋 Транзакції'!$C$5:$C$3623,"&lt;"&amp;EDATE(DATEVALUE(C197&amp;"-01"),5))&gt;0,1,0)</f>
        <v>1</v>
      </c>
      <c r="L197" s="37">
        <f>IF(COUNTIFS('📋 Транзакції'!$B$5:$B$3623,A197,'📋 Транзакції'!$C$5:$C$3623,"&gt;="&amp;EDATE(DATEVALUE(C197&amp;"-01"),5),'📋 Транзакції'!$C$5:$C$3623,"&lt;"&amp;EDATE(DATEVALUE(C197&amp;"-01"),6))&gt;0,1,0)</f>
        <v>1</v>
      </c>
      <c r="M197" s="37">
        <f>IF(COUNTIFS('📋 Транзакції'!$B$5:$B$3623,A197,'📋 Транзакції'!$C$5:$C$3623,"&gt;="&amp;EDATE(DATEVALUE(C197&amp;"-01"),6),'📋 Транзакції'!$C$5:$C$3623,"&lt;"&amp;EDATE(DATEVALUE(C197&amp;"-01"),7))&gt;0,1,0)</f>
        <v>1</v>
      </c>
      <c r="N197" s="37">
        <f>IF(COUNTIFS('📋 Транзакції'!$B$5:$B$3623,A197,'📋 Транзакції'!$C$5:$C$3623,"&gt;="&amp;EDATE(DATEVALUE(C197&amp;"-01"),7),'📋 Транзакції'!$C$5:$C$3623,"&lt;"&amp;EDATE(DATEVALUE(C197&amp;"-01"),8))&gt;0,1,0)</f>
        <v>1</v>
      </c>
      <c r="O197" s="37">
        <f>IF(COUNTIFS('📋 Транзакції'!$B$5:$B$3623,A197,'📋 Транзакції'!$C$5:$C$3623,"&gt;="&amp;EDATE(DATEVALUE(C197&amp;"-01"),8),'📋 Транзакції'!$C$5:$C$3623,"&lt;"&amp;EDATE(DATEVALUE(C197&amp;"-01"),9))&gt;0,1,0)</f>
        <v>1</v>
      </c>
      <c r="P197" s="37">
        <f>IF(COUNTIFS('📋 Транзакції'!$B$5:$B$3623,A197,'📋 Транзакції'!$C$5:$C$3623,"&gt;="&amp;EDATE(DATEVALUE(C197&amp;"-01"),9),'📋 Транзакції'!$C$5:$C$3623,"&lt;"&amp;EDATE(DATEVALUE(C197&amp;"-01"),10))&gt;0,1,0)</f>
        <v>0</v>
      </c>
      <c r="Q197" s="37">
        <f>IF(COUNTIFS('📋 Транзакції'!$B$5:$B$3623,A197,'📋 Транзакції'!$C$5:$C$3623,"&gt;="&amp;EDATE(DATEVALUE(C197&amp;"-01"),10),'📋 Транзакції'!$C$5:$C$3623,"&lt;"&amp;EDATE(DATEVALUE(C197&amp;"-01"),11))&gt;0,1,0)</f>
        <v>0</v>
      </c>
      <c r="R197" s="37">
        <f>IF(COUNTIFS('📋 Транзакції'!$B$5:$B$3623,A197,'📋 Транзакції'!$C$5:$C$3623,"&gt;="&amp;EDATE(DATEVALUE(C197&amp;"-01"),11),'📋 Транзакції'!$C$5:$C$3623,"&lt;"&amp;EDATE(DATEVALUE(C197&amp;"-01"),12))&gt;0,1,0)</f>
        <v>0</v>
      </c>
      <c r="S197" s="37">
        <f>SUMIFS('📋 Транзакції'!$F$5:$F$3623,'📋 Транзакції'!$B$5:$B$3623,A197,'📋 Транзакції'!$C$5:$C$3623,"&gt;="&amp;EDATE(DATEVALUE(C197&amp;"-01"),0),'📋 Транзакції'!$C$5:$C$3623,"&lt;"&amp;EDATE(DATEVALUE(C197&amp;"-01"),1))</f>
        <v>19.99</v>
      </c>
      <c r="T197" s="37">
        <f>SUMIFS('📋 Транзакції'!$F$5:$F$3623,'📋 Транзакції'!$B$5:$B$3623,A197,'📋 Транзакції'!$C$5:$C$3623,"&gt;="&amp;EDATE(DATEVALUE(C197&amp;"-01"),1),'📋 Транзакції'!$C$5:$C$3623,"&lt;"&amp;EDATE(DATEVALUE(C197&amp;"-01"),2))</f>
        <v>19.99</v>
      </c>
      <c r="U197" s="37">
        <f>SUMIFS('📋 Транзакції'!$F$5:$F$3623,'📋 Транзакції'!$B$5:$B$3623,A197,'📋 Транзакції'!$C$5:$C$3623,"&gt;="&amp;EDATE(DATEVALUE(C197&amp;"-01"),2),'📋 Транзакції'!$C$5:$C$3623,"&lt;"&amp;EDATE(DATEVALUE(C197&amp;"-01"),3))</f>
        <v>19.99</v>
      </c>
      <c r="V197" s="37">
        <f>SUMIFS('📋 Транзакції'!$F$5:$F$3623,'📋 Транзакції'!$B$5:$B$3623,A197,'📋 Транзакції'!$C$5:$C$3623,"&gt;="&amp;EDATE(DATEVALUE(C197&amp;"-01"),3),'📋 Транзакції'!$C$5:$C$3623,"&lt;"&amp;EDATE(DATEVALUE(C197&amp;"-01"),4))</f>
        <v>19.99</v>
      </c>
      <c r="W197" s="37">
        <f>SUMIFS('📋 Транзакції'!$F$5:$F$3623,'📋 Транзакції'!$B$5:$B$3623,A197,'📋 Транзакції'!$C$5:$C$3623,"&gt;="&amp;EDATE(DATEVALUE(C197&amp;"-01"),4),'📋 Транзакції'!$C$5:$C$3623,"&lt;"&amp;EDATE(DATEVALUE(C197&amp;"-01"),5))</f>
        <v>19.99</v>
      </c>
      <c r="X197" s="37">
        <f>SUMIFS('📋 Транзакції'!$F$5:$F$3623,'📋 Транзакції'!$B$5:$B$3623,A197,'📋 Транзакції'!$C$5:$C$3623,"&gt;="&amp;EDATE(DATEVALUE(C197&amp;"-01"),5),'📋 Транзакції'!$C$5:$C$3623,"&lt;"&amp;EDATE(DATEVALUE(C197&amp;"-01"),6))</f>
        <v>19.99</v>
      </c>
      <c r="Y197" s="37">
        <f>SUMIFS('📋 Транзакції'!$F$5:$F$3623,'📋 Транзакції'!$B$5:$B$3623,A197,'📋 Транзакції'!$C$5:$C$3623,"&gt;="&amp;EDATE(DATEVALUE(C197&amp;"-01"),6),'📋 Транзакції'!$C$5:$C$3623,"&lt;"&amp;EDATE(DATEVALUE(C197&amp;"-01"),7))</f>
        <v>19.99</v>
      </c>
      <c r="Z197" s="37">
        <f>SUMIFS('📋 Транзакції'!$F$5:$F$3623,'📋 Транзакції'!$B$5:$B$3623,A197,'📋 Транзакції'!$C$5:$C$3623,"&gt;="&amp;EDATE(DATEVALUE(C197&amp;"-01"),7),'📋 Транзакції'!$C$5:$C$3623,"&lt;"&amp;EDATE(DATEVALUE(C197&amp;"-01"),8))</f>
        <v>19.99</v>
      </c>
      <c r="AA197" s="37">
        <f>SUMIFS('📋 Транзакції'!$F$5:$F$3623,'📋 Транзакції'!$B$5:$B$3623,A197,'📋 Транзакції'!$C$5:$C$3623,"&gt;="&amp;EDATE(DATEVALUE(C197&amp;"-01"),8),'📋 Транзакції'!$C$5:$C$3623,"&lt;"&amp;EDATE(DATEVALUE(C197&amp;"-01"),9))</f>
        <v>19.99</v>
      </c>
      <c r="AB197" s="37">
        <f>SUMIFS('📋 Транзакції'!$F$5:$F$3623,'📋 Транзакції'!$B$5:$B$3623,A197,'📋 Транзакції'!$C$5:$C$3623,"&gt;="&amp;EDATE(DATEVALUE(C197&amp;"-01"),9),'📋 Транзакції'!$C$5:$C$3623,"&lt;"&amp;EDATE(DATEVALUE(C197&amp;"-01"),10))</f>
        <v>0</v>
      </c>
      <c r="AC197" s="37">
        <f>SUMIFS('📋 Транзакції'!$F$5:$F$3623,'📋 Транзакції'!$B$5:$B$3623,A197,'📋 Транзакції'!$C$5:$C$3623,"&gt;="&amp;EDATE(DATEVALUE(C197&amp;"-01"),10),'📋 Транзакції'!$C$5:$C$3623,"&lt;"&amp;EDATE(DATEVALUE(C197&amp;"-01"),11))</f>
        <v>0</v>
      </c>
      <c r="AD197" s="37">
        <f>SUMIFS('📋 Транзакції'!$F$5:$F$3623,'📋 Транзакції'!$B$5:$B$3623,A197,'📋 Транзакції'!$C$5:$C$3623,"&gt;="&amp;EDATE(DATEVALUE(C197&amp;"-01"),11),'📋 Транзакції'!$C$5:$C$3623,"&lt;"&amp;EDATE(DATEVALUE(C197&amp;"-01"),12))</f>
        <v>0</v>
      </c>
    </row>
    <row r="198" ht="15.75" customHeight="1">
      <c r="A198" s="33" t="str">
        <f>'📋 Реєстрації'!A198:A799</f>
        <v>U0602</v>
      </c>
      <c r="B198" s="34">
        <f t="array" ref="B198">INDEX('📋 Транзакції'!$C$5:$C$3623,MATCH(A198,'📋 Транзакції'!$B$5:$B$3623,0))</f>
        <v>45486</v>
      </c>
      <c r="C198" s="35" t="str">
        <f t="shared" si="1"/>
        <v>2024-07</v>
      </c>
      <c r="D198" s="36">
        <f>COUNTIF('📋 Транзакції'!$B$5:$B$3623,A198)</f>
        <v>10</v>
      </c>
      <c r="E198" s="36">
        <f>SUMIF('📋 Транзакції'!$B$5:$B$3623,A198,'📋 Транзакції'!$F$5:$F$3623)</f>
        <v>179.91</v>
      </c>
      <c r="F198" s="35">
        <f>INT($A$1-MAXIFS('📋 Транзакції'!$C$5:$C$3623,'📋 Транзакції'!$B$5:$B$3623,A198))</f>
        <v>14</v>
      </c>
      <c r="G198" s="37">
        <f>IF(COUNTIFS('📋 Транзакції'!$B$5:$B$3623,A198,'📋 Транзакції'!$C$5:$C$3623,"&gt;="&amp;EDATE(DATEVALUE(C198&amp;"-01"),0),'📋 Транзакції'!$C$5:$C$3623,"&lt;"&amp;EDATE(DATEVALUE(C198&amp;"-01"),1))&gt;0,1,0)</f>
        <v>1</v>
      </c>
      <c r="H198" s="37">
        <f>IF(COUNTIFS('📋 Транзакції'!$B$5:$B$3623,A198,'📋 Транзакції'!$C$5:$C$3623,"&gt;="&amp;EDATE(DATEVALUE(C198&amp;"-01"),1),'📋 Транзакції'!$C$5:$C$3623,"&lt;"&amp;EDATE(DATEVALUE(C198&amp;"-01"),2))&gt;0,1,0)</f>
        <v>1</v>
      </c>
      <c r="I198" s="37">
        <f>IF(COUNTIFS('📋 Транзакції'!$B$5:$B$3623,A198,'📋 Транзакції'!$C$5:$C$3623,"&gt;="&amp;EDATE(DATEVALUE(C198&amp;"-01"),2),'📋 Транзакції'!$C$5:$C$3623,"&lt;"&amp;EDATE(DATEVALUE(C198&amp;"-01"),3))&gt;0,1,0)</f>
        <v>1</v>
      </c>
      <c r="J198" s="37">
        <f>IF(COUNTIFS('📋 Транзакції'!$B$5:$B$3623,A198,'📋 Транзакції'!$C$5:$C$3623,"&gt;="&amp;EDATE(DATEVALUE(C198&amp;"-01"),3),'📋 Транзакції'!$C$5:$C$3623,"&lt;"&amp;EDATE(DATEVALUE(C198&amp;"-01"),4))&gt;0,1,0)</f>
        <v>1</v>
      </c>
      <c r="K198" s="37">
        <f>IF(COUNTIFS('📋 Транзакції'!$B$5:$B$3623,A198,'📋 Транзакції'!$C$5:$C$3623,"&gt;="&amp;EDATE(DATEVALUE(C198&amp;"-01"),4),'📋 Транзакції'!$C$5:$C$3623,"&lt;"&amp;EDATE(DATEVALUE(C198&amp;"-01"),5))&gt;0,1,0)</f>
        <v>1</v>
      </c>
      <c r="L198" s="37">
        <f>IF(COUNTIFS('📋 Транзакції'!$B$5:$B$3623,A198,'📋 Транзакції'!$C$5:$C$3623,"&gt;="&amp;EDATE(DATEVALUE(C198&amp;"-01"),5),'📋 Транзакції'!$C$5:$C$3623,"&lt;"&amp;EDATE(DATEVALUE(C198&amp;"-01"),6))&gt;0,1,0)</f>
        <v>1</v>
      </c>
      <c r="M198" s="37">
        <f>IF(COUNTIFS('📋 Транзакції'!$B$5:$B$3623,A198,'📋 Транзакції'!$C$5:$C$3623,"&gt;="&amp;EDATE(DATEVALUE(C198&amp;"-01"),6),'📋 Транзакції'!$C$5:$C$3623,"&lt;"&amp;EDATE(DATEVALUE(C198&amp;"-01"),7))&gt;0,1,0)</f>
        <v>1</v>
      </c>
      <c r="N198" s="37">
        <f>IF(COUNTIFS('📋 Транзакції'!$B$5:$B$3623,A198,'📋 Транзакції'!$C$5:$C$3623,"&gt;="&amp;EDATE(DATEVALUE(C198&amp;"-01"),7),'📋 Транзакції'!$C$5:$C$3623,"&lt;"&amp;EDATE(DATEVALUE(C198&amp;"-01"),8))&gt;0,1,0)</f>
        <v>1</v>
      </c>
      <c r="O198" s="37">
        <f>IF(COUNTIFS('📋 Транзакції'!$B$5:$B$3623,A198,'📋 Транзакції'!$C$5:$C$3623,"&gt;="&amp;EDATE(DATEVALUE(C198&amp;"-01"),8),'📋 Транзакції'!$C$5:$C$3623,"&lt;"&amp;EDATE(DATEVALUE(C198&amp;"-01"),9))&gt;0,1,0)</f>
        <v>1</v>
      </c>
      <c r="P198" s="37">
        <f>IF(COUNTIFS('📋 Транзакції'!$B$5:$B$3623,A198,'📋 Транзакції'!$C$5:$C$3623,"&gt;="&amp;EDATE(DATEVALUE(C198&amp;"-01"),9),'📋 Транзакції'!$C$5:$C$3623,"&lt;"&amp;EDATE(DATEVALUE(C198&amp;"-01"),10))&gt;0,1,0)</f>
        <v>0</v>
      </c>
      <c r="Q198" s="37">
        <f>IF(COUNTIFS('📋 Транзакції'!$B$5:$B$3623,A198,'📋 Транзакції'!$C$5:$C$3623,"&gt;="&amp;EDATE(DATEVALUE(C198&amp;"-01"),10),'📋 Транзакції'!$C$5:$C$3623,"&lt;"&amp;EDATE(DATEVALUE(C198&amp;"-01"),11))&gt;0,1,0)</f>
        <v>0</v>
      </c>
      <c r="R198" s="37">
        <f>IF(COUNTIFS('📋 Транзакції'!$B$5:$B$3623,A198,'📋 Транзакції'!$C$5:$C$3623,"&gt;="&amp;EDATE(DATEVALUE(C198&amp;"-01"),11),'📋 Транзакції'!$C$5:$C$3623,"&lt;"&amp;EDATE(DATEVALUE(C198&amp;"-01"),12))&gt;0,1,0)</f>
        <v>0</v>
      </c>
      <c r="S198" s="37">
        <f>SUMIFS('📋 Транзакції'!$F$5:$F$3623,'📋 Транзакції'!$B$5:$B$3623,A198,'📋 Транзакції'!$C$5:$C$3623,"&gt;="&amp;EDATE(DATEVALUE(C198&amp;"-01"),0),'📋 Транзакції'!$C$5:$C$3623,"&lt;"&amp;EDATE(DATEVALUE(C198&amp;"-01"),1))</f>
        <v>19.99</v>
      </c>
      <c r="T198" s="37">
        <f>SUMIFS('📋 Транзакції'!$F$5:$F$3623,'📋 Транзакції'!$B$5:$B$3623,A198,'📋 Транзакції'!$C$5:$C$3623,"&gt;="&amp;EDATE(DATEVALUE(C198&amp;"-01"),1),'📋 Транзакції'!$C$5:$C$3623,"&lt;"&amp;EDATE(DATEVALUE(C198&amp;"-01"),2))</f>
        <v>19.99</v>
      </c>
      <c r="U198" s="37">
        <f>SUMIFS('📋 Транзакції'!$F$5:$F$3623,'📋 Транзакції'!$B$5:$B$3623,A198,'📋 Транзакції'!$C$5:$C$3623,"&gt;="&amp;EDATE(DATEVALUE(C198&amp;"-01"),2),'📋 Транзакції'!$C$5:$C$3623,"&lt;"&amp;EDATE(DATEVALUE(C198&amp;"-01"),3))</f>
        <v>19.99</v>
      </c>
      <c r="V198" s="37">
        <f>SUMIFS('📋 Транзакції'!$F$5:$F$3623,'📋 Транзакції'!$B$5:$B$3623,A198,'📋 Транзакції'!$C$5:$C$3623,"&gt;="&amp;EDATE(DATEVALUE(C198&amp;"-01"),3),'📋 Транзакції'!$C$5:$C$3623,"&lt;"&amp;EDATE(DATEVALUE(C198&amp;"-01"),4))</f>
        <v>19.99</v>
      </c>
      <c r="W198" s="37">
        <f>SUMIFS('📋 Транзакції'!$F$5:$F$3623,'📋 Транзакції'!$B$5:$B$3623,A198,'📋 Транзакції'!$C$5:$C$3623,"&gt;="&amp;EDATE(DATEVALUE(C198&amp;"-01"),4),'📋 Транзакції'!$C$5:$C$3623,"&lt;"&amp;EDATE(DATEVALUE(C198&amp;"-01"),5))</f>
        <v>19.99</v>
      </c>
      <c r="X198" s="37">
        <f>SUMIFS('📋 Транзакції'!$F$5:$F$3623,'📋 Транзакції'!$B$5:$B$3623,A198,'📋 Транзакції'!$C$5:$C$3623,"&gt;="&amp;EDATE(DATEVALUE(C198&amp;"-01"),5),'📋 Транзакції'!$C$5:$C$3623,"&lt;"&amp;EDATE(DATEVALUE(C198&amp;"-01"),6))</f>
        <v>19.99</v>
      </c>
      <c r="Y198" s="37">
        <f>SUMIFS('📋 Транзакції'!$F$5:$F$3623,'📋 Транзакції'!$B$5:$B$3623,A198,'📋 Транзакції'!$C$5:$C$3623,"&gt;="&amp;EDATE(DATEVALUE(C198&amp;"-01"),6),'📋 Транзакції'!$C$5:$C$3623,"&lt;"&amp;EDATE(DATEVALUE(C198&amp;"-01"),7))</f>
        <v>19.99</v>
      </c>
      <c r="Z198" s="37">
        <f>SUMIFS('📋 Транзакції'!$F$5:$F$3623,'📋 Транзакції'!$B$5:$B$3623,A198,'📋 Транзакції'!$C$5:$C$3623,"&gt;="&amp;EDATE(DATEVALUE(C198&amp;"-01"),7),'📋 Транзакції'!$C$5:$C$3623,"&lt;"&amp;EDATE(DATEVALUE(C198&amp;"-01"),8))</f>
        <v>19.99</v>
      </c>
      <c r="AA198" s="37">
        <f>SUMIFS('📋 Транзакції'!$F$5:$F$3623,'📋 Транзакції'!$B$5:$B$3623,A198,'📋 Транзакції'!$C$5:$C$3623,"&gt;="&amp;EDATE(DATEVALUE(C198&amp;"-01"),8),'📋 Транзакції'!$C$5:$C$3623,"&lt;"&amp;EDATE(DATEVALUE(C198&amp;"-01"),9))</f>
        <v>19.99</v>
      </c>
      <c r="AB198" s="37">
        <f>SUMIFS('📋 Транзакції'!$F$5:$F$3623,'📋 Транзакції'!$B$5:$B$3623,A198,'📋 Транзакції'!$C$5:$C$3623,"&gt;="&amp;EDATE(DATEVALUE(C198&amp;"-01"),9),'📋 Транзакції'!$C$5:$C$3623,"&lt;"&amp;EDATE(DATEVALUE(C198&amp;"-01"),10))</f>
        <v>0</v>
      </c>
      <c r="AC198" s="37">
        <f>SUMIFS('📋 Транзакції'!$F$5:$F$3623,'📋 Транзакції'!$B$5:$B$3623,A198,'📋 Транзакції'!$C$5:$C$3623,"&gt;="&amp;EDATE(DATEVALUE(C198&amp;"-01"),10),'📋 Транзакції'!$C$5:$C$3623,"&lt;"&amp;EDATE(DATEVALUE(C198&amp;"-01"),11))</f>
        <v>0</v>
      </c>
      <c r="AD198" s="37">
        <f>SUMIFS('📋 Транзакції'!$F$5:$F$3623,'📋 Транзакції'!$B$5:$B$3623,A198,'📋 Транзакції'!$C$5:$C$3623,"&gt;="&amp;EDATE(DATEVALUE(C198&amp;"-01"),11),'📋 Транзакції'!$C$5:$C$3623,"&lt;"&amp;EDATE(DATEVALUE(C198&amp;"-01"),12))</f>
        <v>0</v>
      </c>
    </row>
    <row r="199" ht="15.75" customHeight="1">
      <c r="A199" s="33" t="str">
        <f>'📋 Реєстрації'!A199:A800</f>
        <v>U0618</v>
      </c>
      <c r="B199" s="34">
        <f t="array" ref="B199">INDEX('📋 Транзакції'!$C$5:$C$3623,MATCH(A199,'📋 Транзакції'!$B$5:$B$3623,0))</f>
        <v>45487</v>
      </c>
      <c r="C199" s="35" t="str">
        <f t="shared" si="1"/>
        <v>2024-07</v>
      </c>
      <c r="D199" s="36">
        <f>COUNTIF('📋 Транзакції'!$B$5:$B$3623,A199)</f>
        <v>2</v>
      </c>
      <c r="E199" s="36">
        <f>SUMIF('📋 Транзакції'!$B$5:$B$3623,A199,'📋 Транзакції'!$F$5:$F$3623)</f>
        <v>19.99</v>
      </c>
      <c r="F199" s="35">
        <f>INT($A$1-MAXIFS('📋 Транзакції'!$C$5:$C$3623,'📋 Транзакції'!$B$5:$B$3623,A199))</f>
        <v>253</v>
      </c>
      <c r="G199" s="37">
        <f>IF(COUNTIFS('📋 Транзакції'!$B$5:$B$3623,A199,'📋 Транзакції'!$C$5:$C$3623,"&gt;="&amp;EDATE(DATEVALUE(C199&amp;"-01"),0),'📋 Транзакції'!$C$5:$C$3623,"&lt;"&amp;EDATE(DATEVALUE(C199&amp;"-01"),1))&gt;0,1,0)</f>
        <v>1</v>
      </c>
      <c r="H199" s="37">
        <f>IF(COUNTIFS('📋 Транзакції'!$B$5:$B$3623,A199,'📋 Транзакції'!$C$5:$C$3623,"&gt;="&amp;EDATE(DATEVALUE(C199&amp;"-01"),1),'📋 Транзакції'!$C$5:$C$3623,"&lt;"&amp;EDATE(DATEVALUE(C199&amp;"-01"),2))&gt;0,1,0)</f>
        <v>0</v>
      </c>
      <c r="I199" s="37">
        <f>IF(COUNTIFS('📋 Транзакції'!$B$5:$B$3623,A199,'📋 Транзакції'!$C$5:$C$3623,"&gt;="&amp;EDATE(DATEVALUE(C199&amp;"-01"),2),'📋 Транзакції'!$C$5:$C$3623,"&lt;"&amp;EDATE(DATEVALUE(C199&amp;"-01"),3))&gt;0,1,0)</f>
        <v>0</v>
      </c>
      <c r="J199" s="37">
        <f>IF(COUNTIFS('📋 Транзакції'!$B$5:$B$3623,A199,'📋 Транзакції'!$C$5:$C$3623,"&gt;="&amp;EDATE(DATEVALUE(C199&amp;"-01"),3),'📋 Транзакції'!$C$5:$C$3623,"&lt;"&amp;EDATE(DATEVALUE(C199&amp;"-01"),4))&gt;0,1,0)</f>
        <v>0</v>
      </c>
      <c r="K199" s="37">
        <f>IF(COUNTIFS('📋 Транзакції'!$B$5:$B$3623,A199,'📋 Транзакції'!$C$5:$C$3623,"&gt;="&amp;EDATE(DATEVALUE(C199&amp;"-01"),4),'📋 Транзакції'!$C$5:$C$3623,"&lt;"&amp;EDATE(DATEVALUE(C199&amp;"-01"),5))&gt;0,1,0)</f>
        <v>0</v>
      </c>
      <c r="L199" s="37">
        <f>IF(COUNTIFS('📋 Транзакції'!$B$5:$B$3623,A199,'📋 Транзакції'!$C$5:$C$3623,"&gt;="&amp;EDATE(DATEVALUE(C199&amp;"-01"),5),'📋 Транзакції'!$C$5:$C$3623,"&lt;"&amp;EDATE(DATEVALUE(C199&amp;"-01"),6))&gt;0,1,0)</f>
        <v>0</v>
      </c>
      <c r="M199" s="37">
        <f>IF(COUNTIFS('📋 Транзакції'!$B$5:$B$3623,A199,'📋 Транзакції'!$C$5:$C$3623,"&gt;="&amp;EDATE(DATEVALUE(C199&amp;"-01"),6),'📋 Транзакції'!$C$5:$C$3623,"&lt;"&amp;EDATE(DATEVALUE(C199&amp;"-01"),7))&gt;0,1,0)</f>
        <v>0</v>
      </c>
      <c r="N199" s="37">
        <f>IF(COUNTIFS('📋 Транзакції'!$B$5:$B$3623,A199,'📋 Транзакції'!$C$5:$C$3623,"&gt;="&amp;EDATE(DATEVALUE(C199&amp;"-01"),7),'📋 Транзакції'!$C$5:$C$3623,"&lt;"&amp;EDATE(DATEVALUE(C199&amp;"-01"),8))&gt;0,1,0)</f>
        <v>0</v>
      </c>
      <c r="O199" s="37">
        <f>IF(COUNTIFS('📋 Транзакції'!$B$5:$B$3623,A199,'📋 Транзакції'!$C$5:$C$3623,"&gt;="&amp;EDATE(DATEVALUE(C199&amp;"-01"),8),'📋 Транзакції'!$C$5:$C$3623,"&lt;"&amp;EDATE(DATEVALUE(C199&amp;"-01"),9))&gt;0,1,0)</f>
        <v>0</v>
      </c>
      <c r="P199" s="37">
        <f>IF(COUNTIFS('📋 Транзакції'!$B$5:$B$3623,A199,'📋 Транзакції'!$C$5:$C$3623,"&gt;="&amp;EDATE(DATEVALUE(C199&amp;"-01"),9),'📋 Транзакції'!$C$5:$C$3623,"&lt;"&amp;EDATE(DATEVALUE(C199&amp;"-01"),10))&gt;0,1,0)</f>
        <v>0</v>
      </c>
      <c r="Q199" s="37">
        <f>IF(COUNTIFS('📋 Транзакції'!$B$5:$B$3623,A199,'📋 Транзакції'!$C$5:$C$3623,"&gt;="&amp;EDATE(DATEVALUE(C199&amp;"-01"),10),'📋 Транзакції'!$C$5:$C$3623,"&lt;"&amp;EDATE(DATEVALUE(C199&amp;"-01"),11))&gt;0,1,0)</f>
        <v>0</v>
      </c>
      <c r="R199" s="37">
        <f>IF(COUNTIFS('📋 Транзакції'!$B$5:$B$3623,A199,'📋 Транзакції'!$C$5:$C$3623,"&gt;="&amp;EDATE(DATEVALUE(C199&amp;"-01"),11),'📋 Транзакції'!$C$5:$C$3623,"&lt;"&amp;EDATE(DATEVALUE(C199&amp;"-01"),12))&gt;0,1,0)</f>
        <v>0</v>
      </c>
      <c r="S199" s="37">
        <f>SUMIFS('📋 Транзакції'!$F$5:$F$3623,'📋 Транзакції'!$B$5:$B$3623,A199,'📋 Транзакції'!$C$5:$C$3623,"&gt;="&amp;EDATE(DATEVALUE(C199&amp;"-01"),0),'📋 Транзакції'!$C$5:$C$3623,"&lt;"&amp;EDATE(DATEVALUE(C199&amp;"-01"),1))</f>
        <v>19.99</v>
      </c>
      <c r="T199" s="37">
        <f>SUMIFS('📋 Транзакції'!$F$5:$F$3623,'📋 Транзакції'!$B$5:$B$3623,A199,'📋 Транзакції'!$C$5:$C$3623,"&gt;="&amp;EDATE(DATEVALUE(C199&amp;"-01"),1),'📋 Транзакції'!$C$5:$C$3623,"&lt;"&amp;EDATE(DATEVALUE(C199&amp;"-01"),2))</f>
        <v>0</v>
      </c>
      <c r="U199" s="37">
        <f>SUMIFS('📋 Транзакції'!$F$5:$F$3623,'📋 Транзакції'!$B$5:$B$3623,A199,'📋 Транзакції'!$C$5:$C$3623,"&gt;="&amp;EDATE(DATEVALUE(C199&amp;"-01"),2),'📋 Транзакції'!$C$5:$C$3623,"&lt;"&amp;EDATE(DATEVALUE(C199&amp;"-01"),3))</f>
        <v>0</v>
      </c>
      <c r="V199" s="37">
        <f>SUMIFS('📋 Транзакції'!$F$5:$F$3623,'📋 Транзакції'!$B$5:$B$3623,A199,'📋 Транзакції'!$C$5:$C$3623,"&gt;="&amp;EDATE(DATEVALUE(C199&amp;"-01"),3),'📋 Транзакції'!$C$5:$C$3623,"&lt;"&amp;EDATE(DATEVALUE(C199&amp;"-01"),4))</f>
        <v>0</v>
      </c>
      <c r="W199" s="37">
        <f>SUMIFS('📋 Транзакції'!$F$5:$F$3623,'📋 Транзакції'!$B$5:$B$3623,A199,'📋 Транзакції'!$C$5:$C$3623,"&gt;="&amp;EDATE(DATEVALUE(C199&amp;"-01"),4),'📋 Транзакції'!$C$5:$C$3623,"&lt;"&amp;EDATE(DATEVALUE(C199&amp;"-01"),5))</f>
        <v>0</v>
      </c>
      <c r="X199" s="37">
        <f>SUMIFS('📋 Транзакції'!$F$5:$F$3623,'📋 Транзакції'!$B$5:$B$3623,A199,'📋 Транзакції'!$C$5:$C$3623,"&gt;="&amp;EDATE(DATEVALUE(C199&amp;"-01"),5),'📋 Транзакції'!$C$5:$C$3623,"&lt;"&amp;EDATE(DATEVALUE(C199&amp;"-01"),6))</f>
        <v>0</v>
      </c>
      <c r="Y199" s="37">
        <f>SUMIFS('📋 Транзакції'!$F$5:$F$3623,'📋 Транзакції'!$B$5:$B$3623,A199,'📋 Транзакції'!$C$5:$C$3623,"&gt;="&amp;EDATE(DATEVALUE(C199&amp;"-01"),6),'📋 Транзакції'!$C$5:$C$3623,"&lt;"&amp;EDATE(DATEVALUE(C199&amp;"-01"),7))</f>
        <v>0</v>
      </c>
      <c r="Z199" s="37">
        <f>SUMIFS('📋 Транзакції'!$F$5:$F$3623,'📋 Транзакції'!$B$5:$B$3623,A199,'📋 Транзакції'!$C$5:$C$3623,"&gt;="&amp;EDATE(DATEVALUE(C199&amp;"-01"),7),'📋 Транзакції'!$C$5:$C$3623,"&lt;"&amp;EDATE(DATEVALUE(C199&amp;"-01"),8))</f>
        <v>0</v>
      </c>
      <c r="AA199" s="37">
        <f>SUMIFS('📋 Транзакції'!$F$5:$F$3623,'📋 Транзакції'!$B$5:$B$3623,A199,'📋 Транзакції'!$C$5:$C$3623,"&gt;="&amp;EDATE(DATEVALUE(C199&amp;"-01"),8),'📋 Транзакції'!$C$5:$C$3623,"&lt;"&amp;EDATE(DATEVALUE(C199&amp;"-01"),9))</f>
        <v>0</v>
      </c>
      <c r="AB199" s="37">
        <f>SUMIFS('📋 Транзакції'!$F$5:$F$3623,'📋 Транзакції'!$B$5:$B$3623,A199,'📋 Транзакції'!$C$5:$C$3623,"&gt;="&amp;EDATE(DATEVALUE(C199&amp;"-01"),9),'📋 Транзакції'!$C$5:$C$3623,"&lt;"&amp;EDATE(DATEVALUE(C199&amp;"-01"),10))</f>
        <v>0</v>
      </c>
      <c r="AC199" s="37">
        <f>SUMIFS('📋 Транзакції'!$F$5:$F$3623,'📋 Транзакції'!$B$5:$B$3623,A199,'📋 Транзакції'!$C$5:$C$3623,"&gt;="&amp;EDATE(DATEVALUE(C199&amp;"-01"),10),'📋 Транзакції'!$C$5:$C$3623,"&lt;"&amp;EDATE(DATEVALUE(C199&amp;"-01"),11))</f>
        <v>0</v>
      </c>
      <c r="AD199" s="37">
        <f>SUMIFS('📋 Транзакції'!$F$5:$F$3623,'📋 Транзакції'!$B$5:$B$3623,A199,'📋 Транзакції'!$C$5:$C$3623,"&gt;="&amp;EDATE(DATEVALUE(C199&amp;"-01"),11),'📋 Транзакції'!$C$5:$C$3623,"&lt;"&amp;EDATE(DATEVALUE(C199&amp;"-01"),12))</f>
        <v>0</v>
      </c>
    </row>
    <row r="200" ht="15.75" customHeight="1">
      <c r="A200" s="33" t="str">
        <f>'📋 Реєстрації'!A200:A801</f>
        <v>U0644</v>
      </c>
      <c r="B200" s="34">
        <f t="array" ref="B200">INDEX('📋 Транзакції'!$C$5:$C$3623,MATCH(A200,'📋 Транзакції'!$B$5:$B$3623,0))</f>
        <v>45487</v>
      </c>
      <c r="C200" s="35" t="str">
        <f t="shared" si="1"/>
        <v>2024-07</v>
      </c>
      <c r="D200" s="36">
        <f>COUNTIF('📋 Транзакції'!$B$5:$B$3623,A200)</f>
        <v>10</v>
      </c>
      <c r="E200" s="36">
        <f>SUMIF('📋 Транзакції'!$B$5:$B$3623,A200,'📋 Транзакції'!$F$5:$F$3623)</f>
        <v>179.91</v>
      </c>
      <c r="F200" s="35">
        <f>INT($A$1-MAXIFS('📋 Транзакції'!$C$5:$C$3623,'📋 Транзакції'!$B$5:$B$3623,A200))</f>
        <v>13</v>
      </c>
      <c r="G200" s="37">
        <f>IF(COUNTIFS('📋 Транзакції'!$B$5:$B$3623,A200,'📋 Транзакції'!$C$5:$C$3623,"&gt;="&amp;EDATE(DATEVALUE(C200&amp;"-01"),0),'📋 Транзакції'!$C$5:$C$3623,"&lt;"&amp;EDATE(DATEVALUE(C200&amp;"-01"),1))&gt;0,1,0)</f>
        <v>1</v>
      </c>
      <c r="H200" s="37">
        <f>IF(COUNTIFS('📋 Транзакції'!$B$5:$B$3623,A200,'📋 Транзакції'!$C$5:$C$3623,"&gt;="&amp;EDATE(DATEVALUE(C200&amp;"-01"),1),'📋 Транзакції'!$C$5:$C$3623,"&lt;"&amp;EDATE(DATEVALUE(C200&amp;"-01"),2))&gt;0,1,0)</f>
        <v>1</v>
      </c>
      <c r="I200" s="37">
        <f>IF(COUNTIFS('📋 Транзакції'!$B$5:$B$3623,A200,'📋 Транзакції'!$C$5:$C$3623,"&gt;="&amp;EDATE(DATEVALUE(C200&amp;"-01"),2),'📋 Транзакції'!$C$5:$C$3623,"&lt;"&amp;EDATE(DATEVALUE(C200&amp;"-01"),3))&gt;0,1,0)</f>
        <v>1</v>
      </c>
      <c r="J200" s="37">
        <f>IF(COUNTIFS('📋 Транзакції'!$B$5:$B$3623,A200,'📋 Транзакції'!$C$5:$C$3623,"&gt;="&amp;EDATE(DATEVALUE(C200&amp;"-01"),3),'📋 Транзакції'!$C$5:$C$3623,"&lt;"&amp;EDATE(DATEVALUE(C200&amp;"-01"),4))&gt;0,1,0)</f>
        <v>1</v>
      </c>
      <c r="K200" s="37">
        <f>IF(COUNTIFS('📋 Транзакції'!$B$5:$B$3623,A200,'📋 Транзакції'!$C$5:$C$3623,"&gt;="&amp;EDATE(DATEVALUE(C200&amp;"-01"),4),'📋 Транзакції'!$C$5:$C$3623,"&lt;"&amp;EDATE(DATEVALUE(C200&amp;"-01"),5))&gt;0,1,0)</f>
        <v>1</v>
      </c>
      <c r="L200" s="37">
        <f>IF(COUNTIFS('📋 Транзакції'!$B$5:$B$3623,A200,'📋 Транзакції'!$C$5:$C$3623,"&gt;="&amp;EDATE(DATEVALUE(C200&amp;"-01"),5),'📋 Транзакції'!$C$5:$C$3623,"&lt;"&amp;EDATE(DATEVALUE(C200&amp;"-01"),6))&gt;0,1,0)</f>
        <v>1</v>
      </c>
      <c r="M200" s="37">
        <f>IF(COUNTIFS('📋 Транзакції'!$B$5:$B$3623,A200,'📋 Транзакції'!$C$5:$C$3623,"&gt;="&amp;EDATE(DATEVALUE(C200&amp;"-01"),6),'📋 Транзакції'!$C$5:$C$3623,"&lt;"&amp;EDATE(DATEVALUE(C200&amp;"-01"),7))&gt;0,1,0)</f>
        <v>1</v>
      </c>
      <c r="N200" s="37">
        <f>IF(COUNTIFS('📋 Транзакції'!$B$5:$B$3623,A200,'📋 Транзакції'!$C$5:$C$3623,"&gt;="&amp;EDATE(DATEVALUE(C200&amp;"-01"),7),'📋 Транзакції'!$C$5:$C$3623,"&lt;"&amp;EDATE(DATEVALUE(C200&amp;"-01"),8))&gt;0,1,0)</f>
        <v>1</v>
      </c>
      <c r="O200" s="37">
        <f>IF(COUNTIFS('📋 Транзакції'!$B$5:$B$3623,A200,'📋 Транзакції'!$C$5:$C$3623,"&gt;="&amp;EDATE(DATEVALUE(C200&amp;"-01"),8),'📋 Транзакції'!$C$5:$C$3623,"&lt;"&amp;EDATE(DATEVALUE(C200&amp;"-01"),9))&gt;0,1,0)</f>
        <v>1</v>
      </c>
      <c r="P200" s="37">
        <f>IF(COUNTIFS('📋 Транзакції'!$B$5:$B$3623,A200,'📋 Транзакції'!$C$5:$C$3623,"&gt;="&amp;EDATE(DATEVALUE(C200&amp;"-01"),9),'📋 Транзакції'!$C$5:$C$3623,"&lt;"&amp;EDATE(DATEVALUE(C200&amp;"-01"),10))&gt;0,1,0)</f>
        <v>0</v>
      </c>
      <c r="Q200" s="37">
        <f>IF(COUNTIFS('📋 Транзакції'!$B$5:$B$3623,A200,'📋 Транзакції'!$C$5:$C$3623,"&gt;="&amp;EDATE(DATEVALUE(C200&amp;"-01"),10),'📋 Транзакції'!$C$5:$C$3623,"&lt;"&amp;EDATE(DATEVALUE(C200&amp;"-01"),11))&gt;0,1,0)</f>
        <v>0</v>
      </c>
      <c r="R200" s="37">
        <f>IF(COUNTIFS('📋 Транзакції'!$B$5:$B$3623,A200,'📋 Транзакції'!$C$5:$C$3623,"&gt;="&amp;EDATE(DATEVALUE(C200&amp;"-01"),11),'📋 Транзакції'!$C$5:$C$3623,"&lt;"&amp;EDATE(DATEVALUE(C200&amp;"-01"),12))&gt;0,1,0)</f>
        <v>0</v>
      </c>
      <c r="S200" s="37">
        <f>SUMIFS('📋 Транзакції'!$F$5:$F$3623,'📋 Транзакції'!$B$5:$B$3623,A200,'📋 Транзакції'!$C$5:$C$3623,"&gt;="&amp;EDATE(DATEVALUE(C200&amp;"-01"),0),'📋 Транзакції'!$C$5:$C$3623,"&lt;"&amp;EDATE(DATEVALUE(C200&amp;"-01"),1))</f>
        <v>19.99</v>
      </c>
      <c r="T200" s="37">
        <f>SUMIFS('📋 Транзакції'!$F$5:$F$3623,'📋 Транзакції'!$B$5:$B$3623,A200,'📋 Транзакції'!$C$5:$C$3623,"&gt;="&amp;EDATE(DATEVALUE(C200&amp;"-01"),1),'📋 Транзакції'!$C$5:$C$3623,"&lt;"&amp;EDATE(DATEVALUE(C200&amp;"-01"),2))</f>
        <v>19.99</v>
      </c>
      <c r="U200" s="37">
        <f>SUMIFS('📋 Транзакції'!$F$5:$F$3623,'📋 Транзакції'!$B$5:$B$3623,A200,'📋 Транзакції'!$C$5:$C$3623,"&gt;="&amp;EDATE(DATEVALUE(C200&amp;"-01"),2),'📋 Транзакції'!$C$5:$C$3623,"&lt;"&amp;EDATE(DATEVALUE(C200&amp;"-01"),3))</f>
        <v>19.99</v>
      </c>
      <c r="V200" s="37">
        <f>SUMIFS('📋 Транзакції'!$F$5:$F$3623,'📋 Транзакції'!$B$5:$B$3623,A200,'📋 Транзакції'!$C$5:$C$3623,"&gt;="&amp;EDATE(DATEVALUE(C200&amp;"-01"),3),'📋 Транзакції'!$C$5:$C$3623,"&lt;"&amp;EDATE(DATEVALUE(C200&amp;"-01"),4))</f>
        <v>19.99</v>
      </c>
      <c r="W200" s="37">
        <f>SUMIFS('📋 Транзакції'!$F$5:$F$3623,'📋 Транзакції'!$B$5:$B$3623,A200,'📋 Транзакції'!$C$5:$C$3623,"&gt;="&amp;EDATE(DATEVALUE(C200&amp;"-01"),4),'📋 Транзакції'!$C$5:$C$3623,"&lt;"&amp;EDATE(DATEVALUE(C200&amp;"-01"),5))</f>
        <v>19.99</v>
      </c>
      <c r="X200" s="37">
        <f>SUMIFS('📋 Транзакції'!$F$5:$F$3623,'📋 Транзакції'!$B$5:$B$3623,A200,'📋 Транзакції'!$C$5:$C$3623,"&gt;="&amp;EDATE(DATEVALUE(C200&amp;"-01"),5),'📋 Транзакції'!$C$5:$C$3623,"&lt;"&amp;EDATE(DATEVALUE(C200&amp;"-01"),6))</f>
        <v>19.99</v>
      </c>
      <c r="Y200" s="37">
        <f>SUMIFS('📋 Транзакції'!$F$5:$F$3623,'📋 Транзакції'!$B$5:$B$3623,A200,'📋 Транзакції'!$C$5:$C$3623,"&gt;="&amp;EDATE(DATEVALUE(C200&amp;"-01"),6),'📋 Транзакції'!$C$5:$C$3623,"&lt;"&amp;EDATE(DATEVALUE(C200&amp;"-01"),7))</f>
        <v>19.99</v>
      </c>
      <c r="Z200" s="37">
        <f>SUMIFS('📋 Транзакції'!$F$5:$F$3623,'📋 Транзакції'!$B$5:$B$3623,A200,'📋 Транзакції'!$C$5:$C$3623,"&gt;="&amp;EDATE(DATEVALUE(C200&amp;"-01"),7),'📋 Транзакції'!$C$5:$C$3623,"&lt;"&amp;EDATE(DATEVALUE(C200&amp;"-01"),8))</f>
        <v>19.99</v>
      </c>
      <c r="AA200" s="37">
        <f>SUMIFS('📋 Транзакції'!$F$5:$F$3623,'📋 Транзакції'!$B$5:$B$3623,A200,'📋 Транзакції'!$C$5:$C$3623,"&gt;="&amp;EDATE(DATEVALUE(C200&amp;"-01"),8),'📋 Транзакції'!$C$5:$C$3623,"&lt;"&amp;EDATE(DATEVALUE(C200&amp;"-01"),9))</f>
        <v>19.99</v>
      </c>
      <c r="AB200" s="37">
        <f>SUMIFS('📋 Транзакції'!$F$5:$F$3623,'📋 Транзакції'!$B$5:$B$3623,A200,'📋 Транзакції'!$C$5:$C$3623,"&gt;="&amp;EDATE(DATEVALUE(C200&amp;"-01"),9),'📋 Транзакції'!$C$5:$C$3623,"&lt;"&amp;EDATE(DATEVALUE(C200&amp;"-01"),10))</f>
        <v>0</v>
      </c>
      <c r="AC200" s="37">
        <f>SUMIFS('📋 Транзакції'!$F$5:$F$3623,'📋 Транзакції'!$B$5:$B$3623,A200,'📋 Транзакції'!$C$5:$C$3623,"&gt;="&amp;EDATE(DATEVALUE(C200&amp;"-01"),10),'📋 Транзакції'!$C$5:$C$3623,"&lt;"&amp;EDATE(DATEVALUE(C200&amp;"-01"),11))</f>
        <v>0</v>
      </c>
      <c r="AD200" s="37">
        <f>SUMIFS('📋 Транзакції'!$F$5:$F$3623,'📋 Транзакції'!$B$5:$B$3623,A200,'📋 Транзакції'!$C$5:$C$3623,"&gt;="&amp;EDATE(DATEVALUE(C200&amp;"-01"),11),'📋 Транзакції'!$C$5:$C$3623,"&lt;"&amp;EDATE(DATEVALUE(C200&amp;"-01"),12))</f>
        <v>0</v>
      </c>
    </row>
    <row r="201" ht="15.75" customHeight="1">
      <c r="A201" s="33" t="str">
        <f>'📋 Реєстрації'!A201:A802</f>
        <v>U0691</v>
      </c>
      <c r="B201" s="34">
        <f t="array" ref="B201">INDEX('📋 Транзакції'!$C$5:$C$3623,MATCH(A201,'📋 Транзакції'!$B$5:$B$3623,0))</f>
        <v>45488</v>
      </c>
      <c r="C201" s="35" t="str">
        <f t="shared" si="1"/>
        <v>2024-07</v>
      </c>
      <c r="D201" s="36">
        <f>COUNTIF('📋 Транзакції'!$B$5:$B$3623,A201)</f>
        <v>10</v>
      </c>
      <c r="E201" s="36">
        <f>SUMIF('📋 Транзакції'!$B$5:$B$3623,A201,'📋 Транзакції'!$F$5:$F$3623)</f>
        <v>179.91</v>
      </c>
      <c r="F201" s="35">
        <f>INT($A$1-MAXIFS('📋 Транзакції'!$C$5:$C$3623,'📋 Транзакції'!$B$5:$B$3623,A201))</f>
        <v>12</v>
      </c>
      <c r="G201" s="37">
        <f>IF(COUNTIFS('📋 Транзакції'!$B$5:$B$3623,A201,'📋 Транзакції'!$C$5:$C$3623,"&gt;="&amp;EDATE(DATEVALUE(C201&amp;"-01"),0),'📋 Транзакції'!$C$5:$C$3623,"&lt;"&amp;EDATE(DATEVALUE(C201&amp;"-01"),1))&gt;0,1,0)</f>
        <v>1</v>
      </c>
      <c r="H201" s="37">
        <f>IF(COUNTIFS('📋 Транзакції'!$B$5:$B$3623,A201,'📋 Транзакції'!$C$5:$C$3623,"&gt;="&amp;EDATE(DATEVALUE(C201&amp;"-01"),1),'📋 Транзакції'!$C$5:$C$3623,"&lt;"&amp;EDATE(DATEVALUE(C201&amp;"-01"),2))&gt;0,1,0)</f>
        <v>1</v>
      </c>
      <c r="I201" s="37">
        <f>IF(COUNTIFS('📋 Транзакції'!$B$5:$B$3623,A201,'📋 Транзакції'!$C$5:$C$3623,"&gt;="&amp;EDATE(DATEVALUE(C201&amp;"-01"),2),'📋 Транзакції'!$C$5:$C$3623,"&lt;"&amp;EDATE(DATEVALUE(C201&amp;"-01"),3))&gt;0,1,0)</f>
        <v>1</v>
      </c>
      <c r="J201" s="37">
        <f>IF(COUNTIFS('📋 Транзакції'!$B$5:$B$3623,A201,'📋 Транзакції'!$C$5:$C$3623,"&gt;="&amp;EDATE(DATEVALUE(C201&amp;"-01"),3),'📋 Транзакції'!$C$5:$C$3623,"&lt;"&amp;EDATE(DATEVALUE(C201&amp;"-01"),4))&gt;0,1,0)</f>
        <v>1</v>
      </c>
      <c r="K201" s="37">
        <f>IF(COUNTIFS('📋 Транзакції'!$B$5:$B$3623,A201,'📋 Транзакції'!$C$5:$C$3623,"&gt;="&amp;EDATE(DATEVALUE(C201&amp;"-01"),4),'📋 Транзакції'!$C$5:$C$3623,"&lt;"&amp;EDATE(DATEVALUE(C201&amp;"-01"),5))&gt;0,1,0)</f>
        <v>1</v>
      </c>
      <c r="L201" s="37">
        <f>IF(COUNTIFS('📋 Транзакції'!$B$5:$B$3623,A201,'📋 Транзакції'!$C$5:$C$3623,"&gt;="&amp;EDATE(DATEVALUE(C201&amp;"-01"),5),'📋 Транзакції'!$C$5:$C$3623,"&lt;"&amp;EDATE(DATEVALUE(C201&amp;"-01"),6))&gt;0,1,0)</f>
        <v>1</v>
      </c>
      <c r="M201" s="37">
        <f>IF(COUNTIFS('📋 Транзакції'!$B$5:$B$3623,A201,'📋 Транзакції'!$C$5:$C$3623,"&gt;="&amp;EDATE(DATEVALUE(C201&amp;"-01"),6),'📋 Транзакції'!$C$5:$C$3623,"&lt;"&amp;EDATE(DATEVALUE(C201&amp;"-01"),7))&gt;0,1,0)</f>
        <v>1</v>
      </c>
      <c r="N201" s="37">
        <f>IF(COUNTIFS('📋 Транзакції'!$B$5:$B$3623,A201,'📋 Транзакції'!$C$5:$C$3623,"&gt;="&amp;EDATE(DATEVALUE(C201&amp;"-01"),7),'📋 Транзакції'!$C$5:$C$3623,"&lt;"&amp;EDATE(DATEVALUE(C201&amp;"-01"),8))&gt;0,1,0)</f>
        <v>1</v>
      </c>
      <c r="O201" s="37">
        <f>IF(COUNTIFS('📋 Транзакції'!$B$5:$B$3623,A201,'📋 Транзакції'!$C$5:$C$3623,"&gt;="&amp;EDATE(DATEVALUE(C201&amp;"-01"),8),'📋 Транзакції'!$C$5:$C$3623,"&lt;"&amp;EDATE(DATEVALUE(C201&amp;"-01"),9))&gt;0,1,0)</f>
        <v>1</v>
      </c>
      <c r="P201" s="37">
        <f>IF(COUNTIFS('📋 Транзакції'!$B$5:$B$3623,A201,'📋 Транзакції'!$C$5:$C$3623,"&gt;="&amp;EDATE(DATEVALUE(C201&amp;"-01"),9),'📋 Транзакції'!$C$5:$C$3623,"&lt;"&amp;EDATE(DATEVALUE(C201&amp;"-01"),10))&gt;0,1,0)</f>
        <v>0</v>
      </c>
      <c r="Q201" s="37">
        <f>IF(COUNTIFS('📋 Транзакції'!$B$5:$B$3623,A201,'📋 Транзакції'!$C$5:$C$3623,"&gt;="&amp;EDATE(DATEVALUE(C201&amp;"-01"),10),'📋 Транзакції'!$C$5:$C$3623,"&lt;"&amp;EDATE(DATEVALUE(C201&amp;"-01"),11))&gt;0,1,0)</f>
        <v>0</v>
      </c>
      <c r="R201" s="37">
        <f>IF(COUNTIFS('📋 Транзакції'!$B$5:$B$3623,A201,'📋 Транзакції'!$C$5:$C$3623,"&gt;="&amp;EDATE(DATEVALUE(C201&amp;"-01"),11),'📋 Транзакції'!$C$5:$C$3623,"&lt;"&amp;EDATE(DATEVALUE(C201&amp;"-01"),12))&gt;0,1,0)</f>
        <v>0</v>
      </c>
      <c r="S201" s="37">
        <f>SUMIFS('📋 Транзакції'!$F$5:$F$3623,'📋 Транзакції'!$B$5:$B$3623,A201,'📋 Транзакції'!$C$5:$C$3623,"&gt;="&amp;EDATE(DATEVALUE(C201&amp;"-01"),0),'📋 Транзакції'!$C$5:$C$3623,"&lt;"&amp;EDATE(DATEVALUE(C201&amp;"-01"),1))</f>
        <v>19.99</v>
      </c>
      <c r="T201" s="37">
        <f>SUMIFS('📋 Транзакції'!$F$5:$F$3623,'📋 Транзакції'!$B$5:$B$3623,A201,'📋 Транзакції'!$C$5:$C$3623,"&gt;="&amp;EDATE(DATEVALUE(C201&amp;"-01"),1),'📋 Транзакції'!$C$5:$C$3623,"&lt;"&amp;EDATE(DATEVALUE(C201&amp;"-01"),2))</f>
        <v>19.99</v>
      </c>
      <c r="U201" s="37">
        <f>SUMIFS('📋 Транзакції'!$F$5:$F$3623,'📋 Транзакції'!$B$5:$B$3623,A201,'📋 Транзакції'!$C$5:$C$3623,"&gt;="&amp;EDATE(DATEVALUE(C201&amp;"-01"),2),'📋 Транзакції'!$C$5:$C$3623,"&lt;"&amp;EDATE(DATEVALUE(C201&amp;"-01"),3))</f>
        <v>19.99</v>
      </c>
      <c r="V201" s="37">
        <f>SUMIFS('📋 Транзакції'!$F$5:$F$3623,'📋 Транзакції'!$B$5:$B$3623,A201,'📋 Транзакції'!$C$5:$C$3623,"&gt;="&amp;EDATE(DATEVALUE(C201&amp;"-01"),3),'📋 Транзакції'!$C$5:$C$3623,"&lt;"&amp;EDATE(DATEVALUE(C201&amp;"-01"),4))</f>
        <v>19.99</v>
      </c>
      <c r="W201" s="37">
        <f>SUMIFS('📋 Транзакції'!$F$5:$F$3623,'📋 Транзакції'!$B$5:$B$3623,A201,'📋 Транзакції'!$C$5:$C$3623,"&gt;="&amp;EDATE(DATEVALUE(C201&amp;"-01"),4),'📋 Транзакції'!$C$5:$C$3623,"&lt;"&amp;EDATE(DATEVALUE(C201&amp;"-01"),5))</f>
        <v>19.99</v>
      </c>
      <c r="X201" s="37">
        <f>SUMIFS('📋 Транзакції'!$F$5:$F$3623,'📋 Транзакції'!$B$5:$B$3623,A201,'📋 Транзакції'!$C$5:$C$3623,"&gt;="&amp;EDATE(DATEVALUE(C201&amp;"-01"),5),'📋 Транзакції'!$C$5:$C$3623,"&lt;"&amp;EDATE(DATEVALUE(C201&amp;"-01"),6))</f>
        <v>19.99</v>
      </c>
      <c r="Y201" s="37">
        <f>SUMIFS('📋 Транзакції'!$F$5:$F$3623,'📋 Транзакції'!$B$5:$B$3623,A201,'📋 Транзакції'!$C$5:$C$3623,"&gt;="&amp;EDATE(DATEVALUE(C201&amp;"-01"),6),'📋 Транзакції'!$C$5:$C$3623,"&lt;"&amp;EDATE(DATEVALUE(C201&amp;"-01"),7))</f>
        <v>19.99</v>
      </c>
      <c r="Z201" s="37">
        <f>SUMIFS('📋 Транзакції'!$F$5:$F$3623,'📋 Транзакції'!$B$5:$B$3623,A201,'📋 Транзакції'!$C$5:$C$3623,"&gt;="&amp;EDATE(DATEVALUE(C201&amp;"-01"),7),'📋 Транзакції'!$C$5:$C$3623,"&lt;"&amp;EDATE(DATEVALUE(C201&amp;"-01"),8))</f>
        <v>19.99</v>
      </c>
      <c r="AA201" s="37">
        <f>SUMIFS('📋 Транзакції'!$F$5:$F$3623,'📋 Транзакції'!$B$5:$B$3623,A201,'📋 Транзакції'!$C$5:$C$3623,"&gt;="&amp;EDATE(DATEVALUE(C201&amp;"-01"),8),'📋 Транзакції'!$C$5:$C$3623,"&lt;"&amp;EDATE(DATEVALUE(C201&amp;"-01"),9))</f>
        <v>19.99</v>
      </c>
      <c r="AB201" s="37">
        <f>SUMIFS('📋 Транзакції'!$F$5:$F$3623,'📋 Транзакції'!$B$5:$B$3623,A201,'📋 Транзакції'!$C$5:$C$3623,"&gt;="&amp;EDATE(DATEVALUE(C201&amp;"-01"),9),'📋 Транзакції'!$C$5:$C$3623,"&lt;"&amp;EDATE(DATEVALUE(C201&amp;"-01"),10))</f>
        <v>0</v>
      </c>
      <c r="AC201" s="37">
        <f>SUMIFS('📋 Транзакції'!$F$5:$F$3623,'📋 Транзакції'!$B$5:$B$3623,A201,'📋 Транзакції'!$C$5:$C$3623,"&gt;="&amp;EDATE(DATEVALUE(C201&amp;"-01"),10),'📋 Транзакції'!$C$5:$C$3623,"&lt;"&amp;EDATE(DATEVALUE(C201&amp;"-01"),11))</f>
        <v>0</v>
      </c>
      <c r="AD201" s="37">
        <f>SUMIFS('📋 Транзакції'!$F$5:$F$3623,'📋 Транзакції'!$B$5:$B$3623,A201,'📋 Транзакції'!$C$5:$C$3623,"&gt;="&amp;EDATE(DATEVALUE(C201&amp;"-01"),11),'📋 Транзакції'!$C$5:$C$3623,"&lt;"&amp;EDATE(DATEVALUE(C201&amp;"-01"),12))</f>
        <v>0</v>
      </c>
    </row>
    <row r="202" ht="15.75" customHeight="1">
      <c r="A202" s="33" t="str">
        <f>'📋 Реєстрації'!A202:A803</f>
        <v>U0376</v>
      </c>
      <c r="B202" s="34">
        <f t="array" ref="B202">INDEX('📋 Транзакції'!$C$5:$C$3623,MATCH(A202,'📋 Транзакції'!$B$5:$B$3623,0))</f>
        <v>45490</v>
      </c>
      <c r="C202" s="35" t="str">
        <f t="shared" si="1"/>
        <v>2024-07</v>
      </c>
      <c r="D202" s="36">
        <f>COUNTIF('📋 Транзакції'!$B$5:$B$3623,A202)</f>
        <v>7</v>
      </c>
      <c r="E202" s="36">
        <f>SUMIF('📋 Транзакції'!$B$5:$B$3623,A202,'📋 Транзакції'!$F$5:$F$3623)</f>
        <v>119.94</v>
      </c>
      <c r="F202" s="35">
        <f>INT($A$1-MAXIFS('📋 Транзакції'!$C$5:$C$3623,'📋 Транзакції'!$B$5:$B$3623,A202))</f>
        <v>100</v>
      </c>
      <c r="G202" s="37">
        <f>IF(COUNTIFS('📋 Транзакції'!$B$5:$B$3623,A202,'📋 Транзакції'!$C$5:$C$3623,"&gt;="&amp;EDATE(DATEVALUE(C202&amp;"-01"),0),'📋 Транзакції'!$C$5:$C$3623,"&lt;"&amp;EDATE(DATEVALUE(C202&amp;"-01"),1))&gt;0,1,0)</f>
        <v>1</v>
      </c>
      <c r="H202" s="37">
        <f>IF(COUNTIFS('📋 Транзакції'!$B$5:$B$3623,A202,'📋 Транзакції'!$C$5:$C$3623,"&gt;="&amp;EDATE(DATEVALUE(C202&amp;"-01"),1),'📋 Транзакції'!$C$5:$C$3623,"&lt;"&amp;EDATE(DATEVALUE(C202&amp;"-01"),2))&gt;0,1,0)</f>
        <v>1</v>
      </c>
      <c r="I202" s="37">
        <f>IF(COUNTIFS('📋 Транзакції'!$B$5:$B$3623,A202,'📋 Транзакції'!$C$5:$C$3623,"&gt;="&amp;EDATE(DATEVALUE(C202&amp;"-01"),2),'📋 Транзакції'!$C$5:$C$3623,"&lt;"&amp;EDATE(DATEVALUE(C202&amp;"-01"),3))&gt;0,1,0)</f>
        <v>1</v>
      </c>
      <c r="J202" s="37">
        <f>IF(COUNTIFS('📋 Транзакції'!$B$5:$B$3623,A202,'📋 Транзакції'!$C$5:$C$3623,"&gt;="&amp;EDATE(DATEVALUE(C202&amp;"-01"),3),'📋 Транзакції'!$C$5:$C$3623,"&lt;"&amp;EDATE(DATEVALUE(C202&amp;"-01"),4))&gt;0,1,0)</f>
        <v>1</v>
      </c>
      <c r="K202" s="37">
        <f>IF(COUNTIFS('📋 Транзакції'!$B$5:$B$3623,A202,'📋 Транзакції'!$C$5:$C$3623,"&gt;="&amp;EDATE(DATEVALUE(C202&amp;"-01"),4),'📋 Транзакції'!$C$5:$C$3623,"&lt;"&amp;EDATE(DATEVALUE(C202&amp;"-01"),5))&gt;0,1,0)</f>
        <v>1</v>
      </c>
      <c r="L202" s="37">
        <f>IF(COUNTIFS('📋 Транзакції'!$B$5:$B$3623,A202,'📋 Транзакції'!$C$5:$C$3623,"&gt;="&amp;EDATE(DATEVALUE(C202&amp;"-01"),5),'📋 Транзакції'!$C$5:$C$3623,"&lt;"&amp;EDATE(DATEVALUE(C202&amp;"-01"),6))&gt;0,1,0)</f>
        <v>1</v>
      </c>
      <c r="M202" s="37">
        <f>IF(COUNTIFS('📋 Транзакції'!$B$5:$B$3623,A202,'📋 Транзакції'!$C$5:$C$3623,"&gt;="&amp;EDATE(DATEVALUE(C202&amp;"-01"),6),'📋 Транзакції'!$C$5:$C$3623,"&lt;"&amp;EDATE(DATEVALUE(C202&amp;"-01"),7))&gt;0,1,0)</f>
        <v>0</v>
      </c>
      <c r="N202" s="37">
        <f>IF(COUNTIFS('📋 Транзакції'!$B$5:$B$3623,A202,'📋 Транзакції'!$C$5:$C$3623,"&gt;="&amp;EDATE(DATEVALUE(C202&amp;"-01"),7),'📋 Транзакції'!$C$5:$C$3623,"&lt;"&amp;EDATE(DATEVALUE(C202&amp;"-01"),8))&gt;0,1,0)</f>
        <v>0</v>
      </c>
      <c r="O202" s="37">
        <f>IF(COUNTIFS('📋 Транзакції'!$B$5:$B$3623,A202,'📋 Транзакції'!$C$5:$C$3623,"&gt;="&amp;EDATE(DATEVALUE(C202&amp;"-01"),8),'📋 Транзакції'!$C$5:$C$3623,"&lt;"&amp;EDATE(DATEVALUE(C202&amp;"-01"),9))&gt;0,1,0)</f>
        <v>0</v>
      </c>
      <c r="P202" s="37">
        <f>IF(COUNTIFS('📋 Транзакції'!$B$5:$B$3623,A202,'📋 Транзакції'!$C$5:$C$3623,"&gt;="&amp;EDATE(DATEVALUE(C202&amp;"-01"),9),'📋 Транзакції'!$C$5:$C$3623,"&lt;"&amp;EDATE(DATEVALUE(C202&amp;"-01"),10))&gt;0,1,0)</f>
        <v>0</v>
      </c>
      <c r="Q202" s="37">
        <f>IF(COUNTIFS('📋 Транзакції'!$B$5:$B$3623,A202,'📋 Транзакції'!$C$5:$C$3623,"&gt;="&amp;EDATE(DATEVALUE(C202&amp;"-01"),10),'📋 Транзакції'!$C$5:$C$3623,"&lt;"&amp;EDATE(DATEVALUE(C202&amp;"-01"),11))&gt;0,1,0)</f>
        <v>0</v>
      </c>
      <c r="R202" s="37">
        <f>IF(COUNTIFS('📋 Транзакції'!$B$5:$B$3623,A202,'📋 Транзакції'!$C$5:$C$3623,"&gt;="&amp;EDATE(DATEVALUE(C202&amp;"-01"),11),'📋 Транзакції'!$C$5:$C$3623,"&lt;"&amp;EDATE(DATEVALUE(C202&amp;"-01"),12))&gt;0,1,0)</f>
        <v>0</v>
      </c>
      <c r="S202" s="37">
        <f>SUMIFS('📋 Транзакції'!$F$5:$F$3623,'📋 Транзакції'!$B$5:$B$3623,A202,'📋 Транзакції'!$C$5:$C$3623,"&gt;="&amp;EDATE(DATEVALUE(C202&amp;"-01"),0),'📋 Транзакції'!$C$5:$C$3623,"&lt;"&amp;EDATE(DATEVALUE(C202&amp;"-01"),1))</f>
        <v>19.99</v>
      </c>
      <c r="T202" s="37">
        <f>SUMIFS('📋 Транзакції'!$F$5:$F$3623,'📋 Транзакції'!$B$5:$B$3623,A202,'📋 Транзакції'!$C$5:$C$3623,"&gt;="&amp;EDATE(DATEVALUE(C202&amp;"-01"),1),'📋 Транзакції'!$C$5:$C$3623,"&lt;"&amp;EDATE(DATEVALUE(C202&amp;"-01"),2))</f>
        <v>19.99</v>
      </c>
      <c r="U202" s="37">
        <f>SUMIFS('📋 Транзакції'!$F$5:$F$3623,'📋 Транзакції'!$B$5:$B$3623,A202,'📋 Транзакції'!$C$5:$C$3623,"&gt;="&amp;EDATE(DATEVALUE(C202&amp;"-01"),2),'📋 Транзакції'!$C$5:$C$3623,"&lt;"&amp;EDATE(DATEVALUE(C202&amp;"-01"),3))</f>
        <v>19.99</v>
      </c>
      <c r="V202" s="37">
        <f>SUMIFS('📋 Транзакції'!$F$5:$F$3623,'📋 Транзакції'!$B$5:$B$3623,A202,'📋 Транзакції'!$C$5:$C$3623,"&gt;="&amp;EDATE(DATEVALUE(C202&amp;"-01"),3),'📋 Транзакції'!$C$5:$C$3623,"&lt;"&amp;EDATE(DATEVALUE(C202&amp;"-01"),4))</f>
        <v>19.99</v>
      </c>
      <c r="W202" s="37">
        <f>SUMIFS('📋 Транзакції'!$F$5:$F$3623,'📋 Транзакції'!$B$5:$B$3623,A202,'📋 Транзакції'!$C$5:$C$3623,"&gt;="&amp;EDATE(DATEVALUE(C202&amp;"-01"),4),'📋 Транзакції'!$C$5:$C$3623,"&lt;"&amp;EDATE(DATEVALUE(C202&amp;"-01"),5))</f>
        <v>19.99</v>
      </c>
      <c r="X202" s="37">
        <f>SUMIFS('📋 Транзакції'!$F$5:$F$3623,'📋 Транзакції'!$B$5:$B$3623,A202,'📋 Транзакції'!$C$5:$C$3623,"&gt;="&amp;EDATE(DATEVALUE(C202&amp;"-01"),5),'📋 Транзакції'!$C$5:$C$3623,"&lt;"&amp;EDATE(DATEVALUE(C202&amp;"-01"),6))</f>
        <v>19.99</v>
      </c>
      <c r="Y202" s="37">
        <f>SUMIFS('📋 Транзакції'!$F$5:$F$3623,'📋 Транзакції'!$B$5:$B$3623,A202,'📋 Транзакції'!$C$5:$C$3623,"&gt;="&amp;EDATE(DATEVALUE(C202&amp;"-01"),6),'📋 Транзакції'!$C$5:$C$3623,"&lt;"&amp;EDATE(DATEVALUE(C202&amp;"-01"),7))</f>
        <v>0</v>
      </c>
      <c r="Z202" s="37">
        <f>SUMIFS('📋 Транзакції'!$F$5:$F$3623,'📋 Транзакції'!$B$5:$B$3623,A202,'📋 Транзакції'!$C$5:$C$3623,"&gt;="&amp;EDATE(DATEVALUE(C202&amp;"-01"),7),'📋 Транзакції'!$C$5:$C$3623,"&lt;"&amp;EDATE(DATEVALUE(C202&amp;"-01"),8))</f>
        <v>0</v>
      </c>
      <c r="AA202" s="37">
        <f>SUMIFS('📋 Транзакції'!$F$5:$F$3623,'📋 Транзакції'!$B$5:$B$3623,A202,'📋 Транзакції'!$C$5:$C$3623,"&gt;="&amp;EDATE(DATEVALUE(C202&amp;"-01"),8),'📋 Транзакції'!$C$5:$C$3623,"&lt;"&amp;EDATE(DATEVALUE(C202&amp;"-01"),9))</f>
        <v>0</v>
      </c>
      <c r="AB202" s="37">
        <f>SUMIFS('📋 Транзакції'!$F$5:$F$3623,'📋 Транзакції'!$B$5:$B$3623,A202,'📋 Транзакції'!$C$5:$C$3623,"&gt;="&amp;EDATE(DATEVALUE(C202&amp;"-01"),9),'📋 Транзакції'!$C$5:$C$3623,"&lt;"&amp;EDATE(DATEVALUE(C202&amp;"-01"),10))</f>
        <v>0</v>
      </c>
      <c r="AC202" s="37">
        <f>SUMIFS('📋 Транзакції'!$F$5:$F$3623,'📋 Транзакції'!$B$5:$B$3623,A202,'📋 Транзакції'!$C$5:$C$3623,"&gt;="&amp;EDATE(DATEVALUE(C202&amp;"-01"),10),'📋 Транзакції'!$C$5:$C$3623,"&lt;"&amp;EDATE(DATEVALUE(C202&amp;"-01"),11))</f>
        <v>0</v>
      </c>
      <c r="AD202" s="37">
        <f>SUMIFS('📋 Транзакції'!$F$5:$F$3623,'📋 Транзакції'!$B$5:$B$3623,A202,'📋 Транзакції'!$C$5:$C$3623,"&gt;="&amp;EDATE(DATEVALUE(C202&amp;"-01"),11),'📋 Транзакції'!$C$5:$C$3623,"&lt;"&amp;EDATE(DATEVALUE(C202&amp;"-01"),12))</f>
        <v>0</v>
      </c>
    </row>
    <row r="203" ht="15.75" customHeight="1">
      <c r="A203" s="33" t="str">
        <f>'📋 Реєстрації'!A203:A804</f>
        <v>U0405</v>
      </c>
      <c r="B203" s="34">
        <f t="array" ref="B203">INDEX('📋 Транзакції'!$C$5:$C$3623,MATCH(A203,'📋 Транзакції'!$B$5:$B$3623,0))</f>
        <v>45491</v>
      </c>
      <c r="C203" s="35" t="str">
        <f t="shared" si="1"/>
        <v>2024-07</v>
      </c>
      <c r="D203" s="36">
        <f>COUNTIF('📋 Транзакції'!$B$5:$B$3623,A203)</f>
        <v>10</v>
      </c>
      <c r="E203" s="36">
        <f>SUMIF('📋 Транзакції'!$B$5:$B$3623,A203,'📋 Транзакції'!$F$5:$F$3623)</f>
        <v>179.91</v>
      </c>
      <c r="F203" s="35">
        <f>INT($A$1-MAXIFS('📋 Транзакції'!$C$5:$C$3623,'📋 Транзакції'!$B$5:$B$3623,A203))</f>
        <v>9</v>
      </c>
      <c r="G203" s="37">
        <f>IF(COUNTIFS('📋 Транзакції'!$B$5:$B$3623,A203,'📋 Транзакції'!$C$5:$C$3623,"&gt;="&amp;EDATE(DATEVALUE(C203&amp;"-01"),0),'📋 Транзакції'!$C$5:$C$3623,"&lt;"&amp;EDATE(DATEVALUE(C203&amp;"-01"),1))&gt;0,1,0)</f>
        <v>1</v>
      </c>
      <c r="H203" s="37">
        <f>IF(COUNTIFS('📋 Транзакції'!$B$5:$B$3623,A203,'📋 Транзакції'!$C$5:$C$3623,"&gt;="&amp;EDATE(DATEVALUE(C203&amp;"-01"),1),'📋 Транзакції'!$C$5:$C$3623,"&lt;"&amp;EDATE(DATEVALUE(C203&amp;"-01"),2))&gt;0,1,0)</f>
        <v>1</v>
      </c>
      <c r="I203" s="37">
        <f>IF(COUNTIFS('📋 Транзакції'!$B$5:$B$3623,A203,'📋 Транзакції'!$C$5:$C$3623,"&gt;="&amp;EDATE(DATEVALUE(C203&amp;"-01"),2),'📋 Транзакції'!$C$5:$C$3623,"&lt;"&amp;EDATE(DATEVALUE(C203&amp;"-01"),3))&gt;0,1,0)</f>
        <v>1</v>
      </c>
      <c r="J203" s="37">
        <f>IF(COUNTIFS('📋 Транзакції'!$B$5:$B$3623,A203,'📋 Транзакції'!$C$5:$C$3623,"&gt;="&amp;EDATE(DATEVALUE(C203&amp;"-01"),3),'📋 Транзакції'!$C$5:$C$3623,"&lt;"&amp;EDATE(DATEVALUE(C203&amp;"-01"),4))&gt;0,1,0)</f>
        <v>1</v>
      </c>
      <c r="K203" s="37">
        <f>IF(COUNTIFS('📋 Транзакції'!$B$5:$B$3623,A203,'📋 Транзакції'!$C$5:$C$3623,"&gt;="&amp;EDATE(DATEVALUE(C203&amp;"-01"),4),'📋 Транзакції'!$C$5:$C$3623,"&lt;"&amp;EDATE(DATEVALUE(C203&amp;"-01"),5))&gt;0,1,0)</f>
        <v>1</v>
      </c>
      <c r="L203" s="37">
        <f>IF(COUNTIFS('📋 Транзакції'!$B$5:$B$3623,A203,'📋 Транзакції'!$C$5:$C$3623,"&gt;="&amp;EDATE(DATEVALUE(C203&amp;"-01"),5),'📋 Транзакції'!$C$5:$C$3623,"&lt;"&amp;EDATE(DATEVALUE(C203&amp;"-01"),6))&gt;0,1,0)</f>
        <v>1</v>
      </c>
      <c r="M203" s="37">
        <f>IF(COUNTIFS('📋 Транзакції'!$B$5:$B$3623,A203,'📋 Транзакції'!$C$5:$C$3623,"&gt;="&amp;EDATE(DATEVALUE(C203&amp;"-01"),6),'📋 Транзакції'!$C$5:$C$3623,"&lt;"&amp;EDATE(DATEVALUE(C203&amp;"-01"),7))&gt;0,1,0)</f>
        <v>1</v>
      </c>
      <c r="N203" s="37">
        <f>IF(COUNTIFS('📋 Транзакції'!$B$5:$B$3623,A203,'📋 Транзакції'!$C$5:$C$3623,"&gt;="&amp;EDATE(DATEVALUE(C203&amp;"-01"),7),'📋 Транзакції'!$C$5:$C$3623,"&lt;"&amp;EDATE(DATEVALUE(C203&amp;"-01"),8))&gt;0,1,0)</f>
        <v>1</v>
      </c>
      <c r="O203" s="37">
        <f>IF(COUNTIFS('📋 Транзакції'!$B$5:$B$3623,A203,'📋 Транзакції'!$C$5:$C$3623,"&gt;="&amp;EDATE(DATEVALUE(C203&amp;"-01"),8),'📋 Транзакції'!$C$5:$C$3623,"&lt;"&amp;EDATE(DATEVALUE(C203&amp;"-01"),9))&gt;0,1,0)</f>
        <v>1</v>
      </c>
      <c r="P203" s="37">
        <f>IF(COUNTIFS('📋 Транзакції'!$B$5:$B$3623,A203,'📋 Транзакції'!$C$5:$C$3623,"&gt;="&amp;EDATE(DATEVALUE(C203&amp;"-01"),9),'📋 Транзакції'!$C$5:$C$3623,"&lt;"&amp;EDATE(DATEVALUE(C203&amp;"-01"),10))&gt;0,1,0)</f>
        <v>0</v>
      </c>
      <c r="Q203" s="37">
        <f>IF(COUNTIFS('📋 Транзакції'!$B$5:$B$3623,A203,'📋 Транзакції'!$C$5:$C$3623,"&gt;="&amp;EDATE(DATEVALUE(C203&amp;"-01"),10),'📋 Транзакції'!$C$5:$C$3623,"&lt;"&amp;EDATE(DATEVALUE(C203&amp;"-01"),11))&gt;0,1,0)</f>
        <v>0</v>
      </c>
      <c r="R203" s="37">
        <f>IF(COUNTIFS('📋 Транзакції'!$B$5:$B$3623,A203,'📋 Транзакції'!$C$5:$C$3623,"&gt;="&amp;EDATE(DATEVALUE(C203&amp;"-01"),11),'📋 Транзакції'!$C$5:$C$3623,"&lt;"&amp;EDATE(DATEVALUE(C203&amp;"-01"),12))&gt;0,1,0)</f>
        <v>0</v>
      </c>
      <c r="S203" s="37">
        <f>SUMIFS('📋 Транзакції'!$F$5:$F$3623,'📋 Транзакції'!$B$5:$B$3623,A203,'📋 Транзакції'!$C$5:$C$3623,"&gt;="&amp;EDATE(DATEVALUE(C203&amp;"-01"),0),'📋 Транзакції'!$C$5:$C$3623,"&lt;"&amp;EDATE(DATEVALUE(C203&amp;"-01"),1))</f>
        <v>19.99</v>
      </c>
      <c r="T203" s="37">
        <f>SUMIFS('📋 Транзакції'!$F$5:$F$3623,'📋 Транзакції'!$B$5:$B$3623,A203,'📋 Транзакції'!$C$5:$C$3623,"&gt;="&amp;EDATE(DATEVALUE(C203&amp;"-01"),1),'📋 Транзакції'!$C$5:$C$3623,"&lt;"&amp;EDATE(DATEVALUE(C203&amp;"-01"),2))</f>
        <v>19.99</v>
      </c>
      <c r="U203" s="37">
        <f>SUMIFS('📋 Транзакції'!$F$5:$F$3623,'📋 Транзакції'!$B$5:$B$3623,A203,'📋 Транзакції'!$C$5:$C$3623,"&gt;="&amp;EDATE(DATEVALUE(C203&amp;"-01"),2),'📋 Транзакції'!$C$5:$C$3623,"&lt;"&amp;EDATE(DATEVALUE(C203&amp;"-01"),3))</f>
        <v>19.99</v>
      </c>
      <c r="V203" s="37">
        <f>SUMIFS('📋 Транзакції'!$F$5:$F$3623,'📋 Транзакції'!$B$5:$B$3623,A203,'📋 Транзакції'!$C$5:$C$3623,"&gt;="&amp;EDATE(DATEVALUE(C203&amp;"-01"),3),'📋 Транзакції'!$C$5:$C$3623,"&lt;"&amp;EDATE(DATEVALUE(C203&amp;"-01"),4))</f>
        <v>19.99</v>
      </c>
      <c r="W203" s="37">
        <f>SUMIFS('📋 Транзакції'!$F$5:$F$3623,'📋 Транзакції'!$B$5:$B$3623,A203,'📋 Транзакції'!$C$5:$C$3623,"&gt;="&amp;EDATE(DATEVALUE(C203&amp;"-01"),4),'📋 Транзакції'!$C$5:$C$3623,"&lt;"&amp;EDATE(DATEVALUE(C203&amp;"-01"),5))</f>
        <v>19.99</v>
      </c>
      <c r="X203" s="37">
        <f>SUMIFS('📋 Транзакції'!$F$5:$F$3623,'📋 Транзакції'!$B$5:$B$3623,A203,'📋 Транзакції'!$C$5:$C$3623,"&gt;="&amp;EDATE(DATEVALUE(C203&amp;"-01"),5),'📋 Транзакції'!$C$5:$C$3623,"&lt;"&amp;EDATE(DATEVALUE(C203&amp;"-01"),6))</f>
        <v>19.99</v>
      </c>
      <c r="Y203" s="37">
        <f>SUMIFS('📋 Транзакції'!$F$5:$F$3623,'📋 Транзакції'!$B$5:$B$3623,A203,'📋 Транзакції'!$C$5:$C$3623,"&gt;="&amp;EDATE(DATEVALUE(C203&amp;"-01"),6),'📋 Транзакції'!$C$5:$C$3623,"&lt;"&amp;EDATE(DATEVALUE(C203&amp;"-01"),7))</f>
        <v>19.99</v>
      </c>
      <c r="Z203" s="37">
        <f>SUMIFS('📋 Транзакції'!$F$5:$F$3623,'📋 Транзакції'!$B$5:$B$3623,A203,'📋 Транзакції'!$C$5:$C$3623,"&gt;="&amp;EDATE(DATEVALUE(C203&amp;"-01"),7),'📋 Транзакції'!$C$5:$C$3623,"&lt;"&amp;EDATE(DATEVALUE(C203&amp;"-01"),8))</f>
        <v>19.99</v>
      </c>
      <c r="AA203" s="37">
        <f>SUMIFS('📋 Транзакції'!$F$5:$F$3623,'📋 Транзакції'!$B$5:$B$3623,A203,'📋 Транзакції'!$C$5:$C$3623,"&gt;="&amp;EDATE(DATEVALUE(C203&amp;"-01"),8),'📋 Транзакції'!$C$5:$C$3623,"&lt;"&amp;EDATE(DATEVALUE(C203&amp;"-01"),9))</f>
        <v>19.99</v>
      </c>
      <c r="AB203" s="37">
        <f>SUMIFS('📋 Транзакції'!$F$5:$F$3623,'📋 Транзакції'!$B$5:$B$3623,A203,'📋 Транзакції'!$C$5:$C$3623,"&gt;="&amp;EDATE(DATEVALUE(C203&amp;"-01"),9),'📋 Транзакції'!$C$5:$C$3623,"&lt;"&amp;EDATE(DATEVALUE(C203&amp;"-01"),10))</f>
        <v>0</v>
      </c>
      <c r="AC203" s="37">
        <f>SUMIFS('📋 Транзакції'!$F$5:$F$3623,'📋 Транзакції'!$B$5:$B$3623,A203,'📋 Транзакції'!$C$5:$C$3623,"&gt;="&amp;EDATE(DATEVALUE(C203&amp;"-01"),10),'📋 Транзакції'!$C$5:$C$3623,"&lt;"&amp;EDATE(DATEVALUE(C203&amp;"-01"),11))</f>
        <v>0</v>
      </c>
      <c r="AD203" s="37">
        <f>SUMIFS('📋 Транзакції'!$F$5:$F$3623,'📋 Транзакції'!$B$5:$B$3623,A203,'📋 Транзакції'!$C$5:$C$3623,"&gt;="&amp;EDATE(DATEVALUE(C203&amp;"-01"),11),'📋 Транзакції'!$C$5:$C$3623,"&lt;"&amp;EDATE(DATEVALUE(C203&amp;"-01"),12))</f>
        <v>0</v>
      </c>
    </row>
    <row r="204" ht="15.75" customHeight="1">
      <c r="A204" s="33" t="str">
        <f>'📋 Реєстрації'!A204:A805</f>
        <v>U0111</v>
      </c>
      <c r="B204" s="34">
        <f t="array" ref="B204">INDEX('📋 Транзакції'!$C$5:$C$3623,MATCH(A204,'📋 Транзакції'!$B$5:$B$3623,0))</f>
        <v>45492</v>
      </c>
      <c r="C204" s="35" t="str">
        <f t="shared" si="1"/>
        <v>2024-07</v>
      </c>
      <c r="D204" s="36">
        <f>COUNTIF('📋 Транзакції'!$B$5:$B$3623,A204)</f>
        <v>3</v>
      </c>
      <c r="E204" s="36">
        <f>SUMIF('📋 Транзакції'!$B$5:$B$3623,A204,'📋 Транзакції'!$F$5:$F$3623)</f>
        <v>39.98</v>
      </c>
      <c r="F204" s="35">
        <f>INT($A$1-MAXIFS('📋 Транзакції'!$C$5:$C$3623,'📋 Транзакції'!$B$5:$B$3623,A204))</f>
        <v>218</v>
      </c>
      <c r="G204" s="37">
        <f>IF(COUNTIFS('📋 Транзакції'!$B$5:$B$3623,A204,'📋 Транзакції'!$C$5:$C$3623,"&gt;="&amp;EDATE(DATEVALUE(C204&amp;"-01"),0),'📋 Транзакції'!$C$5:$C$3623,"&lt;"&amp;EDATE(DATEVALUE(C204&amp;"-01"),1))&gt;0,1,0)</f>
        <v>1</v>
      </c>
      <c r="H204" s="37">
        <f>IF(COUNTIFS('📋 Транзакції'!$B$5:$B$3623,A204,'📋 Транзакції'!$C$5:$C$3623,"&gt;="&amp;EDATE(DATEVALUE(C204&amp;"-01"),1),'📋 Транзакції'!$C$5:$C$3623,"&lt;"&amp;EDATE(DATEVALUE(C204&amp;"-01"),2))&gt;0,1,0)</f>
        <v>1</v>
      </c>
      <c r="I204" s="37">
        <f>IF(COUNTIFS('📋 Транзакції'!$B$5:$B$3623,A204,'📋 Транзакції'!$C$5:$C$3623,"&gt;="&amp;EDATE(DATEVALUE(C204&amp;"-01"),2),'📋 Транзакції'!$C$5:$C$3623,"&lt;"&amp;EDATE(DATEVALUE(C204&amp;"-01"),3))&gt;0,1,0)</f>
        <v>0</v>
      </c>
      <c r="J204" s="37">
        <f>IF(COUNTIFS('📋 Транзакції'!$B$5:$B$3623,A204,'📋 Транзакції'!$C$5:$C$3623,"&gt;="&amp;EDATE(DATEVALUE(C204&amp;"-01"),3),'📋 Транзакції'!$C$5:$C$3623,"&lt;"&amp;EDATE(DATEVALUE(C204&amp;"-01"),4))&gt;0,1,0)</f>
        <v>0</v>
      </c>
      <c r="K204" s="37">
        <f>IF(COUNTIFS('📋 Транзакції'!$B$5:$B$3623,A204,'📋 Транзакції'!$C$5:$C$3623,"&gt;="&amp;EDATE(DATEVALUE(C204&amp;"-01"),4),'📋 Транзакції'!$C$5:$C$3623,"&lt;"&amp;EDATE(DATEVALUE(C204&amp;"-01"),5))&gt;0,1,0)</f>
        <v>0</v>
      </c>
      <c r="L204" s="37">
        <f>IF(COUNTIFS('📋 Транзакції'!$B$5:$B$3623,A204,'📋 Транзакції'!$C$5:$C$3623,"&gt;="&amp;EDATE(DATEVALUE(C204&amp;"-01"),5),'📋 Транзакції'!$C$5:$C$3623,"&lt;"&amp;EDATE(DATEVALUE(C204&amp;"-01"),6))&gt;0,1,0)</f>
        <v>0</v>
      </c>
      <c r="M204" s="37">
        <f>IF(COUNTIFS('📋 Транзакції'!$B$5:$B$3623,A204,'📋 Транзакції'!$C$5:$C$3623,"&gt;="&amp;EDATE(DATEVALUE(C204&amp;"-01"),6),'📋 Транзакції'!$C$5:$C$3623,"&lt;"&amp;EDATE(DATEVALUE(C204&amp;"-01"),7))&gt;0,1,0)</f>
        <v>0</v>
      </c>
      <c r="N204" s="37">
        <f>IF(COUNTIFS('📋 Транзакції'!$B$5:$B$3623,A204,'📋 Транзакції'!$C$5:$C$3623,"&gt;="&amp;EDATE(DATEVALUE(C204&amp;"-01"),7),'📋 Транзакції'!$C$5:$C$3623,"&lt;"&amp;EDATE(DATEVALUE(C204&amp;"-01"),8))&gt;0,1,0)</f>
        <v>0</v>
      </c>
      <c r="O204" s="37">
        <f>IF(COUNTIFS('📋 Транзакції'!$B$5:$B$3623,A204,'📋 Транзакції'!$C$5:$C$3623,"&gt;="&amp;EDATE(DATEVALUE(C204&amp;"-01"),8),'📋 Транзакції'!$C$5:$C$3623,"&lt;"&amp;EDATE(DATEVALUE(C204&amp;"-01"),9))&gt;0,1,0)</f>
        <v>0</v>
      </c>
      <c r="P204" s="37">
        <f>IF(COUNTIFS('📋 Транзакції'!$B$5:$B$3623,A204,'📋 Транзакції'!$C$5:$C$3623,"&gt;="&amp;EDATE(DATEVALUE(C204&amp;"-01"),9),'📋 Транзакції'!$C$5:$C$3623,"&lt;"&amp;EDATE(DATEVALUE(C204&amp;"-01"),10))&gt;0,1,0)</f>
        <v>0</v>
      </c>
      <c r="Q204" s="37">
        <f>IF(COUNTIFS('📋 Транзакції'!$B$5:$B$3623,A204,'📋 Транзакції'!$C$5:$C$3623,"&gt;="&amp;EDATE(DATEVALUE(C204&amp;"-01"),10),'📋 Транзакції'!$C$5:$C$3623,"&lt;"&amp;EDATE(DATEVALUE(C204&amp;"-01"),11))&gt;0,1,0)</f>
        <v>0</v>
      </c>
      <c r="R204" s="37">
        <f>IF(COUNTIFS('📋 Транзакції'!$B$5:$B$3623,A204,'📋 Транзакції'!$C$5:$C$3623,"&gt;="&amp;EDATE(DATEVALUE(C204&amp;"-01"),11),'📋 Транзакції'!$C$5:$C$3623,"&lt;"&amp;EDATE(DATEVALUE(C204&amp;"-01"),12))&gt;0,1,0)</f>
        <v>0</v>
      </c>
      <c r="S204" s="37">
        <f>SUMIFS('📋 Транзакції'!$F$5:$F$3623,'📋 Транзакції'!$B$5:$B$3623,A204,'📋 Транзакції'!$C$5:$C$3623,"&gt;="&amp;EDATE(DATEVALUE(C204&amp;"-01"),0),'📋 Транзакції'!$C$5:$C$3623,"&lt;"&amp;EDATE(DATEVALUE(C204&amp;"-01"),1))</f>
        <v>19.99</v>
      </c>
      <c r="T204" s="37">
        <f>SUMIFS('📋 Транзакції'!$F$5:$F$3623,'📋 Транзакції'!$B$5:$B$3623,A204,'📋 Транзакції'!$C$5:$C$3623,"&gt;="&amp;EDATE(DATEVALUE(C204&amp;"-01"),1),'📋 Транзакції'!$C$5:$C$3623,"&lt;"&amp;EDATE(DATEVALUE(C204&amp;"-01"),2))</f>
        <v>19.99</v>
      </c>
      <c r="U204" s="37">
        <f>SUMIFS('📋 Транзакції'!$F$5:$F$3623,'📋 Транзакції'!$B$5:$B$3623,A204,'📋 Транзакції'!$C$5:$C$3623,"&gt;="&amp;EDATE(DATEVALUE(C204&amp;"-01"),2),'📋 Транзакції'!$C$5:$C$3623,"&lt;"&amp;EDATE(DATEVALUE(C204&amp;"-01"),3))</f>
        <v>0</v>
      </c>
      <c r="V204" s="37">
        <f>SUMIFS('📋 Транзакції'!$F$5:$F$3623,'📋 Транзакції'!$B$5:$B$3623,A204,'📋 Транзакції'!$C$5:$C$3623,"&gt;="&amp;EDATE(DATEVALUE(C204&amp;"-01"),3),'📋 Транзакції'!$C$5:$C$3623,"&lt;"&amp;EDATE(DATEVALUE(C204&amp;"-01"),4))</f>
        <v>0</v>
      </c>
      <c r="W204" s="37">
        <f>SUMIFS('📋 Транзакції'!$F$5:$F$3623,'📋 Транзакції'!$B$5:$B$3623,A204,'📋 Транзакції'!$C$5:$C$3623,"&gt;="&amp;EDATE(DATEVALUE(C204&amp;"-01"),4),'📋 Транзакції'!$C$5:$C$3623,"&lt;"&amp;EDATE(DATEVALUE(C204&amp;"-01"),5))</f>
        <v>0</v>
      </c>
      <c r="X204" s="37">
        <f>SUMIFS('📋 Транзакції'!$F$5:$F$3623,'📋 Транзакції'!$B$5:$B$3623,A204,'📋 Транзакції'!$C$5:$C$3623,"&gt;="&amp;EDATE(DATEVALUE(C204&amp;"-01"),5),'📋 Транзакції'!$C$5:$C$3623,"&lt;"&amp;EDATE(DATEVALUE(C204&amp;"-01"),6))</f>
        <v>0</v>
      </c>
      <c r="Y204" s="37">
        <f>SUMIFS('📋 Транзакції'!$F$5:$F$3623,'📋 Транзакції'!$B$5:$B$3623,A204,'📋 Транзакції'!$C$5:$C$3623,"&gt;="&amp;EDATE(DATEVALUE(C204&amp;"-01"),6),'📋 Транзакції'!$C$5:$C$3623,"&lt;"&amp;EDATE(DATEVALUE(C204&amp;"-01"),7))</f>
        <v>0</v>
      </c>
      <c r="Z204" s="37">
        <f>SUMIFS('📋 Транзакції'!$F$5:$F$3623,'📋 Транзакції'!$B$5:$B$3623,A204,'📋 Транзакції'!$C$5:$C$3623,"&gt;="&amp;EDATE(DATEVALUE(C204&amp;"-01"),7),'📋 Транзакції'!$C$5:$C$3623,"&lt;"&amp;EDATE(DATEVALUE(C204&amp;"-01"),8))</f>
        <v>0</v>
      </c>
      <c r="AA204" s="37">
        <f>SUMIFS('📋 Транзакції'!$F$5:$F$3623,'📋 Транзакції'!$B$5:$B$3623,A204,'📋 Транзакції'!$C$5:$C$3623,"&gt;="&amp;EDATE(DATEVALUE(C204&amp;"-01"),8),'📋 Транзакції'!$C$5:$C$3623,"&lt;"&amp;EDATE(DATEVALUE(C204&amp;"-01"),9))</f>
        <v>0</v>
      </c>
      <c r="AB204" s="37">
        <f>SUMIFS('📋 Транзакції'!$F$5:$F$3623,'📋 Транзакції'!$B$5:$B$3623,A204,'📋 Транзакції'!$C$5:$C$3623,"&gt;="&amp;EDATE(DATEVALUE(C204&amp;"-01"),9),'📋 Транзакції'!$C$5:$C$3623,"&lt;"&amp;EDATE(DATEVALUE(C204&amp;"-01"),10))</f>
        <v>0</v>
      </c>
      <c r="AC204" s="37">
        <f>SUMIFS('📋 Транзакції'!$F$5:$F$3623,'📋 Транзакції'!$B$5:$B$3623,A204,'📋 Транзакції'!$C$5:$C$3623,"&gt;="&amp;EDATE(DATEVALUE(C204&amp;"-01"),10),'📋 Транзакції'!$C$5:$C$3623,"&lt;"&amp;EDATE(DATEVALUE(C204&amp;"-01"),11))</f>
        <v>0</v>
      </c>
      <c r="AD204" s="37">
        <f>SUMIFS('📋 Транзакції'!$F$5:$F$3623,'📋 Транзакції'!$B$5:$B$3623,A204,'📋 Транзакції'!$C$5:$C$3623,"&gt;="&amp;EDATE(DATEVALUE(C204&amp;"-01"),11),'📋 Транзакції'!$C$5:$C$3623,"&lt;"&amp;EDATE(DATEVALUE(C204&amp;"-01"),12))</f>
        <v>0</v>
      </c>
    </row>
    <row r="205" ht="15.75" customHeight="1">
      <c r="A205" s="33" t="str">
        <f>'📋 Реєстрації'!A205:A806</f>
        <v>U0697</v>
      </c>
      <c r="B205" s="34">
        <f t="array" ref="B205">INDEX('📋 Транзакції'!$C$5:$C$3623,MATCH(A205,'📋 Транзакції'!$B$5:$B$3623,0))</f>
        <v>45492</v>
      </c>
      <c r="C205" s="35" t="str">
        <f t="shared" si="1"/>
        <v>2024-07</v>
      </c>
      <c r="D205" s="36">
        <f>COUNTIF('📋 Транзакції'!$B$5:$B$3623,A205)</f>
        <v>2</v>
      </c>
      <c r="E205" s="36">
        <f>SUMIF('📋 Транзакції'!$B$5:$B$3623,A205,'📋 Транзакції'!$F$5:$F$3623)</f>
        <v>19.99</v>
      </c>
      <c r="F205" s="35">
        <f>INT($A$1-MAXIFS('📋 Транзакції'!$C$5:$C$3623,'📋 Транзакції'!$B$5:$B$3623,A205))</f>
        <v>248</v>
      </c>
      <c r="G205" s="37">
        <f>IF(COUNTIFS('📋 Транзакції'!$B$5:$B$3623,A205,'📋 Транзакції'!$C$5:$C$3623,"&gt;="&amp;EDATE(DATEVALUE(C205&amp;"-01"),0),'📋 Транзакції'!$C$5:$C$3623,"&lt;"&amp;EDATE(DATEVALUE(C205&amp;"-01"),1))&gt;0,1,0)</f>
        <v>1</v>
      </c>
      <c r="H205" s="37">
        <f>IF(COUNTIFS('📋 Транзакції'!$B$5:$B$3623,A205,'📋 Транзакції'!$C$5:$C$3623,"&gt;="&amp;EDATE(DATEVALUE(C205&amp;"-01"),1),'📋 Транзакції'!$C$5:$C$3623,"&lt;"&amp;EDATE(DATEVALUE(C205&amp;"-01"),2))&gt;0,1,0)</f>
        <v>0</v>
      </c>
      <c r="I205" s="37">
        <f>IF(COUNTIFS('📋 Транзакції'!$B$5:$B$3623,A205,'📋 Транзакції'!$C$5:$C$3623,"&gt;="&amp;EDATE(DATEVALUE(C205&amp;"-01"),2),'📋 Транзакції'!$C$5:$C$3623,"&lt;"&amp;EDATE(DATEVALUE(C205&amp;"-01"),3))&gt;0,1,0)</f>
        <v>0</v>
      </c>
      <c r="J205" s="37">
        <f>IF(COUNTIFS('📋 Транзакції'!$B$5:$B$3623,A205,'📋 Транзакції'!$C$5:$C$3623,"&gt;="&amp;EDATE(DATEVALUE(C205&amp;"-01"),3),'📋 Транзакції'!$C$5:$C$3623,"&lt;"&amp;EDATE(DATEVALUE(C205&amp;"-01"),4))&gt;0,1,0)</f>
        <v>0</v>
      </c>
      <c r="K205" s="37">
        <f>IF(COUNTIFS('📋 Транзакції'!$B$5:$B$3623,A205,'📋 Транзакції'!$C$5:$C$3623,"&gt;="&amp;EDATE(DATEVALUE(C205&amp;"-01"),4),'📋 Транзакції'!$C$5:$C$3623,"&lt;"&amp;EDATE(DATEVALUE(C205&amp;"-01"),5))&gt;0,1,0)</f>
        <v>0</v>
      </c>
      <c r="L205" s="37">
        <f>IF(COUNTIFS('📋 Транзакції'!$B$5:$B$3623,A205,'📋 Транзакції'!$C$5:$C$3623,"&gt;="&amp;EDATE(DATEVALUE(C205&amp;"-01"),5),'📋 Транзакції'!$C$5:$C$3623,"&lt;"&amp;EDATE(DATEVALUE(C205&amp;"-01"),6))&gt;0,1,0)</f>
        <v>0</v>
      </c>
      <c r="M205" s="37">
        <f>IF(COUNTIFS('📋 Транзакції'!$B$5:$B$3623,A205,'📋 Транзакції'!$C$5:$C$3623,"&gt;="&amp;EDATE(DATEVALUE(C205&amp;"-01"),6),'📋 Транзакції'!$C$5:$C$3623,"&lt;"&amp;EDATE(DATEVALUE(C205&amp;"-01"),7))&gt;0,1,0)</f>
        <v>0</v>
      </c>
      <c r="N205" s="37">
        <f>IF(COUNTIFS('📋 Транзакції'!$B$5:$B$3623,A205,'📋 Транзакції'!$C$5:$C$3623,"&gt;="&amp;EDATE(DATEVALUE(C205&amp;"-01"),7),'📋 Транзакції'!$C$5:$C$3623,"&lt;"&amp;EDATE(DATEVALUE(C205&amp;"-01"),8))&gt;0,1,0)</f>
        <v>0</v>
      </c>
      <c r="O205" s="37">
        <f>IF(COUNTIFS('📋 Транзакції'!$B$5:$B$3623,A205,'📋 Транзакції'!$C$5:$C$3623,"&gt;="&amp;EDATE(DATEVALUE(C205&amp;"-01"),8),'📋 Транзакції'!$C$5:$C$3623,"&lt;"&amp;EDATE(DATEVALUE(C205&amp;"-01"),9))&gt;0,1,0)</f>
        <v>0</v>
      </c>
      <c r="P205" s="37">
        <f>IF(COUNTIFS('📋 Транзакції'!$B$5:$B$3623,A205,'📋 Транзакції'!$C$5:$C$3623,"&gt;="&amp;EDATE(DATEVALUE(C205&amp;"-01"),9),'📋 Транзакції'!$C$5:$C$3623,"&lt;"&amp;EDATE(DATEVALUE(C205&amp;"-01"),10))&gt;0,1,0)</f>
        <v>0</v>
      </c>
      <c r="Q205" s="37">
        <f>IF(COUNTIFS('📋 Транзакції'!$B$5:$B$3623,A205,'📋 Транзакції'!$C$5:$C$3623,"&gt;="&amp;EDATE(DATEVALUE(C205&amp;"-01"),10),'📋 Транзакції'!$C$5:$C$3623,"&lt;"&amp;EDATE(DATEVALUE(C205&amp;"-01"),11))&gt;0,1,0)</f>
        <v>0</v>
      </c>
      <c r="R205" s="37">
        <f>IF(COUNTIFS('📋 Транзакції'!$B$5:$B$3623,A205,'📋 Транзакції'!$C$5:$C$3623,"&gt;="&amp;EDATE(DATEVALUE(C205&amp;"-01"),11),'📋 Транзакції'!$C$5:$C$3623,"&lt;"&amp;EDATE(DATEVALUE(C205&amp;"-01"),12))&gt;0,1,0)</f>
        <v>0</v>
      </c>
      <c r="S205" s="37">
        <f>SUMIFS('📋 Транзакції'!$F$5:$F$3623,'📋 Транзакції'!$B$5:$B$3623,A205,'📋 Транзакції'!$C$5:$C$3623,"&gt;="&amp;EDATE(DATEVALUE(C205&amp;"-01"),0),'📋 Транзакції'!$C$5:$C$3623,"&lt;"&amp;EDATE(DATEVALUE(C205&amp;"-01"),1))</f>
        <v>19.99</v>
      </c>
      <c r="T205" s="37">
        <f>SUMIFS('📋 Транзакції'!$F$5:$F$3623,'📋 Транзакції'!$B$5:$B$3623,A205,'📋 Транзакції'!$C$5:$C$3623,"&gt;="&amp;EDATE(DATEVALUE(C205&amp;"-01"),1),'📋 Транзакції'!$C$5:$C$3623,"&lt;"&amp;EDATE(DATEVALUE(C205&amp;"-01"),2))</f>
        <v>0</v>
      </c>
      <c r="U205" s="37">
        <f>SUMIFS('📋 Транзакції'!$F$5:$F$3623,'📋 Транзакції'!$B$5:$B$3623,A205,'📋 Транзакції'!$C$5:$C$3623,"&gt;="&amp;EDATE(DATEVALUE(C205&amp;"-01"),2),'📋 Транзакції'!$C$5:$C$3623,"&lt;"&amp;EDATE(DATEVALUE(C205&amp;"-01"),3))</f>
        <v>0</v>
      </c>
      <c r="V205" s="37">
        <f>SUMIFS('📋 Транзакції'!$F$5:$F$3623,'📋 Транзакції'!$B$5:$B$3623,A205,'📋 Транзакції'!$C$5:$C$3623,"&gt;="&amp;EDATE(DATEVALUE(C205&amp;"-01"),3),'📋 Транзакції'!$C$5:$C$3623,"&lt;"&amp;EDATE(DATEVALUE(C205&amp;"-01"),4))</f>
        <v>0</v>
      </c>
      <c r="W205" s="37">
        <f>SUMIFS('📋 Транзакції'!$F$5:$F$3623,'📋 Транзакції'!$B$5:$B$3623,A205,'📋 Транзакції'!$C$5:$C$3623,"&gt;="&amp;EDATE(DATEVALUE(C205&amp;"-01"),4),'📋 Транзакції'!$C$5:$C$3623,"&lt;"&amp;EDATE(DATEVALUE(C205&amp;"-01"),5))</f>
        <v>0</v>
      </c>
      <c r="X205" s="37">
        <f>SUMIFS('📋 Транзакції'!$F$5:$F$3623,'📋 Транзакції'!$B$5:$B$3623,A205,'📋 Транзакції'!$C$5:$C$3623,"&gt;="&amp;EDATE(DATEVALUE(C205&amp;"-01"),5),'📋 Транзакції'!$C$5:$C$3623,"&lt;"&amp;EDATE(DATEVALUE(C205&amp;"-01"),6))</f>
        <v>0</v>
      </c>
      <c r="Y205" s="37">
        <f>SUMIFS('📋 Транзакції'!$F$5:$F$3623,'📋 Транзакції'!$B$5:$B$3623,A205,'📋 Транзакції'!$C$5:$C$3623,"&gt;="&amp;EDATE(DATEVALUE(C205&amp;"-01"),6),'📋 Транзакції'!$C$5:$C$3623,"&lt;"&amp;EDATE(DATEVALUE(C205&amp;"-01"),7))</f>
        <v>0</v>
      </c>
      <c r="Z205" s="37">
        <f>SUMIFS('📋 Транзакції'!$F$5:$F$3623,'📋 Транзакції'!$B$5:$B$3623,A205,'📋 Транзакції'!$C$5:$C$3623,"&gt;="&amp;EDATE(DATEVALUE(C205&amp;"-01"),7),'📋 Транзакції'!$C$5:$C$3623,"&lt;"&amp;EDATE(DATEVALUE(C205&amp;"-01"),8))</f>
        <v>0</v>
      </c>
      <c r="AA205" s="37">
        <f>SUMIFS('📋 Транзакції'!$F$5:$F$3623,'📋 Транзакції'!$B$5:$B$3623,A205,'📋 Транзакції'!$C$5:$C$3623,"&gt;="&amp;EDATE(DATEVALUE(C205&amp;"-01"),8),'📋 Транзакції'!$C$5:$C$3623,"&lt;"&amp;EDATE(DATEVALUE(C205&amp;"-01"),9))</f>
        <v>0</v>
      </c>
      <c r="AB205" s="37">
        <f>SUMIFS('📋 Транзакції'!$F$5:$F$3623,'📋 Транзакції'!$B$5:$B$3623,A205,'📋 Транзакції'!$C$5:$C$3623,"&gt;="&amp;EDATE(DATEVALUE(C205&amp;"-01"),9),'📋 Транзакції'!$C$5:$C$3623,"&lt;"&amp;EDATE(DATEVALUE(C205&amp;"-01"),10))</f>
        <v>0</v>
      </c>
      <c r="AC205" s="37">
        <f>SUMIFS('📋 Транзакції'!$F$5:$F$3623,'📋 Транзакції'!$B$5:$B$3623,A205,'📋 Транзакції'!$C$5:$C$3623,"&gt;="&amp;EDATE(DATEVALUE(C205&amp;"-01"),10),'📋 Транзакції'!$C$5:$C$3623,"&lt;"&amp;EDATE(DATEVALUE(C205&amp;"-01"),11))</f>
        <v>0</v>
      </c>
      <c r="AD205" s="37">
        <f>SUMIFS('📋 Транзакції'!$F$5:$F$3623,'📋 Транзакції'!$B$5:$B$3623,A205,'📋 Транзакції'!$C$5:$C$3623,"&gt;="&amp;EDATE(DATEVALUE(C205&amp;"-01"),11),'📋 Транзакції'!$C$5:$C$3623,"&lt;"&amp;EDATE(DATEVALUE(C205&amp;"-01"),12))</f>
        <v>0</v>
      </c>
    </row>
    <row r="206" ht="15.75" customHeight="1">
      <c r="A206" s="33" t="str">
        <f>'📋 Реєстрації'!A206:A807</f>
        <v>U0167</v>
      </c>
      <c r="B206" s="34">
        <f t="array" ref="B206">INDEX('📋 Транзакції'!$C$5:$C$3623,MATCH(A206,'📋 Транзакції'!$B$5:$B$3623,0))</f>
        <v>45494</v>
      </c>
      <c r="C206" s="35" t="str">
        <f t="shared" si="1"/>
        <v>2024-07</v>
      </c>
      <c r="D206" s="36">
        <f>COUNTIF('📋 Транзакції'!$B$5:$B$3623,A206)</f>
        <v>4</v>
      </c>
      <c r="E206" s="36">
        <f>SUMIF('📋 Транзакції'!$B$5:$B$3623,A206,'📋 Транзакції'!$F$5:$F$3623)</f>
        <v>59.97</v>
      </c>
      <c r="F206" s="35">
        <f>INT($A$1-MAXIFS('📋 Транзакції'!$C$5:$C$3623,'📋 Транзакції'!$B$5:$B$3623,A206))</f>
        <v>186</v>
      </c>
      <c r="G206" s="37">
        <f>IF(COUNTIFS('📋 Транзакції'!$B$5:$B$3623,A206,'📋 Транзакції'!$C$5:$C$3623,"&gt;="&amp;EDATE(DATEVALUE(C206&amp;"-01"),0),'📋 Транзакції'!$C$5:$C$3623,"&lt;"&amp;EDATE(DATEVALUE(C206&amp;"-01"),1))&gt;0,1,0)</f>
        <v>1</v>
      </c>
      <c r="H206" s="37">
        <f>IF(COUNTIFS('📋 Транзакції'!$B$5:$B$3623,A206,'📋 Транзакції'!$C$5:$C$3623,"&gt;="&amp;EDATE(DATEVALUE(C206&amp;"-01"),1),'📋 Транзакції'!$C$5:$C$3623,"&lt;"&amp;EDATE(DATEVALUE(C206&amp;"-01"),2))&gt;0,1,0)</f>
        <v>1</v>
      </c>
      <c r="I206" s="37">
        <f>IF(COUNTIFS('📋 Транзакції'!$B$5:$B$3623,A206,'📋 Транзакції'!$C$5:$C$3623,"&gt;="&amp;EDATE(DATEVALUE(C206&amp;"-01"),2),'📋 Транзакції'!$C$5:$C$3623,"&lt;"&amp;EDATE(DATEVALUE(C206&amp;"-01"),3))&gt;0,1,0)</f>
        <v>1</v>
      </c>
      <c r="J206" s="37">
        <f>IF(COUNTIFS('📋 Транзакції'!$B$5:$B$3623,A206,'📋 Транзакції'!$C$5:$C$3623,"&gt;="&amp;EDATE(DATEVALUE(C206&amp;"-01"),3),'📋 Транзакції'!$C$5:$C$3623,"&lt;"&amp;EDATE(DATEVALUE(C206&amp;"-01"),4))&gt;0,1,0)</f>
        <v>0</v>
      </c>
      <c r="K206" s="37">
        <f>IF(COUNTIFS('📋 Транзакції'!$B$5:$B$3623,A206,'📋 Транзакції'!$C$5:$C$3623,"&gt;="&amp;EDATE(DATEVALUE(C206&amp;"-01"),4),'📋 Транзакції'!$C$5:$C$3623,"&lt;"&amp;EDATE(DATEVALUE(C206&amp;"-01"),5))&gt;0,1,0)</f>
        <v>0</v>
      </c>
      <c r="L206" s="37">
        <f>IF(COUNTIFS('📋 Транзакції'!$B$5:$B$3623,A206,'📋 Транзакції'!$C$5:$C$3623,"&gt;="&amp;EDATE(DATEVALUE(C206&amp;"-01"),5),'📋 Транзакції'!$C$5:$C$3623,"&lt;"&amp;EDATE(DATEVALUE(C206&amp;"-01"),6))&gt;0,1,0)</f>
        <v>0</v>
      </c>
      <c r="M206" s="37">
        <f>IF(COUNTIFS('📋 Транзакції'!$B$5:$B$3623,A206,'📋 Транзакції'!$C$5:$C$3623,"&gt;="&amp;EDATE(DATEVALUE(C206&amp;"-01"),6),'📋 Транзакції'!$C$5:$C$3623,"&lt;"&amp;EDATE(DATEVALUE(C206&amp;"-01"),7))&gt;0,1,0)</f>
        <v>0</v>
      </c>
      <c r="N206" s="37">
        <f>IF(COUNTIFS('📋 Транзакції'!$B$5:$B$3623,A206,'📋 Транзакції'!$C$5:$C$3623,"&gt;="&amp;EDATE(DATEVALUE(C206&amp;"-01"),7),'📋 Транзакції'!$C$5:$C$3623,"&lt;"&amp;EDATE(DATEVALUE(C206&amp;"-01"),8))&gt;0,1,0)</f>
        <v>0</v>
      </c>
      <c r="O206" s="37">
        <f>IF(COUNTIFS('📋 Транзакції'!$B$5:$B$3623,A206,'📋 Транзакції'!$C$5:$C$3623,"&gt;="&amp;EDATE(DATEVALUE(C206&amp;"-01"),8),'📋 Транзакції'!$C$5:$C$3623,"&lt;"&amp;EDATE(DATEVALUE(C206&amp;"-01"),9))&gt;0,1,0)</f>
        <v>0</v>
      </c>
      <c r="P206" s="37">
        <f>IF(COUNTIFS('📋 Транзакції'!$B$5:$B$3623,A206,'📋 Транзакції'!$C$5:$C$3623,"&gt;="&amp;EDATE(DATEVALUE(C206&amp;"-01"),9),'📋 Транзакції'!$C$5:$C$3623,"&lt;"&amp;EDATE(DATEVALUE(C206&amp;"-01"),10))&gt;0,1,0)</f>
        <v>0</v>
      </c>
      <c r="Q206" s="37">
        <f>IF(COUNTIFS('📋 Транзакції'!$B$5:$B$3623,A206,'📋 Транзакції'!$C$5:$C$3623,"&gt;="&amp;EDATE(DATEVALUE(C206&amp;"-01"),10),'📋 Транзакції'!$C$5:$C$3623,"&lt;"&amp;EDATE(DATEVALUE(C206&amp;"-01"),11))&gt;0,1,0)</f>
        <v>0</v>
      </c>
      <c r="R206" s="37">
        <f>IF(COUNTIFS('📋 Транзакції'!$B$5:$B$3623,A206,'📋 Транзакції'!$C$5:$C$3623,"&gt;="&amp;EDATE(DATEVALUE(C206&amp;"-01"),11),'📋 Транзакції'!$C$5:$C$3623,"&lt;"&amp;EDATE(DATEVALUE(C206&amp;"-01"),12))&gt;0,1,0)</f>
        <v>0</v>
      </c>
      <c r="S206" s="37">
        <f>SUMIFS('📋 Транзакції'!$F$5:$F$3623,'📋 Транзакції'!$B$5:$B$3623,A206,'📋 Транзакції'!$C$5:$C$3623,"&gt;="&amp;EDATE(DATEVALUE(C206&amp;"-01"),0),'📋 Транзакції'!$C$5:$C$3623,"&lt;"&amp;EDATE(DATEVALUE(C206&amp;"-01"),1))</f>
        <v>19.99</v>
      </c>
      <c r="T206" s="37">
        <f>SUMIFS('📋 Транзакції'!$F$5:$F$3623,'📋 Транзакції'!$B$5:$B$3623,A206,'📋 Транзакції'!$C$5:$C$3623,"&gt;="&amp;EDATE(DATEVALUE(C206&amp;"-01"),1),'📋 Транзакції'!$C$5:$C$3623,"&lt;"&amp;EDATE(DATEVALUE(C206&amp;"-01"),2))</f>
        <v>19.99</v>
      </c>
      <c r="U206" s="37">
        <f>SUMIFS('📋 Транзакції'!$F$5:$F$3623,'📋 Транзакції'!$B$5:$B$3623,A206,'📋 Транзакції'!$C$5:$C$3623,"&gt;="&amp;EDATE(DATEVALUE(C206&amp;"-01"),2),'📋 Транзакції'!$C$5:$C$3623,"&lt;"&amp;EDATE(DATEVALUE(C206&amp;"-01"),3))</f>
        <v>19.99</v>
      </c>
      <c r="V206" s="37">
        <f>SUMIFS('📋 Транзакції'!$F$5:$F$3623,'📋 Транзакції'!$B$5:$B$3623,A206,'📋 Транзакції'!$C$5:$C$3623,"&gt;="&amp;EDATE(DATEVALUE(C206&amp;"-01"),3),'📋 Транзакції'!$C$5:$C$3623,"&lt;"&amp;EDATE(DATEVALUE(C206&amp;"-01"),4))</f>
        <v>0</v>
      </c>
      <c r="W206" s="37">
        <f>SUMIFS('📋 Транзакції'!$F$5:$F$3623,'📋 Транзакції'!$B$5:$B$3623,A206,'📋 Транзакції'!$C$5:$C$3623,"&gt;="&amp;EDATE(DATEVALUE(C206&amp;"-01"),4),'📋 Транзакції'!$C$5:$C$3623,"&lt;"&amp;EDATE(DATEVALUE(C206&amp;"-01"),5))</f>
        <v>0</v>
      </c>
      <c r="X206" s="37">
        <f>SUMIFS('📋 Транзакції'!$F$5:$F$3623,'📋 Транзакції'!$B$5:$B$3623,A206,'📋 Транзакції'!$C$5:$C$3623,"&gt;="&amp;EDATE(DATEVALUE(C206&amp;"-01"),5),'📋 Транзакції'!$C$5:$C$3623,"&lt;"&amp;EDATE(DATEVALUE(C206&amp;"-01"),6))</f>
        <v>0</v>
      </c>
      <c r="Y206" s="37">
        <f>SUMIFS('📋 Транзакції'!$F$5:$F$3623,'📋 Транзакції'!$B$5:$B$3623,A206,'📋 Транзакції'!$C$5:$C$3623,"&gt;="&amp;EDATE(DATEVALUE(C206&amp;"-01"),6),'📋 Транзакції'!$C$5:$C$3623,"&lt;"&amp;EDATE(DATEVALUE(C206&amp;"-01"),7))</f>
        <v>0</v>
      </c>
      <c r="Z206" s="37">
        <f>SUMIFS('📋 Транзакції'!$F$5:$F$3623,'📋 Транзакції'!$B$5:$B$3623,A206,'📋 Транзакції'!$C$5:$C$3623,"&gt;="&amp;EDATE(DATEVALUE(C206&amp;"-01"),7),'📋 Транзакції'!$C$5:$C$3623,"&lt;"&amp;EDATE(DATEVALUE(C206&amp;"-01"),8))</f>
        <v>0</v>
      </c>
      <c r="AA206" s="37">
        <f>SUMIFS('📋 Транзакції'!$F$5:$F$3623,'📋 Транзакції'!$B$5:$B$3623,A206,'📋 Транзакції'!$C$5:$C$3623,"&gt;="&amp;EDATE(DATEVALUE(C206&amp;"-01"),8),'📋 Транзакції'!$C$5:$C$3623,"&lt;"&amp;EDATE(DATEVALUE(C206&amp;"-01"),9))</f>
        <v>0</v>
      </c>
      <c r="AB206" s="37">
        <f>SUMIFS('📋 Транзакції'!$F$5:$F$3623,'📋 Транзакції'!$B$5:$B$3623,A206,'📋 Транзакції'!$C$5:$C$3623,"&gt;="&amp;EDATE(DATEVALUE(C206&amp;"-01"),9),'📋 Транзакції'!$C$5:$C$3623,"&lt;"&amp;EDATE(DATEVALUE(C206&amp;"-01"),10))</f>
        <v>0</v>
      </c>
      <c r="AC206" s="37">
        <f>SUMIFS('📋 Транзакції'!$F$5:$F$3623,'📋 Транзакції'!$B$5:$B$3623,A206,'📋 Транзакції'!$C$5:$C$3623,"&gt;="&amp;EDATE(DATEVALUE(C206&amp;"-01"),10),'📋 Транзакції'!$C$5:$C$3623,"&lt;"&amp;EDATE(DATEVALUE(C206&amp;"-01"),11))</f>
        <v>0</v>
      </c>
      <c r="AD206" s="37">
        <f>SUMIFS('📋 Транзакції'!$F$5:$F$3623,'📋 Транзакції'!$B$5:$B$3623,A206,'📋 Транзакції'!$C$5:$C$3623,"&gt;="&amp;EDATE(DATEVALUE(C206&amp;"-01"),11),'📋 Транзакції'!$C$5:$C$3623,"&lt;"&amp;EDATE(DATEVALUE(C206&amp;"-01"),12))</f>
        <v>0</v>
      </c>
    </row>
    <row r="207" ht="15.75" customHeight="1">
      <c r="A207" s="33" t="str">
        <f>'📋 Реєстрації'!A207:A808</f>
        <v>U0642</v>
      </c>
      <c r="B207" s="34">
        <f t="array" ref="B207">INDEX('📋 Транзакції'!$C$5:$C$3623,MATCH(A207,'📋 Транзакції'!$B$5:$B$3623,0))</f>
        <v>45495</v>
      </c>
      <c r="C207" s="35" t="str">
        <f t="shared" si="1"/>
        <v>2024-07</v>
      </c>
      <c r="D207" s="36">
        <f>COUNTIF('📋 Транзакції'!$B$5:$B$3623,A207)</f>
        <v>10</v>
      </c>
      <c r="E207" s="36">
        <f>SUMIF('📋 Транзакції'!$B$5:$B$3623,A207,'📋 Транзакції'!$F$5:$F$3623)</f>
        <v>179.91</v>
      </c>
      <c r="F207" s="35">
        <f>INT($A$1-MAXIFS('📋 Транзакції'!$C$5:$C$3623,'📋 Транзакції'!$B$5:$B$3623,A207))</f>
        <v>5</v>
      </c>
      <c r="G207" s="37">
        <f>IF(COUNTIFS('📋 Транзакції'!$B$5:$B$3623,A207,'📋 Транзакції'!$C$5:$C$3623,"&gt;="&amp;EDATE(DATEVALUE(C207&amp;"-01"),0),'📋 Транзакції'!$C$5:$C$3623,"&lt;"&amp;EDATE(DATEVALUE(C207&amp;"-01"),1))&gt;0,1,0)</f>
        <v>1</v>
      </c>
      <c r="H207" s="37">
        <f>IF(COUNTIFS('📋 Транзакції'!$B$5:$B$3623,A207,'📋 Транзакції'!$C$5:$C$3623,"&gt;="&amp;EDATE(DATEVALUE(C207&amp;"-01"),1),'📋 Транзакції'!$C$5:$C$3623,"&lt;"&amp;EDATE(DATEVALUE(C207&amp;"-01"),2))&gt;0,1,0)</f>
        <v>1</v>
      </c>
      <c r="I207" s="37">
        <f>IF(COUNTIFS('📋 Транзакції'!$B$5:$B$3623,A207,'📋 Транзакції'!$C$5:$C$3623,"&gt;="&amp;EDATE(DATEVALUE(C207&amp;"-01"),2),'📋 Транзакції'!$C$5:$C$3623,"&lt;"&amp;EDATE(DATEVALUE(C207&amp;"-01"),3))&gt;0,1,0)</f>
        <v>1</v>
      </c>
      <c r="J207" s="37">
        <f>IF(COUNTIFS('📋 Транзакції'!$B$5:$B$3623,A207,'📋 Транзакції'!$C$5:$C$3623,"&gt;="&amp;EDATE(DATEVALUE(C207&amp;"-01"),3),'📋 Транзакції'!$C$5:$C$3623,"&lt;"&amp;EDATE(DATEVALUE(C207&amp;"-01"),4))&gt;0,1,0)</f>
        <v>1</v>
      </c>
      <c r="K207" s="37">
        <f>IF(COUNTIFS('📋 Транзакції'!$B$5:$B$3623,A207,'📋 Транзакції'!$C$5:$C$3623,"&gt;="&amp;EDATE(DATEVALUE(C207&amp;"-01"),4),'📋 Транзакції'!$C$5:$C$3623,"&lt;"&amp;EDATE(DATEVALUE(C207&amp;"-01"),5))&gt;0,1,0)</f>
        <v>1</v>
      </c>
      <c r="L207" s="37">
        <f>IF(COUNTIFS('📋 Транзакції'!$B$5:$B$3623,A207,'📋 Транзакції'!$C$5:$C$3623,"&gt;="&amp;EDATE(DATEVALUE(C207&amp;"-01"),5),'📋 Транзакції'!$C$5:$C$3623,"&lt;"&amp;EDATE(DATEVALUE(C207&amp;"-01"),6))&gt;0,1,0)</f>
        <v>1</v>
      </c>
      <c r="M207" s="37">
        <f>IF(COUNTIFS('📋 Транзакції'!$B$5:$B$3623,A207,'📋 Транзакції'!$C$5:$C$3623,"&gt;="&amp;EDATE(DATEVALUE(C207&amp;"-01"),6),'📋 Транзакції'!$C$5:$C$3623,"&lt;"&amp;EDATE(DATEVALUE(C207&amp;"-01"),7))&gt;0,1,0)</f>
        <v>1</v>
      </c>
      <c r="N207" s="37">
        <f>IF(COUNTIFS('📋 Транзакції'!$B$5:$B$3623,A207,'📋 Транзакції'!$C$5:$C$3623,"&gt;="&amp;EDATE(DATEVALUE(C207&amp;"-01"),7),'📋 Транзакції'!$C$5:$C$3623,"&lt;"&amp;EDATE(DATEVALUE(C207&amp;"-01"),8))&gt;0,1,0)</f>
        <v>1</v>
      </c>
      <c r="O207" s="37">
        <f>IF(COUNTIFS('📋 Транзакції'!$B$5:$B$3623,A207,'📋 Транзакції'!$C$5:$C$3623,"&gt;="&amp;EDATE(DATEVALUE(C207&amp;"-01"),8),'📋 Транзакції'!$C$5:$C$3623,"&lt;"&amp;EDATE(DATEVALUE(C207&amp;"-01"),9))&gt;0,1,0)</f>
        <v>1</v>
      </c>
      <c r="P207" s="37">
        <f>IF(COUNTIFS('📋 Транзакції'!$B$5:$B$3623,A207,'📋 Транзакції'!$C$5:$C$3623,"&gt;="&amp;EDATE(DATEVALUE(C207&amp;"-01"),9),'📋 Транзакції'!$C$5:$C$3623,"&lt;"&amp;EDATE(DATEVALUE(C207&amp;"-01"),10))&gt;0,1,0)</f>
        <v>0</v>
      </c>
      <c r="Q207" s="37">
        <f>IF(COUNTIFS('📋 Транзакції'!$B$5:$B$3623,A207,'📋 Транзакції'!$C$5:$C$3623,"&gt;="&amp;EDATE(DATEVALUE(C207&amp;"-01"),10),'📋 Транзакції'!$C$5:$C$3623,"&lt;"&amp;EDATE(DATEVALUE(C207&amp;"-01"),11))&gt;0,1,0)</f>
        <v>0</v>
      </c>
      <c r="R207" s="37">
        <f>IF(COUNTIFS('📋 Транзакції'!$B$5:$B$3623,A207,'📋 Транзакції'!$C$5:$C$3623,"&gt;="&amp;EDATE(DATEVALUE(C207&amp;"-01"),11),'📋 Транзакції'!$C$5:$C$3623,"&lt;"&amp;EDATE(DATEVALUE(C207&amp;"-01"),12))&gt;0,1,0)</f>
        <v>0</v>
      </c>
      <c r="S207" s="37">
        <f>SUMIFS('📋 Транзакції'!$F$5:$F$3623,'📋 Транзакції'!$B$5:$B$3623,A207,'📋 Транзакції'!$C$5:$C$3623,"&gt;="&amp;EDATE(DATEVALUE(C207&amp;"-01"),0),'📋 Транзакції'!$C$5:$C$3623,"&lt;"&amp;EDATE(DATEVALUE(C207&amp;"-01"),1))</f>
        <v>19.99</v>
      </c>
      <c r="T207" s="37">
        <f>SUMIFS('📋 Транзакції'!$F$5:$F$3623,'📋 Транзакції'!$B$5:$B$3623,A207,'📋 Транзакції'!$C$5:$C$3623,"&gt;="&amp;EDATE(DATEVALUE(C207&amp;"-01"),1),'📋 Транзакції'!$C$5:$C$3623,"&lt;"&amp;EDATE(DATEVALUE(C207&amp;"-01"),2))</f>
        <v>19.99</v>
      </c>
      <c r="U207" s="37">
        <f>SUMIFS('📋 Транзакції'!$F$5:$F$3623,'📋 Транзакції'!$B$5:$B$3623,A207,'📋 Транзакції'!$C$5:$C$3623,"&gt;="&amp;EDATE(DATEVALUE(C207&amp;"-01"),2),'📋 Транзакції'!$C$5:$C$3623,"&lt;"&amp;EDATE(DATEVALUE(C207&amp;"-01"),3))</f>
        <v>19.99</v>
      </c>
      <c r="V207" s="37">
        <f>SUMIFS('📋 Транзакції'!$F$5:$F$3623,'📋 Транзакції'!$B$5:$B$3623,A207,'📋 Транзакції'!$C$5:$C$3623,"&gt;="&amp;EDATE(DATEVALUE(C207&amp;"-01"),3),'📋 Транзакції'!$C$5:$C$3623,"&lt;"&amp;EDATE(DATEVALUE(C207&amp;"-01"),4))</f>
        <v>19.99</v>
      </c>
      <c r="W207" s="37">
        <f>SUMIFS('📋 Транзакції'!$F$5:$F$3623,'📋 Транзакції'!$B$5:$B$3623,A207,'📋 Транзакції'!$C$5:$C$3623,"&gt;="&amp;EDATE(DATEVALUE(C207&amp;"-01"),4),'📋 Транзакції'!$C$5:$C$3623,"&lt;"&amp;EDATE(DATEVALUE(C207&amp;"-01"),5))</f>
        <v>19.99</v>
      </c>
      <c r="X207" s="37">
        <f>SUMIFS('📋 Транзакції'!$F$5:$F$3623,'📋 Транзакції'!$B$5:$B$3623,A207,'📋 Транзакції'!$C$5:$C$3623,"&gt;="&amp;EDATE(DATEVALUE(C207&amp;"-01"),5),'📋 Транзакції'!$C$5:$C$3623,"&lt;"&amp;EDATE(DATEVALUE(C207&amp;"-01"),6))</f>
        <v>19.99</v>
      </c>
      <c r="Y207" s="37">
        <f>SUMIFS('📋 Транзакції'!$F$5:$F$3623,'📋 Транзакції'!$B$5:$B$3623,A207,'📋 Транзакції'!$C$5:$C$3623,"&gt;="&amp;EDATE(DATEVALUE(C207&amp;"-01"),6),'📋 Транзакції'!$C$5:$C$3623,"&lt;"&amp;EDATE(DATEVALUE(C207&amp;"-01"),7))</f>
        <v>19.99</v>
      </c>
      <c r="Z207" s="37">
        <f>SUMIFS('📋 Транзакції'!$F$5:$F$3623,'📋 Транзакції'!$B$5:$B$3623,A207,'📋 Транзакції'!$C$5:$C$3623,"&gt;="&amp;EDATE(DATEVALUE(C207&amp;"-01"),7),'📋 Транзакції'!$C$5:$C$3623,"&lt;"&amp;EDATE(DATEVALUE(C207&amp;"-01"),8))</f>
        <v>19.99</v>
      </c>
      <c r="AA207" s="37">
        <f>SUMIFS('📋 Транзакції'!$F$5:$F$3623,'📋 Транзакції'!$B$5:$B$3623,A207,'📋 Транзакції'!$C$5:$C$3623,"&gt;="&amp;EDATE(DATEVALUE(C207&amp;"-01"),8),'📋 Транзакції'!$C$5:$C$3623,"&lt;"&amp;EDATE(DATEVALUE(C207&amp;"-01"),9))</f>
        <v>19.99</v>
      </c>
      <c r="AB207" s="37">
        <f>SUMIFS('📋 Транзакції'!$F$5:$F$3623,'📋 Транзакції'!$B$5:$B$3623,A207,'📋 Транзакції'!$C$5:$C$3623,"&gt;="&amp;EDATE(DATEVALUE(C207&amp;"-01"),9),'📋 Транзакції'!$C$5:$C$3623,"&lt;"&amp;EDATE(DATEVALUE(C207&amp;"-01"),10))</f>
        <v>0</v>
      </c>
      <c r="AC207" s="37">
        <f>SUMIFS('📋 Транзакції'!$F$5:$F$3623,'📋 Транзакції'!$B$5:$B$3623,A207,'📋 Транзакції'!$C$5:$C$3623,"&gt;="&amp;EDATE(DATEVALUE(C207&amp;"-01"),10),'📋 Транзакції'!$C$5:$C$3623,"&lt;"&amp;EDATE(DATEVALUE(C207&amp;"-01"),11))</f>
        <v>0</v>
      </c>
      <c r="AD207" s="37">
        <f>SUMIFS('📋 Транзакції'!$F$5:$F$3623,'📋 Транзакції'!$B$5:$B$3623,A207,'📋 Транзакції'!$C$5:$C$3623,"&gt;="&amp;EDATE(DATEVALUE(C207&amp;"-01"),11),'📋 Транзакції'!$C$5:$C$3623,"&lt;"&amp;EDATE(DATEVALUE(C207&amp;"-01"),12))</f>
        <v>0</v>
      </c>
    </row>
    <row r="208" ht="15.75" customHeight="1">
      <c r="A208" s="33" t="str">
        <f>'📋 Реєстрації'!A208:A809</f>
        <v>U0707</v>
      </c>
      <c r="B208" s="34">
        <f t="array" ref="B208">INDEX('📋 Транзакції'!$C$5:$C$3623,MATCH(A208,'📋 Транзакції'!$B$5:$B$3623,0))</f>
        <v>45495</v>
      </c>
      <c r="C208" s="35" t="str">
        <f t="shared" si="1"/>
        <v>2024-07</v>
      </c>
      <c r="D208" s="36">
        <f>COUNTIF('📋 Транзакції'!$B$5:$B$3623,A208)</f>
        <v>10</v>
      </c>
      <c r="E208" s="36">
        <f>SUMIF('📋 Транзакції'!$B$5:$B$3623,A208,'📋 Транзакції'!$F$5:$F$3623)</f>
        <v>179.91</v>
      </c>
      <c r="F208" s="35">
        <f>INT($A$1-MAXIFS('📋 Транзакції'!$C$5:$C$3623,'📋 Транзакції'!$B$5:$B$3623,A208))</f>
        <v>5</v>
      </c>
      <c r="G208" s="37">
        <f>IF(COUNTIFS('📋 Транзакції'!$B$5:$B$3623,A208,'📋 Транзакції'!$C$5:$C$3623,"&gt;="&amp;EDATE(DATEVALUE(C208&amp;"-01"),0),'📋 Транзакції'!$C$5:$C$3623,"&lt;"&amp;EDATE(DATEVALUE(C208&amp;"-01"),1))&gt;0,1,0)</f>
        <v>1</v>
      </c>
      <c r="H208" s="37">
        <f>IF(COUNTIFS('📋 Транзакції'!$B$5:$B$3623,A208,'📋 Транзакції'!$C$5:$C$3623,"&gt;="&amp;EDATE(DATEVALUE(C208&amp;"-01"),1),'📋 Транзакції'!$C$5:$C$3623,"&lt;"&amp;EDATE(DATEVALUE(C208&amp;"-01"),2))&gt;0,1,0)</f>
        <v>1</v>
      </c>
      <c r="I208" s="37">
        <f>IF(COUNTIFS('📋 Транзакції'!$B$5:$B$3623,A208,'📋 Транзакції'!$C$5:$C$3623,"&gt;="&amp;EDATE(DATEVALUE(C208&amp;"-01"),2),'📋 Транзакції'!$C$5:$C$3623,"&lt;"&amp;EDATE(DATEVALUE(C208&amp;"-01"),3))&gt;0,1,0)</f>
        <v>1</v>
      </c>
      <c r="J208" s="37">
        <f>IF(COUNTIFS('📋 Транзакції'!$B$5:$B$3623,A208,'📋 Транзакції'!$C$5:$C$3623,"&gt;="&amp;EDATE(DATEVALUE(C208&amp;"-01"),3),'📋 Транзакції'!$C$5:$C$3623,"&lt;"&amp;EDATE(DATEVALUE(C208&amp;"-01"),4))&gt;0,1,0)</f>
        <v>1</v>
      </c>
      <c r="K208" s="37">
        <f>IF(COUNTIFS('📋 Транзакції'!$B$5:$B$3623,A208,'📋 Транзакції'!$C$5:$C$3623,"&gt;="&amp;EDATE(DATEVALUE(C208&amp;"-01"),4),'📋 Транзакції'!$C$5:$C$3623,"&lt;"&amp;EDATE(DATEVALUE(C208&amp;"-01"),5))&gt;0,1,0)</f>
        <v>1</v>
      </c>
      <c r="L208" s="37">
        <f>IF(COUNTIFS('📋 Транзакції'!$B$5:$B$3623,A208,'📋 Транзакції'!$C$5:$C$3623,"&gt;="&amp;EDATE(DATEVALUE(C208&amp;"-01"),5),'📋 Транзакції'!$C$5:$C$3623,"&lt;"&amp;EDATE(DATEVALUE(C208&amp;"-01"),6))&gt;0,1,0)</f>
        <v>1</v>
      </c>
      <c r="M208" s="37">
        <f>IF(COUNTIFS('📋 Транзакції'!$B$5:$B$3623,A208,'📋 Транзакції'!$C$5:$C$3623,"&gt;="&amp;EDATE(DATEVALUE(C208&amp;"-01"),6),'📋 Транзакції'!$C$5:$C$3623,"&lt;"&amp;EDATE(DATEVALUE(C208&amp;"-01"),7))&gt;0,1,0)</f>
        <v>1</v>
      </c>
      <c r="N208" s="37">
        <f>IF(COUNTIFS('📋 Транзакції'!$B$5:$B$3623,A208,'📋 Транзакції'!$C$5:$C$3623,"&gt;="&amp;EDATE(DATEVALUE(C208&amp;"-01"),7),'📋 Транзакції'!$C$5:$C$3623,"&lt;"&amp;EDATE(DATEVALUE(C208&amp;"-01"),8))&gt;0,1,0)</f>
        <v>1</v>
      </c>
      <c r="O208" s="37">
        <f>IF(COUNTIFS('📋 Транзакції'!$B$5:$B$3623,A208,'📋 Транзакції'!$C$5:$C$3623,"&gt;="&amp;EDATE(DATEVALUE(C208&amp;"-01"),8),'📋 Транзакції'!$C$5:$C$3623,"&lt;"&amp;EDATE(DATEVALUE(C208&amp;"-01"),9))&gt;0,1,0)</f>
        <v>1</v>
      </c>
      <c r="P208" s="37">
        <f>IF(COUNTIFS('📋 Транзакції'!$B$5:$B$3623,A208,'📋 Транзакції'!$C$5:$C$3623,"&gt;="&amp;EDATE(DATEVALUE(C208&amp;"-01"),9),'📋 Транзакції'!$C$5:$C$3623,"&lt;"&amp;EDATE(DATEVALUE(C208&amp;"-01"),10))&gt;0,1,0)</f>
        <v>0</v>
      </c>
      <c r="Q208" s="37">
        <f>IF(COUNTIFS('📋 Транзакції'!$B$5:$B$3623,A208,'📋 Транзакції'!$C$5:$C$3623,"&gt;="&amp;EDATE(DATEVALUE(C208&amp;"-01"),10),'📋 Транзакції'!$C$5:$C$3623,"&lt;"&amp;EDATE(DATEVALUE(C208&amp;"-01"),11))&gt;0,1,0)</f>
        <v>0</v>
      </c>
      <c r="R208" s="37">
        <f>IF(COUNTIFS('📋 Транзакції'!$B$5:$B$3623,A208,'📋 Транзакції'!$C$5:$C$3623,"&gt;="&amp;EDATE(DATEVALUE(C208&amp;"-01"),11),'📋 Транзакції'!$C$5:$C$3623,"&lt;"&amp;EDATE(DATEVALUE(C208&amp;"-01"),12))&gt;0,1,0)</f>
        <v>0</v>
      </c>
      <c r="S208" s="37">
        <f>SUMIFS('📋 Транзакції'!$F$5:$F$3623,'📋 Транзакції'!$B$5:$B$3623,A208,'📋 Транзакції'!$C$5:$C$3623,"&gt;="&amp;EDATE(DATEVALUE(C208&amp;"-01"),0),'📋 Транзакції'!$C$5:$C$3623,"&lt;"&amp;EDATE(DATEVALUE(C208&amp;"-01"),1))</f>
        <v>19.99</v>
      </c>
      <c r="T208" s="37">
        <f>SUMIFS('📋 Транзакції'!$F$5:$F$3623,'📋 Транзакції'!$B$5:$B$3623,A208,'📋 Транзакції'!$C$5:$C$3623,"&gt;="&amp;EDATE(DATEVALUE(C208&amp;"-01"),1),'📋 Транзакції'!$C$5:$C$3623,"&lt;"&amp;EDATE(DATEVALUE(C208&amp;"-01"),2))</f>
        <v>19.99</v>
      </c>
      <c r="U208" s="37">
        <f>SUMIFS('📋 Транзакції'!$F$5:$F$3623,'📋 Транзакції'!$B$5:$B$3623,A208,'📋 Транзакції'!$C$5:$C$3623,"&gt;="&amp;EDATE(DATEVALUE(C208&amp;"-01"),2),'📋 Транзакції'!$C$5:$C$3623,"&lt;"&amp;EDATE(DATEVALUE(C208&amp;"-01"),3))</f>
        <v>19.99</v>
      </c>
      <c r="V208" s="37">
        <f>SUMIFS('📋 Транзакції'!$F$5:$F$3623,'📋 Транзакції'!$B$5:$B$3623,A208,'📋 Транзакції'!$C$5:$C$3623,"&gt;="&amp;EDATE(DATEVALUE(C208&amp;"-01"),3),'📋 Транзакції'!$C$5:$C$3623,"&lt;"&amp;EDATE(DATEVALUE(C208&amp;"-01"),4))</f>
        <v>19.99</v>
      </c>
      <c r="W208" s="37">
        <f>SUMIFS('📋 Транзакції'!$F$5:$F$3623,'📋 Транзакції'!$B$5:$B$3623,A208,'📋 Транзакції'!$C$5:$C$3623,"&gt;="&amp;EDATE(DATEVALUE(C208&amp;"-01"),4),'📋 Транзакції'!$C$5:$C$3623,"&lt;"&amp;EDATE(DATEVALUE(C208&amp;"-01"),5))</f>
        <v>19.99</v>
      </c>
      <c r="X208" s="37">
        <f>SUMIFS('📋 Транзакції'!$F$5:$F$3623,'📋 Транзакції'!$B$5:$B$3623,A208,'📋 Транзакції'!$C$5:$C$3623,"&gt;="&amp;EDATE(DATEVALUE(C208&amp;"-01"),5),'📋 Транзакції'!$C$5:$C$3623,"&lt;"&amp;EDATE(DATEVALUE(C208&amp;"-01"),6))</f>
        <v>19.99</v>
      </c>
      <c r="Y208" s="37">
        <f>SUMIFS('📋 Транзакції'!$F$5:$F$3623,'📋 Транзакції'!$B$5:$B$3623,A208,'📋 Транзакції'!$C$5:$C$3623,"&gt;="&amp;EDATE(DATEVALUE(C208&amp;"-01"),6),'📋 Транзакції'!$C$5:$C$3623,"&lt;"&amp;EDATE(DATEVALUE(C208&amp;"-01"),7))</f>
        <v>19.99</v>
      </c>
      <c r="Z208" s="37">
        <f>SUMIFS('📋 Транзакції'!$F$5:$F$3623,'📋 Транзакції'!$B$5:$B$3623,A208,'📋 Транзакції'!$C$5:$C$3623,"&gt;="&amp;EDATE(DATEVALUE(C208&amp;"-01"),7),'📋 Транзакції'!$C$5:$C$3623,"&lt;"&amp;EDATE(DATEVALUE(C208&amp;"-01"),8))</f>
        <v>19.99</v>
      </c>
      <c r="AA208" s="37">
        <f>SUMIFS('📋 Транзакції'!$F$5:$F$3623,'📋 Транзакції'!$B$5:$B$3623,A208,'📋 Транзакції'!$C$5:$C$3623,"&gt;="&amp;EDATE(DATEVALUE(C208&amp;"-01"),8),'📋 Транзакції'!$C$5:$C$3623,"&lt;"&amp;EDATE(DATEVALUE(C208&amp;"-01"),9))</f>
        <v>19.99</v>
      </c>
      <c r="AB208" s="37">
        <f>SUMIFS('📋 Транзакції'!$F$5:$F$3623,'📋 Транзакції'!$B$5:$B$3623,A208,'📋 Транзакції'!$C$5:$C$3623,"&gt;="&amp;EDATE(DATEVALUE(C208&amp;"-01"),9),'📋 Транзакції'!$C$5:$C$3623,"&lt;"&amp;EDATE(DATEVALUE(C208&amp;"-01"),10))</f>
        <v>0</v>
      </c>
      <c r="AC208" s="37">
        <f>SUMIFS('📋 Транзакції'!$F$5:$F$3623,'📋 Транзакції'!$B$5:$B$3623,A208,'📋 Транзакції'!$C$5:$C$3623,"&gt;="&amp;EDATE(DATEVALUE(C208&amp;"-01"),10),'📋 Транзакції'!$C$5:$C$3623,"&lt;"&amp;EDATE(DATEVALUE(C208&amp;"-01"),11))</f>
        <v>0</v>
      </c>
      <c r="AD208" s="37">
        <f>SUMIFS('📋 Транзакції'!$F$5:$F$3623,'📋 Транзакції'!$B$5:$B$3623,A208,'📋 Транзакції'!$C$5:$C$3623,"&gt;="&amp;EDATE(DATEVALUE(C208&amp;"-01"),11),'📋 Транзакції'!$C$5:$C$3623,"&lt;"&amp;EDATE(DATEVALUE(C208&amp;"-01"),12))</f>
        <v>0</v>
      </c>
    </row>
    <row r="209" ht="15.75" customHeight="1">
      <c r="A209" s="33" t="str">
        <f>'📋 Реєстрації'!A209:A810</f>
        <v>U0047</v>
      </c>
      <c r="B209" s="34">
        <f t="array" ref="B209">INDEX('📋 Транзакції'!$C$5:$C$3623,MATCH(A209,'📋 Транзакції'!$B$5:$B$3623,0))</f>
        <v>45496</v>
      </c>
      <c r="C209" s="35" t="str">
        <f t="shared" si="1"/>
        <v>2024-07</v>
      </c>
      <c r="D209" s="36">
        <f>COUNTIF('📋 Транзакції'!$B$5:$B$3623,A209)</f>
        <v>10</v>
      </c>
      <c r="E209" s="36">
        <f>SUMIF('📋 Транзакції'!$B$5:$B$3623,A209,'📋 Транзакції'!$F$5:$F$3623)</f>
        <v>179.91</v>
      </c>
      <c r="F209" s="35">
        <f>INT($A$1-MAXIFS('📋 Транзакції'!$C$5:$C$3623,'📋 Транзакції'!$B$5:$B$3623,A209))</f>
        <v>4</v>
      </c>
      <c r="G209" s="37">
        <f>IF(COUNTIFS('📋 Транзакції'!$B$5:$B$3623,A209,'📋 Транзакції'!$C$5:$C$3623,"&gt;="&amp;EDATE(DATEVALUE(C209&amp;"-01"),0),'📋 Транзакції'!$C$5:$C$3623,"&lt;"&amp;EDATE(DATEVALUE(C209&amp;"-01"),1))&gt;0,1,0)</f>
        <v>1</v>
      </c>
      <c r="H209" s="37">
        <f>IF(COUNTIFS('📋 Транзакції'!$B$5:$B$3623,A209,'📋 Транзакції'!$C$5:$C$3623,"&gt;="&amp;EDATE(DATEVALUE(C209&amp;"-01"),1),'📋 Транзакції'!$C$5:$C$3623,"&lt;"&amp;EDATE(DATEVALUE(C209&amp;"-01"),2))&gt;0,1,0)</f>
        <v>1</v>
      </c>
      <c r="I209" s="37">
        <f>IF(COUNTIFS('📋 Транзакції'!$B$5:$B$3623,A209,'📋 Транзакції'!$C$5:$C$3623,"&gt;="&amp;EDATE(DATEVALUE(C209&amp;"-01"),2),'📋 Транзакції'!$C$5:$C$3623,"&lt;"&amp;EDATE(DATEVALUE(C209&amp;"-01"),3))&gt;0,1,0)</f>
        <v>1</v>
      </c>
      <c r="J209" s="37">
        <f>IF(COUNTIFS('📋 Транзакції'!$B$5:$B$3623,A209,'📋 Транзакції'!$C$5:$C$3623,"&gt;="&amp;EDATE(DATEVALUE(C209&amp;"-01"),3),'📋 Транзакції'!$C$5:$C$3623,"&lt;"&amp;EDATE(DATEVALUE(C209&amp;"-01"),4))&gt;0,1,0)</f>
        <v>1</v>
      </c>
      <c r="K209" s="37">
        <f>IF(COUNTIFS('📋 Транзакції'!$B$5:$B$3623,A209,'📋 Транзакції'!$C$5:$C$3623,"&gt;="&amp;EDATE(DATEVALUE(C209&amp;"-01"),4),'📋 Транзакції'!$C$5:$C$3623,"&lt;"&amp;EDATE(DATEVALUE(C209&amp;"-01"),5))&gt;0,1,0)</f>
        <v>1</v>
      </c>
      <c r="L209" s="37">
        <f>IF(COUNTIFS('📋 Транзакції'!$B$5:$B$3623,A209,'📋 Транзакції'!$C$5:$C$3623,"&gt;="&amp;EDATE(DATEVALUE(C209&amp;"-01"),5),'📋 Транзакції'!$C$5:$C$3623,"&lt;"&amp;EDATE(DATEVALUE(C209&amp;"-01"),6))&gt;0,1,0)</f>
        <v>1</v>
      </c>
      <c r="M209" s="37">
        <f>IF(COUNTIFS('📋 Транзакції'!$B$5:$B$3623,A209,'📋 Транзакції'!$C$5:$C$3623,"&gt;="&amp;EDATE(DATEVALUE(C209&amp;"-01"),6),'📋 Транзакції'!$C$5:$C$3623,"&lt;"&amp;EDATE(DATEVALUE(C209&amp;"-01"),7))&gt;0,1,0)</f>
        <v>1</v>
      </c>
      <c r="N209" s="37">
        <f>IF(COUNTIFS('📋 Транзакції'!$B$5:$B$3623,A209,'📋 Транзакції'!$C$5:$C$3623,"&gt;="&amp;EDATE(DATEVALUE(C209&amp;"-01"),7),'📋 Транзакції'!$C$5:$C$3623,"&lt;"&amp;EDATE(DATEVALUE(C209&amp;"-01"),8))&gt;0,1,0)</f>
        <v>1</v>
      </c>
      <c r="O209" s="37">
        <f>IF(COUNTIFS('📋 Транзакції'!$B$5:$B$3623,A209,'📋 Транзакції'!$C$5:$C$3623,"&gt;="&amp;EDATE(DATEVALUE(C209&amp;"-01"),8),'📋 Транзакції'!$C$5:$C$3623,"&lt;"&amp;EDATE(DATEVALUE(C209&amp;"-01"),9))&gt;0,1,0)</f>
        <v>1</v>
      </c>
      <c r="P209" s="37">
        <f>IF(COUNTIFS('📋 Транзакції'!$B$5:$B$3623,A209,'📋 Транзакції'!$C$5:$C$3623,"&gt;="&amp;EDATE(DATEVALUE(C209&amp;"-01"),9),'📋 Транзакції'!$C$5:$C$3623,"&lt;"&amp;EDATE(DATEVALUE(C209&amp;"-01"),10))&gt;0,1,0)</f>
        <v>0</v>
      </c>
      <c r="Q209" s="37">
        <f>IF(COUNTIFS('📋 Транзакції'!$B$5:$B$3623,A209,'📋 Транзакції'!$C$5:$C$3623,"&gt;="&amp;EDATE(DATEVALUE(C209&amp;"-01"),10),'📋 Транзакції'!$C$5:$C$3623,"&lt;"&amp;EDATE(DATEVALUE(C209&amp;"-01"),11))&gt;0,1,0)</f>
        <v>0</v>
      </c>
      <c r="R209" s="37">
        <f>IF(COUNTIFS('📋 Транзакції'!$B$5:$B$3623,A209,'📋 Транзакції'!$C$5:$C$3623,"&gt;="&amp;EDATE(DATEVALUE(C209&amp;"-01"),11),'📋 Транзакції'!$C$5:$C$3623,"&lt;"&amp;EDATE(DATEVALUE(C209&amp;"-01"),12))&gt;0,1,0)</f>
        <v>0</v>
      </c>
      <c r="S209" s="37">
        <f>SUMIFS('📋 Транзакції'!$F$5:$F$3623,'📋 Транзакції'!$B$5:$B$3623,A209,'📋 Транзакції'!$C$5:$C$3623,"&gt;="&amp;EDATE(DATEVALUE(C209&amp;"-01"),0),'📋 Транзакції'!$C$5:$C$3623,"&lt;"&amp;EDATE(DATEVALUE(C209&amp;"-01"),1))</f>
        <v>19.99</v>
      </c>
      <c r="T209" s="37">
        <f>SUMIFS('📋 Транзакції'!$F$5:$F$3623,'📋 Транзакції'!$B$5:$B$3623,A209,'📋 Транзакції'!$C$5:$C$3623,"&gt;="&amp;EDATE(DATEVALUE(C209&amp;"-01"),1),'📋 Транзакції'!$C$5:$C$3623,"&lt;"&amp;EDATE(DATEVALUE(C209&amp;"-01"),2))</f>
        <v>19.99</v>
      </c>
      <c r="U209" s="37">
        <f>SUMIFS('📋 Транзакції'!$F$5:$F$3623,'📋 Транзакції'!$B$5:$B$3623,A209,'📋 Транзакції'!$C$5:$C$3623,"&gt;="&amp;EDATE(DATEVALUE(C209&amp;"-01"),2),'📋 Транзакції'!$C$5:$C$3623,"&lt;"&amp;EDATE(DATEVALUE(C209&amp;"-01"),3))</f>
        <v>19.99</v>
      </c>
      <c r="V209" s="37">
        <f>SUMIFS('📋 Транзакції'!$F$5:$F$3623,'📋 Транзакції'!$B$5:$B$3623,A209,'📋 Транзакції'!$C$5:$C$3623,"&gt;="&amp;EDATE(DATEVALUE(C209&amp;"-01"),3),'📋 Транзакції'!$C$5:$C$3623,"&lt;"&amp;EDATE(DATEVALUE(C209&amp;"-01"),4))</f>
        <v>19.99</v>
      </c>
      <c r="W209" s="37">
        <f>SUMIFS('📋 Транзакції'!$F$5:$F$3623,'📋 Транзакції'!$B$5:$B$3623,A209,'📋 Транзакції'!$C$5:$C$3623,"&gt;="&amp;EDATE(DATEVALUE(C209&amp;"-01"),4),'📋 Транзакції'!$C$5:$C$3623,"&lt;"&amp;EDATE(DATEVALUE(C209&amp;"-01"),5))</f>
        <v>19.99</v>
      </c>
      <c r="X209" s="37">
        <f>SUMIFS('📋 Транзакції'!$F$5:$F$3623,'📋 Транзакції'!$B$5:$B$3623,A209,'📋 Транзакції'!$C$5:$C$3623,"&gt;="&amp;EDATE(DATEVALUE(C209&amp;"-01"),5),'📋 Транзакції'!$C$5:$C$3623,"&lt;"&amp;EDATE(DATEVALUE(C209&amp;"-01"),6))</f>
        <v>19.99</v>
      </c>
      <c r="Y209" s="37">
        <f>SUMIFS('📋 Транзакції'!$F$5:$F$3623,'📋 Транзакції'!$B$5:$B$3623,A209,'📋 Транзакції'!$C$5:$C$3623,"&gt;="&amp;EDATE(DATEVALUE(C209&amp;"-01"),6),'📋 Транзакції'!$C$5:$C$3623,"&lt;"&amp;EDATE(DATEVALUE(C209&amp;"-01"),7))</f>
        <v>19.99</v>
      </c>
      <c r="Z209" s="37">
        <f>SUMIFS('📋 Транзакції'!$F$5:$F$3623,'📋 Транзакції'!$B$5:$B$3623,A209,'📋 Транзакції'!$C$5:$C$3623,"&gt;="&amp;EDATE(DATEVALUE(C209&amp;"-01"),7),'📋 Транзакції'!$C$5:$C$3623,"&lt;"&amp;EDATE(DATEVALUE(C209&amp;"-01"),8))</f>
        <v>19.99</v>
      </c>
      <c r="AA209" s="37">
        <f>SUMIFS('📋 Транзакції'!$F$5:$F$3623,'📋 Транзакції'!$B$5:$B$3623,A209,'📋 Транзакції'!$C$5:$C$3623,"&gt;="&amp;EDATE(DATEVALUE(C209&amp;"-01"),8),'📋 Транзакції'!$C$5:$C$3623,"&lt;"&amp;EDATE(DATEVALUE(C209&amp;"-01"),9))</f>
        <v>19.99</v>
      </c>
      <c r="AB209" s="37">
        <f>SUMIFS('📋 Транзакції'!$F$5:$F$3623,'📋 Транзакції'!$B$5:$B$3623,A209,'📋 Транзакції'!$C$5:$C$3623,"&gt;="&amp;EDATE(DATEVALUE(C209&amp;"-01"),9),'📋 Транзакції'!$C$5:$C$3623,"&lt;"&amp;EDATE(DATEVALUE(C209&amp;"-01"),10))</f>
        <v>0</v>
      </c>
      <c r="AC209" s="37">
        <f>SUMIFS('📋 Транзакції'!$F$5:$F$3623,'📋 Транзакції'!$B$5:$B$3623,A209,'📋 Транзакції'!$C$5:$C$3623,"&gt;="&amp;EDATE(DATEVALUE(C209&amp;"-01"),10),'📋 Транзакції'!$C$5:$C$3623,"&lt;"&amp;EDATE(DATEVALUE(C209&amp;"-01"),11))</f>
        <v>0</v>
      </c>
      <c r="AD209" s="37">
        <f>SUMIFS('📋 Транзакції'!$F$5:$F$3623,'📋 Транзакції'!$B$5:$B$3623,A209,'📋 Транзакції'!$C$5:$C$3623,"&gt;="&amp;EDATE(DATEVALUE(C209&amp;"-01"),11),'📋 Транзакції'!$C$5:$C$3623,"&lt;"&amp;EDATE(DATEVALUE(C209&amp;"-01"),12))</f>
        <v>0</v>
      </c>
    </row>
    <row r="210" ht="15.75" customHeight="1">
      <c r="A210" s="33" t="str">
        <f>'📋 Реєстрації'!A210:A811</f>
        <v>U0270</v>
      </c>
      <c r="B210" s="34">
        <f t="array" ref="B210">INDEX('📋 Транзакції'!$C$5:$C$3623,MATCH(A210,'📋 Транзакції'!$B$5:$B$3623,0))</f>
        <v>45497</v>
      </c>
      <c r="C210" s="35" t="str">
        <f t="shared" si="1"/>
        <v>2024-07</v>
      </c>
      <c r="D210" s="36">
        <f>COUNTIF('📋 Транзакції'!$B$5:$B$3623,A210)</f>
        <v>10</v>
      </c>
      <c r="E210" s="36">
        <f>SUMIF('📋 Транзакції'!$B$5:$B$3623,A210,'📋 Транзакції'!$F$5:$F$3623)</f>
        <v>179.91</v>
      </c>
      <c r="F210" s="35">
        <f>INT($A$1-MAXIFS('📋 Транзакції'!$C$5:$C$3623,'📋 Транзакції'!$B$5:$B$3623,A210))</f>
        <v>3</v>
      </c>
      <c r="G210" s="37">
        <f>IF(COUNTIFS('📋 Транзакції'!$B$5:$B$3623,A210,'📋 Транзакції'!$C$5:$C$3623,"&gt;="&amp;EDATE(DATEVALUE(C210&amp;"-01"),0),'📋 Транзакції'!$C$5:$C$3623,"&lt;"&amp;EDATE(DATEVALUE(C210&amp;"-01"),1))&gt;0,1,0)</f>
        <v>1</v>
      </c>
      <c r="H210" s="37">
        <f>IF(COUNTIFS('📋 Транзакції'!$B$5:$B$3623,A210,'📋 Транзакції'!$C$5:$C$3623,"&gt;="&amp;EDATE(DATEVALUE(C210&amp;"-01"),1),'📋 Транзакції'!$C$5:$C$3623,"&lt;"&amp;EDATE(DATEVALUE(C210&amp;"-01"),2))&gt;0,1,0)</f>
        <v>1</v>
      </c>
      <c r="I210" s="37">
        <f>IF(COUNTIFS('📋 Транзакції'!$B$5:$B$3623,A210,'📋 Транзакції'!$C$5:$C$3623,"&gt;="&amp;EDATE(DATEVALUE(C210&amp;"-01"),2),'📋 Транзакції'!$C$5:$C$3623,"&lt;"&amp;EDATE(DATEVALUE(C210&amp;"-01"),3))&gt;0,1,0)</f>
        <v>1</v>
      </c>
      <c r="J210" s="37">
        <f>IF(COUNTIFS('📋 Транзакції'!$B$5:$B$3623,A210,'📋 Транзакції'!$C$5:$C$3623,"&gt;="&amp;EDATE(DATEVALUE(C210&amp;"-01"),3),'📋 Транзакції'!$C$5:$C$3623,"&lt;"&amp;EDATE(DATEVALUE(C210&amp;"-01"),4))&gt;0,1,0)</f>
        <v>1</v>
      </c>
      <c r="K210" s="37">
        <f>IF(COUNTIFS('📋 Транзакції'!$B$5:$B$3623,A210,'📋 Транзакції'!$C$5:$C$3623,"&gt;="&amp;EDATE(DATEVALUE(C210&amp;"-01"),4),'📋 Транзакції'!$C$5:$C$3623,"&lt;"&amp;EDATE(DATEVALUE(C210&amp;"-01"),5))&gt;0,1,0)</f>
        <v>1</v>
      </c>
      <c r="L210" s="37">
        <f>IF(COUNTIFS('📋 Транзакції'!$B$5:$B$3623,A210,'📋 Транзакції'!$C$5:$C$3623,"&gt;="&amp;EDATE(DATEVALUE(C210&amp;"-01"),5),'📋 Транзакції'!$C$5:$C$3623,"&lt;"&amp;EDATE(DATEVALUE(C210&amp;"-01"),6))&gt;0,1,0)</f>
        <v>1</v>
      </c>
      <c r="M210" s="37">
        <f>IF(COUNTIFS('📋 Транзакції'!$B$5:$B$3623,A210,'📋 Транзакції'!$C$5:$C$3623,"&gt;="&amp;EDATE(DATEVALUE(C210&amp;"-01"),6),'📋 Транзакції'!$C$5:$C$3623,"&lt;"&amp;EDATE(DATEVALUE(C210&amp;"-01"),7))&gt;0,1,0)</f>
        <v>1</v>
      </c>
      <c r="N210" s="37">
        <f>IF(COUNTIFS('📋 Транзакції'!$B$5:$B$3623,A210,'📋 Транзакції'!$C$5:$C$3623,"&gt;="&amp;EDATE(DATEVALUE(C210&amp;"-01"),7),'📋 Транзакції'!$C$5:$C$3623,"&lt;"&amp;EDATE(DATEVALUE(C210&amp;"-01"),8))&gt;0,1,0)</f>
        <v>1</v>
      </c>
      <c r="O210" s="37">
        <f>IF(COUNTIFS('📋 Транзакції'!$B$5:$B$3623,A210,'📋 Транзакції'!$C$5:$C$3623,"&gt;="&amp;EDATE(DATEVALUE(C210&amp;"-01"),8),'📋 Транзакції'!$C$5:$C$3623,"&lt;"&amp;EDATE(DATEVALUE(C210&amp;"-01"),9))&gt;0,1,0)</f>
        <v>1</v>
      </c>
      <c r="P210" s="37">
        <f>IF(COUNTIFS('📋 Транзакції'!$B$5:$B$3623,A210,'📋 Транзакції'!$C$5:$C$3623,"&gt;="&amp;EDATE(DATEVALUE(C210&amp;"-01"),9),'📋 Транзакції'!$C$5:$C$3623,"&lt;"&amp;EDATE(DATEVALUE(C210&amp;"-01"),10))&gt;0,1,0)</f>
        <v>0</v>
      </c>
      <c r="Q210" s="37">
        <f>IF(COUNTIFS('📋 Транзакції'!$B$5:$B$3623,A210,'📋 Транзакції'!$C$5:$C$3623,"&gt;="&amp;EDATE(DATEVALUE(C210&amp;"-01"),10),'📋 Транзакції'!$C$5:$C$3623,"&lt;"&amp;EDATE(DATEVALUE(C210&amp;"-01"),11))&gt;0,1,0)</f>
        <v>0</v>
      </c>
      <c r="R210" s="37">
        <f>IF(COUNTIFS('📋 Транзакції'!$B$5:$B$3623,A210,'📋 Транзакції'!$C$5:$C$3623,"&gt;="&amp;EDATE(DATEVALUE(C210&amp;"-01"),11),'📋 Транзакції'!$C$5:$C$3623,"&lt;"&amp;EDATE(DATEVALUE(C210&amp;"-01"),12))&gt;0,1,0)</f>
        <v>0</v>
      </c>
      <c r="S210" s="37">
        <f>SUMIFS('📋 Транзакції'!$F$5:$F$3623,'📋 Транзакції'!$B$5:$B$3623,A210,'📋 Транзакції'!$C$5:$C$3623,"&gt;="&amp;EDATE(DATEVALUE(C210&amp;"-01"),0),'📋 Транзакції'!$C$5:$C$3623,"&lt;"&amp;EDATE(DATEVALUE(C210&amp;"-01"),1))</f>
        <v>19.99</v>
      </c>
      <c r="T210" s="37">
        <f>SUMIFS('📋 Транзакції'!$F$5:$F$3623,'📋 Транзакції'!$B$5:$B$3623,A210,'📋 Транзакції'!$C$5:$C$3623,"&gt;="&amp;EDATE(DATEVALUE(C210&amp;"-01"),1),'📋 Транзакції'!$C$5:$C$3623,"&lt;"&amp;EDATE(DATEVALUE(C210&amp;"-01"),2))</f>
        <v>19.99</v>
      </c>
      <c r="U210" s="37">
        <f>SUMIFS('📋 Транзакції'!$F$5:$F$3623,'📋 Транзакції'!$B$5:$B$3623,A210,'📋 Транзакції'!$C$5:$C$3623,"&gt;="&amp;EDATE(DATEVALUE(C210&amp;"-01"),2),'📋 Транзакції'!$C$5:$C$3623,"&lt;"&amp;EDATE(DATEVALUE(C210&amp;"-01"),3))</f>
        <v>19.99</v>
      </c>
      <c r="V210" s="37">
        <f>SUMIFS('📋 Транзакції'!$F$5:$F$3623,'📋 Транзакції'!$B$5:$B$3623,A210,'📋 Транзакції'!$C$5:$C$3623,"&gt;="&amp;EDATE(DATEVALUE(C210&amp;"-01"),3),'📋 Транзакції'!$C$5:$C$3623,"&lt;"&amp;EDATE(DATEVALUE(C210&amp;"-01"),4))</f>
        <v>19.99</v>
      </c>
      <c r="W210" s="37">
        <f>SUMIFS('📋 Транзакції'!$F$5:$F$3623,'📋 Транзакції'!$B$5:$B$3623,A210,'📋 Транзакції'!$C$5:$C$3623,"&gt;="&amp;EDATE(DATEVALUE(C210&amp;"-01"),4),'📋 Транзакції'!$C$5:$C$3623,"&lt;"&amp;EDATE(DATEVALUE(C210&amp;"-01"),5))</f>
        <v>19.99</v>
      </c>
      <c r="X210" s="37">
        <f>SUMIFS('📋 Транзакції'!$F$5:$F$3623,'📋 Транзакції'!$B$5:$B$3623,A210,'📋 Транзакції'!$C$5:$C$3623,"&gt;="&amp;EDATE(DATEVALUE(C210&amp;"-01"),5),'📋 Транзакції'!$C$5:$C$3623,"&lt;"&amp;EDATE(DATEVALUE(C210&amp;"-01"),6))</f>
        <v>19.99</v>
      </c>
      <c r="Y210" s="37">
        <f>SUMIFS('📋 Транзакції'!$F$5:$F$3623,'📋 Транзакції'!$B$5:$B$3623,A210,'📋 Транзакції'!$C$5:$C$3623,"&gt;="&amp;EDATE(DATEVALUE(C210&amp;"-01"),6),'📋 Транзакції'!$C$5:$C$3623,"&lt;"&amp;EDATE(DATEVALUE(C210&amp;"-01"),7))</f>
        <v>19.99</v>
      </c>
      <c r="Z210" s="37">
        <f>SUMIFS('📋 Транзакції'!$F$5:$F$3623,'📋 Транзакції'!$B$5:$B$3623,A210,'📋 Транзакції'!$C$5:$C$3623,"&gt;="&amp;EDATE(DATEVALUE(C210&amp;"-01"),7),'📋 Транзакції'!$C$5:$C$3623,"&lt;"&amp;EDATE(DATEVALUE(C210&amp;"-01"),8))</f>
        <v>19.99</v>
      </c>
      <c r="AA210" s="37">
        <f>SUMIFS('📋 Транзакції'!$F$5:$F$3623,'📋 Транзакції'!$B$5:$B$3623,A210,'📋 Транзакції'!$C$5:$C$3623,"&gt;="&amp;EDATE(DATEVALUE(C210&amp;"-01"),8),'📋 Транзакції'!$C$5:$C$3623,"&lt;"&amp;EDATE(DATEVALUE(C210&amp;"-01"),9))</f>
        <v>19.99</v>
      </c>
      <c r="AB210" s="37">
        <f>SUMIFS('📋 Транзакції'!$F$5:$F$3623,'📋 Транзакції'!$B$5:$B$3623,A210,'📋 Транзакції'!$C$5:$C$3623,"&gt;="&amp;EDATE(DATEVALUE(C210&amp;"-01"),9),'📋 Транзакції'!$C$5:$C$3623,"&lt;"&amp;EDATE(DATEVALUE(C210&amp;"-01"),10))</f>
        <v>0</v>
      </c>
      <c r="AC210" s="37">
        <f>SUMIFS('📋 Транзакції'!$F$5:$F$3623,'📋 Транзакції'!$B$5:$B$3623,A210,'📋 Транзакції'!$C$5:$C$3623,"&gt;="&amp;EDATE(DATEVALUE(C210&amp;"-01"),10),'📋 Транзакції'!$C$5:$C$3623,"&lt;"&amp;EDATE(DATEVALUE(C210&amp;"-01"),11))</f>
        <v>0</v>
      </c>
      <c r="AD210" s="37">
        <f>SUMIFS('📋 Транзакції'!$F$5:$F$3623,'📋 Транзакції'!$B$5:$B$3623,A210,'📋 Транзакції'!$C$5:$C$3623,"&gt;="&amp;EDATE(DATEVALUE(C210&amp;"-01"),11),'📋 Транзакції'!$C$5:$C$3623,"&lt;"&amp;EDATE(DATEVALUE(C210&amp;"-01"),12))</f>
        <v>0</v>
      </c>
    </row>
    <row r="211" ht="15.75" customHeight="1">
      <c r="A211" s="33" t="str">
        <f>'📋 Реєстрації'!A211:A812</f>
        <v>U0380</v>
      </c>
      <c r="B211" s="34">
        <f t="array" ref="B211">INDEX('📋 Транзакції'!$C$5:$C$3623,MATCH(A211,'📋 Транзакції'!$B$5:$B$3623,0))</f>
        <v>45497</v>
      </c>
      <c r="C211" s="35" t="str">
        <f t="shared" si="1"/>
        <v>2024-07</v>
      </c>
      <c r="D211" s="36">
        <f>COUNTIF('📋 Транзакції'!$B$5:$B$3623,A211)</f>
        <v>2</v>
      </c>
      <c r="E211" s="36">
        <f>SUMIF('📋 Транзакції'!$B$5:$B$3623,A211,'📋 Транзакції'!$F$5:$F$3623)</f>
        <v>19.99</v>
      </c>
      <c r="F211" s="35">
        <f>INT($A$1-MAXIFS('📋 Транзакції'!$C$5:$C$3623,'📋 Транзакції'!$B$5:$B$3623,A211))</f>
        <v>243</v>
      </c>
      <c r="G211" s="37">
        <f>IF(COUNTIFS('📋 Транзакції'!$B$5:$B$3623,A211,'📋 Транзакції'!$C$5:$C$3623,"&gt;="&amp;EDATE(DATEVALUE(C211&amp;"-01"),0),'📋 Транзакції'!$C$5:$C$3623,"&lt;"&amp;EDATE(DATEVALUE(C211&amp;"-01"),1))&gt;0,1,0)</f>
        <v>1</v>
      </c>
      <c r="H211" s="37">
        <f>IF(COUNTIFS('📋 Транзакції'!$B$5:$B$3623,A211,'📋 Транзакції'!$C$5:$C$3623,"&gt;="&amp;EDATE(DATEVALUE(C211&amp;"-01"),1),'📋 Транзакції'!$C$5:$C$3623,"&lt;"&amp;EDATE(DATEVALUE(C211&amp;"-01"),2))&gt;0,1,0)</f>
        <v>0</v>
      </c>
      <c r="I211" s="37">
        <f>IF(COUNTIFS('📋 Транзакції'!$B$5:$B$3623,A211,'📋 Транзакції'!$C$5:$C$3623,"&gt;="&amp;EDATE(DATEVALUE(C211&amp;"-01"),2),'📋 Транзакції'!$C$5:$C$3623,"&lt;"&amp;EDATE(DATEVALUE(C211&amp;"-01"),3))&gt;0,1,0)</f>
        <v>0</v>
      </c>
      <c r="J211" s="37">
        <f>IF(COUNTIFS('📋 Транзакції'!$B$5:$B$3623,A211,'📋 Транзакції'!$C$5:$C$3623,"&gt;="&amp;EDATE(DATEVALUE(C211&amp;"-01"),3),'📋 Транзакції'!$C$5:$C$3623,"&lt;"&amp;EDATE(DATEVALUE(C211&amp;"-01"),4))&gt;0,1,0)</f>
        <v>0</v>
      </c>
      <c r="K211" s="37">
        <f>IF(COUNTIFS('📋 Транзакції'!$B$5:$B$3623,A211,'📋 Транзакції'!$C$5:$C$3623,"&gt;="&amp;EDATE(DATEVALUE(C211&amp;"-01"),4),'📋 Транзакції'!$C$5:$C$3623,"&lt;"&amp;EDATE(DATEVALUE(C211&amp;"-01"),5))&gt;0,1,0)</f>
        <v>0</v>
      </c>
      <c r="L211" s="37">
        <f>IF(COUNTIFS('📋 Транзакції'!$B$5:$B$3623,A211,'📋 Транзакції'!$C$5:$C$3623,"&gt;="&amp;EDATE(DATEVALUE(C211&amp;"-01"),5),'📋 Транзакції'!$C$5:$C$3623,"&lt;"&amp;EDATE(DATEVALUE(C211&amp;"-01"),6))&gt;0,1,0)</f>
        <v>0</v>
      </c>
      <c r="M211" s="37">
        <f>IF(COUNTIFS('📋 Транзакції'!$B$5:$B$3623,A211,'📋 Транзакції'!$C$5:$C$3623,"&gt;="&amp;EDATE(DATEVALUE(C211&amp;"-01"),6),'📋 Транзакції'!$C$5:$C$3623,"&lt;"&amp;EDATE(DATEVALUE(C211&amp;"-01"),7))&gt;0,1,0)</f>
        <v>0</v>
      </c>
      <c r="N211" s="37">
        <f>IF(COUNTIFS('📋 Транзакції'!$B$5:$B$3623,A211,'📋 Транзакції'!$C$5:$C$3623,"&gt;="&amp;EDATE(DATEVALUE(C211&amp;"-01"),7),'📋 Транзакції'!$C$5:$C$3623,"&lt;"&amp;EDATE(DATEVALUE(C211&amp;"-01"),8))&gt;0,1,0)</f>
        <v>0</v>
      </c>
      <c r="O211" s="37">
        <f>IF(COUNTIFS('📋 Транзакції'!$B$5:$B$3623,A211,'📋 Транзакції'!$C$5:$C$3623,"&gt;="&amp;EDATE(DATEVALUE(C211&amp;"-01"),8),'📋 Транзакції'!$C$5:$C$3623,"&lt;"&amp;EDATE(DATEVALUE(C211&amp;"-01"),9))&gt;0,1,0)</f>
        <v>0</v>
      </c>
      <c r="P211" s="37">
        <f>IF(COUNTIFS('📋 Транзакції'!$B$5:$B$3623,A211,'📋 Транзакції'!$C$5:$C$3623,"&gt;="&amp;EDATE(DATEVALUE(C211&amp;"-01"),9),'📋 Транзакції'!$C$5:$C$3623,"&lt;"&amp;EDATE(DATEVALUE(C211&amp;"-01"),10))&gt;0,1,0)</f>
        <v>0</v>
      </c>
      <c r="Q211" s="37">
        <f>IF(COUNTIFS('📋 Транзакції'!$B$5:$B$3623,A211,'📋 Транзакції'!$C$5:$C$3623,"&gt;="&amp;EDATE(DATEVALUE(C211&amp;"-01"),10),'📋 Транзакції'!$C$5:$C$3623,"&lt;"&amp;EDATE(DATEVALUE(C211&amp;"-01"),11))&gt;0,1,0)</f>
        <v>0</v>
      </c>
      <c r="R211" s="37">
        <f>IF(COUNTIFS('📋 Транзакції'!$B$5:$B$3623,A211,'📋 Транзакції'!$C$5:$C$3623,"&gt;="&amp;EDATE(DATEVALUE(C211&amp;"-01"),11),'📋 Транзакції'!$C$5:$C$3623,"&lt;"&amp;EDATE(DATEVALUE(C211&amp;"-01"),12))&gt;0,1,0)</f>
        <v>0</v>
      </c>
      <c r="S211" s="37">
        <f>SUMIFS('📋 Транзакції'!$F$5:$F$3623,'📋 Транзакції'!$B$5:$B$3623,A211,'📋 Транзакції'!$C$5:$C$3623,"&gt;="&amp;EDATE(DATEVALUE(C211&amp;"-01"),0),'📋 Транзакції'!$C$5:$C$3623,"&lt;"&amp;EDATE(DATEVALUE(C211&amp;"-01"),1))</f>
        <v>19.99</v>
      </c>
      <c r="T211" s="37">
        <f>SUMIFS('📋 Транзакції'!$F$5:$F$3623,'📋 Транзакції'!$B$5:$B$3623,A211,'📋 Транзакції'!$C$5:$C$3623,"&gt;="&amp;EDATE(DATEVALUE(C211&amp;"-01"),1),'📋 Транзакції'!$C$5:$C$3623,"&lt;"&amp;EDATE(DATEVALUE(C211&amp;"-01"),2))</f>
        <v>0</v>
      </c>
      <c r="U211" s="37">
        <f>SUMIFS('📋 Транзакції'!$F$5:$F$3623,'📋 Транзакції'!$B$5:$B$3623,A211,'📋 Транзакції'!$C$5:$C$3623,"&gt;="&amp;EDATE(DATEVALUE(C211&amp;"-01"),2),'📋 Транзакції'!$C$5:$C$3623,"&lt;"&amp;EDATE(DATEVALUE(C211&amp;"-01"),3))</f>
        <v>0</v>
      </c>
      <c r="V211" s="37">
        <f>SUMIFS('📋 Транзакції'!$F$5:$F$3623,'📋 Транзакції'!$B$5:$B$3623,A211,'📋 Транзакції'!$C$5:$C$3623,"&gt;="&amp;EDATE(DATEVALUE(C211&amp;"-01"),3),'📋 Транзакції'!$C$5:$C$3623,"&lt;"&amp;EDATE(DATEVALUE(C211&amp;"-01"),4))</f>
        <v>0</v>
      </c>
      <c r="W211" s="37">
        <f>SUMIFS('📋 Транзакції'!$F$5:$F$3623,'📋 Транзакції'!$B$5:$B$3623,A211,'📋 Транзакції'!$C$5:$C$3623,"&gt;="&amp;EDATE(DATEVALUE(C211&amp;"-01"),4),'📋 Транзакції'!$C$5:$C$3623,"&lt;"&amp;EDATE(DATEVALUE(C211&amp;"-01"),5))</f>
        <v>0</v>
      </c>
      <c r="X211" s="37">
        <f>SUMIFS('📋 Транзакції'!$F$5:$F$3623,'📋 Транзакції'!$B$5:$B$3623,A211,'📋 Транзакції'!$C$5:$C$3623,"&gt;="&amp;EDATE(DATEVALUE(C211&amp;"-01"),5),'📋 Транзакції'!$C$5:$C$3623,"&lt;"&amp;EDATE(DATEVALUE(C211&amp;"-01"),6))</f>
        <v>0</v>
      </c>
      <c r="Y211" s="37">
        <f>SUMIFS('📋 Транзакції'!$F$5:$F$3623,'📋 Транзакції'!$B$5:$B$3623,A211,'📋 Транзакції'!$C$5:$C$3623,"&gt;="&amp;EDATE(DATEVALUE(C211&amp;"-01"),6),'📋 Транзакції'!$C$5:$C$3623,"&lt;"&amp;EDATE(DATEVALUE(C211&amp;"-01"),7))</f>
        <v>0</v>
      </c>
      <c r="Z211" s="37">
        <f>SUMIFS('📋 Транзакції'!$F$5:$F$3623,'📋 Транзакції'!$B$5:$B$3623,A211,'📋 Транзакції'!$C$5:$C$3623,"&gt;="&amp;EDATE(DATEVALUE(C211&amp;"-01"),7),'📋 Транзакції'!$C$5:$C$3623,"&lt;"&amp;EDATE(DATEVALUE(C211&amp;"-01"),8))</f>
        <v>0</v>
      </c>
      <c r="AA211" s="37">
        <f>SUMIFS('📋 Транзакції'!$F$5:$F$3623,'📋 Транзакції'!$B$5:$B$3623,A211,'📋 Транзакції'!$C$5:$C$3623,"&gt;="&amp;EDATE(DATEVALUE(C211&amp;"-01"),8),'📋 Транзакції'!$C$5:$C$3623,"&lt;"&amp;EDATE(DATEVALUE(C211&amp;"-01"),9))</f>
        <v>0</v>
      </c>
      <c r="AB211" s="37">
        <f>SUMIFS('📋 Транзакції'!$F$5:$F$3623,'📋 Транзакції'!$B$5:$B$3623,A211,'📋 Транзакції'!$C$5:$C$3623,"&gt;="&amp;EDATE(DATEVALUE(C211&amp;"-01"),9),'📋 Транзакції'!$C$5:$C$3623,"&lt;"&amp;EDATE(DATEVALUE(C211&amp;"-01"),10))</f>
        <v>0</v>
      </c>
      <c r="AC211" s="37">
        <f>SUMIFS('📋 Транзакції'!$F$5:$F$3623,'📋 Транзакції'!$B$5:$B$3623,A211,'📋 Транзакції'!$C$5:$C$3623,"&gt;="&amp;EDATE(DATEVALUE(C211&amp;"-01"),10),'📋 Транзакції'!$C$5:$C$3623,"&lt;"&amp;EDATE(DATEVALUE(C211&amp;"-01"),11))</f>
        <v>0</v>
      </c>
      <c r="AD211" s="37">
        <f>SUMIFS('📋 Транзакції'!$F$5:$F$3623,'📋 Транзакції'!$B$5:$B$3623,A211,'📋 Транзакції'!$C$5:$C$3623,"&gt;="&amp;EDATE(DATEVALUE(C211&amp;"-01"),11),'📋 Транзакції'!$C$5:$C$3623,"&lt;"&amp;EDATE(DATEVALUE(C211&amp;"-01"),12))</f>
        <v>0</v>
      </c>
    </row>
    <row r="212" ht="15.75" customHeight="1">
      <c r="A212" s="33" t="str">
        <f>'📋 Реєстрації'!A212:A813</f>
        <v>U0085</v>
      </c>
      <c r="B212" s="34">
        <f t="array" ref="B212">INDEX('📋 Транзакції'!$C$5:$C$3623,MATCH(A212,'📋 Транзакції'!$B$5:$B$3623,0))</f>
        <v>45498</v>
      </c>
      <c r="C212" s="35" t="str">
        <f t="shared" si="1"/>
        <v>2024-07</v>
      </c>
      <c r="D212" s="36">
        <f>COUNTIF('📋 Транзакції'!$B$5:$B$3623,A212)</f>
        <v>5</v>
      </c>
      <c r="E212" s="36">
        <f>SUMIF('📋 Транзакції'!$B$5:$B$3623,A212,'📋 Транзакції'!$F$5:$F$3623)</f>
        <v>79.96</v>
      </c>
      <c r="F212" s="35">
        <f>INT($A$1-MAXIFS('📋 Транзакції'!$C$5:$C$3623,'📋 Транзакції'!$B$5:$B$3623,A212))</f>
        <v>152</v>
      </c>
      <c r="G212" s="37">
        <f>IF(COUNTIFS('📋 Транзакції'!$B$5:$B$3623,A212,'📋 Транзакції'!$C$5:$C$3623,"&gt;="&amp;EDATE(DATEVALUE(C212&amp;"-01"),0),'📋 Транзакції'!$C$5:$C$3623,"&lt;"&amp;EDATE(DATEVALUE(C212&amp;"-01"),1))&gt;0,1,0)</f>
        <v>1</v>
      </c>
      <c r="H212" s="37">
        <f>IF(COUNTIFS('📋 Транзакції'!$B$5:$B$3623,A212,'📋 Транзакції'!$C$5:$C$3623,"&gt;="&amp;EDATE(DATEVALUE(C212&amp;"-01"),1),'📋 Транзакції'!$C$5:$C$3623,"&lt;"&amp;EDATE(DATEVALUE(C212&amp;"-01"),2))&gt;0,1,0)</f>
        <v>1</v>
      </c>
      <c r="I212" s="37">
        <f>IF(COUNTIFS('📋 Транзакції'!$B$5:$B$3623,A212,'📋 Транзакції'!$C$5:$C$3623,"&gt;="&amp;EDATE(DATEVALUE(C212&amp;"-01"),2),'📋 Транзакції'!$C$5:$C$3623,"&lt;"&amp;EDATE(DATEVALUE(C212&amp;"-01"),3))&gt;0,1,0)</f>
        <v>1</v>
      </c>
      <c r="J212" s="37">
        <f>IF(COUNTIFS('📋 Транзакції'!$B$5:$B$3623,A212,'📋 Транзакції'!$C$5:$C$3623,"&gt;="&amp;EDATE(DATEVALUE(C212&amp;"-01"),3),'📋 Транзакції'!$C$5:$C$3623,"&lt;"&amp;EDATE(DATEVALUE(C212&amp;"-01"),4))&gt;0,1,0)</f>
        <v>1</v>
      </c>
      <c r="K212" s="37">
        <f>IF(COUNTIFS('📋 Транзакції'!$B$5:$B$3623,A212,'📋 Транзакції'!$C$5:$C$3623,"&gt;="&amp;EDATE(DATEVALUE(C212&amp;"-01"),4),'📋 Транзакції'!$C$5:$C$3623,"&lt;"&amp;EDATE(DATEVALUE(C212&amp;"-01"),5))&gt;0,1,0)</f>
        <v>0</v>
      </c>
      <c r="L212" s="37">
        <f>IF(COUNTIFS('📋 Транзакції'!$B$5:$B$3623,A212,'📋 Транзакції'!$C$5:$C$3623,"&gt;="&amp;EDATE(DATEVALUE(C212&amp;"-01"),5),'📋 Транзакції'!$C$5:$C$3623,"&lt;"&amp;EDATE(DATEVALUE(C212&amp;"-01"),6))&gt;0,1,0)</f>
        <v>0</v>
      </c>
      <c r="M212" s="37">
        <f>IF(COUNTIFS('📋 Транзакції'!$B$5:$B$3623,A212,'📋 Транзакції'!$C$5:$C$3623,"&gt;="&amp;EDATE(DATEVALUE(C212&amp;"-01"),6),'📋 Транзакції'!$C$5:$C$3623,"&lt;"&amp;EDATE(DATEVALUE(C212&amp;"-01"),7))&gt;0,1,0)</f>
        <v>0</v>
      </c>
      <c r="N212" s="37">
        <f>IF(COUNTIFS('📋 Транзакції'!$B$5:$B$3623,A212,'📋 Транзакції'!$C$5:$C$3623,"&gt;="&amp;EDATE(DATEVALUE(C212&amp;"-01"),7),'📋 Транзакції'!$C$5:$C$3623,"&lt;"&amp;EDATE(DATEVALUE(C212&amp;"-01"),8))&gt;0,1,0)</f>
        <v>0</v>
      </c>
      <c r="O212" s="37">
        <f>IF(COUNTIFS('📋 Транзакції'!$B$5:$B$3623,A212,'📋 Транзакції'!$C$5:$C$3623,"&gt;="&amp;EDATE(DATEVALUE(C212&amp;"-01"),8),'📋 Транзакції'!$C$5:$C$3623,"&lt;"&amp;EDATE(DATEVALUE(C212&amp;"-01"),9))&gt;0,1,0)</f>
        <v>0</v>
      </c>
      <c r="P212" s="37">
        <f>IF(COUNTIFS('📋 Транзакції'!$B$5:$B$3623,A212,'📋 Транзакції'!$C$5:$C$3623,"&gt;="&amp;EDATE(DATEVALUE(C212&amp;"-01"),9),'📋 Транзакції'!$C$5:$C$3623,"&lt;"&amp;EDATE(DATEVALUE(C212&amp;"-01"),10))&gt;0,1,0)</f>
        <v>0</v>
      </c>
      <c r="Q212" s="37">
        <f>IF(COUNTIFS('📋 Транзакції'!$B$5:$B$3623,A212,'📋 Транзакції'!$C$5:$C$3623,"&gt;="&amp;EDATE(DATEVALUE(C212&amp;"-01"),10),'📋 Транзакції'!$C$5:$C$3623,"&lt;"&amp;EDATE(DATEVALUE(C212&amp;"-01"),11))&gt;0,1,0)</f>
        <v>0</v>
      </c>
      <c r="R212" s="37">
        <f>IF(COUNTIFS('📋 Транзакції'!$B$5:$B$3623,A212,'📋 Транзакції'!$C$5:$C$3623,"&gt;="&amp;EDATE(DATEVALUE(C212&amp;"-01"),11),'📋 Транзакції'!$C$5:$C$3623,"&lt;"&amp;EDATE(DATEVALUE(C212&amp;"-01"),12))&gt;0,1,0)</f>
        <v>0</v>
      </c>
      <c r="S212" s="37">
        <f>SUMIFS('📋 Транзакції'!$F$5:$F$3623,'📋 Транзакції'!$B$5:$B$3623,A212,'📋 Транзакції'!$C$5:$C$3623,"&gt;="&amp;EDATE(DATEVALUE(C212&amp;"-01"),0),'📋 Транзакції'!$C$5:$C$3623,"&lt;"&amp;EDATE(DATEVALUE(C212&amp;"-01"),1))</f>
        <v>0</v>
      </c>
      <c r="T212" s="37">
        <f>SUMIFS('📋 Транзакції'!$F$5:$F$3623,'📋 Транзакції'!$B$5:$B$3623,A212,'📋 Транзакції'!$C$5:$C$3623,"&gt;="&amp;EDATE(DATEVALUE(C212&amp;"-01"),1),'📋 Транзакції'!$C$5:$C$3623,"&lt;"&amp;EDATE(DATEVALUE(C212&amp;"-01"),2))</f>
        <v>39.98</v>
      </c>
      <c r="U212" s="37">
        <f>SUMIFS('📋 Транзакції'!$F$5:$F$3623,'📋 Транзакції'!$B$5:$B$3623,A212,'📋 Транзакції'!$C$5:$C$3623,"&gt;="&amp;EDATE(DATEVALUE(C212&amp;"-01"),2),'📋 Транзакції'!$C$5:$C$3623,"&lt;"&amp;EDATE(DATEVALUE(C212&amp;"-01"),3))</f>
        <v>19.99</v>
      </c>
      <c r="V212" s="37">
        <f>SUMIFS('📋 Транзакції'!$F$5:$F$3623,'📋 Транзакції'!$B$5:$B$3623,A212,'📋 Транзакції'!$C$5:$C$3623,"&gt;="&amp;EDATE(DATEVALUE(C212&amp;"-01"),3),'📋 Транзакції'!$C$5:$C$3623,"&lt;"&amp;EDATE(DATEVALUE(C212&amp;"-01"),4))</f>
        <v>19.99</v>
      </c>
      <c r="W212" s="37">
        <f>SUMIFS('📋 Транзакції'!$F$5:$F$3623,'📋 Транзакції'!$B$5:$B$3623,A212,'📋 Транзакції'!$C$5:$C$3623,"&gt;="&amp;EDATE(DATEVALUE(C212&amp;"-01"),4),'📋 Транзакції'!$C$5:$C$3623,"&lt;"&amp;EDATE(DATEVALUE(C212&amp;"-01"),5))</f>
        <v>0</v>
      </c>
      <c r="X212" s="37">
        <f>SUMIFS('📋 Транзакції'!$F$5:$F$3623,'📋 Транзакції'!$B$5:$B$3623,A212,'📋 Транзакції'!$C$5:$C$3623,"&gt;="&amp;EDATE(DATEVALUE(C212&amp;"-01"),5),'📋 Транзакції'!$C$5:$C$3623,"&lt;"&amp;EDATE(DATEVALUE(C212&amp;"-01"),6))</f>
        <v>0</v>
      </c>
      <c r="Y212" s="37">
        <f>SUMIFS('📋 Транзакції'!$F$5:$F$3623,'📋 Транзакції'!$B$5:$B$3623,A212,'📋 Транзакції'!$C$5:$C$3623,"&gt;="&amp;EDATE(DATEVALUE(C212&amp;"-01"),6),'📋 Транзакції'!$C$5:$C$3623,"&lt;"&amp;EDATE(DATEVALUE(C212&amp;"-01"),7))</f>
        <v>0</v>
      </c>
      <c r="Z212" s="37">
        <f>SUMIFS('📋 Транзакції'!$F$5:$F$3623,'📋 Транзакції'!$B$5:$B$3623,A212,'📋 Транзакції'!$C$5:$C$3623,"&gt;="&amp;EDATE(DATEVALUE(C212&amp;"-01"),7),'📋 Транзакції'!$C$5:$C$3623,"&lt;"&amp;EDATE(DATEVALUE(C212&amp;"-01"),8))</f>
        <v>0</v>
      </c>
      <c r="AA212" s="37">
        <f>SUMIFS('📋 Транзакції'!$F$5:$F$3623,'📋 Транзакції'!$B$5:$B$3623,A212,'📋 Транзакції'!$C$5:$C$3623,"&gt;="&amp;EDATE(DATEVALUE(C212&amp;"-01"),8),'📋 Транзакції'!$C$5:$C$3623,"&lt;"&amp;EDATE(DATEVALUE(C212&amp;"-01"),9))</f>
        <v>0</v>
      </c>
      <c r="AB212" s="37">
        <f>SUMIFS('📋 Транзакції'!$F$5:$F$3623,'📋 Транзакції'!$B$5:$B$3623,A212,'📋 Транзакції'!$C$5:$C$3623,"&gt;="&amp;EDATE(DATEVALUE(C212&amp;"-01"),9),'📋 Транзакції'!$C$5:$C$3623,"&lt;"&amp;EDATE(DATEVALUE(C212&amp;"-01"),10))</f>
        <v>0</v>
      </c>
      <c r="AC212" s="37">
        <f>SUMIFS('📋 Транзакції'!$F$5:$F$3623,'📋 Транзакції'!$B$5:$B$3623,A212,'📋 Транзакції'!$C$5:$C$3623,"&gt;="&amp;EDATE(DATEVALUE(C212&amp;"-01"),10),'📋 Транзакції'!$C$5:$C$3623,"&lt;"&amp;EDATE(DATEVALUE(C212&amp;"-01"),11))</f>
        <v>0</v>
      </c>
      <c r="AD212" s="37">
        <f>SUMIFS('📋 Транзакції'!$F$5:$F$3623,'📋 Транзакції'!$B$5:$B$3623,A212,'📋 Транзакції'!$C$5:$C$3623,"&gt;="&amp;EDATE(DATEVALUE(C212&amp;"-01"),11),'📋 Транзакції'!$C$5:$C$3623,"&lt;"&amp;EDATE(DATEVALUE(C212&amp;"-01"),12))</f>
        <v>0</v>
      </c>
    </row>
    <row r="213" ht="15.75" customHeight="1">
      <c r="A213" s="33" t="str">
        <f>'📋 Реєстрації'!A213:A814</f>
        <v>U0493</v>
      </c>
      <c r="B213" s="34">
        <f t="array" ref="B213">INDEX('📋 Транзакції'!$C$5:$C$3623,MATCH(A213,'📋 Транзакції'!$B$5:$B$3623,0))</f>
        <v>45498</v>
      </c>
      <c r="C213" s="35" t="str">
        <f t="shared" si="1"/>
        <v>2024-07</v>
      </c>
      <c r="D213" s="36">
        <f>COUNTIF('📋 Транзакції'!$B$5:$B$3623,A213)</f>
        <v>10</v>
      </c>
      <c r="E213" s="36">
        <f>SUMIF('📋 Транзакції'!$B$5:$B$3623,A213,'📋 Транзакції'!$F$5:$F$3623)</f>
        <v>179.91</v>
      </c>
      <c r="F213" s="35">
        <f>INT($A$1-MAXIFS('📋 Транзакції'!$C$5:$C$3623,'📋 Транзакції'!$B$5:$B$3623,A213))</f>
        <v>2</v>
      </c>
      <c r="G213" s="37">
        <f>IF(COUNTIFS('📋 Транзакції'!$B$5:$B$3623,A213,'📋 Транзакції'!$C$5:$C$3623,"&gt;="&amp;EDATE(DATEVALUE(C213&amp;"-01"),0),'📋 Транзакції'!$C$5:$C$3623,"&lt;"&amp;EDATE(DATEVALUE(C213&amp;"-01"),1))&gt;0,1,0)</f>
        <v>1</v>
      </c>
      <c r="H213" s="37">
        <f>IF(COUNTIFS('📋 Транзакції'!$B$5:$B$3623,A213,'📋 Транзакції'!$C$5:$C$3623,"&gt;="&amp;EDATE(DATEVALUE(C213&amp;"-01"),1),'📋 Транзакції'!$C$5:$C$3623,"&lt;"&amp;EDATE(DATEVALUE(C213&amp;"-01"),2))&gt;0,1,0)</f>
        <v>1</v>
      </c>
      <c r="I213" s="37">
        <f>IF(COUNTIFS('📋 Транзакції'!$B$5:$B$3623,A213,'📋 Транзакції'!$C$5:$C$3623,"&gt;="&amp;EDATE(DATEVALUE(C213&amp;"-01"),2),'📋 Транзакції'!$C$5:$C$3623,"&lt;"&amp;EDATE(DATEVALUE(C213&amp;"-01"),3))&gt;0,1,0)</f>
        <v>1</v>
      </c>
      <c r="J213" s="37">
        <f>IF(COUNTIFS('📋 Транзакції'!$B$5:$B$3623,A213,'📋 Транзакції'!$C$5:$C$3623,"&gt;="&amp;EDATE(DATEVALUE(C213&amp;"-01"),3),'📋 Транзакції'!$C$5:$C$3623,"&lt;"&amp;EDATE(DATEVALUE(C213&amp;"-01"),4))&gt;0,1,0)</f>
        <v>1</v>
      </c>
      <c r="K213" s="37">
        <f>IF(COUNTIFS('📋 Транзакції'!$B$5:$B$3623,A213,'📋 Транзакції'!$C$5:$C$3623,"&gt;="&amp;EDATE(DATEVALUE(C213&amp;"-01"),4),'📋 Транзакції'!$C$5:$C$3623,"&lt;"&amp;EDATE(DATEVALUE(C213&amp;"-01"),5))&gt;0,1,0)</f>
        <v>1</v>
      </c>
      <c r="L213" s="37">
        <f>IF(COUNTIFS('📋 Транзакції'!$B$5:$B$3623,A213,'📋 Транзакції'!$C$5:$C$3623,"&gt;="&amp;EDATE(DATEVALUE(C213&amp;"-01"),5),'📋 Транзакції'!$C$5:$C$3623,"&lt;"&amp;EDATE(DATEVALUE(C213&amp;"-01"),6))&gt;0,1,0)</f>
        <v>1</v>
      </c>
      <c r="M213" s="37">
        <f>IF(COUNTIFS('📋 Транзакції'!$B$5:$B$3623,A213,'📋 Транзакції'!$C$5:$C$3623,"&gt;="&amp;EDATE(DATEVALUE(C213&amp;"-01"),6),'📋 Транзакції'!$C$5:$C$3623,"&lt;"&amp;EDATE(DATEVALUE(C213&amp;"-01"),7))&gt;0,1,0)</f>
        <v>1</v>
      </c>
      <c r="N213" s="37">
        <f>IF(COUNTIFS('📋 Транзакції'!$B$5:$B$3623,A213,'📋 Транзакції'!$C$5:$C$3623,"&gt;="&amp;EDATE(DATEVALUE(C213&amp;"-01"),7),'📋 Транзакції'!$C$5:$C$3623,"&lt;"&amp;EDATE(DATEVALUE(C213&amp;"-01"),8))&gt;0,1,0)</f>
        <v>1</v>
      </c>
      <c r="O213" s="37">
        <f>IF(COUNTIFS('📋 Транзакції'!$B$5:$B$3623,A213,'📋 Транзакції'!$C$5:$C$3623,"&gt;="&amp;EDATE(DATEVALUE(C213&amp;"-01"),8),'📋 Транзакції'!$C$5:$C$3623,"&lt;"&amp;EDATE(DATEVALUE(C213&amp;"-01"),9))&gt;0,1,0)</f>
        <v>1</v>
      </c>
      <c r="P213" s="37">
        <f>IF(COUNTIFS('📋 Транзакції'!$B$5:$B$3623,A213,'📋 Транзакції'!$C$5:$C$3623,"&gt;="&amp;EDATE(DATEVALUE(C213&amp;"-01"),9),'📋 Транзакції'!$C$5:$C$3623,"&lt;"&amp;EDATE(DATEVALUE(C213&amp;"-01"),10))&gt;0,1,0)</f>
        <v>0</v>
      </c>
      <c r="Q213" s="37">
        <f>IF(COUNTIFS('📋 Транзакції'!$B$5:$B$3623,A213,'📋 Транзакції'!$C$5:$C$3623,"&gt;="&amp;EDATE(DATEVALUE(C213&amp;"-01"),10),'📋 Транзакції'!$C$5:$C$3623,"&lt;"&amp;EDATE(DATEVALUE(C213&amp;"-01"),11))&gt;0,1,0)</f>
        <v>0</v>
      </c>
      <c r="R213" s="37">
        <f>IF(COUNTIFS('📋 Транзакції'!$B$5:$B$3623,A213,'📋 Транзакції'!$C$5:$C$3623,"&gt;="&amp;EDATE(DATEVALUE(C213&amp;"-01"),11),'📋 Транзакції'!$C$5:$C$3623,"&lt;"&amp;EDATE(DATEVALUE(C213&amp;"-01"),12))&gt;0,1,0)</f>
        <v>0</v>
      </c>
      <c r="S213" s="37">
        <f>SUMIFS('📋 Транзакції'!$F$5:$F$3623,'📋 Транзакції'!$B$5:$B$3623,A213,'📋 Транзакції'!$C$5:$C$3623,"&gt;="&amp;EDATE(DATEVALUE(C213&amp;"-01"),0),'📋 Транзакції'!$C$5:$C$3623,"&lt;"&amp;EDATE(DATEVALUE(C213&amp;"-01"),1))</f>
        <v>0</v>
      </c>
      <c r="T213" s="37">
        <f>SUMIFS('📋 Транзакції'!$F$5:$F$3623,'📋 Транзакції'!$B$5:$B$3623,A213,'📋 Транзакції'!$C$5:$C$3623,"&gt;="&amp;EDATE(DATEVALUE(C213&amp;"-01"),1),'📋 Транзакції'!$C$5:$C$3623,"&lt;"&amp;EDATE(DATEVALUE(C213&amp;"-01"),2))</f>
        <v>39.98</v>
      </c>
      <c r="U213" s="37">
        <f>SUMIFS('📋 Транзакції'!$F$5:$F$3623,'📋 Транзакції'!$B$5:$B$3623,A213,'📋 Транзакції'!$C$5:$C$3623,"&gt;="&amp;EDATE(DATEVALUE(C213&amp;"-01"),2),'📋 Транзакції'!$C$5:$C$3623,"&lt;"&amp;EDATE(DATEVALUE(C213&amp;"-01"),3))</f>
        <v>19.99</v>
      </c>
      <c r="V213" s="37">
        <f>SUMIFS('📋 Транзакції'!$F$5:$F$3623,'📋 Транзакції'!$B$5:$B$3623,A213,'📋 Транзакції'!$C$5:$C$3623,"&gt;="&amp;EDATE(DATEVALUE(C213&amp;"-01"),3),'📋 Транзакції'!$C$5:$C$3623,"&lt;"&amp;EDATE(DATEVALUE(C213&amp;"-01"),4))</f>
        <v>19.99</v>
      </c>
      <c r="W213" s="37">
        <f>SUMIFS('📋 Транзакції'!$F$5:$F$3623,'📋 Транзакції'!$B$5:$B$3623,A213,'📋 Транзакції'!$C$5:$C$3623,"&gt;="&amp;EDATE(DATEVALUE(C213&amp;"-01"),4),'📋 Транзакції'!$C$5:$C$3623,"&lt;"&amp;EDATE(DATEVALUE(C213&amp;"-01"),5))</f>
        <v>19.99</v>
      </c>
      <c r="X213" s="37">
        <f>SUMIFS('📋 Транзакції'!$F$5:$F$3623,'📋 Транзакції'!$B$5:$B$3623,A213,'📋 Транзакції'!$C$5:$C$3623,"&gt;="&amp;EDATE(DATEVALUE(C213&amp;"-01"),5),'📋 Транзакції'!$C$5:$C$3623,"&lt;"&amp;EDATE(DATEVALUE(C213&amp;"-01"),6))</f>
        <v>19.99</v>
      </c>
      <c r="Y213" s="37">
        <f>SUMIFS('📋 Транзакції'!$F$5:$F$3623,'📋 Транзакції'!$B$5:$B$3623,A213,'📋 Транзакції'!$C$5:$C$3623,"&gt;="&amp;EDATE(DATEVALUE(C213&amp;"-01"),6),'📋 Транзакції'!$C$5:$C$3623,"&lt;"&amp;EDATE(DATEVALUE(C213&amp;"-01"),7))</f>
        <v>19.99</v>
      </c>
      <c r="Z213" s="37">
        <f>SUMIFS('📋 Транзакції'!$F$5:$F$3623,'📋 Транзакції'!$B$5:$B$3623,A213,'📋 Транзакції'!$C$5:$C$3623,"&gt;="&amp;EDATE(DATEVALUE(C213&amp;"-01"),7),'📋 Транзакції'!$C$5:$C$3623,"&lt;"&amp;EDATE(DATEVALUE(C213&amp;"-01"),8))</f>
        <v>19.99</v>
      </c>
      <c r="AA213" s="37">
        <f>SUMIFS('📋 Транзакції'!$F$5:$F$3623,'📋 Транзакції'!$B$5:$B$3623,A213,'📋 Транзакції'!$C$5:$C$3623,"&gt;="&amp;EDATE(DATEVALUE(C213&amp;"-01"),8),'📋 Транзакції'!$C$5:$C$3623,"&lt;"&amp;EDATE(DATEVALUE(C213&amp;"-01"),9))</f>
        <v>19.99</v>
      </c>
      <c r="AB213" s="37">
        <f>SUMIFS('📋 Транзакції'!$F$5:$F$3623,'📋 Транзакції'!$B$5:$B$3623,A213,'📋 Транзакції'!$C$5:$C$3623,"&gt;="&amp;EDATE(DATEVALUE(C213&amp;"-01"),9),'📋 Транзакції'!$C$5:$C$3623,"&lt;"&amp;EDATE(DATEVALUE(C213&amp;"-01"),10))</f>
        <v>0</v>
      </c>
      <c r="AC213" s="37">
        <f>SUMIFS('📋 Транзакції'!$F$5:$F$3623,'📋 Транзакції'!$B$5:$B$3623,A213,'📋 Транзакції'!$C$5:$C$3623,"&gt;="&amp;EDATE(DATEVALUE(C213&amp;"-01"),10),'📋 Транзакції'!$C$5:$C$3623,"&lt;"&amp;EDATE(DATEVALUE(C213&amp;"-01"),11))</f>
        <v>0</v>
      </c>
      <c r="AD213" s="37">
        <f>SUMIFS('📋 Транзакції'!$F$5:$F$3623,'📋 Транзакції'!$B$5:$B$3623,A213,'📋 Транзакції'!$C$5:$C$3623,"&gt;="&amp;EDATE(DATEVALUE(C213&amp;"-01"),11),'📋 Транзакції'!$C$5:$C$3623,"&lt;"&amp;EDATE(DATEVALUE(C213&amp;"-01"),12))</f>
        <v>0</v>
      </c>
    </row>
    <row r="214" ht="15.75" customHeight="1">
      <c r="A214" s="33" t="str">
        <f>'📋 Реєстрації'!A214:A815</f>
        <v>U0289</v>
      </c>
      <c r="B214" s="34">
        <f t="array" ref="B214">INDEX('📋 Транзакції'!$C$5:$C$3623,MATCH(A214,'📋 Транзакції'!$B$5:$B$3623,0))</f>
        <v>45499</v>
      </c>
      <c r="C214" s="35" t="str">
        <f t="shared" si="1"/>
        <v>2024-07</v>
      </c>
      <c r="D214" s="36">
        <f>COUNTIF('📋 Транзакції'!$B$5:$B$3623,A214)</f>
        <v>10</v>
      </c>
      <c r="E214" s="36">
        <f>SUMIF('📋 Транзакції'!$B$5:$B$3623,A214,'📋 Транзакції'!$F$5:$F$3623)</f>
        <v>179.91</v>
      </c>
      <c r="F214" s="35">
        <f>INT($A$1-MAXIFS('📋 Транзакції'!$C$5:$C$3623,'📋 Транзакції'!$B$5:$B$3623,A214))</f>
        <v>1</v>
      </c>
      <c r="G214" s="37">
        <f>IF(COUNTIFS('📋 Транзакції'!$B$5:$B$3623,A214,'📋 Транзакції'!$C$5:$C$3623,"&gt;="&amp;EDATE(DATEVALUE(C214&amp;"-01"),0),'📋 Транзакції'!$C$5:$C$3623,"&lt;"&amp;EDATE(DATEVALUE(C214&amp;"-01"),1))&gt;0,1,0)</f>
        <v>1</v>
      </c>
      <c r="H214" s="37">
        <f>IF(COUNTIFS('📋 Транзакції'!$B$5:$B$3623,A214,'📋 Транзакції'!$C$5:$C$3623,"&gt;="&amp;EDATE(DATEVALUE(C214&amp;"-01"),1),'📋 Транзакції'!$C$5:$C$3623,"&lt;"&amp;EDATE(DATEVALUE(C214&amp;"-01"),2))&gt;0,1,0)</f>
        <v>1</v>
      </c>
      <c r="I214" s="37">
        <f>IF(COUNTIFS('📋 Транзакції'!$B$5:$B$3623,A214,'📋 Транзакції'!$C$5:$C$3623,"&gt;="&amp;EDATE(DATEVALUE(C214&amp;"-01"),2),'📋 Транзакції'!$C$5:$C$3623,"&lt;"&amp;EDATE(DATEVALUE(C214&amp;"-01"),3))&gt;0,1,0)</f>
        <v>1</v>
      </c>
      <c r="J214" s="37">
        <f>IF(COUNTIFS('📋 Транзакції'!$B$5:$B$3623,A214,'📋 Транзакції'!$C$5:$C$3623,"&gt;="&amp;EDATE(DATEVALUE(C214&amp;"-01"),3),'📋 Транзакції'!$C$5:$C$3623,"&lt;"&amp;EDATE(DATEVALUE(C214&amp;"-01"),4))&gt;0,1,0)</f>
        <v>1</v>
      </c>
      <c r="K214" s="37">
        <f>IF(COUNTIFS('📋 Транзакції'!$B$5:$B$3623,A214,'📋 Транзакції'!$C$5:$C$3623,"&gt;="&amp;EDATE(DATEVALUE(C214&amp;"-01"),4),'📋 Транзакції'!$C$5:$C$3623,"&lt;"&amp;EDATE(DATEVALUE(C214&amp;"-01"),5))&gt;0,1,0)</f>
        <v>1</v>
      </c>
      <c r="L214" s="37">
        <f>IF(COUNTIFS('📋 Транзакції'!$B$5:$B$3623,A214,'📋 Транзакції'!$C$5:$C$3623,"&gt;="&amp;EDATE(DATEVALUE(C214&amp;"-01"),5),'📋 Транзакції'!$C$5:$C$3623,"&lt;"&amp;EDATE(DATEVALUE(C214&amp;"-01"),6))&gt;0,1,0)</f>
        <v>1</v>
      </c>
      <c r="M214" s="37">
        <f>IF(COUNTIFS('📋 Транзакції'!$B$5:$B$3623,A214,'📋 Транзакції'!$C$5:$C$3623,"&gt;="&amp;EDATE(DATEVALUE(C214&amp;"-01"),6),'📋 Транзакції'!$C$5:$C$3623,"&lt;"&amp;EDATE(DATEVALUE(C214&amp;"-01"),7))&gt;0,1,0)</f>
        <v>1</v>
      </c>
      <c r="N214" s="37">
        <f>IF(COUNTIFS('📋 Транзакції'!$B$5:$B$3623,A214,'📋 Транзакції'!$C$5:$C$3623,"&gt;="&amp;EDATE(DATEVALUE(C214&amp;"-01"),7),'📋 Транзакції'!$C$5:$C$3623,"&lt;"&amp;EDATE(DATEVALUE(C214&amp;"-01"),8))&gt;0,1,0)</f>
        <v>1</v>
      </c>
      <c r="O214" s="37">
        <f>IF(COUNTIFS('📋 Транзакції'!$B$5:$B$3623,A214,'📋 Транзакції'!$C$5:$C$3623,"&gt;="&amp;EDATE(DATEVALUE(C214&amp;"-01"),8),'📋 Транзакції'!$C$5:$C$3623,"&lt;"&amp;EDATE(DATEVALUE(C214&amp;"-01"),9))&gt;0,1,0)</f>
        <v>1</v>
      </c>
      <c r="P214" s="37">
        <f>IF(COUNTIFS('📋 Транзакції'!$B$5:$B$3623,A214,'📋 Транзакції'!$C$5:$C$3623,"&gt;="&amp;EDATE(DATEVALUE(C214&amp;"-01"),9),'📋 Транзакції'!$C$5:$C$3623,"&lt;"&amp;EDATE(DATEVALUE(C214&amp;"-01"),10))&gt;0,1,0)</f>
        <v>0</v>
      </c>
      <c r="Q214" s="37">
        <f>IF(COUNTIFS('📋 Транзакції'!$B$5:$B$3623,A214,'📋 Транзакції'!$C$5:$C$3623,"&gt;="&amp;EDATE(DATEVALUE(C214&amp;"-01"),10),'📋 Транзакції'!$C$5:$C$3623,"&lt;"&amp;EDATE(DATEVALUE(C214&amp;"-01"),11))&gt;0,1,0)</f>
        <v>0</v>
      </c>
      <c r="R214" s="37">
        <f>IF(COUNTIFS('📋 Транзакції'!$B$5:$B$3623,A214,'📋 Транзакції'!$C$5:$C$3623,"&gt;="&amp;EDATE(DATEVALUE(C214&amp;"-01"),11),'📋 Транзакції'!$C$5:$C$3623,"&lt;"&amp;EDATE(DATEVALUE(C214&amp;"-01"),12))&gt;0,1,0)</f>
        <v>0</v>
      </c>
      <c r="S214" s="37">
        <f>SUMIFS('📋 Транзакції'!$F$5:$F$3623,'📋 Транзакції'!$B$5:$B$3623,A214,'📋 Транзакції'!$C$5:$C$3623,"&gt;="&amp;EDATE(DATEVALUE(C214&amp;"-01"),0),'📋 Транзакції'!$C$5:$C$3623,"&lt;"&amp;EDATE(DATEVALUE(C214&amp;"-01"),1))</f>
        <v>0</v>
      </c>
      <c r="T214" s="37">
        <f>SUMIFS('📋 Транзакції'!$F$5:$F$3623,'📋 Транзакції'!$B$5:$B$3623,A214,'📋 Транзакції'!$C$5:$C$3623,"&gt;="&amp;EDATE(DATEVALUE(C214&amp;"-01"),1),'📋 Транзакції'!$C$5:$C$3623,"&lt;"&amp;EDATE(DATEVALUE(C214&amp;"-01"),2))</f>
        <v>19.99</v>
      </c>
      <c r="U214" s="37">
        <f>SUMIFS('📋 Транзакції'!$F$5:$F$3623,'📋 Транзакції'!$B$5:$B$3623,A214,'📋 Транзакції'!$C$5:$C$3623,"&gt;="&amp;EDATE(DATEVALUE(C214&amp;"-01"),2),'📋 Транзакції'!$C$5:$C$3623,"&lt;"&amp;EDATE(DATEVALUE(C214&amp;"-01"),3))</f>
        <v>19.99</v>
      </c>
      <c r="V214" s="37">
        <f>SUMIFS('📋 Транзакції'!$F$5:$F$3623,'📋 Транзакції'!$B$5:$B$3623,A214,'📋 Транзакції'!$C$5:$C$3623,"&gt;="&amp;EDATE(DATEVALUE(C214&amp;"-01"),3),'📋 Транзакції'!$C$5:$C$3623,"&lt;"&amp;EDATE(DATEVALUE(C214&amp;"-01"),4))</f>
        <v>39.98</v>
      </c>
      <c r="W214" s="37">
        <f>SUMIFS('📋 Транзакції'!$F$5:$F$3623,'📋 Транзакції'!$B$5:$B$3623,A214,'📋 Транзакції'!$C$5:$C$3623,"&gt;="&amp;EDATE(DATEVALUE(C214&amp;"-01"),4),'📋 Транзакції'!$C$5:$C$3623,"&lt;"&amp;EDATE(DATEVALUE(C214&amp;"-01"),5))</f>
        <v>19.99</v>
      </c>
      <c r="X214" s="37">
        <f>SUMIFS('📋 Транзакції'!$F$5:$F$3623,'📋 Транзакції'!$B$5:$B$3623,A214,'📋 Транзакції'!$C$5:$C$3623,"&gt;="&amp;EDATE(DATEVALUE(C214&amp;"-01"),5),'📋 Транзакції'!$C$5:$C$3623,"&lt;"&amp;EDATE(DATEVALUE(C214&amp;"-01"),6))</f>
        <v>19.99</v>
      </c>
      <c r="Y214" s="37">
        <f>SUMIFS('📋 Транзакції'!$F$5:$F$3623,'📋 Транзакції'!$B$5:$B$3623,A214,'📋 Транзакції'!$C$5:$C$3623,"&gt;="&amp;EDATE(DATEVALUE(C214&amp;"-01"),6),'📋 Транзакції'!$C$5:$C$3623,"&lt;"&amp;EDATE(DATEVALUE(C214&amp;"-01"),7))</f>
        <v>19.99</v>
      </c>
      <c r="Z214" s="37">
        <f>SUMIFS('📋 Транзакції'!$F$5:$F$3623,'📋 Транзакції'!$B$5:$B$3623,A214,'📋 Транзакції'!$C$5:$C$3623,"&gt;="&amp;EDATE(DATEVALUE(C214&amp;"-01"),7),'📋 Транзакції'!$C$5:$C$3623,"&lt;"&amp;EDATE(DATEVALUE(C214&amp;"-01"),8))</f>
        <v>19.99</v>
      </c>
      <c r="AA214" s="37">
        <f>SUMIFS('📋 Транзакції'!$F$5:$F$3623,'📋 Транзакції'!$B$5:$B$3623,A214,'📋 Транзакції'!$C$5:$C$3623,"&gt;="&amp;EDATE(DATEVALUE(C214&amp;"-01"),8),'📋 Транзакції'!$C$5:$C$3623,"&lt;"&amp;EDATE(DATEVALUE(C214&amp;"-01"),9))</f>
        <v>19.99</v>
      </c>
      <c r="AB214" s="37">
        <f>SUMIFS('📋 Транзакції'!$F$5:$F$3623,'📋 Транзакції'!$B$5:$B$3623,A214,'📋 Транзакції'!$C$5:$C$3623,"&gt;="&amp;EDATE(DATEVALUE(C214&amp;"-01"),9),'📋 Транзакції'!$C$5:$C$3623,"&lt;"&amp;EDATE(DATEVALUE(C214&amp;"-01"),10))</f>
        <v>0</v>
      </c>
      <c r="AC214" s="37">
        <f>SUMIFS('📋 Транзакції'!$F$5:$F$3623,'📋 Транзакції'!$B$5:$B$3623,A214,'📋 Транзакції'!$C$5:$C$3623,"&gt;="&amp;EDATE(DATEVALUE(C214&amp;"-01"),10),'📋 Транзакції'!$C$5:$C$3623,"&lt;"&amp;EDATE(DATEVALUE(C214&amp;"-01"),11))</f>
        <v>0</v>
      </c>
      <c r="AD214" s="37">
        <f>SUMIFS('📋 Транзакції'!$F$5:$F$3623,'📋 Транзакції'!$B$5:$B$3623,A214,'📋 Транзакції'!$C$5:$C$3623,"&gt;="&amp;EDATE(DATEVALUE(C214&amp;"-01"),11),'📋 Транзакції'!$C$5:$C$3623,"&lt;"&amp;EDATE(DATEVALUE(C214&amp;"-01"),12))</f>
        <v>0</v>
      </c>
    </row>
    <row r="215" ht="15.75" customHeight="1">
      <c r="A215" s="33" t="str">
        <f>'📋 Реєстрації'!A215:A816</f>
        <v>U0657</v>
      </c>
      <c r="B215" s="34">
        <f t="array" ref="B215">INDEX('📋 Транзакції'!$C$5:$C$3623,MATCH(A215,'📋 Транзакції'!$B$5:$B$3623,0))</f>
        <v>45500</v>
      </c>
      <c r="C215" s="35" t="str">
        <f t="shared" si="1"/>
        <v>2024-07</v>
      </c>
      <c r="D215" s="36">
        <f>COUNTIF('📋 Транзакції'!$B$5:$B$3623,A215)</f>
        <v>10</v>
      </c>
      <c r="E215" s="36">
        <f>SUMIF('📋 Транзакції'!$B$5:$B$3623,A215,'📋 Транзакції'!$F$5:$F$3623)</f>
        <v>179.91</v>
      </c>
      <c r="F215" s="35">
        <f>INT($A$1-MAXIFS('📋 Транзакції'!$C$5:$C$3623,'📋 Транзакції'!$B$5:$B$3623,A215))</f>
        <v>0</v>
      </c>
      <c r="G215" s="37">
        <f>IF(COUNTIFS('📋 Транзакції'!$B$5:$B$3623,A215,'📋 Транзакції'!$C$5:$C$3623,"&gt;="&amp;EDATE(DATEVALUE(C215&amp;"-01"),0),'📋 Транзакції'!$C$5:$C$3623,"&lt;"&amp;EDATE(DATEVALUE(C215&amp;"-01"),1))&gt;0,1,0)</f>
        <v>1</v>
      </c>
      <c r="H215" s="37">
        <f>IF(COUNTIFS('📋 Транзакції'!$B$5:$B$3623,A215,'📋 Транзакції'!$C$5:$C$3623,"&gt;="&amp;EDATE(DATEVALUE(C215&amp;"-01"),1),'📋 Транзакції'!$C$5:$C$3623,"&lt;"&amp;EDATE(DATEVALUE(C215&amp;"-01"),2))&gt;0,1,0)</f>
        <v>1</v>
      </c>
      <c r="I215" s="37">
        <f>IF(COUNTIFS('📋 Транзакції'!$B$5:$B$3623,A215,'📋 Транзакції'!$C$5:$C$3623,"&gt;="&amp;EDATE(DATEVALUE(C215&amp;"-01"),2),'📋 Транзакції'!$C$5:$C$3623,"&lt;"&amp;EDATE(DATEVALUE(C215&amp;"-01"),3))&gt;0,1,0)</f>
        <v>1</v>
      </c>
      <c r="J215" s="37">
        <f>IF(COUNTIFS('📋 Транзакції'!$B$5:$B$3623,A215,'📋 Транзакції'!$C$5:$C$3623,"&gt;="&amp;EDATE(DATEVALUE(C215&amp;"-01"),3),'📋 Транзакції'!$C$5:$C$3623,"&lt;"&amp;EDATE(DATEVALUE(C215&amp;"-01"),4))&gt;0,1,0)</f>
        <v>1</v>
      </c>
      <c r="K215" s="37">
        <f>IF(COUNTIFS('📋 Транзакції'!$B$5:$B$3623,A215,'📋 Транзакції'!$C$5:$C$3623,"&gt;="&amp;EDATE(DATEVALUE(C215&amp;"-01"),4),'📋 Транзакції'!$C$5:$C$3623,"&lt;"&amp;EDATE(DATEVALUE(C215&amp;"-01"),5))&gt;0,1,0)</f>
        <v>1</v>
      </c>
      <c r="L215" s="37">
        <f>IF(COUNTIFS('📋 Транзакції'!$B$5:$B$3623,A215,'📋 Транзакції'!$C$5:$C$3623,"&gt;="&amp;EDATE(DATEVALUE(C215&amp;"-01"),5),'📋 Транзакції'!$C$5:$C$3623,"&lt;"&amp;EDATE(DATEVALUE(C215&amp;"-01"),6))&gt;0,1,0)</f>
        <v>1</v>
      </c>
      <c r="M215" s="37">
        <f>IF(COUNTIFS('📋 Транзакції'!$B$5:$B$3623,A215,'📋 Транзакції'!$C$5:$C$3623,"&gt;="&amp;EDATE(DATEVALUE(C215&amp;"-01"),6),'📋 Транзакції'!$C$5:$C$3623,"&lt;"&amp;EDATE(DATEVALUE(C215&amp;"-01"),7))&gt;0,1,0)</f>
        <v>1</v>
      </c>
      <c r="N215" s="37">
        <f>IF(COUNTIFS('📋 Транзакції'!$B$5:$B$3623,A215,'📋 Транзакції'!$C$5:$C$3623,"&gt;="&amp;EDATE(DATEVALUE(C215&amp;"-01"),7),'📋 Транзакції'!$C$5:$C$3623,"&lt;"&amp;EDATE(DATEVALUE(C215&amp;"-01"),8))&gt;0,1,0)</f>
        <v>0</v>
      </c>
      <c r="O215" s="37">
        <f>IF(COUNTIFS('📋 Транзакції'!$B$5:$B$3623,A215,'📋 Транзакції'!$C$5:$C$3623,"&gt;="&amp;EDATE(DATEVALUE(C215&amp;"-01"),8),'📋 Транзакції'!$C$5:$C$3623,"&lt;"&amp;EDATE(DATEVALUE(C215&amp;"-01"),9))&gt;0,1,0)</f>
        <v>1</v>
      </c>
      <c r="P215" s="37">
        <f>IF(COUNTIFS('📋 Транзакції'!$B$5:$B$3623,A215,'📋 Транзакції'!$C$5:$C$3623,"&gt;="&amp;EDATE(DATEVALUE(C215&amp;"-01"),9),'📋 Транзакції'!$C$5:$C$3623,"&lt;"&amp;EDATE(DATEVALUE(C215&amp;"-01"),10))&gt;0,1,0)</f>
        <v>0</v>
      </c>
      <c r="Q215" s="37">
        <f>IF(COUNTIFS('📋 Транзакції'!$B$5:$B$3623,A215,'📋 Транзакції'!$C$5:$C$3623,"&gt;="&amp;EDATE(DATEVALUE(C215&amp;"-01"),10),'📋 Транзакції'!$C$5:$C$3623,"&lt;"&amp;EDATE(DATEVALUE(C215&amp;"-01"),11))&gt;0,1,0)</f>
        <v>0</v>
      </c>
      <c r="R215" s="37">
        <f>IF(COUNTIFS('📋 Транзакції'!$B$5:$B$3623,A215,'📋 Транзакції'!$C$5:$C$3623,"&gt;="&amp;EDATE(DATEVALUE(C215&amp;"-01"),11),'📋 Транзакції'!$C$5:$C$3623,"&lt;"&amp;EDATE(DATEVALUE(C215&amp;"-01"),12))&gt;0,1,0)</f>
        <v>0</v>
      </c>
      <c r="S215" s="37">
        <f>SUMIFS('📋 Транзакції'!$F$5:$F$3623,'📋 Транзакції'!$B$5:$B$3623,A215,'📋 Транзакції'!$C$5:$C$3623,"&gt;="&amp;EDATE(DATEVALUE(C215&amp;"-01"),0),'📋 Транзакції'!$C$5:$C$3623,"&lt;"&amp;EDATE(DATEVALUE(C215&amp;"-01"),1))</f>
        <v>0</v>
      </c>
      <c r="T215" s="37">
        <f>SUMIFS('📋 Транзакції'!$F$5:$F$3623,'📋 Транзакції'!$B$5:$B$3623,A215,'📋 Транзакції'!$C$5:$C$3623,"&gt;="&amp;EDATE(DATEVALUE(C215&amp;"-01"),1),'📋 Транзакції'!$C$5:$C$3623,"&lt;"&amp;EDATE(DATEVALUE(C215&amp;"-01"),2))</f>
        <v>19.99</v>
      </c>
      <c r="U215" s="37">
        <f>SUMIFS('📋 Транзакції'!$F$5:$F$3623,'📋 Транзакції'!$B$5:$B$3623,A215,'📋 Транзакції'!$C$5:$C$3623,"&gt;="&amp;EDATE(DATEVALUE(C215&amp;"-01"),2),'📋 Транзакції'!$C$5:$C$3623,"&lt;"&amp;EDATE(DATEVALUE(C215&amp;"-01"),3))</f>
        <v>19.99</v>
      </c>
      <c r="V215" s="37">
        <f>SUMIFS('📋 Транзакції'!$F$5:$F$3623,'📋 Транзакції'!$B$5:$B$3623,A215,'📋 Транзакції'!$C$5:$C$3623,"&gt;="&amp;EDATE(DATEVALUE(C215&amp;"-01"),3),'📋 Транзакції'!$C$5:$C$3623,"&lt;"&amp;EDATE(DATEVALUE(C215&amp;"-01"),4))</f>
        <v>19.99</v>
      </c>
      <c r="W215" s="37">
        <f>SUMIFS('📋 Транзакції'!$F$5:$F$3623,'📋 Транзакції'!$B$5:$B$3623,A215,'📋 Транзакції'!$C$5:$C$3623,"&gt;="&amp;EDATE(DATEVALUE(C215&amp;"-01"),4),'📋 Транзакції'!$C$5:$C$3623,"&lt;"&amp;EDATE(DATEVALUE(C215&amp;"-01"),5))</f>
        <v>19.99</v>
      </c>
      <c r="X215" s="37">
        <f>SUMIFS('📋 Транзакції'!$F$5:$F$3623,'📋 Транзакції'!$B$5:$B$3623,A215,'📋 Транзакції'!$C$5:$C$3623,"&gt;="&amp;EDATE(DATEVALUE(C215&amp;"-01"),5),'📋 Транзакції'!$C$5:$C$3623,"&lt;"&amp;EDATE(DATEVALUE(C215&amp;"-01"),6))</f>
        <v>39.98</v>
      </c>
      <c r="Y215" s="37">
        <f>SUMIFS('📋 Транзакції'!$F$5:$F$3623,'📋 Транзакції'!$B$5:$B$3623,A215,'📋 Транзакції'!$C$5:$C$3623,"&gt;="&amp;EDATE(DATEVALUE(C215&amp;"-01"),6),'📋 Транзакції'!$C$5:$C$3623,"&lt;"&amp;EDATE(DATEVALUE(C215&amp;"-01"),7))</f>
        <v>19.99</v>
      </c>
      <c r="Z215" s="37">
        <f>SUMIFS('📋 Транзакції'!$F$5:$F$3623,'📋 Транзакції'!$B$5:$B$3623,A215,'📋 Транзакції'!$C$5:$C$3623,"&gt;="&amp;EDATE(DATEVALUE(C215&amp;"-01"),7),'📋 Транзакції'!$C$5:$C$3623,"&lt;"&amp;EDATE(DATEVALUE(C215&amp;"-01"),8))</f>
        <v>0</v>
      </c>
      <c r="AA215" s="37">
        <f>SUMIFS('📋 Транзакції'!$F$5:$F$3623,'📋 Транзакції'!$B$5:$B$3623,A215,'📋 Транзакції'!$C$5:$C$3623,"&gt;="&amp;EDATE(DATEVALUE(C215&amp;"-01"),8),'📋 Транзакції'!$C$5:$C$3623,"&lt;"&amp;EDATE(DATEVALUE(C215&amp;"-01"),9))</f>
        <v>39.98</v>
      </c>
      <c r="AB215" s="37">
        <f>SUMIFS('📋 Транзакції'!$F$5:$F$3623,'📋 Транзакції'!$B$5:$B$3623,A215,'📋 Транзакції'!$C$5:$C$3623,"&gt;="&amp;EDATE(DATEVALUE(C215&amp;"-01"),9),'📋 Транзакції'!$C$5:$C$3623,"&lt;"&amp;EDATE(DATEVALUE(C215&amp;"-01"),10))</f>
        <v>0</v>
      </c>
      <c r="AC215" s="37">
        <f>SUMIFS('📋 Транзакції'!$F$5:$F$3623,'📋 Транзакції'!$B$5:$B$3623,A215,'📋 Транзакції'!$C$5:$C$3623,"&gt;="&amp;EDATE(DATEVALUE(C215&amp;"-01"),10),'📋 Транзакції'!$C$5:$C$3623,"&lt;"&amp;EDATE(DATEVALUE(C215&amp;"-01"),11))</f>
        <v>0</v>
      </c>
      <c r="AD215" s="37">
        <f>SUMIFS('📋 Транзакції'!$F$5:$F$3623,'📋 Транзакції'!$B$5:$B$3623,A215,'📋 Транзакції'!$C$5:$C$3623,"&gt;="&amp;EDATE(DATEVALUE(C215&amp;"-01"),11),'📋 Транзакції'!$C$5:$C$3623,"&lt;"&amp;EDATE(DATEVALUE(C215&amp;"-01"),12))</f>
        <v>0</v>
      </c>
    </row>
    <row r="216" ht="15.75" customHeight="1">
      <c r="A216" s="33" t="str">
        <f>'📋 Реєстрації'!A216:A817</f>
        <v>U0417</v>
      </c>
      <c r="B216" s="34">
        <f t="array" ref="B216">INDEX('📋 Транзакції'!$C$5:$C$3623,MATCH(A216,'📋 Транзакції'!$B$5:$B$3623,0))</f>
        <v>45501</v>
      </c>
      <c r="C216" s="35" t="str">
        <f t="shared" si="1"/>
        <v>2024-07</v>
      </c>
      <c r="D216" s="36">
        <f>COUNTIF('📋 Транзакції'!$B$5:$B$3623,A216)</f>
        <v>2</v>
      </c>
      <c r="E216" s="36">
        <f>SUMIF('📋 Транзакції'!$B$5:$B$3623,A216,'📋 Транзакції'!$F$5:$F$3623)</f>
        <v>19.99</v>
      </c>
      <c r="F216" s="35">
        <f>INT($A$1-MAXIFS('📋 Транзакції'!$C$5:$C$3623,'📋 Транзакції'!$B$5:$B$3623,A216))</f>
        <v>239</v>
      </c>
      <c r="G216" s="37">
        <f>IF(COUNTIFS('📋 Транзакції'!$B$5:$B$3623,A216,'📋 Транзакції'!$C$5:$C$3623,"&gt;="&amp;EDATE(DATEVALUE(C216&amp;"-01"),0),'📋 Транзакції'!$C$5:$C$3623,"&lt;"&amp;EDATE(DATEVALUE(C216&amp;"-01"),1))&gt;0,1,0)</f>
        <v>1</v>
      </c>
      <c r="H216" s="37">
        <f>IF(COUNTIFS('📋 Транзакції'!$B$5:$B$3623,A216,'📋 Транзакції'!$C$5:$C$3623,"&gt;="&amp;EDATE(DATEVALUE(C216&amp;"-01"),1),'📋 Транзакції'!$C$5:$C$3623,"&lt;"&amp;EDATE(DATEVALUE(C216&amp;"-01"),2))&gt;0,1,0)</f>
        <v>1</v>
      </c>
      <c r="I216" s="37">
        <f>IF(COUNTIFS('📋 Транзакції'!$B$5:$B$3623,A216,'📋 Транзакції'!$C$5:$C$3623,"&gt;="&amp;EDATE(DATEVALUE(C216&amp;"-01"),2),'📋 Транзакції'!$C$5:$C$3623,"&lt;"&amp;EDATE(DATEVALUE(C216&amp;"-01"),3))&gt;0,1,0)</f>
        <v>0</v>
      </c>
      <c r="J216" s="37">
        <f>IF(COUNTIFS('📋 Транзакції'!$B$5:$B$3623,A216,'📋 Транзакції'!$C$5:$C$3623,"&gt;="&amp;EDATE(DATEVALUE(C216&amp;"-01"),3),'📋 Транзакції'!$C$5:$C$3623,"&lt;"&amp;EDATE(DATEVALUE(C216&amp;"-01"),4))&gt;0,1,0)</f>
        <v>0</v>
      </c>
      <c r="K216" s="37">
        <f>IF(COUNTIFS('📋 Транзакції'!$B$5:$B$3623,A216,'📋 Транзакції'!$C$5:$C$3623,"&gt;="&amp;EDATE(DATEVALUE(C216&amp;"-01"),4),'📋 Транзакції'!$C$5:$C$3623,"&lt;"&amp;EDATE(DATEVALUE(C216&amp;"-01"),5))&gt;0,1,0)</f>
        <v>0</v>
      </c>
      <c r="L216" s="37">
        <f>IF(COUNTIFS('📋 Транзакції'!$B$5:$B$3623,A216,'📋 Транзакції'!$C$5:$C$3623,"&gt;="&amp;EDATE(DATEVALUE(C216&amp;"-01"),5),'📋 Транзакції'!$C$5:$C$3623,"&lt;"&amp;EDATE(DATEVALUE(C216&amp;"-01"),6))&gt;0,1,0)</f>
        <v>0</v>
      </c>
      <c r="M216" s="37">
        <f>IF(COUNTIFS('📋 Транзакції'!$B$5:$B$3623,A216,'📋 Транзакції'!$C$5:$C$3623,"&gt;="&amp;EDATE(DATEVALUE(C216&amp;"-01"),6),'📋 Транзакції'!$C$5:$C$3623,"&lt;"&amp;EDATE(DATEVALUE(C216&amp;"-01"),7))&gt;0,1,0)</f>
        <v>0</v>
      </c>
      <c r="N216" s="37">
        <f>IF(COUNTIFS('📋 Транзакції'!$B$5:$B$3623,A216,'📋 Транзакції'!$C$5:$C$3623,"&gt;="&amp;EDATE(DATEVALUE(C216&amp;"-01"),7),'📋 Транзакції'!$C$5:$C$3623,"&lt;"&amp;EDATE(DATEVALUE(C216&amp;"-01"),8))&gt;0,1,0)</f>
        <v>0</v>
      </c>
      <c r="O216" s="37">
        <f>IF(COUNTIFS('📋 Транзакції'!$B$5:$B$3623,A216,'📋 Транзакції'!$C$5:$C$3623,"&gt;="&amp;EDATE(DATEVALUE(C216&amp;"-01"),8),'📋 Транзакції'!$C$5:$C$3623,"&lt;"&amp;EDATE(DATEVALUE(C216&amp;"-01"),9))&gt;0,1,0)</f>
        <v>0</v>
      </c>
      <c r="P216" s="37">
        <f>IF(COUNTIFS('📋 Транзакції'!$B$5:$B$3623,A216,'📋 Транзакції'!$C$5:$C$3623,"&gt;="&amp;EDATE(DATEVALUE(C216&amp;"-01"),9),'📋 Транзакції'!$C$5:$C$3623,"&lt;"&amp;EDATE(DATEVALUE(C216&amp;"-01"),10))&gt;0,1,0)</f>
        <v>0</v>
      </c>
      <c r="Q216" s="37">
        <f>IF(COUNTIFS('📋 Транзакції'!$B$5:$B$3623,A216,'📋 Транзакції'!$C$5:$C$3623,"&gt;="&amp;EDATE(DATEVALUE(C216&amp;"-01"),10),'📋 Транзакції'!$C$5:$C$3623,"&lt;"&amp;EDATE(DATEVALUE(C216&amp;"-01"),11))&gt;0,1,0)</f>
        <v>0</v>
      </c>
      <c r="R216" s="37">
        <f>IF(COUNTIFS('📋 Транзакції'!$B$5:$B$3623,A216,'📋 Транзакції'!$C$5:$C$3623,"&gt;="&amp;EDATE(DATEVALUE(C216&amp;"-01"),11),'📋 Транзакції'!$C$5:$C$3623,"&lt;"&amp;EDATE(DATEVALUE(C216&amp;"-01"),12))&gt;0,1,0)</f>
        <v>0</v>
      </c>
      <c r="S216" s="37">
        <f>SUMIFS('📋 Транзакції'!$F$5:$F$3623,'📋 Транзакції'!$B$5:$B$3623,A216,'📋 Транзакції'!$C$5:$C$3623,"&gt;="&amp;EDATE(DATEVALUE(C216&amp;"-01"),0),'📋 Транзакції'!$C$5:$C$3623,"&lt;"&amp;EDATE(DATEVALUE(C216&amp;"-01"),1))</f>
        <v>0</v>
      </c>
      <c r="T216" s="37">
        <f>SUMIFS('📋 Транзакції'!$F$5:$F$3623,'📋 Транзакції'!$B$5:$B$3623,A216,'📋 Транзакції'!$C$5:$C$3623,"&gt;="&amp;EDATE(DATEVALUE(C216&amp;"-01"),1),'📋 Транзакції'!$C$5:$C$3623,"&lt;"&amp;EDATE(DATEVALUE(C216&amp;"-01"),2))</f>
        <v>19.99</v>
      </c>
      <c r="U216" s="37">
        <f>SUMIFS('📋 Транзакції'!$F$5:$F$3623,'📋 Транзакції'!$B$5:$B$3623,A216,'📋 Транзакції'!$C$5:$C$3623,"&gt;="&amp;EDATE(DATEVALUE(C216&amp;"-01"),2),'📋 Транзакції'!$C$5:$C$3623,"&lt;"&amp;EDATE(DATEVALUE(C216&amp;"-01"),3))</f>
        <v>0</v>
      </c>
      <c r="V216" s="37">
        <f>SUMIFS('📋 Транзакції'!$F$5:$F$3623,'📋 Транзакції'!$B$5:$B$3623,A216,'📋 Транзакції'!$C$5:$C$3623,"&gt;="&amp;EDATE(DATEVALUE(C216&amp;"-01"),3),'📋 Транзакції'!$C$5:$C$3623,"&lt;"&amp;EDATE(DATEVALUE(C216&amp;"-01"),4))</f>
        <v>0</v>
      </c>
      <c r="W216" s="37">
        <f>SUMIFS('📋 Транзакції'!$F$5:$F$3623,'📋 Транзакції'!$B$5:$B$3623,A216,'📋 Транзакції'!$C$5:$C$3623,"&gt;="&amp;EDATE(DATEVALUE(C216&amp;"-01"),4),'📋 Транзакції'!$C$5:$C$3623,"&lt;"&amp;EDATE(DATEVALUE(C216&amp;"-01"),5))</f>
        <v>0</v>
      </c>
      <c r="X216" s="37">
        <f>SUMIFS('📋 Транзакції'!$F$5:$F$3623,'📋 Транзакції'!$B$5:$B$3623,A216,'📋 Транзакції'!$C$5:$C$3623,"&gt;="&amp;EDATE(DATEVALUE(C216&amp;"-01"),5),'📋 Транзакції'!$C$5:$C$3623,"&lt;"&amp;EDATE(DATEVALUE(C216&amp;"-01"),6))</f>
        <v>0</v>
      </c>
      <c r="Y216" s="37">
        <f>SUMIFS('📋 Транзакції'!$F$5:$F$3623,'📋 Транзакції'!$B$5:$B$3623,A216,'📋 Транзакції'!$C$5:$C$3623,"&gt;="&amp;EDATE(DATEVALUE(C216&amp;"-01"),6),'📋 Транзакції'!$C$5:$C$3623,"&lt;"&amp;EDATE(DATEVALUE(C216&amp;"-01"),7))</f>
        <v>0</v>
      </c>
      <c r="Z216" s="37">
        <f>SUMIFS('📋 Транзакції'!$F$5:$F$3623,'📋 Транзакції'!$B$5:$B$3623,A216,'📋 Транзакції'!$C$5:$C$3623,"&gt;="&amp;EDATE(DATEVALUE(C216&amp;"-01"),7),'📋 Транзакції'!$C$5:$C$3623,"&lt;"&amp;EDATE(DATEVALUE(C216&amp;"-01"),8))</f>
        <v>0</v>
      </c>
      <c r="AA216" s="37">
        <f>SUMIFS('📋 Транзакції'!$F$5:$F$3623,'📋 Транзакції'!$B$5:$B$3623,A216,'📋 Транзакції'!$C$5:$C$3623,"&gt;="&amp;EDATE(DATEVALUE(C216&amp;"-01"),8),'📋 Транзакції'!$C$5:$C$3623,"&lt;"&amp;EDATE(DATEVALUE(C216&amp;"-01"),9))</f>
        <v>0</v>
      </c>
      <c r="AB216" s="37">
        <f>SUMIFS('📋 Транзакції'!$F$5:$F$3623,'📋 Транзакції'!$B$5:$B$3623,A216,'📋 Транзакції'!$C$5:$C$3623,"&gt;="&amp;EDATE(DATEVALUE(C216&amp;"-01"),9),'📋 Транзакції'!$C$5:$C$3623,"&lt;"&amp;EDATE(DATEVALUE(C216&amp;"-01"),10))</f>
        <v>0</v>
      </c>
      <c r="AC216" s="37">
        <f>SUMIFS('📋 Транзакції'!$F$5:$F$3623,'📋 Транзакції'!$B$5:$B$3623,A216,'📋 Транзакції'!$C$5:$C$3623,"&gt;="&amp;EDATE(DATEVALUE(C216&amp;"-01"),10),'📋 Транзакції'!$C$5:$C$3623,"&lt;"&amp;EDATE(DATEVALUE(C216&amp;"-01"),11))</f>
        <v>0</v>
      </c>
      <c r="AD216" s="37">
        <f>SUMIFS('📋 Транзакції'!$F$5:$F$3623,'📋 Транзакції'!$B$5:$B$3623,A216,'📋 Транзакції'!$C$5:$C$3623,"&gt;="&amp;EDATE(DATEVALUE(C216&amp;"-01"),11),'📋 Транзакції'!$C$5:$C$3623,"&lt;"&amp;EDATE(DATEVALUE(C216&amp;"-01"),12))</f>
        <v>0</v>
      </c>
    </row>
    <row r="217" ht="15.75" customHeight="1">
      <c r="A217" s="33" t="str">
        <f>'📋 Реєстрації'!A217:A818</f>
        <v>U0528</v>
      </c>
      <c r="B217" s="34">
        <f t="array" ref="B217">INDEX('📋 Транзакції'!$C$5:$C$3623,MATCH(A217,'📋 Транзакції'!$B$5:$B$3623,0))</f>
        <v>45501</v>
      </c>
      <c r="C217" s="35" t="str">
        <f t="shared" si="1"/>
        <v>2024-07</v>
      </c>
      <c r="D217" s="36">
        <f>COUNTIF('📋 Транзакції'!$B$5:$B$3623,A217)</f>
        <v>9</v>
      </c>
      <c r="E217" s="36">
        <f>SUMIF('📋 Транзакції'!$B$5:$B$3623,A217,'📋 Транзакції'!$F$5:$F$3623)</f>
        <v>159.92</v>
      </c>
      <c r="F217" s="35">
        <f>INT($A$1-MAXIFS('📋 Транзакції'!$C$5:$C$3623,'📋 Транзакції'!$B$5:$B$3623,A217))</f>
        <v>29</v>
      </c>
      <c r="G217" s="37">
        <f>IF(COUNTIFS('📋 Транзакції'!$B$5:$B$3623,A217,'📋 Транзакції'!$C$5:$C$3623,"&gt;="&amp;EDATE(DATEVALUE(C217&amp;"-01"),0),'📋 Транзакції'!$C$5:$C$3623,"&lt;"&amp;EDATE(DATEVALUE(C217&amp;"-01"),1))&gt;0,1,0)</f>
        <v>1</v>
      </c>
      <c r="H217" s="37">
        <f>IF(COUNTIFS('📋 Транзакції'!$B$5:$B$3623,A217,'📋 Транзакції'!$C$5:$C$3623,"&gt;="&amp;EDATE(DATEVALUE(C217&amp;"-01"),1),'📋 Транзакції'!$C$5:$C$3623,"&lt;"&amp;EDATE(DATEVALUE(C217&amp;"-01"),2))&gt;0,1,0)</f>
        <v>1</v>
      </c>
      <c r="I217" s="37">
        <f>IF(COUNTIFS('📋 Транзакції'!$B$5:$B$3623,A217,'📋 Транзакції'!$C$5:$C$3623,"&gt;="&amp;EDATE(DATEVALUE(C217&amp;"-01"),2),'📋 Транзакції'!$C$5:$C$3623,"&lt;"&amp;EDATE(DATEVALUE(C217&amp;"-01"),3))&gt;0,1,0)</f>
        <v>1</v>
      </c>
      <c r="J217" s="37">
        <f>IF(COUNTIFS('📋 Транзакції'!$B$5:$B$3623,A217,'📋 Транзакції'!$C$5:$C$3623,"&gt;="&amp;EDATE(DATEVALUE(C217&amp;"-01"),3),'📋 Транзакції'!$C$5:$C$3623,"&lt;"&amp;EDATE(DATEVALUE(C217&amp;"-01"),4))&gt;0,1,0)</f>
        <v>1</v>
      </c>
      <c r="K217" s="37">
        <f>IF(COUNTIFS('📋 Транзакції'!$B$5:$B$3623,A217,'📋 Транзакції'!$C$5:$C$3623,"&gt;="&amp;EDATE(DATEVALUE(C217&amp;"-01"),4),'📋 Транзакції'!$C$5:$C$3623,"&lt;"&amp;EDATE(DATEVALUE(C217&amp;"-01"),5))&gt;0,1,0)</f>
        <v>1</v>
      </c>
      <c r="L217" s="37">
        <f>IF(COUNTIFS('📋 Транзакції'!$B$5:$B$3623,A217,'📋 Транзакції'!$C$5:$C$3623,"&gt;="&amp;EDATE(DATEVALUE(C217&amp;"-01"),5),'📋 Транзакції'!$C$5:$C$3623,"&lt;"&amp;EDATE(DATEVALUE(C217&amp;"-01"),6))&gt;0,1,0)</f>
        <v>1</v>
      </c>
      <c r="M217" s="37">
        <f>IF(COUNTIFS('📋 Транзакції'!$B$5:$B$3623,A217,'📋 Транзакції'!$C$5:$C$3623,"&gt;="&amp;EDATE(DATEVALUE(C217&amp;"-01"),6),'📋 Транзакції'!$C$5:$C$3623,"&lt;"&amp;EDATE(DATEVALUE(C217&amp;"-01"),7))&gt;0,1,0)</f>
        <v>1</v>
      </c>
      <c r="N217" s="37">
        <f>IF(COUNTIFS('📋 Транзакції'!$B$5:$B$3623,A217,'📋 Транзакції'!$C$5:$C$3623,"&gt;="&amp;EDATE(DATEVALUE(C217&amp;"-01"),7),'📋 Транзакції'!$C$5:$C$3623,"&lt;"&amp;EDATE(DATEVALUE(C217&amp;"-01"),8))&gt;0,1,0)</f>
        <v>0</v>
      </c>
      <c r="O217" s="37">
        <f>IF(COUNTIFS('📋 Транзакції'!$B$5:$B$3623,A217,'📋 Транзакції'!$C$5:$C$3623,"&gt;="&amp;EDATE(DATEVALUE(C217&amp;"-01"),8),'📋 Транзакції'!$C$5:$C$3623,"&lt;"&amp;EDATE(DATEVALUE(C217&amp;"-01"),9))&gt;0,1,0)</f>
        <v>1</v>
      </c>
      <c r="P217" s="37">
        <f>IF(COUNTIFS('📋 Транзакції'!$B$5:$B$3623,A217,'📋 Транзакції'!$C$5:$C$3623,"&gt;="&amp;EDATE(DATEVALUE(C217&amp;"-01"),9),'📋 Транзакції'!$C$5:$C$3623,"&lt;"&amp;EDATE(DATEVALUE(C217&amp;"-01"),10))&gt;0,1,0)</f>
        <v>0</v>
      </c>
      <c r="Q217" s="37">
        <f>IF(COUNTIFS('📋 Транзакції'!$B$5:$B$3623,A217,'📋 Транзакції'!$C$5:$C$3623,"&gt;="&amp;EDATE(DATEVALUE(C217&amp;"-01"),10),'📋 Транзакції'!$C$5:$C$3623,"&lt;"&amp;EDATE(DATEVALUE(C217&amp;"-01"),11))&gt;0,1,0)</f>
        <v>0</v>
      </c>
      <c r="R217" s="37">
        <f>IF(COUNTIFS('📋 Транзакції'!$B$5:$B$3623,A217,'📋 Транзакції'!$C$5:$C$3623,"&gt;="&amp;EDATE(DATEVALUE(C217&amp;"-01"),11),'📋 Транзакції'!$C$5:$C$3623,"&lt;"&amp;EDATE(DATEVALUE(C217&amp;"-01"),12))&gt;0,1,0)</f>
        <v>0</v>
      </c>
      <c r="S217" s="37">
        <f>SUMIFS('📋 Транзакції'!$F$5:$F$3623,'📋 Транзакції'!$B$5:$B$3623,A217,'📋 Транзакції'!$C$5:$C$3623,"&gt;="&amp;EDATE(DATEVALUE(C217&amp;"-01"),0),'📋 Транзакції'!$C$5:$C$3623,"&lt;"&amp;EDATE(DATEVALUE(C217&amp;"-01"),1))</f>
        <v>0</v>
      </c>
      <c r="T217" s="37">
        <f>SUMIFS('📋 Транзакції'!$F$5:$F$3623,'📋 Транзакції'!$B$5:$B$3623,A217,'📋 Транзакції'!$C$5:$C$3623,"&gt;="&amp;EDATE(DATEVALUE(C217&amp;"-01"),1),'📋 Транзакції'!$C$5:$C$3623,"&lt;"&amp;EDATE(DATEVALUE(C217&amp;"-01"),2))</f>
        <v>19.99</v>
      </c>
      <c r="U217" s="37">
        <f>SUMIFS('📋 Транзакції'!$F$5:$F$3623,'📋 Транзакції'!$B$5:$B$3623,A217,'📋 Транзакції'!$C$5:$C$3623,"&gt;="&amp;EDATE(DATEVALUE(C217&amp;"-01"),2),'📋 Транзакції'!$C$5:$C$3623,"&lt;"&amp;EDATE(DATEVALUE(C217&amp;"-01"),3))</f>
        <v>19.99</v>
      </c>
      <c r="V217" s="37">
        <f>SUMIFS('📋 Транзакції'!$F$5:$F$3623,'📋 Транзакції'!$B$5:$B$3623,A217,'📋 Транзакції'!$C$5:$C$3623,"&gt;="&amp;EDATE(DATEVALUE(C217&amp;"-01"),3),'📋 Транзакції'!$C$5:$C$3623,"&lt;"&amp;EDATE(DATEVALUE(C217&amp;"-01"),4))</f>
        <v>19.99</v>
      </c>
      <c r="W217" s="37">
        <f>SUMIFS('📋 Транзакції'!$F$5:$F$3623,'📋 Транзакції'!$B$5:$B$3623,A217,'📋 Транзакції'!$C$5:$C$3623,"&gt;="&amp;EDATE(DATEVALUE(C217&amp;"-01"),4),'📋 Транзакції'!$C$5:$C$3623,"&lt;"&amp;EDATE(DATEVALUE(C217&amp;"-01"),5))</f>
        <v>19.99</v>
      </c>
      <c r="X217" s="37">
        <f>SUMIFS('📋 Транзакції'!$F$5:$F$3623,'📋 Транзакції'!$B$5:$B$3623,A217,'📋 Транзакції'!$C$5:$C$3623,"&gt;="&amp;EDATE(DATEVALUE(C217&amp;"-01"),5),'📋 Транзакції'!$C$5:$C$3623,"&lt;"&amp;EDATE(DATEVALUE(C217&amp;"-01"),6))</f>
        <v>19.99</v>
      </c>
      <c r="Y217" s="37">
        <f>SUMIFS('📋 Транзакції'!$F$5:$F$3623,'📋 Транзакції'!$B$5:$B$3623,A217,'📋 Транзакції'!$C$5:$C$3623,"&gt;="&amp;EDATE(DATEVALUE(C217&amp;"-01"),6),'📋 Транзакції'!$C$5:$C$3623,"&lt;"&amp;EDATE(DATEVALUE(C217&amp;"-01"),7))</f>
        <v>39.98</v>
      </c>
      <c r="Z217" s="37">
        <f>SUMIFS('📋 Транзакції'!$F$5:$F$3623,'📋 Транзакції'!$B$5:$B$3623,A217,'📋 Транзакції'!$C$5:$C$3623,"&gt;="&amp;EDATE(DATEVALUE(C217&amp;"-01"),7),'📋 Транзакції'!$C$5:$C$3623,"&lt;"&amp;EDATE(DATEVALUE(C217&amp;"-01"),8))</f>
        <v>0</v>
      </c>
      <c r="AA217" s="37">
        <f>SUMIFS('📋 Транзакції'!$F$5:$F$3623,'📋 Транзакції'!$B$5:$B$3623,A217,'📋 Транзакції'!$C$5:$C$3623,"&gt;="&amp;EDATE(DATEVALUE(C217&amp;"-01"),8),'📋 Транзакції'!$C$5:$C$3623,"&lt;"&amp;EDATE(DATEVALUE(C217&amp;"-01"),9))</f>
        <v>19.99</v>
      </c>
      <c r="AB217" s="37">
        <f>SUMIFS('📋 Транзакції'!$F$5:$F$3623,'📋 Транзакції'!$B$5:$B$3623,A217,'📋 Транзакції'!$C$5:$C$3623,"&gt;="&amp;EDATE(DATEVALUE(C217&amp;"-01"),9),'📋 Транзакції'!$C$5:$C$3623,"&lt;"&amp;EDATE(DATEVALUE(C217&amp;"-01"),10))</f>
        <v>0</v>
      </c>
      <c r="AC217" s="37">
        <f>SUMIFS('📋 Транзакції'!$F$5:$F$3623,'📋 Транзакції'!$B$5:$B$3623,A217,'📋 Транзакції'!$C$5:$C$3623,"&gt;="&amp;EDATE(DATEVALUE(C217&amp;"-01"),10),'📋 Транзакції'!$C$5:$C$3623,"&lt;"&amp;EDATE(DATEVALUE(C217&amp;"-01"),11))</f>
        <v>0</v>
      </c>
      <c r="AD217" s="37">
        <f>SUMIFS('📋 Транзакції'!$F$5:$F$3623,'📋 Транзакції'!$B$5:$B$3623,A217,'📋 Транзакції'!$C$5:$C$3623,"&gt;="&amp;EDATE(DATEVALUE(C217&amp;"-01"),11),'📋 Транзакції'!$C$5:$C$3623,"&lt;"&amp;EDATE(DATEVALUE(C217&amp;"-01"),12))</f>
        <v>0</v>
      </c>
    </row>
    <row r="218" ht="15.75" customHeight="1">
      <c r="A218" s="33" t="str">
        <f>'📋 Реєстрації'!A218:A819</f>
        <v>U0670</v>
      </c>
      <c r="B218" s="34">
        <f t="array" ref="B218">INDEX('📋 Транзакції'!$C$5:$C$3623,MATCH(A218,'📋 Транзакції'!$B$5:$B$3623,0))</f>
        <v>45501</v>
      </c>
      <c r="C218" s="35" t="str">
        <f t="shared" si="1"/>
        <v>2024-07</v>
      </c>
      <c r="D218" s="36">
        <f>COUNTIF('📋 Транзакції'!$B$5:$B$3623,A218)</f>
        <v>9</v>
      </c>
      <c r="E218" s="36">
        <f>SUMIF('📋 Транзакції'!$B$5:$B$3623,A218,'📋 Транзакції'!$F$5:$F$3623)</f>
        <v>159.92</v>
      </c>
      <c r="F218" s="35">
        <f>INT($A$1-MAXIFS('📋 Транзакції'!$C$5:$C$3623,'📋 Транзакції'!$B$5:$B$3623,A218))</f>
        <v>29</v>
      </c>
      <c r="G218" s="37">
        <f>IF(COUNTIFS('📋 Транзакції'!$B$5:$B$3623,A218,'📋 Транзакції'!$C$5:$C$3623,"&gt;="&amp;EDATE(DATEVALUE(C218&amp;"-01"),0),'📋 Транзакції'!$C$5:$C$3623,"&lt;"&amp;EDATE(DATEVALUE(C218&amp;"-01"),1))&gt;0,1,0)</f>
        <v>1</v>
      </c>
      <c r="H218" s="37">
        <f>IF(COUNTIFS('📋 Транзакції'!$B$5:$B$3623,A218,'📋 Транзакції'!$C$5:$C$3623,"&gt;="&amp;EDATE(DATEVALUE(C218&amp;"-01"),1),'📋 Транзакції'!$C$5:$C$3623,"&lt;"&amp;EDATE(DATEVALUE(C218&amp;"-01"),2))&gt;0,1,0)</f>
        <v>1</v>
      </c>
      <c r="I218" s="37">
        <f>IF(COUNTIFS('📋 Транзакції'!$B$5:$B$3623,A218,'📋 Транзакції'!$C$5:$C$3623,"&gt;="&amp;EDATE(DATEVALUE(C218&amp;"-01"),2),'📋 Транзакції'!$C$5:$C$3623,"&lt;"&amp;EDATE(DATEVALUE(C218&amp;"-01"),3))&gt;0,1,0)</f>
        <v>1</v>
      </c>
      <c r="J218" s="37">
        <f>IF(COUNTIFS('📋 Транзакції'!$B$5:$B$3623,A218,'📋 Транзакції'!$C$5:$C$3623,"&gt;="&amp;EDATE(DATEVALUE(C218&amp;"-01"),3),'📋 Транзакції'!$C$5:$C$3623,"&lt;"&amp;EDATE(DATEVALUE(C218&amp;"-01"),4))&gt;0,1,0)</f>
        <v>1</v>
      </c>
      <c r="K218" s="37">
        <f>IF(COUNTIFS('📋 Транзакції'!$B$5:$B$3623,A218,'📋 Транзакції'!$C$5:$C$3623,"&gt;="&amp;EDATE(DATEVALUE(C218&amp;"-01"),4),'📋 Транзакції'!$C$5:$C$3623,"&lt;"&amp;EDATE(DATEVALUE(C218&amp;"-01"),5))&gt;0,1,0)</f>
        <v>1</v>
      </c>
      <c r="L218" s="37">
        <f>IF(COUNTIFS('📋 Транзакції'!$B$5:$B$3623,A218,'📋 Транзакції'!$C$5:$C$3623,"&gt;="&amp;EDATE(DATEVALUE(C218&amp;"-01"),5),'📋 Транзакції'!$C$5:$C$3623,"&lt;"&amp;EDATE(DATEVALUE(C218&amp;"-01"),6))&gt;0,1,0)</f>
        <v>1</v>
      </c>
      <c r="M218" s="37">
        <f>IF(COUNTIFS('📋 Транзакції'!$B$5:$B$3623,A218,'📋 Транзакції'!$C$5:$C$3623,"&gt;="&amp;EDATE(DATEVALUE(C218&amp;"-01"),6),'📋 Транзакції'!$C$5:$C$3623,"&lt;"&amp;EDATE(DATEVALUE(C218&amp;"-01"),7))&gt;0,1,0)</f>
        <v>1</v>
      </c>
      <c r="N218" s="37">
        <f>IF(COUNTIFS('📋 Транзакції'!$B$5:$B$3623,A218,'📋 Транзакції'!$C$5:$C$3623,"&gt;="&amp;EDATE(DATEVALUE(C218&amp;"-01"),7),'📋 Транзакції'!$C$5:$C$3623,"&lt;"&amp;EDATE(DATEVALUE(C218&amp;"-01"),8))&gt;0,1,0)</f>
        <v>0</v>
      </c>
      <c r="O218" s="37">
        <f>IF(COUNTIFS('📋 Транзакції'!$B$5:$B$3623,A218,'📋 Транзакції'!$C$5:$C$3623,"&gt;="&amp;EDATE(DATEVALUE(C218&amp;"-01"),8),'📋 Транзакції'!$C$5:$C$3623,"&lt;"&amp;EDATE(DATEVALUE(C218&amp;"-01"),9))&gt;0,1,0)</f>
        <v>1</v>
      </c>
      <c r="P218" s="37">
        <f>IF(COUNTIFS('📋 Транзакції'!$B$5:$B$3623,A218,'📋 Транзакції'!$C$5:$C$3623,"&gt;="&amp;EDATE(DATEVALUE(C218&amp;"-01"),9),'📋 Транзакції'!$C$5:$C$3623,"&lt;"&amp;EDATE(DATEVALUE(C218&amp;"-01"),10))&gt;0,1,0)</f>
        <v>0</v>
      </c>
      <c r="Q218" s="37">
        <f>IF(COUNTIFS('📋 Транзакції'!$B$5:$B$3623,A218,'📋 Транзакції'!$C$5:$C$3623,"&gt;="&amp;EDATE(DATEVALUE(C218&amp;"-01"),10),'📋 Транзакції'!$C$5:$C$3623,"&lt;"&amp;EDATE(DATEVALUE(C218&amp;"-01"),11))&gt;0,1,0)</f>
        <v>0</v>
      </c>
      <c r="R218" s="37">
        <f>IF(COUNTIFS('📋 Транзакції'!$B$5:$B$3623,A218,'📋 Транзакції'!$C$5:$C$3623,"&gt;="&amp;EDATE(DATEVALUE(C218&amp;"-01"),11),'📋 Транзакції'!$C$5:$C$3623,"&lt;"&amp;EDATE(DATEVALUE(C218&amp;"-01"),12))&gt;0,1,0)</f>
        <v>0</v>
      </c>
      <c r="S218" s="37">
        <f>SUMIFS('📋 Транзакції'!$F$5:$F$3623,'📋 Транзакції'!$B$5:$B$3623,A218,'📋 Транзакції'!$C$5:$C$3623,"&gt;="&amp;EDATE(DATEVALUE(C218&amp;"-01"),0),'📋 Транзакції'!$C$5:$C$3623,"&lt;"&amp;EDATE(DATEVALUE(C218&amp;"-01"),1))</f>
        <v>0</v>
      </c>
      <c r="T218" s="37">
        <f>SUMIFS('📋 Транзакції'!$F$5:$F$3623,'📋 Транзакції'!$B$5:$B$3623,A218,'📋 Транзакції'!$C$5:$C$3623,"&gt;="&amp;EDATE(DATEVALUE(C218&amp;"-01"),1),'📋 Транзакції'!$C$5:$C$3623,"&lt;"&amp;EDATE(DATEVALUE(C218&amp;"-01"),2))</f>
        <v>19.99</v>
      </c>
      <c r="U218" s="37">
        <f>SUMIFS('📋 Транзакції'!$F$5:$F$3623,'📋 Транзакції'!$B$5:$B$3623,A218,'📋 Транзакції'!$C$5:$C$3623,"&gt;="&amp;EDATE(DATEVALUE(C218&amp;"-01"),2),'📋 Транзакції'!$C$5:$C$3623,"&lt;"&amp;EDATE(DATEVALUE(C218&amp;"-01"),3))</f>
        <v>19.99</v>
      </c>
      <c r="V218" s="37">
        <f>SUMIFS('📋 Транзакції'!$F$5:$F$3623,'📋 Транзакції'!$B$5:$B$3623,A218,'📋 Транзакції'!$C$5:$C$3623,"&gt;="&amp;EDATE(DATEVALUE(C218&amp;"-01"),3),'📋 Транзакції'!$C$5:$C$3623,"&lt;"&amp;EDATE(DATEVALUE(C218&amp;"-01"),4))</f>
        <v>19.99</v>
      </c>
      <c r="W218" s="37">
        <f>SUMIFS('📋 Транзакції'!$F$5:$F$3623,'📋 Транзакції'!$B$5:$B$3623,A218,'📋 Транзакції'!$C$5:$C$3623,"&gt;="&amp;EDATE(DATEVALUE(C218&amp;"-01"),4),'📋 Транзакції'!$C$5:$C$3623,"&lt;"&amp;EDATE(DATEVALUE(C218&amp;"-01"),5))</f>
        <v>19.99</v>
      </c>
      <c r="X218" s="37">
        <f>SUMIFS('📋 Транзакції'!$F$5:$F$3623,'📋 Транзакції'!$B$5:$B$3623,A218,'📋 Транзакції'!$C$5:$C$3623,"&gt;="&amp;EDATE(DATEVALUE(C218&amp;"-01"),5),'📋 Транзакції'!$C$5:$C$3623,"&lt;"&amp;EDATE(DATEVALUE(C218&amp;"-01"),6))</f>
        <v>19.99</v>
      </c>
      <c r="Y218" s="37">
        <f>SUMIFS('📋 Транзакції'!$F$5:$F$3623,'📋 Транзакції'!$B$5:$B$3623,A218,'📋 Транзакції'!$C$5:$C$3623,"&gt;="&amp;EDATE(DATEVALUE(C218&amp;"-01"),6),'📋 Транзакції'!$C$5:$C$3623,"&lt;"&amp;EDATE(DATEVALUE(C218&amp;"-01"),7))</f>
        <v>39.98</v>
      </c>
      <c r="Z218" s="37">
        <f>SUMIFS('📋 Транзакції'!$F$5:$F$3623,'📋 Транзакції'!$B$5:$B$3623,A218,'📋 Транзакції'!$C$5:$C$3623,"&gt;="&amp;EDATE(DATEVALUE(C218&amp;"-01"),7),'📋 Транзакції'!$C$5:$C$3623,"&lt;"&amp;EDATE(DATEVALUE(C218&amp;"-01"),8))</f>
        <v>0</v>
      </c>
      <c r="AA218" s="37">
        <f>SUMIFS('📋 Транзакції'!$F$5:$F$3623,'📋 Транзакції'!$B$5:$B$3623,A218,'📋 Транзакції'!$C$5:$C$3623,"&gt;="&amp;EDATE(DATEVALUE(C218&amp;"-01"),8),'📋 Транзакції'!$C$5:$C$3623,"&lt;"&amp;EDATE(DATEVALUE(C218&amp;"-01"),9))</f>
        <v>19.99</v>
      </c>
      <c r="AB218" s="37">
        <f>SUMIFS('📋 Транзакції'!$F$5:$F$3623,'📋 Транзакції'!$B$5:$B$3623,A218,'📋 Транзакції'!$C$5:$C$3623,"&gt;="&amp;EDATE(DATEVALUE(C218&amp;"-01"),9),'📋 Транзакції'!$C$5:$C$3623,"&lt;"&amp;EDATE(DATEVALUE(C218&amp;"-01"),10))</f>
        <v>0</v>
      </c>
      <c r="AC218" s="37">
        <f>SUMIFS('📋 Транзакції'!$F$5:$F$3623,'📋 Транзакції'!$B$5:$B$3623,A218,'📋 Транзакції'!$C$5:$C$3623,"&gt;="&amp;EDATE(DATEVALUE(C218&amp;"-01"),10),'📋 Транзакції'!$C$5:$C$3623,"&lt;"&amp;EDATE(DATEVALUE(C218&amp;"-01"),11))</f>
        <v>0</v>
      </c>
      <c r="AD218" s="37">
        <f>SUMIFS('📋 Транзакції'!$F$5:$F$3623,'📋 Транзакції'!$B$5:$B$3623,A218,'📋 Транзакції'!$C$5:$C$3623,"&gt;="&amp;EDATE(DATEVALUE(C218&amp;"-01"),11),'📋 Транзакції'!$C$5:$C$3623,"&lt;"&amp;EDATE(DATEVALUE(C218&amp;"-01"),12))</f>
        <v>0</v>
      </c>
    </row>
    <row r="219" ht="15.75" customHeight="1">
      <c r="A219" s="33" t="str">
        <f>'📋 Реєстрації'!A219:A820</f>
        <v>U0020</v>
      </c>
      <c r="B219" s="34">
        <f t="array" ref="B219">INDEX('📋 Транзакції'!$C$5:$C$3623,MATCH(A219,'📋 Транзакції'!$B$5:$B$3623,0))</f>
        <v>45502</v>
      </c>
      <c r="C219" s="35" t="str">
        <f t="shared" si="1"/>
        <v>2024-07</v>
      </c>
      <c r="D219" s="36">
        <f>COUNTIF('📋 Транзакції'!$B$5:$B$3623,A219)</f>
        <v>2</v>
      </c>
      <c r="E219" s="36">
        <f>SUMIF('📋 Транзакції'!$B$5:$B$3623,A219,'📋 Транзакції'!$F$5:$F$3623)</f>
        <v>19.99</v>
      </c>
      <c r="F219" s="35">
        <f>INT($A$1-MAXIFS('📋 Транзакції'!$C$5:$C$3623,'📋 Транзакції'!$B$5:$B$3623,A219))</f>
        <v>238</v>
      </c>
      <c r="G219" s="37">
        <f>IF(COUNTIFS('📋 Транзакції'!$B$5:$B$3623,A219,'📋 Транзакції'!$C$5:$C$3623,"&gt;="&amp;EDATE(DATEVALUE(C219&amp;"-01"),0),'📋 Транзакції'!$C$5:$C$3623,"&lt;"&amp;EDATE(DATEVALUE(C219&amp;"-01"),1))&gt;0,1,0)</f>
        <v>1</v>
      </c>
      <c r="H219" s="37">
        <f>IF(COUNTIFS('📋 Транзакції'!$B$5:$B$3623,A219,'📋 Транзакції'!$C$5:$C$3623,"&gt;="&amp;EDATE(DATEVALUE(C219&amp;"-01"),1),'📋 Транзакції'!$C$5:$C$3623,"&lt;"&amp;EDATE(DATEVALUE(C219&amp;"-01"),2))&gt;0,1,0)</f>
        <v>1</v>
      </c>
      <c r="I219" s="37">
        <f>IF(COUNTIFS('📋 Транзакції'!$B$5:$B$3623,A219,'📋 Транзакції'!$C$5:$C$3623,"&gt;="&amp;EDATE(DATEVALUE(C219&amp;"-01"),2),'📋 Транзакції'!$C$5:$C$3623,"&lt;"&amp;EDATE(DATEVALUE(C219&amp;"-01"),3))&gt;0,1,0)</f>
        <v>0</v>
      </c>
      <c r="J219" s="37">
        <f>IF(COUNTIFS('📋 Транзакції'!$B$5:$B$3623,A219,'📋 Транзакції'!$C$5:$C$3623,"&gt;="&amp;EDATE(DATEVALUE(C219&amp;"-01"),3),'📋 Транзакції'!$C$5:$C$3623,"&lt;"&amp;EDATE(DATEVALUE(C219&amp;"-01"),4))&gt;0,1,0)</f>
        <v>0</v>
      </c>
      <c r="K219" s="37">
        <f>IF(COUNTIFS('📋 Транзакції'!$B$5:$B$3623,A219,'📋 Транзакції'!$C$5:$C$3623,"&gt;="&amp;EDATE(DATEVALUE(C219&amp;"-01"),4),'📋 Транзакції'!$C$5:$C$3623,"&lt;"&amp;EDATE(DATEVALUE(C219&amp;"-01"),5))&gt;0,1,0)</f>
        <v>0</v>
      </c>
      <c r="L219" s="37">
        <f>IF(COUNTIFS('📋 Транзакції'!$B$5:$B$3623,A219,'📋 Транзакції'!$C$5:$C$3623,"&gt;="&amp;EDATE(DATEVALUE(C219&amp;"-01"),5),'📋 Транзакції'!$C$5:$C$3623,"&lt;"&amp;EDATE(DATEVALUE(C219&amp;"-01"),6))&gt;0,1,0)</f>
        <v>0</v>
      </c>
      <c r="M219" s="37">
        <f>IF(COUNTIFS('📋 Транзакції'!$B$5:$B$3623,A219,'📋 Транзакції'!$C$5:$C$3623,"&gt;="&amp;EDATE(DATEVALUE(C219&amp;"-01"),6),'📋 Транзакції'!$C$5:$C$3623,"&lt;"&amp;EDATE(DATEVALUE(C219&amp;"-01"),7))&gt;0,1,0)</f>
        <v>0</v>
      </c>
      <c r="N219" s="37">
        <f>IF(COUNTIFS('📋 Транзакції'!$B$5:$B$3623,A219,'📋 Транзакції'!$C$5:$C$3623,"&gt;="&amp;EDATE(DATEVALUE(C219&amp;"-01"),7),'📋 Транзакції'!$C$5:$C$3623,"&lt;"&amp;EDATE(DATEVALUE(C219&amp;"-01"),8))&gt;0,1,0)</f>
        <v>0</v>
      </c>
      <c r="O219" s="37">
        <f>IF(COUNTIFS('📋 Транзакції'!$B$5:$B$3623,A219,'📋 Транзакції'!$C$5:$C$3623,"&gt;="&amp;EDATE(DATEVALUE(C219&amp;"-01"),8),'📋 Транзакції'!$C$5:$C$3623,"&lt;"&amp;EDATE(DATEVALUE(C219&amp;"-01"),9))&gt;0,1,0)</f>
        <v>0</v>
      </c>
      <c r="P219" s="37">
        <f>IF(COUNTIFS('📋 Транзакції'!$B$5:$B$3623,A219,'📋 Транзакції'!$C$5:$C$3623,"&gt;="&amp;EDATE(DATEVALUE(C219&amp;"-01"),9),'📋 Транзакції'!$C$5:$C$3623,"&lt;"&amp;EDATE(DATEVALUE(C219&amp;"-01"),10))&gt;0,1,0)</f>
        <v>0</v>
      </c>
      <c r="Q219" s="37">
        <f>IF(COUNTIFS('📋 Транзакції'!$B$5:$B$3623,A219,'📋 Транзакції'!$C$5:$C$3623,"&gt;="&amp;EDATE(DATEVALUE(C219&amp;"-01"),10),'📋 Транзакції'!$C$5:$C$3623,"&lt;"&amp;EDATE(DATEVALUE(C219&amp;"-01"),11))&gt;0,1,0)</f>
        <v>0</v>
      </c>
      <c r="R219" s="37">
        <f>IF(COUNTIFS('📋 Транзакції'!$B$5:$B$3623,A219,'📋 Транзакції'!$C$5:$C$3623,"&gt;="&amp;EDATE(DATEVALUE(C219&amp;"-01"),11),'📋 Транзакції'!$C$5:$C$3623,"&lt;"&amp;EDATE(DATEVALUE(C219&amp;"-01"),12))&gt;0,1,0)</f>
        <v>0</v>
      </c>
      <c r="S219" s="37">
        <f>SUMIFS('📋 Транзакції'!$F$5:$F$3623,'📋 Транзакції'!$B$5:$B$3623,A219,'📋 Транзакції'!$C$5:$C$3623,"&gt;="&amp;EDATE(DATEVALUE(C219&amp;"-01"),0),'📋 Транзакції'!$C$5:$C$3623,"&lt;"&amp;EDATE(DATEVALUE(C219&amp;"-01"),1))</f>
        <v>0</v>
      </c>
      <c r="T219" s="37">
        <f>SUMIFS('📋 Транзакції'!$F$5:$F$3623,'📋 Транзакції'!$B$5:$B$3623,A219,'📋 Транзакції'!$C$5:$C$3623,"&gt;="&amp;EDATE(DATEVALUE(C219&amp;"-01"),1),'📋 Транзакції'!$C$5:$C$3623,"&lt;"&amp;EDATE(DATEVALUE(C219&amp;"-01"),2))</f>
        <v>19.99</v>
      </c>
      <c r="U219" s="37">
        <f>SUMIFS('📋 Транзакції'!$F$5:$F$3623,'📋 Транзакції'!$B$5:$B$3623,A219,'📋 Транзакції'!$C$5:$C$3623,"&gt;="&amp;EDATE(DATEVALUE(C219&amp;"-01"),2),'📋 Транзакції'!$C$5:$C$3623,"&lt;"&amp;EDATE(DATEVALUE(C219&amp;"-01"),3))</f>
        <v>0</v>
      </c>
      <c r="V219" s="37">
        <f>SUMIFS('📋 Транзакції'!$F$5:$F$3623,'📋 Транзакції'!$B$5:$B$3623,A219,'📋 Транзакції'!$C$5:$C$3623,"&gt;="&amp;EDATE(DATEVALUE(C219&amp;"-01"),3),'📋 Транзакції'!$C$5:$C$3623,"&lt;"&amp;EDATE(DATEVALUE(C219&amp;"-01"),4))</f>
        <v>0</v>
      </c>
      <c r="W219" s="37">
        <f>SUMIFS('📋 Транзакції'!$F$5:$F$3623,'📋 Транзакції'!$B$5:$B$3623,A219,'📋 Транзакції'!$C$5:$C$3623,"&gt;="&amp;EDATE(DATEVALUE(C219&amp;"-01"),4),'📋 Транзакції'!$C$5:$C$3623,"&lt;"&amp;EDATE(DATEVALUE(C219&amp;"-01"),5))</f>
        <v>0</v>
      </c>
      <c r="X219" s="37">
        <f>SUMIFS('📋 Транзакції'!$F$5:$F$3623,'📋 Транзакції'!$B$5:$B$3623,A219,'📋 Транзакції'!$C$5:$C$3623,"&gt;="&amp;EDATE(DATEVALUE(C219&amp;"-01"),5),'📋 Транзакції'!$C$5:$C$3623,"&lt;"&amp;EDATE(DATEVALUE(C219&amp;"-01"),6))</f>
        <v>0</v>
      </c>
      <c r="Y219" s="37">
        <f>SUMIFS('📋 Транзакції'!$F$5:$F$3623,'📋 Транзакції'!$B$5:$B$3623,A219,'📋 Транзакції'!$C$5:$C$3623,"&gt;="&amp;EDATE(DATEVALUE(C219&amp;"-01"),6),'📋 Транзакції'!$C$5:$C$3623,"&lt;"&amp;EDATE(DATEVALUE(C219&amp;"-01"),7))</f>
        <v>0</v>
      </c>
      <c r="Z219" s="37">
        <f>SUMIFS('📋 Транзакції'!$F$5:$F$3623,'📋 Транзакції'!$B$5:$B$3623,A219,'📋 Транзакції'!$C$5:$C$3623,"&gt;="&amp;EDATE(DATEVALUE(C219&amp;"-01"),7),'📋 Транзакції'!$C$5:$C$3623,"&lt;"&amp;EDATE(DATEVALUE(C219&amp;"-01"),8))</f>
        <v>0</v>
      </c>
      <c r="AA219" s="37">
        <f>SUMIFS('📋 Транзакції'!$F$5:$F$3623,'📋 Транзакції'!$B$5:$B$3623,A219,'📋 Транзакції'!$C$5:$C$3623,"&gt;="&amp;EDATE(DATEVALUE(C219&amp;"-01"),8),'📋 Транзакції'!$C$5:$C$3623,"&lt;"&amp;EDATE(DATEVALUE(C219&amp;"-01"),9))</f>
        <v>0</v>
      </c>
      <c r="AB219" s="37">
        <f>SUMIFS('📋 Транзакції'!$F$5:$F$3623,'📋 Транзакції'!$B$5:$B$3623,A219,'📋 Транзакції'!$C$5:$C$3623,"&gt;="&amp;EDATE(DATEVALUE(C219&amp;"-01"),9),'📋 Транзакції'!$C$5:$C$3623,"&lt;"&amp;EDATE(DATEVALUE(C219&amp;"-01"),10))</f>
        <v>0</v>
      </c>
      <c r="AC219" s="37">
        <f>SUMIFS('📋 Транзакції'!$F$5:$F$3623,'📋 Транзакції'!$B$5:$B$3623,A219,'📋 Транзакції'!$C$5:$C$3623,"&gt;="&amp;EDATE(DATEVALUE(C219&amp;"-01"),10),'📋 Транзакції'!$C$5:$C$3623,"&lt;"&amp;EDATE(DATEVALUE(C219&amp;"-01"),11))</f>
        <v>0</v>
      </c>
      <c r="AD219" s="37">
        <f>SUMIFS('📋 Транзакції'!$F$5:$F$3623,'📋 Транзакції'!$B$5:$B$3623,A219,'📋 Транзакції'!$C$5:$C$3623,"&gt;="&amp;EDATE(DATEVALUE(C219&amp;"-01"),11),'📋 Транзакції'!$C$5:$C$3623,"&lt;"&amp;EDATE(DATEVALUE(C219&amp;"-01"),12))</f>
        <v>0</v>
      </c>
    </row>
    <row r="220" ht="15.75" customHeight="1">
      <c r="A220" s="33" t="str">
        <f>'📋 Реєстрації'!A220:A821</f>
        <v>U0324</v>
      </c>
      <c r="B220" s="34">
        <f t="array" ref="B220">INDEX('📋 Транзакції'!$C$5:$C$3623,MATCH(A220,'📋 Транзакції'!$B$5:$B$3623,0))</f>
        <v>45502</v>
      </c>
      <c r="C220" s="35" t="str">
        <f t="shared" si="1"/>
        <v>2024-07</v>
      </c>
      <c r="D220" s="36">
        <f>COUNTIF('📋 Транзакції'!$B$5:$B$3623,A220)</f>
        <v>9</v>
      </c>
      <c r="E220" s="36">
        <f>SUMIF('📋 Транзакції'!$B$5:$B$3623,A220,'📋 Транзакції'!$F$5:$F$3623)</f>
        <v>159.92</v>
      </c>
      <c r="F220" s="35">
        <f>INT($A$1-MAXIFS('📋 Транзакції'!$C$5:$C$3623,'📋 Транзакції'!$B$5:$B$3623,A220))</f>
        <v>28</v>
      </c>
      <c r="G220" s="37">
        <f>IF(COUNTIFS('📋 Транзакції'!$B$5:$B$3623,A220,'📋 Транзакції'!$C$5:$C$3623,"&gt;="&amp;EDATE(DATEVALUE(C220&amp;"-01"),0),'📋 Транзакції'!$C$5:$C$3623,"&lt;"&amp;EDATE(DATEVALUE(C220&amp;"-01"),1))&gt;0,1,0)</f>
        <v>1</v>
      </c>
      <c r="H220" s="37">
        <f>IF(COUNTIFS('📋 Транзакції'!$B$5:$B$3623,A220,'📋 Транзакції'!$C$5:$C$3623,"&gt;="&amp;EDATE(DATEVALUE(C220&amp;"-01"),1),'📋 Транзакції'!$C$5:$C$3623,"&lt;"&amp;EDATE(DATEVALUE(C220&amp;"-01"),2))&gt;0,1,0)</f>
        <v>1</v>
      </c>
      <c r="I220" s="37">
        <f>IF(COUNTIFS('📋 Транзакції'!$B$5:$B$3623,A220,'📋 Транзакції'!$C$5:$C$3623,"&gt;="&amp;EDATE(DATEVALUE(C220&amp;"-01"),2),'📋 Транзакції'!$C$5:$C$3623,"&lt;"&amp;EDATE(DATEVALUE(C220&amp;"-01"),3))&gt;0,1,0)</f>
        <v>1</v>
      </c>
      <c r="J220" s="37">
        <f>IF(COUNTIFS('📋 Транзакції'!$B$5:$B$3623,A220,'📋 Транзакції'!$C$5:$C$3623,"&gt;="&amp;EDATE(DATEVALUE(C220&amp;"-01"),3),'📋 Транзакції'!$C$5:$C$3623,"&lt;"&amp;EDATE(DATEVALUE(C220&amp;"-01"),4))&gt;0,1,0)</f>
        <v>1</v>
      </c>
      <c r="K220" s="37">
        <f>IF(COUNTIFS('📋 Транзакції'!$B$5:$B$3623,A220,'📋 Транзакції'!$C$5:$C$3623,"&gt;="&amp;EDATE(DATEVALUE(C220&amp;"-01"),4),'📋 Транзакції'!$C$5:$C$3623,"&lt;"&amp;EDATE(DATEVALUE(C220&amp;"-01"),5))&gt;0,1,0)</f>
        <v>1</v>
      </c>
      <c r="L220" s="37">
        <f>IF(COUNTIFS('📋 Транзакції'!$B$5:$B$3623,A220,'📋 Транзакції'!$C$5:$C$3623,"&gt;="&amp;EDATE(DATEVALUE(C220&amp;"-01"),5),'📋 Транзакції'!$C$5:$C$3623,"&lt;"&amp;EDATE(DATEVALUE(C220&amp;"-01"),6))&gt;0,1,0)</f>
        <v>1</v>
      </c>
      <c r="M220" s="37">
        <f>IF(COUNTIFS('📋 Транзакції'!$B$5:$B$3623,A220,'📋 Транзакції'!$C$5:$C$3623,"&gt;="&amp;EDATE(DATEVALUE(C220&amp;"-01"),6),'📋 Транзакції'!$C$5:$C$3623,"&lt;"&amp;EDATE(DATEVALUE(C220&amp;"-01"),7))&gt;0,1,0)</f>
        <v>1</v>
      </c>
      <c r="N220" s="37">
        <f>IF(COUNTIFS('📋 Транзакції'!$B$5:$B$3623,A220,'📋 Транзакції'!$C$5:$C$3623,"&gt;="&amp;EDATE(DATEVALUE(C220&amp;"-01"),7),'📋 Транзакції'!$C$5:$C$3623,"&lt;"&amp;EDATE(DATEVALUE(C220&amp;"-01"),8))&gt;0,1,0)</f>
        <v>1</v>
      </c>
      <c r="O220" s="37">
        <f>IF(COUNTIFS('📋 Транзакції'!$B$5:$B$3623,A220,'📋 Транзакції'!$C$5:$C$3623,"&gt;="&amp;EDATE(DATEVALUE(C220&amp;"-01"),8),'📋 Транзакції'!$C$5:$C$3623,"&lt;"&amp;EDATE(DATEVALUE(C220&amp;"-01"),9))&gt;0,1,0)</f>
        <v>1</v>
      </c>
      <c r="P220" s="37">
        <f>IF(COUNTIFS('📋 Транзакції'!$B$5:$B$3623,A220,'📋 Транзакції'!$C$5:$C$3623,"&gt;="&amp;EDATE(DATEVALUE(C220&amp;"-01"),9),'📋 Транзакції'!$C$5:$C$3623,"&lt;"&amp;EDATE(DATEVALUE(C220&amp;"-01"),10))&gt;0,1,0)</f>
        <v>0</v>
      </c>
      <c r="Q220" s="37">
        <f>IF(COUNTIFS('📋 Транзакції'!$B$5:$B$3623,A220,'📋 Транзакції'!$C$5:$C$3623,"&gt;="&amp;EDATE(DATEVALUE(C220&amp;"-01"),10),'📋 Транзакції'!$C$5:$C$3623,"&lt;"&amp;EDATE(DATEVALUE(C220&amp;"-01"),11))&gt;0,1,0)</f>
        <v>0</v>
      </c>
      <c r="R220" s="37">
        <f>IF(COUNTIFS('📋 Транзакції'!$B$5:$B$3623,A220,'📋 Транзакції'!$C$5:$C$3623,"&gt;="&amp;EDATE(DATEVALUE(C220&amp;"-01"),11),'📋 Транзакції'!$C$5:$C$3623,"&lt;"&amp;EDATE(DATEVALUE(C220&amp;"-01"),12))&gt;0,1,0)</f>
        <v>0</v>
      </c>
      <c r="S220" s="37">
        <f>SUMIFS('📋 Транзакції'!$F$5:$F$3623,'📋 Транзакції'!$B$5:$B$3623,A220,'📋 Транзакції'!$C$5:$C$3623,"&gt;="&amp;EDATE(DATEVALUE(C220&amp;"-01"),0),'📋 Транзакції'!$C$5:$C$3623,"&lt;"&amp;EDATE(DATEVALUE(C220&amp;"-01"),1))</f>
        <v>0</v>
      </c>
      <c r="T220" s="37">
        <f>SUMIFS('📋 Транзакції'!$F$5:$F$3623,'📋 Транзакції'!$B$5:$B$3623,A220,'📋 Транзакції'!$C$5:$C$3623,"&gt;="&amp;EDATE(DATEVALUE(C220&amp;"-01"),1),'📋 Транзакції'!$C$5:$C$3623,"&lt;"&amp;EDATE(DATEVALUE(C220&amp;"-01"),2))</f>
        <v>19.99</v>
      </c>
      <c r="U220" s="37">
        <f>SUMIFS('📋 Транзакції'!$F$5:$F$3623,'📋 Транзакції'!$B$5:$B$3623,A220,'📋 Транзакції'!$C$5:$C$3623,"&gt;="&amp;EDATE(DATEVALUE(C220&amp;"-01"),2),'📋 Транзакції'!$C$5:$C$3623,"&lt;"&amp;EDATE(DATEVALUE(C220&amp;"-01"),3))</f>
        <v>19.99</v>
      </c>
      <c r="V220" s="37">
        <f>SUMIFS('📋 Транзакції'!$F$5:$F$3623,'📋 Транзакції'!$B$5:$B$3623,A220,'📋 Транзакції'!$C$5:$C$3623,"&gt;="&amp;EDATE(DATEVALUE(C220&amp;"-01"),3),'📋 Транзакції'!$C$5:$C$3623,"&lt;"&amp;EDATE(DATEVALUE(C220&amp;"-01"),4))</f>
        <v>19.99</v>
      </c>
      <c r="W220" s="37">
        <f>SUMIFS('📋 Транзакції'!$F$5:$F$3623,'📋 Транзакції'!$B$5:$B$3623,A220,'📋 Транзакції'!$C$5:$C$3623,"&gt;="&amp;EDATE(DATEVALUE(C220&amp;"-01"),4),'📋 Транзакції'!$C$5:$C$3623,"&lt;"&amp;EDATE(DATEVALUE(C220&amp;"-01"),5))</f>
        <v>19.99</v>
      </c>
      <c r="X220" s="37">
        <f>SUMIFS('📋 Транзакції'!$F$5:$F$3623,'📋 Транзакції'!$B$5:$B$3623,A220,'📋 Транзакції'!$C$5:$C$3623,"&gt;="&amp;EDATE(DATEVALUE(C220&amp;"-01"),5),'📋 Транзакції'!$C$5:$C$3623,"&lt;"&amp;EDATE(DATEVALUE(C220&amp;"-01"),6))</f>
        <v>19.99</v>
      </c>
      <c r="Y220" s="37">
        <f>SUMIFS('📋 Транзакції'!$F$5:$F$3623,'📋 Транзакції'!$B$5:$B$3623,A220,'📋 Транзакції'!$C$5:$C$3623,"&gt;="&amp;EDATE(DATEVALUE(C220&amp;"-01"),6),'📋 Транзакції'!$C$5:$C$3623,"&lt;"&amp;EDATE(DATEVALUE(C220&amp;"-01"),7))</f>
        <v>19.99</v>
      </c>
      <c r="Z220" s="37">
        <f>SUMIFS('📋 Транзакції'!$F$5:$F$3623,'📋 Транзакції'!$B$5:$B$3623,A220,'📋 Транзакції'!$C$5:$C$3623,"&gt;="&amp;EDATE(DATEVALUE(C220&amp;"-01"),7),'📋 Транзакції'!$C$5:$C$3623,"&lt;"&amp;EDATE(DATEVALUE(C220&amp;"-01"),8))</f>
        <v>19.99</v>
      </c>
      <c r="AA220" s="37">
        <f>SUMIFS('📋 Транзакції'!$F$5:$F$3623,'📋 Транзакції'!$B$5:$B$3623,A220,'📋 Транзакції'!$C$5:$C$3623,"&gt;="&amp;EDATE(DATEVALUE(C220&amp;"-01"),8),'📋 Транзакції'!$C$5:$C$3623,"&lt;"&amp;EDATE(DATEVALUE(C220&amp;"-01"),9))</f>
        <v>19.99</v>
      </c>
      <c r="AB220" s="37">
        <f>SUMIFS('📋 Транзакції'!$F$5:$F$3623,'📋 Транзакції'!$B$5:$B$3623,A220,'📋 Транзакції'!$C$5:$C$3623,"&gt;="&amp;EDATE(DATEVALUE(C220&amp;"-01"),9),'📋 Транзакції'!$C$5:$C$3623,"&lt;"&amp;EDATE(DATEVALUE(C220&amp;"-01"),10))</f>
        <v>0</v>
      </c>
      <c r="AC220" s="37">
        <f>SUMIFS('📋 Транзакції'!$F$5:$F$3623,'📋 Транзакції'!$B$5:$B$3623,A220,'📋 Транзакції'!$C$5:$C$3623,"&gt;="&amp;EDATE(DATEVALUE(C220&amp;"-01"),10),'📋 Транзакції'!$C$5:$C$3623,"&lt;"&amp;EDATE(DATEVALUE(C220&amp;"-01"),11))</f>
        <v>0</v>
      </c>
      <c r="AD220" s="37">
        <f>SUMIFS('📋 Транзакції'!$F$5:$F$3623,'📋 Транзакції'!$B$5:$B$3623,A220,'📋 Транзакції'!$C$5:$C$3623,"&gt;="&amp;EDATE(DATEVALUE(C220&amp;"-01"),11),'📋 Транзакції'!$C$5:$C$3623,"&lt;"&amp;EDATE(DATEVALUE(C220&amp;"-01"),12))</f>
        <v>0</v>
      </c>
    </row>
    <row r="221" ht="15.75" customHeight="1">
      <c r="A221" s="33" t="str">
        <f>'📋 Реєстрації'!A221:A822</f>
        <v>U0411</v>
      </c>
      <c r="B221" s="34">
        <f t="array" ref="B221">INDEX('📋 Транзакції'!$C$5:$C$3623,MATCH(A221,'📋 Транзакції'!$B$5:$B$3623,0))</f>
        <v>45503</v>
      </c>
      <c r="C221" s="35" t="str">
        <f t="shared" si="1"/>
        <v>2024-07</v>
      </c>
      <c r="D221" s="36">
        <f>COUNTIF('📋 Транзакції'!$B$5:$B$3623,A221)</f>
        <v>9</v>
      </c>
      <c r="E221" s="36">
        <f>SUMIF('📋 Транзакції'!$B$5:$B$3623,A221,'📋 Транзакції'!$F$5:$F$3623)</f>
        <v>159.92</v>
      </c>
      <c r="F221" s="35">
        <f>INT($A$1-MAXIFS('📋 Транзакції'!$C$5:$C$3623,'📋 Транзакції'!$B$5:$B$3623,A221))</f>
        <v>27</v>
      </c>
      <c r="G221" s="37">
        <f>IF(COUNTIFS('📋 Транзакції'!$B$5:$B$3623,A221,'📋 Транзакції'!$C$5:$C$3623,"&gt;="&amp;EDATE(DATEVALUE(C221&amp;"-01"),0),'📋 Транзакції'!$C$5:$C$3623,"&lt;"&amp;EDATE(DATEVALUE(C221&amp;"-01"),1))&gt;0,1,0)</f>
        <v>1</v>
      </c>
      <c r="H221" s="37">
        <f>IF(COUNTIFS('📋 Транзакції'!$B$5:$B$3623,A221,'📋 Транзакції'!$C$5:$C$3623,"&gt;="&amp;EDATE(DATEVALUE(C221&amp;"-01"),1),'📋 Транзакції'!$C$5:$C$3623,"&lt;"&amp;EDATE(DATEVALUE(C221&amp;"-01"),2))&gt;0,1,0)</f>
        <v>1</v>
      </c>
      <c r="I221" s="37">
        <f>IF(COUNTIFS('📋 Транзакції'!$B$5:$B$3623,A221,'📋 Транзакції'!$C$5:$C$3623,"&gt;="&amp;EDATE(DATEVALUE(C221&amp;"-01"),2),'📋 Транзакції'!$C$5:$C$3623,"&lt;"&amp;EDATE(DATEVALUE(C221&amp;"-01"),3))&gt;0,1,0)</f>
        <v>1</v>
      </c>
      <c r="J221" s="37">
        <f>IF(COUNTIFS('📋 Транзакції'!$B$5:$B$3623,A221,'📋 Транзакції'!$C$5:$C$3623,"&gt;="&amp;EDATE(DATEVALUE(C221&amp;"-01"),3),'📋 Транзакції'!$C$5:$C$3623,"&lt;"&amp;EDATE(DATEVALUE(C221&amp;"-01"),4))&gt;0,1,0)</f>
        <v>1</v>
      </c>
      <c r="K221" s="37">
        <f>IF(COUNTIFS('📋 Транзакції'!$B$5:$B$3623,A221,'📋 Транзакції'!$C$5:$C$3623,"&gt;="&amp;EDATE(DATEVALUE(C221&amp;"-01"),4),'📋 Транзакції'!$C$5:$C$3623,"&lt;"&amp;EDATE(DATEVALUE(C221&amp;"-01"),5))&gt;0,1,0)</f>
        <v>1</v>
      </c>
      <c r="L221" s="37">
        <f>IF(COUNTIFS('📋 Транзакції'!$B$5:$B$3623,A221,'📋 Транзакції'!$C$5:$C$3623,"&gt;="&amp;EDATE(DATEVALUE(C221&amp;"-01"),5),'📋 Транзакції'!$C$5:$C$3623,"&lt;"&amp;EDATE(DATEVALUE(C221&amp;"-01"),6))&gt;0,1,0)</f>
        <v>1</v>
      </c>
      <c r="M221" s="37">
        <f>IF(COUNTIFS('📋 Транзакції'!$B$5:$B$3623,A221,'📋 Транзакції'!$C$5:$C$3623,"&gt;="&amp;EDATE(DATEVALUE(C221&amp;"-01"),6),'📋 Транзакції'!$C$5:$C$3623,"&lt;"&amp;EDATE(DATEVALUE(C221&amp;"-01"),7))&gt;0,1,0)</f>
        <v>1</v>
      </c>
      <c r="N221" s="37">
        <f>IF(COUNTIFS('📋 Транзакції'!$B$5:$B$3623,A221,'📋 Транзакції'!$C$5:$C$3623,"&gt;="&amp;EDATE(DATEVALUE(C221&amp;"-01"),7),'📋 Транзакції'!$C$5:$C$3623,"&lt;"&amp;EDATE(DATEVALUE(C221&amp;"-01"),8))&gt;0,1,0)</f>
        <v>1</v>
      </c>
      <c r="O221" s="37">
        <f>IF(COUNTIFS('📋 Транзакції'!$B$5:$B$3623,A221,'📋 Транзакції'!$C$5:$C$3623,"&gt;="&amp;EDATE(DATEVALUE(C221&amp;"-01"),8),'📋 Транзакції'!$C$5:$C$3623,"&lt;"&amp;EDATE(DATEVALUE(C221&amp;"-01"),9))&gt;0,1,0)</f>
        <v>1</v>
      </c>
      <c r="P221" s="37">
        <f>IF(COUNTIFS('📋 Транзакції'!$B$5:$B$3623,A221,'📋 Транзакції'!$C$5:$C$3623,"&gt;="&amp;EDATE(DATEVALUE(C221&amp;"-01"),9),'📋 Транзакції'!$C$5:$C$3623,"&lt;"&amp;EDATE(DATEVALUE(C221&amp;"-01"),10))&gt;0,1,0)</f>
        <v>0</v>
      </c>
      <c r="Q221" s="37">
        <f>IF(COUNTIFS('📋 Транзакції'!$B$5:$B$3623,A221,'📋 Транзакції'!$C$5:$C$3623,"&gt;="&amp;EDATE(DATEVALUE(C221&amp;"-01"),10),'📋 Транзакції'!$C$5:$C$3623,"&lt;"&amp;EDATE(DATEVALUE(C221&amp;"-01"),11))&gt;0,1,0)</f>
        <v>0</v>
      </c>
      <c r="R221" s="37">
        <f>IF(COUNTIFS('📋 Транзакції'!$B$5:$B$3623,A221,'📋 Транзакції'!$C$5:$C$3623,"&gt;="&amp;EDATE(DATEVALUE(C221&amp;"-01"),11),'📋 Транзакції'!$C$5:$C$3623,"&lt;"&amp;EDATE(DATEVALUE(C221&amp;"-01"),12))&gt;0,1,0)</f>
        <v>0</v>
      </c>
      <c r="S221" s="37">
        <f>SUMIFS('📋 Транзакції'!$F$5:$F$3623,'📋 Транзакції'!$B$5:$B$3623,A221,'📋 Транзакції'!$C$5:$C$3623,"&gt;="&amp;EDATE(DATEVALUE(C221&amp;"-01"),0),'📋 Транзакції'!$C$5:$C$3623,"&lt;"&amp;EDATE(DATEVALUE(C221&amp;"-01"),1))</f>
        <v>0</v>
      </c>
      <c r="T221" s="37">
        <f>SUMIFS('📋 Транзакції'!$F$5:$F$3623,'📋 Транзакції'!$B$5:$B$3623,A221,'📋 Транзакції'!$C$5:$C$3623,"&gt;="&amp;EDATE(DATEVALUE(C221&amp;"-01"),1),'📋 Транзакції'!$C$5:$C$3623,"&lt;"&amp;EDATE(DATEVALUE(C221&amp;"-01"),2))</f>
        <v>19.99</v>
      </c>
      <c r="U221" s="37">
        <f>SUMIFS('📋 Транзакції'!$F$5:$F$3623,'📋 Транзакції'!$B$5:$B$3623,A221,'📋 Транзакції'!$C$5:$C$3623,"&gt;="&amp;EDATE(DATEVALUE(C221&amp;"-01"),2),'📋 Транзакції'!$C$5:$C$3623,"&lt;"&amp;EDATE(DATEVALUE(C221&amp;"-01"),3))</f>
        <v>19.99</v>
      </c>
      <c r="V221" s="37">
        <f>SUMIFS('📋 Транзакції'!$F$5:$F$3623,'📋 Транзакції'!$B$5:$B$3623,A221,'📋 Транзакції'!$C$5:$C$3623,"&gt;="&amp;EDATE(DATEVALUE(C221&amp;"-01"),3),'📋 Транзакції'!$C$5:$C$3623,"&lt;"&amp;EDATE(DATEVALUE(C221&amp;"-01"),4))</f>
        <v>19.99</v>
      </c>
      <c r="W221" s="37">
        <f>SUMIFS('📋 Транзакції'!$F$5:$F$3623,'📋 Транзакції'!$B$5:$B$3623,A221,'📋 Транзакції'!$C$5:$C$3623,"&gt;="&amp;EDATE(DATEVALUE(C221&amp;"-01"),4),'📋 Транзакції'!$C$5:$C$3623,"&lt;"&amp;EDATE(DATEVALUE(C221&amp;"-01"),5))</f>
        <v>19.99</v>
      </c>
      <c r="X221" s="37">
        <f>SUMIFS('📋 Транзакції'!$F$5:$F$3623,'📋 Транзакції'!$B$5:$B$3623,A221,'📋 Транзакції'!$C$5:$C$3623,"&gt;="&amp;EDATE(DATEVALUE(C221&amp;"-01"),5),'📋 Транзакції'!$C$5:$C$3623,"&lt;"&amp;EDATE(DATEVALUE(C221&amp;"-01"),6))</f>
        <v>19.99</v>
      </c>
      <c r="Y221" s="37">
        <f>SUMIFS('📋 Транзакції'!$F$5:$F$3623,'📋 Транзакції'!$B$5:$B$3623,A221,'📋 Транзакції'!$C$5:$C$3623,"&gt;="&amp;EDATE(DATEVALUE(C221&amp;"-01"),6),'📋 Транзакції'!$C$5:$C$3623,"&lt;"&amp;EDATE(DATEVALUE(C221&amp;"-01"),7))</f>
        <v>19.99</v>
      </c>
      <c r="Z221" s="37">
        <f>SUMIFS('📋 Транзакції'!$F$5:$F$3623,'📋 Транзакції'!$B$5:$B$3623,A221,'📋 Транзакції'!$C$5:$C$3623,"&gt;="&amp;EDATE(DATEVALUE(C221&amp;"-01"),7),'📋 Транзакції'!$C$5:$C$3623,"&lt;"&amp;EDATE(DATEVALUE(C221&amp;"-01"),8))</f>
        <v>19.99</v>
      </c>
      <c r="AA221" s="37">
        <f>SUMIFS('📋 Транзакції'!$F$5:$F$3623,'📋 Транзакції'!$B$5:$B$3623,A221,'📋 Транзакції'!$C$5:$C$3623,"&gt;="&amp;EDATE(DATEVALUE(C221&amp;"-01"),8),'📋 Транзакції'!$C$5:$C$3623,"&lt;"&amp;EDATE(DATEVALUE(C221&amp;"-01"),9))</f>
        <v>19.99</v>
      </c>
      <c r="AB221" s="37">
        <f>SUMIFS('📋 Транзакції'!$F$5:$F$3623,'📋 Транзакції'!$B$5:$B$3623,A221,'📋 Транзакції'!$C$5:$C$3623,"&gt;="&amp;EDATE(DATEVALUE(C221&amp;"-01"),9),'📋 Транзакції'!$C$5:$C$3623,"&lt;"&amp;EDATE(DATEVALUE(C221&amp;"-01"),10))</f>
        <v>0</v>
      </c>
      <c r="AC221" s="37">
        <f>SUMIFS('📋 Транзакції'!$F$5:$F$3623,'📋 Транзакції'!$B$5:$B$3623,A221,'📋 Транзакції'!$C$5:$C$3623,"&gt;="&amp;EDATE(DATEVALUE(C221&amp;"-01"),10),'📋 Транзакції'!$C$5:$C$3623,"&lt;"&amp;EDATE(DATEVALUE(C221&amp;"-01"),11))</f>
        <v>0</v>
      </c>
      <c r="AD221" s="37">
        <f>SUMIFS('📋 Транзакції'!$F$5:$F$3623,'📋 Транзакції'!$B$5:$B$3623,A221,'📋 Транзакції'!$C$5:$C$3623,"&gt;="&amp;EDATE(DATEVALUE(C221&amp;"-01"),11),'📋 Транзакції'!$C$5:$C$3623,"&lt;"&amp;EDATE(DATEVALUE(C221&amp;"-01"),12))</f>
        <v>0</v>
      </c>
    </row>
    <row r="222" ht="15.75" customHeight="1">
      <c r="A222" s="33" t="str">
        <f>'📋 Реєстрації'!A222:A823</f>
        <v>U0897</v>
      </c>
      <c r="B222" s="34">
        <f t="array" ref="B222">INDEX('📋 Транзакції'!$C$5:$C$3623,MATCH(A222,'📋 Транзакції'!$B$5:$B$3623,0))</f>
        <v>45503</v>
      </c>
      <c r="C222" s="35" t="str">
        <f t="shared" si="1"/>
        <v>2024-07</v>
      </c>
      <c r="D222" s="36">
        <f>COUNTIF('📋 Транзакції'!$B$5:$B$3623,A222)</f>
        <v>9</v>
      </c>
      <c r="E222" s="36">
        <f>SUMIF('📋 Транзакції'!$B$5:$B$3623,A222,'📋 Транзакції'!$F$5:$F$3623)</f>
        <v>159.92</v>
      </c>
      <c r="F222" s="35">
        <f>INT($A$1-MAXIFS('📋 Транзакції'!$C$5:$C$3623,'📋 Транзакції'!$B$5:$B$3623,A222))</f>
        <v>27</v>
      </c>
      <c r="G222" s="37">
        <f>IF(COUNTIFS('📋 Транзакції'!$B$5:$B$3623,A222,'📋 Транзакції'!$C$5:$C$3623,"&gt;="&amp;EDATE(DATEVALUE(C222&amp;"-01"),0),'📋 Транзакції'!$C$5:$C$3623,"&lt;"&amp;EDATE(DATEVALUE(C222&amp;"-01"),1))&gt;0,1,0)</f>
        <v>1</v>
      </c>
      <c r="H222" s="37">
        <f>IF(COUNTIFS('📋 Транзакції'!$B$5:$B$3623,A222,'📋 Транзакції'!$C$5:$C$3623,"&gt;="&amp;EDATE(DATEVALUE(C222&amp;"-01"),1),'📋 Транзакції'!$C$5:$C$3623,"&lt;"&amp;EDATE(DATEVALUE(C222&amp;"-01"),2))&gt;0,1,0)</f>
        <v>1</v>
      </c>
      <c r="I222" s="37">
        <f>IF(COUNTIFS('📋 Транзакції'!$B$5:$B$3623,A222,'📋 Транзакції'!$C$5:$C$3623,"&gt;="&amp;EDATE(DATEVALUE(C222&amp;"-01"),2),'📋 Транзакції'!$C$5:$C$3623,"&lt;"&amp;EDATE(DATEVALUE(C222&amp;"-01"),3))&gt;0,1,0)</f>
        <v>1</v>
      </c>
      <c r="J222" s="37">
        <f>IF(COUNTIFS('📋 Транзакції'!$B$5:$B$3623,A222,'📋 Транзакції'!$C$5:$C$3623,"&gt;="&amp;EDATE(DATEVALUE(C222&amp;"-01"),3),'📋 Транзакції'!$C$5:$C$3623,"&lt;"&amp;EDATE(DATEVALUE(C222&amp;"-01"),4))&gt;0,1,0)</f>
        <v>1</v>
      </c>
      <c r="K222" s="37">
        <f>IF(COUNTIFS('📋 Транзакції'!$B$5:$B$3623,A222,'📋 Транзакції'!$C$5:$C$3623,"&gt;="&amp;EDATE(DATEVALUE(C222&amp;"-01"),4),'📋 Транзакції'!$C$5:$C$3623,"&lt;"&amp;EDATE(DATEVALUE(C222&amp;"-01"),5))&gt;0,1,0)</f>
        <v>1</v>
      </c>
      <c r="L222" s="37">
        <f>IF(COUNTIFS('📋 Транзакції'!$B$5:$B$3623,A222,'📋 Транзакції'!$C$5:$C$3623,"&gt;="&amp;EDATE(DATEVALUE(C222&amp;"-01"),5),'📋 Транзакції'!$C$5:$C$3623,"&lt;"&amp;EDATE(DATEVALUE(C222&amp;"-01"),6))&gt;0,1,0)</f>
        <v>1</v>
      </c>
      <c r="M222" s="37">
        <f>IF(COUNTIFS('📋 Транзакції'!$B$5:$B$3623,A222,'📋 Транзакції'!$C$5:$C$3623,"&gt;="&amp;EDATE(DATEVALUE(C222&amp;"-01"),6),'📋 Транзакції'!$C$5:$C$3623,"&lt;"&amp;EDATE(DATEVALUE(C222&amp;"-01"),7))&gt;0,1,0)</f>
        <v>1</v>
      </c>
      <c r="N222" s="37">
        <f>IF(COUNTIFS('📋 Транзакції'!$B$5:$B$3623,A222,'📋 Транзакції'!$C$5:$C$3623,"&gt;="&amp;EDATE(DATEVALUE(C222&amp;"-01"),7),'📋 Транзакції'!$C$5:$C$3623,"&lt;"&amp;EDATE(DATEVALUE(C222&amp;"-01"),8))&gt;0,1,0)</f>
        <v>1</v>
      </c>
      <c r="O222" s="37">
        <f>IF(COUNTIFS('📋 Транзакції'!$B$5:$B$3623,A222,'📋 Транзакції'!$C$5:$C$3623,"&gt;="&amp;EDATE(DATEVALUE(C222&amp;"-01"),8),'📋 Транзакції'!$C$5:$C$3623,"&lt;"&amp;EDATE(DATEVALUE(C222&amp;"-01"),9))&gt;0,1,0)</f>
        <v>1</v>
      </c>
      <c r="P222" s="37">
        <f>IF(COUNTIFS('📋 Транзакції'!$B$5:$B$3623,A222,'📋 Транзакції'!$C$5:$C$3623,"&gt;="&amp;EDATE(DATEVALUE(C222&amp;"-01"),9),'📋 Транзакції'!$C$5:$C$3623,"&lt;"&amp;EDATE(DATEVALUE(C222&amp;"-01"),10))&gt;0,1,0)</f>
        <v>0</v>
      </c>
      <c r="Q222" s="37">
        <f>IF(COUNTIFS('📋 Транзакції'!$B$5:$B$3623,A222,'📋 Транзакції'!$C$5:$C$3623,"&gt;="&amp;EDATE(DATEVALUE(C222&amp;"-01"),10),'📋 Транзакції'!$C$5:$C$3623,"&lt;"&amp;EDATE(DATEVALUE(C222&amp;"-01"),11))&gt;0,1,0)</f>
        <v>0</v>
      </c>
      <c r="R222" s="37">
        <f>IF(COUNTIFS('📋 Транзакції'!$B$5:$B$3623,A222,'📋 Транзакції'!$C$5:$C$3623,"&gt;="&amp;EDATE(DATEVALUE(C222&amp;"-01"),11),'📋 Транзакції'!$C$5:$C$3623,"&lt;"&amp;EDATE(DATEVALUE(C222&amp;"-01"),12))&gt;0,1,0)</f>
        <v>0</v>
      </c>
      <c r="S222" s="37">
        <f>SUMIFS('📋 Транзакції'!$F$5:$F$3623,'📋 Транзакції'!$B$5:$B$3623,A222,'📋 Транзакції'!$C$5:$C$3623,"&gt;="&amp;EDATE(DATEVALUE(C222&amp;"-01"),0),'📋 Транзакції'!$C$5:$C$3623,"&lt;"&amp;EDATE(DATEVALUE(C222&amp;"-01"),1))</f>
        <v>0</v>
      </c>
      <c r="T222" s="37">
        <f>SUMIFS('📋 Транзакції'!$F$5:$F$3623,'📋 Транзакції'!$B$5:$B$3623,A222,'📋 Транзакції'!$C$5:$C$3623,"&gt;="&amp;EDATE(DATEVALUE(C222&amp;"-01"),1),'📋 Транзакції'!$C$5:$C$3623,"&lt;"&amp;EDATE(DATEVALUE(C222&amp;"-01"),2))</f>
        <v>19.99</v>
      </c>
      <c r="U222" s="37">
        <f>SUMIFS('📋 Транзакції'!$F$5:$F$3623,'📋 Транзакції'!$B$5:$B$3623,A222,'📋 Транзакції'!$C$5:$C$3623,"&gt;="&amp;EDATE(DATEVALUE(C222&amp;"-01"),2),'📋 Транзакції'!$C$5:$C$3623,"&lt;"&amp;EDATE(DATEVALUE(C222&amp;"-01"),3))</f>
        <v>19.99</v>
      </c>
      <c r="V222" s="37">
        <f>SUMIFS('📋 Транзакції'!$F$5:$F$3623,'📋 Транзакції'!$B$5:$B$3623,A222,'📋 Транзакції'!$C$5:$C$3623,"&gt;="&amp;EDATE(DATEVALUE(C222&amp;"-01"),3),'📋 Транзакції'!$C$5:$C$3623,"&lt;"&amp;EDATE(DATEVALUE(C222&amp;"-01"),4))</f>
        <v>19.99</v>
      </c>
      <c r="W222" s="37">
        <f>SUMIFS('📋 Транзакції'!$F$5:$F$3623,'📋 Транзакції'!$B$5:$B$3623,A222,'📋 Транзакції'!$C$5:$C$3623,"&gt;="&amp;EDATE(DATEVALUE(C222&amp;"-01"),4),'📋 Транзакції'!$C$5:$C$3623,"&lt;"&amp;EDATE(DATEVALUE(C222&amp;"-01"),5))</f>
        <v>19.99</v>
      </c>
      <c r="X222" s="37">
        <f>SUMIFS('📋 Транзакції'!$F$5:$F$3623,'📋 Транзакції'!$B$5:$B$3623,A222,'📋 Транзакції'!$C$5:$C$3623,"&gt;="&amp;EDATE(DATEVALUE(C222&amp;"-01"),5),'📋 Транзакції'!$C$5:$C$3623,"&lt;"&amp;EDATE(DATEVALUE(C222&amp;"-01"),6))</f>
        <v>19.99</v>
      </c>
      <c r="Y222" s="37">
        <f>SUMIFS('📋 Транзакції'!$F$5:$F$3623,'📋 Транзакції'!$B$5:$B$3623,A222,'📋 Транзакції'!$C$5:$C$3623,"&gt;="&amp;EDATE(DATEVALUE(C222&amp;"-01"),6),'📋 Транзакції'!$C$5:$C$3623,"&lt;"&amp;EDATE(DATEVALUE(C222&amp;"-01"),7))</f>
        <v>19.99</v>
      </c>
      <c r="Z222" s="37">
        <f>SUMIFS('📋 Транзакції'!$F$5:$F$3623,'📋 Транзакції'!$B$5:$B$3623,A222,'📋 Транзакції'!$C$5:$C$3623,"&gt;="&amp;EDATE(DATEVALUE(C222&amp;"-01"),7),'📋 Транзакції'!$C$5:$C$3623,"&lt;"&amp;EDATE(DATEVALUE(C222&amp;"-01"),8))</f>
        <v>19.99</v>
      </c>
      <c r="AA222" s="37">
        <f>SUMIFS('📋 Транзакції'!$F$5:$F$3623,'📋 Транзакції'!$B$5:$B$3623,A222,'📋 Транзакції'!$C$5:$C$3623,"&gt;="&amp;EDATE(DATEVALUE(C222&amp;"-01"),8),'📋 Транзакції'!$C$5:$C$3623,"&lt;"&amp;EDATE(DATEVALUE(C222&amp;"-01"),9))</f>
        <v>19.99</v>
      </c>
      <c r="AB222" s="37">
        <f>SUMIFS('📋 Транзакції'!$F$5:$F$3623,'📋 Транзакції'!$B$5:$B$3623,A222,'📋 Транзакції'!$C$5:$C$3623,"&gt;="&amp;EDATE(DATEVALUE(C222&amp;"-01"),9),'📋 Транзакції'!$C$5:$C$3623,"&lt;"&amp;EDATE(DATEVALUE(C222&amp;"-01"),10))</f>
        <v>0</v>
      </c>
      <c r="AC222" s="37">
        <f>SUMIFS('📋 Транзакції'!$F$5:$F$3623,'📋 Транзакції'!$B$5:$B$3623,A222,'📋 Транзакції'!$C$5:$C$3623,"&gt;="&amp;EDATE(DATEVALUE(C222&amp;"-01"),10),'📋 Транзакції'!$C$5:$C$3623,"&lt;"&amp;EDATE(DATEVALUE(C222&amp;"-01"),11))</f>
        <v>0</v>
      </c>
      <c r="AD222" s="37">
        <f>SUMIFS('📋 Транзакції'!$F$5:$F$3623,'📋 Транзакції'!$B$5:$B$3623,A222,'📋 Транзакції'!$C$5:$C$3623,"&gt;="&amp;EDATE(DATEVALUE(C222&amp;"-01"),11),'📋 Транзакції'!$C$5:$C$3623,"&lt;"&amp;EDATE(DATEVALUE(C222&amp;"-01"),12))</f>
        <v>0</v>
      </c>
    </row>
    <row r="223" ht="15.75" customHeight="1">
      <c r="A223" s="33" t="str">
        <f>'📋 Реєстрації'!A223:A824</f>
        <v>U0103</v>
      </c>
      <c r="B223" s="34">
        <f t="array" ref="B223">INDEX('📋 Транзакції'!$C$5:$C$3623,MATCH(A223,'📋 Транзакції'!$B$5:$B$3623,0))</f>
        <v>45504</v>
      </c>
      <c r="C223" s="35" t="str">
        <f t="shared" si="1"/>
        <v>2024-07</v>
      </c>
      <c r="D223" s="36">
        <f>COUNTIF('📋 Транзакції'!$B$5:$B$3623,A223)</f>
        <v>5</v>
      </c>
      <c r="E223" s="36">
        <f>SUMIF('📋 Транзакції'!$B$5:$B$3623,A223,'📋 Транзакції'!$F$5:$F$3623)</f>
        <v>79.96</v>
      </c>
      <c r="F223" s="35">
        <f>INT($A$1-MAXIFS('📋 Транзакції'!$C$5:$C$3623,'📋 Транзакції'!$B$5:$B$3623,A223))</f>
        <v>146</v>
      </c>
      <c r="G223" s="37">
        <f>IF(COUNTIFS('📋 Транзакції'!$B$5:$B$3623,A223,'📋 Транзакції'!$C$5:$C$3623,"&gt;="&amp;EDATE(DATEVALUE(C223&amp;"-01"),0),'📋 Транзакції'!$C$5:$C$3623,"&lt;"&amp;EDATE(DATEVALUE(C223&amp;"-01"),1))&gt;0,1,0)</f>
        <v>1</v>
      </c>
      <c r="H223" s="37">
        <f>IF(COUNTIFS('📋 Транзакції'!$B$5:$B$3623,A223,'📋 Транзакції'!$C$5:$C$3623,"&gt;="&amp;EDATE(DATEVALUE(C223&amp;"-01"),1),'📋 Транзакції'!$C$5:$C$3623,"&lt;"&amp;EDATE(DATEVALUE(C223&amp;"-01"),2))&gt;0,1,0)</f>
        <v>1</v>
      </c>
      <c r="I223" s="37">
        <f>IF(COUNTIFS('📋 Транзакції'!$B$5:$B$3623,A223,'📋 Транзакції'!$C$5:$C$3623,"&gt;="&amp;EDATE(DATEVALUE(C223&amp;"-01"),2),'📋 Транзакції'!$C$5:$C$3623,"&lt;"&amp;EDATE(DATEVALUE(C223&amp;"-01"),3))&gt;0,1,0)</f>
        <v>1</v>
      </c>
      <c r="J223" s="37">
        <f>IF(COUNTIFS('📋 Транзакції'!$B$5:$B$3623,A223,'📋 Транзакції'!$C$5:$C$3623,"&gt;="&amp;EDATE(DATEVALUE(C223&amp;"-01"),3),'📋 Транзакції'!$C$5:$C$3623,"&lt;"&amp;EDATE(DATEVALUE(C223&amp;"-01"),4))&gt;0,1,0)</f>
        <v>1</v>
      </c>
      <c r="K223" s="37">
        <f>IF(COUNTIFS('📋 Транзакції'!$B$5:$B$3623,A223,'📋 Транзакції'!$C$5:$C$3623,"&gt;="&amp;EDATE(DATEVALUE(C223&amp;"-01"),4),'📋 Транзакції'!$C$5:$C$3623,"&lt;"&amp;EDATE(DATEVALUE(C223&amp;"-01"),5))&gt;0,1,0)</f>
        <v>1</v>
      </c>
      <c r="L223" s="37">
        <f>IF(COUNTIFS('📋 Транзакції'!$B$5:$B$3623,A223,'📋 Транзакції'!$C$5:$C$3623,"&gt;="&amp;EDATE(DATEVALUE(C223&amp;"-01"),5),'📋 Транзакції'!$C$5:$C$3623,"&lt;"&amp;EDATE(DATEVALUE(C223&amp;"-01"),6))&gt;0,1,0)</f>
        <v>0</v>
      </c>
      <c r="M223" s="37">
        <f>IF(COUNTIFS('📋 Транзакції'!$B$5:$B$3623,A223,'📋 Транзакції'!$C$5:$C$3623,"&gt;="&amp;EDATE(DATEVALUE(C223&amp;"-01"),6),'📋 Транзакції'!$C$5:$C$3623,"&lt;"&amp;EDATE(DATEVALUE(C223&amp;"-01"),7))&gt;0,1,0)</f>
        <v>0</v>
      </c>
      <c r="N223" s="37">
        <f>IF(COUNTIFS('📋 Транзакції'!$B$5:$B$3623,A223,'📋 Транзакції'!$C$5:$C$3623,"&gt;="&amp;EDATE(DATEVALUE(C223&amp;"-01"),7),'📋 Транзакції'!$C$5:$C$3623,"&lt;"&amp;EDATE(DATEVALUE(C223&amp;"-01"),8))&gt;0,1,0)</f>
        <v>0</v>
      </c>
      <c r="O223" s="37">
        <f>IF(COUNTIFS('📋 Транзакції'!$B$5:$B$3623,A223,'📋 Транзакції'!$C$5:$C$3623,"&gt;="&amp;EDATE(DATEVALUE(C223&amp;"-01"),8),'📋 Транзакції'!$C$5:$C$3623,"&lt;"&amp;EDATE(DATEVALUE(C223&amp;"-01"),9))&gt;0,1,0)</f>
        <v>0</v>
      </c>
      <c r="P223" s="37">
        <f>IF(COUNTIFS('📋 Транзакції'!$B$5:$B$3623,A223,'📋 Транзакції'!$C$5:$C$3623,"&gt;="&amp;EDATE(DATEVALUE(C223&amp;"-01"),9),'📋 Транзакції'!$C$5:$C$3623,"&lt;"&amp;EDATE(DATEVALUE(C223&amp;"-01"),10))&gt;0,1,0)</f>
        <v>0</v>
      </c>
      <c r="Q223" s="37">
        <f>IF(COUNTIFS('📋 Транзакції'!$B$5:$B$3623,A223,'📋 Транзакції'!$C$5:$C$3623,"&gt;="&amp;EDATE(DATEVALUE(C223&amp;"-01"),10),'📋 Транзакції'!$C$5:$C$3623,"&lt;"&amp;EDATE(DATEVALUE(C223&amp;"-01"),11))&gt;0,1,0)</f>
        <v>0</v>
      </c>
      <c r="R223" s="37">
        <f>IF(COUNTIFS('📋 Транзакції'!$B$5:$B$3623,A223,'📋 Транзакції'!$C$5:$C$3623,"&gt;="&amp;EDATE(DATEVALUE(C223&amp;"-01"),11),'📋 Транзакції'!$C$5:$C$3623,"&lt;"&amp;EDATE(DATEVALUE(C223&amp;"-01"),12))&gt;0,1,0)</f>
        <v>0</v>
      </c>
      <c r="S223" s="37">
        <f>SUMIFS('📋 Транзакції'!$F$5:$F$3623,'📋 Транзакції'!$B$5:$B$3623,A223,'📋 Транзакції'!$C$5:$C$3623,"&gt;="&amp;EDATE(DATEVALUE(C223&amp;"-01"),0),'📋 Транзакції'!$C$5:$C$3623,"&lt;"&amp;EDATE(DATEVALUE(C223&amp;"-01"),1))</f>
        <v>0</v>
      </c>
      <c r="T223" s="37">
        <f>SUMIFS('📋 Транзакції'!$F$5:$F$3623,'📋 Транзакції'!$B$5:$B$3623,A223,'📋 Транзакції'!$C$5:$C$3623,"&gt;="&amp;EDATE(DATEVALUE(C223&amp;"-01"),1),'📋 Транзакції'!$C$5:$C$3623,"&lt;"&amp;EDATE(DATEVALUE(C223&amp;"-01"),2))</f>
        <v>19.99</v>
      </c>
      <c r="U223" s="37">
        <f>SUMIFS('📋 Транзакції'!$F$5:$F$3623,'📋 Транзакції'!$B$5:$B$3623,A223,'📋 Транзакції'!$C$5:$C$3623,"&gt;="&amp;EDATE(DATEVALUE(C223&amp;"-01"),2),'📋 Транзакції'!$C$5:$C$3623,"&lt;"&amp;EDATE(DATEVALUE(C223&amp;"-01"),3))</f>
        <v>19.99</v>
      </c>
      <c r="V223" s="37">
        <f>SUMIFS('📋 Транзакції'!$F$5:$F$3623,'📋 Транзакції'!$B$5:$B$3623,A223,'📋 Транзакції'!$C$5:$C$3623,"&gt;="&amp;EDATE(DATEVALUE(C223&amp;"-01"),3),'📋 Транзакції'!$C$5:$C$3623,"&lt;"&amp;EDATE(DATEVALUE(C223&amp;"-01"),4))</f>
        <v>19.99</v>
      </c>
      <c r="W223" s="37">
        <f>SUMIFS('📋 Транзакції'!$F$5:$F$3623,'📋 Транзакції'!$B$5:$B$3623,A223,'📋 Транзакції'!$C$5:$C$3623,"&gt;="&amp;EDATE(DATEVALUE(C223&amp;"-01"),4),'📋 Транзакції'!$C$5:$C$3623,"&lt;"&amp;EDATE(DATEVALUE(C223&amp;"-01"),5))</f>
        <v>19.99</v>
      </c>
      <c r="X223" s="37">
        <f>SUMIFS('📋 Транзакції'!$F$5:$F$3623,'📋 Транзакції'!$B$5:$B$3623,A223,'📋 Транзакції'!$C$5:$C$3623,"&gt;="&amp;EDATE(DATEVALUE(C223&amp;"-01"),5),'📋 Транзакції'!$C$5:$C$3623,"&lt;"&amp;EDATE(DATEVALUE(C223&amp;"-01"),6))</f>
        <v>0</v>
      </c>
      <c r="Y223" s="37">
        <f>SUMIFS('📋 Транзакції'!$F$5:$F$3623,'📋 Транзакції'!$B$5:$B$3623,A223,'📋 Транзакції'!$C$5:$C$3623,"&gt;="&amp;EDATE(DATEVALUE(C223&amp;"-01"),6),'📋 Транзакції'!$C$5:$C$3623,"&lt;"&amp;EDATE(DATEVALUE(C223&amp;"-01"),7))</f>
        <v>0</v>
      </c>
      <c r="Z223" s="37">
        <f>SUMIFS('📋 Транзакції'!$F$5:$F$3623,'📋 Транзакції'!$B$5:$B$3623,A223,'📋 Транзакції'!$C$5:$C$3623,"&gt;="&amp;EDATE(DATEVALUE(C223&amp;"-01"),7),'📋 Транзакції'!$C$5:$C$3623,"&lt;"&amp;EDATE(DATEVALUE(C223&amp;"-01"),8))</f>
        <v>0</v>
      </c>
      <c r="AA223" s="37">
        <f>SUMIFS('📋 Транзакції'!$F$5:$F$3623,'📋 Транзакції'!$B$5:$B$3623,A223,'📋 Транзакції'!$C$5:$C$3623,"&gt;="&amp;EDATE(DATEVALUE(C223&amp;"-01"),8),'📋 Транзакції'!$C$5:$C$3623,"&lt;"&amp;EDATE(DATEVALUE(C223&amp;"-01"),9))</f>
        <v>0</v>
      </c>
      <c r="AB223" s="37">
        <f>SUMIFS('📋 Транзакції'!$F$5:$F$3623,'📋 Транзакції'!$B$5:$B$3623,A223,'📋 Транзакції'!$C$5:$C$3623,"&gt;="&amp;EDATE(DATEVALUE(C223&amp;"-01"),9),'📋 Транзакції'!$C$5:$C$3623,"&lt;"&amp;EDATE(DATEVALUE(C223&amp;"-01"),10))</f>
        <v>0</v>
      </c>
      <c r="AC223" s="37">
        <f>SUMIFS('📋 Транзакції'!$F$5:$F$3623,'📋 Транзакції'!$B$5:$B$3623,A223,'📋 Транзакції'!$C$5:$C$3623,"&gt;="&amp;EDATE(DATEVALUE(C223&amp;"-01"),10),'📋 Транзакції'!$C$5:$C$3623,"&lt;"&amp;EDATE(DATEVALUE(C223&amp;"-01"),11))</f>
        <v>0</v>
      </c>
      <c r="AD223" s="37">
        <f>SUMIFS('📋 Транзакції'!$F$5:$F$3623,'📋 Транзакції'!$B$5:$B$3623,A223,'📋 Транзакції'!$C$5:$C$3623,"&gt;="&amp;EDATE(DATEVALUE(C223&amp;"-01"),11),'📋 Транзакції'!$C$5:$C$3623,"&lt;"&amp;EDATE(DATEVALUE(C223&amp;"-01"),12))</f>
        <v>0</v>
      </c>
    </row>
    <row r="224" ht="15.75" customHeight="1">
      <c r="A224" s="33" t="str">
        <f>'📋 Реєстрації'!A224:A825</f>
        <v>U0196</v>
      </c>
      <c r="B224" s="34">
        <f t="array" ref="B224">INDEX('📋 Транзакції'!$C$5:$C$3623,MATCH(A224,'📋 Транзакції'!$B$5:$B$3623,0))</f>
        <v>45506</v>
      </c>
      <c r="C224" s="35" t="str">
        <f t="shared" si="1"/>
        <v>2024-08</v>
      </c>
      <c r="D224" s="36">
        <f>COUNTIF('📋 Транзакції'!$B$5:$B$3623,A224)</f>
        <v>9</v>
      </c>
      <c r="E224" s="36">
        <f>SUMIF('📋 Транзакції'!$B$5:$B$3623,A224,'📋 Транзакції'!$F$5:$F$3623)</f>
        <v>159.92</v>
      </c>
      <c r="F224" s="35">
        <f>INT($A$1-MAXIFS('📋 Транзакції'!$C$5:$C$3623,'📋 Транзакції'!$B$5:$B$3623,A224))</f>
        <v>24</v>
      </c>
      <c r="G224" s="37">
        <f>IF(COUNTIFS('📋 Транзакції'!$B$5:$B$3623,A224,'📋 Транзакції'!$C$5:$C$3623,"&gt;="&amp;EDATE(DATEVALUE(C224&amp;"-01"),0),'📋 Транзакції'!$C$5:$C$3623,"&lt;"&amp;EDATE(DATEVALUE(C224&amp;"-01"),1))&gt;0,1,0)</f>
        <v>1</v>
      </c>
      <c r="H224" s="37">
        <f>IF(COUNTIFS('📋 Транзакції'!$B$5:$B$3623,A224,'📋 Транзакції'!$C$5:$C$3623,"&gt;="&amp;EDATE(DATEVALUE(C224&amp;"-01"),1),'📋 Транзакції'!$C$5:$C$3623,"&lt;"&amp;EDATE(DATEVALUE(C224&amp;"-01"),2))&gt;0,1,0)</f>
        <v>1</v>
      </c>
      <c r="I224" s="37">
        <f>IF(COUNTIFS('📋 Транзакції'!$B$5:$B$3623,A224,'📋 Транзакції'!$C$5:$C$3623,"&gt;="&amp;EDATE(DATEVALUE(C224&amp;"-01"),2),'📋 Транзакції'!$C$5:$C$3623,"&lt;"&amp;EDATE(DATEVALUE(C224&amp;"-01"),3))&gt;0,1,0)</f>
        <v>1</v>
      </c>
      <c r="J224" s="37">
        <f>IF(COUNTIFS('📋 Транзакції'!$B$5:$B$3623,A224,'📋 Транзакції'!$C$5:$C$3623,"&gt;="&amp;EDATE(DATEVALUE(C224&amp;"-01"),3),'📋 Транзакції'!$C$5:$C$3623,"&lt;"&amp;EDATE(DATEVALUE(C224&amp;"-01"),4))&gt;0,1,0)</f>
        <v>1</v>
      </c>
      <c r="K224" s="37">
        <f>IF(COUNTIFS('📋 Транзакції'!$B$5:$B$3623,A224,'📋 Транзакції'!$C$5:$C$3623,"&gt;="&amp;EDATE(DATEVALUE(C224&amp;"-01"),4),'📋 Транзакції'!$C$5:$C$3623,"&lt;"&amp;EDATE(DATEVALUE(C224&amp;"-01"),5))&gt;0,1,0)</f>
        <v>1</v>
      </c>
      <c r="L224" s="37">
        <f>IF(COUNTIFS('📋 Транзакції'!$B$5:$B$3623,A224,'📋 Транзакції'!$C$5:$C$3623,"&gt;="&amp;EDATE(DATEVALUE(C224&amp;"-01"),5),'📋 Транзакції'!$C$5:$C$3623,"&lt;"&amp;EDATE(DATEVALUE(C224&amp;"-01"),6))&gt;0,1,0)</f>
        <v>1</v>
      </c>
      <c r="M224" s="37">
        <f>IF(COUNTIFS('📋 Транзакції'!$B$5:$B$3623,A224,'📋 Транзакції'!$C$5:$C$3623,"&gt;="&amp;EDATE(DATEVALUE(C224&amp;"-01"),6),'📋 Транзакції'!$C$5:$C$3623,"&lt;"&amp;EDATE(DATEVALUE(C224&amp;"-01"),7))&gt;0,1,0)</f>
        <v>1</v>
      </c>
      <c r="N224" s="37">
        <f>IF(COUNTIFS('📋 Транзакції'!$B$5:$B$3623,A224,'📋 Транзакції'!$C$5:$C$3623,"&gt;="&amp;EDATE(DATEVALUE(C224&amp;"-01"),7),'📋 Транзакції'!$C$5:$C$3623,"&lt;"&amp;EDATE(DATEVALUE(C224&amp;"-01"),8))&gt;0,1,0)</f>
        <v>1</v>
      </c>
      <c r="O224" s="37">
        <f>IF(COUNTIFS('📋 Транзакції'!$B$5:$B$3623,A224,'📋 Транзакції'!$C$5:$C$3623,"&gt;="&amp;EDATE(DATEVALUE(C224&amp;"-01"),8),'📋 Транзакції'!$C$5:$C$3623,"&lt;"&amp;EDATE(DATEVALUE(C224&amp;"-01"),9))&gt;0,1,0)</f>
        <v>0</v>
      </c>
      <c r="P224" s="37">
        <f>IF(COUNTIFS('📋 Транзакції'!$B$5:$B$3623,A224,'📋 Транзакції'!$C$5:$C$3623,"&gt;="&amp;EDATE(DATEVALUE(C224&amp;"-01"),9),'📋 Транзакції'!$C$5:$C$3623,"&lt;"&amp;EDATE(DATEVALUE(C224&amp;"-01"),10))&gt;0,1,0)</f>
        <v>0</v>
      </c>
      <c r="Q224" s="37">
        <f>IF(COUNTIFS('📋 Транзакції'!$B$5:$B$3623,A224,'📋 Транзакції'!$C$5:$C$3623,"&gt;="&amp;EDATE(DATEVALUE(C224&amp;"-01"),10),'📋 Транзакції'!$C$5:$C$3623,"&lt;"&amp;EDATE(DATEVALUE(C224&amp;"-01"),11))&gt;0,1,0)</f>
        <v>0</v>
      </c>
      <c r="R224" s="37">
        <f>IF(COUNTIFS('📋 Транзакції'!$B$5:$B$3623,A224,'📋 Транзакції'!$C$5:$C$3623,"&gt;="&amp;EDATE(DATEVALUE(C224&amp;"-01"),11),'📋 Транзакції'!$C$5:$C$3623,"&lt;"&amp;EDATE(DATEVALUE(C224&amp;"-01"),12))&gt;0,1,0)</f>
        <v>0</v>
      </c>
      <c r="S224" s="37">
        <f>SUMIFS('📋 Транзакції'!$F$5:$F$3623,'📋 Транзакції'!$B$5:$B$3623,A224,'📋 Транзакції'!$C$5:$C$3623,"&gt;="&amp;EDATE(DATEVALUE(C224&amp;"-01"),0),'📋 Транзакції'!$C$5:$C$3623,"&lt;"&amp;EDATE(DATEVALUE(C224&amp;"-01"),1))</f>
        <v>19.99</v>
      </c>
      <c r="T224" s="37">
        <f>SUMIFS('📋 Транзакції'!$F$5:$F$3623,'📋 Транзакції'!$B$5:$B$3623,A224,'📋 Транзакції'!$C$5:$C$3623,"&gt;="&amp;EDATE(DATEVALUE(C224&amp;"-01"),1),'📋 Транзакції'!$C$5:$C$3623,"&lt;"&amp;EDATE(DATEVALUE(C224&amp;"-01"),2))</f>
        <v>19.99</v>
      </c>
      <c r="U224" s="37">
        <f>SUMIFS('📋 Транзакції'!$F$5:$F$3623,'📋 Транзакції'!$B$5:$B$3623,A224,'📋 Транзакції'!$C$5:$C$3623,"&gt;="&amp;EDATE(DATEVALUE(C224&amp;"-01"),2),'📋 Транзакції'!$C$5:$C$3623,"&lt;"&amp;EDATE(DATEVALUE(C224&amp;"-01"),3))</f>
        <v>19.99</v>
      </c>
      <c r="V224" s="37">
        <f>SUMIFS('📋 Транзакції'!$F$5:$F$3623,'📋 Транзакції'!$B$5:$B$3623,A224,'📋 Транзакції'!$C$5:$C$3623,"&gt;="&amp;EDATE(DATEVALUE(C224&amp;"-01"),3),'📋 Транзакції'!$C$5:$C$3623,"&lt;"&amp;EDATE(DATEVALUE(C224&amp;"-01"),4))</f>
        <v>19.99</v>
      </c>
      <c r="W224" s="37">
        <f>SUMIFS('📋 Транзакції'!$F$5:$F$3623,'📋 Транзакції'!$B$5:$B$3623,A224,'📋 Транзакції'!$C$5:$C$3623,"&gt;="&amp;EDATE(DATEVALUE(C224&amp;"-01"),4),'📋 Транзакції'!$C$5:$C$3623,"&lt;"&amp;EDATE(DATEVALUE(C224&amp;"-01"),5))</f>
        <v>19.99</v>
      </c>
      <c r="X224" s="37">
        <f>SUMIFS('📋 Транзакції'!$F$5:$F$3623,'📋 Транзакції'!$B$5:$B$3623,A224,'📋 Транзакції'!$C$5:$C$3623,"&gt;="&amp;EDATE(DATEVALUE(C224&amp;"-01"),5),'📋 Транзакції'!$C$5:$C$3623,"&lt;"&amp;EDATE(DATEVALUE(C224&amp;"-01"),6))</f>
        <v>19.99</v>
      </c>
      <c r="Y224" s="37">
        <f>SUMIFS('📋 Транзакції'!$F$5:$F$3623,'📋 Транзакції'!$B$5:$B$3623,A224,'📋 Транзакції'!$C$5:$C$3623,"&gt;="&amp;EDATE(DATEVALUE(C224&amp;"-01"),6),'📋 Транзакції'!$C$5:$C$3623,"&lt;"&amp;EDATE(DATEVALUE(C224&amp;"-01"),7))</f>
        <v>19.99</v>
      </c>
      <c r="Z224" s="37">
        <f>SUMIFS('📋 Транзакції'!$F$5:$F$3623,'📋 Транзакції'!$B$5:$B$3623,A224,'📋 Транзакції'!$C$5:$C$3623,"&gt;="&amp;EDATE(DATEVALUE(C224&amp;"-01"),7),'📋 Транзакції'!$C$5:$C$3623,"&lt;"&amp;EDATE(DATEVALUE(C224&amp;"-01"),8))</f>
        <v>19.99</v>
      </c>
      <c r="AA224" s="37">
        <f>SUMIFS('📋 Транзакції'!$F$5:$F$3623,'📋 Транзакції'!$B$5:$B$3623,A224,'📋 Транзакції'!$C$5:$C$3623,"&gt;="&amp;EDATE(DATEVALUE(C224&amp;"-01"),8),'📋 Транзакції'!$C$5:$C$3623,"&lt;"&amp;EDATE(DATEVALUE(C224&amp;"-01"),9))</f>
        <v>0</v>
      </c>
      <c r="AB224" s="37">
        <f>SUMIFS('📋 Транзакції'!$F$5:$F$3623,'📋 Транзакції'!$B$5:$B$3623,A224,'📋 Транзакції'!$C$5:$C$3623,"&gt;="&amp;EDATE(DATEVALUE(C224&amp;"-01"),9),'📋 Транзакції'!$C$5:$C$3623,"&lt;"&amp;EDATE(DATEVALUE(C224&amp;"-01"),10))</f>
        <v>0</v>
      </c>
      <c r="AC224" s="37">
        <f>SUMIFS('📋 Транзакції'!$F$5:$F$3623,'📋 Транзакції'!$B$5:$B$3623,A224,'📋 Транзакції'!$C$5:$C$3623,"&gt;="&amp;EDATE(DATEVALUE(C224&amp;"-01"),10),'📋 Транзакції'!$C$5:$C$3623,"&lt;"&amp;EDATE(DATEVALUE(C224&amp;"-01"),11))</f>
        <v>0</v>
      </c>
      <c r="AD224" s="37">
        <f>SUMIFS('📋 Транзакції'!$F$5:$F$3623,'📋 Транзакції'!$B$5:$B$3623,A224,'📋 Транзакції'!$C$5:$C$3623,"&gt;="&amp;EDATE(DATEVALUE(C224&amp;"-01"),11),'📋 Транзакції'!$C$5:$C$3623,"&lt;"&amp;EDATE(DATEVALUE(C224&amp;"-01"),12))</f>
        <v>0</v>
      </c>
    </row>
    <row r="225" ht="15.75" customHeight="1">
      <c r="A225" s="33" t="str">
        <f>'📋 Реєстрації'!A225:A826</f>
        <v>U0395</v>
      </c>
      <c r="B225" s="34">
        <f t="array" ref="B225">INDEX('📋 Транзакції'!$C$5:$C$3623,MATCH(A225,'📋 Транзакції'!$B$5:$B$3623,0))</f>
        <v>45506</v>
      </c>
      <c r="C225" s="35" t="str">
        <f t="shared" si="1"/>
        <v>2024-08</v>
      </c>
      <c r="D225" s="36">
        <f>COUNTIF('📋 Транзакції'!$B$5:$B$3623,A225)</f>
        <v>5</v>
      </c>
      <c r="E225" s="36">
        <f>SUMIF('📋 Транзакції'!$B$5:$B$3623,A225,'📋 Транзакції'!$F$5:$F$3623)</f>
        <v>79.96</v>
      </c>
      <c r="F225" s="35">
        <f>INT($A$1-MAXIFS('📋 Транзакції'!$C$5:$C$3623,'📋 Транзакції'!$B$5:$B$3623,A225))</f>
        <v>144</v>
      </c>
      <c r="G225" s="37">
        <f>IF(COUNTIFS('📋 Транзакції'!$B$5:$B$3623,A225,'📋 Транзакції'!$C$5:$C$3623,"&gt;="&amp;EDATE(DATEVALUE(C225&amp;"-01"),0),'📋 Транзакції'!$C$5:$C$3623,"&lt;"&amp;EDATE(DATEVALUE(C225&amp;"-01"),1))&gt;0,1,0)</f>
        <v>1</v>
      </c>
      <c r="H225" s="37">
        <f>IF(COUNTIFS('📋 Транзакції'!$B$5:$B$3623,A225,'📋 Транзакції'!$C$5:$C$3623,"&gt;="&amp;EDATE(DATEVALUE(C225&amp;"-01"),1),'📋 Транзакції'!$C$5:$C$3623,"&lt;"&amp;EDATE(DATEVALUE(C225&amp;"-01"),2))&gt;0,1,0)</f>
        <v>1</v>
      </c>
      <c r="I225" s="37">
        <f>IF(COUNTIFS('📋 Транзакції'!$B$5:$B$3623,A225,'📋 Транзакції'!$C$5:$C$3623,"&gt;="&amp;EDATE(DATEVALUE(C225&amp;"-01"),2),'📋 Транзакції'!$C$5:$C$3623,"&lt;"&amp;EDATE(DATEVALUE(C225&amp;"-01"),3))&gt;0,1,0)</f>
        <v>1</v>
      </c>
      <c r="J225" s="37">
        <f>IF(COUNTIFS('📋 Транзакції'!$B$5:$B$3623,A225,'📋 Транзакції'!$C$5:$C$3623,"&gt;="&amp;EDATE(DATEVALUE(C225&amp;"-01"),3),'📋 Транзакції'!$C$5:$C$3623,"&lt;"&amp;EDATE(DATEVALUE(C225&amp;"-01"),4))&gt;0,1,0)</f>
        <v>1</v>
      </c>
      <c r="K225" s="37">
        <f>IF(COUNTIFS('📋 Транзакції'!$B$5:$B$3623,A225,'📋 Транзакції'!$C$5:$C$3623,"&gt;="&amp;EDATE(DATEVALUE(C225&amp;"-01"),4),'📋 Транзакції'!$C$5:$C$3623,"&lt;"&amp;EDATE(DATEVALUE(C225&amp;"-01"),5))&gt;0,1,0)</f>
        <v>0</v>
      </c>
      <c r="L225" s="37">
        <f>IF(COUNTIFS('📋 Транзакції'!$B$5:$B$3623,A225,'📋 Транзакції'!$C$5:$C$3623,"&gt;="&amp;EDATE(DATEVALUE(C225&amp;"-01"),5),'📋 Транзакції'!$C$5:$C$3623,"&lt;"&amp;EDATE(DATEVALUE(C225&amp;"-01"),6))&gt;0,1,0)</f>
        <v>0</v>
      </c>
      <c r="M225" s="37">
        <f>IF(COUNTIFS('📋 Транзакції'!$B$5:$B$3623,A225,'📋 Транзакції'!$C$5:$C$3623,"&gt;="&amp;EDATE(DATEVALUE(C225&amp;"-01"),6),'📋 Транзакції'!$C$5:$C$3623,"&lt;"&amp;EDATE(DATEVALUE(C225&amp;"-01"),7))&gt;0,1,0)</f>
        <v>0</v>
      </c>
      <c r="N225" s="37">
        <f>IF(COUNTIFS('📋 Транзакції'!$B$5:$B$3623,A225,'📋 Транзакції'!$C$5:$C$3623,"&gt;="&amp;EDATE(DATEVALUE(C225&amp;"-01"),7),'📋 Транзакції'!$C$5:$C$3623,"&lt;"&amp;EDATE(DATEVALUE(C225&amp;"-01"),8))&gt;0,1,0)</f>
        <v>0</v>
      </c>
      <c r="O225" s="37">
        <f>IF(COUNTIFS('📋 Транзакції'!$B$5:$B$3623,A225,'📋 Транзакції'!$C$5:$C$3623,"&gt;="&amp;EDATE(DATEVALUE(C225&amp;"-01"),8),'📋 Транзакції'!$C$5:$C$3623,"&lt;"&amp;EDATE(DATEVALUE(C225&amp;"-01"),9))&gt;0,1,0)</f>
        <v>0</v>
      </c>
      <c r="P225" s="37">
        <f>IF(COUNTIFS('📋 Транзакції'!$B$5:$B$3623,A225,'📋 Транзакції'!$C$5:$C$3623,"&gt;="&amp;EDATE(DATEVALUE(C225&amp;"-01"),9),'📋 Транзакції'!$C$5:$C$3623,"&lt;"&amp;EDATE(DATEVALUE(C225&amp;"-01"),10))&gt;0,1,0)</f>
        <v>0</v>
      </c>
      <c r="Q225" s="37">
        <f>IF(COUNTIFS('📋 Транзакції'!$B$5:$B$3623,A225,'📋 Транзакції'!$C$5:$C$3623,"&gt;="&amp;EDATE(DATEVALUE(C225&amp;"-01"),10),'📋 Транзакції'!$C$5:$C$3623,"&lt;"&amp;EDATE(DATEVALUE(C225&amp;"-01"),11))&gt;0,1,0)</f>
        <v>0</v>
      </c>
      <c r="R225" s="37">
        <f>IF(COUNTIFS('📋 Транзакції'!$B$5:$B$3623,A225,'📋 Транзакції'!$C$5:$C$3623,"&gt;="&amp;EDATE(DATEVALUE(C225&amp;"-01"),11),'📋 Транзакції'!$C$5:$C$3623,"&lt;"&amp;EDATE(DATEVALUE(C225&amp;"-01"),12))&gt;0,1,0)</f>
        <v>0</v>
      </c>
      <c r="S225" s="37">
        <f>SUMIFS('📋 Транзакції'!$F$5:$F$3623,'📋 Транзакції'!$B$5:$B$3623,A225,'📋 Транзакції'!$C$5:$C$3623,"&gt;="&amp;EDATE(DATEVALUE(C225&amp;"-01"),0),'📋 Транзакції'!$C$5:$C$3623,"&lt;"&amp;EDATE(DATEVALUE(C225&amp;"-01"),1))</f>
        <v>19.99</v>
      </c>
      <c r="T225" s="37">
        <f>SUMIFS('📋 Транзакції'!$F$5:$F$3623,'📋 Транзакції'!$B$5:$B$3623,A225,'📋 Транзакції'!$C$5:$C$3623,"&gt;="&amp;EDATE(DATEVALUE(C225&amp;"-01"),1),'📋 Транзакції'!$C$5:$C$3623,"&lt;"&amp;EDATE(DATEVALUE(C225&amp;"-01"),2))</f>
        <v>19.99</v>
      </c>
      <c r="U225" s="37">
        <f>SUMIFS('📋 Транзакції'!$F$5:$F$3623,'📋 Транзакції'!$B$5:$B$3623,A225,'📋 Транзакції'!$C$5:$C$3623,"&gt;="&amp;EDATE(DATEVALUE(C225&amp;"-01"),2),'📋 Транзакції'!$C$5:$C$3623,"&lt;"&amp;EDATE(DATEVALUE(C225&amp;"-01"),3))</f>
        <v>19.99</v>
      </c>
      <c r="V225" s="37">
        <f>SUMIFS('📋 Транзакції'!$F$5:$F$3623,'📋 Транзакції'!$B$5:$B$3623,A225,'📋 Транзакції'!$C$5:$C$3623,"&gt;="&amp;EDATE(DATEVALUE(C225&amp;"-01"),3),'📋 Транзакції'!$C$5:$C$3623,"&lt;"&amp;EDATE(DATEVALUE(C225&amp;"-01"),4))</f>
        <v>19.99</v>
      </c>
      <c r="W225" s="37">
        <f>SUMIFS('📋 Транзакції'!$F$5:$F$3623,'📋 Транзакції'!$B$5:$B$3623,A225,'📋 Транзакції'!$C$5:$C$3623,"&gt;="&amp;EDATE(DATEVALUE(C225&amp;"-01"),4),'📋 Транзакції'!$C$5:$C$3623,"&lt;"&amp;EDATE(DATEVALUE(C225&amp;"-01"),5))</f>
        <v>0</v>
      </c>
      <c r="X225" s="37">
        <f>SUMIFS('📋 Транзакції'!$F$5:$F$3623,'📋 Транзакції'!$B$5:$B$3623,A225,'📋 Транзакції'!$C$5:$C$3623,"&gt;="&amp;EDATE(DATEVALUE(C225&amp;"-01"),5),'📋 Транзакції'!$C$5:$C$3623,"&lt;"&amp;EDATE(DATEVALUE(C225&amp;"-01"),6))</f>
        <v>0</v>
      </c>
      <c r="Y225" s="37">
        <f>SUMIFS('📋 Транзакції'!$F$5:$F$3623,'📋 Транзакції'!$B$5:$B$3623,A225,'📋 Транзакції'!$C$5:$C$3623,"&gt;="&amp;EDATE(DATEVALUE(C225&amp;"-01"),6),'📋 Транзакції'!$C$5:$C$3623,"&lt;"&amp;EDATE(DATEVALUE(C225&amp;"-01"),7))</f>
        <v>0</v>
      </c>
      <c r="Z225" s="37">
        <f>SUMIFS('📋 Транзакції'!$F$5:$F$3623,'📋 Транзакції'!$B$5:$B$3623,A225,'📋 Транзакції'!$C$5:$C$3623,"&gt;="&amp;EDATE(DATEVALUE(C225&amp;"-01"),7),'📋 Транзакції'!$C$5:$C$3623,"&lt;"&amp;EDATE(DATEVALUE(C225&amp;"-01"),8))</f>
        <v>0</v>
      </c>
      <c r="AA225" s="37">
        <f>SUMIFS('📋 Транзакції'!$F$5:$F$3623,'📋 Транзакції'!$B$5:$B$3623,A225,'📋 Транзакції'!$C$5:$C$3623,"&gt;="&amp;EDATE(DATEVALUE(C225&amp;"-01"),8),'📋 Транзакції'!$C$5:$C$3623,"&lt;"&amp;EDATE(DATEVALUE(C225&amp;"-01"),9))</f>
        <v>0</v>
      </c>
      <c r="AB225" s="37">
        <f>SUMIFS('📋 Транзакції'!$F$5:$F$3623,'📋 Транзакції'!$B$5:$B$3623,A225,'📋 Транзакції'!$C$5:$C$3623,"&gt;="&amp;EDATE(DATEVALUE(C225&amp;"-01"),9),'📋 Транзакції'!$C$5:$C$3623,"&lt;"&amp;EDATE(DATEVALUE(C225&amp;"-01"),10))</f>
        <v>0</v>
      </c>
      <c r="AC225" s="37">
        <f>SUMIFS('📋 Транзакції'!$F$5:$F$3623,'📋 Транзакції'!$B$5:$B$3623,A225,'📋 Транзакції'!$C$5:$C$3623,"&gt;="&amp;EDATE(DATEVALUE(C225&amp;"-01"),10),'📋 Транзакції'!$C$5:$C$3623,"&lt;"&amp;EDATE(DATEVALUE(C225&amp;"-01"),11))</f>
        <v>0</v>
      </c>
      <c r="AD225" s="37">
        <f>SUMIFS('📋 Транзакції'!$F$5:$F$3623,'📋 Транзакції'!$B$5:$B$3623,A225,'📋 Транзакції'!$C$5:$C$3623,"&gt;="&amp;EDATE(DATEVALUE(C225&amp;"-01"),11),'📋 Транзакції'!$C$5:$C$3623,"&lt;"&amp;EDATE(DATEVALUE(C225&amp;"-01"),12))</f>
        <v>0</v>
      </c>
    </row>
    <row r="226" ht="15.75" customHeight="1">
      <c r="A226" s="33" t="str">
        <f>'📋 Реєстрації'!A226:A827</f>
        <v>U0594</v>
      </c>
      <c r="B226" s="34">
        <f t="array" ref="B226">INDEX('📋 Транзакції'!$C$5:$C$3623,MATCH(A226,'📋 Транзакції'!$B$5:$B$3623,0))</f>
        <v>45506</v>
      </c>
      <c r="C226" s="35" t="str">
        <f t="shared" si="1"/>
        <v>2024-08</v>
      </c>
      <c r="D226" s="36">
        <f>COUNTIF('📋 Транзакції'!$B$5:$B$3623,A226)</f>
        <v>4</v>
      </c>
      <c r="E226" s="36">
        <f>SUMIF('📋 Транзакції'!$B$5:$B$3623,A226,'📋 Транзакції'!$F$5:$F$3623)</f>
        <v>59.97</v>
      </c>
      <c r="F226" s="35">
        <f>INT($A$1-MAXIFS('📋 Транзакції'!$C$5:$C$3623,'📋 Транзакції'!$B$5:$B$3623,A226))</f>
        <v>174</v>
      </c>
      <c r="G226" s="37">
        <f>IF(COUNTIFS('📋 Транзакції'!$B$5:$B$3623,A226,'📋 Транзакції'!$C$5:$C$3623,"&gt;="&amp;EDATE(DATEVALUE(C226&amp;"-01"),0),'📋 Транзакції'!$C$5:$C$3623,"&lt;"&amp;EDATE(DATEVALUE(C226&amp;"-01"),1))&gt;0,1,0)</f>
        <v>1</v>
      </c>
      <c r="H226" s="37">
        <f>IF(COUNTIFS('📋 Транзакції'!$B$5:$B$3623,A226,'📋 Транзакції'!$C$5:$C$3623,"&gt;="&amp;EDATE(DATEVALUE(C226&amp;"-01"),1),'📋 Транзакції'!$C$5:$C$3623,"&lt;"&amp;EDATE(DATEVALUE(C226&amp;"-01"),2))&gt;0,1,0)</f>
        <v>1</v>
      </c>
      <c r="I226" s="37">
        <f>IF(COUNTIFS('📋 Транзакції'!$B$5:$B$3623,A226,'📋 Транзакції'!$C$5:$C$3623,"&gt;="&amp;EDATE(DATEVALUE(C226&amp;"-01"),2),'📋 Транзакції'!$C$5:$C$3623,"&lt;"&amp;EDATE(DATEVALUE(C226&amp;"-01"),3))&gt;0,1,0)</f>
        <v>1</v>
      </c>
      <c r="J226" s="37">
        <f>IF(COUNTIFS('📋 Транзакції'!$B$5:$B$3623,A226,'📋 Транзакції'!$C$5:$C$3623,"&gt;="&amp;EDATE(DATEVALUE(C226&amp;"-01"),3),'📋 Транзакції'!$C$5:$C$3623,"&lt;"&amp;EDATE(DATEVALUE(C226&amp;"-01"),4))&gt;0,1,0)</f>
        <v>0</v>
      </c>
      <c r="K226" s="37">
        <f>IF(COUNTIFS('📋 Транзакції'!$B$5:$B$3623,A226,'📋 Транзакції'!$C$5:$C$3623,"&gt;="&amp;EDATE(DATEVALUE(C226&amp;"-01"),4),'📋 Транзакції'!$C$5:$C$3623,"&lt;"&amp;EDATE(DATEVALUE(C226&amp;"-01"),5))&gt;0,1,0)</f>
        <v>0</v>
      </c>
      <c r="L226" s="37">
        <f>IF(COUNTIFS('📋 Транзакції'!$B$5:$B$3623,A226,'📋 Транзакції'!$C$5:$C$3623,"&gt;="&amp;EDATE(DATEVALUE(C226&amp;"-01"),5),'📋 Транзакції'!$C$5:$C$3623,"&lt;"&amp;EDATE(DATEVALUE(C226&amp;"-01"),6))&gt;0,1,0)</f>
        <v>0</v>
      </c>
      <c r="M226" s="37">
        <f>IF(COUNTIFS('📋 Транзакції'!$B$5:$B$3623,A226,'📋 Транзакції'!$C$5:$C$3623,"&gt;="&amp;EDATE(DATEVALUE(C226&amp;"-01"),6),'📋 Транзакції'!$C$5:$C$3623,"&lt;"&amp;EDATE(DATEVALUE(C226&amp;"-01"),7))&gt;0,1,0)</f>
        <v>0</v>
      </c>
      <c r="N226" s="37">
        <f>IF(COUNTIFS('📋 Транзакції'!$B$5:$B$3623,A226,'📋 Транзакції'!$C$5:$C$3623,"&gt;="&amp;EDATE(DATEVALUE(C226&amp;"-01"),7),'📋 Транзакції'!$C$5:$C$3623,"&lt;"&amp;EDATE(DATEVALUE(C226&amp;"-01"),8))&gt;0,1,0)</f>
        <v>0</v>
      </c>
      <c r="O226" s="37">
        <f>IF(COUNTIFS('📋 Транзакції'!$B$5:$B$3623,A226,'📋 Транзакції'!$C$5:$C$3623,"&gt;="&amp;EDATE(DATEVALUE(C226&amp;"-01"),8),'📋 Транзакції'!$C$5:$C$3623,"&lt;"&amp;EDATE(DATEVALUE(C226&amp;"-01"),9))&gt;0,1,0)</f>
        <v>0</v>
      </c>
      <c r="P226" s="37">
        <f>IF(COUNTIFS('📋 Транзакції'!$B$5:$B$3623,A226,'📋 Транзакції'!$C$5:$C$3623,"&gt;="&amp;EDATE(DATEVALUE(C226&amp;"-01"),9),'📋 Транзакції'!$C$5:$C$3623,"&lt;"&amp;EDATE(DATEVALUE(C226&amp;"-01"),10))&gt;0,1,0)</f>
        <v>0</v>
      </c>
      <c r="Q226" s="37">
        <f>IF(COUNTIFS('📋 Транзакції'!$B$5:$B$3623,A226,'📋 Транзакції'!$C$5:$C$3623,"&gt;="&amp;EDATE(DATEVALUE(C226&amp;"-01"),10),'📋 Транзакції'!$C$5:$C$3623,"&lt;"&amp;EDATE(DATEVALUE(C226&amp;"-01"),11))&gt;0,1,0)</f>
        <v>0</v>
      </c>
      <c r="R226" s="37">
        <f>IF(COUNTIFS('📋 Транзакції'!$B$5:$B$3623,A226,'📋 Транзакції'!$C$5:$C$3623,"&gt;="&amp;EDATE(DATEVALUE(C226&amp;"-01"),11),'📋 Транзакції'!$C$5:$C$3623,"&lt;"&amp;EDATE(DATEVALUE(C226&amp;"-01"),12))&gt;0,1,0)</f>
        <v>0</v>
      </c>
      <c r="S226" s="37">
        <f>SUMIFS('📋 Транзакції'!$F$5:$F$3623,'📋 Транзакції'!$B$5:$B$3623,A226,'📋 Транзакції'!$C$5:$C$3623,"&gt;="&amp;EDATE(DATEVALUE(C226&amp;"-01"),0),'📋 Транзакції'!$C$5:$C$3623,"&lt;"&amp;EDATE(DATEVALUE(C226&amp;"-01"),1))</f>
        <v>19.99</v>
      </c>
      <c r="T226" s="37">
        <f>SUMIFS('📋 Транзакції'!$F$5:$F$3623,'📋 Транзакції'!$B$5:$B$3623,A226,'📋 Транзакції'!$C$5:$C$3623,"&gt;="&amp;EDATE(DATEVALUE(C226&amp;"-01"),1),'📋 Транзакції'!$C$5:$C$3623,"&lt;"&amp;EDATE(DATEVALUE(C226&amp;"-01"),2))</f>
        <v>19.99</v>
      </c>
      <c r="U226" s="37">
        <f>SUMIFS('📋 Транзакції'!$F$5:$F$3623,'📋 Транзакції'!$B$5:$B$3623,A226,'📋 Транзакції'!$C$5:$C$3623,"&gt;="&amp;EDATE(DATEVALUE(C226&amp;"-01"),2),'📋 Транзакції'!$C$5:$C$3623,"&lt;"&amp;EDATE(DATEVALUE(C226&amp;"-01"),3))</f>
        <v>19.99</v>
      </c>
      <c r="V226" s="37">
        <f>SUMIFS('📋 Транзакції'!$F$5:$F$3623,'📋 Транзакції'!$B$5:$B$3623,A226,'📋 Транзакції'!$C$5:$C$3623,"&gt;="&amp;EDATE(DATEVALUE(C226&amp;"-01"),3),'📋 Транзакції'!$C$5:$C$3623,"&lt;"&amp;EDATE(DATEVALUE(C226&amp;"-01"),4))</f>
        <v>0</v>
      </c>
      <c r="W226" s="37">
        <f>SUMIFS('📋 Транзакції'!$F$5:$F$3623,'📋 Транзакції'!$B$5:$B$3623,A226,'📋 Транзакції'!$C$5:$C$3623,"&gt;="&amp;EDATE(DATEVALUE(C226&amp;"-01"),4),'📋 Транзакції'!$C$5:$C$3623,"&lt;"&amp;EDATE(DATEVALUE(C226&amp;"-01"),5))</f>
        <v>0</v>
      </c>
      <c r="X226" s="37">
        <f>SUMIFS('📋 Транзакції'!$F$5:$F$3623,'📋 Транзакції'!$B$5:$B$3623,A226,'📋 Транзакції'!$C$5:$C$3623,"&gt;="&amp;EDATE(DATEVALUE(C226&amp;"-01"),5),'📋 Транзакції'!$C$5:$C$3623,"&lt;"&amp;EDATE(DATEVALUE(C226&amp;"-01"),6))</f>
        <v>0</v>
      </c>
      <c r="Y226" s="37">
        <f>SUMIFS('📋 Транзакції'!$F$5:$F$3623,'📋 Транзакції'!$B$5:$B$3623,A226,'📋 Транзакції'!$C$5:$C$3623,"&gt;="&amp;EDATE(DATEVALUE(C226&amp;"-01"),6),'📋 Транзакції'!$C$5:$C$3623,"&lt;"&amp;EDATE(DATEVALUE(C226&amp;"-01"),7))</f>
        <v>0</v>
      </c>
      <c r="Z226" s="37">
        <f>SUMIFS('📋 Транзакції'!$F$5:$F$3623,'📋 Транзакції'!$B$5:$B$3623,A226,'📋 Транзакції'!$C$5:$C$3623,"&gt;="&amp;EDATE(DATEVALUE(C226&amp;"-01"),7),'📋 Транзакції'!$C$5:$C$3623,"&lt;"&amp;EDATE(DATEVALUE(C226&amp;"-01"),8))</f>
        <v>0</v>
      </c>
      <c r="AA226" s="37">
        <f>SUMIFS('📋 Транзакції'!$F$5:$F$3623,'📋 Транзакції'!$B$5:$B$3623,A226,'📋 Транзакції'!$C$5:$C$3623,"&gt;="&amp;EDATE(DATEVALUE(C226&amp;"-01"),8),'📋 Транзакції'!$C$5:$C$3623,"&lt;"&amp;EDATE(DATEVALUE(C226&amp;"-01"),9))</f>
        <v>0</v>
      </c>
      <c r="AB226" s="37">
        <f>SUMIFS('📋 Транзакції'!$F$5:$F$3623,'📋 Транзакції'!$B$5:$B$3623,A226,'📋 Транзакції'!$C$5:$C$3623,"&gt;="&amp;EDATE(DATEVALUE(C226&amp;"-01"),9),'📋 Транзакції'!$C$5:$C$3623,"&lt;"&amp;EDATE(DATEVALUE(C226&amp;"-01"),10))</f>
        <v>0</v>
      </c>
      <c r="AC226" s="37">
        <f>SUMIFS('📋 Транзакції'!$F$5:$F$3623,'📋 Транзакції'!$B$5:$B$3623,A226,'📋 Транзакції'!$C$5:$C$3623,"&gt;="&amp;EDATE(DATEVALUE(C226&amp;"-01"),10),'📋 Транзакції'!$C$5:$C$3623,"&lt;"&amp;EDATE(DATEVALUE(C226&amp;"-01"),11))</f>
        <v>0</v>
      </c>
      <c r="AD226" s="37">
        <f>SUMIFS('📋 Транзакції'!$F$5:$F$3623,'📋 Транзакції'!$B$5:$B$3623,A226,'📋 Транзакції'!$C$5:$C$3623,"&gt;="&amp;EDATE(DATEVALUE(C226&amp;"-01"),11),'📋 Транзакції'!$C$5:$C$3623,"&lt;"&amp;EDATE(DATEVALUE(C226&amp;"-01"),12))</f>
        <v>0</v>
      </c>
    </row>
    <row r="227" ht="15.75" customHeight="1">
      <c r="A227" s="33" t="str">
        <f>'📋 Реєстрації'!A227:A828</f>
        <v>U0224</v>
      </c>
      <c r="B227" s="34">
        <f t="array" ref="B227">INDEX('📋 Транзакції'!$C$5:$C$3623,MATCH(A227,'📋 Транзакції'!$B$5:$B$3623,0))</f>
        <v>45507</v>
      </c>
      <c r="C227" s="35" t="str">
        <f t="shared" si="1"/>
        <v>2024-08</v>
      </c>
      <c r="D227" s="36">
        <f>COUNTIF('📋 Транзакції'!$B$5:$B$3623,A227)</f>
        <v>3</v>
      </c>
      <c r="E227" s="36">
        <f>SUMIF('📋 Транзакції'!$B$5:$B$3623,A227,'📋 Транзакції'!$F$5:$F$3623)</f>
        <v>39.98</v>
      </c>
      <c r="F227" s="35">
        <f>INT($A$1-MAXIFS('📋 Транзакції'!$C$5:$C$3623,'📋 Транзакції'!$B$5:$B$3623,A227))</f>
        <v>203</v>
      </c>
      <c r="G227" s="37">
        <f>IF(COUNTIFS('📋 Транзакції'!$B$5:$B$3623,A227,'📋 Транзакції'!$C$5:$C$3623,"&gt;="&amp;EDATE(DATEVALUE(C227&amp;"-01"),0),'📋 Транзакції'!$C$5:$C$3623,"&lt;"&amp;EDATE(DATEVALUE(C227&amp;"-01"),1))&gt;0,1,0)</f>
        <v>1</v>
      </c>
      <c r="H227" s="37">
        <f>IF(COUNTIFS('📋 Транзакції'!$B$5:$B$3623,A227,'📋 Транзакції'!$C$5:$C$3623,"&gt;="&amp;EDATE(DATEVALUE(C227&amp;"-01"),1),'📋 Транзакції'!$C$5:$C$3623,"&lt;"&amp;EDATE(DATEVALUE(C227&amp;"-01"),2))&gt;0,1,0)</f>
        <v>1</v>
      </c>
      <c r="I227" s="37">
        <f>IF(COUNTIFS('📋 Транзакції'!$B$5:$B$3623,A227,'📋 Транзакції'!$C$5:$C$3623,"&gt;="&amp;EDATE(DATEVALUE(C227&amp;"-01"),2),'📋 Транзакції'!$C$5:$C$3623,"&lt;"&amp;EDATE(DATEVALUE(C227&amp;"-01"),3))&gt;0,1,0)</f>
        <v>0</v>
      </c>
      <c r="J227" s="37">
        <f>IF(COUNTIFS('📋 Транзакції'!$B$5:$B$3623,A227,'📋 Транзакції'!$C$5:$C$3623,"&gt;="&amp;EDATE(DATEVALUE(C227&amp;"-01"),3),'📋 Транзакції'!$C$5:$C$3623,"&lt;"&amp;EDATE(DATEVALUE(C227&amp;"-01"),4))&gt;0,1,0)</f>
        <v>0</v>
      </c>
      <c r="K227" s="37">
        <f>IF(COUNTIFS('📋 Транзакції'!$B$5:$B$3623,A227,'📋 Транзакції'!$C$5:$C$3623,"&gt;="&amp;EDATE(DATEVALUE(C227&amp;"-01"),4),'📋 Транзакції'!$C$5:$C$3623,"&lt;"&amp;EDATE(DATEVALUE(C227&amp;"-01"),5))&gt;0,1,0)</f>
        <v>0</v>
      </c>
      <c r="L227" s="37">
        <f>IF(COUNTIFS('📋 Транзакції'!$B$5:$B$3623,A227,'📋 Транзакції'!$C$5:$C$3623,"&gt;="&amp;EDATE(DATEVALUE(C227&amp;"-01"),5),'📋 Транзакції'!$C$5:$C$3623,"&lt;"&amp;EDATE(DATEVALUE(C227&amp;"-01"),6))&gt;0,1,0)</f>
        <v>0</v>
      </c>
      <c r="M227" s="37">
        <f>IF(COUNTIFS('📋 Транзакції'!$B$5:$B$3623,A227,'📋 Транзакції'!$C$5:$C$3623,"&gt;="&amp;EDATE(DATEVALUE(C227&amp;"-01"),6),'📋 Транзакції'!$C$5:$C$3623,"&lt;"&amp;EDATE(DATEVALUE(C227&amp;"-01"),7))&gt;0,1,0)</f>
        <v>0</v>
      </c>
      <c r="N227" s="37">
        <f>IF(COUNTIFS('📋 Транзакції'!$B$5:$B$3623,A227,'📋 Транзакції'!$C$5:$C$3623,"&gt;="&amp;EDATE(DATEVALUE(C227&amp;"-01"),7),'📋 Транзакції'!$C$5:$C$3623,"&lt;"&amp;EDATE(DATEVALUE(C227&amp;"-01"),8))&gt;0,1,0)</f>
        <v>0</v>
      </c>
      <c r="O227" s="37">
        <f>IF(COUNTIFS('📋 Транзакції'!$B$5:$B$3623,A227,'📋 Транзакції'!$C$5:$C$3623,"&gt;="&amp;EDATE(DATEVALUE(C227&amp;"-01"),8),'📋 Транзакції'!$C$5:$C$3623,"&lt;"&amp;EDATE(DATEVALUE(C227&amp;"-01"),9))&gt;0,1,0)</f>
        <v>0</v>
      </c>
      <c r="P227" s="37">
        <f>IF(COUNTIFS('📋 Транзакції'!$B$5:$B$3623,A227,'📋 Транзакції'!$C$5:$C$3623,"&gt;="&amp;EDATE(DATEVALUE(C227&amp;"-01"),9),'📋 Транзакції'!$C$5:$C$3623,"&lt;"&amp;EDATE(DATEVALUE(C227&amp;"-01"),10))&gt;0,1,0)</f>
        <v>0</v>
      </c>
      <c r="Q227" s="37">
        <f>IF(COUNTIFS('📋 Транзакції'!$B$5:$B$3623,A227,'📋 Транзакції'!$C$5:$C$3623,"&gt;="&amp;EDATE(DATEVALUE(C227&amp;"-01"),10),'📋 Транзакції'!$C$5:$C$3623,"&lt;"&amp;EDATE(DATEVALUE(C227&amp;"-01"),11))&gt;0,1,0)</f>
        <v>0</v>
      </c>
      <c r="R227" s="37">
        <f>IF(COUNTIFS('📋 Транзакції'!$B$5:$B$3623,A227,'📋 Транзакції'!$C$5:$C$3623,"&gt;="&amp;EDATE(DATEVALUE(C227&amp;"-01"),11),'📋 Транзакції'!$C$5:$C$3623,"&lt;"&amp;EDATE(DATEVALUE(C227&amp;"-01"),12))&gt;0,1,0)</f>
        <v>0</v>
      </c>
      <c r="S227" s="37">
        <f>SUMIFS('📋 Транзакції'!$F$5:$F$3623,'📋 Транзакції'!$B$5:$B$3623,A227,'📋 Транзакції'!$C$5:$C$3623,"&gt;="&amp;EDATE(DATEVALUE(C227&amp;"-01"),0),'📋 Транзакції'!$C$5:$C$3623,"&lt;"&amp;EDATE(DATEVALUE(C227&amp;"-01"),1))</f>
        <v>19.99</v>
      </c>
      <c r="T227" s="37">
        <f>SUMIFS('📋 Транзакції'!$F$5:$F$3623,'📋 Транзакції'!$B$5:$B$3623,A227,'📋 Транзакції'!$C$5:$C$3623,"&gt;="&amp;EDATE(DATEVALUE(C227&amp;"-01"),1),'📋 Транзакції'!$C$5:$C$3623,"&lt;"&amp;EDATE(DATEVALUE(C227&amp;"-01"),2))</f>
        <v>19.99</v>
      </c>
      <c r="U227" s="37">
        <f>SUMIFS('📋 Транзакції'!$F$5:$F$3623,'📋 Транзакції'!$B$5:$B$3623,A227,'📋 Транзакції'!$C$5:$C$3623,"&gt;="&amp;EDATE(DATEVALUE(C227&amp;"-01"),2),'📋 Транзакції'!$C$5:$C$3623,"&lt;"&amp;EDATE(DATEVALUE(C227&amp;"-01"),3))</f>
        <v>0</v>
      </c>
      <c r="V227" s="37">
        <f>SUMIFS('📋 Транзакції'!$F$5:$F$3623,'📋 Транзакції'!$B$5:$B$3623,A227,'📋 Транзакції'!$C$5:$C$3623,"&gt;="&amp;EDATE(DATEVALUE(C227&amp;"-01"),3),'📋 Транзакції'!$C$5:$C$3623,"&lt;"&amp;EDATE(DATEVALUE(C227&amp;"-01"),4))</f>
        <v>0</v>
      </c>
      <c r="W227" s="37">
        <f>SUMIFS('📋 Транзакції'!$F$5:$F$3623,'📋 Транзакції'!$B$5:$B$3623,A227,'📋 Транзакції'!$C$5:$C$3623,"&gt;="&amp;EDATE(DATEVALUE(C227&amp;"-01"),4),'📋 Транзакції'!$C$5:$C$3623,"&lt;"&amp;EDATE(DATEVALUE(C227&amp;"-01"),5))</f>
        <v>0</v>
      </c>
      <c r="X227" s="37">
        <f>SUMIFS('📋 Транзакції'!$F$5:$F$3623,'📋 Транзакції'!$B$5:$B$3623,A227,'📋 Транзакції'!$C$5:$C$3623,"&gt;="&amp;EDATE(DATEVALUE(C227&amp;"-01"),5),'📋 Транзакції'!$C$5:$C$3623,"&lt;"&amp;EDATE(DATEVALUE(C227&amp;"-01"),6))</f>
        <v>0</v>
      </c>
      <c r="Y227" s="37">
        <f>SUMIFS('📋 Транзакції'!$F$5:$F$3623,'📋 Транзакції'!$B$5:$B$3623,A227,'📋 Транзакції'!$C$5:$C$3623,"&gt;="&amp;EDATE(DATEVALUE(C227&amp;"-01"),6),'📋 Транзакції'!$C$5:$C$3623,"&lt;"&amp;EDATE(DATEVALUE(C227&amp;"-01"),7))</f>
        <v>0</v>
      </c>
      <c r="Z227" s="37">
        <f>SUMIFS('📋 Транзакції'!$F$5:$F$3623,'📋 Транзакції'!$B$5:$B$3623,A227,'📋 Транзакції'!$C$5:$C$3623,"&gt;="&amp;EDATE(DATEVALUE(C227&amp;"-01"),7),'📋 Транзакції'!$C$5:$C$3623,"&lt;"&amp;EDATE(DATEVALUE(C227&amp;"-01"),8))</f>
        <v>0</v>
      </c>
      <c r="AA227" s="37">
        <f>SUMIFS('📋 Транзакції'!$F$5:$F$3623,'📋 Транзакції'!$B$5:$B$3623,A227,'📋 Транзакції'!$C$5:$C$3623,"&gt;="&amp;EDATE(DATEVALUE(C227&amp;"-01"),8),'📋 Транзакції'!$C$5:$C$3623,"&lt;"&amp;EDATE(DATEVALUE(C227&amp;"-01"),9))</f>
        <v>0</v>
      </c>
      <c r="AB227" s="37">
        <f>SUMIFS('📋 Транзакції'!$F$5:$F$3623,'📋 Транзакції'!$B$5:$B$3623,A227,'📋 Транзакції'!$C$5:$C$3623,"&gt;="&amp;EDATE(DATEVALUE(C227&amp;"-01"),9),'📋 Транзакції'!$C$5:$C$3623,"&lt;"&amp;EDATE(DATEVALUE(C227&amp;"-01"),10))</f>
        <v>0</v>
      </c>
      <c r="AC227" s="37">
        <f>SUMIFS('📋 Транзакції'!$F$5:$F$3623,'📋 Транзакції'!$B$5:$B$3623,A227,'📋 Транзакції'!$C$5:$C$3623,"&gt;="&amp;EDATE(DATEVALUE(C227&amp;"-01"),10),'📋 Транзакції'!$C$5:$C$3623,"&lt;"&amp;EDATE(DATEVALUE(C227&amp;"-01"),11))</f>
        <v>0</v>
      </c>
      <c r="AD227" s="37">
        <f>SUMIFS('📋 Транзакції'!$F$5:$F$3623,'📋 Транзакції'!$B$5:$B$3623,A227,'📋 Транзакції'!$C$5:$C$3623,"&gt;="&amp;EDATE(DATEVALUE(C227&amp;"-01"),11),'📋 Транзакції'!$C$5:$C$3623,"&lt;"&amp;EDATE(DATEVALUE(C227&amp;"-01"),12))</f>
        <v>0</v>
      </c>
    </row>
    <row r="228" ht="15.75" customHeight="1">
      <c r="A228" s="33" t="str">
        <f>'📋 Реєстрації'!A228:A829</f>
        <v>U0283</v>
      </c>
      <c r="B228" s="34">
        <f t="array" ref="B228">INDEX('📋 Транзакції'!$C$5:$C$3623,MATCH(A228,'📋 Транзакції'!$B$5:$B$3623,0))</f>
        <v>45507</v>
      </c>
      <c r="C228" s="35" t="str">
        <f t="shared" si="1"/>
        <v>2024-08</v>
      </c>
      <c r="D228" s="36">
        <f>COUNTIF('📋 Транзакції'!$B$5:$B$3623,A228)</f>
        <v>9</v>
      </c>
      <c r="E228" s="36">
        <f>SUMIF('📋 Транзакції'!$B$5:$B$3623,A228,'📋 Транзакції'!$F$5:$F$3623)</f>
        <v>159.92</v>
      </c>
      <c r="F228" s="35">
        <f>INT($A$1-MAXIFS('📋 Транзакції'!$C$5:$C$3623,'📋 Транзакції'!$B$5:$B$3623,A228))</f>
        <v>23</v>
      </c>
      <c r="G228" s="37">
        <f>IF(COUNTIFS('📋 Транзакції'!$B$5:$B$3623,A228,'📋 Транзакції'!$C$5:$C$3623,"&gt;="&amp;EDATE(DATEVALUE(C228&amp;"-01"),0),'📋 Транзакції'!$C$5:$C$3623,"&lt;"&amp;EDATE(DATEVALUE(C228&amp;"-01"),1))&gt;0,1,0)</f>
        <v>1</v>
      </c>
      <c r="H228" s="37">
        <f>IF(COUNTIFS('📋 Транзакції'!$B$5:$B$3623,A228,'📋 Транзакції'!$C$5:$C$3623,"&gt;="&amp;EDATE(DATEVALUE(C228&amp;"-01"),1),'📋 Транзакції'!$C$5:$C$3623,"&lt;"&amp;EDATE(DATEVALUE(C228&amp;"-01"),2))&gt;0,1,0)</f>
        <v>1</v>
      </c>
      <c r="I228" s="37">
        <f>IF(COUNTIFS('📋 Транзакції'!$B$5:$B$3623,A228,'📋 Транзакції'!$C$5:$C$3623,"&gt;="&amp;EDATE(DATEVALUE(C228&amp;"-01"),2),'📋 Транзакції'!$C$5:$C$3623,"&lt;"&amp;EDATE(DATEVALUE(C228&amp;"-01"),3))&gt;0,1,0)</f>
        <v>1</v>
      </c>
      <c r="J228" s="37">
        <f>IF(COUNTIFS('📋 Транзакції'!$B$5:$B$3623,A228,'📋 Транзакції'!$C$5:$C$3623,"&gt;="&amp;EDATE(DATEVALUE(C228&amp;"-01"),3),'📋 Транзакції'!$C$5:$C$3623,"&lt;"&amp;EDATE(DATEVALUE(C228&amp;"-01"),4))&gt;0,1,0)</f>
        <v>1</v>
      </c>
      <c r="K228" s="37">
        <f>IF(COUNTIFS('📋 Транзакції'!$B$5:$B$3623,A228,'📋 Транзакції'!$C$5:$C$3623,"&gt;="&amp;EDATE(DATEVALUE(C228&amp;"-01"),4),'📋 Транзакції'!$C$5:$C$3623,"&lt;"&amp;EDATE(DATEVALUE(C228&amp;"-01"),5))&gt;0,1,0)</f>
        <v>1</v>
      </c>
      <c r="L228" s="37">
        <f>IF(COUNTIFS('📋 Транзакції'!$B$5:$B$3623,A228,'📋 Транзакції'!$C$5:$C$3623,"&gt;="&amp;EDATE(DATEVALUE(C228&amp;"-01"),5),'📋 Транзакції'!$C$5:$C$3623,"&lt;"&amp;EDATE(DATEVALUE(C228&amp;"-01"),6))&gt;0,1,0)</f>
        <v>1</v>
      </c>
      <c r="M228" s="37">
        <f>IF(COUNTIFS('📋 Транзакції'!$B$5:$B$3623,A228,'📋 Транзакції'!$C$5:$C$3623,"&gt;="&amp;EDATE(DATEVALUE(C228&amp;"-01"),6),'📋 Транзакції'!$C$5:$C$3623,"&lt;"&amp;EDATE(DATEVALUE(C228&amp;"-01"),7))&gt;0,1,0)</f>
        <v>1</v>
      </c>
      <c r="N228" s="37">
        <f>IF(COUNTIFS('📋 Транзакції'!$B$5:$B$3623,A228,'📋 Транзакції'!$C$5:$C$3623,"&gt;="&amp;EDATE(DATEVALUE(C228&amp;"-01"),7),'📋 Транзакції'!$C$5:$C$3623,"&lt;"&amp;EDATE(DATEVALUE(C228&amp;"-01"),8))&gt;0,1,0)</f>
        <v>1</v>
      </c>
      <c r="O228" s="37">
        <f>IF(COUNTIFS('📋 Транзакції'!$B$5:$B$3623,A228,'📋 Транзакції'!$C$5:$C$3623,"&gt;="&amp;EDATE(DATEVALUE(C228&amp;"-01"),8),'📋 Транзакції'!$C$5:$C$3623,"&lt;"&amp;EDATE(DATEVALUE(C228&amp;"-01"),9))&gt;0,1,0)</f>
        <v>0</v>
      </c>
      <c r="P228" s="37">
        <f>IF(COUNTIFS('📋 Транзакції'!$B$5:$B$3623,A228,'📋 Транзакції'!$C$5:$C$3623,"&gt;="&amp;EDATE(DATEVALUE(C228&amp;"-01"),9),'📋 Транзакції'!$C$5:$C$3623,"&lt;"&amp;EDATE(DATEVALUE(C228&amp;"-01"),10))&gt;0,1,0)</f>
        <v>0</v>
      </c>
      <c r="Q228" s="37">
        <f>IF(COUNTIFS('📋 Транзакції'!$B$5:$B$3623,A228,'📋 Транзакції'!$C$5:$C$3623,"&gt;="&amp;EDATE(DATEVALUE(C228&amp;"-01"),10),'📋 Транзакції'!$C$5:$C$3623,"&lt;"&amp;EDATE(DATEVALUE(C228&amp;"-01"),11))&gt;0,1,0)</f>
        <v>0</v>
      </c>
      <c r="R228" s="37">
        <f>IF(COUNTIFS('📋 Транзакції'!$B$5:$B$3623,A228,'📋 Транзакції'!$C$5:$C$3623,"&gt;="&amp;EDATE(DATEVALUE(C228&amp;"-01"),11),'📋 Транзакції'!$C$5:$C$3623,"&lt;"&amp;EDATE(DATEVALUE(C228&amp;"-01"),12))&gt;0,1,0)</f>
        <v>0</v>
      </c>
      <c r="S228" s="37">
        <f>SUMIFS('📋 Транзакції'!$F$5:$F$3623,'📋 Транзакції'!$B$5:$B$3623,A228,'📋 Транзакції'!$C$5:$C$3623,"&gt;="&amp;EDATE(DATEVALUE(C228&amp;"-01"),0),'📋 Транзакції'!$C$5:$C$3623,"&lt;"&amp;EDATE(DATEVALUE(C228&amp;"-01"),1))</f>
        <v>19.99</v>
      </c>
      <c r="T228" s="37">
        <f>SUMIFS('📋 Транзакції'!$F$5:$F$3623,'📋 Транзакції'!$B$5:$B$3623,A228,'📋 Транзакції'!$C$5:$C$3623,"&gt;="&amp;EDATE(DATEVALUE(C228&amp;"-01"),1),'📋 Транзакції'!$C$5:$C$3623,"&lt;"&amp;EDATE(DATEVALUE(C228&amp;"-01"),2))</f>
        <v>19.99</v>
      </c>
      <c r="U228" s="37">
        <f>SUMIFS('📋 Транзакції'!$F$5:$F$3623,'📋 Транзакції'!$B$5:$B$3623,A228,'📋 Транзакції'!$C$5:$C$3623,"&gt;="&amp;EDATE(DATEVALUE(C228&amp;"-01"),2),'📋 Транзакції'!$C$5:$C$3623,"&lt;"&amp;EDATE(DATEVALUE(C228&amp;"-01"),3))</f>
        <v>19.99</v>
      </c>
      <c r="V228" s="37">
        <f>SUMIFS('📋 Транзакції'!$F$5:$F$3623,'📋 Транзакції'!$B$5:$B$3623,A228,'📋 Транзакції'!$C$5:$C$3623,"&gt;="&amp;EDATE(DATEVALUE(C228&amp;"-01"),3),'📋 Транзакції'!$C$5:$C$3623,"&lt;"&amp;EDATE(DATEVALUE(C228&amp;"-01"),4))</f>
        <v>19.99</v>
      </c>
      <c r="W228" s="37">
        <f>SUMIFS('📋 Транзакції'!$F$5:$F$3623,'📋 Транзакції'!$B$5:$B$3623,A228,'📋 Транзакції'!$C$5:$C$3623,"&gt;="&amp;EDATE(DATEVALUE(C228&amp;"-01"),4),'📋 Транзакції'!$C$5:$C$3623,"&lt;"&amp;EDATE(DATEVALUE(C228&amp;"-01"),5))</f>
        <v>19.99</v>
      </c>
      <c r="X228" s="37">
        <f>SUMIFS('📋 Транзакції'!$F$5:$F$3623,'📋 Транзакції'!$B$5:$B$3623,A228,'📋 Транзакції'!$C$5:$C$3623,"&gt;="&amp;EDATE(DATEVALUE(C228&amp;"-01"),5),'📋 Транзакції'!$C$5:$C$3623,"&lt;"&amp;EDATE(DATEVALUE(C228&amp;"-01"),6))</f>
        <v>19.99</v>
      </c>
      <c r="Y228" s="37">
        <f>SUMIFS('📋 Транзакції'!$F$5:$F$3623,'📋 Транзакції'!$B$5:$B$3623,A228,'📋 Транзакції'!$C$5:$C$3623,"&gt;="&amp;EDATE(DATEVALUE(C228&amp;"-01"),6),'📋 Транзакції'!$C$5:$C$3623,"&lt;"&amp;EDATE(DATEVALUE(C228&amp;"-01"),7))</f>
        <v>19.99</v>
      </c>
      <c r="Z228" s="37">
        <f>SUMIFS('📋 Транзакції'!$F$5:$F$3623,'📋 Транзакції'!$B$5:$B$3623,A228,'📋 Транзакції'!$C$5:$C$3623,"&gt;="&amp;EDATE(DATEVALUE(C228&amp;"-01"),7),'📋 Транзакції'!$C$5:$C$3623,"&lt;"&amp;EDATE(DATEVALUE(C228&amp;"-01"),8))</f>
        <v>19.99</v>
      </c>
      <c r="AA228" s="37">
        <f>SUMIFS('📋 Транзакції'!$F$5:$F$3623,'📋 Транзакції'!$B$5:$B$3623,A228,'📋 Транзакції'!$C$5:$C$3623,"&gt;="&amp;EDATE(DATEVALUE(C228&amp;"-01"),8),'📋 Транзакції'!$C$5:$C$3623,"&lt;"&amp;EDATE(DATEVALUE(C228&amp;"-01"),9))</f>
        <v>0</v>
      </c>
      <c r="AB228" s="37">
        <f>SUMIFS('📋 Транзакції'!$F$5:$F$3623,'📋 Транзакції'!$B$5:$B$3623,A228,'📋 Транзакції'!$C$5:$C$3623,"&gt;="&amp;EDATE(DATEVALUE(C228&amp;"-01"),9),'📋 Транзакції'!$C$5:$C$3623,"&lt;"&amp;EDATE(DATEVALUE(C228&amp;"-01"),10))</f>
        <v>0</v>
      </c>
      <c r="AC228" s="37">
        <f>SUMIFS('📋 Транзакції'!$F$5:$F$3623,'📋 Транзакції'!$B$5:$B$3623,A228,'📋 Транзакції'!$C$5:$C$3623,"&gt;="&amp;EDATE(DATEVALUE(C228&amp;"-01"),10),'📋 Транзакції'!$C$5:$C$3623,"&lt;"&amp;EDATE(DATEVALUE(C228&amp;"-01"),11))</f>
        <v>0</v>
      </c>
      <c r="AD228" s="37">
        <f>SUMIFS('📋 Транзакції'!$F$5:$F$3623,'📋 Транзакції'!$B$5:$B$3623,A228,'📋 Транзакції'!$C$5:$C$3623,"&gt;="&amp;EDATE(DATEVALUE(C228&amp;"-01"),11),'📋 Транзакції'!$C$5:$C$3623,"&lt;"&amp;EDATE(DATEVALUE(C228&amp;"-01"),12))</f>
        <v>0</v>
      </c>
    </row>
    <row r="229" ht="15.75" customHeight="1">
      <c r="A229" s="33" t="str">
        <f>'📋 Реєстрації'!A229:A830</f>
        <v>U0626</v>
      </c>
      <c r="B229" s="34">
        <f t="array" ref="B229">INDEX('📋 Транзакції'!$C$5:$C$3623,MATCH(A229,'📋 Транзакції'!$B$5:$B$3623,0))</f>
        <v>45507</v>
      </c>
      <c r="C229" s="35" t="str">
        <f t="shared" si="1"/>
        <v>2024-08</v>
      </c>
      <c r="D229" s="36">
        <f>COUNTIF('📋 Транзакції'!$B$5:$B$3623,A229)</f>
        <v>2</v>
      </c>
      <c r="E229" s="36">
        <f>SUMIF('📋 Транзакції'!$B$5:$B$3623,A229,'📋 Транзакції'!$F$5:$F$3623)</f>
        <v>19.99</v>
      </c>
      <c r="F229" s="35">
        <f>INT($A$1-MAXIFS('📋 Транзакції'!$C$5:$C$3623,'📋 Транзакції'!$B$5:$B$3623,A229))</f>
        <v>233</v>
      </c>
      <c r="G229" s="37">
        <f>IF(COUNTIFS('📋 Транзакції'!$B$5:$B$3623,A229,'📋 Транзакції'!$C$5:$C$3623,"&gt;="&amp;EDATE(DATEVALUE(C229&amp;"-01"),0),'📋 Транзакції'!$C$5:$C$3623,"&lt;"&amp;EDATE(DATEVALUE(C229&amp;"-01"),1))&gt;0,1,0)</f>
        <v>1</v>
      </c>
      <c r="H229" s="37">
        <f>IF(COUNTIFS('📋 Транзакції'!$B$5:$B$3623,A229,'📋 Транзакції'!$C$5:$C$3623,"&gt;="&amp;EDATE(DATEVALUE(C229&amp;"-01"),1),'📋 Транзакції'!$C$5:$C$3623,"&lt;"&amp;EDATE(DATEVALUE(C229&amp;"-01"),2))&gt;0,1,0)</f>
        <v>0</v>
      </c>
      <c r="I229" s="37">
        <f>IF(COUNTIFS('📋 Транзакції'!$B$5:$B$3623,A229,'📋 Транзакції'!$C$5:$C$3623,"&gt;="&amp;EDATE(DATEVALUE(C229&amp;"-01"),2),'📋 Транзакції'!$C$5:$C$3623,"&lt;"&amp;EDATE(DATEVALUE(C229&amp;"-01"),3))&gt;0,1,0)</f>
        <v>0</v>
      </c>
      <c r="J229" s="37">
        <f>IF(COUNTIFS('📋 Транзакції'!$B$5:$B$3623,A229,'📋 Транзакції'!$C$5:$C$3623,"&gt;="&amp;EDATE(DATEVALUE(C229&amp;"-01"),3),'📋 Транзакції'!$C$5:$C$3623,"&lt;"&amp;EDATE(DATEVALUE(C229&amp;"-01"),4))&gt;0,1,0)</f>
        <v>0</v>
      </c>
      <c r="K229" s="37">
        <f>IF(COUNTIFS('📋 Транзакції'!$B$5:$B$3623,A229,'📋 Транзакції'!$C$5:$C$3623,"&gt;="&amp;EDATE(DATEVALUE(C229&amp;"-01"),4),'📋 Транзакції'!$C$5:$C$3623,"&lt;"&amp;EDATE(DATEVALUE(C229&amp;"-01"),5))&gt;0,1,0)</f>
        <v>0</v>
      </c>
      <c r="L229" s="37">
        <f>IF(COUNTIFS('📋 Транзакції'!$B$5:$B$3623,A229,'📋 Транзакції'!$C$5:$C$3623,"&gt;="&amp;EDATE(DATEVALUE(C229&amp;"-01"),5),'📋 Транзакції'!$C$5:$C$3623,"&lt;"&amp;EDATE(DATEVALUE(C229&amp;"-01"),6))&gt;0,1,0)</f>
        <v>0</v>
      </c>
      <c r="M229" s="37">
        <f>IF(COUNTIFS('📋 Транзакції'!$B$5:$B$3623,A229,'📋 Транзакції'!$C$5:$C$3623,"&gt;="&amp;EDATE(DATEVALUE(C229&amp;"-01"),6),'📋 Транзакції'!$C$5:$C$3623,"&lt;"&amp;EDATE(DATEVALUE(C229&amp;"-01"),7))&gt;0,1,0)</f>
        <v>0</v>
      </c>
      <c r="N229" s="37">
        <f>IF(COUNTIFS('📋 Транзакції'!$B$5:$B$3623,A229,'📋 Транзакції'!$C$5:$C$3623,"&gt;="&amp;EDATE(DATEVALUE(C229&amp;"-01"),7),'📋 Транзакції'!$C$5:$C$3623,"&lt;"&amp;EDATE(DATEVALUE(C229&amp;"-01"),8))&gt;0,1,0)</f>
        <v>0</v>
      </c>
      <c r="O229" s="37">
        <f>IF(COUNTIFS('📋 Транзакції'!$B$5:$B$3623,A229,'📋 Транзакції'!$C$5:$C$3623,"&gt;="&amp;EDATE(DATEVALUE(C229&amp;"-01"),8),'📋 Транзакції'!$C$5:$C$3623,"&lt;"&amp;EDATE(DATEVALUE(C229&amp;"-01"),9))&gt;0,1,0)</f>
        <v>0</v>
      </c>
      <c r="P229" s="37">
        <f>IF(COUNTIFS('📋 Транзакції'!$B$5:$B$3623,A229,'📋 Транзакції'!$C$5:$C$3623,"&gt;="&amp;EDATE(DATEVALUE(C229&amp;"-01"),9),'📋 Транзакції'!$C$5:$C$3623,"&lt;"&amp;EDATE(DATEVALUE(C229&amp;"-01"),10))&gt;0,1,0)</f>
        <v>0</v>
      </c>
      <c r="Q229" s="37">
        <f>IF(COUNTIFS('📋 Транзакції'!$B$5:$B$3623,A229,'📋 Транзакції'!$C$5:$C$3623,"&gt;="&amp;EDATE(DATEVALUE(C229&amp;"-01"),10),'📋 Транзакції'!$C$5:$C$3623,"&lt;"&amp;EDATE(DATEVALUE(C229&amp;"-01"),11))&gt;0,1,0)</f>
        <v>0</v>
      </c>
      <c r="R229" s="37">
        <f>IF(COUNTIFS('📋 Транзакції'!$B$5:$B$3623,A229,'📋 Транзакції'!$C$5:$C$3623,"&gt;="&amp;EDATE(DATEVALUE(C229&amp;"-01"),11),'📋 Транзакції'!$C$5:$C$3623,"&lt;"&amp;EDATE(DATEVALUE(C229&amp;"-01"),12))&gt;0,1,0)</f>
        <v>0</v>
      </c>
      <c r="S229" s="37">
        <f>SUMIFS('📋 Транзакції'!$F$5:$F$3623,'📋 Транзакції'!$B$5:$B$3623,A229,'📋 Транзакції'!$C$5:$C$3623,"&gt;="&amp;EDATE(DATEVALUE(C229&amp;"-01"),0),'📋 Транзакції'!$C$5:$C$3623,"&lt;"&amp;EDATE(DATEVALUE(C229&amp;"-01"),1))</f>
        <v>19.99</v>
      </c>
      <c r="T229" s="37">
        <f>SUMIFS('📋 Транзакції'!$F$5:$F$3623,'📋 Транзакції'!$B$5:$B$3623,A229,'📋 Транзакції'!$C$5:$C$3623,"&gt;="&amp;EDATE(DATEVALUE(C229&amp;"-01"),1),'📋 Транзакції'!$C$5:$C$3623,"&lt;"&amp;EDATE(DATEVALUE(C229&amp;"-01"),2))</f>
        <v>0</v>
      </c>
      <c r="U229" s="37">
        <f>SUMIFS('📋 Транзакції'!$F$5:$F$3623,'📋 Транзакції'!$B$5:$B$3623,A229,'📋 Транзакції'!$C$5:$C$3623,"&gt;="&amp;EDATE(DATEVALUE(C229&amp;"-01"),2),'📋 Транзакції'!$C$5:$C$3623,"&lt;"&amp;EDATE(DATEVALUE(C229&amp;"-01"),3))</f>
        <v>0</v>
      </c>
      <c r="V229" s="37">
        <f>SUMIFS('📋 Транзакції'!$F$5:$F$3623,'📋 Транзакції'!$B$5:$B$3623,A229,'📋 Транзакції'!$C$5:$C$3623,"&gt;="&amp;EDATE(DATEVALUE(C229&amp;"-01"),3),'📋 Транзакції'!$C$5:$C$3623,"&lt;"&amp;EDATE(DATEVALUE(C229&amp;"-01"),4))</f>
        <v>0</v>
      </c>
      <c r="W229" s="37">
        <f>SUMIFS('📋 Транзакції'!$F$5:$F$3623,'📋 Транзакції'!$B$5:$B$3623,A229,'📋 Транзакції'!$C$5:$C$3623,"&gt;="&amp;EDATE(DATEVALUE(C229&amp;"-01"),4),'📋 Транзакції'!$C$5:$C$3623,"&lt;"&amp;EDATE(DATEVALUE(C229&amp;"-01"),5))</f>
        <v>0</v>
      </c>
      <c r="X229" s="37">
        <f>SUMIFS('📋 Транзакції'!$F$5:$F$3623,'📋 Транзакції'!$B$5:$B$3623,A229,'📋 Транзакції'!$C$5:$C$3623,"&gt;="&amp;EDATE(DATEVALUE(C229&amp;"-01"),5),'📋 Транзакції'!$C$5:$C$3623,"&lt;"&amp;EDATE(DATEVALUE(C229&amp;"-01"),6))</f>
        <v>0</v>
      </c>
      <c r="Y229" s="37">
        <f>SUMIFS('📋 Транзакції'!$F$5:$F$3623,'📋 Транзакції'!$B$5:$B$3623,A229,'📋 Транзакції'!$C$5:$C$3623,"&gt;="&amp;EDATE(DATEVALUE(C229&amp;"-01"),6),'📋 Транзакції'!$C$5:$C$3623,"&lt;"&amp;EDATE(DATEVALUE(C229&amp;"-01"),7))</f>
        <v>0</v>
      </c>
      <c r="Z229" s="37">
        <f>SUMIFS('📋 Транзакції'!$F$5:$F$3623,'📋 Транзакції'!$B$5:$B$3623,A229,'📋 Транзакції'!$C$5:$C$3623,"&gt;="&amp;EDATE(DATEVALUE(C229&amp;"-01"),7),'📋 Транзакції'!$C$5:$C$3623,"&lt;"&amp;EDATE(DATEVALUE(C229&amp;"-01"),8))</f>
        <v>0</v>
      </c>
      <c r="AA229" s="37">
        <f>SUMIFS('📋 Транзакції'!$F$5:$F$3623,'📋 Транзакції'!$B$5:$B$3623,A229,'📋 Транзакції'!$C$5:$C$3623,"&gt;="&amp;EDATE(DATEVALUE(C229&amp;"-01"),8),'📋 Транзакції'!$C$5:$C$3623,"&lt;"&amp;EDATE(DATEVALUE(C229&amp;"-01"),9))</f>
        <v>0</v>
      </c>
      <c r="AB229" s="37">
        <f>SUMIFS('📋 Транзакції'!$F$5:$F$3623,'📋 Транзакції'!$B$5:$B$3623,A229,'📋 Транзакції'!$C$5:$C$3623,"&gt;="&amp;EDATE(DATEVALUE(C229&amp;"-01"),9),'📋 Транзакції'!$C$5:$C$3623,"&lt;"&amp;EDATE(DATEVALUE(C229&amp;"-01"),10))</f>
        <v>0</v>
      </c>
      <c r="AC229" s="37">
        <f>SUMIFS('📋 Транзакції'!$F$5:$F$3623,'📋 Транзакції'!$B$5:$B$3623,A229,'📋 Транзакції'!$C$5:$C$3623,"&gt;="&amp;EDATE(DATEVALUE(C229&amp;"-01"),10),'📋 Транзакції'!$C$5:$C$3623,"&lt;"&amp;EDATE(DATEVALUE(C229&amp;"-01"),11))</f>
        <v>0</v>
      </c>
      <c r="AD229" s="37">
        <f>SUMIFS('📋 Транзакції'!$F$5:$F$3623,'📋 Транзакції'!$B$5:$B$3623,A229,'📋 Транзакції'!$C$5:$C$3623,"&gt;="&amp;EDATE(DATEVALUE(C229&amp;"-01"),11),'📋 Транзакції'!$C$5:$C$3623,"&lt;"&amp;EDATE(DATEVALUE(C229&amp;"-01"),12))</f>
        <v>0</v>
      </c>
    </row>
    <row r="230" ht="15.75" customHeight="1">
      <c r="A230" s="33" t="str">
        <f>'📋 Реєстрації'!A230:A831</f>
        <v>U0824</v>
      </c>
      <c r="B230" s="34">
        <f t="array" ref="B230">INDEX('📋 Транзакції'!$C$5:$C$3623,MATCH(A230,'📋 Транзакції'!$B$5:$B$3623,0))</f>
        <v>45507</v>
      </c>
      <c r="C230" s="35" t="str">
        <f t="shared" si="1"/>
        <v>2024-08</v>
      </c>
      <c r="D230" s="36">
        <f>COUNTIF('📋 Транзакції'!$B$5:$B$3623,A230)</f>
        <v>9</v>
      </c>
      <c r="E230" s="36">
        <f>SUMIF('📋 Транзакції'!$B$5:$B$3623,A230,'📋 Транзакції'!$F$5:$F$3623)</f>
        <v>159.92</v>
      </c>
      <c r="F230" s="35">
        <f>INT($A$1-MAXIFS('📋 Транзакції'!$C$5:$C$3623,'📋 Транзакції'!$B$5:$B$3623,A230))</f>
        <v>23</v>
      </c>
      <c r="G230" s="37">
        <f>IF(COUNTIFS('📋 Транзакції'!$B$5:$B$3623,A230,'📋 Транзакції'!$C$5:$C$3623,"&gt;="&amp;EDATE(DATEVALUE(C230&amp;"-01"),0),'📋 Транзакції'!$C$5:$C$3623,"&lt;"&amp;EDATE(DATEVALUE(C230&amp;"-01"),1))&gt;0,1,0)</f>
        <v>1</v>
      </c>
      <c r="H230" s="37">
        <f>IF(COUNTIFS('📋 Транзакції'!$B$5:$B$3623,A230,'📋 Транзакції'!$C$5:$C$3623,"&gt;="&amp;EDATE(DATEVALUE(C230&amp;"-01"),1),'📋 Транзакції'!$C$5:$C$3623,"&lt;"&amp;EDATE(DATEVALUE(C230&amp;"-01"),2))&gt;0,1,0)</f>
        <v>1</v>
      </c>
      <c r="I230" s="37">
        <f>IF(COUNTIFS('📋 Транзакції'!$B$5:$B$3623,A230,'📋 Транзакції'!$C$5:$C$3623,"&gt;="&amp;EDATE(DATEVALUE(C230&amp;"-01"),2),'📋 Транзакції'!$C$5:$C$3623,"&lt;"&amp;EDATE(DATEVALUE(C230&amp;"-01"),3))&gt;0,1,0)</f>
        <v>1</v>
      </c>
      <c r="J230" s="37">
        <f>IF(COUNTIFS('📋 Транзакції'!$B$5:$B$3623,A230,'📋 Транзакції'!$C$5:$C$3623,"&gt;="&amp;EDATE(DATEVALUE(C230&amp;"-01"),3),'📋 Транзакції'!$C$5:$C$3623,"&lt;"&amp;EDATE(DATEVALUE(C230&amp;"-01"),4))&gt;0,1,0)</f>
        <v>1</v>
      </c>
      <c r="K230" s="37">
        <f>IF(COUNTIFS('📋 Транзакції'!$B$5:$B$3623,A230,'📋 Транзакції'!$C$5:$C$3623,"&gt;="&amp;EDATE(DATEVALUE(C230&amp;"-01"),4),'📋 Транзакції'!$C$5:$C$3623,"&lt;"&amp;EDATE(DATEVALUE(C230&amp;"-01"),5))&gt;0,1,0)</f>
        <v>1</v>
      </c>
      <c r="L230" s="37">
        <f>IF(COUNTIFS('📋 Транзакції'!$B$5:$B$3623,A230,'📋 Транзакції'!$C$5:$C$3623,"&gt;="&amp;EDATE(DATEVALUE(C230&amp;"-01"),5),'📋 Транзакції'!$C$5:$C$3623,"&lt;"&amp;EDATE(DATEVALUE(C230&amp;"-01"),6))&gt;0,1,0)</f>
        <v>1</v>
      </c>
      <c r="M230" s="37">
        <f>IF(COUNTIFS('📋 Транзакції'!$B$5:$B$3623,A230,'📋 Транзакції'!$C$5:$C$3623,"&gt;="&amp;EDATE(DATEVALUE(C230&amp;"-01"),6),'📋 Транзакції'!$C$5:$C$3623,"&lt;"&amp;EDATE(DATEVALUE(C230&amp;"-01"),7))&gt;0,1,0)</f>
        <v>1</v>
      </c>
      <c r="N230" s="37">
        <f>IF(COUNTIFS('📋 Транзакції'!$B$5:$B$3623,A230,'📋 Транзакції'!$C$5:$C$3623,"&gt;="&amp;EDATE(DATEVALUE(C230&amp;"-01"),7),'📋 Транзакції'!$C$5:$C$3623,"&lt;"&amp;EDATE(DATEVALUE(C230&amp;"-01"),8))&gt;0,1,0)</f>
        <v>1</v>
      </c>
      <c r="O230" s="37">
        <f>IF(COUNTIFS('📋 Транзакції'!$B$5:$B$3623,A230,'📋 Транзакції'!$C$5:$C$3623,"&gt;="&amp;EDATE(DATEVALUE(C230&amp;"-01"),8),'📋 Транзакції'!$C$5:$C$3623,"&lt;"&amp;EDATE(DATEVALUE(C230&amp;"-01"),9))&gt;0,1,0)</f>
        <v>0</v>
      </c>
      <c r="P230" s="37">
        <f>IF(COUNTIFS('📋 Транзакції'!$B$5:$B$3623,A230,'📋 Транзакції'!$C$5:$C$3623,"&gt;="&amp;EDATE(DATEVALUE(C230&amp;"-01"),9),'📋 Транзакції'!$C$5:$C$3623,"&lt;"&amp;EDATE(DATEVALUE(C230&amp;"-01"),10))&gt;0,1,0)</f>
        <v>0</v>
      </c>
      <c r="Q230" s="37">
        <f>IF(COUNTIFS('📋 Транзакції'!$B$5:$B$3623,A230,'📋 Транзакції'!$C$5:$C$3623,"&gt;="&amp;EDATE(DATEVALUE(C230&amp;"-01"),10),'📋 Транзакції'!$C$5:$C$3623,"&lt;"&amp;EDATE(DATEVALUE(C230&amp;"-01"),11))&gt;0,1,0)</f>
        <v>0</v>
      </c>
      <c r="R230" s="37">
        <f>IF(COUNTIFS('📋 Транзакції'!$B$5:$B$3623,A230,'📋 Транзакції'!$C$5:$C$3623,"&gt;="&amp;EDATE(DATEVALUE(C230&amp;"-01"),11),'📋 Транзакції'!$C$5:$C$3623,"&lt;"&amp;EDATE(DATEVALUE(C230&amp;"-01"),12))&gt;0,1,0)</f>
        <v>0</v>
      </c>
      <c r="S230" s="37">
        <f>SUMIFS('📋 Транзакції'!$F$5:$F$3623,'📋 Транзакції'!$B$5:$B$3623,A230,'📋 Транзакції'!$C$5:$C$3623,"&gt;="&amp;EDATE(DATEVALUE(C230&amp;"-01"),0),'📋 Транзакції'!$C$5:$C$3623,"&lt;"&amp;EDATE(DATEVALUE(C230&amp;"-01"),1))</f>
        <v>19.99</v>
      </c>
      <c r="T230" s="37">
        <f>SUMIFS('📋 Транзакції'!$F$5:$F$3623,'📋 Транзакції'!$B$5:$B$3623,A230,'📋 Транзакції'!$C$5:$C$3623,"&gt;="&amp;EDATE(DATEVALUE(C230&amp;"-01"),1),'📋 Транзакції'!$C$5:$C$3623,"&lt;"&amp;EDATE(DATEVALUE(C230&amp;"-01"),2))</f>
        <v>19.99</v>
      </c>
      <c r="U230" s="37">
        <f>SUMIFS('📋 Транзакції'!$F$5:$F$3623,'📋 Транзакції'!$B$5:$B$3623,A230,'📋 Транзакції'!$C$5:$C$3623,"&gt;="&amp;EDATE(DATEVALUE(C230&amp;"-01"),2),'📋 Транзакції'!$C$5:$C$3623,"&lt;"&amp;EDATE(DATEVALUE(C230&amp;"-01"),3))</f>
        <v>19.99</v>
      </c>
      <c r="V230" s="37">
        <f>SUMIFS('📋 Транзакції'!$F$5:$F$3623,'📋 Транзакції'!$B$5:$B$3623,A230,'📋 Транзакції'!$C$5:$C$3623,"&gt;="&amp;EDATE(DATEVALUE(C230&amp;"-01"),3),'📋 Транзакції'!$C$5:$C$3623,"&lt;"&amp;EDATE(DATEVALUE(C230&amp;"-01"),4))</f>
        <v>19.99</v>
      </c>
      <c r="W230" s="37">
        <f>SUMIFS('📋 Транзакції'!$F$5:$F$3623,'📋 Транзакції'!$B$5:$B$3623,A230,'📋 Транзакції'!$C$5:$C$3623,"&gt;="&amp;EDATE(DATEVALUE(C230&amp;"-01"),4),'📋 Транзакції'!$C$5:$C$3623,"&lt;"&amp;EDATE(DATEVALUE(C230&amp;"-01"),5))</f>
        <v>19.99</v>
      </c>
      <c r="X230" s="37">
        <f>SUMIFS('📋 Транзакції'!$F$5:$F$3623,'📋 Транзакції'!$B$5:$B$3623,A230,'📋 Транзакції'!$C$5:$C$3623,"&gt;="&amp;EDATE(DATEVALUE(C230&amp;"-01"),5),'📋 Транзакції'!$C$5:$C$3623,"&lt;"&amp;EDATE(DATEVALUE(C230&amp;"-01"),6))</f>
        <v>19.99</v>
      </c>
      <c r="Y230" s="37">
        <f>SUMIFS('📋 Транзакції'!$F$5:$F$3623,'📋 Транзакції'!$B$5:$B$3623,A230,'📋 Транзакції'!$C$5:$C$3623,"&gt;="&amp;EDATE(DATEVALUE(C230&amp;"-01"),6),'📋 Транзакції'!$C$5:$C$3623,"&lt;"&amp;EDATE(DATEVALUE(C230&amp;"-01"),7))</f>
        <v>19.99</v>
      </c>
      <c r="Z230" s="37">
        <f>SUMIFS('📋 Транзакції'!$F$5:$F$3623,'📋 Транзакції'!$B$5:$B$3623,A230,'📋 Транзакції'!$C$5:$C$3623,"&gt;="&amp;EDATE(DATEVALUE(C230&amp;"-01"),7),'📋 Транзакції'!$C$5:$C$3623,"&lt;"&amp;EDATE(DATEVALUE(C230&amp;"-01"),8))</f>
        <v>19.99</v>
      </c>
      <c r="AA230" s="37">
        <f>SUMIFS('📋 Транзакції'!$F$5:$F$3623,'📋 Транзакції'!$B$5:$B$3623,A230,'📋 Транзакції'!$C$5:$C$3623,"&gt;="&amp;EDATE(DATEVALUE(C230&amp;"-01"),8),'📋 Транзакції'!$C$5:$C$3623,"&lt;"&amp;EDATE(DATEVALUE(C230&amp;"-01"),9))</f>
        <v>0</v>
      </c>
      <c r="AB230" s="37">
        <f>SUMIFS('📋 Транзакції'!$F$5:$F$3623,'📋 Транзакції'!$B$5:$B$3623,A230,'📋 Транзакції'!$C$5:$C$3623,"&gt;="&amp;EDATE(DATEVALUE(C230&amp;"-01"),9),'📋 Транзакції'!$C$5:$C$3623,"&lt;"&amp;EDATE(DATEVALUE(C230&amp;"-01"),10))</f>
        <v>0</v>
      </c>
      <c r="AC230" s="37">
        <f>SUMIFS('📋 Транзакції'!$F$5:$F$3623,'📋 Транзакції'!$B$5:$B$3623,A230,'📋 Транзакції'!$C$5:$C$3623,"&gt;="&amp;EDATE(DATEVALUE(C230&amp;"-01"),10),'📋 Транзакції'!$C$5:$C$3623,"&lt;"&amp;EDATE(DATEVALUE(C230&amp;"-01"),11))</f>
        <v>0</v>
      </c>
      <c r="AD230" s="37">
        <f>SUMIFS('📋 Транзакції'!$F$5:$F$3623,'📋 Транзакції'!$B$5:$B$3623,A230,'📋 Транзакції'!$C$5:$C$3623,"&gt;="&amp;EDATE(DATEVALUE(C230&amp;"-01"),11),'📋 Транзакції'!$C$5:$C$3623,"&lt;"&amp;EDATE(DATEVALUE(C230&amp;"-01"),12))</f>
        <v>0</v>
      </c>
    </row>
    <row r="231" ht="15.75" customHeight="1">
      <c r="A231" s="33" t="str">
        <f>'📋 Реєстрації'!A231:A832</f>
        <v>U0269</v>
      </c>
      <c r="B231" s="34">
        <f t="array" ref="B231">INDEX('📋 Транзакції'!$C$5:$C$3623,MATCH(A231,'📋 Транзакції'!$B$5:$B$3623,0))</f>
        <v>45509</v>
      </c>
      <c r="C231" s="35" t="str">
        <f t="shared" si="1"/>
        <v>2024-08</v>
      </c>
      <c r="D231" s="36">
        <f>COUNTIF('📋 Транзакції'!$B$5:$B$3623,A231)</f>
        <v>9</v>
      </c>
      <c r="E231" s="36">
        <f>SUMIF('📋 Транзакції'!$B$5:$B$3623,A231,'📋 Транзакції'!$F$5:$F$3623)</f>
        <v>159.92</v>
      </c>
      <c r="F231" s="35">
        <f>INT($A$1-MAXIFS('📋 Транзакції'!$C$5:$C$3623,'📋 Транзакції'!$B$5:$B$3623,A231))</f>
        <v>21</v>
      </c>
      <c r="G231" s="37">
        <f>IF(COUNTIFS('📋 Транзакції'!$B$5:$B$3623,A231,'📋 Транзакції'!$C$5:$C$3623,"&gt;="&amp;EDATE(DATEVALUE(C231&amp;"-01"),0),'📋 Транзакції'!$C$5:$C$3623,"&lt;"&amp;EDATE(DATEVALUE(C231&amp;"-01"),1))&gt;0,1,0)</f>
        <v>1</v>
      </c>
      <c r="H231" s="37">
        <f>IF(COUNTIFS('📋 Транзакції'!$B$5:$B$3623,A231,'📋 Транзакції'!$C$5:$C$3623,"&gt;="&amp;EDATE(DATEVALUE(C231&amp;"-01"),1),'📋 Транзакції'!$C$5:$C$3623,"&lt;"&amp;EDATE(DATEVALUE(C231&amp;"-01"),2))&gt;0,1,0)</f>
        <v>1</v>
      </c>
      <c r="I231" s="37">
        <f>IF(COUNTIFS('📋 Транзакції'!$B$5:$B$3623,A231,'📋 Транзакції'!$C$5:$C$3623,"&gt;="&amp;EDATE(DATEVALUE(C231&amp;"-01"),2),'📋 Транзакції'!$C$5:$C$3623,"&lt;"&amp;EDATE(DATEVALUE(C231&amp;"-01"),3))&gt;0,1,0)</f>
        <v>1</v>
      </c>
      <c r="J231" s="37">
        <f>IF(COUNTIFS('📋 Транзакції'!$B$5:$B$3623,A231,'📋 Транзакції'!$C$5:$C$3623,"&gt;="&amp;EDATE(DATEVALUE(C231&amp;"-01"),3),'📋 Транзакції'!$C$5:$C$3623,"&lt;"&amp;EDATE(DATEVALUE(C231&amp;"-01"),4))&gt;0,1,0)</f>
        <v>1</v>
      </c>
      <c r="K231" s="37">
        <f>IF(COUNTIFS('📋 Транзакції'!$B$5:$B$3623,A231,'📋 Транзакції'!$C$5:$C$3623,"&gt;="&amp;EDATE(DATEVALUE(C231&amp;"-01"),4),'📋 Транзакції'!$C$5:$C$3623,"&lt;"&amp;EDATE(DATEVALUE(C231&amp;"-01"),5))&gt;0,1,0)</f>
        <v>1</v>
      </c>
      <c r="L231" s="37">
        <f>IF(COUNTIFS('📋 Транзакції'!$B$5:$B$3623,A231,'📋 Транзакції'!$C$5:$C$3623,"&gt;="&amp;EDATE(DATEVALUE(C231&amp;"-01"),5),'📋 Транзакції'!$C$5:$C$3623,"&lt;"&amp;EDATE(DATEVALUE(C231&amp;"-01"),6))&gt;0,1,0)</f>
        <v>1</v>
      </c>
      <c r="M231" s="37">
        <f>IF(COUNTIFS('📋 Транзакції'!$B$5:$B$3623,A231,'📋 Транзакції'!$C$5:$C$3623,"&gt;="&amp;EDATE(DATEVALUE(C231&amp;"-01"),6),'📋 Транзакції'!$C$5:$C$3623,"&lt;"&amp;EDATE(DATEVALUE(C231&amp;"-01"),7))&gt;0,1,0)</f>
        <v>1</v>
      </c>
      <c r="N231" s="37">
        <f>IF(COUNTIFS('📋 Транзакції'!$B$5:$B$3623,A231,'📋 Транзакції'!$C$5:$C$3623,"&gt;="&amp;EDATE(DATEVALUE(C231&amp;"-01"),7),'📋 Транзакції'!$C$5:$C$3623,"&lt;"&amp;EDATE(DATEVALUE(C231&amp;"-01"),8))&gt;0,1,0)</f>
        <v>1</v>
      </c>
      <c r="O231" s="37">
        <f>IF(COUNTIFS('📋 Транзакції'!$B$5:$B$3623,A231,'📋 Транзакції'!$C$5:$C$3623,"&gt;="&amp;EDATE(DATEVALUE(C231&amp;"-01"),8),'📋 Транзакції'!$C$5:$C$3623,"&lt;"&amp;EDATE(DATEVALUE(C231&amp;"-01"),9))&gt;0,1,0)</f>
        <v>0</v>
      </c>
      <c r="P231" s="37">
        <f>IF(COUNTIFS('📋 Транзакції'!$B$5:$B$3623,A231,'📋 Транзакції'!$C$5:$C$3623,"&gt;="&amp;EDATE(DATEVALUE(C231&amp;"-01"),9),'📋 Транзакції'!$C$5:$C$3623,"&lt;"&amp;EDATE(DATEVALUE(C231&amp;"-01"),10))&gt;0,1,0)</f>
        <v>0</v>
      </c>
      <c r="Q231" s="37">
        <f>IF(COUNTIFS('📋 Транзакції'!$B$5:$B$3623,A231,'📋 Транзакції'!$C$5:$C$3623,"&gt;="&amp;EDATE(DATEVALUE(C231&amp;"-01"),10),'📋 Транзакції'!$C$5:$C$3623,"&lt;"&amp;EDATE(DATEVALUE(C231&amp;"-01"),11))&gt;0,1,0)</f>
        <v>0</v>
      </c>
      <c r="R231" s="37">
        <f>IF(COUNTIFS('📋 Транзакції'!$B$5:$B$3623,A231,'📋 Транзакції'!$C$5:$C$3623,"&gt;="&amp;EDATE(DATEVALUE(C231&amp;"-01"),11),'📋 Транзакції'!$C$5:$C$3623,"&lt;"&amp;EDATE(DATEVALUE(C231&amp;"-01"),12))&gt;0,1,0)</f>
        <v>0</v>
      </c>
      <c r="S231" s="37">
        <f>SUMIFS('📋 Транзакції'!$F$5:$F$3623,'📋 Транзакції'!$B$5:$B$3623,A231,'📋 Транзакції'!$C$5:$C$3623,"&gt;="&amp;EDATE(DATEVALUE(C231&amp;"-01"),0),'📋 Транзакції'!$C$5:$C$3623,"&lt;"&amp;EDATE(DATEVALUE(C231&amp;"-01"),1))</f>
        <v>19.99</v>
      </c>
      <c r="T231" s="37">
        <f>SUMIFS('📋 Транзакції'!$F$5:$F$3623,'📋 Транзакції'!$B$5:$B$3623,A231,'📋 Транзакції'!$C$5:$C$3623,"&gt;="&amp;EDATE(DATEVALUE(C231&amp;"-01"),1),'📋 Транзакції'!$C$5:$C$3623,"&lt;"&amp;EDATE(DATEVALUE(C231&amp;"-01"),2))</f>
        <v>19.99</v>
      </c>
      <c r="U231" s="37">
        <f>SUMIFS('📋 Транзакції'!$F$5:$F$3623,'📋 Транзакції'!$B$5:$B$3623,A231,'📋 Транзакції'!$C$5:$C$3623,"&gt;="&amp;EDATE(DATEVALUE(C231&amp;"-01"),2),'📋 Транзакції'!$C$5:$C$3623,"&lt;"&amp;EDATE(DATEVALUE(C231&amp;"-01"),3))</f>
        <v>19.99</v>
      </c>
      <c r="V231" s="37">
        <f>SUMIFS('📋 Транзакції'!$F$5:$F$3623,'📋 Транзакції'!$B$5:$B$3623,A231,'📋 Транзакції'!$C$5:$C$3623,"&gt;="&amp;EDATE(DATEVALUE(C231&amp;"-01"),3),'📋 Транзакції'!$C$5:$C$3623,"&lt;"&amp;EDATE(DATEVALUE(C231&amp;"-01"),4))</f>
        <v>19.99</v>
      </c>
      <c r="W231" s="37">
        <f>SUMIFS('📋 Транзакції'!$F$5:$F$3623,'📋 Транзакції'!$B$5:$B$3623,A231,'📋 Транзакції'!$C$5:$C$3623,"&gt;="&amp;EDATE(DATEVALUE(C231&amp;"-01"),4),'📋 Транзакції'!$C$5:$C$3623,"&lt;"&amp;EDATE(DATEVALUE(C231&amp;"-01"),5))</f>
        <v>19.99</v>
      </c>
      <c r="X231" s="37">
        <f>SUMIFS('📋 Транзакції'!$F$5:$F$3623,'📋 Транзакції'!$B$5:$B$3623,A231,'📋 Транзакції'!$C$5:$C$3623,"&gt;="&amp;EDATE(DATEVALUE(C231&amp;"-01"),5),'📋 Транзакції'!$C$5:$C$3623,"&lt;"&amp;EDATE(DATEVALUE(C231&amp;"-01"),6))</f>
        <v>19.99</v>
      </c>
      <c r="Y231" s="37">
        <f>SUMIFS('📋 Транзакції'!$F$5:$F$3623,'📋 Транзакції'!$B$5:$B$3623,A231,'📋 Транзакції'!$C$5:$C$3623,"&gt;="&amp;EDATE(DATEVALUE(C231&amp;"-01"),6),'📋 Транзакції'!$C$5:$C$3623,"&lt;"&amp;EDATE(DATEVALUE(C231&amp;"-01"),7))</f>
        <v>19.99</v>
      </c>
      <c r="Z231" s="37">
        <f>SUMIFS('📋 Транзакції'!$F$5:$F$3623,'📋 Транзакції'!$B$5:$B$3623,A231,'📋 Транзакції'!$C$5:$C$3623,"&gt;="&amp;EDATE(DATEVALUE(C231&amp;"-01"),7),'📋 Транзакції'!$C$5:$C$3623,"&lt;"&amp;EDATE(DATEVALUE(C231&amp;"-01"),8))</f>
        <v>19.99</v>
      </c>
      <c r="AA231" s="37">
        <f>SUMIFS('📋 Транзакції'!$F$5:$F$3623,'📋 Транзакції'!$B$5:$B$3623,A231,'📋 Транзакції'!$C$5:$C$3623,"&gt;="&amp;EDATE(DATEVALUE(C231&amp;"-01"),8),'📋 Транзакції'!$C$5:$C$3623,"&lt;"&amp;EDATE(DATEVALUE(C231&amp;"-01"),9))</f>
        <v>0</v>
      </c>
      <c r="AB231" s="37">
        <f>SUMIFS('📋 Транзакції'!$F$5:$F$3623,'📋 Транзакції'!$B$5:$B$3623,A231,'📋 Транзакції'!$C$5:$C$3623,"&gt;="&amp;EDATE(DATEVALUE(C231&amp;"-01"),9),'📋 Транзакції'!$C$5:$C$3623,"&lt;"&amp;EDATE(DATEVALUE(C231&amp;"-01"),10))</f>
        <v>0</v>
      </c>
      <c r="AC231" s="37">
        <f>SUMIFS('📋 Транзакції'!$F$5:$F$3623,'📋 Транзакції'!$B$5:$B$3623,A231,'📋 Транзакції'!$C$5:$C$3623,"&gt;="&amp;EDATE(DATEVALUE(C231&amp;"-01"),10),'📋 Транзакції'!$C$5:$C$3623,"&lt;"&amp;EDATE(DATEVALUE(C231&amp;"-01"),11))</f>
        <v>0</v>
      </c>
      <c r="AD231" s="37">
        <f>SUMIFS('📋 Транзакції'!$F$5:$F$3623,'📋 Транзакції'!$B$5:$B$3623,A231,'📋 Транзакції'!$C$5:$C$3623,"&gt;="&amp;EDATE(DATEVALUE(C231&amp;"-01"),11),'📋 Транзакції'!$C$5:$C$3623,"&lt;"&amp;EDATE(DATEVALUE(C231&amp;"-01"),12))</f>
        <v>0</v>
      </c>
    </row>
    <row r="232" ht="15.75" customHeight="1">
      <c r="A232" s="33" t="str">
        <f>'📋 Реєстрації'!A232:A833</f>
        <v>U0703</v>
      </c>
      <c r="B232" s="34">
        <f t="array" ref="B232">INDEX('📋 Транзакції'!$C$5:$C$3623,MATCH(A232,'📋 Транзакції'!$B$5:$B$3623,0))</f>
        <v>45509</v>
      </c>
      <c r="C232" s="35" t="str">
        <f t="shared" si="1"/>
        <v>2024-08</v>
      </c>
      <c r="D232" s="36">
        <f>COUNTIF('📋 Транзакції'!$B$5:$B$3623,A232)</f>
        <v>9</v>
      </c>
      <c r="E232" s="36">
        <f>SUMIF('📋 Транзакції'!$B$5:$B$3623,A232,'📋 Транзакції'!$F$5:$F$3623)</f>
        <v>159.92</v>
      </c>
      <c r="F232" s="35">
        <f>INT($A$1-MAXIFS('📋 Транзакції'!$C$5:$C$3623,'📋 Транзакції'!$B$5:$B$3623,A232))</f>
        <v>21</v>
      </c>
      <c r="G232" s="37">
        <f>IF(COUNTIFS('📋 Транзакції'!$B$5:$B$3623,A232,'📋 Транзакції'!$C$5:$C$3623,"&gt;="&amp;EDATE(DATEVALUE(C232&amp;"-01"),0),'📋 Транзакції'!$C$5:$C$3623,"&lt;"&amp;EDATE(DATEVALUE(C232&amp;"-01"),1))&gt;0,1,0)</f>
        <v>1</v>
      </c>
      <c r="H232" s="37">
        <f>IF(COUNTIFS('📋 Транзакції'!$B$5:$B$3623,A232,'📋 Транзакції'!$C$5:$C$3623,"&gt;="&amp;EDATE(DATEVALUE(C232&amp;"-01"),1),'📋 Транзакції'!$C$5:$C$3623,"&lt;"&amp;EDATE(DATEVALUE(C232&amp;"-01"),2))&gt;0,1,0)</f>
        <v>1</v>
      </c>
      <c r="I232" s="37">
        <f>IF(COUNTIFS('📋 Транзакції'!$B$5:$B$3623,A232,'📋 Транзакції'!$C$5:$C$3623,"&gt;="&amp;EDATE(DATEVALUE(C232&amp;"-01"),2),'📋 Транзакції'!$C$5:$C$3623,"&lt;"&amp;EDATE(DATEVALUE(C232&amp;"-01"),3))&gt;0,1,0)</f>
        <v>1</v>
      </c>
      <c r="J232" s="37">
        <f>IF(COUNTIFS('📋 Транзакції'!$B$5:$B$3623,A232,'📋 Транзакції'!$C$5:$C$3623,"&gt;="&amp;EDATE(DATEVALUE(C232&amp;"-01"),3),'📋 Транзакції'!$C$5:$C$3623,"&lt;"&amp;EDATE(DATEVALUE(C232&amp;"-01"),4))&gt;0,1,0)</f>
        <v>1</v>
      </c>
      <c r="K232" s="37">
        <f>IF(COUNTIFS('📋 Транзакції'!$B$5:$B$3623,A232,'📋 Транзакції'!$C$5:$C$3623,"&gt;="&amp;EDATE(DATEVALUE(C232&amp;"-01"),4),'📋 Транзакції'!$C$5:$C$3623,"&lt;"&amp;EDATE(DATEVALUE(C232&amp;"-01"),5))&gt;0,1,0)</f>
        <v>1</v>
      </c>
      <c r="L232" s="37">
        <f>IF(COUNTIFS('📋 Транзакції'!$B$5:$B$3623,A232,'📋 Транзакції'!$C$5:$C$3623,"&gt;="&amp;EDATE(DATEVALUE(C232&amp;"-01"),5),'📋 Транзакції'!$C$5:$C$3623,"&lt;"&amp;EDATE(DATEVALUE(C232&amp;"-01"),6))&gt;0,1,0)</f>
        <v>1</v>
      </c>
      <c r="M232" s="37">
        <f>IF(COUNTIFS('📋 Транзакції'!$B$5:$B$3623,A232,'📋 Транзакції'!$C$5:$C$3623,"&gt;="&amp;EDATE(DATEVALUE(C232&amp;"-01"),6),'📋 Транзакції'!$C$5:$C$3623,"&lt;"&amp;EDATE(DATEVALUE(C232&amp;"-01"),7))&gt;0,1,0)</f>
        <v>1</v>
      </c>
      <c r="N232" s="37">
        <f>IF(COUNTIFS('📋 Транзакції'!$B$5:$B$3623,A232,'📋 Транзакції'!$C$5:$C$3623,"&gt;="&amp;EDATE(DATEVALUE(C232&amp;"-01"),7),'📋 Транзакції'!$C$5:$C$3623,"&lt;"&amp;EDATE(DATEVALUE(C232&amp;"-01"),8))&gt;0,1,0)</f>
        <v>1</v>
      </c>
      <c r="O232" s="37">
        <f>IF(COUNTIFS('📋 Транзакції'!$B$5:$B$3623,A232,'📋 Транзакції'!$C$5:$C$3623,"&gt;="&amp;EDATE(DATEVALUE(C232&amp;"-01"),8),'📋 Транзакції'!$C$5:$C$3623,"&lt;"&amp;EDATE(DATEVALUE(C232&amp;"-01"),9))&gt;0,1,0)</f>
        <v>0</v>
      </c>
      <c r="P232" s="37">
        <f>IF(COUNTIFS('📋 Транзакції'!$B$5:$B$3623,A232,'📋 Транзакції'!$C$5:$C$3623,"&gt;="&amp;EDATE(DATEVALUE(C232&amp;"-01"),9),'📋 Транзакції'!$C$5:$C$3623,"&lt;"&amp;EDATE(DATEVALUE(C232&amp;"-01"),10))&gt;0,1,0)</f>
        <v>0</v>
      </c>
      <c r="Q232" s="37">
        <f>IF(COUNTIFS('📋 Транзакції'!$B$5:$B$3623,A232,'📋 Транзакції'!$C$5:$C$3623,"&gt;="&amp;EDATE(DATEVALUE(C232&amp;"-01"),10),'📋 Транзакції'!$C$5:$C$3623,"&lt;"&amp;EDATE(DATEVALUE(C232&amp;"-01"),11))&gt;0,1,0)</f>
        <v>0</v>
      </c>
      <c r="R232" s="37">
        <f>IF(COUNTIFS('📋 Транзакції'!$B$5:$B$3623,A232,'📋 Транзакції'!$C$5:$C$3623,"&gt;="&amp;EDATE(DATEVALUE(C232&amp;"-01"),11),'📋 Транзакції'!$C$5:$C$3623,"&lt;"&amp;EDATE(DATEVALUE(C232&amp;"-01"),12))&gt;0,1,0)</f>
        <v>0</v>
      </c>
      <c r="S232" s="37">
        <f>SUMIFS('📋 Транзакції'!$F$5:$F$3623,'📋 Транзакції'!$B$5:$B$3623,A232,'📋 Транзакції'!$C$5:$C$3623,"&gt;="&amp;EDATE(DATEVALUE(C232&amp;"-01"),0),'📋 Транзакції'!$C$5:$C$3623,"&lt;"&amp;EDATE(DATEVALUE(C232&amp;"-01"),1))</f>
        <v>19.99</v>
      </c>
      <c r="T232" s="37">
        <f>SUMIFS('📋 Транзакції'!$F$5:$F$3623,'📋 Транзакції'!$B$5:$B$3623,A232,'📋 Транзакції'!$C$5:$C$3623,"&gt;="&amp;EDATE(DATEVALUE(C232&amp;"-01"),1),'📋 Транзакції'!$C$5:$C$3623,"&lt;"&amp;EDATE(DATEVALUE(C232&amp;"-01"),2))</f>
        <v>19.99</v>
      </c>
      <c r="U232" s="37">
        <f>SUMIFS('📋 Транзакції'!$F$5:$F$3623,'📋 Транзакції'!$B$5:$B$3623,A232,'📋 Транзакції'!$C$5:$C$3623,"&gt;="&amp;EDATE(DATEVALUE(C232&amp;"-01"),2),'📋 Транзакції'!$C$5:$C$3623,"&lt;"&amp;EDATE(DATEVALUE(C232&amp;"-01"),3))</f>
        <v>19.99</v>
      </c>
      <c r="V232" s="37">
        <f>SUMIFS('📋 Транзакції'!$F$5:$F$3623,'📋 Транзакції'!$B$5:$B$3623,A232,'📋 Транзакції'!$C$5:$C$3623,"&gt;="&amp;EDATE(DATEVALUE(C232&amp;"-01"),3),'📋 Транзакції'!$C$5:$C$3623,"&lt;"&amp;EDATE(DATEVALUE(C232&amp;"-01"),4))</f>
        <v>19.99</v>
      </c>
      <c r="W232" s="37">
        <f>SUMIFS('📋 Транзакції'!$F$5:$F$3623,'📋 Транзакції'!$B$5:$B$3623,A232,'📋 Транзакції'!$C$5:$C$3623,"&gt;="&amp;EDATE(DATEVALUE(C232&amp;"-01"),4),'📋 Транзакції'!$C$5:$C$3623,"&lt;"&amp;EDATE(DATEVALUE(C232&amp;"-01"),5))</f>
        <v>19.99</v>
      </c>
      <c r="X232" s="37">
        <f>SUMIFS('📋 Транзакції'!$F$5:$F$3623,'📋 Транзакції'!$B$5:$B$3623,A232,'📋 Транзакції'!$C$5:$C$3623,"&gt;="&amp;EDATE(DATEVALUE(C232&amp;"-01"),5),'📋 Транзакції'!$C$5:$C$3623,"&lt;"&amp;EDATE(DATEVALUE(C232&amp;"-01"),6))</f>
        <v>19.99</v>
      </c>
      <c r="Y232" s="37">
        <f>SUMIFS('📋 Транзакції'!$F$5:$F$3623,'📋 Транзакції'!$B$5:$B$3623,A232,'📋 Транзакції'!$C$5:$C$3623,"&gt;="&amp;EDATE(DATEVALUE(C232&amp;"-01"),6),'📋 Транзакції'!$C$5:$C$3623,"&lt;"&amp;EDATE(DATEVALUE(C232&amp;"-01"),7))</f>
        <v>19.99</v>
      </c>
      <c r="Z232" s="37">
        <f>SUMIFS('📋 Транзакції'!$F$5:$F$3623,'📋 Транзакції'!$B$5:$B$3623,A232,'📋 Транзакції'!$C$5:$C$3623,"&gt;="&amp;EDATE(DATEVALUE(C232&amp;"-01"),7),'📋 Транзакції'!$C$5:$C$3623,"&lt;"&amp;EDATE(DATEVALUE(C232&amp;"-01"),8))</f>
        <v>19.99</v>
      </c>
      <c r="AA232" s="37">
        <f>SUMIFS('📋 Транзакції'!$F$5:$F$3623,'📋 Транзакції'!$B$5:$B$3623,A232,'📋 Транзакції'!$C$5:$C$3623,"&gt;="&amp;EDATE(DATEVALUE(C232&amp;"-01"),8),'📋 Транзакції'!$C$5:$C$3623,"&lt;"&amp;EDATE(DATEVALUE(C232&amp;"-01"),9))</f>
        <v>0</v>
      </c>
      <c r="AB232" s="37">
        <f>SUMIFS('📋 Транзакції'!$F$5:$F$3623,'📋 Транзакції'!$B$5:$B$3623,A232,'📋 Транзакції'!$C$5:$C$3623,"&gt;="&amp;EDATE(DATEVALUE(C232&amp;"-01"),9),'📋 Транзакції'!$C$5:$C$3623,"&lt;"&amp;EDATE(DATEVALUE(C232&amp;"-01"),10))</f>
        <v>0</v>
      </c>
      <c r="AC232" s="37">
        <f>SUMIFS('📋 Транзакції'!$F$5:$F$3623,'📋 Транзакції'!$B$5:$B$3623,A232,'📋 Транзакції'!$C$5:$C$3623,"&gt;="&amp;EDATE(DATEVALUE(C232&amp;"-01"),10),'📋 Транзакції'!$C$5:$C$3623,"&lt;"&amp;EDATE(DATEVALUE(C232&amp;"-01"),11))</f>
        <v>0</v>
      </c>
      <c r="AD232" s="37">
        <f>SUMIFS('📋 Транзакції'!$F$5:$F$3623,'📋 Транзакції'!$B$5:$B$3623,A232,'📋 Транзакції'!$C$5:$C$3623,"&gt;="&amp;EDATE(DATEVALUE(C232&amp;"-01"),11),'📋 Транзакції'!$C$5:$C$3623,"&lt;"&amp;EDATE(DATEVALUE(C232&amp;"-01"),12))</f>
        <v>0</v>
      </c>
    </row>
    <row r="233" ht="15.75" customHeight="1">
      <c r="A233" s="33" t="str">
        <f>'📋 Реєстрації'!A233:A834</f>
        <v>U0134</v>
      </c>
      <c r="B233" s="34">
        <f t="array" ref="B233">INDEX('📋 Транзакції'!$C$5:$C$3623,MATCH(A233,'📋 Транзакції'!$B$5:$B$3623,0))</f>
        <v>45510</v>
      </c>
      <c r="C233" s="35" t="str">
        <f t="shared" si="1"/>
        <v>2024-08</v>
      </c>
      <c r="D233" s="36">
        <f>COUNTIF('📋 Транзакції'!$B$5:$B$3623,A233)</f>
        <v>9</v>
      </c>
      <c r="E233" s="36">
        <f>SUMIF('📋 Транзакції'!$B$5:$B$3623,A233,'📋 Транзакції'!$F$5:$F$3623)</f>
        <v>159.92</v>
      </c>
      <c r="F233" s="35">
        <f>INT($A$1-MAXIFS('📋 Транзакції'!$C$5:$C$3623,'📋 Транзакції'!$B$5:$B$3623,A233))</f>
        <v>20</v>
      </c>
      <c r="G233" s="37">
        <f>IF(COUNTIFS('📋 Транзакції'!$B$5:$B$3623,A233,'📋 Транзакції'!$C$5:$C$3623,"&gt;="&amp;EDATE(DATEVALUE(C233&amp;"-01"),0),'📋 Транзакції'!$C$5:$C$3623,"&lt;"&amp;EDATE(DATEVALUE(C233&amp;"-01"),1))&gt;0,1,0)</f>
        <v>1</v>
      </c>
      <c r="H233" s="37">
        <f>IF(COUNTIFS('📋 Транзакції'!$B$5:$B$3623,A233,'📋 Транзакції'!$C$5:$C$3623,"&gt;="&amp;EDATE(DATEVALUE(C233&amp;"-01"),1),'📋 Транзакції'!$C$5:$C$3623,"&lt;"&amp;EDATE(DATEVALUE(C233&amp;"-01"),2))&gt;0,1,0)</f>
        <v>1</v>
      </c>
      <c r="I233" s="37">
        <f>IF(COUNTIFS('📋 Транзакції'!$B$5:$B$3623,A233,'📋 Транзакції'!$C$5:$C$3623,"&gt;="&amp;EDATE(DATEVALUE(C233&amp;"-01"),2),'📋 Транзакції'!$C$5:$C$3623,"&lt;"&amp;EDATE(DATEVALUE(C233&amp;"-01"),3))&gt;0,1,0)</f>
        <v>1</v>
      </c>
      <c r="J233" s="37">
        <f>IF(COUNTIFS('📋 Транзакції'!$B$5:$B$3623,A233,'📋 Транзакції'!$C$5:$C$3623,"&gt;="&amp;EDATE(DATEVALUE(C233&amp;"-01"),3),'📋 Транзакції'!$C$5:$C$3623,"&lt;"&amp;EDATE(DATEVALUE(C233&amp;"-01"),4))&gt;0,1,0)</f>
        <v>1</v>
      </c>
      <c r="K233" s="37">
        <f>IF(COUNTIFS('📋 Транзакції'!$B$5:$B$3623,A233,'📋 Транзакції'!$C$5:$C$3623,"&gt;="&amp;EDATE(DATEVALUE(C233&amp;"-01"),4),'📋 Транзакції'!$C$5:$C$3623,"&lt;"&amp;EDATE(DATEVALUE(C233&amp;"-01"),5))&gt;0,1,0)</f>
        <v>1</v>
      </c>
      <c r="L233" s="37">
        <f>IF(COUNTIFS('📋 Транзакції'!$B$5:$B$3623,A233,'📋 Транзакції'!$C$5:$C$3623,"&gt;="&amp;EDATE(DATEVALUE(C233&amp;"-01"),5),'📋 Транзакції'!$C$5:$C$3623,"&lt;"&amp;EDATE(DATEVALUE(C233&amp;"-01"),6))&gt;0,1,0)</f>
        <v>1</v>
      </c>
      <c r="M233" s="37">
        <f>IF(COUNTIFS('📋 Транзакції'!$B$5:$B$3623,A233,'📋 Транзакції'!$C$5:$C$3623,"&gt;="&amp;EDATE(DATEVALUE(C233&amp;"-01"),6),'📋 Транзакції'!$C$5:$C$3623,"&lt;"&amp;EDATE(DATEVALUE(C233&amp;"-01"),7))&gt;0,1,0)</f>
        <v>1</v>
      </c>
      <c r="N233" s="37">
        <f>IF(COUNTIFS('📋 Транзакції'!$B$5:$B$3623,A233,'📋 Транзакції'!$C$5:$C$3623,"&gt;="&amp;EDATE(DATEVALUE(C233&amp;"-01"),7),'📋 Транзакції'!$C$5:$C$3623,"&lt;"&amp;EDATE(DATEVALUE(C233&amp;"-01"),8))&gt;0,1,0)</f>
        <v>1</v>
      </c>
      <c r="O233" s="37">
        <f>IF(COUNTIFS('📋 Транзакції'!$B$5:$B$3623,A233,'📋 Транзакції'!$C$5:$C$3623,"&gt;="&amp;EDATE(DATEVALUE(C233&amp;"-01"),8),'📋 Транзакції'!$C$5:$C$3623,"&lt;"&amp;EDATE(DATEVALUE(C233&amp;"-01"),9))&gt;0,1,0)</f>
        <v>0</v>
      </c>
      <c r="P233" s="37">
        <f>IF(COUNTIFS('📋 Транзакції'!$B$5:$B$3623,A233,'📋 Транзакції'!$C$5:$C$3623,"&gt;="&amp;EDATE(DATEVALUE(C233&amp;"-01"),9),'📋 Транзакції'!$C$5:$C$3623,"&lt;"&amp;EDATE(DATEVALUE(C233&amp;"-01"),10))&gt;0,1,0)</f>
        <v>0</v>
      </c>
      <c r="Q233" s="37">
        <f>IF(COUNTIFS('📋 Транзакції'!$B$5:$B$3623,A233,'📋 Транзакції'!$C$5:$C$3623,"&gt;="&amp;EDATE(DATEVALUE(C233&amp;"-01"),10),'📋 Транзакції'!$C$5:$C$3623,"&lt;"&amp;EDATE(DATEVALUE(C233&amp;"-01"),11))&gt;0,1,0)</f>
        <v>0</v>
      </c>
      <c r="R233" s="37">
        <f>IF(COUNTIFS('📋 Транзакції'!$B$5:$B$3623,A233,'📋 Транзакції'!$C$5:$C$3623,"&gt;="&amp;EDATE(DATEVALUE(C233&amp;"-01"),11),'📋 Транзакції'!$C$5:$C$3623,"&lt;"&amp;EDATE(DATEVALUE(C233&amp;"-01"),12))&gt;0,1,0)</f>
        <v>0</v>
      </c>
      <c r="S233" s="37">
        <f>SUMIFS('📋 Транзакції'!$F$5:$F$3623,'📋 Транзакції'!$B$5:$B$3623,A233,'📋 Транзакції'!$C$5:$C$3623,"&gt;="&amp;EDATE(DATEVALUE(C233&amp;"-01"),0),'📋 Транзакції'!$C$5:$C$3623,"&lt;"&amp;EDATE(DATEVALUE(C233&amp;"-01"),1))</f>
        <v>19.99</v>
      </c>
      <c r="T233" s="37">
        <f>SUMIFS('📋 Транзакції'!$F$5:$F$3623,'📋 Транзакції'!$B$5:$B$3623,A233,'📋 Транзакції'!$C$5:$C$3623,"&gt;="&amp;EDATE(DATEVALUE(C233&amp;"-01"),1),'📋 Транзакції'!$C$5:$C$3623,"&lt;"&amp;EDATE(DATEVALUE(C233&amp;"-01"),2))</f>
        <v>19.99</v>
      </c>
      <c r="U233" s="37">
        <f>SUMIFS('📋 Транзакції'!$F$5:$F$3623,'📋 Транзакції'!$B$5:$B$3623,A233,'📋 Транзакції'!$C$5:$C$3623,"&gt;="&amp;EDATE(DATEVALUE(C233&amp;"-01"),2),'📋 Транзакції'!$C$5:$C$3623,"&lt;"&amp;EDATE(DATEVALUE(C233&amp;"-01"),3))</f>
        <v>19.99</v>
      </c>
      <c r="V233" s="37">
        <f>SUMIFS('📋 Транзакції'!$F$5:$F$3623,'📋 Транзакції'!$B$5:$B$3623,A233,'📋 Транзакції'!$C$5:$C$3623,"&gt;="&amp;EDATE(DATEVALUE(C233&amp;"-01"),3),'📋 Транзакції'!$C$5:$C$3623,"&lt;"&amp;EDATE(DATEVALUE(C233&amp;"-01"),4))</f>
        <v>19.99</v>
      </c>
      <c r="W233" s="37">
        <f>SUMIFS('📋 Транзакції'!$F$5:$F$3623,'📋 Транзакції'!$B$5:$B$3623,A233,'📋 Транзакції'!$C$5:$C$3623,"&gt;="&amp;EDATE(DATEVALUE(C233&amp;"-01"),4),'📋 Транзакції'!$C$5:$C$3623,"&lt;"&amp;EDATE(DATEVALUE(C233&amp;"-01"),5))</f>
        <v>19.99</v>
      </c>
      <c r="X233" s="37">
        <f>SUMIFS('📋 Транзакції'!$F$5:$F$3623,'📋 Транзакції'!$B$5:$B$3623,A233,'📋 Транзакції'!$C$5:$C$3623,"&gt;="&amp;EDATE(DATEVALUE(C233&amp;"-01"),5),'📋 Транзакції'!$C$5:$C$3623,"&lt;"&amp;EDATE(DATEVALUE(C233&amp;"-01"),6))</f>
        <v>19.99</v>
      </c>
      <c r="Y233" s="37">
        <f>SUMIFS('📋 Транзакції'!$F$5:$F$3623,'📋 Транзакції'!$B$5:$B$3623,A233,'📋 Транзакції'!$C$5:$C$3623,"&gt;="&amp;EDATE(DATEVALUE(C233&amp;"-01"),6),'📋 Транзакції'!$C$5:$C$3623,"&lt;"&amp;EDATE(DATEVALUE(C233&amp;"-01"),7))</f>
        <v>19.99</v>
      </c>
      <c r="Z233" s="37">
        <f>SUMIFS('📋 Транзакції'!$F$5:$F$3623,'📋 Транзакції'!$B$5:$B$3623,A233,'📋 Транзакції'!$C$5:$C$3623,"&gt;="&amp;EDATE(DATEVALUE(C233&amp;"-01"),7),'📋 Транзакції'!$C$5:$C$3623,"&lt;"&amp;EDATE(DATEVALUE(C233&amp;"-01"),8))</f>
        <v>19.99</v>
      </c>
      <c r="AA233" s="37">
        <f>SUMIFS('📋 Транзакції'!$F$5:$F$3623,'📋 Транзакції'!$B$5:$B$3623,A233,'📋 Транзакції'!$C$5:$C$3623,"&gt;="&amp;EDATE(DATEVALUE(C233&amp;"-01"),8),'📋 Транзакції'!$C$5:$C$3623,"&lt;"&amp;EDATE(DATEVALUE(C233&amp;"-01"),9))</f>
        <v>0</v>
      </c>
      <c r="AB233" s="37">
        <f>SUMIFS('📋 Транзакції'!$F$5:$F$3623,'📋 Транзакції'!$B$5:$B$3623,A233,'📋 Транзакції'!$C$5:$C$3623,"&gt;="&amp;EDATE(DATEVALUE(C233&amp;"-01"),9),'📋 Транзакції'!$C$5:$C$3623,"&lt;"&amp;EDATE(DATEVALUE(C233&amp;"-01"),10))</f>
        <v>0</v>
      </c>
      <c r="AC233" s="37">
        <f>SUMIFS('📋 Транзакції'!$F$5:$F$3623,'📋 Транзакції'!$B$5:$B$3623,A233,'📋 Транзакції'!$C$5:$C$3623,"&gt;="&amp;EDATE(DATEVALUE(C233&amp;"-01"),10),'📋 Транзакції'!$C$5:$C$3623,"&lt;"&amp;EDATE(DATEVALUE(C233&amp;"-01"),11))</f>
        <v>0</v>
      </c>
      <c r="AD233" s="37">
        <f>SUMIFS('📋 Транзакції'!$F$5:$F$3623,'📋 Транзакції'!$B$5:$B$3623,A233,'📋 Транзакції'!$C$5:$C$3623,"&gt;="&amp;EDATE(DATEVALUE(C233&amp;"-01"),11),'📋 Транзакції'!$C$5:$C$3623,"&lt;"&amp;EDATE(DATEVALUE(C233&amp;"-01"),12))</f>
        <v>0</v>
      </c>
    </row>
    <row r="234" ht="15.75" customHeight="1">
      <c r="A234" s="33" t="str">
        <f>'📋 Реєстрації'!A234:A835</f>
        <v>U0366</v>
      </c>
      <c r="B234" s="34">
        <f t="array" ref="B234">INDEX('📋 Транзакції'!$C$5:$C$3623,MATCH(A234,'📋 Транзакції'!$B$5:$B$3623,0))</f>
        <v>45510</v>
      </c>
      <c r="C234" s="35" t="str">
        <f t="shared" si="1"/>
        <v>2024-08</v>
      </c>
      <c r="D234" s="36">
        <f>COUNTIF('📋 Транзакції'!$B$5:$B$3623,A234)</f>
        <v>4</v>
      </c>
      <c r="E234" s="36">
        <f>SUMIF('📋 Транзакції'!$B$5:$B$3623,A234,'📋 Транзакції'!$F$5:$F$3623)</f>
        <v>59.97</v>
      </c>
      <c r="F234" s="35">
        <f>INT($A$1-MAXIFS('📋 Транзакції'!$C$5:$C$3623,'📋 Транзакції'!$B$5:$B$3623,A234))</f>
        <v>170</v>
      </c>
      <c r="G234" s="37">
        <f>IF(COUNTIFS('📋 Транзакції'!$B$5:$B$3623,A234,'📋 Транзакції'!$C$5:$C$3623,"&gt;="&amp;EDATE(DATEVALUE(C234&amp;"-01"),0),'📋 Транзакції'!$C$5:$C$3623,"&lt;"&amp;EDATE(DATEVALUE(C234&amp;"-01"),1))&gt;0,1,0)</f>
        <v>1</v>
      </c>
      <c r="H234" s="37">
        <f>IF(COUNTIFS('📋 Транзакції'!$B$5:$B$3623,A234,'📋 Транзакції'!$C$5:$C$3623,"&gt;="&amp;EDATE(DATEVALUE(C234&amp;"-01"),1),'📋 Транзакції'!$C$5:$C$3623,"&lt;"&amp;EDATE(DATEVALUE(C234&amp;"-01"),2))&gt;0,1,0)</f>
        <v>1</v>
      </c>
      <c r="I234" s="37">
        <f>IF(COUNTIFS('📋 Транзакції'!$B$5:$B$3623,A234,'📋 Транзакції'!$C$5:$C$3623,"&gt;="&amp;EDATE(DATEVALUE(C234&amp;"-01"),2),'📋 Транзакції'!$C$5:$C$3623,"&lt;"&amp;EDATE(DATEVALUE(C234&amp;"-01"),3))&gt;0,1,0)</f>
        <v>1</v>
      </c>
      <c r="J234" s="37">
        <f>IF(COUNTIFS('📋 Транзакції'!$B$5:$B$3623,A234,'📋 Транзакції'!$C$5:$C$3623,"&gt;="&amp;EDATE(DATEVALUE(C234&amp;"-01"),3),'📋 Транзакції'!$C$5:$C$3623,"&lt;"&amp;EDATE(DATEVALUE(C234&amp;"-01"),4))&gt;0,1,0)</f>
        <v>0</v>
      </c>
      <c r="K234" s="37">
        <f>IF(COUNTIFS('📋 Транзакції'!$B$5:$B$3623,A234,'📋 Транзакції'!$C$5:$C$3623,"&gt;="&amp;EDATE(DATEVALUE(C234&amp;"-01"),4),'📋 Транзакції'!$C$5:$C$3623,"&lt;"&amp;EDATE(DATEVALUE(C234&amp;"-01"),5))&gt;0,1,0)</f>
        <v>0</v>
      </c>
      <c r="L234" s="37">
        <f>IF(COUNTIFS('📋 Транзакції'!$B$5:$B$3623,A234,'📋 Транзакції'!$C$5:$C$3623,"&gt;="&amp;EDATE(DATEVALUE(C234&amp;"-01"),5),'📋 Транзакції'!$C$5:$C$3623,"&lt;"&amp;EDATE(DATEVALUE(C234&amp;"-01"),6))&gt;0,1,0)</f>
        <v>0</v>
      </c>
      <c r="M234" s="37">
        <f>IF(COUNTIFS('📋 Транзакції'!$B$5:$B$3623,A234,'📋 Транзакції'!$C$5:$C$3623,"&gt;="&amp;EDATE(DATEVALUE(C234&amp;"-01"),6),'📋 Транзакції'!$C$5:$C$3623,"&lt;"&amp;EDATE(DATEVALUE(C234&amp;"-01"),7))&gt;0,1,0)</f>
        <v>0</v>
      </c>
      <c r="N234" s="37">
        <f>IF(COUNTIFS('📋 Транзакції'!$B$5:$B$3623,A234,'📋 Транзакції'!$C$5:$C$3623,"&gt;="&amp;EDATE(DATEVALUE(C234&amp;"-01"),7),'📋 Транзакції'!$C$5:$C$3623,"&lt;"&amp;EDATE(DATEVALUE(C234&amp;"-01"),8))&gt;0,1,0)</f>
        <v>0</v>
      </c>
      <c r="O234" s="37">
        <f>IF(COUNTIFS('📋 Транзакції'!$B$5:$B$3623,A234,'📋 Транзакції'!$C$5:$C$3623,"&gt;="&amp;EDATE(DATEVALUE(C234&amp;"-01"),8),'📋 Транзакції'!$C$5:$C$3623,"&lt;"&amp;EDATE(DATEVALUE(C234&amp;"-01"),9))&gt;0,1,0)</f>
        <v>0</v>
      </c>
      <c r="P234" s="37">
        <f>IF(COUNTIFS('📋 Транзакції'!$B$5:$B$3623,A234,'📋 Транзакції'!$C$5:$C$3623,"&gt;="&amp;EDATE(DATEVALUE(C234&amp;"-01"),9),'📋 Транзакції'!$C$5:$C$3623,"&lt;"&amp;EDATE(DATEVALUE(C234&amp;"-01"),10))&gt;0,1,0)</f>
        <v>0</v>
      </c>
      <c r="Q234" s="37">
        <f>IF(COUNTIFS('📋 Транзакції'!$B$5:$B$3623,A234,'📋 Транзакції'!$C$5:$C$3623,"&gt;="&amp;EDATE(DATEVALUE(C234&amp;"-01"),10),'📋 Транзакції'!$C$5:$C$3623,"&lt;"&amp;EDATE(DATEVALUE(C234&amp;"-01"),11))&gt;0,1,0)</f>
        <v>0</v>
      </c>
      <c r="R234" s="37">
        <f>IF(COUNTIFS('📋 Транзакції'!$B$5:$B$3623,A234,'📋 Транзакції'!$C$5:$C$3623,"&gt;="&amp;EDATE(DATEVALUE(C234&amp;"-01"),11),'📋 Транзакції'!$C$5:$C$3623,"&lt;"&amp;EDATE(DATEVALUE(C234&amp;"-01"),12))&gt;0,1,0)</f>
        <v>0</v>
      </c>
      <c r="S234" s="37">
        <f>SUMIFS('📋 Транзакції'!$F$5:$F$3623,'📋 Транзакції'!$B$5:$B$3623,A234,'📋 Транзакції'!$C$5:$C$3623,"&gt;="&amp;EDATE(DATEVALUE(C234&amp;"-01"),0),'📋 Транзакції'!$C$5:$C$3623,"&lt;"&amp;EDATE(DATEVALUE(C234&amp;"-01"),1))</f>
        <v>19.99</v>
      </c>
      <c r="T234" s="37">
        <f>SUMIFS('📋 Транзакції'!$F$5:$F$3623,'📋 Транзакції'!$B$5:$B$3623,A234,'📋 Транзакції'!$C$5:$C$3623,"&gt;="&amp;EDATE(DATEVALUE(C234&amp;"-01"),1),'📋 Транзакції'!$C$5:$C$3623,"&lt;"&amp;EDATE(DATEVALUE(C234&amp;"-01"),2))</f>
        <v>19.99</v>
      </c>
      <c r="U234" s="37">
        <f>SUMIFS('📋 Транзакції'!$F$5:$F$3623,'📋 Транзакції'!$B$5:$B$3623,A234,'📋 Транзакції'!$C$5:$C$3623,"&gt;="&amp;EDATE(DATEVALUE(C234&amp;"-01"),2),'📋 Транзакції'!$C$5:$C$3623,"&lt;"&amp;EDATE(DATEVALUE(C234&amp;"-01"),3))</f>
        <v>19.99</v>
      </c>
      <c r="V234" s="37">
        <f>SUMIFS('📋 Транзакції'!$F$5:$F$3623,'📋 Транзакції'!$B$5:$B$3623,A234,'📋 Транзакції'!$C$5:$C$3623,"&gt;="&amp;EDATE(DATEVALUE(C234&amp;"-01"),3),'📋 Транзакції'!$C$5:$C$3623,"&lt;"&amp;EDATE(DATEVALUE(C234&amp;"-01"),4))</f>
        <v>0</v>
      </c>
      <c r="W234" s="37">
        <f>SUMIFS('📋 Транзакції'!$F$5:$F$3623,'📋 Транзакції'!$B$5:$B$3623,A234,'📋 Транзакції'!$C$5:$C$3623,"&gt;="&amp;EDATE(DATEVALUE(C234&amp;"-01"),4),'📋 Транзакції'!$C$5:$C$3623,"&lt;"&amp;EDATE(DATEVALUE(C234&amp;"-01"),5))</f>
        <v>0</v>
      </c>
      <c r="X234" s="37">
        <f>SUMIFS('📋 Транзакції'!$F$5:$F$3623,'📋 Транзакції'!$B$5:$B$3623,A234,'📋 Транзакції'!$C$5:$C$3623,"&gt;="&amp;EDATE(DATEVALUE(C234&amp;"-01"),5),'📋 Транзакції'!$C$5:$C$3623,"&lt;"&amp;EDATE(DATEVALUE(C234&amp;"-01"),6))</f>
        <v>0</v>
      </c>
      <c r="Y234" s="37">
        <f>SUMIFS('📋 Транзакції'!$F$5:$F$3623,'📋 Транзакції'!$B$5:$B$3623,A234,'📋 Транзакції'!$C$5:$C$3623,"&gt;="&amp;EDATE(DATEVALUE(C234&amp;"-01"),6),'📋 Транзакції'!$C$5:$C$3623,"&lt;"&amp;EDATE(DATEVALUE(C234&amp;"-01"),7))</f>
        <v>0</v>
      </c>
      <c r="Z234" s="37">
        <f>SUMIFS('📋 Транзакції'!$F$5:$F$3623,'📋 Транзакції'!$B$5:$B$3623,A234,'📋 Транзакції'!$C$5:$C$3623,"&gt;="&amp;EDATE(DATEVALUE(C234&amp;"-01"),7),'📋 Транзакції'!$C$5:$C$3623,"&lt;"&amp;EDATE(DATEVALUE(C234&amp;"-01"),8))</f>
        <v>0</v>
      </c>
      <c r="AA234" s="37">
        <f>SUMIFS('📋 Транзакції'!$F$5:$F$3623,'📋 Транзакції'!$B$5:$B$3623,A234,'📋 Транзакції'!$C$5:$C$3623,"&gt;="&amp;EDATE(DATEVALUE(C234&amp;"-01"),8),'📋 Транзакції'!$C$5:$C$3623,"&lt;"&amp;EDATE(DATEVALUE(C234&amp;"-01"),9))</f>
        <v>0</v>
      </c>
      <c r="AB234" s="37">
        <f>SUMIFS('📋 Транзакції'!$F$5:$F$3623,'📋 Транзакції'!$B$5:$B$3623,A234,'📋 Транзакції'!$C$5:$C$3623,"&gt;="&amp;EDATE(DATEVALUE(C234&amp;"-01"),9),'📋 Транзакції'!$C$5:$C$3623,"&lt;"&amp;EDATE(DATEVALUE(C234&amp;"-01"),10))</f>
        <v>0</v>
      </c>
      <c r="AC234" s="37">
        <f>SUMIFS('📋 Транзакції'!$F$5:$F$3623,'📋 Транзакції'!$B$5:$B$3623,A234,'📋 Транзакції'!$C$5:$C$3623,"&gt;="&amp;EDATE(DATEVALUE(C234&amp;"-01"),10),'📋 Транзакції'!$C$5:$C$3623,"&lt;"&amp;EDATE(DATEVALUE(C234&amp;"-01"),11))</f>
        <v>0</v>
      </c>
      <c r="AD234" s="37">
        <f>SUMIFS('📋 Транзакції'!$F$5:$F$3623,'📋 Транзакції'!$B$5:$B$3623,A234,'📋 Транзакції'!$C$5:$C$3623,"&gt;="&amp;EDATE(DATEVALUE(C234&amp;"-01"),11),'📋 Транзакції'!$C$5:$C$3623,"&lt;"&amp;EDATE(DATEVALUE(C234&amp;"-01"),12))</f>
        <v>0</v>
      </c>
    </row>
    <row r="235" ht="15.75" customHeight="1">
      <c r="A235" s="33" t="str">
        <f>'📋 Реєстрації'!A235:A836</f>
        <v>U0228</v>
      </c>
      <c r="B235" s="34">
        <f t="array" ref="B235">INDEX('📋 Транзакції'!$C$5:$C$3623,MATCH(A235,'📋 Транзакції'!$B$5:$B$3623,0))</f>
        <v>45512</v>
      </c>
      <c r="C235" s="35" t="str">
        <f t="shared" si="1"/>
        <v>2024-08</v>
      </c>
      <c r="D235" s="36">
        <f>COUNTIF('📋 Транзакції'!$B$5:$B$3623,A235)</f>
        <v>3</v>
      </c>
      <c r="E235" s="36">
        <f>SUMIF('📋 Транзакції'!$B$5:$B$3623,A235,'📋 Транзакції'!$F$5:$F$3623)</f>
        <v>39.98</v>
      </c>
      <c r="F235" s="35">
        <f>INT($A$1-MAXIFS('📋 Транзакції'!$C$5:$C$3623,'📋 Транзакції'!$B$5:$B$3623,A235))</f>
        <v>198</v>
      </c>
      <c r="G235" s="37">
        <f>IF(COUNTIFS('📋 Транзакції'!$B$5:$B$3623,A235,'📋 Транзакції'!$C$5:$C$3623,"&gt;="&amp;EDATE(DATEVALUE(C235&amp;"-01"),0),'📋 Транзакції'!$C$5:$C$3623,"&lt;"&amp;EDATE(DATEVALUE(C235&amp;"-01"),1))&gt;0,1,0)</f>
        <v>1</v>
      </c>
      <c r="H235" s="37">
        <f>IF(COUNTIFS('📋 Транзакції'!$B$5:$B$3623,A235,'📋 Транзакції'!$C$5:$C$3623,"&gt;="&amp;EDATE(DATEVALUE(C235&amp;"-01"),1),'📋 Транзакції'!$C$5:$C$3623,"&lt;"&amp;EDATE(DATEVALUE(C235&amp;"-01"),2))&gt;0,1,0)</f>
        <v>1</v>
      </c>
      <c r="I235" s="37">
        <f>IF(COUNTIFS('📋 Транзакції'!$B$5:$B$3623,A235,'📋 Транзакції'!$C$5:$C$3623,"&gt;="&amp;EDATE(DATEVALUE(C235&amp;"-01"),2),'📋 Транзакції'!$C$5:$C$3623,"&lt;"&amp;EDATE(DATEVALUE(C235&amp;"-01"),3))&gt;0,1,0)</f>
        <v>0</v>
      </c>
      <c r="J235" s="37">
        <f>IF(COUNTIFS('📋 Транзакції'!$B$5:$B$3623,A235,'📋 Транзакції'!$C$5:$C$3623,"&gt;="&amp;EDATE(DATEVALUE(C235&amp;"-01"),3),'📋 Транзакції'!$C$5:$C$3623,"&lt;"&amp;EDATE(DATEVALUE(C235&amp;"-01"),4))&gt;0,1,0)</f>
        <v>0</v>
      </c>
      <c r="K235" s="37">
        <f>IF(COUNTIFS('📋 Транзакції'!$B$5:$B$3623,A235,'📋 Транзакції'!$C$5:$C$3623,"&gt;="&amp;EDATE(DATEVALUE(C235&amp;"-01"),4),'📋 Транзакції'!$C$5:$C$3623,"&lt;"&amp;EDATE(DATEVALUE(C235&amp;"-01"),5))&gt;0,1,0)</f>
        <v>0</v>
      </c>
      <c r="L235" s="37">
        <f>IF(COUNTIFS('📋 Транзакції'!$B$5:$B$3623,A235,'📋 Транзакції'!$C$5:$C$3623,"&gt;="&amp;EDATE(DATEVALUE(C235&amp;"-01"),5),'📋 Транзакції'!$C$5:$C$3623,"&lt;"&amp;EDATE(DATEVALUE(C235&amp;"-01"),6))&gt;0,1,0)</f>
        <v>0</v>
      </c>
      <c r="M235" s="37">
        <f>IF(COUNTIFS('📋 Транзакції'!$B$5:$B$3623,A235,'📋 Транзакції'!$C$5:$C$3623,"&gt;="&amp;EDATE(DATEVALUE(C235&amp;"-01"),6),'📋 Транзакції'!$C$5:$C$3623,"&lt;"&amp;EDATE(DATEVALUE(C235&amp;"-01"),7))&gt;0,1,0)</f>
        <v>0</v>
      </c>
      <c r="N235" s="37">
        <f>IF(COUNTIFS('📋 Транзакції'!$B$5:$B$3623,A235,'📋 Транзакції'!$C$5:$C$3623,"&gt;="&amp;EDATE(DATEVALUE(C235&amp;"-01"),7),'📋 Транзакції'!$C$5:$C$3623,"&lt;"&amp;EDATE(DATEVALUE(C235&amp;"-01"),8))&gt;0,1,0)</f>
        <v>0</v>
      </c>
      <c r="O235" s="37">
        <f>IF(COUNTIFS('📋 Транзакції'!$B$5:$B$3623,A235,'📋 Транзакції'!$C$5:$C$3623,"&gt;="&amp;EDATE(DATEVALUE(C235&amp;"-01"),8),'📋 Транзакції'!$C$5:$C$3623,"&lt;"&amp;EDATE(DATEVALUE(C235&amp;"-01"),9))&gt;0,1,0)</f>
        <v>0</v>
      </c>
      <c r="P235" s="37">
        <f>IF(COUNTIFS('📋 Транзакції'!$B$5:$B$3623,A235,'📋 Транзакції'!$C$5:$C$3623,"&gt;="&amp;EDATE(DATEVALUE(C235&amp;"-01"),9),'📋 Транзакції'!$C$5:$C$3623,"&lt;"&amp;EDATE(DATEVALUE(C235&amp;"-01"),10))&gt;0,1,0)</f>
        <v>0</v>
      </c>
      <c r="Q235" s="37">
        <f>IF(COUNTIFS('📋 Транзакції'!$B$5:$B$3623,A235,'📋 Транзакції'!$C$5:$C$3623,"&gt;="&amp;EDATE(DATEVALUE(C235&amp;"-01"),10),'📋 Транзакції'!$C$5:$C$3623,"&lt;"&amp;EDATE(DATEVALUE(C235&amp;"-01"),11))&gt;0,1,0)</f>
        <v>0</v>
      </c>
      <c r="R235" s="37">
        <f>IF(COUNTIFS('📋 Транзакції'!$B$5:$B$3623,A235,'📋 Транзакції'!$C$5:$C$3623,"&gt;="&amp;EDATE(DATEVALUE(C235&amp;"-01"),11),'📋 Транзакції'!$C$5:$C$3623,"&lt;"&amp;EDATE(DATEVALUE(C235&amp;"-01"),12))&gt;0,1,0)</f>
        <v>0</v>
      </c>
      <c r="S235" s="37">
        <f>SUMIFS('📋 Транзакції'!$F$5:$F$3623,'📋 Транзакції'!$B$5:$B$3623,A235,'📋 Транзакції'!$C$5:$C$3623,"&gt;="&amp;EDATE(DATEVALUE(C235&amp;"-01"),0),'📋 Транзакції'!$C$5:$C$3623,"&lt;"&amp;EDATE(DATEVALUE(C235&amp;"-01"),1))</f>
        <v>19.99</v>
      </c>
      <c r="T235" s="37">
        <f>SUMIFS('📋 Транзакції'!$F$5:$F$3623,'📋 Транзакції'!$B$5:$B$3623,A235,'📋 Транзакції'!$C$5:$C$3623,"&gt;="&amp;EDATE(DATEVALUE(C235&amp;"-01"),1),'📋 Транзакції'!$C$5:$C$3623,"&lt;"&amp;EDATE(DATEVALUE(C235&amp;"-01"),2))</f>
        <v>19.99</v>
      </c>
      <c r="U235" s="37">
        <f>SUMIFS('📋 Транзакції'!$F$5:$F$3623,'📋 Транзакції'!$B$5:$B$3623,A235,'📋 Транзакції'!$C$5:$C$3623,"&gt;="&amp;EDATE(DATEVALUE(C235&amp;"-01"),2),'📋 Транзакції'!$C$5:$C$3623,"&lt;"&amp;EDATE(DATEVALUE(C235&amp;"-01"),3))</f>
        <v>0</v>
      </c>
      <c r="V235" s="37">
        <f>SUMIFS('📋 Транзакції'!$F$5:$F$3623,'📋 Транзакції'!$B$5:$B$3623,A235,'📋 Транзакції'!$C$5:$C$3623,"&gt;="&amp;EDATE(DATEVALUE(C235&amp;"-01"),3),'📋 Транзакції'!$C$5:$C$3623,"&lt;"&amp;EDATE(DATEVALUE(C235&amp;"-01"),4))</f>
        <v>0</v>
      </c>
      <c r="W235" s="37">
        <f>SUMIFS('📋 Транзакції'!$F$5:$F$3623,'📋 Транзакції'!$B$5:$B$3623,A235,'📋 Транзакції'!$C$5:$C$3623,"&gt;="&amp;EDATE(DATEVALUE(C235&amp;"-01"),4),'📋 Транзакції'!$C$5:$C$3623,"&lt;"&amp;EDATE(DATEVALUE(C235&amp;"-01"),5))</f>
        <v>0</v>
      </c>
      <c r="X235" s="37">
        <f>SUMIFS('📋 Транзакції'!$F$5:$F$3623,'📋 Транзакції'!$B$5:$B$3623,A235,'📋 Транзакції'!$C$5:$C$3623,"&gt;="&amp;EDATE(DATEVALUE(C235&amp;"-01"),5),'📋 Транзакції'!$C$5:$C$3623,"&lt;"&amp;EDATE(DATEVALUE(C235&amp;"-01"),6))</f>
        <v>0</v>
      </c>
      <c r="Y235" s="37">
        <f>SUMIFS('📋 Транзакції'!$F$5:$F$3623,'📋 Транзакції'!$B$5:$B$3623,A235,'📋 Транзакції'!$C$5:$C$3623,"&gt;="&amp;EDATE(DATEVALUE(C235&amp;"-01"),6),'📋 Транзакції'!$C$5:$C$3623,"&lt;"&amp;EDATE(DATEVALUE(C235&amp;"-01"),7))</f>
        <v>0</v>
      </c>
      <c r="Z235" s="37">
        <f>SUMIFS('📋 Транзакції'!$F$5:$F$3623,'📋 Транзакції'!$B$5:$B$3623,A235,'📋 Транзакції'!$C$5:$C$3623,"&gt;="&amp;EDATE(DATEVALUE(C235&amp;"-01"),7),'📋 Транзакції'!$C$5:$C$3623,"&lt;"&amp;EDATE(DATEVALUE(C235&amp;"-01"),8))</f>
        <v>0</v>
      </c>
      <c r="AA235" s="37">
        <f>SUMIFS('📋 Транзакції'!$F$5:$F$3623,'📋 Транзакції'!$B$5:$B$3623,A235,'📋 Транзакції'!$C$5:$C$3623,"&gt;="&amp;EDATE(DATEVALUE(C235&amp;"-01"),8),'📋 Транзакції'!$C$5:$C$3623,"&lt;"&amp;EDATE(DATEVALUE(C235&amp;"-01"),9))</f>
        <v>0</v>
      </c>
      <c r="AB235" s="37">
        <f>SUMIFS('📋 Транзакції'!$F$5:$F$3623,'📋 Транзакції'!$B$5:$B$3623,A235,'📋 Транзакції'!$C$5:$C$3623,"&gt;="&amp;EDATE(DATEVALUE(C235&amp;"-01"),9),'📋 Транзакції'!$C$5:$C$3623,"&lt;"&amp;EDATE(DATEVALUE(C235&amp;"-01"),10))</f>
        <v>0</v>
      </c>
      <c r="AC235" s="37">
        <f>SUMIFS('📋 Транзакції'!$F$5:$F$3623,'📋 Транзакції'!$B$5:$B$3623,A235,'📋 Транзакції'!$C$5:$C$3623,"&gt;="&amp;EDATE(DATEVALUE(C235&amp;"-01"),10),'📋 Транзакції'!$C$5:$C$3623,"&lt;"&amp;EDATE(DATEVALUE(C235&amp;"-01"),11))</f>
        <v>0</v>
      </c>
      <c r="AD235" s="37">
        <f>SUMIFS('📋 Транзакції'!$F$5:$F$3623,'📋 Транзакції'!$B$5:$B$3623,A235,'📋 Транзакції'!$C$5:$C$3623,"&gt;="&amp;EDATE(DATEVALUE(C235&amp;"-01"),11),'📋 Транзакції'!$C$5:$C$3623,"&lt;"&amp;EDATE(DATEVALUE(C235&amp;"-01"),12))</f>
        <v>0</v>
      </c>
    </row>
    <row r="236" ht="15.75" customHeight="1">
      <c r="A236" s="33" t="str">
        <f>'📋 Реєстрації'!A236:A837</f>
        <v>U0573</v>
      </c>
      <c r="B236" s="34">
        <f t="array" ref="B236">INDEX('📋 Транзакції'!$C$5:$C$3623,MATCH(A236,'📋 Транзакції'!$B$5:$B$3623,0))</f>
        <v>45512</v>
      </c>
      <c r="C236" s="35" t="str">
        <f t="shared" si="1"/>
        <v>2024-08</v>
      </c>
      <c r="D236" s="36">
        <f>COUNTIF('📋 Транзакції'!$B$5:$B$3623,A236)</f>
        <v>2</v>
      </c>
      <c r="E236" s="36">
        <f>SUMIF('📋 Транзакції'!$B$5:$B$3623,A236,'📋 Транзакції'!$F$5:$F$3623)</f>
        <v>19.99</v>
      </c>
      <c r="F236" s="35">
        <f>INT($A$1-MAXIFS('📋 Транзакції'!$C$5:$C$3623,'📋 Транзакції'!$B$5:$B$3623,A236))</f>
        <v>228</v>
      </c>
      <c r="G236" s="37">
        <f>IF(COUNTIFS('📋 Транзакції'!$B$5:$B$3623,A236,'📋 Транзакції'!$C$5:$C$3623,"&gt;="&amp;EDATE(DATEVALUE(C236&amp;"-01"),0),'📋 Транзакції'!$C$5:$C$3623,"&lt;"&amp;EDATE(DATEVALUE(C236&amp;"-01"),1))&gt;0,1,0)</f>
        <v>1</v>
      </c>
      <c r="H236" s="37">
        <f>IF(COUNTIFS('📋 Транзакції'!$B$5:$B$3623,A236,'📋 Транзакції'!$C$5:$C$3623,"&gt;="&amp;EDATE(DATEVALUE(C236&amp;"-01"),1),'📋 Транзакції'!$C$5:$C$3623,"&lt;"&amp;EDATE(DATEVALUE(C236&amp;"-01"),2))&gt;0,1,0)</f>
        <v>0</v>
      </c>
      <c r="I236" s="37">
        <f>IF(COUNTIFS('📋 Транзакції'!$B$5:$B$3623,A236,'📋 Транзакції'!$C$5:$C$3623,"&gt;="&amp;EDATE(DATEVALUE(C236&amp;"-01"),2),'📋 Транзакції'!$C$5:$C$3623,"&lt;"&amp;EDATE(DATEVALUE(C236&amp;"-01"),3))&gt;0,1,0)</f>
        <v>0</v>
      </c>
      <c r="J236" s="37">
        <f>IF(COUNTIFS('📋 Транзакції'!$B$5:$B$3623,A236,'📋 Транзакції'!$C$5:$C$3623,"&gt;="&amp;EDATE(DATEVALUE(C236&amp;"-01"),3),'📋 Транзакції'!$C$5:$C$3623,"&lt;"&amp;EDATE(DATEVALUE(C236&amp;"-01"),4))&gt;0,1,0)</f>
        <v>0</v>
      </c>
      <c r="K236" s="37">
        <f>IF(COUNTIFS('📋 Транзакції'!$B$5:$B$3623,A236,'📋 Транзакції'!$C$5:$C$3623,"&gt;="&amp;EDATE(DATEVALUE(C236&amp;"-01"),4),'📋 Транзакції'!$C$5:$C$3623,"&lt;"&amp;EDATE(DATEVALUE(C236&amp;"-01"),5))&gt;0,1,0)</f>
        <v>0</v>
      </c>
      <c r="L236" s="37">
        <f>IF(COUNTIFS('📋 Транзакції'!$B$5:$B$3623,A236,'📋 Транзакції'!$C$5:$C$3623,"&gt;="&amp;EDATE(DATEVALUE(C236&amp;"-01"),5),'📋 Транзакції'!$C$5:$C$3623,"&lt;"&amp;EDATE(DATEVALUE(C236&amp;"-01"),6))&gt;0,1,0)</f>
        <v>0</v>
      </c>
      <c r="M236" s="37">
        <f>IF(COUNTIFS('📋 Транзакції'!$B$5:$B$3623,A236,'📋 Транзакції'!$C$5:$C$3623,"&gt;="&amp;EDATE(DATEVALUE(C236&amp;"-01"),6),'📋 Транзакції'!$C$5:$C$3623,"&lt;"&amp;EDATE(DATEVALUE(C236&amp;"-01"),7))&gt;0,1,0)</f>
        <v>0</v>
      </c>
      <c r="N236" s="37">
        <f>IF(COUNTIFS('📋 Транзакції'!$B$5:$B$3623,A236,'📋 Транзакції'!$C$5:$C$3623,"&gt;="&amp;EDATE(DATEVALUE(C236&amp;"-01"),7),'📋 Транзакції'!$C$5:$C$3623,"&lt;"&amp;EDATE(DATEVALUE(C236&amp;"-01"),8))&gt;0,1,0)</f>
        <v>0</v>
      </c>
      <c r="O236" s="37">
        <f>IF(COUNTIFS('📋 Транзакції'!$B$5:$B$3623,A236,'📋 Транзакції'!$C$5:$C$3623,"&gt;="&amp;EDATE(DATEVALUE(C236&amp;"-01"),8),'📋 Транзакції'!$C$5:$C$3623,"&lt;"&amp;EDATE(DATEVALUE(C236&amp;"-01"),9))&gt;0,1,0)</f>
        <v>0</v>
      </c>
      <c r="P236" s="37">
        <f>IF(COUNTIFS('📋 Транзакції'!$B$5:$B$3623,A236,'📋 Транзакції'!$C$5:$C$3623,"&gt;="&amp;EDATE(DATEVALUE(C236&amp;"-01"),9),'📋 Транзакції'!$C$5:$C$3623,"&lt;"&amp;EDATE(DATEVALUE(C236&amp;"-01"),10))&gt;0,1,0)</f>
        <v>0</v>
      </c>
      <c r="Q236" s="37">
        <f>IF(COUNTIFS('📋 Транзакції'!$B$5:$B$3623,A236,'📋 Транзакції'!$C$5:$C$3623,"&gt;="&amp;EDATE(DATEVALUE(C236&amp;"-01"),10),'📋 Транзакції'!$C$5:$C$3623,"&lt;"&amp;EDATE(DATEVALUE(C236&amp;"-01"),11))&gt;0,1,0)</f>
        <v>0</v>
      </c>
      <c r="R236" s="37">
        <f>IF(COUNTIFS('📋 Транзакції'!$B$5:$B$3623,A236,'📋 Транзакції'!$C$5:$C$3623,"&gt;="&amp;EDATE(DATEVALUE(C236&amp;"-01"),11),'📋 Транзакції'!$C$5:$C$3623,"&lt;"&amp;EDATE(DATEVALUE(C236&amp;"-01"),12))&gt;0,1,0)</f>
        <v>0</v>
      </c>
      <c r="S236" s="37">
        <f>SUMIFS('📋 Транзакції'!$F$5:$F$3623,'📋 Транзакції'!$B$5:$B$3623,A236,'📋 Транзакції'!$C$5:$C$3623,"&gt;="&amp;EDATE(DATEVALUE(C236&amp;"-01"),0),'📋 Транзакції'!$C$5:$C$3623,"&lt;"&amp;EDATE(DATEVALUE(C236&amp;"-01"),1))</f>
        <v>19.99</v>
      </c>
      <c r="T236" s="37">
        <f>SUMIFS('📋 Транзакції'!$F$5:$F$3623,'📋 Транзакції'!$B$5:$B$3623,A236,'📋 Транзакції'!$C$5:$C$3623,"&gt;="&amp;EDATE(DATEVALUE(C236&amp;"-01"),1),'📋 Транзакції'!$C$5:$C$3623,"&lt;"&amp;EDATE(DATEVALUE(C236&amp;"-01"),2))</f>
        <v>0</v>
      </c>
      <c r="U236" s="37">
        <f>SUMIFS('📋 Транзакції'!$F$5:$F$3623,'📋 Транзакції'!$B$5:$B$3623,A236,'📋 Транзакції'!$C$5:$C$3623,"&gt;="&amp;EDATE(DATEVALUE(C236&amp;"-01"),2),'📋 Транзакції'!$C$5:$C$3623,"&lt;"&amp;EDATE(DATEVALUE(C236&amp;"-01"),3))</f>
        <v>0</v>
      </c>
      <c r="V236" s="37">
        <f>SUMIFS('📋 Транзакції'!$F$5:$F$3623,'📋 Транзакції'!$B$5:$B$3623,A236,'📋 Транзакції'!$C$5:$C$3623,"&gt;="&amp;EDATE(DATEVALUE(C236&amp;"-01"),3),'📋 Транзакції'!$C$5:$C$3623,"&lt;"&amp;EDATE(DATEVALUE(C236&amp;"-01"),4))</f>
        <v>0</v>
      </c>
      <c r="W236" s="37">
        <f>SUMIFS('📋 Транзакції'!$F$5:$F$3623,'📋 Транзакції'!$B$5:$B$3623,A236,'📋 Транзакції'!$C$5:$C$3623,"&gt;="&amp;EDATE(DATEVALUE(C236&amp;"-01"),4),'📋 Транзакції'!$C$5:$C$3623,"&lt;"&amp;EDATE(DATEVALUE(C236&amp;"-01"),5))</f>
        <v>0</v>
      </c>
      <c r="X236" s="37">
        <f>SUMIFS('📋 Транзакції'!$F$5:$F$3623,'📋 Транзакції'!$B$5:$B$3623,A236,'📋 Транзакції'!$C$5:$C$3623,"&gt;="&amp;EDATE(DATEVALUE(C236&amp;"-01"),5),'📋 Транзакції'!$C$5:$C$3623,"&lt;"&amp;EDATE(DATEVALUE(C236&amp;"-01"),6))</f>
        <v>0</v>
      </c>
      <c r="Y236" s="37">
        <f>SUMIFS('📋 Транзакції'!$F$5:$F$3623,'📋 Транзакції'!$B$5:$B$3623,A236,'📋 Транзакції'!$C$5:$C$3623,"&gt;="&amp;EDATE(DATEVALUE(C236&amp;"-01"),6),'📋 Транзакції'!$C$5:$C$3623,"&lt;"&amp;EDATE(DATEVALUE(C236&amp;"-01"),7))</f>
        <v>0</v>
      </c>
      <c r="Z236" s="37">
        <f>SUMIFS('📋 Транзакції'!$F$5:$F$3623,'📋 Транзакції'!$B$5:$B$3623,A236,'📋 Транзакції'!$C$5:$C$3623,"&gt;="&amp;EDATE(DATEVALUE(C236&amp;"-01"),7),'📋 Транзакції'!$C$5:$C$3623,"&lt;"&amp;EDATE(DATEVALUE(C236&amp;"-01"),8))</f>
        <v>0</v>
      </c>
      <c r="AA236" s="37">
        <f>SUMIFS('📋 Транзакції'!$F$5:$F$3623,'📋 Транзакції'!$B$5:$B$3623,A236,'📋 Транзакції'!$C$5:$C$3623,"&gt;="&amp;EDATE(DATEVALUE(C236&amp;"-01"),8),'📋 Транзакції'!$C$5:$C$3623,"&lt;"&amp;EDATE(DATEVALUE(C236&amp;"-01"),9))</f>
        <v>0</v>
      </c>
      <c r="AB236" s="37">
        <f>SUMIFS('📋 Транзакції'!$F$5:$F$3623,'📋 Транзакції'!$B$5:$B$3623,A236,'📋 Транзакції'!$C$5:$C$3623,"&gt;="&amp;EDATE(DATEVALUE(C236&amp;"-01"),9),'📋 Транзакції'!$C$5:$C$3623,"&lt;"&amp;EDATE(DATEVALUE(C236&amp;"-01"),10))</f>
        <v>0</v>
      </c>
      <c r="AC236" s="37">
        <f>SUMIFS('📋 Транзакції'!$F$5:$F$3623,'📋 Транзакції'!$B$5:$B$3623,A236,'📋 Транзакції'!$C$5:$C$3623,"&gt;="&amp;EDATE(DATEVALUE(C236&amp;"-01"),10),'📋 Транзакції'!$C$5:$C$3623,"&lt;"&amp;EDATE(DATEVALUE(C236&amp;"-01"),11))</f>
        <v>0</v>
      </c>
      <c r="AD236" s="37">
        <f>SUMIFS('📋 Транзакції'!$F$5:$F$3623,'📋 Транзакції'!$B$5:$B$3623,A236,'📋 Транзакції'!$C$5:$C$3623,"&gt;="&amp;EDATE(DATEVALUE(C236&amp;"-01"),11),'📋 Транзакції'!$C$5:$C$3623,"&lt;"&amp;EDATE(DATEVALUE(C236&amp;"-01"),12))</f>
        <v>0</v>
      </c>
    </row>
    <row r="237" ht="15.75" customHeight="1">
      <c r="A237" s="33" t="str">
        <f>'📋 Реєстрації'!A237:A838</f>
        <v>U0678</v>
      </c>
      <c r="B237" s="34">
        <f t="array" ref="B237">INDEX('📋 Транзакції'!$C$5:$C$3623,MATCH(A237,'📋 Транзакції'!$B$5:$B$3623,0))</f>
        <v>45512</v>
      </c>
      <c r="C237" s="35" t="str">
        <f t="shared" si="1"/>
        <v>2024-08</v>
      </c>
      <c r="D237" s="36">
        <f>COUNTIF('📋 Транзакції'!$B$5:$B$3623,A237)</f>
        <v>9</v>
      </c>
      <c r="E237" s="36">
        <f>SUMIF('📋 Транзакції'!$B$5:$B$3623,A237,'📋 Транзакції'!$F$5:$F$3623)</f>
        <v>159.92</v>
      </c>
      <c r="F237" s="35">
        <f>INT($A$1-MAXIFS('📋 Транзакції'!$C$5:$C$3623,'📋 Транзакції'!$B$5:$B$3623,A237))</f>
        <v>18</v>
      </c>
      <c r="G237" s="37">
        <f>IF(COUNTIFS('📋 Транзакції'!$B$5:$B$3623,A237,'📋 Транзакції'!$C$5:$C$3623,"&gt;="&amp;EDATE(DATEVALUE(C237&amp;"-01"),0),'📋 Транзакції'!$C$5:$C$3623,"&lt;"&amp;EDATE(DATEVALUE(C237&amp;"-01"),1))&gt;0,1,0)</f>
        <v>1</v>
      </c>
      <c r="H237" s="37">
        <f>IF(COUNTIFS('📋 Транзакції'!$B$5:$B$3623,A237,'📋 Транзакції'!$C$5:$C$3623,"&gt;="&amp;EDATE(DATEVALUE(C237&amp;"-01"),1),'📋 Транзакції'!$C$5:$C$3623,"&lt;"&amp;EDATE(DATEVALUE(C237&amp;"-01"),2))&gt;0,1,0)</f>
        <v>1</v>
      </c>
      <c r="I237" s="37">
        <f>IF(COUNTIFS('📋 Транзакції'!$B$5:$B$3623,A237,'📋 Транзакції'!$C$5:$C$3623,"&gt;="&amp;EDATE(DATEVALUE(C237&amp;"-01"),2),'📋 Транзакції'!$C$5:$C$3623,"&lt;"&amp;EDATE(DATEVALUE(C237&amp;"-01"),3))&gt;0,1,0)</f>
        <v>1</v>
      </c>
      <c r="J237" s="37">
        <f>IF(COUNTIFS('📋 Транзакції'!$B$5:$B$3623,A237,'📋 Транзакції'!$C$5:$C$3623,"&gt;="&amp;EDATE(DATEVALUE(C237&amp;"-01"),3),'📋 Транзакції'!$C$5:$C$3623,"&lt;"&amp;EDATE(DATEVALUE(C237&amp;"-01"),4))&gt;0,1,0)</f>
        <v>1</v>
      </c>
      <c r="K237" s="37">
        <f>IF(COUNTIFS('📋 Транзакції'!$B$5:$B$3623,A237,'📋 Транзакції'!$C$5:$C$3623,"&gt;="&amp;EDATE(DATEVALUE(C237&amp;"-01"),4),'📋 Транзакції'!$C$5:$C$3623,"&lt;"&amp;EDATE(DATEVALUE(C237&amp;"-01"),5))&gt;0,1,0)</f>
        <v>1</v>
      </c>
      <c r="L237" s="37">
        <f>IF(COUNTIFS('📋 Транзакції'!$B$5:$B$3623,A237,'📋 Транзакції'!$C$5:$C$3623,"&gt;="&amp;EDATE(DATEVALUE(C237&amp;"-01"),5),'📋 Транзакції'!$C$5:$C$3623,"&lt;"&amp;EDATE(DATEVALUE(C237&amp;"-01"),6))&gt;0,1,0)</f>
        <v>1</v>
      </c>
      <c r="M237" s="37">
        <f>IF(COUNTIFS('📋 Транзакції'!$B$5:$B$3623,A237,'📋 Транзакції'!$C$5:$C$3623,"&gt;="&amp;EDATE(DATEVALUE(C237&amp;"-01"),6),'📋 Транзакції'!$C$5:$C$3623,"&lt;"&amp;EDATE(DATEVALUE(C237&amp;"-01"),7))&gt;0,1,0)</f>
        <v>1</v>
      </c>
      <c r="N237" s="37">
        <f>IF(COUNTIFS('📋 Транзакції'!$B$5:$B$3623,A237,'📋 Транзакції'!$C$5:$C$3623,"&gt;="&amp;EDATE(DATEVALUE(C237&amp;"-01"),7),'📋 Транзакції'!$C$5:$C$3623,"&lt;"&amp;EDATE(DATEVALUE(C237&amp;"-01"),8))&gt;0,1,0)</f>
        <v>1</v>
      </c>
      <c r="O237" s="37">
        <f>IF(COUNTIFS('📋 Транзакції'!$B$5:$B$3623,A237,'📋 Транзакції'!$C$5:$C$3623,"&gt;="&amp;EDATE(DATEVALUE(C237&amp;"-01"),8),'📋 Транзакції'!$C$5:$C$3623,"&lt;"&amp;EDATE(DATEVALUE(C237&amp;"-01"),9))&gt;0,1,0)</f>
        <v>0</v>
      </c>
      <c r="P237" s="37">
        <f>IF(COUNTIFS('📋 Транзакції'!$B$5:$B$3623,A237,'📋 Транзакції'!$C$5:$C$3623,"&gt;="&amp;EDATE(DATEVALUE(C237&amp;"-01"),9),'📋 Транзакції'!$C$5:$C$3623,"&lt;"&amp;EDATE(DATEVALUE(C237&amp;"-01"),10))&gt;0,1,0)</f>
        <v>0</v>
      </c>
      <c r="Q237" s="37">
        <f>IF(COUNTIFS('📋 Транзакції'!$B$5:$B$3623,A237,'📋 Транзакції'!$C$5:$C$3623,"&gt;="&amp;EDATE(DATEVALUE(C237&amp;"-01"),10),'📋 Транзакції'!$C$5:$C$3623,"&lt;"&amp;EDATE(DATEVALUE(C237&amp;"-01"),11))&gt;0,1,0)</f>
        <v>0</v>
      </c>
      <c r="R237" s="37">
        <f>IF(COUNTIFS('📋 Транзакції'!$B$5:$B$3623,A237,'📋 Транзакції'!$C$5:$C$3623,"&gt;="&amp;EDATE(DATEVALUE(C237&amp;"-01"),11),'📋 Транзакції'!$C$5:$C$3623,"&lt;"&amp;EDATE(DATEVALUE(C237&amp;"-01"),12))&gt;0,1,0)</f>
        <v>0</v>
      </c>
      <c r="S237" s="37">
        <f>SUMIFS('📋 Транзакції'!$F$5:$F$3623,'📋 Транзакції'!$B$5:$B$3623,A237,'📋 Транзакції'!$C$5:$C$3623,"&gt;="&amp;EDATE(DATEVALUE(C237&amp;"-01"),0),'📋 Транзакції'!$C$5:$C$3623,"&lt;"&amp;EDATE(DATEVALUE(C237&amp;"-01"),1))</f>
        <v>19.99</v>
      </c>
      <c r="T237" s="37">
        <f>SUMIFS('📋 Транзакції'!$F$5:$F$3623,'📋 Транзакції'!$B$5:$B$3623,A237,'📋 Транзакції'!$C$5:$C$3623,"&gt;="&amp;EDATE(DATEVALUE(C237&amp;"-01"),1),'📋 Транзакції'!$C$5:$C$3623,"&lt;"&amp;EDATE(DATEVALUE(C237&amp;"-01"),2))</f>
        <v>19.99</v>
      </c>
      <c r="U237" s="37">
        <f>SUMIFS('📋 Транзакції'!$F$5:$F$3623,'📋 Транзакції'!$B$5:$B$3623,A237,'📋 Транзакції'!$C$5:$C$3623,"&gt;="&amp;EDATE(DATEVALUE(C237&amp;"-01"),2),'📋 Транзакції'!$C$5:$C$3623,"&lt;"&amp;EDATE(DATEVALUE(C237&amp;"-01"),3))</f>
        <v>19.99</v>
      </c>
      <c r="V237" s="37">
        <f>SUMIFS('📋 Транзакції'!$F$5:$F$3623,'📋 Транзакції'!$B$5:$B$3623,A237,'📋 Транзакції'!$C$5:$C$3623,"&gt;="&amp;EDATE(DATEVALUE(C237&amp;"-01"),3),'📋 Транзакції'!$C$5:$C$3623,"&lt;"&amp;EDATE(DATEVALUE(C237&amp;"-01"),4))</f>
        <v>19.99</v>
      </c>
      <c r="W237" s="37">
        <f>SUMIFS('📋 Транзакції'!$F$5:$F$3623,'📋 Транзакції'!$B$5:$B$3623,A237,'📋 Транзакції'!$C$5:$C$3623,"&gt;="&amp;EDATE(DATEVALUE(C237&amp;"-01"),4),'📋 Транзакції'!$C$5:$C$3623,"&lt;"&amp;EDATE(DATEVALUE(C237&amp;"-01"),5))</f>
        <v>19.99</v>
      </c>
      <c r="X237" s="37">
        <f>SUMIFS('📋 Транзакції'!$F$5:$F$3623,'📋 Транзакції'!$B$5:$B$3623,A237,'📋 Транзакції'!$C$5:$C$3623,"&gt;="&amp;EDATE(DATEVALUE(C237&amp;"-01"),5),'📋 Транзакції'!$C$5:$C$3623,"&lt;"&amp;EDATE(DATEVALUE(C237&amp;"-01"),6))</f>
        <v>19.99</v>
      </c>
      <c r="Y237" s="37">
        <f>SUMIFS('📋 Транзакції'!$F$5:$F$3623,'📋 Транзакції'!$B$5:$B$3623,A237,'📋 Транзакції'!$C$5:$C$3623,"&gt;="&amp;EDATE(DATEVALUE(C237&amp;"-01"),6),'📋 Транзакції'!$C$5:$C$3623,"&lt;"&amp;EDATE(DATEVALUE(C237&amp;"-01"),7))</f>
        <v>19.99</v>
      </c>
      <c r="Z237" s="37">
        <f>SUMIFS('📋 Транзакції'!$F$5:$F$3623,'📋 Транзакції'!$B$5:$B$3623,A237,'📋 Транзакції'!$C$5:$C$3623,"&gt;="&amp;EDATE(DATEVALUE(C237&amp;"-01"),7),'📋 Транзакції'!$C$5:$C$3623,"&lt;"&amp;EDATE(DATEVALUE(C237&amp;"-01"),8))</f>
        <v>19.99</v>
      </c>
      <c r="AA237" s="37">
        <f>SUMIFS('📋 Транзакції'!$F$5:$F$3623,'📋 Транзакції'!$B$5:$B$3623,A237,'📋 Транзакції'!$C$5:$C$3623,"&gt;="&amp;EDATE(DATEVALUE(C237&amp;"-01"),8),'📋 Транзакції'!$C$5:$C$3623,"&lt;"&amp;EDATE(DATEVALUE(C237&amp;"-01"),9))</f>
        <v>0</v>
      </c>
      <c r="AB237" s="37">
        <f>SUMIFS('📋 Транзакції'!$F$5:$F$3623,'📋 Транзакції'!$B$5:$B$3623,A237,'📋 Транзакції'!$C$5:$C$3623,"&gt;="&amp;EDATE(DATEVALUE(C237&amp;"-01"),9),'📋 Транзакції'!$C$5:$C$3623,"&lt;"&amp;EDATE(DATEVALUE(C237&amp;"-01"),10))</f>
        <v>0</v>
      </c>
      <c r="AC237" s="37">
        <f>SUMIFS('📋 Транзакції'!$F$5:$F$3623,'📋 Транзакції'!$B$5:$B$3623,A237,'📋 Транзакції'!$C$5:$C$3623,"&gt;="&amp;EDATE(DATEVALUE(C237&amp;"-01"),10),'📋 Транзакції'!$C$5:$C$3623,"&lt;"&amp;EDATE(DATEVALUE(C237&amp;"-01"),11))</f>
        <v>0</v>
      </c>
      <c r="AD237" s="37">
        <f>SUMIFS('📋 Транзакції'!$F$5:$F$3623,'📋 Транзакції'!$B$5:$B$3623,A237,'📋 Транзакції'!$C$5:$C$3623,"&gt;="&amp;EDATE(DATEVALUE(C237&amp;"-01"),11),'📋 Транзакції'!$C$5:$C$3623,"&lt;"&amp;EDATE(DATEVALUE(C237&amp;"-01"),12))</f>
        <v>0</v>
      </c>
    </row>
    <row r="238" ht="15.75" customHeight="1">
      <c r="A238" s="33" t="str">
        <f>'📋 Реєстрації'!A238:A839</f>
        <v>U0294</v>
      </c>
      <c r="B238" s="34">
        <f t="array" ref="B238">INDEX('📋 Транзакції'!$C$5:$C$3623,MATCH(A238,'📋 Транзакції'!$B$5:$B$3623,0))</f>
        <v>45513</v>
      </c>
      <c r="C238" s="35" t="str">
        <f t="shared" si="1"/>
        <v>2024-08</v>
      </c>
      <c r="D238" s="36">
        <f>COUNTIF('📋 Транзакції'!$B$5:$B$3623,A238)</f>
        <v>5</v>
      </c>
      <c r="E238" s="36">
        <f>SUMIF('📋 Транзакції'!$B$5:$B$3623,A238,'📋 Транзакції'!$F$5:$F$3623)</f>
        <v>79.96</v>
      </c>
      <c r="F238" s="35">
        <f>INT($A$1-MAXIFS('📋 Транзакції'!$C$5:$C$3623,'📋 Транзакції'!$B$5:$B$3623,A238))</f>
        <v>137</v>
      </c>
      <c r="G238" s="37">
        <f>IF(COUNTIFS('📋 Транзакції'!$B$5:$B$3623,A238,'📋 Транзакції'!$C$5:$C$3623,"&gt;="&amp;EDATE(DATEVALUE(C238&amp;"-01"),0),'📋 Транзакції'!$C$5:$C$3623,"&lt;"&amp;EDATE(DATEVALUE(C238&amp;"-01"),1))&gt;0,1,0)</f>
        <v>1</v>
      </c>
      <c r="H238" s="37">
        <f>IF(COUNTIFS('📋 Транзакції'!$B$5:$B$3623,A238,'📋 Транзакції'!$C$5:$C$3623,"&gt;="&amp;EDATE(DATEVALUE(C238&amp;"-01"),1),'📋 Транзакції'!$C$5:$C$3623,"&lt;"&amp;EDATE(DATEVALUE(C238&amp;"-01"),2))&gt;0,1,0)</f>
        <v>1</v>
      </c>
      <c r="I238" s="37">
        <f>IF(COUNTIFS('📋 Транзакції'!$B$5:$B$3623,A238,'📋 Транзакції'!$C$5:$C$3623,"&gt;="&amp;EDATE(DATEVALUE(C238&amp;"-01"),2),'📋 Транзакції'!$C$5:$C$3623,"&lt;"&amp;EDATE(DATEVALUE(C238&amp;"-01"),3))&gt;0,1,0)</f>
        <v>1</v>
      </c>
      <c r="J238" s="37">
        <f>IF(COUNTIFS('📋 Транзакції'!$B$5:$B$3623,A238,'📋 Транзакції'!$C$5:$C$3623,"&gt;="&amp;EDATE(DATEVALUE(C238&amp;"-01"),3),'📋 Транзакції'!$C$5:$C$3623,"&lt;"&amp;EDATE(DATEVALUE(C238&amp;"-01"),4))&gt;0,1,0)</f>
        <v>1</v>
      </c>
      <c r="K238" s="37">
        <f>IF(COUNTIFS('📋 Транзакції'!$B$5:$B$3623,A238,'📋 Транзакції'!$C$5:$C$3623,"&gt;="&amp;EDATE(DATEVALUE(C238&amp;"-01"),4),'📋 Транзакції'!$C$5:$C$3623,"&lt;"&amp;EDATE(DATEVALUE(C238&amp;"-01"),5))&gt;0,1,0)</f>
        <v>0</v>
      </c>
      <c r="L238" s="37">
        <f>IF(COUNTIFS('📋 Транзакції'!$B$5:$B$3623,A238,'📋 Транзакції'!$C$5:$C$3623,"&gt;="&amp;EDATE(DATEVALUE(C238&amp;"-01"),5),'📋 Транзакції'!$C$5:$C$3623,"&lt;"&amp;EDATE(DATEVALUE(C238&amp;"-01"),6))&gt;0,1,0)</f>
        <v>0</v>
      </c>
      <c r="M238" s="37">
        <f>IF(COUNTIFS('📋 Транзакції'!$B$5:$B$3623,A238,'📋 Транзакції'!$C$5:$C$3623,"&gt;="&amp;EDATE(DATEVALUE(C238&amp;"-01"),6),'📋 Транзакції'!$C$5:$C$3623,"&lt;"&amp;EDATE(DATEVALUE(C238&amp;"-01"),7))&gt;0,1,0)</f>
        <v>0</v>
      </c>
      <c r="N238" s="37">
        <f>IF(COUNTIFS('📋 Транзакції'!$B$5:$B$3623,A238,'📋 Транзакції'!$C$5:$C$3623,"&gt;="&amp;EDATE(DATEVALUE(C238&amp;"-01"),7),'📋 Транзакції'!$C$5:$C$3623,"&lt;"&amp;EDATE(DATEVALUE(C238&amp;"-01"),8))&gt;0,1,0)</f>
        <v>0</v>
      </c>
      <c r="O238" s="37">
        <f>IF(COUNTIFS('📋 Транзакції'!$B$5:$B$3623,A238,'📋 Транзакції'!$C$5:$C$3623,"&gt;="&amp;EDATE(DATEVALUE(C238&amp;"-01"),8),'📋 Транзакції'!$C$5:$C$3623,"&lt;"&amp;EDATE(DATEVALUE(C238&amp;"-01"),9))&gt;0,1,0)</f>
        <v>0</v>
      </c>
      <c r="P238" s="37">
        <f>IF(COUNTIFS('📋 Транзакції'!$B$5:$B$3623,A238,'📋 Транзакції'!$C$5:$C$3623,"&gt;="&amp;EDATE(DATEVALUE(C238&amp;"-01"),9),'📋 Транзакції'!$C$5:$C$3623,"&lt;"&amp;EDATE(DATEVALUE(C238&amp;"-01"),10))&gt;0,1,0)</f>
        <v>0</v>
      </c>
      <c r="Q238" s="37">
        <f>IF(COUNTIFS('📋 Транзакції'!$B$5:$B$3623,A238,'📋 Транзакції'!$C$5:$C$3623,"&gt;="&amp;EDATE(DATEVALUE(C238&amp;"-01"),10),'📋 Транзакції'!$C$5:$C$3623,"&lt;"&amp;EDATE(DATEVALUE(C238&amp;"-01"),11))&gt;0,1,0)</f>
        <v>0</v>
      </c>
      <c r="R238" s="37">
        <f>IF(COUNTIFS('📋 Транзакції'!$B$5:$B$3623,A238,'📋 Транзакції'!$C$5:$C$3623,"&gt;="&amp;EDATE(DATEVALUE(C238&amp;"-01"),11),'📋 Транзакції'!$C$5:$C$3623,"&lt;"&amp;EDATE(DATEVALUE(C238&amp;"-01"),12))&gt;0,1,0)</f>
        <v>0</v>
      </c>
      <c r="S238" s="37">
        <f>SUMIFS('📋 Транзакції'!$F$5:$F$3623,'📋 Транзакції'!$B$5:$B$3623,A238,'📋 Транзакції'!$C$5:$C$3623,"&gt;="&amp;EDATE(DATEVALUE(C238&amp;"-01"),0),'📋 Транзакції'!$C$5:$C$3623,"&lt;"&amp;EDATE(DATEVALUE(C238&amp;"-01"),1))</f>
        <v>19.99</v>
      </c>
      <c r="T238" s="37">
        <f>SUMIFS('📋 Транзакції'!$F$5:$F$3623,'📋 Транзакції'!$B$5:$B$3623,A238,'📋 Транзакції'!$C$5:$C$3623,"&gt;="&amp;EDATE(DATEVALUE(C238&amp;"-01"),1),'📋 Транзакції'!$C$5:$C$3623,"&lt;"&amp;EDATE(DATEVALUE(C238&amp;"-01"),2))</f>
        <v>19.99</v>
      </c>
      <c r="U238" s="37">
        <f>SUMIFS('📋 Транзакції'!$F$5:$F$3623,'📋 Транзакції'!$B$5:$B$3623,A238,'📋 Транзакції'!$C$5:$C$3623,"&gt;="&amp;EDATE(DATEVALUE(C238&amp;"-01"),2),'📋 Транзакції'!$C$5:$C$3623,"&lt;"&amp;EDATE(DATEVALUE(C238&amp;"-01"),3))</f>
        <v>19.99</v>
      </c>
      <c r="V238" s="37">
        <f>SUMIFS('📋 Транзакції'!$F$5:$F$3623,'📋 Транзакції'!$B$5:$B$3623,A238,'📋 Транзакції'!$C$5:$C$3623,"&gt;="&amp;EDATE(DATEVALUE(C238&amp;"-01"),3),'📋 Транзакції'!$C$5:$C$3623,"&lt;"&amp;EDATE(DATEVALUE(C238&amp;"-01"),4))</f>
        <v>19.99</v>
      </c>
      <c r="W238" s="37">
        <f>SUMIFS('📋 Транзакції'!$F$5:$F$3623,'📋 Транзакції'!$B$5:$B$3623,A238,'📋 Транзакції'!$C$5:$C$3623,"&gt;="&amp;EDATE(DATEVALUE(C238&amp;"-01"),4),'📋 Транзакції'!$C$5:$C$3623,"&lt;"&amp;EDATE(DATEVALUE(C238&amp;"-01"),5))</f>
        <v>0</v>
      </c>
      <c r="X238" s="37">
        <f>SUMIFS('📋 Транзакції'!$F$5:$F$3623,'📋 Транзакції'!$B$5:$B$3623,A238,'📋 Транзакції'!$C$5:$C$3623,"&gt;="&amp;EDATE(DATEVALUE(C238&amp;"-01"),5),'📋 Транзакції'!$C$5:$C$3623,"&lt;"&amp;EDATE(DATEVALUE(C238&amp;"-01"),6))</f>
        <v>0</v>
      </c>
      <c r="Y238" s="37">
        <f>SUMIFS('📋 Транзакції'!$F$5:$F$3623,'📋 Транзакції'!$B$5:$B$3623,A238,'📋 Транзакції'!$C$5:$C$3623,"&gt;="&amp;EDATE(DATEVALUE(C238&amp;"-01"),6),'📋 Транзакції'!$C$5:$C$3623,"&lt;"&amp;EDATE(DATEVALUE(C238&amp;"-01"),7))</f>
        <v>0</v>
      </c>
      <c r="Z238" s="37">
        <f>SUMIFS('📋 Транзакції'!$F$5:$F$3623,'📋 Транзакції'!$B$5:$B$3623,A238,'📋 Транзакції'!$C$5:$C$3623,"&gt;="&amp;EDATE(DATEVALUE(C238&amp;"-01"),7),'📋 Транзакції'!$C$5:$C$3623,"&lt;"&amp;EDATE(DATEVALUE(C238&amp;"-01"),8))</f>
        <v>0</v>
      </c>
      <c r="AA238" s="37">
        <f>SUMIFS('📋 Транзакції'!$F$5:$F$3623,'📋 Транзакції'!$B$5:$B$3623,A238,'📋 Транзакції'!$C$5:$C$3623,"&gt;="&amp;EDATE(DATEVALUE(C238&amp;"-01"),8),'📋 Транзакції'!$C$5:$C$3623,"&lt;"&amp;EDATE(DATEVALUE(C238&amp;"-01"),9))</f>
        <v>0</v>
      </c>
      <c r="AB238" s="37">
        <f>SUMIFS('📋 Транзакції'!$F$5:$F$3623,'📋 Транзакції'!$B$5:$B$3623,A238,'📋 Транзакції'!$C$5:$C$3623,"&gt;="&amp;EDATE(DATEVALUE(C238&amp;"-01"),9),'📋 Транзакції'!$C$5:$C$3623,"&lt;"&amp;EDATE(DATEVALUE(C238&amp;"-01"),10))</f>
        <v>0</v>
      </c>
      <c r="AC238" s="37">
        <f>SUMIFS('📋 Транзакції'!$F$5:$F$3623,'📋 Транзакції'!$B$5:$B$3623,A238,'📋 Транзакції'!$C$5:$C$3623,"&gt;="&amp;EDATE(DATEVALUE(C238&amp;"-01"),10),'📋 Транзакції'!$C$5:$C$3623,"&lt;"&amp;EDATE(DATEVALUE(C238&amp;"-01"),11))</f>
        <v>0</v>
      </c>
      <c r="AD238" s="37">
        <f>SUMIFS('📋 Транзакції'!$F$5:$F$3623,'📋 Транзакції'!$B$5:$B$3623,A238,'📋 Транзакції'!$C$5:$C$3623,"&gt;="&amp;EDATE(DATEVALUE(C238&amp;"-01"),11),'📋 Транзакції'!$C$5:$C$3623,"&lt;"&amp;EDATE(DATEVALUE(C238&amp;"-01"),12))</f>
        <v>0</v>
      </c>
    </row>
    <row r="239" ht="15.75" customHeight="1">
      <c r="A239" s="33" t="str">
        <f>'📋 Реєстрації'!A239:A840</f>
        <v>U0024</v>
      </c>
      <c r="B239" s="34">
        <f t="array" ref="B239">INDEX('📋 Транзакції'!$C$5:$C$3623,MATCH(A239,'📋 Транзакції'!$B$5:$B$3623,0))</f>
        <v>45514</v>
      </c>
      <c r="C239" s="35" t="str">
        <f t="shared" si="1"/>
        <v>2024-08</v>
      </c>
      <c r="D239" s="36">
        <f>COUNTIF('📋 Транзакції'!$B$5:$B$3623,A239)</f>
        <v>8</v>
      </c>
      <c r="E239" s="36">
        <f>SUMIF('📋 Транзакції'!$B$5:$B$3623,A239,'📋 Транзакції'!$F$5:$F$3623)</f>
        <v>139.93</v>
      </c>
      <c r="F239" s="35">
        <f>INT($A$1-MAXIFS('📋 Транзакції'!$C$5:$C$3623,'📋 Транзакції'!$B$5:$B$3623,A239))</f>
        <v>46</v>
      </c>
      <c r="G239" s="37">
        <f>IF(COUNTIFS('📋 Транзакції'!$B$5:$B$3623,A239,'📋 Транзакції'!$C$5:$C$3623,"&gt;="&amp;EDATE(DATEVALUE(C239&amp;"-01"),0),'📋 Транзакції'!$C$5:$C$3623,"&lt;"&amp;EDATE(DATEVALUE(C239&amp;"-01"),1))&gt;0,1,0)</f>
        <v>1</v>
      </c>
      <c r="H239" s="37">
        <f>IF(COUNTIFS('📋 Транзакції'!$B$5:$B$3623,A239,'📋 Транзакції'!$C$5:$C$3623,"&gt;="&amp;EDATE(DATEVALUE(C239&amp;"-01"),1),'📋 Транзакції'!$C$5:$C$3623,"&lt;"&amp;EDATE(DATEVALUE(C239&amp;"-01"),2))&gt;0,1,0)</f>
        <v>1</v>
      </c>
      <c r="I239" s="37">
        <f>IF(COUNTIFS('📋 Транзакції'!$B$5:$B$3623,A239,'📋 Транзакції'!$C$5:$C$3623,"&gt;="&amp;EDATE(DATEVALUE(C239&amp;"-01"),2),'📋 Транзакції'!$C$5:$C$3623,"&lt;"&amp;EDATE(DATEVALUE(C239&amp;"-01"),3))&gt;0,1,0)</f>
        <v>1</v>
      </c>
      <c r="J239" s="37">
        <f>IF(COUNTIFS('📋 Транзакції'!$B$5:$B$3623,A239,'📋 Транзакції'!$C$5:$C$3623,"&gt;="&amp;EDATE(DATEVALUE(C239&amp;"-01"),3),'📋 Транзакції'!$C$5:$C$3623,"&lt;"&amp;EDATE(DATEVALUE(C239&amp;"-01"),4))&gt;0,1,0)</f>
        <v>1</v>
      </c>
      <c r="K239" s="37">
        <f>IF(COUNTIFS('📋 Транзакції'!$B$5:$B$3623,A239,'📋 Транзакції'!$C$5:$C$3623,"&gt;="&amp;EDATE(DATEVALUE(C239&amp;"-01"),4),'📋 Транзакції'!$C$5:$C$3623,"&lt;"&amp;EDATE(DATEVALUE(C239&amp;"-01"),5))&gt;0,1,0)</f>
        <v>1</v>
      </c>
      <c r="L239" s="37">
        <f>IF(COUNTIFS('📋 Транзакції'!$B$5:$B$3623,A239,'📋 Транзакції'!$C$5:$C$3623,"&gt;="&amp;EDATE(DATEVALUE(C239&amp;"-01"),5),'📋 Транзакції'!$C$5:$C$3623,"&lt;"&amp;EDATE(DATEVALUE(C239&amp;"-01"),6))&gt;0,1,0)</f>
        <v>1</v>
      </c>
      <c r="M239" s="37">
        <f>IF(COUNTIFS('📋 Транзакції'!$B$5:$B$3623,A239,'📋 Транзакції'!$C$5:$C$3623,"&gt;="&amp;EDATE(DATEVALUE(C239&amp;"-01"),6),'📋 Транзакції'!$C$5:$C$3623,"&lt;"&amp;EDATE(DATEVALUE(C239&amp;"-01"),7))&gt;0,1,0)</f>
        <v>1</v>
      </c>
      <c r="N239" s="37">
        <f>IF(COUNTIFS('📋 Транзакції'!$B$5:$B$3623,A239,'📋 Транзакції'!$C$5:$C$3623,"&gt;="&amp;EDATE(DATEVALUE(C239&amp;"-01"),7),'📋 Транзакції'!$C$5:$C$3623,"&lt;"&amp;EDATE(DATEVALUE(C239&amp;"-01"),8))&gt;0,1,0)</f>
        <v>0</v>
      </c>
      <c r="O239" s="37">
        <f>IF(COUNTIFS('📋 Транзакції'!$B$5:$B$3623,A239,'📋 Транзакції'!$C$5:$C$3623,"&gt;="&amp;EDATE(DATEVALUE(C239&amp;"-01"),8),'📋 Транзакції'!$C$5:$C$3623,"&lt;"&amp;EDATE(DATEVALUE(C239&amp;"-01"),9))&gt;0,1,0)</f>
        <v>0</v>
      </c>
      <c r="P239" s="37">
        <f>IF(COUNTIFS('📋 Транзакції'!$B$5:$B$3623,A239,'📋 Транзакції'!$C$5:$C$3623,"&gt;="&amp;EDATE(DATEVALUE(C239&amp;"-01"),9),'📋 Транзакції'!$C$5:$C$3623,"&lt;"&amp;EDATE(DATEVALUE(C239&amp;"-01"),10))&gt;0,1,0)</f>
        <v>0</v>
      </c>
      <c r="Q239" s="37">
        <f>IF(COUNTIFS('📋 Транзакції'!$B$5:$B$3623,A239,'📋 Транзакції'!$C$5:$C$3623,"&gt;="&amp;EDATE(DATEVALUE(C239&amp;"-01"),10),'📋 Транзакції'!$C$5:$C$3623,"&lt;"&amp;EDATE(DATEVALUE(C239&amp;"-01"),11))&gt;0,1,0)</f>
        <v>0</v>
      </c>
      <c r="R239" s="37">
        <f>IF(COUNTIFS('📋 Транзакції'!$B$5:$B$3623,A239,'📋 Транзакції'!$C$5:$C$3623,"&gt;="&amp;EDATE(DATEVALUE(C239&amp;"-01"),11),'📋 Транзакції'!$C$5:$C$3623,"&lt;"&amp;EDATE(DATEVALUE(C239&amp;"-01"),12))&gt;0,1,0)</f>
        <v>0</v>
      </c>
      <c r="S239" s="37">
        <f>SUMIFS('📋 Транзакції'!$F$5:$F$3623,'📋 Транзакції'!$B$5:$B$3623,A239,'📋 Транзакції'!$C$5:$C$3623,"&gt;="&amp;EDATE(DATEVALUE(C239&amp;"-01"),0),'📋 Транзакції'!$C$5:$C$3623,"&lt;"&amp;EDATE(DATEVALUE(C239&amp;"-01"),1))</f>
        <v>19.99</v>
      </c>
      <c r="T239" s="37">
        <f>SUMIFS('📋 Транзакції'!$F$5:$F$3623,'📋 Транзакції'!$B$5:$B$3623,A239,'📋 Транзакції'!$C$5:$C$3623,"&gt;="&amp;EDATE(DATEVALUE(C239&amp;"-01"),1),'📋 Транзакції'!$C$5:$C$3623,"&lt;"&amp;EDATE(DATEVALUE(C239&amp;"-01"),2))</f>
        <v>19.99</v>
      </c>
      <c r="U239" s="37">
        <f>SUMIFS('📋 Транзакції'!$F$5:$F$3623,'📋 Транзакції'!$B$5:$B$3623,A239,'📋 Транзакції'!$C$5:$C$3623,"&gt;="&amp;EDATE(DATEVALUE(C239&amp;"-01"),2),'📋 Транзакції'!$C$5:$C$3623,"&lt;"&amp;EDATE(DATEVALUE(C239&amp;"-01"),3))</f>
        <v>19.99</v>
      </c>
      <c r="V239" s="37">
        <f>SUMIFS('📋 Транзакції'!$F$5:$F$3623,'📋 Транзакції'!$B$5:$B$3623,A239,'📋 Транзакції'!$C$5:$C$3623,"&gt;="&amp;EDATE(DATEVALUE(C239&amp;"-01"),3),'📋 Транзакції'!$C$5:$C$3623,"&lt;"&amp;EDATE(DATEVALUE(C239&amp;"-01"),4))</f>
        <v>19.99</v>
      </c>
      <c r="W239" s="37">
        <f>SUMIFS('📋 Транзакції'!$F$5:$F$3623,'📋 Транзакції'!$B$5:$B$3623,A239,'📋 Транзакції'!$C$5:$C$3623,"&gt;="&amp;EDATE(DATEVALUE(C239&amp;"-01"),4),'📋 Транзакції'!$C$5:$C$3623,"&lt;"&amp;EDATE(DATEVALUE(C239&amp;"-01"),5))</f>
        <v>19.99</v>
      </c>
      <c r="X239" s="37">
        <f>SUMIFS('📋 Транзакції'!$F$5:$F$3623,'📋 Транзакції'!$B$5:$B$3623,A239,'📋 Транзакції'!$C$5:$C$3623,"&gt;="&amp;EDATE(DATEVALUE(C239&amp;"-01"),5),'📋 Транзакції'!$C$5:$C$3623,"&lt;"&amp;EDATE(DATEVALUE(C239&amp;"-01"),6))</f>
        <v>19.99</v>
      </c>
      <c r="Y239" s="37">
        <f>SUMIFS('📋 Транзакції'!$F$5:$F$3623,'📋 Транзакції'!$B$5:$B$3623,A239,'📋 Транзакції'!$C$5:$C$3623,"&gt;="&amp;EDATE(DATEVALUE(C239&amp;"-01"),6),'📋 Транзакції'!$C$5:$C$3623,"&lt;"&amp;EDATE(DATEVALUE(C239&amp;"-01"),7))</f>
        <v>19.99</v>
      </c>
      <c r="Z239" s="37">
        <f>SUMIFS('📋 Транзакції'!$F$5:$F$3623,'📋 Транзакції'!$B$5:$B$3623,A239,'📋 Транзакції'!$C$5:$C$3623,"&gt;="&amp;EDATE(DATEVALUE(C239&amp;"-01"),7),'📋 Транзакції'!$C$5:$C$3623,"&lt;"&amp;EDATE(DATEVALUE(C239&amp;"-01"),8))</f>
        <v>0</v>
      </c>
      <c r="AA239" s="37">
        <f>SUMIFS('📋 Транзакції'!$F$5:$F$3623,'📋 Транзакції'!$B$5:$B$3623,A239,'📋 Транзакції'!$C$5:$C$3623,"&gt;="&amp;EDATE(DATEVALUE(C239&amp;"-01"),8),'📋 Транзакції'!$C$5:$C$3623,"&lt;"&amp;EDATE(DATEVALUE(C239&amp;"-01"),9))</f>
        <v>0</v>
      </c>
      <c r="AB239" s="37">
        <f>SUMIFS('📋 Транзакції'!$F$5:$F$3623,'📋 Транзакції'!$B$5:$B$3623,A239,'📋 Транзакції'!$C$5:$C$3623,"&gt;="&amp;EDATE(DATEVALUE(C239&amp;"-01"),9),'📋 Транзакції'!$C$5:$C$3623,"&lt;"&amp;EDATE(DATEVALUE(C239&amp;"-01"),10))</f>
        <v>0</v>
      </c>
      <c r="AC239" s="37">
        <f>SUMIFS('📋 Транзакції'!$F$5:$F$3623,'📋 Транзакції'!$B$5:$B$3623,A239,'📋 Транзакції'!$C$5:$C$3623,"&gt;="&amp;EDATE(DATEVALUE(C239&amp;"-01"),10),'📋 Транзакції'!$C$5:$C$3623,"&lt;"&amp;EDATE(DATEVALUE(C239&amp;"-01"),11))</f>
        <v>0</v>
      </c>
      <c r="AD239" s="37">
        <f>SUMIFS('📋 Транзакції'!$F$5:$F$3623,'📋 Транзакції'!$B$5:$B$3623,A239,'📋 Транзакції'!$C$5:$C$3623,"&gt;="&amp;EDATE(DATEVALUE(C239&amp;"-01"),11),'📋 Транзакції'!$C$5:$C$3623,"&lt;"&amp;EDATE(DATEVALUE(C239&amp;"-01"),12))</f>
        <v>0</v>
      </c>
    </row>
    <row r="240" ht="15.75" customHeight="1">
      <c r="A240" s="33" t="str">
        <f>'📋 Реєстрації'!A240:A841</f>
        <v>U0178</v>
      </c>
      <c r="B240" s="34">
        <f t="array" ref="B240">INDEX('📋 Транзакції'!$C$5:$C$3623,MATCH(A240,'📋 Транзакції'!$B$5:$B$3623,0))</f>
        <v>45514</v>
      </c>
      <c r="C240" s="35" t="str">
        <f t="shared" si="1"/>
        <v>2024-08</v>
      </c>
      <c r="D240" s="36">
        <f>COUNTIF('📋 Транзакції'!$B$5:$B$3623,A240)</f>
        <v>9</v>
      </c>
      <c r="E240" s="36">
        <f>SUMIF('📋 Транзакції'!$B$5:$B$3623,A240,'📋 Транзакції'!$F$5:$F$3623)</f>
        <v>159.92</v>
      </c>
      <c r="F240" s="35">
        <f>INT($A$1-MAXIFS('📋 Транзакції'!$C$5:$C$3623,'📋 Транзакції'!$B$5:$B$3623,A240))</f>
        <v>16</v>
      </c>
      <c r="G240" s="37">
        <f>IF(COUNTIFS('📋 Транзакції'!$B$5:$B$3623,A240,'📋 Транзакції'!$C$5:$C$3623,"&gt;="&amp;EDATE(DATEVALUE(C240&amp;"-01"),0),'📋 Транзакції'!$C$5:$C$3623,"&lt;"&amp;EDATE(DATEVALUE(C240&amp;"-01"),1))&gt;0,1,0)</f>
        <v>1</v>
      </c>
      <c r="H240" s="37">
        <f>IF(COUNTIFS('📋 Транзакції'!$B$5:$B$3623,A240,'📋 Транзакції'!$C$5:$C$3623,"&gt;="&amp;EDATE(DATEVALUE(C240&amp;"-01"),1),'📋 Транзакції'!$C$5:$C$3623,"&lt;"&amp;EDATE(DATEVALUE(C240&amp;"-01"),2))&gt;0,1,0)</f>
        <v>1</v>
      </c>
      <c r="I240" s="37">
        <f>IF(COUNTIFS('📋 Транзакції'!$B$5:$B$3623,A240,'📋 Транзакції'!$C$5:$C$3623,"&gt;="&amp;EDATE(DATEVALUE(C240&amp;"-01"),2),'📋 Транзакції'!$C$5:$C$3623,"&lt;"&amp;EDATE(DATEVALUE(C240&amp;"-01"),3))&gt;0,1,0)</f>
        <v>1</v>
      </c>
      <c r="J240" s="37">
        <f>IF(COUNTIFS('📋 Транзакції'!$B$5:$B$3623,A240,'📋 Транзакції'!$C$5:$C$3623,"&gt;="&amp;EDATE(DATEVALUE(C240&amp;"-01"),3),'📋 Транзакції'!$C$5:$C$3623,"&lt;"&amp;EDATE(DATEVALUE(C240&amp;"-01"),4))&gt;0,1,0)</f>
        <v>1</v>
      </c>
      <c r="K240" s="37">
        <f>IF(COUNTIFS('📋 Транзакції'!$B$5:$B$3623,A240,'📋 Транзакції'!$C$5:$C$3623,"&gt;="&amp;EDATE(DATEVALUE(C240&amp;"-01"),4),'📋 Транзакції'!$C$5:$C$3623,"&lt;"&amp;EDATE(DATEVALUE(C240&amp;"-01"),5))&gt;0,1,0)</f>
        <v>1</v>
      </c>
      <c r="L240" s="37">
        <f>IF(COUNTIFS('📋 Транзакції'!$B$5:$B$3623,A240,'📋 Транзакції'!$C$5:$C$3623,"&gt;="&amp;EDATE(DATEVALUE(C240&amp;"-01"),5),'📋 Транзакції'!$C$5:$C$3623,"&lt;"&amp;EDATE(DATEVALUE(C240&amp;"-01"),6))&gt;0,1,0)</f>
        <v>1</v>
      </c>
      <c r="M240" s="37">
        <f>IF(COUNTIFS('📋 Транзакції'!$B$5:$B$3623,A240,'📋 Транзакції'!$C$5:$C$3623,"&gt;="&amp;EDATE(DATEVALUE(C240&amp;"-01"),6),'📋 Транзакції'!$C$5:$C$3623,"&lt;"&amp;EDATE(DATEVALUE(C240&amp;"-01"),7))&gt;0,1,0)</f>
        <v>1</v>
      </c>
      <c r="N240" s="37">
        <f>IF(COUNTIFS('📋 Транзакції'!$B$5:$B$3623,A240,'📋 Транзакції'!$C$5:$C$3623,"&gt;="&amp;EDATE(DATEVALUE(C240&amp;"-01"),7),'📋 Транзакції'!$C$5:$C$3623,"&lt;"&amp;EDATE(DATEVALUE(C240&amp;"-01"),8))&gt;0,1,0)</f>
        <v>1</v>
      </c>
      <c r="O240" s="37">
        <f>IF(COUNTIFS('📋 Транзакції'!$B$5:$B$3623,A240,'📋 Транзакції'!$C$5:$C$3623,"&gt;="&amp;EDATE(DATEVALUE(C240&amp;"-01"),8),'📋 Транзакції'!$C$5:$C$3623,"&lt;"&amp;EDATE(DATEVALUE(C240&amp;"-01"),9))&gt;0,1,0)</f>
        <v>0</v>
      </c>
      <c r="P240" s="37">
        <f>IF(COUNTIFS('📋 Транзакції'!$B$5:$B$3623,A240,'📋 Транзакції'!$C$5:$C$3623,"&gt;="&amp;EDATE(DATEVALUE(C240&amp;"-01"),9),'📋 Транзакції'!$C$5:$C$3623,"&lt;"&amp;EDATE(DATEVALUE(C240&amp;"-01"),10))&gt;0,1,0)</f>
        <v>0</v>
      </c>
      <c r="Q240" s="37">
        <f>IF(COUNTIFS('📋 Транзакції'!$B$5:$B$3623,A240,'📋 Транзакції'!$C$5:$C$3623,"&gt;="&amp;EDATE(DATEVALUE(C240&amp;"-01"),10),'📋 Транзакції'!$C$5:$C$3623,"&lt;"&amp;EDATE(DATEVALUE(C240&amp;"-01"),11))&gt;0,1,0)</f>
        <v>0</v>
      </c>
      <c r="R240" s="37">
        <f>IF(COUNTIFS('📋 Транзакції'!$B$5:$B$3623,A240,'📋 Транзакції'!$C$5:$C$3623,"&gt;="&amp;EDATE(DATEVALUE(C240&amp;"-01"),11),'📋 Транзакції'!$C$5:$C$3623,"&lt;"&amp;EDATE(DATEVALUE(C240&amp;"-01"),12))&gt;0,1,0)</f>
        <v>0</v>
      </c>
      <c r="S240" s="37">
        <f>SUMIFS('📋 Транзакції'!$F$5:$F$3623,'📋 Транзакції'!$B$5:$B$3623,A240,'📋 Транзакції'!$C$5:$C$3623,"&gt;="&amp;EDATE(DATEVALUE(C240&amp;"-01"),0),'📋 Транзакції'!$C$5:$C$3623,"&lt;"&amp;EDATE(DATEVALUE(C240&amp;"-01"),1))</f>
        <v>19.99</v>
      </c>
      <c r="T240" s="37">
        <f>SUMIFS('📋 Транзакції'!$F$5:$F$3623,'📋 Транзакції'!$B$5:$B$3623,A240,'📋 Транзакції'!$C$5:$C$3623,"&gt;="&amp;EDATE(DATEVALUE(C240&amp;"-01"),1),'📋 Транзакції'!$C$5:$C$3623,"&lt;"&amp;EDATE(DATEVALUE(C240&amp;"-01"),2))</f>
        <v>19.99</v>
      </c>
      <c r="U240" s="37">
        <f>SUMIFS('📋 Транзакції'!$F$5:$F$3623,'📋 Транзакції'!$B$5:$B$3623,A240,'📋 Транзакції'!$C$5:$C$3623,"&gt;="&amp;EDATE(DATEVALUE(C240&amp;"-01"),2),'📋 Транзакції'!$C$5:$C$3623,"&lt;"&amp;EDATE(DATEVALUE(C240&amp;"-01"),3))</f>
        <v>19.99</v>
      </c>
      <c r="V240" s="37">
        <f>SUMIFS('📋 Транзакції'!$F$5:$F$3623,'📋 Транзакції'!$B$5:$B$3623,A240,'📋 Транзакції'!$C$5:$C$3623,"&gt;="&amp;EDATE(DATEVALUE(C240&amp;"-01"),3),'📋 Транзакції'!$C$5:$C$3623,"&lt;"&amp;EDATE(DATEVALUE(C240&amp;"-01"),4))</f>
        <v>19.99</v>
      </c>
      <c r="W240" s="37">
        <f>SUMIFS('📋 Транзакції'!$F$5:$F$3623,'📋 Транзакції'!$B$5:$B$3623,A240,'📋 Транзакції'!$C$5:$C$3623,"&gt;="&amp;EDATE(DATEVALUE(C240&amp;"-01"),4),'📋 Транзакції'!$C$5:$C$3623,"&lt;"&amp;EDATE(DATEVALUE(C240&amp;"-01"),5))</f>
        <v>19.99</v>
      </c>
      <c r="X240" s="37">
        <f>SUMIFS('📋 Транзакції'!$F$5:$F$3623,'📋 Транзакції'!$B$5:$B$3623,A240,'📋 Транзакції'!$C$5:$C$3623,"&gt;="&amp;EDATE(DATEVALUE(C240&amp;"-01"),5),'📋 Транзакції'!$C$5:$C$3623,"&lt;"&amp;EDATE(DATEVALUE(C240&amp;"-01"),6))</f>
        <v>19.99</v>
      </c>
      <c r="Y240" s="37">
        <f>SUMIFS('📋 Транзакції'!$F$5:$F$3623,'📋 Транзакції'!$B$5:$B$3623,A240,'📋 Транзакції'!$C$5:$C$3623,"&gt;="&amp;EDATE(DATEVALUE(C240&amp;"-01"),6),'📋 Транзакції'!$C$5:$C$3623,"&lt;"&amp;EDATE(DATEVALUE(C240&amp;"-01"),7))</f>
        <v>19.99</v>
      </c>
      <c r="Z240" s="37">
        <f>SUMIFS('📋 Транзакції'!$F$5:$F$3623,'📋 Транзакції'!$B$5:$B$3623,A240,'📋 Транзакції'!$C$5:$C$3623,"&gt;="&amp;EDATE(DATEVALUE(C240&amp;"-01"),7),'📋 Транзакції'!$C$5:$C$3623,"&lt;"&amp;EDATE(DATEVALUE(C240&amp;"-01"),8))</f>
        <v>19.99</v>
      </c>
      <c r="AA240" s="37">
        <f>SUMIFS('📋 Транзакції'!$F$5:$F$3623,'📋 Транзакції'!$B$5:$B$3623,A240,'📋 Транзакції'!$C$5:$C$3623,"&gt;="&amp;EDATE(DATEVALUE(C240&amp;"-01"),8),'📋 Транзакції'!$C$5:$C$3623,"&lt;"&amp;EDATE(DATEVALUE(C240&amp;"-01"),9))</f>
        <v>0</v>
      </c>
      <c r="AB240" s="37">
        <f>SUMIFS('📋 Транзакції'!$F$5:$F$3623,'📋 Транзакції'!$B$5:$B$3623,A240,'📋 Транзакції'!$C$5:$C$3623,"&gt;="&amp;EDATE(DATEVALUE(C240&amp;"-01"),9),'📋 Транзакції'!$C$5:$C$3623,"&lt;"&amp;EDATE(DATEVALUE(C240&amp;"-01"),10))</f>
        <v>0</v>
      </c>
      <c r="AC240" s="37">
        <f>SUMIFS('📋 Транзакції'!$F$5:$F$3623,'📋 Транзакції'!$B$5:$B$3623,A240,'📋 Транзакції'!$C$5:$C$3623,"&gt;="&amp;EDATE(DATEVALUE(C240&amp;"-01"),10),'📋 Транзакції'!$C$5:$C$3623,"&lt;"&amp;EDATE(DATEVALUE(C240&amp;"-01"),11))</f>
        <v>0</v>
      </c>
      <c r="AD240" s="37">
        <f>SUMIFS('📋 Транзакції'!$F$5:$F$3623,'📋 Транзакції'!$B$5:$B$3623,A240,'📋 Транзакції'!$C$5:$C$3623,"&gt;="&amp;EDATE(DATEVALUE(C240&amp;"-01"),11),'📋 Транзакції'!$C$5:$C$3623,"&lt;"&amp;EDATE(DATEVALUE(C240&amp;"-01"),12))</f>
        <v>0</v>
      </c>
    </row>
    <row r="241" ht="15.75" customHeight="1">
      <c r="A241" s="33" t="str">
        <f>'📋 Реєстрації'!A241:A842</f>
        <v>U0894</v>
      </c>
      <c r="B241" s="34">
        <f t="array" ref="B241">INDEX('📋 Транзакції'!$C$5:$C$3623,MATCH(A241,'📋 Транзакції'!$B$5:$B$3623,0))</f>
        <v>45514</v>
      </c>
      <c r="C241" s="35" t="str">
        <f t="shared" si="1"/>
        <v>2024-08</v>
      </c>
      <c r="D241" s="36">
        <f>COUNTIF('📋 Транзакції'!$B$5:$B$3623,A241)</f>
        <v>4</v>
      </c>
      <c r="E241" s="36">
        <f>SUMIF('📋 Транзакції'!$B$5:$B$3623,A241,'📋 Транзакції'!$F$5:$F$3623)</f>
        <v>59.97</v>
      </c>
      <c r="F241" s="35">
        <f>INT($A$1-MAXIFS('📋 Транзакції'!$C$5:$C$3623,'📋 Транзакції'!$B$5:$B$3623,A241))</f>
        <v>166</v>
      </c>
      <c r="G241" s="37">
        <f>IF(COUNTIFS('📋 Транзакції'!$B$5:$B$3623,A241,'📋 Транзакції'!$C$5:$C$3623,"&gt;="&amp;EDATE(DATEVALUE(C241&amp;"-01"),0),'📋 Транзакції'!$C$5:$C$3623,"&lt;"&amp;EDATE(DATEVALUE(C241&amp;"-01"),1))&gt;0,1,0)</f>
        <v>1</v>
      </c>
      <c r="H241" s="37">
        <f>IF(COUNTIFS('📋 Транзакції'!$B$5:$B$3623,A241,'📋 Транзакції'!$C$5:$C$3623,"&gt;="&amp;EDATE(DATEVALUE(C241&amp;"-01"),1),'📋 Транзакції'!$C$5:$C$3623,"&lt;"&amp;EDATE(DATEVALUE(C241&amp;"-01"),2))&gt;0,1,0)</f>
        <v>1</v>
      </c>
      <c r="I241" s="37">
        <f>IF(COUNTIFS('📋 Транзакції'!$B$5:$B$3623,A241,'📋 Транзакції'!$C$5:$C$3623,"&gt;="&amp;EDATE(DATEVALUE(C241&amp;"-01"),2),'📋 Транзакції'!$C$5:$C$3623,"&lt;"&amp;EDATE(DATEVALUE(C241&amp;"-01"),3))&gt;0,1,0)</f>
        <v>1</v>
      </c>
      <c r="J241" s="37">
        <f>IF(COUNTIFS('📋 Транзакції'!$B$5:$B$3623,A241,'📋 Транзакції'!$C$5:$C$3623,"&gt;="&amp;EDATE(DATEVALUE(C241&amp;"-01"),3),'📋 Транзакції'!$C$5:$C$3623,"&lt;"&amp;EDATE(DATEVALUE(C241&amp;"-01"),4))&gt;0,1,0)</f>
        <v>0</v>
      </c>
      <c r="K241" s="37">
        <f>IF(COUNTIFS('📋 Транзакції'!$B$5:$B$3623,A241,'📋 Транзакції'!$C$5:$C$3623,"&gt;="&amp;EDATE(DATEVALUE(C241&amp;"-01"),4),'📋 Транзакції'!$C$5:$C$3623,"&lt;"&amp;EDATE(DATEVALUE(C241&amp;"-01"),5))&gt;0,1,0)</f>
        <v>0</v>
      </c>
      <c r="L241" s="37">
        <f>IF(COUNTIFS('📋 Транзакції'!$B$5:$B$3623,A241,'📋 Транзакції'!$C$5:$C$3623,"&gt;="&amp;EDATE(DATEVALUE(C241&amp;"-01"),5),'📋 Транзакції'!$C$5:$C$3623,"&lt;"&amp;EDATE(DATEVALUE(C241&amp;"-01"),6))&gt;0,1,0)</f>
        <v>0</v>
      </c>
      <c r="M241" s="37">
        <f>IF(COUNTIFS('📋 Транзакції'!$B$5:$B$3623,A241,'📋 Транзакції'!$C$5:$C$3623,"&gt;="&amp;EDATE(DATEVALUE(C241&amp;"-01"),6),'📋 Транзакції'!$C$5:$C$3623,"&lt;"&amp;EDATE(DATEVALUE(C241&amp;"-01"),7))&gt;0,1,0)</f>
        <v>0</v>
      </c>
      <c r="N241" s="37">
        <f>IF(COUNTIFS('📋 Транзакції'!$B$5:$B$3623,A241,'📋 Транзакції'!$C$5:$C$3623,"&gt;="&amp;EDATE(DATEVALUE(C241&amp;"-01"),7),'📋 Транзакції'!$C$5:$C$3623,"&lt;"&amp;EDATE(DATEVALUE(C241&amp;"-01"),8))&gt;0,1,0)</f>
        <v>0</v>
      </c>
      <c r="O241" s="37">
        <f>IF(COUNTIFS('📋 Транзакції'!$B$5:$B$3623,A241,'📋 Транзакції'!$C$5:$C$3623,"&gt;="&amp;EDATE(DATEVALUE(C241&amp;"-01"),8),'📋 Транзакції'!$C$5:$C$3623,"&lt;"&amp;EDATE(DATEVALUE(C241&amp;"-01"),9))&gt;0,1,0)</f>
        <v>0</v>
      </c>
      <c r="P241" s="37">
        <f>IF(COUNTIFS('📋 Транзакції'!$B$5:$B$3623,A241,'📋 Транзакції'!$C$5:$C$3623,"&gt;="&amp;EDATE(DATEVALUE(C241&amp;"-01"),9),'📋 Транзакції'!$C$5:$C$3623,"&lt;"&amp;EDATE(DATEVALUE(C241&amp;"-01"),10))&gt;0,1,0)</f>
        <v>0</v>
      </c>
      <c r="Q241" s="37">
        <f>IF(COUNTIFS('📋 Транзакції'!$B$5:$B$3623,A241,'📋 Транзакції'!$C$5:$C$3623,"&gt;="&amp;EDATE(DATEVALUE(C241&amp;"-01"),10),'📋 Транзакції'!$C$5:$C$3623,"&lt;"&amp;EDATE(DATEVALUE(C241&amp;"-01"),11))&gt;0,1,0)</f>
        <v>0</v>
      </c>
      <c r="R241" s="37">
        <f>IF(COUNTIFS('📋 Транзакції'!$B$5:$B$3623,A241,'📋 Транзакції'!$C$5:$C$3623,"&gt;="&amp;EDATE(DATEVALUE(C241&amp;"-01"),11),'📋 Транзакції'!$C$5:$C$3623,"&lt;"&amp;EDATE(DATEVALUE(C241&amp;"-01"),12))&gt;0,1,0)</f>
        <v>0</v>
      </c>
      <c r="S241" s="37">
        <f>SUMIFS('📋 Транзакції'!$F$5:$F$3623,'📋 Транзакції'!$B$5:$B$3623,A241,'📋 Транзакції'!$C$5:$C$3623,"&gt;="&amp;EDATE(DATEVALUE(C241&amp;"-01"),0),'📋 Транзакції'!$C$5:$C$3623,"&lt;"&amp;EDATE(DATEVALUE(C241&amp;"-01"),1))</f>
        <v>19.99</v>
      </c>
      <c r="T241" s="37">
        <f>SUMIFS('📋 Транзакції'!$F$5:$F$3623,'📋 Транзакції'!$B$5:$B$3623,A241,'📋 Транзакції'!$C$5:$C$3623,"&gt;="&amp;EDATE(DATEVALUE(C241&amp;"-01"),1),'📋 Транзакції'!$C$5:$C$3623,"&lt;"&amp;EDATE(DATEVALUE(C241&amp;"-01"),2))</f>
        <v>19.99</v>
      </c>
      <c r="U241" s="37">
        <f>SUMIFS('📋 Транзакції'!$F$5:$F$3623,'📋 Транзакції'!$B$5:$B$3623,A241,'📋 Транзакції'!$C$5:$C$3623,"&gt;="&amp;EDATE(DATEVALUE(C241&amp;"-01"),2),'📋 Транзакції'!$C$5:$C$3623,"&lt;"&amp;EDATE(DATEVALUE(C241&amp;"-01"),3))</f>
        <v>19.99</v>
      </c>
      <c r="V241" s="37">
        <f>SUMIFS('📋 Транзакції'!$F$5:$F$3623,'📋 Транзакції'!$B$5:$B$3623,A241,'📋 Транзакції'!$C$5:$C$3623,"&gt;="&amp;EDATE(DATEVALUE(C241&amp;"-01"),3),'📋 Транзакції'!$C$5:$C$3623,"&lt;"&amp;EDATE(DATEVALUE(C241&amp;"-01"),4))</f>
        <v>0</v>
      </c>
      <c r="W241" s="37">
        <f>SUMIFS('📋 Транзакції'!$F$5:$F$3623,'📋 Транзакції'!$B$5:$B$3623,A241,'📋 Транзакції'!$C$5:$C$3623,"&gt;="&amp;EDATE(DATEVALUE(C241&amp;"-01"),4),'📋 Транзакції'!$C$5:$C$3623,"&lt;"&amp;EDATE(DATEVALUE(C241&amp;"-01"),5))</f>
        <v>0</v>
      </c>
      <c r="X241" s="37">
        <f>SUMIFS('📋 Транзакції'!$F$5:$F$3623,'📋 Транзакції'!$B$5:$B$3623,A241,'📋 Транзакції'!$C$5:$C$3623,"&gt;="&amp;EDATE(DATEVALUE(C241&amp;"-01"),5),'📋 Транзакції'!$C$5:$C$3623,"&lt;"&amp;EDATE(DATEVALUE(C241&amp;"-01"),6))</f>
        <v>0</v>
      </c>
      <c r="Y241" s="37">
        <f>SUMIFS('📋 Транзакції'!$F$5:$F$3623,'📋 Транзакції'!$B$5:$B$3623,A241,'📋 Транзакції'!$C$5:$C$3623,"&gt;="&amp;EDATE(DATEVALUE(C241&amp;"-01"),6),'📋 Транзакції'!$C$5:$C$3623,"&lt;"&amp;EDATE(DATEVALUE(C241&amp;"-01"),7))</f>
        <v>0</v>
      </c>
      <c r="Z241" s="37">
        <f>SUMIFS('📋 Транзакції'!$F$5:$F$3623,'📋 Транзакції'!$B$5:$B$3623,A241,'📋 Транзакції'!$C$5:$C$3623,"&gt;="&amp;EDATE(DATEVALUE(C241&amp;"-01"),7),'📋 Транзакції'!$C$5:$C$3623,"&lt;"&amp;EDATE(DATEVALUE(C241&amp;"-01"),8))</f>
        <v>0</v>
      </c>
      <c r="AA241" s="37">
        <f>SUMIFS('📋 Транзакції'!$F$5:$F$3623,'📋 Транзакції'!$B$5:$B$3623,A241,'📋 Транзакції'!$C$5:$C$3623,"&gt;="&amp;EDATE(DATEVALUE(C241&amp;"-01"),8),'📋 Транзакції'!$C$5:$C$3623,"&lt;"&amp;EDATE(DATEVALUE(C241&amp;"-01"),9))</f>
        <v>0</v>
      </c>
      <c r="AB241" s="37">
        <f>SUMIFS('📋 Транзакції'!$F$5:$F$3623,'📋 Транзакції'!$B$5:$B$3623,A241,'📋 Транзакції'!$C$5:$C$3623,"&gt;="&amp;EDATE(DATEVALUE(C241&amp;"-01"),9),'📋 Транзакції'!$C$5:$C$3623,"&lt;"&amp;EDATE(DATEVALUE(C241&amp;"-01"),10))</f>
        <v>0</v>
      </c>
      <c r="AC241" s="37">
        <f>SUMIFS('📋 Транзакції'!$F$5:$F$3623,'📋 Транзакції'!$B$5:$B$3623,A241,'📋 Транзакції'!$C$5:$C$3623,"&gt;="&amp;EDATE(DATEVALUE(C241&amp;"-01"),10),'📋 Транзакції'!$C$5:$C$3623,"&lt;"&amp;EDATE(DATEVALUE(C241&amp;"-01"),11))</f>
        <v>0</v>
      </c>
      <c r="AD241" s="37">
        <f>SUMIFS('📋 Транзакції'!$F$5:$F$3623,'📋 Транзакції'!$B$5:$B$3623,A241,'📋 Транзакції'!$C$5:$C$3623,"&gt;="&amp;EDATE(DATEVALUE(C241&amp;"-01"),11),'📋 Транзакції'!$C$5:$C$3623,"&lt;"&amp;EDATE(DATEVALUE(C241&amp;"-01"),12))</f>
        <v>0</v>
      </c>
    </row>
    <row r="242" ht="15.75" customHeight="1">
      <c r="A242" s="33" t="str">
        <f>'📋 Реєстрації'!A242:A843</f>
        <v>U0161</v>
      </c>
      <c r="B242" s="34">
        <f t="array" ref="B242">INDEX('📋 Транзакції'!$C$5:$C$3623,MATCH(A242,'📋 Транзакції'!$B$5:$B$3623,0))</f>
        <v>45515</v>
      </c>
      <c r="C242" s="35" t="str">
        <f t="shared" si="1"/>
        <v>2024-08</v>
      </c>
      <c r="D242" s="36">
        <f>COUNTIF('📋 Транзакції'!$B$5:$B$3623,A242)</f>
        <v>9</v>
      </c>
      <c r="E242" s="36">
        <f>SUMIF('📋 Транзакції'!$B$5:$B$3623,A242,'📋 Транзакції'!$F$5:$F$3623)</f>
        <v>159.92</v>
      </c>
      <c r="F242" s="35">
        <f>INT($A$1-MAXIFS('📋 Транзакції'!$C$5:$C$3623,'📋 Транзакції'!$B$5:$B$3623,A242))</f>
        <v>15</v>
      </c>
      <c r="G242" s="37">
        <f>IF(COUNTIFS('📋 Транзакції'!$B$5:$B$3623,A242,'📋 Транзакції'!$C$5:$C$3623,"&gt;="&amp;EDATE(DATEVALUE(C242&amp;"-01"),0),'📋 Транзакції'!$C$5:$C$3623,"&lt;"&amp;EDATE(DATEVALUE(C242&amp;"-01"),1))&gt;0,1,0)</f>
        <v>1</v>
      </c>
      <c r="H242" s="37">
        <f>IF(COUNTIFS('📋 Транзакції'!$B$5:$B$3623,A242,'📋 Транзакції'!$C$5:$C$3623,"&gt;="&amp;EDATE(DATEVALUE(C242&amp;"-01"),1),'📋 Транзакції'!$C$5:$C$3623,"&lt;"&amp;EDATE(DATEVALUE(C242&amp;"-01"),2))&gt;0,1,0)</f>
        <v>1</v>
      </c>
      <c r="I242" s="37">
        <f>IF(COUNTIFS('📋 Транзакції'!$B$5:$B$3623,A242,'📋 Транзакції'!$C$5:$C$3623,"&gt;="&amp;EDATE(DATEVALUE(C242&amp;"-01"),2),'📋 Транзакції'!$C$5:$C$3623,"&lt;"&amp;EDATE(DATEVALUE(C242&amp;"-01"),3))&gt;0,1,0)</f>
        <v>1</v>
      </c>
      <c r="J242" s="37">
        <f>IF(COUNTIFS('📋 Транзакції'!$B$5:$B$3623,A242,'📋 Транзакції'!$C$5:$C$3623,"&gt;="&amp;EDATE(DATEVALUE(C242&amp;"-01"),3),'📋 Транзакції'!$C$5:$C$3623,"&lt;"&amp;EDATE(DATEVALUE(C242&amp;"-01"),4))&gt;0,1,0)</f>
        <v>1</v>
      </c>
      <c r="K242" s="37">
        <f>IF(COUNTIFS('📋 Транзакції'!$B$5:$B$3623,A242,'📋 Транзакції'!$C$5:$C$3623,"&gt;="&amp;EDATE(DATEVALUE(C242&amp;"-01"),4),'📋 Транзакції'!$C$5:$C$3623,"&lt;"&amp;EDATE(DATEVALUE(C242&amp;"-01"),5))&gt;0,1,0)</f>
        <v>1</v>
      </c>
      <c r="L242" s="37">
        <f>IF(COUNTIFS('📋 Транзакції'!$B$5:$B$3623,A242,'📋 Транзакції'!$C$5:$C$3623,"&gt;="&amp;EDATE(DATEVALUE(C242&amp;"-01"),5),'📋 Транзакції'!$C$5:$C$3623,"&lt;"&amp;EDATE(DATEVALUE(C242&amp;"-01"),6))&gt;0,1,0)</f>
        <v>1</v>
      </c>
      <c r="M242" s="37">
        <f>IF(COUNTIFS('📋 Транзакції'!$B$5:$B$3623,A242,'📋 Транзакції'!$C$5:$C$3623,"&gt;="&amp;EDATE(DATEVALUE(C242&amp;"-01"),6),'📋 Транзакції'!$C$5:$C$3623,"&lt;"&amp;EDATE(DATEVALUE(C242&amp;"-01"),7))&gt;0,1,0)</f>
        <v>1</v>
      </c>
      <c r="N242" s="37">
        <f>IF(COUNTIFS('📋 Транзакції'!$B$5:$B$3623,A242,'📋 Транзакції'!$C$5:$C$3623,"&gt;="&amp;EDATE(DATEVALUE(C242&amp;"-01"),7),'📋 Транзакції'!$C$5:$C$3623,"&lt;"&amp;EDATE(DATEVALUE(C242&amp;"-01"),8))&gt;0,1,0)</f>
        <v>1</v>
      </c>
      <c r="O242" s="37">
        <f>IF(COUNTIFS('📋 Транзакції'!$B$5:$B$3623,A242,'📋 Транзакції'!$C$5:$C$3623,"&gt;="&amp;EDATE(DATEVALUE(C242&amp;"-01"),8),'📋 Транзакції'!$C$5:$C$3623,"&lt;"&amp;EDATE(DATEVALUE(C242&amp;"-01"),9))&gt;0,1,0)</f>
        <v>0</v>
      </c>
      <c r="P242" s="37">
        <f>IF(COUNTIFS('📋 Транзакції'!$B$5:$B$3623,A242,'📋 Транзакції'!$C$5:$C$3623,"&gt;="&amp;EDATE(DATEVALUE(C242&amp;"-01"),9),'📋 Транзакції'!$C$5:$C$3623,"&lt;"&amp;EDATE(DATEVALUE(C242&amp;"-01"),10))&gt;0,1,0)</f>
        <v>0</v>
      </c>
      <c r="Q242" s="37">
        <f>IF(COUNTIFS('📋 Транзакції'!$B$5:$B$3623,A242,'📋 Транзакції'!$C$5:$C$3623,"&gt;="&amp;EDATE(DATEVALUE(C242&amp;"-01"),10),'📋 Транзакції'!$C$5:$C$3623,"&lt;"&amp;EDATE(DATEVALUE(C242&amp;"-01"),11))&gt;0,1,0)</f>
        <v>0</v>
      </c>
      <c r="R242" s="37">
        <f>IF(COUNTIFS('📋 Транзакції'!$B$5:$B$3623,A242,'📋 Транзакції'!$C$5:$C$3623,"&gt;="&amp;EDATE(DATEVALUE(C242&amp;"-01"),11),'📋 Транзакції'!$C$5:$C$3623,"&lt;"&amp;EDATE(DATEVALUE(C242&amp;"-01"),12))&gt;0,1,0)</f>
        <v>0</v>
      </c>
      <c r="S242" s="37">
        <f>SUMIFS('📋 Транзакції'!$F$5:$F$3623,'📋 Транзакції'!$B$5:$B$3623,A242,'📋 Транзакції'!$C$5:$C$3623,"&gt;="&amp;EDATE(DATEVALUE(C242&amp;"-01"),0),'📋 Транзакції'!$C$5:$C$3623,"&lt;"&amp;EDATE(DATEVALUE(C242&amp;"-01"),1))</f>
        <v>19.99</v>
      </c>
      <c r="T242" s="37">
        <f>SUMIFS('📋 Транзакції'!$F$5:$F$3623,'📋 Транзакції'!$B$5:$B$3623,A242,'📋 Транзакції'!$C$5:$C$3623,"&gt;="&amp;EDATE(DATEVALUE(C242&amp;"-01"),1),'📋 Транзакції'!$C$5:$C$3623,"&lt;"&amp;EDATE(DATEVALUE(C242&amp;"-01"),2))</f>
        <v>19.99</v>
      </c>
      <c r="U242" s="37">
        <f>SUMIFS('📋 Транзакції'!$F$5:$F$3623,'📋 Транзакції'!$B$5:$B$3623,A242,'📋 Транзакції'!$C$5:$C$3623,"&gt;="&amp;EDATE(DATEVALUE(C242&amp;"-01"),2),'📋 Транзакції'!$C$5:$C$3623,"&lt;"&amp;EDATE(DATEVALUE(C242&amp;"-01"),3))</f>
        <v>19.99</v>
      </c>
      <c r="V242" s="37">
        <f>SUMIFS('📋 Транзакції'!$F$5:$F$3623,'📋 Транзакції'!$B$5:$B$3623,A242,'📋 Транзакції'!$C$5:$C$3623,"&gt;="&amp;EDATE(DATEVALUE(C242&amp;"-01"),3),'📋 Транзакції'!$C$5:$C$3623,"&lt;"&amp;EDATE(DATEVALUE(C242&amp;"-01"),4))</f>
        <v>19.99</v>
      </c>
      <c r="W242" s="37">
        <f>SUMIFS('📋 Транзакції'!$F$5:$F$3623,'📋 Транзакції'!$B$5:$B$3623,A242,'📋 Транзакції'!$C$5:$C$3623,"&gt;="&amp;EDATE(DATEVALUE(C242&amp;"-01"),4),'📋 Транзакції'!$C$5:$C$3623,"&lt;"&amp;EDATE(DATEVALUE(C242&amp;"-01"),5))</f>
        <v>19.99</v>
      </c>
      <c r="X242" s="37">
        <f>SUMIFS('📋 Транзакції'!$F$5:$F$3623,'📋 Транзакції'!$B$5:$B$3623,A242,'📋 Транзакції'!$C$5:$C$3623,"&gt;="&amp;EDATE(DATEVALUE(C242&amp;"-01"),5),'📋 Транзакції'!$C$5:$C$3623,"&lt;"&amp;EDATE(DATEVALUE(C242&amp;"-01"),6))</f>
        <v>19.99</v>
      </c>
      <c r="Y242" s="37">
        <f>SUMIFS('📋 Транзакції'!$F$5:$F$3623,'📋 Транзакції'!$B$5:$B$3623,A242,'📋 Транзакції'!$C$5:$C$3623,"&gt;="&amp;EDATE(DATEVALUE(C242&amp;"-01"),6),'📋 Транзакції'!$C$5:$C$3623,"&lt;"&amp;EDATE(DATEVALUE(C242&amp;"-01"),7))</f>
        <v>19.99</v>
      </c>
      <c r="Z242" s="37">
        <f>SUMIFS('📋 Транзакції'!$F$5:$F$3623,'📋 Транзакції'!$B$5:$B$3623,A242,'📋 Транзакції'!$C$5:$C$3623,"&gt;="&amp;EDATE(DATEVALUE(C242&amp;"-01"),7),'📋 Транзакції'!$C$5:$C$3623,"&lt;"&amp;EDATE(DATEVALUE(C242&amp;"-01"),8))</f>
        <v>19.99</v>
      </c>
      <c r="AA242" s="37">
        <f>SUMIFS('📋 Транзакції'!$F$5:$F$3623,'📋 Транзакції'!$B$5:$B$3623,A242,'📋 Транзакції'!$C$5:$C$3623,"&gt;="&amp;EDATE(DATEVALUE(C242&amp;"-01"),8),'📋 Транзакції'!$C$5:$C$3623,"&lt;"&amp;EDATE(DATEVALUE(C242&amp;"-01"),9))</f>
        <v>0</v>
      </c>
      <c r="AB242" s="37">
        <f>SUMIFS('📋 Транзакції'!$F$5:$F$3623,'📋 Транзакції'!$B$5:$B$3623,A242,'📋 Транзакції'!$C$5:$C$3623,"&gt;="&amp;EDATE(DATEVALUE(C242&amp;"-01"),9),'📋 Транзакції'!$C$5:$C$3623,"&lt;"&amp;EDATE(DATEVALUE(C242&amp;"-01"),10))</f>
        <v>0</v>
      </c>
      <c r="AC242" s="37">
        <f>SUMIFS('📋 Транзакції'!$F$5:$F$3623,'📋 Транзакції'!$B$5:$B$3623,A242,'📋 Транзакції'!$C$5:$C$3623,"&gt;="&amp;EDATE(DATEVALUE(C242&amp;"-01"),10),'📋 Транзакції'!$C$5:$C$3623,"&lt;"&amp;EDATE(DATEVALUE(C242&amp;"-01"),11))</f>
        <v>0</v>
      </c>
      <c r="AD242" s="37">
        <f>SUMIFS('📋 Транзакції'!$F$5:$F$3623,'📋 Транзакції'!$B$5:$B$3623,A242,'📋 Транзакції'!$C$5:$C$3623,"&gt;="&amp;EDATE(DATEVALUE(C242&amp;"-01"),11),'📋 Транзакції'!$C$5:$C$3623,"&lt;"&amp;EDATE(DATEVALUE(C242&amp;"-01"),12))</f>
        <v>0</v>
      </c>
    </row>
    <row r="243" ht="15.75" customHeight="1">
      <c r="A243" s="33" t="str">
        <f>'📋 Реєстрації'!A243:A844</f>
        <v>U0345</v>
      </c>
      <c r="B243" s="34">
        <f t="array" ref="B243">INDEX('📋 Транзакції'!$C$5:$C$3623,MATCH(A243,'📋 Транзакції'!$B$5:$B$3623,0))</f>
        <v>45515</v>
      </c>
      <c r="C243" s="35" t="str">
        <f t="shared" si="1"/>
        <v>2024-08</v>
      </c>
      <c r="D243" s="36">
        <f>COUNTIF('📋 Транзакції'!$B$5:$B$3623,A243)</f>
        <v>9</v>
      </c>
      <c r="E243" s="36">
        <f>SUMIF('📋 Транзакції'!$B$5:$B$3623,A243,'📋 Транзакції'!$F$5:$F$3623)</f>
        <v>159.92</v>
      </c>
      <c r="F243" s="35">
        <f>INT($A$1-MAXIFS('📋 Транзакції'!$C$5:$C$3623,'📋 Транзакції'!$B$5:$B$3623,A243))</f>
        <v>15</v>
      </c>
      <c r="G243" s="37">
        <f>IF(COUNTIFS('📋 Транзакції'!$B$5:$B$3623,A243,'📋 Транзакції'!$C$5:$C$3623,"&gt;="&amp;EDATE(DATEVALUE(C243&amp;"-01"),0),'📋 Транзакції'!$C$5:$C$3623,"&lt;"&amp;EDATE(DATEVALUE(C243&amp;"-01"),1))&gt;0,1,0)</f>
        <v>1</v>
      </c>
      <c r="H243" s="37">
        <f>IF(COUNTIFS('📋 Транзакції'!$B$5:$B$3623,A243,'📋 Транзакції'!$C$5:$C$3623,"&gt;="&amp;EDATE(DATEVALUE(C243&amp;"-01"),1),'📋 Транзакції'!$C$5:$C$3623,"&lt;"&amp;EDATE(DATEVALUE(C243&amp;"-01"),2))&gt;0,1,0)</f>
        <v>1</v>
      </c>
      <c r="I243" s="37">
        <f>IF(COUNTIFS('📋 Транзакції'!$B$5:$B$3623,A243,'📋 Транзакції'!$C$5:$C$3623,"&gt;="&amp;EDATE(DATEVALUE(C243&amp;"-01"),2),'📋 Транзакції'!$C$5:$C$3623,"&lt;"&amp;EDATE(DATEVALUE(C243&amp;"-01"),3))&gt;0,1,0)</f>
        <v>1</v>
      </c>
      <c r="J243" s="37">
        <f>IF(COUNTIFS('📋 Транзакції'!$B$5:$B$3623,A243,'📋 Транзакції'!$C$5:$C$3623,"&gt;="&amp;EDATE(DATEVALUE(C243&amp;"-01"),3),'📋 Транзакції'!$C$5:$C$3623,"&lt;"&amp;EDATE(DATEVALUE(C243&amp;"-01"),4))&gt;0,1,0)</f>
        <v>1</v>
      </c>
      <c r="K243" s="37">
        <f>IF(COUNTIFS('📋 Транзакції'!$B$5:$B$3623,A243,'📋 Транзакції'!$C$5:$C$3623,"&gt;="&amp;EDATE(DATEVALUE(C243&amp;"-01"),4),'📋 Транзакції'!$C$5:$C$3623,"&lt;"&amp;EDATE(DATEVALUE(C243&amp;"-01"),5))&gt;0,1,0)</f>
        <v>1</v>
      </c>
      <c r="L243" s="37">
        <f>IF(COUNTIFS('📋 Транзакції'!$B$5:$B$3623,A243,'📋 Транзакції'!$C$5:$C$3623,"&gt;="&amp;EDATE(DATEVALUE(C243&amp;"-01"),5),'📋 Транзакції'!$C$5:$C$3623,"&lt;"&amp;EDATE(DATEVALUE(C243&amp;"-01"),6))&gt;0,1,0)</f>
        <v>1</v>
      </c>
      <c r="M243" s="37">
        <f>IF(COUNTIFS('📋 Транзакції'!$B$5:$B$3623,A243,'📋 Транзакції'!$C$5:$C$3623,"&gt;="&amp;EDATE(DATEVALUE(C243&amp;"-01"),6),'📋 Транзакції'!$C$5:$C$3623,"&lt;"&amp;EDATE(DATEVALUE(C243&amp;"-01"),7))&gt;0,1,0)</f>
        <v>1</v>
      </c>
      <c r="N243" s="37">
        <f>IF(COUNTIFS('📋 Транзакції'!$B$5:$B$3623,A243,'📋 Транзакції'!$C$5:$C$3623,"&gt;="&amp;EDATE(DATEVALUE(C243&amp;"-01"),7),'📋 Транзакції'!$C$5:$C$3623,"&lt;"&amp;EDATE(DATEVALUE(C243&amp;"-01"),8))&gt;0,1,0)</f>
        <v>1</v>
      </c>
      <c r="O243" s="37">
        <f>IF(COUNTIFS('📋 Транзакції'!$B$5:$B$3623,A243,'📋 Транзакції'!$C$5:$C$3623,"&gt;="&amp;EDATE(DATEVALUE(C243&amp;"-01"),8),'📋 Транзакції'!$C$5:$C$3623,"&lt;"&amp;EDATE(DATEVALUE(C243&amp;"-01"),9))&gt;0,1,0)</f>
        <v>0</v>
      </c>
      <c r="P243" s="37">
        <f>IF(COUNTIFS('📋 Транзакції'!$B$5:$B$3623,A243,'📋 Транзакції'!$C$5:$C$3623,"&gt;="&amp;EDATE(DATEVALUE(C243&amp;"-01"),9),'📋 Транзакції'!$C$5:$C$3623,"&lt;"&amp;EDATE(DATEVALUE(C243&amp;"-01"),10))&gt;0,1,0)</f>
        <v>0</v>
      </c>
      <c r="Q243" s="37">
        <f>IF(COUNTIFS('📋 Транзакції'!$B$5:$B$3623,A243,'📋 Транзакції'!$C$5:$C$3623,"&gt;="&amp;EDATE(DATEVALUE(C243&amp;"-01"),10),'📋 Транзакції'!$C$5:$C$3623,"&lt;"&amp;EDATE(DATEVALUE(C243&amp;"-01"),11))&gt;0,1,0)</f>
        <v>0</v>
      </c>
      <c r="R243" s="37">
        <f>IF(COUNTIFS('📋 Транзакції'!$B$5:$B$3623,A243,'📋 Транзакції'!$C$5:$C$3623,"&gt;="&amp;EDATE(DATEVALUE(C243&amp;"-01"),11),'📋 Транзакції'!$C$5:$C$3623,"&lt;"&amp;EDATE(DATEVALUE(C243&amp;"-01"),12))&gt;0,1,0)</f>
        <v>0</v>
      </c>
      <c r="S243" s="37">
        <f>SUMIFS('📋 Транзакції'!$F$5:$F$3623,'📋 Транзакції'!$B$5:$B$3623,A243,'📋 Транзакції'!$C$5:$C$3623,"&gt;="&amp;EDATE(DATEVALUE(C243&amp;"-01"),0),'📋 Транзакції'!$C$5:$C$3623,"&lt;"&amp;EDATE(DATEVALUE(C243&amp;"-01"),1))</f>
        <v>19.99</v>
      </c>
      <c r="T243" s="37">
        <f>SUMIFS('📋 Транзакції'!$F$5:$F$3623,'📋 Транзакції'!$B$5:$B$3623,A243,'📋 Транзакції'!$C$5:$C$3623,"&gt;="&amp;EDATE(DATEVALUE(C243&amp;"-01"),1),'📋 Транзакції'!$C$5:$C$3623,"&lt;"&amp;EDATE(DATEVALUE(C243&amp;"-01"),2))</f>
        <v>19.99</v>
      </c>
      <c r="U243" s="37">
        <f>SUMIFS('📋 Транзакції'!$F$5:$F$3623,'📋 Транзакції'!$B$5:$B$3623,A243,'📋 Транзакції'!$C$5:$C$3623,"&gt;="&amp;EDATE(DATEVALUE(C243&amp;"-01"),2),'📋 Транзакції'!$C$5:$C$3623,"&lt;"&amp;EDATE(DATEVALUE(C243&amp;"-01"),3))</f>
        <v>19.99</v>
      </c>
      <c r="V243" s="37">
        <f>SUMIFS('📋 Транзакції'!$F$5:$F$3623,'📋 Транзакції'!$B$5:$B$3623,A243,'📋 Транзакції'!$C$5:$C$3623,"&gt;="&amp;EDATE(DATEVALUE(C243&amp;"-01"),3),'📋 Транзакції'!$C$5:$C$3623,"&lt;"&amp;EDATE(DATEVALUE(C243&amp;"-01"),4))</f>
        <v>19.99</v>
      </c>
      <c r="W243" s="37">
        <f>SUMIFS('📋 Транзакції'!$F$5:$F$3623,'📋 Транзакції'!$B$5:$B$3623,A243,'📋 Транзакції'!$C$5:$C$3623,"&gt;="&amp;EDATE(DATEVALUE(C243&amp;"-01"),4),'📋 Транзакції'!$C$5:$C$3623,"&lt;"&amp;EDATE(DATEVALUE(C243&amp;"-01"),5))</f>
        <v>19.99</v>
      </c>
      <c r="X243" s="37">
        <f>SUMIFS('📋 Транзакції'!$F$5:$F$3623,'📋 Транзакції'!$B$5:$B$3623,A243,'📋 Транзакції'!$C$5:$C$3623,"&gt;="&amp;EDATE(DATEVALUE(C243&amp;"-01"),5),'📋 Транзакції'!$C$5:$C$3623,"&lt;"&amp;EDATE(DATEVALUE(C243&amp;"-01"),6))</f>
        <v>19.99</v>
      </c>
      <c r="Y243" s="37">
        <f>SUMIFS('📋 Транзакції'!$F$5:$F$3623,'📋 Транзакції'!$B$5:$B$3623,A243,'📋 Транзакції'!$C$5:$C$3623,"&gt;="&amp;EDATE(DATEVALUE(C243&amp;"-01"),6),'📋 Транзакції'!$C$5:$C$3623,"&lt;"&amp;EDATE(DATEVALUE(C243&amp;"-01"),7))</f>
        <v>19.99</v>
      </c>
      <c r="Z243" s="37">
        <f>SUMIFS('📋 Транзакції'!$F$5:$F$3623,'📋 Транзакції'!$B$5:$B$3623,A243,'📋 Транзакції'!$C$5:$C$3623,"&gt;="&amp;EDATE(DATEVALUE(C243&amp;"-01"),7),'📋 Транзакції'!$C$5:$C$3623,"&lt;"&amp;EDATE(DATEVALUE(C243&amp;"-01"),8))</f>
        <v>19.99</v>
      </c>
      <c r="AA243" s="37">
        <f>SUMIFS('📋 Транзакції'!$F$5:$F$3623,'📋 Транзакції'!$B$5:$B$3623,A243,'📋 Транзакції'!$C$5:$C$3623,"&gt;="&amp;EDATE(DATEVALUE(C243&amp;"-01"),8),'📋 Транзакції'!$C$5:$C$3623,"&lt;"&amp;EDATE(DATEVALUE(C243&amp;"-01"),9))</f>
        <v>0</v>
      </c>
      <c r="AB243" s="37">
        <f>SUMIFS('📋 Транзакції'!$F$5:$F$3623,'📋 Транзакції'!$B$5:$B$3623,A243,'📋 Транзакції'!$C$5:$C$3623,"&gt;="&amp;EDATE(DATEVALUE(C243&amp;"-01"),9),'📋 Транзакції'!$C$5:$C$3623,"&lt;"&amp;EDATE(DATEVALUE(C243&amp;"-01"),10))</f>
        <v>0</v>
      </c>
      <c r="AC243" s="37">
        <f>SUMIFS('📋 Транзакції'!$F$5:$F$3623,'📋 Транзакції'!$B$5:$B$3623,A243,'📋 Транзакції'!$C$5:$C$3623,"&gt;="&amp;EDATE(DATEVALUE(C243&amp;"-01"),10),'📋 Транзакції'!$C$5:$C$3623,"&lt;"&amp;EDATE(DATEVALUE(C243&amp;"-01"),11))</f>
        <v>0</v>
      </c>
      <c r="AD243" s="37">
        <f>SUMIFS('📋 Транзакції'!$F$5:$F$3623,'📋 Транзакції'!$B$5:$B$3623,A243,'📋 Транзакції'!$C$5:$C$3623,"&gt;="&amp;EDATE(DATEVALUE(C243&amp;"-01"),11),'📋 Транзакції'!$C$5:$C$3623,"&lt;"&amp;EDATE(DATEVALUE(C243&amp;"-01"),12))</f>
        <v>0</v>
      </c>
    </row>
    <row r="244" ht="15.75" customHeight="1">
      <c r="A244" s="33" t="str">
        <f>'📋 Реєстрації'!A244:A845</f>
        <v>U0567</v>
      </c>
      <c r="B244" s="34">
        <f t="array" ref="B244">INDEX('📋 Транзакції'!$C$5:$C$3623,MATCH(A244,'📋 Транзакції'!$B$5:$B$3623,0))</f>
        <v>45515</v>
      </c>
      <c r="C244" s="35" t="str">
        <f t="shared" si="1"/>
        <v>2024-08</v>
      </c>
      <c r="D244" s="36">
        <f>COUNTIF('📋 Транзакції'!$B$5:$B$3623,A244)</f>
        <v>9</v>
      </c>
      <c r="E244" s="36">
        <f>SUMIF('📋 Транзакції'!$B$5:$B$3623,A244,'📋 Транзакції'!$F$5:$F$3623)</f>
        <v>159.92</v>
      </c>
      <c r="F244" s="35">
        <f>INT($A$1-MAXIFS('📋 Транзакції'!$C$5:$C$3623,'📋 Транзакції'!$B$5:$B$3623,A244))</f>
        <v>15</v>
      </c>
      <c r="G244" s="37">
        <f>IF(COUNTIFS('📋 Транзакції'!$B$5:$B$3623,A244,'📋 Транзакції'!$C$5:$C$3623,"&gt;="&amp;EDATE(DATEVALUE(C244&amp;"-01"),0),'📋 Транзакції'!$C$5:$C$3623,"&lt;"&amp;EDATE(DATEVALUE(C244&amp;"-01"),1))&gt;0,1,0)</f>
        <v>1</v>
      </c>
      <c r="H244" s="37">
        <f>IF(COUNTIFS('📋 Транзакції'!$B$5:$B$3623,A244,'📋 Транзакції'!$C$5:$C$3623,"&gt;="&amp;EDATE(DATEVALUE(C244&amp;"-01"),1),'📋 Транзакції'!$C$5:$C$3623,"&lt;"&amp;EDATE(DATEVALUE(C244&amp;"-01"),2))&gt;0,1,0)</f>
        <v>1</v>
      </c>
      <c r="I244" s="37">
        <f>IF(COUNTIFS('📋 Транзакції'!$B$5:$B$3623,A244,'📋 Транзакції'!$C$5:$C$3623,"&gt;="&amp;EDATE(DATEVALUE(C244&amp;"-01"),2),'📋 Транзакції'!$C$5:$C$3623,"&lt;"&amp;EDATE(DATEVALUE(C244&amp;"-01"),3))&gt;0,1,0)</f>
        <v>1</v>
      </c>
      <c r="J244" s="37">
        <f>IF(COUNTIFS('📋 Транзакції'!$B$5:$B$3623,A244,'📋 Транзакції'!$C$5:$C$3623,"&gt;="&amp;EDATE(DATEVALUE(C244&amp;"-01"),3),'📋 Транзакції'!$C$5:$C$3623,"&lt;"&amp;EDATE(DATEVALUE(C244&amp;"-01"),4))&gt;0,1,0)</f>
        <v>1</v>
      </c>
      <c r="K244" s="37">
        <f>IF(COUNTIFS('📋 Транзакції'!$B$5:$B$3623,A244,'📋 Транзакції'!$C$5:$C$3623,"&gt;="&amp;EDATE(DATEVALUE(C244&amp;"-01"),4),'📋 Транзакції'!$C$5:$C$3623,"&lt;"&amp;EDATE(DATEVALUE(C244&amp;"-01"),5))&gt;0,1,0)</f>
        <v>1</v>
      </c>
      <c r="L244" s="37">
        <f>IF(COUNTIFS('📋 Транзакції'!$B$5:$B$3623,A244,'📋 Транзакції'!$C$5:$C$3623,"&gt;="&amp;EDATE(DATEVALUE(C244&amp;"-01"),5),'📋 Транзакції'!$C$5:$C$3623,"&lt;"&amp;EDATE(DATEVALUE(C244&amp;"-01"),6))&gt;0,1,0)</f>
        <v>1</v>
      </c>
      <c r="M244" s="37">
        <f>IF(COUNTIFS('📋 Транзакції'!$B$5:$B$3623,A244,'📋 Транзакції'!$C$5:$C$3623,"&gt;="&amp;EDATE(DATEVALUE(C244&amp;"-01"),6),'📋 Транзакції'!$C$5:$C$3623,"&lt;"&amp;EDATE(DATEVALUE(C244&amp;"-01"),7))&gt;0,1,0)</f>
        <v>1</v>
      </c>
      <c r="N244" s="37">
        <f>IF(COUNTIFS('📋 Транзакції'!$B$5:$B$3623,A244,'📋 Транзакції'!$C$5:$C$3623,"&gt;="&amp;EDATE(DATEVALUE(C244&amp;"-01"),7),'📋 Транзакції'!$C$5:$C$3623,"&lt;"&amp;EDATE(DATEVALUE(C244&amp;"-01"),8))&gt;0,1,0)</f>
        <v>1</v>
      </c>
      <c r="O244" s="37">
        <f>IF(COUNTIFS('📋 Транзакції'!$B$5:$B$3623,A244,'📋 Транзакції'!$C$5:$C$3623,"&gt;="&amp;EDATE(DATEVALUE(C244&amp;"-01"),8),'📋 Транзакції'!$C$5:$C$3623,"&lt;"&amp;EDATE(DATEVALUE(C244&amp;"-01"),9))&gt;0,1,0)</f>
        <v>0</v>
      </c>
      <c r="P244" s="37">
        <f>IF(COUNTIFS('📋 Транзакції'!$B$5:$B$3623,A244,'📋 Транзакції'!$C$5:$C$3623,"&gt;="&amp;EDATE(DATEVALUE(C244&amp;"-01"),9),'📋 Транзакції'!$C$5:$C$3623,"&lt;"&amp;EDATE(DATEVALUE(C244&amp;"-01"),10))&gt;0,1,0)</f>
        <v>0</v>
      </c>
      <c r="Q244" s="37">
        <f>IF(COUNTIFS('📋 Транзакції'!$B$5:$B$3623,A244,'📋 Транзакції'!$C$5:$C$3623,"&gt;="&amp;EDATE(DATEVALUE(C244&amp;"-01"),10),'📋 Транзакції'!$C$5:$C$3623,"&lt;"&amp;EDATE(DATEVALUE(C244&amp;"-01"),11))&gt;0,1,0)</f>
        <v>0</v>
      </c>
      <c r="R244" s="37">
        <f>IF(COUNTIFS('📋 Транзакції'!$B$5:$B$3623,A244,'📋 Транзакції'!$C$5:$C$3623,"&gt;="&amp;EDATE(DATEVALUE(C244&amp;"-01"),11),'📋 Транзакції'!$C$5:$C$3623,"&lt;"&amp;EDATE(DATEVALUE(C244&amp;"-01"),12))&gt;0,1,0)</f>
        <v>0</v>
      </c>
      <c r="S244" s="37">
        <f>SUMIFS('📋 Транзакції'!$F$5:$F$3623,'📋 Транзакції'!$B$5:$B$3623,A244,'📋 Транзакції'!$C$5:$C$3623,"&gt;="&amp;EDATE(DATEVALUE(C244&amp;"-01"),0),'📋 Транзакції'!$C$5:$C$3623,"&lt;"&amp;EDATE(DATEVALUE(C244&amp;"-01"),1))</f>
        <v>19.99</v>
      </c>
      <c r="T244" s="37">
        <f>SUMIFS('📋 Транзакції'!$F$5:$F$3623,'📋 Транзакції'!$B$5:$B$3623,A244,'📋 Транзакції'!$C$5:$C$3623,"&gt;="&amp;EDATE(DATEVALUE(C244&amp;"-01"),1),'📋 Транзакції'!$C$5:$C$3623,"&lt;"&amp;EDATE(DATEVALUE(C244&amp;"-01"),2))</f>
        <v>19.99</v>
      </c>
      <c r="U244" s="37">
        <f>SUMIFS('📋 Транзакції'!$F$5:$F$3623,'📋 Транзакції'!$B$5:$B$3623,A244,'📋 Транзакції'!$C$5:$C$3623,"&gt;="&amp;EDATE(DATEVALUE(C244&amp;"-01"),2),'📋 Транзакції'!$C$5:$C$3623,"&lt;"&amp;EDATE(DATEVALUE(C244&amp;"-01"),3))</f>
        <v>19.99</v>
      </c>
      <c r="V244" s="37">
        <f>SUMIFS('📋 Транзакції'!$F$5:$F$3623,'📋 Транзакції'!$B$5:$B$3623,A244,'📋 Транзакції'!$C$5:$C$3623,"&gt;="&amp;EDATE(DATEVALUE(C244&amp;"-01"),3),'📋 Транзакції'!$C$5:$C$3623,"&lt;"&amp;EDATE(DATEVALUE(C244&amp;"-01"),4))</f>
        <v>19.99</v>
      </c>
      <c r="W244" s="37">
        <f>SUMIFS('📋 Транзакції'!$F$5:$F$3623,'📋 Транзакції'!$B$5:$B$3623,A244,'📋 Транзакції'!$C$5:$C$3623,"&gt;="&amp;EDATE(DATEVALUE(C244&amp;"-01"),4),'📋 Транзакції'!$C$5:$C$3623,"&lt;"&amp;EDATE(DATEVALUE(C244&amp;"-01"),5))</f>
        <v>19.99</v>
      </c>
      <c r="X244" s="37">
        <f>SUMIFS('📋 Транзакції'!$F$5:$F$3623,'📋 Транзакції'!$B$5:$B$3623,A244,'📋 Транзакції'!$C$5:$C$3623,"&gt;="&amp;EDATE(DATEVALUE(C244&amp;"-01"),5),'📋 Транзакції'!$C$5:$C$3623,"&lt;"&amp;EDATE(DATEVALUE(C244&amp;"-01"),6))</f>
        <v>19.99</v>
      </c>
      <c r="Y244" s="37">
        <f>SUMIFS('📋 Транзакції'!$F$5:$F$3623,'📋 Транзакції'!$B$5:$B$3623,A244,'📋 Транзакції'!$C$5:$C$3623,"&gt;="&amp;EDATE(DATEVALUE(C244&amp;"-01"),6),'📋 Транзакції'!$C$5:$C$3623,"&lt;"&amp;EDATE(DATEVALUE(C244&amp;"-01"),7))</f>
        <v>19.99</v>
      </c>
      <c r="Z244" s="37">
        <f>SUMIFS('📋 Транзакції'!$F$5:$F$3623,'📋 Транзакції'!$B$5:$B$3623,A244,'📋 Транзакції'!$C$5:$C$3623,"&gt;="&amp;EDATE(DATEVALUE(C244&amp;"-01"),7),'📋 Транзакції'!$C$5:$C$3623,"&lt;"&amp;EDATE(DATEVALUE(C244&amp;"-01"),8))</f>
        <v>19.99</v>
      </c>
      <c r="AA244" s="37">
        <f>SUMIFS('📋 Транзакції'!$F$5:$F$3623,'📋 Транзакції'!$B$5:$B$3623,A244,'📋 Транзакції'!$C$5:$C$3623,"&gt;="&amp;EDATE(DATEVALUE(C244&amp;"-01"),8),'📋 Транзакції'!$C$5:$C$3623,"&lt;"&amp;EDATE(DATEVALUE(C244&amp;"-01"),9))</f>
        <v>0</v>
      </c>
      <c r="AB244" s="37">
        <f>SUMIFS('📋 Транзакції'!$F$5:$F$3623,'📋 Транзакції'!$B$5:$B$3623,A244,'📋 Транзакції'!$C$5:$C$3623,"&gt;="&amp;EDATE(DATEVALUE(C244&amp;"-01"),9),'📋 Транзакції'!$C$5:$C$3623,"&lt;"&amp;EDATE(DATEVALUE(C244&amp;"-01"),10))</f>
        <v>0</v>
      </c>
      <c r="AC244" s="37">
        <f>SUMIFS('📋 Транзакції'!$F$5:$F$3623,'📋 Транзакції'!$B$5:$B$3623,A244,'📋 Транзакції'!$C$5:$C$3623,"&gt;="&amp;EDATE(DATEVALUE(C244&amp;"-01"),10),'📋 Транзакції'!$C$5:$C$3623,"&lt;"&amp;EDATE(DATEVALUE(C244&amp;"-01"),11))</f>
        <v>0</v>
      </c>
      <c r="AD244" s="37">
        <f>SUMIFS('📋 Транзакції'!$F$5:$F$3623,'📋 Транзакції'!$B$5:$B$3623,A244,'📋 Транзакції'!$C$5:$C$3623,"&gt;="&amp;EDATE(DATEVALUE(C244&amp;"-01"),11),'📋 Транзакції'!$C$5:$C$3623,"&lt;"&amp;EDATE(DATEVALUE(C244&amp;"-01"),12))</f>
        <v>0</v>
      </c>
    </row>
    <row r="245" ht="15.75" customHeight="1">
      <c r="A245" s="33" t="str">
        <f>'📋 Реєстрації'!A245:A846</f>
        <v>U0565</v>
      </c>
      <c r="B245" s="34">
        <f t="array" ref="B245">INDEX('📋 Транзакції'!$C$5:$C$3623,MATCH(A245,'📋 Транзакції'!$B$5:$B$3623,0))</f>
        <v>45516</v>
      </c>
      <c r="C245" s="35" t="str">
        <f t="shared" si="1"/>
        <v>2024-08</v>
      </c>
      <c r="D245" s="36">
        <f>COUNTIF('📋 Транзакції'!$B$5:$B$3623,A245)</f>
        <v>9</v>
      </c>
      <c r="E245" s="36">
        <f>SUMIF('📋 Транзакції'!$B$5:$B$3623,A245,'📋 Транзакції'!$F$5:$F$3623)</f>
        <v>159.92</v>
      </c>
      <c r="F245" s="35">
        <f>INT($A$1-MAXIFS('📋 Транзакції'!$C$5:$C$3623,'📋 Транзакції'!$B$5:$B$3623,A245))</f>
        <v>14</v>
      </c>
      <c r="G245" s="37">
        <f>IF(COUNTIFS('📋 Транзакції'!$B$5:$B$3623,A245,'📋 Транзакції'!$C$5:$C$3623,"&gt;="&amp;EDATE(DATEVALUE(C245&amp;"-01"),0),'📋 Транзакції'!$C$5:$C$3623,"&lt;"&amp;EDATE(DATEVALUE(C245&amp;"-01"),1))&gt;0,1,0)</f>
        <v>1</v>
      </c>
      <c r="H245" s="37">
        <f>IF(COUNTIFS('📋 Транзакції'!$B$5:$B$3623,A245,'📋 Транзакції'!$C$5:$C$3623,"&gt;="&amp;EDATE(DATEVALUE(C245&amp;"-01"),1),'📋 Транзакції'!$C$5:$C$3623,"&lt;"&amp;EDATE(DATEVALUE(C245&amp;"-01"),2))&gt;0,1,0)</f>
        <v>1</v>
      </c>
      <c r="I245" s="37">
        <f>IF(COUNTIFS('📋 Транзакції'!$B$5:$B$3623,A245,'📋 Транзакції'!$C$5:$C$3623,"&gt;="&amp;EDATE(DATEVALUE(C245&amp;"-01"),2),'📋 Транзакції'!$C$5:$C$3623,"&lt;"&amp;EDATE(DATEVALUE(C245&amp;"-01"),3))&gt;0,1,0)</f>
        <v>1</v>
      </c>
      <c r="J245" s="37">
        <f>IF(COUNTIFS('📋 Транзакції'!$B$5:$B$3623,A245,'📋 Транзакції'!$C$5:$C$3623,"&gt;="&amp;EDATE(DATEVALUE(C245&amp;"-01"),3),'📋 Транзакції'!$C$5:$C$3623,"&lt;"&amp;EDATE(DATEVALUE(C245&amp;"-01"),4))&gt;0,1,0)</f>
        <v>1</v>
      </c>
      <c r="K245" s="37">
        <f>IF(COUNTIFS('📋 Транзакції'!$B$5:$B$3623,A245,'📋 Транзакції'!$C$5:$C$3623,"&gt;="&amp;EDATE(DATEVALUE(C245&amp;"-01"),4),'📋 Транзакції'!$C$5:$C$3623,"&lt;"&amp;EDATE(DATEVALUE(C245&amp;"-01"),5))&gt;0,1,0)</f>
        <v>1</v>
      </c>
      <c r="L245" s="37">
        <f>IF(COUNTIFS('📋 Транзакції'!$B$5:$B$3623,A245,'📋 Транзакції'!$C$5:$C$3623,"&gt;="&amp;EDATE(DATEVALUE(C245&amp;"-01"),5),'📋 Транзакції'!$C$5:$C$3623,"&lt;"&amp;EDATE(DATEVALUE(C245&amp;"-01"),6))&gt;0,1,0)</f>
        <v>1</v>
      </c>
      <c r="M245" s="37">
        <f>IF(COUNTIFS('📋 Транзакції'!$B$5:$B$3623,A245,'📋 Транзакції'!$C$5:$C$3623,"&gt;="&amp;EDATE(DATEVALUE(C245&amp;"-01"),6),'📋 Транзакції'!$C$5:$C$3623,"&lt;"&amp;EDATE(DATEVALUE(C245&amp;"-01"),7))&gt;0,1,0)</f>
        <v>1</v>
      </c>
      <c r="N245" s="37">
        <f>IF(COUNTIFS('📋 Транзакції'!$B$5:$B$3623,A245,'📋 Транзакції'!$C$5:$C$3623,"&gt;="&amp;EDATE(DATEVALUE(C245&amp;"-01"),7),'📋 Транзакції'!$C$5:$C$3623,"&lt;"&amp;EDATE(DATEVALUE(C245&amp;"-01"),8))&gt;0,1,0)</f>
        <v>1</v>
      </c>
      <c r="O245" s="37">
        <f>IF(COUNTIFS('📋 Транзакції'!$B$5:$B$3623,A245,'📋 Транзакції'!$C$5:$C$3623,"&gt;="&amp;EDATE(DATEVALUE(C245&amp;"-01"),8),'📋 Транзакції'!$C$5:$C$3623,"&lt;"&amp;EDATE(DATEVALUE(C245&amp;"-01"),9))&gt;0,1,0)</f>
        <v>0</v>
      </c>
      <c r="P245" s="37">
        <f>IF(COUNTIFS('📋 Транзакції'!$B$5:$B$3623,A245,'📋 Транзакції'!$C$5:$C$3623,"&gt;="&amp;EDATE(DATEVALUE(C245&amp;"-01"),9),'📋 Транзакції'!$C$5:$C$3623,"&lt;"&amp;EDATE(DATEVALUE(C245&amp;"-01"),10))&gt;0,1,0)</f>
        <v>0</v>
      </c>
      <c r="Q245" s="37">
        <f>IF(COUNTIFS('📋 Транзакції'!$B$5:$B$3623,A245,'📋 Транзакції'!$C$5:$C$3623,"&gt;="&amp;EDATE(DATEVALUE(C245&amp;"-01"),10),'📋 Транзакції'!$C$5:$C$3623,"&lt;"&amp;EDATE(DATEVALUE(C245&amp;"-01"),11))&gt;0,1,0)</f>
        <v>0</v>
      </c>
      <c r="R245" s="37">
        <f>IF(COUNTIFS('📋 Транзакції'!$B$5:$B$3623,A245,'📋 Транзакції'!$C$5:$C$3623,"&gt;="&amp;EDATE(DATEVALUE(C245&amp;"-01"),11),'📋 Транзакції'!$C$5:$C$3623,"&lt;"&amp;EDATE(DATEVALUE(C245&amp;"-01"),12))&gt;0,1,0)</f>
        <v>0</v>
      </c>
      <c r="S245" s="37">
        <f>SUMIFS('📋 Транзакції'!$F$5:$F$3623,'📋 Транзакції'!$B$5:$B$3623,A245,'📋 Транзакції'!$C$5:$C$3623,"&gt;="&amp;EDATE(DATEVALUE(C245&amp;"-01"),0),'📋 Транзакції'!$C$5:$C$3623,"&lt;"&amp;EDATE(DATEVALUE(C245&amp;"-01"),1))</f>
        <v>19.99</v>
      </c>
      <c r="T245" s="37">
        <f>SUMIFS('📋 Транзакції'!$F$5:$F$3623,'📋 Транзакції'!$B$5:$B$3623,A245,'📋 Транзакції'!$C$5:$C$3623,"&gt;="&amp;EDATE(DATEVALUE(C245&amp;"-01"),1),'📋 Транзакції'!$C$5:$C$3623,"&lt;"&amp;EDATE(DATEVALUE(C245&amp;"-01"),2))</f>
        <v>19.99</v>
      </c>
      <c r="U245" s="37">
        <f>SUMIFS('📋 Транзакції'!$F$5:$F$3623,'📋 Транзакції'!$B$5:$B$3623,A245,'📋 Транзакції'!$C$5:$C$3623,"&gt;="&amp;EDATE(DATEVALUE(C245&amp;"-01"),2),'📋 Транзакції'!$C$5:$C$3623,"&lt;"&amp;EDATE(DATEVALUE(C245&amp;"-01"),3))</f>
        <v>19.99</v>
      </c>
      <c r="V245" s="37">
        <f>SUMIFS('📋 Транзакції'!$F$5:$F$3623,'📋 Транзакції'!$B$5:$B$3623,A245,'📋 Транзакції'!$C$5:$C$3623,"&gt;="&amp;EDATE(DATEVALUE(C245&amp;"-01"),3),'📋 Транзакції'!$C$5:$C$3623,"&lt;"&amp;EDATE(DATEVALUE(C245&amp;"-01"),4))</f>
        <v>19.99</v>
      </c>
      <c r="W245" s="37">
        <f>SUMIFS('📋 Транзакції'!$F$5:$F$3623,'📋 Транзакції'!$B$5:$B$3623,A245,'📋 Транзакції'!$C$5:$C$3623,"&gt;="&amp;EDATE(DATEVALUE(C245&amp;"-01"),4),'📋 Транзакції'!$C$5:$C$3623,"&lt;"&amp;EDATE(DATEVALUE(C245&amp;"-01"),5))</f>
        <v>19.99</v>
      </c>
      <c r="X245" s="37">
        <f>SUMIFS('📋 Транзакції'!$F$5:$F$3623,'📋 Транзакції'!$B$5:$B$3623,A245,'📋 Транзакції'!$C$5:$C$3623,"&gt;="&amp;EDATE(DATEVALUE(C245&amp;"-01"),5),'📋 Транзакції'!$C$5:$C$3623,"&lt;"&amp;EDATE(DATEVALUE(C245&amp;"-01"),6))</f>
        <v>19.99</v>
      </c>
      <c r="Y245" s="37">
        <f>SUMIFS('📋 Транзакції'!$F$5:$F$3623,'📋 Транзакції'!$B$5:$B$3623,A245,'📋 Транзакції'!$C$5:$C$3623,"&gt;="&amp;EDATE(DATEVALUE(C245&amp;"-01"),6),'📋 Транзакції'!$C$5:$C$3623,"&lt;"&amp;EDATE(DATEVALUE(C245&amp;"-01"),7))</f>
        <v>19.99</v>
      </c>
      <c r="Z245" s="37">
        <f>SUMIFS('📋 Транзакції'!$F$5:$F$3623,'📋 Транзакції'!$B$5:$B$3623,A245,'📋 Транзакції'!$C$5:$C$3623,"&gt;="&amp;EDATE(DATEVALUE(C245&amp;"-01"),7),'📋 Транзакції'!$C$5:$C$3623,"&lt;"&amp;EDATE(DATEVALUE(C245&amp;"-01"),8))</f>
        <v>19.99</v>
      </c>
      <c r="AA245" s="37">
        <f>SUMIFS('📋 Транзакції'!$F$5:$F$3623,'📋 Транзакції'!$B$5:$B$3623,A245,'📋 Транзакції'!$C$5:$C$3623,"&gt;="&amp;EDATE(DATEVALUE(C245&amp;"-01"),8),'📋 Транзакції'!$C$5:$C$3623,"&lt;"&amp;EDATE(DATEVALUE(C245&amp;"-01"),9))</f>
        <v>0</v>
      </c>
      <c r="AB245" s="37">
        <f>SUMIFS('📋 Транзакції'!$F$5:$F$3623,'📋 Транзакції'!$B$5:$B$3623,A245,'📋 Транзакції'!$C$5:$C$3623,"&gt;="&amp;EDATE(DATEVALUE(C245&amp;"-01"),9),'📋 Транзакції'!$C$5:$C$3623,"&lt;"&amp;EDATE(DATEVALUE(C245&amp;"-01"),10))</f>
        <v>0</v>
      </c>
      <c r="AC245" s="37">
        <f>SUMIFS('📋 Транзакції'!$F$5:$F$3623,'📋 Транзакції'!$B$5:$B$3623,A245,'📋 Транзакції'!$C$5:$C$3623,"&gt;="&amp;EDATE(DATEVALUE(C245&amp;"-01"),10),'📋 Транзакції'!$C$5:$C$3623,"&lt;"&amp;EDATE(DATEVALUE(C245&amp;"-01"),11))</f>
        <v>0</v>
      </c>
      <c r="AD245" s="37">
        <f>SUMIFS('📋 Транзакції'!$F$5:$F$3623,'📋 Транзакції'!$B$5:$B$3623,A245,'📋 Транзакції'!$C$5:$C$3623,"&gt;="&amp;EDATE(DATEVALUE(C245&amp;"-01"),11),'📋 Транзакції'!$C$5:$C$3623,"&lt;"&amp;EDATE(DATEVALUE(C245&amp;"-01"),12))</f>
        <v>0</v>
      </c>
    </row>
    <row r="246" ht="15.75" customHeight="1">
      <c r="A246" s="33" t="str">
        <f>'📋 Реєстрації'!A246:A847</f>
        <v>U0496</v>
      </c>
      <c r="B246" s="34">
        <f t="array" ref="B246">INDEX('📋 Транзакції'!$C$5:$C$3623,MATCH(A246,'📋 Транзакції'!$B$5:$B$3623,0))</f>
        <v>45518</v>
      </c>
      <c r="C246" s="35" t="str">
        <f t="shared" si="1"/>
        <v>2024-08</v>
      </c>
      <c r="D246" s="36">
        <f>COUNTIF('📋 Транзакції'!$B$5:$B$3623,A246)</f>
        <v>2</v>
      </c>
      <c r="E246" s="36">
        <f>SUMIF('📋 Транзакції'!$B$5:$B$3623,A246,'📋 Транзакції'!$F$5:$F$3623)</f>
        <v>19.99</v>
      </c>
      <c r="F246" s="35">
        <f>INT($A$1-MAXIFS('📋 Транзакції'!$C$5:$C$3623,'📋 Транзакції'!$B$5:$B$3623,A246))</f>
        <v>222</v>
      </c>
      <c r="G246" s="37">
        <f>IF(COUNTIFS('📋 Транзакції'!$B$5:$B$3623,A246,'📋 Транзакції'!$C$5:$C$3623,"&gt;="&amp;EDATE(DATEVALUE(C246&amp;"-01"),0),'📋 Транзакції'!$C$5:$C$3623,"&lt;"&amp;EDATE(DATEVALUE(C246&amp;"-01"),1))&gt;0,1,0)</f>
        <v>1</v>
      </c>
      <c r="H246" s="37">
        <f>IF(COUNTIFS('📋 Транзакції'!$B$5:$B$3623,A246,'📋 Транзакції'!$C$5:$C$3623,"&gt;="&amp;EDATE(DATEVALUE(C246&amp;"-01"),1),'📋 Транзакції'!$C$5:$C$3623,"&lt;"&amp;EDATE(DATEVALUE(C246&amp;"-01"),2))&gt;0,1,0)</f>
        <v>0</v>
      </c>
      <c r="I246" s="37">
        <f>IF(COUNTIFS('📋 Транзакції'!$B$5:$B$3623,A246,'📋 Транзакції'!$C$5:$C$3623,"&gt;="&amp;EDATE(DATEVALUE(C246&amp;"-01"),2),'📋 Транзакції'!$C$5:$C$3623,"&lt;"&amp;EDATE(DATEVALUE(C246&amp;"-01"),3))&gt;0,1,0)</f>
        <v>0</v>
      </c>
      <c r="J246" s="37">
        <f>IF(COUNTIFS('📋 Транзакції'!$B$5:$B$3623,A246,'📋 Транзакції'!$C$5:$C$3623,"&gt;="&amp;EDATE(DATEVALUE(C246&amp;"-01"),3),'📋 Транзакції'!$C$5:$C$3623,"&lt;"&amp;EDATE(DATEVALUE(C246&amp;"-01"),4))&gt;0,1,0)</f>
        <v>0</v>
      </c>
      <c r="K246" s="37">
        <f>IF(COUNTIFS('📋 Транзакції'!$B$5:$B$3623,A246,'📋 Транзакції'!$C$5:$C$3623,"&gt;="&amp;EDATE(DATEVALUE(C246&amp;"-01"),4),'📋 Транзакції'!$C$5:$C$3623,"&lt;"&amp;EDATE(DATEVALUE(C246&amp;"-01"),5))&gt;0,1,0)</f>
        <v>0</v>
      </c>
      <c r="L246" s="37">
        <f>IF(COUNTIFS('📋 Транзакції'!$B$5:$B$3623,A246,'📋 Транзакції'!$C$5:$C$3623,"&gt;="&amp;EDATE(DATEVALUE(C246&amp;"-01"),5),'📋 Транзакції'!$C$5:$C$3623,"&lt;"&amp;EDATE(DATEVALUE(C246&amp;"-01"),6))&gt;0,1,0)</f>
        <v>0</v>
      </c>
      <c r="M246" s="37">
        <f>IF(COUNTIFS('📋 Транзакції'!$B$5:$B$3623,A246,'📋 Транзакції'!$C$5:$C$3623,"&gt;="&amp;EDATE(DATEVALUE(C246&amp;"-01"),6),'📋 Транзакції'!$C$5:$C$3623,"&lt;"&amp;EDATE(DATEVALUE(C246&amp;"-01"),7))&gt;0,1,0)</f>
        <v>0</v>
      </c>
      <c r="N246" s="37">
        <f>IF(COUNTIFS('📋 Транзакції'!$B$5:$B$3623,A246,'📋 Транзакції'!$C$5:$C$3623,"&gt;="&amp;EDATE(DATEVALUE(C246&amp;"-01"),7),'📋 Транзакції'!$C$5:$C$3623,"&lt;"&amp;EDATE(DATEVALUE(C246&amp;"-01"),8))&gt;0,1,0)</f>
        <v>0</v>
      </c>
      <c r="O246" s="37">
        <f>IF(COUNTIFS('📋 Транзакції'!$B$5:$B$3623,A246,'📋 Транзакції'!$C$5:$C$3623,"&gt;="&amp;EDATE(DATEVALUE(C246&amp;"-01"),8),'📋 Транзакції'!$C$5:$C$3623,"&lt;"&amp;EDATE(DATEVALUE(C246&amp;"-01"),9))&gt;0,1,0)</f>
        <v>0</v>
      </c>
      <c r="P246" s="37">
        <f>IF(COUNTIFS('📋 Транзакції'!$B$5:$B$3623,A246,'📋 Транзакції'!$C$5:$C$3623,"&gt;="&amp;EDATE(DATEVALUE(C246&amp;"-01"),9),'📋 Транзакції'!$C$5:$C$3623,"&lt;"&amp;EDATE(DATEVALUE(C246&amp;"-01"),10))&gt;0,1,0)</f>
        <v>0</v>
      </c>
      <c r="Q246" s="37">
        <f>IF(COUNTIFS('📋 Транзакції'!$B$5:$B$3623,A246,'📋 Транзакції'!$C$5:$C$3623,"&gt;="&amp;EDATE(DATEVALUE(C246&amp;"-01"),10),'📋 Транзакції'!$C$5:$C$3623,"&lt;"&amp;EDATE(DATEVALUE(C246&amp;"-01"),11))&gt;0,1,0)</f>
        <v>0</v>
      </c>
      <c r="R246" s="37">
        <f>IF(COUNTIFS('📋 Транзакції'!$B$5:$B$3623,A246,'📋 Транзакції'!$C$5:$C$3623,"&gt;="&amp;EDATE(DATEVALUE(C246&amp;"-01"),11),'📋 Транзакції'!$C$5:$C$3623,"&lt;"&amp;EDATE(DATEVALUE(C246&amp;"-01"),12))&gt;0,1,0)</f>
        <v>0</v>
      </c>
      <c r="S246" s="37">
        <f>SUMIFS('📋 Транзакції'!$F$5:$F$3623,'📋 Транзакції'!$B$5:$B$3623,A246,'📋 Транзакції'!$C$5:$C$3623,"&gt;="&amp;EDATE(DATEVALUE(C246&amp;"-01"),0),'📋 Транзакції'!$C$5:$C$3623,"&lt;"&amp;EDATE(DATEVALUE(C246&amp;"-01"),1))</f>
        <v>19.99</v>
      </c>
      <c r="T246" s="37">
        <f>SUMIFS('📋 Транзакції'!$F$5:$F$3623,'📋 Транзакції'!$B$5:$B$3623,A246,'📋 Транзакції'!$C$5:$C$3623,"&gt;="&amp;EDATE(DATEVALUE(C246&amp;"-01"),1),'📋 Транзакції'!$C$5:$C$3623,"&lt;"&amp;EDATE(DATEVALUE(C246&amp;"-01"),2))</f>
        <v>0</v>
      </c>
      <c r="U246" s="37">
        <f>SUMIFS('📋 Транзакції'!$F$5:$F$3623,'📋 Транзакції'!$B$5:$B$3623,A246,'📋 Транзакції'!$C$5:$C$3623,"&gt;="&amp;EDATE(DATEVALUE(C246&amp;"-01"),2),'📋 Транзакції'!$C$5:$C$3623,"&lt;"&amp;EDATE(DATEVALUE(C246&amp;"-01"),3))</f>
        <v>0</v>
      </c>
      <c r="V246" s="37">
        <f>SUMIFS('📋 Транзакції'!$F$5:$F$3623,'📋 Транзакції'!$B$5:$B$3623,A246,'📋 Транзакції'!$C$5:$C$3623,"&gt;="&amp;EDATE(DATEVALUE(C246&amp;"-01"),3),'📋 Транзакції'!$C$5:$C$3623,"&lt;"&amp;EDATE(DATEVALUE(C246&amp;"-01"),4))</f>
        <v>0</v>
      </c>
      <c r="W246" s="37">
        <f>SUMIFS('📋 Транзакції'!$F$5:$F$3623,'📋 Транзакції'!$B$5:$B$3623,A246,'📋 Транзакції'!$C$5:$C$3623,"&gt;="&amp;EDATE(DATEVALUE(C246&amp;"-01"),4),'📋 Транзакції'!$C$5:$C$3623,"&lt;"&amp;EDATE(DATEVALUE(C246&amp;"-01"),5))</f>
        <v>0</v>
      </c>
      <c r="X246" s="37">
        <f>SUMIFS('📋 Транзакції'!$F$5:$F$3623,'📋 Транзакції'!$B$5:$B$3623,A246,'📋 Транзакції'!$C$5:$C$3623,"&gt;="&amp;EDATE(DATEVALUE(C246&amp;"-01"),5),'📋 Транзакції'!$C$5:$C$3623,"&lt;"&amp;EDATE(DATEVALUE(C246&amp;"-01"),6))</f>
        <v>0</v>
      </c>
      <c r="Y246" s="37">
        <f>SUMIFS('📋 Транзакції'!$F$5:$F$3623,'📋 Транзакції'!$B$5:$B$3623,A246,'📋 Транзакції'!$C$5:$C$3623,"&gt;="&amp;EDATE(DATEVALUE(C246&amp;"-01"),6),'📋 Транзакції'!$C$5:$C$3623,"&lt;"&amp;EDATE(DATEVALUE(C246&amp;"-01"),7))</f>
        <v>0</v>
      </c>
      <c r="Z246" s="37">
        <f>SUMIFS('📋 Транзакції'!$F$5:$F$3623,'📋 Транзакції'!$B$5:$B$3623,A246,'📋 Транзакції'!$C$5:$C$3623,"&gt;="&amp;EDATE(DATEVALUE(C246&amp;"-01"),7),'📋 Транзакції'!$C$5:$C$3623,"&lt;"&amp;EDATE(DATEVALUE(C246&amp;"-01"),8))</f>
        <v>0</v>
      </c>
      <c r="AA246" s="37">
        <f>SUMIFS('📋 Транзакції'!$F$5:$F$3623,'📋 Транзакції'!$B$5:$B$3623,A246,'📋 Транзакції'!$C$5:$C$3623,"&gt;="&amp;EDATE(DATEVALUE(C246&amp;"-01"),8),'📋 Транзакції'!$C$5:$C$3623,"&lt;"&amp;EDATE(DATEVALUE(C246&amp;"-01"),9))</f>
        <v>0</v>
      </c>
      <c r="AB246" s="37">
        <f>SUMIFS('📋 Транзакції'!$F$5:$F$3623,'📋 Транзакції'!$B$5:$B$3623,A246,'📋 Транзакції'!$C$5:$C$3623,"&gt;="&amp;EDATE(DATEVALUE(C246&amp;"-01"),9),'📋 Транзакції'!$C$5:$C$3623,"&lt;"&amp;EDATE(DATEVALUE(C246&amp;"-01"),10))</f>
        <v>0</v>
      </c>
      <c r="AC246" s="37">
        <f>SUMIFS('📋 Транзакції'!$F$5:$F$3623,'📋 Транзакції'!$B$5:$B$3623,A246,'📋 Транзакції'!$C$5:$C$3623,"&gt;="&amp;EDATE(DATEVALUE(C246&amp;"-01"),10),'📋 Транзакції'!$C$5:$C$3623,"&lt;"&amp;EDATE(DATEVALUE(C246&amp;"-01"),11))</f>
        <v>0</v>
      </c>
      <c r="AD246" s="37">
        <f>SUMIFS('📋 Транзакції'!$F$5:$F$3623,'📋 Транзакції'!$B$5:$B$3623,A246,'📋 Транзакції'!$C$5:$C$3623,"&gt;="&amp;EDATE(DATEVALUE(C246&amp;"-01"),11),'📋 Транзакції'!$C$5:$C$3623,"&lt;"&amp;EDATE(DATEVALUE(C246&amp;"-01"),12))</f>
        <v>0</v>
      </c>
    </row>
    <row r="247" ht="15.75" customHeight="1">
      <c r="A247" s="33" t="str">
        <f>'📋 Реєстрації'!A247:A848</f>
        <v>U0570</v>
      </c>
      <c r="B247" s="34">
        <f t="array" ref="B247">INDEX('📋 Транзакції'!$C$5:$C$3623,MATCH(A247,'📋 Транзакції'!$B$5:$B$3623,0))</f>
        <v>45519</v>
      </c>
      <c r="C247" s="35" t="str">
        <f t="shared" si="1"/>
        <v>2024-08</v>
      </c>
      <c r="D247" s="36">
        <f>COUNTIF('📋 Транзакції'!$B$5:$B$3623,A247)</f>
        <v>9</v>
      </c>
      <c r="E247" s="36">
        <f>SUMIF('📋 Транзакції'!$B$5:$B$3623,A247,'📋 Транзакції'!$F$5:$F$3623)</f>
        <v>159.92</v>
      </c>
      <c r="F247" s="35">
        <f>INT($A$1-MAXIFS('📋 Транзакції'!$C$5:$C$3623,'📋 Транзакції'!$B$5:$B$3623,A247))</f>
        <v>11</v>
      </c>
      <c r="G247" s="37">
        <f>IF(COUNTIFS('📋 Транзакції'!$B$5:$B$3623,A247,'📋 Транзакції'!$C$5:$C$3623,"&gt;="&amp;EDATE(DATEVALUE(C247&amp;"-01"),0),'📋 Транзакції'!$C$5:$C$3623,"&lt;"&amp;EDATE(DATEVALUE(C247&amp;"-01"),1))&gt;0,1,0)</f>
        <v>1</v>
      </c>
      <c r="H247" s="37">
        <f>IF(COUNTIFS('📋 Транзакції'!$B$5:$B$3623,A247,'📋 Транзакції'!$C$5:$C$3623,"&gt;="&amp;EDATE(DATEVALUE(C247&amp;"-01"),1),'📋 Транзакції'!$C$5:$C$3623,"&lt;"&amp;EDATE(DATEVALUE(C247&amp;"-01"),2))&gt;0,1,0)</f>
        <v>1</v>
      </c>
      <c r="I247" s="37">
        <f>IF(COUNTIFS('📋 Транзакції'!$B$5:$B$3623,A247,'📋 Транзакції'!$C$5:$C$3623,"&gt;="&amp;EDATE(DATEVALUE(C247&amp;"-01"),2),'📋 Транзакції'!$C$5:$C$3623,"&lt;"&amp;EDATE(DATEVALUE(C247&amp;"-01"),3))&gt;0,1,0)</f>
        <v>1</v>
      </c>
      <c r="J247" s="37">
        <f>IF(COUNTIFS('📋 Транзакції'!$B$5:$B$3623,A247,'📋 Транзакції'!$C$5:$C$3623,"&gt;="&amp;EDATE(DATEVALUE(C247&amp;"-01"),3),'📋 Транзакції'!$C$5:$C$3623,"&lt;"&amp;EDATE(DATEVALUE(C247&amp;"-01"),4))&gt;0,1,0)</f>
        <v>1</v>
      </c>
      <c r="K247" s="37">
        <f>IF(COUNTIFS('📋 Транзакції'!$B$5:$B$3623,A247,'📋 Транзакції'!$C$5:$C$3623,"&gt;="&amp;EDATE(DATEVALUE(C247&amp;"-01"),4),'📋 Транзакції'!$C$5:$C$3623,"&lt;"&amp;EDATE(DATEVALUE(C247&amp;"-01"),5))&gt;0,1,0)</f>
        <v>1</v>
      </c>
      <c r="L247" s="37">
        <f>IF(COUNTIFS('📋 Транзакції'!$B$5:$B$3623,A247,'📋 Транзакції'!$C$5:$C$3623,"&gt;="&amp;EDATE(DATEVALUE(C247&amp;"-01"),5),'📋 Транзакції'!$C$5:$C$3623,"&lt;"&amp;EDATE(DATEVALUE(C247&amp;"-01"),6))&gt;0,1,0)</f>
        <v>1</v>
      </c>
      <c r="M247" s="37">
        <f>IF(COUNTIFS('📋 Транзакції'!$B$5:$B$3623,A247,'📋 Транзакції'!$C$5:$C$3623,"&gt;="&amp;EDATE(DATEVALUE(C247&amp;"-01"),6),'📋 Транзакції'!$C$5:$C$3623,"&lt;"&amp;EDATE(DATEVALUE(C247&amp;"-01"),7))&gt;0,1,0)</f>
        <v>1</v>
      </c>
      <c r="N247" s="37">
        <f>IF(COUNTIFS('📋 Транзакції'!$B$5:$B$3623,A247,'📋 Транзакції'!$C$5:$C$3623,"&gt;="&amp;EDATE(DATEVALUE(C247&amp;"-01"),7),'📋 Транзакції'!$C$5:$C$3623,"&lt;"&amp;EDATE(DATEVALUE(C247&amp;"-01"),8))&gt;0,1,0)</f>
        <v>1</v>
      </c>
      <c r="O247" s="37">
        <f>IF(COUNTIFS('📋 Транзакції'!$B$5:$B$3623,A247,'📋 Транзакції'!$C$5:$C$3623,"&gt;="&amp;EDATE(DATEVALUE(C247&amp;"-01"),8),'📋 Транзакції'!$C$5:$C$3623,"&lt;"&amp;EDATE(DATEVALUE(C247&amp;"-01"),9))&gt;0,1,0)</f>
        <v>0</v>
      </c>
      <c r="P247" s="37">
        <f>IF(COUNTIFS('📋 Транзакції'!$B$5:$B$3623,A247,'📋 Транзакції'!$C$5:$C$3623,"&gt;="&amp;EDATE(DATEVALUE(C247&amp;"-01"),9),'📋 Транзакції'!$C$5:$C$3623,"&lt;"&amp;EDATE(DATEVALUE(C247&amp;"-01"),10))&gt;0,1,0)</f>
        <v>0</v>
      </c>
      <c r="Q247" s="37">
        <f>IF(COUNTIFS('📋 Транзакції'!$B$5:$B$3623,A247,'📋 Транзакції'!$C$5:$C$3623,"&gt;="&amp;EDATE(DATEVALUE(C247&amp;"-01"),10),'📋 Транзакції'!$C$5:$C$3623,"&lt;"&amp;EDATE(DATEVALUE(C247&amp;"-01"),11))&gt;0,1,0)</f>
        <v>0</v>
      </c>
      <c r="R247" s="37">
        <f>IF(COUNTIFS('📋 Транзакції'!$B$5:$B$3623,A247,'📋 Транзакції'!$C$5:$C$3623,"&gt;="&amp;EDATE(DATEVALUE(C247&amp;"-01"),11),'📋 Транзакції'!$C$5:$C$3623,"&lt;"&amp;EDATE(DATEVALUE(C247&amp;"-01"),12))&gt;0,1,0)</f>
        <v>0</v>
      </c>
      <c r="S247" s="37">
        <f>SUMIFS('📋 Транзакції'!$F$5:$F$3623,'📋 Транзакції'!$B$5:$B$3623,A247,'📋 Транзакції'!$C$5:$C$3623,"&gt;="&amp;EDATE(DATEVALUE(C247&amp;"-01"),0),'📋 Транзакції'!$C$5:$C$3623,"&lt;"&amp;EDATE(DATEVALUE(C247&amp;"-01"),1))</f>
        <v>19.99</v>
      </c>
      <c r="T247" s="37">
        <f>SUMIFS('📋 Транзакції'!$F$5:$F$3623,'📋 Транзакції'!$B$5:$B$3623,A247,'📋 Транзакції'!$C$5:$C$3623,"&gt;="&amp;EDATE(DATEVALUE(C247&amp;"-01"),1),'📋 Транзакції'!$C$5:$C$3623,"&lt;"&amp;EDATE(DATEVALUE(C247&amp;"-01"),2))</f>
        <v>19.99</v>
      </c>
      <c r="U247" s="37">
        <f>SUMIFS('📋 Транзакції'!$F$5:$F$3623,'📋 Транзакції'!$B$5:$B$3623,A247,'📋 Транзакції'!$C$5:$C$3623,"&gt;="&amp;EDATE(DATEVALUE(C247&amp;"-01"),2),'📋 Транзакції'!$C$5:$C$3623,"&lt;"&amp;EDATE(DATEVALUE(C247&amp;"-01"),3))</f>
        <v>19.99</v>
      </c>
      <c r="V247" s="37">
        <f>SUMIFS('📋 Транзакції'!$F$5:$F$3623,'📋 Транзакції'!$B$5:$B$3623,A247,'📋 Транзакції'!$C$5:$C$3623,"&gt;="&amp;EDATE(DATEVALUE(C247&amp;"-01"),3),'📋 Транзакції'!$C$5:$C$3623,"&lt;"&amp;EDATE(DATEVALUE(C247&amp;"-01"),4))</f>
        <v>19.99</v>
      </c>
      <c r="W247" s="37">
        <f>SUMIFS('📋 Транзакції'!$F$5:$F$3623,'📋 Транзакції'!$B$5:$B$3623,A247,'📋 Транзакції'!$C$5:$C$3623,"&gt;="&amp;EDATE(DATEVALUE(C247&amp;"-01"),4),'📋 Транзакції'!$C$5:$C$3623,"&lt;"&amp;EDATE(DATEVALUE(C247&amp;"-01"),5))</f>
        <v>19.99</v>
      </c>
      <c r="X247" s="37">
        <f>SUMIFS('📋 Транзакції'!$F$5:$F$3623,'📋 Транзакції'!$B$5:$B$3623,A247,'📋 Транзакції'!$C$5:$C$3623,"&gt;="&amp;EDATE(DATEVALUE(C247&amp;"-01"),5),'📋 Транзакції'!$C$5:$C$3623,"&lt;"&amp;EDATE(DATEVALUE(C247&amp;"-01"),6))</f>
        <v>19.99</v>
      </c>
      <c r="Y247" s="37">
        <f>SUMIFS('📋 Транзакції'!$F$5:$F$3623,'📋 Транзакції'!$B$5:$B$3623,A247,'📋 Транзакції'!$C$5:$C$3623,"&gt;="&amp;EDATE(DATEVALUE(C247&amp;"-01"),6),'📋 Транзакції'!$C$5:$C$3623,"&lt;"&amp;EDATE(DATEVALUE(C247&amp;"-01"),7))</f>
        <v>19.99</v>
      </c>
      <c r="Z247" s="37">
        <f>SUMIFS('📋 Транзакції'!$F$5:$F$3623,'📋 Транзакції'!$B$5:$B$3623,A247,'📋 Транзакції'!$C$5:$C$3623,"&gt;="&amp;EDATE(DATEVALUE(C247&amp;"-01"),7),'📋 Транзакції'!$C$5:$C$3623,"&lt;"&amp;EDATE(DATEVALUE(C247&amp;"-01"),8))</f>
        <v>19.99</v>
      </c>
      <c r="AA247" s="37">
        <f>SUMIFS('📋 Транзакції'!$F$5:$F$3623,'📋 Транзакції'!$B$5:$B$3623,A247,'📋 Транзакції'!$C$5:$C$3623,"&gt;="&amp;EDATE(DATEVALUE(C247&amp;"-01"),8),'📋 Транзакції'!$C$5:$C$3623,"&lt;"&amp;EDATE(DATEVALUE(C247&amp;"-01"),9))</f>
        <v>0</v>
      </c>
      <c r="AB247" s="37">
        <f>SUMIFS('📋 Транзакції'!$F$5:$F$3623,'📋 Транзакції'!$B$5:$B$3623,A247,'📋 Транзакції'!$C$5:$C$3623,"&gt;="&amp;EDATE(DATEVALUE(C247&amp;"-01"),9),'📋 Транзакції'!$C$5:$C$3623,"&lt;"&amp;EDATE(DATEVALUE(C247&amp;"-01"),10))</f>
        <v>0</v>
      </c>
      <c r="AC247" s="37">
        <f>SUMIFS('📋 Транзакції'!$F$5:$F$3623,'📋 Транзакції'!$B$5:$B$3623,A247,'📋 Транзакції'!$C$5:$C$3623,"&gt;="&amp;EDATE(DATEVALUE(C247&amp;"-01"),10),'📋 Транзакції'!$C$5:$C$3623,"&lt;"&amp;EDATE(DATEVALUE(C247&amp;"-01"),11))</f>
        <v>0</v>
      </c>
      <c r="AD247" s="37">
        <f>SUMIFS('📋 Транзакції'!$F$5:$F$3623,'📋 Транзакції'!$B$5:$B$3623,A247,'📋 Транзакції'!$C$5:$C$3623,"&gt;="&amp;EDATE(DATEVALUE(C247&amp;"-01"),11),'📋 Транзакції'!$C$5:$C$3623,"&lt;"&amp;EDATE(DATEVALUE(C247&amp;"-01"),12))</f>
        <v>0</v>
      </c>
    </row>
    <row r="248" ht="15.75" customHeight="1">
      <c r="A248" s="33" t="str">
        <f>'📋 Реєстрації'!A248:A849</f>
        <v>U0715</v>
      </c>
      <c r="B248" s="34">
        <f t="array" ref="B248">INDEX('📋 Транзакції'!$C$5:$C$3623,MATCH(A248,'📋 Транзакції'!$B$5:$B$3623,0))</f>
        <v>45519</v>
      </c>
      <c r="C248" s="35" t="str">
        <f t="shared" si="1"/>
        <v>2024-08</v>
      </c>
      <c r="D248" s="36">
        <f>COUNTIF('📋 Транзакції'!$B$5:$B$3623,A248)</f>
        <v>4</v>
      </c>
      <c r="E248" s="36">
        <f>SUMIF('📋 Транзакції'!$B$5:$B$3623,A248,'📋 Транзакції'!$F$5:$F$3623)</f>
        <v>59.97</v>
      </c>
      <c r="F248" s="35">
        <f>INT($A$1-MAXIFS('📋 Транзакції'!$C$5:$C$3623,'📋 Транзакції'!$B$5:$B$3623,A248))</f>
        <v>161</v>
      </c>
      <c r="G248" s="37">
        <f>IF(COUNTIFS('📋 Транзакції'!$B$5:$B$3623,A248,'📋 Транзакції'!$C$5:$C$3623,"&gt;="&amp;EDATE(DATEVALUE(C248&amp;"-01"),0),'📋 Транзакції'!$C$5:$C$3623,"&lt;"&amp;EDATE(DATEVALUE(C248&amp;"-01"),1))&gt;0,1,0)</f>
        <v>1</v>
      </c>
      <c r="H248" s="37">
        <f>IF(COUNTIFS('📋 Транзакції'!$B$5:$B$3623,A248,'📋 Транзакції'!$C$5:$C$3623,"&gt;="&amp;EDATE(DATEVALUE(C248&amp;"-01"),1),'📋 Транзакції'!$C$5:$C$3623,"&lt;"&amp;EDATE(DATEVALUE(C248&amp;"-01"),2))&gt;0,1,0)</f>
        <v>1</v>
      </c>
      <c r="I248" s="37">
        <f>IF(COUNTIFS('📋 Транзакції'!$B$5:$B$3623,A248,'📋 Транзакції'!$C$5:$C$3623,"&gt;="&amp;EDATE(DATEVALUE(C248&amp;"-01"),2),'📋 Транзакції'!$C$5:$C$3623,"&lt;"&amp;EDATE(DATEVALUE(C248&amp;"-01"),3))&gt;0,1,0)</f>
        <v>1</v>
      </c>
      <c r="J248" s="37">
        <f>IF(COUNTIFS('📋 Транзакції'!$B$5:$B$3623,A248,'📋 Транзакції'!$C$5:$C$3623,"&gt;="&amp;EDATE(DATEVALUE(C248&amp;"-01"),3),'📋 Транзакції'!$C$5:$C$3623,"&lt;"&amp;EDATE(DATEVALUE(C248&amp;"-01"),4))&gt;0,1,0)</f>
        <v>0</v>
      </c>
      <c r="K248" s="37">
        <f>IF(COUNTIFS('📋 Транзакції'!$B$5:$B$3623,A248,'📋 Транзакції'!$C$5:$C$3623,"&gt;="&amp;EDATE(DATEVALUE(C248&amp;"-01"),4),'📋 Транзакції'!$C$5:$C$3623,"&lt;"&amp;EDATE(DATEVALUE(C248&amp;"-01"),5))&gt;0,1,0)</f>
        <v>0</v>
      </c>
      <c r="L248" s="37">
        <f>IF(COUNTIFS('📋 Транзакції'!$B$5:$B$3623,A248,'📋 Транзакції'!$C$5:$C$3623,"&gt;="&amp;EDATE(DATEVALUE(C248&amp;"-01"),5),'📋 Транзакції'!$C$5:$C$3623,"&lt;"&amp;EDATE(DATEVALUE(C248&amp;"-01"),6))&gt;0,1,0)</f>
        <v>0</v>
      </c>
      <c r="M248" s="37">
        <f>IF(COUNTIFS('📋 Транзакції'!$B$5:$B$3623,A248,'📋 Транзакції'!$C$5:$C$3623,"&gt;="&amp;EDATE(DATEVALUE(C248&amp;"-01"),6),'📋 Транзакції'!$C$5:$C$3623,"&lt;"&amp;EDATE(DATEVALUE(C248&amp;"-01"),7))&gt;0,1,0)</f>
        <v>0</v>
      </c>
      <c r="N248" s="37">
        <f>IF(COUNTIFS('📋 Транзакції'!$B$5:$B$3623,A248,'📋 Транзакції'!$C$5:$C$3623,"&gt;="&amp;EDATE(DATEVALUE(C248&amp;"-01"),7),'📋 Транзакції'!$C$5:$C$3623,"&lt;"&amp;EDATE(DATEVALUE(C248&amp;"-01"),8))&gt;0,1,0)</f>
        <v>0</v>
      </c>
      <c r="O248" s="37">
        <f>IF(COUNTIFS('📋 Транзакції'!$B$5:$B$3623,A248,'📋 Транзакції'!$C$5:$C$3623,"&gt;="&amp;EDATE(DATEVALUE(C248&amp;"-01"),8),'📋 Транзакції'!$C$5:$C$3623,"&lt;"&amp;EDATE(DATEVALUE(C248&amp;"-01"),9))&gt;0,1,0)</f>
        <v>0</v>
      </c>
      <c r="P248" s="37">
        <f>IF(COUNTIFS('📋 Транзакції'!$B$5:$B$3623,A248,'📋 Транзакції'!$C$5:$C$3623,"&gt;="&amp;EDATE(DATEVALUE(C248&amp;"-01"),9),'📋 Транзакції'!$C$5:$C$3623,"&lt;"&amp;EDATE(DATEVALUE(C248&amp;"-01"),10))&gt;0,1,0)</f>
        <v>0</v>
      </c>
      <c r="Q248" s="37">
        <f>IF(COUNTIFS('📋 Транзакції'!$B$5:$B$3623,A248,'📋 Транзакції'!$C$5:$C$3623,"&gt;="&amp;EDATE(DATEVALUE(C248&amp;"-01"),10),'📋 Транзакції'!$C$5:$C$3623,"&lt;"&amp;EDATE(DATEVALUE(C248&amp;"-01"),11))&gt;0,1,0)</f>
        <v>0</v>
      </c>
      <c r="R248" s="37">
        <f>IF(COUNTIFS('📋 Транзакції'!$B$5:$B$3623,A248,'📋 Транзакції'!$C$5:$C$3623,"&gt;="&amp;EDATE(DATEVALUE(C248&amp;"-01"),11),'📋 Транзакції'!$C$5:$C$3623,"&lt;"&amp;EDATE(DATEVALUE(C248&amp;"-01"),12))&gt;0,1,0)</f>
        <v>0</v>
      </c>
      <c r="S248" s="37">
        <f>SUMIFS('📋 Транзакції'!$F$5:$F$3623,'📋 Транзакції'!$B$5:$B$3623,A248,'📋 Транзакції'!$C$5:$C$3623,"&gt;="&amp;EDATE(DATEVALUE(C248&amp;"-01"),0),'📋 Транзакції'!$C$5:$C$3623,"&lt;"&amp;EDATE(DATEVALUE(C248&amp;"-01"),1))</f>
        <v>19.99</v>
      </c>
      <c r="T248" s="37">
        <f>SUMIFS('📋 Транзакції'!$F$5:$F$3623,'📋 Транзакції'!$B$5:$B$3623,A248,'📋 Транзакції'!$C$5:$C$3623,"&gt;="&amp;EDATE(DATEVALUE(C248&amp;"-01"),1),'📋 Транзакції'!$C$5:$C$3623,"&lt;"&amp;EDATE(DATEVALUE(C248&amp;"-01"),2))</f>
        <v>19.99</v>
      </c>
      <c r="U248" s="37">
        <f>SUMIFS('📋 Транзакції'!$F$5:$F$3623,'📋 Транзакції'!$B$5:$B$3623,A248,'📋 Транзакції'!$C$5:$C$3623,"&gt;="&amp;EDATE(DATEVALUE(C248&amp;"-01"),2),'📋 Транзакції'!$C$5:$C$3623,"&lt;"&amp;EDATE(DATEVALUE(C248&amp;"-01"),3))</f>
        <v>19.99</v>
      </c>
      <c r="V248" s="37">
        <f>SUMIFS('📋 Транзакції'!$F$5:$F$3623,'📋 Транзакції'!$B$5:$B$3623,A248,'📋 Транзакції'!$C$5:$C$3623,"&gt;="&amp;EDATE(DATEVALUE(C248&amp;"-01"),3),'📋 Транзакції'!$C$5:$C$3623,"&lt;"&amp;EDATE(DATEVALUE(C248&amp;"-01"),4))</f>
        <v>0</v>
      </c>
      <c r="W248" s="37">
        <f>SUMIFS('📋 Транзакції'!$F$5:$F$3623,'📋 Транзакції'!$B$5:$B$3623,A248,'📋 Транзакції'!$C$5:$C$3623,"&gt;="&amp;EDATE(DATEVALUE(C248&amp;"-01"),4),'📋 Транзакції'!$C$5:$C$3623,"&lt;"&amp;EDATE(DATEVALUE(C248&amp;"-01"),5))</f>
        <v>0</v>
      </c>
      <c r="X248" s="37">
        <f>SUMIFS('📋 Транзакції'!$F$5:$F$3623,'📋 Транзакції'!$B$5:$B$3623,A248,'📋 Транзакції'!$C$5:$C$3623,"&gt;="&amp;EDATE(DATEVALUE(C248&amp;"-01"),5),'📋 Транзакції'!$C$5:$C$3623,"&lt;"&amp;EDATE(DATEVALUE(C248&amp;"-01"),6))</f>
        <v>0</v>
      </c>
      <c r="Y248" s="37">
        <f>SUMIFS('📋 Транзакції'!$F$5:$F$3623,'📋 Транзакції'!$B$5:$B$3623,A248,'📋 Транзакції'!$C$5:$C$3623,"&gt;="&amp;EDATE(DATEVALUE(C248&amp;"-01"),6),'📋 Транзакції'!$C$5:$C$3623,"&lt;"&amp;EDATE(DATEVALUE(C248&amp;"-01"),7))</f>
        <v>0</v>
      </c>
      <c r="Z248" s="37">
        <f>SUMIFS('📋 Транзакції'!$F$5:$F$3623,'📋 Транзакції'!$B$5:$B$3623,A248,'📋 Транзакції'!$C$5:$C$3623,"&gt;="&amp;EDATE(DATEVALUE(C248&amp;"-01"),7),'📋 Транзакції'!$C$5:$C$3623,"&lt;"&amp;EDATE(DATEVALUE(C248&amp;"-01"),8))</f>
        <v>0</v>
      </c>
      <c r="AA248" s="37">
        <f>SUMIFS('📋 Транзакції'!$F$5:$F$3623,'📋 Транзакції'!$B$5:$B$3623,A248,'📋 Транзакції'!$C$5:$C$3623,"&gt;="&amp;EDATE(DATEVALUE(C248&amp;"-01"),8),'📋 Транзакції'!$C$5:$C$3623,"&lt;"&amp;EDATE(DATEVALUE(C248&amp;"-01"),9))</f>
        <v>0</v>
      </c>
      <c r="AB248" s="37">
        <f>SUMIFS('📋 Транзакції'!$F$5:$F$3623,'📋 Транзакції'!$B$5:$B$3623,A248,'📋 Транзакції'!$C$5:$C$3623,"&gt;="&amp;EDATE(DATEVALUE(C248&amp;"-01"),9),'📋 Транзакції'!$C$5:$C$3623,"&lt;"&amp;EDATE(DATEVALUE(C248&amp;"-01"),10))</f>
        <v>0</v>
      </c>
      <c r="AC248" s="37">
        <f>SUMIFS('📋 Транзакції'!$F$5:$F$3623,'📋 Транзакції'!$B$5:$B$3623,A248,'📋 Транзакції'!$C$5:$C$3623,"&gt;="&amp;EDATE(DATEVALUE(C248&amp;"-01"),10),'📋 Транзакції'!$C$5:$C$3623,"&lt;"&amp;EDATE(DATEVALUE(C248&amp;"-01"),11))</f>
        <v>0</v>
      </c>
      <c r="AD248" s="37">
        <f>SUMIFS('📋 Транзакції'!$F$5:$F$3623,'📋 Транзакції'!$B$5:$B$3623,A248,'📋 Транзакції'!$C$5:$C$3623,"&gt;="&amp;EDATE(DATEVALUE(C248&amp;"-01"),11),'📋 Транзакції'!$C$5:$C$3623,"&lt;"&amp;EDATE(DATEVALUE(C248&amp;"-01"),12))</f>
        <v>0</v>
      </c>
    </row>
    <row r="249" ht="15.75" customHeight="1">
      <c r="A249" s="33" t="str">
        <f>'📋 Реєстрації'!A249:A850</f>
        <v>U0774</v>
      </c>
      <c r="B249" s="34">
        <f t="array" ref="B249">INDEX('📋 Транзакції'!$C$5:$C$3623,MATCH(A249,'📋 Транзакції'!$B$5:$B$3623,0))</f>
        <v>45519</v>
      </c>
      <c r="C249" s="35" t="str">
        <f t="shared" si="1"/>
        <v>2024-08</v>
      </c>
      <c r="D249" s="36">
        <f>COUNTIF('📋 Транзакції'!$B$5:$B$3623,A249)</f>
        <v>3</v>
      </c>
      <c r="E249" s="36">
        <f>SUMIF('📋 Транзакції'!$B$5:$B$3623,A249,'📋 Транзакції'!$F$5:$F$3623)</f>
        <v>39.98</v>
      </c>
      <c r="F249" s="35">
        <f>INT($A$1-MAXIFS('📋 Транзакції'!$C$5:$C$3623,'📋 Транзакції'!$B$5:$B$3623,A249))</f>
        <v>191</v>
      </c>
      <c r="G249" s="37">
        <f>IF(COUNTIFS('📋 Транзакції'!$B$5:$B$3623,A249,'📋 Транзакції'!$C$5:$C$3623,"&gt;="&amp;EDATE(DATEVALUE(C249&amp;"-01"),0),'📋 Транзакції'!$C$5:$C$3623,"&lt;"&amp;EDATE(DATEVALUE(C249&amp;"-01"),1))&gt;0,1,0)</f>
        <v>1</v>
      </c>
      <c r="H249" s="37">
        <f>IF(COUNTIFS('📋 Транзакції'!$B$5:$B$3623,A249,'📋 Транзакції'!$C$5:$C$3623,"&gt;="&amp;EDATE(DATEVALUE(C249&amp;"-01"),1),'📋 Транзакції'!$C$5:$C$3623,"&lt;"&amp;EDATE(DATEVALUE(C249&amp;"-01"),2))&gt;0,1,0)</f>
        <v>1</v>
      </c>
      <c r="I249" s="37">
        <f>IF(COUNTIFS('📋 Транзакції'!$B$5:$B$3623,A249,'📋 Транзакції'!$C$5:$C$3623,"&gt;="&amp;EDATE(DATEVALUE(C249&amp;"-01"),2),'📋 Транзакції'!$C$5:$C$3623,"&lt;"&amp;EDATE(DATEVALUE(C249&amp;"-01"),3))&gt;0,1,0)</f>
        <v>0</v>
      </c>
      <c r="J249" s="37">
        <f>IF(COUNTIFS('📋 Транзакції'!$B$5:$B$3623,A249,'📋 Транзакції'!$C$5:$C$3623,"&gt;="&amp;EDATE(DATEVALUE(C249&amp;"-01"),3),'📋 Транзакції'!$C$5:$C$3623,"&lt;"&amp;EDATE(DATEVALUE(C249&amp;"-01"),4))&gt;0,1,0)</f>
        <v>0</v>
      </c>
      <c r="K249" s="37">
        <f>IF(COUNTIFS('📋 Транзакції'!$B$5:$B$3623,A249,'📋 Транзакції'!$C$5:$C$3623,"&gt;="&amp;EDATE(DATEVALUE(C249&amp;"-01"),4),'📋 Транзакції'!$C$5:$C$3623,"&lt;"&amp;EDATE(DATEVALUE(C249&amp;"-01"),5))&gt;0,1,0)</f>
        <v>0</v>
      </c>
      <c r="L249" s="37">
        <f>IF(COUNTIFS('📋 Транзакції'!$B$5:$B$3623,A249,'📋 Транзакції'!$C$5:$C$3623,"&gt;="&amp;EDATE(DATEVALUE(C249&amp;"-01"),5),'📋 Транзакції'!$C$5:$C$3623,"&lt;"&amp;EDATE(DATEVALUE(C249&amp;"-01"),6))&gt;0,1,0)</f>
        <v>0</v>
      </c>
      <c r="M249" s="37">
        <f>IF(COUNTIFS('📋 Транзакції'!$B$5:$B$3623,A249,'📋 Транзакції'!$C$5:$C$3623,"&gt;="&amp;EDATE(DATEVALUE(C249&amp;"-01"),6),'📋 Транзакції'!$C$5:$C$3623,"&lt;"&amp;EDATE(DATEVALUE(C249&amp;"-01"),7))&gt;0,1,0)</f>
        <v>0</v>
      </c>
      <c r="N249" s="37">
        <f>IF(COUNTIFS('📋 Транзакції'!$B$5:$B$3623,A249,'📋 Транзакції'!$C$5:$C$3623,"&gt;="&amp;EDATE(DATEVALUE(C249&amp;"-01"),7),'📋 Транзакції'!$C$5:$C$3623,"&lt;"&amp;EDATE(DATEVALUE(C249&amp;"-01"),8))&gt;0,1,0)</f>
        <v>0</v>
      </c>
      <c r="O249" s="37">
        <f>IF(COUNTIFS('📋 Транзакції'!$B$5:$B$3623,A249,'📋 Транзакції'!$C$5:$C$3623,"&gt;="&amp;EDATE(DATEVALUE(C249&amp;"-01"),8),'📋 Транзакції'!$C$5:$C$3623,"&lt;"&amp;EDATE(DATEVALUE(C249&amp;"-01"),9))&gt;0,1,0)</f>
        <v>0</v>
      </c>
      <c r="P249" s="37">
        <f>IF(COUNTIFS('📋 Транзакції'!$B$5:$B$3623,A249,'📋 Транзакції'!$C$5:$C$3623,"&gt;="&amp;EDATE(DATEVALUE(C249&amp;"-01"),9),'📋 Транзакції'!$C$5:$C$3623,"&lt;"&amp;EDATE(DATEVALUE(C249&amp;"-01"),10))&gt;0,1,0)</f>
        <v>0</v>
      </c>
      <c r="Q249" s="37">
        <f>IF(COUNTIFS('📋 Транзакції'!$B$5:$B$3623,A249,'📋 Транзакції'!$C$5:$C$3623,"&gt;="&amp;EDATE(DATEVALUE(C249&amp;"-01"),10),'📋 Транзакції'!$C$5:$C$3623,"&lt;"&amp;EDATE(DATEVALUE(C249&amp;"-01"),11))&gt;0,1,0)</f>
        <v>0</v>
      </c>
      <c r="R249" s="37">
        <f>IF(COUNTIFS('📋 Транзакції'!$B$5:$B$3623,A249,'📋 Транзакції'!$C$5:$C$3623,"&gt;="&amp;EDATE(DATEVALUE(C249&amp;"-01"),11),'📋 Транзакції'!$C$5:$C$3623,"&lt;"&amp;EDATE(DATEVALUE(C249&amp;"-01"),12))&gt;0,1,0)</f>
        <v>0</v>
      </c>
      <c r="S249" s="37">
        <f>SUMIFS('📋 Транзакції'!$F$5:$F$3623,'📋 Транзакції'!$B$5:$B$3623,A249,'📋 Транзакції'!$C$5:$C$3623,"&gt;="&amp;EDATE(DATEVALUE(C249&amp;"-01"),0),'📋 Транзакції'!$C$5:$C$3623,"&lt;"&amp;EDATE(DATEVALUE(C249&amp;"-01"),1))</f>
        <v>19.99</v>
      </c>
      <c r="T249" s="37">
        <f>SUMIFS('📋 Транзакції'!$F$5:$F$3623,'📋 Транзакції'!$B$5:$B$3623,A249,'📋 Транзакції'!$C$5:$C$3623,"&gt;="&amp;EDATE(DATEVALUE(C249&amp;"-01"),1),'📋 Транзакції'!$C$5:$C$3623,"&lt;"&amp;EDATE(DATEVALUE(C249&amp;"-01"),2))</f>
        <v>19.99</v>
      </c>
      <c r="U249" s="37">
        <f>SUMIFS('📋 Транзакції'!$F$5:$F$3623,'📋 Транзакції'!$B$5:$B$3623,A249,'📋 Транзакції'!$C$5:$C$3623,"&gt;="&amp;EDATE(DATEVALUE(C249&amp;"-01"),2),'📋 Транзакції'!$C$5:$C$3623,"&lt;"&amp;EDATE(DATEVALUE(C249&amp;"-01"),3))</f>
        <v>0</v>
      </c>
      <c r="V249" s="37">
        <f>SUMIFS('📋 Транзакції'!$F$5:$F$3623,'📋 Транзакції'!$B$5:$B$3623,A249,'📋 Транзакції'!$C$5:$C$3623,"&gt;="&amp;EDATE(DATEVALUE(C249&amp;"-01"),3),'📋 Транзакції'!$C$5:$C$3623,"&lt;"&amp;EDATE(DATEVALUE(C249&amp;"-01"),4))</f>
        <v>0</v>
      </c>
      <c r="W249" s="37">
        <f>SUMIFS('📋 Транзакції'!$F$5:$F$3623,'📋 Транзакції'!$B$5:$B$3623,A249,'📋 Транзакції'!$C$5:$C$3623,"&gt;="&amp;EDATE(DATEVALUE(C249&amp;"-01"),4),'📋 Транзакції'!$C$5:$C$3623,"&lt;"&amp;EDATE(DATEVALUE(C249&amp;"-01"),5))</f>
        <v>0</v>
      </c>
      <c r="X249" s="37">
        <f>SUMIFS('📋 Транзакції'!$F$5:$F$3623,'📋 Транзакції'!$B$5:$B$3623,A249,'📋 Транзакції'!$C$5:$C$3623,"&gt;="&amp;EDATE(DATEVALUE(C249&amp;"-01"),5),'📋 Транзакції'!$C$5:$C$3623,"&lt;"&amp;EDATE(DATEVALUE(C249&amp;"-01"),6))</f>
        <v>0</v>
      </c>
      <c r="Y249" s="37">
        <f>SUMIFS('📋 Транзакції'!$F$5:$F$3623,'📋 Транзакції'!$B$5:$B$3623,A249,'📋 Транзакції'!$C$5:$C$3623,"&gt;="&amp;EDATE(DATEVALUE(C249&amp;"-01"),6),'📋 Транзакції'!$C$5:$C$3623,"&lt;"&amp;EDATE(DATEVALUE(C249&amp;"-01"),7))</f>
        <v>0</v>
      </c>
      <c r="Z249" s="37">
        <f>SUMIFS('📋 Транзакції'!$F$5:$F$3623,'📋 Транзакції'!$B$5:$B$3623,A249,'📋 Транзакції'!$C$5:$C$3623,"&gt;="&amp;EDATE(DATEVALUE(C249&amp;"-01"),7),'📋 Транзакції'!$C$5:$C$3623,"&lt;"&amp;EDATE(DATEVALUE(C249&amp;"-01"),8))</f>
        <v>0</v>
      </c>
      <c r="AA249" s="37">
        <f>SUMIFS('📋 Транзакції'!$F$5:$F$3623,'📋 Транзакції'!$B$5:$B$3623,A249,'📋 Транзакції'!$C$5:$C$3623,"&gt;="&amp;EDATE(DATEVALUE(C249&amp;"-01"),8),'📋 Транзакції'!$C$5:$C$3623,"&lt;"&amp;EDATE(DATEVALUE(C249&amp;"-01"),9))</f>
        <v>0</v>
      </c>
      <c r="AB249" s="37">
        <f>SUMIFS('📋 Транзакції'!$F$5:$F$3623,'📋 Транзакції'!$B$5:$B$3623,A249,'📋 Транзакції'!$C$5:$C$3623,"&gt;="&amp;EDATE(DATEVALUE(C249&amp;"-01"),9),'📋 Транзакції'!$C$5:$C$3623,"&lt;"&amp;EDATE(DATEVALUE(C249&amp;"-01"),10))</f>
        <v>0</v>
      </c>
      <c r="AC249" s="37">
        <f>SUMIFS('📋 Транзакції'!$F$5:$F$3623,'📋 Транзакції'!$B$5:$B$3623,A249,'📋 Транзакції'!$C$5:$C$3623,"&gt;="&amp;EDATE(DATEVALUE(C249&amp;"-01"),10),'📋 Транзакції'!$C$5:$C$3623,"&lt;"&amp;EDATE(DATEVALUE(C249&amp;"-01"),11))</f>
        <v>0</v>
      </c>
      <c r="AD249" s="37">
        <f>SUMIFS('📋 Транзакції'!$F$5:$F$3623,'📋 Транзакції'!$B$5:$B$3623,A249,'📋 Транзакції'!$C$5:$C$3623,"&gt;="&amp;EDATE(DATEVALUE(C249&amp;"-01"),11),'📋 Транзакції'!$C$5:$C$3623,"&lt;"&amp;EDATE(DATEVALUE(C249&amp;"-01"),12))</f>
        <v>0</v>
      </c>
    </row>
    <row r="250" ht="15.75" customHeight="1">
      <c r="A250" s="33" t="str">
        <f>'📋 Реєстрації'!A250:A851</f>
        <v>U0517</v>
      </c>
      <c r="B250" s="34">
        <f t="array" ref="B250">INDEX('📋 Транзакції'!$C$5:$C$3623,MATCH(A250,'📋 Транзакції'!$B$5:$B$3623,0))</f>
        <v>45520</v>
      </c>
      <c r="C250" s="35" t="str">
        <f t="shared" si="1"/>
        <v>2024-08</v>
      </c>
      <c r="D250" s="36">
        <f>COUNTIF('📋 Транзакції'!$B$5:$B$3623,A250)</f>
        <v>5</v>
      </c>
      <c r="E250" s="36">
        <f>SUMIF('📋 Транзакції'!$B$5:$B$3623,A250,'📋 Транзакції'!$F$5:$F$3623)</f>
        <v>79.96</v>
      </c>
      <c r="F250" s="35">
        <f>INT($A$1-MAXIFS('📋 Транзакції'!$C$5:$C$3623,'📋 Транзакції'!$B$5:$B$3623,A250))</f>
        <v>130</v>
      </c>
      <c r="G250" s="37">
        <f>IF(COUNTIFS('📋 Транзакції'!$B$5:$B$3623,A250,'📋 Транзакції'!$C$5:$C$3623,"&gt;="&amp;EDATE(DATEVALUE(C250&amp;"-01"),0),'📋 Транзакції'!$C$5:$C$3623,"&lt;"&amp;EDATE(DATEVALUE(C250&amp;"-01"),1))&gt;0,1,0)</f>
        <v>1</v>
      </c>
      <c r="H250" s="37">
        <f>IF(COUNTIFS('📋 Транзакції'!$B$5:$B$3623,A250,'📋 Транзакції'!$C$5:$C$3623,"&gt;="&amp;EDATE(DATEVALUE(C250&amp;"-01"),1),'📋 Транзакції'!$C$5:$C$3623,"&lt;"&amp;EDATE(DATEVALUE(C250&amp;"-01"),2))&gt;0,1,0)</f>
        <v>1</v>
      </c>
      <c r="I250" s="37">
        <f>IF(COUNTIFS('📋 Транзакції'!$B$5:$B$3623,A250,'📋 Транзакції'!$C$5:$C$3623,"&gt;="&amp;EDATE(DATEVALUE(C250&amp;"-01"),2),'📋 Транзакції'!$C$5:$C$3623,"&lt;"&amp;EDATE(DATEVALUE(C250&amp;"-01"),3))&gt;0,1,0)</f>
        <v>1</v>
      </c>
      <c r="J250" s="37">
        <f>IF(COUNTIFS('📋 Транзакції'!$B$5:$B$3623,A250,'📋 Транзакції'!$C$5:$C$3623,"&gt;="&amp;EDATE(DATEVALUE(C250&amp;"-01"),3),'📋 Транзакції'!$C$5:$C$3623,"&lt;"&amp;EDATE(DATEVALUE(C250&amp;"-01"),4))&gt;0,1,0)</f>
        <v>1</v>
      </c>
      <c r="K250" s="37">
        <f>IF(COUNTIFS('📋 Транзакції'!$B$5:$B$3623,A250,'📋 Транзакції'!$C$5:$C$3623,"&gt;="&amp;EDATE(DATEVALUE(C250&amp;"-01"),4),'📋 Транзакції'!$C$5:$C$3623,"&lt;"&amp;EDATE(DATEVALUE(C250&amp;"-01"),5))&gt;0,1,0)</f>
        <v>0</v>
      </c>
      <c r="L250" s="37">
        <f>IF(COUNTIFS('📋 Транзакції'!$B$5:$B$3623,A250,'📋 Транзакції'!$C$5:$C$3623,"&gt;="&amp;EDATE(DATEVALUE(C250&amp;"-01"),5),'📋 Транзакції'!$C$5:$C$3623,"&lt;"&amp;EDATE(DATEVALUE(C250&amp;"-01"),6))&gt;0,1,0)</f>
        <v>0</v>
      </c>
      <c r="M250" s="37">
        <f>IF(COUNTIFS('📋 Транзакції'!$B$5:$B$3623,A250,'📋 Транзакції'!$C$5:$C$3623,"&gt;="&amp;EDATE(DATEVALUE(C250&amp;"-01"),6),'📋 Транзакції'!$C$5:$C$3623,"&lt;"&amp;EDATE(DATEVALUE(C250&amp;"-01"),7))&gt;0,1,0)</f>
        <v>0</v>
      </c>
      <c r="N250" s="37">
        <f>IF(COUNTIFS('📋 Транзакції'!$B$5:$B$3623,A250,'📋 Транзакції'!$C$5:$C$3623,"&gt;="&amp;EDATE(DATEVALUE(C250&amp;"-01"),7),'📋 Транзакції'!$C$5:$C$3623,"&lt;"&amp;EDATE(DATEVALUE(C250&amp;"-01"),8))&gt;0,1,0)</f>
        <v>0</v>
      </c>
      <c r="O250" s="37">
        <f>IF(COUNTIFS('📋 Транзакції'!$B$5:$B$3623,A250,'📋 Транзакції'!$C$5:$C$3623,"&gt;="&amp;EDATE(DATEVALUE(C250&amp;"-01"),8),'📋 Транзакції'!$C$5:$C$3623,"&lt;"&amp;EDATE(DATEVALUE(C250&amp;"-01"),9))&gt;0,1,0)</f>
        <v>0</v>
      </c>
      <c r="P250" s="37">
        <f>IF(COUNTIFS('📋 Транзакції'!$B$5:$B$3623,A250,'📋 Транзакції'!$C$5:$C$3623,"&gt;="&amp;EDATE(DATEVALUE(C250&amp;"-01"),9),'📋 Транзакції'!$C$5:$C$3623,"&lt;"&amp;EDATE(DATEVALUE(C250&amp;"-01"),10))&gt;0,1,0)</f>
        <v>0</v>
      </c>
      <c r="Q250" s="37">
        <f>IF(COUNTIFS('📋 Транзакції'!$B$5:$B$3623,A250,'📋 Транзакції'!$C$5:$C$3623,"&gt;="&amp;EDATE(DATEVALUE(C250&amp;"-01"),10),'📋 Транзакції'!$C$5:$C$3623,"&lt;"&amp;EDATE(DATEVALUE(C250&amp;"-01"),11))&gt;0,1,0)</f>
        <v>0</v>
      </c>
      <c r="R250" s="37">
        <f>IF(COUNTIFS('📋 Транзакції'!$B$5:$B$3623,A250,'📋 Транзакції'!$C$5:$C$3623,"&gt;="&amp;EDATE(DATEVALUE(C250&amp;"-01"),11),'📋 Транзакції'!$C$5:$C$3623,"&lt;"&amp;EDATE(DATEVALUE(C250&amp;"-01"),12))&gt;0,1,0)</f>
        <v>0</v>
      </c>
      <c r="S250" s="37">
        <f>SUMIFS('📋 Транзакції'!$F$5:$F$3623,'📋 Транзакції'!$B$5:$B$3623,A250,'📋 Транзакції'!$C$5:$C$3623,"&gt;="&amp;EDATE(DATEVALUE(C250&amp;"-01"),0),'📋 Транзакції'!$C$5:$C$3623,"&lt;"&amp;EDATE(DATEVALUE(C250&amp;"-01"),1))</f>
        <v>19.99</v>
      </c>
      <c r="T250" s="37">
        <f>SUMIFS('📋 Транзакції'!$F$5:$F$3623,'📋 Транзакції'!$B$5:$B$3623,A250,'📋 Транзакції'!$C$5:$C$3623,"&gt;="&amp;EDATE(DATEVALUE(C250&amp;"-01"),1),'📋 Транзакції'!$C$5:$C$3623,"&lt;"&amp;EDATE(DATEVALUE(C250&amp;"-01"),2))</f>
        <v>19.99</v>
      </c>
      <c r="U250" s="37">
        <f>SUMIFS('📋 Транзакції'!$F$5:$F$3623,'📋 Транзакції'!$B$5:$B$3623,A250,'📋 Транзакції'!$C$5:$C$3623,"&gt;="&amp;EDATE(DATEVALUE(C250&amp;"-01"),2),'📋 Транзакції'!$C$5:$C$3623,"&lt;"&amp;EDATE(DATEVALUE(C250&amp;"-01"),3))</f>
        <v>19.99</v>
      </c>
      <c r="V250" s="37">
        <f>SUMIFS('📋 Транзакції'!$F$5:$F$3623,'📋 Транзакції'!$B$5:$B$3623,A250,'📋 Транзакції'!$C$5:$C$3623,"&gt;="&amp;EDATE(DATEVALUE(C250&amp;"-01"),3),'📋 Транзакції'!$C$5:$C$3623,"&lt;"&amp;EDATE(DATEVALUE(C250&amp;"-01"),4))</f>
        <v>19.99</v>
      </c>
      <c r="W250" s="37">
        <f>SUMIFS('📋 Транзакції'!$F$5:$F$3623,'📋 Транзакції'!$B$5:$B$3623,A250,'📋 Транзакції'!$C$5:$C$3623,"&gt;="&amp;EDATE(DATEVALUE(C250&amp;"-01"),4),'📋 Транзакції'!$C$5:$C$3623,"&lt;"&amp;EDATE(DATEVALUE(C250&amp;"-01"),5))</f>
        <v>0</v>
      </c>
      <c r="X250" s="37">
        <f>SUMIFS('📋 Транзакції'!$F$5:$F$3623,'📋 Транзакції'!$B$5:$B$3623,A250,'📋 Транзакції'!$C$5:$C$3623,"&gt;="&amp;EDATE(DATEVALUE(C250&amp;"-01"),5),'📋 Транзакції'!$C$5:$C$3623,"&lt;"&amp;EDATE(DATEVALUE(C250&amp;"-01"),6))</f>
        <v>0</v>
      </c>
      <c r="Y250" s="37">
        <f>SUMIFS('📋 Транзакції'!$F$5:$F$3623,'📋 Транзакції'!$B$5:$B$3623,A250,'📋 Транзакції'!$C$5:$C$3623,"&gt;="&amp;EDATE(DATEVALUE(C250&amp;"-01"),6),'📋 Транзакції'!$C$5:$C$3623,"&lt;"&amp;EDATE(DATEVALUE(C250&amp;"-01"),7))</f>
        <v>0</v>
      </c>
      <c r="Z250" s="37">
        <f>SUMIFS('📋 Транзакції'!$F$5:$F$3623,'📋 Транзакції'!$B$5:$B$3623,A250,'📋 Транзакції'!$C$5:$C$3623,"&gt;="&amp;EDATE(DATEVALUE(C250&amp;"-01"),7),'📋 Транзакції'!$C$5:$C$3623,"&lt;"&amp;EDATE(DATEVALUE(C250&amp;"-01"),8))</f>
        <v>0</v>
      </c>
      <c r="AA250" s="37">
        <f>SUMIFS('📋 Транзакції'!$F$5:$F$3623,'📋 Транзакції'!$B$5:$B$3623,A250,'📋 Транзакції'!$C$5:$C$3623,"&gt;="&amp;EDATE(DATEVALUE(C250&amp;"-01"),8),'📋 Транзакції'!$C$5:$C$3623,"&lt;"&amp;EDATE(DATEVALUE(C250&amp;"-01"),9))</f>
        <v>0</v>
      </c>
      <c r="AB250" s="37">
        <f>SUMIFS('📋 Транзакції'!$F$5:$F$3623,'📋 Транзакції'!$B$5:$B$3623,A250,'📋 Транзакції'!$C$5:$C$3623,"&gt;="&amp;EDATE(DATEVALUE(C250&amp;"-01"),9),'📋 Транзакції'!$C$5:$C$3623,"&lt;"&amp;EDATE(DATEVALUE(C250&amp;"-01"),10))</f>
        <v>0</v>
      </c>
      <c r="AC250" s="37">
        <f>SUMIFS('📋 Транзакції'!$F$5:$F$3623,'📋 Транзакції'!$B$5:$B$3623,A250,'📋 Транзакції'!$C$5:$C$3623,"&gt;="&amp;EDATE(DATEVALUE(C250&amp;"-01"),10),'📋 Транзакції'!$C$5:$C$3623,"&lt;"&amp;EDATE(DATEVALUE(C250&amp;"-01"),11))</f>
        <v>0</v>
      </c>
      <c r="AD250" s="37">
        <f>SUMIFS('📋 Транзакції'!$F$5:$F$3623,'📋 Транзакції'!$B$5:$B$3623,A250,'📋 Транзакції'!$C$5:$C$3623,"&gt;="&amp;EDATE(DATEVALUE(C250&amp;"-01"),11),'📋 Транзакції'!$C$5:$C$3623,"&lt;"&amp;EDATE(DATEVALUE(C250&amp;"-01"),12))</f>
        <v>0</v>
      </c>
    </row>
    <row r="251" ht="15.75" customHeight="1">
      <c r="A251" s="33" t="str">
        <f>'📋 Реєстрації'!A251:A852</f>
        <v>U0079</v>
      </c>
      <c r="B251" s="34">
        <f t="array" ref="B251">INDEX('📋 Транзакції'!$C$5:$C$3623,MATCH(A251,'📋 Транзакції'!$B$5:$B$3623,0))</f>
        <v>45521</v>
      </c>
      <c r="C251" s="35" t="str">
        <f t="shared" si="1"/>
        <v>2024-08</v>
      </c>
      <c r="D251" s="36">
        <f>COUNTIF('📋 Транзакції'!$B$5:$B$3623,A251)</f>
        <v>9</v>
      </c>
      <c r="E251" s="36">
        <f>SUMIF('📋 Транзакції'!$B$5:$B$3623,A251,'📋 Транзакції'!$F$5:$F$3623)</f>
        <v>159.92</v>
      </c>
      <c r="F251" s="35">
        <f>INT($A$1-MAXIFS('📋 Транзакції'!$C$5:$C$3623,'📋 Транзакції'!$B$5:$B$3623,A251))</f>
        <v>9</v>
      </c>
      <c r="G251" s="37">
        <f>IF(COUNTIFS('📋 Транзакції'!$B$5:$B$3623,A251,'📋 Транзакції'!$C$5:$C$3623,"&gt;="&amp;EDATE(DATEVALUE(C251&amp;"-01"),0),'📋 Транзакції'!$C$5:$C$3623,"&lt;"&amp;EDATE(DATEVALUE(C251&amp;"-01"),1))&gt;0,1,0)</f>
        <v>1</v>
      </c>
      <c r="H251" s="37">
        <f>IF(COUNTIFS('📋 Транзакції'!$B$5:$B$3623,A251,'📋 Транзакції'!$C$5:$C$3623,"&gt;="&amp;EDATE(DATEVALUE(C251&amp;"-01"),1),'📋 Транзакції'!$C$5:$C$3623,"&lt;"&amp;EDATE(DATEVALUE(C251&amp;"-01"),2))&gt;0,1,0)</f>
        <v>1</v>
      </c>
      <c r="I251" s="37">
        <f>IF(COUNTIFS('📋 Транзакції'!$B$5:$B$3623,A251,'📋 Транзакції'!$C$5:$C$3623,"&gt;="&amp;EDATE(DATEVALUE(C251&amp;"-01"),2),'📋 Транзакції'!$C$5:$C$3623,"&lt;"&amp;EDATE(DATEVALUE(C251&amp;"-01"),3))&gt;0,1,0)</f>
        <v>1</v>
      </c>
      <c r="J251" s="37">
        <f>IF(COUNTIFS('📋 Транзакції'!$B$5:$B$3623,A251,'📋 Транзакції'!$C$5:$C$3623,"&gt;="&amp;EDATE(DATEVALUE(C251&amp;"-01"),3),'📋 Транзакції'!$C$5:$C$3623,"&lt;"&amp;EDATE(DATEVALUE(C251&amp;"-01"),4))&gt;0,1,0)</f>
        <v>1</v>
      </c>
      <c r="K251" s="37">
        <f>IF(COUNTIFS('📋 Транзакції'!$B$5:$B$3623,A251,'📋 Транзакції'!$C$5:$C$3623,"&gt;="&amp;EDATE(DATEVALUE(C251&amp;"-01"),4),'📋 Транзакції'!$C$5:$C$3623,"&lt;"&amp;EDATE(DATEVALUE(C251&amp;"-01"),5))&gt;0,1,0)</f>
        <v>1</v>
      </c>
      <c r="L251" s="37">
        <f>IF(COUNTIFS('📋 Транзакції'!$B$5:$B$3623,A251,'📋 Транзакції'!$C$5:$C$3623,"&gt;="&amp;EDATE(DATEVALUE(C251&amp;"-01"),5),'📋 Транзакції'!$C$5:$C$3623,"&lt;"&amp;EDATE(DATEVALUE(C251&amp;"-01"),6))&gt;0,1,0)</f>
        <v>1</v>
      </c>
      <c r="M251" s="37">
        <f>IF(COUNTIFS('📋 Транзакції'!$B$5:$B$3623,A251,'📋 Транзакції'!$C$5:$C$3623,"&gt;="&amp;EDATE(DATEVALUE(C251&amp;"-01"),6),'📋 Транзакції'!$C$5:$C$3623,"&lt;"&amp;EDATE(DATEVALUE(C251&amp;"-01"),7))&gt;0,1,0)</f>
        <v>1</v>
      </c>
      <c r="N251" s="37">
        <f>IF(COUNTIFS('📋 Транзакції'!$B$5:$B$3623,A251,'📋 Транзакції'!$C$5:$C$3623,"&gt;="&amp;EDATE(DATEVALUE(C251&amp;"-01"),7),'📋 Транзакції'!$C$5:$C$3623,"&lt;"&amp;EDATE(DATEVALUE(C251&amp;"-01"),8))&gt;0,1,0)</f>
        <v>1</v>
      </c>
      <c r="O251" s="37">
        <f>IF(COUNTIFS('📋 Транзакції'!$B$5:$B$3623,A251,'📋 Транзакції'!$C$5:$C$3623,"&gt;="&amp;EDATE(DATEVALUE(C251&amp;"-01"),8),'📋 Транзакції'!$C$5:$C$3623,"&lt;"&amp;EDATE(DATEVALUE(C251&amp;"-01"),9))&gt;0,1,0)</f>
        <v>0</v>
      </c>
      <c r="P251" s="37">
        <f>IF(COUNTIFS('📋 Транзакції'!$B$5:$B$3623,A251,'📋 Транзакції'!$C$5:$C$3623,"&gt;="&amp;EDATE(DATEVALUE(C251&amp;"-01"),9),'📋 Транзакції'!$C$5:$C$3623,"&lt;"&amp;EDATE(DATEVALUE(C251&amp;"-01"),10))&gt;0,1,0)</f>
        <v>0</v>
      </c>
      <c r="Q251" s="37">
        <f>IF(COUNTIFS('📋 Транзакції'!$B$5:$B$3623,A251,'📋 Транзакції'!$C$5:$C$3623,"&gt;="&amp;EDATE(DATEVALUE(C251&amp;"-01"),10),'📋 Транзакції'!$C$5:$C$3623,"&lt;"&amp;EDATE(DATEVALUE(C251&amp;"-01"),11))&gt;0,1,0)</f>
        <v>0</v>
      </c>
      <c r="R251" s="37">
        <f>IF(COUNTIFS('📋 Транзакції'!$B$5:$B$3623,A251,'📋 Транзакції'!$C$5:$C$3623,"&gt;="&amp;EDATE(DATEVALUE(C251&amp;"-01"),11),'📋 Транзакції'!$C$5:$C$3623,"&lt;"&amp;EDATE(DATEVALUE(C251&amp;"-01"),12))&gt;0,1,0)</f>
        <v>0</v>
      </c>
      <c r="S251" s="37">
        <f>SUMIFS('📋 Транзакції'!$F$5:$F$3623,'📋 Транзакції'!$B$5:$B$3623,A251,'📋 Транзакції'!$C$5:$C$3623,"&gt;="&amp;EDATE(DATEVALUE(C251&amp;"-01"),0),'📋 Транзакції'!$C$5:$C$3623,"&lt;"&amp;EDATE(DATEVALUE(C251&amp;"-01"),1))</f>
        <v>19.99</v>
      </c>
      <c r="T251" s="37">
        <f>SUMIFS('📋 Транзакції'!$F$5:$F$3623,'📋 Транзакції'!$B$5:$B$3623,A251,'📋 Транзакції'!$C$5:$C$3623,"&gt;="&amp;EDATE(DATEVALUE(C251&amp;"-01"),1),'📋 Транзакції'!$C$5:$C$3623,"&lt;"&amp;EDATE(DATEVALUE(C251&amp;"-01"),2))</f>
        <v>19.99</v>
      </c>
      <c r="U251" s="37">
        <f>SUMIFS('📋 Транзакції'!$F$5:$F$3623,'📋 Транзакції'!$B$5:$B$3623,A251,'📋 Транзакції'!$C$5:$C$3623,"&gt;="&amp;EDATE(DATEVALUE(C251&amp;"-01"),2),'📋 Транзакції'!$C$5:$C$3623,"&lt;"&amp;EDATE(DATEVALUE(C251&amp;"-01"),3))</f>
        <v>19.99</v>
      </c>
      <c r="V251" s="37">
        <f>SUMIFS('📋 Транзакції'!$F$5:$F$3623,'📋 Транзакції'!$B$5:$B$3623,A251,'📋 Транзакції'!$C$5:$C$3623,"&gt;="&amp;EDATE(DATEVALUE(C251&amp;"-01"),3),'📋 Транзакції'!$C$5:$C$3623,"&lt;"&amp;EDATE(DATEVALUE(C251&amp;"-01"),4))</f>
        <v>19.99</v>
      </c>
      <c r="W251" s="37">
        <f>SUMIFS('📋 Транзакції'!$F$5:$F$3623,'📋 Транзакції'!$B$5:$B$3623,A251,'📋 Транзакції'!$C$5:$C$3623,"&gt;="&amp;EDATE(DATEVALUE(C251&amp;"-01"),4),'📋 Транзакції'!$C$5:$C$3623,"&lt;"&amp;EDATE(DATEVALUE(C251&amp;"-01"),5))</f>
        <v>19.99</v>
      </c>
      <c r="X251" s="37">
        <f>SUMIFS('📋 Транзакції'!$F$5:$F$3623,'📋 Транзакції'!$B$5:$B$3623,A251,'📋 Транзакції'!$C$5:$C$3623,"&gt;="&amp;EDATE(DATEVALUE(C251&amp;"-01"),5),'📋 Транзакції'!$C$5:$C$3623,"&lt;"&amp;EDATE(DATEVALUE(C251&amp;"-01"),6))</f>
        <v>19.99</v>
      </c>
      <c r="Y251" s="37">
        <f>SUMIFS('📋 Транзакції'!$F$5:$F$3623,'📋 Транзакції'!$B$5:$B$3623,A251,'📋 Транзакції'!$C$5:$C$3623,"&gt;="&amp;EDATE(DATEVALUE(C251&amp;"-01"),6),'📋 Транзакції'!$C$5:$C$3623,"&lt;"&amp;EDATE(DATEVALUE(C251&amp;"-01"),7))</f>
        <v>19.99</v>
      </c>
      <c r="Z251" s="37">
        <f>SUMIFS('📋 Транзакції'!$F$5:$F$3623,'📋 Транзакції'!$B$5:$B$3623,A251,'📋 Транзакції'!$C$5:$C$3623,"&gt;="&amp;EDATE(DATEVALUE(C251&amp;"-01"),7),'📋 Транзакції'!$C$5:$C$3623,"&lt;"&amp;EDATE(DATEVALUE(C251&amp;"-01"),8))</f>
        <v>19.99</v>
      </c>
      <c r="AA251" s="37">
        <f>SUMIFS('📋 Транзакції'!$F$5:$F$3623,'📋 Транзакції'!$B$5:$B$3623,A251,'📋 Транзакції'!$C$5:$C$3623,"&gt;="&amp;EDATE(DATEVALUE(C251&amp;"-01"),8),'📋 Транзакції'!$C$5:$C$3623,"&lt;"&amp;EDATE(DATEVALUE(C251&amp;"-01"),9))</f>
        <v>0</v>
      </c>
      <c r="AB251" s="37">
        <f>SUMIFS('📋 Транзакції'!$F$5:$F$3623,'📋 Транзакції'!$B$5:$B$3623,A251,'📋 Транзакції'!$C$5:$C$3623,"&gt;="&amp;EDATE(DATEVALUE(C251&amp;"-01"),9),'📋 Транзакції'!$C$5:$C$3623,"&lt;"&amp;EDATE(DATEVALUE(C251&amp;"-01"),10))</f>
        <v>0</v>
      </c>
      <c r="AC251" s="37">
        <f>SUMIFS('📋 Транзакції'!$F$5:$F$3623,'📋 Транзакції'!$B$5:$B$3623,A251,'📋 Транзакції'!$C$5:$C$3623,"&gt;="&amp;EDATE(DATEVALUE(C251&amp;"-01"),10),'📋 Транзакції'!$C$5:$C$3623,"&lt;"&amp;EDATE(DATEVALUE(C251&amp;"-01"),11))</f>
        <v>0</v>
      </c>
      <c r="AD251" s="37">
        <f>SUMIFS('📋 Транзакції'!$F$5:$F$3623,'📋 Транзакції'!$B$5:$B$3623,A251,'📋 Транзакції'!$C$5:$C$3623,"&gt;="&amp;EDATE(DATEVALUE(C251&amp;"-01"),11),'📋 Транзакції'!$C$5:$C$3623,"&lt;"&amp;EDATE(DATEVALUE(C251&amp;"-01"),12))</f>
        <v>0</v>
      </c>
    </row>
    <row r="252" ht="15.75" customHeight="1">
      <c r="A252" s="33" t="str">
        <f>'📋 Реєстрації'!A252:A853</f>
        <v>U0754</v>
      </c>
      <c r="B252" s="34">
        <f t="array" ref="B252">INDEX('📋 Транзакції'!$C$5:$C$3623,MATCH(A252,'📋 Транзакції'!$B$5:$B$3623,0))</f>
        <v>45521</v>
      </c>
      <c r="C252" s="35" t="str">
        <f t="shared" si="1"/>
        <v>2024-08</v>
      </c>
      <c r="D252" s="36">
        <f>COUNTIF('📋 Транзакції'!$B$5:$B$3623,A252)</f>
        <v>2</v>
      </c>
      <c r="E252" s="36">
        <f>SUMIF('📋 Транзакції'!$B$5:$B$3623,A252,'📋 Транзакції'!$F$5:$F$3623)</f>
        <v>19.99</v>
      </c>
      <c r="F252" s="35">
        <f>INT($A$1-MAXIFS('📋 Транзакції'!$C$5:$C$3623,'📋 Транзакції'!$B$5:$B$3623,A252))</f>
        <v>219</v>
      </c>
      <c r="G252" s="37">
        <f>IF(COUNTIFS('📋 Транзакції'!$B$5:$B$3623,A252,'📋 Транзакції'!$C$5:$C$3623,"&gt;="&amp;EDATE(DATEVALUE(C252&amp;"-01"),0),'📋 Транзакції'!$C$5:$C$3623,"&lt;"&amp;EDATE(DATEVALUE(C252&amp;"-01"),1))&gt;0,1,0)</f>
        <v>1</v>
      </c>
      <c r="H252" s="37">
        <f>IF(COUNTIFS('📋 Транзакції'!$B$5:$B$3623,A252,'📋 Транзакції'!$C$5:$C$3623,"&gt;="&amp;EDATE(DATEVALUE(C252&amp;"-01"),1),'📋 Транзакції'!$C$5:$C$3623,"&lt;"&amp;EDATE(DATEVALUE(C252&amp;"-01"),2))&gt;0,1,0)</f>
        <v>0</v>
      </c>
      <c r="I252" s="37">
        <f>IF(COUNTIFS('📋 Транзакції'!$B$5:$B$3623,A252,'📋 Транзакції'!$C$5:$C$3623,"&gt;="&amp;EDATE(DATEVALUE(C252&amp;"-01"),2),'📋 Транзакції'!$C$5:$C$3623,"&lt;"&amp;EDATE(DATEVALUE(C252&amp;"-01"),3))&gt;0,1,0)</f>
        <v>0</v>
      </c>
      <c r="J252" s="37">
        <f>IF(COUNTIFS('📋 Транзакції'!$B$5:$B$3623,A252,'📋 Транзакції'!$C$5:$C$3623,"&gt;="&amp;EDATE(DATEVALUE(C252&amp;"-01"),3),'📋 Транзакції'!$C$5:$C$3623,"&lt;"&amp;EDATE(DATEVALUE(C252&amp;"-01"),4))&gt;0,1,0)</f>
        <v>0</v>
      </c>
      <c r="K252" s="37">
        <f>IF(COUNTIFS('📋 Транзакції'!$B$5:$B$3623,A252,'📋 Транзакції'!$C$5:$C$3623,"&gt;="&amp;EDATE(DATEVALUE(C252&amp;"-01"),4),'📋 Транзакції'!$C$5:$C$3623,"&lt;"&amp;EDATE(DATEVALUE(C252&amp;"-01"),5))&gt;0,1,0)</f>
        <v>0</v>
      </c>
      <c r="L252" s="37">
        <f>IF(COUNTIFS('📋 Транзакції'!$B$5:$B$3623,A252,'📋 Транзакції'!$C$5:$C$3623,"&gt;="&amp;EDATE(DATEVALUE(C252&amp;"-01"),5),'📋 Транзакції'!$C$5:$C$3623,"&lt;"&amp;EDATE(DATEVALUE(C252&amp;"-01"),6))&gt;0,1,0)</f>
        <v>0</v>
      </c>
      <c r="M252" s="37">
        <f>IF(COUNTIFS('📋 Транзакції'!$B$5:$B$3623,A252,'📋 Транзакції'!$C$5:$C$3623,"&gt;="&amp;EDATE(DATEVALUE(C252&amp;"-01"),6),'📋 Транзакції'!$C$5:$C$3623,"&lt;"&amp;EDATE(DATEVALUE(C252&amp;"-01"),7))&gt;0,1,0)</f>
        <v>0</v>
      </c>
      <c r="N252" s="37">
        <f>IF(COUNTIFS('📋 Транзакції'!$B$5:$B$3623,A252,'📋 Транзакції'!$C$5:$C$3623,"&gt;="&amp;EDATE(DATEVALUE(C252&amp;"-01"),7),'📋 Транзакції'!$C$5:$C$3623,"&lt;"&amp;EDATE(DATEVALUE(C252&amp;"-01"),8))&gt;0,1,0)</f>
        <v>0</v>
      </c>
      <c r="O252" s="37">
        <f>IF(COUNTIFS('📋 Транзакції'!$B$5:$B$3623,A252,'📋 Транзакції'!$C$5:$C$3623,"&gt;="&amp;EDATE(DATEVALUE(C252&amp;"-01"),8),'📋 Транзакції'!$C$5:$C$3623,"&lt;"&amp;EDATE(DATEVALUE(C252&amp;"-01"),9))&gt;0,1,0)</f>
        <v>0</v>
      </c>
      <c r="P252" s="37">
        <f>IF(COUNTIFS('📋 Транзакції'!$B$5:$B$3623,A252,'📋 Транзакції'!$C$5:$C$3623,"&gt;="&amp;EDATE(DATEVALUE(C252&amp;"-01"),9),'📋 Транзакції'!$C$5:$C$3623,"&lt;"&amp;EDATE(DATEVALUE(C252&amp;"-01"),10))&gt;0,1,0)</f>
        <v>0</v>
      </c>
      <c r="Q252" s="37">
        <f>IF(COUNTIFS('📋 Транзакції'!$B$5:$B$3623,A252,'📋 Транзакції'!$C$5:$C$3623,"&gt;="&amp;EDATE(DATEVALUE(C252&amp;"-01"),10),'📋 Транзакції'!$C$5:$C$3623,"&lt;"&amp;EDATE(DATEVALUE(C252&amp;"-01"),11))&gt;0,1,0)</f>
        <v>0</v>
      </c>
      <c r="R252" s="37">
        <f>IF(COUNTIFS('📋 Транзакції'!$B$5:$B$3623,A252,'📋 Транзакції'!$C$5:$C$3623,"&gt;="&amp;EDATE(DATEVALUE(C252&amp;"-01"),11),'📋 Транзакції'!$C$5:$C$3623,"&lt;"&amp;EDATE(DATEVALUE(C252&amp;"-01"),12))&gt;0,1,0)</f>
        <v>0</v>
      </c>
      <c r="S252" s="37">
        <f>SUMIFS('📋 Транзакції'!$F$5:$F$3623,'📋 Транзакції'!$B$5:$B$3623,A252,'📋 Транзакції'!$C$5:$C$3623,"&gt;="&amp;EDATE(DATEVALUE(C252&amp;"-01"),0),'📋 Транзакції'!$C$5:$C$3623,"&lt;"&amp;EDATE(DATEVALUE(C252&amp;"-01"),1))</f>
        <v>19.99</v>
      </c>
      <c r="T252" s="37">
        <f>SUMIFS('📋 Транзакції'!$F$5:$F$3623,'📋 Транзакції'!$B$5:$B$3623,A252,'📋 Транзакції'!$C$5:$C$3623,"&gt;="&amp;EDATE(DATEVALUE(C252&amp;"-01"),1),'📋 Транзакції'!$C$5:$C$3623,"&lt;"&amp;EDATE(DATEVALUE(C252&amp;"-01"),2))</f>
        <v>0</v>
      </c>
      <c r="U252" s="37">
        <f>SUMIFS('📋 Транзакції'!$F$5:$F$3623,'📋 Транзакції'!$B$5:$B$3623,A252,'📋 Транзакції'!$C$5:$C$3623,"&gt;="&amp;EDATE(DATEVALUE(C252&amp;"-01"),2),'📋 Транзакції'!$C$5:$C$3623,"&lt;"&amp;EDATE(DATEVALUE(C252&amp;"-01"),3))</f>
        <v>0</v>
      </c>
      <c r="V252" s="37">
        <f>SUMIFS('📋 Транзакції'!$F$5:$F$3623,'📋 Транзакції'!$B$5:$B$3623,A252,'📋 Транзакції'!$C$5:$C$3623,"&gt;="&amp;EDATE(DATEVALUE(C252&amp;"-01"),3),'📋 Транзакції'!$C$5:$C$3623,"&lt;"&amp;EDATE(DATEVALUE(C252&amp;"-01"),4))</f>
        <v>0</v>
      </c>
      <c r="W252" s="37">
        <f>SUMIFS('📋 Транзакції'!$F$5:$F$3623,'📋 Транзакції'!$B$5:$B$3623,A252,'📋 Транзакції'!$C$5:$C$3623,"&gt;="&amp;EDATE(DATEVALUE(C252&amp;"-01"),4),'📋 Транзакції'!$C$5:$C$3623,"&lt;"&amp;EDATE(DATEVALUE(C252&amp;"-01"),5))</f>
        <v>0</v>
      </c>
      <c r="X252" s="37">
        <f>SUMIFS('📋 Транзакції'!$F$5:$F$3623,'📋 Транзакції'!$B$5:$B$3623,A252,'📋 Транзакції'!$C$5:$C$3623,"&gt;="&amp;EDATE(DATEVALUE(C252&amp;"-01"),5),'📋 Транзакції'!$C$5:$C$3623,"&lt;"&amp;EDATE(DATEVALUE(C252&amp;"-01"),6))</f>
        <v>0</v>
      </c>
      <c r="Y252" s="37">
        <f>SUMIFS('📋 Транзакції'!$F$5:$F$3623,'📋 Транзакції'!$B$5:$B$3623,A252,'📋 Транзакції'!$C$5:$C$3623,"&gt;="&amp;EDATE(DATEVALUE(C252&amp;"-01"),6),'📋 Транзакції'!$C$5:$C$3623,"&lt;"&amp;EDATE(DATEVALUE(C252&amp;"-01"),7))</f>
        <v>0</v>
      </c>
      <c r="Z252" s="37">
        <f>SUMIFS('📋 Транзакції'!$F$5:$F$3623,'📋 Транзакції'!$B$5:$B$3623,A252,'📋 Транзакції'!$C$5:$C$3623,"&gt;="&amp;EDATE(DATEVALUE(C252&amp;"-01"),7),'📋 Транзакції'!$C$5:$C$3623,"&lt;"&amp;EDATE(DATEVALUE(C252&amp;"-01"),8))</f>
        <v>0</v>
      </c>
      <c r="AA252" s="37">
        <f>SUMIFS('📋 Транзакції'!$F$5:$F$3623,'📋 Транзакції'!$B$5:$B$3623,A252,'📋 Транзакції'!$C$5:$C$3623,"&gt;="&amp;EDATE(DATEVALUE(C252&amp;"-01"),8),'📋 Транзакції'!$C$5:$C$3623,"&lt;"&amp;EDATE(DATEVALUE(C252&amp;"-01"),9))</f>
        <v>0</v>
      </c>
      <c r="AB252" s="37">
        <f>SUMIFS('📋 Транзакції'!$F$5:$F$3623,'📋 Транзакції'!$B$5:$B$3623,A252,'📋 Транзакції'!$C$5:$C$3623,"&gt;="&amp;EDATE(DATEVALUE(C252&amp;"-01"),9),'📋 Транзакції'!$C$5:$C$3623,"&lt;"&amp;EDATE(DATEVALUE(C252&amp;"-01"),10))</f>
        <v>0</v>
      </c>
      <c r="AC252" s="37">
        <f>SUMIFS('📋 Транзакції'!$F$5:$F$3623,'📋 Транзакції'!$B$5:$B$3623,A252,'📋 Транзакції'!$C$5:$C$3623,"&gt;="&amp;EDATE(DATEVALUE(C252&amp;"-01"),10),'📋 Транзакції'!$C$5:$C$3623,"&lt;"&amp;EDATE(DATEVALUE(C252&amp;"-01"),11))</f>
        <v>0</v>
      </c>
      <c r="AD252" s="37">
        <f>SUMIFS('📋 Транзакції'!$F$5:$F$3623,'📋 Транзакції'!$B$5:$B$3623,A252,'📋 Транзакції'!$C$5:$C$3623,"&gt;="&amp;EDATE(DATEVALUE(C252&amp;"-01"),11),'📋 Транзакції'!$C$5:$C$3623,"&lt;"&amp;EDATE(DATEVALUE(C252&amp;"-01"),12))</f>
        <v>0</v>
      </c>
    </row>
    <row r="253" ht="15.75" customHeight="1">
      <c r="A253" s="33" t="str">
        <f>'📋 Реєстрації'!A253:A854</f>
        <v>U0827</v>
      </c>
      <c r="B253" s="34">
        <f t="array" ref="B253">INDEX('📋 Транзакції'!$C$5:$C$3623,MATCH(A253,'📋 Транзакції'!$B$5:$B$3623,0))</f>
        <v>45521</v>
      </c>
      <c r="C253" s="35" t="str">
        <f t="shared" si="1"/>
        <v>2024-08</v>
      </c>
      <c r="D253" s="36">
        <f>COUNTIF('📋 Транзакції'!$B$5:$B$3623,A253)</f>
        <v>2</v>
      </c>
      <c r="E253" s="36">
        <f>SUMIF('📋 Транзакції'!$B$5:$B$3623,A253,'📋 Транзакції'!$F$5:$F$3623)</f>
        <v>19.99</v>
      </c>
      <c r="F253" s="35">
        <f>INT($A$1-MAXIFS('📋 Транзакції'!$C$5:$C$3623,'📋 Транзакції'!$B$5:$B$3623,A253))</f>
        <v>219</v>
      </c>
      <c r="G253" s="37">
        <f>IF(COUNTIFS('📋 Транзакції'!$B$5:$B$3623,A253,'📋 Транзакції'!$C$5:$C$3623,"&gt;="&amp;EDATE(DATEVALUE(C253&amp;"-01"),0),'📋 Транзакції'!$C$5:$C$3623,"&lt;"&amp;EDATE(DATEVALUE(C253&amp;"-01"),1))&gt;0,1,0)</f>
        <v>1</v>
      </c>
      <c r="H253" s="37">
        <f>IF(COUNTIFS('📋 Транзакції'!$B$5:$B$3623,A253,'📋 Транзакції'!$C$5:$C$3623,"&gt;="&amp;EDATE(DATEVALUE(C253&amp;"-01"),1),'📋 Транзакції'!$C$5:$C$3623,"&lt;"&amp;EDATE(DATEVALUE(C253&amp;"-01"),2))&gt;0,1,0)</f>
        <v>0</v>
      </c>
      <c r="I253" s="37">
        <f>IF(COUNTIFS('📋 Транзакції'!$B$5:$B$3623,A253,'📋 Транзакції'!$C$5:$C$3623,"&gt;="&amp;EDATE(DATEVALUE(C253&amp;"-01"),2),'📋 Транзакції'!$C$5:$C$3623,"&lt;"&amp;EDATE(DATEVALUE(C253&amp;"-01"),3))&gt;0,1,0)</f>
        <v>0</v>
      </c>
      <c r="J253" s="37">
        <f>IF(COUNTIFS('📋 Транзакції'!$B$5:$B$3623,A253,'📋 Транзакції'!$C$5:$C$3623,"&gt;="&amp;EDATE(DATEVALUE(C253&amp;"-01"),3),'📋 Транзакції'!$C$5:$C$3623,"&lt;"&amp;EDATE(DATEVALUE(C253&amp;"-01"),4))&gt;0,1,0)</f>
        <v>0</v>
      </c>
      <c r="K253" s="37">
        <f>IF(COUNTIFS('📋 Транзакції'!$B$5:$B$3623,A253,'📋 Транзакції'!$C$5:$C$3623,"&gt;="&amp;EDATE(DATEVALUE(C253&amp;"-01"),4),'📋 Транзакції'!$C$5:$C$3623,"&lt;"&amp;EDATE(DATEVALUE(C253&amp;"-01"),5))&gt;0,1,0)</f>
        <v>0</v>
      </c>
      <c r="L253" s="37">
        <f>IF(COUNTIFS('📋 Транзакції'!$B$5:$B$3623,A253,'📋 Транзакції'!$C$5:$C$3623,"&gt;="&amp;EDATE(DATEVALUE(C253&amp;"-01"),5),'📋 Транзакції'!$C$5:$C$3623,"&lt;"&amp;EDATE(DATEVALUE(C253&amp;"-01"),6))&gt;0,1,0)</f>
        <v>0</v>
      </c>
      <c r="M253" s="37">
        <f>IF(COUNTIFS('📋 Транзакції'!$B$5:$B$3623,A253,'📋 Транзакції'!$C$5:$C$3623,"&gt;="&amp;EDATE(DATEVALUE(C253&amp;"-01"),6),'📋 Транзакції'!$C$5:$C$3623,"&lt;"&amp;EDATE(DATEVALUE(C253&amp;"-01"),7))&gt;0,1,0)</f>
        <v>0</v>
      </c>
      <c r="N253" s="37">
        <f>IF(COUNTIFS('📋 Транзакції'!$B$5:$B$3623,A253,'📋 Транзакції'!$C$5:$C$3623,"&gt;="&amp;EDATE(DATEVALUE(C253&amp;"-01"),7),'📋 Транзакції'!$C$5:$C$3623,"&lt;"&amp;EDATE(DATEVALUE(C253&amp;"-01"),8))&gt;0,1,0)</f>
        <v>0</v>
      </c>
      <c r="O253" s="37">
        <f>IF(COUNTIFS('📋 Транзакції'!$B$5:$B$3623,A253,'📋 Транзакції'!$C$5:$C$3623,"&gt;="&amp;EDATE(DATEVALUE(C253&amp;"-01"),8),'📋 Транзакції'!$C$5:$C$3623,"&lt;"&amp;EDATE(DATEVALUE(C253&amp;"-01"),9))&gt;0,1,0)</f>
        <v>0</v>
      </c>
      <c r="P253" s="37">
        <f>IF(COUNTIFS('📋 Транзакції'!$B$5:$B$3623,A253,'📋 Транзакції'!$C$5:$C$3623,"&gt;="&amp;EDATE(DATEVALUE(C253&amp;"-01"),9),'📋 Транзакції'!$C$5:$C$3623,"&lt;"&amp;EDATE(DATEVALUE(C253&amp;"-01"),10))&gt;0,1,0)</f>
        <v>0</v>
      </c>
      <c r="Q253" s="37">
        <f>IF(COUNTIFS('📋 Транзакції'!$B$5:$B$3623,A253,'📋 Транзакції'!$C$5:$C$3623,"&gt;="&amp;EDATE(DATEVALUE(C253&amp;"-01"),10),'📋 Транзакції'!$C$5:$C$3623,"&lt;"&amp;EDATE(DATEVALUE(C253&amp;"-01"),11))&gt;0,1,0)</f>
        <v>0</v>
      </c>
      <c r="R253" s="37">
        <f>IF(COUNTIFS('📋 Транзакції'!$B$5:$B$3623,A253,'📋 Транзакції'!$C$5:$C$3623,"&gt;="&amp;EDATE(DATEVALUE(C253&amp;"-01"),11),'📋 Транзакції'!$C$5:$C$3623,"&lt;"&amp;EDATE(DATEVALUE(C253&amp;"-01"),12))&gt;0,1,0)</f>
        <v>0</v>
      </c>
      <c r="S253" s="37">
        <f>SUMIFS('📋 Транзакції'!$F$5:$F$3623,'📋 Транзакції'!$B$5:$B$3623,A253,'📋 Транзакції'!$C$5:$C$3623,"&gt;="&amp;EDATE(DATEVALUE(C253&amp;"-01"),0),'📋 Транзакції'!$C$5:$C$3623,"&lt;"&amp;EDATE(DATEVALUE(C253&amp;"-01"),1))</f>
        <v>19.99</v>
      </c>
      <c r="T253" s="37">
        <f>SUMIFS('📋 Транзакції'!$F$5:$F$3623,'📋 Транзакції'!$B$5:$B$3623,A253,'📋 Транзакції'!$C$5:$C$3623,"&gt;="&amp;EDATE(DATEVALUE(C253&amp;"-01"),1),'📋 Транзакції'!$C$5:$C$3623,"&lt;"&amp;EDATE(DATEVALUE(C253&amp;"-01"),2))</f>
        <v>0</v>
      </c>
      <c r="U253" s="37">
        <f>SUMIFS('📋 Транзакції'!$F$5:$F$3623,'📋 Транзакції'!$B$5:$B$3623,A253,'📋 Транзакції'!$C$5:$C$3623,"&gt;="&amp;EDATE(DATEVALUE(C253&amp;"-01"),2),'📋 Транзакції'!$C$5:$C$3623,"&lt;"&amp;EDATE(DATEVALUE(C253&amp;"-01"),3))</f>
        <v>0</v>
      </c>
      <c r="V253" s="37">
        <f>SUMIFS('📋 Транзакції'!$F$5:$F$3623,'📋 Транзакції'!$B$5:$B$3623,A253,'📋 Транзакції'!$C$5:$C$3623,"&gt;="&amp;EDATE(DATEVALUE(C253&amp;"-01"),3),'📋 Транзакції'!$C$5:$C$3623,"&lt;"&amp;EDATE(DATEVALUE(C253&amp;"-01"),4))</f>
        <v>0</v>
      </c>
      <c r="W253" s="37">
        <f>SUMIFS('📋 Транзакції'!$F$5:$F$3623,'📋 Транзакції'!$B$5:$B$3623,A253,'📋 Транзакції'!$C$5:$C$3623,"&gt;="&amp;EDATE(DATEVALUE(C253&amp;"-01"),4),'📋 Транзакції'!$C$5:$C$3623,"&lt;"&amp;EDATE(DATEVALUE(C253&amp;"-01"),5))</f>
        <v>0</v>
      </c>
      <c r="X253" s="37">
        <f>SUMIFS('📋 Транзакції'!$F$5:$F$3623,'📋 Транзакції'!$B$5:$B$3623,A253,'📋 Транзакції'!$C$5:$C$3623,"&gt;="&amp;EDATE(DATEVALUE(C253&amp;"-01"),5),'📋 Транзакції'!$C$5:$C$3623,"&lt;"&amp;EDATE(DATEVALUE(C253&amp;"-01"),6))</f>
        <v>0</v>
      </c>
      <c r="Y253" s="37">
        <f>SUMIFS('📋 Транзакції'!$F$5:$F$3623,'📋 Транзакції'!$B$5:$B$3623,A253,'📋 Транзакції'!$C$5:$C$3623,"&gt;="&amp;EDATE(DATEVALUE(C253&amp;"-01"),6),'📋 Транзакції'!$C$5:$C$3623,"&lt;"&amp;EDATE(DATEVALUE(C253&amp;"-01"),7))</f>
        <v>0</v>
      </c>
      <c r="Z253" s="37">
        <f>SUMIFS('📋 Транзакції'!$F$5:$F$3623,'📋 Транзакції'!$B$5:$B$3623,A253,'📋 Транзакції'!$C$5:$C$3623,"&gt;="&amp;EDATE(DATEVALUE(C253&amp;"-01"),7),'📋 Транзакції'!$C$5:$C$3623,"&lt;"&amp;EDATE(DATEVALUE(C253&amp;"-01"),8))</f>
        <v>0</v>
      </c>
      <c r="AA253" s="37">
        <f>SUMIFS('📋 Транзакції'!$F$5:$F$3623,'📋 Транзакції'!$B$5:$B$3623,A253,'📋 Транзакції'!$C$5:$C$3623,"&gt;="&amp;EDATE(DATEVALUE(C253&amp;"-01"),8),'📋 Транзакції'!$C$5:$C$3623,"&lt;"&amp;EDATE(DATEVALUE(C253&amp;"-01"),9))</f>
        <v>0</v>
      </c>
      <c r="AB253" s="37">
        <f>SUMIFS('📋 Транзакції'!$F$5:$F$3623,'📋 Транзакції'!$B$5:$B$3623,A253,'📋 Транзакції'!$C$5:$C$3623,"&gt;="&amp;EDATE(DATEVALUE(C253&amp;"-01"),9),'📋 Транзакції'!$C$5:$C$3623,"&lt;"&amp;EDATE(DATEVALUE(C253&amp;"-01"),10))</f>
        <v>0</v>
      </c>
      <c r="AC253" s="37">
        <f>SUMIFS('📋 Транзакції'!$F$5:$F$3623,'📋 Транзакції'!$B$5:$B$3623,A253,'📋 Транзакції'!$C$5:$C$3623,"&gt;="&amp;EDATE(DATEVALUE(C253&amp;"-01"),10),'📋 Транзакції'!$C$5:$C$3623,"&lt;"&amp;EDATE(DATEVALUE(C253&amp;"-01"),11))</f>
        <v>0</v>
      </c>
      <c r="AD253" s="37">
        <f>SUMIFS('📋 Транзакції'!$F$5:$F$3623,'📋 Транзакції'!$B$5:$B$3623,A253,'📋 Транзакції'!$C$5:$C$3623,"&gt;="&amp;EDATE(DATEVALUE(C253&amp;"-01"),11),'📋 Транзакції'!$C$5:$C$3623,"&lt;"&amp;EDATE(DATEVALUE(C253&amp;"-01"),12))</f>
        <v>0</v>
      </c>
    </row>
    <row r="254" ht="15.75" customHeight="1">
      <c r="A254" s="33" t="str">
        <f>'📋 Реєстрації'!A254:A855</f>
        <v>U0784</v>
      </c>
      <c r="B254" s="34">
        <f t="array" ref="B254">INDEX('📋 Транзакції'!$C$5:$C$3623,MATCH(A254,'📋 Транзакції'!$B$5:$B$3623,0))</f>
        <v>45522</v>
      </c>
      <c r="C254" s="35" t="str">
        <f t="shared" si="1"/>
        <v>2024-08</v>
      </c>
      <c r="D254" s="36">
        <f>COUNTIF('📋 Транзакції'!$B$5:$B$3623,A254)</f>
        <v>2</v>
      </c>
      <c r="E254" s="36">
        <f>SUMIF('📋 Транзакції'!$B$5:$B$3623,A254,'📋 Транзакції'!$F$5:$F$3623)</f>
        <v>19.99</v>
      </c>
      <c r="F254" s="35">
        <f>INT($A$1-MAXIFS('📋 Транзакції'!$C$5:$C$3623,'📋 Транзакції'!$B$5:$B$3623,A254))</f>
        <v>218</v>
      </c>
      <c r="G254" s="37">
        <f>IF(COUNTIFS('📋 Транзакції'!$B$5:$B$3623,A254,'📋 Транзакції'!$C$5:$C$3623,"&gt;="&amp;EDATE(DATEVALUE(C254&amp;"-01"),0),'📋 Транзакції'!$C$5:$C$3623,"&lt;"&amp;EDATE(DATEVALUE(C254&amp;"-01"),1))&gt;0,1,0)</f>
        <v>1</v>
      </c>
      <c r="H254" s="37">
        <f>IF(COUNTIFS('📋 Транзакції'!$B$5:$B$3623,A254,'📋 Транзакції'!$C$5:$C$3623,"&gt;="&amp;EDATE(DATEVALUE(C254&amp;"-01"),1),'📋 Транзакції'!$C$5:$C$3623,"&lt;"&amp;EDATE(DATEVALUE(C254&amp;"-01"),2))&gt;0,1,0)</f>
        <v>0</v>
      </c>
      <c r="I254" s="37">
        <f>IF(COUNTIFS('📋 Транзакції'!$B$5:$B$3623,A254,'📋 Транзакції'!$C$5:$C$3623,"&gt;="&amp;EDATE(DATEVALUE(C254&amp;"-01"),2),'📋 Транзакції'!$C$5:$C$3623,"&lt;"&amp;EDATE(DATEVALUE(C254&amp;"-01"),3))&gt;0,1,0)</f>
        <v>0</v>
      </c>
      <c r="J254" s="37">
        <f>IF(COUNTIFS('📋 Транзакції'!$B$5:$B$3623,A254,'📋 Транзакції'!$C$5:$C$3623,"&gt;="&amp;EDATE(DATEVALUE(C254&amp;"-01"),3),'📋 Транзакції'!$C$5:$C$3623,"&lt;"&amp;EDATE(DATEVALUE(C254&amp;"-01"),4))&gt;0,1,0)</f>
        <v>0</v>
      </c>
      <c r="K254" s="37">
        <f>IF(COUNTIFS('📋 Транзакції'!$B$5:$B$3623,A254,'📋 Транзакції'!$C$5:$C$3623,"&gt;="&amp;EDATE(DATEVALUE(C254&amp;"-01"),4),'📋 Транзакції'!$C$5:$C$3623,"&lt;"&amp;EDATE(DATEVALUE(C254&amp;"-01"),5))&gt;0,1,0)</f>
        <v>0</v>
      </c>
      <c r="L254" s="37">
        <f>IF(COUNTIFS('📋 Транзакції'!$B$5:$B$3623,A254,'📋 Транзакції'!$C$5:$C$3623,"&gt;="&amp;EDATE(DATEVALUE(C254&amp;"-01"),5),'📋 Транзакції'!$C$5:$C$3623,"&lt;"&amp;EDATE(DATEVALUE(C254&amp;"-01"),6))&gt;0,1,0)</f>
        <v>0</v>
      </c>
      <c r="M254" s="37">
        <f>IF(COUNTIFS('📋 Транзакції'!$B$5:$B$3623,A254,'📋 Транзакції'!$C$5:$C$3623,"&gt;="&amp;EDATE(DATEVALUE(C254&amp;"-01"),6),'📋 Транзакції'!$C$5:$C$3623,"&lt;"&amp;EDATE(DATEVALUE(C254&amp;"-01"),7))&gt;0,1,0)</f>
        <v>0</v>
      </c>
      <c r="N254" s="37">
        <f>IF(COUNTIFS('📋 Транзакції'!$B$5:$B$3623,A254,'📋 Транзакції'!$C$5:$C$3623,"&gt;="&amp;EDATE(DATEVALUE(C254&amp;"-01"),7),'📋 Транзакції'!$C$5:$C$3623,"&lt;"&amp;EDATE(DATEVALUE(C254&amp;"-01"),8))&gt;0,1,0)</f>
        <v>0</v>
      </c>
      <c r="O254" s="37">
        <f>IF(COUNTIFS('📋 Транзакції'!$B$5:$B$3623,A254,'📋 Транзакції'!$C$5:$C$3623,"&gt;="&amp;EDATE(DATEVALUE(C254&amp;"-01"),8),'📋 Транзакції'!$C$5:$C$3623,"&lt;"&amp;EDATE(DATEVALUE(C254&amp;"-01"),9))&gt;0,1,0)</f>
        <v>0</v>
      </c>
      <c r="P254" s="37">
        <f>IF(COUNTIFS('📋 Транзакції'!$B$5:$B$3623,A254,'📋 Транзакції'!$C$5:$C$3623,"&gt;="&amp;EDATE(DATEVALUE(C254&amp;"-01"),9),'📋 Транзакції'!$C$5:$C$3623,"&lt;"&amp;EDATE(DATEVALUE(C254&amp;"-01"),10))&gt;0,1,0)</f>
        <v>0</v>
      </c>
      <c r="Q254" s="37">
        <f>IF(COUNTIFS('📋 Транзакції'!$B$5:$B$3623,A254,'📋 Транзакції'!$C$5:$C$3623,"&gt;="&amp;EDATE(DATEVALUE(C254&amp;"-01"),10),'📋 Транзакції'!$C$5:$C$3623,"&lt;"&amp;EDATE(DATEVALUE(C254&amp;"-01"),11))&gt;0,1,0)</f>
        <v>0</v>
      </c>
      <c r="R254" s="37">
        <f>IF(COUNTIFS('📋 Транзакції'!$B$5:$B$3623,A254,'📋 Транзакції'!$C$5:$C$3623,"&gt;="&amp;EDATE(DATEVALUE(C254&amp;"-01"),11),'📋 Транзакції'!$C$5:$C$3623,"&lt;"&amp;EDATE(DATEVALUE(C254&amp;"-01"),12))&gt;0,1,0)</f>
        <v>0</v>
      </c>
      <c r="S254" s="37">
        <f>SUMIFS('📋 Транзакції'!$F$5:$F$3623,'📋 Транзакції'!$B$5:$B$3623,A254,'📋 Транзакції'!$C$5:$C$3623,"&gt;="&amp;EDATE(DATEVALUE(C254&amp;"-01"),0),'📋 Транзакції'!$C$5:$C$3623,"&lt;"&amp;EDATE(DATEVALUE(C254&amp;"-01"),1))</f>
        <v>19.99</v>
      </c>
      <c r="T254" s="37">
        <f>SUMIFS('📋 Транзакції'!$F$5:$F$3623,'📋 Транзакції'!$B$5:$B$3623,A254,'📋 Транзакції'!$C$5:$C$3623,"&gt;="&amp;EDATE(DATEVALUE(C254&amp;"-01"),1),'📋 Транзакції'!$C$5:$C$3623,"&lt;"&amp;EDATE(DATEVALUE(C254&amp;"-01"),2))</f>
        <v>0</v>
      </c>
      <c r="U254" s="37">
        <f>SUMIFS('📋 Транзакції'!$F$5:$F$3623,'📋 Транзакції'!$B$5:$B$3623,A254,'📋 Транзакції'!$C$5:$C$3623,"&gt;="&amp;EDATE(DATEVALUE(C254&amp;"-01"),2),'📋 Транзакції'!$C$5:$C$3623,"&lt;"&amp;EDATE(DATEVALUE(C254&amp;"-01"),3))</f>
        <v>0</v>
      </c>
      <c r="V254" s="37">
        <f>SUMIFS('📋 Транзакції'!$F$5:$F$3623,'📋 Транзакції'!$B$5:$B$3623,A254,'📋 Транзакції'!$C$5:$C$3623,"&gt;="&amp;EDATE(DATEVALUE(C254&amp;"-01"),3),'📋 Транзакції'!$C$5:$C$3623,"&lt;"&amp;EDATE(DATEVALUE(C254&amp;"-01"),4))</f>
        <v>0</v>
      </c>
      <c r="W254" s="37">
        <f>SUMIFS('📋 Транзакції'!$F$5:$F$3623,'📋 Транзакції'!$B$5:$B$3623,A254,'📋 Транзакції'!$C$5:$C$3623,"&gt;="&amp;EDATE(DATEVALUE(C254&amp;"-01"),4),'📋 Транзакції'!$C$5:$C$3623,"&lt;"&amp;EDATE(DATEVALUE(C254&amp;"-01"),5))</f>
        <v>0</v>
      </c>
      <c r="X254" s="37">
        <f>SUMIFS('📋 Транзакції'!$F$5:$F$3623,'📋 Транзакції'!$B$5:$B$3623,A254,'📋 Транзакції'!$C$5:$C$3623,"&gt;="&amp;EDATE(DATEVALUE(C254&amp;"-01"),5),'📋 Транзакції'!$C$5:$C$3623,"&lt;"&amp;EDATE(DATEVALUE(C254&amp;"-01"),6))</f>
        <v>0</v>
      </c>
      <c r="Y254" s="37">
        <f>SUMIFS('📋 Транзакції'!$F$5:$F$3623,'📋 Транзакції'!$B$5:$B$3623,A254,'📋 Транзакції'!$C$5:$C$3623,"&gt;="&amp;EDATE(DATEVALUE(C254&amp;"-01"),6),'📋 Транзакції'!$C$5:$C$3623,"&lt;"&amp;EDATE(DATEVALUE(C254&amp;"-01"),7))</f>
        <v>0</v>
      </c>
      <c r="Z254" s="37">
        <f>SUMIFS('📋 Транзакції'!$F$5:$F$3623,'📋 Транзакції'!$B$5:$B$3623,A254,'📋 Транзакції'!$C$5:$C$3623,"&gt;="&amp;EDATE(DATEVALUE(C254&amp;"-01"),7),'📋 Транзакції'!$C$5:$C$3623,"&lt;"&amp;EDATE(DATEVALUE(C254&amp;"-01"),8))</f>
        <v>0</v>
      </c>
      <c r="AA254" s="37">
        <f>SUMIFS('📋 Транзакції'!$F$5:$F$3623,'📋 Транзакції'!$B$5:$B$3623,A254,'📋 Транзакції'!$C$5:$C$3623,"&gt;="&amp;EDATE(DATEVALUE(C254&amp;"-01"),8),'📋 Транзакції'!$C$5:$C$3623,"&lt;"&amp;EDATE(DATEVALUE(C254&amp;"-01"),9))</f>
        <v>0</v>
      </c>
      <c r="AB254" s="37">
        <f>SUMIFS('📋 Транзакції'!$F$5:$F$3623,'📋 Транзакції'!$B$5:$B$3623,A254,'📋 Транзакції'!$C$5:$C$3623,"&gt;="&amp;EDATE(DATEVALUE(C254&amp;"-01"),9),'📋 Транзакції'!$C$5:$C$3623,"&lt;"&amp;EDATE(DATEVALUE(C254&amp;"-01"),10))</f>
        <v>0</v>
      </c>
      <c r="AC254" s="37">
        <f>SUMIFS('📋 Транзакції'!$F$5:$F$3623,'📋 Транзакції'!$B$5:$B$3623,A254,'📋 Транзакції'!$C$5:$C$3623,"&gt;="&amp;EDATE(DATEVALUE(C254&amp;"-01"),10),'📋 Транзакції'!$C$5:$C$3623,"&lt;"&amp;EDATE(DATEVALUE(C254&amp;"-01"),11))</f>
        <v>0</v>
      </c>
      <c r="AD254" s="37">
        <f>SUMIFS('📋 Транзакції'!$F$5:$F$3623,'📋 Транзакції'!$B$5:$B$3623,A254,'📋 Транзакції'!$C$5:$C$3623,"&gt;="&amp;EDATE(DATEVALUE(C254&amp;"-01"),11),'📋 Транзакції'!$C$5:$C$3623,"&lt;"&amp;EDATE(DATEVALUE(C254&amp;"-01"),12))</f>
        <v>0</v>
      </c>
    </row>
    <row r="255" ht="15.75" customHeight="1">
      <c r="A255" s="33" t="str">
        <f>'📋 Реєстрації'!A255:A856</f>
        <v>U0466</v>
      </c>
      <c r="B255" s="34">
        <f t="array" ref="B255">INDEX('📋 Транзакції'!$C$5:$C$3623,MATCH(A255,'📋 Транзакції'!$B$5:$B$3623,0))</f>
        <v>45523</v>
      </c>
      <c r="C255" s="35" t="str">
        <f t="shared" si="1"/>
        <v>2024-08</v>
      </c>
      <c r="D255" s="36">
        <f>COUNTIF('📋 Транзакції'!$B$5:$B$3623,A255)</f>
        <v>9</v>
      </c>
      <c r="E255" s="36">
        <f>SUMIF('📋 Транзакції'!$B$5:$B$3623,A255,'📋 Транзакції'!$F$5:$F$3623)</f>
        <v>159.92</v>
      </c>
      <c r="F255" s="35">
        <f>INT($A$1-MAXIFS('📋 Транзакції'!$C$5:$C$3623,'📋 Транзакції'!$B$5:$B$3623,A255))</f>
        <v>7</v>
      </c>
      <c r="G255" s="37">
        <f>IF(COUNTIFS('📋 Транзакції'!$B$5:$B$3623,A255,'📋 Транзакції'!$C$5:$C$3623,"&gt;="&amp;EDATE(DATEVALUE(C255&amp;"-01"),0),'📋 Транзакції'!$C$5:$C$3623,"&lt;"&amp;EDATE(DATEVALUE(C255&amp;"-01"),1))&gt;0,1,0)</f>
        <v>1</v>
      </c>
      <c r="H255" s="37">
        <f>IF(COUNTIFS('📋 Транзакції'!$B$5:$B$3623,A255,'📋 Транзакції'!$C$5:$C$3623,"&gt;="&amp;EDATE(DATEVALUE(C255&amp;"-01"),1),'📋 Транзакції'!$C$5:$C$3623,"&lt;"&amp;EDATE(DATEVALUE(C255&amp;"-01"),2))&gt;0,1,0)</f>
        <v>1</v>
      </c>
      <c r="I255" s="37">
        <f>IF(COUNTIFS('📋 Транзакції'!$B$5:$B$3623,A255,'📋 Транзакції'!$C$5:$C$3623,"&gt;="&amp;EDATE(DATEVALUE(C255&amp;"-01"),2),'📋 Транзакції'!$C$5:$C$3623,"&lt;"&amp;EDATE(DATEVALUE(C255&amp;"-01"),3))&gt;0,1,0)</f>
        <v>1</v>
      </c>
      <c r="J255" s="37">
        <f>IF(COUNTIFS('📋 Транзакції'!$B$5:$B$3623,A255,'📋 Транзакції'!$C$5:$C$3623,"&gt;="&amp;EDATE(DATEVALUE(C255&amp;"-01"),3),'📋 Транзакції'!$C$5:$C$3623,"&lt;"&amp;EDATE(DATEVALUE(C255&amp;"-01"),4))&gt;0,1,0)</f>
        <v>1</v>
      </c>
      <c r="K255" s="37">
        <f>IF(COUNTIFS('📋 Транзакції'!$B$5:$B$3623,A255,'📋 Транзакції'!$C$5:$C$3623,"&gt;="&amp;EDATE(DATEVALUE(C255&amp;"-01"),4),'📋 Транзакції'!$C$5:$C$3623,"&lt;"&amp;EDATE(DATEVALUE(C255&amp;"-01"),5))&gt;0,1,0)</f>
        <v>1</v>
      </c>
      <c r="L255" s="37">
        <f>IF(COUNTIFS('📋 Транзакції'!$B$5:$B$3623,A255,'📋 Транзакції'!$C$5:$C$3623,"&gt;="&amp;EDATE(DATEVALUE(C255&amp;"-01"),5),'📋 Транзакції'!$C$5:$C$3623,"&lt;"&amp;EDATE(DATEVALUE(C255&amp;"-01"),6))&gt;0,1,0)</f>
        <v>1</v>
      </c>
      <c r="M255" s="37">
        <f>IF(COUNTIFS('📋 Транзакції'!$B$5:$B$3623,A255,'📋 Транзакції'!$C$5:$C$3623,"&gt;="&amp;EDATE(DATEVALUE(C255&amp;"-01"),6),'📋 Транзакції'!$C$5:$C$3623,"&lt;"&amp;EDATE(DATEVALUE(C255&amp;"-01"),7))&gt;0,1,0)</f>
        <v>1</v>
      </c>
      <c r="N255" s="37">
        <f>IF(COUNTIFS('📋 Транзакції'!$B$5:$B$3623,A255,'📋 Транзакції'!$C$5:$C$3623,"&gt;="&amp;EDATE(DATEVALUE(C255&amp;"-01"),7),'📋 Транзакції'!$C$5:$C$3623,"&lt;"&amp;EDATE(DATEVALUE(C255&amp;"-01"),8))&gt;0,1,0)</f>
        <v>1</v>
      </c>
      <c r="O255" s="37">
        <f>IF(COUNTIFS('📋 Транзакції'!$B$5:$B$3623,A255,'📋 Транзакції'!$C$5:$C$3623,"&gt;="&amp;EDATE(DATEVALUE(C255&amp;"-01"),8),'📋 Транзакції'!$C$5:$C$3623,"&lt;"&amp;EDATE(DATEVALUE(C255&amp;"-01"),9))&gt;0,1,0)</f>
        <v>0</v>
      </c>
      <c r="P255" s="37">
        <f>IF(COUNTIFS('📋 Транзакції'!$B$5:$B$3623,A255,'📋 Транзакції'!$C$5:$C$3623,"&gt;="&amp;EDATE(DATEVALUE(C255&amp;"-01"),9),'📋 Транзакції'!$C$5:$C$3623,"&lt;"&amp;EDATE(DATEVALUE(C255&amp;"-01"),10))&gt;0,1,0)</f>
        <v>0</v>
      </c>
      <c r="Q255" s="37">
        <f>IF(COUNTIFS('📋 Транзакції'!$B$5:$B$3623,A255,'📋 Транзакції'!$C$5:$C$3623,"&gt;="&amp;EDATE(DATEVALUE(C255&amp;"-01"),10),'📋 Транзакції'!$C$5:$C$3623,"&lt;"&amp;EDATE(DATEVALUE(C255&amp;"-01"),11))&gt;0,1,0)</f>
        <v>0</v>
      </c>
      <c r="R255" s="37">
        <f>IF(COUNTIFS('📋 Транзакції'!$B$5:$B$3623,A255,'📋 Транзакції'!$C$5:$C$3623,"&gt;="&amp;EDATE(DATEVALUE(C255&amp;"-01"),11),'📋 Транзакції'!$C$5:$C$3623,"&lt;"&amp;EDATE(DATEVALUE(C255&amp;"-01"),12))&gt;0,1,0)</f>
        <v>0</v>
      </c>
      <c r="S255" s="37">
        <f>SUMIFS('📋 Транзакції'!$F$5:$F$3623,'📋 Транзакції'!$B$5:$B$3623,A255,'📋 Транзакції'!$C$5:$C$3623,"&gt;="&amp;EDATE(DATEVALUE(C255&amp;"-01"),0),'📋 Транзакції'!$C$5:$C$3623,"&lt;"&amp;EDATE(DATEVALUE(C255&amp;"-01"),1))</f>
        <v>19.99</v>
      </c>
      <c r="T255" s="37">
        <f>SUMIFS('📋 Транзакції'!$F$5:$F$3623,'📋 Транзакції'!$B$5:$B$3623,A255,'📋 Транзакції'!$C$5:$C$3623,"&gt;="&amp;EDATE(DATEVALUE(C255&amp;"-01"),1),'📋 Транзакції'!$C$5:$C$3623,"&lt;"&amp;EDATE(DATEVALUE(C255&amp;"-01"),2))</f>
        <v>19.99</v>
      </c>
      <c r="U255" s="37">
        <f>SUMIFS('📋 Транзакції'!$F$5:$F$3623,'📋 Транзакції'!$B$5:$B$3623,A255,'📋 Транзакції'!$C$5:$C$3623,"&gt;="&amp;EDATE(DATEVALUE(C255&amp;"-01"),2),'📋 Транзакції'!$C$5:$C$3623,"&lt;"&amp;EDATE(DATEVALUE(C255&amp;"-01"),3))</f>
        <v>19.99</v>
      </c>
      <c r="V255" s="37">
        <f>SUMIFS('📋 Транзакції'!$F$5:$F$3623,'📋 Транзакції'!$B$5:$B$3623,A255,'📋 Транзакції'!$C$5:$C$3623,"&gt;="&amp;EDATE(DATEVALUE(C255&amp;"-01"),3),'📋 Транзакції'!$C$5:$C$3623,"&lt;"&amp;EDATE(DATEVALUE(C255&amp;"-01"),4))</f>
        <v>19.99</v>
      </c>
      <c r="W255" s="37">
        <f>SUMIFS('📋 Транзакції'!$F$5:$F$3623,'📋 Транзакції'!$B$5:$B$3623,A255,'📋 Транзакції'!$C$5:$C$3623,"&gt;="&amp;EDATE(DATEVALUE(C255&amp;"-01"),4),'📋 Транзакції'!$C$5:$C$3623,"&lt;"&amp;EDATE(DATEVALUE(C255&amp;"-01"),5))</f>
        <v>19.99</v>
      </c>
      <c r="X255" s="37">
        <f>SUMIFS('📋 Транзакції'!$F$5:$F$3623,'📋 Транзакції'!$B$5:$B$3623,A255,'📋 Транзакції'!$C$5:$C$3623,"&gt;="&amp;EDATE(DATEVALUE(C255&amp;"-01"),5),'📋 Транзакції'!$C$5:$C$3623,"&lt;"&amp;EDATE(DATEVALUE(C255&amp;"-01"),6))</f>
        <v>19.99</v>
      </c>
      <c r="Y255" s="37">
        <f>SUMIFS('📋 Транзакції'!$F$5:$F$3623,'📋 Транзакції'!$B$5:$B$3623,A255,'📋 Транзакції'!$C$5:$C$3623,"&gt;="&amp;EDATE(DATEVALUE(C255&amp;"-01"),6),'📋 Транзакції'!$C$5:$C$3623,"&lt;"&amp;EDATE(DATEVALUE(C255&amp;"-01"),7))</f>
        <v>19.99</v>
      </c>
      <c r="Z255" s="37">
        <f>SUMIFS('📋 Транзакції'!$F$5:$F$3623,'📋 Транзакції'!$B$5:$B$3623,A255,'📋 Транзакції'!$C$5:$C$3623,"&gt;="&amp;EDATE(DATEVALUE(C255&amp;"-01"),7),'📋 Транзакції'!$C$5:$C$3623,"&lt;"&amp;EDATE(DATEVALUE(C255&amp;"-01"),8))</f>
        <v>19.99</v>
      </c>
      <c r="AA255" s="37">
        <f>SUMIFS('📋 Транзакції'!$F$5:$F$3623,'📋 Транзакції'!$B$5:$B$3623,A255,'📋 Транзакції'!$C$5:$C$3623,"&gt;="&amp;EDATE(DATEVALUE(C255&amp;"-01"),8),'📋 Транзакції'!$C$5:$C$3623,"&lt;"&amp;EDATE(DATEVALUE(C255&amp;"-01"),9))</f>
        <v>0</v>
      </c>
      <c r="AB255" s="37">
        <f>SUMIFS('📋 Транзакції'!$F$5:$F$3623,'📋 Транзакції'!$B$5:$B$3623,A255,'📋 Транзакції'!$C$5:$C$3623,"&gt;="&amp;EDATE(DATEVALUE(C255&amp;"-01"),9),'📋 Транзакції'!$C$5:$C$3623,"&lt;"&amp;EDATE(DATEVALUE(C255&amp;"-01"),10))</f>
        <v>0</v>
      </c>
      <c r="AC255" s="37">
        <f>SUMIFS('📋 Транзакції'!$F$5:$F$3623,'📋 Транзакції'!$B$5:$B$3623,A255,'📋 Транзакції'!$C$5:$C$3623,"&gt;="&amp;EDATE(DATEVALUE(C255&amp;"-01"),10),'📋 Транзакції'!$C$5:$C$3623,"&lt;"&amp;EDATE(DATEVALUE(C255&amp;"-01"),11))</f>
        <v>0</v>
      </c>
      <c r="AD255" s="37">
        <f>SUMIFS('📋 Транзакції'!$F$5:$F$3623,'📋 Транзакції'!$B$5:$B$3623,A255,'📋 Транзакції'!$C$5:$C$3623,"&gt;="&amp;EDATE(DATEVALUE(C255&amp;"-01"),11),'📋 Транзакції'!$C$5:$C$3623,"&lt;"&amp;EDATE(DATEVALUE(C255&amp;"-01"),12))</f>
        <v>0</v>
      </c>
    </row>
    <row r="256" ht="15.75" customHeight="1">
      <c r="A256" s="33" t="str">
        <f>'📋 Реєстрації'!A256:A857</f>
        <v>U0244</v>
      </c>
      <c r="B256" s="34">
        <f t="array" ref="B256">INDEX('📋 Транзакції'!$C$5:$C$3623,MATCH(A256,'📋 Транзакції'!$B$5:$B$3623,0))</f>
        <v>45524</v>
      </c>
      <c r="C256" s="35" t="str">
        <f t="shared" si="1"/>
        <v>2024-08</v>
      </c>
      <c r="D256" s="36">
        <f>COUNTIF('📋 Транзакції'!$B$5:$B$3623,A256)</f>
        <v>9</v>
      </c>
      <c r="E256" s="36">
        <f>SUMIF('📋 Транзакції'!$B$5:$B$3623,A256,'📋 Транзакції'!$F$5:$F$3623)</f>
        <v>159.92</v>
      </c>
      <c r="F256" s="35">
        <f>INT($A$1-MAXIFS('📋 Транзакції'!$C$5:$C$3623,'📋 Транзакції'!$B$5:$B$3623,A256))</f>
        <v>6</v>
      </c>
      <c r="G256" s="37">
        <f>IF(COUNTIFS('📋 Транзакції'!$B$5:$B$3623,A256,'📋 Транзакції'!$C$5:$C$3623,"&gt;="&amp;EDATE(DATEVALUE(C256&amp;"-01"),0),'📋 Транзакції'!$C$5:$C$3623,"&lt;"&amp;EDATE(DATEVALUE(C256&amp;"-01"),1))&gt;0,1,0)</f>
        <v>1</v>
      </c>
      <c r="H256" s="37">
        <f>IF(COUNTIFS('📋 Транзакції'!$B$5:$B$3623,A256,'📋 Транзакції'!$C$5:$C$3623,"&gt;="&amp;EDATE(DATEVALUE(C256&amp;"-01"),1),'📋 Транзакції'!$C$5:$C$3623,"&lt;"&amp;EDATE(DATEVALUE(C256&amp;"-01"),2))&gt;0,1,0)</f>
        <v>1</v>
      </c>
      <c r="I256" s="37">
        <f>IF(COUNTIFS('📋 Транзакції'!$B$5:$B$3623,A256,'📋 Транзакції'!$C$5:$C$3623,"&gt;="&amp;EDATE(DATEVALUE(C256&amp;"-01"),2),'📋 Транзакції'!$C$5:$C$3623,"&lt;"&amp;EDATE(DATEVALUE(C256&amp;"-01"),3))&gt;0,1,0)</f>
        <v>1</v>
      </c>
      <c r="J256" s="37">
        <f>IF(COUNTIFS('📋 Транзакції'!$B$5:$B$3623,A256,'📋 Транзакції'!$C$5:$C$3623,"&gt;="&amp;EDATE(DATEVALUE(C256&amp;"-01"),3),'📋 Транзакції'!$C$5:$C$3623,"&lt;"&amp;EDATE(DATEVALUE(C256&amp;"-01"),4))&gt;0,1,0)</f>
        <v>1</v>
      </c>
      <c r="K256" s="37">
        <f>IF(COUNTIFS('📋 Транзакції'!$B$5:$B$3623,A256,'📋 Транзакції'!$C$5:$C$3623,"&gt;="&amp;EDATE(DATEVALUE(C256&amp;"-01"),4),'📋 Транзакції'!$C$5:$C$3623,"&lt;"&amp;EDATE(DATEVALUE(C256&amp;"-01"),5))&gt;0,1,0)</f>
        <v>1</v>
      </c>
      <c r="L256" s="37">
        <f>IF(COUNTIFS('📋 Транзакції'!$B$5:$B$3623,A256,'📋 Транзакції'!$C$5:$C$3623,"&gt;="&amp;EDATE(DATEVALUE(C256&amp;"-01"),5),'📋 Транзакції'!$C$5:$C$3623,"&lt;"&amp;EDATE(DATEVALUE(C256&amp;"-01"),6))&gt;0,1,0)</f>
        <v>1</v>
      </c>
      <c r="M256" s="37">
        <f>IF(COUNTIFS('📋 Транзакції'!$B$5:$B$3623,A256,'📋 Транзакції'!$C$5:$C$3623,"&gt;="&amp;EDATE(DATEVALUE(C256&amp;"-01"),6),'📋 Транзакції'!$C$5:$C$3623,"&lt;"&amp;EDATE(DATEVALUE(C256&amp;"-01"),7))&gt;0,1,0)</f>
        <v>1</v>
      </c>
      <c r="N256" s="37">
        <f>IF(COUNTIFS('📋 Транзакції'!$B$5:$B$3623,A256,'📋 Транзакції'!$C$5:$C$3623,"&gt;="&amp;EDATE(DATEVALUE(C256&amp;"-01"),7),'📋 Транзакції'!$C$5:$C$3623,"&lt;"&amp;EDATE(DATEVALUE(C256&amp;"-01"),8))&gt;0,1,0)</f>
        <v>1</v>
      </c>
      <c r="O256" s="37">
        <f>IF(COUNTIFS('📋 Транзакції'!$B$5:$B$3623,A256,'📋 Транзакції'!$C$5:$C$3623,"&gt;="&amp;EDATE(DATEVALUE(C256&amp;"-01"),8),'📋 Транзакції'!$C$5:$C$3623,"&lt;"&amp;EDATE(DATEVALUE(C256&amp;"-01"),9))&gt;0,1,0)</f>
        <v>0</v>
      </c>
      <c r="P256" s="37">
        <f>IF(COUNTIFS('📋 Транзакції'!$B$5:$B$3623,A256,'📋 Транзакції'!$C$5:$C$3623,"&gt;="&amp;EDATE(DATEVALUE(C256&amp;"-01"),9),'📋 Транзакції'!$C$5:$C$3623,"&lt;"&amp;EDATE(DATEVALUE(C256&amp;"-01"),10))&gt;0,1,0)</f>
        <v>0</v>
      </c>
      <c r="Q256" s="37">
        <f>IF(COUNTIFS('📋 Транзакції'!$B$5:$B$3623,A256,'📋 Транзакції'!$C$5:$C$3623,"&gt;="&amp;EDATE(DATEVALUE(C256&amp;"-01"),10),'📋 Транзакції'!$C$5:$C$3623,"&lt;"&amp;EDATE(DATEVALUE(C256&amp;"-01"),11))&gt;0,1,0)</f>
        <v>0</v>
      </c>
      <c r="R256" s="37">
        <f>IF(COUNTIFS('📋 Транзакції'!$B$5:$B$3623,A256,'📋 Транзакції'!$C$5:$C$3623,"&gt;="&amp;EDATE(DATEVALUE(C256&amp;"-01"),11),'📋 Транзакції'!$C$5:$C$3623,"&lt;"&amp;EDATE(DATEVALUE(C256&amp;"-01"),12))&gt;0,1,0)</f>
        <v>0</v>
      </c>
      <c r="S256" s="37">
        <f>SUMIFS('📋 Транзакції'!$F$5:$F$3623,'📋 Транзакції'!$B$5:$B$3623,A256,'📋 Транзакції'!$C$5:$C$3623,"&gt;="&amp;EDATE(DATEVALUE(C256&amp;"-01"),0),'📋 Транзакції'!$C$5:$C$3623,"&lt;"&amp;EDATE(DATEVALUE(C256&amp;"-01"),1))</f>
        <v>19.99</v>
      </c>
      <c r="T256" s="37">
        <f>SUMIFS('📋 Транзакції'!$F$5:$F$3623,'📋 Транзакції'!$B$5:$B$3623,A256,'📋 Транзакції'!$C$5:$C$3623,"&gt;="&amp;EDATE(DATEVALUE(C256&amp;"-01"),1),'📋 Транзакції'!$C$5:$C$3623,"&lt;"&amp;EDATE(DATEVALUE(C256&amp;"-01"),2))</f>
        <v>19.99</v>
      </c>
      <c r="U256" s="37">
        <f>SUMIFS('📋 Транзакції'!$F$5:$F$3623,'📋 Транзакції'!$B$5:$B$3623,A256,'📋 Транзакції'!$C$5:$C$3623,"&gt;="&amp;EDATE(DATEVALUE(C256&amp;"-01"),2),'📋 Транзакції'!$C$5:$C$3623,"&lt;"&amp;EDATE(DATEVALUE(C256&amp;"-01"),3))</f>
        <v>19.99</v>
      </c>
      <c r="V256" s="37">
        <f>SUMIFS('📋 Транзакції'!$F$5:$F$3623,'📋 Транзакції'!$B$5:$B$3623,A256,'📋 Транзакції'!$C$5:$C$3623,"&gt;="&amp;EDATE(DATEVALUE(C256&amp;"-01"),3),'📋 Транзакції'!$C$5:$C$3623,"&lt;"&amp;EDATE(DATEVALUE(C256&amp;"-01"),4))</f>
        <v>19.99</v>
      </c>
      <c r="W256" s="37">
        <f>SUMIFS('📋 Транзакції'!$F$5:$F$3623,'📋 Транзакції'!$B$5:$B$3623,A256,'📋 Транзакції'!$C$5:$C$3623,"&gt;="&amp;EDATE(DATEVALUE(C256&amp;"-01"),4),'📋 Транзакції'!$C$5:$C$3623,"&lt;"&amp;EDATE(DATEVALUE(C256&amp;"-01"),5))</f>
        <v>19.99</v>
      </c>
      <c r="X256" s="37">
        <f>SUMIFS('📋 Транзакції'!$F$5:$F$3623,'📋 Транзакції'!$B$5:$B$3623,A256,'📋 Транзакції'!$C$5:$C$3623,"&gt;="&amp;EDATE(DATEVALUE(C256&amp;"-01"),5),'📋 Транзакції'!$C$5:$C$3623,"&lt;"&amp;EDATE(DATEVALUE(C256&amp;"-01"),6))</f>
        <v>19.99</v>
      </c>
      <c r="Y256" s="37">
        <f>SUMIFS('📋 Транзакції'!$F$5:$F$3623,'📋 Транзакції'!$B$5:$B$3623,A256,'📋 Транзакції'!$C$5:$C$3623,"&gt;="&amp;EDATE(DATEVALUE(C256&amp;"-01"),6),'📋 Транзакції'!$C$5:$C$3623,"&lt;"&amp;EDATE(DATEVALUE(C256&amp;"-01"),7))</f>
        <v>19.99</v>
      </c>
      <c r="Z256" s="37">
        <f>SUMIFS('📋 Транзакції'!$F$5:$F$3623,'📋 Транзакції'!$B$5:$B$3623,A256,'📋 Транзакції'!$C$5:$C$3623,"&gt;="&amp;EDATE(DATEVALUE(C256&amp;"-01"),7),'📋 Транзакції'!$C$5:$C$3623,"&lt;"&amp;EDATE(DATEVALUE(C256&amp;"-01"),8))</f>
        <v>19.99</v>
      </c>
      <c r="AA256" s="37">
        <f>SUMIFS('📋 Транзакції'!$F$5:$F$3623,'📋 Транзакції'!$B$5:$B$3623,A256,'📋 Транзакції'!$C$5:$C$3623,"&gt;="&amp;EDATE(DATEVALUE(C256&amp;"-01"),8),'📋 Транзакції'!$C$5:$C$3623,"&lt;"&amp;EDATE(DATEVALUE(C256&amp;"-01"),9))</f>
        <v>0</v>
      </c>
      <c r="AB256" s="37">
        <f>SUMIFS('📋 Транзакції'!$F$5:$F$3623,'📋 Транзакції'!$B$5:$B$3623,A256,'📋 Транзакції'!$C$5:$C$3623,"&gt;="&amp;EDATE(DATEVALUE(C256&amp;"-01"),9),'📋 Транзакції'!$C$5:$C$3623,"&lt;"&amp;EDATE(DATEVALUE(C256&amp;"-01"),10))</f>
        <v>0</v>
      </c>
      <c r="AC256" s="37">
        <f>SUMIFS('📋 Транзакції'!$F$5:$F$3623,'📋 Транзакції'!$B$5:$B$3623,A256,'📋 Транзакції'!$C$5:$C$3623,"&gt;="&amp;EDATE(DATEVALUE(C256&amp;"-01"),10),'📋 Транзакції'!$C$5:$C$3623,"&lt;"&amp;EDATE(DATEVALUE(C256&amp;"-01"),11))</f>
        <v>0</v>
      </c>
      <c r="AD256" s="37">
        <f>SUMIFS('📋 Транзакції'!$F$5:$F$3623,'📋 Транзакції'!$B$5:$B$3623,A256,'📋 Транзакції'!$C$5:$C$3623,"&gt;="&amp;EDATE(DATEVALUE(C256&amp;"-01"),11),'📋 Транзакції'!$C$5:$C$3623,"&lt;"&amp;EDATE(DATEVALUE(C256&amp;"-01"),12))</f>
        <v>0</v>
      </c>
    </row>
    <row r="257" ht="15.75" customHeight="1">
      <c r="A257" s="33" t="str">
        <f>'📋 Реєстрації'!A257:A858</f>
        <v>U0823</v>
      </c>
      <c r="B257" s="34">
        <f t="array" ref="B257">INDEX('📋 Транзакції'!$C$5:$C$3623,MATCH(A257,'📋 Транзакції'!$B$5:$B$3623,0))</f>
        <v>45524</v>
      </c>
      <c r="C257" s="35" t="str">
        <f t="shared" si="1"/>
        <v>2024-08</v>
      </c>
      <c r="D257" s="36">
        <f>COUNTIF('📋 Транзакції'!$B$5:$B$3623,A257)</f>
        <v>9</v>
      </c>
      <c r="E257" s="36">
        <f>SUMIF('📋 Транзакції'!$B$5:$B$3623,A257,'📋 Транзакції'!$F$5:$F$3623)</f>
        <v>159.92</v>
      </c>
      <c r="F257" s="35">
        <f>INT($A$1-MAXIFS('📋 Транзакції'!$C$5:$C$3623,'📋 Транзакції'!$B$5:$B$3623,A257))</f>
        <v>6</v>
      </c>
      <c r="G257" s="37">
        <f>IF(COUNTIFS('📋 Транзакції'!$B$5:$B$3623,A257,'📋 Транзакції'!$C$5:$C$3623,"&gt;="&amp;EDATE(DATEVALUE(C257&amp;"-01"),0),'📋 Транзакції'!$C$5:$C$3623,"&lt;"&amp;EDATE(DATEVALUE(C257&amp;"-01"),1))&gt;0,1,0)</f>
        <v>1</v>
      </c>
      <c r="H257" s="37">
        <f>IF(COUNTIFS('📋 Транзакції'!$B$5:$B$3623,A257,'📋 Транзакції'!$C$5:$C$3623,"&gt;="&amp;EDATE(DATEVALUE(C257&amp;"-01"),1),'📋 Транзакції'!$C$5:$C$3623,"&lt;"&amp;EDATE(DATEVALUE(C257&amp;"-01"),2))&gt;0,1,0)</f>
        <v>1</v>
      </c>
      <c r="I257" s="37">
        <f>IF(COUNTIFS('📋 Транзакції'!$B$5:$B$3623,A257,'📋 Транзакції'!$C$5:$C$3623,"&gt;="&amp;EDATE(DATEVALUE(C257&amp;"-01"),2),'📋 Транзакції'!$C$5:$C$3623,"&lt;"&amp;EDATE(DATEVALUE(C257&amp;"-01"),3))&gt;0,1,0)</f>
        <v>1</v>
      </c>
      <c r="J257" s="37">
        <f>IF(COUNTIFS('📋 Транзакції'!$B$5:$B$3623,A257,'📋 Транзакції'!$C$5:$C$3623,"&gt;="&amp;EDATE(DATEVALUE(C257&amp;"-01"),3),'📋 Транзакції'!$C$5:$C$3623,"&lt;"&amp;EDATE(DATEVALUE(C257&amp;"-01"),4))&gt;0,1,0)</f>
        <v>1</v>
      </c>
      <c r="K257" s="37">
        <f>IF(COUNTIFS('📋 Транзакції'!$B$5:$B$3623,A257,'📋 Транзакції'!$C$5:$C$3623,"&gt;="&amp;EDATE(DATEVALUE(C257&amp;"-01"),4),'📋 Транзакції'!$C$5:$C$3623,"&lt;"&amp;EDATE(DATEVALUE(C257&amp;"-01"),5))&gt;0,1,0)</f>
        <v>1</v>
      </c>
      <c r="L257" s="37">
        <f>IF(COUNTIFS('📋 Транзакції'!$B$5:$B$3623,A257,'📋 Транзакції'!$C$5:$C$3623,"&gt;="&amp;EDATE(DATEVALUE(C257&amp;"-01"),5),'📋 Транзакції'!$C$5:$C$3623,"&lt;"&amp;EDATE(DATEVALUE(C257&amp;"-01"),6))&gt;0,1,0)</f>
        <v>1</v>
      </c>
      <c r="M257" s="37">
        <f>IF(COUNTIFS('📋 Транзакції'!$B$5:$B$3623,A257,'📋 Транзакції'!$C$5:$C$3623,"&gt;="&amp;EDATE(DATEVALUE(C257&amp;"-01"),6),'📋 Транзакції'!$C$5:$C$3623,"&lt;"&amp;EDATE(DATEVALUE(C257&amp;"-01"),7))&gt;0,1,0)</f>
        <v>1</v>
      </c>
      <c r="N257" s="37">
        <f>IF(COUNTIFS('📋 Транзакції'!$B$5:$B$3623,A257,'📋 Транзакції'!$C$5:$C$3623,"&gt;="&amp;EDATE(DATEVALUE(C257&amp;"-01"),7),'📋 Транзакції'!$C$5:$C$3623,"&lt;"&amp;EDATE(DATEVALUE(C257&amp;"-01"),8))&gt;0,1,0)</f>
        <v>1</v>
      </c>
      <c r="O257" s="37">
        <f>IF(COUNTIFS('📋 Транзакції'!$B$5:$B$3623,A257,'📋 Транзакції'!$C$5:$C$3623,"&gt;="&amp;EDATE(DATEVALUE(C257&amp;"-01"),8),'📋 Транзакції'!$C$5:$C$3623,"&lt;"&amp;EDATE(DATEVALUE(C257&amp;"-01"),9))&gt;0,1,0)</f>
        <v>0</v>
      </c>
      <c r="P257" s="37">
        <f>IF(COUNTIFS('📋 Транзакції'!$B$5:$B$3623,A257,'📋 Транзакції'!$C$5:$C$3623,"&gt;="&amp;EDATE(DATEVALUE(C257&amp;"-01"),9),'📋 Транзакції'!$C$5:$C$3623,"&lt;"&amp;EDATE(DATEVALUE(C257&amp;"-01"),10))&gt;0,1,0)</f>
        <v>0</v>
      </c>
      <c r="Q257" s="37">
        <f>IF(COUNTIFS('📋 Транзакції'!$B$5:$B$3623,A257,'📋 Транзакції'!$C$5:$C$3623,"&gt;="&amp;EDATE(DATEVALUE(C257&amp;"-01"),10),'📋 Транзакції'!$C$5:$C$3623,"&lt;"&amp;EDATE(DATEVALUE(C257&amp;"-01"),11))&gt;0,1,0)</f>
        <v>0</v>
      </c>
      <c r="R257" s="37">
        <f>IF(COUNTIFS('📋 Транзакції'!$B$5:$B$3623,A257,'📋 Транзакції'!$C$5:$C$3623,"&gt;="&amp;EDATE(DATEVALUE(C257&amp;"-01"),11),'📋 Транзакції'!$C$5:$C$3623,"&lt;"&amp;EDATE(DATEVALUE(C257&amp;"-01"),12))&gt;0,1,0)</f>
        <v>0</v>
      </c>
      <c r="S257" s="37">
        <f>SUMIFS('📋 Транзакції'!$F$5:$F$3623,'📋 Транзакції'!$B$5:$B$3623,A257,'📋 Транзакції'!$C$5:$C$3623,"&gt;="&amp;EDATE(DATEVALUE(C257&amp;"-01"),0),'📋 Транзакції'!$C$5:$C$3623,"&lt;"&amp;EDATE(DATEVALUE(C257&amp;"-01"),1))</f>
        <v>19.99</v>
      </c>
      <c r="T257" s="37">
        <f>SUMIFS('📋 Транзакції'!$F$5:$F$3623,'📋 Транзакції'!$B$5:$B$3623,A257,'📋 Транзакції'!$C$5:$C$3623,"&gt;="&amp;EDATE(DATEVALUE(C257&amp;"-01"),1),'📋 Транзакції'!$C$5:$C$3623,"&lt;"&amp;EDATE(DATEVALUE(C257&amp;"-01"),2))</f>
        <v>19.99</v>
      </c>
      <c r="U257" s="37">
        <f>SUMIFS('📋 Транзакції'!$F$5:$F$3623,'📋 Транзакції'!$B$5:$B$3623,A257,'📋 Транзакції'!$C$5:$C$3623,"&gt;="&amp;EDATE(DATEVALUE(C257&amp;"-01"),2),'📋 Транзакції'!$C$5:$C$3623,"&lt;"&amp;EDATE(DATEVALUE(C257&amp;"-01"),3))</f>
        <v>19.99</v>
      </c>
      <c r="V257" s="37">
        <f>SUMIFS('📋 Транзакції'!$F$5:$F$3623,'📋 Транзакції'!$B$5:$B$3623,A257,'📋 Транзакції'!$C$5:$C$3623,"&gt;="&amp;EDATE(DATEVALUE(C257&amp;"-01"),3),'📋 Транзакції'!$C$5:$C$3623,"&lt;"&amp;EDATE(DATEVALUE(C257&amp;"-01"),4))</f>
        <v>19.99</v>
      </c>
      <c r="W257" s="37">
        <f>SUMIFS('📋 Транзакції'!$F$5:$F$3623,'📋 Транзакції'!$B$5:$B$3623,A257,'📋 Транзакції'!$C$5:$C$3623,"&gt;="&amp;EDATE(DATEVALUE(C257&amp;"-01"),4),'📋 Транзакції'!$C$5:$C$3623,"&lt;"&amp;EDATE(DATEVALUE(C257&amp;"-01"),5))</f>
        <v>19.99</v>
      </c>
      <c r="X257" s="37">
        <f>SUMIFS('📋 Транзакції'!$F$5:$F$3623,'📋 Транзакції'!$B$5:$B$3623,A257,'📋 Транзакції'!$C$5:$C$3623,"&gt;="&amp;EDATE(DATEVALUE(C257&amp;"-01"),5),'📋 Транзакції'!$C$5:$C$3623,"&lt;"&amp;EDATE(DATEVALUE(C257&amp;"-01"),6))</f>
        <v>19.99</v>
      </c>
      <c r="Y257" s="37">
        <f>SUMIFS('📋 Транзакції'!$F$5:$F$3623,'📋 Транзакції'!$B$5:$B$3623,A257,'📋 Транзакції'!$C$5:$C$3623,"&gt;="&amp;EDATE(DATEVALUE(C257&amp;"-01"),6),'📋 Транзакції'!$C$5:$C$3623,"&lt;"&amp;EDATE(DATEVALUE(C257&amp;"-01"),7))</f>
        <v>19.99</v>
      </c>
      <c r="Z257" s="37">
        <f>SUMIFS('📋 Транзакції'!$F$5:$F$3623,'📋 Транзакції'!$B$5:$B$3623,A257,'📋 Транзакції'!$C$5:$C$3623,"&gt;="&amp;EDATE(DATEVALUE(C257&amp;"-01"),7),'📋 Транзакції'!$C$5:$C$3623,"&lt;"&amp;EDATE(DATEVALUE(C257&amp;"-01"),8))</f>
        <v>19.99</v>
      </c>
      <c r="AA257" s="37">
        <f>SUMIFS('📋 Транзакції'!$F$5:$F$3623,'📋 Транзакції'!$B$5:$B$3623,A257,'📋 Транзакції'!$C$5:$C$3623,"&gt;="&amp;EDATE(DATEVALUE(C257&amp;"-01"),8),'📋 Транзакції'!$C$5:$C$3623,"&lt;"&amp;EDATE(DATEVALUE(C257&amp;"-01"),9))</f>
        <v>0</v>
      </c>
      <c r="AB257" s="37">
        <f>SUMIFS('📋 Транзакції'!$F$5:$F$3623,'📋 Транзакції'!$B$5:$B$3623,A257,'📋 Транзакції'!$C$5:$C$3623,"&gt;="&amp;EDATE(DATEVALUE(C257&amp;"-01"),9),'📋 Транзакції'!$C$5:$C$3623,"&lt;"&amp;EDATE(DATEVALUE(C257&amp;"-01"),10))</f>
        <v>0</v>
      </c>
      <c r="AC257" s="37">
        <f>SUMIFS('📋 Транзакції'!$F$5:$F$3623,'📋 Транзакції'!$B$5:$B$3623,A257,'📋 Транзакції'!$C$5:$C$3623,"&gt;="&amp;EDATE(DATEVALUE(C257&amp;"-01"),10),'📋 Транзакції'!$C$5:$C$3623,"&lt;"&amp;EDATE(DATEVALUE(C257&amp;"-01"),11))</f>
        <v>0</v>
      </c>
      <c r="AD257" s="37">
        <f>SUMIFS('📋 Транзакції'!$F$5:$F$3623,'📋 Транзакції'!$B$5:$B$3623,A257,'📋 Транзакції'!$C$5:$C$3623,"&gt;="&amp;EDATE(DATEVALUE(C257&amp;"-01"),11),'📋 Транзакції'!$C$5:$C$3623,"&lt;"&amp;EDATE(DATEVALUE(C257&amp;"-01"),12))</f>
        <v>0</v>
      </c>
    </row>
    <row r="258" ht="15.75" customHeight="1">
      <c r="A258" s="33" t="str">
        <f>'📋 Реєстрації'!A258:A859</f>
        <v>U0001</v>
      </c>
      <c r="B258" s="34">
        <f t="array" ref="B258">INDEX('📋 Транзакції'!$C$5:$C$3623,MATCH(A258,'📋 Транзакції'!$B$5:$B$3623,0))</f>
        <v>45525</v>
      </c>
      <c r="C258" s="35" t="str">
        <f t="shared" si="1"/>
        <v>2024-08</v>
      </c>
      <c r="D258" s="36">
        <f>COUNTIF('📋 Транзакції'!$B$5:$B$3623,A258)</f>
        <v>9</v>
      </c>
      <c r="E258" s="36">
        <f>SUMIF('📋 Транзакції'!$B$5:$B$3623,A258,'📋 Транзакції'!$F$5:$F$3623)</f>
        <v>159.92</v>
      </c>
      <c r="F258" s="35">
        <f>INT($A$1-MAXIFS('📋 Транзакції'!$C$5:$C$3623,'📋 Транзакції'!$B$5:$B$3623,A258))</f>
        <v>5</v>
      </c>
      <c r="G258" s="37">
        <f>IF(COUNTIFS('📋 Транзакції'!$B$5:$B$3623,A258,'📋 Транзакції'!$C$5:$C$3623,"&gt;="&amp;EDATE(DATEVALUE(C258&amp;"-01"),0),'📋 Транзакції'!$C$5:$C$3623,"&lt;"&amp;EDATE(DATEVALUE(C258&amp;"-01"),1))&gt;0,1,0)</f>
        <v>1</v>
      </c>
      <c r="H258" s="37">
        <f>IF(COUNTIFS('📋 Транзакції'!$B$5:$B$3623,A258,'📋 Транзакції'!$C$5:$C$3623,"&gt;="&amp;EDATE(DATEVALUE(C258&amp;"-01"),1),'📋 Транзакції'!$C$5:$C$3623,"&lt;"&amp;EDATE(DATEVALUE(C258&amp;"-01"),2))&gt;0,1,0)</f>
        <v>1</v>
      </c>
      <c r="I258" s="37">
        <f>IF(COUNTIFS('📋 Транзакції'!$B$5:$B$3623,A258,'📋 Транзакції'!$C$5:$C$3623,"&gt;="&amp;EDATE(DATEVALUE(C258&amp;"-01"),2),'📋 Транзакції'!$C$5:$C$3623,"&lt;"&amp;EDATE(DATEVALUE(C258&amp;"-01"),3))&gt;0,1,0)</f>
        <v>1</v>
      </c>
      <c r="J258" s="37">
        <f>IF(COUNTIFS('📋 Транзакції'!$B$5:$B$3623,A258,'📋 Транзакції'!$C$5:$C$3623,"&gt;="&amp;EDATE(DATEVALUE(C258&amp;"-01"),3),'📋 Транзакції'!$C$5:$C$3623,"&lt;"&amp;EDATE(DATEVALUE(C258&amp;"-01"),4))&gt;0,1,0)</f>
        <v>1</v>
      </c>
      <c r="K258" s="37">
        <f>IF(COUNTIFS('📋 Транзакції'!$B$5:$B$3623,A258,'📋 Транзакції'!$C$5:$C$3623,"&gt;="&amp;EDATE(DATEVALUE(C258&amp;"-01"),4),'📋 Транзакції'!$C$5:$C$3623,"&lt;"&amp;EDATE(DATEVALUE(C258&amp;"-01"),5))&gt;0,1,0)</f>
        <v>1</v>
      </c>
      <c r="L258" s="37">
        <f>IF(COUNTIFS('📋 Транзакції'!$B$5:$B$3623,A258,'📋 Транзакції'!$C$5:$C$3623,"&gt;="&amp;EDATE(DATEVALUE(C258&amp;"-01"),5),'📋 Транзакції'!$C$5:$C$3623,"&lt;"&amp;EDATE(DATEVALUE(C258&amp;"-01"),6))&gt;0,1,0)</f>
        <v>1</v>
      </c>
      <c r="M258" s="37">
        <f>IF(COUNTIFS('📋 Транзакції'!$B$5:$B$3623,A258,'📋 Транзакції'!$C$5:$C$3623,"&gt;="&amp;EDATE(DATEVALUE(C258&amp;"-01"),6),'📋 Транзакції'!$C$5:$C$3623,"&lt;"&amp;EDATE(DATEVALUE(C258&amp;"-01"),7))&gt;0,1,0)</f>
        <v>1</v>
      </c>
      <c r="N258" s="37">
        <f>IF(COUNTIFS('📋 Транзакції'!$B$5:$B$3623,A258,'📋 Транзакції'!$C$5:$C$3623,"&gt;="&amp;EDATE(DATEVALUE(C258&amp;"-01"),7),'📋 Транзакції'!$C$5:$C$3623,"&lt;"&amp;EDATE(DATEVALUE(C258&amp;"-01"),8))&gt;0,1,0)</f>
        <v>1</v>
      </c>
      <c r="O258" s="37">
        <f>IF(COUNTIFS('📋 Транзакції'!$B$5:$B$3623,A258,'📋 Транзакції'!$C$5:$C$3623,"&gt;="&amp;EDATE(DATEVALUE(C258&amp;"-01"),8),'📋 Транзакції'!$C$5:$C$3623,"&lt;"&amp;EDATE(DATEVALUE(C258&amp;"-01"),9))&gt;0,1,0)</f>
        <v>0</v>
      </c>
      <c r="P258" s="37">
        <f>IF(COUNTIFS('📋 Транзакції'!$B$5:$B$3623,A258,'📋 Транзакції'!$C$5:$C$3623,"&gt;="&amp;EDATE(DATEVALUE(C258&amp;"-01"),9),'📋 Транзакції'!$C$5:$C$3623,"&lt;"&amp;EDATE(DATEVALUE(C258&amp;"-01"),10))&gt;0,1,0)</f>
        <v>0</v>
      </c>
      <c r="Q258" s="37">
        <f>IF(COUNTIFS('📋 Транзакції'!$B$5:$B$3623,A258,'📋 Транзакції'!$C$5:$C$3623,"&gt;="&amp;EDATE(DATEVALUE(C258&amp;"-01"),10),'📋 Транзакції'!$C$5:$C$3623,"&lt;"&amp;EDATE(DATEVALUE(C258&amp;"-01"),11))&gt;0,1,0)</f>
        <v>0</v>
      </c>
      <c r="R258" s="37">
        <f>IF(COUNTIFS('📋 Транзакції'!$B$5:$B$3623,A258,'📋 Транзакції'!$C$5:$C$3623,"&gt;="&amp;EDATE(DATEVALUE(C258&amp;"-01"),11),'📋 Транзакції'!$C$5:$C$3623,"&lt;"&amp;EDATE(DATEVALUE(C258&amp;"-01"),12))&gt;0,1,0)</f>
        <v>0</v>
      </c>
      <c r="S258" s="37">
        <f>SUMIFS('📋 Транзакції'!$F$5:$F$3623,'📋 Транзакції'!$B$5:$B$3623,A258,'📋 Транзакції'!$C$5:$C$3623,"&gt;="&amp;EDATE(DATEVALUE(C258&amp;"-01"),0),'📋 Транзакції'!$C$5:$C$3623,"&lt;"&amp;EDATE(DATEVALUE(C258&amp;"-01"),1))</f>
        <v>19.99</v>
      </c>
      <c r="T258" s="37">
        <f>SUMIFS('📋 Транзакції'!$F$5:$F$3623,'📋 Транзакції'!$B$5:$B$3623,A258,'📋 Транзакції'!$C$5:$C$3623,"&gt;="&amp;EDATE(DATEVALUE(C258&amp;"-01"),1),'📋 Транзакції'!$C$5:$C$3623,"&lt;"&amp;EDATE(DATEVALUE(C258&amp;"-01"),2))</f>
        <v>19.99</v>
      </c>
      <c r="U258" s="37">
        <f>SUMIFS('📋 Транзакції'!$F$5:$F$3623,'📋 Транзакції'!$B$5:$B$3623,A258,'📋 Транзакції'!$C$5:$C$3623,"&gt;="&amp;EDATE(DATEVALUE(C258&amp;"-01"),2),'📋 Транзакції'!$C$5:$C$3623,"&lt;"&amp;EDATE(DATEVALUE(C258&amp;"-01"),3))</f>
        <v>19.99</v>
      </c>
      <c r="V258" s="37">
        <f>SUMIFS('📋 Транзакції'!$F$5:$F$3623,'📋 Транзакції'!$B$5:$B$3623,A258,'📋 Транзакції'!$C$5:$C$3623,"&gt;="&amp;EDATE(DATEVALUE(C258&amp;"-01"),3),'📋 Транзакції'!$C$5:$C$3623,"&lt;"&amp;EDATE(DATEVALUE(C258&amp;"-01"),4))</f>
        <v>19.99</v>
      </c>
      <c r="W258" s="37">
        <f>SUMIFS('📋 Транзакції'!$F$5:$F$3623,'📋 Транзакції'!$B$5:$B$3623,A258,'📋 Транзакції'!$C$5:$C$3623,"&gt;="&amp;EDATE(DATEVALUE(C258&amp;"-01"),4),'📋 Транзакції'!$C$5:$C$3623,"&lt;"&amp;EDATE(DATEVALUE(C258&amp;"-01"),5))</f>
        <v>19.99</v>
      </c>
      <c r="X258" s="37">
        <f>SUMIFS('📋 Транзакції'!$F$5:$F$3623,'📋 Транзакції'!$B$5:$B$3623,A258,'📋 Транзакції'!$C$5:$C$3623,"&gt;="&amp;EDATE(DATEVALUE(C258&amp;"-01"),5),'📋 Транзакції'!$C$5:$C$3623,"&lt;"&amp;EDATE(DATEVALUE(C258&amp;"-01"),6))</f>
        <v>19.99</v>
      </c>
      <c r="Y258" s="37">
        <f>SUMIFS('📋 Транзакції'!$F$5:$F$3623,'📋 Транзакції'!$B$5:$B$3623,A258,'📋 Транзакції'!$C$5:$C$3623,"&gt;="&amp;EDATE(DATEVALUE(C258&amp;"-01"),6),'📋 Транзакції'!$C$5:$C$3623,"&lt;"&amp;EDATE(DATEVALUE(C258&amp;"-01"),7))</f>
        <v>19.99</v>
      </c>
      <c r="Z258" s="37">
        <f>SUMIFS('📋 Транзакції'!$F$5:$F$3623,'📋 Транзакції'!$B$5:$B$3623,A258,'📋 Транзакції'!$C$5:$C$3623,"&gt;="&amp;EDATE(DATEVALUE(C258&amp;"-01"),7),'📋 Транзакції'!$C$5:$C$3623,"&lt;"&amp;EDATE(DATEVALUE(C258&amp;"-01"),8))</f>
        <v>19.99</v>
      </c>
      <c r="AA258" s="37">
        <f>SUMIFS('📋 Транзакції'!$F$5:$F$3623,'📋 Транзакції'!$B$5:$B$3623,A258,'📋 Транзакції'!$C$5:$C$3623,"&gt;="&amp;EDATE(DATEVALUE(C258&amp;"-01"),8),'📋 Транзакції'!$C$5:$C$3623,"&lt;"&amp;EDATE(DATEVALUE(C258&amp;"-01"),9))</f>
        <v>0</v>
      </c>
      <c r="AB258" s="37">
        <f>SUMIFS('📋 Транзакції'!$F$5:$F$3623,'📋 Транзакції'!$B$5:$B$3623,A258,'📋 Транзакції'!$C$5:$C$3623,"&gt;="&amp;EDATE(DATEVALUE(C258&amp;"-01"),9),'📋 Транзакції'!$C$5:$C$3623,"&lt;"&amp;EDATE(DATEVALUE(C258&amp;"-01"),10))</f>
        <v>0</v>
      </c>
      <c r="AC258" s="37">
        <f>SUMIFS('📋 Транзакції'!$F$5:$F$3623,'📋 Транзакції'!$B$5:$B$3623,A258,'📋 Транзакції'!$C$5:$C$3623,"&gt;="&amp;EDATE(DATEVALUE(C258&amp;"-01"),10),'📋 Транзакції'!$C$5:$C$3623,"&lt;"&amp;EDATE(DATEVALUE(C258&amp;"-01"),11))</f>
        <v>0</v>
      </c>
      <c r="AD258" s="37">
        <f>SUMIFS('📋 Транзакції'!$F$5:$F$3623,'📋 Транзакції'!$B$5:$B$3623,A258,'📋 Транзакції'!$C$5:$C$3623,"&gt;="&amp;EDATE(DATEVALUE(C258&amp;"-01"),11),'📋 Транзакції'!$C$5:$C$3623,"&lt;"&amp;EDATE(DATEVALUE(C258&amp;"-01"),12))</f>
        <v>0</v>
      </c>
    </row>
    <row r="259" ht="15.75" customHeight="1">
      <c r="A259" s="33" t="str">
        <f>'📋 Реєстрації'!A259:A860</f>
        <v>U0828</v>
      </c>
      <c r="B259" s="34">
        <f t="array" ref="B259">INDEX('📋 Транзакції'!$C$5:$C$3623,MATCH(A259,'📋 Транзакції'!$B$5:$B$3623,0))</f>
        <v>45526</v>
      </c>
      <c r="C259" s="35" t="str">
        <f t="shared" si="1"/>
        <v>2024-08</v>
      </c>
      <c r="D259" s="36">
        <f>COUNTIF('📋 Транзакції'!$B$5:$B$3623,A259)</f>
        <v>9</v>
      </c>
      <c r="E259" s="36">
        <f>SUMIF('📋 Транзакції'!$B$5:$B$3623,A259,'📋 Транзакції'!$F$5:$F$3623)</f>
        <v>159.92</v>
      </c>
      <c r="F259" s="35">
        <f>INT($A$1-MAXIFS('📋 Транзакції'!$C$5:$C$3623,'📋 Транзакції'!$B$5:$B$3623,A259))</f>
        <v>4</v>
      </c>
      <c r="G259" s="37">
        <f>IF(COUNTIFS('📋 Транзакції'!$B$5:$B$3623,A259,'📋 Транзакції'!$C$5:$C$3623,"&gt;="&amp;EDATE(DATEVALUE(C259&amp;"-01"),0),'📋 Транзакції'!$C$5:$C$3623,"&lt;"&amp;EDATE(DATEVALUE(C259&amp;"-01"),1))&gt;0,1,0)</f>
        <v>1</v>
      </c>
      <c r="H259" s="37">
        <f>IF(COUNTIFS('📋 Транзакції'!$B$5:$B$3623,A259,'📋 Транзакції'!$C$5:$C$3623,"&gt;="&amp;EDATE(DATEVALUE(C259&amp;"-01"),1),'📋 Транзакції'!$C$5:$C$3623,"&lt;"&amp;EDATE(DATEVALUE(C259&amp;"-01"),2))&gt;0,1,0)</f>
        <v>1</v>
      </c>
      <c r="I259" s="37">
        <f>IF(COUNTIFS('📋 Транзакції'!$B$5:$B$3623,A259,'📋 Транзакції'!$C$5:$C$3623,"&gt;="&amp;EDATE(DATEVALUE(C259&amp;"-01"),2),'📋 Транзакції'!$C$5:$C$3623,"&lt;"&amp;EDATE(DATEVALUE(C259&amp;"-01"),3))&gt;0,1,0)</f>
        <v>1</v>
      </c>
      <c r="J259" s="37">
        <f>IF(COUNTIFS('📋 Транзакції'!$B$5:$B$3623,A259,'📋 Транзакції'!$C$5:$C$3623,"&gt;="&amp;EDATE(DATEVALUE(C259&amp;"-01"),3),'📋 Транзакції'!$C$5:$C$3623,"&lt;"&amp;EDATE(DATEVALUE(C259&amp;"-01"),4))&gt;0,1,0)</f>
        <v>1</v>
      </c>
      <c r="K259" s="37">
        <f>IF(COUNTIFS('📋 Транзакції'!$B$5:$B$3623,A259,'📋 Транзакції'!$C$5:$C$3623,"&gt;="&amp;EDATE(DATEVALUE(C259&amp;"-01"),4),'📋 Транзакції'!$C$5:$C$3623,"&lt;"&amp;EDATE(DATEVALUE(C259&amp;"-01"),5))&gt;0,1,0)</f>
        <v>1</v>
      </c>
      <c r="L259" s="37">
        <f>IF(COUNTIFS('📋 Транзакції'!$B$5:$B$3623,A259,'📋 Транзакції'!$C$5:$C$3623,"&gt;="&amp;EDATE(DATEVALUE(C259&amp;"-01"),5),'📋 Транзакції'!$C$5:$C$3623,"&lt;"&amp;EDATE(DATEVALUE(C259&amp;"-01"),6))&gt;0,1,0)</f>
        <v>1</v>
      </c>
      <c r="M259" s="37">
        <f>IF(COUNTIFS('📋 Транзакції'!$B$5:$B$3623,A259,'📋 Транзакції'!$C$5:$C$3623,"&gt;="&amp;EDATE(DATEVALUE(C259&amp;"-01"),6),'📋 Транзакції'!$C$5:$C$3623,"&lt;"&amp;EDATE(DATEVALUE(C259&amp;"-01"),7))&gt;0,1,0)</f>
        <v>1</v>
      </c>
      <c r="N259" s="37">
        <f>IF(COUNTIFS('📋 Транзакції'!$B$5:$B$3623,A259,'📋 Транзакції'!$C$5:$C$3623,"&gt;="&amp;EDATE(DATEVALUE(C259&amp;"-01"),7),'📋 Транзакції'!$C$5:$C$3623,"&lt;"&amp;EDATE(DATEVALUE(C259&amp;"-01"),8))&gt;0,1,0)</f>
        <v>1</v>
      </c>
      <c r="O259" s="37">
        <f>IF(COUNTIFS('📋 Транзакції'!$B$5:$B$3623,A259,'📋 Транзакції'!$C$5:$C$3623,"&gt;="&amp;EDATE(DATEVALUE(C259&amp;"-01"),8),'📋 Транзакції'!$C$5:$C$3623,"&lt;"&amp;EDATE(DATEVALUE(C259&amp;"-01"),9))&gt;0,1,0)</f>
        <v>0</v>
      </c>
      <c r="P259" s="37">
        <f>IF(COUNTIFS('📋 Транзакції'!$B$5:$B$3623,A259,'📋 Транзакції'!$C$5:$C$3623,"&gt;="&amp;EDATE(DATEVALUE(C259&amp;"-01"),9),'📋 Транзакції'!$C$5:$C$3623,"&lt;"&amp;EDATE(DATEVALUE(C259&amp;"-01"),10))&gt;0,1,0)</f>
        <v>0</v>
      </c>
      <c r="Q259" s="37">
        <f>IF(COUNTIFS('📋 Транзакції'!$B$5:$B$3623,A259,'📋 Транзакції'!$C$5:$C$3623,"&gt;="&amp;EDATE(DATEVALUE(C259&amp;"-01"),10),'📋 Транзакції'!$C$5:$C$3623,"&lt;"&amp;EDATE(DATEVALUE(C259&amp;"-01"),11))&gt;0,1,0)</f>
        <v>0</v>
      </c>
      <c r="R259" s="37">
        <f>IF(COUNTIFS('📋 Транзакції'!$B$5:$B$3623,A259,'📋 Транзакції'!$C$5:$C$3623,"&gt;="&amp;EDATE(DATEVALUE(C259&amp;"-01"),11),'📋 Транзакції'!$C$5:$C$3623,"&lt;"&amp;EDATE(DATEVALUE(C259&amp;"-01"),12))&gt;0,1,0)</f>
        <v>0</v>
      </c>
      <c r="S259" s="37">
        <f>SUMIFS('📋 Транзакції'!$F$5:$F$3623,'📋 Транзакції'!$B$5:$B$3623,A259,'📋 Транзакції'!$C$5:$C$3623,"&gt;="&amp;EDATE(DATEVALUE(C259&amp;"-01"),0),'📋 Транзакції'!$C$5:$C$3623,"&lt;"&amp;EDATE(DATEVALUE(C259&amp;"-01"),1))</f>
        <v>19.99</v>
      </c>
      <c r="T259" s="37">
        <f>SUMIFS('📋 Транзакції'!$F$5:$F$3623,'📋 Транзакції'!$B$5:$B$3623,A259,'📋 Транзакції'!$C$5:$C$3623,"&gt;="&amp;EDATE(DATEVALUE(C259&amp;"-01"),1),'📋 Транзакції'!$C$5:$C$3623,"&lt;"&amp;EDATE(DATEVALUE(C259&amp;"-01"),2))</f>
        <v>19.99</v>
      </c>
      <c r="U259" s="37">
        <f>SUMIFS('📋 Транзакції'!$F$5:$F$3623,'📋 Транзакції'!$B$5:$B$3623,A259,'📋 Транзакції'!$C$5:$C$3623,"&gt;="&amp;EDATE(DATEVALUE(C259&amp;"-01"),2),'📋 Транзакції'!$C$5:$C$3623,"&lt;"&amp;EDATE(DATEVALUE(C259&amp;"-01"),3))</f>
        <v>19.99</v>
      </c>
      <c r="V259" s="37">
        <f>SUMIFS('📋 Транзакції'!$F$5:$F$3623,'📋 Транзакції'!$B$5:$B$3623,A259,'📋 Транзакції'!$C$5:$C$3623,"&gt;="&amp;EDATE(DATEVALUE(C259&amp;"-01"),3),'📋 Транзакції'!$C$5:$C$3623,"&lt;"&amp;EDATE(DATEVALUE(C259&amp;"-01"),4))</f>
        <v>19.99</v>
      </c>
      <c r="W259" s="37">
        <f>SUMIFS('📋 Транзакції'!$F$5:$F$3623,'📋 Транзакції'!$B$5:$B$3623,A259,'📋 Транзакції'!$C$5:$C$3623,"&gt;="&amp;EDATE(DATEVALUE(C259&amp;"-01"),4),'📋 Транзакції'!$C$5:$C$3623,"&lt;"&amp;EDATE(DATEVALUE(C259&amp;"-01"),5))</f>
        <v>19.99</v>
      </c>
      <c r="X259" s="37">
        <f>SUMIFS('📋 Транзакції'!$F$5:$F$3623,'📋 Транзакції'!$B$5:$B$3623,A259,'📋 Транзакції'!$C$5:$C$3623,"&gt;="&amp;EDATE(DATEVALUE(C259&amp;"-01"),5),'📋 Транзакції'!$C$5:$C$3623,"&lt;"&amp;EDATE(DATEVALUE(C259&amp;"-01"),6))</f>
        <v>19.99</v>
      </c>
      <c r="Y259" s="37">
        <f>SUMIFS('📋 Транзакції'!$F$5:$F$3623,'📋 Транзакції'!$B$5:$B$3623,A259,'📋 Транзакції'!$C$5:$C$3623,"&gt;="&amp;EDATE(DATEVALUE(C259&amp;"-01"),6),'📋 Транзакції'!$C$5:$C$3623,"&lt;"&amp;EDATE(DATEVALUE(C259&amp;"-01"),7))</f>
        <v>19.99</v>
      </c>
      <c r="Z259" s="37">
        <f>SUMIFS('📋 Транзакції'!$F$5:$F$3623,'📋 Транзакції'!$B$5:$B$3623,A259,'📋 Транзакції'!$C$5:$C$3623,"&gt;="&amp;EDATE(DATEVALUE(C259&amp;"-01"),7),'📋 Транзакції'!$C$5:$C$3623,"&lt;"&amp;EDATE(DATEVALUE(C259&amp;"-01"),8))</f>
        <v>19.99</v>
      </c>
      <c r="AA259" s="37">
        <f>SUMIFS('📋 Транзакції'!$F$5:$F$3623,'📋 Транзакції'!$B$5:$B$3623,A259,'📋 Транзакції'!$C$5:$C$3623,"&gt;="&amp;EDATE(DATEVALUE(C259&amp;"-01"),8),'📋 Транзакції'!$C$5:$C$3623,"&lt;"&amp;EDATE(DATEVALUE(C259&amp;"-01"),9))</f>
        <v>0</v>
      </c>
      <c r="AB259" s="37">
        <f>SUMIFS('📋 Транзакції'!$F$5:$F$3623,'📋 Транзакції'!$B$5:$B$3623,A259,'📋 Транзакції'!$C$5:$C$3623,"&gt;="&amp;EDATE(DATEVALUE(C259&amp;"-01"),9),'📋 Транзакції'!$C$5:$C$3623,"&lt;"&amp;EDATE(DATEVALUE(C259&amp;"-01"),10))</f>
        <v>0</v>
      </c>
      <c r="AC259" s="37">
        <f>SUMIFS('📋 Транзакції'!$F$5:$F$3623,'📋 Транзакції'!$B$5:$B$3623,A259,'📋 Транзакції'!$C$5:$C$3623,"&gt;="&amp;EDATE(DATEVALUE(C259&amp;"-01"),10),'📋 Транзакції'!$C$5:$C$3623,"&lt;"&amp;EDATE(DATEVALUE(C259&amp;"-01"),11))</f>
        <v>0</v>
      </c>
      <c r="AD259" s="37">
        <f>SUMIFS('📋 Транзакції'!$F$5:$F$3623,'📋 Транзакції'!$B$5:$B$3623,A259,'📋 Транзакції'!$C$5:$C$3623,"&gt;="&amp;EDATE(DATEVALUE(C259&amp;"-01"),11),'📋 Транзакції'!$C$5:$C$3623,"&lt;"&amp;EDATE(DATEVALUE(C259&amp;"-01"),12))</f>
        <v>0</v>
      </c>
    </row>
    <row r="260" ht="15.75" customHeight="1">
      <c r="A260" s="33" t="str">
        <f>'📋 Реєстрації'!A260:A861</f>
        <v>U0349</v>
      </c>
      <c r="B260" s="34">
        <f t="array" ref="B260">INDEX('📋 Транзакції'!$C$5:$C$3623,MATCH(A260,'📋 Транзакції'!$B$5:$B$3623,0))</f>
        <v>45527</v>
      </c>
      <c r="C260" s="35" t="str">
        <f t="shared" si="1"/>
        <v>2024-08</v>
      </c>
      <c r="D260" s="36">
        <f>COUNTIF('📋 Транзакції'!$B$5:$B$3623,A260)</f>
        <v>9</v>
      </c>
      <c r="E260" s="36">
        <f>SUMIF('📋 Транзакції'!$B$5:$B$3623,A260,'📋 Транзакції'!$F$5:$F$3623)</f>
        <v>159.92</v>
      </c>
      <c r="F260" s="35">
        <f>INT($A$1-MAXIFS('📋 Транзакції'!$C$5:$C$3623,'📋 Транзакції'!$B$5:$B$3623,A260))</f>
        <v>3</v>
      </c>
      <c r="G260" s="37">
        <f>IF(COUNTIFS('📋 Транзакції'!$B$5:$B$3623,A260,'📋 Транзакції'!$C$5:$C$3623,"&gt;="&amp;EDATE(DATEVALUE(C260&amp;"-01"),0),'📋 Транзакції'!$C$5:$C$3623,"&lt;"&amp;EDATE(DATEVALUE(C260&amp;"-01"),1))&gt;0,1,0)</f>
        <v>1</v>
      </c>
      <c r="H260" s="37">
        <f>IF(COUNTIFS('📋 Транзакції'!$B$5:$B$3623,A260,'📋 Транзакції'!$C$5:$C$3623,"&gt;="&amp;EDATE(DATEVALUE(C260&amp;"-01"),1),'📋 Транзакції'!$C$5:$C$3623,"&lt;"&amp;EDATE(DATEVALUE(C260&amp;"-01"),2))&gt;0,1,0)</f>
        <v>1</v>
      </c>
      <c r="I260" s="37">
        <f>IF(COUNTIFS('📋 Транзакції'!$B$5:$B$3623,A260,'📋 Транзакції'!$C$5:$C$3623,"&gt;="&amp;EDATE(DATEVALUE(C260&amp;"-01"),2),'📋 Транзакції'!$C$5:$C$3623,"&lt;"&amp;EDATE(DATEVALUE(C260&amp;"-01"),3))&gt;0,1,0)</f>
        <v>1</v>
      </c>
      <c r="J260" s="37">
        <f>IF(COUNTIFS('📋 Транзакції'!$B$5:$B$3623,A260,'📋 Транзакції'!$C$5:$C$3623,"&gt;="&amp;EDATE(DATEVALUE(C260&amp;"-01"),3),'📋 Транзакції'!$C$5:$C$3623,"&lt;"&amp;EDATE(DATEVALUE(C260&amp;"-01"),4))&gt;0,1,0)</f>
        <v>1</v>
      </c>
      <c r="K260" s="37">
        <f>IF(COUNTIFS('📋 Транзакції'!$B$5:$B$3623,A260,'📋 Транзакції'!$C$5:$C$3623,"&gt;="&amp;EDATE(DATEVALUE(C260&amp;"-01"),4),'📋 Транзакції'!$C$5:$C$3623,"&lt;"&amp;EDATE(DATEVALUE(C260&amp;"-01"),5))&gt;0,1,0)</f>
        <v>1</v>
      </c>
      <c r="L260" s="37">
        <f>IF(COUNTIFS('📋 Транзакції'!$B$5:$B$3623,A260,'📋 Транзакції'!$C$5:$C$3623,"&gt;="&amp;EDATE(DATEVALUE(C260&amp;"-01"),5),'📋 Транзакції'!$C$5:$C$3623,"&lt;"&amp;EDATE(DATEVALUE(C260&amp;"-01"),6))&gt;0,1,0)</f>
        <v>1</v>
      </c>
      <c r="M260" s="37">
        <f>IF(COUNTIFS('📋 Транзакції'!$B$5:$B$3623,A260,'📋 Транзакції'!$C$5:$C$3623,"&gt;="&amp;EDATE(DATEVALUE(C260&amp;"-01"),6),'📋 Транзакції'!$C$5:$C$3623,"&lt;"&amp;EDATE(DATEVALUE(C260&amp;"-01"),7))&gt;0,1,0)</f>
        <v>1</v>
      </c>
      <c r="N260" s="37">
        <f>IF(COUNTIFS('📋 Транзакції'!$B$5:$B$3623,A260,'📋 Транзакції'!$C$5:$C$3623,"&gt;="&amp;EDATE(DATEVALUE(C260&amp;"-01"),7),'📋 Транзакції'!$C$5:$C$3623,"&lt;"&amp;EDATE(DATEVALUE(C260&amp;"-01"),8))&gt;0,1,0)</f>
        <v>1</v>
      </c>
      <c r="O260" s="37">
        <f>IF(COUNTIFS('📋 Транзакції'!$B$5:$B$3623,A260,'📋 Транзакції'!$C$5:$C$3623,"&gt;="&amp;EDATE(DATEVALUE(C260&amp;"-01"),8),'📋 Транзакції'!$C$5:$C$3623,"&lt;"&amp;EDATE(DATEVALUE(C260&amp;"-01"),9))&gt;0,1,0)</f>
        <v>0</v>
      </c>
      <c r="P260" s="37">
        <f>IF(COUNTIFS('📋 Транзакції'!$B$5:$B$3623,A260,'📋 Транзакції'!$C$5:$C$3623,"&gt;="&amp;EDATE(DATEVALUE(C260&amp;"-01"),9),'📋 Транзакції'!$C$5:$C$3623,"&lt;"&amp;EDATE(DATEVALUE(C260&amp;"-01"),10))&gt;0,1,0)</f>
        <v>0</v>
      </c>
      <c r="Q260" s="37">
        <f>IF(COUNTIFS('📋 Транзакції'!$B$5:$B$3623,A260,'📋 Транзакції'!$C$5:$C$3623,"&gt;="&amp;EDATE(DATEVALUE(C260&amp;"-01"),10),'📋 Транзакції'!$C$5:$C$3623,"&lt;"&amp;EDATE(DATEVALUE(C260&amp;"-01"),11))&gt;0,1,0)</f>
        <v>0</v>
      </c>
      <c r="R260" s="37">
        <f>IF(COUNTIFS('📋 Транзакції'!$B$5:$B$3623,A260,'📋 Транзакції'!$C$5:$C$3623,"&gt;="&amp;EDATE(DATEVALUE(C260&amp;"-01"),11),'📋 Транзакції'!$C$5:$C$3623,"&lt;"&amp;EDATE(DATEVALUE(C260&amp;"-01"),12))&gt;0,1,0)</f>
        <v>0</v>
      </c>
      <c r="S260" s="37">
        <f>SUMIFS('📋 Транзакції'!$F$5:$F$3623,'📋 Транзакції'!$B$5:$B$3623,A260,'📋 Транзакції'!$C$5:$C$3623,"&gt;="&amp;EDATE(DATEVALUE(C260&amp;"-01"),0),'📋 Транзакції'!$C$5:$C$3623,"&lt;"&amp;EDATE(DATEVALUE(C260&amp;"-01"),1))</f>
        <v>19.99</v>
      </c>
      <c r="T260" s="37">
        <f>SUMIFS('📋 Транзакції'!$F$5:$F$3623,'📋 Транзакції'!$B$5:$B$3623,A260,'📋 Транзакції'!$C$5:$C$3623,"&gt;="&amp;EDATE(DATEVALUE(C260&amp;"-01"),1),'📋 Транзакції'!$C$5:$C$3623,"&lt;"&amp;EDATE(DATEVALUE(C260&amp;"-01"),2))</f>
        <v>19.99</v>
      </c>
      <c r="U260" s="37">
        <f>SUMIFS('📋 Транзакції'!$F$5:$F$3623,'📋 Транзакції'!$B$5:$B$3623,A260,'📋 Транзакції'!$C$5:$C$3623,"&gt;="&amp;EDATE(DATEVALUE(C260&amp;"-01"),2),'📋 Транзакції'!$C$5:$C$3623,"&lt;"&amp;EDATE(DATEVALUE(C260&amp;"-01"),3))</f>
        <v>19.99</v>
      </c>
      <c r="V260" s="37">
        <f>SUMIFS('📋 Транзакції'!$F$5:$F$3623,'📋 Транзакції'!$B$5:$B$3623,A260,'📋 Транзакції'!$C$5:$C$3623,"&gt;="&amp;EDATE(DATEVALUE(C260&amp;"-01"),3),'📋 Транзакції'!$C$5:$C$3623,"&lt;"&amp;EDATE(DATEVALUE(C260&amp;"-01"),4))</f>
        <v>19.99</v>
      </c>
      <c r="W260" s="37">
        <f>SUMIFS('📋 Транзакції'!$F$5:$F$3623,'📋 Транзакції'!$B$5:$B$3623,A260,'📋 Транзакції'!$C$5:$C$3623,"&gt;="&amp;EDATE(DATEVALUE(C260&amp;"-01"),4),'📋 Транзакції'!$C$5:$C$3623,"&lt;"&amp;EDATE(DATEVALUE(C260&amp;"-01"),5))</f>
        <v>19.99</v>
      </c>
      <c r="X260" s="37">
        <f>SUMIFS('📋 Транзакції'!$F$5:$F$3623,'📋 Транзакції'!$B$5:$B$3623,A260,'📋 Транзакції'!$C$5:$C$3623,"&gt;="&amp;EDATE(DATEVALUE(C260&amp;"-01"),5),'📋 Транзакції'!$C$5:$C$3623,"&lt;"&amp;EDATE(DATEVALUE(C260&amp;"-01"),6))</f>
        <v>19.99</v>
      </c>
      <c r="Y260" s="37">
        <f>SUMIFS('📋 Транзакції'!$F$5:$F$3623,'📋 Транзакції'!$B$5:$B$3623,A260,'📋 Транзакції'!$C$5:$C$3623,"&gt;="&amp;EDATE(DATEVALUE(C260&amp;"-01"),6),'📋 Транзакції'!$C$5:$C$3623,"&lt;"&amp;EDATE(DATEVALUE(C260&amp;"-01"),7))</f>
        <v>19.99</v>
      </c>
      <c r="Z260" s="37">
        <f>SUMIFS('📋 Транзакції'!$F$5:$F$3623,'📋 Транзакції'!$B$5:$B$3623,A260,'📋 Транзакції'!$C$5:$C$3623,"&gt;="&amp;EDATE(DATEVALUE(C260&amp;"-01"),7),'📋 Транзакції'!$C$5:$C$3623,"&lt;"&amp;EDATE(DATEVALUE(C260&amp;"-01"),8))</f>
        <v>19.99</v>
      </c>
      <c r="AA260" s="37">
        <f>SUMIFS('📋 Транзакції'!$F$5:$F$3623,'📋 Транзакції'!$B$5:$B$3623,A260,'📋 Транзакції'!$C$5:$C$3623,"&gt;="&amp;EDATE(DATEVALUE(C260&amp;"-01"),8),'📋 Транзакції'!$C$5:$C$3623,"&lt;"&amp;EDATE(DATEVALUE(C260&amp;"-01"),9))</f>
        <v>0</v>
      </c>
      <c r="AB260" s="37">
        <f>SUMIFS('📋 Транзакції'!$F$5:$F$3623,'📋 Транзакції'!$B$5:$B$3623,A260,'📋 Транзакції'!$C$5:$C$3623,"&gt;="&amp;EDATE(DATEVALUE(C260&amp;"-01"),9),'📋 Транзакції'!$C$5:$C$3623,"&lt;"&amp;EDATE(DATEVALUE(C260&amp;"-01"),10))</f>
        <v>0</v>
      </c>
      <c r="AC260" s="37">
        <f>SUMIFS('📋 Транзакції'!$F$5:$F$3623,'📋 Транзакції'!$B$5:$B$3623,A260,'📋 Транзакції'!$C$5:$C$3623,"&gt;="&amp;EDATE(DATEVALUE(C260&amp;"-01"),10),'📋 Транзакції'!$C$5:$C$3623,"&lt;"&amp;EDATE(DATEVALUE(C260&amp;"-01"),11))</f>
        <v>0</v>
      </c>
      <c r="AD260" s="37">
        <f>SUMIFS('📋 Транзакції'!$F$5:$F$3623,'📋 Транзакції'!$B$5:$B$3623,A260,'📋 Транзакції'!$C$5:$C$3623,"&gt;="&amp;EDATE(DATEVALUE(C260&amp;"-01"),11),'📋 Транзакції'!$C$5:$C$3623,"&lt;"&amp;EDATE(DATEVALUE(C260&amp;"-01"),12))</f>
        <v>0</v>
      </c>
    </row>
    <row r="261" ht="15.75" customHeight="1">
      <c r="A261" s="33" t="str">
        <f>'📋 Реєстрації'!A261:A862</f>
        <v>U0838</v>
      </c>
      <c r="B261" s="34">
        <f t="array" ref="B261">INDEX('📋 Транзакції'!$C$5:$C$3623,MATCH(A261,'📋 Транзакції'!$B$5:$B$3623,0))</f>
        <v>45527</v>
      </c>
      <c r="C261" s="35" t="str">
        <f t="shared" si="1"/>
        <v>2024-08</v>
      </c>
      <c r="D261" s="36">
        <f>COUNTIF('📋 Транзакції'!$B$5:$B$3623,A261)</f>
        <v>2</v>
      </c>
      <c r="E261" s="36">
        <f>SUMIF('📋 Транзакції'!$B$5:$B$3623,A261,'📋 Транзакції'!$F$5:$F$3623)</f>
        <v>19.99</v>
      </c>
      <c r="F261" s="35">
        <f>INT($A$1-MAXIFS('📋 Транзакції'!$C$5:$C$3623,'📋 Транзакції'!$B$5:$B$3623,A261))</f>
        <v>213</v>
      </c>
      <c r="G261" s="37">
        <f>IF(COUNTIFS('📋 Транзакції'!$B$5:$B$3623,A261,'📋 Транзакції'!$C$5:$C$3623,"&gt;="&amp;EDATE(DATEVALUE(C261&amp;"-01"),0),'📋 Транзакції'!$C$5:$C$3623,"&lt;"&amp;EDATE(DATEVALUE(C261&amp;"-01"),1))&gt;0,1,0)</f>
        <v>1</v>
      </c>
      <c r="H261" s="37">
        <f>IF(COUNTIFS('📋 Транзакції'!$B$5:$B$3623,A261,'📋 Транзакції'!$C$5:$C$3623,"&gt;="&amp;EDATE(DATEVALUE(C261&amp;"-01"),1),'📋 Транзакції'!$C$5:$C$3623,"&lt;"&amp;EDATE(DATEVALUE(C261&amp;"-01"),2))&gt;0,1,0)</f>
        <v>0</v>
      </c>
      <c r="I261" s="37">
        <f>IF(COUNTIFS('📋 Транзакції'!$B$5:$B$3623,A261,'📋 Транзакції'!$C$5:$C$3623,"&gt;="&amp;EDATE(DATEVALUE(C261&amp;"-01"),2),'📋 Транзакції'!$C$5:$C$3623,"&lt;"&amp;EDATE(DATEVALUE(C261&amp;"-01"),3))&gt;0,1,0)</f>
        <v>0</v>
      </c>
      <c r="J261" s="37">
        <f>IF(COUNTIFS('📋 Транзакції'!$B$5:$B$3623,A261,'📋 Транзакції'!$C$5:$C$3623,"&gt;="&amp;EDATE(DATEVALUE(C261&amp;"-01"),3),'📋 Транзакції'!$C$5:$C$3623,"&lt;"&amp;EDATE(DATEVALUE(C261&amp;"-01"),4))&gt;0,1,0)</f>
        <v>0</v>
      </c>
      <c r="K261" s="37">
        <f>IF(COUNTIFS('📋 Транзакції'!$B$5:$B$3623,A261,'📋 Транзакції'!$C$5:$C$3623,"&gt;="&amp;EDATE(DATEVALUE(C261&amp;"-01"),4),'📋 Транзакції'!$C$5:$C$3623,"&lt;"&amp;EDATE(DATEVALUE(C261&amp;"-01"),5))&gt;0,1,0)</f>
        <v>0</v>
      </c>
      <c r="L261" s="37">
        <f>IF(COUNTIFS('📋 Транзакції'!$B$5:$B$3623,A261,'📋 Транзакції'!$C$5:$C$3623,"&gt;="&amp;EDATE(DATEVALUE(C261&amp;"-01"),5),'📋 Транзакції'!$C$5:$C$3623,"&lt;"&amp;EDATE(DATEVALUE(C261&amp;"-01"),6))&gt;0,1,0)</f>
        <v>0</v>
      </c>
      <c r="M261" s="37">
        <f>IF(COUNTIFS('📋 Транзакції'!$B$5:$B$3623,A261,'📋 Транзакції'!$C$5:$C$3623,"&gt;="&amp;EDATE(DATEVALUE(C261&amp;"-01"),6),'📋 Транзакції'!$C$5:$C$3623,"&lt;"&amp;EDATE(DATEVALUE(C261&amp;"-01"),7))&gt;0,1,0)</f>
        <v>0</v>
      </c>
      <c r="N261" s="37">
        <f>IF(COUNTIFS('📋 Транзакції'!$B$5:$B$3623,A261,'📋 Транзакції'!$C$5:$C$3623,"&gt;="&amp;EDATE(DATEVALUE(C261&amp;"-01"),7),'📋 Транзакції'!$C$5:$C$3623,"&lt;"&amp;EDATE(DATEVALUE(C261&amp;"-01"),8))&gt;0,1,0)</f>
        <v>0</v>
      </c>
      <c r="O261" s="37">
        <f>IF(COUNTIFS('📋 Транзакції'!$B$5:$B$3623,A261,'📋 Транзакції'!$C$5:$C$3623,"&gt;="&amp;EDATE(DATEVALUE(C261&amp;"-01"),8),'📋 Транзакції'!$C$5:$C$3623,"&lt;"&amp;EDATE(DATEVALUE(C261&amp;"-01"),9))&gt;0,1,0)</f>
        <v>0</v>
      </c>
      <c r="P261" s="37">
        <f>IF(COUNTIFS('📋 Транзакції'!$B$5:$B$3623,A261,'📋 Транзакції'!$C$5:$C$3623,"&gt;="&amp;EDATE(DATEVALUE(C261&amp;"-01"),9),'📋 Транзакції'!$C$5:$C$3623,"&lt;"&amp;EDATE(DATEVALUE(C261&amp;"-01"),10))&gt;0,1,0)</f>
        <v>0</v>
      </c>
      <c r="Q261" s="37">
        <f>IF(COUNTIFS('📋 Транзакції'!$B$5:$B$3623,A261,'📋 Транзакції'!$C$5:$C$3623,"&gt;="&amp;EDATE(DATEVALUE(C261&amp;"-01"),10),'📋 Транзакції'!$C$5:$C$3623,"&lt;"&amp;EDATE(DATEVALUE(C261&amp;"-01"),11))&gt;0,1,0)</f>
        <v>0</v>
      </c>
      <c r="R261" s="37">
        <f>IF(COUNTIFS('📋 Транзакції'!$B$5:$B$3623,A261,'📋 Транзакції'!$C$5:$C$3623,"&gt;="&amp;EDATE(DATEVALUE(C261&amp;"-01"),11),'📋 Транзакції'!$C$5:$C$3623,"&lt;"&amp;EDATE(DATEVALUE(C261&amp;"-01"),12))&gt;0,1,0)</f>
        <v>0</v>
      </c>
      <c r="S261" s="37">
        <f>SUMIFS('📋 Транзакції'!$F$5:$F$3623,'📋 Транзакції'!$B$5:$B$3623,A261,'📋 Транзакції'!$C$5:$C$3623,"&gt;="&amp;EDATE(DATEVALUE(C261&amp;"-01"),0),'📋 Транзакції'!$C$5:$C$3623,"&lt;"&amp;EDATE(DATEVALUE(C261&amp;"-01"),1))</f>
        <v>19.99</v>
      </c>
      <c r="T261" s="37">
        <f>SUMIFS('📋 Транзакції'!$F$5:$F$3623,'📋 Транзакції'!$B$5:$B$3623,A261,'📋 Транзакції'!$C$5:$C$3623,"&gt;="&amp;EDATE(DATEVALUE(C261&amp;"-01"),1),'📋 Транзакції'!$C$5:$C$3623,"&lt;"&amp;EDATE(DATEVALUE(C261&amp;"-01"),2))</f>
        <v>0</v>
      </c>
      <c r="U261" s="37">
        <f>SUMIFS('📋 Транзакції'!$F$5:$F$3623,'📋 Транзакції'!$B$5:$B$3623,A261,'📋 Транзакції'!$C$5:$C$3623,"&gt;="&amp;EDATE(DATEVALUE(C261&amp;"-01"),2),'📋 Транзакції'!$C$5:$C$3623,"&lt;"&amp;EDATE(DATEVALUE(C261&amp;"-01"),3))</f>
        <v>0</v>
      </c>
      <c r="V261" s="37">
        <f>SUMIFS('📋 Транзакції'!$F$5:$F$3623,'📋 Транзакції'!$B$5:$B$3623,A261,'📋 Транзакції'!$C$5:$C$3623,"&gt;="&amp;EDATE(DATEVALUE(C261&amp;"-01"),3),'📋 Транзакції'!$C$5:$C$3623,"&lt;"&amp;EDATE(DATEVALUE(C261&amp;"-01"),4))</f>
        <v>0</v>
      </c>
      <c r="W261" s="37">
        <f>SUMIFS('📋 Транзакції'!$F$5:$F$3623,'📋 Транзакції'!$B$5:$B$3623,A261,'📋 Транзакції'!$C$5:$C$3623,"&gt;="&amp;EDATE(DATEVALUE(C261&amp;"-01"),4),'📋 Транзакції'!$C$5:$C$3623,"&lt;"&amp;EDATE(DATEVALUE(C261&amp;"-01"),5))</f>
        <v>0</v>
      </c>
      <c r="X261" s="37">
        <f>SUMIFS('📋 Транзакції'!$F$5:$F$3623,'📋 Транзакції'!$B$5:$B$3623,A261,'📋 Транзакції'!$C$5:$C$3623,"&gt;="&amp;EDATE(DATEVALUE(C261&amp;"-01"),5),'📋 Транзакції'!$C$5:$C$3623,"&lt;"&amp;EDATE(DATEVALUE(C261&amp;"-01"),6))</f>
        <v>0</v>
      </c>
      <c r="Y261" s="37">
        <f>SUMIFS('📋 Транзакції'!$F$5:$F$3623,'📋 Транзакції'!$B$5:$B$3623,A261,'📋 Транзакції'!$C$5:$C$3623,"&gt;="&amp;EDATE(DATEVALUE(C261&amp;"-01"),6),'📋 Транзакції'!$C$5:$C$3623,"&lt;"&amp;EDATE(DATEVALUE(C261&amp;"-01"),7))</f>
        <v>0</v>
      </c>
      <c r="Z261" s="37">
        <f>SUMIFS('📋 Транзакції'!$F$5:$F$3623,'📋 Транзакції'!$B$5:$B$3623,A261,'📋 Транзакції'!$C$5:$C$3623,"&gt;="&amp;EDATE(DATEVALUE(C261&amp;"-01"),7),'📋 Транзакції'!$C$5:$C$3623,"&lt;"&amp;EDATE(DATEVALUE(C261&amp;"-01"),8))</f>
        <v>0</v>
      </c>
      <c r="AA261" s="37">
        <f>SUMIFS('📋 Транзакції'!$F$5:$F$3623,'📋 Транзакції'!$B$5:$B$3623,A261,'📋 Транзакції'!$C$5:$C$3623,"&gt;="&amp;EDATE(DATEVALUE(C261&amp;"-01"),8),'📋 Транзакції'!$C$5:$C$3623,"&lt;"&amp;EDATE(DATEVALUE(C261&amp;"-01"),9))</f>
        <v>0</v>
      </c>
      <c r="AB261" s="37">
        <f>SUMIFS('📋 Транзакції'!$F$5:$F$3623,'📋 Транзакції'!$B$5:$B$3623,A261,'📋 Транзакції'!$C$5:$C$3623,"&gt;="&amp;EDATE(DATEVALUE(C261&amp;"-01"),9),'📋 Транзакції'!$C$5:$C$3623,"&lt;"&amp;EDATE(DATEVALUE(C261&amp;"-01"),10))</f>
        <v>0</v>
      </c>
      <c r="AC261" s="37">
        <f>SUMIFS('📋 Транзакції'!$F$5:$F$3623,'📋 Транзакції'!$B$5:$B$3623,A261,'📋 Транзакції'!$C$5:$C$3623,"&gt;="&amp;EDATE(DATEVALUE(C261&amp;"-01"),10),'📋 Транзакції'!$C$5:$C$3623,"&lt;"&amp;EDATE(DATEVALUE(C261&amp;"-01"),11))</f>
        <v>0</v>
      </c>
      <c r="AD261" s="37">
        <f>SUMIFS('📋 Транзакції'!$F$5:$F$3623,'📋 Транзакції'!$B$5:$B$3623,A261,'📋 Транзакції'!$C$5:$C$3623,"&gt;="&amp;EDATE(DATEVALUE(C261&amp;"-01"),11),'📋 Транзакції'!$C$5:$C$3623,"&lt;"&amp;EDATE(DATEVALUE(C261&amp;"-01"),12))</f>
        <v>0</v>
      </c>
    </row>
    <row r="262" ht="15.75" customHeight="1">
      <c r="A262" s="33" t="str">
        <f>'📋 Реєстрації'!A262:A863</f>
        <v>U0429</v>
      </c>
      <c r="B262" s="34">
        <f t="array" ref="B262">INDEX('📋 Транзакції'!$C$5:$C$3623,MATCH(A262,'📋 Транзакції'!$B$5:$B$3623,0))</f>
        <v>45528</v>
      </c>
      <c r="C262" s="35" t="str">
        <f t="shared" si="1"/>
        <v>2024-08</v>
      </c>
      <c r="D262" s="36">
        <f>COUNTIF('📋 Транзакції'!$B$5:$B$3623,A262)</f>
        <v>3</v>
      </c>
      <c r="E262" s="36">
        <f>SUMIF('📋 Транзакції'!$B$5:$B$3623,A262,'📋 Транзакції'!$F$5:$F$3623)</f>
        <v>39.98</v>
      </c>
      <c r="F262" s="35">
        <f>INT($A$1-MAXIFS('📋 Транзакції'!$C$5:$C$3623,'📋 Транзакції'!$B$5:$B$3623,A262))</f>
        <v>182</v>
      </c>
      <c r="G262" s="37">
        <f>IF(COUNTIFS('📋 Транзакції'!$B$5:$B$3623,A262,'📋 Транзакції'!$C$5:$C$3623,"&gt;="&amp;EDATE(DATEVALUE(C262&amp;"-01"),0),'📋 Транзакції'!$C$5:$C$3623,"&lt;"&amp;EDATE(DATEVALUE(C262&amp;"-01"),1))&gt;0,1,0)</f>
        <v>1</v>
      </c>
      <c r="H262" s="37">
        <f>IF(COUNTIFS('📋 Транзакції'!$B$5:$B$3623,A262,'📋 Транзакції'!$C$5:$C$3623,"&gt;="&amp;EDATE(DATEVALUE(C262&amp;"-01"),1),'📋 Транзакції'!$C$5:$C$3623,"&lt;"&amp;EDATE(DATEVALUE(C262&amp;"-01"),2))&gt;0,1,0)</f>
        <v>1</v>
      </c>
      <c r="I262" s="37">
        <f>IF(COUNTIFS('📋 Транзакції'!$B$5:$B$3623,A262,'📋 Транзакції'!$C$5:$C$3623,"&gt;="&amp;EDATE(DATEVALUE(C262&amp;"-01"),2),'📋 Транзакції'!$C$5:$C$3623,"&lt;"&amp;EDATE(DATEVALUE(C262&amp;"-01"),3))&gt;0,1,0)</f>
        <v>0</v>
      </c>
      <c r="J262" s="37">
        <f>IF(COUNTIFS('📋 Транзакції'!$B$5:$B$3623,A262,'📋 Транзакції'!$C$5:$C$3623,"&gt;="&amp;EDATE(DATEVALUE(C262&amp;"-01"),3),'📋 Транзакції'!$C$5:$C$3623,"&lt;"&amp;EDATE(DATEVALUE(C262&amp;"-01"),4))&gt;0,1,0)</f>
        <v>0</v>
      </c>
      <c r="K262" s="37">
        <f>IF(COUNTIFS('📋 Транзакції'!$B$5:$B$3623,A262,'📋 Транзакції'!$C$5:$C$3623,"&gt;="&amp;EDATE(DATEVALUE(C262&amp;"-01"),4),'📋 Транзакції'!$C$5:$C$3623,"&lt;"&amp;EDATE(DATEVALUE(C262&amp;"-01"),5))&gt;0,1,0)</f>
        <v>0</v>
      </c>
      <c r="L262" s="37">
        <f>IF(COUNTIFS('📋 Транзакції'!$B$5:$B$3623,A262,'📋 Транзакції'!$C$5:$C$3623,"&gt;="&amp;EDATE(DATEVALUE(C262&amp;"-01"),5),'📋 Транзакції'!$C$5:$C$3623,"&lt;"&amp;EDATE(DATEVALUE(C262&amp;"-01"),6))&gt;0,1,0)</f>
        <v>0</v>
      </c>
      <c r="M262" s="37">
        <f>IF(COUNTIFS('📋 Транзакції'!$B$5:$B$3623,A262,'📋 Транзакції'!$C$5:$C$3623,"&gt;="&amp;EDATE(DATEVALUE(C262&amp;"-01"),6),'📋 Транзакції'!$C$5:$C$3623,"&lt;"&amp;EDATE(DATEVALUE(C262&amp;"-01"),7))&gt;0,1,0)</f>
        <v>0</v>
      </c>
      <c r="N262" s="37">
        <f>IF(COUNTIFS('📋 Транзакції'!$B$5:$B$3623,A262,'📋 Транзакції'!$C$5:$C$3623,"&gt;="&amp;EDATE(DATEVALUE(C262&amp;"-01"),7),'📋 Транзакції'!$C$5:$C$3623,"&lt;"&amp;EDATE(DATEVALUE(C262&amp;"-01"),8))&gt;0,1,0)</f>
        <v>0</v>
      </c>
      <c r="O262" s="37">
        <f>IF(COUNTIFS('📋 Транзакції'!$B$5:$B$3623,A262,'📋 Транзакції'!$C$5:$C$3623,"&gt;="&amp;EDATE(DATEVALUE(C262&amp;"-01"),8),'📋 Транзакції'!$C$5:$C$3623,"&lt;"&amp;EDATE(DATEVALUE(C262&amp;"-01"),9))&gt;0,1,0)</f>
        <v>0</v>
      </c>
      <c r="P262" s="37">
        <f>IF(COUNTIFS('📋 Транзакції'!$B$5:$B$3623,A262,'📋 Транзакції'!$C$5:$C$3623,"&gt;="&amp;EDATE(DATEVALUE(C262&amp;"-01"),9),'📋 Транзакції'!$C$5:$C$3623,"&lt;"&amp;EDATE(DATEVALUE(C262&amp;"-01"),10))&gt;0,1,0)</f>
        <v>0</v>
      </c>
      <c r="Q262" s="37">
        <f>IF(COUNTIFS('📋 Транзакції'!$B$5:$B$3623,A262,'📋 Транзакції'!$C$5:$C$3623,"&gt;="&amp;EDATE(DATEVALUE(C262&amp;"-01"),10),'📋 Транзакції'!$C$5:$C$3623,"&lt;"&amp;EDATE(DATEVALUE(C262&amp;"-01"),11))&gt;0,1,0)</f>
        <v>0</v>
      </c>
      <c r="R262" s="37">
        <f>IF(COUNTIFS('📋 Транзакції'!$B$5:$B$3623,A262,'📋 Транзакції'!$C$5:$C$3623,"&gt;="&amp;EDATE(DATEVALUE(C262&amp;"-01"),11),'📋 Транзакції'!$C$5:$C$3623,"&lt;"&amp;EDATE(DATEVALUE(C262&amp;"-01"),12))&gt;0,1,0)</f>
        <v>0</v>
      </c>
      <c r="S262" s="37">
        <f>SUMIFS('📋 Транзакції'!$F$5:$F$3623,'📋 Транзакції'!$B$5:$B$3623,A262,'📋 Транзакції'!$C$5:$C$3623,"&gt;="&amp;EDATE(DATEVALUE(C262&amp;"-01"),0),'📋 Транзакції'!$C$5:$C$3623,"&lt;"&amp;EDATE(DATEVALUE(C262&amp;"-01"),1))</f>
        <v>19.99</v>
      </c>
      <c r="T262" s="37">
        <f>SUMIFS('📋 Транзакції'!$F$5:$F$3623,'📋 Транзакції'!$B$5:$B$3623,A262,'📋 Транзакції'!$C$5:$C$3623,"&gt;="&amp;EDATE(DATEVALUE(C262&amp;"-01"),1),'📋 Транзакції'!$C$5:$C$3623,"&lt;"&amp;EDATE(DATEVALUE(C262&amp;"-01"),2))</f>
        <v>19.99</v>
      </c>
      <c r="U262" s="37">
        <f>SUMIFS('📋 Транзакції'!$F$5:$F$3623,'📋 Транзакції'!$B$5:$B$3623,A262,'📋 Транзакції'!$C$5:$C$3623,"&gt;="&amp;EDATE(DATEVALUE(C262&amp;"-01"),2),'📋 Транзакції'!$C$5:$C$3623,"&lt;"&amp;EDATE(DATEVALUE(C262&amp;"-01"),3))</f>
        <v>0</v>
      </c>
      <c r="V262" s="37">
        <f>SUMIFS('📋 Транзакції'!$F$5:$F$3623,'📋 Транзакції'!$B$5:$B$3623,A262,'📋 Транзакції'!$C$5:$C$3623,"&gt;="&amp;EDATE(DATEVALUE(C262&amp;"-01"),3),'📋 Транзакції'!$C$5:$C$3623,"&lt;"&amp;EDATE(DATEVALUE(C262&amp;"-01"),4))</f>
        <v>0</v>
      </c>
      <c r="W262" s="37">
        <f>SUMIFS('📋 Транзакції'!$F$5:$F$3623,'📋 Транзакції'!$B$5:$B$3623,A262,'📋 Транзакції'!$C$5:$C$3623,"&gt;="&amp;EDATE(DATEVALUE(C262&amp;"-01"),4),'📋 Транзакції'!$C$5:$C$3623,"&lt;"&amp;EDATE(DATEVALUE(C262&amp;"-01"),5))</f>
        <v>0</v>
      </c>
      <c r="X262" s="37">
        <f>SUMIFS('📋 Транзакції'!$F$5:$F$3623,'📋 Транзакції'!$B$5:$B$3623,A262,'📋 Транзакції'!$C$5:$C$3623,"&gt;="&amp;EDATE(DATEVALUE(C262&amp;"-01"),5),'📋 Транзакції'!$C$5:$C$3623,"&lt;"&amp;EDATE(DATEVALUE(C262&amp;"-01"),6))</f>
        <v>0</v>
      </c>
      <c r="Y262" s="37">
        <f>SUMIFS('📋 Транзакції'!$F$5:$F$3623,'📋 Транзакції'!$B$5:$B$3623,A262,'📋 Транзакції'!$C$5:$C$3623,"&gt;="&amp;EDATE(DATEVALUE(C262&amp;"-01"),6),'📋 Транзакції'!$C$5:$C$3623,"&lt;"&amp;EDATE(DATEVALUE(C262&amp;"-01"),7))</f>
        <v>0</v>
      </c>
      <c r="Z262" s="37">
        <f>SUMIFS('📋 Транзакції'!$F$5:$F$3623,'📋 Транзакції'!$B$5:$B$3623,A262,'📋 Транзакції'!$C$5:$C$3623,"&gt;="&amp;EDATE(DATEVALUE(C262&amp;"-01"),7),'📋 Транзакції'!$C$5:$C$3623,"&lt;"&amp;EDATE(DATEVALUE(C262&amp;"-01"),8))</f>
        <v>0</v>
      </c>
      <c r="AA262" s="37">
        <f>SUMIFS('📋 Транзакції'!$F$5:$F$3623,'📋 Транзакції'!$B$5:$B$3623,A262,'📋 Транзакції'!$C$5:$C$3623,"&gt;="&amp;EDATE(DATEVALUE(C262&amp;"-01"),8),'📋 Транзакції'!$C$5:$C$3623,"&lt;"&amp;EDATE(DATEVALUE(C262&amp;"-01"),9))</f>
        <v>0</v>
      </c>
      <c r="AB262" s="37">
        <f>SUMIFS('📋 Транзакції'!$F$5:$F$3623,'📋 Транзакції'!$B$5:$B$3623,A262,'📋 Транзакції'!$C$5:$C$3623,"&gt;="&amp;EDATE(DATEVALUE(C262&amp;"-01"),9),'📋 Транзакції'!$C$5:$C$3623,"&lt;"&amp;EDATE(DATEVALUE(C262&amp;"-01"),10))</f>
        <v>0</v>
      </c>
      <c r="AC262" s="37">
        <f>SUMIFS('📋 Транзакції'!$F$5:$F$3623,'📋 Транзакції'!$B$5:$B$3623,A262,'📋 Транзакції'!$C$5:$C$3623,"&gt;="&amp;EDATE(DATEVALUE(C262&amp;"-01"),10),'📋 Транзакції'!$C$5:$C$3623,"&lt;"&amp;EDATE(DATEVALUE(C262&amp;"-01"),11))</f>
        <v>0</v>
      </c>
      <c r="AD262" s="37">
        <f>SUMIFS('📋 Транзакції'!$F$5:$F$3623,'📋 Транзакції'!$B$5:$B$3623,A262,'📋 Транзакції'!$C$5:$C$3623,"&gt;="&amp;EDATE(DATEVALUE(C262&amp;"-01"),11),'📋 Транзакції'!$C$5:$C$3623,"&lt;"&amp;EDATE(DATEVALUE(C262&amp;"-01"),12))</f>
        <v>0</v>
      </c>
    </row>
    <row r="263" ht="15.75" customHeight="1">
      <c r="A263" s="33" t="str">
        <f>'📋 Реєстрації'!A263:A864</f>
        <v>U0282</v>
      </c>
      <c r="B263" s="34">
        <f t="array" ref="B263">INDEX('📋 Транзакції'!$C$5:$C$3623,MATCH(A263,'📋 Транзакції'!$B$5:$B$3623,0))</f>
        <v>45529</v>
      </c>
      <c r="C263" s="35" t="str">
        <f t="shared" si="1"/>
        <v>2024-08</v>
      </c>
      <c r="D263" s="36">
        <f>COUNTIF('📋 Транзакції'!$B$5:$B$3623,A263)</f>
        <v>3</v>
      </c>
      <c r="E263" s="36">
        <f>SUMIF('📋 Транзакції'!$B$5:$B$3623,A263,'📋 Транзакції'!$F$5:$F$3623)</f>
        <v>39.98</v>
      </c>
      <c r="F263" s="35">
        <f>INT($A$1-MAXIFS('📋 Транзакції'!$C$5:$C$3623,'📋 Транзакції'!$B$5:$B$3623,A263))</f>
        <v>181</v>
      </c>
      <c r="G263" s="37">
        <f>IF(COUNTIFS('📋 Транзакції'!$B$5:$B$3623,A263,'📋 Транзакції'!$C$5:$C$3623,"&gt;="&amp;EDATE(DATEVALUE(C263&amp;"-01"),0),'📋 Транзакції'!$C$5:$C$3623,"&lt;"&amp;EDATE(DATEVALUE(C263&amp;"-01"),1))&gt;0,1,0)</f>
        <v>1</v>
      </c>
      <c r="H263" s="37">
        <f>IF(COUNTIFS('📋 Транзакції'!$B$5:$B$3623,A263,'📋 Транзакції'!$C$5:$C$3623,"&gt;="&amp;EDATE(DATEVALUE(C263&amp;"-01"),1),'📋 Транзакції'!$C$5:$C$3623,"&lt;"&amp;EDATE(DATEVALUE(C263&amp;"-01"),2))&gt;0,1,0)</f>
        <v>1</v>
      </c>
      <c r="I263" s="37">
        <f>IF(COUNTIFS('📋 Транзакції'!$B$5:$B$3623,A263,'📋 Транзакції'!$C$5:$C$3623,"&gt;="&amp;EDATE(DATEVALUE(C263&amp;"-01"),2),'📋 Транзакції'!$C$5:$C$3623,"&lt;"&amp;EDATE(DATEVALUE(C263&amp;"-01"),3))&gt;0,1,0)</f>
        <v>1</v>
      </c>
      <c r="J263" s="37">
        <f>IF(COUNTIFS('📋 Транзакції'!$B$5:$B$3623,A263,'📋 Транзакції'!$C$5:$C$3623,"&gt;="&amp;EDATE(DATEVALUE(C263&amp;"-01"),3),'📋 Транзакції'!$C$5:$C$3623,"&lt;"&amp;EDATE(DATEVALUE(C263&amp;"-01"),4))&gt;0,1,0)</f>
        <v>0</v>
      </c>
      <c r="K263" s="37">
        <f>IF(COUNTIFS('📋 Транзакції'!$B$5:$B$3623,A263,'📋 Транзакції'!$C$5:$C$3623,"&gt;="&amp;EDATE(DATEVALUE(C263&amp;"-01"),4),'📋 Транзакції'!$C$5:$C$3623,"&lt;"&amp;EDATE(DATEVALUE(C263&amp;"-01"),5))&gt;0,1,0)</f>
        <v>0</v>
      </c>
      <c r="L263" s="37">
        <f>IF(COUNTIFS('📋 Транзакції'!$B$5:$B$3623,A263,'📋 Транзакції'!$C$5:$C$3623,"&gt;="&amp;EDATE(DATEVALUE(C263&amp;"-01"),5),'📋 Транзакції'!$C$5:$C$3623,"&lt;"&amp;EDATE(DATEVALUE(C263&amp;"-01"),6))&gt;0,1,0)</f>
        <v>0</v>
      </c>
      <c r="M263" s="37">
        <f>IF(COUNTIFS('📋 Транзакції'!$B$5:$B$3623,A263,'📋 Транзакції'!$C$5:$C$3623,"&gt;="&amp;EDATE(DATEVALUE(C263&amp;"-01"),6),'📋 Транзакції'!$C$5:$C$3623,"&lt;"&amp;EDATE(DATEVALUE(C263&amp;"-01"),7))&gt;0,1,0)</f>
        <v>0</v>
      </c>
      <c r="N263" s="37">
        <f>IF(COUNTIFS('📋 Транзакції'!$B$5:$B$3623,A263,'📋 Транзакції'!$C$5:$C$3623,"&gt;="&amp;EDATE(DATEVALUE(C263&amp;"-01"),7),'📋 Транзакції'!$C$5:$C$3623,"&lt;"&amp;EDATE(DATEVALUE(C263&amp;"-01"),8))&gt;0,1,0)</f>
        <v>0</v>
      </c>
      <c r="O263" s="37">
        <f>IF(COUNTIFS('📋 Транзакції'!$B$5:$B$3623,A263,'📋 Транзакції'!$C$5:$C$3623,"&gt;="&amp;EDATE(DATEVALUE(C263&amp;"-01"),8),'📋 Транзакції'!$C$5:$C$3623,"&lt;"&amp;EDATE(DATEVALUE(C263&amp;"-01"),9))&gt;0,1,0)</f>
        <v>0</v>
      </c>
      <c r="P263" s="37">
        <f>IF(COUNTIFS('📋 Транзакції'!$B$5:$B$3623,A263,'📋 Транзакції'!$C$5:$C$3623,"&gt;="&amp;EDATE(DATEVALUE(C263&amp;"-01"),9),'📋 Транзакції'!$C$5:$C$3623,"&lt;"&amp;EDATE(DATEVALUE(C263&amp;"-01"),10))&gt;0,1,0)</f>
        <v>0</v>
      </c>
      <c r="Q263" s="37">
        <f>IF(COUNTIFS('📋 Транзакції'!$B$5:$B$3623,A263,'📋 Транзакції'!$C$5:$C$3623,"&gt;="&amp;EDATE(DATEVALUE(C263&amp;"-01"),10),'📋 Транзакції'!$C$5:$C$3623,"&lt;"&amp;EDATE(DATEVALUE(C263&amp;"-01"),11))&gt;0,1,0)</f>
        <v>0</v>
      </c>
      <c r="R263" s="37">
        <f>IF(COUNTIFS('📋 Транзакції'!$B$5:$B$3623,A263,'📋 Транзакції'!$C$5:$C$3623,"&gt;="&amp;EDATE(DATEVALUE(C263&amp;"-01"),11),'📋 Транзакції'!$C$5:$C$3623,"&lt;"&amp;EDATE(DATEVALUE(C263&amp;"-01"),12))&gt;0,1,0)</f>
        <v>0</v>
      </c>
      <c r="S263" s="37">
        <f>SUMIFS('📋 Транзакції'!$F$5:$F$3623,'📋 Транзакції'!$B$5:$B$3623,A263,'📋 Транзакції'!$C$5:$C$3623,"&gt;="&amp;EDATE(DATEVALUE(C263&amp;"-01"),0),'📋 Транзакції'!$C$5:$C$3623,"&lt;"&amp;EDATE(DATEVALUE(C263&amp;"-01"),1))</f>
        <v>0</v>
      </c>
      <c r="T263" s="37">
        <f>SUMIFS('📋 Транзакції'!$F$5:$F$3623,'📋 Транзакції'!$B$5:$B$3623,A263,'📋 Транзакції'!$C$5:$C$3623,"&gt;="&amp;EDATE(DATEVALUE(C263&amp;"-01"),1),'📋 Транзакції'!$C$5:$C$3623,"&lt;"&amp;EDATE(DATEVALUE(C263&amp;"-01"),2))</f>
        <v>19.99</v>
      </c>
      <c r="U263" s="37">
        <f>SUMIFS('📋 Транзакції'!$F$5:$F$3623,'📋 Транзакції'!$B$5:$B$3623,A263,'📋 Транзакції'!$C$5:$C$3623,"&gt;="&amp;EDATE(DATEVALUE(C263&amp;"-01"),2),'📋 Транзакції'!$C$5:$C$3623,"&lt;"&amp;EDATE(DATEVALUE(C263&amp;"-01"),3))</f>
        <v>19.99</v>
      </c>
      <c r="V263" s="37">
        <f>SUMIFS('📋 Транзакції'!$F$5:$F$3623,'📋 Транзакції'!$B$5:$B$3623,A263,'📋 Транзакції'!$C$5:$C$3623,"&gt;="&amp;EDATE(DATEVALUE(C263&amp;"-01"),3),'📋 Транзакції'!$C$5:$C$3623,"&lt;"&amp;EDATE(DATEVALUE(C263&amp;"-01"),4))</f>
        <v>0</v>
      </c>
      <c r="W263" s="37">
        <f>SUMIFS('📋 Транзакції'!$F$5:$F$3623,'📋 Транзакції'!$B$5:$B$3623,A263,'📋 Транзакції'!$C$5:$C$3623,"&gt;="&amp;EDATE(DATEVALUE(C263&amp;"-01"),4),'📋 Транзакції'!$C$5:$C$3623,"&lt;"&amp;EDATE(DATEVALUE(C263&amp;"-01"),5))</f>
        <v>0</v>
      </c>
      <c r="X263" s="37">
        <f>SUMIFS('📋 Транзакції'!$F$5:$F$3623,'📋 Транзакції'!$B$5:$B$3623,A263,'📋 Транзакції'!$C$5:$C$3623,"&gt;="&amp;EDATE(DATEVALUE(C263&amp;"-01"),5),'📋 Транзакції'!$C$5:$C$3623,"&lt;"&amp;EDATE(DATEVALUE(C263&amp;"-01"),6))</f>
        <v>0</v>
      </c>
      <c r="Y263" s="37">
        <f>SUMIFS('📋 Транзакції'!$F$5:$F$3623,'📋 Транзакції'!$B$5:$B$3623,A263,'📋 Транзакції'!$C$5:$C$3623,"&gt;="&amp;EDATE(DATEVALUE(C263&amp;"-01"),6),'📋 Транзакції'!$C$5:$C$3623,"&lt;"&amp;EDATE(DATEVALUE(C263&amp;"-01"),7))</f>
        <v>0</v>
      </c>
      <c r="Z263" s="37">
        <f>SUMIFS('📋 Транзакції'!$F$5:$F$3623,'📋 Транзакції'!$B$5:$B$3623,A263,'📋 Транзакції'!$C$5:$C$3623,"&gt;="&amp;EDATE(DATEVALUE(C263&amp;"-01"),7),'📋 Транзакції'!$C$5:$C$3623,"&lt;"&amp;EDATE(DATEVALUE(C263&amp;"-01"),8))</f>
        <v>0</v>
      </c>
      <c r="AA263" s="37">
        <f>SUMIFS('📋 Транзакції'!$F$5:$F$3623,'📋 Транзакції'!$B$5:$B$3623,A263,'📋 Транзакції'!$C$5:$C$3623,"&gt;="&amp;EDATE(DATEVALUE(C263&amp;"-01"),8),'📋 Транзакції'!$C$5:$C$3623,"&lt;"&amp;EDATE(DATEVALUE(C263&amp;"-01"),9))</f>
        <v>0</v>
      </c>
      <c r="AB263" s="37">
        <f>SUMIFS('📋 Транзакції'!$F$5:$F$3623,'📋 Транзакції'!$B$5:$B$3623,A263,'📋 Транзакції'!$C$5:$C$3623,"&gt;="&amp;EDATE(DATEVALUE(C263&amp;"-01"),9),'📋 Транзакції'!$C$5:$C$3623,"&lt;"&amp;EDATE(DATEVALUE(C263&amp;"-01"),10))</f>
        <v>0</v>
      </c>
      <c r="AC263" s="37">
        <f>SUMIFS('📋 Транзакції'!$F$5:$F$3623,'📋 Транзакції'!$B$5:$B$3623,A263,'📋 Транзакції'!$C$5:$C$3623,"&gt;="&amp;EDATE(DATEVALUE(C263&amp;"-01"),10),'📋 Транзакції'!$C$5:$C$3623,"&lt;"&amp;EDATE(DATEVALUE(C263&amp;"-01"),11))</f>
        <v>0</v>
      </c>
      <c r="AD263" s="37">
        <f>SUMIFS('📋 Транзакції'!$F$5:$F$3623,'📋 Транзакції'!$B$5:$B$3623,A263,'📋 Транзакції'!$C$5:$C$3623,"&gt;="&amp;EDATE(DATEVALUE(C263&amp;"-01"),11),'📋 Транзакції'!$C$5:$C$3623,"&lt;"&amp;EDATE(DATEVALUE(C263&amp;"-01"),12))</f>
        <v>0</v>
      </c>
    </row>
    <row r="264" ht="15.75" customHeight="1">
      <c r="A264" s="33" t="str">
        <f>'📋 Реєстрації'!A264:A865</f>
        <v>U0444</v>
      </c>
      <c r="B264" s="34">
        <f t="array" ref="B264">INDEX('📋 Транзакції'!$C$5:$C$3623,MATCH(A264,'📋 Транзакції'!$B$5:$B$3623,0))</f>
        <v>45530</v>
      </c>
      <c r="C264" s="35" t="str">
        <f t="shared" si="1"/>
        <v>2024-08</v>
      </c>
      <c r="D264" s="36">
        <f>COUNTIF('📋 Транзакції'!$B$5:$B$3623,A264)</f>
        <v>9</v>
      </c>
      <c r="E264" s="36">
        <f>SUMIF('📋 Транзакції'!$B$5:$B$3623,A264,'📋 Транзакції'!$F$5:$F$3623)</f>
        <v>159.92</v>
      </c>
      <c r="F264" s="35">
        <f>INT($A$1-MAXIFS('📋 Транзакції'!$C$5:$C$3623,'📋 Транзакції'!$B$5:$B$3623,A264))</f>
        <v>0</v>
      </c>
      <c r="G264" s="37">
        <f>IF(COUNTIFS('📋 Транзакції'!$B$5:$B$3623,A264,'📋 Транзакції'!$C$5:$C$3623,"&gt;="&amp;EDATE(DATEVALUE(C264&amp;"-01"),0),'📋 Транзакції'!$C$5:$C$3623,"&lt;"&amp;EDATE(DATEVALUE(C264&amp;"-01"),1))&gt;0,1,0)</f>
        <v>1</v>
      </c>
      <c r="H264" s="37">
        <f>IF(COUNTIFS('📋 Транзакції'!$B$5:$B$3623,A264,'📋 Транзакції'!$C$5:$C$3623,"&gt;="&amp;EDATE(DATEVALUE(C264&amp;"-01"),1),'📋 Транзакції'!$C$5:$C$3623,"&lt;"&amp;EDATE(DATEVALUE(C264&amp;"-01"),2))&gt;0,1,0)</f>
        <v>1</v>
      </c>
      <c r="I264" s="37">
        <f>IF(COUNTIFS('📋 Транзакції'!$B$5:$B$3623,A264,'📋 Транзакції'!$C$5:$C$3623,"&gt;="&amp;EDATE(DATEVALUE(C264&amp;"-01"),2),'📋 Транзакції'!$C$5:$C$3623,"&lt;"&amp;EDATE(DATEVALUE(C264&amp;"-01"),3))&gt;0,1,0)</f>
        <v>1</v>
      </c>
      <c r="J264" s="37">
        <f>IF(COUNTIFS('📋 Транзакції'!$B$5:$B$3623,A264,'📋 Транзакції'!$C$5:$C$3623,"&gt;="&amp;EDATE(DATEVALUE(C264&amp;"-01"),3),'📋 Транзакції'!$C$5:$C$3623,"&lt;"&amp;EDATE(DATEVALUE(C264&amp;"-01"),4))&gt;0,1,0)</f>
        <v>1</v>
      </c>
      <c r="K264" s="37">
        <f>IF(COUNTIFS('📋 Транзакції'!$B$5:$B$3623,A264,'📋 Транзакції'!$C$5:$C$3623,"&gt;="&amp;EDATE(DATEVALUE(C264&amp;"-01"),4),'📋 Транзакції'!$C$5:$C$3623,"&lt;"&amp;EDATE(DATEVALUE(C264&amp;"-01"),5))&gt;0,1,0)</f>
        <v>1</v>
      </c>
      <c r="L264" s="37">
        <f>IF(COUNTIFS('📋 Транзакції'!$B$5:$B$3623,A264,'📋 Транзакції'!$C$5:$C$3623,"&gt;="&amp;EDATE(DATEVALUE(C264&amp;"-01"),5),'📋 Транзакції'!$C$5:$C$3623,"&lt;"&amp;EDATE(DATEVALUE(C264&amp;"-01"),6))&gt;0,1,0)</f>
        <v>1</v>
      </c>
      <c r="M264" s="37">
        <f>IF(COUNTIFS('📋 Транзакції'!$B$5:$B$3623,A264,'📋 Транзакції'!$C$5:$C$3623,"&gt;="&amp;EDATE(DATEVALUE(C264&amp;"-01"),6),'📋 Транзакції'!$C$5:$C$3623,"&lt;"&amp;EDATE(DATEVALUE(C264&amp;"-01"),7))&gt;0,1,0)</f>
        <v>0</v>
      </c>
      <c r="N264" s="37">
        <f>IF(COUNTIFS('📋 Транзакції'!$B$5:$B$3623,A264,'📋 Транзакції'!$C$5:$C$3623,"&gt;="&amp;EDATE(DATEVALUE(C264&amp;"-01"),7),'📋 Транзакції'!$C$5:$C$3623,"&lt;"&amp;EDATE(DATEVALUE(C264&amp;"-01"),8))&gt;0,1,0)</f>
        <v>1</v>
      </c>
      <c r="O264" s="37">
        <f>IF(COUNTIFS('📋 Транзакції'!$B$5:$B$3623,A264,'📋 Транзакції'!$C$5:$C$3623,"&gt;="&amp;EDATE(DATEVALUE(C264&amp;"-01"),8),'📋 Транзакції'!$C$5:$C$3623,"&lt;"&amp;EDATE(DATEVALUE(C264&amp;"-01"),9))&gt;0,1,0)</f>
        <v>0</v>
      </c>
      <c r="P264" s="37">
        <f>IF(COUNTIFS('📋 Транзакції'!$B$5:$B$3623,A264,'📋 Транзакції'!$C$5:$C$3623,"&gt;="&amp;EDATE(DATEVALUE(C264&amp;"-01"),9),'📋 Транзакції'!$C$5:$C$3623,"&lt;"&amp;EDATE(DATEVALUE(C264&amp;"-01"),10))&gt;0,1,0)</f>
        <v>0</v>
      </c>
      <c r="Q264" s="37">
        <f>IF(COUNTIFS('📋 Транзакції'!$B$5:$B$3623,A264,'📋 Транзакції'!$C$5:$C$3623,"&gt;="&amp;EDATE(DATEVALUE(C264&amp;"-01"),10),'📋 Транзакції'!$C$5:$C$3623,"&lt;"&amp;EDATE(DATEVALUE(C264&amp;"-01"),11))&gt;0,1,0)</f>
        <v>0</v>
      </c>
      <c r="R264" s="37">
        <f>IF(COUNTIFS('📋 Транзакції'!$B$5:$B$3623,A264,'📋 Транзакції'!$C$5:$C$3623,"&gt;="&amp;EDATE(DATEVALUE(C264&amp;"-01"),11),'📋 Транзакції'!$C$5:$C$3623,"&lt;"&amp;EDATE(DATEVALUE(C264&amp;"-01"),12))&gt;0,1,0)</f>
        <v>0</v>
      </c>
      <c r="S264" s="37">
        <f>SUMIFS('📋 Транзакції'!$F$5:$F$3623,'📋 Транзакції'!$B$5:$B$3623,A264,'📋 Транзакції'!$C$5:$C$3623,"&gt;="&amp;EDATE(DATEVALUE(C264&amp;"-01"),0),'📋 Транзакції'!$C$5:$C$3623,"&lt;"&amp;EDATE(DATEVALUE(C264&amp;"-01"),1))</f>
        <v>0</v>
      </c>
      <c r="T264" s="37">
        <f>SUMIFS('📋 Транзакції'!$F$5:$F$3623,'📋 Транзакції'!$B$5:$B$3623,A264,'📋 Транзакції'!$C$5:$C$3623,"&gt;="&amp;EDATE(DATEVALUE(C264&amp;"-01"),1),'📋 Транзакції'!$C$5:$C$3623,"&lt;"&amp;EDATE(DATEVALUE(C264&amp;"-01"),2))</f>
        <v>19.99</v>
      </c>
      <c r="U264" s="37">
        <f>SUMIFS('📋 Транзакції'!$F$5:$F$3623,'📋 Транзакції'!$B$5:$B$3623,A264,'📋 Транзакції'!$C$5:$C$3623,"&gt;="&amp;EDATE(DATEVALUE(C264&amp;"-01"),2),'📋 Транзакції'!$C$5:$C$3623,"&lt;"&amp;EDATE(DATEVALUE(C264&amp;"-01"),3))</f>
        <v>19.99</v>
      </c>
      <c r="V264" s="37">
        <f>SUMIFS('📋 Транзакції'!$F$5:$F$3623,'📋 Транзакції'!$B$5:$B$3623,A264,'📋 Транзакції'!$C$5:$C$3623,"&gt;="&amp;EDATE(DATEVALUE(C264&amp;"-01"),3),'📋 Транзакції'!$C$5:$C$3623,"&lt;"&amp;EDATE(DATEVALUE(C264&amp;"-01"),4))</f>
        <v>19.99</v>
      </c>
      <c r="W264" s="37">
        <f>SUMIFS('📋 Транзакції'!$F$5:$F$3623,'📋 Транзакції'!$B$5:$B$3623,A264,'📋 Транзакції'!$C$5:$C$3623,"&gt;="&amp;EDATE(DATEVALUE(C264&amp;"-01"),4),'📋 Транзакції'!$C$5:$C$3623,"&lt;"&amp;EDATE(DATEVALUE(C264&amp;"-01"),5))</f>
        <v>39.98</v>
      </c>
      <c r="X264" s="37">
        <f>SUMIFS('📋 Транзакції'!$F$5:$F$3623,'📋 Транзакції'!$B$5:$B$3623,A264,'📋 Транзакції'!$C$5:$C$3623,"&gt;="&amp;EDATE(DATEVALUE(C264&amp;"-01"),5),'📋 Транзакції'!$C$5:$C$3623,"&lt;"&amp;EDATE(DATEVALUE(C264&amp;"-01"),6))</f>
        <v>19.99</v>
      </c>
      <c r="Y264" s="37">
        <f>SUMIFS('📋 Транзакції'!$F$5:$F$3623,'📋 Транзакції'!$B$5:$B$3623,A264,'📋 Транзакції'!$C$5:$C$3623,"&gt;="&amp;EDATE(DATEVALUE(C264&amp;"-01"),6),'📋 Транзакції'!$C$5:$C$3623,"&lt;"&amp;EDATE(DATEVALUE(C264&amp;"-01"),7))</f>
        <v>0</v>
      </c>
      <c r="Z264" s="37">
        <f>SUMIFS('📋 Транзакції'!$F$5:$F$3623,'📋 Транзакції'!$B$5:$B$3623,A264,'📋 Транзакції'!$C$5:$C$3623,"&gt;="&amp;EDATE(DATEVALUE(C264&amp;"-01"),7),'📋 Транзакції'!$C$5:$C$3623,"&lt;"&amp;EDATE(DATEVALUE(C264&amp;"-01"),8))</f>
        <v>39.98</v>
      </c>
      <c r="AA264" s="37">
        <f>SUMIFS('📋 Транзакції'!$F$5:$F$3623,'📋 Транзакції'!$B$5:$B$3623,A264,'📋 Транзакції'!$C$5:$C$3623,"&gt;="&amp;EDATE(DATEVALUE(C264&amp;"-01"),8),'📋 Транзакції'!$C$5:$C$3623,"&lt;"&amp;EDATE(DATEVALUE(C264&amp;"-01"),9))</f>
        <v>0</v>
      </c>
      <c r="AB264" s="37">
        <f>SUMIFS('📋 Транзакції'!$F$5:$F$3623,'📋 Транзакції'!$B$5:$B$3623,A264,'📋 Транзакції'!$C$5:$C$3623,"&gt;="&amp;EDATE(DATEVALUE(C264&amp;"-01"),9),'📋 Транзакції'!$C$5:$C$3623,"&lt;"&amp;EDATE(DATEVALUE(C264&amp;"-01"),10))</f>
        <v>0</v>
      </c>
      <c r="AC264" s="37">
        <f>SUMIFS('📋 Транзакції'!$F$5:$F$3623,'📋 Транзакції'!$B$5:$B$3623,A264,'📋 Транзакції'!$C$5:$C$3623,"&gt;="&amp;EDATE(DATEVALUE(C264&amp;"-01"),10),'📋 Транзакції'!$C$5:$C$3623,"&lt;"&amp;EDATE(DATEVALUE(C264&amp;"-01"),11))</f>
        <v>0</v>
      </c>
      <c r="AD264" s="37">
        <f>SUMIFS('📋 Транзакції'!$F$5:$F$3623,'📋 Транзакції'!$B$5:$B$3623,A264,'📋 Транзакції'!$C$5:$C$3623,"&gt;="&amp;EDATE(DATEVALUE(C264&amp;"-01"),11),'📋 Транзакції'!$C$5:$C$3623,"&lt;"&amp;EDATE(DATEVALUE(C264&amp;"-01"),12))</f>
        <v>0</v>
      </c>
    </row>
    <row r="265" ht="15.75" customHeight="1">
      <c r="A265" s="33" t="str">
        <f>'📋 Реєстрації'!A265:A866</f>
        <v>U0640</v>
      </c>
      <c r="B265" s="34">
        <f t="array" ref="B265">INDEX('📋 Транзакції'!$C$5:$C$3623,MATCH(A265,'📋 Транзакції'!$B$5:$B$3623,0))</f>
        <v>45530</v>
      </c>
      <c r="C265" s="35" t="str">
        <f t="shared" si="1"/>
        <v>2024-08</v>
      </c>
      <c r="D265" s="36">
        <f>COUNTIF('📋 Транзакції'!$B$5:$B$3623,A265)</f>
        <v>8</v>
      </c>
      <c r="E265" s="36">
        <f>SUMIF('📋 Транзакції'!$B$5:$B$3623,A265,'📋 Транзакції'!$F$5:$F$3623)</f>
        <v>139.93</v>
      </c>
      <c r="F265" s="35">
        <f>INT($A$1-MAXIFS('📋 Транзакції'!$C$5:$C$3623,'📋 Транзакції'!$B$5:$B$3623,A265))</f>
        <v>30</v>
      </c>
      <c r="G265" s="37">
        <f>IF(COUNTIFS('📋 Транзакції'!$B$5:$B$3623,A265,'📋 Транзакції'!$C$5:$C$3623,"&gt;="&amp;EDATE(DATEVALUE(C265&amp;"-01"),0),'📋 Транзакції'!$C$5:$C$3623,"&lt;"&amp;EDATE(DATEVALUE(C265&amp;"-01"),1))&gt;0,1,0)</f>
        <v>1</v>
      </c>
      <c r="H265" s="37">
        <f>IF(COUNTIFS('📋 Транзакції'!$B$5:$B$3623,A265,'📋 Транзакції'!$C$5:$C$3623,"&gt;="&amp;EDATE(DATEVALUE(C265&amp;"-01"),1),'📋 Транзакції'!$C$5:$C$3623,"&lt;"&amp;EDATE(DATEVALUE(C265&amp;"-01"),2))&gt;0,1,0)</f>
        <v>1</v>
      </c>
      <c r="I265" s="37">
        <f>IF(COUNTIFS('📋 Транзакції'!$B$5:$B$3623,A265,'📋 Транзакції'!$C$5:$C$3623,"&gt;="&amp;EDATE(DATEVALUE(C265&amp;"-01"),2),'📋 Транзакції'!$C$5:$C$3623,"&lt;"&amp;EDATE(DATEVALUE(C265&amp;"-01"),3))&gt;0,1,0)</f>
        <v>1</v>
      </c>
      <c r="J265" s="37">
        <f>IF(COUNTIFS('📋 Транзакції'!$B$5:$B$3623,A265,'📋 Транзакції'!$C$5:$C$3623,"&gt;="&amp;EDATE(DATEVALUE(C265&amp;"-01"),3),'📋 Транзакції'!$C$5:$C$3623,"&lt;"&amp;EDATE(DATEVALUE(C265&amp;"-01"),4))&gt;0,1,0)</f>
        <v>1</v>
      </c>
      <c r="K265" s="37">
        <f>IF(COUNTIFS('📋 Транзакції'!$B$5:$B$3623,A265,'📋 Транзакції'!$C$5:$C$3623,"&gt;="&amp;EDATE(DATEVALUE(C265&amp;"-01"),4),'📋 Транзакції'!$C$5:$C$3623,"&lt;"&amp;EDATE(DATEVALUE(C265&amp;"-01"),5))&gt;0,1,0)</f>
        <v>1</v>
      </c>
      <c r="L265" s="37">
        <f>IF(COUNTIFS('📋 Транзакції'!$B$5:$B$3623,A265,'📋 Транзакції'!$C$5:$C$3623,"&gt;="&amp;EDATE(DATEVALUE(C265&amp;"-01"),5),'📋 Транзакції'!$C$5:$C$3623,"&lt;"&amp;EDATE(DATEVALUE(C265&amp;"-01"),6))&gt;0,1,0)</f>
        <v>1</v>
      </c>
      <c r="M265" s="37">
        <f>IF(COUNTIFS('📋 Транзакції'!$B$5:$B$3623,A265,'📋 Транзакції'!$C$5:$C$3623,"&gt;="&amp;EDATE(DATEVALUE(C265&amp;"-01"),6),'📋 Транзакції'!$C$5:$C$3623,"&lt;"&amp;EDATE(DATEVALUE(C265&amp;"-01"),7))&gt;0,1,0)</f>
        <v>0</v>
      </c>
      <c r="N265" s="37">
        <f>IF(COUNTIFS('📋 Транзакції'!$B$5:$B$3623,A265,'📋 Транзакції'!$C$5:$C$3623,"&gt;="&amp;EDATE(DATEVALUE(C265&amp;"-01"),7),'📋 Транзакції'!$C$5:$C$3623,"&lt;"&amp;EDATE(DATEVALUE(C265&amp;"-01"),8))&gt;0,1,0)</f>
        <v>1</v>
      </c>
      <c r="O265" s="37">
        <f>IF(COUNTIFS('📋 Транзакції'!$B$5:$B$3623,A265,'📋 Транзакції'!$C$5:$C$3623,"&gt;="&amp;EDATE(DATEVALUE(C265&amp;"-01"),8),'📋 Транзакції'!$C$5:$C$3623,"&lt;"&amp;EDATE(DATEVALUE(C265&amp;"-01"),9))&gt;0,1,0)</f>
        <v>0</v>
      </c>
      <c r="P265" s="37">
        <f>IF(COUNTIFS('📋 Транзакції'!$B$5:$B$3623,A265,'📋 Транзакції'!$C$5:$C$3623,"&gt;="&amp;EDATE(DATEVALUE(C265&amp;"-01"),9),'📋 Транзакції'!$C$5:$C$3623,"&lt;"&amp;EDATE(DATEVALUE(C265&amp;"-01"),10))&gt;0,1,0)</f>
        <v>0</v>
      </c>
      <c r="Q265" s="37">
        <f>IF(COUNTIFS('📋 Транзакції'!$B$5:$B$3623,A265,'📋 Транзакції'!$C$5:$C$3623,"&gt;="&amp;EDATE(DATEVALUE(C265&amp;"-01"),10),'📋 Транзакції'!$C$5:$C$3623,"&lt;"&amp;EDATE(DATEVALUE(C265&amp;"-01"),11))&gt;0,1,0)</f>
        <v>0</v>
      </c>
      <c r="R265" s="37">
        <f>IF(COUNTIFS('📋 Транзакції'!$B$5:$B$3623,A265,'📋 Транзакції'!$C$5:$C$3623,"&gt;="&amp;EDATE(DATEVALUE(C265&amp;"-01"),11),'📋 Транзакції'!$C$5:$C$3623,"&lt;"&amp;EDATE(DATEVALUE(C265&amp;"-01"),12))&gt;0,1,0)</f>
        <v>0</v>
      </c>
      <c r="S265" s="37">
        <f>SUMIFS('📋 Транзакції'!$F$5:$F$3623,'📋 Транзакції'!$B$5:$B$3623,A265,'📋 Транзакції'!$C$5:$C$3623,"&gt;="&amp;EDATE(DATEVALUE(C265&amp;"-01"),0),'📋 Транзакції'!$C$5:$C$3623,"&lt;"&amp;EDATE(DATEVALUE(C265&amp;"-01"),1))</f>
        <v>0</v>
      </c>
      <c r="T265" s="37">
        <f>SUMIFS('📋 Транзакції'!$F$5:$F$3623,'📋 Транзакції'!$B$5:$B$3623,A265,'📋 Транзакції'!$C$5:$C$3623,"&gt;="&amp;EDATE(DATEVALUE(C265&amp;"-01"),1),'📋 Транзакції'!$C$5:$C$3623,"&lt;"&amp;EDATE(DATEVALUE(C265&amp;"-01"),2))</f>
        <v>19.99</v>
      </c>
      <c r="U265" s="37">
        <f>SUMIFS('📋 Транзакції'!$F$5:$F$3623,'📋 Транзакції'!$B$5:$B$3623,A265,'📋 Транзакції'!$C$5:$C$3623,"&gt;="&amp;EDATE(DATEVALUE(C265&amp;"-01"),2),'📋 Транзакції'!$C$5:$C$3623,"&lt;"&amp;EDATE(DATEVALUE(C265&amp;"-01"),3))</f>
        <v>19.99</v>
      </c>
      <c r="V265" s="37">
        <f>SUMIFS('📋 Транзакції'!$F$5:$F$3623,'📋 Транзакції'!$B$5:$B$3623,A265,'📋 Транзакції'!$C$5:$C$3623,"&gt;="&amp;EDATE(DATEVALUE(C265&amp;"-01"),3),'📋 Транзакції'!$C$5:$C$3623,"&lt;"&amp;EDATE(DATEVALUE(C265&amp;"-01"),4))</f>
        <v>19.99</v>
      </c>
      <c r="W265" s="37">
        <f>SUMIFS('📋 Транзакції'!$F$5:$F$3623,'📋 Транзакції'!$B$5:$B$3623,A265,'📋 Транзакції'!$C$5:$C$3623,"&gt;="&amp;EDATE(DATEVALUE(C265&amp;"-01"),4),'📋 Транзакції'!$C$5:$C$3623,"&lt;"&amp;EDATE(DATEVALUE(C265&amp;"-01"),5))</f>
        <v>39.98</v>
      </c>
      <c r="X265" s="37">
        <f>SUMIFS('📋 Транзакції'!$F$5:$F$3623,'📋 Транзакції'!$B$5:$B$3623,A265,'📋 Транзакції'!$C$5:$C$3623,"&gt;="&amp;EDATE(DATEVALUE(C265&amp;"-01"),5),'📋 Транзакції'!$C$5:$C$3623,"&lt;"&amp;EDATE(DATEVALUE(C265&amp;"-01"),6))</f>
        <v>19.99</v>
      </c>
      <c r="Y265" s="37">
        <f>SUMIFS('📋 Транзакції'!$F$5:$F$3623,'📋 Транзакції'!$B$5:$B$3623,A265,'📋 Транзакції'!$C$5:$C$3623,"&gt;="&amp;EDATE(DATEVALUE(C265&amp;"-01"),6),'📋 Транзакції'!$C$5:$C$3623,"&lt;"&amp;EDATE(DATEVALUE(C265&amp;"-01"),7))</f>
        <v>0</v>
      </c>
      <c r="Z265" s="37">
        <f>SUMIFS('📋 Транзакції'!$F$5:$F$3623,'📋 Транзакції'!$B$5:$B$3623,A265,'📋 Транзакції'!$C$5:$C$3623,"&gt;="&amp;EDATE(DATEVALUE(C265&amp;"-01"),7),'📋 Транзакції'!$C$5:$C$3623,"&lt;"&amp;EDATE(DATEVALUE(C265&amp;"-01"),8))</f>
        <v>19.99</v>
      </c>
      <c r="AA265" s="37">
        <f>SUMIFS('📋 Транзакції'!$F$5:$F$3623,'📋 Транзакції'!$B$5:$B$3623,A265,'📋 Транзакції'!$C$5:$C$3623,"&gt;="&amp;EDATE(DATEVALUE(C265&amp;"-01"),8),'📋 Транзакції'!$C$5:$C$3623,"&lt;"&amp;EDATE(DATEVALUE(C265&amp;"-01"),9))</f>
        <v>0</v>
      </c>
      <c r="AB265" s="37">
        <f>SUMIFS('📋 Транзакції'!$F$5:$F$3623,'📋 Транзакції'!$B$5:$B$3623,A265,'📋 Транзакції'!$C$5:$C$3623,"&gt;="&amp;EDATE(DATEVALUE(C265&amp;"-01"),9),'📋 Транзакції'!$C$5:$C$3623,"&lt;"&amp;EDATE(DATEVALUE(C265&amp;"-01"),10))</f>
        <v>0</v>
      </c>
      <c r="AC265" s="37">
        <f>SUMIFS('📋 Транзакції'!$F$5:$F$3623,'📋 Транзакції'!$B$5:$B$3623,A265,'📋 Транзакції'!$C$5:$C$3623,"&gt;="&amp;EDATE(DATEVALUE(C265&amp;"-01"),10),'📋 Транзакції'!$C$5:$C$3623,"&lt;"&amp;EDATE(DATEVALUE(C265&amp;"-01"),11))</f>
        <v>0</v>
      </c>
      <c r="AD265" s="37">
        <f>SUMIFS('📋 Транзакції'!$F$5:$F$3623,'📋 Транзакції'!$B$5:$B$3623,A265,'📋 Транзакції'!$C$5:$C$3623,"&gt;="&amp;EDATE(DATEVALUE(C265&amp;"-01"),11),'📋 Транзакції'!$C$5:$C$3623,"&lt;"&amp;EDATE(DATEVALUE(C265&amp;"-01"),12))</f>
        <v>0</v>
      </c>
    </row>
    <row r="266" ht="15.75" customHeight="1">
      <c r="A266" s="33" t="str">
        <f>'📋 Реєстрації'!A266:A867</f>
        <v>U0361</v>
      </c>
      <c r="B266" s="34">
        <f t="array" ref="B266">INDEX('📋 Транзакції'!$C$5:$C$3623,MATCH(A266,'📋 Транзакції'!$B$5:$B$3623,0))</f>
        <v>45531</v>
      </c>
      <c r="C266" s="35" t="str">
        <f t="shared" si="1"/>
        <v>2024-08</v>
      </c>
      <c r="D266" s="36">
        <f>COUNTIF('📋 Транзакції'!$B$5:$B$3623,A266)</f>
        <v>7</v>
      </c>
      <c r="E266" s="36">
        <f>SUMIF('📋 Транзакції'!$B$5:$B$3623,A266,'📋 Транзакції'!$F$5:$F$3623)</f>
        <v>119.94</v>
      </c>
      <c r="F266" s="35">
        <f>INT($A$1-MAXIFS('📋 Транзакції'!$C$5:$C$3623,'📋 Транзакції'!$B$5:$B$3623,A266))</f>
        <v>59</v>
      </c>
      <c r="G266" s="37">
        <f>IF(COUNTIFS('📋 Транзакції'!$B$5:$B$3623,A266,'📋 Транзакції'!$C$5:$C$3623,"&gt;="&amp;EDATE(DATEVALUE(C266&amp;"-01"),0),'📋 Транзакції'!$C$5:$C$3623,"&lt;"&amp;EDATE(DATEVALUE(C266&amp;"-01"),1))&gt;0,1,0)</f>
        <v>1</v>
      </c>
      <c r="H266" s="37">
        <f>IF(COUNTIFS('📋 Транзакції'!$B$5:$B$3623,A266,'📋 Транзакції'!$C$5:$C$3623,"&gt;="&amp;EDATE(DATEVALUE(C266&amp;"-01"),1),'📋 Транзакції'!$C$5:$C$3623,"&lt;"&amp;EDATE(DATEVALUE(C266&amp;"-01"),2))&gt;0,1,0)</f>
        <v>1</v>
      </c>
      <c r="I266" s="37">
        <f>IF(COUNTIFS('📋 Транзакції'!$B$5:$B$3623,A266,'📋 Транзакції'!$C$5:$C$3623,"&gt;="&amp;EDATE(DATEVALUE(C266&amp;"-01"),2),'📋 Транзакції'!$C$5:$C$3623,"&lt;"&amp;EDATE(DATEVALUE(C266&amp;"-01"),3))&gt;0,1,0)</f>
        <v>1</v>
      </c>
      <c r="J266" s="37">
        <f>IF(COUNTIFS('📋 Транзакції'!$B$5:$B$3623,A266,'📋 Транзакції'!$C$5:$C$3623,"&gt;="&amp;EDATE(DATEVALUE(C266&amp;"-01"),3),'📋 Транзакції'!$C$5:$C$3623,"&lt;"&amp;EDATE(DATEVALUE(C266&amp;"-01"),4))&gt;0,1,0)</f>
        <v>1</v>
      </c>
      <c r="K266" s="37">
        <f>IF(COUNTIFS('📋 Транзакції'!$B$5:$B$3623,A266,'📋 Транзакції'!$C$5:$C$3623,"&gt;="&amp;EDATE(DATEVALUE(C266&amp;"-01"),4),'📋 Транзакції'!$C$5:$C$3623,"&lt;"&amp;EDATE(DATEVALUE(C266&amp;"-01"),5))&gt;0,1,0)</f>
        <v>1</v>
      </c>
      <c r="L266" s="37">
        <f>IF(COUNTIFS('📋 Транзакції'!$B$5:$B$3623,A266,'📋 Транзакції'!$C$5:$C$3623,"&gt;="&amp;EDATE(DATEVALUE(C266&amp;"-01"),5),'📋 Транзакції'!$C$5:$C$3623,"&lt;"&amp;EDATE(DATEVALUE(C266&amp;"-01"),6))&gt;0,1,0)</f>
        <v>1</v>
      </c>
      <c r="M266" s="37">
        <f>IF(COUNTIFS('📋 Транзакції'!$B$5:$B$3623,A266,'📋 Транзакції'!$C$5:$C$3623,"&gt;="&amp;EDATE(DATEVALUE(C266&amp;"-01"),6),'📋 Транзакції'!$C$5:$C$3623,"&lt;"&amp;EDATE(DATEVALUE(C266&amp;"-01"),7))&gt;0,1,0)</f>
        <v>0</v>
      </c>
      <c r="N266" s="37">
        <f>IF(COUNTIFS('📋 Транзакції'!$B$5:$B$3623,A266,'📋 Транзакції'!$C$5:$C$3623,"&gt;="&amp;EDATE(DATEVALUE(C266&amp;"-01"),7),'📋 Транзакції'!$C$5:$C$3623,"&lt;"&amp;EDATE(DATEVALUE(C266&amp;"-01"),8))&gt;0,1,0)</f>
        <v>0</v>
      </c>
      <c r="O266" s="37">
        <f>IF(COUNTIFS('📋 Транзакції'!$B$5:$B$3623,A266,'📋 Транзакції'!$C$5:$C$3623,"&gt;="&amp;EDATE(DATEVALUE(C266&amp;"-01"),8),'📋 Транзакції'!$C$5:$C$3623,"&lt;"&amp;EDATE(DATEVALUE(C266&amp;"-01"),9))&gt;0,1,0)</f>
        <v>0</v>
      </c>
      <c r="P266" s="37">
        <f>IF(COUNTIFS('📋 Транзакції'!$B$5:$B$3623,A266,'📋 Транзакції'!$C$5:$C$3623,"&gt;="&amp;EDATE(DATEVALUE(C266&amp;"-01"),9),'📋 Транзакції'!$C$5:$C$3623,"&lt;"&amp;EDATE(DATEVALUE(C266&amp;"-01"),10))&gt;0,1,0)</f>
        <v>0</v>
      </c>
      <c r="Q266" s="37">
        <f>IF(COUNTIFS('📋 Транзакції'!$B$5:$B$3623,A266,'📋 Транзакції'!$C$5:$C$3623,"&gt;="&amp;EDATE(DATEVALUE(C266&amp;"-01"),10),'📋 Транзакції'!$C$5:$C$3623,"&lt;"&amp;EDATE(DATEVALUE(C266&amp;"-01"),11))&gt;0,1,0)</f>
        <v>0</v>
      </c>
      <c r="R266" s="37">
        <f>IF(COUNTIFS('📋 Транзакції'!$B$5:$B$3623,A266,'📋 Транзакції'!$C$5:$C$3623,"&gt;="&amp;EDATE(DATEVALUE(C266&amp;"-01"),11),'📋 Транзакції'!$C$5:$C$3623,"&lt;"&amp;EDATE(DATEVALUE(C266&amp;"-01"),12))&gt;0,1,0)</f>
        <v>0</v>
      </c>
      <c r="S266" s="37">
        <f>SUMIFS('📋 Транзакції'!$F$5:$F$3623,'📋 Транзакції'!$B$5:$B$3623,A266,'📋 Транзакції'!$C$5:$C$3623,"&gt;="&amp;EDATE(DATEVALUE(C266&amp;"-01"),0),'📋 Транзакції'!$C$5:$C$3623,"&lt;"&amp;EDATE(DATEVALUE(C266&amp;"-01"),1))</f>
        <v>0</v>
      </c>
      <c r="T266" s="37">
        <f>SUMIFS('📋 Транзакції'!$F$5:$F$3623,'📋 Транзакції'!$B$5:$B$3623,A266,'📋 Транзакції'!$C$5:$C$3623,"&gt;="&amp;EDATE(DATEVALUE(C266&amp;"-01"),1),'📋 Транзакції'!$C$5:$C$3623,"&lt;"&amp;EDATE(DATEVALUE(C266&amp;"-01"),2))</f>
        <v>19.99</v>
      </c>
      <c r="U266" s="37">
        <f>SUMIFS('📋 Транзакції'!$F$5:$F$3623,'📋 Транзакції'!$B$5:$B$3623,A266,'📋 Транзакції'!$C$5:$C$3623,"&gt;="&amp;EDATE(DATEVALUE(C266&amp;"-01"),2),'📋 Транзакції'!$C$5:$C$3623,"&lt;"&amp;EDATE(DATEVALUE(C266&amp;"-01"),3))</f>
        <v>19.99</v>
      </c>
      <c r="V266" s="37">
        <f>SUMIFS('📋 Транзакції'!$F$5:$F$3623,'📋 Транзакції'!$B$5:$B$3623,A266,'📋 Транзакції'!$C$5:$C$3623,"&gt;="&amp;EDATE(DATEVALUE(C266&amp;"-01"),3),'📋 Транзакції'!$C$5:$C$3623,"&lt;"&amp;EDATE(DATEVALUE(C266&amp;"-01"),4))</f>
        <v>19.99</v>
      </c>
      <c r="W266" s="37">
        <f>SUMIFS('📋 Транзакції'!$F$5:$F$3623,'📋 Транзакції'!$B$5:$B$3623,A266,'📋 Транзакції'!$C$5:$C$3623,"&gt;="&amp;EDATE(DATEVALUE(C266&amp;"-01"),4),'📋 Транзакції'!$C$5:$C$3623,"&lt;"&amp;EDATE(DATEVALUE(C266&amp;"-01"),5))</f>
        <v>19.99</v>
      </c>
      <c r="X266" s="37">
        <f>SUMIFS('📋 Транзакції'!$F$5:$F$3623,'📋 Транзакції'!$B$5:$B$3623,A266,'📋 Транзакції'!$C$5:$C$3623,"&gt;="&amp;EDATE(DATEVALUE(C266&amp;"-01"),5),'📋 Транзакції'!$C$5:$C$3623,"&lt;"&amp;EDATE(DATEVALUE(C266&amp;"-01"),6))</f>
        <v>39.98</v>
      </c>
      <c r="Y266" s="37">
        <f>SUMIFS('📋 Транзакції'!$F$5:$F$3623,'📋 Транзакції'!$B$5:$B$3623,A266,'📋 Транзакції'!$C$5:$C$3623,"&gt;="&amp;EDATE(DATEVALUE(C266&amp;"-01"),6),'📋 Транзакції'!$C$5:$C$3623,"&lt;"&amp;EDATE(DATEVALUE(C266&amp;"-01"),7))</f>
        <v>0</v>
      </c>
      <c r="Z266" s="37">
        <f>SUMIFS('📋 Транзакції'!$F$5:$F$3623,'📋 Транзакції'!$B$5:$B$3623,A266,'📋 Транзакції'!$C$5:$C$3623,"&gt;="&amp;EDATE(DATEVALUE(C266&amp;"-01"),7),'📋 Транзакції'!$C$5:$C$3623,"&lt;"&amp;EDATE(DATEVALUE(C266&amp;"-01"),8))</f>
        <v>0</v>
      </c>
      <c r="AA266" s="37">
        <f>SUMIFS('📋 Транзакції'!$F$5:$F$3623,'📋 Транзакції'!$B$5:$B$3623,A266,'📋 Транзакції'!$C$5:$C$3623,"&gt;="&amp;EDATE(DATEVALUE(C266&amp;"-01"),8),'📋 Транзакції'!$C$5:$C$3623,"&lt;"&amp;EDATE(DATEVALUE(C266&amp;"-01"),9))</f>
        <v>0</v>
      </c>
      <c r="AB266" s="37">
        <f>SUMIFS('📋 Транзакції'!$F$5:$F$3623,'📋 Транзакції'!$B$5:$B$3623,A266,'📋 Транзакції'!$C$5:$C$3623,"&gt;="&amp;EDATE(DATEVALUE(C266&amp;"-01"),9),'📋 Транзакції'!$C$5:$C$3623,"&lt;"&amp;EDATE(DATEVALUE(C266&amp;"-01"),10))</f>
        <v>0</v>
      </c>
      <c r="AC266" s="37">
        <f>SUMIFS('📋 Транзакції'!$F$5:$F$3623,'📋 Транзакції'!$B$5:$B$3623,A266,'📋 Транзакції'!$C$5:$C$3623,"&gt;="&amp;EDATE(DATEVALUE(C266&amp;"-01"),10),'📋 Транзакції'!$C$5:$C$3623,"&lt;"&amp;EDATE(DATEVALUE(C266&amp;"-01"),11))</f>
        <v>0</v>
      </c>
      <c r="AD266" s="37">
        <f>SUMIFS('📋 Транзакції'!$F$5:$F$3623,'📋 Транзакції'!$B$5:$B$3623,A266,'📋 Транзакції'!$C$5:$C$3623,"&gt;="&amp;EDATE(DATEVALUE(C266&amp;"-01"),11),'📋 Транзакції'!$C$5:$C$3623,"&lt;"&amp;EDATE(DATEVALUE(C266&amp;"-01"),12))</f>
        <v>0</v>
      </c>
    </row>
    <row r="267" ht="15.75" customHeight="1">
      <c r="A267" s="33" t="str">
        <f>'📋 Реєстрації'!A267:A868</f>
        <v>U0623</v>
      </c>
      <c r="B267" s="34">
        <f t="array" ref="B267">INDEX('📋 Транзакції'!$C$5:$C$3623,MATCH(A267,'📋 Транзакції'!$B$5:$B$3623,0))</f>
        <v>45531</v>
      </c>
      <c r="C267" s="35" t="str">
        <f t="shared" si="1"/>
        <v>2024-08</v>
      </c>
      <c r="D267" s="36">
        <f>COUNTIF('📋 Транзакції'!$B$5:$B$3623,A267)</f>
        <v>2</v>
      </c>
      <c r="E267" s="36">
        <f>SUMIF('📋 Транзакції'!$B$5:$B$3623,A267,'📋 Транзакції'!$F$5:$F$3623)</f>
        <v>19.99</v>
      </c>
      <c r="F267" s="35">
        <f>INT($A$1-MAXIFS('📋 Транзакції'!$C$5:$C$3623,'📋 Транзакції'!$B$5:$B$3623,A267))</f>
        <v>209</v>
      </c>
      <c r="G267" s="37">
        <f>IF(COUNTIFS('📋 Транзакції'!$B$5:$B$3623,A267,'📋 Транзакції'!$C$5:$C$3623,"&gt;="&amp;EDATE(DATEVALUE(C267&amp;"-01"),0),'📋 Транзакції'!$C$5:$C$3623,"&lt;"&amp;EDATE(DATEVALUE(C267&amp;"-01"),1))&gt;0,1,0)</f>
        <v>1</v>
      </c>
      <c r="H267" s="37">
        <f>IF(COUNTIFS('📋 Транзакції'!$B$5:$B$3623,A267,'📋 Транзакції'!$C$5:$C$3623,"&gt;="&amp;EDATE(DATEVALUE(C267&amp;"-01"),1),'📋 Транзакції'!$C$5:$C$3623,"&lt;"&amp;EDATE(DATEVALUE(C267&amp;"-01"),2))&gt;0,1,0)</f>
        <v>1</v>
      </c>
      <c r="I267" s="37">
        <f>IF(COUNTIFS('📋 Транзакції'!$B$5:$B$3623,A267,'📋 Транзакції'!$C$5:$C$3623,"&gt;="&amp;EDATE(DATEVALUE(C267&amp;"-01"),2),'📋 Транзакції'!$C$5:$C$3623,"&lt;"&amp;EDATE(DATEVALUE(C267&amp;"-01"),3))&gt;0,1,0)</f>
        <v>0</v>
      </c>
      <c r="J267" s="37">
        <f>IF(COUNTIFS('📋 Транзакції'!$B$5:$B$3623,A267,'📋 Транзакції'!$C$5:$C$3623,"&gt;="&amp;EDATE(DATEVALUE(C267&amp;"-01"),3),'📋 Транзакції'!$C$5:$C$3623,"&lt;"&amp;EDATE(DATEVALUE(C267&amp;"-01"),4))&gt;0,1,0)</f>
        <v>0</v>
      </c>
      <c r="K267" s="37">
        <f>IF(COUNTIFS('📋 Транзакції'!$B$5:$B$3623,A267,'📋 Транзакції'!$C$5:$C$3623,"&gt;="&amp;EDATE(DATEVALUE(C267&amp;"-01"),4),'📋 Транзакції'!$C$5:$C$3623,"&lt;"&amp;EDATE(DATEVALUE(C267&amp;"-01"),5))&gt;0,1,0)</f>
        <v>0</v>
      </c>
      <c r="L267" s="37">
        <f>IF(COUNTIFS('📋 Транзакції'!$B$5:$B$3623,A267,'📋 Транзакції'!$C$5:$C$3623,"&gt;="&amp;EDATE(DATEVALUE(C267&amp;"-01"),5),'📋 Транзакції'!$C$5:$C$3623,"&lt;"&amp;EDATE(DATEVALUE(C267&amp;"-01"),6))&gt;0,1,0)</f>
        <v>0</v>
      </c>
      <c r="M267" s="37">
        <f>IF(COUNTIFS('📋 Транзакції'!$B$5:$B$3623,A267,'📋 Транзакції'!$C$5:$C$3623,"&gt;="&amp;EDATE(DATEVALUE(C267&amp;"-01"),6),'📋 Транзакції'!$C$5:$C$3623,"&lt;"&amp;EDATE(DATEVALUE(C267&amp;"-01"),7))&gt;0,1,0)</f>
        <v>0</v>
      </c>
      <c r="N267" s="37">
        <f>IF(COUNTIFS('📋 Транзакції'!$B$5:$B$3623,A267,'📋 Транзакції'!$C$5:$C$3623,"&gt;="&amp;EDATE(DATEVALUE(C267&amp;"-01"),7),'📋 Транзакції'!$C$5:$C$3623,"&lt;"&amp;EDATE(DATEVALUE(C267&amp;"-01"),8))&gt;0,1,0)</f>
        <v>0</v>
      </c>
      <c r="O267" s="37">
        <f>IF(COUNTIFS('📋 Транзакції'!$B$5:$B$3623,A267,'📋 Транзакції'!$C$5:$C$3623,"&gt;="&amp;EDATE(DATEVALUE(C267&amp;"-01"),8),'📋 Транзакції'!$C$5:$C$3623,"&lt;"&amp;EDATE(DATEVALUE(C267&amp;"-01"),9))&gt;0,1,0)</f>
        <v>0</v>
      </c>
      <c r="P267" s="37">
        <f>IF(COUNTIFS('📋 Транзакції'!$B$5:$B$3623,A267,'📋 Транзакції'!$C$5:$C$3623,"&gt;="&amp;EDATE(DATEVALUE(C267&amp;"-01"),9),'📋 Транзакції'!$C$5:$C$3623,"&lt;"&amp;EDATE(DATEVALUE(C267&amp;"-01"),10))&gt;0,1,0)</f>
        <v>0</v>
      </c>
      <c r="Q267" s="37">
        <f>IF(COUNTIFS('📋 Транзакції'!$B$5:$B$3623,A267,'📋 Транзакції'!$C$5:$C$3623,"&gt;="&amp;EDATE(DATEVALUE(C267&amp;"-01"),10),'📋 Транзакції'!$C$5:$C$3623,"&lt;"&amp;EDATE(DATEVALUE(C267&amp;"-01"),11))&gt;0,1,0)</f>
        <v>0</v>
      </c>
      <c r="R267" s="37">
        <f>IF(COUNTIFS('📋 Транзакції'!$B$5:$B$3623,A267,'📋 Транзакції'!$C$5:$C$3623,"&gt;="&amp;EDATE(DATEVALUE(C267&amp;"-01"),11),'📋 Транзакції'!$C$5:$C$3623,"&lt;"&amp;EDATE(DATEVALUE(C267&amp;"-01"),12))&gt;0,1,0)</f>
        <v>0</v>
      </c>
      <c r="S267" s="37">
        <f>SUMIFS('📋 Транзакції'!$F$5:$F$3623,'📋 Транзакції'!$B$5:$B$3623,A267,'📋 Транзакції'!$C$5:$C$3623,"&gt;="&amp;EDATE(DATEVALUE(C267&amp;"-01"),0),'📋 Транзакції'!$C$5:$C$3623,"&lt;"&amp;EDATE(DATEVALUE(C267&amp;"-01"),1))</f>
        <v>0</v>
      </c>
      <c r="T267" s="37">
        <f>SUMIFS('📋 Транзакції'!$F$5:$F$3623,'📋 Транзакції'!$B$5:$B$3623,A267,'📋 Транзакції'!$C$5:$C$3623,"&gt;="&amp;EDATE(DATEVALUE(C267&amp;"-01"),1),'📋 Транзакції'!$C$5:$C$3623,"&lt;"&amp;EDATE(DATEVALUE(C267&amp;"-01"),2))</f>
        <v>19.99</v>
      </c>
      <c r="U267" s="37">
        <f>SUMIFS('📋 Транзакції'!$F$5:$F$3623,'📋 Транзакції'!$B$5:$B$3623,A267,'📋 Транзакції'!$C$5:$C$3623,"&gt;="&amp;EDATE(DATEVALUE(C267&amp;"-01"),2),'📋 Транзакції'!$C$5:$C$3623,"&lt;"&amp;EDATE(DATEVALUE(C267&amp;"-01"),3))</f>
        <v>0</v>
      </c>
      <c r="V267" s="37">
        <f>SUMIFS('📋 Транзакції'!$F$5:$F$3623,'📋 Транзакції'!$B$5:$B$3623,A267,'📋 Транзакції'!$C$5:$C$3623,"&gt;="&amp;EDATE(DATEVALUE(C267&amp;"-01"),3),'📋 Транзакції'!$C$5:$C$3623,"&lt;"&amp;EDATE(DATEVALUE(C267&amp;"-01"),4))</f>
        <v>0</v>
      </c>
      <c r="W267" s="37">
        <f>SUMIFS('📋 Транзакції'!$F$5:$F$3623,'📋 Транзакції'!$B$5:$B$3623,A267,'📋 Транзакції'!$C$5:$C$3623,"&gt;="&amp;EDATE(DATEVALUE(C267&amp;"-01"),4),'📋 Транзакції'!$C$5:$C$3623,"&lt;"&amp;EDATE(DATEVALUE(C267&amp;"-01"),5))</f>
        <v>0</v>
      </c>
      <c r="X267" s="37">
        <f>SUMIFS('📋 Транзакції'!$F$5:$F$3623,'📋 Транзакції'!$B$5:$B$3623,A267,'📋 Транзакції'!$C$5:$C$3623,"&gt;="&amp;EDATE(DATEVALUE(C267&amp;"-01"),5),'📋 Транзакції'!$C$5:$C$3623,"&lt;"&amp;EDATE(DATEVALUE(C267&amp;"-01"),6))</f>
        <v>0</v>
      </c>
      <c r="Y267" s="37">
        <f>SUMIFS('📋 Транзакції'!$F$5:$F$3623,'📋 Транзакції'!$B$5:$B$3623,A267,'📋 Транзакції'!$C$5:$C$3623,"&gt;="&amp;EDATE(DATEVALUE(C267&amp;"-01"),6),'📋 Транзакції'!$C$5:$C$3623,"&lt;"&amp;EDATE(DATEVALUE(C267&amp;"-01"),7))</f>
        <v>0</v>
      </c>
      <c r="Z267" s="37">
        <f>SUMIFS('📋 Транзакції'!$F$5:$F$3623,'📋 Транзакції'!$B$5:$B$3623,A267,'📋 Транзакції'!$C$5:$C$3623,"&gt;="&amp;EDATE(DATEVALUE(C267&amp;"-01"),7),'📋 Транзакції'!$C$5:$C$3623,"&lt;"&amp;EDATE(DATEVALUE(C267&amp;"-01"),8))</f>
        <v>0</v>
      </c>
      <c r="AA267" s="37">
        <f>SUMIFS('📋 Транзакції'!$F$5:$F$3623,'📋 Транзакції'!$B$5:$B$3623,A267,'📋 Транзакції'!$C$5:$C$3623,"&gt;="&amp;EDATE(DATEVALUE(C267&amp;"-01"),8),'📋 Транзакції'!$C$5:$C$3623,"&lt;"&amp;EDATE(DATEVALUE(C267&amp;"-01"),9))</f>
        <v>0</v>
      </c>
      <c r="AB267" s="37">
        <f>SUMIFS('📋 Транзакції'!$F$5:$F$3623,'📋 Транзакції'!$B$5:$B$3623,A267,'📋 Транзакції'!$C$5:$C$3623,"&gt;="&amp;EDATE(DATEVALUE(C267&amp;"-01"),9),'📋 Транзакції'!$C$5:$C$3623,"&lt;"&amp;EDATE(DATEVALUE(C267&amp;"-01"),10))</f>
        <v>0</v>
      </c>
      <c r="AC267" s="37">
        <f>SUMIFS('📋 Транзакції'!$F$5:$F$3623,'📋 Транзакції'!$B$5:$B$3623,A267,'📋 Транзакції'!$C$5:$C$3623,"&gt;="&amp;EDATE(DATEVALUE(C267&amp;"-01"),10),'📋 Транзакції'!$C$5:$C$3623,"&lt;"&amp;EDATE(DATEVALUE(C267&amp;"-01"),11))</f>
        <v>0</v>
      </c>
      <c r="AD267" s="37">
        <f>SUMIFS('📋 Транзакції'!$F$5:$F$3623,'📋 Транзакції'!$B$5:$B$3623,A267,'📋 Транзакції'!$C$5:$C$3623,"&gt;="&amp;EDATE(DATEVALUE(C267&amp;"-01"),11),'📋 Транзакції'!$C$5:$C$3623,"&lt;"&amp;EDATE(DATEVALUE(C267&amp;"-01"),12))</f>
        <v>0</v>
      </c>
    </row>
    <row r="268" ht="15.75" customHeight="1">
      <c r="A268" s="33" t="str">
        <f>'📋 Реєстрації'!A268:A869</f>
        <v>U0139</v>
      </c>
      <c r="B268" s="34">
        <f t="array" ref="B268">INDEX('📋 Транзакції'!$C$5:$C$3623,MATCH(A268,'📋 Транзакції'!$B$5:$B$3623,0))</f>
        <v>45532</v>
      </c>
      <c r="C268" s="35" t="str">
        <f t="shared" si="1"/>
        <v>2024-08</v>
      </c>
      <c r="D268" s="36">
        <f>COUNTIF('📋 Транзакції'!$B$5:$B$3623,A268)</f>
        <v>6</v>
      </c>
      <c r="E268" s="36">
        <f>SUMIF('📋 Транзакції'!$B$5:$B$3623,A268,'📋 Транзакції'!$F$5:$F$3623)</f>
        <v>99.95</v>
      </c>
      <c r="F268" s="35">
        <f>INT($A$1-MAXIFS('📋 Транзакції'!$C$5:$C$3623,'📋 Транзакції'!$B$5:$B$3623,A268))</f>
        <v>88</v>
      </c>
      <c r="G268" s="37">
        <f>IF(COUNTIFS('📋 Транзакції'!$B$5:$B$3623,A268,'📋 Транзакції'!$C$5:$C$3623,"&gt;="&amp;EDATE(DATEVALUE(C268&amp;"-01"),0),'📋 Транзакції'!$C$5:$C$3623,"&lt;"&amp;EDATE(DATEVALUE(C268&amp;"-01"),1))&gt;0,1,0)</f>
        <v>1</v>
      </c>
      <c r="H268" s="37">
        <f>IF(COUNTIFS('📋 Транзакції'!$B$5:$B$3623,A268,'📋 Транзакції'!$C$5:$C$3623,"&gt;="&amp;EDATE(DATEVALUE(C268&amp;"-01"),1),'📋 Транзакції'!$C$5:$C$3623,"&lt;"&amp;EDATE(DATEVALUE(C268&amp;"-01"),2))&gt;0,1,0)</f>
        <v>1</v>
      </c>
      <c r="I268" s="37">
        <f>IF(COUNTIFS('📋 Транзакції'!$B$5:$B$3623,A268,'📋 Транзакції'!$C$5:$C$3623,"&gt;="&amp;EDATE(DATEVALUE(C268&amp;"-01"),2),'📋 Транзакції'!$C$5:$C$3623,"&lt;"&amp;EDATE(DATEVALUE(C268&amp;"-01"),3))&gt;0,1,0)</f>
        <v>1</v>
      </c>
      <c r="J268" s="37">
        <f>IF(COUNTIFS('📋 Транзакції'!$B$5:$B$3623,A268,'📋 Транзакції'!$C$5:$C$3623,"&gt;="&amp;EDATE(DATEVALUE(C268&amp;"-01"),3),'📋 Транзакції'!$C$5:$C$3623,"&lt;"&amp;EDATE(DATEVALUE(C268&amp;"-01"),4))&gt;0,1,0)</f>
        <v>1</v>
      </c>
      <c r="K268" s="37">
        <f>IF(COUNTIFS('📋 Транзакції'!$B$5:$B$3623,A268,'📋 Транзакції'!$C$5:$C$3623,"&gt;="&amp;EDATE(DATEVALUE(C268&amp;"-01"),4),'📋 Транзакції'!$C$5:$C$3623,"&lt;"&amp;EDATE(DATEVALUE(C268&amp;"-01"),5))&gt;0,1,0)</f>
        <v>1</v>
      </c>
      <c r="L268" s="37">
        <f>IF(COUNTIFS('📋 Транзакції'!$B$5:$B$3623,A268,'📋 Транзакції'!$C$5:$C$3623,"&gt;="&amp;EDATE(DATEVALUE(C268&amp;"-01"),5),'📋 Транзакції'!$C$5:$C$3623,"&lt;"&amp;EDATE(DATEVALUE(C268&amp;"-01"),6))&gt;0,1,0)</f>
        <v>1</v>
      </c>
      <c r="M268" s="37">
        <f>IF(COUNTIFS('📋 Транзакції'!$B$5:$B$3623,A268,'📋 Транзакції'!$C$5:$C$3623,"&gt;="&amp;EDATE(DATEVALUE(C268&amp;"-01"),6),'📋 Транзакції'!$C$5:$C$3623,"&lt;"&amp;EDATE(DATEVALUE(C268&amp;"-01"),7))&gt;0,1,0)</f>
        <v>0</v>
      </c>
      <c r="N268" s="37">
        <f>IF(COUNTIFS('📋 Транзакції'!$B$5:$B$3623,A268,'📋 Транзакції'!$C$5:$C$3623,"&gt;="&amp;EDATE(DATEVALUE(C268&amp;"-01"),7),'📋 Транзакції'!$C$5:$C$3623,"&lt;"&amp;EDATE(DATEVALUE(C268&amp;"-01"),8))&gt;0,1,0)</f>
        <v>0</v>
      </c>
      <c r="O268" s="37">
        <f>IF(COUNTIFS('📋 Транзакції'!$B$5:$B$3623,A268,'📋 Транзакції'!$C$5:$C$3623,"&gt;="&amp;EDATE(DATEVALUE(C268&amp;"-01"),8),'📋 Транзакції'!$C$5:$C$3623,"&lt;"&amp;EDATE(DATEVALUE(C268&amp;"-01"),9))&gt;0,1,0)</f>
        <v>0</v>
      </c>
      <c r="P268" s="37">
        <f>IF(COUNTIFS('📋 Транзакції'!$B$5:$B$3623,A268,'📋 Транзакції'!$C$5:$C$3623,"&gt;="&amp;EDATE(DATEVALUE(C268&amp;"-01"),9),'📋 Транзакції'!$C$5:$C$3623,"&lt;"&amp;EDATE(DATEVALUE(C268&amp;"-01"),10))&gt;0,1,0)</f>
        <v>0</v>
      </c>
      <c r="Q268" s="37">
        <f>IF(COUNTIFS('📋 Транзакції'!$B$5:$B$3623,A268,'📋 Транзакції'!$C$5:$C$3623,"&gt;="&amp;EDATE(DATEVALUE(C268&amp;"-01"),10),'📋 Транзакції'!$C$5:$C$3623,"&lt;"&amp;EDATE(DATEVALUE(C268&amp;"-01"),11))&gt;0,1,0)</f>
        <v>0</v>
      </c>
      <c r="R268" s="37">
        <f>IF(COUNTIFS('📋 Транзакції'!$B$5:$B$3623,A268,'📋 Транзакції'!$C$5:$C$3623,"&gt;="&amp;EDATE(DATEVALUE(C268&amp;"-01"),11),'📋 Транзакції'!$C$5:$C$3623,"&lt;"&amp;EDATE(DATEVALUE(C268&amp;"-01"),12))&gt;0,1,0)</f>
        <v>0</v>
      </c>
      <c r="S268" s="37">
        <f>SUMIFS('📋 Транзакції'!$F$5:$F$3623,'📋 Транзакції'!$B$5:$B$3623,A268,'📋 Транзакції'!$C$5:$C$3623,"&gt;="&amp;EDATE(DATEVALUE(C268&amp;"-01"),0),'📋 Транзакції'!$C$5:$C$3623,"&lt;"&amp;EDATE(DATEVALUE(C268&amp;"-01"),1))</f>
        <v>0</v>
      </c>
      <c r="T268" s="37">
        <f>SUMIFS('📋 Транзакції'!$F$5:$F$3623,'📋 Транзакції'!$B$5:$B$3623,A268,'📋 Транзакції'!$C$5:$C$3623,"&gt;="&amp;EDATE(DATEVALUE(C268&amp;"-01"),1),'📋 Транзакції'!$C$5:$C$3623,"&lt;"&amp;EDATE(DATEVALUE(C268&amp;"-01"),2))</f>
        <v>19.99</v>
      </c>
      <c r="U268" s="37">
        <f>SUMIFS('📋 Транзакції'!$F$5:$F$3623,'📋 Транзакції'!$B$5:$B$3623,A268,'📋 Транзакції'!$C$5:$C$3623,"&gt;="&amp;EDATE(DATEVALUE(C268&amp;"-01"),2),'📋 Транзакції'!$C$5:$C$3623,"&lt;"&amp;EDATE(DATEVALUE(C268&amp;"-01"),3))</f>
        <v>19.99</v>
      </c>
      <c r="V268" s="37">
        <f>SUMIFS('📋 Транзакції'!$F$5:$F$3623,'📋 Транзакції'!$B$5:$B$3623,A268,'📋 Транзакції'!$C$5:$C$3623,"&gt;="&amp;EDATE(DATEVALUE(C268&amp;"-01"),3),'📋 Транзакції'!$C$5:$C$3623,"&lt;"&amp;EDATE(DATEVALUE(C268&amp;"-01"),4))</f>
        <v>19.99</v>
      </c>
      <c r="W268" s="37">
        <f>SUMIFS('📋 Транзакції'!$F$5:$F$3623,'📋 Транзакції'!$B$5:$B$3623,A268,'📋 Транзакції'!$C$5:$C$3623,"&gt;="&amp;EDATE(DATEVALUE(C268&amp;"-01"),4),'📋 Транзакції'!$C$5:$C$3623,"&lt;"&amp;EDATE(DATEVALUE(C268&amp;"-01"),5))</f>
        <v>19.99</v>
      </c>
      <c r="X268" s="37">
        <f>SUMIFS('📋 Транзакції'!$F$5:$F$3623,'📋 Транзакції'!$B$5:$B$3623,A268,'📋 Транзакції'!$C$5:$C$3623,"&gt;="&amp;EDATE(DATEVALUE(C268&amp;"-01"),5),'📋 Транзакції'!$C$5:$C$3623,"&lt;"&amp;EDATE(DATEVALUE(C268&amp;"-01"),6))</f>
        <v>19.99</v>
      </c>
      <c r="Y268" s="37">
        <f>SUMIFS('📋 Транзакції'!$F$5:$F$3623,'📋 Транзакції'!$B$5:$B$3623,A268,'📋 Транзакції'!$C$5:$C$3623,"&gt;="&amp;EDATE(DATEVALUE(C268&amp;"-01"),6),'📋 Транзакції'!$C$5:$C$3623,"&lt;"&amp;EDATE(DATEVALUE(C268&amp;"-01"),7))</f>
        <v>0</v>
      </c>
      <c r="Z268" s="37">
        <f>SUMIFS('📋 Транзакції'!$F$5:$F$3623,'📋 Транзакції'!$B$5:$B$3623,A268,'📋 Транзакції'!$C$5:$C$3623,"&gt;="&amp;EDATE(DATEVALUE(C268&amp;"-01"),7),'📋 Транзакції'!$C$5:$C$3623,"&lt;"&amp;EDATE(DATEVALUE(C268&amp;"-01"),8))</f>
        <v>0</v>
      </c>
      <c r="AA268" s="37">
        <f>SUMIFS('📋 Транзакції'!$F$5:$F$3623,'📋 Транзакції'!$B$5:$B$3623,A268,'📋 Транзакції'!$C$5:$C$3623,"&gt;="&amp;EDATE(DATEVALUE(C268&amp;"-01"),8),'📋 Транзакції'!$C$5:$C$3623,"&lt;"&amp;EDATE(DATEVALUE(C268&amp;"-01"),9))</f>
        <v>0</v>
      </c>
      <c r="AB268" s="37">
        <f>SUMIFS('📋 Транзакції'!$F$5:$F$3623,'📋 Транзакції'!$B$5:$B$3623,A268,'📋 Транзакції'!$C$5:$C$3623,"&gt;="&amp;EDATE(DATEVALUE(C268&amp;"-01"),9),'📋 Транзакції'!$C$5:$C$3623,"&lt;"&amp;EDATE(DATEVALUE(C268&amp;"-01"),10))</f>
        <v>0</v>
      </c>
      <c r="AC268" s="37">
        <f>SUMIFS('📋 Транзакції'!$F$5:$F$3623,'📋 Транзакції'!$B$5:$B$3623,A268,'📋 Транзакції'!$C$5:$C$3623,"&gt;="&amp;EDATE(DATEVALUE(C268&amp;"-01"),10),'📋 Транзакції'!$C$5:$C$3623,"&lt;"&amp;EDATE(DATEVALUE(C268&amp;"-01"),11))</f>
        <v>0</v>
      </c>
      <c r="AD268" s="37">
        <f>SUMIFS('📋 Транзакції'!$F$5:$F$3623,'📋 Транзакції'!$B$5:$B$3623,A268,'📋 Транзакції'!$C$5:$C$3623,"&gt;="&amp;EDATE(DATEVALUE(C268&amp;"-01"),11),'📋 Транзакції'!$C$5:$C$3623,"&lt;"&amp;EDATE(DATEVALUE(C268&amp;"-01"),12))</f>
        <v>0</v>
      </c>
    </row>
    <row r="269" ht="15.75" customHeight="1">
      <c r="A269" s="33" t="str">
        <f>'📋 Реєстрації'!A269:A870</f>
        <v>U0195</v>
      </c>
      <c r="B269" s="34">
        <f t="array" ref="B269">INDEX('📋 Транзакції'!$C$5:$C$3623,MATCH(A269,'📋 Транзакції'!$B$5:$B$3623,0))</f>
        <v>45534</v>
      </c>
      <c r="C269" s="35" t="str">
        <f t="shared" si="1"/>
        <v>2024-08</v>
      </c>
      <c r="D269" s="36">
        <f>COUNTIF('📋 Транзакції'!$B$5:$B$3623,A269)</f>
        <v>4</v>
      </c>
      <c r="E269" s="36">
        <f>SUMIF('📋 Транзакції'!$B$5:$B$3623,A269,'📋 Транзакції'!$F$5:$F$3623)</f>
        <v>59.97</v>
      </c>
      <c r="F269" s="35">
        <f>INT($A$1-MAXIFS('📋 Транзакції'!$C$5:$C$3623,'📋 Транзакції'!$B$5:$B$3623,A269))</f>
        <v>146</v>
      </c>
      <c r="G269" s="37">
        <f>IF(COUNTIFS('📋 Транзакції'!$B$5:$B$3623,A269,'📋 Транзакції'!$C$5:$C$3623,"&gt;="&amp;EDATE(DATEVALUE(C269&amp;"-01"),0),'📋 Транзакції'!$C$5:$C$3623,"&lt;"&amp;EDATE(DATEVALUE(C269&amp;"-01"),1))&gt;0,1,0)</f>
        <v>1</v>
      </c>
      <c r="H269" s="37">
        <f>IF(COUNTIFS('📋 Транзакції'!$B$5:$B$3623,A269,'📋 Транзакції'!$C$5:$C$3623,"&gt;="&amp;EDATE(DATEVALUE(C269&amp;"-01"),1),'📋 Транзакції'!$C$5:$C$3623,"&lt;"&amp;EDATE(DATEVALUE(C269&amp;"-01"),2))&gt;0,1,0)</f>
        <v>1</v>
      </c>
      <c r="I269" s="37">
        <f>IF(COUNTIFS('📋 Транзакції'!$B$5:$B$3623,A269,'📋 Транзакції'!$C$5:$C$3623,"&gt;="&amp;EDATE(DATEVALUE(C269&amp;"-01"),2),'📋 Транзакції'!$C$5:$C$3623,"&lt;"&amp;EDATE(DATEVALUE(C269&amp;"-01"),3))&gt;0,1,0)</f>
        <v>1</v>
      </c>
      <c r="J269" s="37">
        <f>IF(COUNTIFS('📋 Транзакції'!$B$5:$B$3623,A269,'📋 Транзакції'!$C$5:$C$3623,"&gt;="&amp;EDATE(DATEVALUE(C269&amp;"-01"),3),'📋 Транзакції'!$C$5:$C$3623,"&lt;"&amp;EDATE(DATEVALUE(C269&amp;"-01"),4))&gt;0,1,0)</f>
        <v>1</v>
      </c>
      <c r="K269" s="37">
        <f>IF(COUNTIFS('📋 Транзакції'!$B$5:$B$3623,A269,'📋 Транзакції'!$C$5:$C$3623,"&gt;="&amp;EDATE(DATEVALUE(C269&amp;"-01"),4),'📋 Транзакції'!$C$5:$C$3623,"&lt;"&amp;EDATE(DATEVALUE(C269&amp;"-01"),5))&gt;0,1,0)</f>
        <v>0</v>
      </c>
      <c r="L269" s="37">
        <f>IF(COUNTIFS('📋 Транзакції'!$B$5:$B$3623,A269,'📋 Транзакції'!$C$5:$C$3623,"&gt;="&amp;EDATE(DATEVALUE(C269&amp;"-01"),5),'📋 Транзакції'!$C$5:$C$3623,"&lt;"&amp;EDATE(DATEVALUE(C269&amp;"-01"),6))&gt;0,1,0)</f>
        <v>0</v>
      </c>
      <c r="M269" s="37">
        <f>IF(COUNTIFS('📋 Транзакції'!$B$5:$B$3623,A269,'📋 Транзакції'!$C$5:$C$3623,"&gt;="&amp;EDATE(DATEVALUE(C269&amp;"-01"),6),'📋 Транзакції'!$C$5:$C$3623,"&lt;"&amp;EDATE(DATEVALUE(C269&amp;"-01"),7))&gt;0,1,0)</f>
        <v>0</v>
      </c>
      <c r="N269" s="37">
        <f>IF(COUNTIFS('📋 Транзакції'!$B$5:$B$3623,A269,'📋 Транзакції'!$C$5:$C$3623,"&gt;="&amp;EDATE(DATEVALUE(C269&amp;"-01"),7),'📋 Транзакції'!$C$5:$C$3623,"&lt;"&amp;EDATE(DATEVALUE(C269&amp;"-01"),8))&gt;0,1,0)</f>
        <v>0</v>
      </c>
      <c r="O269" s="37">
        <f>IF(COUNTIFS('📋 Транзакції'!$B$5:$B$3623,A269,'📋 Транзакції'!$C$5:$C$3623,"&gt;="&amp;EDATE(DATEVALUE(C269&amp;"-01"),8),'📋 Транзакції'!$C$5:$C$3623,"&lt;"&amp;EDATE(DATEVALUE(C269&amp;"-01"),9))&gt;0,1,0)</f>
        <v>0</v>
      </c>
      <c r="P269" s="37">
        <f>IF(COUNTIFS('📋 Транзакції'!$B$5:$B$3623,A269,'📋 Транзакції'!$C$5:$C$3623,"&gt;="&amp;EDATE(DATEVALUE(C269&amp;"-01"),9),'📋 Транзакції'!$C$5:$C$3623,"&lt;"&amp;EDATE(DATEVALUE(C269&amp;"-01"),10))&gt;0,1,0)</f>
        <v>0</v>
      </c>
      <c r="Q269" s="37">
        <f>IF(COUNTIFS('📋 Транзакції'!$B$5:$B$3623,A269,'📋 Транзакції'!$C$5:$C$3623,"&gt;="&amp;EDATE(DATEVALUE(C269&amp;"-01"),10),'📋 Транзакції'!$C$5:$C$3623,"&lt;"&amp;EDATE(DATEVALUE(C269&amp;"-01"),11))&gt;0,1,0)</f>
        <v>0</v>
      </c>
      <c r="R269" s="37">
        <f>IF(COUNTIFS('📋 Транзакції'!$B$5:$B$3623,A269,'📋 Транзакції'!$C$5:$C$3623,"&gt;="&amp;EDATE(DATEVALUE(C269&amp;"-01"),11),'📋 Транзакції'!$C$5:$C$3623,"&lt;"&amp;EDATE(DATEVALUE(C269&amp;"-01"),12))&gt;0,1,0)</f>
        <v>0</v>
      </c>
      <c r="S269" s="37">
        <f>SUMIFS('📋 Транзакції'!$F$5:$F$3623,'📋 Транзакції'!$B$5:$B$3623,A269,'📋 Транзакції'!$C$5:$C$3623,"&gt;="&amp;EDATE(DATEVALUE(C269&amp;"-01"),0),'📋 Транзакції'!$C$5:$C$3623,"&lt;"&amp;EDATE(DATEVALUE(C269&amp;"-01"),1))</f>
        <v>0</v>
      </c>
      <c r="T269" s="37">
        <f>SUMIFS('📋 Транзакції'!$F$5:$F$3623,'📋 Транзакції'!$B$5:$B$3623,A269,'📋 Транзакції'!$C$5:$C$3623,"&gt;="&amp;EDATE(DATEVALUE(C269&amp;"-01"),1),'📋 Транзакції'!$C$5:$C$3623,"&lt;"&amp;EDATE(DATEVALUE(C269&amp;"-01"),2))</f>
        <v>19.99</v>
      </c>
      <c r="U269" s="37">
        <f>SUMIFS('📋 Транзакції'!$F$5:$F$3623,'📋 Транзакції'!$B$5:$B$3623,A269,'📋 Транзакції'!$C$5:$C$3623,"&gt;="&amp;EDATE(DATEVALUE(C269&amp;"-01"),2),'📋 Транзакції'!$C$5:$C$3623,"&lt;"&amp;EDATE(DATEVALUE(C269&amp;"-01"),3))</f>
        <v>19.99</v>
      </c>
      <c r="V269" s="37">
        <f>SUMIFS('📋 Транзакції'!$F$5:$F$3623,'📋 Транзакції'!$B$5:$B$3623,A269,'📋 Транзакції'!$C$5:$C$3623,"&gt;="&amp;EDATE(DATEVALUE(C269&amp;"-01"),3),'📋 Транзакції'!$C$5:$C$3623,"&lt;"&amp;EDATE(DATEVALUE(C269&amp;"-01"),4))</f>
        <v>19.99</v>
      </c>
      <c r="W269" s="37">
        <f>SUMIFS('📋 Транзакції'!$F$5:$F$3623,'📋 Транзакції'!$B$5:$B$3623,A269,'📋 Транзакції'!$C$5:$C$3623,"&gt;="&amp;EDATE(DATEVALUE(C269&amp;"-01"),4),'📋 Транзакції'!$C$5:$C$3623,"&lt;"&amp;EDATE(DATEVALUE(C269&amp;"-01"),5))</f>
        <v>0</v>
      </c>
      <c r="X269" s="37">
        <f>SUMIFS('📋 Транзакції'!$F$5:$F$3623,'📋 Транзакції'!$B$5:$B$3623,A269,'📋 Транзакції'!$C$5:$C$3623,"&gt;="&amp;EDATE(DATEVALUE(C269&amp;"-01"),5),'📋 Транзакції'!$C$5:$C$3623,"&lt;"&amp;EDATE(DATEVALUE(C269&amp;"-01"),6))</f>
        <v>0</v>
      </c>
      <c r="Y269" s="37">
        <f>SUMIFS('📋 Транзакції'!$F$5:$F$3623,'📋 Транзакції'!$B$5:$B$3623,A269,'📋 Транзакції'!$C$5:$C$3623,"&gt;="&amp;EDATE(DATEVALUE(C269&amp;"-01"),6),'📋 Транзакції'!$C$5:$C$3623,"&lt;"&amp;EDATE(DATEVALUE(C269&amp;"-01"),7))</f>
        <v>0</v>
      </c>
      <c r="Z269" s="37">
        <f>SUMIFS('📋 Транзакції'!$F$5:$F$3623,'📋 Транзакції'!$B$5:$B$3623,A269,'📋 Транзакції'!$C$5:$C$3623,"&gt;="&amp;EDATE(DATEVALUE(C269&amp;"-01"),7),'📋 Транзакції'!$C$5:$C$3623,"&lt;"&amp;EDATE(DATEVALUE(C269&amp;"-01"),8))</f>
        <v>0</v>
      </c>
      <c r="AA269" s="37">
        <f>SUMIFS('📋 Транзакції'!$F$5:$F$3623,'📋 Транзакції'!$B$5:$B$3623,A269,'📋 Транзакції'!$C$5:$C$3623,"&gt;="&amp;EDATE(DATEVALUE(C269&amp;"-01"),8),'📋 Транзакції'!$C$5:$C$3623,"&lt;"&amp;EDATE(DATEVALUE(C269&amp;"-01"),9))</f>
        <v>0</v>
      </c>
      <c r="AB269" s="37">
        <f>SUMIFS('📋 Транзакції'!$F$5:$F$3623,'📋 Транзакції'!$B$5:$B$3623,A269,'📋 Транзакції'!$C$5:$C$3623,"&gt;="&amp;EDATE(DATEVALUE(C269&amp;"-01"),9),'📋 Транзакції'!$C$5:$C$3623,"&lt;"&amp;EDATE(DATEVALUE(C269&amp;"-01"),10))</f>
        <v>0</v>
      </c>
      <c r="AC269" s="37">
        <f>SUMIFS('📋 Транзакції'!$F$5:$F$3623,'📋 Транзакції'!$B$5:$B$3623,A269,'📋 Транзакції'!$C$5:$C$3623,"&gt;="&amp;EDATE(DATEVALUE(C269&amp;"-01"),10),'📋 Транзакції'!$C$5:$C$3623,"&lt;"&amp;EDATE(DATEVALUE(C269&amp;"-01"),11))</f>
        <v>0</v>
      </c>
      <c r="AD269" s="37">
        <f>SUMIFS('📋 Транзакції'!$F$5:$F$3623,'📋 Транзакції'!$B$5:$B$3623,A269,'📋 Транзакції'!$C$5:$C$3623,"&gt;="&amp;EDATE(DATEVALUE(C269&amp;"-01"),11),'📋 Транзакції'!$C$5:$C$3623,"&lt;"&amp;EDATE(DATEVALUE(C269&amp;"-01"),12))</f>
        <v>0</v>
      </c>
    </row>
    <row r="270" ht="15.75" customHeight="1">
      <c r="A270" s="33" t="str">
        <f>'📋 Реєстрації'!A270:A871</f>
        <v>U0871</v>
      </c>
      <c r="B270" s="34">
        <f t="array" ref="B270">INDEX('📋 Транзакції'!$C$5:$C$3623,MATCH(A270,'📋 Транзакції'!$B$5:$B$3623,0))</f>
        <v>45535</v>
      </c>
      <c r="C270" s="35" t="str">
        <f t="shared" si="1"/>
        <v>2024-08</v>
      </c>
      <c r="D270" s="36">
        <f>COUNTIF('📋 Транзакції'!$B$5:$B$3623,A270)</f>
        <v>8</v>
      </c>
      <c r="E270" s="36">
        <f>SUMIF('📋 Транзакції'!$B$5:$B$3623,A270,'📋 Транзакції'!$F$5:$F$3623)</f>
        <v>139.93</v>
      </c>
      <c r="F270" s="35">
        <f>INT($A$1-MAXIFS('📋 Транзакції'!$C$5:$C$3623,'📋 Транзакції'!$B$5:$B$3623,A270))</f>
        <v>25</v>
      </c>
      <c r="G270" s="37">
        <f>IF(COUNTIFS('📋 Транзакції'!$B$5:$B$3623,A270,'📋 Транзакції'!$C$5:$C$3623,"&gt;="&amp;EDATE(DATEVALUE(C270&amp;"-01"),0),'📋 Транзакції'!$C$5:$C$3623,"&lt;"&amp;EDATE(DATEVALUE(C270&amp;"-01"),1))&gt;0,1,0)</f>
        <v>1</v>
      </c>
      <c r="H270" s="37">
        <f>IF(COUNTIFS('📋 Транзакції'!$B$5:$B$3623,A270,'📋 Транзакції'!$C$5:$C$3623,"&gt;="&amp;EDATE(DATEVALUE(C270&amp;"-01"),1),'📋 Транзакції'!$C$5:$C$3623,"&lt;"&amp;EDATE(DATEVALUE(C270&amp;"-01"),2))&gt;0,1,0)</f>
        <v>1</v>
      </c>
      <c r="I270" s="37">
        <f>IF(COUNTIFS('📋 Транзакції'!$B$5:$B$3623,A270,'📋 Транзакції'!$C$5:$C$3623,"&gt;="&amp;EDATE(DATEVALUE(C270&amp;"-01"),2),'📋 Транзакції'!$C$5:$C$3623,"&lt;"&amp;EDATE(DATEVALUE(C270&amp;"-01"),3))&gt;0,1,0)</f>
        <v>1</v>
      </c>
      <c r="J270" s="37">
        <f>IF(COUNTIFS('📋 Транзакції'!$B$5:$B$3623,A270,'📋 Транзакції'!$C$5:$C$3623,"&gt;="&amp;EDATE(DATEVALUE(C270&amp;"-01"),3),'📋 Транзакції'!$C$5:$C$3623,"&lt;"&amp;EDATE(DATEVALUE(C270&amp;"-01"),4))&gt;0,1,0)</f>
        <v>1</v>
      </c>
      <c r="K270" s="37">
        <f>IF(COUNTIFS('📋 Транзакції'!$B$5:$B$3623,A270,'📋 Транзакції'!$C$5:$C$3623,"&gt;="&amp;EDATE(DATEVALUE(C270&amp;"-01"),4),'📋 Транзакції'!$C$5:$C$3623,"&lt;"&amp;EDATE(DATEVALUE(C270&amp;"-01"),5))&gt;0,1,0)</f>
        <v>1</v>
      </c>
      <c r="L270" s="37">
        <f>IF(COUNTIFS('📋 Транзакції'!$B$5:$B$3623,A270,'📋 Транзакції'!$C$5:$C$3623,"&gt;="&amp;EDATE(DATEVALUE(C270&amp;"-01"),5),'📋 Транзакції'!$C$5:$C$3623,"&lt;"&amp;EDATE(DATEVALUE(C270&amp;"-01"),6))&gt;0,1,0)</f>
        <v>1</v>
      </c>
      <c r="M270" s="37">
        <f>IF(COUNTIFS('📋 Транзакції'!$B$5:$B$3623,A270,'📋 Транзакції'!$C$5:$C$3623,"&gt;="&amp;EDATE(DATEVALUE(C270&amp;"-01"),6),'📋 Транзакції'!$C$5:$C$3623,"&lt;"&amp;EDATE(DATEVALUE(C270&amp;"-01"),7))&gt;0,1,0)</f>
        <v>1</v>
      </c>
      <c r="N270" s="37">
        <f>IF(COUNTIFS('📋 Транзакції'!$B$5:$B$3623,A270,'📋 Транзакції'!$C$5:$C$3623,"&gt;="&amp;EDATE(DATEVALUE(C270&amp;"-01"),7),'📋 Транзакції'!$C$5:$C$3623,"&lt;"&amp;EDATE(DATEVALUE(C270&amp;"-01"),8))&gt;0,1,0)</f>
        <v>1</v>
      </c>
      <c r="O270" s="37">
        <f>IF(COUNTIFS('📋 Транзакції'!$B$5:$B$3623,A270,'📋 Транзакції'!$C$5:$C$3623,"&gt;="&amp;EDATE(DATEVALUE(C270&amp;"-01"),8),'📋 Транзакції'!$C$5:$C$3623,"&lt;"&amp;EDATE(DATEVALUE(C270&amp;"-01"),9))&gt;0,1,0)</f>
        <v>0</v>
      </c>
      <c r="P270" s="37">
        <f>IF(COUNTIFS('📋 Транзакції'!$B$5:$B$3623,A270,'📋 Транзакції'!$C$5:$C$3623,"&gt;="&amp;EDATE(DATEVALUE(C270&amp;"-01"),9),'📋 Транзакції'!$C$5:$C$3623,"&lt;"&amp;EDATE(DATEVALUE(C270&amp;"-01"),10))&gt;0,1,0)</f>
        <v>0</v>
      </c>
      <c r="Q270" s="37">
        <f>IF(COUNTIFS('📋 Транзакції'!$B$5:$B$3623,A270,'📋 Транзакції'!$C$5:$C$3623,"&gt;="&amp;EDATE(DATEVALUE(C270&amp;"-01"),10),'📋 Транзакції'!$C$5:$C$3623,"&lt;"&amp;EDATE(DATEVALUE(C270&amp;"-01"),11))&gt;0,1,0)</f>
        <v>0</v>
      </c>
      <c r="R270" s="37">
        <f>IF(COUNTIFS('📋 Транзакції'!$B$5:$B$3623,A270,'📋 Транзакції'!$C$5:$C$3623,"&gt;="&amp;EDATE(DATEVALUE(C270&amp;"-01"),11),'📋 Транзакції'!$C$5:$C$3623,"&lt;"&amp;EDATE(DATEVALUE(C270&amp;"-01"),12))&gt;0,1,0)</f>
        <v>0</v>
      </c>
      <c r="S270" s="37">
        <f>SUMIFS('📋 Транзакції'!$F$5:$F$3623,'📋 Транзакції'!$B$5:$B$3623,A270,'📋 Транзакції'!$C$5:$C$3623,"&gt;="&amp;EDATE(DATEVALUE(C270&amp;"-01"),0),'📋 Транзакції'!$C$5:$C$3623,"&lt;"&amp;EDATE(DATEVALUE(C270&amp;"-01"),1))</f>
        <v>0</v>
      </c>
      <c r="T270" s="37">
        <f>SUMIFS('📋 Транзакції'!$F$5:$F$3623,'📋 Транзакції'!$B$5:$B$3623,A270,'📋 Транзакції'!$C$5:$C$3623,"&gt;="&amp;EDATE(DATEVALUE(C270&amp;"-01"),1),'📋 Транзакції'!$C$5:$C$3623,"&lt;"&amp;EDATE(DATEVALUE(C270&amp;"-01"),2))</f>
        <v>19.99</v>
      </c>
      <c r="U270" s="37">
        <f>SUMIFS('📋 Транзакції'!$F$5:$F$3623,'📋 Транзакції'!$B$5:$B$3623,A270,'📋 Транзакції'!$C$5:$C$3623,"&gt;="&amp;EDATE(DATEVALUE(C270&amp;"-01"),2),'📋 Транзакції'!$C$5:$C$3623,"&lt;"&amp;EDATE(DATEVALUE(C270&amp;"-01"),3))</f>
        <v>19.99</v>
      </c>
      <c r="V270" s="37">
        <f>SUMIFS('📋 Транзакції'!$F$5:$F$3623,'📋 Транзакції'!$B$5:$B$3623,A270,'📋 Транзакції'!$C$5:$C$3623,"&gt;="&amp;EDATE(DATEVALUE(C270&amp;"-01"),3),'📋 Транзакції'!$C$5:$C$3623,"&lt;"&amp;EDATE(DATEVALUE(C270&amp;"-01"),4))</f>
        <v>19.99</v>
      </c>
      <c r="W270" s="37">
        <f>SUMIFS('📋 Транзакції'!$F$5:$F$3623,'📋 Транзакції'!$B$5:$B$3623,A270,'📋 Транзакції'!$C$5:$C$3623,"&gt;="&amp;EDATE(DATEVALUE(C270&amp;"-01"),4),'📋 Транзакції'!$C$5:$C$3623,"&lt;"&amp;EDATE(DATEVALUE(C270&amp;"-01"),5))</f>
        <v>19.99</v>
      </c>
      <c r="X270" s="37">
        <f>SUMIFS('📋 Транзакції'!$F$5:$F$3623,'📋 Транзакції'!$B$5:$B$3623,A270,'📋 Транзакції'!$C$5:$C$3623,"&gt;="&amp;EDATE(DATEVALUE(C270&amp;"-01"),5),'📋 Транзакції'!$C$5:$C$3623,"&lt;"&amp;EDATE(DATEVALUE(C270&amp;"-01"),6))</f>
        <v>19.99</v>
      </c>
      <c r="Y270" s="37">
        <f>SUMIFS('📋 Транзакції'!$F$5:$F$3623,'📋 Транзакції'!$B$5:$B$3623,A270,'📋 Транзакції'!$C$5:$C$3623,"&gt;="&amp;EDATE(DATEVALUE(C270&amp;"-01"),6),'📋 Транзакції'!$C$5:$C$3623,"&lt;"&amp;EDATE(DATEVALUE(C270&amp;"-01"),7))</f>
        <v>19.99</v>
      </c>
      <c r="Z270" s="37">
        <f>SUMIFS('📋 Транзакції'!$F$5:$F$3623,'📋 Транзакції'!$B$5:$B$3623,A270,'📋 Транзакції'!$C$5:$C$3623,"&gt;="&amp;EDATE(DATEVALUE(C270&amp;"-01"),7),'📋 Транзакції'!$C$5:$C$3623,"&lt;"&amp;EDATE(DATEVALUE(C270&amp;"-01"),8))</f>
        <v>19.99</v>
      </c>
      <c r="AA270" s="37">
        <f>SUMIFS('📋 Транзакції'!$F$5:$F$3623,'📋 Транзакції'!$B$5:$B$3623,A270,'📋 Транзакції'!$C$5:$C$3623,"&gt;="&amp;EDATE(DATEVALUE(C270&amp;"-01"),8),'📋 Транзакції'!$C$5:$C$3623,"&lt;"&amp;EDATE(DATEVALUE(C270&amp;"-01"),9))</f>
        <v>0</v>
      </c>
      <c r="AB270" s="37">
        <f>SUMIFS('📋 Транзакції'!$F$5:$F$3623,'📋 Транзакції'!$B$5:$B$3623,A270,'📋 Транзакції'!$C$5:$C$3623,"&gt;="&amp;EDATE(DATEVALUE(C270&amp;"-01"),9),'📋 Транзакції'!$C$5:$C$3623,"&lt;"&amp;EDATE(DATEVALUE(C270&amp;"-01"),10))</f>
        <v>0</v>
      </c>
      <c r="AC270" s="37">
        <f>SUMIFS('📋 Транзакції'!$F$5:$F$3623,'📋 Транзакції'!$B$5:$B$3623,A270,'📋 Транзакції'!$C$5:$C$3623,"&gt;="&amp;EDATE(DATEVALUE(C270&amp;"-01"),10),'📋 Транзакції'!$C$5:$C$3623,"&lt;"&amp;EDATE(DATEVALUE(C270&amp;"-01"),11))</f>
        <v>0</v>
      </c>
      <c r="AD270" s="37">
        <f>SUMIFS('📋 Транзакції'!$F$5:$F$3623,'📋 Транзакції'!$B$5:$B$3623,A270,'📋 Транзакції'!$C$5:$C$3623,"&gt;="&amp;EDATE(DATEVALUE(C270&amp;"-01"),11),'📋 Транзакції'!$C$5:$C$3623,"&lt;"&amp;EDATE(DATEVALUE(C270&amp;"-01"),12))</f>
        <v>0</v>
      </c>
    </row>
    <row r="271" ht="15.75" customHeight="1">
      <c r="A271" s="33" t="str">
        <f>'📋 Реєстрації'!A271:A872</f>
        <v>U0606</v>
      </c>
      <c r="B271" s="34">
        <f t="array" ref="B271">INDEX('📋 Транзакції'!$C$5:$C$3623,MATCH(A271,'📋 Транзакції'!$B$5:$B$3623,0))</f>
        <v>45537</v>
      </c>
      <c r="C271" s="35" t="str">
        <f t="shared" si="1"/>
        <v>2024-09</v>
      </c>
      <c r="D271" s="36">
        <f>COUNTIF('📋 Транзакції'!$B$5:$B$3623,A271)</f>
        <v>8</v>
      </c>
      <c r="E271" s="36">
        <f>SUMIF('📋 Транзакції'!$B$5:$B$3623,A271,'📋 Транзакції'!$F$5:$F$3623)</f>
        <v>139.93</v>
      </c>
      <c r="F271" s="35">
        <f>INT($A$1-MAXIFS('📋 Транзакції'!$C$5:$C$3623,'📋 Транзакції'!$B$5:$B$3623,A271))</f>
        <v>23</v>
      </c>
      <c r="G271" s="37">
        <f>IF(COUNTIFS('📋 Транзакції'!$B$5:$B$3623,A271,'📋 Транзакції'!$C$5:$C$3623,"&gt;="&amp;EDATE(DATEVALUE(C271&amp;"-01"),0),'📋 Транзакції'!$C$5:$C$3623,"&lt;"&amp;EDATE(DATEVALUE(C271&amp;"-01"),1))&gt;0,1,0)</f>
        <v>1</v>
      </c>
      <c r="H271" s="37">
        <f>IF(COUNTIFS('📋 Транзакції'!$B$5:$B$3623,A271,'📋 Транзакції'!$C$5:$C$3623,"&gt;="&amp;EDATE(DATEVALUE(C271&amp;"-01"),1),'📋 Транзакції'!$C$5:$C$3623,"&lt;"&amp;EDATE(DATEVALUE(C271&amp;"-01"),2))&gt;0,1,0)</f>
        <v>1</v>
      </c>
      <c r="I271" s="37">
        <f>IF(COUNTIFS('📋 Транзакції'!$B$5:$B$3623,A271,'📋 Транзакції'!$C$5:$C$3623,"&gt;="&amp;EDATE(DATEVALUE(C271&amp;"-01"),2),'📋 Транзакції'!$C$5:$C$3623,"&lt;"&amp;EDATE(DATEVALUE(C271&amp;"-01"),3))&gt;0,1,0)</f>
        <v>1</v>
      </c>
      <c r="J271" s="37">
        <f>IF(COUNTIFS('📋 Транзакції'!$B$5:$B$3623,A271,'📋 Транзакції'!$C$5:$C$3623,"&gt;="&amp;EDATE(DATEVALUE(C271&amp;"-01"),3),'📋 Транзакції'!$C$5:$C$3623,"&lt;"&amp;EDATE(DATEVALUE(C271&amp;"-01"),4))&gt;0,1,0)</f>
        <v>1</v>
      </c>
      <c r="K271" s="37">
        <f>IF(COUNTIFS('📋 Транзакції'!$B$5:$B$3623,A271,'📋 Транзакції'!$C$5:$C$3623,"&gt;="&amp;EDATE(DATEVALUE(C271&amp;"-01"),4),'📋 Транзакції'!$C$5:$C$3623,"&lt;"&amp;EDATE(DATEVALUE(C271&amp;"-01"),5))&gt;0,1,0)</f>
        <v>1</v>
      </c>
      <c r="L271" s="37">
        <f>IF(COUNTIFS('📋 Транзакції'!$B$5:$B$3623,A271,'📋 Транзакції'!$C$5:$C$3623,"&gt;="&amp;EDATE(DATEVALUE(C271&amp;"-01"),5),'📋 Транзакції'!$C$5:$C$3623,"&lt;"&amp;EDATE(DATEVALUE(C271&amp;"-01"),6))&gt;0,1,0)</f>
        <v>1</v>
      </c>
      <c r="M271" s="37">
        <f>IF(COUNTIFS('📋 Транзакції'!$B$5:$B$3623,A271,'📋 Транзакції'!$C$5:$C$3623,"&gt;="&amp;EDATE(DATEVALUE(C271&amp;"-01"),6),'📋 Транзакції'!$C$5:$C$3623,"&lt;"&amp;EDATE(DATEVALUE(C271&amp;"-01"),7))&gt;0,1,0)</f>
        <v>1</v>
      </c>
      <c r="N271" s="37">
        <f>IF(COUNTIFS('📋 Транзакції'!$B$5:$B$3623,A271,'📋 Транзакції'!$C$5:$C$3623,"&gt;="&amp;EDATE(DATEVALUE(C271&amp;"-01"),7),'📋 Транзакції'!$C$5:$C$3623,"&lt;"&amp;EDATE(DATEVALUE(C271&amp;"-01"),8))&gt;0,1,0)</f>
        <v>0</v>
      </c>
      <c r="O271" s="37">
        <f>IF(COUNTIFS('📋 Транзакції'!$B$5:$B$3623,A271,'📋 Транзакції'!$C$5:$C$3623,"&gt;="&amp;EDATE(DATEVALUE(C271&amp;"-01"),8),'📋 Транзакції'!$C$5:$C$3623,"&lt;"&amp;EDATE(DATEVALUE(C271&amp;"-01"),9))&gt;0,1,0)</f>
        <v>0</v>
      </c>
      <c r="P271" s="37">
        <f>IF(COUNTIFS('📋 Транзакції'!$B$5:$B$3623,A271,'📋 Транзакції'!$C$5:$C$3623,"&gt;="&amp;EDATE(DATEVALUE(C271&amp;"-01"),9),'📋 Транзакції'!$C$5:$C$3623,"&lt;"&amp;EDATE(DATEVALUE(C271&amp;"-01"),10))&gt;0,1,0)</f>
        <v>0</v>
      </c>
      <c r="Q271" s="37">
        <f>IF(COUNTIFS('📋 Транзакції'!$B$5:$B$3623,A271,'📋 Транзакції'!$C$5:$C$3623,"&gt;="&amp;EDATE(DATEVALUE(C271&amp;"-01"),10),'📋 Транзакції'!$C$5:$C$3623,"&lt;"&amp;EDATE(DATEVALUE(C271&amp;"-01"),11))&gt;0,1,0)</f>
        <v>0</v>
      </c>
      <c r="R271" s="37">
        <f>IF(COUNTIFS('📋 Транзакції'!$B$5:$B$3623,A271,'📋 Транзакції'!$C$5:$C$3623,"&gt;="&amp;EDATE(DATEVALUE(C271&amp;"-01"),11),'📋 Транзакції'!$C$5:$C$3623,"&lt;"&amp;EDATE(DATEVALUE(C271&amp;"-01"),12))&gt;0,1,0)</f>
        <v>0</v>
      </c>
      <c r="S271" s="37">
        <f>SUMIFS('📋 Транзакції'!$F$5:$F$3623,'📋 Транзакції'!$B$5:$B$3623,A271,'📋 Транзакції'!$C$5:$C$3623,"&gt;="&amp;EDATE(DATEVALUE(C271&amp;"-01"),0),'📋 Транзакції'!$C$5:$C$3623,"&lt;"&amp;EDATE(DATEVALUE(C271&amp;"-01"),1))</f>
        <v>19.99</v>
      </c>
      <c r="T271" s="37">
        <f>SUMIFS('📋 Транзакції'!$F$5:$F$3623,'📋 Транзакції'!$B$5:$B$3623,A271,'📋 Транзакції'!$C$5:$C$3623,"&gt;="&amp;EDATE(DATEVALUE(C271&amp;"-01"),1),'📋 Транзакції'!$C$5:$C$3623,"&lt;"&amp;EDATE(DATEVALUE(C271&amp;"-01"),2))</f>
        <v>19.99</v>
      </c>
      <c r="U271" s="37">
        <f>SUMIFS('📋 Транзакції'!$F$5:$F$3623,'📋 Транзакції'!$B$5:$B$3623,A271,'📋 Транзакції'!$C$5:$C$3623,"&gt;="&amp;EDATE(DATEVALUE(C271&amp;"-01"),2),'📋 Транзакції'!$C$5:$C$3623,"&lt;"&amp;EDATE(DATEVALUE(C271&amp;"-01"),3))</f>
        <v>19.99</v>
      </c>
      <c r="V271" s="37">
        <f>SUMIFS('📋 Транзакції'!$F$5:$F$3623,'📋 Транзакції'!$B$5:$B$3623,A271,'📋 Транзакції'!$C$5:$C$3623,"&gt;="&amp;EDATE(DATEVALUE(C271&amp;"-01"),3),'📋 Транзакції'!$C$5:$C$3623,"&lt;"&amp;EDATE(DATEVALUE(C271&amp;"-01"),4))</f>
        <v>19.99</v>
      </c>
      <c r="W271" s="37">
        <f>SUMIFS('📋 Транзакції'!$F$5:$F$3623,'📋 Транзакції'!$B$5:$B$3623,A271,'📋 Транзакції'!$C$5:$C$3623,"&gt;="&amp;EDATE(DATEVALUE(C271&amp;"-01"),4),'📋 Транзакції'!$C$5:$C$3623,"&lt;"&amp;EDATE(DATEVALUE(C271&amp;"-01"),5))</f>
        <v>19.99</v>
      </c>
      <c r="X271" s="37">
        <f>SUMIFS('📋 Транзакції'!$F$5:$F$3623,'📋 Транзакції'!$B$5:$B$3623,A271,'📋 Транзакції'!$C$5:$C$3623,"&gt;="&amp;EDATE(DATEVALUE(C271&amp;"-01"),5),'📋 Транзакції'!$C$5:$C$3623,"&lt;"&amp;EDATE(DATEVALUE(C271&amp;"-01"),6))</f>
        <v>19.99</v>
      </c>
      <c r="Y271" s="37">
        <f>SUMIFS('📋 Транзакції'!$F$5:$F$3623,'📋 Транзакції'!$B$5:$B$3623,A271,'📋 Транзакції'!$C$5:$C$3623,"&gt;="&amp;EDATE(DATEVALUE(C271&amp;"-01"),6),'📋 Транзакції'!$C$5:$C$3623,"&lt;"&amp;EDATE(DATEVALUE(C271&amp;"-01"),7))</f>
        <v>19.99</v>
      </c>
      <c r="Z271" s="37">
        <f>SUMIFS('📋 Транзакції'!$F$5:$F$3623,'📋 Транзакції'!$B$5:$B$3623,A271,'📋 Транзакції'!$C$5:$C$3623,"&gt;="&amp;EDATE(DATEVALUE(C271&amp;"-01"),7),'📋 Транзакції'!$C$5:$C$3623,"&lt;"&amp;EDATE(DATEVALUE(C271&amp;"-01"),8))</f>
        <v>0</v>
      </c>
      <c r="AA271" s="37">
        <f>SUMIFS('📋 Транзакції'!$F$5:$F$3623,'📋 Транзакції'!$B$5:$B$3623,A271,'📋 Транзакції'!$C$5:$C$3623,"&gt;="&amp;EDATE(DATEVALUE(C271&amp;"-01"),8),'📋 Транзакції'!$C$5:$C$3623,"&lt;"&amp;EDATE(DATEVALUE(C271&amp;"-01"),9))</f>
        <v>0</v>
      </c>
      <c r="AB271" s="37">
        <f>SUMIFS('📋 Транзакції'!$F$5:$F$3623,'📋 Транзакції'!$B$5:$B$3623,A271,'📋 Транзакції'!$C$5:$C$3623,"&gt;="&amp;EDATE(DATEVALUE(C271&amp;"-01"),9),'📋 Транзакції'!$C$5:$C$3623,"&lt;"&amp;EDATE(DATEVALUE(C271&amp;"-01"),10))</f>
        <v>0</v>
      </c>
      <c r="AC271" s="37">
        <f>SUMIFS('📋 Транзакції'!$F$5:$F$3623,'📋 Транзакції'!$B$5:$B$3623,A271,'📋 Транзакції'!$C$5:$C$3623,"&gt;="&amp;EDATE(DATEVALUE(C271&amp;"-01"),10),'📋 Транзакції'!$C$5:$C$3623,"&lt;"&amp;EDATE(DATEVALUE(C271&amp;"-01"),11))</f>
        <v>0</v>
      </c>
      <c r="AD271" s="37">
        <f>SUMIFS('📋 Транзакції'!$F$5:$F$3623,'📋 Транзакції'!$B$5:$B$3623,A271,'📋 Транзакції'!$C$5:$C$3623,"&gt;="&amp;EDATE(DATEVALUE(C271&amp;"-01"),11),'📋 Транзакції'!$C$5:$C$3623,"&lt;"&amp;EDATE(DATEVALUE(C271&amp;"-01"),12))</f>
        <v>0</v>
      </c>
    </row>
    <row r="272" ht="15.75" customHeight="1">
      <c r="A272" s="33" t="str">
        <f>'📋 Реєстрації'!A272:A873</f>
        <v>U0317</v>
      </c>
      <c r="B272" s="34">
        <f t="array" ref="B272">INDEX('📋 Транзакції'!$C$5:$C$3623,MATCH(A272,'📋 Транзакції'!$B$5:$B$3623,0))</f>
        <v>45538</v>
      </c>
      <c r="C272" s="35" t="str">
        <f t="shared" si="1"/>
        <v>2024-09</v>
      </c>
      <c r="D272" s="36">
        <f>COUNTIF('📋 Транзакції'!$B$5:$B$3623,A272)</f>
        <v>8</v>
      </c>
      <c r="E272" s="36">
        <f>SUMIF('📋 Транзакції'!$B$5:$B$3623,A272,'📋 Транзакції'!$F$5:$F$3623)</f>
        <v>139.93</v>
      </c>
      <c r="F272" s="35">
        <f>INT($A$1-MAXIFS('📋 Транзакції'!$C$5:$C$3623,'📋 Транзакції'!$B$5:$B$3623,A272))</f>
        <v>22</v>
      </c>
      <c r="G272" s="37">
        <f>IF(COUNTIFS('📋 Транзакції'!$B$5:$B$3623,A272,'📋 Транзакції'!$C$5:$C$3623,"&gt;="&amp;EDATE(DATEVALUE(C272&amp;"-01"),0),'📋 Транзакції'!$C$5:$C$3623,"&lt;"&amp;EDATE(DATEVALUE(C272&amp;"-01"),1))&gt;0,1,0)</f>
        <v>1</v>
      </c>
      <c r="H272" s="37">
        <f>IF(COUNTIFS('📋 Транзакції'!$B$5:$B$3623,A272,'📋 Транзакції'!$C$5:$C$3623,"&gt;="&amp;EDATE(DATEVALUE(C272&amp;"-01"),1),'📋 Транзакції'!$C$5:$C$3623,"&lt;"&amp;EDATE(DATEVALUE(C272&amp;"-01"),2))&gt;0,1,0)</f>
        <v>1</v>
      </c>
      <c r="I272" s="37">
        <f>IF(COUNTIFS('📋 Транзакції'!$B$5:$B$3623,A272,'📋 Транзакції'!$C$5:$C$3623,"&gt;="&amp;EDATE(DATEVALUE(C272&amp;"-01"),2),'📋 Транзакції'!$C$5:$C$3623,"&lt;"&amp;EDATE(DATEVALUE(C272&amp;"-01"),3))&gt;0,1,0)</f>
        <v>1</v>
      </c>
      <c r="J272" s="37">
        <f>IF(COUNTIFS('📋 Транзакції'!$B$5:$B$3623,A272,'📋 Транзакції'!$C$5:$C$3623,"&gt;="&amp;EDATE(DATEVALUE(C272&amp;"-01"),3),'📋 Транзакції'!$C$5:$C$3623,"&lt;"&amp;EDATE(DATEVALUE(C272&amp;"-01"),4))&gt;0,1,0)</f>
        <v>1</v>
      </c>
      <c r="K272" s="37">
        <f>IF(COUNTIFS('📋 Транзакції'!$B$5:$B$3623,A272,'📋 Транзакції'!$C$5:$C$3623,"&gt;="&amp;EDATE(DATEVALUE(C272&amp;"-01"),4),'📋 Транзакції'!$C$5:$C$3623,"&lt;"&amp;EDATE(DATEVALUE(C272&amp;"-01"),5))&gt;0,1,0)</f>
        <v>1</v>
      </c>
      <c r="L272" s="37">
        <f>IF(COUNTIFS('📋 Транзакції'!$B$5:$B$3623,A272,'📋 Транзакції'!$C$5:$C$3623,"&gt;="&amp;EDATE(DATEVALUE(C272&amp;"-01"),5),'📋 Транзакції'!$C$5:$C$3623,"&lt;"&amp;EDATE(DATEVALUE(C272&amp;"-01"),6))&gt;0,1,0)</f>
        <v>1</v>
      </c>
      <c r="M272" s="37">
        <f>IF(COUNTIFS('📋 Транзакції'!$B$5:$B$3623,A272,'📋 Транзакції'!$C$5:$C$3623,"&gt;="&amp;EDATE(DATEVALUE(C272&amp;"-01"),6),'📋 Транзакції'!$C$5:$C$3623,"&lt;"&amp;EDATE(DATEVALUE(C272&amp;"-01"),7))&gt;0,1,0)</f>
        <v>1</v>
      </c>
      <c r="N272" s="37">
        <f>IF(COUNTIFS('📋 Транзакції'!$B$5:$B$3623,A272,'📋 Транзакції'!$C$5:$C$3623,"&gt;="&amp;EDATE(DATEVALUE(C272&amp;"-01"),7),'📋 Транзакції'!$C$5:$C$3623,"&lt;"&amp;EDATE(DATEVALUE(C272&amp;"-01"),8))&gt;0,1,0)</f>
        <v>0</v>
      </c>
      <c r="O272" s="37">
        <f>IF(COUNTIFS('📋 Транзакції'!$B$5:$B$3623,A272,'📋 Транзакції'!$C$5:$C$3623,"&gt;="&amp;EDATE(DATEVALUE(C272&amp;"-01"),8),'📋 Транзакції'!$C$5:$C$3623,"&lt;"&amp;EDATE(DATEVALUE(C272&amp;"-01"),9))&gt;0,1,0)</f>
        <v>0</v>
      </c>
      <c r="P272" s="37">
        <f>IF(COUNTIFS('📋 Транзакції'!$B$5:$B$3623,A272,'📋 Транзакції'!$C$5:$C$3623,"&gt;="&amp;EDATE(DATEVALUE(C272&amp;"-01"),9),'📋 Транзакції'!$C$5:$C$3623,"&lt;"&amp;EDATE(DATEVALUE(C272&amp;"-01"),10))&gt;0,1,0)</f>
        <v>0</v>
      </c>
      <c r="Q272" s="37">
        <f>IF(COUNTIFS('📋 Транзакції'!$B$5:$B$3623,A272,'📋 Транзакції'!$C$5:$C$3623,"&gt;="&amp;EDATE(DATEVALUE(C272&amp;"-01"),10),'📋 Транзакції'!$C$5:$C$3623,"&lt;"&amp;EDATE(DATEVALUE(C272&amp;"-01"),11))&gt;0,1,0)</f>
        <v>0</v>
      </c>
      <c r="R272" s="37">
        <f>IF(COUNTIFS('📋 Транзакції'!$B$5:$B$3623,A272,'📋 Транзакції'!$C$5:$C$3623,"&gt;="&amp;EDATE(DATEVALUE(C272&amp;"-01"),11),'📋 Транзакції'!$C$5:$C$3623,"&lt;"&amp;EDATE(DATEVALUE(C272&amp;"-01"),12))&gt;0,1,0)</f>
        <v>0</v>
      </c>
      <c r="S272" s="37">
        <f>SUMIFS('📋 Транзакції'!$F$5:$F$3623,'📋 Транзакції'!$B$5:$B$3623,A272,'📋 Транзакції'!$C$5:$C$3623,"&gt;="&amp;EDATE(DATEVALUE(C272&amp;"-01"),0),'📋 Транзакції'!$C$5:$C$3623,"&lt;"&amp;EDATE(DATEVALUE(C272&amp;"-01"),1))</f>
        <v>19.99</v>
      </c>
      <c r="T272" s="37">
        <f>SUMIFS('📋 Транзакції'!$F$5:$F$3623,'📋 Транзакції'!$B$5:$B$3623,A272,'📋 Транзакції'!$C$5:$C$3623,"&gt;="&amp;EDATE(DATEVALUE(C272&amp;"-01"),1),'📋 Транзакції'!$C$5:$C$3623,"&lt;"&amp;EDATE(DATEVALUE(C272&amp;"-01"),2))</f>
        <v>19.99</v>
      </c>
      <c r="U272" s="37">
        <f>SUMIFS('📋 Транзакції'!$F$5:$F$3623,'📋 Транзакції'!$B$5:$B$3623,A272,'📋 Транзакції'!$C$5:$C$3623,"&gt;="&amp;EDATE(DATEVALUE(C272&amp;"-01"),2),'📋 Транзакції'!$C$5:$C$3623,"&lt;"&amp;EDATE(DATEVALUE(C272&amp;"-01"),3))</f>
        <v>19.99</v>
      </c>
      <c r="V272" s="37">
        <f>SUMIFS('📋 Транзакції'!$F$5:$F$3623,'📋 Транзакції'!$B$5:$B$3623,A272,'📋 Транзакції'!$C$5:$C$3623,"&gt;="&amp;EDATE(DATEVALUE(C272&amp;"-01"),3),'📋 Транзакції'!$C$5:$C$3623,"&lt;"&amp;EDATE(DATEVALUE(C272&amp;"-01"),4))</f>
        <v>19.99</v>
      </c>
      <c r="W272" s="37">
        <f>SUMIFS('📋 Транзакції'!$F$5:$F$3623,'📋 Транзакції'!$B$5:$B$3623,A272,'📋 Транзакції'!$C$5:$C$3623,"&gt;="&amp;EDATE(DATEVALUE(C272&amp;"-01"),4),'📋 Транзакції'!$C$5:$C$3623,"&lt;"&amp;EDATE(DATEVALUE(C272&amp;"-01"),5))</f>
        <v>19.99</v>
      </c>
      <c r="X272" s="37">
        <f>SUMIFS('📋 Транзакції'!$F$5:$F$3623,'📋 Транзакції'!$B$5:$B$3623,A272,'📋 Транзакції'!$C$5:$C$3623,"&gt;="&amp;EDATE(DATEVALUE(C272&amp;"-01"),5),'📋 Транзакції'!$C$5:$C$3623,"&lt;"&amp;EDATE(DATEVALUE(C272&amp;"-01"),6))</f>
        <v>19.99</v>
      </c>
      <c r="Y272" s="37">
        <f>SUMIFS('📋 Транзакції'!$F$5:$F$3623,'📋 Транзакції'!$B$5:$B$3623,A272,'📋 Транзакції'!$C$5:$C$3623,"&gt;="&amp;EDATE(DATEVALUE(C272&amp;"-01"),6),'📋 Транзакції'!$C$5:$C$3623,"&lt;"&amp;EDATE(DATEVALUE(C272&amp;"-01"),7))</f>
        <v>19.99</v>
      </c>
      <c r="Z272" s="37">
        <f>SUMIFS('📋 Транзакції'!$F$5:$F$3623,'📋 Транзакції'!$B$5:$B$3623,A272,'📋 Транзакції'!$C$5:$C$3623,"&gt;="&amp;EDATE(DATEVALUE(C272&amp;"-01"),7),'📋 Транзакції'!$C$5:$C$3623,"&lt;"&amp;EDATE(DATEVALUE(C272&amp;"-01"),8))</f>
        <v>0</v>
      </c>
      <c r="AA272" s="37">
        <f>SUMIFS('📋 Транзакції'!$F$5:$F$3623,'📋 Транзакції'!$B$5:$B$3623,A272,'📋 Транзакції'!$C$5:$C$3623,"&gt;="&amp;EDATE(DATEVALUE(C272&amp;"-01"),8),'📋 Транзакції'!$C$5:$C$3623,"&lt;"&amp;EDATE(DATEVALUE(C272&amp;"-01"),9))</f>
        <v>0</v>
      </c>
      <c r="AB272" s="37">
        <f>SUMIFS('📋 Транзакції'!$F$5:$F$3623,'📋 Транзакції'!$B$5:$B$3623,A272,'📋 Транзакції'!$C$5:$C$3623,"&gt;="&amp;EDATE(DATEVALUE(C272&amp;"-01"),9),'📋 Транзакції'!$C$5:$C$3623,"&lt;"&amp;EDATE(DATEVALUE(C272&amp;"-01"),10))</f>
        <v>0</v>
      </c>
      <c r="AC272" s="37">
        <f>SUMIFS('📋 Транзакції'!$F$5:$F$3623,'📋 Транзакції'!$B$5:$B$3623,A272,'📋 Транзакції'!$C$5:$C$3623,"&gt;="&amp;EDATE(DATEVALUE(C272&amp;"-01"),10),'📋 Транзакції'!$C$5:$C$3623,"&lt;"&amp;EDATE(DATEVALUE(C272&amp;"-01"),11))</f>
        <v>0</v>
      </c>
      <c r="AD272" s="37">
        <f>SUMIFS('📋 Транзакції'!$F$5:$F$3623,'📋 Транзакції'!$B$5:$B$3623,A272,'📋 Транзакції'!$C$5:$C$3623,"&gt;="&amp;EDATE(DATEVALUE(C272&amp;"-01"),11),'📋 Транзакції'!$C$5:$C$3623,"&lt;"&amp;EDATE(DATEVALUE(C272&amp;"-01"),12))</f>
        <v>0</v>
      </c>
    </row>
    <row r="273" ht="15.75" customHeight="1">
      <c r="A273" s="33" t="str">
        <f>'📋 Реєстрації'!A273:A874</f>
        <v>U0636</v>
      </c>
      <c r="B273" s="34">
        <f t="array" ref="B273">INDEX('📋 Транзакції'!$C$5:$C$3623,MATCH(A273,'📋 Транзакції'!$B$5:$B$3623,0))</f>
        <v>45538</v>
      </c>
      <c r="C273" s="35" t="str">
        <f t="shared" si="1"/>
        <v>2024-09</v>
      </c>
      <c r="D273" s="36">
        <f>COUNTIF('📋 Транзакції'!$B$5:$B$3623,A273)</f>
        <v>7</v>
      </c>
      <c r="E273" s="36">
        <f>SUMIF('📋 Транзакції'!$B$5:$B$3623,A273,'📋 Транзакції'!$F$5:$F$3623)</f>
        <v>119.94</v>
      </c>
      <c r="F273" s="35">
        <f>INT($A$1-MAXIFS('📋 Транзакції'!$C$5:$C$3623,'📋 Транзакції'!$B$5:$B$3623,A273))</f>
        <v>52</v>
      </c>
      <c r="G273" s="37">
        <f>IF(COUNTIFS('📋 Транзакції'!$B$5:$B$3623,A273,'📋 Транзакції'!$C$5:$C$3623,"&gt;="&amp;EDATE(DATEVALUE(C273&amp;"-01"),0),'📋 Транзакції'!$C$5:$C$3623,"&lt;"&amp;EDATE(DATEVALUE(C273&amp;"-01"),1))&gt;0,1,0)</f>
        <v>1</v>
      </c>
      <c r="H273" s="37">
        <f>IF(COUNTIFS('📋 Транзакції'!$B$5:$B$3623,A273,'📋 Транзакції'!$C$5:$C$3623,"&gt;="&amp;EDATE(DATEVALUE(C273&amp;"-01"),1),'📋 Транзакції'!$C$5:$C$3623,"&lt;"&amp;EDATE(DATEVALUE(C273&amp;"-01"),2))&gt;0,1,0)</f>
        <v>1</v>
      </c>
      <c r="I273" s="37">
        <f>IF(COUNTIFS('📋 Транзакції'!$B$5:$B$3623,A273,'📋 Транзакції'!$C$5:$C$3623,"&gt;="&amp;EDATE(DATEVALUE(C273&amp;"-01"),2),'📋 Транзакції'!$C$5:$C$3623,"&lt;"&amp;EDATE(DATEVALUE(C273&amp;"-01"),3))&gt;0,1,0)</f>
        <v>1</v>
      </c>
      <c r="J273" s="37">
        <f>IF(COUNTIFS('📋 Транзакції'!$B$5:$B$3623,A273,'📋 Транзакції'!$C$5:$C$3623,"&gt;="&amp;EDATE(DATEVALUE(C273&amp;"-01"),3),'📋 Транзакції'!$C$5:$C$3623,"&lt;"&amp;EDATE(DATEVALUE(C273&amp;"-01"),4))&gt;0,1,0)</f>
        <v>1</v>
      </c>
      <c r="K273" s="37">
        <f>IF(COUNTIFS('📋 Транзакції'!$B$5:$B$3623,A273,'📋 Транзакції'!$C$5:$C$3623,"&gt;="&amp;EDATE(DATEVALUE(C273&amp;"-01"),4),'📋 Транзакції'!$C$5:$C$3623,"&lt;"&amp;EDATE(DATEVALUE(C273&amp;"-01"),5))&gt;0,1,0)</f>
        <v>1</v>
      </c>
      <c r="L273" s="37">
        <f>IF(COUNTIFS('📋 Транзакції'!$B$5:$B$3623,A273,'📋 Транзакції'!$C$5:$C$3623,"&gt;="&amp;EDATE(DATEVALUE(C273&amp;"-01"),5),'📋 Транзакції'!$C$5:$C$3623,"&lt;"&amp;EDATE(DATEVALUE(C273&amp;"-01"),6))&gt;0,1,0)</f>
        <v>1</v>
      </c>
      <c r="M273" s="37">
        <f>IF(COUNTIFS('📋 Транзакції'!$B$5:$B$3623,A273,'📋 Транзакції'!$C$5:$C$3623,"&gt;="&amp;EDATE(DATEVALUE(C273&amp;"-01"),6),'📋 Транзакції'!$C$5:$C$3623,"&lt;"&amp;EDATE(DATEVALUE(C273&amp;"-01"),7))&gt;0,1,0)</f>
        <v>0</v>
      </c>
      <c r="N273" s="37">
        <f>IF(COUNTIFS('📋 Транзакції'!$B$5:$B$3623,A273,'📋 Транзакції'!$C$5:$C$3623,"&gt;="&amp;EDATE(DATEVALUE(C273&amp;"-01"),7),'📋 Транзакції'!$C$5:$C$3623,"&lt;"&amp;EDATE(DATEVALUE(C273&amp;"-01"),8))&gt;0,1,0)</f>
        <v>0</v>
      </c>
      <c r="O273" s="37">
        <f>IF(COUNTIFS('📋 Транзакції'!$B$5:$B$3623,A273,'📋 Транзакції'!$C$5:$C$3623,"&gt;="&amp;EDATE(DATEVALUE(C273&amp;"-01"),8),'📋 Транзакції'!$C$5:$C$3623,"&lt;"&amp;EDATE(DATEVALUE(C273&amp;"-01"),9))&gt;0,1,0)</f>
        <v>0</v>
      </c>
      <c r="P273" s="37">
        <f>IF(COUNTIFS('📋 Транзакції'!$B$5:$B$3623,A273,'📋 Транзакції'!$C$5:$C$3623,"&gt;="&amp;EDATE(DATEVALUE(C273&amp;"-01"),9),'📋 Транзакції'!$C$5:$C$3623,"&lt;"&amp;EDATE(DATEVALUE(C273&amp;"-01"),10))&gt;0,1,0)</f>
        <v>0</v>
      </c>
      <c r="Q273" s="37">
        <f>IF(COUNTIFS('📋 Транзакції'!$B$5:$B$3623,A273,'📋 Транзакції'!$C$5:$C$3623,"&gt;="&amp;EDATE(DATEVALUE(C273&amp;"-01"),10),'📋 Транзакції'!$C$5:$C$3623,"&lt;"&amp;EDATE(DATEVALUE(C273&amp;"-01"),11))&gt;0,1,0)</f>
        <v>0</v>
      </c>
      <c r="R273" s="37">
        <f>IF(COUNTIFS('📋 Транзакції'!$B$5:$B$3623,A273,'📋 Транзакції'!$C$5:$C$3623,"&gt;="&amp;EDATE(DATEVALUE(C273&amp;"-01"),11),'📋 Транзакції'!$C$5:$C$3623,"&lt;"&amp;EDATE(DATEVALUE(C273&amp;"-01"),12))&gt;0,1,0)</f>
        <v>0</v>
      </c>
      <c r="S273" s="37">
        <f>SUMIFS('📋 Транзакції'!$F$5:$F$3623,'📋 Транзакції'!$B$5:$B$3623,A273,'📋 Транзакції'!$C$5:$C$3623,"&gt;="&amp;EDATE(DATEVALUE(C273&amp;"-01"),0),'📋 Транзакції'!$C$5:$C$3623,"&lt;"&amp;EDATE(DATEVALUE(C273&amp;"-01"),1))</f>
        <v>19.99</v>
      </c>
      <c r="T273" s="37">
        <f>SUMIFS('📋 Транзакції'!$F$5:$F$3623,'📋 Транзакції'!$B$5:$B$3623,A273,'📋 Транзакції'!$C$5:$C$3623,"&gt;="&amp;EDATE(DATEVALUE(C273&amp;"-01"),1),'📋 Транзакції'!$C$5:$C$3623,"&lt;"&amp;EDATE(DATEVALUE(C273&amp;"-01"),2))</f>
        <v>19.99</v>
      </c>
      <c r="U273" s="37">
        <f>SUMIFS('📋 Транзакції'!$F$5:$F$3623,'📋 Транзакції'!$B$5:$B$3623,A273,'📋 Транзакції'!$C$5:$C$3623,"&gt;="&amp;EDATE(DATEVALUE(C273&amp;"-01"),2),'📋 Транзакції'!$C$5:$C$3623,"&lt;"&amp;EDATE(DATEVALUE(C273&amp;"-01"),3))</f>
        <v>19.99</v>
      </c>
      <c r="V273" s="37">
        <f>SUMIFS('📋 Транзакції'!$F$5:$F$3623,'📋 Транзакції'!$B$5:$B$3623,A273,'📋 Транзакції'!$C$5:$C$3623,"&gt;="&amp;EDATE(DATEVALUE(C273&amp;"-01"),3),'📋 Транзакції'!$C$5:$C$3623,"&lt;"&amp;EDATE(DATEVALUE(C273&amp;"-01"),4))</f>
        <v>19.99</v>
      </c>
      <c r="W273" s="37">
        <f>SUMIFS('📋 Транзакції'!$F$5:$F$3623,'📋 Транзакції'!$B$5:$B$3623,A273,'📋 Транзакції'!$C$5:$C$3623,"&gt;="&amp;EDATE(DATEVALUE(C273&amp;"-01"),4),'📋 Транзакції'!$C$5:$C$3623,"&lt;"&amp;EDATE(DATEVALUE(C273&amp;"-01"),5))</f>
        <v>19.99</v>
      </c>
      <c r="X273" s="37">
        <f>SUMIFS('📋 Транзакції'!$F$5:$F$3623,'📋 Транзакції'!$B$5:$B$3623,A273,'📋 Транзакції'!$C$5:$C$3623,"&gt;="&amp;EDATE(DATEVALUE(C273&amp;"-01"),5),'📋 Транзакції'!$C$5:$C$3623,"&lt;"&amp;EDATE(DATEVALUE(C273&amp;"-01"),6))</f>
        <v>19.99</v>
      </c>
      <c r="Y273" s="37">
        <f>SUMIFS('📋 Транзакції'!$F$5:$F$3623,'📋 Транзакції'!$B$5:$B$3623,A273,'📋 Транзакції'!$C$5:$C$3623,"&gt;="&amp;EDATE(DATEVALUE(C273&amp;"-01"),6),'📋 Транзакції'!$C$5:$C$3623,"&lt;"&amp;EDATE(DATEVALUE(C273&amp;"-01"),7))</f>
        <v>0</v>
      </c>
      <c r="Z273" s="37">
        <f>SUMIFS('📋 Транзакції'!$F$5:$F$3623,'📋 Транзакції'!$B$5:$B$3623,A273,'📋 Транзакції'!$C$5:$C$3623,"&gt;="&amp;EDATE(DATEVALUE(C273&amp;"-01"),7),'📋 Транзакції'!$C$5:$C$3623,"&lt;"&amp;EDATE(DATEVALUE(C273&amp;"-01"),8))</f>
        <v>0</v>
      </c>
      <c r="AA273" s="37">
        <f>SUMIFS('📋 Транзакції'!$F$5:$F$3623,'📋 Транзакції'!$B$5:$B$3623,A273,'📋 Транзакції'!$C$5:$C$3623,"&gt;="&amp;EDATE(DATEVALUE(C273&amp;"-01"),8),'📋 Транзакції'!$C$5:$C$3623,"&lt;"&amp;EDATE(DATEVALUE(C273&amp;"-01"),9))</f>
        <v>0</v>
      </c>
      <c r="AB273" s="37">
        <f>SUMIFS('📋 Транзакції'!$F$5:$F$3623,'📋 Транзакції'!$B$5:$B$3623,A273,'📋 Транзакції'!$C$5:$C$3623,"&gt;="&amp;EDATE(DATEVALUE(C273&amp;"-01"),9),'📋 Транзакції'!$C$5:$C$3623,"&lt;"&amp;EDATE(DATEVALUE(C273&amp;"-01"),10))</f>
        <v>0</v>
      </c>
      <c r="AC273" s="37">
        <f>SUMIFS('📋 Транзакції'!$F$5:$F$3623,'📋 Транзакції'!$B$5:$B$3623,A273,'📋 Транзакції'!$C$5:$C$3623,"&gt;="&amp;EDATE(DATEVALUE(C273&amp;"-01"),10),'📋 Транзакції'!$C$5:$C$3623,"&lt;"&amp;EDATE(DATEVALUE(C273&amp;"-01"),11))</f>
        <v>0</v>
      </c>
      <c r="AD273" s="37">
        <f>SUMIFS('📋 Транзакції'!$F$5:$F$3623,'📋 Транзакції'!$B$5:$B$3623,A273,'📋 Транзакції'!$C$5:$C$3623,"&gt;="&amp;EDATE(DATEVALUE(C273&amp;"-01"),11),'📋 Транзакції'!$C$5:$C$3623,"&lt;"&amp;EDATE(DATEVALUE(C273&amp;"-01"),12))</f>
        <v>0</v>
      </c>
    </row>
    <row r="274" ht="15.75" customHeight="1">
      <c r="A274" s="33" t="str">
        <f>'📋 Реєстрації'!A274:A875</f>
        <v>U0398</v>
      </c>
      <c r="B274" s="34">
        <f t="array" ref="B274">INDEX('📋 Транзакції'!$C$5:$C$3623,MATCH(A274,'📋 Транзакції'!$B$5:$B$3623,0))</f>
        <v>45540</v>
      </c>
      <c r="C274" s="35" t="str">
        <f t="shared" si="1"/>
        <v>2024-09</v>
      </c>
      <c r="D274" s="36">
        <f>COUNTIF('📋 Транзакції'!$B$5:$B$3623,A274)</f>
        <v>8</v>
      </c>
      <c r="E274" s="36">
        <f>SUMIF('📋 Транзакції'!$B$5:$B$3623,A274,'📋 Транзакції'!$F$5:$F$3623)</f>
        <v>139.93</v>
      </c>
      <c r="F274" s="35">
        <f>INT($A$1-MAXIFS('📋 Транзакції'!$C$5:$C$3623,'📋 Транзакції'!$B$5:$B$3623,A274))</f>
        <v>20</v>
      </c>
      <c r="G274" s="37">
        <f>IF(COUNTIFS('📋 Транзакції'!$B$5:$B$3623,A274,'📋 Транзакції'!$C$5:$C$3623,"&gt;="&amp;EDATE(DATEVALUE(C274&amp;"-01"),0),'📋 Транзакції'!$C$5:$C$3623,"&lt;"&amp;EDATE(DATEVALUE(C274&amp;"-01"),1))&gt;0,1,0)</f>
        <v>1</v>
      </c>
      <c r="H274" s="37">
        <f>IF(COUNTIFS('📋 Транзакції'!$B$5:$B$3623,A274,'📋 Транзакції'!$C$5:$C$3623,"&gt;="&amp;EDATE(DATEVALUE(C274&amp;"-01"),1),'📋 Транзакції'!$C$5:$C$3623,"&lt;"&amp;EDATE(DATEVALUE(C274&amp;"-01"),2))&gt;0,1,0)</f>
        <v>1</v>
      </c>
      <c r="I274" s="37">
        <f>IF(COUNTIFS('📋 Транзакції'!$B$5:$B$3623,A274,'📋 Транзакції'!$C$5:$C$3623,"&gt;="&amp;EDATE(DATEVALUE(C274&amp;"-01"),2),'📋 Транзакції'!$C$5:$C$3623,"&lt;"&amp;EDATE(DATEVALUE(C274&amp;"-01"),3))&gt;0,1,0)</f>
        <v>1</v>
      </c>
      <c r="J274" s="37">
        <f>IF(COUNTIFS('📋 Транзакції'!$B$5:$B$3623,A274,'📋 Транзакції'!$C$5:$C$3623,"&gt;="&amp;EDATE(DATEVALUE(C274&amp;"-01"),3),'📋 Транзакції'!$C$5:$C$3623,"&lt;"&amp;EDATE(DATEVALUE(C274&amp;"-01"),4))&gt;0,1,0)</f>
        <v>1</v>
      </c>
      <c r="K274" s="37">
        <f>IF(COUNTIFS('📋 Транзакції'!$B$5:$B$3623,A274,'📋 Транзакції'!$C$5:$C$3623,"&gt;="&amp;EDATE(DATEVALUE(C274&amp;"-01"),4),'📋 Транзакції'!$C$5:$C$3623,"&lt;"&amp;EDATE(DATEVALUE(C274&amp;"-01"),5))&gt;0,1,0)</f>
        <v>1</v>
      </c>
      <c r="L274" s="37">
        <f>IF(COUNTIFS('📋 Транзакції'!$B$5:$B$3623,A274,'📋 Транзакції'!$C$5:$C$3623,"&gt;="&amp;EDATE(DATEVALUE(C274&amp;"-01"),5),'📋 Транзакції'!$C$5:$C$3623,"&lt;"&amp;EDATE(DATEVALUE(C274&amp;"-01"),6))&gt;0,1,0)</f>
        <v>1</v>
      </c>
      <c r="M274" s="37">
        <f>IF(COUNTIFS('📋 Транзакції'!$B$5:$B$3623,A274,'📋 Транзакції'!$C$5:$C$3623,"&gt;="&amp;EDATE(DATEVALUE(C274&amp;"-01"),6),'📋 Транзакції'!$C$5:$C$3623,"&lt;"&amp;EDATE(DATEVALUE(C274&amp;"-01"),7))&gt;0,1,0)</f>
        <v>1</v>
      </c>
      <c r="N274" s="37">
        <f>IF(COUNTIFS('📋 Транзакції'!$B$5:$B$3623,A274,'📋 Транзакції'!$C$5:$C$3623,"&gt;="&amp;EDATE(DATEVALUE(C274&amp;"-01"),7),'📋 Транзакції'!$C$5:$C$3623,"&lt;"&amp;EDATE(DATEVALUE(C274&amp;"-01"),8))&gt;0,1,0)</f>
        <v>0</v>
      </c>
      <c r="O274" s="37">
        <f>IF(COUNTIFS('📋 Транзакції'!$B$5:$B$3623,A274,'📋 Транзакції'!$C$5:$C$3623,"&gt;="&amp;EDATE(DATEVALUE(C274&amp;"-01"),8),'📋 Транзакції'!$C$5:$C$3623,"&lt;"&amp;EDATE(DATEVALUE(C274&amp;"-01"),9))&gt;0,1,0)</f>
        <v>0</v>
      </c>
      <c r="P274" s="37">
        <f>IF(COUNTIFS('📋 Транзакції'!$B$5:$B$3623,A274,'📋 Транзакції'!$C$5:$C$3623,"&gt;="&amp;EDATE(DATEVALUE(C274&amp;"-01"),9),'📋 Транзакції'!$C$5:$C$3623,"&lt;"&amp;EDATE(DATEVALUE(C274&amp;"-01"),10))&gt;0,1,0)</f>
        <v>0</v>
      </c>
      <c r="Q274" s="37">
        <f>IF(COUNTIFS('📋 Транзакції'!$B$5:$B$3623,A274,'📋 Транзакції'!$C$5:$C$3623,"&gt;="&amp;EDATE(DATEVALUE(C274&amp;"-01"),10),'📋 Транзакції'!$C$5:$C$3623,"&lt;"&amp;EDATE(DATEVALUE(C274&amp;"-01"),11))&gt;0,1,0)</f>
        <v>0</v>
      </c>
      <c r="R274" s="37">
        <f>IF(COUNTIFS('📋 Транзакції'!$B$5:$B$3623,A274,'📋 Транзакції'!$C$5:$C$3623,"&gt;="&amp;EDATE(DATEVALUE(C274&amp;"-01"),11),'📋 Транзакції'!$C$5:$C$3623,"&lt;"&amp;EDATE(DATEVALUE(C274&amp;"-01"),12))&gt;0,1,0)</f>
        <v>0</v>
      </c>
      <c r="S274" s="37">
        <f>SUMIFS('📋 Транзакції'!$F$5:$F$3623,'📋 Транзакції'!$B$5:$B$3623,A274,'📋 Транзакції'!$C$5:$C$3623,"&gt;="&amp;EDATE(DATEVALUE(C274&amp;"-01"),0),'📋 Транзакції'!$C$5:$C$3623,"&lt;"&amp;EDATE(DATEVALUE(C274&amp;"-01"),1))</f>
        <v>19.99</v>
      </c>
      <c r="T274" s="37">
        <f>SUMIFS('📋 Транзакції'!$F$5:$F$3623,'📋 Транзакції'!$B$5:$B$3623,A274,'📋 Транзакції'!$C$5:$C$3623,"&gt;="&amp;EDATE(DATEVALUE(C274&amp;"-01"),1),'📋 Транзакції'!$C$5:$C$3623,"&lt;"&amp;EDATE(DATEVALUE(C274&amp;"-01"),2))</f>
        <v>19.99</v>
      </c>
      <c r="U274" s="37">
        <f>SUMIFS('📋 Транзакції'!$F$5:$F$3623,'📋 Транзакції'!$B$5:$B$3623,A274,'📋 Транзакції'!$C$5:$C$3623,"&gt;="&amp;EDATE(DATEVALUE(C274&amp;"-01"),2),'📋 Транзакції'!$C$5:$C$3623,"&lt;"&amp;EDATE(DATEVALUE(C274&amp;"-01"),3))</f>
        <v>19.99</v>
      </c>
      <c r="V274" s="37">
        <f>SUMIFS('📋 Транзакції'!$F$5:$F$3623,'📋 Транзакції'!$B$5:$B$3623,A274,'📋 Транзакції'!$C$5:$C$3623,"&gt;="&amp;EDATE(DATEVALUE(C274&amp;"-01"),3),'📋 Транзакції'!$C$5:$C$3623,"&lt;"&amp;EDATE(DATEVALUE(C274&amp;"-01"),4))</f>
        <v>19.99</v>
      </c>
      <c r="W274" s="37">
        <f>SUMIFS('📋 Транзакції'!$F$5:$F$3623,'📋 Транзакції'!$B$5:$B$3623,A274,'📋 Транзакції'!$C$5:$C$3623,"&gt;="&amp;EDATE(DATEVALUE(C274&amp;"-01"),4),'📋 Транзакції'!$C$5:$C$3623,"&lt;"&amp;EDATE(DATEVALUE(C274&amp;"-01"),5))</f>
        <v>19.99</v>
      </c>
      <c r="X274" s="37">
        <f>SUMIFS('📋 Транзакції'!$F$5:$F$3623,'📋 Транзакції'!$B$5:$B$3623,A274,'📋 Транзакції'!$C$5:$C$3623,"&gt;="&amp;EDATE(DATEVALUE(C274&amp;"-01"),5),'📋 Транзакції'!$C$5:$C$3623,"&lt;"&amp;EDATE(DATEVALUE(C274&amp;"-01"),6))</f>
        <v>19.99</v>
      </c>
      <c r="Y274" s="37">
        <f>SUMIFS('📋 Транзакції'!$F$5:$F$3623,'📋 Транзакції'!$B$5:$B$3623,A274,'📋 Транзакції'!$C$5:$C$3623,"&gt;="&amp;EDATE(DATEVALUE(C274&amp;"-01"),6),'📋 Транзакції'!$C$5:$C$3623,"&lt;"&amp;EDATE(DATEVALUE(C274&amp;"-01"),7))</f>
        <v>19.99</v>
      </c>
      <c r="Z274" s="37">
        <f>SUMIFS('📋 Транзакції'!$F$5:$F$3623,'📋 Транзакції'!$B$5:$B$3623,A274,'📋 Транзакції'!$C$5:$C$3623,"&gt;="&amp;EDATE(DATEVALUE(C274&amp;"-01"),7),'📋 Транзакції'!$C$5:$C$3623,"&lt;"&amp;EDATE(DATEVALUE(C274&amp;"-01"),8))</f>
        <v>0</v>
      </c>
      <c r="AA274" s="37">
        <f>SUMIFS('📋 Транзакції'!$F$5:$F$3623,'📋 Транзакції'!$B$5:$B$3623,A274,'📋 Транзакції'!$C$5:$C$3623,"&gt;="&amp;EDATE(DATEVALUE(C274&amp;"-01"),8),'📋 Транзакції'!$C$5:$C$3623,"&lt;"&amp;EDATE(DATEVALUE(C274&amp;"-01"),9))</f>
        <v>0</v>
      </c>
      <c r="AB274" s="37">
        <f>SUMIFS('📋 Транзакції'!$F$5:$F$3623,'📋 Транзакції'!$B$5:$B$3623,A274,'📋 Транзакції'!$C$5:$C$3623,"&gt;="&amp;EDATE(DATEVALUE(C274&amp;"-01"),9),'📋 Транзакції'!$C$5:$C$3623,"&lt;"&amp;EDATE(DATEVALUE(C274&amp;"-01"),10))</f>
        <v>0</v>
      </c>
      <c r="AC274" s="37">
        <f>SUMIFS('📋 Транзакції'!$F$5:$F$3623,'📋 Транзакції'!$B$5:$B$3623,A274,'📋 Транзакції'!$C$5:$C$3623,"&gt;="&amp;EDATE(DATEVALUE(C274&amp;"-01"),10),'📋 Транзакції'!$C$5:$C$3623,"&lt;"&amp;EDATE(DATEVALUE(C274&amp;"-01"),11))</f>
        <v>0</v>
      </c>
      <c r="AD274" s="37">
        <f>SUMIFS('📋 Транзакції'!$F$5:$F$3623,'📋 Транзакції'!$B$5:$B$3623,A274,'📋 Транзакції'!$C$5:$C$3623,"&gt;="&amp;EDATE(DATEVALUE(C274&amp;"-01"),11),'📋 Транзакції'!$C$5:$C$3623,"&lt;"&amp;EDATE(DATEVALUE(C274&amp;"-01"),12))</f>
        <v>0</v>
      </c>
    </row>
    <row r="275" ht="15.75" customHeight="1">
      <c r="A275" s="33" t="str">
        <f>'📋 Реєстрації'!A275:A876</f>
        <v>U0453</v>
      </c>
      <c r="B275" s="34">
        <f t="array" ref="B275">INDEX('📋 Транзакції'!$C$5:$C$3623,MATCH(A275,'📋 Транзакції'!$B$5:$B$3623,0))</f>
        <v>45540</v>
      </c>
      <c r="C275" s="35" t="str">
        <f t="shared" si="1"/>
        <v>2024-09</v>
      </c>
      <c r="D275" s="36">
        <f>COUNTIF('📋 Транзакції'!$B$5:$B$3623,A275)</f>
        <v>8</v>
      </c>
      <c r="E275" s="36">
        <f>SUMIF('📋 Транзакції'!$B$5:$B$3623,A275,'📋 Транзакції'!$F$5:$F$3623)</f>
        <v>139.93</v>
      </c>
      <c r="F275" s="35">
        <f>INT($A$1-MAXIFS('📋 Транзакції'!$C$5:$C$3623,'📋 Транзакції'!$B$5:$B$3623,A275))</f>
        <v>20</v>
      </c>
      <c r="G275" s="37">
        <f>IF(COUNTIFS('📋 Транзакції'!$B$5:$B$3623,A275,'📋 Транзакції'!$C$5:$C$3623,"&gt;="&amp;EDATE(DATEVALUE(C275&amp;"-01"),0),'📋 Транзакції'!$C$5:$C$3623,"&lt;"&amp;EDATE(DATEVALUE(C275&amp;"-01"),1))&gt;0,1,0)</f>
        <v>1</v>
      </c>
      <c r="H275" s="37">
        <f>IF(COUNTIFS('📋 Транзакції'!$B$5:$B$3623,A275,'📋 Транзакції'!$C$5:$C$3623,"&gt;="&amp;EDATE(DATEVALUE(C275&amp;"-01"),1),'📋 Транзакції'!$C$5:$C$3623,"&lt;"&amp;EDATE(DATEVALUE(C275&amp;"-01"),2))&gt;0,1,0)</f>
        <v>1</v>
      </c>
      <c r="I275" s="37">
        <f>IF(COUNTIFS('📋 Транзакції'!$B$5:$B$3623,A275,'📋 Транзакції'!$C$5:$C$3623,"&gt;="&amp;EDATE(DATEVALUE(C275&amp;"-01"),2),'📋 Транзакції'!$C$5:$C$3623,"&lt;"&amp;EDATE(DATEVALUE(C275&amp;"-01"),3))&gt;0,1,0)</f>
        <v>1</v>
      </c>
      <c r="J275" s="37">
        <f>IF(COUNTIFS('📋 Транзакції'!$B$5:$B$3623,A275,'📋 Транзакції'!$C$5:$C$3623,"&gt;="&amp;EDATE(DATEVALUE(C275&amp;"-01"),3),'📋 Транзакції'!$C$5:$C$3623,"&lt;"&amp;EDATE(DATEVALUE(C275&amp;"-01"),4))&gt;0,1,0)</f>
        <v>1</v>
      </c>
      <c r="K275" s="37">
        <f>IF(COUNTIFS('📋 Транзакції'!$B$5:$B$3623,A275,'📋 Транзакції'!$C$5:$C$3623,"&gt;="&amp;EDATE(DATEVALUE(C275&amp;"-01"),4),'📋 Транзакції'!$C$5:$C$3623,"&lt;"&amp;EDATE(DATEVALUE(C275&amp;"-01"),5))&gt;0,1,0)</f>
        <v>1</v>
      </c>
      <c r="L275" s="37">
        <f>IF(COUNTIFS('📋 Транзакції'!$B$5:$B$3623,A275,'📋 Транзакції'!$C$5:$C$3623,"&gt;="&amp;EDATE(DATEVALUE(C275&amp;"-01"),5),'📋 Транзакції'!$C$5:$C$3623,"&lt;"&amp;EDATE(DATEVALUE(C275&amp;"-01"),6))&gt;0,1,0)</f>
        <v>1</v>
      </c>
      <c r="M275" s="37">
        <f>IF(COUNTIFS('📋 Транзакції'!$B$5:$B$3623,A275,'📋 Транзакції'!$C$5:$C$3623,"&gt;="&amp;EDATE(DATEVALUE(C275&amp;"-01"),6),'📋 Транзакції'!$C$5:$C$3623,"&lt;"&amp;EDATE(DATEVALUE(C275&amp;"-01"),7))&gt;0,1,0)</f>
        <v>1</v>
      </c>
      <c r="N275" s="37">
        <f>IF(COUNTIFS('📋 Транзакції'!$B$5:$B$3623,A275,'📋 Транзакції'!$C$5:$C$3623,"&gt;="&amp;EDATE(DATEVALUE(C275&amp;"-01"),7),'📋 Транзакції'!$C$5:$C$3623,"&lt;"&amp;EDATE(DATEVALUE(C275&amp;"-01"),8))&gt;0,1,0)</f>
        <v>0</v>
      </c>
      <c r="O275" s="37">
        <f>IF(COUNTIFS('📋 Транзакції'!$B$5:$B$3623,A275,'📋 Транзакції'!$C$5:$C$3623,"&gt;="&amp;EDATE(DATEVALUE(C275&amp;"-01"),8),'📋 Транзакції'!$C$5:$C$3623,"&lt;"&amp;EDATE(DATEVALUE(C275&amp;"-01"),9))&gt;0,1,0)</f>
        <v>0</v>
      </c>
      <c r="P275" s="37">
        <f>IF(COUNTIFS('📋 Транзакції'!$B$5:$B$3623,A275,'📋 Транзакції'!$C$5:$C$3623,"&gt;="&amp;EDATE(DATEVALUE(C275&amp;"-01"),9),'📋 Транзакції'!$C$5:$C$3623,"&lt;"&amp;EDATE(DATEVALUE(C275&amp;"-01"),10))&gt;0,1,0)</f>
        <v>0</v>
      </c>
      <c r="Q275" s="37">
        <f>IF(COUNTIFS('📋 Транзакції'!$B$5:$B$3623,A275,'📋 Транзакції'!$C$5:$C$3623,"&gt;="&amp;EDATE(DATEVALUE(C275&amp;"-01"),10),'📋 Транзакції'!$C$5:$C$3623,"&lt;"&amp;EDATE(DATEVALUE(C275&amp;"-01"),11))&gt;0,1,0)</f>
        <v>0</v>
      </c>
      <c r="R275" s="37">
        <f>IF(COUNTIFS('📋 Транзакції'!$B$5:$B$3623,A275,'📋 Транзакції'!$C$5:$C$3623,"&gt;="&amp;EDATE(DATEVALUE(C275&amp;"-01"),11),'📋 Транзакції'!$C$5:$C$3623,"&lt;"&amp;EDATE(DATEVALUE(C275&amp;"-01"),12))&gt;0,1,0)</f>
        <v>0</v>
      </c>
      <c r="S275" s="37">
        <f>SUMIFS('📋 Транзакції'!$F$5:$F$3623,'📋 Транзакції'!$B$5:$B$3623,A275,'📋 Транзакції'!$C$5:$C$3623,"&gt;="&amp;EDATE(DATEVALUE(C275&amp;"-01"),0),'📋 Транзакції'!$C$5:$C$3623,"&lt;"&amp;EDATE(DATEVALUE(C275&amp;"-01"),1))</f>
        <v>19.99</v>
      </c>
      <c r="T275" s="37">
        <f>SUMIFS('📋 Транзакції'!$F$5:$F$3623,'📋 Транзакції'!$B$5:$B$3623,A275,'📋 Транзакції'!$C$5:$C$3623,"&gt;="&amp;EDATE(DATEVALUE(C275&amp;"-01"),1),'📋 Транзакції'!$C$5:$C$3623,"&lt;"&amp;EDATE(DATEVALUE(C275&amp;"-01"),2))</f>
        <v>19.99</v>
      </c>
      <c r="U275" s="37">
        <f>SUMIFS('📋 Транзакції'!$F$5:$F$3623,'📋 Транзакції'!$B$5:$B$3623,A275,'📋 Транзакції'!$C$5:$C$3623,"&gt;="&amp;EDATE(DATEVALUE(C275&amp;"-01"),2),'📋 Транзакції'!$C$5:$C$3623,"&lt;"&amp;EDATE(DATEVALUE(C275&amp;"-01"),3))</f>
        <v>19.99</v>
      </c>
      <c r="V275" s="37">
        <f>SUMIFS('📋 Транзакції'!$F$5:$F$3623,'📋 Транзакції'!$B$5:$B$3623,A275,'📋 Транзакції'!$C$5:$C$3623,"&gt;="&amp;EDATE(DATEVALUE(C275&amp;"-01"),3),'📋 Транзакції'!$C$5:$C$3623,"&lt;"&amp;EDATE(DATEVALUE(C275&amp;"-01"),4))</f>
        <v>19.99</v>
      </c>
      <c r="W275" s="37">
        <f>SUMIFS('📋 Транзакції'!$F$5:$F$3623,'📋 Транзакції'!$B$5:$B$3623,A275,'📋 Транзакції'!$C$5:$C$3623,"&gt;="&amp;EDATE(DATEVALUE(C275&amp;"-01"),4),'📋 Транзакції'!$C$5:$C$3623,"&lt;"&amp;EDATE(DATEVALUE(C275&amp;"-01"),5))</f>
        <v>19.99</v>
      </c>
      <c r="X275" s="37">
        <f>SUMIFS('📋 Транзакції'!$F$5:$F$3623,'📋 Транзакції'!$B$5:$B$3623,A275,'📋 Транзакції'!$C$5:$C$3623,"&gt;="&amp;EDATE(DATEVALUE(C275&amp;"-01"),5),'📋 Транзакції'!$C$5:$C$3623,"&lt;"&amp;EDATE(DATEVALUE(C275&amp;"-01"),6))</f>
        <v>19.99</v>
      </c>
      <c r="Y275" s="37">
        <f>SUMIFS('📋 Транзакції'!$F$5:$F$3623,'📋 Транзакції'!$B$5:$B$3623,A275,'📋 Транзакції'!$C$5:$C$3623,"&gt;="&amp;EDATE(DATEVALUE(C275&amp;"-01"),6),'📋 Транзакції'!$C$5:$C$3623,"&lt;"&amp;EDATE(DATEVALUE(C275&amp;"-01"),7))</f>
        <v>19.99</v>
      </c>
      <c r="Z275" s="37">
        <f>SUMIFS('📋 Транзакції'!$F$5:$F$3623,'📋 Транзакції'!$B$5:$B$3623,A275,'📋 Транзакції'!$C$5:$C$3623,"&gt;="&amp;EDATE(DATEVALUE(C275&amp;"-01"),7),'📋 Транзакції'!$C$5:$C$3623,"&lt;"&amp;EDATE(DATEVALUE(C275&amp;"-01"),8))</f>
        <v>0</v>
      </c>
      <c r="AA275" s="37">
        <f>SUMIFS('📋 Транзакції'!$F$5:$F$3623,'📋 Транзакції'!$B$5:$B$3623,A275,'📋 Транзакції'!$C$5:$C$3623,"&gt;="&amp;EDATE(DATEVALUE(C275&amp;"-01"),8),'📋 Транзакції'!$C$5:$C$3623,"&lt;"&amp;EDATE(DATEVALUE(C275&amp;"-01"),9))</f>
        <v>0</v>
      </c>
      <c r="AB275" s="37">
        <f>SUMIFS('📋 Транзакції'!$F$5:$F$3623,'📋 Транзакції'!$B$5:$B$3623,A275,'📋 Транзакції'!$C$5:$C$3623,"&gt;="&amp;EDATE(DATEVALUE(C275&amp;"-01"),9),'📋 Транзакції'!$C$5:$C$3623,"&lt;"&amp;EDATE(DATEVALUE(C275&amp;"-01"),10))</f>
        <v>0</v>
      </c>
      <c r="AC275" s="37">
        <f>SUMIFS('📋 Транзакції'!$F$5:$F$3623,'📋 Транзакції'!$B$5:$B$3623,A275,'📋 Транзакції'!$C$5:$C$3623,"&gt;="&amp;EDATE(DATEVALUE(C275&amp;"-01"),10),'📋 Транзакції'!$C$5:$C$3623,"&lt;"&amp;EDATE(DATEVALUE(C275&amp;"-01"),11))</f>
        <v>0</v>
      </c>
      <c r="AD275" s="37">
        <f>SUMIFS('📋 Транзакції'!$F$5:$F$3623,'📋 Транзакції'!$B$5:$B$3623,A275,'📋 Транзакції'!$C$5:$C$3623,"&gt;="&amp;EDATE(DATEVALUE(C275&amp;"-01"),11),'📋 Транзакції'!$C$5:$C$3623,"&lt;"&amp;EDATE(DATEVALUE(C275&amp;"-01"),12))</f>
        <v>0</v>
      </c>
    </row>
    <row r="276" ht="15.75" customHeight="1">
      <c r="A276" s="33" t="str">
        <f>'📋 Реєстрації'!A276:A877</f>
        <v>U0739</v>
      </c>
      <c r="B276" s="34">
        <f t="array" ref="B276">INDEX('📋 Транзакції'!$C$5:$C$3623,MATCH(A276,'📋 Транзакції'!$B$5:$B$3623,0))</f>
        <v>45541</v>
      </c>
      <c r="C276" s="35" t="str">
        <f t="shared" si="1"/>
        <v>2024-09</v>
      </c>
      <c r="D276" s="36">
        <f>COUNTIF('📋 Транзакції'!$B$5:$B$3623,A276)</f>
        <v>8</v>
      </c>
      <c r="E276" s="36">
        <f>SUMIF('📋 Транзакції'!$B$5:$B$3623,A276,'📋 Транзакції'!$F$5:$F$3623)</f>
        <v>139.93</v>
      </c>
      <c r="F276" s="35">
        <f>INT($A$1-MAXIFS('📋 Транзакції'!$C$5:$C$3623,'📋 Транзакції'!$B$5:$B$3623,A276))</f>
        <v>19</v>
      </c>
      <c r="G276" s="37">
        <f>IF(COUNTIFS('📋 Транзакції'!$B$5:$B$3623,A276,'📋 Транзакції'!$C$5:$C$3623,"&gt;="&amp;EDATE(DATEVALUE(C276&amp;"-01"),0),'📋 Транзакції'!$C$5:$C$3623,"&lt;"&amp;EDATE(DATEVALUE(C276&amp;"-01"),1))&gt;0,1,0)</f>
        <v>1</v>
      </c>
      <c r="H276" s="37">
        <f>IF(COUNTIFS('📋 Транзакції'!$B$5:$B$3623,A276,'📋 Транзакції'!$C$5:$C$3623,"&gt;="&amp;EDATE(DATEVALUE(C276&amp;"-01"),1),'📋 Транзакції'!$C$5:$C$3623,"&lt;"&amp;EDATE(DATEVALUE(C276&amp;"-01"),2))&gt;0,1,0)</f>
        <v>1</v>
      </c>
      <c r="I276" s="37">
        <f>IF(COUNTIFS('📋 Транзакції'!$B$5:$B$3623,A276,'📋 Транзакції'!$C$5:$C$3623,"&gt;="&amp;EDATE(DATEVALUE(C276&amp;"-01"),2),'📋 Транзакції'!$C$5:$C$3623,"&lt;"&amp;EDATE(DATEVALUE(C276&amp;"-01"),3))&gt;0,1,0)</f>
        <v>1</v>
      </c>
      <c r="J276" s="37">
        <f>IF(COUNTIFS('📋 Транзакції'!$B$5:$B$3623,A276,'📋 Транзакції'!$C$5:$C$3623,"&gt;="&amp;EDATE(DATEVALUE(C276&amp;"-01"),3),'📋 Транзакції'!$C$5:$C$3623,"&lt;"&amp;EDATE(DATEVALUE(C276&amp;"-01"),4))&gt;0,1,0)</f>
        <v>1</v>
      </c>
      <c r="K276" s="37">
        <f>IF(COUNTIFS('📋 Транзакції'!$B$5:$B$3623,A276,'📋 Транзакції'!$C$5:$C$3623,"&gt;="&amp;EDATE(DATEVALUE(C276&amp;"-01"),4),'📋 Транзакції'!$C$5:$C$3623,"&lt;"&amp;EDATE(DATEVALUE(C276&amp;"-01"),5))&gt;0,1,0)</f>
        <v>1</v>
      </c>
      <c r="L276" s="37">
        <f>IF(COUNTIFS('📋 Транзакції'!$B$5:$B$3623,A276,'📋 Транзакції'!$C$5:$C$3623,"&gt;="&amp;EDATE(DATEVALUE(C276&amp;"-01"),5),'📋 Транзакції'!$C$5:$C$3623,"&lt;"&amp;EDATE(DATEVALUE(C276&amp;"-01"),6))&gt;0,1,0)</f>
        <v>1</v>
      </c>
      <c r="M276" s="37">
        <f>IF(COUNTIFS('📋 Транзакції'!$B$5:$B$3623,A276,'📋 Транзакції'!$C$5:$C$3623,"&gt;="&amp;EDATE(DATEVALUE(C276&amp;"-01"),6),'📋 Транзакції'!$C$5:$C$3623,"&lt;"&amp;EDATE(DATEVALUE(C276&amp;"-01"),7))&gt;0,1,0)</f>
        <v>1</v>
      </c>
      <c r="N276" s="37">
        <f>IF(COUNTIFS('📋 Транзакції'!$B$5:$B$3623,A276,'📋 Транзакції'!$C$5:$C$3623,"&gt;="&amp;EDATE(DATEVALUE(C276&amp;"-01"),7),'📋 Транзакції'!$C$5:$C$3623,"&lt;"&amp;EDATE(DATEVALUE(C276&amp;"-01"),8))&gt;0,1,0)</f>
        <v>0</v>
      </c>
      <c r="O276" s="37">
        <f>IF(COUNTIFS('📋 Транзакції'!$B$5:$B$3623,A276,'📋 Транзакції'!$C$5:$C$3623,"&gt;="&amp;EDATE(DATEVALUE(C276&amp;"-01"),8),'📋 Транзакції'!$C$5:$C$3623,"&lt;"&amp;EDATE(DATEVALUE(C276&amp;"-01"),9))&gt;0,1,0)</f>
        <v>0</v>
      </c>
      <c r="P276" s="37">
        <f>IF(COUNTIFS('📋 Транзакції'!$B$5:$B$3623,A276,'📋 Транзакції'!$C$5:$C$3623,"&gt;="&amp;EDATE(DATEVALUE(C276&amp;"-01"),9),'📋 Транзакції'!$C$5:$C$3623,"&lt;"&amp;EDATE(DATEVALUE(C276&amp;"-01"),10))&gt;0,1,0)</f>
        <v>0</v>
      </c>
      <c r="Q276" s="37">
        <f>IF(COUNTIFS('📋 Транзакції'!$B$5:$B$3623,A276,'📋 Транзакції'!$C$5:$C$3623,"&gt;="&amp;EDATE(DATEVALUE(C276&amp;"-01"),10),'📋 Транзакції'!$C$5:$C$3623,"&lt;"&amp;EDATE(DATEVALUE(C276&amp;"-01"),11))&gt;0,1,0)</f>
        <v>0</v>
      </c>
      <c r="R276" s="37">
        <f>IF(COUNTIFS('📋 Транзакції'!$B$5:$B$3623,A276,'📋 Транзакції'!$C$5:$C$3623,"&gt;="&amp;EDATE(DATEVALUE(C276&amp;"-01"),11),'📋 Транзакції'!$C$5:$C$3623,"&lt;"&amp;EDATE(DATEVALUE(C276&amp;"-01"),12))&gt;0,1,0)</f>
        <v>0</v>
      </c>
      <c r="S276" s="37">
        <f>SUMIFS('📋 Транзакції'!$F$5:$F$3623,'📋 Транзакції'!$B$5:$B$3623,A276,'📋 Транзакції'!$C$5:$C$3623,"&gt;="&amp;EDATE(DATEVALUE(C276&amp;"-01"),0),'📋 Транзакції'!$C$5:$C$3623,"&lt;"&amp;EDATE(DATEVALUE(C276&amp;"-01"),1))</f>
        <v>19.99</v>
      </c>
      <c r="T276" s="37">
        <f>SUMIFS('📋 Транзакції'!$F$5:$F$3623,'📋 Транзакції'!$B$5:$B$3623,A276,'📋 Транзакції'!$C$5:$C$3623,"&gt;="&amp;EDATE(DATEVALUE(C276&amp;"-01"),1),'📋 Транзакції'!$C$5:$C$3623,"&lt;"&amp;EDATE(DATEVALUE(C276&amp;"-01"),2))</f>
        <v>19.99</v>
      </c>
      <c r="U276" s="37">
        <f>SUMIFS('📋 Транзакції'!$F$5:$F$3623,'📋 Транзакції'!$B$5:$B$3623,A276,'📋 Транзакції'!$C$5:$C$3623,"&gt;="&amp;EDATE(DATEVALUE(C276&amp;"-01"),2),'📋 Транзакції'!$C$5:$C$3623,"&lt;"&amp;EDATE(DATEVALUE(C276&amp;"-01"),3))</f>
        <v>19.99</v>
      </c>
      <c r="V276" s="37">
        <f>SUMIFS('📋 Транзакції'!$F$5:$F$3623,'📋 Транзакції'!$B$5:$B$3623,A276,'📋 Транзакції'!$C$5:$C$3623,"&gt;="&amp;EDATE(DATEVALUE(C276&amp;"-01"),3),'📋 Транзакції'!$C$5:$C$3623,"&lt;"&amp;EDATE(DATEVALUE(C276&amp;"-01"),4))</f>
        <v>19.99</v>
      </c>
      <c r="W276" s="37">
        <f>SUMIFS('📋 Транзакції'!$F$5:$F$3623,'📋 Транзакції'!$B$5:$B$3623,A276,'📋 Транзакції'!$C$5:$C$3623,"&gt;="&amp;EDATE(DATEVALUE(C276&amp;"-01"),4),'📋 Транзакції'!$C$5:$C$3623,"&lt;"&amp;EDATE(DATEVALUE(C276&amp;"-01"),5))</f>
        <v>19.99</v>
      </c>
      <c r="X276" s="37">
        <f>SUMIFS('📋 Транзакції'!$F$5:$F$3623,'📋 Транзакції'!$B$5:$B$3623,A276,'📋 Транзакції'!$C$5:$C$3623,"&gt;="&amp;EDATE(DATEVALUE(C276&amp;"-01"),5),'📋 Транзакції'!$C$5:$C$3623,"&lt;"&amp;EDATE(DATEVALUE(C276&amp;"-01"),6))</f>
        <v>19.99</v>
      </c>
      <c r="Y276" s="37">
        <f>SUMIFS('📋 Транзакції'!$F$5:$F$3623,'📋 Транзакції'!$B$5:$B$3623,A276,'📋 Транзакції'!$C$5:$C$3623,"&gt;="&amp;EDATE(DATEVALUE(C276&amp;"-01"),6),'📋 Транзакції'!$C$5:$C$3623,"&lt;"&amp;EDATE(DATEVALUE(C276&amp;"-01"),7))</f>
        <v>19.99</v>
      </c>
      <c r="Z276" s="37">
        <f>SUMIFS('📋 Транзакції'!$F$5:$F$3623,'📋 Транзакції'!$B$5:$B$3623,A276,'📋 Транзакції'!$C$5:$C$3623,"&gt;="&amp;EDATE(DATEVALUE(C276&amp;"-01"),7),'📋 Транзакції'!$C$5:$C$3623,"&lt;"&amp;EDATE(DATEVALUE(C276&amp;"-01"),8))</f>
        <v>0</v>
      </c>
      <c r="AA276" s="37">
        <f>SUMIFS('📋 Транзакції'!$F$5:$F$3623,'📋 Транзакції'!$B$5:$B$3623,A276,'📋 Транзакції'!$C$5:$C$3623,"&gt;="&amp;EDATE(DATEVALUE(C276&amp;"-01"),8),'📋 Транзакції'!$C$5:$C$3623,"&lt;"&amp;EDATE(DATEVALUE(C276&amp;"-01"),9))</f>
        <v>0</v>
      </c>
      <c r="AB276" s="37">
        <f>SUMIFS('📋 Транзакції'!$F$5:$F$3623,'📋 Транзакції'!$B$5:$B$3623,A276,'📋 Транзакції'!$C$5:$C$3623,"&gt;="&amp;EDATE(DATEVALUE(C276&amp;"-01"),9),'📋 Транзакції'!$C$5:$C$3623,"&lt;"&amp;EDATE(DATEVALUE(C276&amp;"-01"),10))</f>
        <v>0</v>
      </c>
      <c r="AC276" s="37">
        <f>SUMIFS('📋 Транзакції'!$F$5:$F$3623,'📋 Транзакції'!$B$5:$B$3623,A276,'📋 Транзакції'!$C$5:$C$3623,"&gt;="&amp;EDATE(DATEVALUE(C276&amp;"-01"),10),'📋 Транзакції'!$C$5:$C$3623,"&lt;"&amp;EDATE(DATEVALUE(C276&amp;"-01"),11))</f>
        <v>0</v>
      </c>
      <c r="AD276" s="37">
        <f>SUMIFS('📋 Транзакції'!$F$5:$F$3623,'📋 Транзакції'!$B$5:$B$3623,A276,'📋 Транзакції'!$C$5:$C$3623,"&gt;="&amp;EDATE(DATEVALUE(C276&amp;"-01"),11),'📋 Транзакції'!$C$5:$C$3623,"&lt;"&amp;EDATE(DATEVALUE(C276&amp;"-01"),12))</f>
        <v>0</v>
      </c>
    </row>
    <row r="277" ht="15.75" customHeight="1">
      <c r="A277" s="33" t="str">
        <f>'📋 Реєстрації'!A277:A878</f>
        <v>U0788</v>
      </c>
      <c r="B277" s="34">
        <f t="array" ref="B277">INDEX('📋 Транзакції'!$C$5:$C$3623,MATCH(A277,'📋 Транзакції'!$B$5:$B$3623,0))</f>
        <v>45542</v>
      </c>
      <c r="C277" s="35" t="str">
        <f t="shared" si="1"/>
        <v>2024-09</v>
      </c>
      <c r="D277" s="36">
        <f>COUNTIF('📋 Транзакції'!$B$5:$B$3623,A277)</f>
        <v>4</v>
      </c>
      <c r="E277" s="36">
        <f>SUMIF('📋 Транзакції'!$B$5:$B$3623,A277,'📋 Транзакції'!$F$5:$F$3623)</f>
        <v>59.97</v>
      </c>
      <c r="F277" s="35">
        <f>INT($A$1-MAXIFS('📋 Транзакції'!$C$5:$C$3623,'📋 Транзакції'!$B$5:$B$3623,A277))</f>
        <v>138</v>
      </c>
      <c r="G277" s="37">
        <f>IF(COUNTIFS('📋 Транзакції'!$B$5:$B$3623,A277,'📋 Транзакції'!$C$5:$C$3623,"&gt;="&amp;EDATE(DATEVALUE(C277&amp;"-01"),0),'📋 Транзакції'!$C$5:$C$3623,"&lt;"&amp;EDATE(DATEVALUE(C277&amp;"-01"),1))&gt;0,1,0)</f>
        <v>1</v>
      </c>
      <c r="H277" s="37">
        <f>IF(COUNTIFS('📋 Транзакції'!$B$5:$B$3623,A277,'📋 Транзакції'!$C$5:$C$3623,"&gt;="&amp;EDATE(DATEVALUE(C277&amp;"-01"),1),'📋 Транзакції'!$C$5:$C$3623,"&lt;"&amp;EDATE(DATEVALUE(C277&amp;"-01"),2))&gt;0,1,0)</f>
        <v>1</v>
      </c>
      <c r="I277" s="37">
        <f>IF(COUNTIFS('📋 Транзакції'!$B$5:$B$3623,A277,'📋 Транзакції'!$C$5:$C$3623,"&gt;="&amp;EDATE(DATEVALUE(C277&amp;"-01"),2),'📋 Транзакції'!$C$5:$C$3623,"&lt;"&amp;EDATE(DATEVALUE(C277&amp;"-01"),3))&gt;0,1,0)</f>
        <v>1</v>
      </c>
      <c r="J277" s="37">
        <f>IF(COUNTIFS('📋 Транзакції'!$B$5:$B$3623,A277,'📋 Транзакції'!$C$5:$C$3623,"&gt;="&amp;EDATE(DATEVALUE(C277&amp;"-01"),3),'📋 Транзакції'!$C$5:$C$3623,"&lt;"&amp;EDATE(DATEVALUE(C277&amp;"-01"),4))&gt;0,1,0)</f>
        <v>0</v>
      </c>
      <c r="K277" s="37">
        <f>IF(COUNTIFS('📋 Транзакції'!$B$5:$B$3623,A277,'📋 Транзакції'!$C$5:$C$3623,"&gt;="&amp;EDATE(DATEVALUE(C277&amp;"-01"),4),'📋 Транзакції'!$C$5:$C$3623,"&lt;"&amp;EDATE(DATEVALUE(C277&amp;"-01"),5))&gt;0,1,0)</f>
        <v>0</v>
      </c>
      <c r="L277" s="37">
        <f>IF(COUNTIFS('📋 Транзакції'!$B$5:$B$3623,A277,'📋 Транзакції'!$C$5:$C$3623,"&gt;="&amp;EDATE(DATEVALUE(C277&amp;"-01"),5),'📋 Транзакції'!$C$5:$C$3623,"&lt;"&amp;EDATE(DATEVALUE(C277&amp;"-01"),6))&gt;0,1,0)</f>
        <v>0</v>
      </c>
      <c r="M277" s="37">
        <f>IF(COUNTIFS('📋 Транзакції'!$B$5:$B$3623,A277,'📋 Транзакції'!$C$5:$C$3623,"&gt;="&amp;EDATE(DATEVALUE(C277&amp;"-01"),6),'📋 Транзакції'!$C$5:$C$3623,"&lt;"&amp;EDATE(DATEVALUE(C277&amp;"-01"),7))&gt;0,1,0)</f>
        <v>0</v>
      </c>
      <c r="N277" s="37">
        <f>IF(COUNTIFS('📋 Транзакції'!$B$5:$B$3623,A277,'📋 Транзакції'!$C$5:$C$3623,"&gt;="&amp;EDATE(DATEVALUE(C277&amp;"-01"),7),'📋 Транзакції'!$C$5:$C$3623,"&lt;"&amp;EDATE(DATEVALUE(C277&amp;"-01"),8))&gt;0,1,0)</f>
        <v>0</v>
      </c>
      <c r="O277" s="37">
        <f>IF(COUNTIFS('📋 Транзакції'!$B$5:$B$3623,A277,'📋 Транзакції'!$C$5:$C$3623,"&gt;="&amp;EDATE(DATEVALUE(C277&amp;"-01"),8),'📋 Транзакції'!$C$5:$C$3623,"&lt;"&amp;EDATE(DATEVALUE(C277&amp;"-01"),9))&gt;0,1,0)</f>
        <v>0</v>
      </c>
      <c r="P277" s="37">
        <f>IF(COUNTIFS('📋 Транзакції'!$B$5:$B$3623,A277,'📋 Транзакції'!$C$5:$C$3623,"&gt;="&amp;EDATE(DATEVALUE(C277&amp;"-01"),9),'📋 Транзакції'!$C$5:$C$3623,"&lt;"&amp;EDATE(DATEVALUE(C277&amp;"-01"),10))&gt;0,1,0)</f>
        <v>0</v>
      </c>
      <c r="Q277" s="37">
        <f>IF(COUNTIFS('📋 Транзакції'!$B$5:$B$3623,A277,'📋 Транзакції'!$C$5:$C$3623,"&gt;="&amp;EDATE(DATEVALUE(C277&amp;"-01"),10),'📋 Транзакції'!$C$5:$C$3623,"&lt;"&amp;EDATE(DATEVALUE(C277&amp;"-01"),11))&gt;0,1,0)</f>
        <v>0</v>
      </c>
      <c r="R277" s="37">
        <f>IF(COUNTIFS('📋 Транзакції'!$B$5:$B$3623,A277,'📋 Транзакції'!$C$5:$C$3623,"&gt;="&amp;EDATE(DATEVALUE(C277&amp;"-01"),11),'📋 Транзакції'!$C$5:$C$3623,"&lt;"&amp;EDATE(DATEVALUE(C277&amp;"-01"),12))&gt;0,1,0)</f>
        <v>0</v>
      </c>
      <c r="S277" s="37">
        <f>SUMIFS('📋 Транзакції'!$F$5:$F$3623,'📋 Транзакції'!$B$5:$B$3623,A277,'📋 Транзакції'!$C$5:$C$3623,"&gt;="&amp;EDATE(DATEVALUE(C277&amp;"-01"),0),'📋 Транзакції'!$C$5:$C$3623,"&lt;"&amp;EDATE(DATEVALUE(C277&amp;"-01"),1))</f>
        <v>19.99</v>
      </c>
      <c r="T277" s="37">
        <f>SUMIFS('📋 Транзакції'!$F$5:$F$3623,'📋 Транзакції'!$B$5:$B$3623,A277,'📋 Транзакції'!$C$5:$C$3623,"&gt;="&amp;EDATE(DATEVALUE(C277&amp;"-01"),1),'📋 Транзакції'!$C$5:$C$3623,"&lt;"&amp;EDATE(DATEVALUE(C277&amp;"-01"),2))</f>
        <v>19.99</v>
      </c>
      <c r="U277" s="37">
        <f>SUMIFS('📋 Транзакції'!$F$5:$F$3623,'📋 Транзакції'!$B$5:$B$3623,A277,'📋 Транзакції'!$C$5:$C$3623,"&gt;="&amp;EDATE(DATEVALUE(C277&amp;"-01"),2),'📋 Транзакції'!$C$5:$C$3623,"&lt;"&amp;EDATE(DATEVALUE(C277&amp;"-01"),3))</f>
        <v>19.99</v>
      </c>
      <c r="V277" s="37">
        <f>SUMIFS('📋 Транзакції'!$F$5:$F$3623,'📋 Транзакції'!$B$5:$B$3623,A277,'📋 Транзакції'!$C$5:$C$3623,"&gt;="&amp;EDATE(DATEVALUE(C277&amp;"-01"),3),'📋 Транзакції'!$C$5:$C$3623,"&lt;"&amp;EDATE(DATEVALUE(C277&amp;"-01"),4))</f>
        <v>0</v>
      </c>
      <c r="W277" s="37">
        <f>SUMIFS('📋 Транзакції'!$F$5:$F$3623,'📋 Транзакції'!$B$5:$B$3623,A277,'📋 Транзакції'!$C$5:$C$3623,"&gt;="&amp;EDATE(DATEVALUE(C277&amp;"-01"),4),'📋 Транзакції'!$C$5:$C$3623,"&lt;"&amp;EDATE(DATEVALUE(C277&amp;"-01"),5))</f>
        <v>0</v>
      </c>
      <c r="X277" s="37">
        <f>SUMIFS('📋 Транзакції'!$F$5:$F$3623,'📋 Транзакції'!$B$5:$B$3623,A277,'📋 Транзакції'!$C$5:$C$3623,"&gt;="&amp;EDATE(DATEVALUE(C277&amp;"-01"),5),'📋 Транзакції'!$C$5:$C$3623,"&lt;"&amp;EDATE(DATEVALUE(C277&amp;"-01"),6))</f>
        <v>0</v>
      </c>
      <c r="Y277" s="37">
        <f>SUMIFS('📋 Транзакції'!$F$5:$F$3623,'📋 Транзакції'!$B$5:$B$3623,A277,'📋 Транзакції'!$C$5:$C$3623,"&gt;="&amp;EDATE(DATEVALUE(C277&amp;"-01"),6),'📋 Транзакції'!$C$5:$C$3623,"&lt;"&amp;EDATE(DATEVALUE(C277&amp;"-01"),7))</f>
        <v>0</v>
      </c>
      <c r="Z277" s="37">
        <f>SUMIFS('📋 Транзакції'!$F$5:$F$3623,'📋 Транзакції'!$B$5:$B$3623,A277,'📋 Транзакції'!$C$5:$C$3623,"&gt;="&amp;EDATE(DATEVALUE(C277&amp;"-01"),7),'📋 Транзакції'!$C$5:$C$3623,"&lt;"&amp;EDATE(DATEVALUE(C277&amp;"-01"),8))</f>
        <v>0</v>
      </c>
      <c r="AA277" s="37">
        <f>SUMIFS('📋 Транзакції'!$F$5:$F$3623,'📋 Транзакції'!$B$5:$B$3623,A277,'📋 Транзакції'!$C$5:$C$3623,"&gt;="&amp;EDATE(DATEVALUE(C277&amp;"-01"),8),'📋 Транзакції'!$C$5:$C$3623,"&lt;"&amp;EDATE(DATEVALUE(C277&amp;"-01"),9))</f>
        <v>0</v>
      </c>
      <c r="AB277" s="37">
        <f>SUMIFS('📋 Транзакції'!$F$5:$F$3623,'📋 Транзакції'!$B$5:$B$3623,A277,'📋 Транзакції'!$C$5:$C$3623,"&gt;="&amp;EDATE(DATEVALUE(C277&amp;"-01"),9),'📋 Транзакції'!$C$5:$C$3623,"&lt;"&amp;EDATE(DATEVALUE(C277&amp;"-01"),10))</f>
        <v>0</v>
      </c>
      <c r="AC277" s="37">
        <f>SUMIFS('📋 Транзакції'!$F$5:$F$3623,'📋 Транзакції'!$B$5:$B$3623,A277,'📋 Транзакції'!$C$5:$C$3623,"&gt;="&amp;EDATE(DATEVALUE(C277&amp;"-01"),10),'📋 Транзакції'!$C$5:$C$3623,"&lt;"&amp;EDATE(DATEVALUE(C277&amp;"-01"),11))</f>
        <v>0</v>
      </c>
      <c r="AD277" s="37">
        <f>SUMIFS('📋 Транзакції'!$F$5:$F$3623,'📋 Транзакції'!$B$5:$B$3623,A277,'📋 Транзакції'!$C$5:$C$3623,"&gt;="&amp;EDATE(DATEVALUE(C277&amp;"-01"),11),'📋 Транзакції'!$C$5:$C$3623,"&lt;"&amp;EDATE(DATEVALUE(C277&amp;"-01"),12))</f>
        <v>0</v>
      </c>
    </row>
    <row r="278" ht="15.75" customHeight="1">
      <c r="A278" s="33" t="str">
        <f>'📋 Реєстрації'!A278:A879</f>
        <v>U0874</v>
      </c>
      <c r="B278" s="34">
        <f t="array" ref="B278">INDEX('📋 Транзакції'!$C$5:$C$3623,MATCH(A278,'📋 Транзакції'!$B$5:$B$3623,0))</f>
        <v>45544</v>
      </c>
      <c r="C278" s="35" t="str">
        <f t="shared" si="1"/>
        <v>2024-09</v>
      </c>
      <c r="D278" s="36">
        <f>COUNTIF('📋 Транзакції'!$B$5:$B$3623,A278)</f>
        <v>8</v>
      </c>
      <c r="E278" s="36">
        <f>SUMIF('📋 Транзакції'!$B$5:$B$3623,A278,'📋 Транзакції'!$F$5:$F$3623)</f>
        <v>139.93</v>
      </c>
      <c r="F278" s="35">
        <f>INT($A$1-MAXIFS('📋 Транзакції'!$C$5:$C$3623,'📋 Транзакції'!$B$5:$B$3623,A278))</f>
        <v>16</v>
      </c>
      <c r="G278" s="37">
        <f>IF(COUNTIFS('📋 Транзакції'!$B$5:$B$3623,A278,'📋 Транзакції'!$C$5:$C$3623,"&gt;="&amp;EDATE(DATEVALUE(C278&amp;"-01"),0),'📋 Транзакції'!$C$5:$C$3623,"&lt;"&amp;EDATE(DATEVALUE(C278&amp;"-01"),1))&gt;0,1,0)</f>
        <v>1</v>
      </c>
      <c r="H278" s="37">
        <f>IF(COUNTIFS('📋 Транзакції'!$B$5:$B$3623,A278,'📋 Транзакції'!$C$5:$C$3623,"&gt;="&amp;EDATE(DATEVALUE(C278&amp;"-01"),1),'📋 Транзакції'!$C$5:$C$3623,"&lt;"&amp;EDATE(DATEVALUE(C278&amp;"-01"),2))&gt;0,1,0)</f>
        <v>1</v>
      </c>
      <c r="I278" s="37">
        <f>IF(COUNTIFS('📋 Транзакції'!$B$5:$B$3623,A278,'📋 Транзакції'!$C$5:$C$3623,"&gt;="&amp;EDATE(DATEVALUE(C278&amp;"-01"),2),'📋 Транзакції'!$C$5:$C$3623,"&lt;"&amp;EDATE(DATEVALUE(C278&amp;"-01"),3))&gt;0,1,0)</f>
        <v>1</v>
      </c>
      <c r="J278" s="37">
        <f>IF(COUNTIFS('📋 Транзакції'!$B$5:$B$3623,A278,'📋 Транзакції'!$C$5:$C$3623,"&gt;="&amp;EDATE(DATEVALUE(C278&amp;"-01"),3),'📋 Транзакції'!$C$5:$C$3623,"&lt;"&amp;EDATE(DATEVALUE(C278&amp;"-01"),4))&gt;0,1,0)</f>
        <v>1</v>
      </c>
      <c r="K278" s="37">
        <f>IF(COUNTIFS('📋 Транзакції'!$B$5:$B$3623,A278,'📋 Транзакції'!$C$5:$C$3623,"&gt;="&amp;EDATE(DATEVALUE(C278&amp;"-01"),4),'📋 Транзакції'!$C$5:$C$3623,"&lt;"&amp;EDATE(DATEVALUE(C278&amp;"-01"),5))&gt;0,1,0)</f>
        <v>1</v>
      </c>
      <c r="L278" s="37">
        <f>IF(COUNTIFS('📋 Транзакції'!$B$5:$B$3623,A278,'📋 Транзакції'!$C$5:$C$3623,"&gt;="&amp;EDATE(DATEVALUE(C278&amp;"-01"),5),'📋 Транзакції'!$C$5:$C$3623,"&lt;"&amp;EDATE(DATEVALUE(C278&amp;"-01"),6))&gt;0,1,0)</f>
        <v>1</v>
      </c>
      <c r="M278" s="37">
        <f>IF(COUNTIFS('📋 Транзакції'!$B$5:$B$3623,A278,'📋 Транзакції'!$C$5:$C$3623,"&gt;="&amp;EDATE(DATEVALUE(C278&amp;"-01"),6),'📋 Транзакції'!$C$5:$C$3623,"&lt;"&amp;EDATE(DATEVALUE(C278&amp;"-01"),7))&gt;0,1,0)</f>
        <v>1</v>
      </c>
      <c r="N278" s="37">
        <f>IF(COUNTIFS('📋 Транзакції'!$B$5:$B$3623,A278,'📋 Транзакції'!$C$5:$C$3623,"&gt;="&amp;EDATE(DATEVALUE(C278&amp;"-01"),7),'📋 Транзакції'!$C$5:$C$3623,"&lt;"&amp;EDATE(DATEVALUE(C278&amp;"-01"),8))&gt;0,1,0)</f>
        <v>0</v>
      </c>
      <c r="O278" s="37">
        <f>IF(COUNTIFS('📋 Транзакції'!$B$5:$B$3623,A278,'📋 Транзакції'!$C$5:$C$3623,"&gt;="&amp;EDATE(DATEVALUE(C278&amp;"-01"),8),'📋 Транзакції'!$C$5:$C$3623,"&lt;"&amp;EDATE(DATEVALUE(C278&amp;"-01"),9))&gt;0,1,0)</f>
        <v>0</v>
      </c>
      <c r="P278" s="37">
        <f>IF(COUNTIFS('📋 Транзакції'!$B$5:$B$3623,A278,'📋 Транзакції'!$C$5:$C$3623,"&gt;="&amp;EDATE(DATEVALUE(C278&amp;"-01"),9),'📋 Транзакції'!$C$5:$C$3623,"&lt;"&amp;EDATE(DATEVALUE(C278&amp;"-01"),10))&gt;0,1,0)</f>
        <v>0</v>
      </c>
      <c r="Q278" s="37">
        <f>IF(COUNTIFS('📋 Транзакції'!$B$5:$B$3623,A278,'📋 Транзакції'!$C$5:$C$3623,"&gt;="&amp;EDATE(DATEVALUE(C278&amp;"-01"),10),'📋 Транзакції'!$C$5:$C$3623,"&lt;"&amp;EDATE(DATEVALUE(C278&amp;"-01"),11))&gt;0,1,0)</f>
        <v>0</v>
      </c>
      <c r="R278" s="37">
        <f>IF(COUNTIFS('📋 Транзакції'!$B$5:$B$3623,A278,'📋 Транзакції'!$C$5:$C$3623,"&gt;="&amp;EDATE(DATEVALUE(C278&amp;"-01"),11),'📋 Транзакції'!$C$5:$C$3623,"&lt;"&amp;EDATE(DATEVALUE(C278&amp;"-01"),12))&gt;0,1,0)</f>
        <v>0</v>
      </c>
      <c r="S278" s="37">
        <f>SUMIFS('📋 Транзакції'!$F$5:$F$3623,'📋 Транзакції'!$B$5:$B$3623,A278,'📋 Транзакції'!$C$5:$C$3623,"&gt;="&amp;EDATE(DATEVALUE(C278&amp;"-01"),0),'📋 Транзакції'!$C$5:$C$3623,"&lt;"&amp;EDATE(DATEVALUE(C278&amp;"-01"),1))</f>
        <v>19.99</v>
      </c>
      <c r="T278" s="37">
        <f>SUMIFS('📋 Транзакції'!$F$5:$F$3623,'📋 Транзакції'!$B$5:$B$3623,A278,'📋 Транзакції'!$C$5:$C$3623,"&gt;="&amp;EDATE(DATEVALUE(C278&amp;"-01"),1),'📋 Транзакції'!$C$5:$C$3623,"&lt;"&amp;EDATE(DATEVALUE(C278&amp;"-01"),2))</f>
        <v>19.99</v>
      </c>
      <c r="U278" s="37">
        <f>SUMIFS('📋 Транзакції'!$F$5:$F$3623,'📋 Транзакції'!$B$5:$B$3623,A278,'📋 Транзакції'!$C$5:$C$3623,"&gt;="&amp;EDATE(DATEVALUE(C278&amp;"-01"),2),'📋 Транзакції'!$C$5:$C$3623,"&lt;"&amp;EDATE(DATEVALUE(C278&amp;"-01"),3))</f>
        <v>19.99</v>
      </c>
      <c r="V278" s="37">
        <f>SUMIFS('📋 Транзакції'!$F$5:$F$3623,'📋 Транзакції'!$B$5:$B$3623,A278,'📋 Транзакції'!$C$5:$C$3623,"&gt;="&amp;EDATE(DATEVALUE(C278&amp;"-01"),3),'📋 Транзакції'!$C$5:$C$3623,"&lt;"&amp;EDATE(DATEVALUE(C278&amp;"-01"),4))</f>
        <v>19.99</v>
      </c>
      <c r="W278" s="37">
        <f>SUMIFS('📋 Транзакції'!$F$5:$F$3623,'📋 Транзакції'!$B$5:$B$3623,A278,'📋 Транзакції'!$C$5:$C$3623,"&gt;="&amp;EDATE(DATEVALUE(C278&amp;"-01"),4),'📋 Транзакції'!$C$5:$C$3623,"&lt;"&amp;EDATE(DATEVALUE(C278&amp;"-01"),5))</f>
        <v>19.99</v>
      </c>
      <c r="X278" s="37">
        <f>SUMIFS('📋 Транзакції'!$F$5:$F$3623,'📋 Транзакції'!$B$5:$B$3623,A278,'📋 Транзакції'!$C$5:$C$3623,"&gt;="&amp;EDATE(DATEVALUE(C278&amp;"-01"),5),'📋 Транзакції'!$C$5:$C$3623,"&lt;"&amp;EDATE(DATEVALUE(C278&amp;"-01"),6))</f>
        <v>19.99</v>
      </c>
      <c r="Y278" s="37">
        <f>SUMIFS('📋 Транзакції'!$F$5:$F$3623,'📋 Транзакції'!$B$5:$B$3623,A278,'📋 Транзакції'!$C$5:$C$3623,"&gt;="&amp;EDATE(DATEVALUE(C278&amp;"-01"),6),'📋 Транзакції'!$C$5:$C$3623,"&lt;"&amp;EDATE(DATEVALUE(C278&amp;"-01"),7))</f>
        <v>19.99</v>
      </c>
      <c r="Z278" s="37">
        <f>SUMIFS('📋 Транзакції'!$F$5:$F$3623,'📋 Транзакції'!$B$5:$B$3623,A278,'📋 Транзакції'!$C$5:$C$3623,"&gt;="&amp;EDATE(DATEVALUE(C278&amp;"-01"),7),'📋 Транзакції'!$C$5:$C$3623,"&lt;"&amp;EDATE(DATEVALUE(C278&amp;"-01"),8))</f>
        <v>0</v>
      </c>
      <c r="AA278" s="37">
        <f>SUMIFS('📋 Транзакції'!$F$5:$F$3623,'📋 Транзакції'!$B$5:$B$3623,A278,'📋 Транзакції'!$C$5:$C$3623,"&gt;="&amp;EDATE(DATEVALUE(C278&amp;"-01"),8),'📋 Транзакції'!$C$5:$C$3623,"&lt;"&amp;EDATE(DATEVALUE(C278&amp;"-01"),9))</f>
        <v>0</v>
      </c>
      <c r="AB278" s="37">
        <f>SUMIFS('📋 Транзакції'!$F$5:$F$3623,'📋 Транзакції'!$B$5:$B$3623,A278,'📋 Транзакції'!$C$5:$C$3623,"&gt;="&amp;EDATE(DATEVALUE(C278&amp;"-01"),9),'📋 Транзакції'!$C$5:$C$3623,"&lt;"&amp;EDATE(DATEVALUE(C278&amp;"-01"),10))</f>
        <v>0</v>
      </c>
      <c r="AC278" s="37">
        <f>SUMIFS('📋 Транзакції'!$F$5:$F$3623,'📋 Транзакції'!$B$5:$B$3623,A278,'📋 Транзакції'!$C$5:$C$3623,"&gt;="&amp;EDATE(DATEVALUE(C278&amp;"-01"),10),'📋 Транзакції'!$C$5:$C$3623,"&lt;"&amp;EDATE(DATEVALUE(C278&amp;"-01"),11))</f>
        <v>0</v>
      </c>
      <c r="AD278" s="37">
        <f>SUMIFS('📋 Транзакції'!$F$5:$F$3623,'📋 Транзакції'!$B$5:$B$3623,A278,'📋 Транзакції'!$C$5:$C$3623,"&gt;="&amp;EDATE(DATEVALUE(C278&amp;"-01"),11),'📋 Транзакції'!$C$5:$C$3623,"&lt;"&amp;EDATE(DATEVALUE(C278&amp;"-01"),12))</f>
        <v>0</v>
      </c>
    </row>
    <row r="279" ht="15.75" customHeight="1">
      <c r="A279" s="33" t="str">
        <f>'📋 Реєстрації'!A279:A880</f>
        <v>U0131</v>
      </c>
      <c r="B279" s="34">
        <f t="array" ref="B279">INDEX('📋 Транзакції'!$C$5:$C$3623,MATCH(A279,'📋 Транзакції'!$B$5:$B$3623,0))</f>
        <v>45545</v>
      </c>
      <c r="C279" s="35" t="str">
        <f t="shared" si="1"/>
        <v>2024-09</v>
      </c>
      <c r="D279" s="36">
        <f>COUNTIF('📋 Транзакції'!$B$5:$B$3623,A279)</f>
        <v>8</v>
      </c>
      <c r="E279" s="36">
        <f>SUMIF('📋 Транзакції'!$B$5:$B$3623,A279,'📋 Транзакції'!$F$5:$F$3623)</f>
        <v>139.93</v>
      </c>
      <c r="F279" s="35">
        <f>INT($A$1-MAXIFS('📋 Транзакції'!$C$5:$C$3623,'📋 Транзакції'!$B$5:$B$3623,A279))</f>
        <v>15</v>
      </c>
      <c r="G279" s="37">
        <f>IF(COUNTIFS('📋 Транзакції'!$B$5:$B$3623,A279,'📋 Транзакції'!$C$5:$C$3623,"&gt;="&amp;EDATE(DATEVALUE(C279&amp;"-01"),0),'📋 Транзакції'!$C$5:$C$3623,"&lt;"&amp;EDATE(DATEVALUE(C279&amp;"-01"),1))&gt;0,1,0)</f>
        <v>1</v>
      </c>
      <c r="H279" s="37">
        <f>IF(COUNTIFS('📋 Транзакції'!$B$5:$B$3623,A279,'📋 Транзакції'!$C$5:$C$3623,"&gt;="&amp;EDATE(DATEVALUE(C279&amp;"-01"),1),'📋 Транзакції'!$C$5:$C$3623,"&lt;"&amp;EDATE(DATEVALUE(C279&amp;"-01"),2))&gt;0,1,0)</f>
        <v>1</v>
      </c>
      <c r="I279" s="37">
        <f>IF(COUNTIFS('📋 Транзакції'!$B$5:$B$3623,A279,'📋 Транзакції'!$C$5:$C$3623,"&gt;="&amp;EDATE(DATEVALUE(C279&amp;"-01"),2),'📋 Транзакції'!$C$5:$C$3623,"&lt;"&amp;EDATE(DATEVALUE(C279&amp;"-01"),3))&gt;0,1,0)</f>
        <v>1</v>
      </c>
      <c r="J279" s="37">
        <f>IF(COUNTIFS('📋 Транзакції'!$B$5:$B$3623,A279,'📋 Транзакції'!$C$5:$C$3623,"&gt;="&amp;EDATE(DATEVALUE(C279&amp;"-01"),3),'📋 Транзакції'!$C$5:$C$3623,"&lt;"&amp;EDATE(DATEVALUE(C279&amp;"-01"),4))&gt;0,1,0)</f>
        <v>1</v>
      </c>
      <c r="K279" s="37">
        <f>IF(COUNTIFS('📋 Транзакції'!$B$5:$B$3623,A279,'📋 Транзакції'!$C$5:$C$3623,"&gt;="&amp;EDATE(DATEVALUE(C279&amp;"-01"),4),'📋 Транзакції'!$C$5:$C$3623,"&lt;"&amp;EDATE(DATEVALUE(C279&amp;"-01"),5))&gt;0,1,0)</f>
        <v>1</v>
      </c>
      <c r="L279" s="37">
        <f>IF(COUNTIFS('📋 Транзакції'!$B$5:$B$3623,A279,'📋 Транзакції'!$C$5:$C$3623,"&gt;="&amp;EDATE(DATEVALUE(C279&amp;"-01"),5),'📋 Транзакції'!$C$5:$C$3623,"&lt;"&amp;EDATE(DATEVALUE(C279&amp;"-01"),6))&gt;0,1,0)</f>
        <v>1</v>
      </c>
      <c r="M279" s="37">
        <f>IF(COUNTIFS('📋 Транзакції'!$B$5:$B$3623,A279,'📋 Транзакції'!$C$5:$C$3623,"&gt;="&amp;EDATE(DATEVALUE(C279&amp;"-01"),6),'📋 Транзакції'!$C$5:$C$3623,"&lt;"&amp;EDATE(DATEVALUE(C279&amp;"-01"),7))&gt;0,1,0)</f>
        <v>1</v>
      </c>
      <c r="N279" s="37">
        <f>IF(COUNTIFS('📋 Транзакції'!$B$5:$B$3623,A279,'📋 Транзакції'!$C$5:$C$3623,"&gt;="&amp;EDATE(DATEVALUE(C279&amp;"-01"),7),'📋 Транзакції'!$C$5:$C$3623,"&lt;"&amp;EDATE(DATEVALUE(C279&amp;"-01"),8))&gt;0,1,0)</f>
        <v>0</v>
      </c>
      <c r="O279" s="37">
        <f>IF(COUNTIFS('📋 Транзакції'!$B$5:$B$3623,A279,'📋 Транзакції'!$C$5:$C$3623,"&gt;="&amp;EDATE(DATEVALUE(C279&amp;"-01"),8),'📋 Транзакції'!$C$5:$C$3623,"&lt;"&amp;EDATE(DATEVALUE(C279&amp;"-01"),9))&gt;0,1,0)</f>
        <v>0</v>
      </c>
      <c r="P279" s="37">
        <f>IF(COUNTIFS('📋 Транзакції'!$B$5:$B$3623,A279,'📋 Транзакції'!$C$5:$C$3623,"&gt;="&amp;EDATE(DATEVALUE(C279&amp;"-01"),9),'📋 Транзакції'!$C$5:$C$3623,"&lt;"&amp;EDATE(DATEVALUE(C279&amp;"-01"),10))&gt;0,1,0)</f>
        <v>0</v>
      </c>
      <c r="Q279" s="37">
        <f>IF(COUNTIFS('📋 Транзакції'!$B$5:$B$3623,A279,'📋 Транзакції'!$C$5:$C$3623,"&gt;="&amp;EDATE(DATEVALUE(C279&amp;"-01"),10),'📋 Транзакції'!$C$5:$C$3623,"&lt;"&amp;EDATE(DATEVALUE(C279&amp;"-01"),11))&gt;0,1,0)</f>
        <v>0</v>
      </c>
      <c r="R279" s="37">
        <f>IF(COUNTIFS('📋 Транзакції'!$B$5:$B$3623,A279,'📋 Транзакції'!$C$5:$C$3623,"&gt;="&amp;EDATE(DATEVALUE(C279&amp;"-01"),11),'📋 Транзакції'!$C$5:$C$3623,"&lt;"&amp;EDATE(DATEVALUE(C279&amp;"-01"),12))&gt;0,1,0)</f>
        <v>0</v>
      </c>
      <c r="S279" s="37">
        <f>SUMIFS('📋 Транзакції'!$F$5:$F$3623,'📋 Транзакції'!$B$5:$B$3623,A279,'📋 Транзакції'!$C$5:$C$3623,"&gt;="&amp;EDATE(DATEVALUE(C279&amp;"-01"),0),'📋 Транзакції'!$C$5:$C$3623,"&lt;"&amp;EDATE(DATEVALUE(C279&amp;"-01"),1))</f>
        <v>19.99</v>
      </c>
      <c r="T279" s="37">
        <f>SUMIFS('📋 Транзакції'!$F$5:$F$3623,'📋 Транзакції'!$B$5:$B$3623,A279,'📋 Транзакції'!$C$5:$C$3623,"&gt;="&amp;EDATE(DATEVALUE(C279&amp;"-01"),1),'📋 Транзакції'!$C$5:$C$3623,"&lt;"&amp;EDATE(DATEVALUE(C279&amp;"-01"),2))</f>
        <v>19.99</v>
      </c>
      <c r="U279" s="37">
        <f>SUMIFS('📋 Транзакції'!$F$5:$F$3623,'📋 Транзакції'!$B$5:$B$3623,A279,'📋 Транзакції'!$C$5:$C$3623,"&gt;="&amp;EDATE(DATEVALUE(C279&amp;"-01"),2),'📋 Транзакції'!$C$5:$C$3623,"&lt;"&amp;EDATE(DATEVALUE(C279&amp;"-01"),3))</f>
        <v>19.99</v>
      </c>
      <c r="V279" s="37">
        <f>SUMIFS('📋 Транзакції'!$F$5:$F$3623,'📋 Транзакції'!$B$5:$B$3623,A279,'📋 Транзакції'!$C$5:$C$3623,"&gt;="&amp;EDATE(DATEVALUE(C279&amp;"-01"),3),'📋 Транзакції'!$C$5:$C$3623,"&lt;"&amp;EDATE(DATEVALUE(C279&amp;"-01"),4))</f>
        <v>19.99</v>
      </c>
      <c r="W279" s="37">
        <f>SUMIFS('📋 Транзакції'!$F$5:$F$3623,'📋 Транзакції'!$B$5:$B$3623,A279,'📋 Транзакції'!$C$5:$C$3623,"&gt;="&amp;EDATE(DATEVALUE(C279&amp;"-01"),4),'📋 Транзакції'!$C$5:$C$3623,"&lt;"&amp;EDATE(DATEVALUE(C279&amp;"-01"),5))</f>
        <v>19.99</v>
      </c>
      <c r="X279" s="37">
        <f>SUMIFS('📋 Транзакції'!$F$5:$F$3623,'📋 Транзакції'!$B$5:$B$3623,A279,'📋 Транзакції'!$C$5:$C$3623,"&gt;="&amp;EDATE(DATEVALUE(C279&amp;"-01"),5),'📋 Транзакції'!$C$5:$C$3623,"&lt;"&amp;EDATE(DATEVALUE(C279&amp;"-01"),6))</f>
        <v>19.99</v>
      </c>
      <c r="Y279" s="37">
        <f>SUMIFS('📋 Транзакції'!$F$5:$F$3623,'📋 Транзакції'!$B$5:$B$3623,A279,'📋 Транзакції'!$C$5:$C$3623,"&gt;="&amp;EDATE(DATEVALUE(C279&amp;"-01"),6),'📋 Транзакції'!$C$5:$C$3623,"&lt;"&amp;EDATE(DATEVALUE(C279&amp;"-01"),7))</f>
        <v>19.99</v>
      </c>
      <c r="Z279" s="37">
        <f>SUMIFS('📋 Транзакції'!$F$5:$F$3623,'📋 Транзакції'!$B$5:$B$3623,A279,'📋 Транзакції'!$C$5:$C$3623,"&gt;="&amp;EDATE(DATEVALUE(C279&amp;"-01"),7),'📋 Транзакції'!$C$5:$C$3623,"&lt;"&amp;EDATE(DATEVALUE(C279&amp;"-01"),8))</f>
        <v>0</v>
      </c>
      <c r="AA279" s="37">
        <f>SUMIFS('📋 Транзакції'!$F$5:$F$3623,'📋 Транзакції'!$B$5:$B$3623,A279,'📋 Транзакції'!$C$5:$C$3623,"&gt;="&amp;EDATE(DATEVALUE(C279&amp;"-01"),8),'📋 Транзакції'!$C$5:$C$3623,"&lt;"&amp;EDATE(DATEVALUE(C279&amp;"-01"),9))</f>
        <v>0</v>
      </c>
      <c r="AB279" s="37">
        <f>SUMIFS('📋 Транзакції'!$F$5:$F$3623,'📋 Транзакції'!$B$5:$B$3623,A279,'📋 Транзакції'!$C$5:$C$3623,"&gt;="&amp;EDATE(DATEVALUE(C279&amp;"-01"),9),'📋 Транзакції'!$C$5:$C$3623,"&lt;"&amp;EDATE(DATEVALUE(C279&amp;"-01"),10))</f>
        <v>0</v>
      </c>
      <c r="AC279" s="37">
        <f>SUMIFS('📋 Транзакції'!$F$5:$F$3623,'📋 Транзакції'!$B$5:$B$3623,A279,'📋 Транзакції'!$C$5:$C$3623,"&gt;="&amp;EDATE(DATEVALUE(C279&amp;"-01"),10),'📋 Транзакції'!$C$5:$C$3623,"&lt;"&amp;EDATE(DATEVALUE(C279&amp;"-01"),11))</f>
        <v>0</v>
      </c>
      <c r="AD279" s="37">
        <f>SUMIFS('📋 Транзакції'!$F$5:$F$3623,'📋 Транзакції'!$B$5:$B$3623,A279,'📋 Транзакції'!$C$5:$C$3623,"&gt;="&amp;EDATE(DATEVALUE(C279&amp;"-01"),11),'📋 Транзакції'!$C$5:$C$3623,"&lt;"&amp;EDATE(DATEVALUE(C279&amp;"-01"),12))</f>
        <v>0</v>
      </c>
    </row>
    <row r="280" ht="15.75" customHeight="1">
      <c r="A280" s="33" t="str">
        <f>'📋 Реєстрації'!A280:A881</f>
        <v>U0098</v>
      </c>
      <c r="B280" s="34">
        <f t="array" ref="B280">INDEX('📋 Транзакції'!$C$5:$C$3623,MATCH(A280,'📋 Транзакції'!$B$5:$B$3623,0))</f>
        <v>45546</v>
      </c>
      <c r="C280" s="35" t="str">
        <f t="shared" si="1"/>
        <v>2024-09</v>
      </c>
      <c r="D280" s="36">
        <f>COUNTIF('📋 Транзакції'!$B$5:$B$3623,A280)</f>
        <v>8</v>
      </c>
      <c r="E280" s="36">
        <f>SUMIF('📋 Транзакції'!$B$5:$B$3623,A280,'📋 Транзакції'!$F$5:$F$3623)</f>
        <v>139.93</v>
      </c>
      <c r="F280" s="35">
        <f>INT($A$1-MAXIFS('📋 Транзакції'!$C$5:$C$3623,'📋 Транзакції'!$B$5:$B$3623,A280))</f>
        <v>14</v>
      </c>
      <c r="G280" s="37">
        <f>IF(COUNTIFS('📋 Транзакції'!$B$5:$B$3623,A280,'📋 Транзакції'!$C$5:$C$3623,"&gt;="&amp;EDATE(DATEVALUE(C280&amp;"-01"),0),'📋 Транзакції'!$C$5:$C$3623,"&lt;"&amp;EDATE(DATEVALUE(C280&amp;"-01"),1))&gt;0,1,0)</f>
        <v>1</v>
      </c>
      <c r="H280" s="37">
        <f>IF(COUNTIFS('📋 Транзакції'!$B$5:$B$3623,A280,'📋 Транзакції'!$C$5:$C$3623,"&gt;="&amp;EDATE(DATEVALUE(C280&amp;"-01"),1),'📋 Транзакції'!$C$5:$C$3623,"&lt;"&amp;EDATE(DATEVALUE(C280&amp;"-01"),2))&gt;0,1,0)</f>
        <v>1</v>
      </c>
      <c r="I280" s="37">
        <f>IF(COUNTIFS('📋 Транзакції'!$B$5:$B$3623,A280,'📋 Транзакції'!$C$5:$C$3623,"&gt;="&amp;EDATE(DATEVALUE(C280&amp;"-01"),2),'📋 Транзакції'!$C$5:$C$3623,"&lt;"&amp;EDATE(DATEVALUE(C280&amp;"-01"),3))&gt;0,1,0)</f>
        <v>1</v>
      </c>
      <c r="J280" s="37">
        <f>IF(COUNTIFS('📋 Транзакції'!$B$5:$B$3623,A280,'📋 Транзакції'!$C$5:$C$3623,"&gt;="&amp;EDATE(DATEVALUE(C280&amp;"-01"),3),'📋 Транзакції'!$C$5:$C$3623,"&lt;"&amp;EDATE(DATEVALUE(C280&amp;"-01"),4))&gt;0,1,0)</f>
        <v>1</v>
      </c>
      <c r="K280" s="37">
        <f>IF(COUNTIFS('📋 Транзакції'!$B$5:$B$3623,A280,'📋 Транзакції'!$C$5:$C$3623,"&gt;="&amp;EDATE(DATEVALUE(C280&amp;"-01"),4),'📋 Транзакції'!$C$5:$C$3623,"&lt;"&amp;EDATE(DATEVALUE(C280&amp;"-01"),5))&gt;0,1,0)</f>
        <v>1</v>
      </c>
      <c r="L280" s="37">
        <f>IF(COUNTIFS('📋 Транзакції'!$B$5:$B$3623,A280,'📋 Транзакції'!$C$5:$C$3623,"&gt;="&amp;EDATE(DATEVALUE(C280&amp;"-01"),5),'📋 Транзакції'!$C$5:$C$3623,"&lt;"&amp;EDATE(DATEVALUE(C280&amp;"-01"),6))&gt;0,1,0)</f>
        <v>1</v>
      </c>
      <c r="M280" s="37">
        <f>IF(COUNTIFS('📋 Транзакції'!$B$5:$B$3623,A280,'📋 Транзакції'!$C$5:$C$3623,"&gt;="&amp;EDATE(DATEVALUE(C280&amp;"-01"),6),'📋 Транзакції'!$C$5:$C$3623,"&lt;"&amp;EDATE(DATEVALUE(C280&amp;"-01"),7))&gt;0,1,0)</f>
        <v>1</v>
      </c>
      <c r="N280" s="37">
        <f>IF(COUNTIFS('📋 Транзакції'!$B$5:$B$3623,A280,'📋 Транзакції'!$C$5:$C$3623,"&gt;="&amp;EDATE(DATEVALUE(C280&amp;"-01"),7),'📋 Транзакції'!$C$5:$C$3623,"&lt;"&amp;EDATE(DATEVALUE(C280&amp;"-01"),8))&gt;0,1,0)</f>
        <v>0</v>
      </c>
      <c r="O280" s="37">
        <f>IF(COUNTIFS('📋 Транзакції'!$B$5:$B$3623,A280,'📋 Транзакції'!$C$5:$C$3623,"&gt;="&amp;EDATE(DATEVALUE(C280&amp;"-01"),8),'📋 Транзакції'!$C$5:$C$3623,"&lt;"&amp;EDATE(DATEVALUE(C280&amp;"-01"),9))&gt;0,1,0)</f>
        <v>0</v>
      </c>
      <c r="P280" s="37">
        <f>IF(COUNTIFS('📋 Транзакції'!$B$5:$B$3623,A280,'📋 Транзакції'!$C$5:$C$3623,"&gt;="&amp;EDATE(DATEVALUE(C280&amp;"-01"),9),'📋 Транзакції'!$C$5:$C$3623,"&lt;"&amp;EDATE(DATEVALUE(C280&amp;"-01"),10))&gt;0,1,0)</f>
        <v>0</v>
      </c>
      <c r="Q280" s="37">
        <f>IF(COUNTIFS('📋 Транзакції'!$B$5:$B$3623,A280,'📋 Транзакції'!$C$5:$C$3623,"&gt;="&amp;EDATE(DATEVALUE(C280&amp;"-01"),10),'📋 Транзакції'!$C$5:$C$3623,"&lt;"&amp;EDATE(DATEVALUE(C280&amp;"-01"),11))&gt;0,1,0)</f>
        <v>0</v>
      </c>
      <c r="R280" s="37">
        <f>IF(COUNTIFS('📋 Транзакції'!$B$5:$B$3623,A280,'📋 Транзакції'!$C$5:$C$3623,"&gt;="&amp;EDATE(DATEVALUE(C280&amp;"-01"),11),'📋 Транзакції'!$C$5:$C$3623,"&lt;"&amp;EDATE(DATEVALUE(C280&amp;"-01"),12))&gt;0,1,0)</f>
        <v>0</v>
      </c>
      <c r="S280" s="37">
        <f>SUMIFS('📋 Транзакції'!$F$5:$F$3623,'📋 Транзакції'!$B$5:$B$3623,A280,'📋 Транзакції'!$C$5:$C$3623,"&gt;="&amp;EDATE(DATEVALUE(C280&amp;"-01"),0),'📋 Транзакції'!$C$5:$C$3623,"&lt;"&amp;EDATE(DATEVALUE(C280&amp;"-01"),1))</f>
        <v>19.99</v>
      </c>
      <c r="T280" s="37">
        <f>SUMIFS('📋 Транзакції'!$F$5:$F$3623,'📋 Транзакції'!$B$5:$B$3623,A280,'📋 Транзакції'!$C$5:$C$3623,"&gt;="&amp;EDATE(DATEVALUE(C280&amp;"-01"),1),'📋 Транзакції'!$C$5:$C$3623,"&lt;"&amp;EDATE(DATEVALUE(C280&amp;"-01"),2))</f>
        <v>19.99</v>
      </c>
      <c r="U280" s="37">
        <f>SUMIFS('📋 Транзакції'!$F$5:$F$3623,'📋 Транзакції'!$B$5:$B$3623,A280,'📋 Транзакції'!$C$5:$C$3623,"&gt;="&amp;EDATE(DATEVALUE(C280&amp;"-01"),2),'📋 Транзакції'!$C$5:$C$3623,"&lt;"&amp;EDATE(DATEVALUE(C280&amp;"-01"),3))</f>
        <v>19.99</v>
      </c>
      <c r="V280" s="37">
        <f>SUMIFS('📋 Транзакції'!$F$5:$F$3623,'📋 Транзакції'!$B$5:$B$3623,A280,'📋 Транзакції'!$C$5:$C$3623,"&gt;="&amp;EDATE(DATEVALUE(C280&amp;"-01"),3),'📋 Транзакції'!$C$5:$C$3623,"&lt;"&amp;EDATE(DATEVALUE(C280&amp;"-01"),4))</f>
        <v>19.99</v>
      </c>
      <c r="W280" s="37">
        <f>SUMIFS('📋 Транзакції'!$F$5:$F$3623,'📋 Транзакції'!$B$5:$B$3623,A280,'📋 Транзакції'!$C$5:$C$3623,"&gt;="&amp;EDATE(DATEVALUE(C280&amp;"-01"),4),'📋 Транзакції'!$C$5:$C$3623,"&lt;"&amp;EDATE(DATEVALUE(C280&amp;"-01"),5))</f>
        <v>19.99</v>
      </c>
      <c r="X280" s="37">
        <f>SUMIFS('📋 Транзакції'!$F$5:$F$3623,'📋 Транзакції'!$B$5:$B$3623,A280,'📋 Транзакції'!$C$5:$C$3623,"&gt;="&amp;EDATE(DATEVALUE(C280&amp;"-01"),5),'📋 Транзакції'!$C$5:$C$3623,"&lt;"&amp;EDATE(DATEVALUE(C280&amp;"-01"),6))</f>
        <v>19.99</v>
      </c>
      <c r="Y280" s="37">
        <f>SUMIFS('📋 Транзакції'!$F$5:$F$3623,'📋 Транзакції'!$B$5:$B$3623,A280,'📋 Транзакції'!$C$5:$C$3623,"&gt;="&amp;EDATE(DATEVALUE(C280&amp;"-01"),6),'📋 Транзакції'!$C$5:$C$3623,"&lt;"&amp;EDATE(DATEVALUE(C280&amp;"-01"),7))</f>
        <v>19.99</v>
      </c>
      <c r="Z280" s="37">
        <f>SUMIFS('📋 Транзакції'!$F$5:$F$3623,'📋 Транзакції'!$B$5:$B$3623,A280,'📋 Транзакції'!$C$5:$C$3623,"&gt;="&amp;EDATE(DATEVALUE(C280&amp;"-01"),7),'📋 Транзакції'!$C$5:$C$3623,"&lt;"&amp;EDATE(DATEVALUE(C280&amp;"-01"),8))</f>
        <v>0</v>
      </c>
      <c r="AA280" s="37">
        <f>SUMIFS('📋 Транзакції'!$F$5:$F$3623,'📋 Транзакції'!$B$5:$B$3623,A280,'📋 Транзакції'!$C$5:$C$3623,"&gt;="&amp;EDATE(DATEVALUE(C280&amp;"-01"),8),'📋 Транзакції'!$C$5:$C$3623,"&lt;"&amp;EDATE(DATEVALUE(C280&amp;"-01"),9))</f>
        <v>0</v>
      </c>
      <c r="AB280" s="37">
        <f>SUMIFS('📋 Транзакції'!$F$5:$F$3623,'📋 Транзакції'!$B$5:$B$3623,A280,'📋 Транзакції'!$C$5:$C$3623,"&gt;="&amp;EDATE(DATEVALUE(C280&amp;"-01"),9),'📋 Транзакції'!$C$5:$C$3623,"&lt;"&amp;EDATE(DATEVALUE(C280&amp;"-01"),10))</f>
        <v>0</v>
      </c>
      <c r="AC280" s="37">
        <f>SUMIFS('📋 Транзакції'!$F$5:$F$3623,'📋 Транзакції'!$B$5:$B$3623,A280,'📋 Транзакції'!$C$5:$C$3623,"&gt;="&amp;EDATE(DATEVALUE(C280&amp;"-01"),10),'📋 Транзакції'!$C$5:$C$3623,"&lt;"&amp;EDATE(DATEVALUE(C280&amp;"-01"),11))</f>
        <v>0</v>
      </c>
      <c r="AD280" s="37">
        <f>SUMIFS('📋 Транзакції'!$F$5:$F$3623,'📋 Транзакції'!$B$5:$B$3623,A280,'📋 Транзакції'!$C$5:$C$3623,"&gt;="&amp;EDATE(DATEVALUE(C280&amp;"-01"),11),'📋 Транзакції'!$C$5:$C$3623,"&lt;"&amp;EDATE(DATEVALUE(C280&amp;"-01"),12))</f>
        <v>0</v>
      </c>
    </row>
    <row r="281" ht="15.75" customHeight="1">
      <c r="A281" s="33" t="str">
        <f>'📋 Реєстрації'!A281:A882</f>
        <v>U0287</v>
      </c>
      <c r="B281" s="34">
        <f t="array" ref="B281">INDEX('📋 Транзакції'!$C$5:$C$3623,MATCH(A281,'📋 Транзакції'!$B$5:$B$3623,0))</f>
        <v>45547</v>
      </c>
      <c r="C281" s="35" t="str">
        <f t="shared" si="1"/>
        <v>2024-09</v>
      </c>
      <c r="D281" s="36">
        <f>COUNTIF('📋 Транзакції'!$B$5:$B$3623,A281)</f>
        <v>8</v>
      </c>
      <c r="E281" s="36">
        <f>SUMIF('📋 Транзакції'!$B$5:$B$3623,A281,'📋 Транзакції'!$F$5:$F$3623)</f>
        <v>139.93</v>
      </c>
      <c r="F281" s="35">
        <f>INT($A$1-MAXIFS('📋 Транзакції'!$C$5:$C$3623,'📋 Транзакції'!$B$5:$B$3623,A281))</f>
        <v>13</v>
      </c>
      <c r="G281" s="37">
        <f>IF(COUNTIFS('📋 Транзакції'!$B$5:$B$3623,A281,'📋 Транзакції'!$C$5:$C$3623,"&gt;="&amp;EDATE(DATEVALUE(C281&amp;"-01"),0),'📋 Транзакції'!$C$5:$C$3623,"&lt;"&amp;EDATE(DATEVALUE(C281&amp;"-01"),1))&gt;0,1,0)</f>
        <v>1</v>
      </c>
      <c r="H281" s="37">
        <f>IF(COUNTIFS('📋 Транзакції'!$B$5:$B$3623,A281,'📋 Транзакції'!$C$5:$C$3623,"&gt;="&amp;EDATE(DATEVALUE(C281&amp;"-01"),1),'📋 Транзакції'!$C$5:$C$3623,"&lt;"&amp;EDATE(DATEVALUE(C281&amp;"-01"),2))&gt;0,1,0)</f>
        <v>1</v>
      </c>
      <c r="I281" s="37">
        <f>IF(COUNTIFS('📋 Транзакції'!$B$5:$B$3623,A281,'📋 Транзакції'!$C$5:$C$3623,"&gt;="&amp;EDATE(DATEVALUE(C281&amp;"-01"),2),'📋 Транзакції'!$C$5:$C$3623,"&lt;"&amp;EDATE(DATEVALUE(C281&amp;"-01"),3))&gt;0,1,0)</f>
        <v>1</v>
      </c>
      <c r="J281" s="37">
        <f>IF(COUNTIFS('📋 Транзакції'!$B$5:$B$3623,A281,'📋 Транзакції'!$C$5:$C$3623,"&gt;="&amp;EDATE(DATEVALUE(C281&amp;"-01"),3),'📋 Транзакції'!$C$5:$C$3623,"&lt;"&amp;EDATE(DATEVALUE(C281&amp;"-01"),4))&gt;0,1,0)</f>
        <v>1</v>
      </c>
      <c r="K281" s="37">
        <f>IF(COUNTIFS('📋 Транзакції'!$B$5:$B$3623,A281,'📋 Транзакції'!$C$5:$C$3623,"&gt;="&amp;EDATE(DATEVALUE(C281&amp;"-01"),4),'📋 Транзакції'!$C$5:$C$3623,"&lt;"&amp;EDATE(DATEVALUE(C281&amp;"-01"),5))&gt;0,1,0)</f>
        <v>1</v>
      </c>
      <c r="L281" s="37">
        <f>IF(COUNTIFS('📋 Транзакції'!$B$5:$B$3623,A281,'📋 Транзакції'!$C$5:$C$3623,"&gt;="&amp;EDATE(DATEVALUE(C281&amp;"-01"),5),'📋 Транзакції'!$C$5:$C$3623,"&lt;"&amp;EDATE(DATEVALUE(C281&amp;"-01"),6))&gt;0,1,0)</f>
        <v>1</v>
      </c>
      <c r="M281" s="37">
        <f>IF(COUNTIFS('📋 Транзакції'!$B$5:$B$3623,A281,'📋 Транзакції'!$C$5:$C$3623,"&gt;="&amp;EDATE(DATEVALUE(C281&amp;"-01"),6),'📋 Транзакції'!$C$5:$C$3623,"&lt;"&amp;EDATE(DATEVALUE(C281&amp;"-01"),7))&gt;0,1,0)</f>
        <v>1</v>
      </c>
      <c r="N281" s="37">
        <f>IF(COUNTIFS('📋 Транзакції'!$B$5:$B$3623,A281,'📋 Транзакції'!$C$5:$C$3623,"&gt;="&amp;EDATE(DATEVALUE(C281&amp;"-01"),7),'📋 Транзакції'!$C$5:$C$3623,"&lt;"&amp;EDATE(DATEVALUE(C281&amp;"-01"),8))&gt;0,1,0)</f>
        <v>0</v>
      </c>
      <c r="O281" s="37">
        <f>IF(COUNTIFS('📋 Транзакції'!$B$5:$B$3623,A281,'📋 Транзакції'!$C$5:$C$3623,"&gt;="&amp;EDATE(DATEVALUE(C281&amp;"-01"),8),'📋 Транзакції'!$C$5:$C$3623,"&lt;"&amp;EDATE(DATEVALUE(C281&amp;"-01"),9))&gt;0,1,0)</f>
        <v>0</v>
      </c>
      <c r="P281" s="37">
        <f>IF(COUNTIFS('📋 Транзакції'!$B$5:$B$3623,A281,'📋 Транзакції'!$C$5:$C$3623,"&gt;="&amp;EDATE(DATEVALUE(C281&amp;"-01"),9),'📋 Транзакції'!$C$5:$C$3623,"&lt;"&amp;EDATE(DATEVALUE(C281&amp;"-01"),10))&gt;0,1,0)</f>
        <v>0</v>
      </c>
      <c r="Q281" s="37">
        <f>IF(COUNTIFS('📋 Транзакції'!$B$5:$B$3623,A281,'📋 Транзакції'!$C$5:$C$3623,"&gt;="&amp;EDATE(DATEVALUE(C281&amp;"-01"),10),'📋 Транзакції'!$C$5:$C$3623,"&lt;"&amp;EDATE(DATEVALUE(C281&amp;"-01"),11))&gt;0,1,0)</f>
        <v>0</v>
      </c>
      <c r="R281" s="37">
        <f>IF(COUNTIFS('📋 Транзакції'!$B$5:$B$3623,A281,'📋 Транзакції'!$C$5:$C$3623,"&gt;="&amp;EDATE(DATEVALUE(C281&amp;"-01"),11),'📋 Транзакції'!$C$5:$C$3623,"&lt;"&amp;EDATE(DATEVALUE(C281&amp;"-01"),12))&gt;0,1,0)</f>
        <v>0</v>
      </c>
      <c r="S281" s="37">
        <f>SUMIFS('📋 Транзакції'!$F$5:$F$3623,'📋 Транзакції'!$B$5:$B$3623,A281,'📋 Транзакції'!$C$5:$C$3623,"&gt;="&amp;EDATE(DATEVALUE(C281&amp;"-01"),0),'📋 Транзакції'!$C$5:$C$3623,"&lt;"&amp;EDATE(DATEVALUE(C281&amp;"-01"),1))</f>
        <v>19.99</v>
      </c>
      <c r="T281" s="37">
        <f>SUMIFS('📋 Транзакції'!$F$5:$F$3623,'📋 Транзакції'!$B$5:$B$3623,A281,'📋 Транзакції'!$C$5:$C$3623,"&gt;="&amp;EDATE(DATEVALUE(C281&amp;"-01"),1),'📋 Транзакції'!$C$5:$C$3623,"&lt;"&amp;EDATE(DATEVALUE(C281&amp;"-01"),2))</f>
        <v>19.99</v>
      </c>
      <c r="U281" s="37">
        <f>SUMIFS('📋 Транзакції'!$F$5:$F$3623,'📋 Транзакції'!$B$5:$B$3623,A281,'📋 Транзакції'!$C$5:$C$3623,"&gt;="&amp;EDATE(DATEVALUE(C281&amp;"-01"),2),'📋 Транзакції'!$C$5:$C$3623,"&lt;"&amp;EDATE(DATEVALUE(C281&amp;"-01"),3))</f>
        <v>19.99</v>
      </c>
      <c r="V281" s="37">
        <f>SUMIFS('📋 Транзакції'!$F$5:$F$3623,'📋 Транзакції'!$B$5:$B$3623,A281,'📋 Транзакції'!$C$5:$C$3623,"&gt;="&amp;EDATE(DATEVALUE(C281&amp;"-01"),3),'📋 Транзакції'!$C$5:$C$3623,"&lt;"&amp;EDATE(DATEVALUE(C281&amp;"-01"),4))</f>
        <v>19.99</v>
      </c>
      <c r="W281" s="37">
        <f>SUMIFS('📋 Транзакції'!$F$5:$F$3623,'📋 Транзакції'!$B$5:$B$3623,A281,'📋 Транзакції'!$C$5:$C$3623,"&gt;="&amp;EDATE(DATEVALUE(C281&amp;"-01"),4),'📋 Транзакції'!$C$5:$C$3623,"&lt;"&amp;EDATE(DATEVALUE(C281&amp;"-01"),5))</f>
        <v>19.99</v>
      </c>
      <c r="X281" s="37">
        <f>SUMIFS('📋 Транзакції'!$F$5:$F$3623,'📋 Транзакції'!$B$5:$B$3623,A281,'📋 Транзакції'!$C$5:$C$3623,"&gt;="&amp;EDATE(DATEVALUE(C281&amp;"-01"),5),'📋 Транзакції'!$C$5:$C$3623,"&lt;"&amp;EDATE(DATEVALUE(C281&amp;"-01"),6))</f>
        <v>19.99</v>
      </c>
      <c r="Y281" s="37">
        <f>SUMIFS('📋 Транзакції'!$F$5:$F$3623,'📋 Транзакції'!$B$5:$B$3623,A281,'📋 Транзакції'!$C$5:$C$3623,"&gt;="&amp;EDATE(DATEVALUE(C281&amp;"-01"),6),'📋 Транзакції'!$C$5:$C$3623,"&lt;"&amp;EDATE(DATEVALUE(C281&amp;"-01"),7))</f>
        <v>19.99</v>
      </c>
      <c r="Z281" s="37">
        <f>SUMIFS('📋 Транзакції'!$F$5:$F$3623,'📋 Транзакції'!$B$5:$B$3623,A281,'📋 Транзакції'!$C$5:$C$3623,"&gt;="&amp;EDATE(DATEVALUE(C281&amp;"-01"),7),'📋 Транзакції'!$C$5:$C$3623,"&lt;"&amp;EDATE(DATEVALUE(C281&amp;"-01"),8))</f>
        <v>0</v>
      </c>
      <c r="AA281" s="37">
        <f>SUMIFS('📋 Транзакції'!$F$5:$F$3623,'📋 Транзакції'!$B$5:$B$3623,A281,'📋 Транзакції'!$C$5:$C$3623,"&gt;="&amp;EDATE(DATEVALUE(C281&amp;"-01"),8),'📋 Транзакції'!$C$5:$C$3623,"&lt;"&amp;EDATE(DATEVALUE(C281&amp;"-01"),9))</f>
        <v>0</v>
      </c>
      <c r="AB281" s="37">
        <f>SUMIFS('📋 Транзакції'!$F$5:$F$3623,'📋 Транзакції'!$B$5:$B$3623,A281,'📋 Транзакції'!$C$5:$C$3623,"&gt;="&amp;EDATE(DATEVALUE(C281&amp;"-01"),9),'📋 Транзакції'!$C$5:$C$3623,"&lt;"&amp;EDATE(DATEVALUE(C281&amp;"-01"),10))</f>
        <v>0</v>
      </c>
      <c r="AC281" s="37">
        <f>SUMIFS('📋 Транзакції'!$F$5:$F$3623,'📋 Транзакції'!$B$5:$B$3623,A281,'📋 Транзакції'!$C$5:$C$3623,"&gt;="&amp;EDATE(DATEVALUE(C281&amp;"-01"),10),'📋 Транзакції'!$C$5:$C$3623,"&lt;"&amp;EDATE(DATEVALUE(C281&amp;"-01"),11))</f>
        <v>0</v>
      </c>
      <c r="AD281" s="37">
        <f>SUMIFS('📋 Транзакції'!$F$5:$F$3623,'📋 Транзакції'!$B$5:$B$3623,A281,'📋 Транзакції'!$C$5:$C$3623,"&gt;="&amp;EDATE(DATEVALUE(C281&amp;"-01"),11),'📋 Транзакції'!$C$5:$C$3623,"&lt;"&amp;EDATE(DATEVALUE(C281&amp;"-01"),12))</f>
        <v>0</v>
      </c>
    </row>
    <row r="282" ht="15.75" customHeight="1">
      <c r="A282" s="33" t="str">
        <f>'📋 Реєстрації'!A282:A883</f>
        <v>U0416</v>
      </c>
      <c r="B282" s="34">
        <f t="array" ref="B282">INDEX('📋 Транзакції'!$C$5:$C$3623,MATCH(A282,'📋 Транзакції'!$B$5:$B$3623,0))</f>
        <v>45547</v>
      </c>
      <c r="C282" s="35" t="str">
        <f t="shared" si="1"/>
        <v>2024-09</v>
      </c>
      <c r="D282" s="36">
        <f>COUNTIF('📋 Транзакції'!$B$5:$B$3623,A282)</f>
        <v>2</v>
      </c>
      <c r="E282" s="36">
        <f>SUMIF('📋 Транзакції'!$B$5:$B$3623,A282,'📋 Транзакції'!$F$5:$F$3623)</f>
        <v>19.99</v>
      </c>
      <c r="F282" s="35">
        <f>INT($A$1-MAXIFS('📋 Транзакції'!$C$5:$C$3623,'📋 Транзакції'!$B$5:$B$3623,A282))</f>
        <v>193</v>
      </c>
      <c r="G282" s="37">
        <f>IF(COUNTIFS('📋 Транзакції'!$B$5:$B$3623,A282,'📋 Транзакції'!$C$5:$C$3623,"&gt;="&amp;EDATE(DATEVALUE(C282&amp;"-01"),0),'📋 Транзакції'!$C$5:$C$3623,"&lt;"&amp;EDATE(DATEVALUE(C282&amp;"-01"),1))&gt;0,1,0)</f>
        <v>1</v>
      </c>
      <c r="H282" s="37">
        <f>IF(COUNTIFS('📋 Транзакції'!$B$5:$B$3623,A282,'📋 Транзакції'!$C$5:$C$3623,"&gt;="&amp;EDATE(DATEVALUE(C282&amp;"-01"),1),'📋 Транзакції'!$C$5:$C$3623,"&lt;"&amp;EDATE(DATEVALUE(C282&amp;"-01"),2))&gt;0,1,0)</f>
        <v>0</v>
      </c>
      <c r="I282" s="37">
        <f>IF(COUNTIFS('📋 Транзакції'!$B$5:$B$3623,A282,'📋 Транзакції'!$C$5:$C$3623,"&gt;="&amp;EDATE(DATEVALUE(C282&amp;"-01"),2),'📋 Транзакції'!$C$5:$C$3623,"&lt;"&amp;EDATE(DATEVALUE(C282&amp;"-01"),3))&gt;0,1,0)</f>
        <v>0</v>
      </c>
      <c r="J282" s="37">
        <f>IF(COUNTIFS('📋 Транзакції'!$B$5:$B$3623,A282,'📋 Транзакції'!$C$5:$C$3623,"&gt;="&amp;EDATE(DATEVALUE(C282&amp;"-01"),3),'📋 Транзакції'!$C$5:$C$3623,"&lt;"&amp;EDATE(DATEVALUE(C282&amp;"-01"),4))&gt;0,1,0)</f>
        <v>0</v>
      </c>
      <c r="K282" s="37">
        <f>IF(COUNTIFS('📋 Транзакції'!$B$5:$B$3623,A282,'📋 Транзакції'!$C$5:$C$3623,"&gt;="&amp;EDATE(DATEVALUE(C282&amp;"-01"),4),'📋 Транзакції'!$C$5:$C$3623,"&lt;"&amp;EDATE(DATEVALUE(C282&amp;"-01"),5))&gt;0,1,0)</f>
        <v>0</v>
      </c>
      <c r="L282" s="37">
        <f>IF(COUNTIFS('📋 Транзакції'!$B$5:$B$3623,A282,'📋 Транзакції'!$C$5:$C$3623,"&gt;="&amp;EDATE(DATEVALUE(C282&amp;"-01"),5),'📋 Транзакції'!$C$5:$C$3623,"&lt;"&amp;EDATE(DATEVALUE(C282&amp;"-01"),6))&gt;0,1,0)</f>
        <v>0</v>
      </c>
      <c r="M282" s="37">
        <f>IF(COUNTIFS('📋 Транзакції'!$B$5:$B$3623,A282,'📋 Транзакції'!$C$5:$C$3623,"&gt;="&amp;EDATE(DATEVALUE(C282&amp;"-01"),6),'📋 Транзакції'!$C$5:$C$3623,"&lt;"&amp;EDATE(DATEVALUE(C282&amp;"-01"),7))&gt;0,1,0)</f>
        <v>0</v>
      </c>
      <c r="N282" s="37">
        <f>IF(COUNTIFS('📋 Транзакції'!$B$5:$B$3623,A282,'📋 Транзакції'!$C$5:$C$3623,"&gt;="&amp;EDATE(DATEVALUE(C282&amp;"-01"),7),'📋 Транзакції'!$C$5:$C$3623,"&lt;"&amp;EDATE(DATEVALUE(C282&amp;"-01"),8))&gt;0,1,0)</f>
        <v>0</v>
      </c>
      <c r="O282" s="37">
        <f>IF(COUNTIFS('📋 Транзакції'!$B$5:$B$3623,A282,'📋 Транзакції'!$C$5:$C$3623,"&gt;="&amp;EDATE(DATEVALUE(C282&amp;"-01"),8),'📋 Транзакції'!$C$5:$C$3623,"&lt;"&amp;EDATE(DATEVALUE(C282&amp;"-01"),9))&gt;0,1,0)</f>
        <v>0</v>
      </c>
      <c r="P282" s="37">
        <f>IF(COUNTIFS('📋 Транзакції'!$B$5:$B$3623,A282,'📋 Транзакції'!$C$5:$C$3623,"&gt;="&amp;EDATE(DATEVALUE(C282&amp;"-01"),9),'📋 Транзакції'!$C$5:$C$3623,"&lt;"&amp;EDATE(DATEVALUE(C282&amp;"-01"),10))&gt;0,1,0)</f>
        <v>0</v>
      </c>
      <c r="Q282" s="37">
        <f>IF(COUNTIFS('📋 Транзакції'!$B$5:$B$3623,A282,'📋 Транзакції'!$C$5:$C$3623,"&gt;="&amp;EDATE(DATEVALUE(C282&amp;"-01"),10),'📋 Транзакції'!$C$5:$C$3623,"&lt;"&amp;EDATE(DATEVALUE(C282&amp;"-01"),11))&gt;0,1,0)</f>
        <v>0</v>
      </c>
      <c r="R282" s="37">
        <f>IF(COUNTIFS('📋 Транзакції'!$B$5:$B$3623,A282,'📋 Транзакції'!$C$5:$C$3623,"&gt;="&amp;EDATE(DATEVALUE(C282&amp;"-01"),11),'📋 Транзакції'!$C$5:$C$3623,"&lt;"&amp;EDATE(DATEVALUE(C282&amp;"-01"),12))&gt;0,1,0)</f>
        <v>0</v>
      </c>
      <c r="S282" s="37">
        <f>SUMIFS('📋 Транзакції'!$F$5:$F$3623,'📋 Транзакції'!$B$5:$B$3623,A282,'📋 Транзакції'!$C$5:$C$3623,"&gt;="&amp;EDATE(DATEVALUE(C282&amp;"-01"),0),'📋 Транзакції'!$C$5:$C$3623,"&lt;"&amp;EDATE(DATEVALUE(C282&amp;"-01"),1))</f>
        <v>19.99</v>
      </c>
      <c r="T282" s="37">
        <f>SUMIFS('📋 Транзакції'!$F$5:$F$3623,'📋 Транзакції'!$B$5:$B$3623,A282,'📋 Транзакції'!$C$5:$C$3623,"&gt;="&amp;EDATE(DATEVALUE(C282&amp;"-01"),1),'📋 Транзакції'!$C$5:$C$3623,"&lt;"&amp;EDATE(DATEVALUE(C282&amp;"-01"),2))</f>
        <v>0</v>
      </c>
      <c r="U282" s="37">
        <f>SUMIFS('📋 Транзакції'!$F$5:$F$3623,'📋 Транзакції'!$B$5:$B$3623,A282,'📋 Транзакції'!$C$5:$C$3623,"&gt;="&amp;EDATE(DATEVALUE(C282&amp;"-01"),2),'📋 Транзакції'!$C$5:$C$3623,"&lt;"&amp;EDATE(DATEVALUE(C282&amp;"-01"),3))</f>
        <v>0</v>
      </c>
      <c r="V282" s="37">
        <f>SUMIFS('📋 Транзакції'!$F$5:$F$3623,'📋 Транзакції'!$B$5:$B$3623,A282,'📋 Транзакції'!$C$5:$C$3623,"&gt;="&amp;EDATE(DATEVALUE(C282&amp;"-01"),3),'📋 Транзакції'!$C$5:$C$3623,"&lt;"&amp;EDATE(DATEVALUE(C282&amp;"-01"),4))</f>
        <v>0</v>
      </c>
      <c r="W282" s="37">
        <f>SUMIFS('📋 Транзакції'!$F$5:$F$3623,'📋 Транзакції'!$B$5:$B$3623,A282,'📋 Транзакції'!$C$5:$C$3623,"&gt;="&amp;EDATE(DATEVALUE(C282&amp;"-01"),4),'📋 Транзакції'!$C$5:$C$3623,"&lt;"&amp;EDATE(DATEVALUE(C282&amp;"-01"),5))</f>
        <v>0</v>
      </c>
      <c r="X282" s="37">
        <f>SUMIFS('📋 Транзакції'!$F$5:$F$3623,'📋 Транзакції'!$B$5:$B$3623,A282,'📋 Транзакції'!$C$5:$C$3623,"&gt;="&amp;EDATE(DATEVALUE(C282&amp;"-01"),5),'📋 Транзакції'!$C$5:$C$3623,"&lt;"&amp;EDATE(DATEVALUE(C282&amp;"-01"),6))</f>
        <v>0</v>
      </c>
      <c r="Y282" s="37">
        <f>SUMIFS('📋 Транзакції'!$F$5:$F$3623,'📋 Транзакції'!$B$5:$B$3623,A282,'📋 Транзакції'!$C$5:$C$3623,"&gt;="&amp;EDATE(DATEVALUE(C282&amp;"-01"),6),'📋 Транзакції'!$C$5:$C$3623,"&lt;"&amp;EDATE(DATEVALUE(C282&amp;"-01"),7))</f>
        <v>0</v>
      </c>
      <c r="Z282" s="37">
        <f>SUMIFS('📋 Транзакції'!$F$5:$F$3623,'📋 Транзакції'!$B$5:$B$3623,A282,'📋 Транзакції'!$C$5:$C$3623,"&gt;="&amp;EDATE(DATEVALUE(C282&amp;"-01"),7),'📋 Транзакції'!$C$5:$C$3623,"&lt;"&amp;EDATE(DATEVALUE(C282&amp;"-01"),8))</f>
        <v>0</v>
      </c>
      <c r="AA282" s="37">
        <f>SUMIFS('📋 Транзакції'!$F$5:$F$3623,'📋 Транзакції'!$B$5:$B$3623,A282,'📋 Транзакції'!$C$5:$C$3623,"&gt;="&amp;EDATE(DATEVALUE(C282&amp;"-01"),8),'📋 Транзакції'!$C$5:$C$3623,"&lt;"&amp;EDATE(DATEVALUE(C282&amp;"-01"),9))</f>
        <v>0</v>
      </c>
      <c r="AB282" s="37">
        <f>SUMIFS('📋 Транзакції'!$F$5:$F$3623,'📋 Транзакції'!$B$5:$B$3623,A282,'📋 Транзакції'!$C$5:$C$3623,"&gt;="&amp;EDATE(DATEVALUE(C282&amp;"-01"),9),'📋 Транзакції'!$C$5:$C$3623,"&lt;"&amp;EDATE(DATEVALUE(C282&amp;"-01"),10))</f>
        <v>0</v>
      </c>
      <c r="AC282" s="37">
        <f>SUMIFS('📋 Транзакції'!$F$5:$F$3623,'📋 Транзакції'!$B$5:$B$3623,A282,'📋 Транзакції'!$C$5:$C$3623,"&gt;="&amp;EDATE(DATEVALUE(C282&amp;"-01"),10),'📋 Транзакції'!$C$5:$C$3623,"&lt;"&amp;EDATE(DATEVALUE(C282&amp;"-01"),11))</f>
        <v>0</v>
      </c>
      <c r="AD282" s="37">
        <f>SUMIFS('📋 Транзакції'!$F$5:$F$3623,'📋 Транзакції'!$B$5:$B$3623,A282,'📋 Транзакції'!$C$5:$C$3623,"&gt;="&amp;EDATE(DATEVALUE(C282&amp;"-01"),11),'📋 Транзакції'!$C$5:$C$3623,"&lt;"&amp;EDATE(DATEVALUE(C282&amp;"-01"),12))</f>
        <v>0</v>
      </c>
    </row>
    <row r="283" ht="15.75" customHeight="1">
      <c r="A283" s="33" t="str">
        <f>'📋 Реєстрації'!A283:A884</f>
        <v>U0809</v>
      </c>
      <c r="B283" s="34">
        <f t="array" ref="B283">INDEX('📋 Транзакції'!$C$5:$C$3623,MATCH(A283,'📋 Транзакції'!$B$5:$B$3623,0))</f>
        <v>45547</v>
      </c>
      <c r="C283" s="35" t="str">
        <f t="shared" si="1"/>
        <v>2024-09</v>
      </c>
      <c r="D283" s="36">
        <f>COUNTIF('📋 Транзакції'!$B$5:$B$3623,A283)</f>
        <v>4</v>
      </c>
      <c r="E283" s="36">
        <f>SUMIF('📋 Транзакції'!$B$5:$B$3623,A283,'📋 Транзакції'!$F$5:$F$3623)</f>
        <v>59.97</v>
      </c>
      <c r="F283" s="35">
        <f>INT($A$1-MAXIFS('📋 Транзакції'!$C$5:$C$3623,'📋 Транзакції'!$B$5:$B$3623,A283))</f>
        <v>133</v>
      </c>
      <c r="G283" s="37">
        <f>IF(COUNTIFS('📋 Транзакції'!$B$5:$B$3623,A283,'📋 Транзакції'!$C$5:$C$3623,"&gt;="&amp;EDATE(DATEVALUE(C283&amp;"-01"),0),'📋 Транзакції'!$C$5:$C$3623,"&lt;"&amp;EDATE(DATEVALUE(C283&amp;"-01"),1))&gt;0,1,0)</f>
        <v>1</v>
      </c>
      <c r="H283" s="37">
        <f>IF(COUNTIFS('📋 Транзакції'!$B$5:$B$3623,A283,'📋 Транзакції'!$C$5:$C$3623,"&gt;="&amp;EDATE(DATEVALUE(C283&amp;"-01"),1),'📋 Транзакції'!$C$5:$C$3623,"&lt;"&amp;EDATE(DATEVALUE(C283&amp;"-01"),2))&gt;0,1,0)</f>
        <v>1</v>
      </c>
      <c r="I283" s="37">
        <f>IF(COUNTIFS('📋 Транзакції'!$B$5:$B$3623,A283,'📋 Транзакції'!$C$5:$C$3623,"&gt;="&amp;EDATE(DATEVALUE(C283&amp;"-01"),2),'📋 Транзакції'!$C$5:$C$3623,"&lt;"&amp;EDATE(DATEVALUE(C283&amp;"-01"),3))&gt;0,1,0)</f>
        <v>1</v>
      </c>
      <c r="J283" s="37">
        <f>IF(COUNTIFS('📋 Транзакції'!$B$5:$B$3623,A283,'📋 Транзакції'!$C$5:$C$3623,"&gt;="&amp;EDATE(DATEVALUE(C283&amp;"-01"),3),'📋 Транзакції'!$C$5:$C$3623,"&lt;"&amp;EDATE(DATEVALUE(C283&amp;"-01"),4))&gt;0,1,0)</f>
        <v>0</v>
      </c>
      <c r="K283" s="37">
        <f>IF(COUNTIFS('📋 Транзакції'!$B$5:$B$3623,A283,'📋 Транзакції'!$C$5:$C$3623,"&gt;="&amp;EDATE(DATEVALUE(C283&amp;"-01"),4),'📋 Транзакції'!$C$5:$C$3623,"&lt;"&amp;EDATE(DATEVALUE(C283&amp;"-01"),5))&gt;0,1,0)</f>
        <v>0</v>
      </c>
      <c r="L283" s="37">
        <f>IF(COUNTIFS('📋 Транзакції'!$B$5:$B$3623,A283,'📋 Транзакції'!$C$5:$C$3623,"&gt;="&amp;EDATE(DATEVALUE(C283&amp;"-01"),5),'📋 Транзакції'!$C$5:$C$3623,"&lt;"&amp;EDATE(DATEVALUE(C283&amp;"-01"),6))&gt;0,1,0)</f>
        <v>0</v>
      </c>
      <c r="M283" s="37">
        <f>IF(COUNTIFS('📋 Транзакції'!$B$5:$B$3623,A283,'📋 Транзакції'!$C$5:$C$3623,"&gt;="&amp;EDATE(DATEVALUE(C283&amp;"-01"),6),'📋 Транзакції'!$C$5:$C$3623,"&lt;"&amp;EDATE(DATEVALUE(C283&amp;"-01"),7))&gt;0,1,0)</f>
        <v>0</v>
      </c>
      <c r="N283" s="37">
        <f>IF(COUNTIFS('📋 Транзакції'!$B$5:$B$3623,A283,'📋 Транзакції'!$C$5:$C$3623,"&gt;="&amp;EDATE(DATEVALUE(C283&amp;"-01"),7),'📋 Транзакції'!$C$5:$C$3623,"&lt;"&amp;EDATE(DATEVALUE(C283&amp;"-01"),8))&gt;0,1,0)</f>
        <v>0</v>
      </c>
      <c r="O283" s="37">
        <f>IF(COUNTIFS('📋 Транзакції'!$B$5:$B$3623,A283,'📋 Транзакції'!$C$5:$C$3623,"&gt;="&amp;EDATE(DATEVALUE(C283&amp;"-01"),8),'📋 Транзакції'!$C$5:$C$3623,"&lt;"&amp;EDATE(DATEVALUE(C283&amp;"-01"),9))&gt;0,1,0)</f>
        <v>0</v>
      </c>
      <c r="P283" s="37">
        <f>IF(COUNTIFS('📋 Транзакції'!$B$5:$B$3623,A283,'📋 Транзакції'!$C$5:$C$3623,"&gt;="&amp;EDATE(DATEVALUE(C283&amp;"-01"),9),'📋 Транзакції'!$C$5:$C$3623,"&lt;"&amp;EDATE(DATEVALUE(C283&amp;"-01"),10))&gt;0,1,0)</f>
        <v>0</v>
      </c>
      <c r="Q283" s="37">
        <f>IF(COUNTIFS('📋 Транзакції'!$B$5:$B$3623,A283,'📋 Транзакції'!$C$5:$C$3623,"&gt;="&amp;EDATE(DATEVALUE(C283&amp;"-01"),10),'📋 Транзакції'!$C$5:$C$3623,"&lt;"&amp;EDATE(DATEVALUE(C283&amp;"-01"),11))&gt;0,1,0)</f>
        <v>0</v>
      </c>
      <c r="R283" s="37">
        <f>IF(COUNTIFS('📋 Транзакції'!$B$5:$B$3623,A283,'📋 Транзакції'!$C$5:$C$3623,"&gt;="&amp;EDATE(DATEVALUE(C283&amp;"-01"),11),'📋 Транзакції'!$C$5:$C$3623,"&lt;"&amp;EDATE(DATEVALUE(C283&amp;"-01"),12))&gt;0,1,0)</f>
        <v>0</v>
      </c>
      <c r="S283" s="37">
        <f>SUMIFS('📋 Транзакції'!$F$5:$F$3623,'📋 Транзакції'!$B$5:$B$3623,A283,'📋 Транзакції'!$C$5:$C$3623,"&gt;="&amp;EDATE(DATEVALUE(C283&amp;"-01"),0),'📋 Транзакції'!$C$5:$C$3623,"&lt;"&amp;EDATE(DATEVALUE(C283&amp;"-01"),1))</f>
        <v>19.99</v>
      </c>
      <c r="T283" s="37">
        <f>SUMIFS('📋 Транзакції'!$F$5:$F$3623,'📋 Транзакції'!$B$5:$B$3623,A283,'📋 Транзакції'!$C$5:$C$3623,"&gt;="&amp;EDATE(DATEVALUE(C283&amp;"-01"),1),'📋 Транзакції'!$C$5:$C$3623,"&lt;"&amp;EDATE(DATEVALUE(C283&amp;"-01"),2))</f>
        <v>19.99</v>
      </c>
      <c r="U283" s="37">
        <f>SUMIFS('📋 Транзакції'!$F$5:$F$3623,'📋 Транзакції'!$B$5:$B$3623,A283,'📋 Транзакції'!$C$5:$C$3623,"&gt;="&amp;EDATE(DATEVALUE(C283&amp;"-01"),2),'📋 Транзакції'!$C$5:$C$3623,"&lt;"&amp;EDATE(DATEVALUE(C283&amp;"-01"),3))</f>
        <v>19.99</v>
      </c>
      <c r="V283" s="37">
        <f>SUMIFS('📋 Транзакції'!$F$5:$F$3623,'📋 Транзакції'!$B$5:$B$3623,A283,'📋 Транзакції'!$C$5:$C$3623,"&gt;="&amp;EDATE(DATEVALUE(C283&amp;"-01"),3),'📋 Транзакції'!$C$5:$C$3623,"&lt;"&amp;EDATE(DATEVALUE(C283&amp;"-01"),4))</f>
        <v>0</v>
      </c>
      <c r="W283" s="37">
        <f>SUMIFS('📋 Транзакції'!$F$5:$F$3623,'📋 Транзакції'!$B$5:$B$3623,A283,'📋 Транзакції'!$C$5:$C$3623,"&gt;="&amp;EDATE(DATEVALUE(C283&amp;"-01"),4),'📋 Транзакції'!$C$5:$C$3623,"&lt;"&amp;EDATE(DATEVALUE(C283&amp;"-01"),5))</f>
        <v>0</v>
      </c>
      <c r="X283" s="37">
        <f>SUMIFS('📋 Транзакції'!$F$5:$F$3623,'📋 Транзакції'!$B$5:$B$3623,A283,'📋 Транзакції'!$C$5:$C$3623,"&gt;="&amp;EDATE(DATEVALUE(C283&amp;"-01"),5),'📋 Транзакції'!$C$5:$C$3623,"&lt;"&amp;EDATE(DATEVALUE(C283&amp;"-01"),6))</f>
        <v>0</v>
      </c>
      <c r="Y283" s="37">
        <f>SUMIFS('📋 Транзакції'!$F$5:$F$3623,'📋 Транзакції'!$B$5:$B$3623,A283,'📋 Транзакції'!$C$5:$C$3623,"&gt;="&amp;EDATE(DATEVALUE(C283&amp;"-01"),6),'📋 Транзакції'!$C$5:$C$3623,"&lt;"&amp;EDATE(DATEVALUE(C283&amp;"-01"),7))</f>
        <v>0</v>
      </c>
      <c r="Z283" s="37">
        <f>SUMIFS('📋 Транзакції'!$F$5:$F$3623,'📋 Транзакції'!$B$5:$B$3623,A283,'📋 Транзакції'!$C$5:$C$3623,"&gt;="&amp;EDATE(DATEVALUE(C283&amp;"-01"),7),'📋 Транзакції'!$C$5:$C$3623,"&lt;"&amp;EDATE(DATEVALUE(C283&amp;"-01"),8))</f>
        <v>0</v>
      </c>
      <c r="AA283" s="37">
        <f>SUMIFS('📋 Транзакції'!$F$5:$F$3623,'📋 Транзакції'!$B$5:$B$3623,A283,'📋 Транзакції'!$C$5:$C$3623,"&gt;="&amp;EDATE(DATEVALUE(C283&amp;"-01"),8),'📋 Транзакції'!$C$5:$C$3623,"&lt;"&amp;EDATE(DATEVALUE(C283&amp;"-01"),9))</f>
        <v>0</v>
      </c>
      <c r="AB283" s="37">
        <f>SUMIFS('📋 Транзакції'!$F$5:$F$3623,'📋 Транзакції'!$B$5:$B$3623,A283,'📋 Транзакції'!$C$5:$C$3623,"&gt;="&amp;EDATE(DATEVALUE(C283&amp;"-01"),9),'📋 Транзакції'!$C$5:$C$3623,"&lt;"&amp;EDATE(DATEVALUE(C283&amp;"-01"),10))</f>
        <v>0</v>
      </c>
      <c r="AC283" s="37">
        <f>SUMIFS('📋 Транзакції'!$F$5:$F$3623,'📋 Транзакції'!$B$5:$B$3623,A283,'📋 Транзакції'!$C$5:$C$3623,"&gt;="&amp;EDATE(DATEVALUE(C283&amp;"-01"),10),'📋 Транзакції'!$C$5:$C$3623,"&lt;"&amp;EDATE(DATEVALUE(C283&amp;"-01"),11))</f>
        <v>0</v>
      </c>
      <c r="AD283" s="37">
        <f>SUMIFS('📋 Транзакції'!$F$5:$F$3623,'📋 Транзакції'!$B$5:$B$3623,A283,'📋 Транзакції'!$C$5:$C$3623,"&gt;="&amp;EDATE(DATEVALUE(C283&amp;"-01"),11),'📋 Транзакції'!$C$5:$C$3623,"&lt;"&amp;EDATE(DATEVALUE(C283&amp;"-01"),12))</f>
        <v>0</v>
      </c>
    </row>
    <row r="284" ht="15.75" customHeight="1">
      <c r="A284" s="33" t="str">
        <f>'📋 Реєстрації'!A284:A885</f>
        <v>U0830</v>
      </c>
      <c r="B284" s="34">
        <f t="array" ref="B284">INDEX('📋 Транзакції'!$C$5:$C$3623,MATCH(A284,'📋 Транзакції'!$B$5:$B$3623,0))</f>
        <v>45547</v>
      </c>
      <c r="C284" s="35" t="str">
        <f t="shared" si="1"/>
        <v>2024-09</v>
      </c>
      <c r="D284" s="36">
        <f>COUNTIF('📋 Транзакції'!$B$5:$B$3623,A284)</f>
        <v>8</v>
      </c>
      <c r="E284" s="36">
        <f>SUMIF('📋 Транзакції'!$B$5:$B$3623,A284,'📋 Транзакції'!$F$5:$F$3623)</f>
        <v>139.93</v>
      </c>
      <c r="F284" s="35">
        <f>INT($A$1-MAXIFS('📋 Транзакції'!$C$5:$C$3623,'📋 Транзакції'!$B$5:$B$3623,A284))</f>
        <v>13</v>
      </c>
      <c r="G284" s="37">
        <f>IF(COUNTIFS('📋 Транзакції'!$B$5:$B$3623,A284,'📋 Транзакції'!$C$5:$C$3623,"&gt;="&amp;EDATE(DATEVALUE(C284&amp;"-01"),0),'📋 Транзакції'!$C$5:$C$3623,"&lt;"&amp;EDATE(DATEVALUE(C284&amp;"-01"),1))&gt;0,1,0)</f>
        <v>1</v>
      </c>
      <c r="H284" s="37">
        <f>IF(COUNTIFS('📋 Транзакції'!$B$5:$B$3623,A284,'📋 Транзакції'!$C$5:$C$3623,"&gt;="&amp;EDATE(DATEVALUE(C284&amp;"-01"),1),'📋 Транзакції'!$C$5:$C$3623,"&lt;"&amp;EDATE(DATEVALUE(C284&amp;"-01"),2))&gt;0,1,0)</f>
        <v>1</v>
      </c>
      <c r="I284" s="37">
        <f>IF(COUNTIFS('📋 Транзакції'!$B$5:$B$3623,A284,'📋 Транзакції'!$C$5:$C$3623,"&gt;="&amp;EDATE(DATEVALUE(C284&amp;"-01"),2),'📋 Транзакції'!$C$5:$C$3623,"&lt;"&amp;EDATE(DATEVALUE(C284&amp;"-01"),3))&gt;0,1,0)</f>
        <v>1</v>
      </c>
      <c r="J284" s="37">
        <f>IF(COUNTIFS('📋 Транзакції'!$B$5:$B$3623,A284,'📋 Транзакції'!$C$5:$C$3623,"&gt;="&amp;EDATE(DATEVALUE(C284&amp;"-01"),3),'📋 Транзакції'!$C$5:$C$3623,"&lt;"&amp;EDATE(DATEVALUE(C284&amp;"-01"),4))&gt;0,1,0)</f>
        <v>1</v>
      </c>
      <c r="K284" s="37">
        <f>IF(COUNTIFS('📋 Транзакції'!$B$5:$B$3623,A284,'📋 Транзакції'!$C$5:$C$3623,"&gt;="&amp;EDATE(DATEVALUE(C284&amp;"-01"),4),'📋 Транзакції'!$C$5:$C$3623,"&lt;"&amp;EDATE(DATEVALUE(C284&amp;"-01"),5))&gt;0,1,0)</f>
        <v>1</v>
      </c>
      <c r="L284" s="37">
        <f>IF(COUNTIFS('📋 Транзакції'!$B$5:$B$3623,A284,'📋 Транзакції'!$C$5:$C$3623,"&gt;="&amp;EDATE(DATEVALUE(C284&amp;"-01"),5),'📋 Транзакції'!$C$5:$C$3623,"&lt;"&amp;EDATE(DATEVALUE(C284&amp;"-01"),6))&gt;0,1,0)</f>
        <v>1</v>
      </c>
      <c r="M284" s="37">
        <f>IF(COUNTIFS('📋 Транзакції'!$B$5:$B$3623,A284,'📋 Транзакції'!$C$5:$C$3623,"&gt;="&amp;EDATE(DATEVALUE(C284&amp;"-01"),6),'📋 Транзакції'!$C$5:$C$3623,"&lt;"&amp;EDATE(DATEVALUE(C284&amp;"-01"),7))&gt;0,1,0)</f>
        <v>1</v>
      </c>
      <c r="N284" s="37">
        <f>IF(COUNTIFS('📋 Транзакції'!$B$5:$B$3623,A284,'📋 Транзакції'!$C$5:$C$3623,"&gt;="&amp;EDATE(DATEVALUE(C284&amp;"-01"),7),'📋 Транзакції'!$C$5:$C$3623,"&lt;"&amp;EDATE(DATEVALUE(C284&amp;"-01"),8))&gt;0,1,0)</f>
        <v>0</v>
      </c>
      <c r="O284" s="37">
        <f>IF(COUNTIFS('📋 Транзакції'!$B$5:$B$3623,A284,'📋 Транзакції'!$C$5:$C$3623,"&gt;="&amp;EDATE(DATEVALUE(C284&amp;"-01"),8),'📋 Транзакції'!$C$5:$C$3623,"&lt;"&amp;EDATE(DATEVALUE(C284&amp;"-01"),9))&gt;0,1,0)</f>
        <v>0</v>
      </c>
      <c r="P284" s="37">
        <f>IF(COUNTIFS('📋 Транзакції'!$B$5:$B$3623,A284,'📋 Транзакції'!$C$5:$C$3623,"&gt;="&amp;EDATE(DATEVALUE(C284&amp;"-01"),9),'📋 Транзакції'!$C$5:$C$3623,"&lt;"&amp;EDATE(DATEVALUE(C284&amp;"-01"),10))&gt;0,1,0)</f>
        <v>0</v>
      </c>
      <c r="Q284" s="37">
        <f>IF(COUNTIFS('📋 Транзакції'!$B$5:$B$3623,A284,'📋 Транзакції'!$C$5:$C$3623,"&gt;="&amp;EDATE(DATEVALUE(C284&amp;"-01"),10),'📋 Транзакції'!$C$5:$C$3623,"&lt;"&amp;EDATE(DATEVALUE(C284&amp;"-01"),11))&gt;0,1,0)</f>
        <v>0</v>
      </c>
      <c r="R284" s="37">
        <f>IF(COUNTIFS('📋 Транзакції'!$B$5:$B$3623,A284,'📋 Транзакції'!$C$5:$C$3623,"&gt;="&amp;EDATE(DATEVALUE(C284&amp;"-01"),11),'📋 Транзакції'!$C$5:$C$3623,"&lt;"&amp;EDATE(DATEVALUE(C284&amp;"-01"),12))&gt;0,1,0)</f>
        <v>0</v>
      </c>
      <c r="S284" s="37">
        <f>SUMIFS('📋 Транзакції'!$F$5:$F$3623,'📋 Транзакції'!$B$5:$B$3623,A284,'📋 Транзакції'!$C$5:$C$3623,"&gt;="&amp;EDATE(DATEVALUE(C284&amp;"-01"),0),'📋 Транзакції'!$C$5:$C$3623,"&lt;"&amp;EDATE(DATEVALUE(C284&amp;"-01"),1))</f>
        <v>19.99</v>
      </c>
      <c r="T284" s="37">
        <f>SUMIFS('📋 Транзакції'!$F$5:$F$3623,'📋 Транзакції'!$B$5:$B$3623,A284,'📋 Транзакції'!$C$5:$C$3623,"&gt;="&amp;EDATE(DATEVALUE(C284&amp;"-01"),1),'📋 Транзакції'!$C$5:$C$3623,"&lt;"&amp;EDATE(DATEVALUE(C284&amp;"-01"),2))</f>
        <v>19.99</v>
      </c>
      <c r="U284" s="37">
        <f>SUMIFS('📋 Транзакції'!$F$5:$F$3623,'📋 Транзакції'!$B$5:$B$3623,A284,'📋 Транзакції'!$C$5:$C$3623,"&gt;="&amp;EDATE(DATEVALUE(C284&amp;"-01"),2),'📋 Транзакції'!$C$5:$C$3623,"&lt;"&amp;EDATE(DATEVALUE(C284&amp;"-01"),3))</f>
        <v>19.99</v>
      </c>
      <c r="V284" s="37">
        <f>SUMIFS('📋 Транзакції'!$F$5:$F$3623,'📋 Транзакції'!$B$5:$B$3623,A284,'📋 Транзакції'!$C$5:$C$3623,"&gt;="&amp;EDATE(DATEVALUE(C284&amp;"-01"),3),'📋 Транзакції'!$C$5:$C$3623,"&lt;"&amp;EDATE(DATEVALUE(C284&amp;"-01"),4))</f>
        <v>19.99</v>
      </c>
      <c r="W284" s="37">
        <f>SUMIFS('📋 Транзакції'!$F$5:$F$3623,'📋 Транзакції'!$B$5:$B$3623,A284,'📋 Транзакції'!$C$5:$C$3623,"&gt;="&amp;EDATE(DATEVALUE(C284&amp;"-01"),4),'📋 Транзакції'!$C$5:$C$3623,"&lt;"&amp;EDATE(DATEVALUE(C284&amp;"-01"),5))</f>
        <v>19.99</v>
      </c>
      <c r="X284" s="37">
        <f>SUMIFS('📋 Транзакції'!$F$5:$F$3623,'📋 Транзакції'!$B$5:$B$3623,A284,'📋 Транзакції'!$C$5:$C$3623,"&gt;="&amp;EDATE(DATEVALUE(C284&amp;"-01"),5),'📋 Транзакції'!$C$5:$C$3623,"&lt;"&amp;EDATE(DATEVALUE(C284&amp;"-01"),6))</f>
        <v>19.99</v>
      </c>
      <c r="Y284" s="37">
        <f>SUMIFS('📋 Транзакції'!$F$5:$F$3623,'📋 Транзакції'!$B$5:$B$3623,A284,'📋 Транзакції'!$C$5:$C$3623,"&gt;="&amp;EDATE(DATEVALUE(C284&amp;"-01"),6),'📋 Транзакції'!$C$5:$C$3623,"&lt;"&amp;EDATE(DATEVALUE(C284&amp;"-01"),7))</f>
        <v>19.99</v>
      </c>
      <c r="Z284" s="37">
        <f>SUMIFS('📋 Транзакції'!$F$5:$F$3623,'📋 Транзакції'!$B$5:$B$3623,A284,'📋 Транзакції'!$C$5:$C$3623,"&gt;="&amp;EDATE(DATEVALUE(C284&amp;"-01"),7),'📋 Транзакції'!$C$5:$C$3623,"&lt;"&amp;EDATE(DATEVALUE(C284&amp;"-01"),8))</f>
        <v>0</v>
      </c>
      <c r="AA284" s="37">
        <f>SUMIFS('📋 Транзакції'!$F$5:$F$3623,'📋 Транзакції'!$B$5:$B$3623,A284,'📋 Транзакції'!$C$5:$C$3623,"&gt;="&amp;EDATE(DATEVALUE(C284&amp;"-01"),8),'📋 Транзакції'!$C$5:$C$3623,"&lt;"&amp;EDATE(DATEVALUE(C284&amp;"-01"),9))</f>
        <v>0</v>
      </c>
      <c r="AB284" s="37">
        <f>SUMIFS('📋 Транзакції'!$F$5:$F$3623,'📋 Транзакції'!$B$5:$B$3623,A284,'📋 Транзакції'!$C$5:$C$3623,"&gt;="&amp;EDATE(DATEVALUE(C284&amp;"-01"),9),'📋 Транзакції'!$C$5:$C$3623,"&lt;"&amp;EDATE(DATEVALUE(C284&amp;"-01"),10))</f>
        <v>0</v>
      </c>
      <c r="AC284" s="37">
        <f>SUMIFS('📋 Транзакції'!$F$5:$F$3623,'📋 Транзакції'!$B$5:$B$3623,A284,'📋 Транзакції'!$C$5:$C$3623,"&gt;="&amp;EDATE(DATEVALUE(C284&amp;"-01"),10),'📋 Транзакції'!$C$5:$C$3623,"&lt;"&amp;EDATE(DATEVALUE(C284&amp;"-01"),11))</f>
        <v>0</v>
      </c>
      <c r="AD284" s="37">
        <f>SUMIFS('📋 Транзакції'!$F$5:$F$3623,'📋 Транзакції'!$B$5:$B$3623,A284,'📋 Транзакції'!$C$5:$C$3623,"&gt;="&amp;EDATE(DATEVALUE(C284&amp;"-01"),11),'📋 Транзакції'!$C$5:$C$3623,"&lt;"&amp;EDATE(DATEVALUE(C284&amp;"-01"),12))</f>
        <v>0</v>
      </c>
    </row>
    <row r="285" ht="15.75" customHeight="1">
      <c r="A285" s="33" t="str">
        <f>'📋 Реєстрації'!A285:A886</f>
        <v>U0392</v>
      </c>
      <c r="B285" s="34">
        <f t="array" ref="B285">INDEX('📋 Транзакції'!$C$5:$C$3623,MATCH(A285,'📋 Транзакції'!$B$5:$B$3623,0))</f>
        <v>45550</v>
      </c>
      <c r="C285" s="35" t="str">
        <f t="shared" si="1"/>
        <v>2024-09</v>
      </c>
      <c r="D285" s="36">
        <f>COUNTIF('📋 Транзакції'!$B$5:$B$3623,A285)</f>
        <v>8</v>
      </c>
      <c r="E285" s="36">
        <f>SUMIF('📋 Транзакції'!$B$5:$B$3623,A285,'📋 Транзакції'!$F$5:$F$3623)</f>
        <v>139.93</v>
      </c>
      <c r="F285" s="35">
        <f>INT($A$1-MAXIFS('📋 Транзакції'!$C$5:$C$3623,'📋 Транзакції'!$B$5:$B$3623,A285))</f>
        <v>10</v>
      </c>
      <c r="G285" s="37">
        <f>IF(COUNTIFS('📋 Транзакції'!$B$5:$B$3623,A285,'📋 Транзакції'!$C$5:$C$3623,"&gt;="&amp;EDATE(DATEVALUE(C285&amp;"-01"),0),'📋 Транзакції'!$C$5:$C$3623,"&lt;"&amp;EDATE(DATEVALUE(C285&amp;"-01"),1))&gt;0,1,0)</f>
        <v>1</v>
      </c>
      <c r="H285" s="37">
        <f>IF(COUNTIFS('📋 Транзакції'!$B$5:$B$3623,A285,'📋 Транзакції'!$C$5:$C$3623,"&gt;="&amp;EDATE(DATEVALUE(C285&amp;"-01"),1),'📋 Транзакції'!$C$5:$C$3623,"&lt;"&amp;EDATE(DATEVALUE(C285&amp;"-01"),2))&gt;0,1,0)</f>
        <v>1</v>
      </c>
      <c r="I285" s="37">
        <f>IF(COUNTIFS('📋 Транзакції'!$B$5:$B$3623,A285,'📋 Транзакції'!$C$5:$C$3623,"&gt;="&amp;EDATE(DATEVALUE(C285&amp;"-01"),2),'📋 Транзакції'!$C$5:$C$3623,"&lt;"&amp;EDATE(DATEVALUE(C285&amp;"-01"),3))&gt;0,1,0)</f>
        <v>1</v>
      </c>
      <c r="J285" s="37">
        <f>IF(COUNTIFS('📋 Транзакції'!$B$5:$B$3623,A285,'📋 Транзакції'!$C$5:$C$3623,"&gt;="&amp;EDATE(DATEVALUE(C285&amp;"-01"),3),'📋 Транзакції'!$C$5:$C$3623,"&lt;"&amp;EDATE(DATEVALUE(C285&amp;"-01"),4))&gt;0,1,0)</f>
        <v>1</v>
      </c>
      <c r="K285" s="37">
        <f>IF(COUNTIFS('📋 Транзакції'!$B$5:$B$3623,A285,'📋 Транзакції'!$C$5:$C$3623,"&gt;="&amp;EDATE(DATEVALUE(C285&amp;"-01"),4),'📋 Транзакції'!$C$5:$C$3623,"&lt;"&amp;EDATE(DATEVALUE(C285&amp;"-01"),5))&gt;0,1,0)</f>
        <v>1</v>
      </c>
      <c r="L285" s="37">
        <f>IF(COUNTIFS('📋 Транзакції'!$B$5:$B$3623,A285,'📋 Транзакції'!$C$5:$C$3623,"&gt;="&amp;EDATE(DATEVALUE(C285&amp;"-01"),5),'📋 Транзакції'!$C$5:$C$3623,"&lt;"&amp;EDATE(DATEVALUE(C285&amp;"-01"),6))&gt;0,1,0)</f>
        <v>1</v>
      </c>
      <c r="M285" s="37">
        <f>IF(COUNTIFS('📋 Транзакції'!$B$5:$B$3623,A285,'📋 Транзакції'!$C$5:$C$3623,"&gt;="&amp;EDATE(DATEVALUE(C285&amp;"-01"),6),'📋 Транзакції'!$C$5:$C$3623,"&lt;"&amp;EDATE(DATEVALUE(C285&amp;"-01"),7))&gt;0,1,0)</f>
        <v>1</v>
      </c>
      <c r="N285" s="37">
        <f>IF(COUNTIFS('📋 Транзакції'!$B$5:$B$3623,A285,'📋 Транзакції'!$C$5:$C$3623,"&gt;="&amp;EDATE(DATEVALUE(C285&amp;"-01"),7),'📋 Транзакції'!$C$5:$C$3623,"&lt;"&amp;EDATE(DATEVALUE(C285&amp;"-01"),8))&gt;0,1,0)</f>
        <v>0</v>
      </c>
      <c r="O285" s="37">
        <f>IF(COUNTIFS('📋 Транзакції'!$B$5:$B$3623,A285,'📋 Транзакції'!$C$5:$C$3623,"&gt;="&amp;EDATE(DATEVALUE(C285&amp;"-01"),8),'📋 Транзакції'!$C$5:$C$3623,"&lt;"&amp;EDATE(DATEVALUE(C285&amp;"-01"),9))&gt;0,1,0)</f>
        <v>0</v>
      </c>
      <c r="P285" s="37">
        <f>IF(COUNTIFS('📋 Транзакції'!$B$5:$B$3623,A285,'📋 Транзакції'!$C$5:$C$3623,"&gt;="&amp;EDATE(DATEVALUE(C285&amp;"-01"),9),'📋 Транзакції'!$C$5:$C$3623,"&lt;"&amp;EDATE(DATEVALUE(C285&amp;"-01"),10))&gt;0,1,0)</f>
        <v>0</v>
      </c>
      <c r="Q285" s="37">
        <f>IF(COUNTIFS('📋 Транзакції'!$B$5:$B$3623,A285,'📋 Транзакції'!$C$5:$C$3623,"&gt;="&amp;EDATE(DATEVALUE(C285&amp;"-01"),10),'📋 Транзакції'!$C$5:$C$3623,"&lt;"&amp;EDATE(DATEVALUE(C285&amp;"-01"),11))&gt;0,1,0)</f>
        <v>0</v>
      </c>
      <c r="R285" s="37">
        <f>IF(COUNTIFS('📋 Транзакції'!$B$5:$B$3623,A285,'📋 Транзакції'!$C$5:$C$3623,"&gt;="&amp;EDATE(DATEVALUE(C285&amp;"-01"),11),'📋 Транзакції'!$C$5:$C$3623,"&lt;"&amp;EDATE(DATEVALUE(C285&amp;"-01"),12))&gt;0,1,0)</f>
        <v>0</v>
      </c>
      <c r="S285" s="37">
        <f>SUMIFS('📋 Транзакції'!$F$5:$F$3623,'📋 Транзакції'!$B$5:$B$3623,A285,'📋 Транзакції'!$C$5:$C$3623,"&gt;="&amp;EDATE(DATEVALUE(C285&amp;"-01"),0),'📋 Транзакції'!$C$5:$C$3623,"&lt;"&amp;EDATE(DATEVALUE(C285&amp;"-01"),1))</f>
        <v>19.99</v>
      </c>
      <c r="T285" s="37">
        <f>SUMIFS('📋 Транзакції'!$F$5:$F$3623,'📋 Транзакції'!$B$5:$B$3623,A285,'📋 Транзакції'!$C$5:$C$3623,"&gt;="&amp;EDATE(DATEVALUE(C285&amp;"-01"),1),'📋 Транзакції'!$C$5:$C$3623,"&lt;"&amp;EDATE(DATEVALUE(C285&amp;"-01"),2))</f>
        <v>19.99</v>
      </c>
      <c r="U285" s="37">
        <f>SUMIFS('📋 Транзакції'!$F$5:$F$3623,'📋 Транзакції'!$B$5:$B$3623,A285,'📋 Транзакції'!$C$5:$C$3623,"&gt;="&amp;EDATE(DATEVALUE(C285&amp;"-01"),2),'📋 Транзакції'!$C$5:$C$3623,"&lt;"&amp;EDATE(DATEVALUE(C285&amp;"-01"),3))</f>
        <v>19.99</v>
      </c>
      <c r="V285" s="37">
        <f>SUMIFS('📋 Транзакції'!$F$5:$F$3623,'📋 Транзакції'!$B$5:$B$3623,A285,'📋 Транзакції'!$C$5:$C$3623,"&gt;="&amp;EDATE(DATEVALUE(C285&amp;"-01"),3),'📋 Транзакції'!$C$5:$C$3623,"&lt;"&amp;EDATE(DATEVALUE(C285&amp;"-01"),4))</f>
        <v>19.99</v>
      </c>
      <c r="W285" s="37">
        <f>SUMIFS('📋 Транзакції'!$F$5:$F$3623,'📋 Транзакції'!$B$5:$B$3623,A285,'📋 Транзакції'!$C$5:$C$3623,"&gt;="&amp;EDATE(DATEVALUE(C285&amp;"-01"),4),'📋 Транзакції'!$C$5:$C$3623,"&lt;"&amp;EDATE(DATEVALUE(C285&amp;"-01"),5))</f>
        <v>19.99</v>
      </c>
      <c r="X285" s="37">
        <f>SUMIFS('📋 Транзакції'!$F$5:$F$3623,'📋 Транзакції'!$B$5:$B$3623,A285,'📋 Транзакції'!$C$5:$C$3623,"&gt;="&amp;EDATE(DATEVALUE(C285&amp;"-01"),5),'📋 Транзакції'!$C$5:$C$3623,"&lt;"&amp;EDATE(DATEVALUE(C285&amp;"-01"),6))</f>
        <v>19.99</v>
      </c>
      <c r="Y285" s="37">
        <f>SUMIFS('📋 Транзакції'!$F$5:$F$3623,'📋 Транзакції'!$B$5:$B$3623,A285,'📋 Транзакції'!$C$5:$C$3623,"&gt;="&amp;EDATE(DATEVALUE(C285&amp;"-01"),6),'📋 Транзакції'!$C$5:$C$3623,"&lt;"&amp;EDATE(DATEVALUE(C285&amp;"-01"),7))</f>
        <v>19.99</v>
      </c>
      <c r="Z285" s="37">
        <f>SUMIFS('📋 Транзакції'!$F$5:$F$3623,'📋 Транзакції'!$B$5:$B$3623,A285,'📋 Транзакції'!$C$5:$C$3623,"&gt;="&amp;EDATE(DATEVALUE(C285&amp;"-01"),7),'📋 Транзакції'!$C$5:$C$3623,"&lt;"&amp;EDATE(DATEVALUE(C285&amp;"-01"),8))</f>
        <v>0</v>
      </c>
      <c r="AA285" s="37">
        <f>SUMIFS('📋 Транзакції'!$F$5:$F$3623,'📋 Транзакції'!$B$5:$B$3623,A285,'📋 Транзакції'!$C$5:$C$3623,"&gt;="&amp;EDATE(DATEVALUE(C285&amp;"-01"),8),'📋 Транзакції'!$C$5:$C$3623,"&lt;"&amp;EDATE(DATEVALUE(C285&amp;"-01"),9))</f>
        <v>0</v>
      </c>
      <c r="AB285" s="37">
        <f>SUMIFS('📋 Транзакції'!$F$5:$F$3623,'📋 Транзакції'!$B$5:$B$3623,A285,'📋 Транзакції'!$C$5:$C$3623,"&gt;="&amp;EDATE(DATEVALUE(C285&amp;"-01"),9),'📋 Транзакції'!$C$5:$C$3623,"&lt;"&amp;EDATE(DATEVALUE(C285&amp;"-01"),10))</f>
        <v>0</v>
      </c>
      <c r="AC285" s="37">
        <f>SUMIFS('📋 Транзакції'!$F$5:$F$3623,'📋 Транзакції'!$B$5:$B$3623,A285,'📋 Транзакції'!$C$5:$C$3623,"&gt;="&amp;EDATE(DATEVALUE(C285&amp;"-01"),10),'📋 Транзакції'!$C$5:$C$3623,"&lt;"&amp;EDATE(DATEVALUE(C285&amp;"-01"),11))</f>
        <v>0</v>
      </c>
      <c r="AD285" s="37">
        <f>SUMIFS('📋 Транзакції'!$F$5:$F$3623,'📋 Транзакції'!$B$5:$B$3623,A285,'📋 Транзакції'!$C$5:$C$3623,"&gt;="&amp;EDATE(DATEVALUE(C285&amp;"-01"),11),'📋 Транзакції'!$C$5:$C$3623,"&lt;"&amp;EDATE(DATEVALUE(C285&amp;"-01"),12))</f>
        <v>0</v>
      </c>
    </row>
    <row r="286" ht="15.75" customHeight="1">
      <c r="A286" s="33" t="str">
        <f>'📋 Реєстрації'!A286:A887</f>
        <v>U0019</v>
      </c>
      <c r="B286" s="34">
        <f t="array" ref="B286">INDEX('📋 Транзакції'!$C$5:$C$3623,MATCH(A286,'📋 Транзакції'!$B$5:$B$3623,0))</f>
        <v>45551</v>
      </c>
      <c r="C286" s="35" t="str">
        <f t="shared" si="1"/>
        <v>2024-09</v>
      </c>
      <c r="D286" s="36">
        <f>COUNTIF('📋 Транзакції'!$B$5:$B$3623,A286)</f>
        <v>6</v>
      </c>
      <c r="E286" s="36">
        <f>SUMIF('📋 Транзакції'!$B$5:$B$3623,A286,'📋 Транзакції'!$F$5:$F$3623)</f>
        <v>99.95</v>
      </c>
      <c r="F286" s="35">
        <f>INT($A$1-MAXIFS('📋 Транзакції'!$C$5:$C$3623,'📋 Транзакції'!$B$5:$B$3623,A286))</f>
        <v>69</v>
      </c>
      <c r="G286" s="37">
        <f>IF(COUNTIFS('📋 Транзакції'!$B$5:$B$3623,A286,'📋 Транзакції'!$C$5:$C$3623,"&gt;="&amp;EDATE(DATEVALUE(C286&amp;"-01"),0),'📋 Транзакції'!$C$5:$C$3623,"&lt;"&amp;EDATE(DATEVALUE(C286&amp;"-01"),1))&gt;0,1,0)</f>
        <v>1</v>
      </c>
      <c r="H286" s="37">
        <f>IF(COUNTIFS('📋 Транзакції'!$B$5:$B$3623,A286,'📋 Транзакції'!$C$5:$C$3623,"&gt;="&amp;EDATE(DATEVALUE(C286&amp;"-01"),1),'📋 Транзакції'!$C$5:$C$3623,"&lt;"&amp;EDATE(DATEVALUE(C286&amp;"-01"),2))&gt;0,1,0)</f>
        <v>1</v>
      </c>
      <c r="I286" s="37">
        <f>IF(COUNTIFS('📋 Транзакції'!$B$5:$B$3623,A286,'📋 Транзакції'!$C$5:$C$3623,"&gt;="&amp;EDATE(DATEVALUE(C286&amp;"-01"),2),'📋 Транзакції'!$C$5:$C$3623,"&lt;"&amp;EDATE(DATEVALUE(C286&amp;"-01"),3))&gt;0,1,0)</f>
        <v>1</v>
      </c>
      <c r="J286" s="37">
        <f>IF(COUNTIFS('📋 Транзакції'!$B$5:$B$3623,A286,'📋 Транзакції'!$C$5:$C$3623,"&gt;="&amp;EDATE(DATEVALUE(C286&amp;"-01"),3),'📋 Транзакції'!$C$5:$C$3623,"&lt;"&amp;EDATE(DATEVALUE(C286&amp;"-01"),4))&gt;0,1,0)</f>
        <v>1</v>
      </c>
      <c r="K286" s="37">
        <f>IF(COUNTIFS('📋 Транзакції'!$B$5:$B$3623,A286,'📋 Транзакції'!$C$5:$C$3623,"&gt;="&amp;EDATE(DATEVALUE(C286&amp;"-01"),4),'📋 Транзакції'!$C$5:$C$3623,"&lt;"&amp;EDATE(DATEVALUE(C286&amp;"-01"),5))&gt;0,1,0)</f>
        <v>1</v>
      </c>
      <c r="L286" s="37">
        <f>IF(COUNTIFS('📋 Транзакції'!$B$5:$B$3623,A286,'📋 Транзакції'!$C$5:$C$3623,"&gt;="&amp;EDATE(DATEVALUE(C286&amp;"-01"),5),'📋 Транзакції'!$C$5:$C$3623,"&lt;"&amp;EDATE(DATEVALUE(C286&amp;"-01"),6))&gt;0,1,0)</f>
        <v>0</v>
      </c>
      <c r="M286" s="37">
        <f>IF(COUNTIFS('📋 Транзакції'!$B$5:$B$3623,A286,'📋 Транзакції'!$C$5:$C$3623,"&gt;="&amp;EDATE(DATEVALUE(C286&amp;"-01"),6),'📋 Транзакції'!$C$5:$C$3623,"&lt;"&amp;EDATE(DATEVALUE(C286&amp;"-01"),7))&gt;0,1,0)</f>
        <v>0</v>
      </c>
      <c r="N286" s="37">
        <f>IF(COUNTIFS('📋 Транзакції'!$B$5:$B$3623,A286,'📋 Транзакції'!$C$5:$C$3623,"&gt;="&amp;EDATE(DATEVALUE(C286&amp;"-01"),7),'📋 Транзакції'!$C$5:$C$3623,"&lt;"&amp;EDATE(DATEVALUE(C286&amp;"-01"),8))&gt;0,1,0)</f>
        <v>0</v>
      </c>
      <c r="O286" s="37">
        <f>IF(COUNTIFS('📋 Транзакції'!$B$5:$B$3623,A286,'📋 Транзакції'!$C$5:$C$3623,"&gt;="&amp;EDATE(DATEVALUE(C286&amp;"-01"),8),'📋 Транзакції'!$C$5:$C$3623,"&lt;"&amp;EDATE(DATEVALUE(C286&amp;"-01"),9))&gt;0,1,0)</f>
        <v>0</v>
      </c>
      <c r="P286" s="37">
        <f>IF(COUNTIFS('📋 Транзакції'!$B$5:$B$3623,A286,'📋 Транзакції'!$C$5:$C$3623,"&gt;="&amp;EDATE(DATEVALUE(C286&amp;"-01"),9),'📋 Транзакції'!$C$5:$C$3623,"&lt;"&amp;EDATE(DATEVALUE(C286&amp;"-01"),10))&gt;0,1,0)</f>
        <v>0</v>
      </c>
      <c r="Q286" s="37">
        <f>IF(COUNTIFS('📋 Транзакції'!$B$5:$B$3623,A286,'📋 Транзакції'!$C$5:$C$3623,"&gt;="&amp;EDATE(DATEVALUE(C286&amp;"-01"),10),'📋 Транзакції'!$C$5:$C$3623,"&lt;"&amp;EDATE(DATEVALUE(C286&amp;"-01"),11))&gt;0,1,0)</f>
        <v>0</v>
      </c>
      <c r="R286" s="37">
        <f>IF(COUNTIFS('📋 Транзакції'!$B$5:$B$3623,A286,'📋 Транзакції'!$C$5:$C$3623,"&gt;="&amp;EDATE(DATEVALUE(C286&amp;"-01"),11),'📋 Транзакції'!$C$5:$C$3623,"&lt;"&amp;EDATE(DATEVALUE(C286&amp;"-01"),12))&gt;0,1,0)</f>
        <v>0</v>
      </c>
      <c r="S286" s="37">
        <f>SUMIFS('📋 Транзакції'!$F$5:$F$3623,'📋 Транзакції'!$B$5:$B$3623,A286,'📋 Транзакції'!$C$5:$C$3623,"&gt;="&amp;EDATE(DATEVALUE(C286&amp;"-01"),0),'📋 Транзакції'!$C$5:$C$3623,"&lt;"&amp;EDATE(DATEVALUE(C286&amp;"-01"),1))</f>
        <v>19.99</v>
      </c>
      <c r="T286" s="37">
        <f>SUMIFS('📋 Транзакції'!$F$5:$F$3623,'📋 Транзакції'!$B$5:$B$3623,A286,'📋 Транзакції'!$C$5:$C$3623,"&gt;="&amp;EDATE(DATEVALUE(C286&amp;"-01"),1),'📋 Транзакції'!$C$5:$C$3623,"&lt;"&amp;EDATE(DATEVALUE(C286&amp;"-01"),2))</f>
        <v>19.99</v>
      </c>
      <c r="U286" s="37">
        <f>SUMIFS('📋 Транзакції'!$F$5:$F$3623,'📋 Транзакції'!$B$5:$B$3623,A286,'📋 Транзакції'!$C$5:$C$3623,"&gt;="&amp;EDATE(DATEVALUE(C286&amp;"-01"),2),'📋 Транзакції'!$C$5:$C$3623,"&lt;"&amp;EDATE(DATEVALUE(C286&amp;"-01"),3))</f>
        <v>19.99</v>
      </c>
      <c r="V286" s="37">
        <f>SUMIFS('📋 Транзакції'!$F$5:$F$3623,'📋 Транзакції'!$B$5:$B$3623,A286,'📋 Транзакції'!$C$5:$C$3623,"&gt;="&amp;EDATE(DATEVALUE(C286&amp;"-01"),3),'📋 Транзакції'!$C$5:$C$3623,"&lt;"&amp;EDATE(DATEVALUE(C286&amp;"-01"),4))</f>
        <v>19.99</v>
      </c>
      <c r="W286" s="37">
        <f>SUMIFS('📋 Транзакції'!$F$5:$F$3623,'📋 Транзакції'!$B$5:$B$3623,A286,'📋 Транзакції'!$C$5:$C$3623,"&gt;="&amp;EDATE(DATEVALUE(C286&amp;"-01"),4),'📋 Транзакції'!$C$5:$C$3623,"&lt;"&amp;EDATE(DATEVALUE(C286&amp;"-01"),5))</f>
        <v>19.99</v>
      </c>
      <c r="X286" s="37">
        <f>SUMIFS('📋 Транзакції'!$F$5:$F$3623,'📋 Транзакції'!$B$5:$B$3623,A286,'📋 Транзакції'!$C$5:$C$3623,"&gt;="&amp;EDATE(DATEVALUE(C286&amp;"-01"),5),'📋 Транзакції'!$C$5:$C$3623,"&lt;"&amp;EDATE(DATEVALUE(C286&amp;"-01"),6))</f>
        <v>0</v>
      </c>
      <c r="Y286" s="37">
        <f>SUMIFS('📋 Транзакції'!$F$5:$F$3623,'📋 Транзакції'!$B$5:$B$3623,A286,'📋 Транзакції'!$C$5:$C$3623,"&gt;="&amp;EDATE(DATEVALUE(C286&amp;"-01"),6),'📋 Транзакції'!$C$5:$C$3623,"&lt;"&amp;EDATE(DATEVALUE(C286&amp;"-01"),7))</f>
        <v>0</v>
      </c>
      <c r="Z286" s="37">
        <f>SUMIFS('📋 Транзакції'!$F$5:$F$3623,'📋 Транзакції'!$B$5:$B$3623,A286,'📋 Транзакції'!$C$5:$C$3623,"&gt;="&amp;EDATE(DATEVALUE(C286&amp;"-01"),7),'📋 Транзакції'!$C$5:$C$3623,"&lt;"&amp;EDATE(DATEVALUE(C286&amp;"-01"),8))</f>
        <v>0</v>
      </c>
      <c r="AA286" s="37">
        <f>SUMIFS('📋 Транзакції'!$F$5:$F$3623,'📋 Транзакції'!$B$5:$B$3623,A286,'📋 Транзакції'!$C$5:$C$3623,"&gt;="&amp;EDATE(DATEVALUE(C286&amp;"-01"),8),'📋 Транзакції'!$C$5:$C$3623,"&lt;"&amp;EDATE(DATEVALUE(C286&amp;"-01"),9))</f>
        <v>0</v>
      </c>
      <c r="AB286" s="37">
        <f>SUMIFS('📋 Транзакції'!$F$5:$F$3623,'📋 Транзакції'!$B$5:$B$3623,A286,'📋 Транзакції'!$C$5:$C$3623,"&gt;="&amp;EDATE(DATEVALUE(C286&amp;"-01"),9),'📋 Транзакції'!$C$5:$C$3623,"&lt;"&amp;EDATE(DATEVALUE(C286&amp;"-01"),10))</f>
        <v>0</v>
      </c>
      <c r="AC286" s="37">
        <f>SUMIFS('📋 Транзакції'!$F$5:$F$3623,'📋 Транзакції'!$B$5:$B$3623,A286,'📋 Транзакції'!$C$5:$C$3623,"&gt;="&amp;EDATE(DATEVALUE(C286&amp;"-01"),10),'📋 Транзакції'!$C$5:$C$3623,"&lt;"&amp;EDATE(DATEVALUE(C286&amp;"-01"),11))</f>
        <v>0</v>
      </c>
      <c r="AD286" s="37">
        <f>SUMIFS('📋 Транзакції'!$F$5:$F$3623,'📋 Транзакції'!$B$5:$B$3623,A286,'📋 Транзакції'!$C$5:$C$3623,"&gt;="&amp;EDATE(DATEVALUE(C286&amp;"-01"),11),'📋 Транзакції'!$C$5:$C$3623,"&lt;"&amp;EDATE(DATEVALUE(C286&amp;"-01"),12))</f>
        <v>0</v>
      </c>
    </row>
    <row r="287" ht="15.75" customHeight="1">
      <c r="A287" s="33" t="str">
        <f>'📋 Реєстрації'!A287:A888</f>
        <v>U0512</v>
      </c>
      <c r="B287" s="34">
        <f t="array" ref="B287">INDEX('📋 Транзакції'!$C$5:$C$3623,MATCH(A287,'📋 Транзакції'!$B$5:$B$3623,0))</f>
        <v>45551</v>
      </c>
      <c r="C287" s="35" t="str">
        <f t="shared" si="1"/>
        <v>2024-09</v>
      </c>
      <c r="D287" s="36">
        <f>COUNTIF('📋 Транзакції'!$B$5:$B$3623,A287)</f>
        <v>8</v>
      </c>
      <c r="E287" s="36">
        <f>SUMIF('📋 Транзакції'!$B$5:$B$3623,A287,'📋 Транзакції'!$F$5:$F$3623)</f>
        <v>139.93</v>
      </c>
      <c r="F287" s="35">
        <f>INT($A$1-MAXIFS('📋 Транзакції'!$C$5:$C$3623,'📋 Транзакції'!$B$5:$B$3623,A287))</f>
        <v>9</v>
      </c>
      <c r="G287" s="37">
        <f>IF(COUNTIFS('📋 Транзакції'!$B$5:$B$3623,A287,'📋 Транзакції'!$C$5:$C$3623,"&gt;="&amp;EDATE(DATEVALUE(C287&amp;"-01"),0),'📋 Транзакції'!$C$5:$C$3623,"&lt;"&amp;EDATE(DATEVALUE(C287&amp;"-01"),1))&gt;0,1,0)</f>
        <v>1</v>
      </c>
      <c r="H287" s="37">
        <f>IF(COUNTIFS('📋 Транзакції'!$B$5:$B$3623,A287,'📋 Транзакції'!$C$5:$C$3623,"&gt;="&amp;EDATE(DATEVALUE(C287&amp;"-01"),1),'📋 Транзакції'!$C$5:$C$3623,"&lt;"&amp;EDATE(DATEVALUE(C287&amp;"-01"),2))&gt;0,1,0)</f>
        <v>1</v>
      </c>
      <c r="I287" s="37">
        <f>IF(COUNTIFS('📋 Транзакції'!$B$5:$B$3623,A287,'📋 Транзакції'!$C$5:$C$3623,"&gt;="&amp;EDATE(DATEVALUE(C287&amp;"-01"),2),'📋 Транзакції'!$C$5:$C$3623,"&lt;"&amp;EDATE(DATEVALUE(C287&amp;"-01"),3))&gt;0,1,0)</f>
        <v>1</v>
      </c>
      <c r="J287" s="37">
        <f>IF(COUNTIFS('📋 Транзакції'!$B$5:$B$3623,A287,'📋 Транзакції'!$C$5:$C$3623,"&gt;="&amp;EDATE(DATEVALUE(C287&amp;"-01"),3),'📋 Транзакції'!$C$5:$C$3623,"&lt;"&amp;EDATE(DATEVALUE(C287&amp;"-01"),4))&gt;0,1,0)</f>
        <v>1</v>
      </c>
      <c r="K287" s="37">
        <f>IF(COUNTIFS('📋 Транзакції'!$B$5:$B$3623,A287,'📋 Транзакції'!$C$5:$C$3623,"&gt;="&amp;EDATE(DATEVALUE(C287&amp;"-01"),4),'📋 Транзакції'!$C$5:$C$3623,"&lt;"&amp;EDATE(DATEVALUE(C287&amp;"-01"),5))&gt;0,1,0)</f>
        <v>1</v>
      </c>
      <c r="L287" s="37">
        <f>IF(COUNTIFS('📋 Транзакції'!$B$5:$B$3623,A287,'📋 Транзакції'!$C$5:$C$3623,"&gt;="&amp;EDATE(DATEVALUE(C287&amp;"-01"),5),'📋 Транзакції'!$C$5:$C$3623,"&lt;"&amp;EDATE(DATEVALUE(C287&amp;"-01"),6))&gt;0,1,0)</f>
        <v>1</v>
      </c>
      <c r="M287" s="37">
        <f>IF(COUNTIFS('📋 Транзакції'!$B$5:$B$3623,A287,'📋 Транзакції'!$C$5:$C$3623,"&gt;="&amp;EDATE(DATEVALUE(C287&amp;"-01"),6),'📋 Транзакції'!$C$5:$C$3623,"&lt;"&amp;EDATE(DATEVALUE(C287&amp;"-01"),7))&gt;0,1,0)</f>
        <v>1</v>
      </c>
      <c r="N287" s="37">
        <f>IF(COUNTIFS('📋 Транзакції'!$B$5:$B$3623,A287,'📋 Транзакції'!$C$5:$C$3623,"&gt;="&amp;EDATE(DATEVALUE(C287&amp;"-01"),7),'📋 Транзакції'!$C$5:$C$3623,"&lt;"&amp;EDATE(DATEVALUE(C287&amp;"-01"),8))&gt;0,1,0)</f>
        <v>0</v>
      </c>
      <c r="O287" s="37">
        <f>IF(COUNTIFS('📋 Транзакції'!$B$5:$B$3623,A287,'📋 Транзакції'!$C$5:$C$3623,"&gt;="&amp;EDATE(DATEVALUE(C287&amp;"-01"),8),'📋 Транзакції'!$C$5:$C$3623,"&lt;"&amp;EDATE(DATEVALUE(C287&amp;"-01"),9))&gt;0,1,0)</f>
        <v>0</v>
      </c>
      <c r="P287" s="37">
        <f>IF(COUNTIFS('📋 Транзакції'!$B$5:$B$3623,A287,'📋 Транзакції'!$C$5:$C$3623,"&gt;="&amp;EDATE(DATEVALUE(C287&amp;"-01"),9),'📋 Транзакції'!$C$5:$C$3623,"&lt;"&amp;EDATE(DATEVALUE(C287&amp;"-01"),10))&gt;0,1,0)</f>
        <v>0</v>
      </c>
      <c r="Q287" s="37">
        <f>IF(COUNTIFS('📋 Транзакції'!$B$5:$B$3623,A287,'📋 Транзакції'!$C$5:$C$3623,"&gt;="&amp;EDATE(DATEVALUE(C287&amp;"-01"),10),'📋 Транзакції'!$C$5:$C$3623,"&lt;"&amp;EDATE(DATEVALUE(C287&amp;"-01"),11))&gt;0,1,0)</f>
        <v>0</v>
      </c>
      <c r="R287" s="37">
        <f>IF(COUNTIFS('📋 Транзакції'!$B$5:$B$3623,A287,'📋 Транзакції'!$C$5:$C$3623,"&gt;="&amp;EDATE(DATEVALUE(C287&amp;"-01"),11),'📋 Транзакції'!$C$5:$C$3623,"&lt;"&amp;EDATE(DATEVALUE(C287&amp;"-01"),12))&gt;0,1,0)</f>
        <v>0</v>
      </c>
      <c r="S287" s="37">
        <f>SUMIFS('📋 Транзакції'!$F$5:$F$3623,'📋 Транзакції'!$B$5:$B$3623,A287,'📋 Транзакції'!$C$5:$C$3623,"&gt;="&amp;EDATE(DATEVALUE(C287&amp;"-01"),0),'📋 Транзакції'!$C$5:$C$3623,"&lt;"&amp;EDATE(DATEVALUE(C287&amp;"-01"),1))</f>
        <v>19.99</v>
      </c>
      <c r="T287" s="37">
        <f>SUMIFS('📋 Транзакції'!$F$5:$F$3623,'📋 Транзакції'!$B$5:$B$3623,A287,'📋 Транзакції'!$C$5:$C$3623,"&gt;="&amp;EDATE(DATEVALUE(C287&amp;"-01"),1),'📋 Транзакції'!$C$5:$C$3623,"&lt;"&amp;EDATE(DATEVALUE(C287&amp;"-01"),2))</f>
        <v>19.99</v>
      </c>
      <c r="U287" s="37">
        <f>SUMIFS('📋 Транзакції'!$F$5:$F$3623,'📋 Транзакції'!$B$5:$B$3623,A287,'📋 Транзакції'!$C$5:$C$3623,"&gt;="&amp;EDATE(DATEVALUE(C287&amp;"-01"),2),'📋 Транзакції'!$C$5:$C$3623,"&lt;"&amp;EDATE(DATEVALUE(C287&amp;"-01"),3))</f>
        <v>19.99</v>
      </c>
      <c r="V287" s="37">
        <f>SUMIFS('📋 Транзакції'!$F$5:$F$3623,'📋 Транзакції'!$B$5:$B$3623,A287,'📋 Транзакції'!$C$5:$C$3623,"&gt;="&amp;EDATE(DATEVALUE(C287&amp;"-01"),3),'📋 Транзакції'!$C$5:$C$3623,"&lt;"&amp;EDATE(DATEVALUE(C287&amp;"-01"),4))</f>
        <v>19.99</v>
      </c>
      <c r="W287" s="37">
        <f>SUMIFS('📋 Транзакції'!$F$5:$F$3623,'📋 Транзакції'!$B$5:$B$3623,A287,'📋 Транзакції'!$C$5:$C$3623,"&gt;="&amp;EDATE(DATEVALUE(C287&amp;"-01"),4),'📋 Транзакції'!$C$5:$C$3623,"&lt;"&amp;EDATE(DATEVALUE(C287&amp;"-01"),5))</f>
        <v>19.99</v>
      </c>
      <c r="X287" s="37">
        <f>SUMIFS('📋 Транзакції'!$F$5:$F$3623,'📋 Транзакції'!$B$5:$B$3623,A287,'📋 Транзакції'!$C$5:$C$3623,"&gt;="&amp;EDATE(DATEVALUE(C287&amp;"-01"),5),'📋 Транзакції'!$C$5:$C$3623,"&lt;"&amp;EDATE(DATEVALUE(C287&amp;"-01"),6))</f>
        <v>19.99</v>
      </c>
      <c r="Y287" s="37">
        <f>SUMIFS('📋 Транзакції'!$F$5:$F$3623,'📋 Транзакції'!$B$5:$B$3623,A287,'📋 Транзакції'!$C$5:$C$3623,"&gt;="&amp;EDATE(DATEVALUE(C287&amp;"-01"),6),'📋 Транзакції'!$C$5:$C$3623,"&lt;"&amp;EDATE(DATEVALUE(C287&amp;"-01"),7))</f>
        <v>19.99</v>
      </c>
      <c r="Z287" s="37">
        <f>SUMIFS('📋 Транзакції'!$F$5:$F$3623,'📋 Транзакції'!$B$5:$B$3623,A287,'📋 Транзакції'!$C$5:$C$3623,"&gt;="&amp;EDATE(DATEVALUE(C287&amp;"-01"),7),'📋 Транзакції'!$C$5:$C$3623,"&lt;"&amp;EDATE(DATEVALUE(C287&amp;"-01"),8))</f>
        <v>0</v>
      </c>
      <c r="AA287" s="37">
        <f>SUMIFS('📋 Транзакції'!$F$5:$F$3623,'📋 Транзакції'!$B$5:$B$3623,A287,'📋 Транзакції'!$C$5:$C$3623,"&gt;="&amp;EDATE(DATEVALUE(C287&amp;"-01"),8),'📋 Транзакції'!$C$5:$C$3623,"&lt;"&amp;EDATE(DATEVALUE(C287&amp;"-01"),9))</f>
        <v>0</v>
      </c>
      <c r="AB287" s="37">
        <f>SUMIFS('📋 Транзакції'!$F$5:$F$3623,'📋 Транзакції'!$B$5:$B$3623,A287,'📋 Транзакції'!$C$5:$C$3623,"&gt;="&amp;EDATE(DATEVALUE(C287&amp;"-01"),9),'📋 Транзакції'!$C$5:$C$3623,"&lt;"&amp;EDATE(DATEVALUE(C287&amp;"-01"),10))</f>
        <v>0</v>
      </c>
      <c r="AC287" s="37">
        <f>SUMIFS('📋 Транзакції'!$F$5:$F$3623,'📋 Транзакції'!$B$5:$B$3623,A287,'📋 Транзакції'!$C$5:$C$3623,"&gt;="&amp;EDATE(DATEVALUE(C287&amp;"-01"),10),'📋 Транзакції'!$C$5:$C$3623,"&lt;"&amp;EDATE(DATEVALUE(C287&amp;"-01"),11))</f>
        <v>0</v>
      </c>
      <c r="AD287" s="37">
        <f>SUMIFS('📋 Транзакції'!$F$5:$F$3623,'📋 Транзакції'!$B$5:$B$3623,A287,'📋 Транзакції'!$C$5:$C$3623,"&gt;="&amp;EDATE(DATEVALUE(C287&amp;"-01"),11),'📋 Транзакції'!$C$5:$C$3623,"&lt;"&amp;EDATE(DATEVALUE(C287&amp;"-01"),12))</f>
        <v>0</v>
      </c>
    </row>
    <row r="288" ht="15.75" customHeight="1">
      <c r="A288" s="33" t="str">
        <f>'📋 Реєстрації'!A288:A889</f>
        <v>U0040</v>
      </c>
      <c r="B288" s="34">
        <f t="array" ref="B288">INDEX('📋 Транзакції'!$C$5:$C$3623,MATCH(A288,'📋 Транзакції'!$B$5:$B$3623,0))</f>
        <v>45552</v>
      </c>
      <c r="C288" s="35" t="str">
        <f t="shared" si="1"/>
        <v>2024-09</v>
      </c>
      <c r="D288" s="36">
        <f>COUNTIF('📋 Транзакції'!$B$5:$B$3623,A288)</f>
        <v>8</v>
      </c>
      <c r="E288" s="36">
        <f>SUMIF('📋 Транзакції'!$B$5:$B$3623,A288,'📋 Транзакції'!$F$5:$F$3623)</f>
        <v>139.93</v>
      </c>
      <c r="F288" s="35">
        <f>INT($A$1-MAXIFS('📋 Транзакції'!$C$5:$C$3623,'📋 Транзакції'!$B$5:$B$3623,A288))</f>
        <v>8</v>
      </c>
      <c r="G288" s="37">
        <f>IF(COUNTIFS('📋 Транзакції'!$B$5:$B$3623,A288,'📋 Транзакції'!$C$5:$C$3623,"&gt;="&amp;EDATE(DATEVALUE(C288&amp;"-01"),0),'📋 Транзакції'!$C$5:$C$3623,"&lt;"&amp;EDATE(DATEVALUE(C288&amp;"-01"),1))&gt;0,1,0)</f>
        <v>1</v>
      </c>
      <c r="H288" s="37">
        <f>IF(COUNTIFS('📋 Транзакції'!$B$5:$B$3623,A288,'📋 Транзакції'!$C$5:$C$3623,"&gt;="&amp;EDATE(DATEVALUE(C288&amp;"-01"),1),'📋 Транзакції'!$C$5:$C$3623,"&lt;"&amp;EDATE(DATEVALUE(C288&amp;"-01"),2))&gt;0,1,0)</f>
        <v>1</v>
      </c>
      <c r="I288" s="37">
        <f>IF(COUNTIFS('📋 Транзакції'!$B$5:$B$3623,A288,'📋 Транзакції'!$C$5:$C$3623,"&gt;="&amp;EDATE(DATEVALUE(C288&amp;"-01"),2),'📋 Транзакції'!$C$5:$C$3623,"&lt;"&amp;EDATE(DATEVALUE(C288&amp;"-01"),3))&gt;0,1,0)</f>
        <v>1</v>
      </c>
      <c r="J288" s="37">
        <f>IF(COUNTIFS('📋 Транзакції'!$B$5:$B$3623,A288,'📋 Транзакції'!$C$5:$C$3623,"&gt;="&amp;EDATE(DATEVALUE(C288&amp;"-01"),3),'📋 Транзакції'!$C$5:$C$3623,"&lt;"&amp;EDATE(DATEVALUE(C288&amp;"-01"),4))&gt;0,1,0)</f>
        <v>1</v>
      </c>
      <c r="K288" s="37">
        <f>IF(COUNTIFS('📋 Транзакції'!$B$5:$B$3623,A288,'📋 Транзакції'!$C$5:$C$3623,"&gt;="&amp;EDATE(DATEVALUE(C288&amp;"-01"),4),'📋 Транзакції'!$C$5:$C$3623,"&lt;"&amp;EDATE(DATEVALUE(C288&amp;"-01"),5))&gt;0,1,0)</f>
        <v>1</v>
      </c>
      <c r="L288" s="37">
        <f>IF(COUNTIFS('📋 Транзакції'!$B$5:$B$3623,A288,'📋 Транзакції'!$C$5:$C$3623,"&gt;="&amp;EDATE(DATEVALUE(C288&amp;"-01"),5),'📋 Транзакції'!$C$5:$C$3623,"&lt;"&amp;EDATE(DATEVALUE(C288&amp;"-01"),6))&gt;0,1,0)</f>
        <v>1</v>
      </c>
      <c r="M288" s="37">
        <f>IF(COUNTIFS('📋 Транзакції'!$B$5:$B$3623,A288,'📋 Транзакції'!$C$5:$C$3623,"&gt;="&amp;EDATE(DATEVALUE(C288&amp;"-01"),6),'📋 Транзакції'!$C$5:$C$3623,"&lt;"&amp;EDATE(DATEVALUE(C288&amp;"-01"),7))&gt;0,1,0)</f>
        <v>1</v>
      </c>
      <c r="N288" s="37">
        <f>IF(COUNTIFS('📋 Транзакції'!$B$5:$B$3623,A288,'📋 Транзакції'!$C$5:$C$3623,"&gt;="&amp;EDATE(DATEVALUE(C288&amp;"-01"),7),'📋 Транзакції'!$C$5:$C$3623,"&lt;"&amp;EDATE(DATEVALUE(C288&amp;"-01"),8))&gt;0,1,0)</f>
        <v>0</v>
      </c>
      <c r="O288" s="37">
        <f>IF(COUNTIFS('📋 Транзакції'!$B$5:$B$3623,A288,'📋 Транзакції'!$C$5:$C$3623,"&gt;="&amp;EDATE(DATEVALUE(C288&amp;"-01"),8),'📋 Транзакції'!$C$5:$C$3623,"&lt;"&amp;EDATE(DATEVALUE(C288&amp;"-01"),9))&gt;0,1,0)</f>
        <v>0</v>
      </c>
      <c r="P288" s="37">
        <f>IF(COUNTIFS('📋 Транзакції'!$B$5:$B$3623,A288,'📋 Транзакції'!$C$5:$C$3623,"&gt;="&amp;EDATE(DATEVALUE(C288&amp;"-01"),9),'📋 Транзакції'!$C$5:$C$3623,"&lt;"&amp;EDATE(DATEVALUE(C288&amp;"-01"),10))&gt;0,1,0)</f>
        <v>0</v>
      </c>
      <c r="Q288" s="37">
        <f>IF(COUNTIFS('📋 Транзакції'!$B$5:$B$3623,A288,'📋 Транзакції'!$C$5:$C$3623,"&gt;="&amp;EDATE(DATEVALUE(C288&amp;"-01"),10),'📋 Транзакції'!$C$5:$C$3623,"&lt;"&amp;EDATE(DATEVALUE(C288&amp;"-01"),11))&gt;0,1,0)</f>
        <v>0</v>
      </c>
      <c r="R288" s="37">
        <f>IF(COUNTIFS('📋 Транзакції'!$B$5:$B$3623,A288,'📋 Транзакції'!$C$5:$C$3623,"&gt;="&amp;EDATE(DATEVALUE(C288&amp;"-01"),11),'📋 Транзакції'!$C$5:$C$3623,"&lt;"&amp;EDATE(DATEVALUE(C288&amp;"-01"),12))&gt;0,1,0)</f>
        <v>0</v>
      </c>
      <c r="S288" s="37">
        <f>SUMIFS('📋 Транзакції'!$F$5:$F$3623,'📋 Транзакції'!$B$5:$B$3623,A288,'📋 Транзакції'!$C$5:$C$3623,"&gt;="&amp;EDATE(DATEVALUE(C288&amp;"-01"),0),'📋 Транзакції'!$C$5:$C$3623,"&lt;"&amp;EDATE(DATEVALUE(C288&amp;"-01"),1))</f>
        <v>19.99</v>
      </c>
      <c r="T288" s="37">
        <f>SUMIFS('📋 Транзакції'!$F$5:$F$3623,'📋 Транзакції'!$B$5:$B$3623,A288,'📋 Транзакції'!$C$5:$C$3623,"&gt;="&amp;EDATE(DATEVALUE(C288&amp;"-01"),1),'📋 Транзакції'!$C$5:$C$3623,"&lt;"&amp;EDATE(DATEVALUE(C288&amp;"-01"),2))</f>
        <v>19.99</v>
      </c>
      <c r="U288" s="37">
        <f>SUMIFS('📋 Транзакції'!$F$5:$F$3623,'📋 Транзакції'!$B$5:$B$3623,A288,'📋 Транзакції'!$C$5:$C$3623,"&gt;="&amp;EDATE(DATEVALUE(C288&amp;"-01"),2),'📋 Транзакції'!$C$5:$C$3623,"&lt;"&amp;EDATE(DATEVALUE(C288&amp;"-01"),3))</f>
        <v>19.99</v>
      </c>
      <c r="V288" s="37">
        <f>SUMIFS('📋 Транзакції'!$F$5:$F$3623,'📋 Транзакції'!$B$5:$B$3623,A288,'📋 Транзакції'!$C$5:$C$3623,"&gt;="&amp;EDATE(DATEVALUE(C288&amp;"-01"),3),'📋 Транзакції'!$C$5:$C$3623,"&lt;"&amp;EDATE(DATEVALUE(C288&amp;"-01"),4))</f>
        <v>19.99</v>
      </c>
      <c r="W288" s="37">
        <f>SUMIFS('📋 Транзакції'!$F$5:$F$3623,'📋 Транзакції'!$B$5:$B$3623,A288,'📋 Транзакції'!$C$5:$C$3623,"&gt;="&amp;EDATE(DATEVALUE(C288&amp;"-01"),4),'📋 Транзакції'!$C$5:$C$3623,"&lt;"&amp;EDATE(DATEVALUE(C288&amp;"-01"),5))</f>
        <v>19.99</v>
      </c>
      <c r="X288" s="37">
        <f>SUMIFS('📋 Транзакції'!$F$5:$F$3623,'📋 Транзакції'!$B$5:$B$3623,A288,'📋 Транзакції'!$C$5:$C$3623,"&gt;="&amp;EDATE(DATEVALUE(C288&amp;"-01"),5),'📋 Транзакції'!$C$5:$C$3623,"&lt;"&amp;EDATE(DATEVALUE(C288&amp;"-01"),6))</f>
        <v>19.99</v>
      </c>
      <c r="Y288" s="37">
        <f>SUMIFS('📋 Транзакції'!$F$5:$F$3623,'📋 Транзакції'!$B$5:$B$3623,A288,'📋 Транзакції'!$C$5:$C$3623,"&gt;="&amp;EDATE(DATEVALUE(C288&amp;"-01"),6),'📋 Транзакції'!$C$5:$C$3623,"&lt;"&amp;EDATE(DATEVALUE(C288&amp;"-01"),7))</f>
        <v>19.99</v>
      </c>
      <c r="Z288" s="37">
        <f>SUMIFS('📋 Транзакції'!$F$5:$F$3623,'📋 Транзакції'!$B$5:$B$3623,A288,'📋 Транзакції'!$C$5:$C$3623,"&gt;="&amp;EDATE(DATEVALUE(C288&amp;"-01"),7),'📋 Транзакції'!$C$5:$C$3623,"&lt;"&amp;EDATE(DATEVALUE(C288&amp;"-01"),8))</f>
        <v>0</v>
      </c>
      <c r="AA288" s="37">
        <f>SUMIFS('📋 Транзакції'!$F$5:$F$3623,'📋 Транзакції'!$B$5:$B$3623,A288,'📋 Транзакції'!$C$5:$C$3623,"&gt;="&amp;EDATE(DATEVALUE(C288&amp;"-01"),8),'📋 Транзакції'!$C$5:$C$3623,"&lt;"&amp;EDATE(DATEVALUE(C288&amp;"-01"),9))</f>
        <v>0</v>
      </c>
      <c r="AB288" s="37">
        <f>SUMIFS('📋 Транзакції'!$F$5:$F$3623,'📋 Транзакції'!$B$5:$B$3623,A288,'📋 Транзакції'!$C$5:$C$3623,"&gt;="&amp;EDATE(DATEVALUE(C288&amp;"-01"),9),'📋 Транзакції'!$C$5:$C$3623,"&lt;"&amp;EDATE(DATEVALUE(C288&amp;"-01"),10))</f>
        <v>0</v>
      </c>
      <c r="AC288" s="37">
        <f>SUMIFS('📋 Транзакції'!$F$5:$F$3623,'📋 Транзакції'!$B$5:$B$3623,A288,'📋 Транзакції'!$C$5:$C$3623,"&gt;="&amp;EDATE(DATEVALUE(C288&amp;"-01"),10),'📋 Транзакції'!$C$5:$C$3623,"&lt;"&amp;EDATE(DATEVALUE(C288&amp;"-01"),11))</f>
        <v>0</v>
      </c>
      <c r="AD288" s="37">
        <f>SUMIFS('📋 Транзакції'!$F$5:$F$3623,'📋 Транзакції'!$B$5:$B$3623,A288,'📋 Транзакції'!$C$5:$C$3623,"&gt;="&amp;EDATE(DATEVALUE(C288&amp;"-01"),11),'📋 Транзакції'!$C$5:$C$3623,"&lt;"&amp;EDATE(DATEVALUE(C288&amp;"-01"),12))</f>
        <v>0</v>
      </c>
    </row>
    <row r="289" ht="15.75" customHeight="1">
      <c r="A289" s="33" t="str">
        <f>'📋 Реєстрації'!A289:A890</f>
        <v>U0714</v>
      </c>
      <c r="B289" s="34">
        <f t="array" ref="B289">INDEX('📋 Транзакції'!$C$5:$C$3623,MATCH(A289,'📋 Транзакції'!$B$5:$B$3623,0))</f>
        <v>45552</v>
      </c>
      <c r="C289" s="35" t="str">
        <f t="shared" si="1"/>
        <v>2024-09</v>
      </c>
      <c r="D289" s="36">
        <f>COUNTIF('📋 Транзакції'!$B$5:$B$3623,A289)</f>
        <v>8</v>
      </c>
      <c r="E289" s="36">
        <f>SUMIF('📋 Транзакції'!$B$5:$B$3623,A289,'📋 Транзакції'!$F$5:$F$3623)</f>
        <v>139.93</v>
      </c>
      <c r="F289" s="35">
        <f>INT($A$1-MAXIFS('📋 Транзакції'!$C$5:$C$3623,'📋 Транзакції'!$B$5:$B$3623,A289))</f>
        <v>8</v>
      </c>
      <c r="G289" s="37">
        <f>IF(COUNTIFS('📋 Транзакції'!$B$5:$B$3623,A289,'📋 Транзакції'!$C$5:$C$3623,"&gt;="&amp;EDATE(DATEVALUE(C289&amp;"-01"),0),'📋 Транзакції'!$C$5:$C$3623,"&lt;"&amp;EDATE(DATEVALUE(C289&amp;"-01"),1))&gt;0,1,0)</f>
        <v>1</v>
      </c>
      <c r="H289" s="37">
        <f>IF(COUNTIFS('📋 Транзакції'!$B$5:$B$3623,A289,'📋 Транзакції'!$C$5:$C$3623,"&gt;="&amp;EDATE(DATEVALUE(C289&amp;"-01"),1),'📋 Транзакції'!$C$5:$C$3623,"&lt;"&amp;EDATE(DATEVALUE(C289&amp;"-01"),2))&gt;0,1,0)</f>
        <v>1</v>
      </c>
      <c r="I289" s="37">
        <f>IF(COUNTIFS('📋 Транзакції'!$B$5:$B$3623,A289,'📋 Транзакції'!$C$5:$C$3623,"&gt;="&amp;EDATE(DATEVALUE(C289&amp;"-01"),2),'📋 Транзакції'!$C$5:$C$3623,"&lt;"&amp;EDATE(DATEVALUE(C289&amp;"-01"),3))&gt;0,1,0)</f>
        <v>1</v>
      </c>
      <c r="J289" s="37">
        <f>IF(COUNTIFS('📋 Транзакції'!$B$5:$B$3623,A289,'📋 Транзакції'!$C$5:$C$3623,"&gt;="&amp;EDATE(DATEVALUE(C289&amp;"-01"),3),'📋 Транзакції'!$C$5:$C$3623,"&lt;"&amp;EDATE(DATEVALUE(C289&amp;"-01"),4))&gt;0,1,0)</f>
        <v>1</v>
      </c>
      <c r="K289" s="37">
        <f>IF(COUNTIFS('📋 Транзакції'!$B$5:$B$3623,A289,'📋 Транзакції'!$C$5:$C$3623,"&gt;="&amp;EDATE(DATEVALUE(C289&amp;"-01"),4),'📋 Транзакції'!$C$5:$C$3623,"&lt;"&amp;EDATE(DATEVALUE(C289&amp;"-01"),5))&gt;0,1,0)</f>
        <v>1</v>
      </c>
      <c r="L289" s="37">
        <f>IF(COUNTIFS('📋 Транзакції'!$B$5:$B$3623,A289,'📋 Транзакції'!$C$5:$C$3623,"&gt;="&amp;EDATE(DATEVALUE(C289&amp;"-01"),5),'📋 Транзакції'!$C$5:$C$3623,"&lt;"&amp;EDATE(DATEVALUE(C289&amp;"-01"),6))&gt;0,1,0)</f>
        <v>1</v>
      </c>
      <c r="M289" s="37">
        <f>IF(COUNTIFS('📋 Транзакції'!$B$5:$B$3623,A289,'📋 Транзакції'!$C$5:$C$3623,"&gt;="&amp;EDATE(DATEVALUE(C289&amp;"-01"),6),'📋 Транзакції'!$C$5:$C$3623,"&lt;"&amp;EDATE(DATEVALUE(C289&amp;"-01"),7))&gt;0,1,0)</f>
        <v>1</v>
      </c>
      <c r="N289" s="37">
        <f>IF(COUNTIFS('📋 Транзакції'!$B$5:$B$3623,A289,'📋 Транзакції'!$C$5:$C$3623,"&gt;="&amp;EDATE(DATEVALUE(C289&amp;"-01"),7),'📋 Транзакції'!$C$5:$C$3623,"&lt;"&amp;EDATE(DATEVALUE(C289&amp;"-01"),8))&gt;0,1,0)</f>
        <v>0</v>
      </c>
      <c r="O289" s="37">
        <f>IF(COUNTIFS('📋 Транзакції'!$B$5:$B$3623,A289,'📋 Транзакції'!$C$5:$C$3623,"&gt;="&amp;EDATE(DATEVALUE(C289&amp;"-01"),8),'📋 Транзакції'!$C$5:$C$3623,"&lt;"&amp;EDATE(DATEVALUE(C289&amp;"-01"),9))&gt;0,1,0)</f>
        <v>0</v>
      </c>
      <c r="P289" s="37">
        <f>IF(COUNTIFS('📋 Транзакції'!$B$5:$B$3623,A289,'📋 Транзакції'!$C$5:$C$3623,"&gt;="&amp;EDATE(DATEVALUE(C289&amp;"-01"),9),'📋 Транзакції'!$C$5:$C$3623,"&lt;"&amp;EDATE(DATEVALUE(C289&amp;"-01"),10))&gt;0,1,0)</f>
        <v>0</v>
      </c>
      <c r="Q289" s="37">
        <f>IF(COUNTIFS('📋 Транзакції'!$B$5:$B$3623,A289,'📋 Транзакції'!$C$5:$C$3623,"&gt;="&amp;EDATE(DATEVALUE(C289&amp;"-01"),10),'📋 Транзакції'!$C$5:$C$3623,"&lt;"&amp;EDATE(DATEVALUE(C289&amp;"-01"),11))&gt;0,1,0)</f>
        <v>0</v>
      </c>
      <c r="R289" s="37">
        <f>IF(COUNTIFS('📋 Транзакції'!$B$5:$B$3623,A289,'📋 Транзакції'!$C$5:$C$3623,"&gt;="&amp;EDATE(DATEVALUE(C289&amp;"-01"),11),'📋 Транзакції'!$C$5:$C$3623,"&lt;"&amp;EDATE(DATEVALUE(C289&amp;"-01"),12))&gt;0,1,0)</f>
        <v>0</v>
      </c>
      <c r="S289" s="37">
        <f>SUMIFS('📋 Транзакції'!$F$5:$F$3623,'📋 Транзакції'!$B$5:$B$3623,A289,'📋 Транзакції'!$C$5:$C$3623,"&gt;="&amp;EDATE(DATEVALUE(C289&amp;"-01"),0),'📋 Транзакції'!$C$5:$C$3623,"&lt;"&amp;EDATE(DATEVALUE(C289&amp;"-01"),1))</f>
        <v>19.99</v>
      </c>
      <c r="T289" s="37">
        <f>SUMIFS('📋 Транзакції'!$F$5:$F$3623,'📋 Транзакції'!$B$5:$B$3623,A289,'📋 Транзакції'!$C$5:$C$3623,"&gt;="&amp;EDATE(DATEVALUE(C289&amp;"-01"),1),'📋 Транзакції'!$C$5:$C$3623,"&lt;"&amp;EDATE(DATEVALUE(C289&amp;"-01"),2))</f>
        <v>19.99</v>
      </c>
      <c r="U289" s="37">
        <f>SUMIFS('📋 Транзакції'!$F$5:$F$3623,'📋 Транзакції'!$B$5:$B$3623,A289,'📋 Транзакції'!$C$5:$C$3623,"&gt;="&amp;EDATE(DATEVALUE(C289&amp;"-01"),2),'📋 Транзакції'!$C$5:$C$3623,"&lt;"&amp;EDATE(DATEVALUE(C289&amp;"-01"),3))</f>
        <v>19.99</v>
      </c>
      <c r="V289" s="37">
        <f>SUMIFS('📋 Транзакції'!$F$5:$F$3623,'📋 Транзакції'!$B$5:$B$3623,A289,'📋 Транзакції'!$C$5:$C$3623,"&gt;="&amp;EDATE(DATEVALUE(C289&amp;"-01"),3),'📋 Транзакції'!$C$5:$C$3623,"&lt;"&amp;EDATE(DATEVALUE(C289&amp;"-01"),4))</f>
        <v>19.99</v>
      </c>
      <c r="W289" s="37">
        <f>SUMIFS('📋 Транзакції'!$F$5:$F$3623,'📋 Транзакції'!$B$5:$B$3623,A289,'📋 Транзакції'!$C$5:$C$3623,"&gt;="&amp;EDATE(DATEVALUE(C289&amp;"-01"),4),'📋 Транзакції'!$C$5:$C$3623,"&lt;"&amp;EDATE(DATEVALUE(C289&amp;"-01"),5))</f>
        <v>19.99</v>
      </c>
      <c r="X289" s="37">
        <f>SUMIFS('📋 Транзакції'!$F$5:$F$3623,'📋 Транзакції'!$B$5:$B$3623,A289,'📋 Транзакції'!$C$5:$C$3623,"&gt;="&amp;EDATE(DATEVALUE(C289&amp;"-01"),5),'📋 Транзакції'!$C$5:$C$3623,"&lt;"&amp;EDATE(DATEVALUE(C289&amp;"-01"),6))</f>
        <v>19.99</v>
      </c>
      <c r="Y289" s="37">
        <f>SUMIFS('📋 Транзакції'!$F$5:$F$3623,'📋 Транзакції'!$B$5:$B$3623,A289,'📋 Транзакції'!$C$5:$C$3623,"&gt;="&amp;EDATE(DATEVALUE(C289&amp;"-01"),6),'📋 Транзакції'!$C$5:$C$3623,"&lt;"&amp;EDATE(DATEVALUE(C289&amp;"-01"),7))</f>
        <v>19.99</v>
      </c>
      <c r="Z289" s="37">
        <f>SUMIFS('📋 Транзакції'!$F$5:$F$3623,'📋 Транзакції'!$B$5:$B$3623,A289,'📋 Транзакції'!$C$5:$C$3623,"&gt;="&amp;EDATE(DATEVALUE(C289&amp;"-01"),7),'📋 Транзакції'!$C$5:$C$3623,"&lt;"&amp;EDATE(DATEVALUE(C289&amp;"-01"),8))</f>
        <v>0</v>
      </c>
      <c r="AA289" s="37">
        <f>SUMIFS('📋 Транзакції'!$F$5:$F$3623,'📋 Транзакції'!$B$5:$B$3623,A289,'📋 Транзакції'!$C$5:$C$3623,"&gt;="&amp;EDATE(DATEVALUE(C289&amp;"-01"),8),'📋 Транзакції'!$C$5:$C$3623,"&lt;"&amp;EDATE(DATEVALUE(C289&amp;"-01"),9))</f>
        <v>0</v>
      </c>
      <c r="AB289" s="37">
        <f>SUMIFS('📋 Транзакції'!$F$5:$F$3623,'📋 Транзакції'!$B$5:$B$3623,A289,'📋 Транзакції'!$C$5:$C$3623,"&gt;="&amp;EDATE(DATEVALUE(C289&amp;"-01"),9),'📋 Транзакції'!$C$5:$C$3623,"&lt;"&amp;EDATE(DATEVALUE(C289&amp;"-01"),10))</f>
        <v>0</v>
      </c>
      <c r="AC289" s="37">
        <f>SUMIFS('📋 Транзакції'!$F$5:$F$3623,'📋 Транзакції'!$B$5:$B$3623,A289,'📋 Транзакції'!$C$5:$C$3623,"&gt;="&amp;EDATE(DATEVALUE(C289&amp;"-01"),10),'📋 Транзакції'!$C$5:$C$3623,"&lt;"&amp;EDATE(DATEVALUE(C289&amp;"-01"),11))</f>
        <v>0</v>
      </c>
      <c r="AD289" s="37">
        <f>SUMIFS('📋 Транзакції'!$F$5:$F$3623,'📋 Транзакції'!$B$5:$B$3623,A289,'📋 Транзакції'!$C$5:$C$3623,"&gt;="&amp;EDATE(DATEVALUE(C289&amp;"-01"),11),'📋 Транзакції'!$C$5:$C$3623,"&lt;"&amp;EDATE(DATEVALUE(C289&amp;"-01"),12))</f>
        <v>0</v>
      </c>
    </row>
    <row r="290" ht="15.75" customHeight="1">
      <c r="A290" s="33" t="str">
        <f>'📋 Реєстрації'!A290:A891</f>
        <v>U0805</v>
      </c>
      <c r="B290" s="34">
        <f t="array" ref="B290">INDEX('📋 Транзакції'!$C$5:$C$3623,MATCH(A290,'📋 Транзакції'!$B$5:$B$3623,0))</f>
        <v>45552</v>
      </c>
      <c r="C290" s="35" t="str">
        <f t="shared" si="1"/>
        <v>2024-09</v>
      </c>
      <c r="D290" s="36">
        <f>COUNTIF('📋 Транзакції'!$B$5:$B$3623,A290)</f>
        <v>8</v>
      </c>
      <c r="E290" s="36">
        <f>SUMIF('📋 Транзакції'!$B$5:$B$3623,A290,'📋 Транзакції'!$F$5:$F$3623)</f>
        <v>139.93</v>
      </c>
      <c r="F290" s="35">
        <f>INT($A$1-MAXIFS('📋 Транзакції'!$C$5:$C$3623,'📋 Транзакції'!$B$5:$B$3623,A290))</f>
        <v>8</v>
      </c>
      <c r="G290" s="37">
        <f>IF(COUNTIFS('📋 Транзакції'!$B$5:$B$3623,A290,'📋 Транзакції'!$C$5:$C$3623,"&gt;="&amp;EDATE(DATEVALUE(C290&amp;"-01"),0),'📋 Транзакції'!$C$5:$C$3623,"&lt;"&amp;EDATE(DATEVALUE(C290&amp;"-01"),1))&gt;0,1,0)</f>
        <v>1</v>
      </c>
      <c r="H290" s="37">
        <f>IF(COUNTIFS('📋 Транзакції'!$B$5:$B$3623,A290,'📋 Транзакції'!$C$5:$C$3623,"&gt;="&amp;EDATE(DATEVALUE(C290&amp;"-01"),1),'📋 Транзакції'!$C$5:$C$3623,"&lt;"&amp;EDATE(DATEVALUE(C290&amp;"-01"),2))&gt;0,1,0)</f>
        <v>1</v>
      </c>
      <c r="I290" s="37">
        <f>IF(COUNTIFS('📋 Транзакції'!$B$5:$B$3623,A290,'📋 Транзакції'!$C$5:$C$3623,"&gt;="&amp;EDATE(DATEVALUE(C290&amp;"-01"),2),'📋 Транзакції'!$C$5:$C$3623,"&lt;"&amp;EDATE(DATEVALUE(C290&amp;"-01"),3))&gt;0,1,0)</f>
        <v>1</v>
      </c>
      <c r="J290" s="37">
        <f>IF(COUNTIFS('📋 Транзакції'!$B$5:$B$3623,A290,'📋 Транзакції'!$C$5:$C$3623,"&gt;="&amp;EDATE(DATEVALUE(C290&amp;"-01"),3),'📋 Транзакції'!$C$5:$C$3623,"&lt;"&amp;EDATE(DATEVALUE(C290&amp;"-01"),4))&gt;0,1,0)</f>
        <v>1</v>
      </c>
      <c r="K290" s="37">
        <f>IF(COUNTIFS('📋 Транзакції'!$B$5:$B$3623,A290,'📋 Транзакції'!$C$5:$C$3623,"&gt;="&amp;EDATE(DATEVALUE(C290&amp;"-01"),4),'📋 Транзакції'!$C$5:$C$3623,"&lt;"&amp;EDATE(DATEVALUE(C290&amp;"-01"),5))&gt;0,1,0)</f>
        <v>1</v>
      </c>
      <c r="L290" s="37">
        <f>IF(COUNTIFS('📋 Транзакції'!$B$5:$B$3623,A290,'📋 Транзакції'!$C$5:$C$3623,"&gt;="&amp;EDATE(DATEVALUE(C290&amp;"-01"),5),'📋 Транзакції'!$C$5:$C$3623,"&lt;"&amp;EDATE(DATEVALUE(C290&amp;"-01"),6))&gt;0,1,0)</f>
        <v>1</v>
      </c>
      <c r="M290" s="37">
        <f>IF(COUNTIFS('📋 Транзакції'!$B$5:$B$3623,A290,'📋 Транзакції'!$C$5:$C$3623,"&gt;="&amp;EDATE(DATEVALUE(C290&amp;"-01"),6),'📋 Транзакції'!$C$5:$C$3623,"&lt;"&amp;EDATE(DATEVALUE(C290&amp;"-01"),7))&gt;0,1,0)</f>
        <v>1</v>
      </c>
      <c r="N290" s="37">
        <f>IF(COUNTIFS('📋 Транзакції'!$B$5:$B$3623,A290,'📋 Транзакції'!$C$5:$C$3623,"&gt;="&amp;EDATE(DATEVALUE(C290&amp;"-01"),7),'📋 Транзакції'!$C$5:$C$3623,"&lt;"&amp;EDATE(DATEVALUE(C290&amp;"-01"),8))&gt;0,1,0)</f>
        <v>0</v>
      </c>
      <c r="O290" s="37">
        <f>IF(COUNTIFS('📋 Транзакції'!$B$5:$B$3623,A290,'📋 Транзакції'!$C$5:$C$3623,"&gt;="&amp;EDATE(DATEVALUE(C290&amp;"-01"),8),'📋 Транзакції'!$C$5:$C$3623,"&lt;"&amp;EDATE(DATEVALUE(C290&amp;"-01"),9))&gt;0,1,0)</f>
        <v>0</v>
      </c>
      <c r="P290" s="37">
        <f>IF(COUNTIFS('📋 Транзакції'!$B$5:$B$3623,A290,'📋 Транзакції'!$C$5:$C$3623,"&gt;="&amp;EDATE(DATEVALUE(C290&amp;"-01"),9),'📋 Транзакції'!$C$5:$C$3623,"&lt;"&amp;EDATE(DATEVALUE(C290&amp;"-01"),10))&gt;0,1,0)</f>
        <v>0</v>
      </c>
      <c r="Q290" s="37">
        <f>IF(COUNTIFS('📋 Транзакції'!$B$5:$B$3623,A290,'📋 Транзакції'!$C$5:$C$3623,"&gt;="&amp;EDATE(DATEVALUE(C290&amp;"-01"),10),'📋 Транзакції'!$C$5:$C$3623,"&lt;"&amp;EDATE(DATEVALUE(C290&amp;"-01"),11))&gt;0,1,0)</f>
        <v>0</v>
      </c>
      <c r="R290" s="37">
        <f>IF(COUNTIFS('📋 Транзакції'!$B$5:$B$3623,A290,'📋 Транзакції'!$C$5:$C$3623,"&gt;="&amp;EDATE(DATEVALUE(C290&amp;"-01"),11),'📋 Транзакції'!$C$5:$C$3623,"&lt;"&amp;EDATE(DATEVALUE(C290&amp;"-01"),12))&gt;0,1,0)</f>
        <v>0</v>
      </c>
      <c r="S290" s="37">
        <f>SUMIFS('📋 Транзакції'!$F$5:$F$3623,'📋 Транзакції'!$B$5:$B$3623,A290,'📋 Транзакції'!$C$5:$C$3623,"&gt;="&amp;EDATE(DATEVALUE(C290&amp;"-01"),0),'📋 Транзакції'!$C$5:$C$3623,"&lt;"&amp;EDATE(DATEVALUE(C290&amp;"-01"),1))</f>
        <v>19.99</v>
      </c>
      <c r="T290" s="37">
        <f>SUMIFS('📋 Транзакції'!$F$5:$F$3623,'📋 Транзакції'!$B$5:$B$3623,A290,'📋 Транзакції'!$C$5:$C$3623,"&gt;="&amp;EDATE(DATEVALUE(C290&amp;"-01"),1),'📋 Транзакції'!$C$5:$C$3623,"&lt;"&amp;EDATE(DATEVALUE(C290&amp;"-01"),2))</f>
        <v>19.99</v>
      </c>
      <c r="U290" s="37">
        <f>SUMIFS('📋 Транзакції'!$F$5:$F$3623,'📋 Транзакції'!$B$5:$B$3623,A290,'📋 Транзакції'!$C$5:$C$3623,"&gt;="&amp;EDATE(DATEVALUE(C290&amp;"-01"),2),'📋 Транзакції'!$C$5:$C$3623,"&lt;"&amp;EDATE(DATEVALUE(C290&amp;"-01"),3))</f>
        <v>19.99</v>
      </c>
      <c r="V290" s="37">
        <f>SUMIFS('📋 Транзакції'!$F$5:$F$3623,'📋 Транзакції'!$B$5:$B$3623,A290,'📋 Транзакції'!$C$5:$C$3623,"&gt;="&amp;EDATE(DATEVALUE(C290&amp;"-01"),3),'📋 Транзакції'!$C$5:$C$3623,"&lt;"&amp;EDATE(DATEVALUE(C290&amp;"-01"),4))</f>
        <v>19.99</v>
      </c>
      <c r="W290" s="37">
        <f>SUMIFS('📋 Транзакції'!$F$5:$F$3623,'📋 Транзакції'!$B$5:$B$3623,A290,'📋 Транзакції'!$C$5:$C$3623,"&gt;="&amp;EDATE(DATEVALUE(C290&amp;"-01"),4),'📋 Транзакції'!$C$5:$C$3623,"&lt;"&amp;EDATE(DATEVALUE(C290&amp;"-01"),5))</f>
        <v>19.99</v>
      </c>
      <c r="X290" s="37">
        <f>SUMIFS('📋 Транзакції'!$F$5:$F$3623,'📋 Транзакції'!$B$5:$B$3623,A290,'📋 Транзакції'!$C$5:$C$3623,"&gt;="&amp;EDATE(DATEVALUE(C290&amp;"-01"),5),'📋 Транзакції'!$C$5:$C$3623,"&lt;"&amp;EDATE(DATEVALUE(C290&amp;"-01"),6))</f>
        <v>19.99</v>
      </c>
      <c r="Y290" s="37">
        <f>SUMIFS('📋 Транзакції'!$F$5:$F$3623,'📋 Транзакції'!$B$5:$B$3623,A290,'📋 Транзакції'!$C$5:$C$3623,"&gt;="&amp;EDATE(DATEVALUE(C290&amp;"-01"),6),'📋 Транзакції'!$C$5:$C$3623,"&lt;"&amp;EDATE(DATEVALUE(C290&amp;"-01"),7))</f>
        <v>19.99</v>
      </c>
      <c r="Z290" s="37">
        <f>SUMIFS('📋 Транзакції'!$F$5:$F$3623,'📋 Транзакції'!$B$5:$B$3623,A290,'📋 Транзакції'!$C$5:$C$3623,"&gt;="&amp;EDATE(DATEVALUE(C290&amp;"-01"),7),'📋 Транзакції'!$C$5:$C$3623,"&lt;"&amp;EDATE(DATEVALUE(C290&amp;"-01"),8))</f>
        <v>0</v>
      </c>
      <c r="AA290" s="37">
        <f>SUMIFS('📋 Транзакції'!$F$5:$F$3623,'📋 Транзакції'!$B$5:$B$3623,A290,'📋 Транзакції'!$C$5:$C$3623,"&gt;="&amp;EDATE(DATEVALUE(C290&amp;"-01"),8),'📋 Транзакції'!$C$5:$C$3623,"&lt;"&amp;EDATE(DATEVALUE(C290&amp;"-01"),9))</f>
        <v>0</v>
      </c>
      <c r="AB290" s="37">
        <f>SUMIFS('📋 Транзакції'!$F$5:$F$3623,'📋 Транзакції'!$B$5:$B$3623,A290,'📋 Транзакції'!$C$5:$C$3623,"&gt;="&amp;EDATE(DATEVALUE(C290&amp;"-01"),9),'📋 Транзакції'!$C$5:$C$3623,"&lt;"&amp;EDATE(DATEVALUE(C290&amp;"-01"),10))</f>
        <v>0</v>
      </c>
      <c r="AC290" s="37">
        <f>SUMIFS('📋 Транзакції'!$F$5:$F$3623,'📋 Транзакції'!$B$5:$B$3623,A290,'📋 Транзакції'!$C$5:$C$3623,"&gt;="&amp;EDATE(DATEVALUE(C290&amp;"-01"),10),'📋 Транзакції'!$C$5:$C$3623,"&lt;"&amp;EDATE(DATEVALUE(C290&amp;"-01"),11))</f>
        <v>0</v>
      </c>
      <c r="AD290" s="37">
        <f>SUMIFS('📋 Транзакції'!$F$5:$F$3623,'📋 Транзакції'!$B$5:$B$3623,A290,'📋 Транзакції'!$C$5:$C$3623,"&gt;="&amp;EDATE(DATEVALUE(C290&amp;"-01"),11),'📋 Транзакції'!$C$5:$C$3623,"&lt;"&amp;EDATE(DATEVALUE(C290&amp;"-01"),12))</f>
        <v>0</v>
      </c>
    </row>
    <row r="291" ht="15.75" customHeight="1">
      <c r="A291" s="33" t="str">
        <f>'📋 Реєстрації'!A291:A892</f>
        <v>U0025</v>
      </c>
      <c r="B291" s="34">
        <f t="array" ref="B291">INDEX('📋 Транзакції'!$C$5:$C$3623,MATCH(A291,'📋 Транзакції'!$B$5:$B$3623,0))</f>
        <v>45553</v>
      </c>
      <c r="C291" s="35" t="str">
        <f t="shared" si="1"/>
        <v>2024-09</v>
      </c>
      <c r="D291" s="36">
        <f>COUNTIF('📋 Транзакції'!$B$5:$B$3623,A291)</f>
        <v>8</v>
      </c>
      <c r="E291" s="36">
        <f>SUMIF('📋 Транзакції'!$B$5:$B$3623,A291,'📋 Транзакції'!$F$5:$F$3623)</f>
        <v>139.93</v>
      </c>
      <c r="F291" s="35">
        <f>INT($A$1-MAXIFS('📋 Транзакції'!$C$5:$C$3623,'📋 Транзакції'!$B$5:$B$3623,A291))</f>
        <v>7</v>
      </c>
      <c r="G291" s="37">
        <f>IF(COUNTIFS('📋 Транзакції'!$B$5:$B$3623,A291,'📋 Транзакції'!$C$5:$C$3623,"&gt;="&amp;EDATE(DATEVALUE(C291&amp;"-01"),0),'📋 Транзакції'!$C$5:$C$3623,"&lt;"&amp;EDATE(DATEVALUE(C291&amp;"-01"),1))&gt;0,1,0)</f>
        <v>1</v>
      </c>
      <c r="H291" s="37">
        <f>IF(COUNTIFS('📋 Транзакції'!$B$5:$B$3623,A291,'📋 Транзакції'!$C$5:$C$3623,"&gt;="&amp;EDATE(DATEVALUE(C291&amp;"-01"),1),'📋 Транзакції'!$C$5:$C$3623,"&lt;"&amp;EDATE(DATEVALUE(C291&amp;"-01"),2))&gt;0,1,0)</f>
        <v>1</v>
      </c>
      <c r="I291" s="37">
        <f>IF(COUNTIFS('📋 Транзакції'!$B$5:$B$3623,A291,'📋 Транзакції'!$C$5:$C$3623,"&gt;="&amp;EDATE(DATEVALUE(C291&amp;"-01"),2),'📋 Транзакції'!$C$5:$C$3623,"&lt;"&amp;EDATE(DATEVALUE(C291&amp;"-01"),3))&gt;0,1,0)</f>
        <v>1</v>
      </c>
      <c r="J291" s="37">
        <f>IF(COUNTIFS('📋 Транзакції'!$B$5:$B$3623,A291,'📋 Транзакції'!$C$5:$C$3623,"&gt;="&amp;EDATE(DATEVALUE(C291&amp;"-01"),3),'📋 Транзакції'!$C$5:$C$3623,"&lt;"&amp;EDATE(DATEVALUE(C291&amp;"-01"),4))&gt;0,1,0)</f>
        <v>1</v>
      </c>
      <c r="K291" s="37">
        <f>IF(COUNTIFS('📋 Транзакції'!$B$5:$B$3623,A291,'📋 Транзакції'!$C$5:$C$3623,"&gt;="&amp;EDATE(DATEVALUE(C291&amp;"-01"),4),'📋 Транзакції'!$C$5:$C$3623,"&lt;"&amp;EDATE(DATEVALUE(C291&amp;"-01"),5))&gt;0,1,0)</f>
        <v>1</v>
      </c>
      <c r="L291" s="37">
        <f>IF(COUNTIFS('📋 Транзакції'!$B$5:$B$3623,A291,'📋 Транзакції'!$C$5:$C$3623,"&gt;="&amp;EDATE(DATEVALUE(C291&amp;"-01"),5),'📋 Транзакції'!$C$5:$C$3623,"&lt;"&amp;EDATE(DATEVALUE(C291&amp;"-01"),6))&gt;0,1,0)</f>
        <v>1</v>
      </c>
      <c r="M291" s="37">
        <f>IF(COUNTIFS('📋 Транзакції'!$B$5:$B$3623,A291,'📋 Транзакції'!$C$5:$C$3623,"&gt;="&amp;EDATE(DATEVALUE(C291&amp;"-01"),6),'📋 Транзакції'!$C$5:$C$3623,"&lt;"&amp;EDATE(DATEVALUE(C291&amp;"-01"),7))&gt;0,1,0)</f>
        <v>1</v>
      </c>
      <c r="N291" s="37">
        <f>IF(COUNTIFS('📋 Транзакції'!$B$5:$B$3623,A291,'📋 Транзакції'!$C$5:$C$3623,"&gt;="&amp;EDATE(DATEVALUE(C291&amp;"-01"),7),'📋 Транзакції'!$C$5:$C$3623,"&lt;"&amp;EDATE(DATEVALUE(C291&amp;"-01"),8))&gt;0,1,0)</f>
        <v>0</v>
      </c>
      <c r="O291" s="37">
        <f>IF(COUNTIFS('📋 Транзакції'!$B$5:$B$3623,A291,'📋 Транзакції'!$C$5:$C$3623,"&gt;="&amp;EDATE(DATEVALUE(C291&amp;"-01"),8),'📋 Транзакції'!$C$5:$C$3623,"&lt;"&amp;EDATE(DATEVALUE(C291&amp;"-01"),9))&gt;0,1,0)</f>
        <v>0</v>
      </c>
      <c r="P291" s="37">
        <f>IF(COUNTIFS('📋 Транзакції'!$B$5:$B$3623,A291,'📋 Транзакції'!$C$5:$C$3623,"&gt;="&amp;EDATE(DATEVALUE(C291&amp;"-01"),9),'📋 Транзакції'!$C$5:$C$3623,"&lt;"&amp;EDATE(DATEVALUE(C291&amp;"-01"),10))&gt;0,1,0)</f>
        <v>0</v>
      </c>
      <c r="Q291" s="37">
        <f>IF(COUNTIFS('📋 Транзакції'!$B$5:$B$3623,A291,'📋 Транзакції'!$C$5:$C$3623,"&gt;="&amp;EDATE(DATEVALUE(C291&amp;"-01"),10),'📋 Транзакції'!$C$5:$C$3623,"&lt;"&amp;EDATE(DATEVALUE(C291&amp;"-01"),11))&gt;0,1,0)</f>
        <v>0</v>
      </c>
      <c r="R291" s="37">
        <f>IF(COUNTIFS('📋 Транзакції'!$B$5:$B$3623,A291,'📋 Транзакції'!$C$5:$C$3623,"&gt;="&amp;EDATE(DATEVALUE(C291&amp;"-01"),11),'📋 Транзакції'!$C$5:$C$3623,"&lt;"&amp;EDATE(DATEVALUE(C291&amp;"-01"),12))&gt;0,1,0)</f>
        <v>0</v>
      </c>
      <c r="S291" s="37">
        <f>SUMIFS('📋 Транзакції'!$F$5:$F$3623,'📋 Транзакції'!$B$5:$B$3623,A291,'📋 Транзакції'!$C$5:$C$3623,"&gt;="&amp;EDATE(DATEVALUE(C291&amp;"-01"),0),'📋 Транзакції'!$C$5:$C$3623,"&lt;"&amp;EDATE(DATEVALUE(C291&amp;"-01"),1))</f>
        <v>19.99</v>
      </c>
      <c r="T291" s="37">
        <f>SUMIFS('📋 Транзакції'!$F$5:$F$3623,'📋 Транзакції'!$B$5:$B$3623,A291,'📋 Транзакції'!$C$5:$C$3623,"&gt;="&amp;EDATE(DATEVALUE(C291&amp;"-01"),1),'📋 Транзакції'!$C$5:$C$3623,"&lt;"&amp;EDATE(DATEVALUE(C291&amp;"-01"),2))</f>
        <v>19.99</v>
      </c>
      <c r="U291" s="37">
        <f>SUMIFS('📋 Транзакції'!$F$5:$F$3623,'📋 Транзакції'!$B$5:$B$3623,A291,'📋 Транзакції'!$C$5:$C$3623,"&gt;="&amp;EDATE(DATEVALUE(C291&amp;"-01"),2),'📋 Транзакції'!$C$5:$C$3623,"&lt;"&amp;EDATE(DATEVALUE(C291&amp;"-01"),3))</f>
        <v>19.99</v>
      </c>
      <c r="V291" s="37">
        <f>SUMIFS('📋 Транзакції'!$F$5:$F$3623,'📋 Транзакції'!$B$5:$B$3623,A291,'📋 Транзакції'!$C$5:$C$3623,"&gt;="&amp;EDATE(DATEVALUE(C291&amp;"-01"),3),'📋 Транзакції'!$C$5:$C$3623,"&lt;"&amp;EDATE(DATEVALUE(C291&amp;"-01"),4))</f>
        <v>19.99</v>
      </c>
      <c r="W291" s="37">
        <f>SUMIFS('📋 Транзакції'!$F$5:$F$3623,'📋 Транзакції'!$B$5:$B$3623,A291,'📋 Транзакції'!$C$5:$C$3623,"&gt;="&amp;EDATE(DATEVALUE(C291&amp;"-01"),4),'📋 Транзакції'!$C$5:$C$3623,"&lt;"&amp;EDATE(DATEVALUE(C291&amp;"-01"),5))</f>
        <v>19.99</v>
      </c>
      <c r="X291" s="37">
        <f>SUMIFS('📋 Транзакції'!$F$5:$F$3623,'📋 Транзакції'!$B$5:$B$3623,A291,'📋 Транзакції'!$C$5:$C$3623,"&gt;="&amp;EDATE(DATEVALUE(C291&amp;"-01"),5),'📋 Транзакції'!$C$5:$C$3623,"&lt;"&amp;EDATE(DATEVALUE(C291&amp;"-01"),6))</f>
        <v>19.99</v>
      </c>
      <c r="Y291" s="37">
        <f>SUMIFS('📋 Транзакції'!$F$5:$F$3623,'📋 Транзакції'!$B$5:$B$3623,A291,'📋 Транзакції'!$C$5:$C$3623,"&gt;="&amp;EDATE(DATEVALUE(C291&amp;"-01"),6),'📋 Транзакції'!$C$5:$C$3623,"&lt;"&amp;EDATE(DATEVALUE(C291&amp;"-01"),7))</f>
        <v>19.99</v>
      </c>
      <c r="Z291" s="37">
        <f>SUMIFS('📋 Транзакції'!$F$5:$F$3623,'📋 Транзакції'!$B$5:$B$3623,A291,'📋 Транзакції'!$C$5:$C$3623,"&gt;="&amp;EDATE(DATEVALUE(C291&amp;"-01"),7),'📋 Транзакції'!$C$5:$C$3623,"&lt;"&amp;EDATE(DATEVALUE(C291&amp;"-01"),8))</f>
        <v>0</v>
      </c>
      <c r="AA291" s="37">
        <f>SUMIFS('📋 Транзакції'!$F$5:$F$3623,'📋 Транзакції'!$B$5:$B$3623,A291,'📋 Транзакції'!$C$5:$C$3623,"&gt;="&amp;EDATE(DATEVALUE(C291&amp;"-01"),8),'📋 Транзакції'!$C$5:$C$3623,"&lt;"&amp;EDATE(DATEVALUE(C291&amp;"-01"),9))</f>
        <v>0</v>
      </c>
      <c r="AB291" s="37">
        <f>SUMIFS('📋 Транзакції'!$F$5:$F$3623,'📋 Транзакції'!$B$5:$B$3623,A291,'📋 Транзакції'!$C$5:$C$3623,"&gt;="&amp;EDATE(DATEVALUE(C291&amp;"-01"),9),'📋 Транзакції'!$C$5:$C$3623,"&lt;"&amp;EDATE(DATEVALUE(C291&amp;"-01"),10))</f>
        <v>0</v>
      </c>
      <c r="AC291" s="37">
        <f>SUMIFS('📋 Транзакції'!$F$5:$F$3623,'📋 Транзакції'!$B$5:$B$3623,A291,'📋 Транзакції'!$C$5:$C$3623,"&gt;="&amp;EDATE(DATEVALUE(C291&amp;"-01"),10),'📋 Транзакції'!$C$5:$C$3623,"&lt;"&amp;EDATE(DATEVALUE(C291&amp;"-01"),11))</f>
        <v>0</v>
      </c>
      <c r="AD291" s="37">
        <f>SUMIFS('📋 Транзакції'!$F$5:$F$3623,'📋 Транзакції'!$B$5:$B$3623,A291,'📋 Транзакції'!$C$5:$C$3623,"&gt;="&amp;EDATE(DATEVALUE(C291&amp;"-01"),11),'📋 Транзакції'!$C$5:$C$3623,"&lt;"&amp;EDATE(DATEVALUE(C291&amp;"-01"),12))</f>
        <v>0</v>
      </c>
    </row>
    <row r="292" ht="15.75" customHeight="1">
      <c r="A292" s="33" t="str">
        <f>'📋 Реєстрації'!A292:A893</f>
        <v>U0483</v>
      </c>
      <c r="B292" s="34">
        <f t="array" ref="B292">INDEX('📋 Транзакції'!$C$5:$C$3623,MATCH(A292,'📋 Транзакції'!$B$5:$B$3623,0))</f>
        <v>45553</v>
      </c>
      <c r="C292" s="35" t="str">
        <f t="shared" si="1"/>
        <v>2024-09</v>
      </c>
      <c r="D292" s="36">
        <f>COUNTIF('📋 Транзакції'!$B$5:$B$3623,A292)</f>
        <v>8</v>
      </c>
      <c r="E292" s="36">
        <f>SUMIF('📋 Транзакції'!$B$5:$B$3623,A292,'📋 Транзакції'!$F$5:$F$3623)</f>
        <v>139.93</v>
      </c>
      <c r="F292" s="35">
        <f>INT($A$1-MAXIFS('📋 Транзакції'!$C$5:$C$3623,'📋 Транзакції'!$B$5:$B$3623,A292))</f>
        <v>7</v>
      </c>
      <c r="G292" s="37">
        <f>IF(COUNTIFS('📋 Транзакції'!$B$5:$B$3623,A292,'📋 Транзакції'!$C$5:$C$3623,"&gt;="&amp;EDATE(DATEVALUE(C292&amp;"-01"),0),'📋 Транзакції'!$C$5:$C$3623,"&lt;"&amp;EDATE(DATEVALUE(C292&amp;"-01"),1))&gt;0,1,0)</f>
        <v>1</v>
      </c>
      <c r="H292" s="37">
        <f>IF(COUNTIFS('📋 Транзакції'!$B$5:$B$3623,A292,'📋 Транзакції'!$C$5:$C$3623,"&gt;="&amp;EDATE(DATEVALUE(C292&amp;"-01"),1),'📋 Транзакції'!$C$5:$C$3623,"&lt;"&amp;EDATE(DATEVALUE(C292&amp;"-01"),2))&gt;0,1,0)</f>
        <v>1</v>
      </c>
      <c r="I292" s="37">
        <f>IF(COUNTIFS('📋 Транзакції'!$B$5:$B$3623,A292,'📋 Транзакції'!$C$5:$C$3623,"&gt;="&amp;EDATE(DATEVALUE(C292&amp;"-01"),2),'📋 Транзакції'!$C$5:$C$3623,"&lt;"&amp;EDATE(DATEVALUE(C292&amp;"-01"),3))&gt;0,1,0)</f>
        <v>1</v>
      </c>
      <c r="J292" s="37">
        <f>IF(COUNTIFS('📋 Транзакції'!$B$5:$B$3623,A292,'📋 Транзакції'!$C$5:$C$3623,"&gt;="&amp;EDATE(DATEVALUE(C292&amp;"-01"),3),'📋 Транзакції'!$C$5:$C$3623,"&lt;"&amp;EDATE(DATEVALUE(C292&amp;"-01"),4))&gt;0,1,0)</f>
        <v>1</v>
      </c>
      <c r="K292" s="37">
        <f>IF(COUNTIFS('📋 Транзакції'!$B$5:$B$3623,A292,'📋 Транзакції'!$C$5:$C$3623,"&gt;="&amp;EDATE(DATEVALUE(C292&amp;"-01"),4),'📋 Транзакції'!$C$5:$C$3623,"&lt;"&amp;EDATE(DATEVALUE(C292&amp;"-01"),5))&gt;0,1,0)</f>
        <v>1</v>
      </c>
      <c r="L292" s="37">
        <f>IF(COUNTIFS('📋 Транзакції'!$B$5:$B$3623,A292,'📋 Транзакції'!$C$5:$C$3623,"&gt;="&amp;EDATE(DATEVALUE(C292&amp;"-01"),5),'📋 Транзакції'!$C$5:$C$3623,"&lt;"&amp;EDATE(DATEVALUE(C292&amp;"-01"),6))&gt;0,1,0)</f>
        <v>1</v>
      </c>
      <c r="M292" s="37">
        <f>IF(COUNTIFS('📋 Транзакції'!$B$5:$B$3623,A292,'📋 Транзакції'!$C$5:$C$3623,"&gt;="&amp;EDATE(DATEVALUE(C292&amp;"-01"),6),'📋 Транзакції'!$C$5:$C$3623,"&lt;"&amp;EDATE(DATEVALUE(C292&amp;"-01"),7))&gt;0,1,0)</f>
        <v>1</v>
      </c>
      <c r="N292" s="37">
        <f>IF(COUNTIFS('📋 Транзакції'!$B$5:$B$3623,A292,'📋 Транзакції'!$C$5:$C$3623,"&gt;="&amp;EDATE(DATEVALUE(C292&amp;"-01"),7),'📋 Транзакції'!$C$5:$C$3623,"&lt;"&amp;EDATE(DATEVALUE(C292&amp;"-01"),8))&gt;0,1,0)</f>
        <v>0</v>
      </c>
      <c r="O292" s="37">
        <f>IF(COUNTIFS('📋 Транзакції'!$B$5:$B$3623,A292,'📋 Транзакції'!$C$5:$C$3623,"&gt;="&amp;EDATE(DATEVALUE(C292&amp;"-01"),8),'📋 Транзакції'!$C$5:$C$3623,"&lt;"&amp;EDATE(DATEVALUE(C292&amp;"-01"),9))&gt;0,1,0)</f>
        <v>0</v>
      </c>
      <c r="P292" s="37">
        <f>IF(COUNTIFS('📋 Транзакції'!$B$5:$B$3623,A292,'📋 Транзакції'!$C$5:$C$3623,"&gt;="&amp;EDATE(DATEVALUE(C292&amp;"-01"),9),'📋 Транзакції'!$C$5:$C$3623,"&lt;"&amp;EDATE(DATEVALUE(C292&amp;"-01"),10))&gt;0,1,0)</f>
        <v>0</v>
      </c>
      <c r="Q292" s="37">
        <f>IF(COUNTIFS('📋 Транзакції'!$B$5:$B$3623,A292,'📋 Транзакції'!$C$5:$C$3623,"&gt;="&amp;EDATE(DATEVALUE(C292&amp;"-01"),10),'📋 Транзакції'!$C$5:$C$3623,"&lt;"&amp;EDATE(DATEVALUE(C292&amp;"-01"),11))&gt;0,1,0)</f>
        <v>0</v>
      </c>
      <c r="R292" s="37">
        <f>IF(COUNTIFS('📋 Транзакції'!$B$5:$B$3623,A292,'📋 Транзакції'!$C$5:$C$3623,"&gt;="&amp;EDATE(DATEVALUE(C292&amp;"-01"),11),'📋 Транзакції'!$C$5:$C$3623,"&lt;"&amp;EDATE(DATEVALUE(C292&amp;"-01"),12))&gt;0,1,0)</f>
        <v>0</v>
      </c>
      <c r="S292" s="37">
        <f>SUMIFS('📋 Транзакції'!$F$5:$F$3623,'📋 Транзакції'!$B$5:$B$3623,A292,'📋 Транзакції'!$C$5:$C$3623,"&gt;="&amp;EDATE(DATEVALUE(C292&amp;"-01"),0),'📋 Транзакції'!$C$5:$C$3623,"&lt;"&amp;EDATE(DATEVALUE(C292&amp;"-01"),1))</f>
        <v>19.99</v>
      </c>
      <c r="T292" s="37">
        <f>SUMIFS('📋 Транзакції'!$F$5:$F$3623,'📋 Транзакції'!$B$5:$B$3623,A292,'📋 Транзакції'!$C$5:$C$3623,"&gt;="&amp;EDATE(DATEVALUE(C292&amp;"-01"),1),'📋 Транзакції'!$C$5:$C$3623,"&lt;"&amp;EDATE(DATEVALUE(C292&amp;"-01"),2))</f>
        <v>19.99</v>
      </c>
      <c r="U292" s="37">
        <f>SUMIFS('📋 Транзакції'!$F$5:$F$3623,'📋 Транзакції'!$B$5:$B$3623,A292,'📋 Транзакції'!$C$5:$C$3623,"&gt;="&amp;EDATE(DATEVALUE(C292&amp;"-01"),2),'📋 Транзакції'!$C$5:$C$3623,"&lt;"&amp;EDATE(DATEVALUE(C292&amp;"-01"),3))</f>
        <v>19.99</v>
      </c>
      <c r="V292" s="37">
        <f>SUMIFS('📋 Транзакції'!$F$5:$F$3623,'📋 Транзакції'!$B$5:$B$3623,A292,'📋 Транзакції'!$C$5:$C$3623,"&gt;="&amp;EDATE(DATEVALUE(C292&amp;"-01"),3),'📋 Транзакції'!$C$5:$C$3623,"&lt;"&amp;EDATE(DATEVALUE(C292&amp;"-01"),4))</f>
        <v>19.99</v>
      </c>
      <c r="W292" s="37">
        <f>SUMIFS('📋 Транзакції'!$F$5:$F$3623,'📋 Транзакції'!$B$5:$B$3623,A292,'📋 Транзакції'!$C$5:$C$3623,"&gt;="&amp;EDATE(DATEVALUE(C292&amp;"-01"),4),'📋 Транзакції'!$C$5:$C$3623,"&lt;"&amp;EDATE(DATEVALUE(C292&amp;"-01"),5))</f>
        <v>19.99</v>
      </c>
      <c r="X292" s="37">
        <f>SUMIFS('📋 Транзакції'!$F$5:$F$3623,'📋 Транзакції'!$B$5:$B$3623,A292,'📋 Транзакції'!$C$5:$C$3623,"&gt;="&amp;EDATE(DATEVALUE(C292&amp;"-01"),5),'📋 Транзакції'!$C$5:$C$3623,"&lt;"&amp;EDATE(DATEVALUE(C292&amp;"-01"),6))</f>
        <v>19.99</v>
      </c>
      <c r="Y292" s="37">
        <f>SUMIFS('📋 Транзакції'!$F$5:$F$3623,'📋 Транзакції'!$B$5:$B$3623,A292,'📋 Транзакції'!$C$5:$C$3623,"&gt;="&amp;EDATE(DATEVALUE(C292&amp;"-01"),6),'📋 Транзакції'!$C$5:$C$3623,"&lt;"&amp;EDATE(DATEVALUE(C292&amp;"-01"),7))</f>
        <v>19.99</v>
      </c>
      <c r="Z292" s="37">
        <f>SUMIFS('📋 Транзакції'!$F$5:$F$3623,'📋 Транзакції'!$B$5:$B$3623,A292,'📋 Транзакції'!$C$5:$C$3623,"&gt;="&amp;EDATE(DATEVALUE(C292&amp;"-01"),7),'📋 Транзакції'!$C$5:$C$3623,"&lt;"&amp;EDATE(DATEVALUE(C292&amp;"-01"),8))</f>
        <v>0</v>
      </c>
      <c r="AA292" s="37">
        <f>SUMIFS('📋 Транзакції'!$F$5:$F$3623,'📋 Транзакції'!$B$5:$B$3623,A292,'📋 Транзакції'!$C$5:$C$3623,"&gt;="&amp;EDATE(DATEVALUE(C292&amp;"-01"),8),'📋 Транзакції'!$C$5:$C$3623,"&lt;"&amp;EDATE(DATEVALUE(C292&amp;"-01"),9))</f>
        <v>0</v>
      </c>
      <c r="AB292" s="37">
        <f>SUMIFS('📋 Транзакції'!$F$5:$F$3623,'📋 Транзакції'!$B$5:$B$3623,A292,'📋 Транзакції'!$C$5:$C$3623,"&gt;="&amp;EDATE(DATEVALUE(C292&amp;"-01"),9),'📋 Транзакції'!$C$5:$C$3623,"&lt;"&amp;EDATE(DATEVALUE(C292&amp;"-01"),10))</f>
        <v>0</v>
      </c>
      <c r="AC292" s="37">
        <f>SUMIFS('📋 Транзакції'!$F$5:$F$3623,'📋 Транзакції'!$B$5:$B$3623,A292,'📋 Транзакції'!$C$5:$C$3623,"&gt;="&amp;EDATE(DATEVALUE(C292&amp;"-01"),10),'📋 Транзакції'!$C$5:$C$3623,"&lt;"&amp;EDATE(DATEVALUE(C292&amp;"-01"),11))</f>
        <v>0</v>
      </c>
      <c r="AD292" s="37">
        <f>SUMIFS('📋 Транзакції'!$F$5:$F$3623,'📋 Транзакції'!$B$5:$B$3623,A292,'📋 Транзакції'!$C$5:$C$3623,"&gt;="&amp;EDATE(DATEVALUE(C292&amp;"-01"),11),'📋 Транзакції'!$C$5:$C$3623,"&lt;"&amp;EDATE(DATEVALUE(C292&amp;"-01"),12))</f>
        <v>0</v>
      </c>
    </row>
    <row r="293" ht="15.75" customHeight="1">
      <c r="A293" s="33" t="str">
        <f>'📋 Реєстрації'!A293:A894</f>
        <v>U0539</v>
      </c>
      <c r="B293" s="34">
        <f t="array" ref="B293">INDEX('📋 Транзакції'!$C$5:$C$3623,MATCH(A293,'📋 Транзакції'!$B$5:$B$3623,0))</f>
        <v>45553</v>
      </c>
      <c r="C293" s="35" t="str">
        <f t="shared" si="1"/>
        <v>2024-09</v>
      </c>
      <c r="D293" s="36">
        <f>COUNTIF('📋 Транзакції'!$B$5:$B$3623,A293)</f>
        <v>3</v>
      </c>
      <c r="E293" s="36">
        <f>SUMIF('📋 Транзакції'!$B$5:$B$3623,A293,'📋 Транзакції'!$F$5:$F$3623)</f>
        <v>39.98</v>
      </c>
      <c r="F293" s="35">
        <f>INT($A$1-MAXIFS('📋 Транзакції'!$C$5:$C$3623,'📋 Транзакції'!$B$5:$B$3623,A293))</f>
        <v>157</v>
      </c>
      <c r="G293" s="37">
        <f>IF(COUNTIFS('📋 Транзакції'!$B$5:$B$3623,A293,'📋 Транзакції'!$C$5:$C$3623,"&gt;="&amp;EDATE(DATEVALUE(C293&amp;"-01"),0),'📋 Транзакції'!$C$5:$C$3623,"&lt;"&amp;EDATE(DATEVALUE(C293&amp;"-01"),1))&gt;0,1,0)</f>
        <v>1</v>
      </c>
      <c r="H293" s="37">
        <f>IF(COUNTIFS('📋 Транзакції'!$B$5:$B$3623,A293,'📋 Транзакції'!$C$5:$C$3623,"&gt;="&amp;EDATE(DATEVALUE(C293&amp;"-01"),1),'📋 Транзакції'!$C$5:$C$3623,"&lt;"&amp;EDATE(DATEVALUE(C293&amp;"-01"),2))&gt;0,1,0)</f>
        <v>1</v>
      </c>
      <c r="I293" s="37">
        <f>IF(COUNTIFS('📋 Транзакції'!$B$5:$B$3623,A293,'📋 Транзакції'!$C$5:$C$3623,"&gt;="&amp;EDATE(DATEVALUE(C293&amp;"-01"),2),'📋 Транзакції'!$C$5:$C$3623,"&lt;"&amp;EDATE(DATEVALUE(C293&amp;"-01"),3))&gt;0,1,0)</f>
        <v>0</v>
      </c>
      <c r="J293" s="37">
        <f>IF(COUNTIFS('📋 Транзакції'!$B$5:$B$3623,A293,'📋 Транзакції'!$C$5:$C$3623,"&gt;="&amp;EDATE(DATEVALUE(C293&amp;"-01"),3),'📋 Транзакції'!$C$5:$C$3623,"&lt;"&amp;EDATE(DATEVALUE(C293&amp;"-01"),4))&gt;0,1,0)</f>
        <v>0</v>
      </c>
      <c r="K293" s="37">
        <f>IF(COUNTIFS('📋 Транзакції'!$B$5:$B$3623,A293,'📋 Транзакції'!$C$5:$C$3623,"&gt;="&amp;EDATE(DATEVALUE(C293&amp;"-01"),4),'📋 Транзакції'!$C$5:$C$3623,"&lt;"&amp;EDATE(DATEVALUE(C293&amp;"-01"),5))&gt;0,1,0)</f>
        <v>0</v>
      </c>
      <c r="L293" s="37">
        <f>IF(COUNTIFS('📋 Транзакції'!$B$5:$B$3623,A293,'📋 Транзакції'!$C$5:$C$3623,"&gt;="&amp;EDATE(DATEVALUE(C293&amp;"-01"),5),'📋 Транзакції'!$C$5:$C$3623,"&lt;"&amp;EDATE(DATEVALUE(C293&amp;"-01"),6))&gt;0,1,0)</f>
        <v>0</v>
      </c>
      <c r="M293" s="37">
        <f>IF(COUNTIFS('📋 Транзакції'!$B$5:$B$3623,A293,'📋 Транзакції'!$C$5:$C$3623,"&gt;="&amp;EDATE(DATEVALUE(C293&amp;"-01"),6),'📋 Транзакції'!$C$5:$C$3623,"&lt;"&amp;EDATE(DATEVALUE(C293&amp;"-01"),7))&gt;0,1,0)</f>
        <v>0</v>
      </c>
      <c r="N293" s="37">
        <f>IF(COUNTIFS('📋 Транзакції'!$B$5:$B$3623,A293,'📋 Транзакції'!$C$5:$C$3623,"&gt;="&amp;EDATE(DATEVALUE(C293&amp;"-01"),7),'📋 Транзакції'!$C$5:$C$3623,"&lt;"&amp;EDATE(DATEVALUE(C293&amp;"-01"),8))&gt;0,1,0)</f>
        <v>0</v>
      </c>
      <c r="O293" s="37">
        <f>IF(COUNTIFS('📋 Транзакції'!$B$5:$B$3623,A293,'📋 Транзакції'!$C$5:$C$3623,"&gt;="&amp;EDATE(DATEVALUE(C293&amp;"-01"),8),'📋 Транзакції'!$C$5:$C$3623,"&lt;"&amp;EDATE(DATEVALUE(C293&amp;"-01"),9))&gt;0,1,0)</f>
        <v>0</v>
      </c>
      <c r="P293" s="37">
        <f>IF(COUNTIFS('📋 Транзакції'!$B$5:$B$3623,A293,'📋 Транзакції'!$C$5:$C$3623,"&gt;="&amp;EDATE(DATEVALUE(C293&amp;"-01"),9),'📋 Транзакції'!$C$5:$C$3623,"&lt;"&amp;EDATE(DATEVALUE(C293&amp;"-01"),10))&gt;0,1,0)</f>
        <v>0</v>
      </c>
      <c r="Q293" s="37">
        <f>IF(COUNTIFS('📋 Транзакції'!$B$5:$B$3623,A293,'📋 Транзакції'!$C$5:$C$3623,"&gt;="&amp;EDATE(DATEVALUE(C293&amp;"-01"),10),'📋 Транзакції'!$C$5:$C$3623,"&lt;"&amp;EDATE(DATEVALUE(C293&amp;"-01"),11))&gt;0,1,0)</f>
        <v>0</v>
      </c>
      <c r="R293" s="37">
        <f>IF(COUNTIFS('📋 Транзакції'!$B$5:$B$3623,A293,'📋 Транзакції'!$C$5:$C$3623,"&gt;="&amp;EDATE(DATEVALUE(C293&amp;"-01"),11),'📋 Транзакції'!$C$5:$C$3623,"&lt;"&amp;EDATE(DATEVALUE(C293&amp;"-01"),12))&gt;0,1,0)</f>
        <v>0</v>
      </c>
      <c r="S293" s="37">
        <f>SUMIFS('📋 Транзакції'!$F$5:$F$3623,'📋 Транзакції'!$B$5:$B$3623,A293,'📋 Транзакції'!$C$5:$C$3623,"&gt;="&amp;EDATE(DATEVALUE(C293&amp;"-01"),0),'📋 Транзакції'!$C$5:$C$3623,"&lt;"&amp;EDATE(DATEVALUE(C293&amp;"-01"),1))</f>
        <v>19.99</v>
      </c>
      <c r="T293" s="37">
        <f>SUMIFS('📋 Транзакції'!$F$5:$F$3623,'📋 Транзакції'!$B$5:$B$3623,A293,'📋 Транзакції'!$C$5:$C$3623,"&gt;="&amp;EDATE(DATEVALUE(C293&amp;"-01"),1),'📋 Транзакції'!$C$5:$C$3623,"&lt;"&amp;EDATE(DATEVALUE(C293&amp;"-01"),2))</f>
        <v>19.99</v>
      </c>
      <c r="U293" s="37">
        <f>SUMIFS('📋 Транзакції'!$F$5:$F$3623,'📋 Транзакції'!$B$5:$B$3623,A293,'📋 Транзакції'!$C$5:$C$3623,"&gt;="&amp;EDATE(DATEVALUE(C293&amp;"-01"),2),'📋 Транзакції'!$C$5:$C$3623,"&lt;"&amp;EDATE(DATEVALUE(C293&amp;"-01"),3))</f>
        <v>0</v>
      </c>
      <c r="V293" s="37">
        <f>SUMIFS('📋 Транзакції'!$F$5:$F$3623,'📋 Транзакції'!$B$5:$B$3623,A293,'📋 Транзакції'!$C$5:$C$3623,"&gt;="&amp;EDATE(DATEVALUE(C293&amp;"-01"),3),'📋 Транзакції'!$C$5:$C$3623,"&lt;"&amp;EDATE(DATEVALUE(C293&amp;"-01"),4))</f>
        <v>0</v>
      </c>
      <c r="W293" s="37">
        <f>SUMIFS('📋 Транзакції'!$F$5:$F$3623,'📋 Транзакції'!$B$5:$B$3623,A293,'📋 Транзакції'!$C$5:$C$3623,"&gt;="&amp;EDATE(DATEVALUE(C293&amp;"-01"),4),'📋 Транзакції'!$C$5:$C$3623,"&lt;"&amp;EDATE(DATEVALUE(C293&amp;"-01"),5))</f>
        <v>0</v>
      </c>
      <c r="X293" s="37">
        <f>SUMIFS('📋 Транзакції'!$F$5:$F$3623,'📋 Транзакції'!$B$5:$B$3623,A293,'📋 Транзакції'!$C$5:$C$3623,"&gt;="&amp;EDATE(DATEVALUE(C293&amp;"-01"),5),'📋 Транзакції'!$C$5:$C$3623,"&lt;"&amp;EDATE(DATEVALUE(C293&amp;"-01"),6))</f>
        <v>0</v>
      </c>
      <c r="Y293" s="37">
        <f>SUMIFS('📋 Транзакції'!$F$5:$F$3623,'📋 Транзакції'!$B$5:$B$3623,A293,'📋 Транзакції'!$C$5:$C$3623,"&gt;="&amp;EDATE(DATEVALUE(C293&amp;"-01"),6),'📋 Транзакції'!$C$5:$C$3623,"&lt;"&amp;EDATE(DATEVALUE(C293&amp;"-01"),7))</f>
        <v>0</v>
      </c>
      <c r="Z293" s="37">
        <f>SUMIFS('📋 Транзакції'!$F$5:$F$3623,'📋 Транзакції'!$B$5:$B$3623,A293,'📋 Транзакції'!$C$5:$C$3623,"&gt;="&amp;EDATE(DATEVALUE(C293&amp;"-01"),7),'📋 Транзакції'!$C$5:$C$3623,"&lt;"&amp;EDATE(DATEVALUE(C293&amp;"-01"),8))</f>
        <v>0</v>
      </c>
      <c r="AA293" s="37">
        <f>SUMIFS('📋 Транзакції'!$F$5:$F$3623,'📋 Транзакції'!$B$5:$B$3623,A293,'📋 Транзакції'!$C$5:$C$3623,"&gt;="&amp;EDATE(DATEVALUE(C293&amp;"-01"),8),'📋 Транзакції'!$C$5:$C$3623,"&lt;"&amp;EDATE(DATEVALUE(C293&amp;"-01"),9))</f>
        <v>0</v>
      </c>
      <c r="AB293" s="37">
        <f>SUMIFS('📋 Транзакції'!$F$5:$F$3623,'📋 Транзакції'!$B$5:$B$3623,A293,'📋 Транзакції'!$C$5:$C$3623,"&gt;="&amp;EDATE(DATEVALUE(C293&amp;"-01"),9),'📋 Транзакції'!$C$5:$C$3623,"&lt;"&amp;EDATE(DATEVALUE(C293&amp;"-01"),10))</f>
        <v>0</v>
      </c>
      <c r="AC293" s="37">
        <f>SUMIFS('📋 Транзакції'!$F$5:$F$3623,'📋 Транзакції'!$B$5:$B$3623,A293,'📋 Транзакції'!$C$5:$C$3623,"&gt;="&amp;EDATE(DATEVALUE(C293&amp;"-01"),10),'📋 Транзакції'!$C$5:$C$3623,"&lt;"&amp;EDATE(DATEVALUE(C293&amp;"-01"),11))</f>
        <v>0</v>
      </c>
      <c r="AD293" s="37">
        <f>SUMIFS('📋 Транзакції'!$F$5:$F$3623,'📋 Транзакції'!$B$5:$B$3623,A293,'📋 Транзакції'!$C$5:$C$3623,"&gt;="&amp;EDATE(DATEVALUE(C293&amp;"-01"),11),'📋 Транзакції'!$C$5:$C$3623,"&lt;"&amp;EDATE(DATEVALUE(C293&amp;"-01"),12))</f>
        <v>0</v>
      </c>
    </row>
    <row r="294" ht="15.75" customHeight="1">
      <c r="A294" s="33" t="str">
        <f>'📋 Реєстрації'!A294:A895</f>
        <v>U0107</v>
      </c>
      <c r="B294" s="34">
        <f t="array" ref="B294">INDEX('📋 Транзакції'!$C$5:$C$3623,MATCH(A294,'📋 Транзакції'!$B$5:$B$3623,0))</f>
        <v>45554</v>
      </c>
      <c r="C294" s="35" t="str">
        <f t="shared" si="1"/>
        <v>2024-09</v>
      </c>
      <c r="D294" s="36">
        <f>COUNTIF('📋 Транзакції'!$B$5:$B$3623,A294)</f>
        <v>8</v>
      </c>
      <c r="E294" s="36">
        <f>SUMIF('📋 Транзакції'!$B$5:$B$3623,A294,'📋 Транзакції'!$F$5:$F$3623)</f>
        <v>139.93</v>
      </c>
      <c r="F294" s="35">
        <f>INT($A$1-MAXIFS('📋 Транзакції'!$C$5:$C$3623,'📋 Транзакції'!$B$5:$B$3623,A294))</f>
        <v>6</v>
      </c>
      <c r="G294" s="37">
        <f>IF(COUNTIFS('📋 Транзакції'!$B$5:$B$3623,A294,'📋 Транзакції'!$C$5:$C$3623,"&gt;="&amp;EDATE(DATEVALUE(C294&amp;"-01"),0),'📋 Транзакції'!$C$5:$C$3623,"&lt;"&amp;EDATE(DATEVALUE(C294&amp;"-01"),1))&gt;0,1,0)</f>
        <v>1</v>
      </c>
      <c r="H294" s="37">
        <f>IF(COUNTIFS('📋 Транзакції'!$B$5:$B$3623,A294,'📋 Транзакції'!$C$5:$C$3623,"&gt;="&amp;EDATE(DATEVALUE(C294&amp;"-01"),1),'📋 Транзакції'!$C$5:$C$3623,"&lt;"&amp;EDATE(DATEVALUE(C294&amp;"-01"),2))&gt;0,1,0)</f>
        <v>1</v>
      </c>
      <c r="I294" s="37">
        <f>IF(COUNTIFS('📋 Транзакції'!$B$5:$B$3623,A294,'📋 Транзакції'!$C$5:$C$3623,"&gt;="&amp;EDATE(DATEVALUE(C294&amp;"-01"),2),'📋 Транзакції'!$C$5:$C$3623,"&lt;"&amp;EDATE(DATEVALUE(C294&amp;"-01"),3))&gt;0,1,0)</f>
        <v>1</v>
      </c>
      <c r="J294" s="37">
        <f>IF(COUNTIFS('📋 Транзакції'!$B$5:$B$3623,A294,'📋 Транзакції'!$C$5:$C$3623,"&gt;="&amp;EDATE(DATEVALUE(C294&amp;"-01"),3),'📋 Транзакції'!$C$5:$C$3623,"&lt;"&amp;EDATE(DATEVALUE(C294&amp;"-01"),4))&gt;0,1,0)</f>
        <v>1</v>
      </c>
      <c r="K294" s="37">
        <f>IF(COUNTIFS('📋 Транзакції'!$B$5:$B$3623,A294,'📋 Транзакції'!$C$5:$C$3623,"&gt;="&amp;EDATE(DATEVALUE(C294&amp;"-01"),4),'📋 Транзакції'!$C$5:$C$3623,"&lt;"&amp;EDATE(DATEVALUE(C294&amp;"-01"),5))&gt;0,1,0)</f>
        <v>1</v>
      </c>
      <c r="L294" s="37">
        <f>IF(COUNTIFS('📋 Транзакції'!$B$5:$B$3623,A294,'📋 Транзакції'!$C$5:$C$3623,"&gt;="&amp;EDATE(DATEVALUE(C294&amp;"-01"),5),'📋 Транзакції'!$C$5:$C$3623,"&lt;"&amp;EDATE(DATEVALUE(C294&amp;"-01"),6))&gt;0,1,0)</f>
        <v>1</v>
      </c>
      <c r="M294" s="37">
        <f>IF(COUNTIFS('📋 Транзакції'!$B$5:$B$3623,A294,'📋 Транзакції'!$C$5:$C$3623,"&gt;="&amp;EDATE(DATEVALUE(C294&amp;"-01"),6),'📋 Транзакції'!$C$5:$C$3623,"&lt;"&amp;EDATE(DATEVALUE(C294&amp;"-01"),7))&gt;0,1,0)</f>
        <v>1</v>
      </c>
      <c r="N294" s="37">
        <f>IF(COUNTIFS('📋 Транзакції'!$B$5:$B$3623,A294,'📋 Транзакції'!$C$5:$C$3623,"&gt;="&amp;EDATE(DATEVALUE(C294&amp;"-01"),7),'📋 Транзакції'!$C$5:$C$3623,"&lt;"&amp;EDATE(DATEVALUE(C294&amp;"-01"),8))&gt;0,1,0)</f>
        <v>0</v>
      </c>
      <c r="O294" s="37">
        <f>IF(COUNTIFS('📋 Транзакції'!$B$5:$B$3623,A294,'📋 Транзакції'!$C$5:$C$3623,"&gt;="&amp;EDATE(DATEVALUE(C294&amp;"-01"),8),'📋 Транзакції'!$C$5:$C$3623,"&lt;"&amp;EDATE(DATEVALUE(C294&amp;"-01"),9))&gt;0,1,0)</f>
        <v>0</v>
      </c>
      <c r="P294" s="37">
        <f>IF(COUNTIFS('📋 Транзакції'!$B$5:$B$3623,A294,'📋 Транзакції'!$C$5:$C$3623,"&gt;="&amp;EDATE(DATEVALUE(C294&amp;"-01"),9),'📋 Транзакції'!$C$5:$C$3623,"&lt;"&amp;EDATE(DATEVALUE(C294&amp;"-01"),10))&gt;0,1,0)</f>
        <v>0</v>
      </c>
      <c r="Q294" s="37">
        <f>IF(COUNTIFS('📋 Транзакції'!$B$5:$B$3623,A294,'📋 Транзакції'!$C$5:$C$3623,"&gt;="&amp;EDATE(DATEVALUE(C294&amp;"-01"),10),'📋 Транзакції'!$C$5:$C$3623,"&lt;"&amp;EDATE(DATEVALUE(C294&amp;"-01"),11))&gt;0,1,0)</f>
        <v>0</v>
      </c>
      <c r="R294" s="37">
        <f>IF(COUNTIFS('📋 Транзакції'!$B$5:$B$3623,A294,'📋 Транзакції'!$C$5:$C$3623,"&gt;="&amp;EDATE(DATEVALUE(C294&amp;"-01"),11),'📋 Транзакції'!$C$5:$C$3623,"&lt;"&amp;EDATE(DATEVALUE(C294&amp;"-01"),12))&gt;0,1,0)</f>
        <v>0</v>
      </c>
      <c r="S294" s="37">
        <f>SUMIFS('📋 Транзакції'!$F$5:$F$3623,'📋 Транзакції'!$B$5:$B$3623,A294,'📋 Транзакції'!$C$5:$C$3623,"&gt;="&amp;EDATE(DATEVALUE(C294&amp;"-01"),0),'📋 Транзакції'!$C$5:$C$3623,"&lt;"&amp;EDATE(DATEVALUE(C294&amp;"-01"),1))</f>
        <v>19.99</v>
      </c>
      <c r="T294" s="37">
        <f>SUMIFS('📋 Транзакції'!$F$5:$F$3623,'📋 Транзакції'!$B$5:$B$3623,A294,'📋 Транзакції'!$C$5:$C$3623,"&gt;="&amp;EDATE(DATEVALUE(C294&amp;"-01"),1),'📋 Транзакції'!$C$5:$C$3623,"&lt;"&amp;EDATE(DATEVALUE(C294&amp;"-01"),2))</f>
        <v>19.99</v>
      </c>
      <c r="U294" s="37">
        <f>SUMIFS('📋 Транзакції'!$F$5:$F$3623,'📋 Транзакції'!$B$5:$B$3623,A294,'📋 Транзакції'!$C$5:$C$3623,"&gt;="&amp;EDATE(DATEVALUE(C294&amp;"-01"),2),'📋 Транзакції'!$C$5:$C$3623,"&lt;"&amp;EDATE(DATEVALUE(C294&amp;"-01"),3))</f>
        <v>19.99</v>
      </c>
      <c r="V294" s="37">
        <f>SUMIFS('📋 Транзакції'!$F$5:$F$3623,'📋 Транзакції'!$B$5:$B$3623,A294,'📋 Транзакції'!$C$5:$C$3623,"&gt;="&amp;EDATE(DATEVALUE(C294&amp;"-01"),3),'📋 Транзакції'!$C$5:$C$3623,"&lt;"&amp;EDATE(DATEVALUE(C294&amp;"-01"),4))</f>
        <v>19.99</v>
      </c>
      <c r="W294" s="37">
        <f>SUMIFS('📋 Транзакції'!$F$5:$F$3623,'📋 Транзакції'!$B$5:$B$3623,A294,'📋 Транзакції'!$C$5:$C$3623,"&gt;="&amp;EDATE(DATEVALUE(C294&amp;"-01"),4),'📋 Транзакції'!$C$5:$C$3623,"&lt;"&amp;EDATE(DATEVALUE(C294&amp;"-01"),5))</f>
        <v>19.99</v>
      </c>
      <c r="X294" s="37">
        <f>SUMIFS('📋 Транзакції'!$F$5:$F$3623,'📋 Транзакції'!$B$5:$B$3623,A294,'📋 Транзакції'!$C$5:$C$3623,"&gt;="&amp;EDATE(DATEVALUE(C294&amp;"-01"),5),'📋 Транзакції'!$C$5:$C$3623,"&lt;"&amp;EDATE(DATEVALUE(C294&amp;"-01"),6))</f>
        <v>19.99</v>
      </c>
      <c r="Y294" s="37">
        <f>SUMIFS('📋 Транзакції'!$F$5:$F$3623,'📋 Транзакції'!$B$5:$B$3623,A294,'📋 Транзакції'!$C$5:$C$3623,"&gt;="&amp;EDATE(DATEVALUE(C294&amp;"-01"),6),'📋 Транзакції'!$C$5:$C$3623,"&lt;"&amp;EDATE(DATEVALUE(C294&amp;"-01"),7))</f>
        <v>19.99</v>
      </c>
      <c r="Z294" s="37">
        <f>SUMIFS('📋 Транзакції'!$F$5:$F$3623,'📋 Транзакції'!$B$5:$B$3623,A294,'📋 Транзакції'!$C$5:$C$3623,"&gt;="&amp;EDATE(DATEVALUE(C294&amp;"-01"),7),'📋 Транзакції'!$C$5:$C$3623,"&lt;"&amp;EDATE(DATEVALUE(C294&amp;"-01"),8))</f>
        <v>0</v>
      </c>
      <c r="AA294" s="37">
        <f>SUMIFS('📋 Транзакції'!$F$5:$F$3623,'📋 Транзакції'!$B$5:$B$3623,A294,'📋 Транзакції'!$C$5:$C$3623,"&gt;="&amp;EDATE(DATEVALUE(C294&amp;"-01"),8),'📋 Транзакції'!$C$5:$C$3623,"&lt;"&amp;EDATE(DATEVALUE(C294&amp;"-01"),9))</f>
        <v>0</v>
      </c>
      <c r="AB294" s="37">
        <f>SUMIFS('📋 Транзакції'!$F$5:$F$3623,'📋 Транзакції'!$B$5:$B$3623,A294,'📋 Транзакції'!$C$5:$C$3623,"&gt;="&amp;EDATE(DATEVALUE(C294&amp;"-01"),9),'📋 Транзакції'!$C$5:$C$3623,"&lt;"&amp;EDATE(DATEVALUE(C294&amp;"-01"),10))</f>
        <v>0</v>
      </c>
      <c r="AC294" s="37">
        <f>SUMIFS('📋 Транзакції'!$F$5:$F$3623,'📋 Транзакції'!$B$5:$B$3623,A294,'📋 Транзакції'!$C$5:$C$3623,"&gt;="&amp;EDATE(DATEVALUE(C294&amp;"-01"),10),'📋 Транзакції'!$C$5:$C$3623,"&lt;"&amp;EDATE(DATEVALUE(C294&amp;"-01"),11))</f>
        <v>0</v>
      </c>
      <c r="AD294" s="37">
        <f>SUMIFS('📋 Транзакції'!$F$5:$F$3623,'📋 Транзакції'!$B$5:$B$3623,A294,'📋 Транзакції'!$C$5:$C$3623,"&gt;="&amp;EDATE(DATEVALUE(C294&amp;"-01"),11),'📋 Транзакції'!$C$5:$C$3623,"&lt;"&amp;EDATE(DATEVALUE(C294&amp;"-01"),12))</f>
        <v>0</v>
      </c>
    </row>
    <row r="295" ht="15.75" customHeight="1">
      <c r="A295" s="33" t="str">
        <f>'📋 Реєстрації'!A295:A896</f>
        <v>U0329</v>
      </c>
      <c r="B295" s="34">
        <f t="array" ref="B295">INDEX('📋 Транзакції'!$C$5:$C$3623,MATCH(A295,'📋 Транзакції'!$B$5:$B$3623,0))</f>
        <v>45555</v>
      </c>
      <c r="C295" s="35" t="str">
        <f t="shared" si="1"/>
        <v>2024-09</v>
      </c>
      <c r="D295" s="36">
        <f>COUNTIF('📋 Транзакції'!$B$5:$B$3623,A295)</f>
        <v>8</v>
      </c>
      <c r="E295" s="36">
        <f>SUMIF('📋 Транзакції'!$B$5:$B$3623,A295,'📋 Транзакції'!$F$5:$F$3623)</f>
        <v>139.93</v>
      </c>
      <c r="F295" s="35">
        <f>INT($A$1-MAXIFS('📋 Транзакції'!$C$5:$C$3623,'📋 Транзакції'!$B$5:$B$3623,A295))</f>
        <v>5</v>
      </c>
      <c r="G295" s="37">
        <f>IF(COUNTIFS('📋 Транзакції'!$B$5:$B$3623,A295,'📋 Транзакції'!$C$5:$C$3623,"&gt;="&amp;EDATE(DATEVALUE(C295&amp;"-01"),0),'📋 Транзакції'!$C$5:$C$3623,"&lt;"&amp;EDATE(DATEVALUE(C295&amp;"-01"),1))&gt;0,1,0)</f>
        <v>1</v>
      </c>
      <c r="H295" s="37">
        <f>IF(COUNTIFS('📋 Транзакції'!$B$5:$B$3623,A295,'📋 Транзакції'!$C$5:$C$3623,"&gt;="&amp;EDATE(DATEVALUE(C295&amp;"-01"),1),'📋 Транзакції'!$C$5:$C$3623,"&lt;"&amp;EDATE(DATEVALUE(C295&amp;"-01"),2))&gt;0,1,0)</f>
        <v>1</v>
      </c>
      <c r="I295" s="37">
        <f>IF(COUNTIFS('📋 Транзакції'!$B$5:$B$3623,A295,'📋 Транзакції'!$C$5:$C$3623,"&gt;="&amp;EDATE(DATEVALUE(C295&amp;"-01"),2),'📋 Транзакції'!$C$5:$C$3623,"&lt;"&amp;EDATE(DATEVALUE(C295&amp;"-01"),3))&gt;0,1,0)</f>
        <v>1</v>
      </c>
      <c r="J295" s="37">
        <f>IF(COUNTIFS('📋 Транзакції'!$B$5:$B$3623,A295,'📋 Транзакції'!$C$5:$C$3623,"&gt;="&amp;EDATE(DATEVALUE(C295&amp;"-01"),3),'📋 Транзакції'!$C$5:$C$3623,"&lt;"&amp;EDATE(DATEVALUE(C295&amp;"-01"),4))&gt;0,1,0)</f>
        <v>1</v>
      </c>
      <c r="K295" s="37">
        <f>IF(COUNTIFS('📋 Транзакції'!$B$5:$B$3623,A295,'📋 Транзакції'!$C$5:$C$3623,"&gt;="&amp;EDATE(DATEVALUE(C295&amp;"-01"),4),'📋 Транзакції'!$C$5:$C$3623,"&lt;"&amp;EDATE(DATEVALUE(C295&amp;"-01"),5))&gt;0,1,0)</f>
        <v>1</v>
      </c>
      <c r="L295" s="37">
        <f>IF(COUNTIFS('📋 Транзакції'!$B$5:$B$3623,A295,'📋 Транзакції'!$C$5:$C$3623,"&gt;="&amp;EDATE(DATEVALUE(C295&amp;"-01"),5),'📋 Транзакції'!$C$5:$C$3623,"&lt;"&amp;EDATE(DATEVALUE(C295&amp;"-01"),6))&gt;0,1,0)</f>
        <v>1</v>
      </c>
      <c r="M295" s="37">
        <f>IF(COUNTIFS('📋 Транзакції'!$B$5:$B$3623,A295,'📋 Транзакції'!$C$5:$C$3623,"&gt;="&amp;EDATE(DATEVALUE(C295&amp;"-01"),6),'📋 Транзакції'!$C$5:$C$3623,"&lt;"&amp;EDATE(DATEVALUE(C295&amp;"-01"),7))&gt;0,1,0)</f>
        <v>1</v>
      </c>
      <c r="N295" s="37">
        <f>IF(COUNTIFS('📋 Транзакції'!$B$5:$B$3623,A295,'📋 Транзакції'!$C$5:$C$3623,"&gt;="&amp;EDATE(DATEVALUE(C295&amp;"-01"),7),'📋 Транзакції'!$C$5:$C$3623,"&lt;"&amp;EDATE(DATEVALUE(C295&amp;"-01"),8))&gt;0,1,0)</f>
        <v>0</v>
      </c>
      <c r="O295" s="37">
        <f>IF(COUNTIFS('📋 Транзакції'!$B$5:$B$3623,A295,'📋 Транзакції'!$C$5:$C$3623,"&gt;="&amp;EDATE(DATEVALUE(C295&amp;"-01"),8),'📋 Транзакції'!$C$5:$C$3623,"&lt;"&amp;EDATE(DATEVALUE(C295&amp;"-01"),9))&gt;0,1,0)</f>
        <v>0</v>
      </c>
      <c r="P295" s="37">
        <f>IF(COUNTIFS('📋 Транзакції'!$B$5:$B$3623,A295,'📋 Транзакції'!$C$5:$C$3623,"&gt;="&amp;EDATE(DATEVALUE(C295&amp;"-01"),9),'📋 Транзакції'!$C$5:$C$3623,"&lt;"&amp;EDATE(DATEVALUE(C295&amp;"-01"),10))&gt;0,1,0)</f>
        <v>0</v>
      </c>
      <c r="Q295" s="37">
        <f>IF(COUNTIFS('📋 Транзакції'!$B$5:$B$3623,A295,'📋 Транзакції'!$C$5:$C$3623,"&gt;="&amp;EDATE(DATEVALUE(C295&amp;"-01"),10),'📋 Транзакції'!$C$5:$C$3623,"&lt;"&amp;EDATE(DATEVALUE(C295&amp;"-01"),11))&gt;0,1,0)</f>
        <v>0</v>
      </c>
      <c r="R295" s="37">
        <f>IF(COUNTIFS('📋 Транзакції'!$B$5:$B$3623,A295,'📋 Транзакції'!$C$5:$C$3623,"&gt;="&amp;EDATE(DATEVALUE(C295&amp;"-01"),11),'📋 Транзакції'!$C$5:$C$3623,"&lt;"&amp;EDATE(DATEVALUE(C295&amp;"-01"),12))&gt;0,1,0)</f>
        <v>0</v>
      </c>
      <c r="S295" s="37">
        <f>SUMIFS('📋 Транзакції'!$F$5:$F$3623,'📋 Транзакції'!$B$5:$B$3623,A295,'📋 Транзакції'!$C$5:$C$3623,"&gt;="&amp;EDATE(DATEVALUE(C295&amp;"-01"),0),'📋 Транзакції'!$C$5:$C$3623,"&lt;"&amp;EDATE(DATEVALUE(C295&amp;"-01"),1))</f>
        <v>19.99</v>
      </c>
      <c r="T295" s="37">
        <f>SUMIFS('📋 Транзакції'!$F$5:$F$3623,'📋 Транзакції'!$B$5:$B$3623,A295,'📋 Транзакції'!$C$5:$C$3623,"&gt;="&amp;EDATE(DATEVALUE(C295&amp;"-01"),1),'📋 Транзакції'!$C$5:$C$3623,"&lt;"&amp;EDATE(DATEVALUE(C295&amp;"-01"),2))</f>
        <v>19.99</v>
      </c>
      <c r="U295" s="37">
        <f>SUMIFS('📋 Транзакції'!$F$5:$F$3623,'📋 Транзакції'!$B$5:$B$3623,A295,'📋 Транзакції'!$C$5:$C$3623,"&gt;="&amp;EDATE(DATEVALUE(C295&amp;"-01"),2),'📋 Транзакції'!$C$5:$C$3623,"&lt;"&amp;EDATE(DATEVALUE(C295&amp;"-01"),3))</f>
        <v>19.99</v>
      </c>
      <c r="V295" s="37">
        <f>SUMIFS('📋 Транзакції'!$F$5:$F$3623,'📋 Транзакції'!$B$5:$B$3623,A295,'📋 Транзакції'!$C$5:$C$3623,"&gt;="&amp;EDATE(DATEVALUE(C295&amp;"-01"),3),'📋 Транзакції'!$C$5:$C$3623,"&lt;"&amp;EDATE(DATEVALUE(C295&amp;"-01"),4))</f>
        <v>19.99</v>
      </c>
      <c r="W295" s="37">
        <f>SUMIFS('📋 Транзакції'!$F$5:$F$3623,'📋 Транзакції'!$B$5:$B$3623,A295,'📋 Транзакції'!$C$5:$C$3623,"&gt;="&amp;EDATE(DATEVALUE(C295&amp;"-01"),4),'📋 Транзакції'!$C$5:$C$3623,"&lt;"&amp;EDATE(DATEVALUE(C295&amp;"-01"),5))</f>
        <v>19.99</v>
      </c>
      <c r="X295" s="37">
        <f>SUMIFS('📋 Транзакції'!$F$5:$F$3623,'📋 Транзакції'!$B$5:$B$3623,A295,'📋 Транзакції'!$C$5:$C$3623,"&gt;="&amp;EDATE(DATEVALUE(C295&amp;"-01"),5),'📋 Транзакції'!$C$5:$C$3623,"&lt;"&amp;EDATE(DATEVALUE(C295&amp;"-01"),6))</f>
        <v>19.99</v>
      </c>
      <c r="Y295" s="37">
        <f>SUMIFS('📋 Транзакції'!$F$5:$F$3623,'📋 Транзакції'!$B$5:$B$3623,A295,'📋 Транзакції'!$C$5:$C$3623,"&gt;="&amp;EDATE(DATEVALUE(C295&amp;"-01"),6),'📋 Транзакції'!$C$5:$C$3623,"&lt;"&amp;EDATE(DATEVALUE(C295&amp;"-01"),7))</f>
        <v>19.99</v>
      </c>
      <c r="Z295" s="37">
        <f>SUMIFS('📋 Транзакції'!$F$5:$F$3623,'📋 Транзакції'!$B$5:$B$3623,A295,'📋 Транзакції'!$C$5:$C$3623,"&gt;="&amp;EDATE(DATEVALUE(C295&amp;"-01"),7),'📋 Транзакції'!$C$5:$C$3623,"&lt;"&amp;EDATE(DATEVALUE(C295&amp;"-01"),8))</f>
        <v>0</v>
      </c>
      <c r="AA295" s="37">
        <f>SUMIFS('📋 Транзакції'!$F$5:$F$3623,'📋 Транзакції'!$B$5:$B$3623,A295,'📋 Транзакції'!$C$5:$C$3623,"&gt;="&amp;EDATE(DATEVALUE(C295&amp;"-01"),8),'📋 Транзакції'!$C$5:$C$3623,"&lt;"&amp;EDATE(DATEVALUE(C295&amp;"-01"),9))</f>
        <v>0</v>
      </c>
      <c r="AB295" s="37">
        <f>SUMIFS('📋 Транзакції'!$F$5:$F$3623,'📋 Транзакції'!$B$5:$B$3623,A295,'📋 Транзакції'!$C$5:$C$3623,"&gt;="&amp;EDATE(DATEVALUE(C295&amp;"-01"),9),'📋 Транзакції'!$C$5:$C$3623,"&lt;"&amp;EDATE(DATEVALUE(C295&amp;"-01"),10))</f>
        <v>0</v>
      </c>
      <c r="AC295" s="37">
        <f>SUMIFS('📋 Транзакції'!$F$5:$F$3623,'📋 Транзакції'!$B$5:$B$3623,A295,'📋 Транзакції'!$C$5:$C$3623,"&gt;="&amp;EDATE(DATEVALUE(C295&amp;"-01"),10),'📋 Транзакції'!$C$5:$C$3623,"&lt;"&amp;EDATE(DATEVALUE(C295&amp;"-01"),11))</f>
        <v>0</v>
      </c>
      <c r="AD295" s="37">
        <f>SUMIFS('📋 Транзакції'!$F$5:$F$3623,'📋 Транзакції'!$B$5:$B$3623,A295,'📋 Транзакції'!$C$5:$C$3623,"&gt;="&amp;EDATE(DATEVALUE(C295&amp;"-01"),11),'📋 Транзакції'!$C$5:$C$3623,"&lt;"&amp;EDATE(DATEVALUE(C295&amp;"-01"),12))</f>
        <v>0</v>
      </c>
    </row>
    <row r="296" ht="15.75" customHeight="1">
      <c r="A296" s="33" t="str">
        <f>'📋 Реєстрації'!A296:A897</f>
        <v>U0427</v>
      </c>
      <c r="B296" s="34">
        <f t="array" ref="B296">INDEX('📋 Транзакції'!$C$5:$C$3623,MATCH(A296,'📋 Транзакції'!$B$5:$B$3623,0))</f>
        <v>45556</v>
      </c>
      <c r="C296" s="35" t="str">
        <f t="shared" si="1"/>
        <v>2024-09</v>
      </c>
      <c r="D296" s="36">
        <f>COUNTIF('📋 Транзакції'!$B$5:$B$3623,A296)</f>
        <v>5</v>
      </c>
      <c r="E296" s="36">
        <f>SUMIF('📋 Транзакції'!$B$5:$B$3623,A296,'📋 Транзакції'!$F$5:$F$3623)</f>
        <v>79.96</v>
      </c>
      <c r="F296" s="35">
        <f>INT($A$1-MAXIFS('📋 Транзакції'!$C$5:$C$3623,'📋 Транзакції'!$B$5:$B$3623,A296))</f>
        <v>94</v>
      </c>
      <c r="G296" s="37">
        <f>IF(COUNTIFS('📋 Транзакції'!$B$5:$B$3623,A296,'📋 Транзакції'!$C$5:$C$3623,"&gt;="&amp;EDATE(DATEVALUE(C296&amp;"-01"),0),'📋 Транзакції'!$C$5:$C$3623,"&lt;"&amp;EDATE(DATEVALUE(C296&amp;"-01"),1))&gt;0,1,0)</f>
        <v>1</v>
      </c>
      <c r="H296" s="37">
        <f>IF(COUNTIFS('📋 Транзакції'!$B$5:$B$3623,A296,'📋 Транзакції'!$C$5:$C$3623,"&gt;="&amp;EDATE(DATEVALUE(C296&amp;"-01"),1),'📋 Транзакції'!$C$5:$C$3623,"&lt;"&amp;EDATE(DATEVALUE(C296&amp;"-01"),2))&gt;0,1,0)</f>
        <v>1</v>
      </c>
      <c r="I296" s="37">
        <f>IF(COUNTIFS('📋 Транзакції'!$B$5:$B$3623,A296,'📋 Транзакції'!$C$5:$C$3623,"&gt;="&amp;EDATE(DATEVALUE(C296&amp;"-01"),2),'📋 Транзакції'!$C$5:$C$3623,"&lt;"&amp;EDATE(DATEVALUE(C296&amp;"-01"),3))&gt;0,1,0)</f>
        <v>1</v>
      </c>
      <c r="J296" s="37">
        <f>IF(COUNTIFS('📋 Транзакції'!$B$5:$B$3623,A296,'📋 Транзакції'!$C$5:$C$3623,"&gt;="&amp;EDATE(DATEVALUE(C296&amp;"-01"),3),'📋 Транзакції'!$C$5:$C$3623,"&lt;"&amp;EDATE(DATEVALUE(C296&amp;"-01"),4))&gt;0,1,0)</f>
        <v>1</v>
      </c>
      <c r="K296" s="37">
        <f>IF(COUNTIFS('📋 Транзакції'!$B$5:$B$3623,A296,'📋 Транзакції'!$C$5:$C$3623,"&gt;="&amp;EDATE(DATEVALUE(C296&amp;"-01"),4),'📋 Транзакції'!$C$5:$C$3623,"&lt;"&amp;EDATE(DATEVALUE(C296&amp;"-01"),5))&gt;0,1,0)</f>
        <v>0</v>
      </c>
      <c r="L296" s="37">
        <f>IF(COUNTIFS('📋 Транзакції'!$B$5:$B$3623,A296,'📋 Транзакції'!$C$5:$C$3623,"&gt;="&amp;EDATE(DATEVALUE(C296&amp;"-01"),5),'📋 Транзакції'!$C$5:$C$3623,"&lt;"&amp;EDATE(DATEVALUE(C296&amp;"-01"),6))&gt;0,1,0)</f>
        <v>0</v>
      </c>
      <c r="M296" s="37">
        <f>IF(COUNTIFS('📋 Транзакції'!$B$5:$B$3623,A296,'📋 Транзакції'!$C$5:$C$3623,"&gt;="&amp;EDATE(DATEVALUE(C296&amp;"-01"),6),'📋 Транзакції'!$C$5:$C$3623,"&lt;"&amp;EDATE(DATEVALUE(C296&amp;"-01"),7))&gt;0,1,0)</f>
        <v>0</v>
      </c>
      <c r="N296" s="37">
        <f>IF(COUNTIFS('📋 Транзакції'!$B$5:$B$3623,A296,'📋 Транзакції'!$C$5:$C$3623,"&gt;="&amp;EDATE(DATEVALUE(C296&amp;"-01"),7),'📋 Транзакції'!$C$5:$C$3623,"&lt;"&amp;EDATE(DATEVALUE(C296&amp;"-01"),8))&gt;0,1,0)</f>
        <v>0</v>
      </c>
      <c r="O296" s="37">
        <f>IF(COUNTIFS('📋 Транзакції'!$B$5:$B$3623,A296,'📋 Транзакції'!$C$5:$C$3623,"&gt;="&amp;EDATE(DATEVALUE(C296&amp;"-01"),8),'📋 Транзакції'!$C$5:$C$3623,"&lt;"&amp;EDATE(DATEVALUE(C296&amp;"-01"),9))&gt;0,1,0)</f>
        <v>0</v>
      </c>
      <c r="P296" s="37">
        <f>IF(COUNTIFS('📋 Транзакції'!$B$5:$B$3623,A296,'📋 Транзакції'!$C$5:$C$3623,"&gt;="&amp;EDATE(DATEVALUE(C296&amp;"-01"),9),'📋 Транзакції'!$C$5:$C$3623,"&lt;"&amp;EDATE(DATEVALUE(C296&amp;"-01"),10))&gt;0,1,0)</f>
        <v>0</v>
      </c>
      <c r="Q296" s="37">
        <f>IF(COUNTIFS('📋 Транзакції'!$B$5:$B$3623,A296,'📋 Транзакції'!$C$5:$C$3623,"&gt;="&amp;EDATE(DATEVALUE(C296&amp;"-01"),10),'📋 Транзакції'!$C$5:$C$3623,"&lt;"&amp;EDATE(DATEVALUE(C296&amp;"-01"),11))&gt;0,1,0)</f>
        <v>0</v>
      </c>
      <c r="R296" s="37">
        <f>IF(COUNTIFS('📋 Транзакції'!$B$5:$B$3623,A296,'📋 Транзакції'!$C$5:$C$3623,"&gt;="&amp;EDATE(DATEVALUE(C296&amp;"-01"),11),'📋 Транзакції'!$C$5:$C$3623,"&lt;"&amp;EDATE(DATEVALUE(C296&amp;"-01"),12))&gt;0,1,0)</f>
        <v>0</v>
      </c>
      <c r="S296" s="37">
        <f>SUMIFS('📋 Транзакції'!$F$5:$F$3623,'📋 Транзакції'!$B$5:$B$3623,A296,'📋 Транзакції'!$C$5:$C$3623,"&gt;="&amp;EDATE(DATEVALUE(C296&amp;"-01"),0),'📋 Транзакції'!$C$5:$C$3623,"&lt;"&amp;EDATE(DATEVALUE(C296&amp;"-01"),1))</f>
        <v>19.99</v>
      </c>
      <c r="T296" s="37">
        <f>SUMIFS('📋 Транзакції'!$F$5:$F$3623,'📋 Транзакції'!$B$5:$B$3623,A296,'📋 Транзакції'!$C$5:$C$3623,"&gt;="&amp;EDATE(DATEVALUE(C296&amp;"-01"),1),'📋 Транзакції'!$C$5:$C$3623,"&lt;"&amp;EDATE(DATEVALUE(C296&amp;"-01"),2))</f>
        <v>19.99</v>
      </c>
      <c r="U296" s="37">
        <f>SUMIFS('📋 Транзакції'!$F$5:$F$3623,'📋 Транзакції'!$B$5:$B$3623,A296,'📋 Транзакції'!$C$5:$C$3623,"&gt;="&amp;EDATE(DATEVALUE(C296&amp;"-01"),2),'📋 Транзакції'!$C$5:$C$3623,"&lt;"&amp;EDATE(DATEVALUE(C296&amp;"-01"),3))</f>
        <v>19.99</v>
      </c>
      <c r="V296" s="37">
        <f>SUMIFS('📋 Транзакції'!$F$5:$F$3623,'📋 Транзакції'!$B$5:$B$3623,A296,'📋 Транзакції'!$C$5:$C$3623,"&gt;="&amp;EDATE(DATEVALUE(C296&amp;"-01"),3),'📋 Транзакції'!$C$5:$C$3623,"&lt;"&amp;EDATE(DATEVALUE(C296&amp;"-01"),4))</f>
        <v>19.99</v>
      </c>
      <c r="W296" s="37">
        <f>SUMIFS('📋 Транзакції'!$F$5:$F$3623,'📋 Транзакції'!$B$5:$B$3623,A296,'📋 Транзакції'!$C$5:$C$3623,"&gt;="&amp;EDATE(DATEVALUE(C296&amp;"-01"),4),'📋 Транзакції'!$C$5:$C$3623,"&lt;"&amp;EDATE(DATEVALUE(C296&amp;"-01"),5))</f>
        <v>0</v>
      </c>
      <c r="X296" s="37">
        <f>SUMIFS('📋 Транзакції'!$F$5:$F$3623,'📋 Транзакції'!$B$5:$B$3623,A296,'📋 Транзакції'!$C$5:$C$3623,"&gt;="&amp;EDATE(DATEVALUE(C296&amp;"-01"),5),'📋 Транзакції'!$C$5:$C$3623,"&lt;"&amp;EDATE(DATEVALUE(C296&amp;"-01"),6))</f>
        <v>0</v>
      </c>
      <c r="Y296" s="37">
        <f>SUMIFS('📋 Транзакції'!$F$5:$F$3623,'📋 Транзакції'!$B$5:$B$3623,A296,'📋 Транзакції'!$C$5:$C$3623,"&gt;="&amp;EDATE(DATEVALUE(C296&amp;"-01"),6),'📋 Транзакції'!$C$5:$C$3623,"&lt;"&amp;EDATE(DATEVALUE(C296&amp;"-01"),7))</f>
        <v>0</v>
      </c>
      <c r="Z296" s="37">
        <f>SUMIFS('📋 Транзакції'!$F$5:$F$3623,'📋 Транзакції'!$B$5:$B$3623,A296,'📋 Транзакції'!$C$5:$C$3623,"&gt;="&amp;EDATE(DATEVALUE(C296&amp;"-01"),7),'📋 Транзакції'!$C$5:$C$3623,"&lt;"&amp;EDATE(DATEVALUE(C296&amp;"-01"),8))</f>
        <v>0</v>
      </c>
      <c r="AA296" s="37">
        <f>SUMIFS('📋 Транзакції'!$F$5:$F$3623,'📋 Транзакції'!$B$5:$B$3623,A296,'📋 Транзакції'!$C$5:$C$3623,"&gt;="&amp;EDATE(DATEVALUE(C296&amp;"-01"),8),'📋 Транзакції'!$C$5:$C$3623,"&lt;"&amp;EDATE(DATEVALUE(C296&amp;"-01"),9))</f>
        <v>0</v>
      </c>
      <c r="AB296" s="37">
        <f>SUMIFS('📋 Транзакції'!$F$5:$F$3623,'📋 Транзакції'!$B$5:$B$3623,A296,'📋 Транзакції'!$C$5:$C$3623,"&gt;="&amp;EDATE(DATEVALUE(C296&amp;"-01"),9),'📋 Транзакції'!$C$5:$C$3623,"&lt;"&amp;EDATE(DATEVALUE(C296&amp;"-01"),10))</f>
        <v>0</v>
      </c>
      <c r="AC296" s="37">
        <f>SUMIFS('📋 Транзакції'!$F$5:$F$3623,'📋 Транзакції'!$B$5:$B$3623,A296,'📋 Транзакції'!$C$5:$C$3623,"&gt;="&amp;EDATE(DATEVALUE(C296&amp;"-01"),10),'📋 Транзакції'!$C$5:$C$3623,"&lt;"&amp;EDATE(DATEVALUE(C296&amp;"-01"),11))</f>
        <v>0</v>
      </c>
      <c r="AD296" s="37">
        <f>SUMIFS('📋 Транзакції'!$F$5:$F$3623,'📋 Транзакції'!$B$5:$B$3623,A296,'📋 Транзакції'!$C$5:$C$3623,"&gt;="&amp;EDATE(DATEVALUE(C296&amp;"-01"),11),'📋 Транзакції'!$C$5:$C$3623,"&lt;"&amp;EDATE(DATEVALUE(C296&amp;"-01"),12))</f>
        <v>0</v>
      </c>
    </row>
    <row r="297" ht="15.75" customHeight="1">
      <c r="A297" s="33" t="str">
        <f>'📋 Реєстрації'!A297:A898</f>
        <v>U0311</v>
      </c>
      <c r="B297" s="34">
        <f t="array" ref="B297">INDEX('📋 Транзакції'!$C$5:$C$3623,MATCH(A297,'📋 Транзакції'!$B$5:$B$3623,0))</f>
        <v>45557</v>
      </c>
      <c r="C297" s="35" t="str">
        <f t="shared" si="1"/>
        <v>2024-09</v>
      </c>
      <c r="D297" s="36">
        <f>COUNTIF('📋 Транзакції'!$B$5:$B$3623,A297)</f>
        <v>2</v>
      </c>
      <c r="E297" s="36">
        <f>SUMIF('📋 Транзакції'!$B$5:$B$3623,A297,'📋 Транзакції'!$F$5:$F$3623)</f>
        <v>19.99</v>
      </c>
      <c r="F297" s="35">
        <f>INT($A$1-MAXIFS('📋 Транзакції'!$C$5:$C$3623,'📋 Транзакції'!$B$5:$B$3623,A297))</f>
        <v>183</v>
      </c>
      <c r="G297" s="37">
        <f>IF(COUNTIFS('📋 Транзакції'!$B$5:$B$3623,A297,'📋 Транзакції'!$C$5:$C$3623,"&gt;="&amp;EDATE(DATEVALUE(C297&amp;"-01"),0),'📋 Транзакції'!$C$5:$C$3623,"&lt;"&amp;EDATE(DATEVALUE(C297&amp;"-01"),1))&gt;0,1,0)</f>
        <v>1</v>
      </c>
      <c r="H297" s="37">
        <f>IF(COUNTIFS('📋 Транзакції'!$B$5:$B$3623,A297,'📋 Транзакції'!$C$5:$C$3623,"&gt;="&amp;EDATE(DATEVALUE(C297&amp;"-01"),1),'📋 Транзакції'!$C$5:$C$3623,"&lt;"&amp;EDATE(DATEVALUE(C297&amp;"-01"),2))&gt;0,1,0)</f>
        <v>0</v>
      </c>
      <c r="I297" s="37">
        <f>IF(COUNTIFS('📋 Транзакції'!$B$5:$B$3623,A297,'📋 Транзакції'!$C$5:$C$3623,"&gt;="&amp;EDATE(DATEVALUE(C297&amp;"-01"),2),'📋 Транзакції'!$C$5:$C$3623,"&lt;"&amp;EDATE(DATEVALUE(C297&amp;"-01"),3))&gt;0,1,0)</f>
        <v>0</v>
      </c>
      <c r="J297" s="37">
        <f>IF(COUNTIFS('📋 Транзакції'!$B$5:$B$3623,A297,'📋 Транзакції'!$C$5:$C$3623,"&gt;="&amp;EDATE(DATEVALUE(C297&amp;"-01"),3),'📋 Транзакції'!$C$5:$C$3623,"&lt;"&amp;EDATE(DATEVALUE(C297&amp;"-01"),4))&gt;0,1,0)</f>
        <v>0</v>
      </c>
      <c r="K297" s="37">
        <f>IF(COUNTIFS('📋 Транзакції'!$B$5:$B$3623,A297,'📋 Транзакції'!$C$5:$C$3623,"&gt;="&amp;EDATE(DATEVALUE(C297&amp;"-01"),4),'📋 Транзакції'!$C$5:$C$3623,"&lt;"&amp;EDATE(DATEVALUE(C297&amp;"-01"),5))&gt;0,1,0)</f>
        <v>0</v>
      </c>
      <c r="L297" s="37">
        <f>IF(COUNTIFS('📋 Транзакції'!$B$5:$B$3623,A297,'📋 Транзакції'!$C$5:$C$3623,"&gt;="&amp;EDATE(DATEVALUE(C297&amp;"-01"),5),'📋 Транзакції'!$C$5:$C$3623,"&lt;"&amp;EDATE(DATEVALUE(C297&amp;"-01"),6))&gt;0,1,0)</f>
        <v>0</v>
      </c>
      <c r="M297" s="37">
        <f>IF(COUNTIFS('📋 Транзакції'!$B$5:$B$3623,A297,'📋 Транзакції'!$C$5:$C$3623,"&gt;="&amp;EDATE(DATEVALUE(C297&amp;"-01"),6),'📋 Транзакції'!$C$5:$C$3623,"&lt;"&amp;EDATE(DATEVALUE(C297&amp;"-01"),7))&gt;0,1,0)</f>
        <v>0</v>
      </c>
      <c r="N297" s="37">
        <f>IF(COUNTIFS('📋 Транзакції'!$B$5:$B$3623,A297,'📋 Транзакції'!$C$5:$C$3623,"&gt;="&amp;EDATE(DATEVALUE(C297&amp;"-01"),7),'📋 Транзакції'!$C$5:$C$3623,"&lt;"&amp;EDATE(DATEVALUE(C297&amp;"-01"),8))&gt;0,1,0)</f>
        <v>0</v>
      </c>
      <c r="O297" s="37">
        <f>IF(COUNTIFS('📋 Транзакції'!$B$5:$B$3623,A297,'📋 Транзакції'!$C$5:$C$3623,"&gt;="&amp;EDATE(DATEVALUE(C297&amp;"-01"),8),'📋 Транзакції'!$C$5:$C$3623,"&lt;"&amp;EDATE(DATEVALUE(C297&amp;"-01"),9))&gt;0,1,0)</f>
        <v>0</v>
      </c>
      <c r="P297" s="37">
        <f>IF(COUNTIFS('📋 Транзакції'!$B$5:$B$3623,A297,'📋 Транзакції'!$C$5:$C$3623,"&gt;="&amp;EDATE(DATEVALUE(C297&amp;"-01"),9),'📋 Транзакції'!$C$5:$C$3623,"&lt;"&amp;EDATE(DATEVALUE(C297&amp;"-01"),10))&gt;0,1,0)</f>
        <v>0</v>
      </c>
      <c r="Q297" s="37">
        <f>IF(COUNTIFS('📋 Транзакції'!$B$5:$B$3623,A297,'📋 Транзакції'!$C$5:$C$3623,"&gt;="&amp;EDATE(DATEVALUE(C297&amp;"-01"),10),'📋 Транзакції'!$C$5:$C$3623,"&lt;"&amp;EDATE(DATEVALUE(C297&amp;"-01"),11))&gt;0,1,0)</f>
        <v>0</v>
      </c>
      <c r="R297" s="37">
        <f>IF(COUNTIFS('📋 Транзакції'!$B$5:$B$3623,A297,'📋 Транзакції'!$C$5:$C$3623,"&gt;="&amp;EDATE(DATEVALUE(C297&amp;"-01"),11),'📋 Транзакції'!$C$5:$C$3623,"&lt;"&amp;EDATE(DATEVALUE(C297&amp;"-01"),12))&gt;0,1,0)</f>
        <v>0</v>
      </c>
      <c r="S297" s="37">
        <f>SUMIFS('📋 Транзакції'!$F$5:$F$3623,'📋 Транзакції'!$B$5:$B$3623,A297,'📋 Транзакції'!$C$5:$C$3623,"&gt;="&amp;EDATE(DATEVALUE(C297&amp;"-01"),0),'📋 Транзакції'!$C$5:$C$3623,"&lt;"&amp;EDATE(DATEVALUE(C297&amp;"-01"),1))</f>
        <v>19.99</v>
      </c>
      <c r="T297" s="37">
        <f>SUMIFS('📋 Транзакції'!$F$5:$F$3623,'📋 Транзакції'!$B$5:$B$3623,A297,'📋 Транзакції'!$C$5:$C$3623,"&gt;="&amp;EDATE(DATEVALUE(C297&amp;"-01"),1),'📋 Транзакції'!$C$5:$C$3623,"&lt;"&amp;EDATE(DATEVALUE(C297&amp;"-01"),2))</f>
        <v>0</v>
      </c>
      <c r="U297" s="37">
        <f>SUMIFS('📋 Транзакції'!$F$5:$F$3623,'📋 Транзакції'!$B$5:$B$3623,A297,'📋 Транзакції'!$C$5:$C$3623,"&gt;="&amp;EDATE(DATEVALUE(C297&amp;"-01"),2),'📋 Транзакції'!$C$5:$C$3623,"&lt;"&amp;EDATE(DATEVALUE(C297&amp;"-01"),3))</f>
        <v>0</v>
      </c>
      <c r="V297" s="37">
        <f>SUMIFS('📋 Транзакції'!$F$5:$F$3623,'📋 Транзакції'!$B$5:$B$3623,A297,'📋 Транзакції'!$C$5:$C$3623,"&gt;="&amp;EDATE(DATEVALUE(C297&amp;"-01"),3),'📋 Транзакції'!$C$5:$C$3623,"&lt;"&amp;EDATE(DATEVALUE(C297&amp;"-01"),4))</f>
        <v>0</v>
      </c>
      <c r="W297" s="37">
        <f>SUMIFS('📋 Транзакції'!$F$5:$F$3623,'📋 Транзакції'!$B$5:$B$3623,A297,'📋 Транзакції'!$C$5:$C$3623,"&gt;="&amp;EDATE(DATEVALUE(C297&amp;"-01"),4),'📋 Транзакції'!$C$5:$C$3623,"&lt;"&amp;EDATE(DATEVALUE(C297&amp;"-01"),5))</f>
        <v>0</v>
      </c>
      <c r="X297" s="37">
        <f>SUMIFS('📋 Транзакції'!$F$5:$F$3623,'📋 Транзакції'!$B$5:$B$3623,A297,'📋 Транзакції'!$C$5:$C$3623,"&gt;="&amp;EDATE(DATEVALUE(C297&amp;"-01"),5),'📋 Транзакції'!$C$5:$C$3623,"&lt;"&amp;EDATE(DATEVALUE(C297&amp;"-01"),6))</f>
        <v>0</v>
      </c>
      <c r="Y297" s="37">
        <f>SUMIFS('📋 Транзакції'!$F$5:$F$3623,'📋 Транзакції'!$B$5:$B$3623,A297,'📋 Транзакції'!$C$5:$C$3623,"&gt;="&amp;EDATE(DATEVALUE(C297&amp;"-01"),6),'📋 Транзакції'!$C$5:$C$3623,"&lt;"&amp;EDATE(DATEVALUE(C297&amp;"-01"),7))</f>
        <v>0</v>
      </c>
      <c r="Z297" s="37">
        <f>SUMIFS('📋 Транзакції'!$F$5:$F$3623,'📋 Транзакції'!$B$5:$B$3623,A297,'📋 Транзакції'!$C$5:$C$3623,"&gt;="&amp;EDATE(DATEVALUE(C297&amp;"-01"),7),'📋 Транзакції'!$C$5:$C$3623,"&lt;"&amp;EDATE(DATEVALUE(C297&amp;"-01"),8))</f>
        <v>0</v>
      </c>
      <c r="AA297" s="37">
        <f>SUMIFS('📋 Транзакції'!$F$5:$F$3623,'📋 Транзакції'!$B$5:$B$3623,A297,'📋 Транзакції'!$C$5:$C$3623,"&gt;="&amp;EDATE(DATEVALUE(C297&amp;"-01"),8),'📋 Транзакції'!$C$5:$C$3623,"&lt;"&amp;EDATE(DATEVALUE(C297&amp;"-01"),9))</f>
        <v>0</v>
      </c>
      <c r="AB297" s="37">
        <f>SUMIFS('📋 Транзакції'!$F$5:$F$3623,'📋 Транзакції'!$B$5:$B$3623,A297,'📋 Транзакції'!$C$5:$C$3623,"&gt;="&amp;EDATE(DATEVALUE(C297&amp;"-01"),9),'📋 Транзакції'!$C$5:$C$3623,"&lt;"&amp;EDATE(DATEVALUE(C297&amp;"-01"),10))</f>
        <v>0</v>
      </c>
      <c r="AC297" s="37">
        <f>SUMIFS('📋 Транзакції'!$F$5:$F$3623,'📋 Транзакції'!$B$5:$B$3623,A297,'📋 Транзакції'!$C$5:$C$3623,"&gt;="&amp;EDATE(DATEVALUE(C297&amp;"-01"),10),'📋 Транзакції'!$C$5:$C$3623,"&lt;"&amp;EDATE(DATEVALUE(C297&amp;"-01"),11))</f>
        <v>0</v>
      </c>
      <c r="AD297" s="37">
        <f>SUMIFS('📋 Транзакції'!$F$5:$F$3623,'📋 Транзакції'!$B$5:$B$3623,A297,'📋 Транзакції'!$C$5:$C$3623,"&gt;="&amp;EDATE(DATEVALUE(C297&amp;"-01"),11),'📋 Транзакції'!$C$5:$C$3623,"&lt;"&amp;EDATE(DATEVALUE(C297&amp;"-01"),12))</f>
        <v>0</v>
      </c>
    </row>
    <row r="298" ht="15.75" customHeight="1">
      <c r="A298" s="33" t="str">
        <f>'📋 Реєстрації'!A298:A899</f>
        <v>U0655</v>
      </c>
      <c r="B298" s="34">
        <f t="array" ref="B298">INDEX('📋 Транзакції'!$C$5:$C$3623,MATCH(A298,'📋 Транзакції'!$B$5:$B$3623,0))</f>
        <v>45557</v>
      </c>
      <c r="C298" s="35" t="str">
        <f t="shared" si="1"/>
        <v>2024-09</v>
      </c>
      <c r="D298" s="36">
        <f>COUNTIF('📋 Транзакції'!$B$5:$B$3623,A298)</f>
        <v>4</v>
      </c>
      <c r="E298" s="36">
        <f>SUMIF('📋 Транзакції'!$B$5:$B$3623,A298,'📋 Транзакції'!$F$5:$F$3623)</f>
        <v>59.97</v>
      </c>
      <c r="F298" s="35">
        <f>INT($A$1-MAXIFS('📋 Транзакції'!$C$5:$C$3623,'📋 Транзакції'!$B$5:$B$3623,A298))</f>
        <v>123</v>
      </c>
      <c r="G298" s="37">
        <f>IF(COUNTIFS('📋 Транзакції'!$B$5:$B$3623,A298,'📋 Транзакції'!$C$5:$C$3623,"&gt;="&amp;EDATE(DATEVALUE(C298&amp;"-01"),0),'📋 Транзакції'!$C$5:$C$3623,"&lt;"&amp;EDATE(DATEVALUE(C298&amp;"-01"),1))&gt;0,1,0)</f>
        <v>1</v>
      </c>
      <c r="H298" s="37">
        <f>IF(COUNTIFS('📋 Транзакції'!$B$5:$B$3623,A298,'📋 Транзакції'!$C$5:$C$3623,"&gt;="&amp;EDATE(DATEVALUE(C298&amp;"-01"),1),'📋 Транзакції'!$C$5:$C$3623,"&lt;"&amp;EDATE(DATEVALUE(C298&amp;"-01"),2))&gt;0,1,0)</f>
        <v>1</v>
      </c>
      <c r="I298" s="37">
        <f>IF(COUNTIFS('📋 Транзакції'!$B$5:$B$3623,A298,'📋 Транзакції'!$C$5:$C$3623,"&gt;="&amp;EDATE(DATEVALUE(C298&amp;"-01"),2),'📋 Транзакції'!$C$5:$C$3623,"&lt;"&amp;EDATE(DATEVALUE(C298&amp;"-01"),3))&gt;0,1,0)</f>
        <v>1</v>
      </c>
      <c r="J298" s="37">
        <f>IF(COUNTIFS('📋 Транзакції'!$B$5:$B$3623,A298,'📋 Транзакції'!$C$5:$C$3623,"&gt;="&amp;EDATE(DATEVALUE(C298&amp;"-01"),3),'📋 Транзакції'!$C$5:$C$3623,"&lt;"&amp;EDATE(DATEVALUE(C298&amp;"-01"),4))&gt;0,1,0)</f>
        <v>0</v>
      </c>
      <c r="K298" s="37">
        <f>IF(COUNTIFS('📋 Транзакції'!$B$5:$B$3623,A298,'📋 Транзакції'!$C$5:$C$3623,"&gt;="&amp;EDATE(DATEVALUE(C298&amp;"-01"),4),'📋 Транзакції'!$C$5:$C$3623,"&lt;"&amp;EDATE(DATEVALUE(C298&amp;"-01"),5))&gt;0,1,0)</f>
        <v>0</v>
      </c>
      <c r="L298" s="37">
        <f>IF(COUNTIFS('📋 Транзакції'!$B$5:$B$3623,A298,'📋 Транзакції'!$C$5:$C$3623,"&gt;="&amp;EDATE(DATEVALUE(C298&amp;"-01"),5),'📋 Транзакції'!$C$5:$C$3623,"&lt;"&amp;EDATE(DATEVALUE(C298&amp;"-01"),6))&gt;0,1,0)</f>
        <v>0</v>
      </c>
      <c r="M298" s="37">
        <f>IF(COUNTIFS('📋 Транзакції'!$B$5:$B$3623,A298,'📋 Транзакції'!$C$5:$C$3623,"&gt;="&amp;EDATE(DATEVALUE(C298&amp;"-01"),6),'📋 Транзакції'!$C$5:$C$3623,"&lt;"&amp;EDATE(DATEVALUE(C298&amp;"-01"),7))&gt;0,1,0)</f>
        <v>0</v>
      </c>
      <c r="N298" s="37">
        <f>IF(COUNTIFS('📋 Транзакції'!$B$5:$B$3623,A298,'📋 Транзакції'!$C$5:$C$3623,"&gt;="&amp;EDATE(DATEVALUE(C298&amp;"-01"),7),'📋 Транзакції'!$C$5:$C$3623,"&lt;"&amp;EDATE(DATEVALUE(C298&amp;"-01"),8))&gt;0,1,0)</f>
        <v>0</v>
      </c>
      <c r="O298" s="37">
        <f>IF(COUNTIFS('📋 Транзакції'!$B$5:$B$3623,A298,'📋 Транзакції'!$C$5:$C$3623,"&gt;="&amp;EDATE(DATEVALUE(C298&amp;"-01"),8),'📋 Транзакції'!$C$5:$C$3623,"&lt;"&amp;EDATE(DATEVALUE(C298&amp;"-01"),9))&gt;0,1,0)</f>
        <v>0</v>
      </c>
      <c r="P298" s="37">
        <f>IF(COUNTIFS('📋 Транзакції'!$B$5:$B$3623,A298,'📋 Транзакції'!$C$5:$C$3623,"&gt;="&amp;EDATE(DATEVALUE(C298&amp;"-01"),9),'📋 Транзакції'!$C$5:$C$3623,"&lt;"&amp;EDATE(DATEVALUE(C298&amp;"-01"),10))&gt;0,1,0)</f>
        <v>0</v>
      </c>
      <c r="Q298" s="37">
        <f>IF(COUNTIFS('📋 Транзакції'!$B$5:$B$3623,A298,'📋 Транзакції'!$C$5:$C$3623,"&gt;="&amp;EDATE(DATEVALUE(C298&amp;"-01"),10),'📋 Транзакції'!$C$5:$C$3623,"&lt;"&amp;EDATE(DATEVALUE(C298&amp;"-01"),11))&gt;0,1,0)</f>
        <v>0</v>
      </c>
      <c r="R298" s="37">
        <f>IF(COUNTIFS('📋 Транзакції'!$B$5:$B$3623,A298,'📋 Транзакції'!$C$5:$C$3623,"&gt;="&amp;EDATE(DATEVALUE(C298&amp;"-01"),11),'📋 Транзакції'!$C$5:$C$3623,"&lt;"&amp;EDATE(DATEVALUE(C298&amp;"-01"),12))&gt;0,1,0)</f>
        <v>0</v>
      </c>
      <c r="S298" s="37">
        <f>SUMIFS('📋 Транзакції'!$F$5:$F$3623,'📋 Транзакції'!$B$5:$B$3623,A298,'📋 Транзакції'!$C$5:$C$3623,"&gt;="&amp;EDATE(DATEVALUE(C298&amp;"-01"),0),'📋 Транзакції'!$C$5:$C$3623,"&lt;"&amp;EDATE(DATEVALUE(C298&amp;"-01"),1))</f>
        <v>19.99</v>
      </c>
      <c r="T298" s="37">
        <f>SUMIFS('📋 Транзакції'!$F$5:$F$3623,'📋 Транзакції'!$B$5:$B$3623,A298,'📋 Транзакції'!$C$5:$C$3623,"&gt;="&amp;EDATE(DATEVALUE(C298&amp;"-01"),1),'📋 Транзакції'!$C$5:$C$3623,"&lt;"&amp;EDATE(DATEVALUE(C298&amp;"-01"),2))</f>
        <v>19.99</v>
      </c>
      <c r="U298" s="37">
        <f>SUMIFS('📋 Транзакції'!$F$5:$F$3623,'📋 Транзакції'!$B$5:$B$3623,A298,'📋 Транзакції'!$C$5:$C$3623,"&gt;="&amp;EDATE(DATEVALUE(C298&amp;"-01"),2),'📋 Транзакції'!$C$5:$C$3623,"&lt;"&amp;EDATE(DATEVALUE(C298&amp;"-01"),3))</f>
        <v>19.99</v>
      </c>
      <c r="V298" s="37">
        <f>SUMIFS('📋 Транзакції'!$F$5:$F$3623,'📋 Транзакції'!$B$5:$B$3623,A298,'📋 Транзакції'!$C$5:$C$3623,"&gt;="&amp;EDATE(DATEVALUE(C298&amp;"-01"),3),'📋 Транзакції'!$C$5:$C$3623,"&lt;"&amp;EDATE(DATEVALUE(C298&amp;"-01"),4))</f>
        <v>0</v>
      </c>
      <c r="W298" s="37">
        <f>SUMIFS('📋 Транзакції'!$F$5:$F$3623,'📋 Транзакції'!$B$5:$B$3623,A298,'📋 Транзакції'!$C$5:$C$3623,"&gt;="&amp;EDATE(DATEVALUE(C298&amp;"-01"),4),'📋 Транзакції'!$C$5:$C$3623,"&lt;"&amp;EDATE(DATEVALUE(C298&amp;"-01"),5))</f>
        <v>0</v>
      </c>
      <c r="X298" s="37">
        <f>SUMIFS('📋 Транзакції'!$F$5:$F$3623,'📋 Транзакції'!$B$5:$B$3623,A298,'📋 Транзакції'!$C$5:$C$3623,"&gt;="&amp;EDATE(DATEVALUE(C298&amp;"-01"),5),'📋 Транзакції'!$C$5:$C$3623,"&lt;"&amp;EDATE(DATEVALUE(C298&amp;"-01"),6))</f>
        <v>0</v>
      </c>
      <c r="Y298" s="37">
        <f>SUMIFS('📋 Транзакції'!$F$5:$F$3623,'📋 Транзакції'!$B$5:$B$3623,A298,'📋 Транзакції'!$C$5:$C$3623,"&gt;="&amp;EDATE(DATEVALUE(C298&amp;"-01"),6),'📋 Транзакції'!$C$5:$C$3623,"&lt;"&amp;EDATE(DATEVALUE(C298&amp;"-01"),7))</f>
        <v>0</v>
      </c>
      <c r="Z298" s="37">
        <f>SUMIFS('📋 Транзакції'!$F$5:$F$3623,'📋 Транзакції'!$B$5:$B$3623,A298,'📋 Транзакції'!$C$5:$C$3623,"&gt;="&amp;EDATE(DATEVALUE(C298&amp;"-01"),7),'📋 Транзакції'!$C$5:$C$3623,"&lt;"&amp;EDATE(DATEVALUE(C298&amp;"-01"),8))</f>
        <v>0</v>
      </c>
      <c r="AA298" s="37">
        <f>SUMIFS('📋 Транзакції'!$F$5:$F$3623,'📋 Транзакції'!$B$5:$B$3623,A298,'📋 Транзакції'!$C$5:$C$3623,"&gt;="&amp;EDATE(DATEVALUE(C298&amp;"-01"),8),'📋 Транзакції'!$C$5:$C$3623,"&lt;"&amp;EDATE(DATEVALUE(C298&amp;"-01"),9))</f>
        <v>0</v>
      </c>
      <c r="AB298" s="37">
        <f>SUMIFS('📋 Транзакції'!$F$5:$F$3623,'📋 Транзакції'!$B$5:$B$3623,A298,'📋 Транзакції'!$C$5:$C$3623,"&gt;="&amp;EDATE(DATEVALUE(C298&amp;"-01"),9),'📋 Транзакції'!$C$5:$C$3623,"&lt;"&amp;EDATE(DATEVALUE(C298&amp;"-01"),10))</f>
        <v>0</v>
      </c>
      <c r="AC298" s="37">
        <f>SUMIFS('📋 Транзакції'!$F$5:$F$3623,'📋 Транзакції'!$B$5:$B$3623,A298,'📋 Транзакції'!$C$5:$C$3623,"&gt;="&amp;EDATE(DATEVALUE(C298&amp;"-01"),10),'📋 Транзакції'!$C$5:$C$3623,"&lt;"&amp;EDATE(DATEVALUE(C298&amp;"-01"),11))</f>
        <v>0</v>
      </c>
      <c r="AD298" s="37">
        <f>SUMIFS('📋 Транзакції'!$F$5:$F$3623,'📋 Транзакції'!$B$5:$B$3623,A298,'📋 Транзакції'!$C$5:$C$3623,"&gt;="&amp;EDATE(DATEVALUE(C298&amp;"-01"),11),'📋 Транзакції'!$C$5:$C$3623,"&lt;"&amp;EDATE(DATEVALUE(C298&amp;"-01"),12))</f>
        <v>0</v>
      </c>
    </row>
    <row r="299" ht="15.75" customHeight="1">
      <c r="A299" s="33" t="str">
        <f>'📋 Реєстрації'!A299:A900</f>
        <v>U0344</v>
      </c>
      <c r="B299" s="34">
        <f t="array" ref="B299">INDEX('📋 Транзакції'!$C$5:$C$3623,MATCH(A299,'📋 Транзакції'!$B$5:$B$3623,0))</f>
        <v>45558</v>
      </c>
      <c r="C299" s="35" t="str">
        <f t="shared" si="1"/>
        <v>2024-09</v>
      </c>
      <c r="D299" s="36">
        <f>COUNTIF('📋 Транзакції'!$B$5:$B$3623,A299)</f>
        <v>2</v>
      </c>
      <c r="E299" s="36">
        <f>SUMIF('📋 Транзакції'!$B$5:$B$3623,A299,'📋 Транзакції'!$F$5:$F$3623)</f>
        <v>19.99</v>
      </c>
      <c r="F299" s="35">
        <f>INT($A$1-MAXIFS('📋 Транзакції'!$C$5:$C$3623,'📋 Транзакції'!$B$5:$B$3623,A299))</f>
        <v>182</v>
      </c>
      <c r="G299" s="37">
        <f>IF(COUNTIFS('📋 Транзакції'!$B$5:$B$3623,A299,'📋 Транзакції'!$C$5:$C$3623,"&gt;="&amp;EDATE(DATEVALUE(C299&amp;"-01"),0),'📋 Транзакції'!$C$5:$C$3623,"&lt;"&amp;EDATE(DATEVALUE(C299&amp;"-01"),1))&gt;0,1,0)</f>
        <v>1</v>
      </c>
      <c r="H299" s="37">
        <f>IF(COUNTIFS('📋 Транзакції'!$B$5:$B$3623,A299,'📋 Транзакції'!$C$5:$C$3623,"&gt;="&amp;EDATE(DATEVALUE(C299&amp;"-01"),1),'📋 Транзакції'!$C$5:$C$3623,"&lt;"&amp;EDATE(DATEVALUE(C299&amp;"-01"),2))&gt;0,1,0)</f>
        <v>0</v>
      </c>
      <c r="I299" s="37">
        <f>IF(COUNTIFS('📋 Транзакції'!$B$5:$B$3623,A299,'📋 Транзакції'!$C$5:$C$3623,"&gt;="&amp;EDATE(DATEVALUE(C299&amp;"-01"),2),'📋 Транзакції'!$C$5:$C$3623,"&lt;"&amp;EDATE(DATEVALUE(C299&amp;"-01"),3))&gt;0,1,0)</f>
        <v>0</v>
      </c>
      <c r="J299" s="37">
        <f>IF(COUNTIFS('📋 Транзакції'!$B$5:$B$3623,A299,'📋 Транзакції'!$C$5:$C$3623,"&gt;="&amp;EDATE(DATEVALUE(C299&amp;"-01"),3),'📋 Транзакції'!$C$5:$C$3623,"&lt;"&amp;EDATE(DATEVALUE(C299&amp;"-01"),4))&gt;0,1,0)</f>
        <v>0</v>
      </c>
      <c r="K299" s="37">
        <f>IF(COUNTIFS('📋 Транзакції'!$B$5:$B$3623,A299,'📋 Транзакції'!$C$5:$C$3623,"&gt;="&amp;EDATE(DATEVALUE(C299&amp;"-01"),4),'📋 Транзакції'!$C$5:$C$3623,"&lt;"&amp;EDATE(DATEVALUE(C299&amp;"-01"),5))&gt;0,1,0)</f>
        <v>0</v>
      </c>
      <c r="L299" s="37">
        <f>IF(COUNTIFS('📋 Транзакції'!$B$5:$B$3623,A299,'📋 Транзакції'!$C$5:$C$3623,"&gt;="&amp;EDATE(DATEVALUE(C299&amp;"-01"),5),'📋 Транзакції'!$C$5:$C$3623,"&lt;"&amp;EDATE(DATEVALUE(C299&amp;"-01"),6))&gt;0,1,0)</f>
        <v>0</v>
      </c>
      <c r="M299" s="37">
        <f>IF(COUNTIFS('📋 Транзакції'!$B$5:$B$3623,A299,'📋 Транзакції'!$C$5:$C$3623,"&gt;="&amp;EDATE(DATEVALUE(C299&amp;"-01"),6),'📋 Транзакції'!$C$5:$C$3623,"&lt;"&amp;EDATE(DATEVALUE(C299&amp;"-01"),7))&gt;0,1,0)</f>
        <v>0</v>
      </c>
      <c r="N299" s="37">
        <f>IF(COUNTIFS('📋 Транзакції'!$B$5:$B$3623,A299,'📋 Транзакції'!$C$5:$C$3623,"&gt;="&amp;EDATE(DATEVALUE(C299&amp;"-01"),7),'📋 Транзакції'!$C$5:$C$3623,"&lt;"&amp;EDATE(DATEVALUE(C299&amp;"-01"),8))&gt;0,1,0)</f>
        <v>0</v>
      </c>
      <c r="O299" s="37">
        <f>IF(COUNTIFS('📋 Транзакції'!$B$5:$B$3623,A299,'📋 Транзакції'!$C$5:$C$3623,"&gt;="&amp;EDATE(DATEVALUE(C299&amp;"-01"),8),'📋 Транзакції'!$C$5:$C$3623,"&lt;"&amp;EDATE(DATEVALUE(C299&amp;"-01"),9))&gt;0,1,0)</f>
        <v>0</v>
      </c>
      <c r="P299" s="37">
        <f>IF(COUNTIFS('📋 Транзакції'!$B$5:$B$3623,A299,'📋 Транзакції'!$C$5:$C$3623,"&gt;="&amp;EDATE(DATEVALUE(C299&amp;"-01"),9),'📋 Транзакції'!$C$5:$C$3623,"&lt;"&amp;EDATE(DATEVALUE(C299&amp;"-01"),10))&gt;0,1,0)</f>
        <v>0</v>
      </c>
      <c r="Q299" s="37">
        <f>IF(COUNTIFS('📋 Транзакції'!$B$5:$B$3623,A299,'📋 Транзакції'!$C$5:$C$3623,"&gt;="&amp;EDATE(DATEVALUE(C299&amp;"-01"),10),'📋 Транзакції'!$C$5:$C$3623,"&lt;"&amp;EDATE(DATEVALUE(C299&amp;"-01"),11))&gt;0,1,0)</f>
        <v>0</v>
      </c>
      <c r="R299" s="37">
        <f>IF(COUNTIFS('📋 Транзакції'!$B$5:$B$3623,A299,'📋 Транзакції'!$C$5:$C$3623,"&gt;="&amp;EDATE(DATEVALUE(C299&amp;"-01"),11),'📋 Транзакції'!$C$5:$C$3623,"&lt;"&amp;EDATE(DATEVALUE(C299&amp;"-01"),12))&gt;0,1,0)</f>
        <v>0</v>
      </c>
      <c r="S299" s="37">
        <f>SUMIFS('📋 Транзакції'!$F$5:$F$3623,'📋 Транзакції'!$B$5:$B$3623,A299,'📋 Транзакції'!$C$5:$C$3623,"&gt;="&amp;EDATE(DATEVALUE(C299&amp;"-01"),0),'📋 Транзакції'!$C$5:$C$3623,"&lt;"&amp;EDATE(DATEVALUE(C299&amp;"-01"),1))</f>
        <v>19.99</v>
      </c>
      <c r="T299" s="37">
        <f>SUMIFS('📋 Транзакції'!$F$5:$F$3623,'📋 Транзакції'!$B$5:$B$3623,A299,'📋 Транзакції'!$C$5:$C$3623,"&gt;="&amp;EDATE(DATEVALUE(C299&amp;"-01"),1),'📋 Транзакції'!$C$5:$C$3623,"&lt;"&amp;EDATE(DATEVALUE(C299&amp;"-01"),2))</f>
        <v>0</v>
      </c>
      <c r="U299" s="37">
        <f>SUMIFS('📋 Транзакції'!$F$5:$F$3623,'📋 Транзакції'!$B$5:$B$3623,A299,'📋 Транзакції'!$C$5:$C$3623,"&gt;="&amp;EDATE(DATEVALUE(C299&amp;"-01"),2),'📋 Транзакції'!$C$5:$C$3623,"&lt;"&amp;EDATE(DATEVALUE(C299&amp;"-01"),3))</f>
        <v>0</v>
      </c>
      <c r="V299" s="37">
        <f>SUMIFS('📋 Транзакції'!$F$5:$F$3623,'📋 Транзакції'!$B$5:$B$3623,A299,'📋 Транзакції'!$C$5:$C$3623,"&gt;="&amp;EDATE(DATEVALUE(C299&amp;"-01"),3),'📋 Транзакції'!$C$5:$C$3623,"&lt;"&amp;EDATE(DATEVALUE(C299&amp;"-01"),4))</f>
        <v>0</v>
      </c>
      <c r="W299" s="37">
        <f>SUMIFS('📋 Транзакції'!$F$5:$F$3623,'📋 Транзакції'!$B$5:$B$3623,A299,'📋 Транзакції'!$C$5:$C$3623,"&gt;="&amp;EDATE(DATEVALUE(C299&amp;"-01"),4),'📋 Транзакції'!$C$5:$C$3623,"&lt;"&amp;EDATE(DATEVALUE(C299&amp;"-01"),5))</f>
        <v>0</v>
      </c>
      <c r="X299" s="37">
        <f>SUMIFS('📋 Транзакції'!$F$5:$F$3623,'📋 Транзакції'!$B$5:$B$3623,A299,'📋 Транзакції'!$C$5:$C$3623,"&gt;="&amp;EDATE(DATEVALUE(C299&amp;"-01"),5),'📋 Транзакції'!$C$5:$C$3623,"&lt;"&amp;EDATE(DATEVALUE(C299&amp;"-01"),6))</f>
        <v>0</v>
      </c>
      <c r="Y299" s="37">
        <f>SUMIFS('📋 Транзакції'!$F$5:$F$3623,'📋 Транзакції'!$B$5:$B$3623,A299,'📋 Транзакції'!$C$5:$C$3623,"&gt;="&amp;EDATE(DATEVALUE(C299&amp;"-01"),6),'📋 Транзакції'!$C$5:$C$3623,"&lt;"&amp;EDATE(DATEVALUE(C299&amp;"-01"),7))</f>
        <v>0</v>
      </c>
      <c r="Z299" s="37">
        <f>SUMIFS('📋 Транзакції'!$F$5:$F$3623,'📋 Транзакції'!$B$5:$B$3623,A299,'📋 Транзакції'!$C$5:$C$3623,"&gt;="&amp;EDATE(DATEVALUE(C299&amp;"-01"),7),'📋 Транзакції'!$C$5:$C$3623,"&lt;"&amp;EDATE(DATEVALUE(C299&amp;"-01"),8))</f>
        <v>0</v>
      </c>
      <c r="AA299" s="37">
        <f>SUMIFS('📋 Транзакції'!$F$5:$F$3623,'📋 Транзакції'!$B$5:$B$3623,A299,'📋 Транзакції'!$C$5:$C$3623,"&gt;="&amp;EDATE(DATEVALUE(C299&amp;"-01"),8),'📋 Транзакції'!$C$5:$C$3623,"&lt;"&amp;EDATE(DATEVALUE(C299&amp;"-01"),9))</f>
        <v>0</v>
      </c>
      <c r="AB299" s="37">
        <f>SUMIFS('📋 Транзакції'!$F$5:$F$3623,'📋 Транзакції'!$B$5:$B$3623,A299,'📋 Транзакції'!$C$5:$C$3623,"&gt;="&amp;EDATE(DATEVALUE(C299&amp;"-01"),9),'📋 Транзакції'!$C$5:$C$3623,"&lt;"&amp;EDATE(DATEVALUE(C299&amp;"-01"),10))</f>
        <v>0</v>
      </c>
      <c r="AC299" s="37">
        <f>SUMIFS('📋 Транзакції'!$F$5:$F$3623,'📋 Транзакції'!$B$5:$B$3623,A299,'📋 Транзакції'!$C$5:$C$3623,"&gt;="&amp;EDATE(DATEVALUE(C299&amp;"-01"),10),'📋 Транзакції'!$C$5:$C$3623,"&lt;"&amp;EDATE(DATEVALUE(C299&amp;"-01"),11))</f>
        <v>0</v>
      </c>
      <c r="AD299" s="37">
        <f>SUMIFS('📋 Транзакції'!$F$5:$F$3623,'📋 Транзакції'!$B$5:$B$3623,A299,'📋 Транзакції'!$C$5:$C$3623,"&gt;="&amp;EDATE(DATEVALUE(C299&amp;"-01"),11),'📋 Транзакції'!$C$5:$C$3623,"&lt;"&amp;EDATE(DATEVALUE(C299&amp;"-01"),12))</f>
        <v>0</v>
      </c>
    </row>
    <row r="300" ht="15.75" customHeight="1">
      <c r="A300" s="33" t="str">
        <f>'📋 Реєстрації'!A300:A901</f>
        <v>U0458</v>
      </c>
      <c r="B300" s="34">
        <f t="array" ref="B300">INDEX('📋 Транзакції'!$C$5:$C$3623,MATCH(A300,'📋 Транзакції'!$B$5:$B$3623,0))</f>
        <v>45559</v>
      </c>
      <c r="C300" s="35" t="str">
        <f t="shared" si="1"/>
        <v>2024-09</v>
      </c>
      <c r="D300" s="36">
        <f>COUNTIF('📋 Транзакції'!$B$5:$B$3623,A300)</f>
        <v>8</v>
      </c>
      <c r="E300" s="36">
        <f>SUMIF('📋 Транзакції'!$B$5:$B$3623,A300,'📋 Транзакції'!$F$5:$F$3623)</f>
        <v>139.93</v>
      </c>
      <c r="F300" s="35">
        <f>INT($A$1-MAXIFS('📋 Транзакції'!$C$5:$C$3623,'📋 Транзакції'!$B$5:$B$3623,A300))</f>
        <v>1</v>
      </c>
      <c r="G300" s="37">
        <f>IF(COUNTIFS('📋 Транзакції'!$B$5:$B$3623,A300,'📋 Транзакції'!$C$5:$C$3623,"&gt;="&amp;EDATE(DATEVALUE(C300&amp;"-01"),0),'📋 Транзакції'!$C$5:$C$3623,"&lt;"&amp;EDATE(DATEVALUE(C300&amp;"-01"),1))&gt;0,1,0)</f>
        <v>1</v>
      </c>
      <c r="H300" s="37">
        <f>IF(COUNTIFS('📋 Транзакції'!$B$5:$B$3623,A300,'📋 Транзакції'!$C$5:$C$3623,"&gt;="&amp;EDATE(DATEVALUE(C300&amp;"-01"),1),'📋 Транзакції'!$C$5:$C$3623,"&lt;"&amp;EDATE(DATEVALUE(C300&amp;"-01"),2))&gt;0,1,0)</f>
        <v>1</v>
      </c>
      <c r="I300" s="37">
        <f>IF(COUNTIFS('📋 Транзакції'!$B$5:$B$3623,A300,'📋 Транзакції'!$C$5:$C$3623,"&gt;="&amp;EDATE(DATEVALUE(C300&amp;"-01"),2),'📋 Транзакції'!$C$5:$C$3623,"&lt;"&amp;EDATE(DATEVALUE(C300&amp;"-01"),3))&gt;0,1,0)</f>
        <v>1</v>
      </c>
      <c r="J300" s="37">
        <f>IF(COUNTIFS('📋 Транзакції'!$B$5:$B$3623,A300,'📋 Транзакції'!$C$5:$C$3623,"&gt;="&amp;EDATE(DATEVALUE(C300&amp;"-01"),3),'📋 Транзакції'!$C$5:$C$3623,"&lt;"&amp;EDATE(DATEVALUE(C300&amp;"-01"),4))&gt;0,1,0)</f>
        <v>1</v>
      </c>
      <c r="K300" s="37">
        <f>IF(COUNTIFS('📋 Транзакції'!$B$5:$B$3623,A300,'📋 Транзакції'!$C$5:$C$3623,"&gt;="&amp;EDATE(DATEVALUE(C300&amp;"-01"),4),'📋 Транзакції'!$C$5:$C$3623,"&lt;"&amp;EDATE(DATEVALUE(C300&amp;"-01"),5))&gt;0,1,0)</f>
        <v>1</v>
      </c>
      <c r="L300" s="37">
        <f>IF(COUNTIFS('📋 Транзакції'!$B$5:$B$3623,A300,'📋 Транзакції'!$C$5:$C$3623,"&gt;="&amp;EDATE(DATEVALUE(C300&amp;"-01"),5),'📋 Транзакції'!$C$5:$C$3623,"&lt;"&amp;EDATE(DATEVALUE(C300&amp;"-01"),6))&gt;0,1,0)</f>
        <v>1</v>
      </c>
      <c r="M300" s="37">
        <f>IF(COUNTIFS('📋 Транзакції'!$B$5:$B$3623,A300,'📋 Транзакції'!$C$5:$C$3623,"&gt;="&amp;EDATE(DATEVALUE(C300&amp;"-01"),6),'📋 Транзакції'!$C$5:$C$3623,"&lt;"&amp;EDATE(DATEVALUE(C300&amp;"-01"),7))&gt;0,1,0)</f>
        <v>1</v>
      </c>
      <c r="N300" s="37">
        <f>IF(COUNTIFS('📋 Транзакції'!$B$5:$B$3623,A300,'📋 Транзакції'!$C$5:$C$3623,"&gt;="&amp;EDATE(DATEVALUE(C300&amp;"-01"),7),'📋 Транзакції'!$C$5:$C$3623,"&lt;"&amp;EDATE(DATEVALUE(C300&amp;"-01"),8))&gt;0,1,0)</f>
        <v>0</v>
      </c>
      <c r="O300" s="37">
        <f>IF(COUNTIFS('📋 Транзакції'!$B$5:$B$3623,A300,'📋 Транзакції'!$C$5:$C$3623,"&gt;="&amp;EDATE(DATEVALUE(C300&amp;"-01"),8),'📋 Транзакції'!$C$5:$C$3623,"&lt;"&amp;EDATE(DATEVALUE(C300&amp;"-01"),9))&gt;0,1,0)</f>
        <v>0</v>
      </c>
      <c r="P300" s="37">
        <f>IF(COUNTIFS('📋 Транзакції'!$B$5:$B$3623,A300,'📋 Транзакції'!$C$5:$C$3623,"&gt;="&amp;EDATE(DATEVALUE(C300&amp;"-01"),9),'📋 Транзакції'!$C$5:$C$3623,"&lt;"&amp;EDATE(DATEVALUE(C300&amp;"-01"),10))&gt;0,1,0)</f>
        <v>0</v>
      </c>
      <c r="Q300" s="37">
        <f>IF(COUNTIFS('📋 Транзакції'!$B$5:$B$3623,A300,'📋 Транзакції'!$C$5:$C$3623,"&gt;="&amp;EDATE(DATEVALUE(C300&amp;"-01"),10),'📋 Транзакції'!$C$5:$C$3623,"&lt;"&amp;EDATE(DATEVALUE(C300&amp;"-01"),11))&gt;0,1,0)</f>
        <v>0</v>
      </c>
      <c r="R300" s="37">
        <f>IF(COUNTIFS('📋 Транзакції'!$B$5:$B$3623,A300,'📋 Транзакції'!$C$5:$C$3623,"&gt;="&amp;EDATE(DATEVALUE(C300&amp;"-01"),11),'📋 Транзакції'!$C$5:$C$3623,"&lt;"&amp;EDATE(DATEVALUE(C300&amp;"-01"),12))&gt;0,1,0)</f>
        <v>0</v>
      </c>
      <c r="S300" s="37">
        <f>SUMIFS('📋 Транзакції'!$F$5:$F$3623,'📋 Транзакції'!$B$5:$B$3623,A300,'📋 Транзакції'!$C$5:$C$3623,"&gt;="&amp;EDATE(DATEVALUE(C300&amp;"-01"),0),'📋 Транзакції'!$C$5:$C$3623,"&lt;"&amp;EDATE(DATEVALUE(C300&amp;"-01"),1))</f>
        <v>0</v>
      </c>
      <c r="T300" s="37">
        <f>SUMIFS('📋 Транзакції'!$F$5:$F$3623,'📋 Транзакції'!$B$5:$B$3623,A300,'📋 Транзакції'!$C$5:$C$3623,"&gt;="&amp;EDATE(DATEVALUE(C300&amp;"-01"),1),'📋 Транзакції'!$C$5:$C$3623,"&lt;"&amp;EDATE(DATEVALUE(C300&amp;"-01"),2))</f>
        <v>39.98</v>
      </c>
      <c r="U300" s="37">
        <f>SUMIFS('📋 Транзакції'!$F$5:$F$3623,'📋 Транзакції'!$B$5:$B$3623,A300,'📋 Транзакції'!$C$5:$C$3623,"&gt;="&amp;EDATE(DATEVALUE(C300&amp;"-01"),2),'📋 Транзакції'!$C$5:$C$3623,"&lt;"&amp;EDATE(DATEVALUE(C300&amp;"-01"),3))</f>
        <v>19.99</v>
      </c>
      <c r="V300" s="37">
        <f>SUMIFS('📋 Транзакції'!$F$5:$F$3623,'📋 Транзакції'!$B$5:$B$3623,A300,'📋 Транзакції'!$C$5:$C$3623,"&gt;="&amp;EDATE(DATEVALUE(C300&amp;"-01"),3),'📋 Транзакції'!$C$5:$C$3623,"&lt;"&amp;EDATE(DATEVALUE(C300&amp;"-01"),4))</f>
        <v>19.99</v>
      </c>
      <c r="W300" s="37">
        <f>SUMIFS('📋 Транзакції'!$F$5:$F$3623,'📋 Транзакції'!$B$5:$B$3623,A300,'📋 Транзакції'!$C$5:$C$3623,"&gt;="&amp;EDATE(DATEVALUE(C300&amp;"-01"),4),'📋 Транзакції'!$C$5:$C$3623,"&lt;"&amp;EDATE(DATEVALUE(C300&amp;"-01"),5))</f>
        <v>19.99</v>
      </c>
      <c r="X300" s="37">
        <f>SUMIFS('📋 Транзакції'!$F$5:$F$3623,'📋 Транзакції'!$B$5:$B$3623,A300,'📋 Транзакції'!$C$5:$C$3623,"&gt;="&amp;EDATE(DATEVALUE(C300&amp;"-01"),5),'📋 Транзакції'!$C$5:$C$3623,"&lt;"&amp;EDATE(DATEVALUE(C300&amp;"-01"),6))</f>
        <v>19.99</v>
      </c>
      <c r="Y300" s="37">
        <f>SUMIFS('📋 Транзакції'!$F$5:$F$3623,'📋 Транзакції'!$B$5:$B$3623,A300,'📋 Транзакції'!$C$5:$C$3623,"&gt;="&amp;EDATE(DATEVALUE(C300&amp;"-01"),6),'📋 Транзакції'!$C$5:$C$3623,"&lt;"&amp;EDATE(DATEVALUE(C300&amp;"-01"),7))</f>
        <v>19.99</v>
      </c>
      <c r="Z300" s="37">
        <f>SUMIFS('📋 Транзакції'!$F$5:$F$3623,'📋 Транзакції'!$B$5:$B$3623,A300,'📋 Транзакції'!$C$5:$C$3623,"&gt;="&amp;EDATE(DATEVALUE(C300&amp;"-01"),7),'📋 Транзакції'!$C$5:$C$3623,"&lt;"&amp;EDATE(DATEVALUE(C300&amp;"-01"),8))</f>
        <v>0</v>
      </c>
      <c r="AA300" s="37">
        <f>SUMIFS('📋 Транзакції'!$F$5:$F$3623,'📋 Транзакції'!$B$5:$B$3623,A300,'📋 Транзакції'!$C$5:$C$3623,"&gt;="&amp;EDATE(DATEVALUE(C300&amp;"-01"),8),'📋 Транзакції'!$C$5:$C$3623,"&lt;"&amp;EDATE(DATEVALUE(C300&amp;"-01"),9))</f>
        <v>0</v>
      </c>
      <c r="AB300" s="37">
        <f>SUMIFS('📋 Транзакції'!$F$5:$F$3623,'📋 Транзакції'!$B$5:$B$3623,A300,'📋 Транзакції'!$C$5:$C$3623,"&gt;="&amp;EDATE(DATEVALUE(C300&amp;"-01"),9),'📋 Транзакції'!$C$5:$C$3623,"&lt;"&amp;EDATE(DATEVALUE(C300&amp;"-01"),10))</f>
        <v>0</v>
      </c>
      <c r="AC300" s="37">
        <f>SUMIFS('📋 Транзакції'!$F$5:$F$3623,'📋 Транзакції'!$B$5:$B$3623,A300,'📋 Транзакції'!$C$5:$C$3623,"&gt;="&amp;EDATE(DATEVALUE(C300&amp;"-01"),10),'📋 Транзакції'!$C$5:$C$3623,"&lt;"&amp;EDATE(DATEVALUE(C300&amp;"-01"),11))</f>
        <v>0</v>
      </c>
      <c r="AD300" s="37">
        <f>SUMIFS('📋 Транзакції'!$F$5:$F$3623,'📋 Транзакції'!$B$5:$B$3623,A300,'📋 Транзакції'!$C$5:$C$3623,"&gt;="&amp;EDATE(DATEVALUE(C300&amp;"-01"),11),'📋 Транзакції'!$C$5:$C$3623,"&lt;"&amp;EDATE(DATEVALUE(C300&amp;"-01"),12))</f>
        <v>0</v>
      </c>
    </row>
    <row r="301" ht="15.75" customHeight="1">
      <c r="A301" s="33" t="str">
        <f>'📋 Реєстрації'!A301:A902</f>
        <v>U0627</v>
      </c>
      <c r="B301" s="34">
        <f t="array" ref="B301">INDEX('📋 Транзакції'!$C$5:$C$3623,MATCH(A301,'📋 Транзакції'!$B$5:$B$3623,0))</f>
        <v>45561</v>
      </c>
      <c r="C301" s="35" t="str">
        <f t="shared" si="1"/>
        <v>2024-09</v>
      </c>
      <c r="D301" s="36">
        <f>COUNTIF('📋 Транзакції'!$B$5:$B$3623,A301)</f>
        <v>4</v>
      </c>
      <c r="E301" s="36">
        <f>SUMIF('📋 Транзакції'!$B$5:$B$3623,A301,'📋 Транзакції'!$F$5:$F$3623)</f>
        <v>59.97</v>
      </c>
      <c r="F301" s="35">
        <f>INT($A$1-MAXIFS('📋 Транзакції'!$C$5:$C$3623,'📋 Транзакції'!$B$5:$B$3623,A301))</f>
        <v>119</v>
      </c>
      <c r="G301" s="37">
        <f>IF(COUNTIFS('📋 Транзакції'!$B$5:$B$3623,A301,'📋 Транзакції'!$C$5:$C$3623,"&gt;="&amp;EDATE(DATEVALUE(C301&amp;"-01"),0),'📋 Транзакції'!$C$5:$C$3623,"&lt;"&amp;EDATE(DATEVALUE(C301&amp;"-01"),1))&gt;0,1,0)</f>
        <v>1</v>
      </c>
      <c r="H301" s="37">
        <f>IF(COUNTIFS('📋 Транзакції'!$B$5:$B$3623,A301,'📋 Транзакції'!$C$5:$C$3623,"&gt;="&amp;EDATE(DATEVALUE(C301&amp;"-01"),1),'📋 Транзакції'!$C$5:$C$3623,"&lt;"&amp;EDATE(DATEVALUE(C301&amp;"-01"),2))&gt;0,1,0)</f>
        <v>1</v>
      </c>
      <c r="I301" s="37">
        <f>IF(COUNTIFS('📋 Транзакції'!$B$5:$B$3623,A301,'📋 Транзакції'!$C$5:$C$3623,"&gt;="&amp;EDATE(DATEVALUE(C301&amp;"-01"),2),'📋 Транзакції'!$C$5:$C$3623,"&lt;"&amp;EDATE(DATEVALUE(C301&amp;"-01"),3))&gt;0,1,0)</f>
        <v>1</v>
      </c>
      <c r="J301" s="37">
        <f>IF(COUNTIFS('📋 Транзакції'!$B$5:$B$3623,A301,'📋 Транзакції'!$C$5:$C$3623,"&gt;="&amp;EDATE(DATEVALUE(C301&amp;"-01"),3),'📋 Транзакції'!$C$5:$C$3623,"&lt;"&amp;EDATE(DATEVALUE(C301&amp;"-01"),4))&gt;0,1,0)</f>
        <v>1</v>
      </c>
      <c r="K301" s="37">
        <f>IF(COUNTIFS('📋 Транзакції'!$B$5:$B$3623,A301,'📋 Транзакції'!$C$5:$C$3623,"&gt;="&amp;EDATE(DATEVALUE(C301&amp;"-01"),4),'📋 Транзакції'!$C$5:$C$3623,"&lt;"&amp;EDATE(DATEVALUE(C301&amp;"-01"),5))&gt;0,1,0)</f>
        <v>0</v>
      </c>
      <c r="L301" s="37">
        <f>IF(COUNTIFS('📋 Транзакції'!$B$5:$B$3623,A301,'📋 Транзакції'!$C$5:$C$3623,"&gt;="&amp;EDATE(DATEVALUE(C301&amp;"-01"),5),'📋 Транзакції'!$C$5:$C$3623,"&lt;"&amp;EDATE(DATEVALUE(C301&amp;"-01"),6))&gt;0,1,0)</f>
        <v>0</v>
      </c>
      <c r="M301" s="37">
        <f>IF(COUNTIFS('📋 Транзакції'!$B$5:$B$3623,A301,'📋 Транзакції'!$C$5:$C$3623,"&gt;="&amp;EDATE(DATEVALUE(C301&amp;"-01"),6),'📋 Транзакції'!$C$5:$C$3623,"&lt;"&amp;EDATE(DATEVALUE(C301&amp;"-01"),7))&gt;0,1,0)</f>
        <v>0</v>
      </c>
      <c r="N301" s="37">
        <f>IF(COUNTIFS('📋 Транзакції'!$B$5:$B$3623,A301,'📋 Транзакції'!$C$5:$C$3623,"&gt;="&amp;EDATE(DATEVALUE(C301&amp;"-01"),7),'📋 Транзакції'!$C$5:$C$3623,"&lt;"&amp;EDATE(DATEVALUE(C301&amp;"-01"),8))&gt;0,1,0)</f>
        <v>0</v>
      </c>
      <c r="O301" s="37">
        <f>IF(COUNTIFS('📋 Транзакції'!$B$5:$B$3623,A301,'📋 Транзакції'!$C$5:$C$3623,"&gt;="&amp;EDATE(DATEVALUE(C301&amp;"-01"),8),'📋 Транзакції'!$C$5:$C$3623,"&lt;"&amp;EDATE(DATEVALUE(C301&amp;"-01"),9))&gt;0,1,0)</f>
        <v>0</v>
      </c>
      <c r="P301" s="37">
        <f>IF(COUNTIFS('📋 Транзакції'!$B$5:$B$3623,A301,'📋 Транзакції'!$C$5:$C$3623,"&gt;="&amp;EDATE(DATEVALUE(C301&amp;"-01"),9),'📋 Транзакції'!$C$5:$C$3623,"&lt;"&amp;EDATE(DATEVALUE(C301&amp;"-01"),10))&gt;0,1,0)</f>
        <v>0</v>
      </c>
      <c r="Q301" s="37">
        <f>IF(COUNTIFS('📋 Транзакції'!$B$5:$B$3623,A301,'📋 Транзакції'!$C$5:$C$3623,"&gt;="&amp;EDATE(DATEVALUE(C301&amp;"-01"),10),'📋 Транзакції'!$C$5:$C$3623,"&lt;"&amp;EDATE(DATEVALUE(C301&amp;"-01"),11))&gt;0,1,0)</f>
        <v>0</v>
      </c>
      <c r="R301" s="37">
        <f>IF(COUNTIFS('📋 Транзакції'!$B$5:$B$3623,A301,'📋 Транзакції'!$C$5:$C$3623,"&gt;="&amp;EDATE(DATEVALUE(C301&amp;"-01"),11),'📋 Транзакції'!$C$5:$C$3623,"&lt;"&amp;EDATE(DATEVALUE(C301&amp;"-01"),12))&gt;0,1,0)</f>
        <v>0</v>
      </c>
      <c r="S301" s="37">
        <f>SUMIFS('📋 Транзакції'!$F$5:$F$3623,'📋 Транзакції'!$B$5:$B$3623,A301,'📋 Транзакції'!$C$5:$C$3623,"&gt;="&amp;EDATE(DATEVALUE(C301&amp;"-01"),0),'📋 Транзакції'!$C$5:$C$3623,"&lt;"&amp;EDATE(DATEVALUE(C301&amp;"-01"),1))</f>
        <v>0</v>
      </c>
      <c r="T301" s="37">
        <f>SUMIFS('📋 Транзакції'!$F$5:$F$3623,'📋 Транзакції'!$B$5:$B$3623,A301,'📋 Транзакції'!$C$5:$C$3623,"&gt;="&amp;EDATE(DATEVALUE(C301&amp;"-01"),1),'📋 Транзакції'!$C$5:$C$3623,"&lt;"&amp;EDATE(DATEVALUE(C301&amp;"-01"),2))</f>
        <v>19.99</v>
      </c>
      <c r="U301" s="37">
        <f>SUMIFS('📋 Транзакції'!$F$5:$F$3623,'📋 Транзакції'!$B$5:$B$3623,A301,'📋 Транзакції'!$C$5:$C$3623,"&gt;="&amp;EDATE(DATEVALUE(C301&amp;"-01"),2),'📋 Транзакції'!$C$5:$C$3623,"&lt;"&amp;EDATE(DATEVALUE(C301&amp;"-01"),3))</f>
        <v>19.99</v>
      </c>
      <c r="V301" s="37">
        <f>SUMIFS('📋 Транзакції'!$F$5:$F$3623,'📋 Транзакції'!$B$5:$B$3623,A301,'📋 Транзакції'!$C$5:$C$3623,"&gt;="&amp;EDATE(DATEVALUE(C301&amp;"-01"),3),'📋 Транзакції'!$C$5:$C$3623,"&lt;"&amp;EDATE(DATEVALUE(C301&amp;"-01"),4))</f>
        <v>19.99</v>
      </c>
      <c r="W301" s="37">
        <f>SUMIFS('📋 Транзакції'!$F$5:$F$3623,'📋 Транзакції'!$B$5:$B$3623,A301,'📋 Транзакції'!$C$5:$C$3623,"&gt;="&amp;EDATE(DATEVALUE(C301&amp;"-01"),4),'📋 Транзакції'!$C$5:$C$3623,"&lt;"&amp;EDATE(DATEVALUE(C301&amp;"-01"),5))</f>
        <v>0</v>
      </c>
      <c r="X301" s="37">
        <f>SUMIFS('📋 Транзакції'!$F$5:$F$3623,'📋 Транзакції'!$B$5:$B$3623,A301,'📋 Транзакції'!$C$5:$C$3623,"&gt;="&amp;EDATE(DATEVALUE(C301&amp;"-01"),5),'📋 Транзакції'!$C$5:$C$3623,"&lt;"&amp;EDATE(DATEVALUE(C301&amp;"-01"),6))</f>
        <v>0</v>
      </c>
      <c r="Y301" s="37">
        <f>SUMIFS('📋 Транзакції'!$F$5:$F$3623,'📋 Транзакції'!$B$5:$B$3623,A301,'📋 Транзакції'!$C$5:$C$3623,"&gt;="&amp;EDATE(DATEVALUE(C301&amp;"-01"),6),'📋 Транзакції'!$C$5:$C$3623,"&lt;"&amp;EDATE(DATEVALUE(C301&amp;"-01"),7))</f>
        <v>0</v>
      </c>
      <c r="Z301" s="37">
        <f>SUMIFS('📋 Транзакції'!$F$5:$F$3623,'📋 Транзакції'!$B$5:$B$3623,A301,'📋 Транзакції'!$C$5:$C$3623,"&gt;="&amp;EDATE(DATEVALUE(C301&amp;"-01"),7),'📋 Транзакції'!$C$5:$C$3623,"&lt;"&amp;EDATE(DATEVALUE(C301&amp;"-01"),8))</f>
        <v>0</v>
      </c>
      <c r="AA301" s="37">
        <f>SUMIFS('📋 Транзакції'!$F$5:$F$3623,'📋 Транзакції'!$B$5:$B$3623,A301,'📋 Транзакції'!$C$5:$C$3623,"&gt;="&amp;EDATE(DATEVALUE(C301&amp;"-01"),8),'📋 Транзакції'!$C$5:$C$3623,"&lt;"&amp;EDATE(DATEVALUE(C301&amp;"-01"),9))</f>
        <v>0</v>
      </c>
      <c r="AB301" s="37">
        <f>SUMIFS('📋 Транзакції'!$F$5:$F$3623,'📋 Транзакції'!$B$5:$B$3623,A301,'📋 Транзакції'!$C$5:$C$3623,"&gt;="&amp;EDATE(DATEVALUE(C301&amp;"-01"),9),'📋 Транзакції'!$C$5:$C$3623,"&lt;"&amp;EDATE(DATEVALUE(C301&amp;"-01"),10))</f>
        <v>0</v>
      </c>
      <c r="AC301" s="37">
        <f>SUMIFS('📋 Транзакції'!$F$5:$F$3623,'📋 Транзакції'!$B$5:$B$3623,A301,'📋 Транзакції'!$C$5:$C$3623,"&gt;="&amp;EDATE(DATEVALUE(C301&amp;"-01"),10),'📋 Транзакції'!$C$5:$C$3623,"&lt;"&amp;EDATE(DATEVALUE(C301&amp;"-01"),11))</f>
        <v>0</v>
      </c>
      <c r="AD301" s="37">
        <f>SUMIFS('📋 Транзакції'!$F$5:$F$3623,'📋 Транзакції'!$B$5:$B$3623,A301,'📋 Транзакції'!$C$5:$C$3623,"&gt;="&amp;EDATE(DATEVALUE(C301&amp;"-01"),11),'📋 Транзакції'!$C$5:$C$3623,"&lt;"&amp;EDATE(DATEVALUE(C301&amp;"-01"),12))</f>
        <v>0</v>
      </c>
    </row>
    <row r="302" ht="15.75" customHeight="1">
      <c r="A302" s="33" t="str">
        <f>'📋 Реєстрації'!A302:A903</f>
        <v>U0846</v>
      </c>
      <c r="B302" s="34">
        <f t="array" ref="B302">INDEX('📋 Транзакції'!$C$5:$C$3623,MATCH(A302,'📋 Транзакції'!$B$5:$B$3623,0))</f>
        <v>45562</v>
      </c>
      <c r="C302" s="35" t="str">
        <f t="shared" si="1"/>
        <v>2024-09</v>
      </c>
      <c r="D302" s="36">
        <f>COUNTIF('📋 Транзакції'!$B$5:$B$3623,A302)</f>
        <v>3</v>
      </c>
      <c r="E302" s="36">
        <f>SUMIF('📋 Транзакції'!$B$5:$B$3623,A302,'📋 Транзакції'!$F$5:$F$3623)</f>
        <v>39.98</v>
      </c>
      <c r="F302" s="35">
        <f>INT($A$1-MAXIFS('📋 Транзакції'!$C$5:$C$3623,'📋 Транзакції'!$B$5:$B$3623,A302))</f>
        <v>148</v>
      </c>
      <c r="G302" s="37">
        <f>IF(COUNTIFS('📋 Транзакції'!$B$5:$B$3623,A302,'📋 Транзакції'!$C$5:$C$3623,"&gt;="&amp;EDATE(DATEVALUE(C302&amp;"-01"),0),'📋 Транзакції'!$C$5:$C$3623,"&lt;"&amp;EDATE(DATEVALUE(C302&amp;"-01"),1))&gt;0,1,0)</f>
        <v>1</v>
      </c>
      <c r="H302" s="37">
        <f>IF(COUNTIFS('📋 Транзакції'!$B$5:$B$3623,A302,'📋 Транзакції'!$C$5:$C$3623,"&gt;="&amp;EDATE(DATEVALUE(C302&amp;"-01"),1),'📋 Транзакції'!$C$5:$C$3623,"&lt;"&amp;EDATE(DATEVALUE(C302&amp;"-01"),2))&gt;0,1,0)</f>
        <v>1</v>
      </c>
      <c r="I302" s="37">
        <f>IF(COUNTIFS('📋 Транзакції'!$B$5:$B$3623,A302,'📋 Транзакції'!$C$5:$C$3623,"&gt;="&amp;EDATE(DATEVALUE(C302&amp;"-01"),2),'📋 Транзакції'!$C$5:$C$3623,"&lt;"&amp;EDATE(DATEVALUE(C302&amp;"-01"),3))&gt;0,1,0)</f>
        <v>1</v>
      </c>
      <c r="J302" s="37">
        <f>IF(COUNTIFS('📋 Транзакції'!$B$5:$B$3623,A302,'📋 Транзакції'!$C$5:$C$3623,"&gt;="&amp;EDATE(DATEVALUE(C302&amp;"-01"),3),'📋 Транзакції'!$C$5:$C$3623,"&lt;"&amp;EDATE(DATEVALUE(C302&amp;"-01"),4))&gt;0,1,0)</f>
        <v>0</v>
      </c>
      <c r="K302" s="37">
        <f>IF(COUNTIFS('📋 Транзакції'!$B$5:$B$3623,A302,'📋 Транзакції'!$C$5:$C$3623,"&gt;="&amp;EDATE(DATEVALUE(C302&amp;"-01"),4),'📋 Транзакції'!$C$5:$C$3623,"&lt;"&amp;EDATE(DATEVALUE(C302&amp;"-01"),5))&gt;0,1,0)</f>
        <v>0</v>
      </c>
      <c r="L302" s="37">
        <f>IF(COUNTIFS('📋 Транзакції'!$B$5:$B$3623,A302,'📋 Транзакції'!$C$5:$C$3623,"&gt;="&amp;EDATE(DATEVALUE(C302&amp;"-01"),5),'📋 Транзакції'!$C$5:$C$3623,"&lt;"&amp;EDATE(DATEVALUE(C302&amp;"-01"),6))&gt;0,1,0)</f>
        <v>0</v>
      </c>
      <c r="M302" s="37">
        <f>IF(COUNTIFS('📋 Транзакції'!$B$5:$B$3623,A302,'📋 Транзакції'!$C$5:$C$3623,"&gt;="&amp;EDATE(DATEVALUE(C302&amp;"-01"),6),'📋 Транзакції'!$C$5:$C$3623,"&lt;"&amp;EDATE(DATEVALUE(C302&amp;"-01"),7))&gt;0,1,0)</f>
        <v>0</v>
      </c>
      <c r="N302" s="37">
        <f>IF(COUNTIFS('📋 Транзакції'!$B$5:$B$3623,A302,'📋 Транзакції'!$C$5:$C$3623,"&gt;="&amp;EDATE(DATEVALUE(C302&amp;"-01"),7),'📋 Транзакції'!$C$5:$C$3623,"&lt;"&amp;EDATE(DATEVALUE(C302&amp;"-01"),8))&gt;0,1,0)</f>
        <v>0</v>
      </c>
      <c r="O302" s="37">
        <f>IF(COUNTIFS('📋 Транзакції'!$B$5:$B$3623,A302,'📋 Транзакції'!$C$5:$C$3623,"&gt;="&amp;EDATE(DATEVALUE(C302&amp;"-01"),8),'📋 Транзакції'!$C$5:$C$3623,"&lt;"&amp;EDATE(DATEVALUE(C302&amp;"-01"),9))&gt;0,1,0)</f>
        <v>0</v>
      </c>
      <c r="P302" s="37">
        <f>IF(COUNTIFS('📋 Транзакції'!$B$5:$B$3623,A302,'📋 Транзакції'!$C$5:$C$3623,"&gt;="&amp;EDATE(DATEVALUE(C302&amp;"-01"),9),'📋 Транзакції'!$C$5:$C$3623,"&lt;"&amp;EDATE(DATEVALUE(C302&amp;"-01"),10))&gt;0,1,0)</f>
        <v>0</v>
      </c>
      <c r="Q302" s="37">
        <f>IF(COUNTIFS('📋 Транзакції'!$B$5:$B$3623,A302,'📋 Транзакції'!$C$5:$C$3623,"&gt;="&amp;EDATE(DATEVALUE(C302&amp;"-01"),10),'📋 Транзакції'!$C$5:$C$3623,"&lt;"&amp;EDATE(DATEVALUE(C302&amp;"-01"),11))&gt;0,1,0)</f>
        <v>0</v>
      </c>
      <c r="R302" s="37">
        <f>IF(COUNTIFS('📋 Транзакції'!$B$5:$B$3623,A302,'📋 Транзакції'!$C$5:$C$3623,"&gt;="&amp;EDATE(DATEVALUE(C302&amp;"-01"),11),'📋 Транзакції'!$C$5:$C$3623,"&lt;"&amp;EDATE(DATEVALUE(C302&amp;"-01"),12))&gt;0,1,0)</f>
        <v>0</v>
      </c>
      <c r="S302" s="37">
        <f>SUMIFS('📋 Транзакції'!$F$5:$F$3623,'📋 Транзакції'!$B$5:$B$3623,A302,'📋 Транзакції'!$C$5:$C$3623,"&gt;="&amp;EDATE(DATEVALUE(C302&amp;"-01"),0),'📋 Транзакції'!$C$5:$C$3623,"&lt;"&amp;EDATE(DATEVALUE(C302&amp;"-01"),1))</f>
        <v>0</v>
      </c>
      <c r="T302" s="37">
        <f>SUMIFS('📋 Транзакції'!$F$5:$F$3623,'📋 Транзакції'!$B$5:$B$3623,A302,'📋 Транзакції'!$C$5:$C$3623,"&gt;="&amp;EDATE(DATEVALUE(C302&amp;"-01"),1),'📋 Транзакції'!$C$5:$C$3623,"&lt;"&amp;EDATE(DATEVALUE(C302&amp;"-01"),2))</f>
        <v>19.99</v>
      </c>
      <c r="U302" s="37">
        <f>SUMIFS('📋 Транзакції'!$F$5:$F$3623,'📋 Транзакції'!$B$5:$B$3623,A302,'📋 Транзакції'!$C$5:$C$3623,"&gt;="&amp;EDATE(DATEVALUE(C302&amp;"-01"),2),'📋 Транзакції'!$C$5:$C$3623,"&lt;"&amp;EDATE(DATEVALUE(C302&amp;"-01"),3))</f>
        <v>19.99</v>
      </c>
      <c r="V302" s="37">
        <f>SUMIFS('📋 Транзакції'!$F$5:$F$3623,'📋 Транзакції'!$B$5:$B$3623,A302,'📋 Транзакції'!$C$5:$C$3623,"&gt;="&amp;EDATE(DATEVALUE(C302&amp;"-01"),3),'📋 Транзакції'!$C$5:$C$3623,"&lt;"&amp;EDATE(DATEVALUE(C302&amp;"-01"),4))</f>
        <v>0</v>
      </c>
      <c r="W302" s="37">
        <f>SUMIFS('📋 Транзакції'!$F$5:$F$3623,'📋 Транзакції'!$B$5:$B$3623,A302,'📋 Транзакції'!$C$5:$C$3623,"&gt;="&amp;EDATE(DATEVALUE(C302&amp;"-01"),4),'📋 Транзакції'!$C$5:$C$3623,"&lt;"&amp;EDATE(DATEVALUE(C302&amp;"-01"),5))</f>
        <v>0</v>
      </c>
      <c r="X302" s="37">
        <f>SUMIFS('📋 Транзакції'!$F$5:$F$3623,'📋 Транзакції'!$B$5:$B$3623,A302,'📋 Транзакції'!$C$5:$C$3623,"&gt;="&amp;EDATE(DATEVALUE(C302&amp;"-01"),5),'📋 Транзакції'!$C$5:$C$3623,"&lt;"&amp;EDATE(DATEVALUE(C302&amp;"-01"),6))</f>
        <v>0</v>
      </c>
      <c r="Y302" s="37">
        <f>SUMIFS('📋 Транзакції'!$F$5:$F$3623,'📋 Транзакції'!$B$5:$B$3623,A302,'📋 Транзакції'!$C$5:$C$3623,"&gt;="&amp;EDATE(DATEVALUE(C302&amp;"-01"),6),'📋 Транзакції'!$C$5:$C$3623,"&lt;"&amp;EDATE(DATEVALUE(C302&amp;"-01"),7))</f>
        <v>0</v>
      </c>
      <c r="Z302" s="37">
        <f>SUMIFS('📋 Транзакції'!$F$5:$F$3623,'📋 Транзакції'!$B$5:$B$3623,A302,'📋 Транзакції'!$C$5:$C$3623,"&gt;="&amp;EDATE(DATEVALUE(C302&amp;"-01"),7),'📋 Транзакції'!$C$5:$C$3623,"&lt;"&amp;EDATE(DATEVALUE(C302&amp;"-01"),8))</f>
        <v>0</v>
      </c>
      <c r="AA302" s="37">
        <f>SUMIFS('📋 Транзакції'!$F$5:$F$3623,'📋 Транзакції'!$B$5:$B$3623,A302,'📋 Транзакції'!$C$5:$C$3623,"&gt;="&amp;EDATE(DATEVALUE(C302&amp;"-01"),8),'📋 Транзакції'!$C$5:$C$3623,"&lt;"&amp;EDATE(DATEVALUE(C302&amp;"-01"),9))</f>
        <v>0</v>
      </c>
      <c r="AB302" s="37">
        <f>SUMIFS('📋 Транзакції'!$F$5:$F$3623,'📋 Транзакції'!$B$5:$B$3623,A302,'📋 Транзакції'!$C$5:$C$3623,"&gt;="&amp;EDATE(DATEVALUE(C302&amp;"-01"),9),'📋 Транзакції'!$C$5:$C$3623,"&lt;"&amp;EDATE(DATEVALUE(C302&amp;"-01"),10))</f>
        <v>0</v>
      </c>
      <c r="AC302" s="37">
        <f>SUMIFS('📋 Транзакції'!$F$5:$F$3623,'📋 Транзакції'!$B$5:$B$3623,A302,'📋 Транзакції'!$C$5:$C$3623,"&gt;="&amp;EDATE(DATEVALUE(C302&amp;"-01"),10),'📋 Транзакції'!$C$5:$C$3623,"&lt;"&amp;EDATE(DATEVALUE(C302&amp;"-01"),11))</f>
        <v>0</v>
      </c>
      <c r="AD302" s="37">
        <f>SUMIFS('📋 Транзакції'!$F$5:$F$3623,'📋 Транзакції'!$B$5:$B$3623,A302,'📋 Транзакції'!$C$5:$C$3623,"&gt;="&amp;EDATE(DATEVALUE(C302&amp;"-01"),11),'📋 Транзакції'!$C$5:$C$3623,"&lt;"&amp;EDATE(DATEVALUE(C302&amp;"-01"),12))</f>
        <v>0</v>
      </c>
    </row>
    <row r="303" ht="15.75" customHeight="1">
      <c r="A303" s="33" t="str">
        <f>'📋 Реєстрації'!A303:A904</f>
        <v>U0865</v>
      </c>
      <c r="B303" s="34">
        <f t="array" ref="B303">INDEX('📋 Транзакції'!$C$5:$C$3623,MATCH(A303,'📋 Транзакції'!$B$5:$B$3623,0))</f>
        <v>45563</v>
      </c>
      <c r="C303" s="35" t="str">
        <f t="shared" si="1"/>
        <v>2024-09</v>
      </c>
      <c r="D303" s="36">
        <f>COUNTIF('📋 Транзакції'!$B$5:$B$3623,A303)</f>
        <v>2</v>
      </c>
      <c r="E303" s="36">
        <f>SUMIF('📋 Транзакції'!$B$5:$B$3623,A303,'📋 Транзакції'!$F$5:$F$3623)</f>
        <v>19.99</v>
      </c>
      <c r="F303" s="35">
        <f>INT($A$1-MAXIFS('📋 Транзакції'!$C$5:$C$3623,'📋 Транзакції'!$B$5:$B$3623,A303))</f>
        <v>177</v>
      </c>
      <c r="G303" s="37">
        <f>IF(COUNTIFS('📋 Транзакції'!$B$5:$B$3623,A303,'📋 Транзакції'!$C$5:$C$3623,"&gt;="&amp;EDATE(DATEVALUE(C303&amp;"-01"),0),'📋 Транзакції'!$C$5:$C$3623,"&lt;"&amp;EDATE(DATEVALUE(C303&amp;"-01"),1))&gt;0,1,0)</f>
        <v>1</v>
      </c>
      <c r="H303" s="37">
        <f>IF(COUNTIFS('📋 Транзакції'!$B$5:$B$3623,A303,'📋 Транзакції'!$C$5:$C$3623,"&gt;="&amp;EDATE(DATEVALUE(C303&amp;"-01"),1),'📋 Транзакції'!$C$5:$C$3623,"&lt;"&amp;EDATE(DATEVALUE(C303&amp;"-01"),2))&gt;0,1,0)</f>
        <v>1</v>
      </c>
      <c r="I303" s="37">
        <f>IF(COUNTIFS('📋 Транзакції'!$B$5:$B$3623,A303,'📋 Транзакції'!$C$5:$C$3623,"&gt;="&amp;EDATE(DATEVALUE(C303&amp;"-01"),2),'📋 Транзакції'!$C$5:$C$3623,"&lt;"&amp;EDATE(DATEVALUE(C303&amp;"-01"),3))&gt;0,1,0)</f>
        <v>0</v>
      </c>
      <c r="J303" s="37">
        <f>IF(COUNTIFS('📋 Транзакції'!$B$5:$B$3623,A303,'📋 Транзакції'!$C$5:$C$3623,"&gt;="&amp;EDATE(DATEVALUE(C303&amp;"-01"),3),'📋 Транзакції'!$C$5:$C$3623,"&lt;"&amp;EDATE(DATEVALUE(C303&amp;"-01"),4))&gt;0,1,0)</f>
        <v>0</v>
      </c>
      <c r="K303" s="37">
        <f>IF(COUNTIFS('📋 Транзакції'!$B$5:$B$3623,A303,'📋 Транзакції'!$C$5:$C$3623,"&gt;="&amp;EDATE(DATEVALUE(C303&amp;"-01"),4),'📋 Транзакції'!$C$5:$C$3623,"&lt;"&amp;EDATE(DATEVALUE(C303&amp;"-01"),5))&gt;0,1,0)</f>
        <v>0</v>
      </c>
      <c r="L303" s="37">
        <f>IF(COUNTIFS('📋 Транзакції'!$B$5:$B$3623,A303,'📋 Транзакції'!$C$5:$C$3623,"&gt;="&amp;EDATE(DATEVALUE(C303&amp;"-01"),5),'📋 Транзакції'!$C$5:$C$3623,"&lt;"&amp;EDATE(DATEVALUE(C303&amp;"-01"),6))&gt;0,1,0)</f>
        <v>0</v>
      </c>
      <c r="M303" s="37">
        <f>IF(COUNTIFS('📋 Транзакції'!$B$5:$B$3623,A303,'📋 Транзакції'!$C$5:$C$3623,"&gt;="&amp;EDATE(DATEVALUE(C303&amp;"-01"),6),'📋 Транзакції'!$C$5:$C$3623,"&lt;"&amp;EDATE(DATEVALUE(C303&amp;"-01"),7))&gt;0,1,0)</f>
        <v>0</v>
      </c>
      <c r="N303" s="37">
        <f>IF(COUNTIFS('📋 Транзакції'!$B$5:$B$3623,A303,'📋 Транзакції'!$C$5:$C$3623,"&gt;="&amp;EDATE(DATEVALUE(C303&amp;"-01"),7),'📋 Транзакції'!$C$5:$C$3623,"&lt;"&amp;EDATE(DATEVALUE(C303&amp;"-01"),8))&gt;0,1,0)</f>
        <v>0</v>
      </c>
      <c r="O303" s="37">
        <f>IF(COUNTIFS('📋 Транзакції'!$B$5:$B$3623,A303,'📋 Транзакції'!$C$5:$C$3623,"&gt;="&amp;EDATE(DATEVALUE(C303&amp;"-01"),8),'📋 Транзакції'!$C$5:$C$3623,"&lt;"&amp;EDATE(DATEVALUE(C303&amp;"-01"),9))&gt;0,1,0)</f>
        <v>0</v>
      </c>
      <c r="P303" s="37">
        <f>IF(COUNTIFS('📋 Транзакції'!$B$5:$B$3623,A303,'📋 Транзакції'!$C$5:$C$3623,"&gt;="&amp;EDATE(DATEVALUE(C303&amp;"-01"),9),'📋 Транзакції'!$C$5:$C$3623,"&lt;"&amp;EDATE(DATEVALUE(C303&amp;"-01"),10))&gt;0,1,0)</f>
        <v>0</v>
      </c>
      <c r="Q303" s="37">
        <f>IF(COUNTIFS('📋 Транзакції'!$B$5:$B$3623,A303,'📋 Транзакції'!$C$5:$C$3623,"&gt;="&amp;EDATE(DATEVALUE(C303&amp;"-01"),10),'📋 Транзакції'!$C$5:$C$3623,"&lt;"&amp;EDATE(DATEVALUE(C303&amp;"-01"),11))&gt;0,1,0)</f>
        <v>0</v>
      </c>
      <c r="R303" s="37">
        <f>IF(COUNTIFS('📋 Транзакції'!$B$5:$B$3623,A303,'📋 Транзакції'!$C$5:$C$3623,"&gt;="&amp;EDATE(DATEVALUE(C303&amp;"-01"),11),'📋 Транзакції'!$C$5:$C$3623,"&lt;"&amp;EDATE(DATEVALUE(C303&amp;"-01"),12))&gt;0,1,0)</f>
        <v>0</v>
      </c>
      <c r="S303" s="37">
        <f>SUMIFS('📋 Транзакції'!$F$5:$F$3623,'📋 Транзакції'!$B$5:$B$3623,A303,'📋 Транзакції'!$C$5:$C$3623,"&gt;="&amp;EDATE(DATEVALUE(C303&amp;"-01"),0),'📋 Транзакції'!$C$5:$C$3623,"&lt;"&amp;EDATE(DATEVALUE(C303&amp;"-01"),1))</f>
        <v>0</v>
      </c>
      <c r="T303" s="37">
        <f>SUMIFS('📋 Транзакції'!$F$5:$F$3623,'📋 Транзакції'!$B$5:$B$3623,A303,'📋 Транзакції'!$C$5:$C$3623,"&gt;="&amp;EDATE(DATEVALUE(C303&amp;"-01"),1),'📋 Транзакції'!$C$5:$C$3623,"&lt;"&amp;EDATE(DATEVALUE(C303&amp;"-01"),2))</f>
        <v>19.99</v>
      </c>
      <c r="U303" s="37">
        <f>SUMIFS('📋 Транзакції'!$F$5:$F$3623,'📋 Транзакції'!$B$5:$B$3623,A303,'📋 Транзакції'!$C$5:$C$3623,"&gt;="&amp;EDATE(DATEVALUE(C303&amp;"-01"),2),'📋 Транзакції'!$C$5:$C$3623,"&lt;"&amp;EDATE(DATEVALUE(C303&amp;"-01"),3))</f>
        <v>0</v>
      </c>
      <c r="V303" s="37">
        <f>SUMIFS('📋 Транзакції'!$F$5:$F$3623,'📋 Транзакції'!$B$5:$B$3623,A303,'📋 Транзакції'!$C$5:$C$3623,"&gt;="&amp;EDATE(DATEVALUE(C303&amp;"-01"),3),'📋 Транзакції'!$C$5:$C$3623,"&lt;"&amp;EDATE(DATEVALUE(C303&amp;"-01"),4))</f>
        <v>0</v>
      </c>
      <c r="W303" s="37">
        <f>SUMIFS('📋 Транзакції'!$F$5:$F$3623,'📋 Транзакції'!$B$5:$B$3623,A303,'📋 Транзакції'!$C$5:$C$3623,"&gt;="&amp;EDATE(DATEVALUE(C303&amp;"-01"),4),'📋 Транзакції'!$C$5:$C$3623,"&lt;"&amp;EDATE(DATEVALUE(C303&amp;"-01"),5))</f>
        <v>0</v>
      </c>
      <c r="X303" s="37">
        <f>SUMIFS('📋 Транзакції'!$F$5:$F$3623,'📋 Транзакції'!$B$5:$B$3623,A303,'📋 Транзакції'!$C$5:$C$3623,"&gt;="&amp;EDATE(DATEVALUE(C303&amp;"-01"),5),'📋 Транзакції'!$C$5:$C$3623,"&lt;"&amp;EDATE(DATEVALUE(C303&amp;"-01"),6))</f>
        <v>0</v>
      </c>
      <c r="Y303" s="37">
        <f>SUMIFS('📋 Транзакції'!$F$5:$F$3623,'📋 Транзакції'!$B$5:$B$3623,A303,'📋 Транзакції'!$C$5:$C$3623,"&gt;="&amp;EDATE(DATEVALUE(C303&amp;"-01"),6),'📋 Транзакції'!$C$5:$C$3623,"&lt;"&amp;EDATE(DATEVALUE(C303&amp;"-01"),7))</f>
        <v>0</v>
      </c>
      <c r="Z303" s="37">
        <f>SUMIFS('📋 Транзакції'!$F$5:$F$3623,'📋 Транзакції'!$B$5:$B$3623,A303,'📋 Транзакції'!$C$5:$C$3623,"&gt;="&amp;EDATE(DATEVALUE(C303&amp;"-01"),7),'📋 Транзакції'!$C$5:$C$3623,"&lt;"&amp;EDATE(DATEVALUE(C303&amp;"-01"),8))</f>
        <v>0</v>
      </c>
      <c r="AA303" s="37">
        <f>SUMIFS('📋 Транзакції'!$F$5:$F$3623,'📋 Транзакції'!$B$5:$B$3623,A303,'📋 Транзакції'!$C$5:$C$3623,"&gt;="&amp;EDATE(DATEVALUE(C303&amp;"-01"),8),'📋 Транзакції'!$C$5:$C$3623,"&lt;"&amp;EDATE(DATEVALUE(C303&amp;"-01"),9))</f>
        <v>0</v>
      </c>
      <c r="AB303" s="37">
        <f>SUMIFS('📋 Транзакції'!$F$5:$F$3623,'📋 Транзакції'!$B$5:$B$3623,A303,'📋 Транзакції'!$C$5:$C$3623,"&gt;="&amp;EDATE(DATEVALUE(C303&amp;"-01"),9),'📋 Транзакції'!$C$5:$C$3623,"&lt;"&amp;EDATE(DATEVALUE(C303&amp;"-01"),10))</f>
        <v>0</v>
      </c>
      <c r="AC303" s="37">
        <f>SUMIFS('📋 Транзакції'!$F$5:$F$3623,'📋 Транзакції'!$B$5:$B$3623,A303,'📋 Транзакції'!$C$5:$C$3623,"&gt;="&amp;EDATE(DATEVALUE(C303&amp;"-01"),10),'📋 Транзакції'!$C$5:$C$3623,"&lt;"&amp;EDATE(DATEVALUE(C303&amp;"-01"),11))</f>
        <v>0</v>
      </c>
      <c r="AD303" s="37">
        <f>SUMIFS('📋 Транзакції'!$F$5:$F$3623,'📋 Транзакції'!$B$5:$B$3623,A303,'📋 Транзакції'!$C$5:$C$3623,"&gt;="&amp;EDATE(DATEVALUE(C303&amp;"-01"),11),'📋 Транзакції'!$C$5:$C$3623,"&lt;"&amp;EDATE(DATEVALUE(C303&amp;"-01"),12))</f>
        <v>0</v>
      </c>
    </row>
    <row r="304" ht="15.75" customHeight="1">
      <c r="A304" s="33" t="str">
        <f>'📋 Реєстрації'!A304:A905</f>
        <v>U0864</v>
      </c>
      <c r="B304" s="34">
        <f t="array" ref="B304">INDEX('📋 Транзакції'!$C$5:$C$3623,MATCH(A304,'📋 Транзакції'!$B$5:$B$3623,0))</f>
        <v>45565</v>
      </c>
      <c r="C304" s="35" t="str">
        <f t="shared" si="1"/>
        <v>2024-09</v>
      </c>
      <c r="D304" s="36">
        <f>COUNTIF('📋 Транзакції'!$B$5:$B$3623,A304)</f>
        <v>4</v>
      </c>
      <c r="E304" s="36">
        <f>SUMIF('📋 Транзакції'!$B$5:$B$3623,A304,'📋 Транзакції'!$F$5:$F$3623)</f>
        <v>59.97</v>
      </c>
      <c r="F304" s="35">
        <f>INT($A$1-MAXIFS('📋 Транзакції'!$C$5:$C$3623,'📋 Транзакції'!$B$5:$B$3623,A304))</f>
        <v>115</v>
      </c>
      <c r="G304" s="37">
        <f>IF(COUNTIFS('📋 Транзакції'!$B$5:$B$3623,A304,'📋 Транзакції'!$C$5:$C$3623,"&gt;="&amp;EDATE(DATEVALUE(C304&amp;"-01"),0),'📋 Транзакції'!$C$5:$C$3623,"&lt;"&amp;EDATE(DATEVALUE(C304&amp;"-01"),1))&gt;0,1,0)</f>
        <v>1</v>
      </c>
      <c r="H304" s="37">
        <f>IF(COUNTIFS('📋 Транзакції'!$B$5:$B$3623,A304,'📋 Транзакції'!$C$5:$C$3623,"&gt;="&amp;EDATE(DATEVALUE(C304&amp;"-01"),1),'📋 Транзакції'!$C$5:$C$3623,"&lt;"&amp;EDATE(DATEVALUE(C304&amp;"-01"),2))&gt;0,1,0)</f>
        <v>1</v>
      </c>
      <c r="I304" s="37">
        <f>IF(COUNTIFS('📋 Транзакції'!$B$5:$B$3623,A304,'📋 Транзакції'!$C$5:$C$3623,"&gt;="&amp;EDATE(DATEVALUE(C304&amp;"-01"),2),'📋 Транзакції'!$C$5:$C$3623,"&lt;"&amp;EDATE(DATEVALUE(C304&amp;"-01"),3))&gt;0,1,0)</f>
        <v>1</v>
      </c>
      <c r="J304" s="37">
        <f>IF(COUNTIFS('📋 Транзакції'!$B$5:$B$3623,A304,'📋 Транзакції'!$C$5:$C$3623,"&gt;="&amp;EDATE(DATEVALUE(C304&amp;"-01"),3),'📋 Транзакції'!$C$5:$C$3623,"&lt;"&amp;EDATE(DATEVALUE(C304&amp;"-01"),4))&gt;0,1,0)</f>
        <v>1</v>
      </c>
      <c r="K304" s="37">
        <f>IF(COUNTIFS('📋 Транзакції'!$B$5:$B$3623,A304,'📋 Транзакції'!$C$5:$C$3623,"&gt;="&amp;EDATE(DATEVALUE(C304&amp;"-01"),4),'📋 Транзакції'!$C$5:$C$3623,"&lt;"&amp;EDATE(DATEVALUE(C304&amp;"-01"),5))&gt;0,1,0)</f>
        <v>0</v>
      </c>
      <c r="L304" s="37">
        <f>IF(COUNTIFS('📋 Транзакції'!$B$5:$B$3623,A304,'📋 Транзакції'!$C$5:$C$3623,"&gt;="&amp;EDATE(DATEVALUE(C304&amp;"-01"),5),'📋 Транзакції'!$C$5:$C$3623,"&lt;"&amp;EDATE(DATEVALUE(C304&amp;"-01"),6))&gt;0,1,0)</f>
        <v>0</v>
      </c>
      <c r="M304" s="37">
        <f>IF(COUNTIFS('📋 Транзакції'!$B$5:$B$3623,A304,'📋 Транзакції'!$C$5:$C$3623,"&gt;="&amp;EDATE(DATEVALUE(C304&amp;"-01"),6),'📋 Транзакції'!$C$5:$C$3623,"&lt;"&amp;EDATE(DATEVALUE(C304&amp;"-01"),7))&gt;0,1,0)</f>
        <v>0</v>
      </c>
      <c r="N304" s="37">
        <f>IF(COUNTIFS('📋 Транзакції'!$B$5:$B$3623,A304,'📋 Транзакції'!$C$5:$C$3623,"&gt;="&amp;EDATE(DATEVALUE(C304&amp;"-01"),7),'📋 Транзакції'!$C$5:$C$3623,"&lt;"&amp;EDATE(DATEVALUE(C304&amp;"-01"),8))&gt;0,1,0)</f>
        <v>0</v>
      </c>
      <c r="O304" s="37">
        <f>IF(COUNTIFS('📋 Транзакції'!$B$5:$B$3623,A304,'📋 Транзакції'!$C$5:$C$3623,"&gt;="&amp;EDATE(DATEVALUE(C304&amp;"-01"),8),'📋 Транзакції'!$C$5:$C$3623,"&lt;"&amp;EDATE(DATEVALUE(C304&amp;"-01"),9))&gt;0,1,0)</f>
        <v>0</v>
      </c>
      <c r="P304" s="37">
        <f>IF(COUNTIFS('📋 Транзакції'!$B$5:$B$3623,A304,'📋 Транзакції'!$C$5:$C$3623,"&gt;="&amp;EDATE(DATEVALUE(C304&amp;"-01"),9),'📋 Транзакції'!$C$5:$C$3623,"&lt;"&amp;EDATE(DATEVALUE(C304&amp;"-01"),10))&gt;0,1,0)</f>
        <v>0</v>
      </c>
      <c r="Q304" s="37">
        <f>IF(COUNTIFS('📋 Транзакції'!$B$5:$B$3623,A304,'📋 Транзакції'!$C$5:$C$3623,"&gt;="&amp;EDATE(DATEVALUE(C304&amp;"-01"),10),'📋 Транзакції'!$C$5:$C$3623,"&lt;"&amp;EDATE(DATEVALUE(C304&amp;"-01"),11))&gt;0,1,0)</f>
        <v>0</v>
      </c>
      <c r="R304" s="37">
        <f>IF(COUNTIFS('📋 Транзакції'!$B$5:$B$3623,A304,'📋 Транзакції'!$C$5:$C$3623,"&gt;="&amp;EDATE(DATEVALUE(C304&amp;"-01"),11),'📋 Транзакції'!$C$5:$C$3623,"&lt;"&amp;EDATE(DATEVALUE(C304&amp;"-01"),12))&gt;0,1,0)</f>
        <v>0</v>
      </c>
      <c r="S304" s="37">
        <f>SUMIFS('📋 Транзакції'!$F$5:$F$3623,'📋 Транзакції'!$B$5:$B$3623,A304,'📋 Транзакції'!$C$5:$C$3623,"&gt;="&amp;EDATE(DATEVALUE(C304&amp;"-01"),0),'📋 Транзакції'!$C$5:$C$3623,"&lt;"&amp;EDATE(DATEVALUE(C304&amp;"-01"),1))</f>
        <v>0</v>
      </c>
      <c r="T304" s="37">
        <f>SUMIFS('📋 Транзакції'!$F$5:$F$3623,'📋 Транзакції'!$B$5:$B$3623,A304,'📋 Транзакції'!$C$5:$C$3623,"&gt;="&amp;EDATE(DATEVALUE(C304&amp;"-01"),1),'📋 Транзакції'!$C$5:$C$3623,"&lt;"&amp;EDATE(DATEVALUE(C304&amp;"-01"),2))</f>
        <v>19.99</v>
      </c>
      <c r="U304" s="37">
        <f>SUMIFS('📋 Транзакції'!$F$5:$F$3623,'📋 Транзакції'!$B$5:$B$3623,A304,'📋 Транзакції'!$C$5:$C$3623,"&gt;="&amp;EDATE(DATEVALUE(C304&amp;"-01"),2),'📋 Транзакції'!$C$5:$C$3623,"&lt;"&amp;EDATE(DATEVALUE(C304&amp;"-01"),3))</f>
        <v>19.99</v>
      </c>
      <c r="V304" s="37">
        <f>SUMIFS('📋 Транзакції'!$F$5:$F$3623,'📋 Транзакції'!$B$5:$B$3623,A304,'📋 Транзакції'!$C$5:$C$3623,"&gt;="&amp;EDATE(DATEVALUE(C304&amp;"-01"),3),'📋 Транзакції'!$C$5:$C$3623,"&lt;"&amp;EDATE(DATEVALUE(C304&amp;"-01"),4))</f>
        <v>19.99</v>
      </c>
      <c r="W304" s="37">
        <f>SUMIFS('📋 Транзакції'!$F$5:$F$3623,'📋 Транзакції'!$B$5:$B$3623,A304,'📋 Транзакції'!$C$5:$C$3623,"&gt;="&amp;EDATE(DATEVALUE(C304&amp;"-01"),4),'📋 Транзакції'!$C$5:$C$3623,"&lt;"&amp;EDATE(DATEVALUE(C304&amp;"-01"),5))</f>
        <v>0</v>
      </c>
      <c r="X304" s="37">
        <f>SUMIFS('📋 Транзакції'!$F$5:$F$3623,'📋 Транзакції'!$B$5:$B$3623,A304,'📋 Транзакції'!$C$5:$C$3623,"&gt;="&amp;EDATE(DATEVALUE(C304&amp;"-01"),5),'📋 Транзакції'!$C$5:$C$3623,"&lt;"&amp;EDATE(DATEVALUE(C304&amp;"-01"),6))</f>
        <v>0</v>
      </c>
      <c r="Y304" s="37">
        <f>SUMIFS('📋 Транзакції'!$F$5:$F$3623,'📋 Транзакції'!$B$5:$B$3623,A304,'📋 Транзакції'!$C$5:$C$3623,"&gt;="&amp;EDATE(DATEVALUE(C304&amp;"-01"),6),'📋 Транзакції'!$C$5:$C$3623,"&lt;"&amp;EDATE(DATEVALUE(C304&amp;"-01"),7))</f>
        <v>0</v>
      </c>
      <c r="Z304" s="37">
        <f>SUMIFS('📋 Транзакції'!$F$5:$F$3623,'📋 Транзакції'!$B$5:$B$3623,A304,'📋 Транзакції'!$C$5:$C$3623,"&gt;="&amp;EDATE(DATEVALUE(C304&amp;"-01"),7),'📋 Транзакції'!$C$5:$C$3623,"&lt;"&amp;EDATE(DATEVALUE(C304&amp;"-01"),8))</f>
        <v>0</v>
      </c>
      <c r="AA304" s="37">
        <f>SUMIFS('📋 Транзакції'!$F$5:$F$3623,'📋 Транзакції'!$B$5:$B$3623,A304,'📋 Транзакції'!$C$5:$C$3623,"&gt;="&amp;EDATE(DATEVALUE(C304&amp;"-01"),8),'📋 Транзакції'!$C$5:$C$3623,"&lt;"&amp;EDATE(DATEVALUE(C304&amp;"-01"),9))</f>
        <v>0</v>
      </c>
      <c r="AB304" s="37">
        <f>SUMIFS('📋 Транзакції'!$F$5:$F$3623,'📋 Транзакції'!$B$5:$B$3623,A304,'📋 Транзакції'!$C$5:$C$3623,"&gt;="&amp;EDATE(DATEVALUE(C304&amp;"-01"),9),'📋 Транзакції'!$C$5:$C$3623,"&lt;"&amp;EDATE(DATEVALUE(C304&amp;"-01"),10))</f>
        <v>0</v>
      </c>
      <c r="AC304" s="37">
        <f>SUMIFS('📋 Транзакції'!$F$5:$F$3623,'📋 Транзакції'!$B$5:$B$3623,A304,'📋 Транзакції'!$C$5:$C$3623,"&gt;="&amp;EDATE(DATEVALUE(C304&amp;"-01"),10),'📋 Транзакції'!$C$5:$C$3623,"&lt;"&amp;EDATE(DATEVALUE(C304&amp;"-01"),11))</f>
        <v>0</v>
      </c>
      <c r="AD304" s="37">
        <f>SUMIFS('📋 Транзакції'!$F$5:$F$3623,'📋 Транзакції'!$B$5:$B$3623,A304,'📋 Транзакції'!$C$5:$C$3623,"&gt;="&amp;EDATE(DATEVALUE(C304&amp;"-01"),11),'📋 Транзакції'!$C$5:$C$3623,"&lt;"&amp;EDATE(DATEVALUE(C304&amp;"-01"),12))</f>
        <v>0</v>
      </c>
    </row>
    <row r="305" ht="15.75" customHeight="1">
      <c r="A305" s="33" t="str">
        <f>'📋 Реєстрації'!A305:A906</f>
        <v>U0130</v>
      </c>
      <c r="B305" s="34">
        <f t="array" ref="B305">INDEX('📋 Транзакції'!$C$5:$C$3623,MATCH(A305,'📋 Транзакції'!$B$5:$B$3623,0))</f>
        <v>45566</v>
      </c>
      <c r="C305" s="35" t="str">
        <f t="shared" si="1"/>
        <v>2024-10</v>
      </c>
      <c r="D305" s="36">
        <f>COUNTIF('📋 Транзакції'!$B$5:$B$3623,A305)</f>
        <v>4</v>
      </c>
      <c r="E305" s="36">
        <f>SUMIF('📋 Транзакції'!$B$5:$B$3623,A305,'📋 Транзакції'!$F$5:$F$3623)</f>
        <v>59.97</v>
      </c>
      <c r="F305" s="35">
        <f>INT($A$1-MAXIFS('📋 Транзакції'!$C$5:$C$3623,'📋 Транзакції'!$B$5:$B$3623,A305))</f>
        <v>114</v>
      </c>
      <c r="G305" s="37">
        <f>IF(COUNTIFS('📋 Транзакції'!$B$5:$B$3623,A305,'📋 Транзакції'!$C$5:$C$3623,"&gt;="&amp;EDATE(DATEVALUE(C305&amp;"-01"),0),'📋 Транзакції'!$C$5:$C$3623,"&lt;"&amp;EDATE(DATEVALUE(C305&amp;"-01"),1))&gt;0,1,0)</f>
        <v>1</v>
      </c>
      <c r="H305" s="37">
        <f>IF(COUNTIFS('📋 Транзакції'!$B$5:$B$3623,A305,'📋 Транзакції'!$C$5:$C$3623,"&gt;="&amp;EDATE(DATEVALUE(C305&amp;"-01"),1),'📋 Транзакції'!$C$5:$C$3623,"&lt;"&amp;EDATE(DATEVALUE(C305&amp;"-01"),2))&gt;0,1,0)</f>
        <v>1</v>
      </c>
      <c r="I305" s="37">
        <f>IF(COUNTIFS('📋 Транзакції'!$B$5:$B$3623,A305,'📋 Транзакції'!$C$5:$C$3623,"&gt;="&amp;EDATE(DATEVALUE(C305&amp;"-01"),2),'📋 Транзакції'!$C$5:$C$3623,"&lt;"&amp;EDATE(DATEVALUE(C305&amp;"-01"),3))&gt;0,1,0)</f>
        <v>1</v>
      </c>
      <c r="J305" s="37">
        <f>IF(COUNTIFS('📋 Транзакції'!$B$5:$B$3623,A305,'📋 Транзакції'!$C$5:$C$3623,"&gt;="&amp;EDATE(DATEVALUE(C305&amp;"-01"),3),'📋 Транзакції'!$C$5:$C$3623,"&lt;"&amp;EDATE(DATEVALUE(C305&amp;"-01"),4))&gt;0,1,0)</f>
        <v>0</v>
      </c>
      <c r="K305" s="37">
        <f>IF(COUNTIFS('📋 Транзакції'!$B$5:$B$3623,A305,'📋 Транзакції'!$C$5:$C$3623,"&gt;="&amp;EDATE(DATEVALUE(C305&amp;"-01"),4),'📋 Транзакції'!$C$5:$C$3623,"&lt;"&amp;EDATE(DATEVALUE(C305&amp;"-01"),5))&gt;0,1,0)</f>
        <v>0</v>
      </c>
      <c r="L305" s="37">
        <f>IF(COUNTIFS('📋 Транзакції'!$B$5:$B$3623,A305,'📋 Транзакції'!$C$5:$C$3623,"&gt;="&amp;EDATE(DATEVALUE(C305&amp;"-01"),5),'📋 Транзакції'!$C$5:$C$3623,"&lt;"&amp;EDATE(DATEVALUE(C305&amp;"-01"),6))&gt;0,1,0)</f>
        <v>0</v>
      </c>
      <c r="M305" s="37">
        <f>IF(COUNTIFS('📋 Транзакції'!$B$5:$B$3623,A305,'📋 Транзакції'!$C$5:$C$3623,"&gt;="&amp;EDATE(DATEVALUE(C305&amp;"-01"),6),'📋 Транзакції'!$C$5:$C$3623,"&lt;"&amp;EDATE(DATEVALUE(C305&amp;"-01"),7))&gt;0,1,0)</f>
        <v>0</v>
      </c>
      <c r="N305" s="37">
        <f>IF(COUNTIFS('📋 Транзакції'!$B$5:$B$3623,A305,'📋 Транзакції'!$C$5:$C$3623,"&gt;="&amp;EDATE(DATEVALUE(C305&amp;"-01"),7),'📋 Транзакції'!$C$5:$C$3623,"&lt;"&amp;EDATE(DATEVALUE(C305&amp;"-01"),8))&gt;0,1,0)</f>
        <v>0</v>
      </c>
      <c r="O305" s="37">
        <f>IF(COUNTIFS('📋 Транзакції'!$B$5:$B$3623,A305,'📋 Транзакції'!$C$5:$C$3623,"&gt;="&amp;EDATE(DATEVALUE(C305&amp;"-01"),8),'📋 Транзакції'!$C$5:$C$3623,"&lt;"&amp;EDATE(DATEVALUE(C305&amp;"-01"),9))&gt;0,1,0)</f>
        <v>0</v>
      </c>
      <c r="P305" s="37">
        <f>IF(COUNTIFS('📋 Транзакції'!$B$5:$B$3623,A305,'📋 Транзакції'!$C$5:$C$3623,"&gt;="&amp;EDATE(DATEVALUE(C305&amp;"-01"),9),'📋 Транзакції'!$C$5:$C$3623,"&lt;"&amp;EDATE(DATEVALUE(C305&amp;"-01"),10))&gt;0,1,0)</f>
        <v>0</v>
      </c>
      <c r="Q305" s="37">
        <f>IF(COUNTIFS('📋 Транзакції'!$B$5:$B$3623,A305,'📋 Транзакції'!$C$5:$C$3623,"&gt;="&amp;EDATE(DATEVALUE(C305&amp;"-01"),10),'📋 Транзакції'!$C$5:$C$3623,"&lt;"&amp;EDATE(DATEVALUE(C305&amp;"-01"),11))&gt;0,1,0)</f>
        <v>0</v>
      </c>
      <c r="R305" s="37">
        <f>IF(COUNTIFS('📋 Транзакції'!$B$5:$B$3623,A305,'📋 Транзакції'!$C$5:$C$3623,"&gt;="&amp;EDATE(DATEVALUE(C305&amp;"-01"),11),'📋 Транзакції'!$C$5:$C$3623,"&lt;"&amp;EDATE(DATEVALUE(C305&amp;"-01"),12))&gt;0,1,0)</f>
        <v>0</v>
      </c>
      <c r="S305" s="37">
        <f>SUMIFS('📋 Транзакції'!$F$5:$F$3623,'📋 Транзакції'!$B$5:$B$3623,A305,'📋 Транзакції'!$C$5:$C$3623,"&gt;="&amp;EDATE(DATEVALUE(C305&amp;"-01"),0),'📋 Транзакції'!$C$5:$C$3623,"&lt;"&amp;EDATE(DATEVALUE(C305&amp;"-01"),1))</f>
        <v>19.99</v>
      </c>
      <c r="T305" s="37">
        <f>SUMIFS('📋 Транзакції'!$F$5:$F$3623,'📋 Транзакції'!$B$5:$B$3623,A305,'📋 Транзакції'!$C$5:$C$3623,"&gt;="&amp;EDATE(DATEVALUE(C305&amp;"-01"),1),'📋 Транзакції'!$C$5:$C$3623,"&lt;"&amp;EDATE(DATEVALUE(C305&amp;"-01"),2))</f>
        <v>19.99</v>
      </c>
      <c r="U305" s="37">
        <f>SUMIFS('📋 Транзакції'!$F$5:$F$3623,'📋 Транзакції'!$B$5:$B$3623,A305,'📋 Транзакції'!$C$5:$C$3623,"&gt;="&amp;EDATE(DATEVALUE(C305&amp;"-01"),2),'📋 Транзакції'!$C$5:$C$3623,"&lt;"&amp;EDATE(DATEVALUE(C305&amp;"-01"),3))</f>
        <v>19.99</v>
      </c>
      <c r="V305" s="37">
        <f>SUMIFS('📋 Транзакції'!$F$5:$F$3623,'📋 Транзакції'!$B$5:$B$3623,A305,'📋 Транзакції'!$C$5:$C$3623,"&gt;="&amp;EDATE(DATEVALUE(C305&amp;"-01"),3),'📋 Транзакції'!$C$5:$C$3623,"&lt;"&amp;EDATE(DATEVALUE(C305&amp;"-01"),4))</f>
        <v>0</v>
      </c>
      <c r="W305" s="37">
        <f>SUMIFS('📋 Транзакції'!$F$5:$F$3623,'📋 Транзакції'!$B$5:$B$3623,A305,'📋 Транзакції'!$C$5:$C$3623,"&gt;="&amp;EDATE(DATEVALUE(C305&amp;"-01"),4),'📋 Транзакції'!$C$5:$C$3623,"&lt;"&amp;EDATE(DATEVALUE(C305&amp;"-01"),5))</f>
        <v>0</v>
      </c>
      <c r="X305" s="37">
        <f>SUMIFS('📋 Транзакції'!$F$5:$F$3623,'📋 Транзакції'!$B$5:$B$3623,A305,'📋 Транзакції'!$C$5:$C$3623,"&gt;="&amp;EDATE(DATEVALUE(C305&amp;"-01"),5),'📋 Транзакції'!$C$5:$C$3623,"&lt;"&amp;EDATE(DATEVALUE(C305&amp;"-01"),6))</f>
        <v>0</v>
      </c>
      <c r="Y305" s="37">
        <f>SUMIFS('📋 Транзакції'!$F$5:$F$3623,'📋 Транзакції'!$B$5:$B$3623,A305,'📋 Транзакції'!$C$5:$C$3623,"&gt;="&amp;EDATE(DATEVALUE(C305&amp;"-01"),6),'📋 Транзакції'!$C$5:$C$3623,"&lt;"&amp;EDATE(DATEVALUE(C305&amp;"-01"),7))</f>
        <v>0</v>
      </c>
      <c r="Z305" s="37">
        <f>SUMIFS('📋 Транзакції'!$F$5:$F$3623,'📋 Транзакції'!$B$5:$B$3623,A305,'📋 Транзакції'!$C$5:$C$3623,"&gt;="&amp;EDATE(DATEVALUE(C305&amp;"-01"),7),'📋 Транзакції'!$C$5:$C$3623,"&lt;"&amp;EDATE(DATEVALUE(C305&amp;"-01"),8))</f>
        <v>0</v>
      </c>
      <c r="AA305" s="37">
        <f>SUMIFS('📋 Транзакції'!$F$5:$F$3623,'📋 Транзакції'!$B$5:$B$3623,A305,'📋 Транзакції'!$C$5:$C$3623,"&gt;="&amp;EDATE(DATEVALUE(C305&amp;"-01"),8),'📋 Транзакції'!$C$5:$C$3623,"&lt;"&amp;EDATE(DATEVALUE(C305&amp;"-01"),9))</f>
        <v>0</v>
      </c>
      <c r="AB305" s="37">
        <f>SUMIFS('📋 Транзакції'!$F$5:$F$3623,'📋 Транзакції'!$B$5:$B$3623,A305,'📋 Транзакції'!$C$5:$C$3623,"&gt;="&amp;EDATE(DATEVALUE(C305&amp;"-01"),9),'📋 Транзакції'!$C$5:$C$3623,"&lt;"&amp;EDATE(DATEVALUE(C305&amp;"-01"),10))</f>
        <v>0</v>
      </c>
      <c r="AC305" s="37">
        <f>SUMIFS('📋 Транзакції'!$F$5:$F$3623,'📋 Транзакції'!$B$5:$B$3623,A305,'📋 Транзакції'!$C$5:$C$3623,"&gt;="&amp;EDATE(DATEVALUE(C305&amp;"-01"),10),'📋 Транзакції'!$C$5:$C$3623,"&lt;"&amp;EDATE(DATEVALUE(C305&amp;"-01"),11))</f>
        <v>0</v>
      </c>
      <c r="AD305" s="37">
        <f>SUMIFS('📋 Транзакції'!$F$5:$F$3623,'📋 Транзакції'!$B$5:$B$3623,A305,'📋 Транзакції'!$C$5:$C$3623,"&gt;="&amp;EDATE(DATEVALUE(C305&amp;"-01"),11),'📋 Транзакції'!$C$5:$C$3623,"&lt;"&amp;EDATE(DATEVALUE(C305&amp;"-01"),12))</f>
        <v>0</v>
      </c>
    </row>
    <row r="306" ht="15.75" customHeight="1">
      <c r="A306" s="33" t="str">
        <f>'📋 Реєстрації'!A306:A907</f>
        <v>U0624</v>
      </c>
      <c r="B306" s="34">
        <f t="array" ref="B306">INDEX('📋 Транзакції'!$C$5:$C$3623,MATCH(A306,'📋 Транзакції'!$B$5:$B$3623,0))</f>
        <v>45566</v>
      </c>
      <c r="C306" s="35" t="str">
        <f t="shared" si="1"/>
        <v>2024-10</v>
      </c>
      <c r="D306" s="36">
        <f>COUNTIF('📋 Транзакції'!$B$5:$B$3623,A306)</f>
        <v>6</v>
      </c>
      <c r="E306" s="36">
        <f>SUMIF('📋 Транзакції'!$B$5:$B$3623,A306,'📋 Транзакції'!$F$5:$F$3623)</f>
        <v>99.95</v>
      </c>
      <c r="F306" s="35">
        <f>INT($A$1-MAXIFS('📋 Транзакції'!$C$5:$C$3623,'📋 Транзакції'!$B$5:$B$3623,A306))</f>
        <v>54</v>
      </c>
      <c r="G306" s="37">
        <f>IF(COUNTIFS('📋 Транзакції'!$B$5:$B$3623,A306,'📋 Транзакції'!$C$5:$C$3623,"&gt;="&amp;EDATE(DATEVALUE(C306&amp;"-01"),0),'📋 Транзакції'!$C$5:$C$3623,"&lt;"&amp;EDATE(DATEVALUE(C306&amp;"-01"),1))&gt;0,1,0)</f>
        <v>1</v>
      </c>
      <c r="H306" s="37">
        <f>IF(COUNTIFS('📋 Транзакції'!$B$5:$B$3623,A306,'📋 Транзакції'!$C$5:$C$3623,"&gt;="&amp;EDATE(DATEVALUE(C306&amp;"-01"),1),'📋 Транзакції'!$C$5:$C$3623,"&lt;"&amp;EDATE(DATEVALUE(C306&amp;"-01"),2))&gt;0,1,0)</f>
        <v>1</v>
      </c>
      <c r="I306" s="37">
        <f>IF(COUNTIFS('📋 Транзакції'!$B$5:$B$3623,A306,'📋 Транзакції'!$C$5:$C$3623,"&gt;="&amp;EDATE(DATEVALUE(C306&amp;"-01"),2),'📋 Транзакції'!$C$5:$C$3623,"&lt;"&amp;EDATE(DATEVALUE(C306&amp;"-01"),3))&gt;0,1,0)</f>
        <v>1</v>
      </c>
      <c r="J306" s="37">
        <f>IF(COUNTIFS('📋 Транзакції'!$B$5:$B$3623,A306,'📋 Транзакції'!$C$5:$C$3623,"&gt;="&amp;EDATE(DATEVALUE(C306&amp;"-01"),3),'📋 Транзакції'!$C$5:$C$3623,"&lt;"&amp;EDATE(DATEVALUE(C306&amp;"-01"),4))&gt;0,1,0)</f>
        <v>1</v>
      </c>
      <c r="K306" s="37">
        <f>IF(COUNTIFS('📋 Транзакції'!$B$5:$B$3623,A306,'📋 Транзакції'!$C$5:$C$3623,"&gt;="&amp;EDATE(DATEVALUE(C306&amp;"-01"),4),'📋 Транзакції'!$C$5:$C$3623,"&lt;"&amp;EDATE(DATEVALUE(C306&amp;"-01"),5))&gt;0,1,0)</f>
        <v>1</v>
      </c>
      <c r="L306" s="37">
        <f>IF(COUNTIFS('📋 Транзакції'!$B$5:$B$3623,A306,'📋 Транзакції'!$C$5:$C$3623,"&gt;="&amp;EDATE(DATEVALUE(C306&amp;"-01"),5),'📋 Транзакції'!$C$5:$C$3623,"&lt;"&amp;EDATE(DATEVALUE(C306&amp;"-01"),6))&gt;0,1,0)</f>
        <v>0</v>
      </c>
      <c r="M306" s="37">
        <f>IF(COUNTIFS('📋 Транзакції'!$B$5:$B$3623,A306,'📋 Транзакції'!$C$5:$C$3623,"&gt;="&amp;EDATE(DATEVALUE(C306&amp;"-01"),6),'📋 Транзакції'!$C$5:$C$3623,"&lt;"&amp;EDATE(DATEVALUE(C306&amp;"-01"),7))&gt;0,1,0)</f>
        <v>0</v>
      </c>
      <c r="N306" s="37">
        <f>IF(COUNTIFS('📋 Транзакції'!$B$5:$B$3623,A306,'📋 Транзакції'!$C$5:$C$3623,"&gt;="&amp;EDATE(DATEVALUE(C306&amp;"-01"),7),'📋 Транзакції'!$C$5:$C$3623,"&lt;"&amp;EDATE(DATEVALUE(C306&amp;"-01"),8))&gt;0,1,0)</f>
        <v>0</v>
      </c>
      <c r="O306" s="37">
        <f>IF(COUNTIFS('📋 Транзакції'!$B$5:$B$3623,A306,'📋 Транзакції'!$C$5:$C$3623,"&gt;="&amp;EDATE(DATEVALUE(C306&amp;"-01"),8),'📋 Транзакції'!$C$5:$C$3623,"&lt;"&amp;EDATE(DATEVALUE(C306&amp;"-01"),9))&gt;0,1,0)</f>
        <v>0</v>
      </c>
      <c r="P306" s="37">
        <f>IF(COUNTIFS('📋 Транзакції'!$B$5:$B$3623,A306,'📋 Транзакції'!$C$5:$C$3623,"&gt;="&amp;EDATE(DATEVALUE(C306&amp;"-01"),9),'📋 Транзакції'!$C$5:$C$3623,"&lt;"&amp;EDATE(DATEVALUE(C306&amp;"-01"),10))&gt;0,1,0)</f>
        <v>0</v>
      </c>
      <c r="Q306" s="37">
        <f>IF(COUNTIFS('📋 Транзакції'!$B$5:$B$3623,A306,'📋 Транзакції'!$C$5:$C$3623,"&gt;="&amp;EDATE(DATEVALUE(C306&amp;"-01"),10),'📋 Транзакції'!$C$5:$C$3623,"&lt;"&amp;EDATE(DATEVALUE(C306&amp;"-01"),11))&gt;0,1,0)</f>
        <v>0</v>
      </c>
      <c r="R306" s="37">
        <f>IF(COUNTIFS('📋 Транзакції'!$B$5:$B$3623,A306,'📋 Транзакції'!$C$5:$C$3623,"&gt;="&amp;EDATE(DATEVALUE(C306&amp;"-01"),11),'📋 Транзакції'!$C$5:$C$3623,"&lt;"&amp;EDATE(DATEVALUE(C306&amp;"-01"),12))&gt;0,1,0)</f>
        <v>0</v>
      </c>
      <c r="S306" s="37">
        <f>SUMIFS('📋 Транзакції'!$F$5:$F$3623,'📋 Транзакції'!$B$5:$B$3623,A306,'📋 Транзакції'!$C$5:$C$3623,"&gt;="&amp;EDATE(DATEVALUE(C306&amp;"-01"),0),'📋 Транзакції'!$C$5:$C$3623,"&lt;"&amp;EDATE(DATEVALUE(C306&amp;"-01"),1))</f>
        <v>19.99</v>
      </c>
      <c r="T306" s="37">
        <f>SUMIFS('📋 Транзакції'!$F$5:$F$3623,'📋 Транзакції'!$B$5:$B$3623,A306,'📋 Транзакції'!$C$5:$C$3623,"&gt;="&amp;EDATE(DATEVALUE(C306&amp;"-01"),1),'📋 Транзакції'!$C$5:$C$3623,"&lt;"&amp;EDATE(DATEVALUE(C306&amp;"-01"),2))</f>
        <v>19.99</v>
      </c>
      <c r="U306" s="37">
        <f>SUMIFS('📋 Транзакції'!$F$5:$F$3623,'📋 Транзакції'!$B$5:$B$3623,A306,'📋 Транзакції'!$C$5:$C$3623,"&gt;="&amp;EDATE(DATEVALUE(C306&amp;"-01"),2),'📋 Транзакції'!$C$5:$C$3623,"&lt;"&amp;EDATE(DATEVALUE(C306&amp;"-01"),3))</f>
        <v>19.99</v>
      </c>
      <c r="V306" s="37">
        <f>SUMIFS('📋 Транзакції'!$F$5:$F$3623,'📋 Транзакції'!$B$5:$B$3623,A306,'📋 Транзакції'!$C$5:$C$3623,"&gt;="&amp;EDATE(DATEVALUE(C306&amp;"-01"),3),'📋 Транзакції'!$C$5:$C$3623,"&lt;"&amp;EDATE(DATEVALUE(C306&amp;"-01"),4))</f>
        <v>19.99</v>
      </c>
      <c r="W306" s="37">
        <f>SUMIFS('📋 Транзакції'!$F$5:$F$3623,'📋 Транзакції'!$B$5:$B$3623,A306,'📋 Транзакції'!$C$5:$C$3623,"&gt;="&amp;EDATE(DATEVALUE(C306&amp;"-01"),4),'📋 Транзакції'!$C$5:$C$3623,"&lt;"&amp;EDATE(DATEVALUE(C306&amp;"-01"),5))</f>
        <v>19.99</v>
      </c>
      <c r="X306" s="37">
        <f>SUMIFS('📋 Транзакції'!$F$5:$F$3623,'📋 Транзакції'!$B$5:$B$3623,A306,'📋 Транзакції'!$C$5:$C$3623,"&gt;="&amp;EDATE(DATEVALUE(C306&amp;"-01"),5),'📋 Транзакції'!$C$5:$C$3623,"&lt;"&amp;EDATE(DATEVALUE(C306&amp;"-01"),6))</f>
        <v>0</v>
      </c>
      <c r="Y306" s="37">
        <f>SUMIFS('📋 Транзакції'!$F$5:$F$3623,'📋 Транзакції'!$B$5:$B$3623,A306,'📋 Транзакції'!$C$5:$C$3623,"&gt;="&amp;EDATE(DATEVALUE(C306&amp;"-01"),6),'📋 Транзакції'!$C$5:$C$3623,"&lt;"&amp;EDATE(DATEVALUE(C306&amp;"-01"),7))</f>
        <v>0</v>
      </c>
      <c r="Z306" s="37">
        <f>SUMIFS('📋 Транзакції'!$F$5:$F$3623,'📋 Транзакції'!$B$5:$B$3623,A306,'📋 Транзакції'!$C$5:$C$3623,"&gt;="&amp;EDATE(DATEVALUE(C306&amp;"-01"),7),'📋 Транзакції'!$C$5:$C$3623,"&lt;"&amp;EDATE(DATEVALUE(C306&amp;"-01"),8))</f>
        <v>0</v>
      </c>
      <c r="AA306" s="37">
        <f>SUMIFS('📋 Транзакції'!$F$5:$F$3623,'📋 Транзакції'!$B$5:$B$3623,A306,'📋 Транзакції'!$C$5:$C$3623,"&gt;="&amp;EDATE(DATEVALUE(C306&amp;"-01"),8),'📋 Транзакції'!$C$5:$C$3623,"&lt;"&amp;EDATE(DATEVALUE(C306&amp;"-01"),9))</f>
        <v>0</v>
      </c>
      <c r="AB306" s="37">
        <f>SUMIFS('📋 Транзакції'!$F$5:$F$3623,'📋 Транзакції'!$B$5:$B$3623,A306,'📋 Транзакції'!$C$5:$C$3623,"&gt;="&amp;EDATE(DATEVALUE(C306&amp;"-01"),9),'📋 Транзакції'!$C$5:$C$3623,"&lt;"&amp;EDATE(DATEVALUE(C306&amp;"-01"),10))</f>
        <v>0</v>
      </c>
      <c r="AC306" s="37">
        <f>SUMIFS('📋 Транзакції'!$F$5:$F$3623,'📋 Транзакції'!$B$5:$B$3623,A306,'📋 Транзакції'!$C$5:$C$3623,"&gt;="&amp;EDATE(DATEVALUE(C306&amp;"-01"),10),'📋 Транзакції'!$C$5:$C$3623,"&lt;"&amp;EDATE(DATEVALUE(C306&amp;"-01"),11))</f>
        <v>0</v>
      </c>
      <c r="AD306" s="37">
        <f>SUMIFS('📋 Транзакції'!$F$5:$F$3623,'📋 Транзакції'!$B$5:$B$3623,A306,'📋 Транзакції'!$C$5:$C$3623,"&gt;="&amp;EDATE(DATEVALUE(C306&amp;"-01"),11),'📋 Транзакції'!$C$5:$C$3623,"&lt;"&amp;EDATE(DATEVALUE(C306&amp;"-01"),12))</f>
        <v>0</v>
      </c>
    </row>
    <row r="307" ht="15.75" customHeight="1">
      <c r="A307" s="33" t="str">
        <f>'📋 Реєстрації'!A307:A908</f>
        <v>U0793</v>
      </c>
      <c r="B307" s="34">
        <f t="array" ref="B307">INDEX('📋 Транзакції'!$C$5:$C$3623,MATCH(A307,'📋 Транзакції'!$B$5:$B$3623,0))</f>
        <v>45566</v>
      </c>
      <c r="C307" s="35" t="str">
        <f t="shared" si="1"/>
        <v>2024-10</v>
      </c>
      <c r="D307" s="36">
        <f>COUNTIF('📋 Транзакції'!$B$5:$B$3623,A307)</f>
        <v>7</v>
      </c>
      <c r="E307" s="36">
        <f>SUMIF('📋 Транзакції'!$B$5:$B$3623,A307,'📋 Транзакції'!$F$5:$F$3623)</f>
        <v>119.94</v>
      </c>
      <c r="F307" s="35">
        <f>INT($A$1-MAXIFS('📋 Транзакції'!$C$5:$C$3623,'📋 Транзакції'!$B$5:$B$3623,A307))</f>
        <v>24</v>
      </c>
      <c r="G307" s="37">
        <f>IF(COUNTIFS('📋 Транзакції'!$B$5:$B$3623,A307,'📋 Транзакції'!$C$5:$C$3623,"&gt;="&amp;EDATE(DATEVALUE(C307&amp;"-01"),0),'📋 Транзакції'!$C$5:$C$3623,"&lt;"&amp;EDATE(DATEVALUE(C307&amp;"-01"),1))&gt;0,1,0)</f>
        <v>1</v>
      </c>
      <c r="H307" s="37">
        <f>IF(COUNTIFS('📋 Транзакції'!$B$5:$B$3623,A307,'📋 Транзакції'!$C$5:$C$3623,"&gt;="&amp;EDATE(DATEVALUE(C307&amp;"-01"),1),'📋 Транзакції'!$C$5:$C$3623,"&lt;"&amp;EDATE(DATEVALUE(C307&amp;"-01"),2))&gt;0,1,0)</f>
        <v>1</v>
      </c>
      <c r="I307" s="37">
        <f>IF(COUNTIFS('📋 Транзакції'!$B$5:$B$3623,A307,'📋 Транзакції'!$C$5:$C$3623,"&gt;="&amp;EDATE(DATEVALUE(C307&amp;"-01"),2),'📋 Транзакції'!$C$5:$C$3623,"&lt;"&amp;EDATE(DATEVALUE(C307&amp;"-01"),3))&gt;0,1,0)</f>
        <v>1</v>
      </c>
      <c r="J307" s="37">
        <f>IF(COUNTIFS('📋 Транзакції'!$B$5:$B$3623,A307,'📋 Транзакції'!$C$5:$C$3623,"&gt;="&amp;EDATE(DATEVALUE(C307&amp;"-01"),3),'📋 Транзакції'!$C$5:$C$3623,"&lt;"&amp;EDATE(DATEVALUE(C307&amp;"-01"),4))&gt;0,1,0)</f>
        <v>1</v>
      </c>
      <c r="K307" s="37">
        <f>IF(COUNTIFS('📋 Транзакції'!$B$5:$B$3623,A307,'📋 Транзакції'!$C$5:$C$3623,"&gt;="&amp;EDATE(DATEVALUE(C307&amp;"-01"),4),'📋 Транзакції'!$C$5:$C$3623,"&lt;"&amp;EDATE(DATEVALUE(C307&amp;"-01"),5))&gt;0,1,0)</f>
        <v>1</v>
      </c>
      <c r="L307" s="37">
        <f>IF(COUNTIFS('📋 Транзакції'!$B$5:$B$3623,A307,'📋 Транзакції'!$C$5:$C$3623,"&gt;="&amp;EDATE(DATEVALUE(C307&amp;"-01"),5),'📋 Транзакції'!$C$5:$C$3623,"&lt;"&amp;EDATE(DATEVALUE(C307&amp;"-01"),6))&gt;0,1,0)</f>
        <v>1</v>
      </c>
      <c r="M307" s="37">
        <f>IF(COUNTIFS('📋 Транзакції'!$B$5:$B$3623,A307,'📋 Транзакції'!$C$5:$C$3623,"&gt;="&amp;EDATE(DATEVALUE(C307&amp;"-01"),6),'📋 Транзакції'!$C$5:$C$3623,"&lt;"&amp;EDATE(DATEVALUE(C307&amp;"-01"),7))&gt;0,1,0)</f>
        <v>0</v>
      </c>
      <c r="N307" s="37">
        <f>IF(COUNTIFS('📋 Транзакції'!$B$5:$B$3623,A307,'📋 Транзакції'!$C$5:$C$3623,"&gt;="&amp;EDATE(DATEVALUE(C307&amp;"-01"),7),'📋 Транзакції'!$C$5:$C$3623,"&lt;"&amp;EDATE(DATEVALUE(C307&amp;"-01"),8))&gt;0,1,0)</f>
        <v>0</v>
      </c>
      <c r="O307" s="37">
        <f>IF(COUNTIFS('📋 Транзакції'!$B$5:$B$3623,A307,'📋 Транзакції'!$C$5:$C$3623,"&gt;="&amp;EDATE(DATEVALUE(C307&amp;"-01"),8),'📋 Транзакції'!$C$5:$C$3623,"&lt;"&amp;EDATE(DATEVALUE(C307&amp;"-01"),9))&gt;0,1,0)</f>
        <v>0</v>
      </c>
      <c r="P307" s="37">
        <f>IF(COUNTIFS('📋 Транзакції'!$B$5:$B$3623,A307,'📋 Транзакції'!$C$5:$C$3623,"&gt;="&amp;EDATE(DATEVALUE(C307&amp;"-01"),9),'📋 Транзакції'!$C$5:$C$3623,"&lt;"&amp;EDATE(DATEVALUE(C307&amp;"-01"),10))&gt;0,1,0)</f>
        <v>0</v>
      </c>
      <c r="Q307" s="37">
        <f>IF(COUNTIFS('📋 Транзакції'!$B$5:$B$3623,A307,'📋 Транзакції'!$C$5:$C$3623,"&gt;="&amp;EDATE(DATEVALUE(C307&amp;"-01"),10),'📋 Транзакції'!$C$5:$C$3623,"&lt;"&amp;EDATE(DATEVALUE(C307&amp;"-01"),11))&gt;0,1,0)</f>
        <v>0</v>
      </c>
      <c r="R307" s="37">
        <f>IF(COUNTIFS('📋 Транзакції'!$B$5:$B$3623,A307,'📋 Транзакції'!$C$5:$C$3623,"&gt;="&amp;EDATE(DATEVALUE(C307&amp;"-01"),11),'📋 Транзакції'!$C$5:$C$3623,"&lt;"&amp;EDATE(DATEVALUE(C307&amp;"-01"),12))&gt;0,1,0)</f>
        <v>0</v>
      </c>
      <c r="S307" s="37">
        <f>SUMIFS('📋 Транзакції'!$F$5:$F$3623,'📋 Транзакції'!$B$5:$B$3623,A307,'📋 Транзакції'!$C$5:$C$3623,"&gt;="&amp;EDATE(DATEVALUE(C307&amp;"-01"),0),'📋 Транзакції'!$C$5:$C$3623,"&lt;"&amp;EDATE(DATEVALUE(C307&amp;"-01"),1))</f>
        <v>19.99</v>
      </c>
      <c r="T307" s="37">
        <f>SUMIFS('📋 Транзакції'!$F$5:$F$3623,'📋 Транзакції'!$B$5:$B$3623,A307,'📋 Транзакції'!$C$5:$C$3623,"&gt;="&amp;EDATE(DATEVALUE(C307&amp;"-01"),1),'📋 Транзакції'!$C$5:$C$3623,"&lt;"&amp;EDATE(DATEVALUE(C307&amp;"-01"),2))</f>
        <v>19.99</v>
      </c>
      <c r="U307" s="37">
        <f>SUMIFS('📋 Транзакції'!$F$5:$F$3623,'📋 Транзакції'!$B$5:$B$3623,A307,'📋 Транзакції'!$C$5:$C$3623,"&gt;="&amp;EDATE(DATEVALUE(C307&amp;"-01"),2),'📋 Транзакції'!$C$5:$C$3623,"&lt;"&amp;EDATE(DATEVALUE(C307&amp;"-01"),3))</f>
        <v>19.99</v>
      </c>
      <c r="V307" s="37">
        <f>SUMIFS('📋 Транзакції'!$F$5:$F$3623,'📋 Транзакції'!$B$5:$B$3623,A307,'📋 Транзакції'!$C$5:$C$3623,"&gt;="&amp;EDATE(DATEVALUE(C307&amp;"-01"),3),'📋 Транзакції'!$C$5:$C$3623,"&lt;"&amp;EDATE(DATEVALUE(C307&amp;"-01"),4))</f>
        <v>19.99</v>
      </c>
      <c r="W307" s="37">
        <f>SUMIFS('📋 Транзакції'!$F$5:$F$3623,'📋 Транзакції'!$B$5:$B$3623,A307,'📋 Транзакції'!$C$5:$C$3623,"&gt;="&amp;EDATE(DATEVALUE(C307&amp;"-01"),4),'📋 Транзакції'!$C$5:$C$3623,"&lt;"&amp;EDATE(DATEVALUE(C307&amp;"-01"),5))</f>
        <v>19.99</v>
      </c>
      <c r="X307" s="37">
        <f>SUMIFS('📋 Транзакції'!$F$5:$F$3623,'📋 Транзакції'!$B$5:$B$3623,A307,'📋 Транзакції'!$C$5:$C$3623,"&gt;="&amp;EDATE(DATEVALUE(C307&amp;"-01"),5),'📋 Транзакції'!$C$5:$C$3623,"&lt;"&amp;EDATE(DATEVALUE(C307&amp;"-01"),6))</f>
        <v>19.99</v>
      </c>
      <c r="Y307" s="37">
        <f>SUMIFS('📋 Транзакції'!$F$5:$F$3623,'📋 Транзакції'!$B$5:$B$3623,A307,'📋 Транзакції'!$C$5:$C$3623,"&gt;="&amp;EDATE(DATEVALUE(C307&amp;"-01"),6),'📋 Транзакції'!$C$5:$C$3623,"&lt;"&amp;EDATE(DATEVALUE(C307&amp;"-01"),7))</f>
        <v>0</v>
      </c>
      <c r="Z307" s="37">
        <f>SUMIFS('📋 Транзакції'!$F$5:$F$3623,'📋 Транзакції'!$B$5:$B$3623,A307,'📋 Транзакції'!$C$5:$C$3623,"&gt;="&amp;EDATE(DATEVALUE(C307&amp;"-01"),7),'📋 Транзакції'!$C$5:$C$3623,"&lt;"&amp;EDATE(DATEVALUE(C307&amp;"-01"),8))</f>
        <v>0</v>
      </c>
      <c r="AA307" s="37">
        <f>SUMIFS('📋 Транзакції'!$F$5:$F$3623,'📋 Транзакції'!$B$5:$B$3623,A307,'📋 Транзакції'!$C$5:$C$3623,"&gt;="&amp;EDATE(DATEVALUE(C307&amp;"-01"),8),'📋 Транзакції'!$C$5:$C$3623,"&lt;"&amp;EDATE(DATEVALUE(C307&amp;"-01"),9))</f>
        <v>0</v>
      </c>
      <c r="AB307" s="37">
        <f>SUMIFS('📋 Транзакції'!$F$5:$F$3623,'📋 Транзакції'!$B$5:$B$3623,A307,'📋 Транзакції'!$C$5:$C$3623,"&gt;="&amp;EDATE(DATEVALUE(C307&amp;"-01"),9),'📋 Транзакції'!$C$5:$C$3623,"&lt;"&amp;EDATE(DATEVALUE(C307&amp;"-01"),10))</f>
        <v>0</v>
      </c>
      <c r="AC307" s="37">
        <f>SUMIFS('📋 Транзакції'!$F$5:$F$3623,'📋 Транзакції'!$B$5:$B$3623,A307,'📋 Транзакції'!$C$5:$C$3623,"&gt;="&amp;EDATE(DATEVALUE(C307&amp;"-01"),10),'📋 Транзакції'!$C$5:$C$3623,"&lt;"&amp;EDATE(DATEVALUE(C307&amp;"-01"),11))</f>
        <v>0</v>
      </c>
      <c r="AD307" s="37">
        <f>SUMIFS('📋 Транзакції'!$F$5:$F$3623,'📋 Транзакції'!$B$5:$B$3623,A307,'📋 Транзакції'!$C$5:$C$3623,"&gt;="&amp;EDATE(DATEVALUE(C307&amp;"-01"),11),'📋 Транзакції'!$C$5:$C$3623,"&lt;"&amp;EDATE(DATEVALUE(C307&amp;"-01"),12))</f>
        <v>0</v>
      </c>
    </row>
    <row r="308" ht="15.75" customHeight="1">
      <c r="A308" s="33" t="str">
        <f>'📋 Реєстрації'!A308:A909</f>
        <v>U0264</v>
      </c>
      <c r="B308" s="34">
        <f t="array" ref="B308">INDEX('📋 Транзакції'!$C$5:$C$3623,MATCH(A308,'📋 Транзакції'!$B$5:$B$3623,0))</f>
        <v>45568</v>
      </c>
      <c r="C308" s="35" t="str">
        <f t="shared" si="1"/>
        <v>2024-10</v>
      </c>
      <c r="D308" s="36">
        <f>COUNTIF('📋 Транзакції'!$B$5:$B$3623,A308)</f>
        <v>7</v>
      </c>
      <c r="E308" s="36">
        <f>SUMIF('📋 Транзакції'!$B$5:$B$3623,A308,'📋 Транзакції'!$F$5:$F$3623)</f>
        <v>119.94</v>
      </c>
      <c r="F308" s="35">
        <f>INT($A$1-MAXIFS('📋 Транзакції'!$C$5:$C$3623,'📋 Транзакції'!$B$5:$B$3623,A308))</f>
        <v>22</v>
      </c>
      <c r="G308" s="37">
        <f>IF(COUNTIFS('📋 Транзакції'!$B$5:$B$3623,A308,'📋 Транзакції'!$C$5:$C$3623,"&gt;="&amp;EDATE(DATEVALUE(C308&amp;"-01"),0),'📋 Транзакції'!$C$5:$C$3623,"&lt;"&amp;EDATE(DATEVALUE(C308&amp;"-01"),1))&gt;0,1,0)</f>
        <v>1</v>
      </c>
      <c r="H308" s="37">
        <f>IF(COUNTIFS('📋 Транзакції'!$B$5:$B$3623,A308,'📋 Транзакції'!$C$5:$C$3623,"&gt;="&amp;EDATE(DATEVALUE(C308&amp;"-01"),1),'📋 Транзакції'!$C$5:$C$3623,"&lt;"&amp;EDATE(DATEVALUE(C308&amp;"-01"),2))&gt;0,1,0)</f>
        <v>1</v>
      </c>
      <c r="I308" s="37">
        <f>IF(COUNTIFS('📋 Транзакції'!$B$5:$B$3623,A308,'📋 Транзакції'!$C$5:$C$3623,"&gt;="&amp;EDATE(DATEVALUE(C308&amp;"-01"),2),'📋 Транзакції'!$C$5:$C$3623,"&lt;"&amp;EDATE(DATEVALUE(C308&amp;"-01"),3))&gt;0,1,0)</f>
        <v>1</v>
      </c>
      <c r="J308" s="37">
        <f>IF(COUNTIFS('📋 Транзакції'!$B$5:$B$3623,A308,'📋 Транзакції'!$C$5:$C$3623,"&gt;="&amp;EDATE(DATEVALUE(C308&amp;"-01"),3),'📋 Транзакції'!$C$5:$C$3623,"&lt;"&amp;EDATE(DATEVALUE(C308&amp;"-01"),4))&gt;0,1,0)</f>
        <v>1</v>
      </c>
      <c r="K308" s="37">
        <f>IF(COUNTIFS('📋 Транзакції'!$B$5:$B$3623,A308,'📋 Транзакції'!$C$5:$C$3623,"&gt;="&amp;EDATE(DATEVALUE(C308&amp;"-01"),4),'📋 Транзакції'!$C$5:$C$3623,"&lt;"&amp;EDATE(DATEVALUE(C308&amp;"-01"),5))&gt;0,1,0)</f>
        <v>1</v>
      </c>
      <c r="L308" s="37">
        <f>IF(COUNTIFS('📋 Транзакції'!$B$5:$B$3623,A308,'📋 Транзакції'!$C$5:$C$3623,"&gt;="&amp;EDATE(DATEVALUE(C308&amp;"-01"),5),'📋 Транзакції'!$C$5:$C$3623,"&lt;"&amp;EDATE(DATEVALUE(C308&amp;"-01"),6))&gt;0,1,0)</f>
        <v>1</v>
      </c>
      <c r="M308" s="37">
        <f>IF(COUNTIFS('📋 Транзакції'!$B$5:$B$3623,A308,'📋 Транзакції'!$C$5:$C$3623,"&gt;="&amp;EDATE(DATEVALUE(C308&amp;"-01"),6),'📋 Транзакції'!$C$5:$C$3623,"&lt;"&amp;EDATE(DATEVALUE(C308&amp;"-01"),7))&gt;0,1,0)</f>
        <v>0</v>
      </c>
      <c r="N308" s="37">
        <f>IF(COUNTIFS('📋 Транзакції'!$B$5:$B$3623,A308,'📋 Транзакції'!$C$5:$C$3623,"&gt;="&amp;EDATE(DATEVALUE(C308&amp;"-01"),7),'📋 Транзакції'!$C$5:$C$3623,"&lt;"&amp;EDATE(DATEVALUE(C308&amp;"-01"),8))&gt;0,1,0)</f>
        <v>0</v>
      </c>
      <c r="O308" s="37">
        <f>IF(COUNTIFS('📋 Транзакції'!$B$5:$B$3623,A308,'📋 Транзакції'!$C$5:$C$3623,"&gt;="&amp;EDATE(DATEVALUE(C308&amp;"-01"),8),'📋 Транзакції'!$C$5:$C$3623,"&lt;"&amp;EDATE(DATEVALUE(C308&amp;"-01"),9))&gt;0,1,0)</f>
        <v>0</v>
      </c>
      <c r="P308" s="37">
        <f>IF(COUNTIFS('📋 Транзакції'!$B$5:$B$3623,A308,'📋 Транзакції'!$C$5:$C$3623,"&gt;="&amp;EDATE(DATEVALUE(C308&amp;"-01"),9),'📋 Транзакції'!$C$5:$C$3623,"&lt;"&amp;EDATE(DATEVALUE(C308&amp;"-01"),10))&gt;0,1,0)</f>
        <v>0</v>
      </c>
      <c r="Q308" s="37">
        <f>IF(COUNTIFS('📋 Транзакції'!$B$5:$B$3623,A308,'📋 Транзакції'!$C$5:$C$3623,"&gt;="&amp;EDATE(DATEVALUE(C308&amp;"-01"),10),'📋 Транзакції'!$C$5:$C$3623,"&lt;"&amp;EDATE(DATEVALUE(C308&amp;"-01"),11))&gt;0,1,0)</f>
        <v>0</v>
      </c>
      <c r="R308" s="37">
        <f>IF(COUNTIFS('📋 Транзакції'!$B$5:$B$3623,A308,'📋 Транзакції'!$C$5:$C$3623,"&gt;="&amp;EDATE(DATEVALUE(C308&amp;"-01"),11),'📋 Транзакції'!$C$5:$C$3623,"&lt;"&amp;EDATE(DATEVALUE(C308&amp;"-01"),12))&gt;0,1,0)</f>
        <v>0</v>
      </c>
      <c r="S308" s="37">
        <f>SUMIFS('📋 Транзакції'!$F$5:$F$3623,'📋 Транзакції'!$B$5:$B$3623,A308,'📋 Транзакції'!$C$5:$C$3623,"&gt;="&amp;EDATE(DATEVALUE(C308&amp;"-01"),0),'📋 Транзакції'!$C$5:$C$3623,"&lt;"&amp;EDATE(DATEVALUE(C308&amp;"-01"),1))</f>
        <v>19.99</v>
      </c>
      <c r="T308" s="37">
        <f>SUMIFS('📋 Транзакції'!$F$5:$F$3623,'📋 Транзакції'!$B$5:$B$3623,A308,'📋 Транзакції'!$C$5:$C$3623,"&gt;="&amp;EDATE(DATEVALUE(C308&amp;"-01"),1),'📋 Транзакції'!$C$5:$C$3623,"&lt;"&amp;EDATE(DATEVALUE(C308&amp;"-01"),2))</f>
        <v>19.99</v>
      </c>
      <c r="U308" s="37">
        <f>SUMIFS('📋 Транзакції'!$F$5:$F$3623,'📋 Транзакції'!$B$5:$B$3623,A308,'📋 Транзакції'!$C$5:$C$3623,"&gt;="&amp;EDATE(DATEVALUE(C308&amp;"-01"),2),'📋 Транзакції'!$C$5:$C$3623,"&lt;"&amp;EDATE(DATEVALUE(C308&amp;"-01"),3))</f>
        <v>19.99</v>
      </c>
      <c r="V308" s="37">
        <f>SUMIFS('📋 Транзакції'!$F$5:$F$3623,'📋 Транзакції'!$B$5:$B$3623,A308,'📋 Транзакції'!$C$5:$C$3623,"&gt;="&amp;EDATE(DATEVALUE(C308&amp;"-01"),3),'📋 Транзакції'!$C$5:$C$3623,"&lt;"&amp;EDATE(DATEVALUE(C308&amp;"-01"),4))</f>
        <v>19.99</v>
      </c>
      <c r="W308" s="37">
        <f>SUMIFS('📋 Транзакції'!$F$5:$F$3623,'📋 Транзакції'!$B$5:$B$3623,A308,'📋 Транзакції'!$C$5:$C$3623,"&gt;="&amp;EDATE(DATEVALUE(C308&amp;"-01"),4),'📋 Транзакції'!$C$5:$C$3623,"&lt;"&amp;EDATE(DATEVALUE(C308&amp;"-01"),5))</f>
        <v>19.99</v>
      </c>
      <c r="X308" s="37">
        <f>SUMIFS('📋 Транзакції'!$F$5:$F$3623,'📋 Транзакції'!$B$5:$B$3623,A308,'📋 Транзакції'!$C$5:$C$3623,"&gt;="&amp;EDATE(DATEVALUE(C308&amp;"-01"),5),'📋 Транзакції'!$C$5:$C$3623,"&lt;"&amp;EDATE(DATEVALUE(C308&amp;"-01"),6))</f>
        <v>19.99</v>
      </c>
      <c r="Y308" s="37">
        <f>SUMIFS('📋 Транзакції'!$F$5:$F$3623,'📋 Транзакції'!$B$5:$B$3623,A308,'📋 Транзакції'!$C$5:$C$3623,"&gt;="&amp;EDATE(DATEVALUE(C308&amp;"-01"),6),'📋 Транзакції'!$C$5:$C$3623,"&lt;"&amp;EDATE(DATEVALUE(C308&amp;"-01"),7))</f>
        <v>0</v>
      </c>
      <c r="Z308" s="37">
        <f>SUMIFS('📋 Транзакції'!$F$5:$F$3623,'📋 Транзакції'!$B$5:$B$3623,A308,'📋 Транзакції'!$C$5:$C$3623,"&gt;="&amp;EDATE(DATEVALUE(C308&amp;"-01"),7),'📋 Транзакції'!$C$5:$C$3623,"&lt;"&amp;EDATE(DATEVALUE(C308&amp;"-01"),8))</f>
        <v>0</v>
      </c>
      <c r="AA308" s="37">
        <f>SUMIFS('📋 Транзакції'!$F$5:$F$3623,'📋 Транзакції'!$B$5:$B$3623,A308,'📋 Транзакції'!$C$5:$C$3623,"&gt;="&amp;EDATE(DATEVALUE(C308&amp;"-01"),8),'📋 Транзакції'!$C$5:$C$3623,"&lt;"&amp;EDATE(DATEVALUE(C308&amp;"-01"),9))</f>
        <v>0</v>
      </c>
      <c r="AB308" s="37">
        <f>SUMIFS('📋 Транзакції'!$F$5:$F$3623,'📋 Транзакції'!$B$5:$B$3623,A308,'📋 Транзакції'!$C$5:$C$3623,"&gt;="&amp;EDATE(DATEVALUE(C308&amp;"-01"),9),'📋 Транзакції'!$C$5:$C$3623,"&lt;"&amp;EDATE(DATEVALUE(C308&amp;"-01"),10))</f>
        <v>0</v>
      </c>
      <c r="AC308" s="37">
        <f>SUMIFS('📋 Транзакції'!$F$5:$F$3623,'📋 Транзакції'!$B$5:$B$3623,A308,'📋 Транзакції'!$C$5:$C$3623,"&gt;="&amp;EDATE(DATEVALUE(C308&amp;"-01"),10),'📋 Транзакції'!$C$5:$C$3623,"&lt;"&amp;EDATE(DATEVALUE(C308&amp;"-01"),11))</f>
        <v>0</v>
      </c>
      <c r="AD308" s="37">
        <f>SUMIFS('📋 Транзакції'!$F$5:$F$3623,'📋 Транзакції'!$B$5:$B$3623,A308,'📋 Транзакції'!$C$5:$C$3623,"&gt;="&amp;EDATE(DATEVALUE(C308&amp;"-01"),11),'📋 Транзакції'!$C$5:$C$3623,"&lt;"&amp;EDATE(DATEVALUE(C308&amp;"-01"),12))</f>
        <v>0</v>
      </c>
    </row>
    <row r="309" ht="15.75" customHeight="1">
      <c r="A309" s="33" t="str">
        <f>'📋 Реєстрації'!A309:A910</f>
        <v>U0302</v>
      </c>
      <c r="B309" s="34">
        <f t="array" ref="B309">INDEX('📋 Транзакції'!$C$5:$C$3623,MATCH(A309,'📋 Транзакції'!$B$5:$B$3623,0))</f>
        <v>45568</v>
      </c>
      <c r="C309" s="35" t="str">
        <f t="shared" si="1"/>
        <v>2024-10</v>
      </c>
      <c r="D309" s="36">
        <f>COUNTIF('📋 Транзакції'!$B$5:$B$3623,A309)</f>
        <v>5</v>
      </c>
      <c r="E309" s="36">
        <f>SUMIF('📋 Транзакції'!$B$5:$B$3623,A309,'📋 Транзакції'!$F$5:$F$3623)</f>
        <v>79.96</v>
      </c>
      <c r="F309" s="35">
        <f>INT($A$1-MAXIFS('📋 Транзакції'!$C$5:$C$3623,'📋 Транзакції'!$B$5:$B$3623,A309))</f>
        <v>82</v>
      </c>
      <c r="G309" s="37">
        <f>IF(COUNTIFS('📋 Транзакції'!$B$5:$B$3623,A309,'📋 Транзакції'!$C$5:$C$3623,"&gt;="&amp;EDATE(DATEVALUE(C309&amp;"-01"),0),'📋 Транзакції'!$C$5:$C$3623,"&lt;"&amp;EDATE(DATEVALUE(C309&amp;"-01"),1))&gt;0,1,0)</f>
        <v>1</v>
      </c>
      <c r="H309" s="37">
        <f>IF(COUNTIFS('📋 Транзакції'!$B$5:$B$3623,A309,'📋 Транзакції'!$C$5:$C$3623,"&gt;="&amp;EDATE(DATEVALUE(C309&amp;"-01"),1),'📋 Транзакції'!$C$5:$C$3623,"&lt;"&amp;EDATE(DATEVALUE(C309&amp;"-01"),2))&gt;0,1,0)</f>
        <v>1</v>
      </c>
      <c r="I309" s="37">
        <f>IF(COUNTIFS('📋 Транзакції'!$B$5:$B$3623,A309,'📋 Транзакції'!$C$5:$C$3623,"&gt;="&amp;EDATE(DATEVALUE(C309&amp;"-01"),2),'📋 Транзакції'!$C$5:$C$3623,"&lt;"&amp;EDATE(DATEVALUE(C309&amp;"-01"),3))&gt;0,1,0)</f>
        <v>1</v>
      </c>
      <c r="J309" s="37">
        <f>IF(COUNTIFS('📋 Транзакції'!$B$5:$B$3623,A309,'📋 Транзакції'!$C$5:$C$3623,"&gt;="&amp;EDATE(DATEVALUE(C309&amp;"-01"),3),'📋 Транзакції'!$C$5:$C$3623,"&lt;"&amp;EDATE(DATEVALUE(C309&amp;"-01"),4))&gt;0,1,0)</f>
        <v>1</v>
      </c>
      <c r="K309" s="37">
        <f>IF(COUNTIFS('📋 Транзакції'!$B$5:$B$3623,A309,'📋 Транзакції'!$C$5:$C$3623,"&gt;="&amp;EDATE(DATEVALUE(C309&amp;"-01"),4),'📋 Транзакції'!$C$5:$C$3623,"&lt;"&amp;EDATE(DATEVALUE(C309&amp;"-01"),5))&gt;0,1,0)</f>
        <v>0</v>
      </c>
      <c r="L309" s="37">
        <f>IF(COUNTIFS('📋 Транзакції'!$B$5:$B$3623,A309,'📋 Транзакції'!$C$5:$C$3623,"&gt;="&amp;EDATE(DATEVALUE(C309&amp;"-01"),5),'📋 Транзакції'!$C$5:$C$3623,"&lt;"&amp;EDATE(DATEVALUE(C309&amp;"-01"),6))&gt;0,1,0)</f>
        <v>0</v>
      </c>
      <c r="M309" s="37">
        <f>IF(COUNTIFS('📋 Транзакції'!$B$5:$B$3623,A309,'📋 Транзакції'!$C$5:$C$3623,"&gt;="&amp;EDATE(DATEVALUE(C309&amp;"-01"),6),'📋 Транзакції'!$C$5:$C$3623,"&lt;"&amp;EDATE(DATEVALUE(C309&amp;"-01"),7))&gt;0,1,0)</f>
        <v>0</v>
      </c>
      <c r="N309" s="37">
        <f>IF(COUNTIFS('📋 Транзакції'!$B$5:$B$3623,A309,'📋 Транзакції'!$C$5:$C$3623,"&gt;="&amp;EDATE(DATEVALUE(C309&amp;"-01"),7),'📋 Транзакції'!$C$5:$C$3623,"&lt;"&amp;EDATE(DATEVALUE(C309&amp;"-01"),8))&gt;0,1,0)</f>
        <v>0</v>
      </c>
      <c r="O309" s="37">
        <f>IF(COUNTIFS('📋 Транзакції'!$B$5:$B$3623,A309,'📋 Транзакції'!$C$5:$C$3623,"&gt;="&amp;EDATE(DATEVALUE(C309&amp;"-01"),8),'📋 Транзакції'!$C$5:$C$3623,"&lt;"&amp;EDATE(DATEVALUE(C309&amp;"-01"),9))&gt;0,1,0)</f>
        <v>0</v>
      </c>
      <c r="P309" s="37">
        <f>IF(COUNTIFS('📋 Транзакції'!$B$5:$B$3623,A309,'📋 Транзакції'!$C$5:$C$3623,"&gt;="&amp;EDATE(DATEVALUE(C309&amp;"-01"),9),'📋 Транзакції'!$C$5:$C$3623,"&lt;"&amp;EDATE(DATEVALUE(C309&amp;"-01"),10))&gt;0,1,0)</f>
        <v>0</v>
      </c>
      <c r="Q309" s="37">
        <f>IF(COUNTIFS('📋 Транзакції'!$B$5:$B$3623,A309,'📋 Транзакції'!$C$5:$C$3623,"&gt;="&amp;EDATE(DATEVALUE(C309&amp;"-01"),10),'📋 Транзакції'!$C$5:$C$3623,"&lt;"&amp;EDATE(DATEVALUE(C309&amp;"-01"),11))&gt;0,1,0)</f>
        <v>0</v>
      </c>
      <c r="R309" s="37">
        <f>IF(COUNTIFS('📋 Транзакції'!$B$5:$B$3623,A309,'📋 Транзакції'!$C$5:$C$3623,"&gt;="&amp;EDATE(DATEVALUE(C309&amp;"-01"),11),'📋 Транзакції'!$C$5:$C$3623,"&lt;"&amp;EDATE(DATEVALUE(C309&amp;"-01"),12))&gt;0,1,0)</f>
        <v>0</v>
      </c>
      <c r="S309" s="37">
        <f>SUMIFS('📋 Транзакції'!$F$5:$F$3623,'📋 Транзакції'!$B$5:$B$3623,A309,'📋 Транзакції'!$C$5:$C$3623,"&gt;="&amp;EDATE(DATEVALUE(C309&amp;"-01"),0),'📋 Транзакції'!$C$5:$C$3623,"&lt;"&amp;EDATE(DATEVALUE(C309&amp;"-01"),1))</f>
        <v>19.99</v>
      </c>
      <c r="T309" s="37">
        <f>SUMIFS('📋 Транзакції'!$F$5:$F$3623,'📋 Транзакції'!$B$5:$B$3623,A309,'📋 Транзакції'!$C$5:$C$3623,"&gt;="&amp;EDATE(DATEVALUE(C309&amp;"-01"),1),'📋 Транзакції'!$C$5:$C$3623,"&lt;"&amp;EDATE(DATEVALUE(C309&amp;"-01"),2))</f>
        <v>19.99</v>
      </c>
      <c r="U309" s="37">
        <f>SUMIFS('📋 Транзакції'!$F$5:$F$3623,'📋 Транзакції'!$B$5:$B$3623,A309,'📋 Транзакції'!$C$5:$C$3623,"&gt;="&amp;EDATE(DATEVALUE(C309&amp;"-01"),2),'📋 Транзакції'!$C$5:$C$3623,"&lt;"&amp;EDATE(DATEVALUE(C309&amp;"-01"),3))</f>
        <v>19.99</v>
      </c>
      <c r="V309" s="37">
        <f>SUMIFS('📋 Транзакції'!$F$5:$F$3623,'📋 Транзакції'!$B$5:$B$3623,A309,'📋 Транзакції'!$C$5:$C$3623,"&gt;="&amp;EDATE(DATEVALUE(C309&amp;"-01"),3),'📋 Транзакції'!$C$5:$C$3623,"&lt;"&amp;EDATE(DATEVALUE(C309&amp;"-01"),4))</f>
        <v>19.99</v>
      </c>
      <c r="W309" s="37">
        <f>SUMIFS('📋 Транзакції'!$F$5:$F$3623,'📋 Транзакції'!$B$5:$B$3623,A309,'📋 Транзакції'!$C$5:$C$3623,"&gt;="&amp;EDATE(DATEVALUE(C309&amp;"-01"),4),'📋 Транзакції'!$C$5:$C$3623,"&lt;"&amp;EDATE(DATEVALUE(C309&amp;"-01"),5))</f>
        <v>0</v>
      </c>
      <c r="X309" s="37">
        <f>SUMIFS('📋 Транзакції'!$F$5:$F$3623,'📋 Транзакції'!$B$5:$B$3623,A309,'📋 Транзакції'!$C$5:$C$3623,"&gt;="&amp;EDATE(DATEVALUE(C309&amp;"-01"),5),'📋 Транзакції'!$C$5:$C$3623,"&lt;"&amp;EDATE(DATEVALUE(C309&amp;"-01"),6))</f>
        <v>0</v>
      </c>
      <c r="Y309" s="37">
        <f>SUMIFS('📋 Транзакції'!$F$5:$F$3623,'📋 Транзакції'!$B$5:$B$3623,A309,'📋 Транзакції'!$C$5:$C$3623,"&gt;="&amp;EDATE(DATEVALUE(C309&amp;"-01"),6),'📋 Транзакції'!$C$5:$C$3623,"&lt;"&amp;EDATE(DATEVALUE(C309&amp;"-01"),7))</f>
        <v>0</v>
      </c>
      <c r="Z309" s="37">
        <f>SUMIFS('📋 Транзакції'!$F$5:$F$3623,'📋 Транзакції'!$B$5:$B$3623,A309,'📋 Транзакції'!$C$5:$C$3623,"&gt;="&amp;EDATE(DATEVALUE(C309&amp;"-01"),7),'📋 Транзакції'!$C$5:$C$3623,"&lt;"&amp;EDATE(DATEVALUE(C309&amp;"-01"),8))</f>
        <v>0</v>
      </c>
      <c r="AA309" s="37">
        <f>SUMIFS('📋 Транзакції'!$F$5:$F$3623,'📋 Транзакції'!$B$5:$B$3623,A309,'📋 Транзакції'!$C$5:$C$3623,"&gt;="&amp;EDATE(DATEVALUE(C309&amp;"-01"),8),'📋 Транзакції'!$C$5:$C$3623,"&lt;"&amp;EDATE(DATEVALUE(C309&amp;"-01"),9))</f>
        <v>0</v>
      </c>
      <c r="AB309" s="37">
        <f>SUMIFS('📋 Транзакції'!$F$5:$F$3623,'📋 Транзакції'!$B$5:$B$3623,A309,'📋 Транзакції'!$C$5:$C$3623,"&gt;="&amp;EDATE(DATEVALUE(C309&amp;"-01"),9),'📋 Транзакції'!$C$5:$C$3623,"&lt;"&amp;EDATE(DATEVALUE(C309&amp;"-01"),10))</f>
        <v>0</v>
      </c>
      <c r="AC309" s="37">
        <f>SUMIFS('📋 Транзакції'!$F$5:$F$3623,'📋 Транзакції'!$B$5:$B$3623,A309,'📋 Транзакції'!$C$5:$C$3623,"&gt;="&amp;EDATE(DATEVALUE(C309&amp;"-01"),10),'📋 Транзакції'!$C$5:$C$3623,"&lt;"&amp;EDATE(DATEVALUE(C309&amp;"-01"),11))</f>
        <v>0</v>
      </c>
      <c r="AD309" s="37">
        <f>SUMIFS('📋 Транзакції'!$F$5:$F$3623,'📋 Транзакції'!$B$5:$B$3623,A309,'📋 Транзакції'!$C$5:$C$3623,"&gt;="&amp;EDATE(DATEVALUE(C309&amp;"-01"),11),'📋 Транзакції'!$C$5:$C$3623,"&lt;"&amp;EDATE(DATEVALUE(C309&amp;"-01"),12))</f>
        <v>0</v>
      </c>
    </row>
    <row r="310" ht="15.75" customHeight="1">
      <c r="A310" s="33" t="str">
        <f>'📋 Реєстрації'!A310:A911</f>
        <v>U0650</v>
      </c>
      <c r="B310" s="34">
        <f t="array" ref="B310">INDEX('📋 Транзакції'!$C$5:$C$3623,MATCH(A310,'📋 Транзакції'!$B$5:$B$3623,0))</f>
        <v>45568</v>
      </c>
      <c r="C310" s="35" t="str">
        <f t="shared" si="1"/>
        <v>2024-10</v>
      </c>
      <c r="D310" s="36">
        <f>COUNTIF('📋 Транзакції'!$B$5:$B$3623,A310)</f>
        <v>7</v>
      </c>
      <c r="E310" s="36">
        <f>SUMIF('📋 Транзакції'!$B$5:$B$3623,A310,'📋 Транзакції'!$F$5:$F$3623)</f>
        <v>119.94</v>
      </c>
      <c r="F310" s="35">
        <f>INT($A$1-MAXIFS('📋 Транзакції'!$C$5:$C$3623,'📋 Транзакції'!$B$5:$B$3623,A310))</f>
        <v>22</v>
      </c>
      <c r="G310" s="37">
        <f>IF(COUNTIFS('📋 Транзакції'!$B$5:$B$3623,A310,'📋 Транзакції'!$C$5:$C$3623,"&gt;="&amp;EDATE(DATEVALUE(C310&amp;"-01"),0),'📋 Транзакції'!$C$5:$C$3623,"&lt;"&amp;EDATE(DATEVALUE(C310&amp;"-01"),1))&gt;0,1,0)</f>
        <v>1</v>
      </c>
      <c r="H310" s="37">
        <f>IF(COUNTIFS('📋 Транзакції'!$B$5:$B$3623,A310,'📋 Транзакції'!$C$5:$C$3623,"&gt;="&amp;EDATE(DATEVALUE(C310&amp;"-01"),1),'📋 Транзакції'!$C$5:$C$3623,"&lt;"&amp;EDATE(DATEVALUE(C310&amp;"-01"),2))&gt;0,1,0)</f>
        <v>1</v>
      </c>
      <c r="I310" s="37">
        <f>IF(COUNTIFS('📋 Транзакції'!$B$5:$B$3623,A310,'📋 Транзакції'!$C$5:$C$3623,"&gt;="&amp;EDATE(DATEVALUE(C310&amp;"-01"),2),'📋 Транзакції'!$C$5:$C$3623,"&lt;"&amp;EDATE(DATEVALUE(C310&amp;"-01"),3))&gt;0,1,0)</f>
        <v>1</v>
      </c>
      <c r="J310" s="37">
        <f>IF(COUNTIFS('📋 Транзакції'!$B$5:$B$3623,A310,'📋 Транзакції'!$C$5:$C$3623,"&gt;="&amp;EDATE(DATEVALUE(C310&amp;"-01"),3),'📋 Транзакції'!$C$5:$C$3623,"&lt;"&amp;EDATE(DATEVALUE(C310&amp;"-01"),4))&gt;0,1,0)</f>
        <v>1</v>
      </c>
      <c r="K310" s="37">
        <f>IF(COUNTIFS('📋 Транзакції'!$B$5:$B$3623,A310,'📋 Транзакції'!$C$5:$C$3623,"&gt;="&amp;EDATE(DATEVALUE(C310&amp;"-01"),4),'📋 Транзакції'!$C$5:$C$3623,"&lt;"&amp;EDATE(DATEVALUE(C310&amp;"-01"),5))&gt;0,1,0)</f>
        <v>1</v>
      </c>
      <c r="L310" s="37">
        <f>IF(COUNTIFS('📋 Транзакції'!$B$5:$B$3623,A310,'📋 Транзакції'!$C$5:$C$3623,"&gt;="&amp;EDATE(DATEVALUE(C310&amp;"-01"),5),'📋 Транзакції'!$C$5:$C$3623,"&lt;"&amp;EDATE(DATEVALUE(C310&amp;"-01"),6))&gt;0,1,0)</f>
        <v>1</v>
      </c>
      <c r="M310" s="37">
        <f>IF(COUNTIFS('📋 Транзакції'!$B$5:$B$3623,A310,'📋 Транзакції'!$C$5:$C$3623,"&gt;="&amp;EDATE(DATEVALUE(C310&amp;"-01"),6),'📋 Транзакції'!$C$5:$C$3623,"&lt;"&amp;EDATE(DATEVALUE(C310&amp;"-01"),7))&gt;0,1,0)</f>
        <v>0</v>
      </c>
      <c r="N310" s="37">
        <f>IF(COUNTIFS('📋 Транзакції'!$B$5:$B$3623,A310,'📋 Транзакції'!$C$5:$C$3623,"&gt;="&amp;EDATE(DATEVALUE(C310&amp;"-01"),7),'📋 Транзакції'!$C$5:$C$3623,"&lt;"&amp;EDATE(DATEVALUE(C310&amp;"-01"),8))&gt;0,1,0)</f>
        <v>0</v>
      </c>
      <c r="O310" s="37">
        <f>IF(COUNTIFS('📋 Транзакції'!$B$5:$B$3623,A310,'📋 Транзакції'!$C$5:$C$3623,"&gt;="&amp;EDATE(DATEVALUE(C310&amp;"-01"),8),'📋 Транзакції'!$C$5:$C$3623,"&lt;"&amp;EDATE(DATEVALUE(C310&amp;"-01"),9))&gt;0,1,0)</f>
        <v>0</v>
      </c>
      <c r="P310" s="37">
        <f>IF(COUNTIFS('📋 Транзакції'!$B$5:$B$3623,A310,'📋 Транзакції'!$C$5:$C$3623,"&gt;="&amp;EDATE(DATEVALUE(C310&amp;"-01"),9),'📋 Транзакції'!$C$5:$C$3623,"&lt;"&amp;EDATE(DATEVALUE(C310&amp;"-01"),10))&gt;0,1,0)</f>
        <v>0</v>
      </c>
      <c r="Q310" s="37">
        <f>IF(COUNTIFS('📋 Транзакції'!$B$5:$B$3623,A310,'📋 Транзакції'!$C$5:$C$3623,"&gt;="&amp;EDATE(DATEVALUE(C310&amp;"-01"),10),'📋 Транзакції'!$C$5:$C$3623,"&lt;"&amp;EDATE(DATEVALUE(C310&amp;"-01"),11))&gt;0,1,0)</f>
        <v>0</v>
      </c>
      <c r="R310" s="37">
        <f>IF(COUNTIFS('📋 Транзакції'!$B$5:$B$3623,A310,'📋 Транзакції'!$C$5:$C$3623,"&gt;="&amp;EDATE(DATEVALUE(C310&amp;"-01"),11),'📋 Транзакції'!$C$5:$C$3623,"&lt;"&amp;EDATE(DATEVALUE(C310&amp;"-01"),12))&gt;0,1,0)</f>
        <v>0</v>
      </c>
      <c r="S310" s="37">
        <f>SUMIFS('📋 Транзакції'!$F$5:$F$3623,'📋 Транзакції'!$B$5:$B$3623,A310,'📋 Транзакції'!$C$5:$C$3623,"&gt;="&amp;EDATE(DATEVALUE(C310&amp;"-01"),0),'📋 Транзакції'!$C$5:$C$3623,"&lt;"&amp;EDATE(DATEVALUE(C310&amp;"-01"),1))</f>
        <v>19.99</v>
      </c>
      <c r="T310" s="37">
        <f>SUMIFS('📋 Транзакції'!$F$5:$F$3623,'📋 Транзакції'!$B$5:$B$3623,A310,'📋 Транзакції'!$C$5:$C$3623,"&gt;="&amp;EDATE(DATEVALUE(C310&amp;"-01"),1),'📋 Транзакції'!$C$5:$C$3623,"&lt;"&amp;EDATE(DATEVALUE(C310&amp;"-01"),2))</f>
        <v>19.99</v>
      </c>
      <c r="U310" s="37">
        <f>SUMIFS('📋 Транзакції'!$F$5:$F$3623,'📋 Транзакції'!$B$5:$B$3623,A310,'📋 Транзакції'!$C$5:$C$3623,"&gt;="&amp;EDATE(DATEVALUE(C310&amp;"-01"),2),'📋 Транзакції'!$C$5:$C$3623,"&lt;"&amp;EDATE(DATEVALUE(C310&amp;"-01"),3))</f>
        <v>19.99</v>
      </c>
      <c r="V310" s="37">
        <f>SUMIFS('📋 Транзакції'!$F$5:$F$3623,'📋 Транзакції'!$B$5:$B$3623,A310,'📋 Транзакції'!$C$5:$C$3623,"&gt;="&amp;EDATE(DATEVALUE(C310&amp;"-01"),3),'📋 Транзакції'!$C$5:$C$3623,"&lt;"&amp;EDATE(DATEVALUE(C310&amp;"-01"),4))</f>
        <v>19.99</v>
      </c>
      <c r="W310" s="37">
        <f>SUMIFS('📋 Транзакції'!$F$5:$F$3623,'📋 Транзакції'!$B$5:$B$3623,A310,'📋 Транзакції'!$C$5:$C$3623,"&gt;="&amp;EDATE(DATEVALUE(C310&amp;"-01"),4),'📋 Транзакції'!$C$5:$C$3623,"&lt;"&amp;EDATE(DATEVALUE(C310&amp;"-01"),5))</f>
        <v>19.99</v>
      </c>
      <c r="X310" s="37">
        <f>SUMIFS('📋 Транзакції'!$F$5:$F$3623,'📋 Транзакції'!$B$5:$B$3623,A310,'📋 Транзакції'!$C$5:$C$3623,"&gt;="&amp;EDATE(DATEVALUE(C310&amp;"-01"),5),'📋 Транзакції'!$C$5:$C$3623,"&lt;"&amp;EDATE(DATEVALUE(C310&amp;"-01"),6))</f>
        <v>19.99</v>
      </c>
      <c r="Y310" s="37">
        <f>SUMIFS('📋 Транзакції'!$F$5:$F$3623,'📋 Транзакції'!$B$5:$B$3623,A310,'📋 Транзакції'!$C$5:$C$3623,"&gt;="&amp;EDATE(DATEVALUE(C310&amp;"-01"),6),'📋 Транзакції'!$C$5:$C$3623,"&lt;"&amp;EDATE(DATEVALUE(C310&amp;"-01"),7))</f>
        <v>0</v>
      </c>
      <c r="Z310" s="37">
        <f>SUMIFS('📋 Транзакції'!$F$5:$F$3623,'📋 Транзакції'!$B$5:$B$3623,A310,'📋 Транзакції'!$C$5:$C$3623,"&gt;="&amp;EDATE(DATEVALUE(C310&amp;"-01"),7),'📋 Транзакції'!$C$5:$C$3623,"&lt;"&amp;EDATE(DATEVALUE(C310&amp;"-01"),8))</f>
        <v>0</v>
      </c>
      <c r="AA310" s="37">
        <f>SUMIFS('📋 Транзакції'!$F$5:$F$3623,'📋 Транзакції'!$B$5:$B$3623,A310,'📋 Транзакції'!$C$5:$C$3623,"&gt;="&amp;EDATE(DATEVALUE(C310&amp;"-01"),8),'📋 Транзакції'!$C$5:$C$3623,"&lt;"&amp;EDATE(DATEVALUE(C310&amp;"-01"),9))</f>
        <v>0</v>
      </c>
      <c r="AB310" s="37">
        <f>SUMIFS('📋 Транзакції'!$F$5:$F$3623,'📋 Транзакції'!$B$5:$B$3623,A310,'📋 Транзакції'!$C$5:$C$3623,"&gt;="&amp;EDATE(DATEVALUE(C310&amp;"-01"),9),'📋 Транзакції'!$C$5:$C$3623,"&lt;"&amp;EDATE(DATEVALUE(C310&amp;"-01"),10))</f>
        <v>0</v>
      </c>
      <c r="AC310" s="37">
        <f>SUMIFS('📋 Транзакції'!$F$5:$F$3623,'📋 Транзакції'!$B$5:$B$3623,A310,'📋 Транзакції'!$C$5:$C$3623,"&gt;="&amp;EDATE(DATEVALUE(C310&amp;"-01"),10),'📋 Транзакції'!$C$5:$C$3623,"&lt;"&amp;EDATE(DATEVALUE(C310&amp;"-01"),11))</f>
        <v>0</v>
      </c>
      <c r="AD310" s="37">
        <f>SUMIFS('📋 Транзакції'!$F$5:$F$3623,'📋 Транзакції'!$B$5:$B$3623,A310,'📋 Транзакції'!$C$5:$C$3623,"&gt;="&amp;EDATE(DATEVALUE(C310&amp;"-01"),11),'📋 Транзакції'!$C$5:$C$3623,"&lt;"&amp;EDATE(DATEVALUE(C310&amp;"-01"),12))</f>
        <v>0</v>
      </c>
    </row>
    <row r="311" ht="15.75" customHeight="1">
      <c r="A311" s="33" t="str">
        <f>'📋 Реєстрації'!A311:A912</f>
        <v>U0351</v>
      </c>
      <c r="B311" s="34">
        <f t="array" ref="B311">INDEX('📋 Транзакції'!$C$5:$C$3623,MATCH(A311,'📋 Транзакції'!$B$5:$B$3623,0))</f>
        <v>45569</v>
      </c>
      <c r="C311" s="35" t="str">
        <f t="shared" si="1"/>
        <v>2024-10</v>
      </c>
      <c r="D311" s="36">
        <f>COUNTIF('📋 Транзакції'!$B$5:$B$3623,A311)</f>
        <v>7</v>
      </c>
      <c r="E311" s="36">
        <f>SUMIF('📋 Транзакції'!$B$5:$B$3623,A311,'📋 Транзакції'!$F$5:$F$3623)</f>
        <v>119.94</v>
      </c>
      <c r="F311" s="35">
        <f>INT($A$1-MAXIFS('📋 Транзакції'!$C$5:$C$3623,'📋 Транзакції'!$B$5:$B$3623,A311))</f>
        <v>21</v>
      </c>
      <c r="G311" s="37">
        <f>IF(COUNTIFS('📋 Транзакції'!$B$5:$B$3623,A311,'📋 Транзакції'!$C$5:$C$3623,"&gt;="&amp;EDATE(DATEVALUE(C311&amp;"-01"),0),'📋 Транзакції'!$C$5:$C$3623,"&lt;"&amp;EDATE(DATEVALUE(C311&amp;"-01"),1))&gt;0,1,0)</f>
        <v>1</v>
      </c>
      <c r="H311" s="37">
        <f>IF(COUNTIFS('📋 Транзакції'!$B$5:$B$3623,A311,'📋 Транзакції'!$C$5:$C$3623,"&gt;="&amp;EDATE(DATEVALUE(C311&amp;"-01"),1),'📋 Транзакції'!$C$5:$C$3623,"&lt;"&amp;EDATE(DATEVALUE(C311&amp;"-01"),2))&gt;0,1,0)</f>
        <v>1</v>
      </c>
      <c r="I311" s="37">
        <f>IF(COUNTIFS('📋 Транзакції'!$B$5:$B$3623,A311,'📋 Транзакції'!$C$5:$C$3623,"&gt;="&amp;EDATE(DATEVALUE(C311&amp;"-01"),2),'📋 Транзакції'!$C$5:$C$3623,"&lt;"&amp;EDATE(DATEVALUE(C311&amp;"-01"),3))&gt;0,1,0)</f>
        <v>1</v>
      </c>
      <c r="J311" s="37">
        <f>IF(COUNTIFS('📋 Транзакції'!$B$5:$B$3623,A311,'📋 Транзакції'!$C$5:$C$3623,"&gt;="&amp;EDATE(DATEVALUE(C311&amp;"-01"),3),'📋 Транзакції'!$C$5:$C$3623,"&lt;"&amp;EDATE(DATEVALUE(C311&amp;"-01"),4))&gt;0,1,0)</f>
        <v>1</v>
      </c>
      <c r="K311" s="37">
        <f>IF(COUNTIFS('📋 Транзакції'!$B$5:$B$3623,A311,'📋 Транзакції'!$C$5:$C$3623,"&gt;="&amp;EDATE(DATEVALUE(C311&amp;"-01"),4),'📋 Транзакції'!$C$5:$C$3623,"&lt;"&amp;EDATE(DATEVALUE(C311&amp;"-01"),5))&gt;0,1,0)</f>
        <v>1</v>
      </c>
      <c r="L311" s="37">
        <f>IF(COUNTIFS('📋 Транзакції'!$B$5:$B$3623,A311,'📋 Транзакції'!$C$5:$C$3623,"&gt;="&amp;EDATE(DATEVALUE(C311&amp;"-01"),5),'📋 Транзакції'!$C$5:$C$3623,"&lt;"&amp;EDATE(DATEVALUE(C311&amp;"-01"),6))&gt;0,1,0)</f>
        <v>1</v>
      </c>
      <c r="M311" s="37">
        <f>IF(COUNTIFS('📋 Транзакції'!$B$5:$B$3623,A311,'📋 Транзакції'!$C$5:$C$3623,"&gt;="&amp;EDATE(DATEVALUE(C311&amp;"-01"),6),'📋 Транзакції'!$C$5:$C$3623,"&lt;"&amp;EDATE(DATEVALUE(C311&amp;"-01"),7))&gt;0,1,0)</f>
        <v>0</v>
      </c>
      <c r="N311" s="37">
        <f>IF(COUNTIFS('📋 Транзакції'!$B$5:$B$3623,A311,'📋 Транзакції'!$C$5:$C$3623,"&gt;="&amp;EDATE(DATEVALUE(C311&amp;"-01"),7),'📋 Транзакції'!$C$5:$C$3623,"&lt;"&amp;EDATE(DATEVALUE(C311&amp;"-01"),8))&gt;0,1,0)</f>
        <v>0</v>
      </c>
      <c r="O311" s="37">
        <f>IF(COUNTIFS('📋 Транзакції'!$B$5:$B$3623,A311,'📋 Транзакції'!$C$5:$C$3623,"&gt;="&amp;EDATE(DATEVALUE(C311&amp;"-01"),8),'📋 Транзакції'!$C$5:$C$3623,"&lt;"&amp;EDATE(DATEVALUE(C311&amp;"-01"),9))&gt;0,1,0)</f>
        <v>0</v>
      </c>
      <c r="P311" s="37">
        <f>IF(COUNTIFS('📋 Транзакції'!$B$5:$B$3623,A311,'📋 Транзакції'!$C$5:$C$3623,"&gt;="&amp;EDATE(DATEVALUE(C311&amp;"-01"),9),'📋 Транзакції'!$C$5:$C$3623,"&lt;"&amp;EDATE(DATEVALUE(C311&amp;"-01"),10))&gt;0,1,0)</f>
        <v>0</v>
      </c>
      <c r="Q311" s="37">
        <f>IF(COUNTIFS('📋 Транзакції'!$B$5:$B$3623,A311,'📋 Транзакції'!$C$5:$C$3623,"&gt;="&amp;EDATE(DATEVALUE(C311&amp;"-01"),10),'📋 Транзакції'!$C$5:$C$3623,"&lt;"&amp;EDATE(DATEVALUE(C311&amp;"-01"),11))&gt;0,1,0)</f>
        <v>0</v>
      </c>
      <c r="R311" s="37">
        <f>IF(COUNTIFS('📋 Транзакції'!$B$5:$B$3623,A311,'📋 Транзакції'!$C$5:$C$3623,"&gt;="&amp;EDATE(DATEVALUE(C311&amp;"-01"),11),'📋 Транзакції'!$C$5:$C$3623,"&lt;"&amp;EDATE(DATEVALUE(C311&amp;"-01"),12))&gt;0,1,0)</f>
        <v>0</v>
      </c>
      <c r="S311" s="37">
        <f>SUMIFS('📋 Транзакції'!$F$5:$F$3623,'📋 Транзакції'!$B$5:$B$3623,A311,'📋 Транзакції'!$C$5:$C$3623,"&gt;="&amp;EDATE(DATEVALUE(C311&amp;"-01"),0),'📋 Транзакції'!$C$5:$C$3623,"&lt;"&amp;EDATE(DATEVALUE(C311&amp;"-01"),1))</f>
        <v>19.99</v>
      </c>
      <c r="T311" s="37">
        <f>SUMIFS('📋 Транзакції'!$F$5:$F$3623,'📋 Транзакції'!$B$5:$B$3623,A311,'📋 Транзакції'!$C$5:$C$3623,"&gt;="&amp;EDATE(DATEVALUE(C311&amp;"-01"),1),'📋 Транзакції'!$C$5:$C$3623,"&lt;"&amp;EDATE(DATEVALUE(C311&amp;"-01"),2))</f>
        <v>19.99</v>
      </c>
      <c r="U311" s="37">
        <f>SUMIFS('📋 Транзакції'!$F$5:$F$3623,'📋 Транзакції'!$B$5:$B$3623,A311,'📋 Транзакції'!$C$5:$C$3623,"&gt;="&amp;EDATE(DATEVALUE(C311&amp;"-01"),2),'📋 Транзакції'!$C$5:$C$3623,"&lt;"&amp;EDATE(DATEVALUE(C311&amp;"-01"),3))</f>
        <v>19.99</v>
      </c>
      <c r="V311" s="37">
        <f>SUMIFS('📋 Транзакції'!$F$5:$F$3623,'📋 Транзакції'!$B$5:$B$3623,A311,'📋 Транзакції'!$C$5:$C$3623,"&gt;="&amp;EDATE(DATEVALUE(C311&amp;"-01"),3),'📋 Транзакції'!$C$5:$C$3623,"&lt;"&amp;EDATE(DATEVALUE(C311&amp;"-01"),4))</f>
        <v>19.99</v>
      </c>
      <c r="W311" s="37">
        <f>SUMIFS('📋 Транзакції'!$F$5:$F$3623,'📋 Транзакції'!$B$5:$B$3623,A311,'📋 Транзакції'!$C$5:$C$3623,"&gt;="&amp;EDATE(DATEVALUE(C311&amp;"-01"),4),'📋 Транзакції'!$C$5:$C$3623,"&lt;"&amp;EDATE(DATEVALUE(C311&amp;"-01"),5))</f>
        <v>19.99</v>
      </c>
      <c r="X311" s="37">
        <f>SUMIFS('📋 Транзакції'!$F$5:$F$3623,'📋 Транзакції'!$B$5:$B$3623,A311,'📋 Транзакції'!$C$5:$C$3623,"&gt;="&amp;EDATE(DATEVALUE(C311&amp;"-01"),5),'📋 Транзакції'!$C$5:$C$3623,"&lt;"&amp;EDATE(DATEVALUE(C311&amp;"-01"),6))</f>
        <v>19.99</v>
      </c>
      <c r="Y311" s="37">
        <f>SUMIFS('📋 Транзакції'!$F$5:$F$3623,'📋 Транзакції'!$B$5:$B$3623,A311,'📋 Транзакції'!$C$5:$C$3623,"&gt;="&amp;EDATE(DATEVALUE(C311&amp;"-01"),6),'📋 Транзакції'!$C$5:$C$3623,"&lt;"&amp;EDATE(DATEVALUE(C311&amp;"-01"),7))</f>
        <v>0</v>
      </c>
      <c r="Z311" s="37">
        <f>SUMIFS('📋 Транзакції'!$F$5:$F$3623,'📋 Транзакції'!$B$5:$B$3623,A311,'📋 Транзакції'!$C$5:$C$3623,"&gt;="&amp;EDATE(DATEVALUE(C311&amp;"-01"),7),'📋 Транзакції'!$C$5:$C$3623,"&lt;"&amp;EDATE(DATEVALUE(C311&amp;"-01"),8))</f>
        <v>0</v>
      </c>
      <c r="AA311" s="37">
        <f>SUMIFS('📋 Транзакції'!$F$5:$F$3623,'📋 Транзакції'!$B$5:$B$3623,A311,'📋 Транзакції'!$C$5:$C$3623,"&gt;="&amp;EDATE(DATEVALUE(C311&amp;"-01"),8),'📋 Транзакції'!$C$5:$C$3623,"&lt;"&amp;EDATE(DATEVALUE(C311&amp;"-01"),9))</f>
        <v>0</v>
      </c>
      <c r="AB311" s="37">
        <f>SUMIFS('📋 Транзакції'!$F$5:$F$3623,'📋 Транзакції'!$B$5:$B$3623,A311,'📋 Транзакції'!$C$5:$C$3623,"&gt;="&amp;EDATE(DATEVALUE(C311&amp;"-01"),9),'📋 Транзакції'!$C$5:$C$3623,"&lt;"&amp;EDATE(DATEVALUE(C311&amp;"-01"),10))</f>
        <v>0</v>
      </c>
      <c r="AC311" s="37">
        <f>SUMIFS('📋 Транзакції'!$F$5:$F$3623,'📋 Транзакції'!$B$5:$B$3623,A311,'📋 Транзакції'!$C$5:$C$3623,"&gt;="&amp;EDATE(DATEVALUE(C311&amp;"-01"),10),'📋 Транзакції'!$C$5:$C$3623,"&lt;"&amp;EDATE(DATEVALUE(C311&amp;"-01"),11))</f>
        <v>0</v>
      </c>
      <c r="AD311" s="37">
        <f>SUMIFS('📋 Транзакції'!$F$5:$F$3623,'📋 Транзакції'!$B$5:$B$3623,A311,'📋 Транзакції'!$C$5:$C$3623,"&gt;="&amp;EDATE(DATEVALUE(C311&amp;"-01"),11),'📋 Транзакції'!$C$5:$C$3623,"&lt;"&amp;EDATE(DATEVALUE(C311&amp;"-01"),12))</f>
        <v>0</v>
      </c>
    </row>
    <row r="312" ht="15.75" customHeight="1">
      <c r="A312" s="33" t="str">
        <f>'📋 Реєстрації'!A312:A913</f>
        <v>U0858</v>
      </c>
      <c r="B312" s="34">
        <f t="array" ref="B312">INDEX('📋 Транзакції'!$C$5:$C$3623,MATCH(A312,'📋 Транзакції'!$B$5:$B$3623,0))</f>
        <v>45569</v>
      </c>
      <c r="C312" s="35" t="str">
        <f t="shared" si="1"/>
        <v>2024-10</v>
      </c>
      <c r="D312" s="36">
        <f>COUNTIF('📋 Транзакції'!$B$5:$B$3623,A312)</f>
        <v>7</v>
      </c>
      <c r="E312" s="36">
        <f>SUMIF('📋 Транзакції'!$B$5:$B$3623,A312,'📋 Транзакції'!$F$5:$F$3623)</f>
        <v>119.94</v>
      </c>
      <c r="F312" s="35">
        <f>INT($A$1-MAXIFS('📋 Транзакції'!$C$5:$C$3623,'📋 Транзакції'!$B$5:$B$3623,A312))</f>
        <v>21</v>
      </c>
      <c r="G312" s="37">
        <f>IF(COUNTIFS('📋 Транзакції'!$B$5:$B$3623,A312,'📋 Транзакції'!$C$5:$C$3623,"&gt;="&amp;EDATE(DATEVALUE(C312&amp;"-01"),0),'📋 Транзакції'!$C$5:$C$3623,"&lt;"&amp;EDATE(DATEVALUE(C312&amp;"-01"),1))&gt;0,1,0)</f>
        <v>1</v>
      </c>
      <c r="H312" s="37">
        <f>IF(COUNTIFS('📋 Транзакції'!$B$5:$B$3623,A312,'📋 Транзакції'!$C$5:$C$3623,"&gt;="&amp;EDATE(DATEVALUE(C312&amp;"-01"),1),'📋 Транзакції'!$C$5:$C$3623,"&lt;"&amp;EDATE(DATEVALUE(C312&amp;"-01"),2))&gt;0,1,0)</f>
        <v>1</v>
      </c>
      <c r="I312" s="37">
        <f>IF(COUNTIFS('📋 Транзакції'!$B$5:$B$3623,A312,'📋 Транзакції'!$C$5:$C$3623,"&gt;="&amp;EDATE(DATEVALUE(C312&amp;"-01"),2),'📋 Транзакції'!$C$5:$C$3623,"&lt;"&amp;EDATE(DATEVALUE(C312&amp;"-01"),3))&gt;0,1,0)</f>
        <v>1</v>
      </c>
      <c r="J312" s="37">
        <f>IF(COUNTIFS('📋 Транзакції'!$B$5:$B$3623,A312,'📋 Транзакції'!$C$5:$C$3623,"&gt;="&amp;EDATE(DATEVALUE(C312&amp;"-01"),3),'📋 Транзакції'!$C$5:$C$3623,"&lt;"&amp;EDATE(DATEVALUE(C312&amp;"-01"),4))&gt;0,1,0)</f>
        <v>1</v>
      </c>
      <c r="K312" s="37">
        <f>IF(COUNTIFS('📋 Транзакції'!$B$5:$B$3623,A312,'📋 Транзакції'!$C$5:$C$3623,"&gt;="&amp;EDATE(DATEVALUE(C312&amp;"-01"),4),'📋 Транзакції'!$C$5:$C$3623,"&lt;"&amp;EDATE(DATEVALUE(C312&amp;"-01"),5))&gt;0,1,0)</f>
        <v>1</v>
      </c>
      <c r="L312" s="37">
        <f>IF(COUNTIFS('📋 Транзакції'!$B$5:$B$3623,A312,'📋 Транзакції'!$C$5:$C$3623,"&gt;="&amp;EDATE(DATEVALUE(C312&amp;"-01"),5),'📋 Транзакції'!$C$5:$C$3623,"&lt;"&amp;EDATE(DATEVALUE(C312&amp;"-01"),6))&gt;0,1,0)</f>
        <v>1</v>
      </c>
      <c r="M312" s="37">
        <f>IF(COUNTIFS('📋 Транзакції'!$B$5:$B$3623,A312,'📋 Транзакції'!$C$5:$C$3623,"&gt;="&amp;EDATE(DATEVALUE(C312&amp;"-01"),6),'📋 Транзакції'!$C$5:$C$3623,"&lt;"&amp;EDATE(DATEVALUE(C312&amp;"-01"),7))&gt;0,1,0)</f>
        <v>0</v>
      </c>
      <c r="N312" s="37">
        <f>IF(COUNTIFS('📋 Транзакції'!$B$5:$B$3623,A312,'📋 Транзакції'!$C$5:$C$3623,"&gt;="&amp;EDATE(DATEVALUE(C312&amp;"-01"),7),'📋 Транзакції'!$C$5:$C$3623,"&lt;"&amp;EDATE(DATEVALUE(C312&amp;"-01"),8))&gt;0,1,0)</f>
        <v>0</v>
      </c>
      <c r="O312" s="37">
        <f>IF(COUNTIFS('📋 Транзакції'!$B$5:$B$3623,A312,'📋 Транзакції'!$C$5:$C$3623,"&gt;="&amp;EDATE(DATEVALUE(C312&amp;"-01"),8),'📋 Транзакції'!$C$5:$C$3623,"&lt;"&amp;EDATE(DATEVALUE(C312&amp;"-01"),9))&gt;0,1,0)</f>
        <v>0</v>
      </c>
      <c r="P312" s="37">
        <f>IF(COUNTIFS('📋 Транзакції'!$B$5:$B$3623,A312,'📋 Транзакції'!$C$5:$C$3623,"&gt;="&amp;EDATE(DATEVALUE(C312&amp;"-01"),9),'📋 Транзакції'!$C$5:$C$3623,"&lt;"&amp;EDATE(DATEVALUE(C312&amp;"-01"),10))&gt;0,1,0)</f>
        <v>0</v>
      </c>
      <c r="Q312" s="37">
        <f>IF(COUNTIFS('📋 Транзакції'!$B$5:$B$3623,A312,'📋 Транзакції'!$C$5:$C$3623,"&gt;="&amp;EDATE(DATEVALUE(C312&amp;"-01"),10),'📋 Транзакції'!$C$5:$C$3623,"&lt;"&amp;EDATE(DATEVALUE(C312&amp;"-01"),11))&gt;0,1,0)</f>
        <v>0</v>
      </c>
      <c r="R312" s="37">
        <f>IF(COUNTIFS('📋 Транзакції'!$B$5:$B$3623,A312,'📋 Транзакції'!$C$5:$C$3623,"&gt;="&amp;EDATE(DATEVALUE(C312&amp;"-01"),11),'📋 Транзакції'!$C$5:$C$3623,"&lt;"&amp;EDATE(DATEVALUE(C312&amp;"-01"),12))&gt;0,1,0)</f>
        <v>0</v>
      </c>
      <c r="S312" s="37">
        <f>SUMIFS('📋 Транзакції'!$F$5:$F$3623,'📋 Транзакції'!$B$5:$B$3623,A312,'📋 Транзакції'!$C$5:$C$3623,"&gt;="&amp;EDATE(DATEVALUE(C312&amp;"-01"),0),'📋 Транзакції'!$C$5:$C$3623,"&lt;"&amp;EDATE(DATEVALUE(C312&amp;"-01"),1))</f>
        <v>19.99</v>
      </c>
      <c r="T312" s="37">
        <f>SUMIFS('📋 Транзакції'!$F$5:$F$3623,'📋 Транзакції'!$B$5:$B$3623,A312,'📋 Транзакції'!$C$5:$C$3623,"&gt;="&amp;EDATE(DATEVALUE(C312&amp;"-01"),1),'📋 Транзакції'!$C$5:$C$3623,"&lt;"&amp;EDATE(DATEVALUE(C312&amp;"-01"),2))</f>
        <v>19.99</v>
      </c>
      <c r="U312" s="37">
        <f>SUMIFS('📋 Транзакції'!$F$5:$F$3623,'📋 Транзакції'!$B$5:$B$3623,A312,'📋 Транзакції'!$C$5:$C$3623,"&gt;="&amp;EDATE(DATEVALUE(C312&amp;"-01"),2),'📋 Транзакції'!$C$5:$C$3623,"&lt;"&amp;EDATE(DATEVALUE(C312&amp;"-01"),3))</f>
        <v>19.99</v>
      </c>
      <c r="V312" s="37">
        <f>SUMIFS('📋 Транзакції'!$F$5:$F$3623,'📋 Транзакції'!$B$5:$B$3623,A312,'📋 Транзакції'!$C$5:$C$3623,"&gt;="&amp;EDATE(DATEVALUE(C312&amp;"-01"),3),'📋 Транзакції'!$C$5:$C$3623,"&lt;"&amp;EDATE(DATEVALUE(C312&amp;"-01"),4))</f>
        <v>19.99</v>
      </c>
      <c r="W312" s="37">
        <f>SUMIFS('📋 Транзакції'!$F$5:$F$3623,'📋 Транзакції'!$B$5:$B$3623,A312,'📋 Транзакції'!$C$5:$C$3623,"&gt;="&amp;EDATE(DATEVALUE(C312&amp;"-01"),4),'📋 Транзакції'!$C$5:$C$3623,"&lt;"&amp;EDATE(DATEVALUE(C312&amp;"-01"),5))</f>
        <v>19.99</v>
      </c>
      <c r="X312" s="37">
        <f>SUMIFS('📋 Транзакції'!$F$5:$F$3623,'📋 Транзакції'!$B$5:$B$3623,A312,'📋 Транзакції'!$C$5:$C$3623,"&gt;="&amp;EDATE(DATEVALUE(C312&amp;"-01"),5),'📋 Транзакції'!$C$5:$C$3623,"&lt;"&amp;EDATE(DATEVALUE(C312&amp;"-01"),6))</f>
        <v>19.99</v>
      </c>
      <c r="Y312" s="37">
        <f>SUMIFS('📋 Транзакції'!$F$5:$F$3623,'📋 Транзакції'!$B$5:$B$3623,A312,'📋 Транзакції'!$C$5:$C$3623,"&gt;="&amp;EDATE(DATEVALUE(C312&amp;"-01"),6),'📋 Транзакції'!$C$5:$C$3623,"&lt;"&amp;EDATE(DATEVALUE(C312&amp;"-01"),7))</f>
        <v>0</v>
      </c>
      <c r="Z312" s="37">
        <f>SUMIFS('📋 Транзакції'!$F$5:$F$3623,'📋 Транзакції'!$B$5:$B$3623,A312,'📋 Транзакції'!$C$5:$C$3623,"&gt;="&amp;EDATE(DATEVALUE(C312&amp;"-01"),7),'📋 Транзакції'!$C$5:$C$3623,"&lt;"&amp;EDATE(DATEVALUE(C312&amp;"-01"),8))</f>
        <v>0</v>
      </c>
      <c r="AA312" s="37">
        <f>SUMIFS('📋 Транзакції'!$F$5:$F$3623,'📋 Транзакції'!$B$5:$B$3623,A312,'📋 Транзакції'!$C$5:$C$3623,"&gt;="&amp;EDATE(DATEVALUE(C312&amp;"-01"),8),'📋 Транзакції'!$C$5:$C$3623,"&lt;"&amp;EDATE(DATEVALUE(C312&amp;"-01"),9))</f>
        <v>0</v>
      </c>
      <c r="AB312" s="37">
        <f>SUMIFS('📋 Транзакції'!$F$5:$F$3623,'📋 Транзакції'!$B$5:$B$3623,A312,'📋 Транзакції'!$C$5:$C$3623,"&gt;="&amp;EDATE(DATEVALUE(C312&amp;"-01"),9),'📋 Транзакції'!$C$5:$C$3623,"&lt;"&amp;EDATE(DATEVALUE(C312&amp;"-01"),10))</f>
        <v>0</v>
      </c>
      <c r="AC312" s="37">
        <f>SUMIFS('📋 Транзакції'!$F$5:$F$3623,'📋 Транзакції'!$B$5:$B$3623,A312,'📋 Транзакції'!$C$5:$C$3623,"&gt;="&amp;EDATE(DATEVALUE(C312&amp;"-01"),10),'📋 Транзакції'!$C$5:$C$3623,"&lt;"&amp;EDATE(DATEVALUE(C312&amp;"-01"),11))</f>
        <v>0</v>
      </c>
      <c r="AD312" s="37">
        <f>SUMIFS('📋 Транзакції'!$F$5:$F$3623,'📋 Транзакції'!$B$5:$B$3623,A312,'📋 Транзакції'!$C$5:$C$3623,"&gt;="&amp;EDATE(DATEVALUE(C312&amp;"-01"),11),'📋 Транзакції'!$C$5:$C$3623,"&lt;"&amp;EDATE(DATEVALUE(C312&amp;"-01"),12))</f>
        <v>0</v>
      </c>
    </row>
    <row r="313" ht="15.75" customHeight="1">
      <c r="A313" s="33" t="str">
        <f>'📋 Реєстрації'!A313:A914</f>
        <v>U0104</v>
      </c>
      <c r="B313" s="34">
        <f t="array" ref="B313">INDEX('📋 Транзакції'!$C$5:$C$3623,MATCH(A313,'📋 Транзакції'!$B$5:$B$3623,0))</f>
        <v>45570</v>
      </c>
      <c r="C313" s="35" t="str">
        <f t="shared" si="1"/>
        <v>2024-10</v>
      </c>
      <c r="D313" s="36">
        <f>COUNTIF('📋 Транзакції'!$B$5:$B$3623,A313)</f>
        <v>7</v>
      </c>
      <c r="E313" s="36">
        <f>SUMIF('📋 Транзакції'!$B$5:$B$3623,A313,'📋 Транзакції'!$F$5:$F$3623)</f>
        <v>119.94</v>
      </c>
      <c r="F313" s="35">
        <f>INT($A$1-MAXIFS('📋 Транзакції'!$C$5:$C$3623,'📋 Транзакції'!$B$5:$B$3623,A313))</f>
        <v>20</v>
      </c>
      <c r="G313" s="37">
        <f>IF(COUNTIFS('📋 Транзакції'!$B$5:$B$3623,A313,'📋 Транзакції'!$C$5:$C$3623,"&gt;="&amp;EDATE(DATEVALUE(C313&amp;"-01"),0),'📋 Транзакції'!$C$5:$C$3623,"&lt;"&amp;EDATE(DATEVALUE(C313&amp;"-01"),1))&gt;0,1,0)</f>
        <v>1</v>
      </c>
      <c r="H313" s="37">
        <f>IF(COUNTIFS('📋 Транзакції'!$B$5:$B$3623,A313,'📋 Транзакції'!$C$5:$C$3623,"&gt;="&amp;EDATE(DATEVALUE(C313&amp;"-01"),1),'📋 Транзакції'!$C$5:$C$3623,"&lt;"&amp;EDATE(DATEVALUE(C313&amp;"-01"),2))&gt;0,1,0)</f>
        <v>1</v>
      </c>
      <c r="I313" s="37">
        <f>IF(COUNTIFS('📋 Транзакції'!$B$5:$B$3623,A313,'📋 Транзакції'!$C$5:$C$3623,"&gt;="&amp;EDATE(DATEVALUE(C313&amp;"-01"),2),'📋 Транзакції'!$C$5:$C$3623,"&lt;"&amp;EDATE(DATEVALUE(C313&amp;"-01"),3))&gt;0,1,0)</f>
        <v>1</v>
      </c>
      <c r="J313" s="37">
        <f>IF(COUNTIFS('📋 Транзакції'!$B$5:$B$3623,A313,'📋 Транзакції'!$C$5:$C$3623,"&gt;="&amp;EDATE(DATEVALUE(C313&amp;"-01"),3),'📋 Транзакції'!$C$5:$C$3623,"&lt;"&amp;EDATE(DATEVALUE(C313&amp;"-01"),4))&gt;0,1,0)</f>
        <v>1</v>
      </c>
      <c r="K313" s="37">
        <f>IF(COUNTIFS('📋 Транзакції'!$B$5:$B$3623,A313,'📋 Транзакції'!$C$5:$C$3623,"&gt;="&amp;EDATE(DATEVALUE(C313&amp;"-01"),4),'📋 Транзакції'!$C$5:$C$3623,"&lt;"&amp;EDATE(DATEVALUE(C313&amp;"-01"),5))&gt;0,1,0)</f>
        <v>1</v>
      </c>
      <c r="L313" s="37">
        <f>IF(COUNTIFS('📋 Транзакції'!$B$5:$B$3623,A313,'📋 Транзакції'!$C$5:$C$3623,"&gt;="&amp;EDATE(DATEVALUE(C313&amp;"-01"),5),'📋 Транзакції'!$C$5:$C$3623,"&lt;"&amp;EDATE(DATEVALUE(C313&amp;"-01"),6))&gt;0,1,0)</f>
        <v>1</v>
      </c>
      <c r="M313" s="37">
        <f>IF(COUNTIFS('📋 Транзакції'!$B$5:$B$3623,A313,'📋 Транзакції'!$C$5:$C$3623,"&gt;="&amp;EDATE(DATEVALUE(C313&amp;"-01"),6),'📋 Транзакції'!$C$5:$C$3623,"&lt;"&amp;EDATE(DATEVALUE(C313&amp;"-01"),7))&gt;0,1,0)</f>
        <v>0</v>
      </c>
      <c r="N313" s="37">
        <f>IF(COUNTIFS('📋 Транзакції'!$B$5:$B$3623,A313,'📋 Транзакції'!$C$5:$C$3623,"&gt;="&amp;EDATE(DATEVALUE(C313&amp;"-01"),7),'📋 Транзакції'!$C$5:$C$3623,"&lt;"&amp;EDATE(DATEVALUE(C313&amp;"-01"),8))&gt;0,1,0)</f>
        <v>0</v>
      </c>
      <c r="O313" s="37">
        <f>IF(COUNTIFS('📋 Транзакції'!$B$5:$B$3623,A313,'📋 Транзакції'!$C$5:$C$3623,"&gt;="&amp;EDATE(DATEVALUE(C313&amp;"-01"),8),'📋 Транзакції'!$C$5:$C$3623,"&lt;"&amp;EDATE(DATEVALUE(C313&amp;"-01"),9))&gt;0,1,0)</f>
        <v>0</v>
      </c>
      <c r="P313" s="37">
        <f>IF(COUNTIFS('📋 Транзакції'!$B$5:$B$3623,A313,'📋 Транзакції'!$C$5:$C$3623,"&gt;="&amp;EDATE(DATEVALUE(C313&amp;"-01"),9),'📋 Транзакції'!$C$5:$C$3623,"&lt;"&amp;EDATE(DATEVALUE(C313&amp;"-01"),10))&gt;0,1,0)</f>
        <v>0</v>
      </c>
      <c r="Q313" s="37">
        <f>IF(COUNTIFS('📋 Транзакції'!$B$5:$B$3623,A313,'📋 Транзакції'!$C$5:$C$3623,"&gt;="&amp;EDATE(DATEVALUE(C313&amp;"-01"),10),'📋 Транзакції'!$C$5:$C$3623,"&lt;"&amp;EDATE(DATEVALUE(C313&amp;"-01"),11))&gt;0,1,0)</f>
        <v>0</v>
      </c>
      <c r="R313" s="37">
        <f>IF(COUNTIFS('📋 Транзакції'!$B$5:$B$3623,A313,'📋 Транзакції'!$C$5:$C$3623,"&gt;="&amp;EDATE(DATEVALUE(C313&amp;"-01"),11),'📋 Транзакції'!$C$5:$C$3623,"&lt;"&amp;EDATE(DATEVALUE(C313&amp;"-01"),12))&gt;0,1,0)</f>
        <v>0</v>
      </c>
      <c r="S313" s="37">
        <f>SUMIFS('📋 Транзакції'!$F$5:$F$3623,'📋 Транзакції'!$B$5:$B$3623,A313,'📋 Транзакції'!$C$5:$C$3623,"&gt;="&amp;EDATE(DATEVALUE(C313&amp;"-01"),0),'📋 Транзакції'!$C$5:$C$3623,"&lt;"&amp;EDATE(DATEVALUE(C313&amp;"-01"),1))</f>
        <v>19.99</v>
      </c>
      <c r="T313" s="37">
        <f>SUMIFS('📋 Транзакції'!$F$5:$F$3623,'📋 Транзакції'!$B$5:$B$3623,A313,'📋 Транзакції'!$C$5:$C$3623,"&gt;="&amp;EDATE(DATEVALUE(C313&amp;"-01"),1),'📋 Транзакції'!$C$5:$C$3623,"&lt;"&amp;EDATE(DATEVALUE(C313&amp;"-01"),2))</f>
        <v>19.99</v>
      </c>
      <c r="U313" s="37">
        <f>SUMIFS('📋 Транзакції'!$F$5:$F$3623,'📋 Транзакції'!$B$5:$B$3623,A313,'📋 Транзакції'!$C$5:$C$3623,"&gt;="&amp;EDATE(DATEVALUE(C313&amp;"-01"),2),'📋 Транзакції'!$C$5:$C$3623,"&lt;"&amp;EDATE(DATEVALUE(C313&amp;"-01"),3))</f>
        <v>19.99</v>
      </c>
      <c r="V313" s="37">
        <f>SUMIFS('📋 Транзакції'!$F$5:$F$3623,'📋 Транзакції'!$B$5:$B$3623,A313,'📋 Транзакції'!$C$5:$C$3623,"&gt;="&amp;EDATE(DATEVALUE(C313&amp;"-01"),3),'📋 Транзакції'!$C$5:$C$3623,"&lt;"&amp;EDATE(DATEVALUE(C313&amp;"-01"),4))</f>
        <v>19.99</v>
      </c>
      <c r="W313" s="37">
        <f>SUMIFS('📋 Транзакції'!$F$5:$F$3623,'📋 Транзакції'!$B$5:$B$3623,A313,'📋 Транзакції'!$C$5:$C$3623,"&gt;="&amp;EDATE(DATEVALUE(C313&amp;"-01"),4),'📋 Транзакції'!$C$5:$C$3623,"&lt;"&amp;EDATE(DATEVALUE(C313&amp;"-01"),5))</f>
        <v>19.99</v>
      </c>
      <c r="X313" s="37">
        <f>SUMIFS('📋 Транзакції'!$F$5:$F$3623,'📋 Транзакції'!$B$5:$B$3623,A313,'📋 Транзакції'!$C$5:$C$3623,"&gt;="&amp;EDATE(DATEVALUE(C313&amp;"-01"),5),'📋 Транзакції'!$C$5:$C$3623,"&lt;"&amp;EDATE(DATEVALUE(C313&amp;"-01"),6))</f>
        <v>19.99</v>
      </c>
      <c r="Y313" s="37">
        <f>SUMIFS('📋 Транзакції'!$F$5:$F$3623,'📋 Транзакції'!$B$5:$B$3623,A313,'📋 Транзакції'!$C$5:$C$3623,"&gt;="&amp;EDATE(DATEVALUE(C313&amp;"-01"),6),'📋 Транзакції'!$C$5:$C$3623,"&lt;"&amp;EDATE(DATEVALUE(C313&amp;"-01"),7))</f>
        <v>0</v>
      </c>
      <c r="Z313" s="37">
        <f>SUMIFS('📋 Транзакції'!$F$5:$F$3623,'📋 Транзакції'!$B$5:$B$3623,A313,'📋 Транзакції'!$C$5:$C$3623,"&gt;="&amp;EDATE(DATEVALUE(C313&amp;"-01"),7),'📋 Транзакції'!$C$5:$C$3623,"&lt;"&amp;EDATE(DATEVALUE(C313&amp;"-01"),8))</f>
        <v>0</v>
      </c>
      <c r="AA313" s="37">
        <f>SUMIFS('📋 Транзакції'!$F$5:$F$3623,'📋 Транзакції'!$B$5:$B$3623,A313,'📋 Транзакції'!$C$5:$C$3623,"&gt;="&amp;EDATE(DATEVALUE(C313&amp;"-01"),8),'📋 Транзакції'!$C$5:$C$3623,"&lt;"&amp;EDATE(DATEVALUE(C313&amp;"-01"),9))</f>
        <v>0</v>
      </c>
      <c r="AB313" s="37">
        <f>SUMIFS('📋 Транзакції'!$F$5:$F$3623,'📋 Транзакції'!$B$5:$B$3623,A313,'📋 Транзакції'!$C$5:$C$3623,"&gt;="&amp;EDATE(DATEVALUE(C313&amp;"-01"),9),'📋 Транзакції'!$C$5:$C$3623,"&lt;"&amp;EDATE(DATEVALUE(C313&amp;"-01"),10))</f>
        <v>0</v>
      </c>
      <c r="AC313" s="37">
        <f>SUMIFS('📋 Транзакції'!$F$5:$F$3623,'📋 Транзакції'!$B$5:$B$3623,A313,'📋 Транзакції'!$C$5:$C$3623,"&gt;="&amp;EDATE(DATEVALUE(C313&amp;"-01"),10),'📋 Транзакції'!$C$5:$C$3623,"&lt;"&amp;EDATE(DATEVALUE(C313&amp;"-01"),11))</f>
        <v>0</v>
      </c>
      <c r="AD313" s="37">
        <f>SUMIFS('📋 Транзакції'!$F$5:$F$3623,'📋 Транзакції'!$B$5:$B$3623,A313,'📋 Транзакції'!$C$5:$C$3623,"&gt;="&amp;EDATE(DATEVALUE(C313&amp;"-01"),11),'📋 Транзакції'!$C$5:$C$3623,"&lt;"&amp;EDATE(DATEVALUE(C313&amp;"-01"),12))</f>
        <v>0</v>
      </c>
    </row>
    <row r="314" ht="15.75" customHeight="1">
      <c r="A314" s="33" t="str">
        <f>'📋 Реєстрації'!A314:A915</f>
        <v>U0502</v>
      </c>
      <c r="B314" s="34">
        <f t="array" ref="B314">INDEX('📋 Транзакції'!$C$5:$C$3623,MATCH(A314,'📋 Транзакції'!$B$5:$B$3623,0))</f>
        <v>45570</v>
      </c>
      <c r="C314" s="35" t="str">
        <f t="shared" si="1"/>
        <v>2024-10</v>
      </c>
      <c r="D314" s="36">
        <f>COUNTIF('📋 Транзакції'!$B$5:$B$3623,A314)</f>
        <v>7</v>
      </c>
      <c r="E314" s="36">
        <f>SUMIF('📋 Транзакції'!$B$5:$B$3623,A314,'📋 Транзакції'!$F$5:$F$3623)</f>
        <v>119.94</v>
      </c>
      <c r="F314" s="35">
        <f>INT($A$1-MAXIFS('📋 Транзакції'!$C$5:$C$3623,'📋 Транзакції'!$B$5:$B$3623,A314))</f>
        <v>20</v>
      </c>
      <c r="G314" s="37">
        <f>IF(COUNTIFS('📋 Транзакції'!$B$5:$B$3623,A314,'📋 Транзакції'!$C$5:$C$3623,"&gt;="&amp;EDATE(DATEVALUE(C314&amp;"-01"),0),'📋 Транзакції'!$C$5:$C$3623,"&lt;"&amp;EDATE(DATEVALUE(C314&amp;"-01"),1))&gt;0,1,0)</f>
        <v>1</v>
      </c>
      <c r="H314" s="37">
        <f>IF(COUNTIFS('📋 Транзакції'!$B$5:$B$3623,A314,'📋 Транзакції'!$C$5:$C$3623,"&gt;="&amp;EDATE(DATEVALUE(C314&amp;"-01"),1),'📋 Транзакції'!$C$5:$C$3623,"&lt;"&amp;EDATE(DATEVALUE(C314&amp;"-01"),2))&gt;0,1,0)</f>
        <v>1</v>
      </c>
      <c r="I314" s="37">
        <f>IF(COUNTIFS('📋 Транзакції'!$B$5:$B$3623,A314,'📋 Транзакції'!$C$5:$C$3623,"&gt;="&amp;EDATE(DATEVALUE(C314&amp;"-01"),2),'📋 Транзакції'!$C$5:$C$3623,"&lt;"&amp;EDATE(DATEVALUE(C314&amp;"-01"),3))&gt;0,1,0)</f>
        <v>1</v>
      </c>
      <c r="J314" s="37">
        <f>IF(COUNTIFS('📋 Транзакції'!$B$5:$B$3623,A314,'📋 Транзакції'!$C$5:$C$3623,"&gt;="&amp;EDATE(DATEVALUE(C314&amp;"-01"),3),'📋 Транзакції'!$C$5:$C$3623,"&lt;"&amp;EDATE(DATEVALUE(C314&amp;"-01"),4))&gt;0,1,0)</f>
        <v>1</v>
      </c>
      <c r="K314" s="37">
        <f>IF(COUNTIFS('📋 Транзакції'!$B$5:$B$3623,A314,'📋 Транзакції'!$C$5:$C$3623,"&gt;="&amp;EDATE(DATEVALUE(C314&amp;"-01"),4),'📋 Транзакції'!$C$5:$C$3623,"&lt;"&amp;EDATE(DATEVALUE(C314&amp;"-01"),5))&gt;0,1,0)</f>
        <v>1</v>
      </c>
      <c r="L314" s="37">
        <f>IF(COUNTIFS('📋 Транзакції'!$B$5:$B$3623,A314,'📋 Транзакції'!$C$5:$C$3623,"&gt;="&amp;EDATE(DATEVALUE(C314&amp;"-01"),5),'📋 Транзакції'!$C$5:$C$3623,"&lt;"&amp;EDATE(DATEVALUE(C314&amp;"-01"),6))&gt;0,1,0)</f>
        <v>1</v>
      </c>
      <c r="M314" s="37">
        <f>IF(COUNTIFS('📋 Транзакції'!$B$5:$B$3623,A314,'📋 Транзакції'!$C$5:$C$3623,"&gt;="&amp;EDATE(DATEVALUE(C314&amp;"-01"),6),'📋 Транзакції'!$C$5:$C$3623,"&lt;"&amp;EDATE(DATEVALUE(C314&amp;"-01"),7))&gt;0,1,0)</f>
        <v>0</v>
      </c>
      <c r="N314" s="37">
        <f>IF(COUNTIFS('📋 Транзакції'!$B$5:$B$3623,A314,'📋 Транзакції'!$C$5:$C$3623,"&gt;="&amp;EDATE(DATEVALUE(C314&amp;"-01"),7),'📋 Транзакції'!$C$5:$C$3623,"&lt;"&amp;EDATE(DATEVALUE(C314&amp;"-01"),8))&gt;0,1,0)</f>
        <v>0</v>
      </c>
      <c r="O314" s="37">
        <f>IF(COUNTIFS('📋 Транзакції'!$B$5:$B$3623,A314,'📋 Транзакції'!$C$5:$C$3623,"&gt;="&amp;EDATE(DATEVALUE(C314&amp;"-01"),8),'📋 Транзакції'!$C$5:$C$3623,"&lt;"&amp;EDATE(DATEVALUE(C314&amp;"-01"),9))&gt;0,1,0)</f>
        <v>0</v>
      </c>
      <c r="P314" s="37">
        <f>IF(COUNTIFS('📋 Транзакції'!$B$5:$B$3623,A314,'📋 Транзакції'!$C$5:$C$3623,"&gt;="&amp;EDATE(DATEVALUE(C314&amp;"-01"),9),'📋 Транзакції'!$C$5:$C$3623,"&lt;"&amp;EDATE(DATEVALUE(C314&amp;"-01"),10))&gt;0,1,0)</f>
        <v>0</v>
      </c>
      <c r="Q314" s="37">
        <f>IF(COUNTIFS('📋 Транзакції'!$B$5:$B$3623,A314,'📋 Транзакції'!$C$5:$C$3623,"&gt;="&amp;EDATE(DATEVALUE(C314&amp;"-01"),10),'📋 Транзакції'!$C$5:$C$3623,"&lt;"&amp;EDATE(DATEVALUE(C314&amp;"-01"),11))&gt;0,1,0)</f>
        <v>0</v>
      </c>
      <c r="R314" s="37">
        <f>IF(COUNTIFS('📋 Транзакції'!$B$5:$B$3623,A314,'📋 Транзакції'!$C$5:$C$3623,"&gt;="&amp;EDATE(DATEVALUE(C314&amp;"-01"),11),'📋 Транзакції'!$C$5:$C$3623,"&lt;"&amp;EDATE(DATEVALUE(C314&amp;"-01"),12))&gt;0,1,0)</f>
        <v>0</v>
      </c>
      <c r="S314" s="37">
        <f>SUMIFS('📋 Транзакції'!$F$5:$F$3623,'📋 Транзакції'!$B$5:$B$3623,A314,'📋 Транзакції'!$C$5:$C$3623,"&gt;="&amp;EDATE(DATEVALUE(C314&amp;"-01"),0),'📋 Транзакції'!$C$5:$C$3623,"&lt;"&amp;EDATE(DATEVALUE(C314&amp;"-01"),1))</f>
        <v>19.99</v>
      </c>
      <c r="T314" s="37">
        <f>SUMIFS('📋 Транзакції'!$F$5:$F$3623,'📋 Транзакції'!$B$5:$B$3623,A314,'📋 Транзакції'!$C$5:$C$3623,"&gt;="&amp;EDATE(DATEVALUE(C314&amp;"-01"),1),'📋 Транзакції'!$C$5:$C$3623,"&lt;"&amp;EDATE(DATEVALUE(C314&amp;"-01"),2))</f>
        <v>19.99</v>
      </c>
      <c r="U314" s="37">
        <f>SUMIFS('📋 Транзакції'!$F$5:$F$3623,'📋 Транзакції'!$B$5:$B$3623,A314,'📋 Транзакції'!$C$5:$C$3623,"&gt;="&amp;EDATE(DATEVALUE(C314&amp;"-01"),2),'📋 Транзакції'!$C$5:$C$3623,"&lt;"&amp;EDATE(DATEVALUE(C314&amp;"-01"),3))</f>
        <v>19.99</v>
      </c>
      <c r="V314" s="37">
        <f>SUMIFS('📋 Транзакції'!$F$5:$F$3623,'📋 Транзакції'!$B$5:$B$3623,A314,'📋 Транзакції'!$C$5:$C$3623,"&gt;="&amp;EDATE(DATEVALUE(C314&amp;"-01"),3),'📋 Транзакції'!$C$5:$C$3623,"&lt;"&amp;EDATE(DATEVALUE(C314&amp;"-01"),4))</f>
        <v>19.99</v>
      </c>
      <c r="W314" s="37">
        <f>SUMIFS('📋 Транзакції'!$F$5:$F$3623,'📋 Транзакції'!$B$5:$B$3623,A314,'📋 Транзакції'!$C$5:$C$3623,"&gt;="&amp;EDATE(DATEVALUE(C314&amp;"-01"),4),'📋 Транзакції'!$C$5:$C$3623,"&lt;"&amp;EDATE(DATEVALUE(C314&amp;"-01"),5))</f>
        <v>19.99</v>
      </c>
      <c r="X314" s="37">
        <f>SUMIFS('📋 Транзакції'!$F$5:$F$3623,'📋 Транзакції'!$B$5:$B$3623,A314,'📋 Транзакції'!$C$5:$C$3623,"&gt;="&amp;EDATE(DATEVALUE(C314&amp;"-01"),5),'📋 Транзакції'!$C$5:$C$3623,"&lt;"&amp;EDATE(DATEVALUE(C314&amp;"-01"),6))</f>
        <v>19.99</v>
      </c>
      <c r="Y314" s="37">
        <f>SUMIFS('📋 Транзакції'!$F$5:$F$3623,'📋 Транзакції'!$B$5:$B$3623,A314,'📋 Транзакції'!$C$5:$C$3623,"&gt;="&amp;EDATE(DATEVALUE(C314&amp;"-01"),6),'📋 Транзакції'!$C$5:$C$3623,"&lt;"&amp;EDATE(DATEVALUE(C314&amp;"-01"),7))</f>
        <v>0</v>
      </c>
      <c r="Z314" s="37">
        <f>SUMIFS('📋 Транзакції'!$F$5:$F$3623,'📋 Транзакції'!$B$5:$B$3623,A314,'📋 Транзакції'!$C$5:$C$3623,"&gt;="&amp;EDATE(DATEVALUE(C314&amp;"-01"),7),'📋 Транзакції'!$C$5:$C$3623,"&lt;"&amp;EDATE(DATEVALUE(C314&amp;"-01"),8))</f>
        <v>0</v>
      </c>
      <c r="AA314" s="37">
        <f>SUMIFS('📋 Транзакції'!$F$5:$F$3623,'📋 Транзакції'!$B$5:$B$3623,A314,'📋 Транзакції'!$C$5:$C$3623,"&gt;="&amp;EDATE(DATEVALUE(C314&amp;"-01"),8),'📋 Транзакції'!$C$5:$C$3623,"&lt;"&amp;EDATE(DATEVALUE(C314&amp;"-01"),9))</f>
        <v>0</v>
      </c>
      <c r="AB314" s="37">
        <f>SUMIFS('📋 Транзакції'!$F$5:$F$3623,'📋 Транзакції'!$B$5:$B$3623,A314,'📋 Транзакції'!$C$5:$C$3623,"&gt;="&amp;EDATE(DATEVALUE(C314&amp;"-01"),9),'📋 Транзакції'!$C$5:$C$3623,"&lt;"&amp;EDATE(DATEVALUE(C314&amp;"-01"),10))</f>
        <v>0</v>
      </c>
      <c r="AC314" s="37">
        <f>SUMIFS('📋 Транзакції'!$F$5:$F$3623,'📋 Транзакції'!$B$5:$B$3623,A314,'📋 Транзакції'!$C$5:$C$3623,"&gt;="&amp;EDATE(DATEVALUE(C314&amp;"-01"),10),'📋 Транзакції'!$C$5:$C$3623,"&lt;"&amp;EDATE(DATEVALUE(C314&amp;"-01"),11))</f>
        <v>0</v>
      </c>
      <c r="AD314" s="37">
        <f>SUMIFS('📋 Транзакції'!$F$5:$F$3623,'📋 Транзакції'!$B$5:$B$3623,A314,'📋 Транзакції'!$C$5:$C$3623,"&gt;="&amp;EDATE(DATEVALUE(C314&amp;"-01"),11),'📋 Транзакції'!$C$5:$C$3623,"&lt;"&amp;EDATE(DATEVALUE(C314&amp;"-01"),12))</f>
        <v>0</v>
      </c>
    </row>
    <row r="315" ht="15.75" customHeight="1">
      <c r="A315" s="33" t="str">
        <f>'📋 Реєстрації'!A315:A916</f>
        <v>U0816</v>
      </c>
      <c r="B315" s="34">
        <f t="array" ref="B315">INDEX('📋 Транзакції'!$C$5:$C$3623,MATCH(A315,'📋 Транзакції'!$B$5:$B$3623,0))</f>
        <v>45570</v>
      </c>
      <c r="C315" s="35" t="str">
        <f t="shared" si="1"/>
        <v>2024-10</v>
      </c>
      <c r="D315" s="36">
        <f>COUNTIF('📋 Транзакції'!$B$5:$B$3623,A315)</f>
        <v>7</v>
      </c>
      <c r="E315" s="36">
        <f>SUMIF('📋 Транзакції'!$B$5:$B$3623,A315,'📋 Транзакції'!$F$5:$F$3623)</f>
        <v>119.94</v>
      </c>
      <c r="F315" s="35">
        <f>INT($A$1-MAXIFS('📋 Транзакції'!$C$5:$C$3623,'📋 Транзакції'!$B$5:$B$3623,A315))</f>
        <v>20</v>
      </c>
      <c r="G315" s="37">
        <f>IF(COUNTIFS('📋 Транзакції'!$B$5:$B$3623,A315,'📋 Транзакції'!$C$5:$C$3623,"&gt;="&amp;EDATE(DATEVALUE(C315&amp;"-01"),0),'📋 Транзакції'!$C$5:$C$3623,"&lt;"&amp;EDATE(DATEVALUE(C315&amp;"-01"),1))&gt;0,1,0)</f>
        <v>1</v>
      </c>
      <c r="H315" s="37">
        <f>IF(COUNTIFS('📋 Транзакції'!$B$5:$B$3623,A315,'📋 Транзакції'!$C$5:$C$3623,"&gt;="&amp;EDATE(DATEVALUE(C315&amp;"-01"),1),'📋 Транзакції'!$C$5:$C$3623,"&lt;"&amp;EDATE(DATEVALUE(C315&amp;"-01"),2))&gt;0,1,0)</f>
        <v>1</v>
      </c>
      <c r="I315" s="37">
        <f>IF(COUNTIFS('📋 Транзакції'!$B$5:$B$3623,A315,'📋 Транзакції'!$C$5:$C$3623,"&gt;="&amp;EDATE(DATEVALUE(C315&amp;"-01"),2),'📋 Транзакції'!$C$5:$C$3623,"&lt;"&amp;EDATE(DATEVALUE(C315&amp;"-01"),3))&gt;0,1,0)</f>
        <v>1</v>
      </c>
      <c r="J315" s="37">
        <f>IF(COUNTIFS('📋 Транзакції'!$B$5:$B$3623,A315,'📋 Транзакції'!$C$5:$C$3623,"&gt;="&amp;EDATE(DATEVALUE(C315&amp;"-01"),3),'📋 Транзакції'!$C$5:$C$3623,"&lt;"&amp;EDATE(DATEVALUE(C315&amp;"-01"),4))&gt;0,1,0)</f>
        <v>1</v>
      </c>
      <c r="K315" s="37">
        <f>IF(COUNTIFS('📋 Транзакції'!$B$5:$B$3623,A315,'📋 Транзакції'!$C$5:$C$3623,"&gt;="&amp;EDATE(DATEVALUE(C315&amp;"-01"),4),'📋 Транзакції'!$C$5:$C$3623,"&lt;"&amp;EDATE(DATEVALUE(C315&amp;"-01"),5))&gt;0,1,0)</f>
        <v>1</v>
      </c>
      <c r="L315" s="37">
        <f>IF(COUNTIFS('📋 Транзакції'!$B$5:$B$3623,A315,'📋 Транзакції'!$C$5:$C$3623,"&gt;="&amp;EDATE(DATEVALUE(C315&amp;"-01"),5),'📋 Транзакції'!$C$5:$C$3623,"&lt;"&amp;EDATE(DATEVALUE(C315&amp;"-01"),6))&gt;0,1,0)</f>
        <v>1</v>
      </c>
      <c r="M315" s="37">
        <f>IF(COUNTIFS('📋 Транзакції'!$B$5:$B$3623,A315,'📋 Транзакції'!$C$5:$C$3623,"&gt;="&amp;EDATE(DATEVALUE(C315&amp;"-01"),6),'📋 Транзакції'!$C$5:$C$3623,"&lt;"&amp;EDATE(DATEVALUE(C315&amp;"-01"),7))&gt;0,1,0)</f>
        <v>0</v>
      </c>
      <c r="N315" s="37">
        <f>IF(COUNTIFS('📋 Транзакції'!$B$5:$B$3623,A315,'📋 Транзакції'!$C$5:$C$3623,"&gt;="&amp;EDATE(DATEVALUE(C315&amp;"-01"),7),'📋 Транзакції'!$C$5:$C$3623,"&lt;"&amp;EDATE(DATEVALUE(C315&amp;"-01"),8))&gt;0,1,0)</f>
        <v>0</v>
      </c>
      <c r="O315" s="37">
        <f>IF(COUNTIFS('📋 Транзакції'!$B$5:$B$3623,A315,'📋 Транзакції'!$C$5:$C$3623,"&gt;="&amp;EDATE(DATEVALUE(C315&amp;"-01"),8),'📋 Транзакції'!$C$5:$C$3623,"&lt;"&amp;EDATE(DATEVALUE(C315&amp;"-01"),9))&gt;0,1,0)</f>
        <v>0</v>
      </c>
      <c r="P315" s="37">
        <f>IF(COUNTIFS('📋 Транзакції'!$B$5:$B$3623,A315,'📋 Транзакції'!$C$5:$C$3623,"&gt;="&amp;EDATE(DATEVALUE(C315&amp;"-01"),9),'📋 Транзакції'!$C$5:$C$3623,"&lt;"&amp;EDATE(DATEVALUE(C315&amp;"-01"),10))&gt;0,1,0)</f>
        <v>0</v>
      </c>
      <c r="Q315" s="37">
        <f>IF(COUNTIFS('📋 Транзакції'!$B$5:$B$3623,A315,'📋 Транзакції'!$C$5:$C$3623,"&gt;="&amp;EDATE(DATEVALUE(C315&amp;"-01"),10),'📋 Транзакції'!$C$5:$C$3623,"&lt;"&amp;EDATE(DATEVALUE(C315&amp;"-01"),11))&gt;0,1,0)</f>
        <v>0</v>
      </c>
      <c r="R315" s="37">
        <f>IF(COUNTIFS('📋 Транзакції'!$B$5:$B$3623,A315,'📋 Транзакції'!$C$5:$C$3623,"&gt;="&amp;EDATE(DATEVALUE(C315&amp;"-01"),11),'📋 Транзакції'!$C$5:$C$3623,"&lt;"&amp;EDATE(DATEVALUE(C315&amp;"-01"),12))&gt;0,1,0)</f>
        <v>0</v>
      </c>
      <c r="S315" s="37">
        <f>SUMIFS('📋 Транзакції'!$F$5:$F$3623,'📋 Транзакції'!$B$5:$B$3623,A315,'📋 Транзакції'!$C$5:$C$3623,"&gt;="&amp;EDATE(DATEVALUE(C315&amp;"-01"),0),'📋 Транзакції'!$C$5:$C$3623,"&lt;"&amp;EDATE(DATEVALUE(C315&amp;"-01"),1))</f>
        <v>19.99</v>
      </c>
      <c r="T315" s="37">
        <f>SUMIFS('📋 Транзакції'!$F$5:$F$3623,'📋 Транзакції'!$B$5:$B$3623,A315,'📋 Транзакції'!$C$5:$C$3623,"&gt;="&amp;EDATE(DATEVALUE(C315&amp;"-01"),1),'📋 Транзакції'!$C$5:$C$3623,"&lt;"&amp;EDATE(DATEVALUE(C315&amp;"-01"),2))</f>
        <v>19.99</v>
      </c>
      <c r="U315" s="37">
        <f>SUMIFS('📋 Транзакції'!$F$5:$F$3623,'📋 Транзакції'!$B$5:$B$3623,A315,'📋 Транзакції'!$C$5:$C$3623,"&gt;="&amp;EDATE(DATEVALUE(C315&amp;"-01"),2),'📋 Транзакції'!$C$5:$C$3623,"&lt;"&amp;EDATE(DATEVALUE(C315&amp;"-01"),3))</f>
        <v>19.99</v>
      </c>
      <c r="V315" s="37">
        <f>SUMIFS('📋 Транзакції'!$F$5:$F$3623,'📋 Транзакції'!$B$5:$B$3623,A315,'📋 Транзакції'!$C$5:$C$3623,"&gt;="&amp;EDATE(DATEVALUE(C315&amp;"-01"),3),'📋 Транзакції'!$C$5:$C$3623,"&lt;"&amp;EDATE(DATEVALUE(C315&amp;"-01"),4))</f>
        <v>19.99</v>
      </c>
      <c r="W315" s="37">
        <f>SUMIFS('📋 Транзакції'!$F$5:$F$3623,'📋 Транзакції'!$B$5:$B$3623,A315,'📋 Транзакції'!$C$5:$C$3623,"&gt;="&amp;EDATE(DATEVALUE(C315&amp;"-01"),4),'📋 Транзакції'!$C$5:$C$3623,"&lt;"&amp;EDATE(DATEVALUE(C315&amp;"-01"),5))</f>
        <v>19.99</v>
      </c>
      <c r="X315" s="37">
        <f>SUMIFS('📋 Транзакції'!$F$5:$F$3623,'📋 Транзакції'!$B$5:$B$3623,A315,'📋 Транзакції'!$C$5:$C$3623,"&gt;="&amp;EDATE(DATEVALUE(C315&amp;"-01"),5),'📋 Транзакції'!$C$5:$C$3623,"&lt;"&amp;EDATE(DATEVALUE(C315&amp;"-01"),6))</f>
        <v>19.99</v>
      </c>
      <c r="Y315" s="37">
        <f>SUMIFS('📋 Транзакції'!$F$5:$F$3623,'📋 Транзакції'!$B$5:$B$3623,A315,'📋 Транзакції'!$C$5:$C$3623,"&gt;="&amp;EDATE(DATEVALUE(C315&amp;"-01"),6),'📋 Транзакції'!$C$5:$C$3623,"&lt;"&amp;EDATE(DATEVALUE(C315&amp;"-01"),7))</f>
        <v>0</v>
      </c>
      <c r="Z315" s="37">
        <f>SUMIFS('📋 Транзакції'!$F$5:$F$3623,'📋 Транзакції'!$B$5:$B$3623,A315,'📋 Транзакції'!$C$5:$C$3623,"&gt;="&amp;EDATE(DATEVALUE(C315&amp;"-01"),7),'📋 Транзакції'!$C$5:$C$3623,"&lt;"&amp;EDATE(DATEVALUE(C315&amp;"-01"),8))</f>
        <v>0</v>
      </c>
      <c r="AA315" s="37">
        <f>SUMIFS('📋 Транзакції'!$F$5:$F$3623,'📋 Транзакції'!$B$5:$B$3623,A315,'📋 Транзакції'!$C$5:$C$3623,"&gt;="&amp;EDATE(DATEVALUE(C315&amp;"-01"),8),'📋 Транзакції'!$C$5:$C$3623,"&lt;"&amp;EDATE(DATEVALUE(C315&amp;"-01"),9))</f>
        <v>0</v>
      </c>
      <c r="AB315" s="37">
        <f>SUMIFS('📋 Транзакції'!$F$5:$F$3623,'📋 Транзакції'!$B$5:$B$3623,A315,'📋 Транзакції'!$C$5:$C$3623,"&gt;="&amp;EDATE(DATEVALUE(C315&amp;"-01"),9),'📋 Транзакції'!$C$5:$C$3623,"&lt;"&amp;EDATE(DATEVALUE(C315&amp;"-01"),10))</f>
        <v>0</v>
      </c>
      <c r="AC315" s="37">
        <f>SUMIFS('📋 Транзакції'!$F$5:$F$3623,'📋 Транзакції'!$B$5:$B$3623,A315,'📋 Транзакції'!$C$5:$C$3623,"&gt;="&amp;EDATE(DATEVALUE(C315&amp;"-01"),10),'📋 Транзакції'!$C$5:$C$3623,"&lt;"&amp;EDATE(DATEVALUE(C315&amp;"-01"),11))</f>
        <v>0</v>
      </c>
      <c r="AD315" s="37">
        <f>SUMIFS('📋 Транзакції'!$F$5:$F$3623,'📋 Транзакції'!$B$5:$B$3623,A315,'📋 Транзакції'!$C$5:$C$3623,"&gt;="&amp;EDATE(DATEVALUE(C315&amp;"-01"),11),'📋 Транзакції'!$C$5:$C$3623,"&lt;"&amp;EDATE(DATEVALUE(C315&amp;"-01"),12))</f>
        <v>0</v>
      </c>
    </row>
    <row r="316" ht="15.75" customHeight="1">
      <c r="A316" s="33" t="str">
        <f>'📋 Реєстрації'!A316:A917</f>
        <v>U0276</v>
      </c>
      <c r="B316" s="34">
        <f t="array" ref="B316">INDEX('📋 Транзакції'!$C$5:$C$3623,MATCH(A316,'📋 Транзакції'!$B$5:$B$3623,0))</f>
        <v>45571</v>
      </c>
      <c r="C316" s="35" t="str">
        <f t="shared" si="1"/>
        <v>2024-10</v>
      </c>
      <c r="D316" s="36">
        <f>COUNTIF('📋 Транзакції'!$B$5:$B$3623,A316)</f>
        <v>7</v>
      </c>
      <c r="E316" s="36">
        <f>SUMIF('📋 Транзакції'!$B$5:$B$3623,A316,'📋 Транзакції'!$F$5:$F$3623)</f>
        <v>119.94</v>
      </c>
      <c r="F316" s="35">
        <f>INT($A$1-MAXIFS('📋 Транзакції'!$C$5:$C$3623,'📋 Транзакції'!$B$5:$B$3623,A316))</f>
        <v>19</v>
      </c>
      <c r="G316" s="37">
        <f>IF(COUNTIFS('📋 Транзакції'!$B$5:$B$3623,A316,'📋 Транзакції'!$C$5:$C$3623,"&gt;="&amp;EDATE(DATEVALUE(C316&amp;"-01"),0),'📋 Транзакції'!$C$5:$C$3623,"&lt;"&amp;EDATE(DATEVALUE(C316&amp;"-01"),1))&gt;0,1,0)</f>
        <v>1</v>
      </c>
      <c r="H316" s="37">
        <f>IF(COUNTIFS('📋 Транзакції'!$B$5:$B$3623,A316,'📋 Транзакції'!$C$5:$C$3623,"&gt;="&amp;EDATE(DATEVALUE(C316&amp;"-01"),1),'📋 Транзакції'!$C$5:$C$3623,"&lt;"&amp;EDATE(DATEVALUE(C316&amp;"-01"),2))&gt;0,1,0)</f>
        <v>1</v>
      </c>
      <c r="I316" s="37">
        <f>IF(COUNTIFS('📋 Транзакції'!$B$5:$B$3623,A316,'📋 Транзакції'!$C$5:$C$3623,"&gt;="&amp;EDATE(DATEVALUE(C316&amp;"-01"),2),'📋 Транзакції'!$C$5:$C$3623,"&lt;"&amp;EDATE(DATEVALUE(C316&amp;"-01"),3))&gt;0,1,0)</f>
        <v>1</v>
      </c>
      <c r="J316" s="37">
        <f>IF(COUNTIFS('📋 Транзакції'!$B$5:$B$3623,A316,'📋 Транзакції'!$C$5:$C$3623,"&gt;="&amp;EDATE(DATEVALUE(C316&amp;"-01"),3),'📋 Транзакції'!$C$5:$C$3623,"&lt;"&amp;EDATE(DATEVALUE(C316&amp;"-01"),4))&gt;0,1,0)</f>
        <v>1</v>
      </c>
      <c r="K316" s="37">
        <f>IF(COUNTIFS('📋 Транзакції'!$B$5:$B$3623,A316,'📋 Транзакції'!$C$5:$C$3623,"&gt;="&amp;EDATE(DATEVALUE(C316&amp;"-01"),4),'📋 Транзакції'!$C$5:$C$3623,"&lt;"&amp;EDATE(DATEVALUE(C316&amp;"-01"),5))&gt;0,1,0)</f>
        <v>1</v>
      </c>
      <c r="L316" s="37">
        <f>IF(COUNTIFS('📋 Транзакції'!$B$5:$B$3623,A316,'📋 Транзакції'!$C$5:$C$3623,"&gt;="&amp;EDATE(DATEVALUE(C316&amp;"-01"),5),'📋 Транзакції'!$C$5:$C$3623,"&lt;"&amp;EDATE(DATEVALUE(C316&amp;"-01"),6))&gt;0,1,0)</f>
        <v>1</v>
      </c>
      <c r="M316" s="37">
        <f>IF(COUNTIFS('📋 Транзакції'!$B$5:$B$3623,A316,'📋 Транзакції'!$C$5:$C$3623,"&gt;="&amp;EDATE(DATEVALUE(C316&amp;"-01"),6),'📋 Транзакції'!$C$5:$C$3623,"&lt;"&amp;EDATE(DATEVALUE(C316&amp;"-01"),7))&gt;0,1,0)</f>
        <v>0</v>
      </c>
      <c r="N316" s="37">
        <f>IF(COUNTIFS('📋 Транзакції'!$B$5:$B$3623,A316,'📋 Транзакції'!$C$5:$C$3623,"&gt;="&amp;EDATE(DATEVALUE(C316&amp;"-01"),7),'📋 Транзакції'!$C$5:$C$3623,"&lt;"&amp;EDATE(DATEVALUE(C316&amp;"-01"),8))&gt;0,1,0)</f>
        <v>0</v>
      </c>
      <c r="O316" s="37">
        <f>IF(COUNTIFS('📋 Транзакції'!$B$5:$B$3623,A316,'📋 Транзакції'!$C$5:$C$3623,"&gt;="&amp;EDATE(DATEVALUE(C316&amp;"-01"),8),'📋 Транзакції'!$C$5:$C$3623,"&lt;"&amp;EDATE(DATEVALUE(C316&amp;"-01"),9))&gt;0,1,0)</f>
        <v>0</v>
      </c>
      <c r="P316" s="37">
        <f>IF(COUNTIFS('📋 Транзакції'!$B$5:$B$3623,A316,'📋 Транзакції'!$C$5:$C$3623,"&gt;="&amp;EDATE(DATEVALUE(C316&amp;"-01"),9),'📋 Транзакції'!$C$5:$C$3623,"&lt;"&amp;EDATE(DATEVALUE(C316&amp;"-01"),10))&gt;0,1,0)</f>
        <v>0</v>
      </c>
      <c r="Q316" s="37">
        <f>IF(COUNTIFS('📋 Транзакції'!$B$5:$B$3623,A316,'📋 Транзакції'!$C$5:$C$3623,"&gt;="&amp;EDATE(DATEVALUE(C316&amp;"-01"),10),'📋 Транзакції'!$C$5:$C$3623,"&lt;"&amp;EDATE(DATEVALUE(C316&amp;"-01"),11))&gt;0,1,0)</f>
        <v>0</v>
      </c>
      <c r="R316" s="37">
        <f>IF(COUNTIFS('📋 Транзакції'!$B$5:$B$3623,A316,'📋 Транзакції'!$C$5:$C$3623,"&gt;="&amp;EDATE(DATEVALUE(C316&amp;"-01"),11),'📋 Транзакції'!$C$5:$C$3623,"&lt;"&amp;EDATE(DATEVALUE(C316&amp;"-01"),12))&gt;0,1,0)</f>
        <v>0</v>
      </c>
      <c r="S316" s="37">
        <f>SUMIFS('📋 Транзакції'!$F$5:$F$3623,'📋 Транзакції'!$B$5:$B$3623,A316,'📋 Транзакції'!$C$5:$C$3623,"&gt;="&amp;EDATE(DATEVALUE(C316&amp;"-01"),0),'📋 Транзакції'!$C$5:$C$3623,"&lt;"&amp;EDATE(DATEVALUE(C316&amp;"-01"),1))</f>
        <v>19.99</v>
      </c>
      <c r="T316" s="37">
        <f>SUMIFS('📋 Транзакції'!$F$5:$F$3623,'📋 Транзакції'!$B$5:$B$3623,A316,'📋 Транзакції'!$C$5:$C$3623,"&gt;="&amp;EDATE(DATEVALUE(C316&amp;"-01"),1),'📋 Транзакції'!$C$5:$C$3623,"&lt;"&amp;EDATE(DATEVALUE(C316&amp;"-01"),2))</f>
        <v>19.99</v>
      </c>
      <c r="U316" s="37">
        <f>SUMIFS('📋 Транзакції'!$F$5:$F$3623,'📋 Транзакції'!$B$5:$B$3623,A316,'📋 Транзакції'!$C$5:$C$3623,"&gt;="&amp;EDATE(DATEVALUE(C316&amp;"-01"),2),'📋 Транзакції'!$C$5:$C$3623,"&lt;"&amp;EDATE(DATEVALUE(C316&amp;"-01"),3))</f>
        <v>19.99</v>
      </c>
      <c r="V316" s="37">
        <f>SUMIFS('📋 Транзакції'!$F$5:$F$3623,'📋 Транзакції'!$B$5:$B$3623,A316,'📋 Транзакції'!$C$5:$C$3623,"&gt;="&amp;EDATE(DATEVALUE(C316&amp;"-01"),3),'📋 Транзакції'!$C$5:$C$3623,"&lt;"&amp;EDATE(DATEVALUE(C316&amp;"-01"),4))</f>
        <v>19.99</v>
      </c>
      <c r="W316" s="37">
        <f>SUMIFS('📋 Транзакції'!$F$5:$F$3623,'📋 Транзакції'!$B$5:$B$3623,A316,'📋 Транзакції'!$C$5:$C$3623,"&gt;="&amp;EDATE(DATEVALUE(C316&amp;"-01"),4),'📋 Транзакції'!$C$5:$C$3623,"&lt;"&amp;EDATE(DATEVALUE(C316&amp;"-01"),5))</f>
        <v>19.99</v>
      </c>
      <c r="X316" s="37">
        <f>SUMIFS('📋 Транзакції'!$F$5:$F$3623,'📋 Транзакції'!$B$5:$B$3623,A316,'📋 Транзакції'!$C$5:$C$3623,"&gt;="&amp;EDATE(DATEVALUE(C316&amp;"-01"),5),'📋 Транзакції'!$C$5:$C$3623,"&lt;"&amp;EDATE(DATEVALUE(C316&amp;"-01"),6))</f>
        <v>19.99</v>
      </c>
      <c r="Y316" s="37">
        <f>SUMIFS('📋 Транзакції'!$F$5:$F$3623,'📋 Транзакції'!$B$5:$B$3623,A316,'📋 Транзакції'!$C$5:$C$3623,"&gt;="&amp;EDATE(DATEVALUE(C316&amp;"-01"),6),'📋 Транзакції'!$C$5:$C$3623,"&lt;"&amp;EDATE(DATEVALUE(C316&amp;"-01"),7))</f>
        <v>0</v>
      </c>
      <c r="Z316" s="37">
        <f>SUMIFS('📋 Транзакції'!$F$5:$F$3623,'📋 Транзакції'!$B$5:$B$3623,A316,'📋 Транзакції'!$C$5:$C$3623,"&gt;="&amp;EDATE(DATEVALUE(C316&amp;"-01"),7),'📋 Транзакції'!$C$5:$C$3623,"&lt;"&amp;EDATE(DATEVALUE(C316&amp;"-01"),8))</f>
        <v>0</v>
      </c>
      <c r="AA316" s="37">
        <f>SUMIFS('📋 Транзакції'!$F$5:$F$3623,'📋 Транзакції'!$B$5:$B$3623,A316,'📋 Транзакції'!$C$5:$C$3623,"&gt;="&amp;EDATE(DATEVALUE(C316&amp;"-01"),8),'📋 Транзакції'!$C$5:$C$3623,"&lt;"&amp;EDATE(DATEVALUE(C316&amp;"-01"),9))</f>
        <v>0</v>
      </c>
      <c r="AB316" s="37">
        <f>SUMIFS('📋 Транзакції'!$F$5:$F$3623,'📋 Транзакції'!$B$5:$B$3623,A316,'📋 Транзакції'!$C$5:$C$3623,"&gt;="&amp;EDATE(DATEVALUE(C316&amp;"-01"),9),'📋 Транзакції'!$C$5:$C$3623,"&lt;"&amp;EDATE(DATEVALUE(C316&amp;"-01"),10))</f>
        <v>0</v>
      </c>
      <c r="AC316" s="37">
        <f>SUMIFS('📋 Транзакції'!$F$5:$F$3623,'📋 Транзакції'!$B$5:$B$3623,A316,'📋 Транзакції'!$C$5:$C$3623,"&gt;="&amp;EDATE(DATEVALUE(C316&amp;"-01"),10),'📋 Транзакції'!$C$5:$C$3623,"&lt;"&amp;EDATE(DATEVALUE(C316&amp;"-01"),11))</f>
        <v>0</v>
      </c>
      <c r="AD316" s="37">
        <f>SUMIFS('📋 Транзакції'!$F$5:$F$3623,'📋 Транзакції'!$B$5:$B$3623,A316,'📋 Транзакції'!$C$5:$C$3623,"&gt;="&amp;EDATE(DATEVALUE(C316&amp;"-01"),11),'📋 Транзакції'!$C$5:$C$3623,"&lt;"&amp;EDATE(DATEVALUE(C316&amp;"-01"),12))</f>
        <v>0</v>
      </c>
    </row>
    <row r="317" ht="15.75" customHeight="1">
      <c r="A317" s="33" t="str">
        <f>'📋 Реєстрації'!A317:A918</f>
        <v>U0849</v>
      </c>
      <c r="B317" s="34">
        <f t="array" ref="B317">INDEX('📋 Транзакції'!$C$5:$C$3623,MATCH(A317,'📋 Транзакції'!$B$5:$B$3623,0))</f>
        <v>45572</v>
      </c>
      <c r="C317" s="35" t="str">
        <f t="shared" si="1"/>
        <v>2024-10</v>
      </c>
      <c r="D317" s="36">
        <f>COUNTIF('📋 Транзакції'!$B$5:$B$3623,A317)</f>
        <v>6</v>
      </c>
      <c r="E317" s="36">
        <f>SUMIF('📋 Транзакції'!$B$5:$B$3623,A317,'📋 Транзакції'!$F$5:$F$3623)</f>
        <v>99.95</v>
      </c>
      <c r="F317" s="35">
        <f>INT($A$1-MAXIFS('📋 Транзакції'!$C$5:$C$3623,'📋 Транзакції'!$B$5:$B$3623,A317))</f>
        <v>48</v>
      </c>
      <c r="G317" s="37">
        <f>IF(COUNTIFS('📋 Транзакції'!$B$5:$B$3623,A317,'📋 Транзакції'!$C$5:$C$3623,"&gt;="&amp;EDATE(DATEVALUE(C317&amp;"-01"),0),'📋 Транзакції'!$C$5:$C$3623,"&lt;"&amp;EDATE(DATEVALUE(C317&amp;"-01"),1))&gt;0,1,0)</f>
        <v>1</v>
      </c>
      <c r="H317" s="37">
        <f>IF(COUNTIFS('📋 Транзакції'!$B$5:$B$3623,A317,'📋 Транзакції'!$C$5:$C$3623,"&gt;="&amp;EDATE(DATEVALUE(C317&amp;"-01"),1),'📋 Транзакції'!$C$5:$C$3623,"&lt;"&amp;EDATE(DATEVALUE(C317&amp;"-01"),2))&gt;0,1,0)</f>
        <v>1</v>
      </c>
      <c r="I317" s="37">
        <f>IF(COUNTIFS('📋 Транзакції'!$B$5:$B$3623,A317,'📋 Транзакції'!$C$5:$C$3623,"&gt;="&amp;EDATE(DATEVALUE(C317&amp;"-01"),2),'📋 Транзакції'!$C$5:$C$3623,"&lt;"&amp;EDATE(DATEVALUE(C317&amp;"-01"),3))&gt;0,1,0)</f>
        <v>1</v>
      </c>
      <c r="J317" s="37">
        <f>IF(COUNTIFS('📋 Транзакції'!$B$5:$B$3623,A317,'📋 Транзакції'!$C$5:$C$3623,"&gt;="&amp;EDATE(DATEVALUE(C317&amp;"-01"),3),'📋 Транзакції'!$C$5:$C$3623,"&lt;"&amp;EDATE(DATEVALUE(C317&amp;"-01"),4))&gt;0,1,0)</f>
        <v>1</v>
      </c>
      <c r="K317" s="37">
        <f>IF(COUNTIFS('📋 Транзакції'!$B$5:$B$3623,A317,'📋 Транзакції'!$C$5:$C$3623,"&gt;="&amp;EDATE(DATEVALUE(C317&amp;"-01"),4),'📋 Транзакції'!$C$5:$C$3623,"&lt;"&amp;EDATE(DATEVALUE(C317&amp;"-01"),5))&gt;0,1,0)</f>
        <v>1</v>
      </c>
      <c r="L317" s="37">
        <f>IF(COUNTIFS('📋 Транзакції'!$B$5:$B$3623,A317,'📋 Транзакції'!$C$5:$C$3623,"&gt;="&amp;EDATE(DATEVALUE(C317&amp;"-01"),5),'📋 Транзакції'!$C$5:$C$3623,"&lt;"&amp;EDATE(DATEVALUE(C317&amp;"-01"),6))&gt;0,1,0)</f>
        <v>0</v>
      </c>
      <c r="M317" s="37">
        <f>IF(COUNTIFS('📋 Транзакції'!$B$5:$B$3623,A317,'📋 Транзакції'!$C$5:$C$3623,"&gt;="&amp;EDATE(DATEVALUE(C317&amp;"-01"),6),'📋 Транзакції'!$C$5:$C$3623,"&lt;"&amp;EDATE(DATEVALUE(C317&amp;"-01"),7))&gt;0,1,0)</f>
        <v>0</v>
      </c>
      <c r="N317" s="37">
        <f>IF(COUNTIFS('📋 Транзакції'!$B$5:$B$3623,A317,'📋 Транзакції'!$C$5:$C$3623,"&gt;="&amp;EDATE(DATEVALUE(C317&amp;"-01"),7),'📋 Транзакції'!$C$5:$C$3623,"&lt;"&amp;EDATE(DATEVALUE(C317&amp;"-01"),8))&gt;0,1,0)</f>
        <v>0</v>
      </c>
      <c r="O317" s="37">
        <f>IF(COUNTIFS('📋 Транзакції'!$B$5:$B$3623,A317,'📋 Транзакції'!$C$5:$C$3623,"&gt;="&amp;EDATE(DATEVALUE(C317&amp;"-01"),8),'📋 Транзакції'!$C$5:$C$3623,"&lt;"&amp;EDATE(DATEVALUE(C317&amp;"-01"),9))&gt;0,1,0)</f>
        <v>0</v>
      </c>
      <c r="P317" s="37">
        <f>IF(COUNTIFS('📋 Транзакції'!$B$5:$B$3623,A317,'📋 Транзакції'!$C$5:$C$3623,"&gt;="&amp;EDATE(DATEVALUE(C317&amp;"-01"),9),'📋 Транзакції'!$C$5:$C$3623,"&lt;"&amp;EDATE(DATEVALUE(C317&amp;"-01"),10))&gt;0,1,0)</f>
        <v>0</v>
      </c>
      <c r="Q317" s="37">
        <f>IF(COUNTIFS('📋 Транзакції'!$B$5:$B$3623,A317,'📋 Транзакції'!$C$5:$C$3623,"&gt;="&amp;EDATE(DATEVALUE(C317&amp;"-01"),10),'📋 Транзакції'!$C$5:$C$3623,"&lt;"&amp;EDATE(DATEVALUE(C317&amp;"-01"),11))&gt;0,1,0)</f>
        <v>0</v>
      </c>
      <c r="R317" s="37">
        <f>IF(COUNTIFS('📋 Транзакції'!$B$5:$B$3623,A317,'📋 Транзакції'!$C$5:$C$3623,"&gt;="&amp;EDATE(DATEVALUE(C317&amp;"-01"),11),'📋 Транзакції'!$C$5:$C$3623,"&lt;"&amp;EDATE(DATEVALUE(C317&amp;"-01"),12))&gt;0,1,0)</f>
        <v>0</v>
      </c>
      <c r="S317" s="37">
        <f>SUMIFS('📋 Транзакції'!$F$5:$F$3623,'📋 Транзакції'!$B$5:$B$3623,A317,'📋 Транзакції'!$C$5:$C$3623,"&gt;="&amp;EDATE(DATEVALUE(C317&amp;"-01"),0),'📋 Транзакції'!$C$5:$C$3623,"&lt;"&amp;EDATE(DATEVALUE(C317&amp;"-01"),1))</f>
        <v>19.99</v>
      </c>
      <c r="T317" s="37">
        <f>SUMIFS('📋 Транзакції'!$F$5:$F$3623,'📋 Транзакції'!$B$5:$B$3623,A317,'📋 Транзакції'!$C$5:$C$3623,"&gt;="&amp;EDATE(DATEVALUE(C317&amp;"-01"),1),'📋 Транзакції'!$C$5:$C$3623,"&lt;"&amp;EDATE(DATEVALUE(C317&amp;"-01"),2))</f>
        <v>19.99</v>
      </c>
      <c r="U317" s="37">
        <f>SUMIFS('📋 Транзакції'!$F$5:$F$3623,'📋 Транзакції'!$B$5:$B$3623,A317,'📋 Транзакції'!$C$5:$C$3623,"&gt;="&amp;EDATE(DATEVALUE(C317&amp;"-01"),2),'📋 Транзакції'!$C$5:$C$3623,"&lt;"&amp;EDATE(DATEVALUE(C317&amp;"-01"),3))</f>
        <v>19.99</v>
      </c>
      <c r="V317" s="37">
        <f>SUMIFS('📋 Транзакції'!$F$5:$F$3623,'📋 Транзакції'!$B$5:$B$3623,A317,'📋 Транзакції'!$C$5:$C$3623,"&gt;="&amp;EDATE(DATEVALUE(C317&amp;"-01"),3),'📋 Транзакції'!$C$5:$C$3623,"&lt;"&amp;EDATE(DATEVALUE(C317&amp;"-01"),4))</f>
        <v>19.99</v>
      </c>
      <c r="W317" s="37">
        <f>SUMIFS('📋 Транзакції'!$F$5:$F$3623,'📋 Транзакції'!$B$5:$B$3623,A317,'📋 Транзакції'!$C$5:$C$3623,"&gt;="&amp;EDATE(DATEVALUE(C317&amp;"-01"),4),'📋 Транзакції'!$C$5:$C$3623,"&lt;"&amp;EDATE(DATEVALUE(C317&amp;"-01"),5))</f>
        <v>19.99</v>
      </c>
      <c r="X317" s="37">
        <f>SUMIFS('📋 Транзакції'!$F$5:$F$3623,'📋 Транзакції'!$B$5:$B$3623,A317,'📋 Транзакції'!$C$5:$C$3623,"&gt;="&amp;EDATE(DATEVALUE(C317&amp;"-01"),5),'📋 Транзакції'!$C$5:$C$3623,"&lt;"&amp;EDATE(DATEVALUE(C317&amp;"-01"),6))</f>
        <v>0</v>
      </c>
      <c r="Y317" s="37">
        <f>SUMIFS('📋 Транзакції'!$F$5:$F$3623,'📋 Транзакції'!$B$5:$B$3623,A317,'📋 Транзакції'!$C$5:$C$3623,"&gt;="&amp;EDATE(DATEVALUE(C317&amp;"-01"),6),'📋 Транзакції'!$C$5:$C$3623,"&lt;"&amp;EDATE(DATEVALUE(C317&amp;"-01"),7))</f>
        <v>0</v>
      </c>
      <c r="Z317" s="37">
        <f>SUMIFS('📋 Транзакції'!$F$5:$F$3623,'📋 Транзакції'!$B$5:$B$3623,A317,'📋 Транзакції'!$C$5:$C$3623,"&gt;="&amp;EDATE(DATEVALUE(C317&amp;"-01"),7),'📋 Транзакції'!$C$5:$C$3623,"&lt;"&amp;EDATE(DATEVALUE(C317&amp;"-01"),8))</f>
        <v>0</v>
      </c>
      <c r="AA317" s="37">
        <f>SUMIFS('📋 Транзакції'!$F$5:$F$3623,'📋 Транзакції'!$B$5:$B$3623,A317,'📋 Транзакції'!$C$5:$C$3623,"&gt;="&amp;EDATE(DATEVALUE(C317&amp;"-01"),8),'📋 Транзакції'!$C$5:$C$3623,"&lt;"&amp;EDATE(DATEVALUE(C317&amp;"-01"),9))</f>
        <v>0</v>
      </c>
      <c r="AB317" s="37">
        <f>SUMIFS('📋 Транзакції'!$F$5:$F$3623,'📋 Транзакції'!$B$5:$B$3623,A317,'📋 Транзакції'!$C$5:$C$3623,"&gt;="&amp;EDATE(DATEVALUE(C317&amp;"-01"),9),'📋 Транзакції'!$C$5:$C$3623,"&lt;"&amp;EDATE(DATEVALUE(C317&amp;"-01"),10))</f>
        <v>0</v>
      </c>
      <c r="AC317" s="37">
        <f>SUMIFS('📋 Транзакції'!$F$5:$F$3623,'📋 Транзакції'!$B$5:$B$3623,A317,'📋 Транзакції'!$C$5:$C$3623,"&gt;="&amp;EDATE(DATEVALUE(C317&amp;"-01"),10),'📋 Транзакції'!$C$5:$C$3623,"&lt;"&amp;EDATE(DATEVALUE(C317&amp;"-01"),11))</f>
        <v>0</v>
      </c>
      <c r="AD317" s="37">
        <f>SUMIFS('📋 Транзакції'!$F$5:$F$3623,'📋 Транзакції'!$B$5:$B$3623,A317,'📋 Транзакції'!$C$5:$C$3623,"&gt;="&amp;EDATE(DATEVALUE(C317&amp;"-01"),11),'📋 Транзакції'!$C$5:$C$3623,"&lt;"&amp;EDATE(DATEVALUE(C317&amp;"-01"),12))</f>
        <v>0</v>
      </c>
    </row>
    <row r="318" ht="15.75" customHeight="1">
      <c r="A318" s="33" t="str">
        <f>'📋 Реєстрації'!A318:A919</f>
        <v>U0097</v>
      </c>
      <c r="B318" s="34">
        <f t="array" ref="B318">INDEX('📋 Транзакції'!$C$5:$C$3623,MATCH(A318,'📋 Транзакції'!$B$5:$B$3623,0))</f>
        <v>45574</v>
      </c>
      <c r="C318" s="35" t="str">
        <f t="shared" si="1"/>
        <v>2024-10</v>
      </c>
      <c r="D318" s="36">
        <f>COUNTIF('📋 Транзакції'!$B$5:$B$3623,A318)</f>
        <v>2</v>
      </c>
      <c r="E318" s="36">
        <f>SUMIF('📋 Транзакції'!$B$5:$B$3623,A318,'📋 Транзакції'!$F$5:$F$3623)</f>
        <v>19.99</v>
      </c>
      <c r="F318" s="35">
        <f>INT($A$1-MAXIFS('📋 Транзакції'!$C$5:$C$3623,'📋 Транзакції'!$B$5:$B$3623,A318))</f>
        <v>166</v>
      </c>
      <c r="G318" s="37">
        <f>IF(COUNTIFS('📋 Транзакції'!$B$5:$B$3623,A318,'📋 Транзакції'!$C$5:$C$3623,"&gt;="&amp;EDATE(DATEVALUE(C318&amp;"-01"),0),'📋 Транзакції'!$C$5:$C$3623,"&lt;"&amp;EDATE(DATEVALUE(C318&amp;"-01"),1))&gt;0,1,0)</f>
        <v>1</v>
      </c>
      <c r="H318" s="37">
        <f>IF(COUNTIFS('📋 Транзакції'!$B$5:$B$3623,A318,'📋 Транзакції'!$C$5:$C$3623,"&gt;="&amp;EDATE(DATEVALUE(C318&amp;"-01"),1),'📋 Транзакції'!$C$5:$C$3623,"&lt;"&amp;EDATE(DATEVALUE(C318&amp;"-01"),2))&gt;0,1,0)</f>
        <v>0</v>
      </c>
      <c r="I318" s="37">
        <f>IF(COUNTIFS('📋 Транзакції'!$B$5:$B$3623,A318,'📋 Транзакції'!$C$5:$C$3623,"&gt;="&amp;EDATE(DATEVALUE(C318&amp;"-01"),2),'📋 Транзакції'!$C$5:$C$3623,"&lt;"&amp;EDATE(DATEVALUE(C318&amp;"-01"),3))&gt;0,1,0)</f>
        <v>0</v>
      </c>
      <c r="J318" s="37">
        <f>IF(COUNTIFS('📋 Транзакції'!$B$5:$B$3623,A318,'📋 Транзакції'!$C$5:$C$3623,"&gt;="&amp;EDATE(DATEVALUE(C318&amp;"-01"),3),'📋 Транзакції'!$C$5:$C$3623,"&lt;"&amp;EDATE(DATEVALUE(C318&amp;"-01"),4))&gt;0,1,0)</f>
        <v>0</v>
      </c>
      <c r="K318" s="37">
        <f>IF(COUNTIFS('📋 Транзакції'!$B$5:$B$3623,A318,'📋 Транзакції'!$C$5:$C$3623,"&gt;="&amp;EDATE(DATEVALUE(C318&amp;"-01"),4),'📋 Транзакції'!$C$5:$C$3623,"&lt;"&amp;EDATE(DATEVALUE(C318&amp;"-01"),5))&gt;0,1,0)</f>
        <v>0</v>
      </c>
      <c r="L318" s="37">
        <f>IF(COUNTIFS('📋 Транзакції'!$B$5:$B$3623,A318,'📋 Транзакції'!$C$5:$C$3623,"&gt;="&amp;EDATE(DATEVALUE(C318&amp;"-01"),5),'📋 Транзакції'!$C$5:$C$3623,"&lt;"&amp;EDATE(DATEVALUE(C318&amp;"-01"),6))&gt;0,1,0)</f>
        <v>0</v>
      </c>
      <c r="M318" s="37">
        <f>IF(COUNTIFS('📋 Транзакції'!$B$5:$B$3623,A318,'📋 Транзакції'!$C$5:$C$3623,"&gt;="&amp;EDATE(DATEVALUE(C318&amp;"-01"),6),'📋 Транзакції'!$C$5:$C$3623,"&lt;"&amp;EDATE(DATEVALUE(C318&amp;"-01"),7))&gt;0,1,0)</f>
        <v>0</v>
      </c>
      <c r="N318" s="37">
        <f>IF(COUNTIFS('📋 Транзакції'!$B$5:$B$3623,A318,'📋 Транзакції'!$C$5:$C$3623,"&gt;="&amp;EDATE(DATEVALUE(C318&amp;"-01"),7),'📋 Транзакції'!$C$5:$C$3623,"&lt;"&amp;EDATE(DATEVALUE(C318&amp;"-01"),8))&gt;0,1,0)</f>
        <v>0</v>
      </c>
      <c r="O318" s="37">
        <f>IF(COUNTIFS('📋 Транзакції'!$B$5:$B$3623,A318,'📋 Транзакції'!$C$5:$C$3623,"&gt;="&amp;EDATE(DATEVALUE(C318&amp;"-01"),8),'📋 Транзакції'!$C$5:$C$3623,"&lt;"&amp;EDATE(DATEVALUE(C318&amp;"-01"),9))&gt;0,1,0)</f>
        <v>0</v>
      </c>
      <c r="P318" s="37">
        <f>IF(COUNTIFS('📋 Транзакції'!$B$5:$B$3623,A318,'📋 Транзакції'!$C$5:$C$3623,"&gt;="&amp;EDATE(DATEVALUE(C318&amp;"-01"),9),'📋 Транзакції'!$C$5:$C$3623,"&lt;"&amp;EDATE(DATEVALUE(C318&amp;"-01"),10))&gt;0,1,0)</f>
        <v>0</v>
      </c>
      <c r="Q318" s="37">
        <f>IF(COUNTIFS('📋 Транзакції'!$B$5:$B$3623,A318,'📋 Транзакції'!$C$5:$C$3623,"&gt;="&amp;EDATE(DATEVALUE(C318&amp;"-01"),10),'📋 Транзакції'!$C$5:$C$3623,"&lt;"&amp;EDATE(DATEVALUE(C318&amp;"-01"),11))&gt;0,1,0)</f>
        <v>0</v>
      </c>
      <c r="R318" s="37">
        <f>IF(COUNTIFS('📋 Транзакції'!$B$5:$B$3623,A318,'📋 Транзакції'!$C$5:$C$3623,"&gt;="&amp;EDATE(DATEVALUE(C318&amp;"-01"),11),'📋 Транзакції'!$C$5:$C$3623,"&lt;"&amp;EDATE(DATEVALUE(C318&amp;"-01"),12))&gt;0,1,0)</f>
        <v>0</v>
      </c>
      <c r="S318" s="37">
        <f>SUMIFS('📋 Транзакції'!$F$5:$F$3623,'📋 Транзакції'!$B$5:$B$3623,A318,'📋 Транзакції'!$C$5:$C$3623,"&gt;="&amp;EDATE(DATEVALUE(C318&amp;"-01"),0),'📋 Транзакції'!$C$5:$C$3623,"&lt;"&amp;EDATE(DATEVALUE(C318&amp;"-01"),1))</f>
        <v>19.99</v>
      </c>
      <c r="T318" s="37">
        <f>SUMIFS('📋 Транзакції'!$F$5:$F$3623,'📋 Транзакції'!$B$5:$B$3623,A318,'📋 Транзакції'!$C$5:$C$3623,"&gt;="&amp;EDATE(DATEVALUE(C318&amp;"-01"),1),'📋 Транзакції'!$C$5:$C$3623,"&lt;"&amp;EDATE(DATEVALUE(C318&amp;"-01"),2))</f>
        <v>0</v>
      </c>
      <c r="U318" s="37">
        <f>SUMIFS('📋 Транзакції'!$F$5:$F$3623,'📋 Транзакції'!$B$5:$B$3623,A318,'📋 Транзакції'!$C$5:$C$3623,"&gt;="&amp;EDATE(DATEVALUE(C318&amp;"-01"),2),'📋 Транзакції'!$C$5:$C$3623,"&lt;"&amp;EDATE(DATEVALUE(C318&amp;"-01"),3))</f>
        <v>0</v>
      </c>
      <c r="V318" s="37">
        <f>SUMIFS('📋 Транзакції'!$F$5:$F$3623,'📋 Транзакції'!$B$5:$B$3623,A318,'📋 Транзакції'!$C$5:$C$3623,"&gt;="&amp;EDATE(DATEVALUE(C318&amp;"-01"),3),'📋 Транзакції'!$C$5:$C$3623,"&lt;"&amp;EDATE(DATEVALUE(C318&amp;"-01"),4))</f>
        <v>0</v>
      </c>
      <c r="W318" s="37">
        <f>SUMIFS('📋 Транзакції'!$F$5:$F$3623,'📋 Транзакції'!$B$5:$B$3623,A318,'📋 Транзакції'!$C$5:$C$3623,"&gt;="&amp;EDATE(DATEVALUE(C318&amp;"-01"),4),'📋 Транзакції'!$C$5:$C$3623,"&lt;"&amp;EDATE(DATEVALUE(C318&amp;"-01"),5))</f>
        <v>0</v>
      </c>
      <c r="X318" s="37">
        <f>SUMIFS('📋 Транзакції'!$F$5:$F$3623,'📋 Транзакції'!$B$5:$B$3623,A318,'📋 Транзакції'!$C$5:$C$3623,"&gt;="&amp;EDATE(DATEVALUE(C318&amp;"-01"),5),'📋 Транзакції'!$C$5:$C$3623,"&lt;"&amp;EDATE(DATEVALUE(C318&amp;"-01"),6))</f>
        <v>0</v>
      </c>
      <c r="Y318" s="37">
        <f>SUMIFS('📋 Транзакції'!$F$5:$F$3623,'📋 Транзакції'!$B$5:$B$3623,A318,'📋 Транзакції'!$C$5:$C$3623,"&gt;="&amp;EDATE(DATEVALUE(C318&amp;"-01"),6),'📋 Транзакції'!$C$5:$C$3623,"&lt;"&amp;EDATE(DATEVALUE(C318&amp;"-01"),7))</f>
        <v>0</v>
      </c>
      <c r="Z318" s="37">
        <f>SUMIFS('📋 Транзакції'!$F$5:$F$3623,'📋 Транзакції'!$B$5:$B$3623,A318,'📋 Транзакції'!$C$5:$C$3623,"&gt;="&amp;EDATE(DATEVALUE(C318&amp;"-01"),7),'📋 Транзакції'!$C$5:$C$3623,"&lt;"&amp;EDATE(DATEVALUE(C318&amp;"-01"),8))</f>
        <v>0</v>
      </c>
      <c r="AA318" s="37">
        <f>SUMIFS('📋 Транзакції'!$F$5:$F$3623,'📋 Транзакції'!$B$5:$B$3623,A318,'📋 Транзакції'!$C$5:$C$3623,"&gt;="&amp;EDATE(DATEVALUE(C318&amp;"-01"),8),'📋 Транзакції'!$C$5:$C$3623,"&lt;"&amp;EDATE(DATEVALUE(C318&amp;"-01"),9))</f>
        <v>0</v>
      </c>
      <c r="AB318" s="37">
        <f>SUMIFS('📋 Транзакції'!$F$5:$F$3623,'📋 Транзакції'!$B$5:$B$3623,A318,'📋 Транзакції'!$C$5:$C$3623,"&gt;="&amp;EDATE(DATEVALUE(C318&amp;"-01"),9),'📋 Транзакції'!$C$5:$C$3623,"&lt;"&amp;EDATE(DATEVALUE(C318&amp;"-01"),10))</f>
        <v>0</v>
      </c>
      <c r="AC318" s="37">
        <f>SUMIFS('📋 Транзакції'!$F$5:$F$3623,'📋 Транзакції'!$B$5:$B$3623,A318,'📋 Транзакції'!$C$5:$C$3623,"&gt;="&amp;EDATE(DATEVALUE(C318&amp;"-01"),10),'📋 Транзакції'!$C$5:$C$3623,"&lt;"&amp;EDATE(DATEVALUE(C318&amp;"-01"),11))</f>
        <v>0</v>
      </c>
      <c r="AD318" s="37">
        <f>SUMIFS('📋 Транзакції'!$F$5:$F$3623,'📋 Транзакції'!$B$5:$B$3623,A318,'📋 Транзакції'!$C$5:$C$3623,"&gt;="&amp;EDATE(DATEVALUE(C318&amp;"-01"),11),'📋 Транзакції'!$C$5:$C$3623,"&lt;"&amp;EDATE(DATEVALUE(C318&amp;"-01"),12))</f>
        <v>0</v>
      </c>
    </row>
    <row r="319" ht="15.75" customHeight="1">
      <c r="A319" s="33" t="str">
        <f>'📋 Реєстрації'!A319:A920</f>
        <v>U0549</v>
      </c>
      <c r="B319" s="34">
        <f t="array" ref="B319">INDEX('📋 Транзакції'!$C$5:$C$3623,MATCH(A319,'📋 Транзакції'!$B$5:$B$3623,0))</f>
        <v>45574</v>
      </c>
      <c r="C319" s="35" t="str">
        <f t="shared" si="1"/>
        <v>2024-10</v>
      </c>
      <c r="D319" s="36">
        <f>COUNTIF('📋 Транзакції'!$B$5:$B$3623,A319)</f>
        <v>7</v>
      </c>
      <c r="E319" s="36">
        <f>SUMIF('📋 Транзакції'!$B$5:$B$3623,A319,'📋 Транзакції'!$F$5:$F$3623)</f>
        <v>119.94</v>
      </c>
      <c r="F319" s="35">
        <f>INT($A$1-MAXIFS('📋 Транзакції'!$C$5:$C$3623,'📋 Транзакції'!$B$5:$B$3623,A319))</f>
        <v>16</v>
      </c>
      <c r="G319" s="37">
        <f>IF(COUNTIFS('📋 Транзакції'!$B$5:$B$3623,A319,'📋 Транзакції'!$C$5:$C$3623,"&gt;="&amp;EDATE(DATEVALUE(C319&amp;"-01"),0),'📋 Транзакції'!$C$5:$C$3623,"&lt;"&amp;EDATE(DATEVALUE(C319&amp;"-01"),1))&gt;0,1,0)</f>
        <v>1</v>
      </c>
      <c r="H319" s="37">
        <f>IF(COUNTIFS('📋 Транзакції'!$B$5:$B$3623,A319,'📋 Транзакції'!$C$5:$C$3623,"&gt;="&amp;EDATE(DATEVALUE(C319&amp;"-01"),1),'📋 Транзакції'!$C$5:$C$3623,"&lt;"&amp;EDATE(DATEVALUE(C319&amp;"-01"),2))&gt;0,1,0)</f>
        <v>1</v>
      </c>
      <c r="I319" s="37">
        <f>IF(COUNTIFS('📋 Транзакції'!$B$5:$B$3623,A319,'📋 Транзакції'!$C$5:$C$3623,"&gt;="&amp;EDATE(DATEVALUE(C319&amp;"-01"),2),'📋 Транзакції'!$C$5:$C$3623,"&lt;"&amp;EDATE(DATEVALUE(C319&amp;"-01"),3))&gt;0,1,0)</f>
        <v>1</v>
      </c>
      <c r="J319" s="37">
        <f>IF(COUNTIFS('📋 Транзакції'!$B$5:$B$3623,A319,'📋 Транзакції'!$C$5:$C$3623,"&gt;="&amp;EDATE(DATEVALUE(C319&amp;"-01"),3),'📋 Транзакції'!$C$5:$C$3623,"&lt;"&amp;EDATE(DATEVALUE(C319&amp;"-01"),4))&gt;0,1,0)</f>
        <v>1</v>
      </c>
      <c r="K319" s="37">
        <f>IF(COUNTIFS('📋 Транзакції'!$B$5:$B$3623,A319,'📋 Транзакції'!$C$5:$C$3623,"&gt;="&amp;EDATE(DATEVALUE(C319&amp;"-01"),4),'📋 Транзакції'!$C$5:$C$3623,"&lt;"&amp;EDATE(DATEVALUE(C319&amp;"-01"),5))&gt;0,1,0)</f>
        <v>1</v>
      </c>
      <c r="L319" s="37">
        <f>IF(COUNTIFS('📋 Транзакції'!$B$5:$B$3623,A319,'📋 Транзакції'!$C$5:$C$3623,"&gt;="&amp;EDATE(DATEVALUE(C319&amp;"-01"),5),'📋 Транзакції'!$C$5:$C$3623,"&lt;"&amp;EDATE(DATEVALUE(C319&amp;"-01"),6))&gt;0,1,0)</f>
        <v>1</v>
      </c>
      <c r="M319" s="37">
        <f>IF(COUNTIFS('📋 Транзакції'!$B$5:$B$3623,A319,'📋 Транзакції'!$C$5:$C$3623,"&gt;="&amp;EDATE(DATEVALUE(C319&amp;"-01"),6),'📋 Транзакції'!$C$5:$C$3623,"&lt;"&amp;EDATE(DATEVALUE(C319&amp;"-01"),7))&gt;0,1,0)</f>
        <v>0</v>
      </c>
      <c r="N319" s="37">
        <f>IF(COUNTIFS('📋 Транзакції'!$B$5:$B$3623,A319,'📋 Транзакції'!$C$5:$C$3623,"&gt;="&amp;EDATE(DATEVALUE(C319&amp;"-01"),7),'📋 Транзакції'!$C$5:$C$3623,"&lt;"&amp;EDATE(DATEVALUE(C319&amp;"-01"),8))&gt;0,1,0)</f>
        <v>0</v>
      </c>
      <c r="O319" s="37">
        <f>IF(COUNTIFS('📋 Транзакції'!$B$5:$B$3623,A319,'📋 Транзакції'!$C$5:$C$3623,"&gt;="&amp;EDATE(DATEVALUE(C319&amp;"-01"),8),'📋 Транзакції'!$C$5:$C$3623,"&lt;"&amp;EDATE(DATEVALUE(C319&amp;"-01"),9))&gt;0,1,0)</f>
        <v>0</v>
      </c>
      <c r="P319" s="37">
        <f>IF(COUNTIFS('📋 Транзакції'!$B$5:$B$3623,A319,'📋 Транзакції'!$C$5:$C$3623,"&gt;="&amp;EDATE(DATEVALUE(C319&amp;"-01"),9),'📋 Транзакції'!$C$5:$C$3623,"&lt;"&amp;EDATE(DATEVALUE(C319&amp;"-01"),10))&gt;0,1,0)</f>
        <v>0</v>
      </c>
      <c r="Q319" s="37">
        <f>IF(COUNTIFS('📋 Транзакції'!$B$5:$B$3623,A319,'📋 Транзакції'!$C$5:$C$3623,"&gt;="&amp;EDATE(DATEVALUE(C319&amp;"-01"),10),'📋 Транзакції'!$C$5:$C$3623,"&lt;"&amp;EDATE(DATEVALUE(C319&amp;"-01"),11))&gt;0,1,0)</f>
        <v>0</v>
      </c>
      <c r="R319" s="37">
        <f>IF(COUNTIFS('📋 Транзакції'!$B$5:$B$3623,A319,'📋 Транзакції'!$C$5:$C$3623,"&gt;="&amp;EDATE(DATEVALUE(C319&amp;"-01"),11),'📋 Транзакції'!$C$5:$C$3623,"&lt;"&amp;EDATE(DATEVALUE(C319&amp;"-01"),12))&gt;0,1,0)</f>
        <v>0</v>
      </c>
      <c r="S319" s="37">
        <f>SUMIFS('📋 Транзакції'!$F$5:$F$3623,'📋 Транзакції'!$B$5:$B$3623,A319,'📋 Транзакції'!$C$5:$C$3623,"&gt;="&amp;EDATE(DATEVALUE(C319&amp;"-01"),0),'📋 Транзакції'!$C$5:$C$3623,"&lt;"&amp;EDATE(DATEVALUE(C319&amp;"-01"),1))</f>
        <v>19.99</v>
      </c>
      <c r="T319" s="37">
        <f>SUMIFS('📋 Транзакції'!$F$5:$F$3623,'📋 Транзакції'!$B$5:$B$3623,A319,'📋 Транзакції'!$C$5:$C$3623,"&gt;="&amp;EDATE(DATEVALUE(C319&amp;"-01"),1),'📋 Транзакції'!$C$5:$C$3623,"&lt;"&amp;EDATE(DATEVALUE(C319&amp;"-01"),2))</f>
        <v>19.99</v>
      </c>
      <c r="U319" s="37">
        <f>SUMIFS('📋 Транзакції'!$F$5:$F$3623,'📋 Транзакції'!$B$5:$B$3623,A319,'📋 Транзакції'!$C$5:$C$3623,"&gt;="&amp;EDATE(DATEVALUE(C319&amp;"-01"),2),'📋 Транзакції'!$C$5:$C$3623,"&lt;"&amp;EDATE(DATEVALUE(C319&amp;"-01"),3))</f>
        <v>19.99</v>
      </c>
      <c r="V319" s="37">
        <f>SUMIFS('📋 Транзакції'!$F$5:$F$3623,'📋 Транзакції'!$B$5:$B$3623,A319,'📋 Транзакції'!$C$5:$C$3623,"&gt;="&amp;EDATE(DATEVALUE(C319&amp;"-01"),3),'📋 Транзакції'!$C$5:$C$3623,"&lt;"&amp;EDATE(DATEVALUE(C319&amp;"-01"),4))</f>
        <v>19.99</v>
      </c>
      <c r="W319" s="37">
        <f>SUMIFS('📋 Транзакції'!$F$5:$F$3623,'📋 Транзакції'!$B$5:$B$3623,A319,'📋 Транзакції'!$C$5:$C$3623,"&gt;="&amp;EDATE(DATEVALUE(C319&amp;"-01"),4),'📋 Транзакції'!$C$5:$C$3623,"&lt;"&amp;EDATE(DATEVALUE(C319&amp;"-01"),5))</f>
        <v>19.99</v>
      </c>
      <c r="X319" s="37">
        <f>SUMIFS('📋 Транзакції'!$F$5:$F$3623,'📋 Транзакції'!$B$5:$B$3623,A319,'📋 Транзакції'!$C$5:$C$3623,"&gt;="&amp;EDATE(DATEVALUE(C319&amp;"-01"),5),'📋 Транзакції'!$C$5:$C$3623,"&lt;"&amp;EDATE(DATEVALUE(C319&amp;"-01"),6))</f>
        <v>19.99</v>
      </c>
      <c r="Y319" s="37">
        <f>SUMIFS('📋 Транзакції'!$F$5:$F$3623,'📋 Транзакції'!$B$5:$B$3623,A319,'📋 Транзакції'!$C$5:$C$3623,"&gt;="&amp;EDATE(DATEVALUE(C319&amp;"-01"),6),'📋 Транзакції'!$C$5:$C$3623,"&lt;"&amp;EDATE(DATEVALUE(C319&amp;"-01"),7))</f>
        <v>0</v>
      </c>
      <c r="Z319" s="37">
        <f>SUMIFS('📋 Транзакції'!$F$5:$F$3623,'📋 Транзакції'!$B$5:$B$3623,A319,'📋 Транзакції'!$C$5:$C$3623,"&gt;="&amp;EDATE(DATEVALUE(C319&amp;"-01"),7),'📋 Транзакції'!$C$5:$C$3623,"&lt;"&amp;EDATE(DATEVALUE(C319&amp;"-01"),8))</f>
        <v>0</v>
      </c>
      <c r="AA319" s="37">
        <f>SUMIFS('📋 Транзакції'!$F$5:$F$3623,'📋 Транзакції'!$B$5:$B$3623,A319,'📋 Транзакції'!$C$5:$C$3623,"&gt;="&amp;EDATE(DATEVALUE(C319&amp;"-01"),8),'📋 Транзакції'!$C$5:$C$3623,"&lt;"&amp;EDATE(DATEVALUE(C319&amp;"-01"),9))</f>
        <v>0</v>
      </c>
      <c r="AB319" s="37">
        <f>SUMIFS('📋 Транзакції'!$F$5:$F$3623,'📋 Транзакції'!$B$5:$B$3623,A319,'📋 Транзакції'!$C$5:$C$3623,"&gt;="&amp;EDATE(DATEVALUE(C319&amp;"-01"),9),'📋 Транзакції'!$C$5:$C$3623,"&lt;"&amp;EDATE(DATEVALUE(C319&amp;"-01"),10))</f>
        <v>0</v>
      </c>
      <c r="AC319" s="37">
        <f>SUMIFS('📋 Транзакції'!$F$5:$F$3623,'📋 Транзакції'!$B$5:$B$3623,A319,'📋 Транзакції'!$C$5:$C$3623,"&gt;="&amp;EDATE(DATEVALUE(C319&amp;"-01"),10),'📋 Транзакції'!$C$5:$C$3623,"&lt;"&amp;EDATE(DATEVALUE(C319&amp;"-01"),11))</f>
        <v>0</v>
      </c>
      <c r="AD319" s="37">
        <f>SUMIFS('📋 Транзакції'!$F$5:$F$3623,'📋 Транзакції'!$B$5:$B$3623,A319,'📋 Транзакції'!$C$5:$C$3623,"&gt;="&amp;EDATE(DATEVALUE(C319&amp;"-01"),11),'📋 Транзакції'!$C$5:$C$3623,"&lt;"&amp;EDATE(DATEVALUE(C319&amp;"-01"),12))</f>
        <v>0</v>
      </c>
    </row>
    <row r="320" ht="15.75" customHeight="1">
      <c r="A320" s="33" t="str">
        <f>'📋 Реєстрації'!A320:A921</f>
        <v>U0364</v>
      </c>
      <c r="B320" s="34">
        <f t="array" ref="B320">INDEX('📋 Транзакції'!$C$5:$C$3623,MATCH(A320,'📋 Транзакції'!$B$5:$B$3623,0))</f>
        <v>45575</v>
      </c>
      <c r="C320" s="35" t="str">
        <f t="shared" si="1"/>
        <v>2024-10</v>
      </c>
      <c r="D320" s="36">
        <f>COUNTIF('📋 Транзакції'!$B$5:$B$3623,A320)</f>
        <v>7</v>
      </c>
      <c r="E320" s="36">
        <f>SUMIF('📋 Транзакції'!$B$5:$B$3623,A320,'📋 Транзакції'!$F$5:$F$3623)</f>
        <v>119.94</v>
      </c>
      <c r="F320" s="35">
        <f>INT($A$1-MAXIFS('📋 Транзакції'!$C$5:$C$3623,'📋 Транзакції'!$B$5:$B$3623,A320))</f>
        <v>15</v>
      </c>
      <c r="G320" s="37">
        <f>IF(COUNTIFS('📋 Транзакції'!$B$5:$B$3623,A320,'📋 Транзакції'!$C$5:$C$3623,"&gt;="&amp;EDATE(DATEVALUE(C320&amp;"-01"),0),'📋 Транзакції'!$C$5:$C$3623,"&lt;"&amp;EDATE(DATEVALUE(C320&amp;"-01"),1))&gt;0,1,0)</f>
        <v>1</v>
      </c>
      <c r="H320" s="37">
        <f>IF(COUNTIFS('📋 Транзакції'!$B$5:$B$3623,A320,'📋 Транзакції'!$C$5:$C$3623,"&gt;="&amp;EDATE(DATEVALUE(C320&amp;"-01"),1),'📋 Транзакції'!$C$5:$C$3623,"&lt;"&amp;EDATE(DATEVALUE(C320&amp;"-01"),2))&gt;0,1,0)</f>
        <v>1</v>
      </c>
      <c r="I320" s="37">
        <f>IF(COUNTIFS('📋 Транзакції'!$B$5:$B$3623,A320,'📋 Транзакції'!$C$5:$C$3623,"&gt;="&amp;EDATE(DATEVALUE(C320&amp;"-01"),2),'📋 Транзакції'!$C$5:$C$3623,"&lt;"&amp;EDATE(DATEVALUE(C320&amp;"-01"),3))&gt;0,1,0)</f>
        <v>1</v>
      </c>
      <c r="J320" s="37">
        <f>IF(COUNTIFS('📋 Транзакції'!$B$5:$B$3623,A320,'📋 Транзакції'!$C$5:$C$3623,"&gt;="&amp;EDATE(DATEVALUE(C320&amp;"-01"),3),'📋 Транзакції'!$C$5:$C$3623,"&lt;"&amp;EDATE(DATEVALUE(C320&amp;"-01"),4))&gt;0,1,0)</f>
        <v>1</v>
      </c>
      <c r="K320" s="37">
        <f>IF(COUNTIFS('📋 Транзакції'!$B$5:$B$3623,A320,'📋 Транзакції'!$C$5:$C$3623,"&gt;="&amp;EDATE(DATEVALUE(C320&amp;"-01"),4),'📋 Транзакції'!$C$5:$C$3623,"&lt;"&amp;EDATE(DATEVALUE(C320&amp;"-01"),5))&gt;0,1,0)</f>
        <v>1</v>
      </c>
      <c r="L320" s="37">
        <f>IF(COUNTIFS('📋 Транзакції'!$B$5:$B$3623,A320,'📋 Транзакції'!$C$5:$C$3623,"&gt;="&amp;EDATE(DATEVALUE(C320&amp;"-01"),5),'📋 Транзакції'!$C$5:$C$3623,"&lt;"&amp;EDATE(DATEVALUE(C320&amp;"-01"),6))&gt;0,1,0)</f>
        <v>1</v>
      </c>
      <c r="M320" s="37">
        <f>IF(COUNTIFS('📋 Транзакції'!$B$5:$B$3623,A320,'📋 Транзакції'!$C$5:$C$3623,"&gt;="&amp;EDATE(DATEVALUE(C320&amp;"-01"),6),'📋 Транзакції'!$C$5:$C$3623,"&lt;"&amp;EDATE(DATEVALUE(C320&amp;"-01"),7))&gt;0,1,0)</f>
        <v>0</v>
      </c>
      <c r="N320" s="37">
        <f>IF(COUNTIFS('📋 Транзакції'!$B$5:$B$3623,A320,'📋 Транзакції'!$C$5:$C$3623,"&gt;="&amp;EDATE(DATEVALUE(C320&amp;"-01"),7),'📋 Транзакції'!$C$5:$C$3623,"&lt;"&amp;EDATE(DATEVALUE(C320&amp;"-01"),8))&gt;0,1,0)</f>
        <v>0</v>
      </c>
      <c r="O320" s="37">
        <f>IF(COUNTIFS('📋 Транзакції'!$B$5:$B$3623,A320,'📋 Транзакції'!$C$5:$C$3623,"&gt;="&amp;EDATE(DATEVALUE(C320&amp;"-01"),8),'📋 Транзакції'!$C$5:$C$3623,"&lt;"&amp;EDATE(DATEVALUE(C320&amp;"-01"),9))&gt;0,1,0)</f>
        <v>0</v>
      </c>
      <c r="P320" s="37">
        <f>IF(COUNTIFS('📋 Транзакції'!$B$5:$B$3623,A320,'📋 Транзакції'!$C$5:$C$3623,"&gt;="&amp;EDATE(DATEVALUE(C320&amp;"-01"),9),'📋 Транзакції'!$C$5:$C$3623,"&lt;"&amp;EDATE(DATEVALUE(C320&amp;"-01"),10))&gt;0,1,0)</f>
        <v>0</v>
      </c>
      <c r="Q320" s="37">
        <f>IF(COUNTIFS('📋 Транзакції'!$B$5:$B$3623,A320,'📋 Транзакції'!$C$5:$C$3623,"&gt;="&amp;EDATE(DATEVALUE(C320&amp;"-01"),10),'📋 Транзакції'!$C$5:$C$3623,"&lt;"&amp;EDATE(DATEVALUE(C320&amp;"-01"),11))&gt;0,1,0)</f>
        <v>0</v>
      </c>
      <c r="R320" s="37">
        <f>IF(COUNTIFS('📋 Транзакції'!$B$5:$B$3623,A320,'📋 Транзакції'!$C$5:$C$3623,"&gt;="&amp;EDATE(DATEVALUE(C320&amp;"-01"),11),'📋 Транзакції'!$C$5:$C$3623,"&lt;"&amp;EDATE(DATEVALUE(C320&amp;"-01"),12))&gt;0,1,0)</f>
        <v>0</v>
      </c>
      <c r="S320" s="37">
        <f>SUMIFS('📋 Транзакції'!$F$5:$F$3623,'📋 Транзакції'!$B$5:$B$3623,A320,'📋 Транзакції'!$C$5:$C$3623,"&gt;="&amp;EDATE(DATEVALUE(C320&amp;"-01"),0),'📋 Транзакції'!$C$5:$C$3623,"&lt;"&amp;EDATE(DATEVALUE(C320&amp;"-01"),1))</f>
        <v>19.99</v>
      </c>
      <c r="T320" s="37">
        <f>SUMIFS('📋 Транзакції'!$F$5:$F$3623,'📋 Транзакції'!$B$5:$B$3623,A320,'📋 Транзакції'!$C$5:$C$3623,"&gt;="&amp;EDATE(DATEVALUE(C320&amp;"-01"),1),'📋 Транзакції'!$C$5:$C$3623,"&lt;"&amp;EDATE(DATEVALUE(C320&amp;"-01"),2))</f>
        <v>19.99</v>
      </c>
      <c r="U320" s="37">
        <f>SUMIFS('📋 Транзакції'!$F$5:$F$3623,'📋 Транзакції'!$B$5:$B$3623,A320,'📋 Транзакції'!$C$5:$C$3623,"&gt;="&amp;EDATE(DATEVALUE(C320&amp;"-01"),2),'📋 Транзакції'!$C$5:$C$3623,"&lt;"&amp;EDATE(DATEVALUE(C320&amp;"-01"),3))</f>
        <v>19.99</v>
      </c>
      <c r="V320" s="37">
        <f>SUMIFS('📋 Транзакції'!$F$5:$F$3623,'📋 Транзакції'!$B$5:$B$3623,A320,'📋 Транзакції'!$C$5:$C$3623,"&gt;="&amp;EDATE(DATEVALUE(C320&amp;"-01"),3),'📋 Транзакції'!$C$5:$C$3623,"&lt;"&amp;EDATE(DATEVALUE(C320&amp;"-01"),4))</f>
        <v>19.99</v>
      </c>
      <c r="W320" s="37">
        <f>SUMIFS('📋 Транзакції'!$F$5:$F$3623,'📋 Транзакції'!$B$5:$B$3623,A320,'📋 Транзакції'!$C$5:$C$3623,"&gt;="&amp;EDATE(DATEVALUE(C320&amp;"-01"),4),'📋 Транзакції'!$C$5:$C$3623,"&lt;"&amp;EDATE(DATEVALUE(C320&amp;"-01"),5))</f>
        <v>19.99</v>
      </c>
      <c r="X320" s="37">
        <f>SUMIFS('📋 Транзакції'!$F$5:$F$3623,'📋 Транзакції'!$B$5:$B$3623,A320,'📋 Транзакції'!$C$5:$C$3623,"&gt;="&amp;EDATE(DATEVALUE(C320&amp;"-01"),5),'📋 Транзакції'!$C$5:$C$3623,"&lt;"&amp;EDATE(DATEVALUE(C320&amp;"-01"),6))</f>
        <v>19.99</v>
      </c>
      <c r="Y320" s="37">
        <f>SUMIFS('📋 Транзакції'!$F$5:$F$3623,'📋 Транзакції'!$B$5:$B$3623,A320,'📋 Транзакції'!$C$5:$C$3623,"&gt;="&amp;EDATE(DATEVALUE(C320&amp;"-01"),6),'📋 Транзакції'!$C$5:$C$3623,"&lt;"&amp;EDATE(DATEVALUE(C320&amp;"-01"),7))</f>
        <v>0</v>
      </c>
      <c r="Z320" s="37">
        <f>SUMIFS('📋 Транзакції'!$F$5:$F$3623,'📋 Транзакції'!$B$5:$B$3623,A320,'📋 Транзакції'!$C$5:$C$3623,"&gt;="&amp;EDATE(DATEVALUE(C320&amp;"-01"),7),'📋 Транзакції'!$C$5:$C$3623,"&lt;"&amp;EDATE(DATEVALUE(C320&amp;"-01"),8))</f>
        <v>0</v>
      </c>
      <c r="AA320" s="37">
        <f>SUMIFS('📋 Транзакції'!$F$5:$F$3623,'📋 Транзакції'!$B$5:$B$3623,A320,'📋 Транзакції'!$C$5:$C$3623,"&gt;="&amp;EDATE(DATEVALUE(C320&amp;"-01"),8),'📋 Транзакції'!$C$5:$C$3623,"&lt;"&amp;EDATE(DATEVALUE(C320&amp;"-01"),9))</f>
        <v>0</v>
      </c>
      <c r="AB320" s="37">
        <f>SUMIFS('📋 Транзакції'!$F$5:$F$3623,'📋 Транзакції'!$B$5:$B$3623,A320,'📋 Транзакції'!$C$5:$C$3623,"&gt;="&amp;EDATE(DATEVALUE(C320&amp;"-01"),9),'📋 Транзакції'!$C$5:$C$3623,"&lt;"&amp;EDATE(DATEVALUE(C320&amp;"-01"),10))</f>
        <v>0</v>
      </c>
      <c r="AC320" s="37">
        <f>SUMIFS('📋 Транзакції'!$F$5:$F$3623,'📋 Транзакції'!$B$5:$B$3623,A320,'📋 Транзакції'!$C$5:$C$3623,"&gt;="&amp;EDATE(DATEVALUE(C320&amp;"-01"),10),'📋 Транзакції'!$C$5:$C$3623,"&lt;"&amp;EDATE(DATEVALUE(C320&amp;"-01"),11))</f>
        <v>0</v>
      </c>
      <c r="AD320" s="37">
        <f>SUMIFS('📋 Транзакції'!$F$5:$F$3623,'📋 Транзакції'!$B$5:$B$3623,A320,'📋 Транзакції'!$C$5:$C$3623,"&gt;="&amp;EDATE(DATEVALUE(C320&amp;"-01"),11),'📋 Транзакції'!$C$5:$C$3623,"&lt;"&amp;EDATE(DATEVALUE(C320&amp;"-01"),12))</f>
        <v>0</v>
      </c>
    </row>
    <row r="321" ht="15.75" customHeight="1">
      <c r="A321" s="33" t="str">
        <f>'📋 Реєстрації'!A321:A922</f>
        <v>U0456</v>
      </c>
      <c r="B321" s="34">
        <f t="array" ref="B321">INDEX('📋 Транзакції'!$C$5:$C$3623,MATCH(A321,'📋 Транзакції'!$B$5:$B$3623,0))</f>
        <v>45576</v>
      </c>
      <c r="C321" s="35" t="str">
        <f t="shared" si="1"/>
        <v>2024-10</v>
      </c>
      <c r="D321" s="36">
        <f>COUNTIF('📋 Транзакції'!$B$5:$B$3623,A321)</f>
        <v>4</v>
      </c>
      <c r="E321" s="36">
        <f>SUMIF('📋 Транзакції'!$B$5:$B$3623,A321,'📋 Транзакції'!$F$5:$F$3623)</f>
        <v>59.97</v>
      </c>
      <c r="F321" s="35">
        <f>INT($A$1-MAXIFS('📋 Транзакції'!$C$5:$C$3623,'📋 Транзакції'!$B$5:$B$3623,A321))</f>
        <v>104</v>
      </c>
      <c r="G321" s="37">
        <f>IF(COUNTIFS('📋 Транзакції'!$B$5:$B$3623,A321,'📋 Транзакції'!$C$5:$C$3623,"&gt;="&amp;EDATE(DATEVALUE(C321&amp;"-01"),0),'📋 Транзакції'!$C$5:$C$3623,"&lt;"&amp;EDATE(DATEVALUE(C321&amp;"-01"),1))&gt;0,1,0)</f>
        <v>1</v>
      </c>
      <c r="H321" s="37">
        <f>IF(COUNTIFS('📋 Транзакції'!$B$5:$B$3623,A321,'📋 Транзакції'!$C$5:$C$3623,"&gt;="&amp;EDATE(DATEVALUE(C321&amp;"-01"),1),'📋 Транзакції'!$C$5:$C$3623,"&lt;"&amp;EDATE(DATEVALUE(C321&amp;"-01"),2))&gt;0,1,0)</f>
        <v>1</v>
      </c>
      <c r="I321" s="37">
        <f>IF(COUNTIFS('📋 Транзакції'!$B$5:$B$3623,A321,'📋 Транзакції'!$C$5:$C$3623,"&gt;="&amp;EDATE(DATEVALUE(C321&amp;"-01"),2),'📋 Транзакції'!$C$5:$C$3623,"&lt;"&amp;EDATE(DATEVALUE(C321&amp;"-01"),3))&gt;0,1,0)</f>
        <v>1</v>
      </c>
      <c r="J321" s="37">
        <f>IF(COUNTIFS('📋 Транзакції'!$B$5:$B$3623,A321,'📋 Транзакції'!$C$5:$C$3623,"&gt;="&amp;EDATE(DATEVALUE(C321&amp;"-01"),3),'📋 Транзакції'!$C$5:$C$3623,"&lt;"&amp;EDATE(DATEVALUE(C321&amp;"-01"),4))&gt;0,1,0)</f>
        <v>0</v>
      </c>
      <c r="K321" s="37">
        <f>IF(COUNTIFS('📋 Транзакції'!$B$5:$B$3623,A321,'📋 Транзакції'!$C$5:$C$3623,"&gt;="&amp;EDATE(DATEVALUE(C321&amp;"-01"),4),'📋 Транзакції'!$C$5:$C$3623,"&lt;"&amp;EDATE(DATEVALUE(C321&amp;"-01"),5))&gt;0,1,0)</f>
        <v>0</v>
      </c>
      <c r="L321" s="37">
        <f>IF(COUNTIFS('📋 Транзакції'!$B$5:$B$3623,A321,'📋 Транзакції'!$C$5:$C$3623,"&gt;="&amp;EDATE(DATEVALUE(C321&amp;"-01"),5),'📋 Транзакції'!$C$5:$C$3623,"&lt;"&amp;EDATE(DATEVALUE(C321&amp;"-01"),6))&gt;0,1,0)</f>
        <v>0</v>
      </c>
      <c r="M321" s="37">
        <f>IF(COUNTIFS('📋 Транзакції'!$B$5:$B$3623,A321,'📋 Транзакції'!$C$5:$C$3623,"&gt;="&amp;EDATE(DATEVALUE(C321&amp;"-01"),6),'📋 Транзакції'!$C$5:$C$3623,"&lt;"&amp;EDATE(DATEVALUE(C321&amp;"-01"),7))&gt;0,1,0)</f>
        <v>0</v>
      </c>
      <c r="N321" s="37">
        <f>IF(COUNTIFS('📋 Транзакції'!$B$5:$B$3623,A321,'📋 Транзакції'!$C$5:$C$3623,"&gt;="&amp;EDATE(DATEVALUE(C321&amp;"-01"),7),'📋 Транзакції'!$C$5:$C$3623,"&lt;"&amp;EDATE(DATEVALUE(C321&amp;"-01"),8))&gt;0,1,0)</f>
        <v>0</v>
      </c>
      <c r="O321" s="37">
        <f>IF(COUNTIFS('📋 Транзакції'!$B$5:$B$3623,A321,'📋 Транзакції'!$C$5:$C$3623,"&gt;="&amp;EDATE(DATEVALUE(C321&amp;"-01"),8),'📋 Транзакції'!$C$5:$C$3623,"&lt;"&amp;EDATE(DATEVALUE(C321&amp;"-01"),9))&gt;0,1,0)</f>
        <v>0</v>
      </c>
      <c r="P321" s="37">
        <f>IF(COUNTIFS('📋 Транзакції'!$B$5:$B$3623,A321,'📋 Транзакції'!$C$5:$C$3623,"&gt;="&amp;EDATE(DATEVALUE(C321&amp;"-01"),9),'📋 Транзакції'!$C$5:$C$3623,"&lt;"&amp;EDATE(DATEVALUE(C321&amp;"-01"),10))&gt;0,1,0)</f>
        <v>0</v>
      </c>
      <c r="Q321" s="37">
        <f>IF(COUNTIFS('📋 Транзакції'!$B$5:$B$3623,A321,'📋 Транзакції'!$C$5:$C$3623,"&gt;="&amp;EDATE(DATEVALUE(C321&amp;"-01"),10),'📋 Транзакції'!$C$5:$C$3623,"&lt;"&amp;EDATE(DATEVALUE(C321&amp;"-01"),11))&gt;0,1,0)</f>
        <v>0</v>
      </c>
      <c r="R321" s="37">
        <f>IF(COUNTIFS('📋 Транзакції'!$B$5:$B$3623,A321,'📋 Транзакції'!$C$5:$C$3623,"&gt;="&amp;EDATE(DATEVALUE(C321&amp;"-01"),11),'📋 Транзакції'!$C$5:$C$3623,"&lt;"&amp;EDATE(DATEVALUE(C321&amp;"-01"),12))&gt;0,1,0)</f>
        <v>0</v>
      </c>
      <c r="S321" s="37">
        <f>SUMIFS('📋 Транзакції'!$F$5:$F$3623,'📋 Транзакції'!$B$5:$B$3623,A321,'📋 Транзакції'!$C$5:$C$3623,"&gt;="&amp;EDATE(DATEVALUE(C321&amp;"-01"),0),'📋 Транзакції'!$C$5:$C$3623,"&lt;"&amp;EDATE(DATEVALUE(C321&amp;"-01"),1))</f>
        <v>19.99</v>
      </c>
      <c r="T321" s="37">
        <f>SUMIFS('📋 Транзакції'!$F$5:$F$3623,'📋 Транзакції'!$B$5:$B$3623,A321,'📋 Транзакції'!$C$5:$C$3623,"&gt;="&amp;EDATE(DATEVALUE(C321&amp;"-01"),1),'📋 Транзакції'!$C$5:$C$3623,"&lt;"&amp;EDATE(DATEVALUE(C321&amp;"-01"),2))</f>
        <v>19.99</v>
      </c>
      <c r="U321" s="37">
        <f>SUMIFS('📋 Транзакції'!$F$5:$F$3623,'📋 Транзакції'!$B$5:$B$3623,A321,'📋 Транзакції'!$C$5:$C$3623,"&gt;="&amp;EDATE(DATEVALUE(C321&amp;"-01"),2),'📋 Транзакції'!$C$5:$C$3623,"&lt;"&amp;EDATE(DATEVALUE(C321&amp;"-01"),3))</f>
        <v>19.99</v>
      </c>
      <c r="V321" s="37">
        <f>SUMIFS('📋 Транзакції'!$F$5:$F$3623,'📋 Транзакції'!$B$5:$B$3623,A321,'📋 Транзакції'!$C$5:$C$3623,"&gt;="&amp;EDATE(DATEVALUE(C321&amp;"-01"),3),'📋 Транзакції'!$C$5:$C$3623,"&lt;"&amp;EDATE(DATEVALUE(C321&amp;"-01"),4))</f>
        <v>0</v>
      </c>
      <c r="W321" s="37">
        <f>SUMIFS('📋 Транзакції'!$F$5:$F$3623,'📋 Транзакції'!$B$5:$B$3623,A321,'📋 Транзакції'!$C$5:$C$3623,"&gt;="&amp;EDATE(DATEVALUE(C321&amp;"-01"),4),'📋 Транзакції'!$C$5:$C$3623,"&lt;"&amp;EDATE(DATEVALUE(C321&amp;"-01"),5))</f>
        <v>0</v>
      </c>
      <c r="X321" s="37">
        <f>SUMIFS('📋 Транзакції'!$F$5:$F$3623,'📋 Транзакції'!$B$5:$B$3623,A321,'📋 Транзакції'!$C$5:$C$3623,"&gt;="&amp;EDATE(DATEVALUE(C321&amp;"-01"),5),'📋 Транзакції'!$C$5:$C$3623,"&lt;"&amp;EDATE(DATEVALUE(C321&amp;"-01"),6))</f>
        <v>0</v>
      </c>
      <c r="Y321" s="37">
        <f>SUMIFS('📋 Транзакції'!$F$5:$F$3623,'📋 Транзакції'!$B$5:$B$3623,A321,'📋 Транзакції'!$C$5:$C$3623,"&gt;="&amp;EDATE(DATEVALUE(C321&amp;"-01"),6),'📋 Транзакції'!$C$5:$C$3623,"&lt;"&amp;EDATE(DATEVALUE(C321&amp;"-01"),7))</f>
        <v>0</v>
      </c>
      <c r="Z321" s="37">
        <f>SUMIFS('📋 Транзакції'!$F$5:$F$3623,'📋 Транзакції'!$B$5:$B$3623,A321,'📋 Транзакції'!$C$5:$C$3623,"&gt;="&amp;EDATE(DATEVALUE(C321&amp;"-01"),7),'📋 Транзакції'!$C$5:$C$3623,"&lt;"&amp;EDATE(DATEVALUE(C321&amp;"-01"),8))</f>
        <v>0</v>
      </c>
      <c r="AA321" s="37">
        <f>SUMIFS('📋 Транзакції'!$F$5:$F$3623,'📋 Транзакції'!$B$5:$B$3623,A321,'📋 Транзакції'!$C$5:$C$3623,"&gt;="&amp;EDATE(DATEVALUE(C321&amp;"-01"),8),'📋 Транзакції'!$C$5:$C$3623,"&lt;"&amp;EDATE(DATEVALUE(C321&amp;"-01"),9))</f>
        <v>0</v>
      </c>
      <c r="AB321" s="37">
        <f>SUMIFS('📋 Транзакції'!$F$5:$F$3623,'📋 Транзакції'!$B$5:$B$3623,A321,'📋 Транзакції'!$C$5:$C$3623,"&gt;="&amp;EDATE(DATEVALUE(C321&amp;"-01"),9),'📋 Транзакції'!$C$5:$C$3623,"&lt;"&amp;EDATE(DATEVALUE(C321&amp;"-01"),10))</f>
        <v>0</v>
      </c>
      <c r="AC321" s="37">
        <f>SUMIFS('📋 Транзакції'!$F$5:$F$3623,'📋 Транзакції'!$B$5:$B$3623,A321,'📋 Транзакції'!$C$5:$C$3623,"&gt;="&amp;EDATE(DATEVALUE(C321&amp;"-01"),10),'📋 Транзакції'!$C$5:$C$3623,"&lt;"&amp;EDATE(DATEVALUE(C321&amp;"-01"),11))</f>
        <v>0</v>
      </c>
      <c r="AD321" s="37">
        <f>SUMIFS('📋 Транзакції'!$F$5:$F$3623,'📋 Транзакції'!$B$5:$B$3623,A321,'📋 Транзакції'!$C$5:$C$3623,"&gt;="&amp;EDATE(DATEVALUE(C321&amp;"-01"),11),'📋 Транзакції'!$C$5:$C$3623,"&lt;"&amp;EDATE(DATEVALUE(C321&amp;"-01"),12))</f>
        <v>0</v>
      </c>
    </row>
    <row r="322" ht="15.75" customHeight="1">
      <c r="A322" s="33" t="str">
        <f>'📋 Реєстрації'!A322:A923</f>
        <v>U0571</v>
      </c>
      <c r="B322" s="34">
        <f t="array" ref="B322">INDEX('📋 Транзакції'!$C$5:$C$3623,MATCH(A322,'📋 Транзакції'!$B$5:$B$3623,0))</f>
        <v>45576</v>
      </c>
      <c r="C322" s="35" t="str">
        <f t="shared" si="1"/>
        <v>2024-10</v>
      </c>
      <c r="D322" s="36">
        <f>COUNTIF('📋 Транзакції'!$B$5:$B$3623,A322)</f>
        <v>7</v>
      </c>
      <c r="E322" s="36">
        <f>SUMIF('📋 Транзакції'!$B$5:$B$3623,A322,'📋 Транзакції'!$F$5:$F$3623)</f>
        <v>119.94</v>
      </c>
      <c r="F322" s="35">
        <f>INT($A$1-MAXIFS('📋 Транзакції'!$C$5:$C$3623,'📋 Транзакції'!$B$5:$B$3623,A322))</f>
        <v>14</v>
      </c>
      <c r="G322" s="37">
        <f>IF(COUNTIFS('📋 Транзакції'!$B$5:$B$3623,A322,'📋 Транзакції'!$C$5:$C$3623,"&gt;="&amp;EDATE(DATEVALUE(C322&amp;"-01"),0),'📋 Транзакції'!$C$5:$C$3623,"&lt;"&amp;EDATE(DATEVALUE(C322&amp;"-01"),1))&gt;0,1,0)</f>
        <v>1</v>
      </c>
      <c r="H322" s="37">
        <f>IF(COUNTIFS('📋 Транзакції'!$B$5:$B$3623,A322,'📋 Транзакції'!$C$5:$C$3623,"&gt;="&amp;EDATE(DATEVALUE(C322&amp;"-01"),1),'📋 Транзакції'!$C$5:$C$3623,"&lt;"&amp;EDATE(DATEVALUE(C322&amp;"-01"),2))&gt;0,1,0)</f>
        <v>1</v>
      </c>
      <c r="I322" s="37">
        <f>IF(COUNTIFS('📋 Транзакції'!$B$5:$B$3623,A322,'📋 Транзакції'!$C$5:$C$3623,"&gt;="&amp;EDATE(DATEVALUE(C322&amp;"-01"),2),'📋 Транзакції'!$C$5:$C$3623,"&lt;"&amp;EDATE(DATEVALUE(C322&amp;"-01"),3))&gt;0,1,0)</f>
        <v>1</v>
      </c>
      <c r="J322" s="37">
        <f>IF(COUNTIFS('📋 Транзакції'!$B$5:$B$3623,A322,'📋 Транзакції'!$C$5:$C$3623,"&gt;="&amp;EDATE(DATEVALUE(C322&amp;"-01"),3),'📋 Транзакції'!$C$5:$C$3623,"&lt;"&amp;EDATE(DATEVALUE(C322&amp;"-01"),4))&gt;0,1,0)</f>
        <v>1</v>
      </c>
      <c r="K322" s="37">
        <f>IF(COUNTIFS('📋 Транзакції'!$B$5:$B$3623,A322,'📋 Транзакції'!$C$5:$C$3623,"&gt;="&amp;EDATE(DATEVALUE(C322&amp;"-01"),4),'📋 Транзакції'!$C$5:$C$3623,"&lt;"&amp;EDATE(DATEVALUE(C322&amp;"-01"),5))&gt;0,1,0)</f>
        <v>1</v>
      </c>
      <c r="L322" s="37">
        <f>IF(COUNTIFS('📋 Транзакції'!$B$5:$B$3623,A322,'📋 Транзакції'!$C$5:$C$3623,"&gt;="&amp;EDATE(DATEVALUE(C322&amp;"-01"),5),'📋 Транзакції'!$C$5:$C$3623,"&lt;"&amp;EDATE(DATEVALUE(C322&amp;"-01"),6))&gt;0,1,0)</f>
        <v>1</v>
      </c>
      <c r="M322" s="37">
        <f>IF(COUNTIFS('📋 Транзакції'!$B$5:$B$3623,A322,'📋 Транзакції'!$C$5:$C$3623,"&gt;="&amp;EDATE(DATEVALUE(C322&amp;"-01"),6),'📋 Транзакції'!$C$5:$C$3623,"&lt;"&amp;EDATE(DATEVALUE(C322&amp;"-01"),7))&gt;0,1,0)</f>
        <v>0</v>
      </c>
      <c r="N322" s="37">
        <f>IF(COUNTIFS('📋 Транзакції'!$B$5:$B$3623,A322,'📋 Транзакції'!$C$5:$C$3623,"&gt;="&amp;EDATE(DATEVALUE(C322&amp;"-01"),7),'📋 Транзакції'!$C$5:$C$3623,"&lt;"&amp;EDATE(DATEVALUE(C322&amp;"-01"),8))&gt;0,1,0)</f>
        <v>0</v>
      </c>
      <c r="O322" s="37">
        <f>IF(COUNTIFS('📋 Транзакції'!$B$5:$B$3623,A322,'📋 Транзакції'!$C$5:$C$3623,"&gt;="&amp;EDATE(DATEVALUE(C322&amp;"-01"),8),'📋 Транзакції'!$C$5:$C$3623,"&lt;"&amp;EDATE(DATEVALUE(C322&amp;"-01"),9))&gt;0,1,0)</f>
        <v>0</v>
      </c>
      <c r="P322" s="37">
        <f>IF(COUNTIFS('📋 Транзакції'!$B$5:$B$3623,A322,'📋 Транзакції'!$C$5:$C$3623,"&gt;="&amp;EDATE(DATEVALUE(C322&amp;"-01"),9),'📋 Транзакції'!$C$5:$C$3623,"&lt;"&amp;EDATE(DATEVALUE(C322&amp;"-01"),10))&gt;0,1,0)</f>
        <v>0</v>
      </c>
      <c r="Q322" s="37">
        <f>IF(COUNTIFS('📋 Транзакції'!$B$5:$B$3623,A322,'📋 Транзакції'!$C$5:$C$3623,"&gt;="&amp;EDATE(DATEVALUE(C322&amp;"-01"),10),'📋 Транзакції'!$C$5:$C$3623,"&lt;"&amp;EDATE(DATEVALUE(C322&amp;"-01"),11))&gt;0,1,0)</f>
        <v>0</v>
      </c>
      <c r="R322" s="37">
        <f>IF(COUNTIFS('📋 Транзакції'!$B$5:$B$3623,A322,'📋 Транзакції'!$C$5:$C$3623,"&gt;="&amp;EDATE(DATEVALUE(C322&amp;"-01"),11),'📋 Транзакції'!$C$5:$C$3623,"&lt;"&amp;EDATE(DATEVALUE(C322&amp;"-01"),12))&gt;0,1,0)</f>
        <v>0</v>
      </c>
      <c r="S322" s="37">
        <f>SUMIFS('📋 Транзакції'!$F$5:$F$3623,'📋 Транзакції'!$B$5:$B$3623,A322,'📋 Транзакції'!$C$5:$C$3623,"&gt;="&amp;EDATE(DATEVALUE(C322&amp;"-01"),0),'📋 Транзакції'!$C$5:$C$3623,"&lt;"&amp;EDATE(DATEVALUE(C322&amp;"-01"),1))</f>
        <v>19.99</v>
      </c>
      <c r="T322" s="37">
        <f>SUMIFS('📋 Транзакції'!$F$5:$F$3623,'📋 Транзакції'!$B$5:$B$3623,A322,'📋 Транзакції'!$C$5:$C$3623,"&gt;="&amp;EDATE(DATEVALUE(C322&amp;"-01"),1),'📋 Транзакції'!$C$5:$C$3623,"&lt;"&amp;EDATE(DATEVALUE(C322&amp;"-01"),2))</f>
        <v>19.99</v>
      </c>
      <c r="U322" s="37">
        <f>SUMIFS('📋 Транзакції'!$F$5:$F$3623,'📋 Транзакції'!$B$5:$B$3623,A322,'📋 Транзакції'!$C$5:$C$3623,"&gt;="&amp;EDATE(DATEVALUE(C322&amp;"-01"),2),'📋 Транзакції'!$C$5:$C$3623,"&lt;"&amp;EDATE(DATEVALUE(C322&amp;"-01"),3))</f>
        <v>19.99</v>
      </c>
      <c r="V322" s="37">
        <f>SUMIFS('📋 Транзакції'!$F$5:$F$3623,'📋 Транзакції'!$B$5:$B$3623,A322,'📋 Транзакції'!$C$5:$C$3623,"&gt;="&amp;EDATE(DATEVALUE(C322&amp;"-01"),3),'📋 Транзакції'!$C$5:$C$3623,"&lt;"&amp;EDATE(DATEVALUE(C322&amp;"-01"),4))</f>
        <v>19.99</v>
      </c>
      <c r="W322" s="37">
        <f>SUMIFS('📋 Транзакції'!$F$5:$F$3623,'📋 Транзакції'!$B$5:$B$3623,A322,'📋 Транзакції'!$C$5:$C$3623,"&gt;="&amp;EDATE(DATEVALUE(C322&amp;"-01"),4),'📋 Транзакції'!$C$5:$C$3623,"&lt;"&amp;EDATE(DATEVALUE(C322&amp;"-01"),5))</f>
        <v>19.99</v>
      </c>
      <c r="X322" s="37">
        <f>SUMIFS('📋 Транзакції'!$F$5:$F$3623,'📋 Транзакції'!$B$5:$B$3623,A322,'📋 Транзакції'!$C$5:$C$3623,"&gt;="&amp;EDATE(DATEVALUE(C322&amp;"-01"),5),'📋 Транзакції'!$C$5:$C$3623,"&lt;"&amp;EDATE(DATEVALUE(C322&amp;"-01"),6))</f>
        <v>19.99</v>
      </c>
      <c r="Y322" s="37">
        <f>SUMIFS('📋 Транзакції'!$F$5:$F$3623,'📋 Транзакції'!$B$5:$B$3623,A322,'📋 Транзакції'!$C$5:$C$3623,"&gt;="&amp;EDATE(DATEVALUE(C322&amp;"-01"),6),'📋 Транзакції'!$C$5:$C$3623,"&lt;"&amp;EDATE(DATEVALUE(C322&amp;"-01"),7))</f>
        <v>0</v>
      </c>
      <c r="Z322" s="37">
        <f>SUMIFS('📋 Транзакції'!$F$5:$F$3623,'📋 Транзакції'!$B$5:$B$3623,A322,'📋 Транзакції'!$C$5:$C$3623,"&gt;="&amp;EDATE(DATEVALUE(C322&amp;"-01"),7),'📋 Транзакції'!$C$5:$C$3623,"&lt;"&amp;EDATE(DATEVALUE(C322&amp;"-01"),8))</f>
        <v>0</v>
      </c>
      <c r="AA322" s="37">
        <f>SUMIFS('📋 Транзакції'!$F$5:$F$3623,'📋 Транзакції'!$B$5:$B$3623,A322,'📋 Транзакції'!$C$5:$C$3623,"&gt;="&amp;EDATE(DATEVALUE(C322&amp;"-01"),8),'📋 Транзакції'!$C$5:$C$3623,"&lt;"&amp;EDATE(DATEVALUE(C322&amp;"-01"),9))</f>
        <v>0</v>
      </c>
      <c r="AB322" s="37">
        <f>SUMIFS('📋 Транзакції'!$F$5:$F$3623,'📋 Транзакції'!$B$5:$B$3623,A322,'📋 Транзакції'!$C$5:$C$3623,"&gt;="&amp;EDATE(DATEVALUE(C322&amp;"-01"),9),'📋 Транзакції'!$C$5:$C$3623,"&lt;"&amp;EDATE(DATEVALUE(C322&amp;"-01"),10))</f>
        <v>0</v>
      </c>
      <c r="AC322" s="37">
        <f>SUMIFS('📋 Транзакції'!$F$5:$F$3623,'📋 Транзакції'!$B$5:$B$3623,A322,'📋 Транзакції'!$C$5:$C$3623,"&gt;="&amp;EDATE(DATEVALUE(C322&amp;"-01"),10),'📋 Транзакції'!$C$5:$C$3623,"&lt;"&amp;EDATE(DATEVALUE(C322&amp;"-01"),11))</f>
        <v>0</v>
      </c>
      <c r="AD322" s="37">
        <f>SUMIFS('📋 Транзакції'!$F$5:$F$3623,'📋 Транзакції'!$B$5:$B$3623,A322,'📋 Транзакції'!$C$5:$C$3623,"&gt;="&amp;EDATE(DATEVALUE(C322&amp;"-01"),11),'📋 Транзакції'!$C$5:$C$3623,"&lt;"&amp;EDATE(DATEVALUE(C322&amp;"-01"),12))</f>
        <v>0</v>
      </c>
    </row>
    <row r="323" ht="15.75" customHeight="1">
      <c r="A323" s="33" t="str">
        <f>'📋 Реєстрації'!A323:A924</f>
        <v>U0066</v>
      </c>
      <c r="B323" s="34">
        <f t="array" ref="B323">INDEX('📋 Транзакції'!$C$5:$C$3623,MATCH(A323,'📋 Транзакції'!$B$5:$B$3623,0))</f>
        <v>45577</v>
      </c>
      <c r="C323" s="35" t="str">
        <f t="shared" si="1"/>
        <v>2024-10</v>
      </c>
      <c r="D323" s="36">
        <f>COUNTIF('📋 Транзакції'!$B$5:$B$3623,A323)</f>
        <v>7</v>
      </c>
      <c r="E323" s="36">
        <f>SUMIF('📋 Транзакції'!$B$5:$B$3623,A323,'📋 Транзакції'!$F$5:$F$3623)</f>
        <v>119.94</v>
      </c>
      <c r="F323" s="35">
        <f>INT($A$1-MAXIFS('📋 Транзакції'!$C$5:$C$3623,'📋 Транзакції'!$B$5:$B$3623,A323))</f>
        <v>13</v>
      </c>
      <c r="G323" s="37">
        <f>IF(COUNTIFS('📋 Транзакції'!$B$5:$B$3623,A323,'📋 Транзакції'!$C$5:$C$3623,"&gt;="&amp;EDATE(DATEVALUE(C323&amp;"-01"),0),'📋 Транзакції'!$C$5:$C$3623,"&lt;"&amp;EDATE(DATEVALUE(C323&amp;"-01"),1))&gt;0,1,0)</f>
        <v>1</v>
      </c>
      <c r="H323" s="37">
        <f>IF(COUNTIFS('📋 Транзакції'!$B$5:$B$3623,A323,'📋 Транзакції'!$C$5:$C$3623,"&gt;="&amp;EDATE(DATEVALUE(C323&amp;"-01"),1),'📋 Транзакції'!$C$5:$C$3623,"&lt;"&amp;EDATE(DATEVALUE(C323&amp;"-01"),2))&gt;0,1,0)</f>
        <v>1</v>
      </c>
      <c r="I323" s="37">
        <f>IF(COUNTIFS('📋 Транзакції'!$B$5:$B$3623,A323,'📋 Транзакції'!$C$5:$C$3623,"&gt;="&amp;EDATE(DATEVALUE(C323&amp;"-01"),2),'📋 Транзакції'!$C$5:$C$3623,"&lt;"&amp;EDATE(DATEVALUE(C323&amp;"-01"),3))&gt;0,1,0)</f>
        <v>1</v>
      </c>
      <c r="J323" s="37">
        <f>IF(COUNTIFS('📋 Транзакції'!$B$5:$B$3623,A323,'📋 Транзакції'!$C$5:$C$3623,"&gt;="&amp;EDATE(DATEVALUE(C323&amp;"-01"),3),'📋 Транзакції'!$C$5:$C$3623,"&lt;"&amp;EDATE(DATEVALUE(C323&amp;"-01"),4))&gt;0,1,0)</f>
        <v>1</v>
      </c>
      <c r="K323" s="37">
        <f>IF(COUNTIFS('📋 Транзакції'!$B$5:$B$3623,A323,'📋 Транзакції'!$C$5:$C$3623,"&gt;="&amp;EDATE(DATEVALUE(C323&amp;"-01"),4),'📋 Транзакції'!$C$5:$C$3623,"&lt;"&amp;EDATE(DATEVALUE(C323&amp;"-01"),5))&gt;0,1,0)</f>
        <v>1</v>
      </c>
      <c r="L323" s="37">
        <f>IF(COUNTIFS('📋 Транзакції'!$B$5:$B$3623,A323,'📋 Транзакції'!$C$5:$C$3623,"&gt;="&amp;EDATE(DATEVALUE(C323&amp;"-01"),5),'📋 Транзакції'!$C$5:$C$3623,"&lt;"&amp;EDATE(DATEVALUE(C323&amp;"-01"),6))&gt;0,1,0)</f>
        <v>1</v>
      </c>
      <c r="M323" s="37">
        <f>IF(COUNTIFS('📋 Транзакції'!$B$5:$B$3623,A323,'📋 Транзакції'!$C$5:$C$3623,"&gt;="&amp;EDATE(DATEVALUE(C323&amp;"-01"),6),'📋 Транзакції'!$C$5:$C$3623,"&lt;"&amp;EDATE(DATEVALUE(C323&amp;"-01"),7))&gt;0,1,0)</f>
        <v>0</v>
      </c>
      <c r="N323" s="37">
        <f>IF(COUNTIFS('📋 Транзакції'!$B$5:$B$3623,A323,'📋 Транзакції'!$C$5:$C$3623,"&gt;="&amp;EDATE(DATEVALUE(C323&amp;"-01"),7),'📋 Транзакції'!$C$5:$C$3623,"&lt;"&amp;EDATE(DATEVALUE(C323&amp;"-01"),8))&gt;0,1,0)</f>
        <v>0</v>
      </c>
      <c r="O323" s="37">
        <f>IF(COUNTIFS('📋 Транзакції'!$B$5:$B$3623,A323,'📋 Транзакції'!$C$5:$C$3623,"&gt;="&amp;EDATE(DATEVALUE(C323&amp;"-01"),8),'📋 Транзакції'!$C$5:$C$3623,"&lt;"&amp;EDATE(DATEVALUE(C323&amp;"-01"),9))&gt;0,1,0)</f>
        <v>0</v>
      </c>
      <c r="P323" s="37">
        <f>IF(COUNTIFS('📋 Транзакції'!$B$5:$B$3623,A323,'📋 Транзакції'!$C$5:$C$3623,"&gt;="&amp;EDATE(DATEVALUE(C323&amp;"-01"),9),'📋 Транзакції'!$C$5:$C$3623,"&lt;"&amp;EDATE(DATEVALUE(C323&amp;"-01"),10))&gt;0,1,0)</f>
        <v>0</v>
      </c>
      <c r="Q323" s="37">
        <f>IF(COUNTIFS('📋 Транзакції'!$B$5:$B$3623,A323,'📋 Транзакції'!$C$5:$C$3623,"&gt;="&amp;EDATE(DATEVALUE(C323&amp;"-01"),10),'📋 Транзакції'!$C$5:$C$3623,"&lt;"&amp;EDATE(DATEVALUE(C323&amp;"-01"),11))&gt;0,1,0)</f>
        <v>0</v>
      </c>
      <c r="R323" s="37">
        <f>IF(COUNTIFS('📋 Транзакції'!$B$5:$B$3623,A323,'📋 Транзакції'!$C$5:$C$3623,"&gt;="&amp;EDATE(DATEVALUE(C323&amp;"-01"),11),'📋 Транзакції'!$C$5:$C$3623,"&lt;"&amp;EDATE(DATEVALUE(C323&amp;"-01"),12))&gt;0,1,0)</f>
        <v>0</v>
      </c>
      <c r="S323" s="37">
        <f>SUMIFS('📋 Транзакції'!$F$5:$F$3623,'📋 Транзакції'!$B$5:$B$3623,A323,'📋 Транзакції'!$C$5:$C$3623,"&gt;="&amp;EDATE(DATEVALUE(C323&amp;"-01"),0),'📋 Транзакції'!$C$5:$C$3623,"&lt;"&amp;EDATE(DATEVALUE(C323&amp;"-01"),1))</f>
        <v>19.99</v>
      </c>
      <c r="T323" s="37">
        <f>SUMIFS('📋 Транзакції'!$F$5:$F$3623,'📋 Транзакції'!$B$5:$B$3623,A323,'📋 Транзакції'!$C$5:$C$3623,"&gt;="&amp;EDATE(DATEVALUE(C323&amp;"-01"),1),'📋 Транзакції'!$C$5:$C$3623,"&lt;"&amp;EDATE(DATEVALUE(C323&amp;"-01"),2))</f>
        <v>19.99</v>
      </c>
      <c r="U323" s="37">
        <f>SUMIFS('📋 Транзакції'!$F$5:$F$3623,'📋 Транзакції'!$B$5:$B$3623,A323,'📋 Транзакції'!$C$5:$C$3623,"&gt;="&amp;EDATE(DATEVALUE(C323&amp;"-01"),2),'📋 Транзакції'!$C$5:$C$3623,"&lt;"&amp;EDATE(DATEVALUE(C323&amp;"-01"),3))</f>
        <v>19.99</v>
      </c>
      <c r="V323" s="37">
        <f>SUMIFS('📋 Транзакції'!$F$5:$F$3623,'📋 Транзакції'!$B$5:$B$3623,A323,'📋 Транзакції'!$C$5:$C$3623,"&gt;="&amp;EDATE(DATEVALUE(C323&amp;"-01"),3),'📋 Транзакції'!$C$5:$C$3623,"&lt;"&amp;EDATE(DATEVALUE(C323&amp;"-01"),4))</f>
        <v>19.99</v>
      </c>
      <c r="W323" s="37">
        <f>SUMIFS('📋 Транзакції'!$F$5:$F$3623,'📋 Транзакції'!$B$5:$B$3623,A323,'📋 Транзакції'!$C$5:$C$3623,"&gt;="&amp;EDATE(DATEVALUE(C323&amp;"-01"),4),'📋 Транзакції'!$C$5:$C$3623,"&lt;"&amp;EDATE(DATEVALUE(C323&amp;"-01"),5))</f>
        <v>19.99</v>
      </c>
      <c r="X323" s="37">
        <f>SUMIFS('📋 Транзакції'!$F$5:$F$3623,'📋 Транзакції'!$B$5:$B$3623,A323,'📋 Транзакції'!$C$5:$C$3623,"&gt;="&amp;EDATE(DATEVALUE(C323&amp;"-01"),5),'📋 Транзакції'!$C$5:$C$3623,"&lt;"&amp;EDATE(DATEVALUE(C323&amp;"-01"),6))</f>
        <v>19.99</v>
      </c>
      <c r="Y323" s="37">
        <f>SUMIFS('📋 Транзакції'!$F$5:$F$3623,'📋 Транзакції'!$B$5:$B$3623,A323,'📋 Транзакції'!$C$5:$C$3623,"&gt;="&amp;EDATE(DATEVALUE(C323&amp;"-01"),6),'📋 Транзакції'!$C$5:$C$3623,"&lt;"&amp;EDATE(DATEVALUE(C323&amp;"-01"),7))</f>
        <v>0</v>
      </c>
      <c r="Z323" s="37">
        <f>SUMIFS('📋 Транзакції'!$F$5:$F$3623,'📋 Транзакції'!$B$5:$B$3623,A323,'📋 Транзакції'!$C$5:$C$3623,"&gt;="&amp;EDATE(DATEVALUE(C323&amp;"-01"),7),'📋 Транзакції'!$C$5:$C$3623,"&lt;"&amp;EDATE(DATEVALUE(C323&amp;"-01"),8))</f>
        <v>0</v>
      </c>
      <c r="AA323" s="37">
        <f>SUMIFS('📋 Транзакції'!$F$5:$F$3623,'📋 Транзакції'!$B$5:$B$3623,A323,'📋 Транзакції'!$C$5:$C$3623,"&gt;="&amp;EDATE(DATEVALUE(C323&amp;"-01"),8),'📋 Транзакції'!$C$5:$C$3623,"&lt;"&amp;EDATE(DATEVALUE(C323&amp;"-01"),9))</f>
        <v>0</v>
      </c>
      <c r="AB323" s="37">
        <f>SUMIFS('📋 Транзакції'!$F$5:$F$3623,'📋 Транзакції'!$B$5:$B$3623,A323,'📋 Транзакції'!$C$5:$C$3623,"&gt;="&amp;EDATE(DATEVALUE(C323&amp;"-01"),9),'📋 Транзакції'!$C$5:$C$3623,"&lt;"&amp;EDATE(DATEVALUE(C323&amp;"-01"),10))</f>
        <v>0</v>
      </c>
      <c r="AC323" s="37">
        <f>SUMIFS('📋 Транзакції'!$F$5:$F$3623,'📋 Транзакції'!$B$5:$B$3623,A323,'📋 Транзакції'!$C$5:$C$3623,"&gt;="&amp;EDATE(DATEVALUE(C323&amp;"-01"),10),'📋 Транзакції'!$C$5:$C$3623,"&lt;"&amp;EDATE(DATEVALUE(C323&amp;"-01"),11))</f>
        <v>0</v>
      </c>
      <c r="AD323" s="37">
        <f>SUMIFS('📋 Транзакції'!$F$5:$F$3623,'📋 Транзакції'!$B$5:$B$3623,A323,'📋 Транзакції'!$C$5:$C$3623,"&gt;="&amp;EDATE(DATEVALUE(C323&amp;"-01"),11),'📋 Транзакції'!$C$5:$C$3623,"&lt;"&amp;EDATE(DATEVALUE(C323&amp;"-01"),12))</f>
        <v>0</v>
      </c>
    </row>
    <row r="324" ht="15.75" customHeight="1">
      <c r="A324" s="33" t="str">
        <f>'📋 Реєстрації'!A324:A925</f>
        <v>U0234</v>
      </c>
      <c r="B324" s="34">
        <f t="array" ref="B324">INDEX('📋 Транзакції'!$C$5:$C$3623,MATCH(A324,'📋 Транзакції'!$B$5:$B$3623,0))</f>
        <v>45577</v>
      </c>
      <c r="C324" s="35" t="str">
        <f t="shared" si="1"/>
        <v>2024-10</v>
      </c>
      <c r="D324" s="36">
        <f>COUNTIF('📋 Транзакції'!$B$5:$B$3623,A324)</f>
        <v>3</v>
      </c>
      <c r="E324" s="36">
        <f>SUMIF('📋 Транзакції'!$B$5:$B$3623,A324,'📋 Транзакції'!$F$5:$F$3623)</f>
        <v>39.98</v>
      </c>
      <c r="F324" s="35">
        <f>INT($A$1-MAXIFS('📋 Транзакції'!$C$5:$C$3623,'📋 Транзакції'!$B$5:$B$3623,A324))</f>
        <v>133</v>
      </c>
      <c r="G324" s="37">
        <f>IF(COUNTIFS('📋 Транзакції'!$B$5:$B$3623,A324,'📋 Транзакції'!$C$5:$C$3623,"&gt;="&amp;EDATE(DATEVALUE(C324&amp;"-01"),0),'📋 Транзакції'!$C$5:$C$3623,"&lt;"&amp;EDATE(DATEVALUE(C324&amp;"-01"),1))&gt;0,1,0)</f>
        <v>1</v>
      </c>
      <c r="H324" s="37">
        <f>IF(COUNTIFS('📋 Транзакції'!$B$5:$B$3623,A324,'📋 Транзакції'!$C$5:$C$3623,"&gt;="&amp;EDATE(DATEVALUE(C324&amp;"-01"),1),'📋 Транзакції'!$C$5:$C$3623,"&lt;"&amp;EDATE(DATEVALUE(C324&amp;"-01"),2))&gt;0,1,0)</f>
        <v>1</v>
      </c>
      <c r="I324" s="37">
        <f>IF(COUNTIFS('📋 Транзакції'!$B$5:$B$3623,A324,'📋 Транзакції'!$C$5:$C$3623,"&gt;="&amp;EDATE(DATEVALUE(C324&amp;"-01"),2),'📋 Транзакції'!$C$5:$C$3623,"&lt;"&amp;EDATE(DATEVALUE(C324&amp;"-01"),3))&gt;0,1,0)</f>
        <v>0</v>
      </c>
      <c r="J324" s="37">
        <f>IF(COUNTIFS('📋 Транзакції'!$B$5:$B$3623,A324,'📋 Транзакції'!$C$5:$C$3623,"&gt;="&amp;EDATE(DATEVALUE(C324&amp;"-01"),3),'📋 Транзакції'!$C$5:$C$3623,"&lt;"&amp;EDATE(DATEVALUE(C324&amp;"-01"),4))&gt;0,1,0)</f>
        <v>0</v>
      </c>
      <c r="K324" s="37">
        <f>IF(COUNTIFS('📋 Транзакції'!$B$5:$B$3623,A324,'📋 Транзакції'!$C$5:$C$3623,"&gt;="&amp;EDATE(DATEVALUE(C324&amp;"-01"),4),'📋 Транзакції'!$C$5:$C$3623,"&lt;"&amp;EDATE(DATEVALUE(C324&amp;"-01"),5))&gt;0,1,0)</f>
        <v>0</v>
      </c>
      <c r="L324" s="37">
        <f>IF(COUNTIFS('📋 Транзакції'!$B$5:$B$3623,A324,'📋 Транзакції'!$C$5:$C$3623,"&gt;="&amp;EDATE(DATEVALUE(C324&amp;"-01"),5),'📋 Транзакції'!$C$5:$C$3623,"&lt;"&amp;EDATE(DATEVALUE(C324&amp;"-01"),6))&gt;0,1,0)</f>
        <v>0</v>
      </c>
      <c r="M324" s="37">
        <f>IF(COUNTIFS('📋 Транзакції'!$B$5:$B$3623,A324,'📋 Транзакції'!$C$5:$C$3623,"&gt;="&amp;EDATE(DATEVALUE(C324&amp;"-01"),6),'📋 Транзакції'!$C$5:$C$3623,"&lt;"&amp;EDATE(DATEVALUE(C324&amp;"-01"),7))&gt;0,1,0)</f>
        <v>0</v>
      </c>
      <c r="N324" s="37">
        <f>IF(COUNTIFS('📋 Транзакції'!$B$5:$B$3623,A324,'📋 Транзакції'!$C$5:$C$3623,"&gt;="&amp;EDATE(DATEVALUE(C324&amp;"-01"),7),'📋 Транзакції'!$C$5:$C$3623,"&lt;"&amp;EDATE(DATEVALUE(C324&amp;"-01"),8))&gt;0,1,0)</f>
        <v>0</v>
      </c>
      <c r="O324" s="37">
        <f>IF(COUNTIFS('📋 Транзакції'!$B$5:$B$3623,A324,'📋 Транзакції'!$C$5:$C$3623,"&gt;="&amp;EDATE(DATEVALUE(C324&amp;"-01"),8),'📋 Транзакції'!$C$5:$C$3623,"&lt;"&amp;EDATE(DATEVALUE(C324&amp;"-01"),9))&gt;0,1,0)</f>
        <v>0</v>
      </c>
      <c r="P324" s="37">
        <f>IF(COUNTIFS('📋 Транзакції'!$B$5:$B$3623,A324,'📋 Транзакції'!$C$5:$C$3623,"&gt;="&amp;EDATE(DATEVALUE(C324&amp;"-01"),9),'📋 Транзакції'!$C$5:$C$3623,"&lt;"&amp;EDATE(DATEVALUE(C324&amp;"-01"),10))&gt;0,1,0)</f>
        <v>0</v>
      </c>
      <c r="Q324" s="37">
        <f>IF(COUNTIFS('📋 Транзакції'!$B$5:$B$3623,A324,'📋 Транзакції'!$C$5:$C$3623,"&gt;="&amp;EDATE(DATEVALUE(C324&amp;"-01"),10),'📋 Транзакції'!$C$5:$C$3623,"&lt;"&amp;EDATE(DATEVALUE(C324&amp;"-01"),11))&gt;0,1,0)</f>
        <v>0</v>
      </c>
      <c r="R324" s="37">
        <f>IF(COUNTIFS('📋 Транзакції'!$B$5:$B$3623,A324,'📋 Транзакції'!$C$5:$C$3623,"&gt;="&amp;EDATE(DATEVALUE(C324&amp;"-01"),11),'📋 Транзакції'!$C$5:$C$3623,"&lt;"&amp;EDATE(DATEVALUE(C324&amp;"-01"),12))&gt;0,1,0)</f>
        <v>0</v>
      </c>
      <c r="S324" s="37">
        <f>SUMIFS('📋 Транзакції'!$F$5:$F$3623,'📋 Транзакції'!$B$5:$B$3623,A324,'📋 Транзакції'!$C$5:$C$3623,"&gt;="&amp;EDATE(DATEVALUE(C324&amp;"-01"),0),'📋 Транзакції'!$C$5:$C$3623,"&lt;"&amp;EDATE(DATEVALUE(C324&amp;"-01"),1))</f>
        <v>19.99</v>
      </c>
      <c r="T324" s="37">
        <f>SUMIFS('📋 Транзакції'!$F$5:$F$3623,'📋 Транзакції'!$B$5:$B$3623,A324,'📋 Транзакції'!$C$5:$C$3623,"&gt;="&amp;EDATE(DATEVALUE(C324&amp;"-01"),1),'📋 Транзакції'!$C$5:$C$3623,"&lt;"&amp;EDATE(DATEVALUE(C324&amp;"-01"),2))</f>
        <v>19.99</v>
      </c>
      <c r="U324" s="37">
        <f>SUMIFS('📋 Транзакції'!$F$5:$F$3623,'📋 Транзакції'!$B$5:$B$3623,A324,'📋 Транзакції'!$C$5:$C$3623,"&gt;="&amp;EDATE(DATEVALUE(C324&amp;"-01"),2),'📋 Транзакції'!$C$5:$C$3623,"&lt;"&amp;EDATE(DATEVALUE(C324&amp;"-01"),3))</f>
        <v>0</v>
      </c>
      <c r="V324" s="37">
        <f>SUMIFS('📋 Транзакції'!$F$5:$F$3623,'📋 Транзакції'!$B$5:$B$3623,A324,'📋 Транзакції'!$C$5:$C$3623,"&gt;="&amp;EDATE(DATEVALUE(C324&amp;"-01"),3),'📋 Транзакції'!$C$5:$C$3623,"&lt;"&amp;EDATE(DATEVALUE(C324&amp;"-01"),4))</f>
        <v>0</v>
      </c>
      <c r="W324" s="37">
        <f>SUMIFS('📋 Транзакції'!$F$5:$F$3623,'📋 Транзакції'!$B$5:$B$3623,A324,'📋 Транзакції'!$C$5:$C$3623,"&gt;="&amp;EDATE(DATEVALUE(C324&amp;"-01"),4),'📋 Транзакції'!$C$5:$C$3623,"&lt;"&amp;EDATE(DATEVALUE(C324&amp;"-01"),5))</f>
        <v>0</v>
      </c>
      <c r="X324" s="37">
        <f>SUMIFS('📋 Транзакції'!$F$5:$F$3623,'📋 Транзакції'!$B$5:$B$3623,A324,'📋 Транзакції'!$C$5:$C$3623,"&gt;="&amp;EDATE(DATEVALUE(C324&amp;"-01"),5),'📋 Транзакції'!$C$5:$C$3623,"&lt;"&amp;EDATE(DATEVALUE(C324&amp;"-01"),6))</f>
        <v>0</v>
      </c>
      <c r="Y324" s="37">
        <f>SUMIFS('📋 Транзакції'!$F$5:$F$3623,'📋 Транзакції'!$B$5:$B$3623,A324,'📋 Транзакції'!$C$5:$C$3623,"&gt;="&amp;EDATE(DATEVALUE(C324&amp;"-01"),6),'📋 Транзакції'!$C$5:$C$3623,"&lt;"&amp;EDATE(DATEVALUE(C324&amp;"-01"),7))</f>
        <v>0</v>
      </c>
      <c r="Z324" s="37">
        <f>SUMIFS('📋 Транзакції'!$F$5:$F$3623,'📋 Транзакції'!$B$5:$B$3623,A324,'📋 Транзакції'!$C$5:$C$3623,"&gt;="&amp;EDATE(DATEVALUE(C324&amp;"-01"),7),'📋 Транзакції'!$C$5:$C$3623,"&lt;"&amp;EDATE(DATEVALUE(C324&amp;"-01"),8))</f>
        <v>0</v>
      </c>
      <c r="AA324" s="37">
        <f>SUMIFS('📋 Транзакції'!$F$5:$F$3623,'📋 Транзакції'!$B$5:$B$3623,A324,'📋 Транзакції'!$C$5:$C$3623,"&gt;="&amp;EDATE(DATEVALUE(C324&amp;"-01"),8),'📋 Транзакції'!$C$5:$C$3623,"&lt;"&amp;EDATE(DATEVALUE(C324&amp;"-01"),9))</f>
        <v>0</v>
      </c>
      <c r="AB324" s="37">
        <f>SUMIFS('📋 Транзакції'!$F$5:$F$3623,'📋 Транзакції'!$B$5:$B$3623,A324,'📋 Транзакції'!$C$5:$C$3623,"&gt;="&amp;EDATE(DATEVALUE(C324&amp;"-01"),9),'📋 Транзакції'!$C$5:$C$3623,"&lt;"&amp;EDATE(DATEVALUE(C324&amp;"-01"),10))</f>
        <v>0</v>
      </c>
      <c r="AC324" s="37">
        <f>SUMIFS('📋 Транзакції'!$F$5:$F$3623,'📋 Транзакції'!$B$5:$B$3623,A324,'📋 Транзакції'!$C$5:$C$3623,"&gt;="&amp;EDATE(DATEVALUE(C324&amp;"-01"),10),'📋 Транзакції'!$C$5:$C$3623,"&lt;"&amp;EDATE(DATEVALUE(C324&amp;"-01"),11))</f>
        <v>0</v>
      </c>
      <c r="AD324" s="37">
        <f>SUMIFS('📋 Транзакції'!$F$5:$F$3623,'📋 Транзакції'!$B$5:$B$3623,A324,'📋 Транзакції'!$C$5:$C$3623,"&gt;="&amp;EDATE(DATEVALUE(C324&amp;"-01"),11),'📋 Транзакції'!$C$5:$C$3623,"&lt;"&amp;EDATE(DATEVALUE(C324&amp;"-01"),12))</f>
        <v>0</v>
      </c>
    </row>
    <row r="325" ht="15.75" customHeight="1">
      <c r="A325" s="33" t="str">
        <f>'📋 Реєстрації'!A325:A926</f>
        <v>U0288</v>
      </c>
      <c r="B325" s="34">
        <f t="array" ref="B325">INDEX('📋 Транзакції'!$C$5:$C$3623,MATCH(A325,'📋 Транзакції'!$B$5:$B$3623,0))</f>
        <v>45577</v>
      </c>
      <c r="C325" s="35" t="str">
        <f t="shared" si="1"/>
        <v>2024-10</v>
      </c>
      <c r="D325" s="36">
        <f>COUNTIF('📋 Транзакції'!$B$5:$B$3623,A325)</f>
        <v>2</v>
      </c>
      <c r="E325" s="36">
        <f>SUMIF('📋 Транзакції'!$B$5:$B$3623,A325,'📋 Транзакції'!$F$5:$F$3623)</f>
        <v>19.99</v>
      </c>
      <c r="F325" s="35">
        <f>INT($A$1-MAXIFS('📋 Транзакції'!$C$5:$C$3623,'📋 Транзакції'!$B$5:$B$3623,A325))</f>
        <v>163</v>
      </c>
      <c r="G325" s="37">
        <f>IF(COUNTIFS('📋 Транзакції'!$B$5:$B$3623,A325,'📋 Транзакції'!$C$5:$C$3623,"&gt;="&amp;EDATE(DATEVALUE(C325&amp;"-01"),0),'📋 Транзакції'!$C$5:$C$3623,"&lt;"&amp;EDATE(DATEVALUE(C325&amp;"-01"),1))&gt;0,1,0)</f>
        <v>1</v>
      </c>
      <c r="H325" s="37">
        <f>IF(COUNTIFS('📋 Транзакції'!$B$5:$B$3623,A325,'📋 Транзакції'!$C$5:$C$3623,"&gt;="&amp;EDATE(DATEVALUE(C325&amp;"-01"),1),'📋 Транзакції'!$C$5:$C$3623,"&lt;"&amp;EDATE(DATEVALUE(C325&amp;"-01"),2))&gt;0,1,0)</f>
        <v>0</v>
      </c>
      <c r="I325" s="37">
        <f>IF(COUNTIFS('📋 Транзакції'!$B$5:$B$3623,A325,'📋 Транзакції'!$C$5:$C$3623,"&gt;="&amp;EDATE(DATEVALUE(C325&amp;"-01"),2),'📋 Транзакції'!$C$5:$C$3623,"&lt;"&amp;EDATE(DATEVALUE(C325&amp;"-01"),3))&gt;0,1,0)</f>
        <v>0</v>
      </c>
      <c r="J325" s="37">
        <f>IF(COUNTIFS('📋 Транзакції'!$B$5:$B$3623,A325,'📋 Транзакції'!$C$5:$C$3623,"&gt;="&amp;EDATE(DATEVALUE(C325&amp;"-01"),3),'📋 Транзакції'!$C$5:$C$3623,"&lt;"&amp;EDATE(DATEVALUE(C325&amp;"-01"),4))&gt;0,1,0)</f>
        <v>0</v>
      </c>
      <c r="K325" s="37">
        <f>IF(COUNTIFS('📋 Транзакції'!$B$5:$B$3623,A325,'📋 Транзакції'!$C$5:$C$3623,"&gt;="&amp;EDATE(DATEVALUE(C325&amp;"-01"),4),'📋 Транзакції'!$C$5:$C$3623,"&lt;"&amp;EDATE(DATEVALUE(C325&amp;"-01"),5))&gt;0,1,0)</f>
        <v>0</v>
      </c>
      <c r="L325" s="37">
        <f>IF(COUNTIFS('📋 Транзакції'!$B$5:$B$3623,A325,'📋 Транзакції'!$C$5:$C$3623,"&gt;="&amp;EDATE(DATEVALUE(C325&amp;"-01"),5),'📋 Транзакції'!$C$5:$C$3623,"&lt;"&amp;EDATE(DATEVALUE(C325&amp;"-01"),6))&gt;0,1,0)</f>
        <v>0</v>
      </c>
      <c r="M325" s="37">
        <f>IF(COUNTIFS('📋 Транзакції'!$B$5:$B$3623,A325,'📋 Транзакції'!$C$5:$C$3623,"&gt;="&amp;EDATE(DATEVALUE(C325&amp;"-01"),6),'📋 Транзакції'!$C$5:$C$3623,"&lt;"&amp;EDATE(DATEVALUE(C325&amp;"-01"),7))&gt;0,1,0)</f>
        <v>0</v>
      </c>
      <c r="N325" s="37">
        <f>IF(COUNTIFS('📋 Транзакції'!$B$5:$B$3623,A325,'📋 Транзакції'!$C$5:$C$3623,"&gt;="&amp;EDATE(DATEVALUE(C325&amp;"-01"),7),'📋 Транзакції'!$C$5:$C$3623,"&lt;"&amp;EDATE(DATEVALUE(C325&amp;"-01"),8))&gt;0,1,0)</f>
        <v>0</v>
      </c>
      <c r="O325" s="37">
        <f>IF(COUNTIFS('📋 Транзакції'!$B$5:$B$3623,A325,'📋 Транзакції'!$C$5:$C$3623,"&gt;="&amp;EDATE(DATEVALUE(C325&amp;"-01"),8),'📋 Транзакції'!$C$5:$C$3623,"&lt;"&amp;EDATE(DATEVALUE(C325&amp;"-01"),9))&gt;0,1,0)</f>
        <v>0</v>
      </c>
      <c r="P325" s="37">
        <f>IF(COUNTIFS('📋 Транзакції'!$B$5:$B$3623,A325,'📋 Транзакції'!$C$5:$C$3623,"&gt;="&amp;EDATE(DATEVALUE(C325&amp;"-01"),9),'📋 Транзакції'!$C$5:$C$3623,"&lt;"&amp;EDATE(DATEVALUE(C325&amp;"-01"),10))&gt;0,1,0)</f>
        <v>0</v>
      </c>
      <c r="Q325" s="37">
        <f>IF(COUNTIFS('📋 Транзакції'!$B$5:$B$3623,A325,'📋 Транзакції'!$C$5:$C$3623,"&gt;="&amp;EDATE(DATEVALUE(C325&amp;"-01"),10),'📋 Транзакції'!$C$5:$C$3623,"&lt;"&amp;EDATE(DATEVALUE(C325&amp;"-01"),11))&gt;0,1,0)</f>
        <v>0</v>
      </c>
      <c r="R325" s="37">
        <f>IF(COUNTIFS('📋 Транзакції'!$B$5:$B$3623,A325,'📋 Транзакції'!$C$5:$C$3623,"&gt;="&amp;EDATE(DATEVALUE(C325&amp;"-01"),11),'📋 Транзакції'!$C$5:$C$3623,"&lt;"&amp;EDATE(DATEVALUE(C325&amp;"-01"),12))&gt;0,1,0)</f>
        <v>0</v>
      </c>
      <c r="S325" s="37">
        <f>SUMIFS('📋 Транзакції'!$F$5:$F$3623,'📋 Транзакції'!$B$5:$B$3623,A325,'📋 Транзакції'!$C$5:$C$3623,"&gt;="&amp;EDATE(DATEVALUE(C325&amp;"-01"),0),'📋 Транзакції'!$C$5:$C$3623,"&lt;"&amp;EDATE(DATEVALUE(C325&amp;"-01"),1))</f>
        <v>19.99</v>
      </c>
      <c r="T325" s="37">
        <f>SUMIFS('📋 Транзакції'!$F$5:$F$3623,'📋 Транзакції'!$B$5:$B$3623,A325,'📋 Транзакції'!$C$5:$C$3623,"&gt;="&amp;EDATE(DATEVALUE(C325&amp;"-01"),1),'📋 Транзакції'!$C$5:$C$3623,"&lt;"&amp;EDATE(DATEVALUE(C325&amp;"-01"),2))</f>
        <v>0</v>
      </c>
      <c r="U325" s="37">
        <f>SUMIFS('📋 Транзакції'!$F$5:$F$3623,'📋 Транзакції'!$B$5:$B$3623,A325,'📋 Транзакції'!$C$5:$C$3623,"&gt;="&amp;EDATE(DATEVALUE(C325&amp;"-01"),2),'📋 Транзакції'!$C$5:$C$3623,"&lt;"&amp;EDATE(DATEVALUE(C325&amp;"-01"),3))</f>
        <v>0</v>
      </c>
      <c r="V325" s="37">
        <f>SUMIFS('📋 Транзакції'!$F$5:$F$3623,'📋 Транзакції'!$B$5:$B$3623,A325,'📋 Транзакції'!$C$5:$C$3623,"&gt;="&amp;EDATE(DATEVALUE(C325&amp;"-01"),3),'📋 Транзакції'!$C$5:$C$3623,"&lt;"&amp;EDATE(DATEVALUE(C325&amp;"-01"),4))</f>
        <v>0</v>
      </c>
      <c r="W325" s="37">
        <f>SUMIFS('📋 Транзакції'!$F$5:$F$3623,'📋 Транзакції'!$B$5:$B$3623,A325,'📋 Транзакції'!$C$5:$C$3623,"&gt;="&amp;EDATE(DATEVALUE(C325&amp;"-01"),4),'📋 Транзакції'!$C$5:$C$3623,"&lt;"&amp;EDATE(DATEVALUE(C325&amp;"-01"),5))</f>
        <v>0</v>
      </c>
      <c r="X325" s="37">
        <f>SUMIFS('📋 Транзакції'!$F$5:$F$3623,'📋 Транзакції'!$B$5:$B$3623,A325,'📋 Транзакції'!$C$5:$C$3623,"&gt;="&amp;EDATE(DATEVALUE(C325&amp;"-01"),5),'📋 Транзакції'!$C$5:$C$3623,"&lt;"&amp;EDATE(DATEVALUE(C325&amp;"-01"),6))</f>
        <v>0</v>
      </c>
      <c r="Y325" s="37">
        <f>SUMIFS('📋 Транзакції'!$F$5:$F$3623,'📋 Транзакції'!$B$5:$B$3623,A325,'📋 Транзакції'!$C$5:$C$3623,"&gt;="&amp;EDATE(DATEVALUE(C325&amp;"-01"),6),'📋 Транзакції'!$C$5:$C$3623,"&lt;"&amp;EDATE(DATEVALUE(C325&amp;"-01"),7))</f>
        <v>0</v>
      </c>
      <c r="Z325" s="37">
        <f>SUMIFS('📋 Транзакції'!$F$5:$F$3623,'📋 Транзакції'!$B$5:$B$3623,A325,'📋 Транзакції'!$C$5:$C$3623,"&gt;="&amp;EDATE(DATEVALUE(C325&amp;"-01"),7),'📋 Транзакції'!$C$5:$C$3623,"&lt;"&amp;EDATE(DATEVALUE(C325&amp;"-01"),8))</f>
        <v>0</v>
      </c>
      <c r="AA325" s="37">
        <f>SUMIFS('📋 Транзакції'!$F$5:$F$3623,'📋 Транзакції'!$B$5:$B$3623,A325,'📋 Транзакції'!$C$5:$C$3623,"&gt;="&amp;EDATE(DATEVALUE(C325&amp;"-01"),8),'📋 Транзакції'!$C$5:$C$3623,"&lt;"&amp;EDATE(DATEVALUE(C325&amp;"-01"),9))</f>
        <v>0</v>
      </c>
      <c r="AB325" s="37">
        <f>SUMIFS('📋 Транзакції'!$F$5:$F$3623,'📋 Транзакції'!$B$5:$B$3623,A325,'📋 Транзакції'!$C$5:$C$3623,"&gt;="&amp;EDATE(DATEVALUE(C325&amp;"-01"),9),'📋 Транзакції'!$C$5:$C$3623,"&lt;"&amp;EDATE(DATEVALUE(C325&amp;"-01"),10))</f>
        <v>0</v>
      </c>
      <c r="AC325" s="37">
        <f>SUMIFS('📋 Транзакції'!$F$5:$F$3623,'📋 Транзакції'!$B$5:$B$3623,A325,'📋 Транзакції'!$C$5:$C$3623,"&gt;="&amp;EDATE(DATEVALUE(C325&amp;"-01"),10),'📋 Транзакції'!$C$5:$C$3623,"&lt;"&amp;EDATE(DATEVALUE(C325&amp;"-01"),11))</f>
        <v>0</v>
      </c>
      <c r="AD325" s="37">
        <f>SUMIFS('📋 Транзакції'!$F$5:$F$3623,'📋 Транзакції'!$B$5:$B$3623,A325,'📋 Транзакції'!$C$5:$C$3623,"&gt;="&amp;EDATE(DATEVALUE(C325&amp;"-01"),11),'📋 Транзакції'!$C$5:$C$3623,"&lt;"&amp;EDATE(DATEVALUE(C325&amp;"-01"),12))</f>
        <v>0</v>
      </c>
    </row>
    <row r="326" ht="15.75" customHeight="1">
      <c r="A326" s="33" t="str">
        <f>'📋 Реєстрації'!A326:A927</f>
        <v>U0296</v>
      </c>
      <c r="B326" s="34">
        <f t="array" ref="B326">INDEX('📋 Транзакції'!$C$5:$C$3623,MATCH(A326,'📋 Транзакції'!$B$5:$B$3623,0))</f>
        <v>45577</v>
      </c>
      <c r="C326" s="35" t="str">
        <f t="shared" si="1"/>
        <v>2024-10</v>
      </c>
      <c r="D326" s="36">
        <f>COUNTIF('📋 Транзакції'!$B$5:$B$3623,A326)</f>
        <v>7</v>
      </c>
      <c r="E326" s="36">
        <f>SUMIF('📋 Транзакції'!$B$5:$B$3623,A326,'📋 Транзакції'!$F$5:$F$3623)</f>
        <v>119.94</v>
      </c>
      <c r="F326" s="35">
        <f>INT($A$1-MAXIFS('📋 Транзакції'!$C$5:$C$3623,'📋 Транзакції'!$B$5:$B$3623,A326))</f>
        <v>13</v>
      </c>
      <c r="G326" s="37">
        <f>IF(COUNTIFS('📋 Транзакції'!$B$5:$B$3623,A326,'📋 Транзакції'!$C$5:$C$3623,"&gt;="&amp;EDATE(DATEVALUE(C326&amp;"-01"),0),'📋 Транзакції'!$C$5:$C$3623,"&lt;"&amp;EDATE(DATEVALUE(C326&amp;"-01"),1))&gt;0,1,0)</f>
        <v>1</v>
      </c>
      <c r="H326" s="37">
        <f>IF(COUNTIFS('📋 Транзакції'!$B$5:$B$3623,A326,'📋 Транзакції'!$C$5:$C$3623,"&gt;="&amp;EDATE(DATEVALUE(C326&amp;"-01"),1),'📋 Транзакції'!$C$5:$C$3623,"&lt;"&amp;EDATE(DATEVALUE(C326&amp;"-01"),2))&gt;0,1,0)</f>
        <v>1</v>
      </c>
      <c r="I326" s="37">
        <f>IF(COUNTIFS('📋 Транзакції'!$B$5:$B$3623,A326,'📋 Транзакції'!$C$5:$C$3623,"&gt;="&amp;EDATE(DATEVALUE(C326&amp;"-01"),2),'📋 Транзакції'!$C$5:$C$3623,"&lt;"&amp;EDATE(DATEVALUE(C326&amp;"-01"),3))&gt;0,1,0)</f>
        <v>1</v>
      </c>
      <c r="J326" s="37">
        <f>IF(COUNTIFS('📋 Транзакції'!$B$5:$B$3623,A326,'📋 Транзакції'!$C$5:$C$3623,"&gt;="&amp;EDATE(DATEVALUE(C326&amp;"-01"),3),'📋 Транзакції'!$C$5:$C$3623,"&lt;"&amp;EDATE(DATEVALUE(C326&amp;"-01"),4))&gt;0,1,0)</f>
        <v>1</v>
      </c>
      <c r="K326" s="37">
        <f>IF(COUNTIFS('📋 Транзакції'!$B$5:$B$3623,A326,'📋 Транзакції'!$C$5:$C$3623,"&gt;="&amp;EDATE(DATEVALUE(C326&amp;"-01"),4),'📋 Транзакції'!$C$5:$C$3623,"&lt;"&amp;EDATE(DATEVALUE(C326&amp;"-01"),5))&gt;0,1,0)</f>
        <v>1</v>
      </c>
      <c r="L326" s="37">
        <f>IF(COUNTIFS('📋 Транзакції'!$B$5:$B$3623,A326,'📋 Транзакції'!$C$5:$C$3623,"&gt;="&amp;EDATE(DATEVALUE(C326&amp;"-01"),5),'📋 Транзакції'!$C$5:$C$3623,"&lt;"&amp;EDATE(DATEVALUE(C326&amp;"-01"),6))&gt;0,1,0)</f>
        <v>1</v>
      </c>
      <c r="M326" s="37">
        <f>IF(COUNTIFS('📋 Транзакції'!$B$5:$B$3623,A326,'📋 Транзакції'!$C$5:$C$3623,"&gt;="&amp;EDATE(DATEVALUE(C326&amp;"-01"),6),'📋 Транзакції'!$C$5:$C$3623,"&lt;"&amp;EDATE(DATEVALUE(C326&amp;"-01"),7))&gt;0,1,0)</f>
        <v>0</v>
      </c>
      <c r="N326" s="37">
        <f>IF(COUNTIFS('📋 Транзакції'!$B$5:$B$3623,A326,'📋 Транзакції'!$C$5:$C$3623,"&gt;="&amp;EDATE(DATEVALUE(C326&amp;"-01"),7),'📋 Транзакції'!$C$5:$C$3623,"&lt;"&amp;EDATE(DATEVALUE(C326&amp;"-01"),8))&gt;0,1,0)</f>
        <v>0</v>
      </c>
      <c r="O326" s="37">
        <f>IF(COUNTIFS('📋 Транзакції'!$B$5:$B$3623,A326,'📋 Транзакції'!$C$5:$C$3623,"&gt;="&amp;EDATE(DATEVALUE(C326&amp;"-01"),8),'📋 Транзакції'!$C$5:$C$3623,"&lt;"&amp;EDATE(DATEVALUE(C326&amp;"-01"),9))&gt;0,1,0)</f>
        <v>0</v>
      </c>
      <c r="P326" s="37">
        <f>IF(COUNTIFS('📋 Транзакції'!$B$5:$B$3623,A326,'📋 Транзакції'!$C$5:$C$3623,"&gt;="&amp;EDATE(DATEVALUE(C326&amp;"-01"),9),'📋 Транзакції'!$C$5:$C$3623,"&lt;"&amp;EDATE(DATEVALUE(C326&amp;"-01"),10))&gt;0,1,0)</f>
        <v>0</v>
      </c>
      <c r="Q326" s="37">
        <f>IF(COUNTIFS('📋 Транзакції'!$B$5:$B$3623,A326,'📋 Транзакції'!$C$5:$C$3623,"&gt;="&amp;EDATE(DATEVALUE(C326&amp;"-01"),10),'📋 Транзакції'!$C$5:$C$3623,"&lt;"&amp;EDATE(DATEVALUE(C326&amp;"-01"),11))&gt;0,1,0)</f>
        <v>0</v>
      </c>
      <c r="R326" s="37">
        <f>IF(COUNTIFS('📋 Транзакції'!$B$5:$B$3623,A326,'📋 Транзакції'!$C$5:$C$3623,"&gt;="&amp;EDATE(DATEVALUE(C326&amp;"-01"),11),'📋 Транзакції'!$C$5:$C$3623,"&lt;"&amp;EDATE(DATEVALUE(C326&amp;"-01"),12))&gt;0,1,0)</f>
        <v>0</v>
      </c>
      <c r="S326" s="37">
        <f>SUMIFS('📋 Транзакції'!$F$5:$F$3623,'📋 Транзакції'!$B$5:$B$3623,A326,'📋 Транзакції'!$C$5:$C$3623,"&gt;="&amp;EDATE(DATEVALUE(C326&amp;"-01"),0),'📋 Транзакції'!$C$5:$C$3623,"&lt;"&amp;EDATE(DATEVALUE(C326&amp;"-01"),1))</f>
        <v>19.99</v>
      </c>
      <c r="T326" s="37">
        <f>SUMIFS('📋 Транзакції'!$F$5:$F$3623,'📋 Транзакції'!$B$5:$B$3623,A326,'📋 Транзакції'!$C$5:$C$3623,"&gt;="&amp;EDATE(DATEVALUE(C326&amp;"-01"),1),'📋 Транзакції'!$C$5:$C$3623,"&lt;"&amp;EDATE(DATEVALUE(C326&amp;"-01"),2))</f>
        <v>19.99</v>
      </c>
      <c r="U326" s="37">
        <f>SUMIFS('📋 Транзакції'!$F$5:$F$3623,'📋 Транзакції'!$B$5:$B$3623,A326,'📋 Транзакції'!$C$5:$C$3623,"&gt;="&amp;EDATE(DATEVALUE(C326&amp;"-01"),2),'📋 Транзакції'!$C$5:$C$3623,"&lt;"&amp;EDATE(DATEVALUE(C326&amp;"-01"),3))</f>
        <v>19.99</v>
      </c>
      <c r="V326" s="37">
        <f>SUMIFS('📋 Транзакції'!$F$5:$F$3623,'📋 Транзакції'!$B$5:$B$3623,A326,'📋 Транзакції'!$C$5:$C$3623,"&gt;="&amp;EDATE(DATEVALUE(C326&amp;"-01"),3),'📋 Транзакції'!$C$5:$C$3623,"&lt;"&amp;EDATE(DATEVALUE(C326&amp;"-01"),4))</f>
        <v>19.99</v>
      </c>
      <c r="W326" s="37">
        <f>SUMIFS('📋 Транзакції'!$F$5:$F$3623,'📋 Транзакції'!$B$5:$B$3623,A326,'📋 Транзакції'!$C$5:$C$3623,"&gt;="&amp;EDATE(DATEVALUE(C326&amp;"-01"),4),'📋 Транзакції'!$C$5:$C$3623,"&lt;"&amp;EDATE(DATEVALUE(C326&amp;"-01"),5))</f>
        <v>19.99</v>
      </c>
      <c r="X326" s="37">
        <f>SUMIFS('📋 Транзакції'!$F$5:$F$3623,'📋 Транзакції'!$B$5:$B$3623,A326,'📋 Транзакції'!$C$5:$C$3623,"&gt;="&amp;EDATE(DATEVALUE(C326&amp;"-01"),5),'📋 Транзакції'!$C$5:$C$3623,"&lt;"&amp;EDATE(DATEVALUE(C326&amp;"-01"),6))</f>
        <v>19.99</v>
      </c>
      <c r="Y326" s="37">
        <f>SUMIFS('📋 Транзакції'!$F$5:$F$3623,'📋 Транзакції'!$B$5:$B$3623,A326,'📋 Транзакції'!$C$5:$C$3623,"&gt;="&amp;EDATE(DATEVALUE(C326&amp;"-01"),6),'📋 Транзакції'!$C$5:$C$3623,"&lt;"&amp;EDATE(DATEVALUE(C326&amp;"-01"),7))</f>
        <v>0</v>
      </c>
      <c r="Z326" s="37">
        <f>SUMIFS('📋 Транзакції'!$F$5:$F$3623,'📋 Транзакції'!$B$5:$B$3623,A326,'📋 Транзакції'!$C$5:$C$3623,"&gt;="&amp;EDATE(DATEVALUE(C326&amp;"-01"),7),'📋 Транзакції'!$C$5:$C$3623,"&lt;"&amp;EDATE(DATEVALUE(C326&amp;"-01"),8))</f>
        <v>0</v>
      </c>
      <c r="AA326" s="37">
        <f>SUMIFS('📋 Транзакції'!$F$5:$F$3623,'📋 Транзакції'!$B$5:$B$3623,A326,'📋 Транзакції'!$C$5:$C$3623,"&gt;="&amp;EDATE(DATEVALUE(C326&amp;"-01"),8),'📋 Транзакції'!$C$5:$C$3623,"&lt;"&amp;EDATE(DATEVALUE(C326&amp;"-01"),9))</f>
        <v>0</v>
      </c>
      <c r="AB326" s="37">
        <f>SUMIFS('📋 Транзакції'!$F$5:$F$3623,'📋 Транзакції'!$B$5:$B$3623,A326,'📋 Транзакції'!$C$5:$C$3623,"&gt;="&amp;EDATE(DATEVALUE(C326&amp;"-01"),9),'📋 Транзакції'!$C$5:$C$3623,"&lt;"&amp;EDATE(DATEVALUE(C326&amp;"-01"),10))</f>
        <v>0</v>
      </c>
      <c r="AC326" s="37">
        <f>SUMIFS('📋 Транзакції'!$F$5:$F$3623,'📋 Транзакції'!$B$5:$B$3623,A326,'📋 Транзакції'!$C$5:$C$3623,"&gt;="&amp;EDATE(DATEVALUE(C326&amp;"-01"),10),'📋 Транзакції'!$C$5:$C$3623,"&lt;"&amp;EDATE(DATEVALUE(C326&amp;"-01"),11))</f>
        <v>0</v>
      </c>
      <c r="AD326" s="37">
        <f>SUMIFS('📋 Транзакції'!$F$5:$F$3623,'📋 Транзакції'!$B$5:$B$3623,A326,'📋 Транзакції'!$C$5:$C$3623,"&gt;="&amp;EDATE(DATEVALUE(C326&amp;"-01"),11),'📋 Транзакції'!$C$5:$C$3623,"&lt;"&amp;EDATE(DATEVALUE(C326&amp;"-01"),12))</f>
        <v>0</v>
      </c>
    </row>
    <row r="327" ht="15.75" customHeight="1">
      <c r="A327" s="33" t="str">
        <f>'📋 Реєстрації'!A327:A928</f>
        <v>U0863</v>
      </c>
      <c r="B327" s="34">
        <f t="array" ref="B327">INDEX('📋 Транзакції'!$C$5:$C$3623,MATCH(A327,'📋 Транзакції'!$B$5:$B$3623,0))</f>
        <v>45577</v>
      </c>
      <c r="C327" s="35" t="str">
        <f t="shared" si="1"/>
        <v>2024-10</v>
      </c>
      <c r="D327" s="36">
        <f>COUNTIF('📋 Транзакції'!$B$5:$B$3623,A327)</f>
        <v>2</v>
      </c>
      <c r="E327" s="36">
        <f>SUMIF('📋 Транзакції'!$B$5:$B$3623,A327,'📋 Транзакції'!$F$5:$F$3623)</f>
        <v>19.99</v>
      </c>
      <c r="F327" s="35">
        <f>INT($A$1-MAXIFS('📋 Транзакції'!$C$5:$C$3623,'📋 Транзакції'!$B$5:$B$3623,A327))</f>
        <v>163</v>
      </c>
      <c r="G327" s="37">
        <f>IF(COUNTIFS('📋 Транзакції'!$B$5:$B$3623,A327,'📋 Транзакції'!$C$5:$C$3623,"&gt;="&amp;EDATE(DATEVALUE(C327&amp;"-01"),0),'📋 Транзакції'!$C$5:$C$3623,"&lt;"&amp;EDATE(DATEVALUE(C327&amp;"-01"),1))&gt;0,1,0)</f>
        <v>1</v>
      </c>
      <c r="H327" s="37">
        <f>IF(COUNTIFS('📋 Транзакції'!$B$5:$B$3623,A327,'📋 Транзакції'!$C$5:$C$3623,"&gt;="&amp;EDATE(DATEVALUE(C327&amp;"-01"),1),'📋 Транзакції'!$C$5:$C$3623,"&lt;"&amp;EDATE(DATEVALUE(C327&amp;"-01"),2))&gt;0,1,0)</f>
        <v>0</v>
      </c>
      <c r="I327" s="37">
        <f>IF(COUNTIFS('📋 Транзакції'!$B$5:$B$3623,A327,'📋 Транзакції'!$C$5:$C$3623,"&gt;="&amp;EDATE(DATEVALUE(C327&amp;"-01"),2),'📋 Транзакції'!$C$5:$C$3623,"&lt;"&amp;EDATE(DATEVALUE(C327&amp;"-01"),3))&gt;0,1,0)</f>
        <v>0</v>
      </c>
      <c r="J327" s="37">
        <f>IF(COUNTIFS('📋 Транзакції'!$B$5:$B$3623,A327,'📋 Транзакції'!$C$5:$C$3623,"&gt;="&amp;EDATE(DATEVALUE(C327&amp;"-01"),3),'📋 Транзакції'!$C$5:$C$3623,"&lt;"&amp;EDATE(DATEVALUE(C327&amp;"-01"),4))&gt;0,1,0)</f>
        <v>0</v>
      </c>
      <c r="K327" s="37">
        <f>IF(COUNTIFS('📋 Транзакції'!$B$5:$B$3623,A327,'📋 Транзакції'!$C$5:$C$3623,"&gt;="&amp;EDATE(DATEVALUE(C327&amp;"-01"),4),'📋 Транзакції'!$C$5:$C$3623,"&lt;"&amp;EDATE(DATEVALUE(C327&amp;"-01"),5))&gt;0,1,0)</f>
        <v>0</v>
      </c>
      <c r="L327" s="37">
        <f>IF(COUNTIFS('📋 Транзакції'!$B$5:$B$3623,A327,'📋 Транзакції'!$C$5:$C$3623,"&gt;="&amp;EDATE(DATEVALUE(C327&amp;"-01"),5),'📋 Транзакції'!$C$5:$C$3623,"&lt;"&amp;EDATE(DATEVALUE(C327&amp;"-01"),6))&gt;0,1,0)</f>
        <v>0</v>
      </c>
      <c r="M327" s="37">
        <f>IF(COUNTIFS('📋 Транзакції'!$B$5:$B$3623,A327,'📋 Транзакції'!$C$5:$C$3623,"&gt;="&amp;EDATE(DATEVALUE(C327&amp;"-01"),6),'📋 Транзакції'!$C$5:$C$3623,"&lt;"&amp;EDATE(DATEVALUE(C327&amp;"-01"),7))&gt;0,1,0)</f>
        <v>0</v>
      </c>
      <c r="N327" s="37">
        <f>IF(COUNTIFS('📋 Транзакції'!$B$5:$B$3623,A327,'📋 Транзакції'!$C$5:$C$3623,"&gt;="&amp;EDATE(DATEVALUE(C327&amp;"-01"),7),'📋 Транзакції'!$C$5:$C$3623,"&lt;"&amp;EDATE(DATEVALUE(C327&amp;"-01"),8))&gt;0,1,0)</f>
        <v>0</v>
      </c>
      <c r="O327" s="37">
        <f>IF(COUNTIFS('📋 Транзакції'!$B$5:$B$3623,A327,'📋 Транзакції'!$C$5:$C$3623,"&gt;="&amp;EDATE(DATEVALUE(C327&amp;"-01"),8),'📋 Транзакції'!$C$5:$C$3623,"&lt;"&amp;EDATE(DATEVALUE(C327&amp;"-01"),9))&gt;0,1,0)</f>
        <v>0</v>
      </c>
      <c r="P327" s="37">
        <f>IF(COUNTIFS('📋 Транзакції'!$B$5:$B$3623,A327,'📋 Транзакції'!$C$5:$C$3623,"&gt;="&amp;EDATE(DATEVALUE(C327&amp;"-01"),9),'📋 Транзакції'!$C$5:$C$3623,"&lt;"&amp;EDATE(DATEVALUE(C327&amp;"-01"),10))&gt;0,1,0)</f>
        <v>0</v>
      </c>
      <c r="Q327" s="37">
        <f>IF(COUNTIFS('📋 Транзакції'!$B$5:$B$3623,A327,'📋 Транзакції'!$C$5:$C$3623,"&gt;="&amp;EDATE(DATEVALUE(C327&amp;"-01"),10),'📋 Транзакції'!$C$5:$C$3623,"&lt;"&amp;EDATE(DATEVALUE(C327&amp;"-01"),11))&gt;0,1,0)</f>
        <v>0</v>
      </c>
      <c r="R327" s="37">
        <f>IF(COUNTIFS('📋 Транзакції'!$B$5:$B$3623,A327,'📋 Транзакції'!$C$5:$C$3623,"&gt;="&amp;EDATE(DATEVALUE(C327&amp;"-01"),11),'📋 Транзакції'!$C$5:$C$3623,"&lt;"&amp;EDATE(DATEVALUE(C327&amp;"-01"),12))&gt;0,1,0)</f>
        <v>0</v>
      </c>
      <c r="S327" s="37">
        <f>SUMIFS('📋 Транзакції'!$F$5:$F$3623,'📋 Транзакції'!$B$5:$B$3623,A327,'📋 Транзакції'!$C$5:$C$3623,"&gt;="&amp;EDATE(DATEVALUE(C327&amp;"-01"),0),'📋 Транзакції'!$C$5:$C$3623,"&lt;"&amp;EDATE(DATEVALUE(C327&amp;"-01"),1))</f>
        <v>19.99</v>
      </c>
      <c r="T327" s="37">
        <f>SUMIFS('📋 Транзакції'!$F$5:$F$3623,'📋 Транзакції'!$B$5:$B$3623,A327,'📋 Транзакції'!$C$5:$C$3623,"&gt;="&amp;EDATE(DATEVALUE(C327&amp;"-01"),1),'📋 Транзакції'!$C$5:$C$3623,"&lt;"&amp;EDATE(DATEVALUE(C327&amp;"-01"),2))</f>
        <v>0</v>
      </c>
      <c r="U327" s="37">
        <f>SUMIFS('📋 Транзакції'!$F$5:$F$3623,'📋 Транзакції'!$B$5:$B$3623,A327,'📋 Транзакції'!$C$5:$C$3623,"&gt;="&amp;EDATE(DATEVALUE(C327&amp;"-01"),2),'📋 Транзакції'!$C$5:$C$3623,"&lt;"&amp;EDATE(DATEVALUE(C327&amp;"-01"),3))</f>
        <v>0</v>
      </c>
      <c r="V327" s="37">
        <f>SUMIFS('📋 Транзакції'!$F$5:$F$3623,'📋 Транзакції'!$B$5:$B$3623,A327,'📋 Транзакції'!$C$5:$C$3623,"&gt;="&amp;EDATE(DATEVALUE(C327&amp;"-01"),3),'📋 Транзакції'!$C$5:$C$3623,"&lt;"&amp;EDATE(DATEVALUE(C327&amp;"-01"),4))</f>
        <v>0</v>
      </c>
      <c r="W327" s="37">
        <f>SUMIFS('📋 Транзакції'!$F$5:$F$3623,'📋 Транзакції'!$B$5:$B$3623,A327,'📋 Транзакції'!$C$5:$C$3623,"&gt;="&amp;EDATE(DATEVALUE(C327&amp;"-01"),4),'📋 Транзакції'!$C$5:$C$3623,"&lt;"&amp;EDATE(DATEVALUE(C327&amp;"-01"),5))</f>
        <v>0</v>
      </c>
      <c r="X327" s="37">
        <f>SUMIFS('📋 Транзакції'!$F$5:$F$3623,'📋 Транзакції'!$B$5:$B$3623,A327,'📋 Транзакції'!$C$5:$C$3623,"&gt;="&amp;EDATE(DATEVALUE(C327&amp;"-01"),5),'📋 Транзакції'!$C$5:$C$3623,"&lt;"&amp;EDATE(DATEVALUE(C327&amp;"-01"),6))</f>
        <v>0</v>
      </c>
      <c r="Y327" s="37">
        <f>SUMIFS('📋 Транзакції'!$F$5:$F$3623,'📋 Транзакції'!$B$5:$B$3623,A327,'📋 Транзакції'!$C$5:$C$3623,"&gt;="&amp;EDATE(DATEVALUE(C327&amp;"-01"),6),'📋 Транзакції'!$C$5:$C$3623,"&lt;"&amp;EDATE(DATEVALUE(C327&amp;"-01"),7))</f>
        <v>0</v>
      </c>
      <c r="Z327" s="37">
        <f>SUMIFS('📋 Транзакції'!$F$5:$F$3623,'📋 Транзакції'!$B$5:$B$3623,A327,'📋 Транзакції'!$C$5:$C$3623,"&gt;="&amp;EDATE(DATEVALUE(C327&amp;"-01"),7),'📋 Транзакції'!$C$5:$C$3623,"&lt;"&amp;EDATE(DATEVALUE(C327&amp;"-01"),8))</f>
        <v>0</v>
      </c>
      <c r="AA327" s="37">
        <f>SUMIFS('📋 Транзакції'!$F$5:$F$3623,'📋 Транзакції'!$B$5:$B$3623,A327,'📋 Транзакції'!$C$5:$C$3623,"&gt;="&amp;EDATE(DATEVALUE(C327&amp;"-01"),8),'📋 Транзакції'!$C$5:$C$3623,"&lt;"&amp;EDATE(DATEVALUE(C327&amp;"-01"),9))</f>
        <v>0</v>
      </c>
      <c r="AB327" s="37">
        <f>SUMIFS('📋 Транзакції'!$F$5:$F$3623,'📋 Транзакції'!$B$5:$B$3623,A327,'📋 Транзакції'!$C$5:$C$3623,"&gt;="&amp;EDATE(DATEVALUE(C327&amp;"-01"),9),'📋 Транзакції'!$C$5:$C$3623,"&lt;"&amp;EDATE(DATEVALUE(C327&amp;"-01"),10))</f>
        <v>0</v>
      </c>
      <c r="AC327" s="37">
        <f>SUMIFS('📋 Транзакції'!$F$5:$F$3623,'📋 Транзакції'!$B$5:$B$3623,A327,'📋 Транзакції'!$C$5:$C$3623,"&gt;="&amp;EDATE(DATEVALUE(C327&amp;"-01"),10),'📋 Транзакції'!$C$5:$C$3623,"&lt;"&amp;EDATE(DATEVALUE(C327&amp;"-01"),11))</f>
        <v>0</v>
      </c>
      <c r="AD327" s="37">
        <f>SUMIFS('📋 Транзакції'!$F$5:$F$3623,'📋 Транзакції'!$B$5:$B$3623,A327,'📋 Транзакції'!$C$5:$C$3623,"&gt;="&amp;EDATE(DATEVALUE(C327&amp;"-01"),11),'📋 Транзакції'!$C$5:$C$3623,"&lt;"&amp;EDATE(DATEVALUE(C327&amp;"-01"),12))</f>
        <v>0</v>
      </c>
    </row>
    <row r="328" ht="15.75" customHeight="1">
      <c r="A328" s="33" t="str">
        <f>'📋 Реєстрації'!A328:A929</f>
        <v>U0189</v>
      </c>
      <c r="B328" s="34">
        <f t="array" ref="B328">INDEX('📋 Транзакції'!$C$5:$C$3623,MATCH(A328,'📋 Транзакції'!$B$5:$B$3623,0))</f>
        <v>45578</v>
      </c>
      <c r="C328" s="35" t="str">
        <f t="shared" si="1"/>
        <v>2024-10</v>
      </c>
      <c r="D328" s="36">
        <f>COUNTIF('📋 Транзакції'!$B$5:$B$3623,A328)</f>
        <v>7</v>
      </c>
      <c r="E328" s="36">
        <f>SUMIF('📋 Транзакції'!$B$5:$B$3623,A328,'📋 Транзакції'!$F$5:$F$3623)</f>
        <v>119.94</v>
      </c>
      <c r="F328" s="35">
        <f>INT($A$1-MAXIFS('📋 Транзакції'!$C$5:$C$3623,'📋 Транзакції'!$B$5:$B$3623,A328))</f>
        <v>12</v>
      </c>
      <c r="G328" s="37">
        <f>IF(COUNTIFS('📋 Транзакції'!$B$5:$B$3623,A328,'📋 Транзакції'!$C$5:$C$3623,"&gt;="&amp;EDATE(DATEVALUE(C328&amp;"-01"),0),'📋 Транзакції'!$C$5:$C$3623,"&lt;"&amp;EDATE(DATEVALUE(C328&amp;"-01"),1))&gt;0,1,0)</f>
        <v>1</v>
      </c>
      <c r="H328" s="37">
        <f>IF(COUNTIFS('📋 Транзакції'!$B$5:$B$3623,A328,'📋 Транзакції'!$C$5:$C$3623,"&gt;="&amp;EDATE(DATEVALUE(C328&amp;"-01"),1),'📋 Транзакції'!$C$5:$C$3623,"&lt;"&amp;EDATE(DATEVALUE(C328&amp;"-01"),2))&gt;0,1,0)</f>
        <v>1</v>
      </c>
      <c r="I328" s="37">
        <f>IF(COUNTIFS('📋 Транзакції'!$B$5:$B$3623,A328,'📋 Транзакції'!$C$5:$C$3623,"&gt;="&amp;EDATE(DATEVALUE(C328&amp;"-01"),2),'📋 Транзакції'!$C$5:$C$3623,"&lt;"&amp;EDATE(DATEVALUE(C328&amp;"-01"),3))&gt;0,1,0)</f>
        <v>1</v>
      </c>
      <c r="J328" s="37">
        <f>IF(COUNTIFS('📋 Транзакції'!$B$5:$B$3623,A328,'📋 Транзакції'!$C$5:$C$3623,"&gt;="&amp;EDATE(DATEVALUE(C328&amp;"-01"),3),'📋 Транзакції'!$C$5:$C$3623,"&lt;"&amp;EDATE(DATEVALUE(C328&amp;"-01"),4))&gt;0,1,0)</f>
        <v>1</v>
      </c>
      <c r="K328" s="37">
        <f>IF(COUNTIFS('📋 Транзакції'!$B$5:$B$3623,A328,'📋 Транзакції'!$C$5:$C$3623,"&gt;="&amp;EDATE(DATEVALUE(C328&amp;"-01"),4),'📋 Транзакції'!$C$5:$C$3623,"&lt;"&amp;EDATE(DATEVALUE(C328&amp;"-01"),5))&gt;0,1,0)</f>
        <v>1</v>
      </c>
      <c r="L328" s="37">
        <f>IF(COUNTIFS('📋 Транзакції'!$B$5:$B$3623,A328,'📋 Транзакції'!$C$5:$C$3623,"&gt;="&amp;EDATE(DATEVALUE(C328&amp;"-01"),5),'📋 Транзакції'!$C$5:$C$3623,"&lt;"&amp;EDATE(DATEVALUE(C328&amp;"-01"),6))&gt;0,1,0)</f>
        <v>1</v>
      </c>
      <c r="M328" s="37">
        <f>IF(COUNTIFS('📋 Транзакції'!$B$5:$B$3623,A328,'📋 Транзакції'!$C$5:$C$3623,"&gt;="&amp;EDATE(DATEVALUE(C328&amp;"-01"),6),'📋 Транзакції'!$C$5:$C$3623,"&lt;"&amp;EDATE(DATEVALUE(C328&amp;"-01"),7))&gt;0,1,0)</f>
        <v>0</v>
      </c>
      <c r="N328" s="37">
        <f>IF(COUNTIFS('📋 Транзакції'!$B$5:$B$3623,A328,'📋 Транзакції'!$C$5:$C$3623,"&gt;="&amp;EDATE(DATEVALUE(C328&amp;"-01"),7),'📋 Транзакції'!$C$5:$C$3623,"&lt;"&amp;EDATE(DATEVALUE(C328&amp;"-01"),8))&gt;0,1,0)</f>
        <v>0</v>
      </c>
      <c r="O328" s="37">
        <f>IF(COUNTIFS('📋 Транзакції'!$B$5:$B$3623,A328,'📋 Транзакції'!$C$5:$C$3623,"&gt;="&amp;EDATE(DATEVALUE(C328&amp;"-01"),8),'📋 Транзакції'!$C$5:$C$3623,"&lt;"&amp;EDATE(DATEVALUE(C328&amp;"-01"),9))&gt;0,1,0)</f>
        <v>0</v>
      </c>
      <c r="P328" s="37">
        <f>IF(COUNTIFS('📋 Транзакції'!$B$5:$B$3623,A328,'📋 Транзакції'!$C$5:$C$3623,"&gt;="&amp;EDATE(DATEVALUE(C328&amp;"-01"),9),'📋 Транзакції'!$C$5:$C$3623,"&lt;"&amp;EDATE(DATEVALUE(C328&amp;"-01"),10))&gt;0,1,0)</f>
        <v>0</v>
      </c>
      <c r="Q328" s="37">
        <f>IF(COUNTIFS('📋 Транзакції'!$B$5:$B$3623,A328,'📋 Транзакції'!$C$5:$C$3623,"&gt;="&amp;EDATE(DATEVALUE(C328&amp;"-01"),10),'📋 Транзакції'!$C$5:$C$3623,"&lt;"&amp;EDATE(DATEVALUE(C328&amp;"-01"),11))&gt;0,1,0)</f>
        <v>0</v>
      </c>
      <c r="R328" s="37">
        <f>IF(COUNTIFS('📋 Транзакції'!$B$5:$B$3623,A328,'📋 Транзакції'!$C$5:$C$3623,"&gt;="&amp;EDATE(DATEVALUE(C328&amp;"-01"),11),'📋 Транзакції'!$C$5:$C$3623,"&lt;"&amp;EDATE(DATEVALUE(C328&amp;"-01"),12))&gt;0,1,0)</f>
        <v>0</v>
      </c>
      <c r="S328" s="37">
        <f>SUMIFS('📋 Транзакції'!$F$5:$F$3623,'📋 Транзакції'!$B$5:$B$3623,A328,'📋 Транзакції'!$C$5:$C$3623,"&gt;="&amp;EDATE(DATEVALUE(C328&amp;"-01"),0),'📋 Транзакції'!$C$5:$C$3623,"&lt;"&amp;EDATE(DATEVALUE(C328&amp;"-01"),1))</f>
        <v>19.99</v>
      </c>
      <c r="T328" s="37">
        <f>SUMIFS('📋 Транзакції'!$F$5:$F$3623,'📋 Транзакції'!$B$5:$B$3623,A328,'📋 Транзакції'!$C$5:$C$3623,"&gt;="&amp;EDATE(DATEVALUE(C328&amp;"-01"),1),'📋 Транзакції'!$C$5:$C$3623,"&lt;"&amp;EDATE(DATEVALUE(C328&amp;"-01"),2))</f>
        <v>19.99</v>
      </c>
      <c r="U328" s="37">
        <f>SUMIFS('📋 Транзакції'!$F$5:$F$3623,'📋 Транзакції'!$B$5:$B$3623,A328,'📋 Транзакції'!$C$5:$C$3623,"&gt;="&amp;EDATE(DATEVALUE(C328&amp;"-01"),2),'📋 Транзакції'!$C$5:$C$3623,"&lt;"&amp;EDATE(DATEVALUE(C328&amp;"-01"),3))</f>
        <v>19.99</v>
      </c>
      <c r="V328" s="37">
        <f>SUMIFS('📋 Транзакції'!$F$5:$F$3623,'📋 Транзакції'!$B$5:$B$3623,A328,'📋 Транзакції'!$C$5:$C$3623,"&gt;="&amp;EDATE(DATEVALUE(C328&amp;"-01"),3),'📋 Транзакції'!$C$5:$C$3623,"&lt;"&amp;EDATE(DATEVALUE(C328&amp;"-01"),4))</f>
        <v>19.99</v>
      </c>
      <c r="W328" s="37">
        <f>SUMIFS('📋 Транзакції'!$F$5:$F$3623,'📋 Транзакції'!$B$5:$B$3623,A328,'📋 Транзакції'!$C$5:$C$3623,"&gt;="&amp;EDATE(DATEVALUE(C328&amp;"-01"),4),'📋 Транзакції'!$C$5:$C$3623,"&lt;"&amp;EDATE(DATEVALUE(C328&amp;"-01"),5))</f>
        <v>19.99</v>
      </c>
      <c r="X328" s="37">
        <f>SUMIFS('📋 Транзакції'!$F$5:$F$3623,'📋 Транзакції'!$B$5:$B$3623,A328,'📋 Транзакції'!$C$5:$C$3623,"&gt;="&amp;EDATE(DATEVALUE(C328&amp;"-01"),5),'📋 Транзакції'!$C$5:$C$3623,"&lt;"&amp;EDATE(DATEVALUE(C328&amp;"-01"),6))</f>
        <v>19.99</v>
      </c>
      <c r="Y328" s="37">
        <f>SUMIFS('📋 Транзакції'!$F$5:$F$3623,'📋 Транзакції'!$B$5:$B$3623,A328,'📋 Транзакції'!$C$5:$C$3623,"&gt;="&amp;EDATE(DATEVALUE(C328&amp;"-01"),6),'📋 Транзакції'!$C$5:$C$3623,"&lt;"&amp;EDATE(DATEVALUE(C328&amp;"-01"),7))</f>
        <v>0</v>
      </c>
      <c r="Z328" s="37">
        <f>SUMIFS('📋 Транзакції'!$F$5:$F$3623,'📋 Транзакції'!$B$5:$B$3623,A328,'📋 Транзакції'!$C$5:$C$3623,"&gt;="&amp;EDATE(DATEVALUE(C328&amp;"-01"),7),'📋 Транзакції'!$C$5:$C$3623,"&lt;"&amp;EDATE(DATEVALUE(C328&amp;"-01"),8))</f>
        <v>0</v>
      </c>
      <c r="AA328" s="37">
        <f>SUMIFS('📋 Транзакції'!$F$5:$F$3623,'📋 Транзакції'!$B$5:$B$3623,A328,'📋 Транзакції'!$C$5:$C$3623,"&gt;="&amp;EDATE(DATEVALUE(C328&amp;"-01"),8),'📋 Транзакції'!$C$5:$C$3623,"&lt;"&amp;EDATE(DATEVALUE(C328&amp;"-01"),9))</f>
        <v>0</v>
      </c>
      <c r="AB328" s="37">
        <f>SUMIFS('📋 Транзакції'!$F$5:$F$3623,'📋 Транзакції'!$B$5:$B$3623,A328,'📋 Транзакції'!$C$5:$C$3623,"&gt;="&amp;EDATE(DATEVALUE(C328&amp;"-01"),9),'📋 Транзакції'!$C$5:$C$3623,"&lt;"&amp;EDATE(DATEVALUE(C328&amp;"-01"),10))</f>
        <v>0</v>
      </c>
      <c r="AC328" s="37">
        <f>SUMIFS('📋 Транзакції'!$F$5:$F$3623,'📋 Транзакції'!$B$5:$B$3623,A328,'📋 Транзакції'!$C$5:$C$3623,"&gt;="&amp;EDATE(DATEVALUE(C328&amp;"-01"),10),'📋 Транзакції'!$C$5:$C$3623,"&lt;"&amp;EDATE(DATEVALUE(C328&amp;"-01"),11))</f>
        <v>0</v>
      </c>
      <c r="AD328" s="37">
        <f>SUMIFS('📋 Транзакції'!$F$5:$F$3623,'📋 Транзакції'!$B$5:$B$3623,A328,'📋 Транзакції'!$C$5:$C$3623,"&gt;="&amp;EDATE(DATEVALUE(C328&amp;"-01"),11),'📋 Транзакції'!$C$5:$C$3623,"&lt;"&amp;EDATE(DATEVALUE(C328&amp;"-01"),12))</f>
        <v>0</v>
      </c>
    </row>
    <row r="329" ht="15.75" customHeight="1">
      <c r="A329" s="33" t="str">
        <f>'📋 Реєстрації'!A329:A930</f>
        <v>U0143</v>
      </c>
      <c r="B329" s="34">
        <f t="array" ref="B329">INDEX('📋 Транзакції'!$C$5:$C$3623,MATCH(A329,'📋 Транзакції'!$B$5:$B$3623,0))</f>
        <v>45579</v>
      </c>
      <c r="C329" s="35" t="str">
        <f t="shared" si="1"/>
        <v>2024-10</v>
      </c>
      <c r="D329" s="36">
        <f>COUNTIF('📋 Транзакції'!$B$5:$B$3623,A329)</f>
        <v>7</v>
      </c>
      <c r="E329" s="36">
        <f>SUMIF('📋 Транзакції'!$B$5:$B$3623,A329,'📋 Транзакції'!$F$5:$F$3623)</f>
        <v>119.94</v>
      </c>
      <c r="F329" s="35">
        <f>INT($A$1-MAXIFS('📋 Транзакції'!$C$5:$C$3623,'📋 Транзакції'!$B$5:$B$3623,A329))</f>
        <v>11</v>
      </c>
      <c r="G329" s="37">
        <f>IF(COUNTIFS('📋 Транзакції'!$B$5:$B$3623,A329,'📋 Транзакції'!$C$5:$C$3623,"&gt;="&amp;EDATE(DATEVALUE(C329&amp;"-01"),0),'📋 Транзакції'!$C$5:$C$3623,"&lt;"&amp;EDATE(DATEVALUE(C329&amp;"-01"),1))&gt;0,1,0)</f>
        <v>1</v>
      </c>
      <c r="H329" s="37">
        <f>IF(COUNTIFS('📋 Транзакції'!$B$5:$B$3623,A329,'📋 Транзакції'!$C$5:$C$3623,"&gt;="&amp;EDATE(DATEVALUE(C329&amp;"-01"),1),'📋 Транзакції'!$C$5:$C$3623,"&lt;"&amp;EDATE(DATEVALUE(C329&amp;"-01"),2))&gt;0,1,0)</f>
        <v>1</v>
      </c>
      <c r="I329" s="37">
        <f>IF(COUNTIFS('📋 Транзакції'!$B$5:$B$3623,A329,'📋 Транзакції'!$C$5:$C$3623,"&gt;="&amp;EDATE(DATEVALUE(C329&amp;"-01"),2),'📋 Транзакції'!$C$5:$C$3623,"&lt;"&amp;EDATE(DATEVALUE(C329&amp;"-01"),3))&gt;0,1,0)</f>
        <v>1</v>
      </c>
      <c r="J329" s="37">
        <f>IF(COUNTIFS('📋 Транзакції'!$B$5:$B$3623,A329,'📋 Транзакції'!$C$5:$C$3623,"&gt;="&amp;EDATE(DATEVALUE(C329&amp;"-01"),3),'📋 Транзакції'!$C$5:$C$3623,"&lt;"&amp;EDATE(DATEVALUE(C329&amp;"-01"),4))&gt;0,1,0)</f>
        <v>1</v>
      </c>
      <c r="K329" s="37">
        <f>IF(COUNTIFS('📋 Транзакції'!$B$5:$B$3623,A329,'📋 Транзакції'!$C$5:$C$3623,"&gt;="&amp;EDATE(DATEVALUE(C329&amp;"-01"),4),'📋 Транзакції'!$C$5:$C$3623,"&lt;"&amp;EDATE(DATEVALUE(C329&amp;"-01"),5))&gt;0,1,0)</f>
        <v>1</v>
      </c>
      <c r="L329" s="37">
        <f>IF(COUNTIFS('📋 Транзакції'!$B$5:$B$3623,A329,'📋 Транзакції'!$C$5:$C$3623,"&gt;="&amp;EDATE(DATEVALUE(C329&amp;"-01"),5),'📋 Транзакції'!$C$5:$C$3623,"&lt;"&amp;EDATE(DATEVALUE(C329&amp;"-01"),6))&gt;0,1,0)</f>
        <v>1</v>
      </c>
      <c r="M329" s="37">
        <f>IF(COUNTIFS('📋 Транзакції'!$B$5:$B$3623,A329,'📋 Транзакції'!$C$5:$C$3623,"&gt;="&amp;EDATE(DATEVALUE(C329&amp;"-01"),6),'📋 Транзакції'!$C$5:$C$3623,"&lt;"&amp;EDATE(DATEVALUE(C329&amp;"-01"),7))&gt;0,1,0)</f>
        <v>0</v>
      </c>
      <c r="N329" s="37">
        <f>IF(COUNTIFS('📋 Транзакції'!$B$5:$B$3623,A329,'📋 Транзакції'!$C$5:$C$3623,"&gt;="&amp;EDATE(DATEVALUE(C329&amp;"-01"),7),'📋 Транзакції'!$C$5:$C$3623,"&lt;"&amp;EDATE(DATEVALUE(C329&amp;"-01"),8))&gt;0,1,0)</f>
        <v>0</v>
      </c>
      <c r="O329" s="37">
        <f>IF(COUNTIFS('📋 Транзакції'!$B$5:$B$3623,A329,'📋 Транзакції'!$C$5:$C$3623,"&gt;="&amp;EDATE(DATEVALUE(C329&amp;"-01"),8),'📋 Транзакції'!$C$5:$C$3623,"&lt;"&amp;EDATE(DATEVALUE(C329&amp;"-01"),9))&gt;0,1,0)</f>
        <v>0</v>
      </c>
      <c r="P329" s="37">
        <f>IF(COUNTIFS('📋 Транзакції'!$B$5:$B$3623,A329,'📋 Транзакції'!$C$5:$C$3623,"&gt;="&amp;EDATE(DATEVALUE(C329&amp;"-01"),9),'📋 Транзакції'!$C$5:$C$3623,"&lt;"&amp;EDATE(DATEVALUE(C329&amp;"-01"),10))&gt;0,1,0)</f>
        <v>0</v>
      </c>
      <c r="Q329" s="37">
        <f>IF(COUNTIFS('📋 Транзакції'!$B$5:$B$3623,A329,'📋 Транзакції'!$C$5:$C$3623,"&gt;="&amp;EDATE(DATEVALUE(C329&amp;"-01"),10),'📋 Транзакції'!$C$5:$C$3623,"&lt;"&amp;EDATE(DATEVALUE(C329&amp;"-01"),11))&gt;0,1,0)</f>
        <v>0</v>
      </c>
      <c r="R329" s="37">
        <f>IF(COUNTIFS('📋 Транзакції'!$B$5:$B$3623,A329,'📋 Транзакції'!$C$5:$C$3623,"&gt;="&amp;EDATE(DATEVALUE(C329&amp;"-01"),11),'📋 Транзакції'!$C$5:$C$3623,"&lt;"&amp;EDATE(DATEVALUE(C329&amp;"-01"),12))&gt;0,1,0)</f>
        <v>0</v>
      </c>
      <c r="S329" s="37">
        <f>SUMIFS('📋 Транзакції'!$F$5:$F$3623,'📋 Транзакції'!$B$5:$B$3623,A329,'📋 Транзакції'!$C$5:$C$3623,"&gt;="&amp;EDATE(DATEVALUE(C329&amp;"-01"),0),'📋 Транзакції'!$C$5:$C$3623,"&lt;"&amp;EDATE(DATEVALUE(C329&amp;"-01"),1))</f>
        <v>19.99</v>
      </c>
      <c r="T329" s="37">
        <f>SUMIFS('📋 Транзакції'!$F$5:$F$3623,'📋 Транзакції'!$B$5:$B$3623,A329,'📋 Транзакції'!$C$5:$C$3623,"&gt;="&amp;EDATE(DATEVALUE(C329&amp;"-01"),1),'📋 Транзакції'!$C$5:$C$3623,"&lt;"&amp;EDATE(DATEVALUE(C329&amp;"-01"),2))</f>
        <v>19.99</v>
      </c>
      <c r="U329" s="37">
        <f>SUMIFS('📋 Транзакції'!$F$5:$F$3623,'📋 Транзакції'!$B$5:$B$3623,A329,'📋 Транзакції'!$C$5:$C$3623,"&gt;="&amp;EDATE(DATEVALUE(C329&amp;"-01"),2),'📋 Транзакції'!$C$5:$C$3623,"&lt;"&amp;EDATE(DATEVALUE(C329&amp;"-01"),3))</f>
        <v>19.99</v>
      </c>
      <c r="V329" s="37">
        <f>SUMIFS('📋 Транзакції'!$F$5:$F$3623,'📋 Транзакції'!$B$5:$B$3623,A329,'📋 Транзакції'!$C$5:$C$3623,"&gt;="&amp;EDATE(DATEVALUE(C329&amp;"-01"),3),'📋 Транзакції'!$C$5:$C$3623,"&lt;"&amp;EDATE(DATEVALUE(C329&amp;"-01"),4))</f>
        <v>19.99</v>
      </c>
      <c r="W329" s="37">
        <f>SUMIFS('📋 Транзакції'!$F$5:$F$3623,'📋 Транзакції'!$B$5:$B$3623,A329,'📋 Транзакції'!$C$5:$C$3623,"&gt;="&amp;EDATE(DATEVALUE(C329&amp;"-01"),4),'📋 Транзакції'!$C$5:$C$3623,"&lt;"&amp;EDATE(DATEVALUE(C329&amp;"-01"),5))</f>
        <v>19.99</v>
      </c>
      <c r="X329" s="37">
        <f>SUMIFS('📋 Транзакції'!$F$5:$F$3623,'📋 Транзакції'!$B$5:$B$3623,A329,'📋 Транзакції'!$C$5:$C$3623,"&gt;="&amp;EDATE(DATEVALUE(C329&amp;"-01"),5),'📋 Транзакції'!$C$5:$C$3623,"&lt;"&amp;EDATE(DATEVALUE(C329&amp;"-01"),6))</f>
        <v>19.99</v>
      </c>
      <c r="Y329" s="37">
        <f>SUMIFS('📋 Транзакції'!$F$5:$F$3623,'📋 Транзакції'!$B$5:$B$3623,A329,'📋 Транзакції'!$C$5:$C$3623,"&gt;="&amp;EDATE(DATEVALUE(C329&amp;"-01"),6),'📋 Транзакції'!$C$5:$C$3623,"&lt;"&amp;EDATE(DATEVALUE(C329&amp;"-01"),7))</f>
        <v>0</v>
      </c>
      <c r="Z329" s="37">
        <f>SUMIFS('📋 Транзакції'!$F$5:$F$3623,'📋 Транзакції'!$B$5:$B$3623,A329,'📋 Транзакції'!$C$5:$C$3623,"&gt;="&amp;EDATE(DATEVALUE(C329&amp;"-01"),7),'📋 Транзакції'!$C$5:$C$3623,"&lt;"&amp;EDATE(DATEVALUE(C329&amp;"-01"),8))</f>
        <v>0</v>
      </c>
      <c r="AA329" s="37">
        <f>SUMIFS('📋 Транзакції'!$F$5:$F$3623,'📋 Транзакції'!$B$5:$B$3623,A329,'📋 Транзакції'!$C$5:$C$3623,"&gt;="&amp;EDATE(DATEVALUE(C329&amp;"-01"),8),'📋 Транзакції'!$C$5:$C$3623,"&lt;"&amp;EDATE(DATEVALUE(C329&amp;"-01"),9))</f>
        <v>0</v>
      </c>
      <c r="AB329" s="37">
        <f>SUMIFS('📋 Транзакції'!$F$5:$F$3623,'📋 Транзакції'!$B$5:$B$3623,A329,'📋 Транзакції'!$C$5:$C$3623,"&gt;="&amp;EDATE(DATEVALUE(C329&amp;"-01"),9),'📋 Транзакції'!$C$5:$C$3623,"&lt;"&amp;EDATE(DATEVALUE(C329&amp;"-01"),10))</f>
        <v>0</v>
      </c>
      <c r="AC329" s="37">
        <f>SUMIFS('📋 Транзакції'!$F$5:$F$3623,'📋 Транзакції'!$B$5:$B$3623,A329,'📋 Транзакції'!$C$5:$C$3623,"&gt;="&amp;EDATE(DATEVALUE(C329&amp;"-01"),10),'📋 Транзакції'!$C$5:$C$3623,"&lt;"&amp;EDATE(DATEVALUE(C329&amp;"-01"),11))</f>
        <v>0</v>
      </c>
      <c r="AD329" s="37">
        <f>SUMIFS('📋 Транзакції'!$F$5:$F$3623,'📋 Транзакції'!$B$5:$B$3623,A329,'📋 Транзакції'!$C$5:$C$3623,"&gt;="&amp;EDATE(DATEVALUE(C329&amp;"-01"),11),'📋 Транзакції'!$C$5:$C$3623,"&lt;"&amp;EDATE(DATEVALUE(C329&amp;"-01"),12))</f>
        <v>0</v>
      </c>
    </row>
    <row r="330" ht="15.75" customHeight="1">
      <c r="A330" s="33" t="str">
        <f>'📋 Реєстрації'!A330:A931</f>
        <v>U0734</v>
      </c>
      <c r="B330" s="34">
        <f t="array" ref="B330">INDEX('📋 Транзакції'!$C$5:$C$3623,MATCH(A330,'📋 Транзакції'!$B$5:$B$3623,0))</f>
        <v>45579</v>
      </c>
      <c r="C330" s="35" t="str">
        <f t="shared" si="1"/>
        <v>2024-10</v>
      </c>
      <c r="D330" s="36">
        <f>COUNTIF('📋 Транзакції'!$B$5:$B$3623,A330)</f>
        <v>7</v>
      </c>
      <c r="E330" s="36">
        <f>SUMIF('📋 Транзакції'!$B$5:$B$3623,A330,'📋 Транзакції'!$F$5:$F$3623)</f>
        <v>119.94</v>
      </c>
      <c r="F330" s="35">
        <f>INT($A$1-MAXIFS('📋 Транзакції'!$C$5:$C$3623,'📋 Транзакції'!$B$5:$B$3623,A330))</f>
        <v>11</v>
      </c>
      <c r="G330" s="37">
        <f>IF(COUNTIFS('📋 Транзакції'!$B$5:$B$3623,A330,'📋 Транзакції'!$C$5:$C$3623,"&gt;="&amp;EDATE(DATEVALUE(C330&amp;"-01"),0),'📋 Транзакції'!$C$5:$C$3623,"&lt;"&amp;EDATE(DATEVALUE(C330&amp;"-01"),1))&gt;0,1,0)</f>
        <v>1</v>
      </c>
      <c r="H330" s="37">
        <f>IF(COUNTIFS('📋 Транзакції'!$B$5:$B$3623,A330,'📋 Транзакції'!$C$5:$C$3623,"&gt;="&amp;EDATE(DATEVALUE(C330&amp;"-01"),1),'📋 Транзакції'!$C$5:$C$3623,"&lt;"&amp;EDATE(DATEVALUE(C330&amp;"-01"),2))&gt;0,1,0)</f>
        <v>1</v>
      </c>
      <c r="I330" s="37">
        <f>IF(COUNTIFS('📋 Транзакції'!$B$5:$B$3623,A330,'📋 Транзакції'!$C$5:$C$3623,"&gt;="&amp;EDATE(DATEVALUE(C330&amp;"-01"),2),'📋 Транзакції'!$C$5:$C$3623,"&lt;"&amp;EDATE(DATEVALUE(C330&amp;"-01"),3))&gt;0,1,0)</f>
        <v>1</v>
      </c>
      <c r="J330" s="37">
        <f>IF(COUNTIFS('📋 Транзакції'!$B$5:$B$3623,A330,'📋 Транзакції'!$C$5:$C$3623,"&gt;="&amp;EDATE(DATEVALUE(C330&amp;"-01"),3),'📋 Транзакції'!$C$5:$C$3623,"&lt;"&amp;EDATE(DATEVALUE(C330&amp;"-01"),4))&gt;0,1,0)</f>
        <v>1</v>
      </c>
      <c r="K330" s="37">
        <f>IF(COUNTIFS('📋 Транзакції'!$B$5:$B$3623,A330,'📋 Транзакції'!$C$5:$C$3623,"&gt;="&amp;EDATE(DATEVALUE(C330&amp;"-01"),4),'📋 Транзакції'!$C$5:$C$3623,"&lt;"&amp;EDATE(DATEVALUE(C330&amp;"-01"),5))&gt;0,1,0)</f>
        <v>1</v>
      </c>
      <c r="L330" s="37">
        <f>IF(COUNTIFS('📋 Транзакції'!$B$5:$B$3623,A330,'📋 Транзакції'!$C$5:$C$3623,"&gt;="&amp;EDATE(DATEVALUE(C330&amp;"-01"),5),'📋 Транзакції'!$C$5:$C$3623,"&lt;"&amp;EDATE(DATEVALUE(C330&amp;"-01"),6))&gt;0,1,0)</f>
        <v>1</v>
      </c>
      <c r="M330" s="37">
        <f>IF(COUNTIFS('📋 Транзакції'!$B$5:$B$3623,A330,'📋 Транзакції'!$C$5:$C$3623,"&gt;="&amp;EDATE(DATEVALUE(C330&amp;"-01"),6),'📋 Транзакції'!$C$5:$C$3623,"&lt;"&amp;EDATE(DATEVALUE(C330&amp;"-01"),7))&gt;0,1,0)</f>
        <v>0</v>
      </c>
      <c r="N330" s="37">
        <f>IF(COUNTIFS('📋 Транзакції'!$B$5:$B$3623,A330,'📋 Транзакції'!$C$5:$C$3623,"&gt;="&amp;EDATE(DATEVALUE(C330&amp;"-01"),7),'📋 Транзакції'!$C$5:$C$3623,"&lt;"&amp;EDATE(DATEVALUE(C330&amp;"-01"),8))&gt;0,1,0)</f>
        <v>0</v>
      </c>
      <c r="O330" s="37">
        <f>IF(COUNTIFS('📋 Транзакції'!$B$5:$B$3623,A330,'📋 Транзакції'!$C$5:$C$3623,"&gt;="&amp;EDATE(DATEVALUE(C330&amp;"-01"),8),'📋 Транзакції'!$C$5:$C$3623,"&lt;"&amp;EDATE(DATEVALUE(C330&amp;"-01"),9))&gt;0,1,0)</f>
        <v>0</v>
      </c>
      <c r="P330" s="37">
        <f>IF(COUNTIFS('📋 Транзакції'!$B$5:$B$3623,A330,'📋 Транзакції'!$C$5:$C$3623,"&gt;="&amp;EDATE(DATEVALUE(C330&amp;"-01"),9),'📋 Транзакції'!$C$5:$C$3623,"&lt;"&amp;EDATE(DATEVALUE(C330&amp;"-01"),10))&gt;0,1,0)</f>
        <v>0</v>
      </c>
      <c r="Q330" s="37">
        <f>IF(COUNTIFS('📋 Транзакції'!$B$5:$B$3623,A330,'📋 Транзакції'!$C$5:$C$3623,"&gt;="&amp;EDATE(DATEVALUE(C330&amp;"-01"),10),'📋 Транзакції'!$C$5:$C$3623,"&lt;"&amp;EDATE(DATEVALUE(C330&amp;"-01"),11))&gt;0,1,0)</f>
        <v>0</v>
      </c>
      <c r="R330" s="37">
        <f>IF(COUNTIFS('📋 Транзакції'!$B$5:$B$3623,A330,'📋 Транзакції'!$C$5:$C$3623,"&gt;="&amp;EDATE(DATEVALUE(C330&amp;"-01"),11),'📋 Транзакції'!$C$5:$C$3623,"&lt;"&amp;EDATE(DATEVALUE(C330&amp;"-01"),12))&gt;0,1,0)</f>
        <v>0</v>
      </c>
      <c r="S330" s="37">
        <f>SUMIFS('📋 Транзакції'!$F$5:$F$3623,'📋 Транзакції'!$B$5:$B$3623,A330,'📋 Транзакції'!$C$5:$C$3623,"&gt;="&amp;EDATE(DATEVALUE(C330&amp;"-01"),0),'📋 Транзакції'!$C$5:$C$3623,"&lt;"&amp;EDATE(DATEVALUE(C330&amp;"-01"),1))</f>
        <v>19.99</v>
      </c>
      <c r="T330" s="37">
        <f>SUMIFS('📋 Транзакції'!$F$5:$F$3623,'📋 Транзакції'!$B$5:$B$3623,A330,'📋 Транзакції'!$C$5:$C$3623,"&gt;="&amp;EDATE(DATEVALUE(C330&amp;"-01"),1),'📋 Транзакції'!$C$5:$C$3623,"&lt;"&amp;EDATE(DATEVALUE(C330&amp;"-01"),2))</f>
        <v>19.99</v>
      </c>
      <c r="U330" s="37">
        <f>SUMIFS('📋 Транзакції'!$F$5:$F$3623,'📋 Транзакції'!$B$5:$B$3623,A330,'📋 Транзакції'!$C$5:$C$3623,"&gt;="&amp;EDATE(DATEVALUE(C330&amp;"-01"),2),'📋 Транзакції'!$C$5:$C$3623,"&lt;"&amp;EDATE(DATEVALUE(C330&amp;"-01"),3))</f>
        <v>19.99</v>
      </c>
      <c r="V330" s="37">
        <f>SUMIFS('📋 Транзакції'!$F$5:$F$3623,'📋 Транзакції'!$B$5:$B$3623,A330,'📋 Транзакції'!$C$5:$C$3623,"&gt;="&amp;EDATE(DATEVALUE(C330&amp;"-01"),3),'📋 Транзакції'!$C$5:$C$3623,"&lt;"&amp;EDATE(DATEVALUE(C330&amp;"-01"),4))</f>
        <v>19.99</v>
      </c>
      <c r="W330" s="37">
        <f>SUMIFS('📋 Транзакції'!$F$5:$F$3623,'📋 Транзакції'!$B$5:$B$3623,A330,'📋 Транзакції'!$C$5:$C$3623,"&gt;="&amp;EDATE(DATEVALUE(C330&amp;"-01"),4),'📋 Транзакції'!$C$5:$C$3623,"&lt;"&amp;EDATE(DATEVALUE(C330&amp;"-01"),5))</f>
        <v>19.99</v>
      </c>
      <c r="X330" s="37">
        <f>SUMIFS('📋 Транзакції'!$F$5:$F$3623,'📋 Транзакції'!$B$5:$B$3623,A330,'📋 Транзакції'!$C$5:$C$3623,"&gt;="&amp;EDATE(DATEVALUE(C330&amp;"-01"),5),'📋 Транзакції'!$C$5:$C$3623,"&lt;"&amp;EDATE(DATEVALUE(C330&amp;"-01"),6))</f>
        <v>19.99</v>
      </c>
      <c r="Y330" s="37">
        <f>SUMIFS('📋 Транзакції'!$F$5:$F$3623,'📋 Транзакції'!$B$5:$B$3623,A330,'📋 Транзакції'!$C$5:$C$3623,"&gt;="&amp;EDATE(DATEVALUE(C330&amp;"-01"),6),'📋 Транзакції'!$C$5:$C$3623,"&lt;"&amp;EDATE(DATEVALUE(C330&amp;"-01"),7))</f>
        <v>0</v>
      </c>
      <c r="Z330" s="37">
        <f>SUMIFS('📋 Транзакції'!$F$5:$F$3623,'📋 Транзакції'!$B$5:$B$3623,A330,'📋 Транзакції'!$C$5:$C$3623,"&gt;="&amp;EDATE(DATEVALUE(C330&amp;"-01"),7),'📋 Транзакції'!$C$5:$C$3623,"&lt;"&amp;EDATE(DATEVALUE(C330&amp;"-01"),8))</f>
        <v>0</v>
      </c>
      <c r="AA330" s="37">
        <f>SUMIFS('📋 Транзакції'!$F$5:$F$3623,'📋 Транзакції'!$B$5:$B$3623,A330,'📋 Транзакції'!$C$5:$C$3623,"&gt;="&amp;EDATE(DATEVALUE(C330&amp;"-01"),8),'📋 Транзакції'!$C$5:$C$3623,"&lt;"&amp;EDATE(DATEVALUE(C330&amp;"-01"),9))</f>
        <v>0</v>
      </c>
      <c r="AB330" s="37">
        <f>SUMIFS('📋 Транзакції'!$F$5:$F$3623,'📋 Транзакції'!$B$5:$B$3623,A330,'📋 Транзакції'!$C$5:$C$3623,"&gt;="&amp;EDATE(DATEVALUE(C330&amp;"-01"),9),'📋 Транзакції'!$C$5:$C$3623,"&lt;"&amp;EDATE(DATEVALUE(C330&amp;"-01"),10))</f>
        <v>0</v>
      </c>
      <c r="AC330" s="37">
        <f>SUMIFS('📋 Транзакції'!$F$5:$F$3623,'📋 Транзакції'!$B$5:$B$3623,A330,'📋 Транзакції'!$C$5:$C$3623,"&gt;="&amp;EDATE(DATEVALUE(C330&amp;"-01"),10),'📋 Транзакції'!$C$5:$C$3623,"&lt;"&amp;EDATE(DATEVALUE(C330&amp;"-01"),11))</f>
        <v>0</v>
      </c>
      <c r="AD330" s="37">
        <f>SUMIFS('📋 Транзакції'!$F$5:$F$3623,'📋 Транзакції'!$B$5:$B$3623,A330,'📋 Транзакції'!$C$5:$C$3623,"&gt;="&amp;EDATE(DATEVALUE(C330&amp;"-01"),11),'📋 Транзакції'!$C$5:$C$3623,"&lt;"&amp;EDATE(DATEVALUE(C330&amp;"-01"),12))</f>
        <v>0</v>
      </c>
    </row>
    <row r="331" ht="15.75" customHeight="1">
      <c r="A331" s="33" t="str">
        <f>'📋 Реєстрації'!A331:A932</f>
        <v>U0744</v>
      </c>
      <c r="B331" s="34">
        <f t="array" ref="B331">INDEX('📋 Транзакції'!$C$5:$C$3623,MATCH(A331,'📋 Транзакції'!$B$5:$B$3623,0))</f>
        <v>45582</v>
      </c>
      <c r="C331" s="35" t="str">
        <f t="shared" si="1"/>
        <v>2024-10</v>
      </c>
      <c r="D331" s="36">
        <f>COUNTIF('📋 Транзакції'!$B$5:$B$3623,A331)</f>
        <v>3</v>
      </c>
      <c r="E331" s="36">
        <f>SUMIF('📋 Транзакції'!$B$5:$B$3623,A331,'📋 Транзакції'!$F$5:$F$3623)</f>
        <v>39.98</v>
      </c>
      <c r="F331" s="35">
        <f>INT($A$1-MAXIFS('📋 Транзакції'!$C$5:$C$3623,'📋 Транзакції'!$B$5:$B$3623,A331))</f>
        <v>128</v>
      </c>
      <c r="G331" s="37">
        <f>IF(COUNTIFS('📋 Транзакції'!$B$5:$B$3623,A331,'📋 Транзакції'!$C$5:$C$3623,"&gt;="&amp;EDATE(DATEVALUE(C331&amp;"-01"),0),'📋 Транзакції'!$C$5:$C$3623,"&lt;"&amp;EDATE(DATEVALUE(C331&amp;"-01"),1))&gt;0,1,0)</f>
        <v>1</v>
      </c>
      <c r="H331" s="37">
        <f>IF(COUNTIFS('📋 Транзакції'!$B$5:$B$3623,A331,'📋 Транзакції'!$C$5:$C$3623,"&gt;="&amp;EDATE(DATEVALUE(C331&amp;"-01"),1),'📋 Транзакції'!$C$5:$C$3623,"&lt;"&amp;EDATE(DATEVALUE(C331&amp;"-01"),2))&gt;0,1,0)</f>
        <v>1</v>
      </c>
      <c r="I331" s="37">
        <f>IF(COUNTIFS('📋 Транзакції'!$B$5:$B$3623,A331,'📋 Транзакції'!$C$5:$C$3623,"&gt;="&amp;EDATE(DATEVALUE(C331&amp;"-01"),2),'📋 Транзакції'!$C$5:$C$3623,"&lt;"&amp;EDATE(DATEVALUE(C331&amp;"-01"),3))&gt;0,1,0)</f>
        <v>0</v>
      </c>
      <c r="J331" s="37">
        <f>IF(COUNTIFS('📋 Транзакції'!$B$5:$B$3623,A331,'📋 Транзакції'!$C$5:$C$3623,"&gt;="&amp;EDATE(DATEVALUE(C331&amp;"-01"),3),'📋 Транзакції'!$C$5:$C$3623,"&lt;"&amp;EDATE(DATEVALUE(C331&amp;"-01"),4))&gt;0,1,0)</f>
        <v>0</v>
      </c>
      <c r="K331" s="37">
        <f>IF(COUNTIFS('📋 Транзакції'!$B$5:$B$3623,A331,'📋 Транзакції'!$C$5:$C$3623,"&gt;="&amp;EDATE(DATEVALUE(C331&amp;"-01"),4),'📋 Транзакції'!$C$5:$C$3623,"&lt;"&amp;EDATE(DATEVALUE(C331&amp;"-01"),5))&gt;0,1,0)</f>
        <v>0</v>
      </c>
      <c r="L331" s="37">
        <f>IF(COUNTIFS('📋 Транзакції'!$B$5:$B$3623,A331,'📋 Транзакції'!$C$5:$C$3623,"&gt;="&amp;EDATE(DATEVALUE(C331&amp;"-01"),5),'📋 Транзакції'!$C$5:$C$3623,"&lt;"&amp;EDATE(DATEVALUE(C331&amp;"-01"),6))&gt;0,1,0)</f>
        <v>0</v>
      </c>
      <c r="M331" s="37">
        <f>IF(COUNTIFS('📋 Транзакції'!$B$5:$B$3623,A331,'📋 Транзакції'!$C$5:$C$3623,"&gt;="&amp;EDATE(DATEVALUE(C331&amp;"-01"),6),'📋 Транзакції'!$C$5:$C$3623,"&lt;"&amp;EDATE(DATEVALUE(C331&amp;"-01"),7))&gt;0,1,0)</f>
        <v>0</v>
      </c>
      <c r="N331" s="37">
        <f>IF(COUNTIFS('📋 Транзакції'!$B$5:$B$3623,A331,'📋 Транзакції'!$C$5:$C$3623,"&gt;="&amp;EDATE(DATEVALUE(C331&amp;"-01"),7),'📋 Транзакції'!$C$5:$C$3623,"&lt;"&amp;EDATE(DATEVALUE(C331&amp;"-01"),8))&gt;0,1,0)</f>
        <v>0</v>
      </c>
      <c r="O331" s="37">
        <f>IF(COUNTIFS('📋 Транзакції'!$B$5:$B$3623,A331,'📋 Транзакції'!$C$5:$C$3623,"&gt;="&amp;EDATE(DATEVALUE(C331&amp;"-01"),8),'📋 Транзакції'!$C$5:$C$3623,"&lt;"&amp;EDATE(DATEVALUE(C331&amp;"-01"),9))&gt;0,1,0)</f>
        <v>0</v>
      </c>
      <c r="P331" s="37">
        <f>IF(COUNTIFS('📋 Транзакції'!$B$5:$B$3623,A331,'📋 Транзакції'!$C$5:$C$3623,"&gt;="&amp;EDATE(DATEVALUE(C331&amp;"-01"),9),'📋 Транзакції'!$C$5:$C$3623,"&lt;"&amp;EDATE(DATEVALUE(C331&amp;"-01"),10))&gt;0,1,0)</f>
        <v>0</v>
      </c>
      <c r="Q331" s="37">
        <f>IF(COUNTIFS('📋 Транзакції'!$B$5:$B$3623,A331,'📋 Транзакції'!$C$5:$C$3623,"&gt;="&amp;EDATE(DATEVALUE(C331&amp;"-01"),10),'📋 Транзакції'!$C$5:$C$3623,"&lt;"&amp;EDATE(DATEVALUE(C331&amp;"-01"),11))&gt;0,1,0)</f>
        <v>0</v>
      </c>
      <c r="R331" s="37">
        <f>IF(COUNTIFS('📋 Транзакції'!$B$5:$B$3623,A331,'📋 Транзакції'!$C$5:$C$3623,"&gt;="&amp;EDATE(DATEVALUE(C331&amp;"-01"),11),'📋 Транзакції'!$C$5:$C$3623,"&lt;"&amp;EDATE(DATEVALUE(C331&amp;"-01"),12))&gt;0,1,0)</f>
        <v>0</v>
      </c>
      <c r="S331" s="37">
        <f>SUMIFS('📋 Транзакції'!$F$5:$F$3623,'📋 Транзакції'!$B$5:$B$3623,A331,'📋 Транзакції'!$C$5:$C$3623,"&gt;="&amp;EDATE(DATEVALUE(C331&amp;"-01"),0),'📋 Транзакції'!$C$5:$C$3623,"&lt;"&amp;EDATE(DATEVALUE(C331&amp;"-01"),1))</f>
        <v>19.99</v>
      </c>
      <c r="T331" s="37">
        <f>SUMIFS('📋 Транзакції'!$F$5:$F$3623,'📋 Транзакції'!$B$5:$B$3623,A331,'📋 Транзакції'!$C$5:$C$3623,"&gt;="&amp;EDATE(DATEVALUE(C331&amp;"-01"),1),'📋 Транзакції'!$C$5:$C$3623,"&lt;"&amp;EDATE(DATEVALUE(C331&amp;"-01"),2))</f>
        <v>19.99</v>
      </c>
      <c r="U331" s="37">
        <f>SUMIFS('📋 Транзакції'!$F$5:$F$3623,'📋 Транзакції'!$B$5:$B$3623,A331,'📋 Транзакції'!$C$5:$C$3623,"&gt;="&amp;EDATE(DATEVALUE(C331&amp;"-01"),2),'📋 Транзакції'!$C$5:$C$3623,"&lt;"&amp;EDATE(DATEVALUE(C331&amp;"-01"),3))</f>
        <v>0</v>
      </c>
      <c r="V331" s="37">
        <f>SUMIFS('📋 Транзакції'!$F$5:$F$3623,'📋 Транзакції'!$B$5:$B$3623,A331,'📋 Транзакції'!$C$5:$C$3623,"&gt;="&amp;EDATE(DATEVALUE(C331&amp;"-01"),3),'📋 Транзакції'!$C$5:$C$3623,"&lt;"&amp;EDATE(DATEVALUE(C331&amp;"-01"),4))</f>
        <v>0</v>
      </c>
      <c r="W331" s="37">
        <f>SUMIFS('📋 Транзакції'!$F$5:$F$3623,'📋 Транзакції'!$B$5:$B$3623,A331,'📋 Транзакції'!$C$5:$C$3623,"&gt;="&amp;EDATE(DATEVALUE(C331&amp;"-01"),4),'📋 Транзакції'!$C$5:$C$3623,"&lt;"&amp;EDATE(DATEVALUE(C331&amp;"-01"),5))</f>
        <v>0</v>
      </c>
      <c r="X331" s="37">
        <f>SUMIFS('📋 Транзакції'!$F$5:$F$3623,'📋 Транзакції'!$B$5:$B$3623,A331,'📋 Транзакції'!$C$5:$C$3623,"&gt;="&amp;EDATE(DATEVALUE(C331&amp;"-01"),5),'📋 Транзакції'!$C$5:$C$3623,"&lt;"&amp;EDATE(DATEVALUE(C331&amp;"-01"),6))</f>
        <v>0</v>
      </c>
      <c r="Y331" s="37">
        <f>SUMIFS('📋 Транзакції'!$F$5:$F$3623,'📋 Транзакції'!$B$5:$B$3623,A331,'📋 Транзакції'!$C$5:$C$3623,"&gt;="&amp;EDATE(DATEVALUE(C331&amp;"-01"),6),'📋 Транзакції'!$C$5:$C$3623,"&lt;"&amp;EDATE(DATEVALUE(C331&amp;"-01"),7))</f>
        <v>0</v>
      </c>
      <c r="Z331" s="37">
        <f>SUMIFS('📋 Транзакції'!$F$5:$F$3623,'📋 Транзакції'!$B$5:$B$3623,A331,'📋 Транзакції'!$C$5:$C$3623,"&gt;="&amp;EDATE(DATEVALUE(C331&amp;"-01"),7),'📋 Транзакції'!$C$5:$C$3623,"&lt;"&amp;EDATE(DATEVALUE(C331&amp;"-01"),8))</f>
        <v>0</v>
      </c>
      <c r="AA331" s="37">
        <f>SUMIFS('📋 Транзакції'!$F$5:$F$3623,'📋 Транзакції'!$B$5:$B$3623,A331,'📋 Транзакції'!$C$5:$C$3623,"&gt;="&amp;EDATE(DATEVALUE(C331&amp;"-01"),8),'📋 Транзакції'!$C$5:$C$3623,"&lt;"&amp;EDATE(DATEVALUE(C331&amp;"-01"),9))</f>
        <v>0</v>
      </c>
      <c r="AB331" s="37">
        <f>SUMIFS('📋 Транзакції'!$F$5:$F$3623,'📋 Транзакції'!$B$5:$B$3623,A331,'📋 Транзакції'!$C$5:$C$3623,"&gt;="&amp;EDATE(DATEVALUE(C331&amp;"-01"),9),'📋 Транзакції'!$C$5:$C$3623,"&lt;"&amp;EDATE(DATEVALUE(C331&amp;"-01"),10))</f>
        <v>0</v>
      </c>
      <c r="AC331" s="37">
        <f>SUMIFS('📋 Транзакції'!$F$5:$F$3623,'📋 Транзакції'!$B$5:$B$3623,A331,'📋 Транзакції'!$C$5:$C$3623,"&gt;="&amp;EDATE(DATEVALUE(C331&amp;"-01"),10),'📋 Транзакції'!$C$5:$C$3623,"&lt;"&amp;EDATE(DATEVALUE(C331&amp;"-01"),11))</f>
        <v>0</v>
      </c>
      <c r="AD331" s="37">
        <f>SUMIFS('📋 Транзакції'!$F$5:$F$3623,'📋 Транзакції'!$B$5:$B$3623,A331,'📋 Транзакції'!$C$5:$C$3623,"&gt;="&amp;EDATE(DATEVALUE(C331&amp;"-01"),11),'📋 Транзакції'!$C$5:$C$3623,"&lt;"&amp;EDATE(DATEVALUE(C331&amp;"-01"),12))</f>
        <v>0</v>
      </c>
    </row>
    <row r="332" ht="15.75" customHeight="1">
      <c r="A332" s="33" t="str">
        <f>'📋 Реєстрації'!A332:A933</f>
        <v>U0758</v>
      </c>
      <c r="B332" s="34">
        <f t="array" ref="B332">INDEX('📋 Транзакції'!$C$5:$C$3623,MATCH(A332,'📋 Транзакції'!$B$5:$B$3623,0))</f>
        <v>45582</v>
      </c>
      <c r="C332" s="35" t="str">
        <f t="shared" si="1"/>
        <v>2024-10</v>
      </c>
      <c r="D332" s="36">
        <f>COUNTIF('📋 Транзакції'!$B$5:$B$3623,A332)</f>
        <v>7</v>
      </c>
      <c r="E332" s="36">
        <f>SUMIF('📋 Транзакції'!$B$5:$B$3623,A332,'📋 Транзакції'!$F$5:$F$3623)</f>
        <v>119.94</v>
      </c>
      <c r="F332" s="35">
        <f>INT($A$1-MAXIFS('📋 Транзакції'!$C$5:$C$3623,'📋 Транзакції'!$B$5:$B$3623,A332))</f>
        <v>8</v>
      </c>
      <c r="G332" s="37">
        <f>IF(COUNTIFS('📋 Транзакції'!$B$5:$B$3623,A332,'📋 Транзакції'!$C$5:$C$3623,"&gt;="&amp;EDATE(DATEVALUE(C332&amp;"-01"),0),'📋 Транзакції'!$C$5:$C$3623,"&lt;"&amp;EDATE(DATEVALUE(C332&amp;"-01"),1))&gt;0,1,0)</f>
        <v>1</v>
      </c>
      <c r="H332" s="37">
        <f>IF(COUNTIFS('📋 Транзакції'!$B$5:$B$3623,A332,'📋 Транзакції'!$C$5:$C$3623,"&gt;="&amp;EDATE(DATEVALUE(C332&amp;"-01"),1),'📋 Транзакції'!$C$5:$C$3623,"&lt;"&amp;EDATE(DATEVALUE(C332&amp;"-01"),2))&gt;0,1,0)</f>
        <v>1</v>
      </c>
      <c r="I332" s="37">
        <f>IF(COUNTIFS('📋 Транзакції'!$B$5:$B$3623,A332,'📋 Транзакції'!$C$5:$C$3623,"&gt;="&amp;EDATE(DATEVALUE(C332&amp;"-01"),2),'📋 Транзакції'!$C$5:$C$3623,"&lt;"&amp;EDATE(DATEVALUE(C332&amp;"-01"),3))&gt;0,1,0)</f>
        <v>1</v>
      </c>
      <c r="J332" s="37">
        <f>IF(COUNTIFS('📋 Транзакції'!$B$5:$B$3623,A332,'📋 Транзакції'!$C$5:$C$3623,"&gt;="&amp;EDATE(DATEVALUE(C332&amp;"-01"),3),'📋 Транзакції'!$C$5:$C$3623,"&lt;"&amp;EDATE(DATEVALUE(C332&amp;"-01"),4))&gt;0,1,0)</f>
        <v>1</v>
      </c>
      <c r="K332" s="37">
        <f>IF(COUNTIFS('📋 Транзакції'!$B$5:$B$3623,A332,'📋 Транзакції'!$C$5:$C$3623,"&gt;="&amp;EDATE(DATEVALUE(C332&amp;"-01"),4),'📋 Транзакції'!$C$5:$C$3623,"&lt;"&amp;EDATE(DATEVALUE(C332&amp;"-01"),5))&gt;0,1,0)</f>
        <v>1</v>
      </c>
      <c r="L332" s="37">
        <f>IF(COUNTIFS('📋 Транзакції'!$B$5:$B$3623,A332,'📋 Транзакції'!$C$5:$C$3623,"&gt;="&amp;EDATE(DATEVALUE(C332&amp;"-01"),5),'📋 Транзакції'!$C$5:$C$3623,"&lt;"&amp;EDATE(DATEVALUE(C332&amp;"-01"),6))&gt;0,1,0)</f>
        <v>1</v>
      </c>
      <c r="M332" s="37">
        <f>IF(COUNTIFS('📋 Транзакції'!$B$5:$B$3623,A332,'📋 Транзакції'!$C$5:$C$3623,"&gt;="&amp;EDATE(DATEVALUE(C332&amp;"-01"),6),'📋 Транзакції'!$C$5:$C$3623,"&lt;"&amp;EDATE(DATEVALUE(C332&amp;"-01"),7))&gt;0,1,0)</f>
        <v>0</v>
      </c>
      <c r="N332" s="37">
        <f>IF(COUNTIFS('📋 Транзакції'!$B$5:$B$3623,A332,'📋 Транзакції'!$C$5:$C$3623,"&gt;="&amp;EDATE(DATEVALUE(C332&amp;"-01"),7),'📋 Транзакції'!$C$5:$C$3623,"&lt;"&amp;EDATE(DATEVALUE(C332&amp;"-01"),8))&gt;0,1,0)</f>
        <v>0</v>
      </c>
      <c r="O332" s="37">
        <f>IF(COUNTIFS('📋 Транзакції'!$B$5:$B$3623,A332,'📋 Транзакції'!$C$5:$C$3623,"&gt;="&amp;EDATE(DATEVALUE(C332&amp;"-01"),8),'📋 Транзакції'!$C$5:$C$3623,"&lt;"&amp;EDATE(DATEVALUE(C332&amp;"-01"),9))&gt;0,1,0)</f>
        <v>0</v>
      </c>
      <c r="P332" s="37">
        <f>IF(COUNTIFS('📋 Транзакції'!$B$5:$B$3623,A332,'📋 Транзакції'!$C$5:$C$3623,"&gt;="&amp;EDATE(DATEVALUE(C332&amp;"-01"),9),'📋 Транзакції'!$C$5:$C$3623,"&lt;"&amp;EDATE(DATEVALUE(C332&amp;"-01"),10))&gt;0,1,0)</f>
        <v>0</v>
      </c>
      <c r="Q332" s="37">
        <f>IF(COUNTIFS('📋 Транзакції'!$B$5:$B$3623,A332,'📋 Транзакції'!$C$5:$C$3623,"&gt;="&amp;EDATE(DATEVALUE(C332&amp;"-01"),10),'📋 Транзакції'!$C$5:$C$3623,"&lt;"&amp;EDATE(DATEVALUE(C332&amp;"-01"),11))&gt;0,1,0)</f>
        <v>0</v>
      </c>
      <c r="R332" s="37">
        <f>IF(COUNTIFS('📋 Транзакції'!$B$5:$B$3623,A332,'📋 Транзакції'!$C$5:$C$3623,"&gt;="&amp;EDATE(DATEVALUE(C332&amp;"-01"),11),'📋 Транзакції'!$C$5:$C$3623,"&lt;"&amp;EDATE(DATEVALUE(C332&amp;"-01"),12))&gt;0,1,0)</f>
        <v>0</v>
      </c>
      <c r="S332" s="37">
        <f>SUMIFS('📋 Транзакції'!$F$5:$F$3623,'📋 Транзакції'!$B$5:$B$3623,A332,'📋 Транзакції'!$C$5:$C$3623,"&gt;="&amp;EDATE(DATEVALUE(C332&amp;"-01"),0),'📋 Транзакції'!$C$5:$C$3623,"&lt;"&amp;EDATE(DATEVALUE(C332&amp;"-01"),1))</f>
        <v>19.99</v>
      </c>
      <c r="T332" s="37">
        <f>SUMIFS('📋 Транзакції'!$F$5:$F$3623,'📋 Транзакції'!$B$5:$B$3623,A332,'📋 Транзакції'!$C$5:$C$3623,"&gt;="&amp;EDATE(DATEVALUE(C332&amp;"-01"),1),'📋 Транзакції'!$C$5:$C$3623,"&lt;"&amp;EDATE(DATEVALUE(C332&amp;"-01"),2))</f>
        <v>19.99</v>
      </c>
      <c r="U332" s="37">
        <f>SUMIFS('📋 Транзакції'!$F$5:$F$3623,'📋 Транзакції'!$B$5:$B$3623,A332,'📋 Транзакції'!$C$5:$C$3623,"&gt;="&amp;EDATE(DATEVALUE(C332&amp;"-01"),2),'📋 Транзакції'!$C$5:$C$3623,"&lt;"&amp;EDATE(DATEVALUE(C332&amp;"-01"),3))</f>
        <v>19.99</v>
      </c>
      <c r="V332" s="37">
        <f>SUMIFS('📋 Транзакції'!$F$5:$F$3623,'📋 Транзакції'!$B$5:$B$3623,A332,'📋 Транзакції'!$C$5:$C$3623,"&gt;="&amp;EDATE(DATEVALUE(C332&amp;"-01"),3),'📋 Транзакції'!$C$5:$C$3623,"&lt;"&amp;EDATE(DATEVALUE(C332&amp;"-01"),4))</f>
        <v>19.99</v>
      </c>
      <c r="W332" s="37">
        <f>SUMIFS('📋 Транзакції'!$F$5:$F$3623,'📋 Транзакції'!$B$5:$B$3623,A332,'📋 Транзакції'!$C$5:$C$3623,"&gt;="&amp;EDATE(DATEVALUE(C332&amp;"-01"),4),'📋 Транзакції'!$C$5:$C$3623,"&lt;"&amp;EDATE(DATEVALUE(C332&amp;"-01"),5))</f>
        <v>19.99</v>
      </c>
      <c r="X332" s="37">
        <f>SUMIFS('📋 Транзакції'!$F$5:$F$3623,'📋 Транзакції'!$B$5:$B$3623,A332,'📋 Транзакції'!$C$5:$C$3623,"&gt;="&amp;EDATE(DATEVALUE(C332&amp;"-01"),5),'📋 Транзакції'!$C$5:$C$3623,"&lt;"&amp;EDATE(DATEVALUE(C332&amp;"-01"),6))</f>
        <v>19.99</v>
      </c>
      <c r="Y332" s="37">
        <f>SUMIFS('📋 Транзакції'!$F$5:$F$3623,'📋 Транзакції'!$B$5:$B$3623,A332,'📋 Транзакції'!$C$5:$C$3623,"&gt;="&amp;EDATE(DATEVALUE(C332&amp;"-01"),6),'📋 Транзакції'!$C$5:$C$3623,"&lt;"&amp;EDATE(DATEVALUE(C332&amp;"-01"),7))</f>
        <v>0</v>
      </c>
      <c r="Z332" s="37">
        <f>SUMIFS('📋 Транзакції'!$F$5:$F$3623,'📋 Транзакції'!$B$5:$B$3623,A332,'📋 Транзакції'!$C$5:$C$3623,"&gt;="&amp;EDATE(DATEVALUE(C332&amp;"-01"),7),'📋 Транзакції'!$C$5:$C$3623,"&lt;"&amp;EDATE(DATEVALUE(C332&amp;"-01"),8))</f>
        <v>0</v>
      </c>
      <c r="AA332" s="37">
        <f>SUMIFS('📋 Транзакції'!$F$5:$F$3623,'📋 Транзакції'!$B$5:$B$3623,A332,'📋 Транзакції'!$C$5:$C$3623,"&gt;="&amp;EDATE(DATEVALUE(C332&amp;"-01"),8),'📋 Транзакції'!$C$5:$C$3623,"&lt;"&amp;EDATE(DATEVALUE(C332&amp;"-01"),9))</f>
        <v>0</v>
      </c>
      <c r="AB332" s="37">
        <f>SUMIFS('📋 Транзакції'!$F$5:$F$3623,'📋 Транзакції'!$B$5:$B$3623,A332,'📋 Транзакції'!$C$5:$C$3623,"&gt;="&amp;EDATE(DATEVALUE(C332&amp;"-01"),9),'📋 Транзакції'!$C$5:$C$3623,"&lt;"&amp;EDATE(DATEVALUE(C332&amp;"-01"),10))</f>
        <v>0</v>
      </c>
      <c r="AC332" s="37">
        <f>SUMIFS('📋 Транзакції'!$F$5:$F$3623,'📋 Транзакції'!$B$5:$B$3623,A332,'📋 Транзакції'!$C$5:$C$3623,"&gt;="&amp;EDATE(DATEVALUE(C332&amp;"-01"),10),'📋 Транзакції'!$C$5:$C$3623,"&lt;"&amp;EDATE(DATEVALUE(C332&amp;"-01"),11))</f>
        <v>0</v>
      </c>
      <c r="AD332" s="37">
        <f>SUMIFS('📋 Транзакції'!$F$5:$F$3623,'📋 Транзакції'!$B$5:$B$3623,A332,'📋 Транзакції'!$C$5:$C$3623,"&gt;="&amp;EDATE(DATEVALUE(C332&amp;"-01"),11),'📋 Транзакції'!$C$5:$C$3623,"&lt;"&amp;EDATE(DATEVALUE(C332&amp;"-01"),12))</f>
        <v>0</v>
      </c>
    </row>
    <row r="333" ht="15.75" customHeight="1">
      <c r="A333" s="33" t="str">
        <f>'📋 Реєстрації'!A333:A934</f>
        <v>U0090</v>
      </c>
      <c r="B333" s="34">
        <f t="array" ref="B333">INDEX('📋 Транзакції'!$C$5:$C$3623,MATCH(A333,'📋 Транзакції'!$B$5:$B$3623,0))</f>
        <v>45583</v>
      </c>
      <c r="C333" s="35" t="str">
        <f t="shared" si="1"/>
        <v>2024-10</v>
      </c>
      <c r="D333" s="36">
        <f>COUNTIF('📋 Транзакції'!$B$5:$B$3623,A333)</f>
        <v>7</v>
      </c>
      <c r="E333" s="36">
        <f>SUMIF('📋 Транзакції'!$B$5:$B$3623,A333,'📋 Транзакції'!$F$5:$F$3623)</f>
        <v>119.94</v>
      </c>
      <c r="F333" s="35">
        <f>INT($A$1-MAXIFS('📋 Транзакції'!$C$5:$C$3623,'📋 Транзакції'!$B$5:$B$3623,A333))</f>
        <v>7</v>
      </c>
      <c r="G333" s="37">
        <f>IF(COUNTIFS('📋 Транзакції'!$B$5:$B$3623,A333,'📋 Транзакції'!$C$5:$C$3623,"&gt;="&amp;EDATE(DATEVALUE(C333&amp;"-01"),0),'📋 Транзакції'!$C$5:$C$3623,"&lt;"&amp;EDATE(DATEVALUE(C333&amp;"-01"),1))&gt;0,1,0)</f>
        <v>1</v>
      </c>
      <c r="H333" s="37">
        <f>IF(COUNTIFS('📋 Транзакції'!$B$5:$B$3623,A333,'📋 Транзакції'!$C$5:$C$3623,"&gt;="&amp;EDATE(DATEVALUE(C333&amp;"-01"),1),'📋 Транзакції'!$C$5:$C$3623,"&lt;"&amp;EDATE(DATEVALUE(C333&amp;"-01"),2))&gt;0,1,0)</f>
        <v>1</v>
      </c>
      <c r="I333" s="37">
        <f>IF(COUNTIFS('📋 Транзакції'!$B$5:$B$3623,A333,'📋 Транзакції'!$C$5:$C$3623,"&gt;="&amp;EDATE(DATEVALUE(C333&amp;"-01"),2),'📋 Транзакції'!$C$5:$C$3623,"&lt;"&amp;EDATE(DATEVALUE(C333&amp;"-01"),3))&gt;0,1,0)</f>
        <v>1</v>
      </c>
      <c r="J333" s="37">
        <f>IF(COUNTIFS('📋 Транзакції'!$B$5:$B$3623,A333,'📋 Транзакції'!$C$5:$C$3623,"&gt;="&amp;EDATE(DATEVALUE(C333&amp;"-01"),3),'📋 Транзакції'!$C$5:$C$3623,"&lt;"&amp;EDATE(DATEVALUE(C333&amp;"-01"),4))&gt;0,1,0)</f>
        <v>1</v>
      </c>
      <c r="K333" s="37">
        <f>IF(COUNTIFS('📋 Транзакції'!$B$5:$B$3623,A333,'📋 Транзакції'!$C$5:$C$3623,"&gt;="&amp;EDATE(DATEVALUE(C333&amp;"-01"),4),'📋 Транзакції'!$C$5:$C$3623,"&lt;"&amp;EDATE(DATEVALUE(C333&amp;"-01"),5))&gt;0,1,0)</f>
        <v>1</v>
      </c>
      <c r="L333" s="37">
        <f>IF(COUNTIFS('📋 Транзакції'!$B$5:$B$3623,A333,'📋 Транзакції'!$C$5:$C$3623,"&gt;="&amp;EDATE(DATEVALUE(C333&amp;"-01"),5),'📋 Транзакції'!$C$5:$C$3623,"&lt;"&amp;EDATE(DATEVALUE(C333&amp;"-01"),6))&gt;0,1,0)</f>
        <v>1</v>
      </c>
      <c r="M333" s="37">
        <f>IF(COUNTIFS('📋 Транзакції'!$B$5:$B$3623,A333,'📋 Транзакції'!$C$5:$C$3623,"&gt;="&amp;EDATE(DATEVALUE(C333&amp;"-01"),6),'📋 Транзакції'!$C$5:$C$3623,"&lt;"&amp;EDATE(DATEVALUE(C333&amp;"-01"),7))&gt;0,1,0)</f>
        <v>0</v>
      </c>
      <c r="N333" s="37">
        <f>IF(COUNTIFS('📋 Транзакції'!$B$5:$B$3623,A333,'📋 Транзакції'!$C$5:$C$3623,"&gt;="&amp;EDATE(DATEVALUE(C333&amp;"-01"),7),'📋 Транзакції'!$C$5:$C$3623,"&lt;"&amp;EDATE(DATEVALUE(C333&amp;"-01"),8))&gt;0,1,0)</f>
        <v>0</v>
      </c>
      <c r="O333" s="37">
        <f>IF(COUNTIFS('📋 Транзакції'!$B$5:$B$3623,A333,'📋 Транзакції'!$C$5:$C$3623,"&gt;="&amp;EDATE(DATEVALUE(C333&amp;"-01"),8),'📋 Транзакції'!$C$5:$C$3623,"&lt;"&amp;EDATE(DATEVALUE(C333&amp;"-01"),9))&gt;0,1,0)</f>
        <v>0</v>
      </c>
      <c r="P333" s="37">
        <f>IF(COUNTIFS('📋 Транзакції'!$B$5:$B$3623,A333,'📋 Транзакції'!$C$5:$C$3623,"&gt;="&amp;EDATE(DATEVALUE(C333&amp;"-01"),9),'📋 Транзакції'!$C$5:$C$3623,"&lt;"&amp;EDATE(DATEVALUE(C333&amp;"-01"),10))&gt;0,1,0)</f>
        <v>0</v>
      </c>
      <c r="Q333" s="37">
        <f>IF(COUNTIFS('📋 Транзакції'!$B$5:$B$3623,A333,'📋 Транзакції'!$C$5:$C$3623,"&gt;="&amp;EDATE(DATEVALUE(C333&amp;"-01"),10),'📋 Транзакції'!$C$5:$C$3623,"&lt;"&amp;EDATE(DATEVALUE(C333&amp;"-01"),11))&gt;0,1,0)</f>
        <v>0</v>
      </c>
      <c r="R333" s="37">
        <f>IF(COUNTIFS('📋 Транзакції'!$B$5:$B$3623,A333,'📋 Транзакції'!$C$5:$C$3623,"&gt;="&amp;EDATE(DATEVALUE(C333&amp;"-01"),11),'📋 Транзакції'!$C$5:$C$3623,"&lt;"&amp;EDATE(DATEVALUE(C333&amp;"-01"),12))&gt;0,1,0)</f>
        <v>0</v>
      </c>
      <c r="S333" s="37">
        <f>SUMIFS('📋 Транзакції'!$F$5:$F$3623,'📋 Транзакції'!$B$5:$B$3623,A333,'📋 Транзакції'!$C$5:$C$3623,"&gt;="&amp;EDATE(DATEVALUE(C333&amp;"-01"),0),'📋 Транзакції'!$C$5:$C$3623,"&lt;"&amp;EDATE(DATEVALUE(C333&amp;"-01"),1))</f>
        <v>19.99</v>
      </c>
      <c r="T333" s="37">
        <f>SUMIFS('📋 Транзакції'!$F$5:$F$3623,'📋 Транзакції'!$B$5:$B$3623,A333,'📋 Транзакції'!$C$5:$C$3623,"&gt;="&amp;EDATE(DATEVALUE(C333&amp;"-01"),1),'📋 Транзакції'!$C$5:$C$3623,"&lt;"&amp;EDATE(DATEVALUE(C333&amp;"-01"),2))</f>
        <v>19.99</v>
      </c>
      <c r="U333" s="37">
        <f>SUMIFS('📋 Транзакції'!$F$5:$F$3623,'📋 Транзакції'!$B$5:$B$3623,A333,'📋 Транзакції'!$C$5:$C$3623,"&gt;="&amp;EDATE(DATEVALUE(C333&amp;"-01"),2),'📋 Транзакції'!$C$5:$C$3623,"&lt;"&amp;EDATE(DATEVALUE(C333&amp;"-01"),3))</f>
        <v>19.99</v>
      </c>
      <c r="V333" s="37">
        <f>SUMIFS('📋 Транзакції'!$F$5:$F$3623,'📋 Транзакції'!$B$5:$B$3623,A333,'📋 Транзакції'!$C$5:$C$3623,"&gt;="&amp;EDATE(DATEVALUE(C333&amp;"-01"),3),'📋 Транзакції'!$C$5:$C$3623,"&lt;"&amp;EDATE(DATEVALUE(C333&amp;"-01"),4))</f>
        <v>19.99</v>
      </c>
      <c r="W333" s="37">
        <f>SUMIFS('📋 Транзакції'!$F$5:$F$3623,'📋 Транзакції'!$B$5:$B$3623,A333,'📋 Транзакції'!$C$5:$C$3623,"&gt;="&amp;EDATE(DATEVALUE(C333&amp;"-01"),4),'📋 Транзакції'!$C$5:$C$3623,"&lt;"&amp;EDATE(DATEVALUE(C333&amp;"-01"),5))</f>
        <v>19.99</v>
      </c>
      <c r="X333" s="37">
        <f>SUMIFS('📋 Транзакції'!$F$5:$F$3623,'📋 Транзакції'!$B$5:$B$3623,A333,'📋 Транзакції'!$C$5:$C$3623,"&gt;="&amp;EDATE(DATEVALUE(C333&amp;"-01"),5),'📋 Транзакції'!$C$5:$C$3623,"&lt;"&amp;EDATE(DATEVALUE(C333&amp;"-01"),6))</f>
        <v>19.99</v>
      </c>
      <c r="Y333" s="37">
        <f>SUMIFS('📋 Транзакції'!$F$5:$F$3623,'📋 Транзакції'!$B$5:$B$3623,A333,'📋 Транзакції'!$C$5:$C$3623,"&gt;="&amp;EDATE(DATEVALUE(C333&amp;"-01"),6),'📋 Транзакції'!$C$5:$C$3623,"&lt;"&amp;EDATE(DATEVALUE(C333&amp;"-01"),7))</f>
        <v>0</v>
      </c>
      <c r="Z333" s="37">
        <f>SUMIFS('📋 Транзакції'!$F$5:$F$3623,'📋 Транзакції'!$B$5:$B$3623,A333,'📋 Транзакції'!$C$5:$C$3623,"&gt;="&amp;EDATE(DATEVALUE(C333&amp;"-01"),7),'📋 Транзакції'!$C$5:$C$3623,"&lt;"&amp;EDATE(DATEVALUE(C333&amp;"-01"),8))</f>
        <v>0</v>
      </c>
      <c r="AA333" s="37">
        <f>SUMIFS('📋 Транзакції'!$F$5:$F$3623,'📋 Транзакції'!$B$5:$B$3623,A333,'📋 Транзакції'!$C$5:$C$3623,"&gt;="&amp;EDATE(DATEVALUE(C333&amp;"-01"),8),'📋 Транзакції'!$C$5:$C$3623,"&lt;"&amp;EDATE(DATEVALUE(C333&amp;"-01"),9))</f>
        <v>0</v>
      </c>
      <c r="AB333" s="37">
        <f>SUMIFS('📋 Транзакції'!$F$5:$F$3623,'📋 Транзакції'!$B$5:$B$3623,A333,'📋 Транзакції'!$C$5:$C$3623,"&gt;="&amp;EDATE(DATEVALUE(C333&amp;"-01"),9),'📋 Транзакції'!$C$5:$C$3623,"&lt;"&amp;EDATE(DATEVALUE(C333&amp;"-01"),10))</f>
        <v>0</v>
      </c>
      <c r="AC333" s="37">
        <f>SUMIFS('📋 Транзакції'!$F$5:$F$3623,'📋 Транзакції'!$B$5:$B$3623,A333,'📋 Транзакції'!$C$5:$C$3623,"&gt;="&amp;EDATE(DATEVALUE(C333&amp;"-01"),10),'📋 Транзакції'!$C$5:$C$3623,"&lt;"&amp;EDATE(DATEVALUE(C333&amp;"-01"),11))</f>
        <v>0</v>
      </c>
      <c r="AD333" s="37">
        <f>SUMIFS('📋 Транзакції'!$F$5:$F$3623,'📋 Транзакції'!$B$5:$B$3623,A333,'📋 Транзакції'!$C$5:$C$3623,"&gt;="&amp;EDATE(DATEVALUE(C333&amp;"-01"),11),'📋 Транзакції'!$C$5:$C$3623,"&lt;"&amp;EDATE(DATEVALUE(C333&amp;"-01"),12))</f>
        <v>0</v>
      </c>
    </row>
    <row r="334" ht="15.75" customHeight="1">
      <c r="A334" s="33" t="str">
        <f>'📋 Реєстрації'!A334:A935</f>
        <v>U0120</v>
      </c>
      <c r="B334" s="34">
        <f t="array" ref="B334">INDEX('📋 Транзакції'!$C$5:$C$3623,MATCH(A334,'📋 Транзакції'!$B$5:$B$3623,0))</f>
        <v>45583</v>
      </c>
      <c r="C334" s="35" t="str">
        <f t="shared" si="1"/>
        <v>2024-10</v>
      </c>
      <c r="D334" s="36">
        <f>COUNTIF('📋 Транзакції'!$B$5:$B$3623,A334)</f>
        <v>2</v>
      </c>
      <c r="E334" s="36">
        <f>SUMIF('📋 Транзакції'!$B$5:$B$3623,A334,'📋 Транзакції'!$F$5:$F$3623)</f>
        <v>19.99</v>
      </c>
      <c r="F334" s="35">
        <f>INT($A$1-MAXIFS('📋 Транзакції'!$C$5:$C$3623,'📋 Транзакції'!$B$5:$B$3623,A334))</f>
        <v>157</v>
      </c>
      <c r="G334" s="37">
        <f>IF(COUNTIFS('📋 Транзакції'!$B$5:$B$3623,A334,'📋 Транзакції'!$C$5:$C$3623,"&gt;="&amp;EDATE(DATEVALUE(C334&amp;"-01"),0),'📋 Транзакції'!$C$5:$C$3623,"&lt;"&amp;EDATE(DATEVALUE(C334&amp;"-01"),1))&gt;0,1,0)</f>
        <v>1</v>
      </c>
      <c r="H334" s="37">
        <f>IF(COUNTIFS('📋 Транзакції'!$B$5:$B$3623,A334,'📋 Транзакції'!$C$5:$C$3623,"&gt;="&amp;EDATE(DATEVALUE(C334&amp;"-01"),1),'📋 Транзакції'!$C$5:$C$3623,"&lt;"&amp;EDATE(DATEVALUE(C334&amp;"-01"),2))&gt;0,1,0)</f>
        <v>0</v>
      </c>
      <c r="I334" s="37">
        <f>IF(COUNTIFS('📋 Транзакції'!$B$5:$B$3623,A334,'📋 Транзакції'!$C$5:$C$3623,"&gt;="&amp;EDATE(DATEVALUE(C334&amp;"-01"),2),'📋 Транзакції'!$C$5:$C$3623,"&lt;"&amp;EDATE(DATEVALUE(C334&amp;"-01"),3))&gt;0,1,0)</f>
        <v>0</v>
      </c>
      <c r="J334" s="37">
        <f>IF(COUNTIFS('📋 Транзакції'!$B$5:$B$3623,A334,'📋 Транзакції'!$C$5:$C$3623,"&gt;="&amp;EDATE(DATEVALUE(C334&amp;"-01"),3),'📋 Транзакції'!$C$5:$C$3623,"&lt;"&amp;EDATE(DATEVALUE(C334&amp;"-01"),4))&gt;0,1,0)</f>
        <v>0</v>
      </c>
      <c r="K334" s="37">
        <f>IF(COUNTIFS('📋 Транзакції'!$B$5:$B$3623,A334,'📋 Транзакції'!$C$5:$C$3623,"&gt;="&amp;EDATE(DATEVALUE(C334&amp;"-01"),4),'📋 Транзакції'!$C$5:$C$3623,"&lt;"&amp;EDATE(DATEVALUE(C334&amp;"-01"),5))&gt;0,1,0)</f>
        <v>0</v>
      </c>
      <c r="L334" s="37">
        <f>IF(COUNTIFS('📋 Транзакції'!$B$5:$B$3623,A334,'📋 Транзакції'!$C$5:$C$3623,"&gt;="&amp;EDATE(DATEVALUE(C334&amp;"-01"),5),'📋 Транзакції'!$C$5:$C$3623,"&lt;"&amp;EDATE(DATEVALUE(C334&amp;"-01"),6))&gt;0,1,0)</f>
        <v>0</v>
      </c>
      <c r="M334" s="37">
        <f>IF(COUNTIFS('📋 Транзакції'!$B$5:$B$3623,A334,'📋 Транзакції'!$C$5:$C$3623,"&gt;="&amp;EDATE(DATEVALUE(C334&amp;"-01"),6),'📋 Транзакції'!$C$5:$C$3623,"&lt;"&amp;EDATE(DATEVALUE(C334&amp;"-01"),7))&gt;0,1,0)</f>
        <v>0</v>
      </c>
      <c r="N334" s="37">
        <f>IF(COUNTIFS('📋 Транзакції'!$B$5:$B$3623,A334,'📋 Транзакції'!$C$5:$C$3623,"&gt;="&amp;EDATE(DATEVALUE(C334&amp;"-01"),7),'📋 Транзакції'!$C$5:$C$3623,"&lt;"&amp;EDATE(DATEVALUE(C334&amp;"-01"),8))&gt;0,1,0)</f>
        <v>0</v>
      </c>
      <c r="O334" s="37">
        <f>IF(COUNTIFS('📋 Транзакції'!$B$5:$B$3623,A334,'📋 Транзакції'!$C$5:$C$3623,"&gt;="&amp;EDATE(DATEVALUE(C334&amp;"-01"),8),'📋 Транзакції'!$C$5:$C$3623,"&lt;"&amp;EDATE(DATEVALUE(C334&amp;"-01"),9))&gt;0,1,0)</f>
        <v>0</v>
      </c>
      <c r="P334" s="37">
        <f>IF(COUNTIFS('📋 Транзакції'!$B$5:$B$3623,A334,'📋 Транзакції'!$C$5:$C$3623,"&gt;="&amp;EDATE(DATEVALUE(C334&amp;"-01"),9),'📋 Транзакції'!$C$5:$C$3623,"&lt;"&amp;EDATE(DATEVALUE(C334&amp;"-01"),10))&gt;0,1,0)</f>
        <v>0</v>
      </c>
      <c r="Q334" s="37">
        <f>IF(COUNTIFS('📋 Транзакції'!$B$5:$B$3623,A334,'📋 Транзакції'!$C$5:$C$3623,"&gt;="&amp;EDATE(DATEVALUE(C334&amp;"-01"),10),'📋 Транзакції'!$C$5:$C$3623,"&lt;"&amp;EDATE(DATEVALUE(C334&amp;"-01"),11))&gt;0,1,0)</f>
        <v>0</v>
      </c>
      <c r="R334" s="37">
        <f>IF(COUNTIFS('📋 Транзакції'!$B$5:$B$3623,A334,'📋 Транзакції'!$C$5:$C$3623,"&gt;="&amp;EDATE(DATEVALUE(C334&amp;"-01"),11),'📋 Транзакції'!$C$5:$C$3623,"&lt;"&amp;EDATE(DATEVALUE(C334&amp;"-01"),12))&gt;0,1,0)</f>
        <v>0</v>
      </c>
      <c r="S334" s="37">
        <f>SUMIFS('📋 Транзакції'!$F$5:$F$3623,'📋 Транзакції'!$B$5:$B$3623,A334,'📋 Транзакції'!$C$5:$C$3623,"&gt;="&amp;EDATE(DATEVALUE(C334&amp;"-01"),0),'📋 Транзакції'!$C$5:$C$3623,"&lt;"&amp;EDATE(DATEVALUE(C334&amp;"-01"),1))</f>
        <v>19.99</v>
      </c>
      <c r="T334" s="37">
        <f>SUMIFS('📋 Транзакції'!$F$5:$F$3623,'📋 Транзакції'!$B$5:$B$3623,A334,'📋 Транзакції'!$C$5:$C$3623,"&gt;="&amp;EDATE(DATEVALUE(C334&amp;"-01"),1),'📋 Транзакції'!$C$5:$C$3623,"&lt;"&amp;EDATE(DATEVALUE(C334&amp;"-01"),2))</f>
        <v>0</v>
      </c>
      <c r="U334" s="37">
        <f>SUMIFS('📋 Транзакції'!$F$5:$F$3623,'📋 Транзакції'!$B$5:$B$3623,A334,'📋 Транзакції'!$C$5:$C$3623,"&gt;="&amp;EDATE(DATEVALUE(C334&amp;"-01"),2),'📋 Транзакції'!$C$5:$C$3623,"&lt;"&amp;EDATE(DATEVALUE(C334&amp;"-01"),3))</f>
        <v>0</v>
      </c>
      <c r="V334" s="37">
        <f>SUMIFS('📋 Транзакції'!$F$5:$F$3623,'📋 Транзакції'!$B$5:$B$3623,A334,'📋 Транзакції'!$C$5:$C$3623,"&gt;="&amp;EDATE(DATEVALUE(C334&amp;"-01"),3),'📋 Транзакції'!$C$5:$C$3623,"&lt;"&amp;EDATE(DATEVALUE(C334&amp;"-01"),4))</f>
        <v>0</v>
      </c>
      <c r="W334" s="37">
        <f>SUMIFS('📋 Транзакції'!$F$5:$F$3623,'📋 Транзакції'!$B$5:$B$3623,A334,'📋 Транзакції'!$C$5:$C$3623,"&gt;="&amp;EDATE(DATEVALUE(C334&amp;"-01"),4),'📋 Транзакції'!$C$5:$C$3623,"&lt;"&amp;EDATE(DATEVALUE(C334&amp;"-01"),5))</f>
        <v>0</v>
      </c>
      <c r="X334" s="37">
        <f>SUMIFS('📋 Транзакції'!$F$5:$F$3623,'📋 Транзакції'!$B$5:$B$3623,A334,'📋 Транзакції'!$C$5:$C$3623,"&gt;="&amp;EDATE(DATEVALUE(C334&amp;"-01"),5),'📋 Транзакції'!$C$5:$C$3623,"&lt;"&amp;EDATE(DATEVALUE(C334&amp;"-01"),6))</f>
        <v>0</v>
      </c>
      <c r="Y334" s="37">
        <f>SUMIFS('📋 Транзакції'!$F$5:$F$3623,'📋 Транзакції'!$B$5:$B$3623,A334,'📋 Транзакції'!$C$5:$C$3623,"&gt;="&amp;EDATE(DATEVALUE(C334&amp;"-01"),6),'📋 Транзакції'!$C$5:$C$3623,"&lt;"&amp;EDATE(DATEVALUE(C334&amp;"-01"),7))</f>
        <v>0</v>
      </c>
      <c r="Z334" s="37">
        <f>SUMIFS('📋 Транзакції'!$F$5:$F$3623,'📋 Транзакції'!$B$5:$B$3623,A334,'📋 Транзакції'!$C$5:$C$3623,"&gt;="&amp;EDATE(DATEVALUE(C334&amp;"-01"),7),'📋 Транзакції'!$C$5:$C$3623,"&lt;"&amp;EDATE(DATEVALUE(C334&amp;"-01"),8))</f>
        <v>0</v>
      </c>
      <c r="AA334" s="37">
        <f>SUMIFS('📋 Транзакції'!$F$5:$F$3623,'📋 Транзакції'!$B$5:$B$3623,A334,'📋 Транзакції'!$C$5:$C$3623,"&gt;="&amp;EDATE(DATEVALUE(C334&amp;"-01"),8),'📋 Транзакції'!$C$5:$C$3623,"&lt;"&amp;EDATE(DATEVALUE(C334&amp;"-01"),9))</f>
        <v>0</v>
      </c>
      <c r="AB334" s="37">
        <f>SUMIFS('📋 Транзакції'!$F$5:$F$3623,'📋 Транзакції'!$B$5:$B$3623,A334,'📋 Транзакції'!$C$5:$C$3623,"&gt;="&amp;EDATE(DATEVALUE(C334&amp;"-01"),9),'📋 Транзакції'!$C$5:$C$3623,"&lt;"&amp;EDATE(DATEVALUE(C334&amp;"-01"),10))</f>
        <v>0</v>
      </c>
      <c r="AC334" s="37">
        <f>SUMIFS('📋 Транзакції'!$F$5:$F$3623,'📋 Транзакції'!$B$5:$B$3623,A334,'📋 Транзакції'!$C$5:$C$3623,"&gt;="&amp;EDATE(DATEVALUE(C334&amp;"-01"),10),'📋 Транзакції'!$C$5:$C$3623,"&lt;"&amp;EDATE(DATEVALUE(C334&amp;"-01"),11))</f>
        <v>0</v>
      </c>
      <c r="AD334" s="37">
        <f>SUMIFS('📋 Транзакції'!$F$5:$F$3623,'📋 Транзакції'!$B$5:$B$3623,A334,'📋 Транзакції'!$C$5:$C$3623,"&gt;="&amp;EDATE(DATEVALUE(C334&amp;"-01"),11),'📋 Транзакції'!$C$5:$C$3623,"&lt;"&amp;EDATE(DATEVALUE(C334&amp;"-01"),12))</f>
        <v>0</v>
      </c>
    </row>
    <row r="335" ht="15.75" customHeight="1">
      <c r="A335" s="33" t="str">
        <f>'📋 Реєстрації'!A335:A936</f>
        <v>U0674</v>
      </c>
      <c r="B335" s="34">
        <f t="array" ref="B335">INDEX('📋 Транзакції'!$C$5:$C$3623,MATCH(A335,'📋 Транзакції'!$B$5:$B$3623,0))</f>
        <v>45583</v>
      </c>
      <c r="C335" s="35" t="str">
        <f t="shared" si="1"/>
        <v>2024-10</v>
      </c>
      <c r="D335" s="36">
        <f>COUNTIF('📋 Транзакції'!$B$5:$B$3623,A335)</f>
        <v>3</v>
      </c>
      <c r="E335" s="36">
        <f>SUMIF('📋 Транзакції'!$B$5:$B$3623,A335,'📋 Транзакції'!$F$5:$F$3623)</f>
        <v>39.98</v>
      </c>
      <c r="F335" s="35">
        <f>INT($A$1-MAXIFS('📋 Транзакції'!$C$5:$C$3623,'📋 Транзакції'!$B$5:$B$3623,A335))</f>
        <v>127</v>
      </c>
      <c r="G335" s="37">
        <f>IF(COUNTIFS('📋 Транзакції'!$B$5:$B$3623,A335,'📋 Транзакції'!$C$5:$C$3623,"&gt;="&amp;EDATE(DATEVALUE(C335&amp;"-01"),0),'📋 Транзакції'!$C$5:$C$3623,"&lt;"&amp;EDATE(DATEVALUE(C335&amp;"-01"),1))&gt;0,1,0)</f>
        <v>1</v>
      </c>
      <c r="H335" s="37">
        <f>IF(COUNTIFS('📋 Транзакції'!$B$5:$B$3623,A335,'📋 Транзакції'!$C$5:$C$3623,"&gt;="&amp;EDATE(DATEVALUE(C335&amp;"-01"),1),'📋 Транзакції'!$C$5:$C$3623,"&lt;"&amp;EDATE(DATEVALUE(C335&amp;"-01"),2))&gt;0,1,0)</f>
        <v>1</v>
      </c>
      <c r="I335" s="37">
        <f>IF(COUNTIFS('📋 Транзакції'!$B$5:$B$3623,A335,'📋 Транзакції'!$C$5:$C$3623,"&gt;="&amp;EDATE(DATEVALUE(C335&amp;"-01"),2),'📋 Транзакції'!$C$5:$C$3623,"&lt;"&amp;EDATE(DATEVALUE(C335&amp;"-01"),3))&gt;0,1,0)</f>
        <v>0</v>
      </c>
      <c r="J335" s="37">
        <f>IF(COUNTIFS('📋 Транзакції'!$B$5:$B$3623,A335,'📋 Транзакції'!$C$5:$C$3623,"&gt;="&amp;EDATE(DATEVALUE(C335&amp;"-01"),3),'📋 Транзакції'!$C$5:$C$3623,"&lt;"&amp;EDATE(DATEVALUE(C335&amp;"-01"),4))&gt;0,1,0)</f>
        <v>0</v>
      </c>
      <c r="K335" s="37">
        <f>IF(COUNTIFS('📋 Транзакції'!$B$5:$B$3623,A335,'📋 Транзакції'!$C$5:$C$3623,"&gt;="&amp;EDATE(DATEVALUE(C335&amp;"-01"),4),'📋 Транзакції'!$C$5:$C$3623,"&lt;"&amp;EDATE(DATEVALUE(C335&amp;"-01"),5))&gt;0,1,0)</f>
        <v>0</v>
      </c>
      <c r="L335" s="37">
        <f>IF(COUNTIFS('📋 Транзакції'!$B$5:$B$3623,A335,'📋 Транзакції'!$C$5:$C$3623,"&gt;="&amp;EDATE(DATEVALUE(C335&amp;"-01"),5),'📋 Транзакції'!$C$5:$C$3623,"&lt;"&amp;EDATE(DATEVALUE(C335&amp;"-01"),6))&gt;0,1,0)</f>
        <v>0</v>
      </c>
      <c r="M335" s="37">
        <f>IF(COUNTIFS('📋 Транзакції'!$B$5:$B$3623,A335,'📋 Транзакції'!$C$5:$C$3623,"&gt;="&amp;EDATE(DATEVALUE(C335&amp;"-01"),6),'📋 Транзакції'!$C$5:$C$3623,"&lt;"&amp;EDATE(DATEVALUE(C335&amp;"-01"),7))&gt;0,1,0)</f>
        <v>0</v>
      </c>
      <c r="N335" s="37">
        <f>IF(COUNTIFS('📋 Транзакції'!$B$5:$B$3623,A335,'📋 Транзакції'!$C$5:$C$3623,"&gt;="&amp;EDATE(DATEVALUE(C335&amp;"-01"),7),'📋 Транзакції'!$C$5:$C$3623,"&lt;"&amp;EDATE(DATEVALUE(C335&amp;"-01"),8))&gt;0,1,0)</f>
        <v>0</v>
      </c>
      <c r="O335" s="37">
        <f>IF(COUNTIFS('📋 Транзакції'!$B$5:$B$3623,A335,'📋 Транзакції'!$C$5:$C$3623,"&gt;="&amp;EDATE(DATEVALUE(C335&amp;"-01"),8),'📋 Транзакції'!$C$5:$C$3623,"&lt;"&amp;EDATE(DATEVALUE(C335&amp;"-01"),9))&gt;0,1,0)</f>
        <v>0</v>
      </c>
      <c r="P335" s="37">
        <f>IF(COUNTIFS('📋 Транзакції'!$B$5:$B$3623,A335,'📋 Транзакції'!$C$5:$C$3623,"&gt;="&amp;EDATE(DATEVALUE(C335&amp;"-01"),9),'📋 Транзакції'!$C$5:$C$3623,"&lt;"&amp;EDATE(DATEVALUE(C335&amp;"-01"),10))&gt;0,1,0)</f>
        <v>0</v>
      </c>
      <c r="Q335" s="37">
        <f>IF(COUNTIFS('📋 Транзакції'!$B$5:$B$3623,A335,'📋 Транзакції'!$C$5:$C$3623,"&gt;="&amp;EDATE(DATEVALUE(C335&amp;"-01"),10),'📋 Транзакції'!$C$5:$C$3623,"&lt;"&amp;EDATE(DATEVALUE(C335&amp;"-01"),11))&gt;0,1,0)</f>
        <v>0</v>
      </c>
      <c r="R335" s="37">
        <f>IF(COUNTIFS('📋 Транзакції'!$B$5:$B$3623,A335,'📋 Транзакції'!$C$5:$C$3623,"&gt;="&amp;EDATE(DATEVALUE(C335&amp;"-01"),11),'📋 Транзакції'!$C$5:$C$3623,"&lt;"&amp;EDATE(DATEVALUE(C335&amp;"-01"),12))&gt;0,1,0)</f>
        <v>0</v>
      </c>
      <c r="S335" s="37">
        <f>SUMIFS('📋 Транзакції'!$F$5:$F$3623,'📋 Транзакції'!$B$5:$B$3623,A335,'📋 Транзакції'!$C$5:$C$3623,"&gt;="&amp;EDATE(DATEVALUE(C335&amp;"-01"),0),'📋 Транзакції'!$C$5:$C$3623,"&lt;"&amp;EDATE(DATEVALUE(C335&amp;"-01"),1))</f>
        <v>19.99</v>
      </c>
      <c r="T335" s="37">
        <f>SUMIFS('📋 Транзакції'!$F$5:$F$3623,'📋 Транзакції'!$B$5:$B$3623,A335,'📋 Транзакції'!$C$5:$C$3623,"&gt;="&amp;EDATE(DATEVALUE(C335&amp;"-01"),1),'📋 Транзакції'!$C$5:$C$3623,"&lt;"&amp;EDATE(DATEVALUE(C335&amp;"-01"),2))</f>
        <v>19.99</v>
      </c>
      <c r="U335" s="37">
        <f>SUMIFS('📋 Транзакції'!$F$5:$F$3623,'📋 Транзакції'!$B$5:$B$3623,A335,'📋 Транзакції'!$C$5:$C$3623,"&gt;="&amp;EDATE(DATEVALUE(C335&amp;"-01"),2),'📋 Транзакції'!$C$5:$C$3623,"&lt;"&amp;EDATE(DATEVALUE(C335&amp;"-01"),3))</f>
        <v>0</v>
      </c>
      <c r="V335" s="37">
        <f>SUMIFS('📋 Транзакції'!$F$5:$F$3623,'📋 Транзакції'!$B$5:$B$3623,A335,'📋 Транзакції'!$C$5:$C$3623,"&gt;="&amp;EDATE(DATEVALUE(C335&amp;"-01"),3),'📋 Транзакції'!$C$5:$C$3623,"&lt;"&amp;EDATE(DATEVALUE(C335&amp;"-01"),4))</f>
        <v>0</v>
      </c>
      <c r="W335" s="37">
        <f>SUMIFS('📋 Транзакції'!$F$5:$F$3623,'📋 Транзакції'!$B$5:$B$3623,A335,'📋 Транзакції'!$C$5:$C$3623,"&gt;="&amp;EDATE(DATEVALUE(C335&amp;"-01"),4),'📋 Транзакції'!$C$5:$C$3623,"&lt;"&amp;EDATE(DATEVALUE(C335&amp;"-01"),5))</f>
        <v>0</v>
      </c>
      <c r="X335" s="37">
        <f>SUMIFS('📋 Транзакції'!$F$5:$F$3623,'📋 Транзакції'!$B$5:$B$3623,A335,'📋 Транзакції'!$C$5:$C$3623,"&gt;="&amp;EDATE(DATEVALUE(C335&amp;"-01"),5),'📋 Транзакції'!$C$5:$C$3623,"&lt;"&amp;EDATE(DATEVALUE(C335&amp;"-01"),6))</f>
        <v>0</v>
      </c>
      <c r="Y335" s="37">
        <f>SUMIFS('📋 Транзакції'!$F$5:$F$3623,'📋 Транзакції'!$B$5:$B$3623,A335,'📋 Транзакції'!$C$5:$C$3623,"&gt;="&amp;EDATE(DATEVALUE(C335&amp;"-01"),6),'📋 Транзакції'!$C$5:$C$3623,"&lt;"&amp;EDATE(DATEVALUE(C335&amp;"-01"),7))</f>
        <v>0</v>
      </c>
      <c r="Z335" s="37">
        <f>SUMIFS('📋 Транзакції'!$F$5:$F$3623,'📋 Транзакції'!$B$5:$B$3623,A335,'📋 Транзакції'!$C$5:$C$3623,"&gt;="&amp;EDATE(DATEVALUE(C335&amp;"-01"),7),'📋 Транзакції'!$C$5:$C$3623,"&lt;"&amp;EDATE(DATEVALUE(C335&amp;"-01"),8))</f>
        <v>0</v>
      </c>
      <c r="AA335" s="37">
        <f>SUMIFS('📋 Транзакції'!$F$5:$F$3623,'📋 Транзакції'!$B$5:$B$3623,A335,'📋 Транзакції'!$C$5:$C$3623,"&gt;="&amp;EDATE(DATEVALUE(C335&amp;"-01"),8),'📋 Транзакції'!$C$5:$C$3623,"&lt;"&amp;EDATE(DATEVALUE(C335&amp;"-01"),9))</f>
        <v>0</v>
      </c>
      <c r="AB335" s="37">
        <f>SUMIFS('📋 Транзакції'!$F$5:$F$3623,'📋 Транзакції'!$B$5:$B$3623,A335,'📋 Транзакції'!$C$5:$C$3623,"&gt;="&amp;EDATE(DATEVALUE(C335&amp;"-01"),9),'📋 Транзакції'!$C$5:$C$3623,"&lt;"&amp;EDATE(DATEVALUE(C335&amp;"-01"),10))</f>
        <v>0</v>
      </c>
      <c r="AC335" s="37">
        <f>SUMIFS('📋 Транзакції'!$F$5:$F$3623,'📋 Транзакції'!$B$5:$B$3623,A335,'📋 Транзакції'!$C$5:$C$3623,"&gt;="&amp;EDATE(DATEVALUE(C335&amp;"-01"),10),'📋 Транзакції'!$C$5:$C$3623,"&lt;"&amp;EDATE(DATEVALUE(C335&amp;"-01"),11))</f>
        <v>0</v>
      </c>
      <c r="AD335" s="37">
        <f>SUMIFS('📋 Транзакції'!$F$5:$F$3623,'📋 Транзакції'!$B$5:$B$3623,A335,'📋 Транзакції'!$C$5:$C$3623,"&gt;="&amp;EDATE(DATEVALUE(C335&amp;"-01"),11),'📋 Транзакції'!$C$5:$C$3623,"&lt;"&amp;EDATE(DATEVALUE(C335&amp;"-01"),12))</f>
        <v>0</v>
      </c>
    </row>
    <row r="336" ht="15.75" customHeight="1">
      <c r="A336" s="33" t="str">
        <f>'📋 Реєстрації'!A336:A937</f>
        <v>U0782</v>
      </c>
      <c r="B336" s="34">
        <f t="array" ref="B336">INDEX('📋 Транзакції'!$C$5:$C$3623,MATCH(A336,'📋 Транзакції'!$B$5:$B$3623,0))</f>
        <v>45583</v>
      </c>
      <c r="C336" s="35" t="str">
        <f t="shared" si="1"/>
        <v>2024-10</v>
      </c>
      <c r="D336" s="36">
        <f>COUNTIF('📋 Транзакції'!$B$5:$B$3623,A336)</f>
        <v>2</v>
      </c>
      <c r="E336" s="36">
        <f>SUMIF('📋 Транзакції'!$B$5:$B$3623,A336,'📋 Транзакції'!$F$5:$F$3623)</f>
        <v>19.99</v>
      </c>
      <c r="F336" s="35">
        <f>INT($A$1-MAXIFS('📋 Транзакції'!$C$5:$C$3623,'📋 Транзакції'!$B$5:$B$3623,A336))</f>
        <v>157</v>
      </c>
      <c r="G336" s="37">
        <f>IF(COUNTIFS('📋 Транзакції'!$B$5:$B$3623,A336,'📋 Транзакції'!$C$5:$C$3623,"&gt;="&amp;EDATE(DATEVALUE(C336&amp;"-01"),0),'📋 Транзакції'!$C$5:$C$3623,"&lt;"&amp;EDATE(DATEVALUE(C336&amp;"-01"),1))&gt;0,1,0)</f>
        <v>1</v>
      </c>
      <c r="H336" s="37">
        <f>IF(COUNTIFS('📋 Транзакції'!$B$5:$B$3623,A336,'📋 Транзакції'!$C$5:$C$3623,"&gt;="&amp;EDATE(DATEVALUE(C336&amp;"-01"),1),'📋 Транзакції'!$C$5:$C$3623,"&lt;"&amp;EDATE(DATEVALUE(C336&amp;"-01"),2))&gt;0,1,0)</f>
        <v>0</v>
      </c>
      <c r="I336" s="37">
        <f>IF(COUNTIFS('📋 Транзакції'!$B$5:$B$3623,A336,'📋 Транзакції'!$C$5:$C$3623,"&gt;="&amp;EDATE(DATEVALUE(C336&amp;"-01"),2),'📋 Транзакції'!$C$5:$C$3623,"&lt;"&amp;EDATE(DATEVALUE(C336&amp;"-01"),3))&gt;0,1,0)</f>
        <v>0</v>
      </c>
      <c r="J336" s="37">
        <f>IF(COUNTIFS('📋 Транзакції'!$B$5:$B$3623,A336,'📋 Транзакції'!$C$5:$C$3623,"&gt;="&amp;EDATE(DATEVALUE(C336&amp;"-01"),3),'📋 Транзакції'!$C$5:$C$3623,"&lt;"&amp;EDATE(DATEVALUE(C336&amp;"-01"),4))&gt;0,1,0)</f>
        <v>0</v>
      </c>
      <c r="K336" s="37">
        <f>IF(COUNTIFS('📋 Транзакції'!$B$5:$B$3623,A336,'📋 Транзакції'!$C$5:$C$3623,"&gt;="&amp;EDATE(DATEVALUE(C336&amp;"-01"),4),'📋 Транзакції'!$C$5:$C$3623,"&lt;"&amp;EDATE(DATEVALUE(C336&amp;"-01"),5))&gt;0,1,0)</f>
        <v>0</v>
      </c>
      <c r="L336" s="37">
        <f>IF(COUNTIFS('📋 Транзакції'!$B$5:$B$3623,A336,'📋 Транзакції'!$C$5:$C$3623,"&gt;="&amp;EDATE(DATEVALUE(C336&amp;"-01"),5),'📋 Транзакції'!$C$5:$C$3623,"&lt;"&amp;EDATE(DATEVALUE(C336&amp;"-01"),6))&gt;0,1,0)</f>
        <v>0</v>
      </c>
      <c r="M336" s="37">
        <f>IF(COUNTIFS('📋 Транзакції'!$B$5:$B$3623,A336,'📋 Транзакції'!$C$5:$C$3623,"&gt;="&amp;EDATE(DATEVALUE(C336&amp;"-01"),6),'📋 Транзакції'!$C$5:$C$3623,"&lt;"&amp;EDATE(DATEVALUE(C336&amp;"-01"),7))&gt;0,1,0)</f>
        <v>0</v>
      </c>
      <c r="N336" s="37">
        <f>IF(COUNTIFS('📋 Транзакції'!$B$5:$B$3623,A336,'📋 Транзакції'!$C$5:$C$3623,"&gt;="&amp;EDATE(DATEVALUE(C336&amp;"-01"),7),'📋 Транзакції'!$C$5:$C$3623,"&lt;"&amp;EDATE(DATEVALUE(C336&amp;"-01"),8))&gt;0,1,0)</f>
        <v>0</v>
      </c>
      <c r="O336" s="37">
        <f>IF(COUNTIFS('📋 Транзакції'!$B$5:$B$3623,A336,'📋 Транзакції'!$C$5:$C$3623,"&gt;="&amp;EDATE(DATEVALUE(C336&amp;"-01"),8),'📋 Транзакції'!$C$5:$C$3623,"&lt;"&amp;EDATE(DATEVALUE(C336&amp;"-01"),9))&gt;0,1,0)</f>
        <v>0</v>
      </c>
      <c r="P336" s="37">
        <f>IF(COUNTIFS('📋 Транзакції'!$B$5:$B$3623,A336,'📋 Транзакції'!$C$5:$C$3623,"&gt;="&amp;EDATE(DATEVALUE(C336&amp;"-01"),9),'📋 Транзакції'!$C$5:$C$3623,"&lt;"&amp;EDATE(DATEVALUE(C336&amp;"-01"),10))&gt;0,1,0)</f>
        <v>0</v>
      </c>
      <c r="Q336" s="37">
        <f>IF(COUNTIFS('📋 Транзакції'!$B$5:$B$3623,A336,'📋 Транзакції'!$C$5:$C$3623,"&gt;="&amp;EDATE(DATEVALUE(C336&amp;"-01"),10),'📋 Транзакції'!$C$5:$C$3623,"&lt;"&amp;EDATE(DATEVALUE(C336&amp;"-01"),11))&gt;0,1,0)</f>
        <v>0</v>
      </c>
      <c r="R336" s="37">
        <f>IF(COUNTIFS('📋 Транзакції'!$B$5:$B$3623,A336,'📋 Транзакції'!$C$5:$C$3623,"&gt;="&amp;EDATE(DATEVALUE(C336&amp;"-01"),11),'📋 Транзакції'!$C$5:$C$3623,"&lt;"&amp;EDATE(DATEVALUE(C336&amp;"-01"),12))&gt;0,1,0)</f>
        <v>0</v>
      </c>
      <c r="S336" s="37">
        <f>SUMIFS('📋 Транзакції'!$F$5:$F$3623,'📋 Транзакції'!$B$5:$B$3623,A336,'📋 Транзакції'!$C$5:$C$3623,"&gt;="&amp;EDATE(DATEVALUE(C336&amp;"-01"),0),'📋 Транзакції'!$C$5:$C$3623,"&lt;"&amp;EDATE(DATEVALUE(C336&amp;"-01"),1))</f>
        <v>19.99</v>
      </c>
      <c r="T336" s="37">
        <f>SUMIFS('📋 Транзакції'!$F$5:$F$3623,'📋 Транзакції'!$B$5:$B$3623,A336,'📋 Транзакції'!$C$5:$C$3623,"&gt;="&amp;EDATE(DATEVALUE(C336&amp;"-01"),1),'📋 Транзакції'!$C$5:$C$3623,"&lt;"&amp;EDATE(DATEVALUE(C336&amp;"-01"),2))</f>
        <v>0</v>
      </c>
      <c r="U336" s="37">
        <f>SUMIFS('📋 Транзакції'!$F$5:$F$3623,'📋 Транзакції'!$B$5:$B$3623,A336,'📋 Транзакції'!$C$5:$C$3623,"&gt;="&amp;EDATE(DATEVALUE(C336&amp;"-01"),2),'📋 Транзакції'!$C$5:$C$3623,"&lt;"&amp;EDATE(DATEVALUE(C336&amp;"-01"),3))</f>
        <v>0</v>
      </c>
      <c r="V336" s="37">
        <f>SUMIFS('📋 Транзакції'!$F$5:$F$3623,'📋 Транзакції'!$B$5:$B$3623,A336,'📋 Транзакції'!$C$5:$C$3623,"&gt;="&amp;EDATE(DATEVALUE(C336&amp;"-01"),3),'📋 Транзакції'!$C$5:$C$3623,"&lt;"&amp;EDATE(DATEVALUE(C336&amp;"-01"),4))</f>
        <v>0</v>
      </c>
      <c r="W336" s="37">
        <f>SUMIFS('📋 Транзакції'!$F$5:$F$3623,'📋 Транзакції'!$B$5:$B$3623,A336,'📋 Транзакції'!$C$5:$C$3623,"&gt;="&amp;EDATE(DATEVALUE(C336&amp;"-01"),4),'📋 Транзакції'!$C$5:$C$3623,"&lt;"&amp;EDATE(DATEVALUE(C336&amp;"-01"),5))</f>
        <v>0</v>
      </c>
      <c r="X336" s="37">
        <f>SUMIFS('📋 Транзакції'!$F$5:$F$3623,'📋 Транзакції'!$B$5:$B$3623,A336,'📋 Транзакції'!$C$5:$C$3623,"&gt;="&amp;EDATE(DATEVALUE(C336&amp;"-01"),5),'📋 Транзакції'!$C$5:$C$3623,"&lt;"&amp;EDATE(DATEVALUE(C336&amp;"-01"),6))</f>
        <v>0</v>
      </c>
      <c r="Y336" s="37">
        <f>SUMIFS('📋 Транзакції'!$F$5:$F$3623,'📋 Транзакції'!$B$5:$B$3623,A336,'📋 Транзакції'!$C$5:$C$3623,"&gt;="&amp;EDATE(DATEVALUE(C336&amp;"-01"),6),'📋 Транзакції'!$C$5:$C$3623,"&lt;"&amp;EDATE(DATEVALUE(C336&amp;"-01"),7))</f>
        <v>0</v>
      </c>
      <c r="Z336" s="37">
        <f>SUMIFS('📋 Транзакції'!$F$5:$F$3623,'📋 Транзакції'!$B$5:$B$3623,A336,'📋 Транзакції'!$C$5:$C$3623,"&gt;="&amp;EDATE(DATEVALUE(C336&amp;"-01"),7),'📋 Транзакції'!$C$5:$C$3623,"&lt;"&amp;EDATE(DATEVALUE(C336&amp;"-01"),8))</f>
        <v>0</v>
      </c>
      <c r="AA336" s="37">
        <f>SUMIFS('📋 Транзакції'!$F$5:$F$3623,'📋 Транзакції'!$B$5:$B$3623,A336,'📋 Транзакції'!$C$5:$C$3623,"&gt;="&amp;EDATE(DATEVALUE(C336&amp;"-01"),8),'📋 Транзакції'!$C$5:$C$3623,"&lt;"&amp;EDATE(DATEVALUE(C336&amp;"-01"),9))</f>
        <v>0</v>
      </c>
      <c r="AB336" s="37">
        <f>SUMIFS('📋 Транзакції'!$F$5:$F$3623,'📋 Транзакції'!$B$5:$B$3623,A336,'📋 Транзакції'!$C$5:$C$3623,"&gt;="&amp;EDATE(DATEVALUE(C336&amp;"-01"),9),'📋 Транзакції'!$C$5:$C$3623,"&lt;"&amp;EDATE(DATEVALUE(C336&amp;"-01"),10))</f>
        <v>0</v>
      </c>
      <c r="AC336" s="37">
        <f>SUMIFS('📋 Транзакції'!$F$5:$F$3623,'📋 Транзакції'!$B$5:$B$3623,A336,'📋 Транзакції'!$C$5:$C$3623,"&gt;="&amp;EDATE(DATEVALUE(C336&amp;"-01"),10),'📋 Транзакції'!$C$5:$C$3623,"&lt;"&amp;EDATE(DATEVALUE(C336&amp;"-01"),11))</f>
        <v>0</v>
      </c>
      <c r="AD336" s="37">
        <f>SUMIFS('📋 Транзакції'!$F$5:$F$3623,'📋 Транзакції'!$B$5:$B$3623,A336,'📋 Транзакції'!$C$5:$C$3623,"&gt;="&amp;EDATE(DATEVALUE(C336&amp;"-01"),11),'📋 Транзакції'!$C$5:$C$3623,"&lt;"&amp;EDATE(DATEVALUE(C336&amp;"-01"),12))</f>
        <v>0</v>
      </c>
    </row>
    <row r="337" ht="15.75" customHeight="1">
      <c r="A337" s="33" t="str">
        <f>'📋 Реєстрації'!A337:A938</f>
        <v>U0339</v>
      </c>
      <c r="B337" s="34">
        <f t="array" ref="B337">INDEX('📋 Транзакції'!$C$5:$C$3623,MATCH(A337,'📋 Транзакції'!$B$5:$B$3623,0))</f>
        <v>45584</v>
      </c>
      <c r="C337" s="35" t="str">
        <f t="shared" si="1"/>
        <v>2024-10</v>
      </c>
      <c r="D337" s="36">
        <f>COUNTIF('📋 Транзакції'!$B$5:$B$3623,A337)</f>
        <v>7</v>
      </c>
      <c r="E337" s="36">
        <f>SUMIF('📋 Транзакції'!$B$5:$B$3623,A337,'📋 Транзакції'!$F$5:$F$3623)</f>
        <v>119.94</v>
      </c>
      <c r="F337" s="35">
        <f>INT($A$1-MAXIFS('📋 Транзакції'!$C$5:$C$3623,'📋 Транзакції'!$B$5:$B$3623,A337))</f>
        <v>6</v>
      </c>
      <c r="G337" s="37">
        <f>IF(COUNTIFS('📋 Транзакції'!$B$5:$B$3623,A337,'📋 Транзакції'!$C$5:$C$3623,"&gt;="&amp;EDATE(DATEVALUE(C337&amp;"-01"),0),'📋 Транзакції'!$C$5:$C$3623,"&lt;"&amp;EDATE(DATEVALUE(C337&amp;"-01"),1))&gt;0,1,0)</f>
        <v>1</v>
      </c>
      <c r="H337" s="37">
        <f>IF(COUNTIFS('📋 Транзакції'!$B$5:$B$3623,A337,'📋 Транзакції'!$C$5:$C$3623,"&gt;="&amp;EDATE(DATEVALUE(C337&amp;"-01"),1),'📋 Транзакції'!$C$5:$C$3623,"&lt;"&amp;EDATE(DATEVALUE(C337&amp;"-01"),2))&gt;0,1,0)</f>
        <v>1</v>
      </c>
      <c r="I337" s="37">
        <f>IF(COUNTIFS('📋 Транзакції'!$B$5:$B$3623,A337,'📋 Транзакції'!$C$5:$C$3623,"&gt;="&amp;EDATE(DATEVALUE(C337&amp;"-01"),2),'📋 Транзакції'!$C$5:$C$3623,"&lt;"&amp;EDATE(DATEVALUE(C337&amp;"-01"),3))&gt;0,1,0)</f>
        <v>1</v>
      </c>
      <c r="J337" s="37">
        <f>IF(COUNTIFS('📋 Транзакції'!$B$5:$B$3623,A337,'📋 Транзакції'!$C$5:$C$3623,"&gt;="&amp;EDATE(DATEVALUE(C337&amp;"-01"),3),'📋 Транзакції'!$C$5:$C$3623,"&lt;"&amp;EDATE(DATEVALUE(C337&amp;"-01"),4))&gt;0,1,0)</f>
        <v>1</v>
      </c>
      <c r="K337" s="37">
        <f>IF(COUNTIFS('📋 Транзакції'!$B$5:$B$3623,A337,'📋 Транзакції'!$C$5:$C$3623,"&gt;="&amp;EDATE(DATEVALUE(C337&amp;"-01"),4),'📋 Транзакції'!$C$5:$C$3623,"&lt;"&amp;EDATE(DATEVALUE(C337&amp;"-01"),5))&gt;0,1,0)</f>
        <v>1</v>
      </c>
      <c r="L337" s="37">
        <f>IF(COUNTIFS('📋 Транзакції'!$B$5:$B$3623,A337,'📋 Транзакції'!$C$5:$C$3623,"&gt;="&amp;EDATE(DATEVALUE(C337&amp;"-01"),5),'📋 Транзакції'!$C$5:$C$3623,"&lt;"&amp;EDATE(DATEVALUE(C337&amp;"-01"),6))&gt;0,1,0)</f>
        <v>1</v>
      </c>
      <c r="M337" s="37">
        <f>IF(COUNTIFS('📋 Транзакції'!$B$5:$B$3623,A337,'📋 Транзакції'!$C$5:$C$3623,"&gt;="&amp;EDATE(DATEVALUE(C337&amp;"-01"),6),'📋 Транзакції'!$C$5:$C$3623,"&lt;"&amp;EDATE(DATEVALUE(C337&amp;"-01"),7))&gt;0,1,0)</f>
        <v>0</v>
      </c>
      <c r="N337" s="37">
        <f>IF(COUNTIFS('📋 Транзакції'!$B$5:$B$3623,A337,'📋 Транзакції'!$C$5:$C$3623,"&gt;="&amp;EDATE(DATEVALUE(C337&amp;"-01"),7),'📋 Транзакції'!$C$5:$C$3623,"&lt;"&amp;EDATE(DATEVALUE(C337&amp;"-01"),8))&gt;0,1,0)</f>
        <v>0</v>
      </c>
      <c r="O337" s="37">
        <f>IF(COUNTIFS('📋 Транзакції'!$B$5:$B$3623,A337,'📋 Транзакції'!$C$5:$C$3623,"&gt;="&amp;EDATE(DATEVALUE(C337&amp;"-01"),8),'📋 Транзакції'!$C$5:$C$3623,"&lt;"&amp;EDATE(DATEVALUE(C337&amp;"-01"),9))&gt;0,1,0)</f>
        <v>0</v>
      </c>
      <c r="P337" s="37">
        <f>IF(COUNTIFS('📋 Транзакції'!$B$5:$B$3623,A337,'📋 Транзакції'!$C$5:$C$3623,"&gt;="&amp;EDATE(DATEVALUE(C337&amp;"-01"),9),'📋 Транзакції'!$C$5:$C$3623,"&lt;"&amp;EDATE(DATEVALUE(C337&amp;"-01"),10))&gt;0,1,0)</f>
        <v>0</v>
      </c>
      <c r="Q337" s="37">
        <f>IF(COUNTIFS('📋 Транзакції'!$B$5:$B$3623,A337,'📋 Транзакції'!$C$5:$C$3623,"&gt;="&amp;EDATE(DATEVALUE(C337&amp;"-01"),10),'📋 Транзакції'!$C$5:$C$3623,"&lt;"&amp;EDATE(DATEVALUE(C337&amp;"-01"),11))&gt;0,1,0)</f>
        <v>0</v>
      </c>
      <c r="R337" s="37">
        <f>IF(COUNTIFS('📋 Транзакції'!$B$5:$B$3623,A337,'📋 Транзакції'!$C$5:$C$3623,"&gt;="&amp;EDATE(DATEVALUE(C337&amp;"-01"),11),'📋 Транзакції'!$C$5:$C$3623,"&lt;"&amp;EDATE(DATEVALUE(C337&amp;"-01"),12))&gt;0,1,0)</f>
        <v>0</v>
      </c>
      <c r="S337" s="37">
        <f>SUMIFS('📋 Транзакції'!$F$5:$F$3623,'📋 Транзакції'!$B$5:$B$3623,A337,'📋 Транзакції'!$C$5:$C$3623,"&gt;="&amp;EDATE(DATEVALUE(C337&amp;"-01"),0),'📋 Транзакції'!$C$5:$C$3623,"&lt;"&amp;EDATE(DATEVALUE(C337&amp;"-01"),1))</f>
        <v>19.99</v>
      </c>
      <c r="T337" s="37">
        <f>SUMIFS('📋 Транзакції'!$F$5:$F$3623,'📋 Транзакції'!$B$5:$B$3623,A337,'📋 Транзакції'!$C$5:$C$3623,"&gt;="&amp;EDATE(DATEVALUE(C337&amp;"-01"),1),'📋 Транзакції'!$C$5:$C$3623,"&lt;"&amp;EDATE(DATEVALUE(C337&amp;"-01"),2))</f>
        <v>19.99</v>
      </c>
      <c r="U337" s="37">
        <f>SUMIFS('📋 Транзакції'!$F$5:$F$3623,'📋 Транзакції'!$B$5:$B$3623,A337,'📋 Транзакції'!$C$5:$C$3623,"&gt;="&amp;EDATE(DATEVALUE(C337&amp;"-01"),2),'📋 Транзакції'!$C$5:$C$3623,"&lt;"&amp;EDATE(DATEVALUE(C337&amp;"-01"),3))</f>
        <v>19.99</v>
      </c>
      <c r="V337" s="37">
        <f>SUMIFS('📋 Транзакції'!$F$5:$F$3623,'📋 Транзакції'!$B$5:$B$3623,A337,'📋 Транзакції'!$C$5:$C$3623,"&gt;="&amp;EDATE(DATEVALUE(C337&amp;"-01"),3),'📋 Транзакції'!$C$5:$C$3623,"&lt;"&amp;EDATE(DATEVALUE(C337&amp;"-01"),4))</f>
        <v>19.99</v>
      </c>
      <c r="W337" s="37">
        <f>SUMIFS('📋 Транзакції'!$F$5:$F$3623,'📋 Транзакції'!$B$5:$B$3623,A337,'📋 Транзакції'!$C$5:$C$3623,"&gt;="&amp;EDATE(DATEVALUE(C337&amp;"-01"),4),'📋 Транзакції'!$C$5:$C$3623,"&lt;"&amp;EDATE(DATEVALUE(C337&amp;"-01"),5))</f>
        <v>19.99</v>
      </c>
      <c r="X337" s="37">
        <f>SUMIFS('📋 Транзакції'!$F$5:$F$3623,'📋 Транзакції'!$B$5:$B$3623,A337,'📋 Транзакції'!$C$5:$C$3623,"&gt;="&amp;EDATE(DATEVALUE(C337&amp;"-01"),5),'📋 Транзакції'!$C$5:$C$3623,"&lt;"&amp;EDATE(DATEVALUE(C337&amp;"-01"),6))</f>
        <v>19.99</v>
      </c>
      <c r="Y337" s="37">
        <f>SUMIFS('📋 Транзакції'!$F$5:$F$3623,'📋 Транзакції'!$B$5:$B$3623,A337,'📋 Транзакції'!$C$5:$C$3623,"&gt;="&amp;EDATE(DATEVALUE(C337&amp;"-01"),6),'📋 Транзакції'!$C$5:$C$3623,"&lt;"&amp;EDATE(DATEVALUE(C337&amp;"-01"),7))</f>
        <v>0</v>
      </c>
      <c r="Z337" s="37">
        <f>SUMIFS('📋 Транзакції'!$F$5:$F$3623,'📋 Транзакції'!$B$5:$B$3623,A337,'📋 Транзакції'!$C$5:$C$3623,"&gt;="&amp;EDATE(DATEVALUE(C337&amp;"-01"),7),'📋 Транзакції'!$C$5:$C$3623,"&lt;"&amp;EDATE(DATEVALUE(C337&amp;"-01"),8))</f>
        <v>0</v>
      </c>
      <c r="AA337" s="37">
        <f>SUMIFS('📋 Транзакції'!$F$5:$F$3623,'📋 Транзакції'!$B$5:$B$3623,A337,'📋 Транзакції'!$C$5:$C$3623,"&gt;="&amp;EDATE(DATEVALUE(C337&amp;"-01"),8),'📋 Транзакції'!$C$5:$C$3623,"&lt;"&amp;EDATE(DATEVALUE(C337&amp;"-01"),9))</f>
        <v>0</v>
      </c>
      <c r="AB337" s="37">
        <f>SUMIFS('📋 Транзакції'!$F$5:$F$3623,'📋 Транзакції'!$B$5:$B$3623,A337,'📋 Транзакції'!$C$5:$C$3623,"&gt;="&amp;EDATE(DATEVALUE(C337&amp;"-01"),9),'📋 Транзакції'!$C$5:$C$3623,"&lt;"&amp;EDATE(DATEVALUE(C337&amp;"-01"),10))</f>
        <v>0</v>
      </c>
      <c r="AC337" s="37">
        <f>SUMIFS('📋 Транзакції'!$F$5:$F$3623,'📋 Транзакції'!$B$5:$B$3623,A337,'📋 Транзакції'!$C$5:$C$3623,"&gt;="&amp;EDATE(DATEVALUE(C337&amp;"-01"),10),'📋 Транзакції'!$C$5:$C$3623,"&lt;"&amp;EDATE(DATEVALUE(C337&amp;"-01"),11))</f>
        <v>0</v>
      </c>
      <c r="AD337" s="37">
        <f>SUMIFS('📋 Транзакції'!$F$5:$F$3623,'📋 Транзакції'!$B$5:$B$3623,A337,'📋 Транзакції'!$C$5:$C$3623,"&gt;="&amp;EDATE(DATEVALUE(C337&amp;"-01"),11),'📋 Транзакції'!$C$5:$C$3623,"&lt;"&amp;EDATE(DATEVALUE(C337&amp;"-01"),12))</f>
        <v>0</v>
      </c>
    </row>
    <row r="338" ht="15.75" customHeight="1">
      <c r="A338" s="33" t="str">
        <f>'📋 Реєстрації'!A338:A939</f>
        <v>U0018</v>
      </c>
      <c r="B338" s="34">
        <f t="array" ref="B338">INDEX('📋 Транзакції'!$C$5:$C$3623,MATCH(A338,'📋 Транзакції'!$B$5:$B$3623,0))</f>
        <v>45585</v>
      </c>
      <c r="C338" s="35" t="str">
        <f t="shared" si="1"/>
        <v>2024-10</v>
      </c>
      <c r="D338" s="36">
        <f>COUNTIF('📋 Транзакції'!$B$5:$B$3623,A338)</f>
        <v>7</v>
      </c>
      <c r="E338" s="36">
        <f>SUMIF('📋 Транзакції'!$B$5:$B$3623,A338,'📋 Транзакції'!$F$5:$F$3623)</f>
        <v>119.94</v>
      </c>
      <c r="F338" s="35">
        <f>INT($A$1-MAXIFS('📋 Транзакції'!$C$5:$C$3623,'📋 Транзакції'!$B$5:$B$3623,A338))</f>
        <v>5</v>
      </c>
      <c r="G338" s="37">
        <f>IF(COUNTIFS('📋 Транзакції'!$B$5:$B$3623,A338,'📋 Транзакції'!$C$5:$C$3623,"&gt;="&amp;EDATE(DATEVALUE(C338&amp;"-01"),0),'📋 Транзакції'!$C$5:$C$3623,"&lt;"&amp;EDATE(DATEVALUE(C338&amp;"-01"),1))&gt;0,1,0)</f>
        <v>1</v>
      </c>
      <c r="H338" s="37">
        <f>IF(COUNTIFS('📋 Транзакції'!$B$5:$B$3623,A338,'📋 Транзакції'!$C$5:$C$3623,"&gt;="&amp;EDATE(DATEVALUE(C338&amp;"-01"),1),'📋 Транзакції'!$C$5:$C$3623,"&lt;"&amp;EDATE(DATEVALUE(C338&amp;"-01"),2))&gt;0,1,0)</f>
        <v>1</v>
      </c>
      <c r="I338" s="37">
        <f>IF(COUNTIFS('📋 Транзакції'!$B$5:$B$3623,A338,'📋 Транзакції'!$C$5:$C$3623,"&gt;="&amp;EDATE(DATEVALUE(C338&amp;"-01"),2),'📋 Транзакції'!$C$5:$C$3623,"&lt;"&amp;EDATE(DATEVALUE(C338&amp;"-01"),3))&gt;0,1,0)</f>
        <v>1</v>
      </c>
      <c r="J338" s="37">
        <f>IF(COUNTIFS('📋 Транзакції'!$B$5:$B$3623,A338,'📋 Транзакції'!$C$5:$C$3623,"&gt;="&amp;EDATE(DATEVALUE(C338&amp;"-01"),3),'📋 Транзакції'!$C$5:$C$3623,"&lt;"&amp;EDATE(DATEVALUE(C338&amp;"-01"),4))&gt;0,1,0)</f>
        <v>1</v>
      </c>
      <c r="K338" s="37">
        <f>IF(COUNTIFS('📋 Транзакції'!$B$5:$B$3623,A338,'📋 Транзакції'!$C$5:$C$3623,"&gt;="&amp;EDATE(DATEVALUE(C338&amp;"-01"),4),'📋 Транзакції'!$C$5:$C$3623,"&lt;"&amp;EDATE(DATEVALUE(C338&amp;"-01"),5))&gt;0,1,0)</f>
        <v>1</v>
      </c>
      <c r="L338" s="37">
        <f>IF(COUNTIFS('📋 Транзакції'!$B$5:$B$3623,A338,'📋 Транзакції'!$C$5:$C$3623,"&gt;="&amp;EDATE(DATEVALUE(C338&amp;"-01"),5),'📋 Транзакції'!$C$5:$C$3623,"&lt;"&amp;EDATE(DATEVALUE(C338&amp;"-01"),6))&gt;0,1,0)</f>
        <v>1</v>
      </c>
      <c r="M338" s="37">
        <f>IF(COUNTIFS('📋 Транзакції'!$B$5:$B$3623,A338,'📋 Транзакції'!$C$5:$C$3623,"&gt;="&amp;EDATE(DATEVALUE(C338&amp;"-01"),6),'📋 Транзакції'!$C$5:$C$3623,"&lt;"&amp;EDATE(DATEVALUE(C338&amp;"-01"),7))&gt;0,1,0)</f>
        <v>0</v>
      </c>
      <c r="N338" s="37">
        <f>IF(COUNTIFS('📋 Транзакції'!$B$5:$B$3623,A338,'📋 Транзакції'!$C$5:$C$3623,"&gt;="&amp;EDATE(DATEVALUE(C338&amp;"-01"),7),'📋 Транзакції'!$C$5:$C$3623,"&lt;"&amp;EDATE(DATEVALUE(C338&amp;"-01"),8))&gt;0,1,0)</f>
        <v>0</v>
      </c>
      <c r="O338" s="37">
        <f>IF(COUNTIFS('📋 Транзакції'!$B$5:$B$3623,A338,'📋 Транзакції'!$C$5:$C$3623,"&gt;="&amp;EDATE(DATEVALUE(C338&amp;"-01"),8),'📋 Транзакції'!$C$5:$C$3623,"&lt;"&amp;EDATE(DATEVALUE(C338&amp;"-01"),9))&gt;0,1,0)</f>
        <v>0</v>
      </c>
      <c r="P338" s="37">
        <f>IF(COUNTIFS('📋 Транзакції'!$B$5:$B$3623,A338,'📋 Транзакції'!$C$5:$C$3623,"&gt;="&amp;EDATE(DATEVALUE(C338&amp;"-01"),9),'📋 Транзакції'!$C$5:$C$3623,"&lt;"&amp;EDATE(DATEVALUE(C338&amp;"-01"),10))&gt;0,1,0)</f>
        <v>0</v>
      </c>
      <c r="Q338" s="37">
        <f>IF(COUNTIFS('📋 Транзакції'!$B$5:$B$3623,A338,'📋 Транзакції'!$C$5:$C$3623,"&gt;="&amp;EDATE(DATEVALUE(C338&amp;"-01"),10),'📋 Транзакції'!$C$5:$C$3623,"&lt;"&amp;EDATE(DATEVALUE(C338&amp;"-01"),11))&gt;0,1,0)</f>
        <v>0</v>
      </c>
      <c r="R338" s="37">
        <f>IF(COUNTIFS('📋 Транзакції'!$B$5:$B$3623,A338,'📋 Транзакції'!$C$5:$C$3623,"&gt;="&amp;EDATE(DATEVALUE(C338&amp;"-01"),11),'📋 Транзакції'!$C$5:$C$3623,"&lt;"&amp;EDATE(DATEVALUE(C338&amp;"-01"),12))&gt;0,1,0)</f>
        <v>0</v>
      </c>
      <c r="S338" s="37">
        <f>SUMIFS('📋 Транзакції'!$F$5:$F$3623,'📋 Транзакції'!$B$5:$B$3623,A338,'📋 Транзакції'!$C$5:$C$3623,"&gt;="&amp;EDATE(DATEVALUE(C338&amp;"-01"),0),'📋 Транзакції'!$C$5:$C$3623,"&lt;"&amp;EDATE(DATEVALUE(C338&amp;"-01"),1))</f>
        <v>19.99</v>
      </c>
      <c r="T338" s="37">
        <f>SUMIFS('📋 Транзакції'!$F$5:$F$3623,'📋 Транзакції'!$B$5:$B$3623,A338,'📋 Транзакції'!$C$5:$C$3623,"&gt;="&amp;EDATE(DATEVALUE(C338&amp;"-01"),1),'📋 Транзакції'!$C$5:$C$3623,"&lt;"&amp;EDATE(DATEVALUE(C338&amp;"-01"),2))</f>
        <v>19.99</v>
      </c>
      <c r="U338" s="37">
        <f>SUMIFS('📋 Транзакції'!$F$5:$F$3623,'📋 Транзакції'!$B$5:$B$3623,A338,'📋 Транзакції'!$C$5:$C$3623,"&gt;="&amp;EDATE(DATEVALUE(C338&amp;"-01"),2),'📋 Транзакції'!$C$5:$C$3623,"&lt;"&amp;EDATE(DATEVALUE(C338&amp;"-01"),3))</f>
        <v>19.99</v>
      </c>
      <c r="V338" s="37">
        <f>SUMIFS('📋 Транзакції'!$F$5:$F$3623,'📋 Транзакції'!$B$5:$B$3623,A338,'📋 Транзакції'!$C$5:$C$3623,"&gt;="&amp;EDATE(DATEVALUE(C338&amp;"-01"),3),'📋 Транзакції'!$C$5:$C$3623,"&lt;"&amp;EDATE(DATEVALUE(C338&amp;"-01"),4))</f>
        <v>19.99</v>
      </c>
      <c r="W338" s="37">
        <f>SUMIFS('📋 Транзакції'!$F$5:$F$3623,'📋 Транзакції'!$B$5:$B$3623,A338,'📋 Транзакції'!$C$5:$C$3623,"&gt;="&amp;EDATE(DATEVALUE(C338&amp;"-01"),4),'📋 Транзакції'!$C$5:$C$3623,"&lt;"&amp;EDATE(DATEVALUE(C338&amp;"-01"),5))</f>
        <v>19.99</v>
      </c>
      <c r="X338" s="37">
        <f>SUMIFS('📋 Транзакції'!$F$5:$F$3623,'📋 Транзакції'!$B$5:$B$3623,A338,'📋 Транзакції'!$C$5:$C$3623,"&gt;="&amp;EDATE(DATEVALUE(C338&amp;"-01"),5),'📋 Транзакції'!$C$5:$C$3623,"&lt;"&amp;EDATE(DATEVALUE(C338&amp;"-01"),6))</f>
        <v>19.99</v>
      </c>
      <c r="Y338" s="37">
        <f>SUMIFS('📋 Транзакції'!$F$5:$F$3623,'📋 Транзакції'!$B$5:$B$3623,A338,'📋 Транзакції'!$C$5:$C$3623,"&gt;="&amp;EDATE(DATEVALUE(C338&amp;"-01"),6),'📋 Транзакції'!$C$5:$C$3623,"&lt;"&amp;EDATE(DATEVALUE(C338&amp;"-01"),7))</f>
        <v>0</v>
      </c>
      <c r="Z338" s="37">
        <f>SUMIFS('📋 Транзакції'!$F$5:$F$3623,'📋 Транзакції'!$B$5:$B$3623,A338,'📋 Транзакції'!$C$5:$C$3623,"&gt;="&amp;EDATE(DATEVALUE(C338&amp;"-01"),7),'📋 Транзакції'!$C$5:$C$3623,"&lt;"&amp;EDATE(DATEVALUE(C338&amp;"-01"),8))</f>
        <v>0</v>
      </c>
      <c r="AA338" s="37">
        <f>SUMIFS('📋 Транзакції'!$F$5:$F$3623,'📋 Транзакції'!$B$5:$B$3623,A338,'📋 Транзакції'!$C$5:$C$3623,"&gt;="&amp;EDATE(DATEVALUE(C338&amp;"-01"),8),'📋 Транзакції'!$C$5:$C$3623,"&lt;"&amp;EDATE(DATEVALUE(C338&amp;"-01"),9))</f>
        <v>0</v>
      </c>
      <c r="AB338" s="37">
        <f>SUMIFS('📋 Транзакції'!$F$5:$F$3623,'📋 Транзакції'!$B$5:$B$3623,A338,'📋 Транзакції'!$C$5:$C$3623,"&gt;="&amp;EDATE(DATEVALUE(C338&amp;"-01"),9),'📋 Транзакції'!$C$5:$C$3623,"&lt;"&amp;EDATE(DATEVALUE(C338&amp;"-01"),10))</f>
        <v>0</v>
      </c>
      <c r="AC338" s="37">
        <f>SUMIFS('📋 Транзакції'!$F$5:$F$3623,'📋 Транзакції'!$B$5:$B$3623,A338,'📋 Транзакції'!$C$5:$C$3623,"&gt;="&amp;EDATE(DATEVALUE(C338&amp;"-01"),10),'📋 Транзакції'!$C$5:$C$3623,"&lt;"&amp;EDATE(DATEVALUE(C338&amp;"-01"),11))</f>
        <v>0</v>
      </c>
      <c r="AD338" s="37">
        <f>SUMIFS('📋 Транзакції'!$F$5:$F$3623,'📋 Транзакції'!$B$5:$B$3623,A338,'📋 Транзакції'!$C$5:$C$3623,"&gt;="&amp;EDATE(DATEVALUE(C338&amp;"-01"),11),'📋 Транзакції'!$C$5:$C$3623,"&lt;"&amp;EDATE(DATEVALUE(C338&amp;"-01"),12))</f>
        <v>0</v>
      </c>
    </row>
    <row r="339" ht="15.75" customHeight="1">
      <c r="A339" s="33" t="str">
        <f>'📋 Реєстрації'!A339:A940</f>
        <v>U0028</v>
      </c>
      <c r="B339" s="34">
        <f t="array" ref="B339">INDEX('📋 Транзакції'!$C$5:$C$3623,MATCH(A339,'📋 Транзакції'!$B$5:$B$3623,0))</f>
        <v>45586</v>
      </c>
      <c r="C339" s="35" t="str">
        <f t="shared" si="1"/>
        <v>2024-10</v>
      </c>
      <c r="D339" s="36">
        <f>COUNTIF('📋 Транзакції'!$B$5:$B$3623,A339)</f>
        <v>7</v>
      </c>
      <c r="E339" s="36">
        <f>SUMIF('📋 Транзакції'!$B$5:$B$3623,A339,'📋 Транзакції'!$F$5:$F$3623)</f>
        <v>119.94</v>
      </c>
      <c r="F339" s="35">
        <f>INT($A$1-MAXIFS('📋 Транзакції'!$C$5:$C$3623,'📋 Транзакції'!$B$5:$B$3623,A339))</f>
        <v>4</v>
      </c>
      <c r="G339" s="37">
        <f>IF(COUNTIFS('📋 Транзакції'!$B$5:$B$3623,A339,'📋 Транзакції'!$C$5:$C$3623,"&gt;="&amp;EDATE(DATEVALUE(C339&amp;"-01"),0),'📋 Транзакції'!$C$5:$C$3623,"&lt;"&amp;EDATE(DATEVALUE(C339&amp;"-01"),1))&gt;0,1,0)</f>
        <v>1</v>
      </c>
      <c r="H339" s="37">
        <f>IF(COUNTIFS('📋 Транзакції'!$B$5:$B$3623,A339,'📋 Транзакції'!$C$5:$C$3623,"&gt;="&amp;EDATE(DATEVALUE(C339&amp;"-01"),1),'📋 Транзакції'!$C$5:$C$3623,"&lt;"&amp;EDATE(DATEVALUE(C339&amp;"-01"),2))&gt;0,1,0)</f>
        <v>1</v>
      </c>
      <c r="I339" s="37">
        <f>IF(COUNTIFS('📋 Транзакції'!$B$5:$B$3623,A339,'📋 Транзакції'!$C$5:$C$3623,"&gt;="&amp;EDATE(DATEVALUE(C339&amp;"-01"),2),'📋 Транзакції'!$C$5:$C$3623,"&lt;"&amp;EDATE(DATEVALUE(C339&amp;"-01"),3))&gt;0,1,0)</f>
        <v>1</v>
      </c>
      <c r="J339" s="37">
        <f>IF(COUNTIFS('📋 Транзакції'!$B$5:$B$3623,A339,'📋 Транзакції'!$C$5:$C$3623,"&gt;="&amp;EDATE(DATEVALUE(C339&amp;"-01"),3),'📋 Транзакції'!$C$5:$C$3623,"&lt;"&amp;EDATE(DATEVALUE(C339&amp;"-01"),4))&gt;0,1,0)</f>
        <v>1</v>
      </c>
      <c r="K339" s="37">
        <f>IF(COUNTIFS('📋 Транзакції'!$B$5:$B$3623,A339,'📋 Транзакції'!$C$5:$C$3623,"&gt;="&amp;EDATE(DATEVALUE(C339&amp;"-01"),4),'📋 Транзакції'!$C$5:$C$3623,"&lt;"&amp;EDATE(DATEVALUE(C339&amp;"-01"),5))&gt;0,1,0)</f>
        <v>1</v>
      </c>
      <c r="L339" s="37">
        <f>IF(COUNTIFS('📋 Транзакції'!$B$5:$B$3623,A339,'📋 Транзакції'!$C$5:$C$3623,"&gt;="&amp;EDATE(DATEVALUE(C339&amp;"-01"),5),'📋 Транзакції'!$C$5:$C$3623,"&lt;"&amp;EDATE(DATEVALUE(C339&amp;"-01"),6))&gt;0,1,0)</f>
        <v>1</v>
      </c>
      <c r="M339" s="37">
        <f>IF(COUNTIFS('📋 Транзакції'!$B$5:$B$3623,A339,'📋 Транзакції'!$C$5:$C$3623,"&gt;="&amp;EDATE(DATEVALUE(C339&amp;"-01"),6),'📋 Транзакції'!$C$5:$C$3623,"&lt;"&amp;EDATE(DATEVALUE(C339&amp;"-01"),7))&gt;0,1,0)</f>
        <v>0</v>
      </c>
      <c r="N339" s="37">
        <f>IF(COUNTIFS('📋 Транзакції'!$B$5:$B$3623,A339,'📋 Транзакції'!$C$5:$C$3623,"&gt;="&amp;EDATE(DATEVALUE(C339&amp;"-01"),7),'📋 Транзакції'!$C$5:$C$3623,"&lt;"&amp;EDATE(DATEVALUE(C339&amp;"-01"),8))&gt;0,1,0)</f>
        <v>0</v>
      </c>
      <c r="O339" s="37">
        <f>IF(COUNTIFS('📋 Транзакції'!$B$5:$B$3623,A339,'📋 Транзакції'!$C$5:$C$3623,"&gt;="&amp;EDATE(DATEVALUE(C339&amp;"-01"),8),'📋 Транзакції'!$C$5:$C$3623,"&lt;"&amp;EDATE(DATEVALUE(C339&amp;"-01"),9))&gt;0,1,0)</f>
        <v>0</v>
      </c>
      <c r="P339" s="37">
        <f>IF(COUNTIFS('📋 Транзакції'!$B$5:$B$3623,A339,'📋 Транзакції'!$C$5:$C$3623,"&gt;="&amp;EDATE(DATEVALUE(C339&amp;"-01"),9),'📋 Транзакції'!$C$5:$C$3623,"&lt;"&amp;EDATE(DATEVALUE(C339&amp;"-01"),10))&gt;0,1,0)</f>
        <v>0</v>
      </c>
      <c r="Q339" s="37">
        <f>IF(COUNTIFS('📋 Транзакції'!$B$5:$B$3623,A339,'📋 Транзакції'!$C$5:$C$3623,"&gt;="&amp;EDATE(DATEVALUE(C339&amp;"-01"),10),'📋 Транзакції'!$C$5:$C$3623,"&lt;"&amp;EDATE(DATEVALUE(C339&amp;"-01"),11))&gt;0,1,0)</f>
        <v>0</v>
      </c>
      <c r="R339" s="37">
        <f>IF(COUNTIFS('📋 Транзакції'!$B$5:$B$3623,A339,'📋 Транзакції'!$C$5:$C$3623,"&gt;="&amp;EDATE(DATEVALUE(C339&amp;"-01"),11),'📋 Транзакції'!$C$5:$C$3623,"&lt;"&amp;EDATE(DATEVALUE(C339&amp;"-01"),12))&gt;0,1,0)</f>
        <v>0</v>
      </c>
      <c r="S339" s="37">
        <f>SUMIFS('📋 Транзакції'!$F$5:$F$3623,'📋 Транзакції'!$B$5:$B$3623,A339,'📋 Транзакції'!$C$5:$C$3623,"&gt;="&amp;EDATE(DATEVALUE(C339&amp;"-01"),0),'📋 Транзакції'!$C$5:$C$3623,"&lt;"&amp;EDATE(DATEVALUE(C339&amp;"-01"),1))</f>
        <v>19.99</v>
      </c>
      <c r="T339" s="37">
        <f>SUMIFS('📋 Транзакції'!$F$5:$F$3623,'📋 Транзакції'!$B$5:$B$3623,A339,'📋 Транзакції'!$C$5:$C$3623,"&gt;="&amp;EDATE(DATEVALUE(C339&amp;"-01"),1),'📋 Транзакції'!$C$5:$C$3623,"&lt;"&amp;EDATE(DATEVALUE(C339&amp;"-01"),2))</f>
        <v>19.99</v>
      </c>
      <c r="U339" s="37">
        <f>SUMIFS('📋 Транзакції'!$F$5:$F$3623,'📋 Транзакції'!$B$5:$B$3623,A339,'📋 Транзакції'!$C$5:$C$3623,"&gt;="&amp;EDATE(DATEVALUE(C339&amp;"-01"),2),'📋 Транзакції'!$C$5:$C$3623,"&lt;"&amp;EDATE(DATEVALUE(C339&amp;"-01"),3))</f>
        <v>19.99</v>
      </c>
      <c r="V339" s="37">
        <f>SUMIFS('📋 Транзакції'!$F$5:$F$3623,'📋 Транзакції'!$B$5:$B$3623,A339,'📋 Транзакції'!$C$5:$C$3623,"&gt;="&amp;EDATE(DATEVALUE(C339&amp;"-01"),3),'📋 Транзакції'!$C$5:$C$3623,"&lt;"&amp;EDATE(DATEVALUE(C339&amp;"-01"),4))</f>
        <v>19.99</v>
      </c>
      <c r="W339" s="37">
        <f>SUMIFS('📋 Транзакції'!$F$5:$F$3623,'📋 Транзакції'!$B$5:$B$3623,A339,'📋 Транзакції'!$C$5:$C$3623,"&gt;="&amp;EDATE(DATEVALUE(C339&amp;"-01"),4),'📋 Транзакції'!$C$5:$C$3623,"&lt;"&amp;EDATE(DATEVALUE(C339&amp;"-01"),5))</f>
        <v>19.99</v>
      </c>
      <c r="X339" s="37">
        <f>SUMIFS('📋 Транзакції'!$F$5:$F$3623,'📋 Транзакції'!$B$5:$B$3623,A339,'📋 Транзакції'!$C$5:$C$3623,"&gt;="&amp;EDATE(DATEVALUE(C339&amp;"-01"),5),'📋 Транзакції'!$C$5:$C$3623,"&lt;"&amp;EDATE(DATEVALUE(C339&amp;"-01"),6))</f>
        <v>19.99</v>
      </c>
      <c r="Y339" s="37">
        <f>SUMIFS('📋 Транзакції'!$F$5:$F$3623,'📋 Транзакції'!$B$5:$B$3623,A339,'📋 Транзакції'!$C$5:$C$3623,"&gt;="&amp;EDATE(DATEVALUE(C339&amp;"-01"),6),'📋 Транзакції'!$C$5:$C$3623,"&lt;"&amp;EDATE(DATEVALUE(C339&amp;"-01"),7))</f>
        <v>0</v>
      </c>
      <c r="Z339" s="37">
        <f>SUMIFS('📋 Транзакції'!$F$5:$F$3623,'📋 Транзакції'!$B$5:$B$3623,A339,'📋 Транзакції'!$C$5:$C$3623,"&gt;="&amp;EDATE(DATEVALUE(C339&amp;"-01"),7),'📋 Транзакції'!$C$5:$C$3623,"&lt;"&amp;EDATE(DATEVALUE(C339&amp;"-01"),8))</f>
        <v>0</v>
      </c>
      <c r="AA339" s="37">
        <f>SUMIFS('📋 Транзакції'!$F$5:$F$3623,'📋 Транзакції'!$B$5:$B$3623,A339,'📋 Транзакції'!$C$5:$C$3623,"&gt;="&amp;EDATE(DATEVALUE(C339&amp;"-01"),8),'📋 Транзакції'!$C$5:$C$3623,"&lt;"&amp;EDATE(DATEVALUE(C339&amp;"-01"),9))</f>
        <v>0</v>
      </c>
      <c r="AB339" s="37">
        <f>SUMIFS('📋 Транзакції'!$F$5:$F$3623,'📋 Транзакції'!$B$5:$B$3623,A339,'📋 Транзакції'!$C$5:$C$3623,"&gt;="&amp;EDATE(DATEVALUE(C339&amp;"-01"),9),'📋 Транзакції'!$C$5:$C$3623,"&lt;"&amp;EDATE(DATEVALUE(C339&amp;"-01"),10))</f>
        <v>0</v>
      </c>
      <c r="AC339" s="37">
        <f>SUMIFS('📋 Транзакції'!$F$5:$F$3623,'📋 Транзакції'!$B$5:$B$3623,A339,'📋 Транзакції'!$C$5:$C$3623,"&gt;="&amp;EDATE(DATEVALUE(C339&amp;"-01"),10),'📋 Транзакції'!$C$5:$C$3623,"&lt;"&amp;EDATE(DATEVALUE(C339&amp;"-01"),11))</f>
        <v>0</v>
      </c>
      <c r="AD339" s="37">
        <f>SUMIFS('📋 Транзакції'!$F$5:$F$3623,'📋 Транзакції'!$B$5:$B$3623,A339,'📋 Транзакції'!$C$5:$C$3623,"&gt;="&amp;EDATE(DATEVALUE(C339&amp;"-01"),11),'📋 Транзакції'!$C$5:$C$3623,"&lt;"&amp;EDATE(DATEVALUE(C339&amp;"-01"),12))</f>
        <v>0</v>
      </c>
    </row>
    <row r="340" ht="15.75" customHeight="1">
      <c r="A340" s="33" t="str">
        <f>'📋 Реєстрації'!A340:A941</f>
        <v>U0275</v>
      </c>
      <c r="B340" s="34">
        <f t="array" ref="B340">INDEX('📋 Транзакції'!$C$5:$C$3623,MATCH(A340,'📋 Транзакції'!$B$5:$B$3623,0))</f>
        <v>45586</v>
      </c>
      <c r="C340" s="35" t="str">
        <f t="shared" si="1"/>
        <v>2024-10</v>
      </c>
      <c r="D340" s="36">
        <f>COUNTIF('📋 Транзакції'!$B$5:$B$3623,A340)</f>
        <v>7</v>
      </c>
      <c r="E340" s="36">
        <f>SUMIF('📋 Транзакції'!$B$5:$B$3623,A340,'📋 Транзакції'!$F$5:$F$3623)</f>
        <v>119.94</v>
      </c>
      <c r="F340" s="35">
        <f>INT($A$1-MAXIFS('📋 Транзакції'!$C$5:$C$3623,'📋 Транзакції'!$B$5:$B$3623,A340))</f>
        <v>4</v>
      </c>
      <c r="G340" s="37">
        <f>IF(COUNTIFS('📋 Транзакції'!$B$5:$B$3623,A340,'📋 Транзакції'!$C$5:$C$3623,"&gt;="&amp;EDATE(DATEVALUE(C340&amp;"-01"),0),'📋 Транзакції'!$C$5:$C$3623,"&lt;"&amp;EDATE(DATEVALUE(C340&amp;"-01"),1))&gt;0,1,0)</f>
        <v>1</v>
      </c>
      <c r="H340" s="37">
        <f>IF(COUNTIFS('📋 Транзакції'!$B$5:$B$3623,A340,'📋 Транзакції'!$C$5:$C$3623,"&gt;="&amp;EDATE(DATEVALUE(C340&amp;"-01"),1),'📋 Транзакції'!$C$5:$C$3623,"&lt;"&amp;EDATE(DATEVALUE(C340&amp;"-01"),2))&gt;0,1,0)</f>
        <v>1</v>
      </c>
      <c r="I340" s="37">
        <f>IF(COUNTIFS('📋 Транзакції'!$B$5:$B$3623,A340,'📋 Транзакції'!$C$5:$C$3623,"&gt;="&amp;EDATE(DATEVALUE(C340&amp;"-01"),2),'📋 Транзакції'!$C$5:$C$3623,"&lt;"&amp;EDATE(DATEVALUE(C340&amp;"-01"),3))&gt;0,1,0)</f>
        <v>1</v>
      </c>
      <c r="J340" s="37">
        <f>IF(COUNTIFS('📋 Транзакції'!$B$5:$B$3623,A340,'📋 Транзакції'!$C$5:$C$3623,"&gt;="&amp;EDATE(DATEVALUE(C340&amp;"-01"),3),'📋 Транзакції'!$C$5:$C$3623,"&lt;"&amp;EDATE(DATEVALUE(C340&amp;"-01"),4))&gt;0,1,0)</f>
        <v>1</v>
      </c>
      <c r="K340" s="37">
        <f>IF(COUNTIFS('📋 Транзакції'!$B$5:$B$3623,A340,'📋 Транзакції'!$C$5:$C$3623,"&gt;="&amp;EDATE(DATEVALUE(C340&amp;"-01"),4),'📋 Транзакції'!$C$5:$C$3623,"&lt;"&amp;EDATE(DATEVALUE(C340&amp;"-01"),5))&gt;0,1,0)</f>
        <v>1</v>
      </c>
      <c r="L340" s="37">
        <f>IF(COUNTIFS('📋 Транзакції'!$B$5:$B$3623,A340,'📋 Транзакції'!$C$5:$C$3623,"&gt;="&amp;EDATE(DATEVALUE(C340&amp;"-01"),5),'📋 Транзакції'!$C$5:$C$3623,"&lt;"&amp;EDATE(DATEVALUE(C340&amp;"-01"),6))&gt;0,1,0)</f>
        <v>1</v>
      </c>
      <c r="M340" s="37">
        <f>IF(COUNTIFS('📋 Транзакції'!$B$5:$B$3623,A340,'📋 Транзакції'!$C$5:$C$3623,"&gt;="&amp;EDATE(DATEVALUE(C340&amp;"-01"),6),'📋 Транзакції'!$C$5:$C$3623,"&lt;"&amp;EDATE(DATEVALUE(C340&amp;"-01"),7))&gt;0,1,0)</f>
        <v>0</v>
      </c>
      <c r="N340" s="37">
        <f>IF(COUNTIFS('📋 Транзакції'!$B$5:$B$3623,A340,'📋 Транзакції'!$C$5:$C$3623,"&gt;="&amp;EDATE(DATEVALUE(C340&amp;"-01"),7),'📋 Транзакції'!$C$5:$C$3623,"&lt;"&amp;EDATE(DATEVALUE(C340&amp;"-01"),8))&gt;0,1,0)</f>
        <v>0</v>
      </c>
      <c r="O340" s="37">
        <f>IF(COUNTIFS('📋 Транзакції'!$B$5:$B$3623,A340,'📋 Транзакції'!$C$5:$C$3623,"&gt;="&amp;EDATE(DATEVALUE(C340&amp;"-01"),8),'📋 Транзакції'!$C$5:$C$3623,"&lt;"&amp;EDATE(DATEVALUE(C340&amp;"-01"),9))&gt;0,1,0)</f>
        <v>0</v>
      </c>
      <c r="P340" s="37">
        <f>IF(COUNTIFS('📋 Транзакції'!$B$5:$B$3623,A340,'📋 Транзакції'!$C$5:$C$3623,"&gt;="&amp;EDATE(DATEVALUE(C340&amp;"-01"),9),'📋 Транзакції'!$C$5:$C$3623,"&lt;"&amp;EDATE(DATEVALUE(C340&amp;"-01"),10))&gt;0,1,0)</f>
        <v>0</v>
      </c>
      <c r="Q340" s="37">
        <f>IF(COUNTIFS('📋 Транзакції'!$B$5:$B$3623,A340,'📋 Транзакції'!$C$5:$C$3623,"&gt;="&amp;EDATE(DATEVALUE(C340&amp;"-01"),10),'📋 Транзакції'!$C$5:$C$3623,"&lt;"&amp;EDATE(DATEVALUE(C340&amp;"-01"),11))&gt;0,1,0)</f>
        <v>0</v>
      </c>
      <c r="R340" s="37">
        <f>IF(COUNTIFS('📋 Транзакції'!$B$5:$B$3623,A340,'📋 Транзакції'!$C$5:$C$3623,"&gt;="&amp;EDATE(DATEVALUE(C340&amp;"-01"),11),'📋 Транзакції'!$C$5:$C$3623,"&lt;"&amp;EDATE(DATEVALUE(C340&amp;"-01"),12))&gt;0,1,0)</f>
        <v>0</v>
      </c>
      <c r="S340" s="37">
        <f>SUMIFS('📋 Транзакції'!$F$5:$F$3623,'📋 Транзакції'!$B$5:$B$3623,A340,'📋 Транзакції'!$C$5:$C$3623,"&gt;="&amp;EDATE(DATEVALUE(C340&amp;"-01"),0),'📋 Транзакції'!$C$5:$C$3623,"&lt;"&amp;EDATE(DATEVALUE(C340&amp;"-01"),1))</f>
        <v>19.99</v>
      </c>
      <c r="T340" s="37">
        <f>SUMIFS('📋 Транзакції'!$F$5:$F$3623,'📋 Транзакції'!$B$5:$B$3623,A340,'📋 Транзакції'!$C$5:$C$3623,"&gt;="&amp;EDATE(DATEVALUE(C340&amp;"-01"),1),'📋 Транзакції'!$C$5:$C$3623,"&lt;"&amp;EDATE(DATEVALUE(C340&amp;"-01"),2))</f>
        <v>19.99</v>
      </c>
      <c r="U340" s="37">
        <f>SUMIFS('📋 Транзакції'!$F$5:$F$3623,'📋 Транзакції'!$B$5:$B$3623,A340,'📋 Транзакції'!$C$5:$C$3623,"&gt;="&amp;EDATE(DATEVALUE(C340&amp;"-01"),2),'📋 Транзакції'!$C$5:$C$3623,"&lt;"&amp;EDATE(DATEVALUE(C340&amp;"-01"),3))</f>
        <v>19.99</v>
      </c>
      <c r="V340" s="37">
        <f>SUMIFS('📋 Транзакції'!$F$5:$F$3623,'📋 Транзакції'!$B$5:$B$3623,A340,'📋 Транзакції'!$C$5:$C$3623,"&gt;="&amp;EDATE(DATEVALUE(C340&amp;"-01"),3),'📋 Транзакції'!$C$5:$C$3623,"&lt;"&amp;EDATE(DATEVALUE(C340&amp;"-01"),4))</f>
        <v>19.99</v>
      </c>
      <c r="W340" s="37">
        <f>SUMIFS('📋 Транзакції'!$F$5:$F$3623,'📋 Транзакції'!$B$5:$B$3623,A340,'📋 Транзакції'!$C$5:$C$3623,"&gt;="&amp;EDATE(DATEVALUE(C340&amp;"-01"),4),'📋 Транзакції'!$C$5:$C$3623,"&lt;"&amp;EDATE(DATEVALUE(C340&amp;"-01"),5))</f>
        <v>19.99</v>
      </c>
      <c r="X340" s="37">
        <f>SUMIFS('📋 Транзакції'!$F$5:$F$3623,'📋 Транзакції'!$B$5:$B$3623,A340,'📋 Транзакції'!$C$5:$C$3623,"&gt;="&amp;EDATE(DATEVALUE(C340&amp;"-01"),5),'📋 Транзакції'!$C$5:$C$3623,"&lt;"&amp;EDATE(DATEVALUE(C340&amp;"-01"),6))</f>
        <v>19.99</v>
      </c>
      <c r="Y340" s="37">
        <f>SUMIFS('📋 Транзакції'!$F$5:$F$3623,'📋 Транзакції'!$B$5:$B$3623,A340,'📋 Транзакції'!$C$5:$C$3623,"&gt;="&amp;EDATE(DATEVALUE(C340&amp;"-01"),6),'📋 Транзакції'!$C$5:$C$3623,"&lt;"&amp;EDATE(DATEVALUE(C340&amp;"-01"),7))</f>
        <v>0</v>
      </c>
      <c r="Z340" s="37">
        <f>SUMIFS('📋 Транзакції'!$F$5:$F$3623,'📋 Транзакції'!$B$5:$B$3623,A340,'📋 Транзакції'!$C$5:$C$3623,"&gt;="&amp;EDATE(DATEVALUE(C340&amp;"-01"),7),'📋 Транзакції'!$C$5:$C$3623,"&lt;"&amp;EDATE(DATEVALUE(C340&amp;"-01"),8))</f>
        <v>0</v>
      </c>
      <c r="AA340" s="37">
        <f>SUMIFS('📋 Транзакції'!$F$5:$F$3623,'📋 Транзакції'!$B$5:$B$3623,A340,'📋 Транзакції'!$C$5:$C$3623,"&gt;="&amp;EDATE(DATEVALUE(C340&amp;"-01"),8),'📋 Транзакції'!$C$5:$C$3623,"&lt;"&amp;EDATE(DATEVALUE(C340&amp;"-01"),9))</f>
        <v>0</v>
      </c>
      <c r="AB340" s="37">
        <f>SUMIFS('📋 Транзакції'!$F$5:$F$3623,'📋 Транзакції'!$B$5:$B$3623,A340,'📋 Транзакції'!$C$5:$C$3623,"&gt;="&amp;EDATE(DATEVALUE(C340&amp;"-01"),9),'📋 Транзакції'!$C$5:$C$3623,"&lt;"&amp;EDATE(DATEVALUE(C340&amp;"-01"),10))</f>
        <v>0</v>
      </c>
      <c r="AC340" s="37">
        <f>SUMIFS('📋 Транзакції'!$F$5:$F$3623,'📋 Транзакції'!$B$5:$B$3623,A340,'📋 Транзакції'!$C$5:$C$3623,"&gt;="&amp;EDATE(DATEVALUE(C340&amp;"-01"),10),'📋 Транзакції'!$C$5:$C$3623,"&lt;"&amp;EDATE(DATEVALUE(C340&amp;"-01"),11))</f>
        <v>0</v>
      </c>
      <c r="AD340" s="37">
        <f>SUMIFS('📋 Транзакції'!$F$5:$F$3623,'📋 Транзакції'!$B$5:$B$3623,A340,'📋 Транзакції'!$C$5:$C$3623,"&gt;="&amp;EDATE(DATEVALUE(C340&amp;"-01"),11),'📋 Транзакції'!$C$5:$C$3623,"&lt;"&amp;EDATE(DATEVALUE(C340&amp;"-01"),12))</f>
        <v>0</v>
      </c>
    </row>
    <row r="341" ht="15.75" customHeight="1">
      <c r="A341" s="33" t="str">
        <f>'📋 Реєстрації'!A341:A942</f>
        <v>U0701</v>
      </c>
      <c r="B341" s="34">
        <f t="array" ref="B341">INDEX('📋 Транзакції'!$C$5:$C$3623,MATCH(A341,'📋 Транзакції'!$B$5:$B$3623,0))</f>
        <v>45586</v>
      </c>
      <c r="C341" s="35" t="str">
        <f t="shared" si="1"/>
        <v>2024-10</v>
      </c>
      <c r="D341" s="36">
        <f>COUNTIF('📋 Транзакції'!$B$5:$B$3623,A341)</f>
        <v>7</v>
      </c>
      <c r="E341" s="36">
        <f>SUMIF('📋 Транзакції'!$B$5:$B$3623,A341,'📋 Транзакції'!$F$5:$F$3623)</f>
        <v>119.94</v>
      </c>
      <c r="F341" s="35">
        <f>INT($A$1-MAXIFS('📋 Транзакції'!$C$5:$C$3623,'📋 Транзакції'!$B$5:$B$3623,A341))</f>
        <v>4</v>
      </c>
      <c r="G341" s="37">
        <f>IF(COUNTIFS('📋 Транзакції'!$B$5:$B$3623,A341,'📋 Транзакції'!$C$5:$C$3623,"&gt;="&amp;EDATE(DATEVALUE(C341&amp;"-01"),0),'📋 Транзакції'!$C$5:$C$3623,"&lt;"&amp;EDATE(DATEVALUE(C341&amp;"-01"),1))&gt;0,1,0)</f>
        <v>1</v>
      </c>
      <c r="H341" s="37">
        <f>IF(COUNTIFS('📋 Транзакції'!$B$5:$B$3623,A341,'📋 Транзакції'!$C$5:$C$3623,"&gt;="&amp;EDATE(DATEVALUE(C341&amp;"-01"),1),'📋 Транзакції'!$C$5:$C$3623,"&lt;"&amp;EDATE(DATEVALUE(C341&amp;"-01"),2))&gt;0,1,0)</f>
        <v>1</v>
      </c>
      <c r="I341" s="37">
        <f>IF(COUNTIFS('📋 Транзакції'!$B$5:$B$3623,A341,'📋 Транзакції'!$C$5:$C$3623,"&gt;="&amp;EDATE(DATEVALUE(C341&amp;"-01"),2),'📋 Транзакції'!$C$5:$C$3623,"&lt;"&amp;EDATE(DATEVALUE(C341&amp;"-01"),3))&gt;0,1,0)</f>
        <v>1</v>
      </c>
      <c r="J341" s="37">
        <f>IF(COUNTIFS('📋 Транзакції'!$B$5:$B$3623,A341,'📋 Транзакції'!$C$5:$C$3623,"&gt;="&amp;EDATE(DATEVALUE(C341&amp;"-01"),3),'📋 Транзакції'!$C$5:$C$3623,"&lt;"&amp;EDATE(DATEVALUE(C341&amp;"-01"),4))&gt;0,1,0)</f>
        <v>1</v>
      </c>
      <c r="K341" s="37">
        <f>IF(COUNTIFS('📋 Транзакції'!$B$5:$B$3623,A341,'📋 Транзакції'!$C$5:$C$3623,"&gt;="&amp;EDATE(DATEVALUE(C341&amp;"-01"),4),'📋 Транзакції'!$C$5:$C$3623,"&lt;"&amp;EDATE(DATEVALUE(C341&amp;"-01"),5))&gt;0,1,0)</f>
        <v>1</v>
      </c>
      <c r="L341" s="37">
        <f>IF(COUNTIFS('📋 Транзакції'!$B$5:$B$3623,A341,'📋 Транзакції'!$C$5:$C$3623,"&gt;="&amp;EDATE(DATEVALUE(C341&amp;"-01"),5),'📋 Транзакції'!$C$5:$C$3623,"&lt;"&amp;EDATE(DATEVALUE(C341&amp;"-01"),6))&gt;0,1,0)</f>
        <v>1</v>
      </c>
      <c r="M341" s="37">
        <f>IF(COUNTIFS('📋 Транзакції'!$B$5:$B$3623,A341,'📋 Транзакції'!$C$5:$C$3623,"&gt;="&amp;EDATE(DATEVALUE(C341&amp;"-01"),6),'📋 Транзакції'!$C$5:$C$3623,"&lt;"&amp;EDATE(DATEVALUE(C341&amp;"-01"),7))&gt;0,1,0)</f>
        <v>0</v>
      </c>
      <c r="N341" s="37">
        <f>IF(COUNTIFS('📋 Транзакції'!$B$5:$B$3623,A341,'📋 Транзакції'!$C$5:$C$3623,"&gt;="&amp;EDATE(DATEVALUE(C341&amp;"-01"),7),'📋 Транзакції'!$C$5:$C$3623,"&lt;"&amp;EDATE(DATEVALUE(C341&amp;"-01"),8))&gt;0,1,0)</f>
        <v>0</v>
      </c>
      <c r="O341" s="37">
        <f>IF(COUNTIFS('📋 Транзакції'!$B$5:$B$3623,A341,'📋 Транзакції'!$C$5:$C$3623,"&gt;="&amp;EDATE(DATEVALUE(C341&amp;"-01"),8),'📋 Транзакції'!$C$5:$C$3623,"&lt;"&amp;EDATE(DATEVALUE(C341&amp;"-01"),9))&gt;0,1,0)</f>
        <v>0</v>
      </c>
      <c r="P341" s="37">
        <f>IF(COUNTIFS('📋 Транзакції'!$B$5:$B$3623,A341,'📋 Транзакції'!$C$5:$C$3623,"&gt;="&amp;EDATE(DATEVALUE(C341&amp;"-01"),9),'📋 Транзакції'!$C$5:$C$3623,"&lt;"&amp;EDATE(DATEVALUE(C341&amp;"-01"),10))&gt;0,1,0)</f>
        <v>0</v>
      </c>
      <c r="Q341" s="37">
        <f>IF(COUNTIFS('📋 Транзакції'!$B$5:$B$3623,A341,'📋 Транзакції'!$C$5:$C$3623,"&gt;="&amp;EDATE(DATEVALUE(C341&amp;"-01"),10),'📋 Транзакції'!$C$5:$C$3623,"&lt;"&amp;EDATE(DATEVALUE(C341&amp;"-01"),11))&gt;0,1,0)</f>
        <v>0</v>
      </c>
      <c r="R341" s="37">
        <f>IF(COUNTIFS('📋 Транзакції'!$B$5:$B$3623,A341,'📋 Транзакції'!$C$5:$C$3623,"&gt;="&amp;EDATE(DATEVALUE(C341&amp;"-01"),11),'📋 Транзакції'!$C$5:$C$3623,"&lt;"&amp;EDATE(DATEVALUE(C341&amp;"-01"),12))&gt;0,1,0)</f>
        <v>0</v>
      </c>
      <c r="S341" s="37">
        <f>SUMIFS('📋 Транзакції'!$F$5:$F$3623,'📋 Транзакції'!$B$5:$B$3623,A341,'📋 Транзакції'!$C$5:$C$3623,"&gt;="&amp;EDATE(DATEVALUE(C341&amp;"-01"),0),'📋 Транзакції'!$C$5:$C$3623,"&lt;"&amp;EDATE(DATEVALUE(C341&amp;"-01"),1))</f>
        <v>19.99</v>
      </c>
      <c r="T341" s="37">
        <f>SUMIFS('📋 Транзакції'!$F$5:$F$3623,'📋 Транзакції'!$B$5:$B$3623,A341,'📋 Транзакції'!$C$5:$C$3623,"&gt;="&amp;EDATE(DATEVALUE(C341&amp;"-01"),1),'📋 Транзакції'!$C$5:$C$3623,"&lt;"&amp;EDATE(DATEVALUE(C341&amp;"-01"),2))</f>
        <v>19.99</v>
      </c>
      <c r="U341" s="37">
        <f>SUMIFS('📋 Транзакції'!$F$5:$F$3623,'📋 Транзакції'!$B$5:$B$3623,A341,'📋 Транзакції'!$C$5:$C$3623,"&gt;="&amp;EDATE(DATEVALUE(C341&amp;"-01"),2),'📋 Транзакції'!$C$5:$C$3623,"&lt;"&amp;EDATE(DATEVALUE(C341&amp;"-01"),3))</f>
        <v>19.99</v>
      </c>
      <c r="V341" s="37">
        <f>SUMIFS('📋 Транзакції'!$F$5:$F$3623,'📋 Транзакції'!$B$5:$B$3623,A341,'📋 Транзакції'!$C$5:$C$3623,"&gt;="&amp;EDATE(DATEVALUE(C341&amp;"-01"),3),'📋 Транзакції'!$C$5:$C$3623,"&lt;"&amp;EDATE(DATEVALUE(C341&amp;"-01"),4))</f>
        <v>19.99</v>
      </c>
      <c r="W341" s="37">
        <f>SUMIFS('📋 Транзакції'!$F$5:$F$3623,'📋 Транзакції'!$B$5:$B$3623,A341,'📋 Транзакції'!$C$5:$C$3623,"&gt;="&amp;EDATE(DATEVALUE(C341&amp;"-01"),4),'📋 Транзакції'!$C$5:$C$3623,"&lt;"&amp;EDATE(DATEVALUE(C341&amp;"-01"),5))</f>
        <v>19.99</v>
      </c>
      <c r="X341" s="37">
        <f>SUMIFS('📋 Транзакції'!$F$5:$F$3623,'📋 Транзакції'!$B$5:$B$3623,A341,'📋 Транзакції'!$C$5:$C$3623,"&gt;="&amp;EDATE(DATEVALUE(C341&amp;"-01"),5),'📋 Транзакції'!$C$5:$C$3623,"&lt;"&amp;EDATE(DATEVALUE(C341&amp;"-01"),6))</f>
        <v>19.99</v>
      </c>
      <c r="Y341" s="37">
        <f>SUMIFS('📋 Транзакції'!$F$5:$F$3623,'📋 Транзакції'!$B$5:$B$3623,A341,'📋 Транзакції'!$C$5:$C$3623,"&gt;="&amp;EDATE(DATEVALUE(C341&amp;"-01"),6),'📋 Транзакції'!$C$5:$C$3623,"&lt;"&amp;EDATE(DATEVALUE(C341&amp;"-01"),7))</f>
        <v>0</v>
      </c>
      <c r="Z341" s="37">
        <f>SUMIFS('📋 Транзакції'!$F$5:$F$3623,'📋 Транзакції'!$B$5:$B$3623,A341,'📋 Транзакції'!$C$5:$C$3623,"&gt;="&amp;EDATE(DATEVALUE(C341&amp;"-01"),7),'📋 Транзакції'!$C$5:$C$3623,"&lt;"&amp;EDATE(DATEVALUE(C341&amp;"-01"),8))</f>
        <v>0</v>
      </c>
      <c r="AA341" s="37">
        <f>SUMIFS('📋 Транзакції'!$F$5:$F$3623,'📋 Транзакції'!$B$5:$B$3623,A341,'📋 Транзакції'!$C$5:$C$3623,"&gt;="&amp;EDATE(DATEVALUE(C341&amp;"-01"),8),'📋 Транзакції'!$C$5:$C$3623,"&lt;"&amp;EDATE(DATEVALUE(C341&amp;"-01"),9))</f>
        <v>0</v>
      </c>
      <c r="AB341" s="37">
        <f>SUMIFS('📋 Транзакції'!$F$5:$F$3623,'📋 Транзакції'!$B$5:$B$3623,A341,'📋 Транзакції'!$C$5:$C$3623,"&gt;="&amp;EDATE(DATEVALUE(C341&amp;"-01"),9),'📋 Транзакції'!$C$5:$C$3623,"&lt;"&amp;EDATE(DATEVALUE(C341&amp;"-01"),10))</f>
        <v>0</v>
      </c>
      <c r="AC341" s="37">
        <f>SUMIFS('📋 Транзакції'!$F$5:$F$3623,'📋 Транзакції'!$B$5:$B$3623,A341,'📋 Транзакції'!$C$5:$C$3623,"&gt;="&amp;EDATE(DATEVALUE(C341&amp;"-01"),10),'📋 Транзакції'!$C$5:$C$3623,"&lt;"&amp;EDATE(DATEVALUE(C341&amp;"-01"),11))</f>
        <v>0</v>
      </c>
      <c r="AD341" s="37">
        <f>SUMIFS('📋 Транзакції'!$F$5:$F$3623,'📋 Транзакції'!$B$5:$B$3623,A341,'📋 Транзакції'!$C$5:$C$3623,"&gt;="&amp;EDATE(DATEVALUE(C341&amp;"-01"),11),'📋 Транзакції'!$C$5:$C$3623,"&lt;"&amp;EDATE(DATEVALUE(C341&amp;"-01"),12))</f>
        <v>0</v>
      </c>
    </row>
    <row r="342" ht="15.75" customHeight="1">
      <c r="A342" s="33" t="str">
        <f>'📋 Реєстрації'!A342:A943</f>
        <v>U0042</v>
      </c>
      <c r="B342" s="34">
        <f t="array" ref="B342">INDEX('📋 Транзакції'!$C$5:$C$3623,MATCH(A342,'📋 Транзакції'!$B$5:$B$3623,0))</f>
        <v>45587</v>
      </c>
      <c r="C342" s="35" t="str">
        <f t="shared" si="1"/>
        <v>2024-10</v>
      </c>
      <c r="D342" s="36">
        <f>COUNTIF('📋 Транзакції'!$B$5:$B$3623,A342)</f>
        <v>7</v>
      </c>
      <c r="E342" s="36">
        <f>SUMIF('📋 Транзакції'!$B$5:$B$3623,A342,'📋 Транзакції'!$F$5:$F$3623)</f>
        <v>119.94</v>
      </c>
      <c r="F342" s="35">
        <f>INT($A$1-MAXIFS('📋 Транзакції'!$C$5:$C$3623,'📋 Транзакції'!$B$5:$B$3623,A342))</f>
        <v>3</v>
      </c>
      <c r="G342" s="37">
        <f>IF(COUNTIFS('📋 Транзакції'!$B$5:$B$3623,A342,'📋 Транзакції'!$C$5:$C$3623,"&gt;="&amp;EDATE(DATEVALUE(C342&amp;"-01"),0),'📋 Транзакції'!$C$5:$C$3623,"&lt;"&amp;EDATE(DATEVALUE(C342&amp;"-01"),1))&gt;0,1,0)</f>
        <v>1</v>
      </c>
      <c r="H342" s="37">
        <f>IF(COUNTIFS('📋 Транзакції'!$B$5:$B$3623,A342,'📋 Транзакції'!$C$5:$C$3623,"&gt;="&amp;EDATE(DATEVALUE(C342&amp;"-01"),1),'📋 Транзакції'!$C$5:$C$3623,"&lt;"&amp;EDATE(DATEVALUE(C342&amp;"-01"),2))&gt;0,1,0)</f>
        <v>1</v>
      </c>
      <c r="I342" s="37">
        <f>IF(COUNTIFS('📋 Транзакції'!$B$5:$B$3623,A342,'📋 Транзакції'!$C$5:$C$3623,"&gt;="&amp;EDATE(DATEVALUE(C342&amp;"-01"),2),'📋 Транзакції'!$C$5:$C$3623,"&lt;"&amp;EDATE(DATEVALUE(C342&amp;"-01"),3))&gt;0,1,0)</f>
        <v>1</v>
      </c>
      <c r="J342" s="37">
        <f>IF(COUNTIFS('📋 Транзакції'!$B$5:$B$3623,A342,'📋 Транзакції'!$C$5:$C$3623,"&gt;="&amp;EDATE(DATEVALUE(C342&amp;"-01"),3),'📋 Транзакції'!$C$5:$C$3623,"&lt;"&amp;EDATE(DATEVALUE(C342&amp;"-01"),4))&gt;0,1,0)</f>
        <v>1</v>
      </c>
      <c r="K342" s="37">
        <f>IF(COUNTIFS('📋 Транзакції'!$B$5:$B$3623,A342,'📋 Транзакції'!$C$5:$C$3623,"&gt;="&amp;EDATE(DATEVALUE(C342&amp;"-01"),4),'📋 Транзакції'!$C$5:$C$3623,"&lt;"&amp;EDATE(DATEVALUE(C342&amp;"-01"),5))&gt;0,1,0)</f>
        <v>1</v>
      </c>
      <c r="L342" s="37">
        <f>IF(COUNTIFS('📋 Транзакції'!$B$5:$B$3623,A342,'📋 Транзакції'!$C$5:$C$3623,"&gt;="&amp;EDATE(DATEVALUE(C342&amp;"-01"),5),'📋 Транзакції'!$C$5:$C$3623,"&lt;"&amp;EDATE(DATEVALUE(C342&amp;"-01"),6))&gt;0,1,0)</f>
        <v>1</v>
      </c>
      <c r="M342" s="37">
        <f>IF(COUNTIFS('📋 Транзакції'!$B$5:$B$3623,A342,'📋 Транзакції'!$C$5:$C$3623,"&gt;="&amp;EDATE(DATEVALUE(C342&amp;"-01"),6),'📋 Транзакції'!$C$5:$C$3623,"&lt;"&amp;EDATE(DATEVALUE(C342&amp;"-01"),7))&gt;0,1,0)</f>
        <v>0</v>
      </c>
      <c r="N342" s="37">
        <f>IF(COUNTIFS('📋 Транзакції'!$B$5:$B$3623,A342,'📋 Транзакції'!$C$5:$C$3623,"&gt;="&amp;EDATE(DATEVALUE(C342&amp;"-01"),7),'📋 Транзакції'!$C$5:$C$3623,"&lt;"&amp;EDATE(DATEVALUE(C342&amp;"-01"),8))&gt;0,1,0)</f>
        <v>0</v>
      </c>
      <c r="O342" s="37">
        <f>IF(COUNTIFS('📋 Транзакції'!$B$5:$B$3623,A342,'📋 Транзакції'!$C$5:$C$3623,"&gt;="&amp;EDATE(DATEVALUE(C342&amp;"-01"),8),'📋 Транзакції'!$C$5:$C$3623,"&lt;"&amp;EDATE(DATEVALUE(C342&amp;"-01"),9))&gt;0,1,0)</f>
        <v>0</v>
      </c>
      <c r="P342" s="37">
        <f>IF(COUNTIFS('📋 Транзакції'!$B$5:$B$3623,A342,'📋 Транзакції'!$C$5:$C$3623,"&gt;="&amp;EDATE(DATEVALUE(C342&amp;"-01"),9),'📋 Транзакції'!$C$5:$C$3623,"&lt;"&amp;EDATE(DATEVALUE(C342&amp;"-01"),10))&gt;0,1,0)</f>
        <v>0</v>
      </c>
      <c r="Q342" s="37">
        <f>IF(COUNTIFS('📋 Транзакції'!$B$5:$B$3623,A342,'📋 Транзакції'!$C$5:$C$3623,"&gt;="&amp;EDATE(DATEVALUE(C342&amp;"-01"),10),'📋 Транзакції'!$C$5:$C$3623,"&lt;"&amp;EDATE(DATEVALUE(C342&amp;"-01"),11))&gt;0,1,0)</f>
        <v>0</v>
      </c>
      <c r="R342" s="37">
        <f>IF(COUNTIFS('📋 Транзакції'!$B$5:$B$3623,A342,'📋 Транзакції'!$C$5:$C$3623,"&gt;="&amp;EDATE(DATEVALUE(C342&amp;"-01"),11),'📋 Транзакції'!$C$5:$C$3623,"&lt;"&amp;EDATE(DATEVALUE(C342&amp;"-01"),12))&gt;0,1,0)</f>
        <v>0</v>
      </c>
      <c r="S342" s="37">
        <f>SUMIFS('📋 Транзакції'!$F$5:$F$3623,'📋 Транзакції'!$B$5:$B$3623,A342,'📋 Транзакції'!$C$5:$C$3623,"&gt;="&amp;EDATE(DATEVALUE(C342&amp;"-01"),0),'📋 Транзакції'!$C$5:$C$3623,"&lt;"&amp;EDATE(DATEVALUE(C342&amp;"-01"),1))</f>
        <v>19.99</v>
      </c>
      <c r="T342" s="37">
        <f>SUMIFS('📋 Транзакції'!$F$5:$F$3623,'📋 Транзакції'!$B$5:$B$3623,A342,'📋 Транзакції'!$C$5:$C$3623,"&gt;="&amp;EDATE(DATEVALUE(C342&amp;"-01"),1),'📋 Транзакції'!$C$5:$C$3623,"&lt;"&amp;EDATE(DATEVALUE(C342&amp;"-01"),2))</f>
        <v>19.99</v>
      </c>
      <c r="U342" s="37">
        <f>SUMIFS('📋 Транзакції'!$F$5:$F$3623,'📋 Транзакції'!$B$5:$B$3623,A342,'📋 Транзакції'!$C$5:$C$3623,"&gt;="&amp;EDATE(DATEVALUE(C342&amp;"-01"),2),'📋 Транзакції'!$C$5:$C$3623,"&lt;"&amp;EDATE(DATEVALUE(C342&amp;"-01"),3))</f>
        <v>19.99</v>
      </c>
      <c r="V342" s="37">
        <f>SUMIFS('📋 Транзакції'!$F$5:$F$3623,'📋 Транзакції'!$B$5:$B$3623,A342,'📋 Транзакції'!$C$5:$C$3623,"&gt;="&amp;EDATE(DATEVALUE(C342&amp;"-01"),3),'📋 Транзакції'!$C$5:$C$3623,"&lt;"&amp;EDATE(DATEVALUE(C342&amp;"-01"),4))</f>
        <v>19.99</v>
      </c>
      <c r="W342" s="37">
        <f>SUMIFS('📋 Транзакції'!$F$5:$F$3623,'📋 Транзакції'!$B$5:$B$3623,A342,'📋 Транзакції'!$C$5:$C$3623,"&gt;="&amp;EDATE(DATEVALUE(C342&amp;"-01"),4),'📋 Транзакції'!$C$5:$C$3623,"&lt;"&amp;EDATE(DATEVALUE(C342&amp;"-01"),5))</f>
        <v>19.99</v>
      </c>
      <c r="X342" s="37">
        <f>SUMIFS('📋 Транзакції'!$F$5:$F$3623,'📋 Транзакції'!$B$5:$B$3623,A342,'📋 Транзакції'!$C$5:$C$3623,"&gt;="&amp;EDATE(DATEVALUE(C342&amp;"-01"),5),'📋 Транзакції'!$C$5:$C$3623,"&lt;"&amp;EDATE(DATEVALUE(C342&amp;"-01"),6))</f>
        <v>19.99</v>
      </c>
      <c r="Y342" s="37">
        <f>SUMIFS('📋 Транзакції'!$F$5:$F$3623,'📋 Транзакції'!$B$5:$B$3623,A342,'📋 Транзакції'!$C$5:$C$3623,"&gt;="&amp;EDATE(DATEVALUE(C342&amp;"-01"),6),'📋 Транзакції'!$C$5:$C$3623,"&lt;"&amp;EDATE(DATEVALUE(C342&amp;"-01"),7))</f>
        <v>0</v>
      </c>
      <c r="Z342" s="37">
        <f>SUMIFS('📋 Транзакції'!$F$5:$F$3623,'📋 Транзакції'!$B$5:$B$3623,A342,'📋 Транзакції'!$C$5:$C$3623,"&gt;="&amp;EDATE(DATEVALUE(C342&amp;"-01"),7),'📋 Транзакції'!$C$5:$C$3623,"&lt;"&amp;EDATE(DATEVALUE(C342&amp;"-01"),8))</f>
        <v>0</v>
      </c>
      <c r="AA342" s="37">
        <f>SUMIFS('📋 Транзакції'!$F$5:$F$3623,'📋 Транзакції'!$B$5:$B$3623,A342,'📋 Транзакції'!$C$5:$C$3623,"&gt;="&amp;EDATE(DATEVALUE(C342&amp;"-01"),8),'📋 Транзакції'!$C$5:$C$3623,"&lt;"&amp;EDATE(DATEVALUE(C342&amp;"-01"),9))</f>
        <v>0</v>
      </c>
      <c r="AB342" s="37">
        <f>SUMIFS('📋 Транзакції'!$F$5:$F$3623,'📋 Транзакції'!$B$5:$B$3623,A342,'📋 Транзакції'!$C$5:$C$3623,"&gt;="&amp;EDATE(DATEVALUE(C342&amp;"-01"),9),'📋 Транзакції'!$C$5:$C$3623,"&lt;"&amp;EDATE(DATEVALUE(C342&amp;"-01"),10))</f>
        <v>0</v>
      </c>
      <c r="AC342" s="37">
        <f>SUMIFS('📋 Транзакції'!$F$5:$F$3623,'📋 Транзакції'!$B$5:$B$3623,A342,'📋 Транзакції'!$C$5:$C$3623,"&gt;="&amp;EDATE(DATEVALUE(C342&amp;"-01"),10),'📋 Транзакції'!$C$5:$C$3623,"&lt;"&amp;EDATE(DATEVALUE(C342&amp;"-01"),11))</f>
        <v>0</v>
      </c>
      <c r="AD342" s="37">
        <f>SUMIFS('📋 Транзакції'!$F$5:$F$3623,'📋 Транзакції'!$B$5:$B$3623,A342,'📋 Транзакції'!$C$5:$C$3623,"&gt;="&amp;EDATE(DATEVALUE(C342&amp;"-01"),11),'📋 Транзакції'!$C$5:$C$3623,"&lt;"&amp;EDATE(DATEVALUE(C342&amp;"-01"),12))</f>
        <v>0</v>
      </c>
    </row>
    <row r="343" ht="15.75" customHeight="1">
      <c r="A343" s="33" t="str">
        <f>'📋 Реєстрації'!A343:A944</f>
        <v>U0403</v>
      </c>
      <c r="B343" s="34">
        <f t="array" ref="B343">INDEX('📋 Транзакції'!$C$5:$C$3623,MATCH(A343,'📋 Транзакції'!$B$5:$B$3623,0))</f>
        <v>45587</v>
      </c>
      <c r="C343" s="35" t="str">
        <f t="shared" si="1"/>
        <v>2024-10</v>
      </c>
      <c r="D343" s="36">
        <f>COUNTIF('📋 Транзакції'!$B$5:$B$3623,A343)</f>
        <v>7</v>
      </c>
      <c r="E343" s="36">
        <f>SUMIF('📋 Транзакції'!$B$5:$B$3623,A343,'📋 Транзакції'!$F$5:$F$3623)</f>
        <v>119.94</v>
      </c>
      <c r="F343" s="35">
        <f>INT($A$1-MAXIFS('📋 Транзакції'!$C$5:$C$3623,'📋 Транзакції'!$B$5:$B$3623,A343))</f>
        <v>3</v>
      </c>
      <c r="G343" s="37">
        <f>IF(COUNTIFS('📋 Транзакції'!$B$5:$B$3623,A343,'📋 Транзакції'!$C$5:$C$3623,"&gt;="&amp;EDATE(DATEVALUE(C343&amp;"-01"),0),'📋 Транзакції'!$C$5:$C$3623,"&lt;"&amp;EDATE(DATEVALUE(C343&amp;"-01"),1))&gt;0,1,0)</f>
        <v>1</v>
      </c>
      <c r="H343" s="37">
        <f>IF(COUNTIFS('📋 Транзакції'!$B$5:$B$3623,A343,'📋 Транзакції'!$C$5:$C$3623,"&gt;="&amp;EDATE(DATEVALUE(C343&amp;"-01"),1),'📋 Транзакції'!$C$5:$C$3623,"&lt;"&amp;EDATE(DATEVALUE(C343&amp;"-01"),2))&gt;0,1,0)</f>
        <v>1</v>
      </c>
      <c r="I343" s="37">
        <f>IF(COUNTIFS('📋 Транзакції'!$B$5:$B$3623,A343,'📋 Транзакції'!$C$5:$C$3623,"&gt;="&amp;EDATE(DATEVALUE(C343&amp;"-01"),2),'📋 Транзакції'!$C$5:$C$3623,"&lt;"&amp;EDATE(DATEVALUE(C343&amp;"-01"),3))&gt;0,1,0)</f>
        <v>1</v>
      </c>
      <c r="J343" s="37">
        <f>IF(COUNTIFS('📋 Транзакції'!$B$5:$B$3623,A343,'📋 Транзакції'!$C$5:$C$3623,"&gt;="&amp;EDATE(DATEVALUE(C343&amp;"-01"),3),'📋 Транзакції'!$C$5:$C$3623,"&lt;"&amp;EDATE(DATEVALUE(C343&amp;"-01"),4))&gt;0,1,0)</f>
        <v>1</v>
      </c>
      <c r="K343" s="37">
        <f>IF(COUNTIFS('📋 Транзакції'!$B$5:$B$3623,A343,'📋 Транзакції'!$C$5:$C$3623,"&gt;="&amp;EDATE(DATEVALUE(C343&amp;"-01"),4),'📋 Транзакції'!$C$5:$C$3623,"&lt;"&amp;EDATE(DATEVALUE(C343&amp;"-01"),5))&gt;0,1,0)</f>
        <v>1</v>
      </c>
      <c r="L343" s="37">
        <f>IF(COUNTIFS('📋 Транзакції'!$B$5:$B$3623,A343,'📋 Транзакції'!$C$5:$C$3623,"&gt;="&amp;EDATE(DATEVALUE(C343&amp;"-01"),5),'📋 Транзакції'!$C$5:$C$3623,"&lt;"&amp;EDATE(DATEVALUE(C343&amp;"-01"),6))&gt;0,1,0)</f>
        <v>1</v>
      </c>
      <c r="M343" s="37">
        <f>IF(COUNTIFS('📋 Транзакції'!$B$5:$B$3623,A343,'📋 Транзакції'!$C$5:$C$3623,"&gt;="&amp;EDATE(DATEVALUE(C343&amp;"-01"),6),'📋 Транзакції'!$C$5:$C$3623,"&lt;"&amp;EDATE(DATEVALUE(C343&amp;"-01"),7))&gt;0,1,0)</f>
        <v>0</v>
      </c>
      <c r="N343" s="37">
        <f>IF(COUNTIFS('📋 Транзакції'!$B$5:$B$3623,A343,'📋 Транзакції'!$C$5:$C$3623,"&gt;="&amp;EDATE(DATEVALUE(C343&amp;"-01"),7),'📋 Транзакції'!$C$5:$C$3623,"&lt;"&amp;EDATE(DATEVALUE(C343&amp;"-01"),8))&gt;0,1,0)</f>
        <v>0</v>
      </c>
      <c r="O343" s="37">
        <f>IF(COUNTIFS('📋 Транзакції'!$B$5:$B$3623,A343,'📋 Транзакції'!$C$5:$C$3623,"&gt;="&amp;EDATE(DATEVALUE(C343&amp;"-01"),8),'📋 Транзакції'!$C$5:$C$3623,"&lt;"&amp;EDATE(DATEVALUE(C343&amp;"-01"),9))&gt;0,1,0)</f>
        <v>0</v>
      </c>
      <c r="P343" s="37">
        <f>IF(COUNTIFS('📋 Транзакції'!$B$5:$B$3623,A343,'📋 Транзакції'!$C$5:$C$3623,"&gt;="&amp;EDATE(DATEVALUE(C343&amp;"-01"),9),'📋 Транзакції'!$C$5:$C$3623,"&lt;"&amp;EDATE(DATEVALUE(C343&amp;"-01"),10))&gt;0,1,0)</f>
        <v>0</v>
      </c>
      <c r="Q343" s="37">
        <f>IF(COUNTIFS('📋 Транзакції'!$B$5:$B$3623,A343,'📋 Транзакції'!$C$5:$C$3623,"&gt;="&amp;EDATE(DATEVALUE(C343&amp;"-01"),10),'📋 Транзакції'!$C$5:$C$3623,"&lt;"&amp;EDATE(DATEVALUE(C343&amp;"-01"),11))&gt;0,1,0)</f>
        <v>0</v>
      </c>
      <c r="R343" s="37">
        <f>IF(COUNTIFS('📋 Транзакції'!$B$5:$B$3623,A343,'📋 Транзакції'!$C$5:$C$3623,"&gt;="&amp;EDATE(DATEVALUE(C343&amp;"-01"),11),'📋 Транзакції'!$C$5:$C$3623,"&lt;"&amp;EDATE(DATEVALUE(C343&amp;"-01"),12))&gt;0,1,0)</f>
        <v>0</v>
      </c>
      <c r="S343" s="37">
        <f>SUMIFS('📋 Транзакції'!$F$5:$F$3623,'📋 Транзакції'!$B$5:$B$3623,A343,'📋 Транзакції'!$C$5:$C$3623,"&gt;="&amp;EDATE(DATEVALUE(C343&amp;"-01"),0),'📋 Транзакції'!$C$5:$C$3623,"&lt;"&amp;EDATE(DATEVALUE(C343&amp;"-01"),1))</f>
        <v>19.99</v>
      </c>
      <c r="T343" s="37">
        <f>SUMIFS('📋 Транзакції'!$F$5:$F$3623,'📋 Транзакції'!$B$5:$B$3623,A343,'📋 Транзакції'!$C$5:$C$3623,"&gt;="&amp;EDATE(DATEVALUE(C343&amp;"-01"),1),'📋 Транзакції'!$C$5:$C$3623,"&lt;"&amp;EDATE(DATEVALUE(C343&amp;"-01"),2))</f>
        <v>19.99</v>
      </c>
      <c r="U343" s="37">
        <f>SUMIFS('📋 Транзакції'!$F$5:$F$3623,'📋 Транзакції'!$B$5:$B$3623,A343,'📋 Транзакції'!$C$5:$C$3623,"&gt;="&amp;EDATE(DATEVALUE(C343&amp;"-01"),2),'📋 Транзакції'!$C$5:$C$3623,"&lt;"&amp;EDATE(DATEVALUE(C343&amp;"-01"),3))</f>
        <v>19.99</v>
      </c>
      <c r="V343" s="37">
        <f>SUMIFS('📋 Транзакції'!$F$5:$F$3623,'📋 Транзакції'!$B$5:$B$3623,A343,'📋 Транзакції'!$C$5:$C$3623,"&gt;="&amp;EDATE(DATEVALUE(C343&amp;"-01"),3),'📋 Транзакції'!$C$5:$C$3623,"&lt;"&amp;EDATE(DATEVALUE(C343&amp;"-01"),4))</f>
        <v>19.99</v>
      </c>
      <c r="W343" s="37">
        <f>SUMIFS('📋 Транзакції'!$F$5:$F$3623,'📋 Транзакції'!$B$5:$B$3623,A343,'📋 Транзакції'!$C$5:$C$3623,"&gt;="&amp;EDATE(DATEVALUE(C343&amp;"-01"),4),'📋 Транзакції'!$C$5:$C$3623,"&lt;"&amp;EDATE(DATEVALUE(C343&amp;"-01"),5))</f>
        <v>19.99</v>
      </c>
      <c r="X343" s="37">
        <f>SUMIFS('📋 Транзакції'!$F$5:$F$3623,'📋 Транзакції'!$B$5:$B$3623,A343,'📋 Транзакції'!$C$5:$C$3623,"&gt;="&amp;EDATE(DATEVALUE(C343&amp;"-01"),5),'📋 Транзакції'!$C$5:$C$3623,"&lt;"&amp;EDATE(DATEVALUE(C343&amp;"-01"),6))</f>
        <v>19.99</v>
      </c>
      <c r="Y343" s="37">
        <f>SUMIFS('📋 Транзакції'!$F$5:$F$3623,'📋 Транзакції'!$B$5:$B$3623,A343,'📋 Транзакції'!$C$5:$C$3623,"&gt;="&amp;EDATE(DATEVALUE(C343&amp;"-01"),6),'📋 Транзакції'!$C$5:$C$3623,"&lt;"&amp;EDATE(DATEVALUE(C343&amp;"-01"),7))</f>
        <v>0</v>
      </c>
      <c r="Z343" s="37">
        <f>SUMIFS('📋 Транзакції'!$F$5:$F$3623,'📋 Транзакції'!$B$5:$B$3623,A343,'📋 Транзакції'!$C$5:$C$3623,"&gt;="&amp;EDATE(DATEVALUE(C343&amp;"-01"),7),'📋 Транзакції'!$C$5:$C$3623,"&lt;"&amp;EDATE(DATEVALUE(C343&amp;"-01"),8))</f>
        <v>0</v>
      </c>
      <c r="AA343" s="37">
        <f>SUMIFS('📋 Транзакції'!$F$5:$F$3623,'📋 Транзакції'!$B$5:$B$3623,A343,'📋 Транзакції'!$C$5:$C$3623,"&gt;="&amp;EDATE(DATEVALUE(C343&amp;"-01"),8),'📋 Транзакції'!$C$5:$C$3623,"&lt;"&amp;EDATE(DATEVALUE(C343&amp;"-01"),9))</f>
        <v>0</v>
      </c>
      <c r="AB343" s="37">
        <f>SUMIFS('📋 Транзакції'!$F$5:$F$3623,'📋 Транзакції'!$B$5:$B$3623,A343,'📋 Транзакції'!$C$5:$C$3623,"&gt;="&amp;EDATE(DATEVALUE(C343&amp;"-01"),9),'📋 Транзакції'!$C$5:$C$3623,"&lt;"&amp;EDATE(DATEVALUE(C343&amp;"-01"),10))</f>
        <v>0</v>
      </c>
      <c r="AC343" s="37">
        <f>SUMIFS('📋 Транзакції'!$F$5:$F$3623,'📋 Транзакції'!$B$5:$B$3623,A343,'📋 Транзакції'!$C$5:$C$3623,"&gt;="&amp;EDATE(DATEVALUE(C343&amp;"-01"),10),'📋 Транзакції'!$C$5:$C$3623,"&lt;"&amp;EDATE(DATEVALUE(C343&amp;"-01"),11))</f>
        <v>0</v>
      </c>
      <c r="AD343" s="37">
        <f>SUMIFS('📋 Транзакції'!$F$5:$F$3623,'📋 Транзакції'!$B$5:$B$3623,A343,'📋 Транзакції'!$C$5:$C$3623,"&gt;="&amp;EDATE(DATEVALUE(C343&amp;"-01"),11),'📋 Транзакції'!$C$5:$C$3623,"&lt;"&amp;EDATE(DATEVALUE(C343&amp;"-01"),12))</f>
        <v>0</v>
      </c>
    </row>
    <row r="344" ht="15.75" customHeight="1">
      <c r="A344" s="33" t="str">
        <f>'📋 Реєстрації'!A344:A945</f>
        <v>U0634</v>
      </c>
      <c r="B344" s="34">
        <f t="array" ref="B344">INDEX('📋 Транзакції'!$C$5:$C$3623,MATCH(A344,'📋 Транзакції'!$B$5:$B$3623,0))</f>
        <v>45588</v>
      </c>
      <c r="C344" s="35" t="str">
        <f t="shared" si="1"/>
        <v>2024-10</v>
      </c>
      <c r="D344" s="36">
        <f>COUNTIF('📋 Транзакції'!$B$5:$B$3623,A344)</f>
        <v>7</v>
      </c>
      <c r="E344" s="36">
        <f>SUMIF('📋 Транзакції'!$B$5:$B$3623,A344,'📋 Транзакції'!$F$5:$F$3623)</f>
        <v>119.94</v>
      </c>
      <c r="F344" s="35">
        <f>INT($A$1-MAXIFS('📋 Транзакції'!$C$5:$C$3623,'📋 Транзакції'!$B$5:$B$3623,A344))</f>
        <v>2</v>
      </c>
      <c r="G344" s="37">
        <f>IF(COUNTIFS('📋 Транзакції'!$B$5:$B$3623,A344,'📋 Транзакції'!$C$5:$C$3623,"&gt;="&amp;EDATE(DATEVALUE(C344&amp;"-01"),0),'📋 Транзакції'!$C$5:$C$3623,"&lt;"&amp;EDATE(DATEVALUE(C344&amp;"-01"),1))&gt;0,1,0)</f>
        <v>1</v>
      </c>
      <c r="H344" s="37">
        <f>IF(COUNTIFS('📋 Транзакції'!$B$5:$B$3623,A344,'📋 Транзакції'!$C$5:$C$3623,"&gt;="&amp;EDATE(DATEVALUE(C344&amp;"-01"),1),'📋 Транзакції'!$C$5:$C$3623,"&lt;"&amp;EDATE(DATEVALUE(C344&amp;"-01"),2))&gt;0,1,0)</f>
        <v>1</v>
      </c>
      <c r="I344" s="37">
        <f>IF(COUNTIFS('📋 Транзакції'!$B$5:$B$3623,A344,'📋 Транзакції'!$C$5:$C$3623,"&gt;="&amp;EDATE(DATEVALUE(C344&amp;"-01"),2),'📋 Транзакції'!$C$5:$C$3623,"&lt;"&amp;EDATE(DATEVALUE(C344&amp;"-01"),3))&gt;0,1,0)</f>
        <v>1</v>
      </c>
      <c r="J344" s="37">
        <f>IF(COUNTIFS('📋 Транзакції'!$B$5:$B$3623,A344,'📋 Транзакції'!$C$5:$C$3623,"&gt;="&amp;EDATE(DATEVALUE(C344&amp;"-01"),3),'📋 Транзакції'!$C$5:$C$3623,"&lt;"&amp;EDATE(DATEVALUE(C344&amp;"-01"),4))&gt;0,1,0)</f>
        <v>1</v>
      </c>
      <c r="K344" s="37">
        <f>IF(COUNTIFS('📋 Транзакції'!$B$5:$B$3623,A344,'📋 Транзакції'!$C$5:$C$3623,"&gt;="&amp;EDATE(DATEVALUE(C344&amp;"-01"),4),'📋 Транзакції'!$C$5:$C$3623,"&lt;"&amp;EDATE(DATEVALUE(C344&amp;"-01"),5))&gt;0,1,0)</f>
        <v>1</v>
      </c>
      <c r="L344" s="37">
        <f>IF(COUNTIFS('📋 Транзакції'!$B$5:$B$3623,A344,'📋 Транзакції'!$C$5:$C$3623,"&gt;="&amp;EDATE(DATEVALUE(C344&amp;"-01"),5),'📋 Транзакції'!$C$5:$C$3623,"&lt;"&amp;EDATE(DATEVALUE(C344&amp;"-01"),6))&gt;0,1,0)</f>
        <v>1</v>
      </c>
      <c r="M344" s="37">
        <f>IF(COUNTIFS('📋 Транзакції'!$B$5:$B$3623,A344,'📋 Транзакції'!$C$5:$C$3623,"&gt;="&amp;EDATE(DATEVALUE(C344&amp;"-01"),6),'📋 Транзакції'!$C$5:$C$3623,"&lt;"&amp;EDATE(DATEVALUE(C344&amp;"-01"),7))&gt;0,1,0)</f>
        <v>0</v>
      </c>
      <c r="N344" s="37">
        <f>IF(COUNTIFS('📋 Транзакції'!$B$5:$B$3623,A344,'📋 Транзакції'!$C$5:$C$3623,"&gt;="&amp;EDATE(DATEVALUE(C344&amp;"-01"),7),'📋 Транзакції'!$C$5:$C$3623,"&lt;"&amp;EDATE(DATEVALUE(C344&amp;"-01"),8))&gt;0,1,0)</f>
        <v>0</v>
      </c>
      <c r="O344" s="37">
        <f>IF(COUNTIFS('📋 Транзакції'!$B$5:$B$3623,A344,'📋 Транзакції'!$C$5:$C$3623,"&gt;="&amp;EDATE(DATEVALUE(C344&amp;"-01"),8),'📋 Транзакції'!$C$5:$C$3623,"&lt;"&amp;EDATE(DATEVALUE(C344&amp;"-01"),9))&gt;0,1,0)</f>
        <v>0</v>
      </c>
      <c r="P344" s="37">
        <f>IF(COUNTIFS('📋 Транзакції'!$B$5:$B$3623,A344,'📋 Транзакції'!$C$5:$C$3623,"&gt;="&amp;EDATE(DATEVALUE(C344&amp;"-01"),9),'📋 Транзакції'!$C$5:$C$3623,"&lt;"&amp;EDATE(DATEVALUE(C344&amp;"-01"),10))&gt;0,1,0)</f>
        <v>0</v>
      </c>
      <c r="Q344" s="37">
        <f>IF(COUNTIFS('📋 Транзакції'!$B$5:$B$3623,A344,'📋 Транзакції'!$C$5:$C$3623,"&gt;="&amp;EDATE(DATEVALUE(C344&amp;"-01"),10),'📋 Транзакції'!$C$5:$C$3623,"&lt;"&amp;EDATE(DATEVALUE(C344&amp;"-01"),11))&gt;0,1,0)</f>
        <v>0</v>
      </c>
      <c r="R344" s="37">
        <f>IF(COUNTIFS('📋 Транзакції'!$B$5:$B$3623,A344,'📋 Транзакції'!$C$5:$C$3623,"&gt;="&amp;EDATE(DATEVALUE(C344&amp;"-01"),11),'📋 Транзакції'!$C$5:$C$3623,"&lt;"&amp;EDATE(DATEVALUE(C344&amp;"-01"),12))&gt;0,1,0)</f>
        <v>0</v>
      </c>
      <c r="S344" s="37">
        <f>SUMIFS('📋 Транзакції'!$F$5:$F$3623,'📋 Транзакції'!$B$5:$B$3623,A344,'📋 Транзакції'!$C$5:$C$3623,"&gt;="&amp;EDATE(DATEVALUE(C344&amp;"-01"),0),'📋 Транзакції'!$C$5:$C$3623,"&lt;"&amp;EDATE(DATEVALUE(C344&amp;"-01"),1))</f>
        <v>19.99</v>
      </c>
      <c r="T344" s="37">
        <f>SUMIFS('📋 Транзакції'!$F$5:$F$3623,'📋 Транзакції'!$B$5:$B$3623,A344,'📋 Транзакції'!$C$5:$C$3623,"&gt;="&amp;EDATE(DATEVALUE(C344&amp;"-01"),1),'📋 Транзакції'!$C$5:$C$3623,"&lt;"&amp;EDATE(DATEVALUE(C344&amp;"-01"),2))</f>
        <v>19.99</v>
      </c>
      <c r="U344" s="37">
        <f>SUMIFS('📋 Транзакції'!$F$5:$F$3623,'📋 Транзакції'!$B$5:$B$3623,A344,'📋 Транзакції'!$C$5:$C$3623,"&gt;="&amp;EDATE(DATEVALUE(C344&amp;"-01"),2),'📋 Транзакції'!$C$5:$C$3623,"&lt;"&amp;EDATE(DATEVALUE(C344&amp;"-01"),3))</f>
        <v>19.99</v>
      </c>
      <c r="V344" s="37">
        <f>SUMIFS('📋 Транзакції'!$F$5:$F$3623,'📋 Транзакції'!$B$5:$B$3623,A344,'📋 Транзакції'!$C$5:$C$3623,"&gt;="&amp;EDATE(DATEVALUE(C344&amp;"-01"),3),'📋 Транзакції'!$C$5:$C$3623,"&lt;"&amp;EDATE(DATEVALUE(C344&amp;"-01"),4))</f>
        <v>19.99</v>
      </c>
      <c r="W344" s="37">
        <f>SUMIFS('📋 Транзакції'!$F$5:$F$3623,'📋 Транзакції'!$B$5:$B$3623,A344,'📋 Транзакції'!$C$5:$C$3623,"&gt;="&amp;EDATE(DATEVALUE(C344&amp;"-01"),4),'📋 Транзакції'!$C$5:$C$3623,"&lt;"&amp;EDATE(DATEVALUE(C344&amp;"-01"),5))</f>
        <v>19.99</v>
      </c>
      <c r="X344" s="37">
        <f>SUMIFS('📋 Транзакції'!$F$5:$F$3623,'📋 Транзакції'!$B$5:$B$3623,A344,'📋 Транзакції'!$C$5:$C$3623,"&gt;="&amp;EDATE(DATEVALUE(C344&amp;"-01"),5),'📋 Транзакції'!$C$5:$C$3623,"&lt;"&amp;EDATE(DATEVALUE(C344&amp;"-01"),6))</f>
        <v>19.99</v>
      </c>
      <c r="Y344" s="37">
        <f>SUMIFS('📋 Транзакції'!$F$5:$F$3623,'📋 Транзакції'!$B$5:$B$3623,A344,'📋 Транзакції'!$C$5:$C$3623,"&gt;="&amp;EDATE(DATEVALUE(C344&amp;"-01"),6),'📋 Транзакції'!$C$5:$C$3623,"&lt;"&amp;EDATE(DATEVALUE(C344&amp;"-01"),7))</f>
        <v>0</v>
      </c>
      <c r="Z344" s="37">
        <f>SUMIFS('📋 Транзакції'!$F$5:$F$3623,'📋 Транзакції'!$B$5:$B$3623,A344,'📋 Транзакції'!$C$5:$C$3623,"&gt;="&amp;EDATE(DATEVALUE(C344&amp;"-01"),7),'📋 Транзакції'!$C$5:$C$3623,"&lt;"&amp;EDATE(DATEVALUE(C344&amp;"-01"),8))</f>
        <v>0</v>
      </c>
      <c r="AA344" s="37">
        <f>SUMIFS('📋 Транзакції'!$F$5:$F$3623,'📋 Транзакції'!$B$5:$B$3623,A344,'📋 Транзакції'!$C$5:$C$3623,"&gt;="&amp;EDATE(DATEVALUE(C344&amp;"-01"),8),'📋 Транзакції'!$C$5:$C$3623,"&lt;"&amp;EDATE(DATEVALUE(C344&amp;"-01"),9))</f>
        <v>0</v>
      </c>
      <c r="AB344" s="37">
        <f>SUMIFS('📋 Транзакції'!$F$5:$F$3623,'📋 Транзакції'!$B$5:$B$3623,A344,'📋 Транзакції'!$C$5:$C$3623,"&gt;="&amp;EDATE(DATEVALUE(C344&amp;"-01"),9),'📋 Транзакції'!$C$5:$C$3623,"&lt;"&amp;EDATE(DATEVALUE(C344&amp;"-01"),10))</f>
        <v>0</v>
      </c>
      <c r="AC344" s="37">
        <f>SUMIFS('📋 Транзакції'!$F$5:$F$3623,'📋 Транзакції'!$B$5:$B$3623,A344,'📋 Транзакції'!$C$5:$C$3623,"&gt;="&amp;EDATE(DATEVALUE(C344&amp;"-01"),10),'📋 Транзакції'!$C$5:$C$3623,"&lt;"&amp;EDATE(DATEVALUE(C344&amp;"-01"),11))</f>
        <v>0</v>
      </c>
      <c r="AD344" s="37">
        <f>SUMIFS('📋 Транзакції'!$F$5:$F$3623,'📋 Транзакції'!$B$5:$B$3623,A344,'📋 Транзакції'!$C$5:$C$3623,"&gt;="&amp;EDATE(DATEVALUE(C344&amp;"-01"),11),'📋 Транзакції'!$C$5:$C$3623,"&lt;"&amp;EDATE(DATEVALUE(C344&amp;"-01"),12))</f>
        <v>0</v>
      </c>
    </row>
    <row r="345" ht="15.75" customHeight="1">
      <c r="A345" s="33" t="str">
        <f>'📋 Реєстрації'!A345:A946</f>
        <v>U0637</v>
      </c>
      <c r="B345" s="34">
        <f t="array" ref="B345">INDEX('📋 Транзакції'!$C$5:$C$3623,MATCH(A345,'📋 Транзакції'!$B$5:$B$3623,0))</f>
        <v>45588</v>
      </c>
      <c r="C345" s="35" t="str">
        <f t="shared" si="1"/>
        <v>2024-10</v>
      </c>
      <c r="D345" s="36">
        <f>COUNTIF('📋 Транзакції'!$B$5:$B$3623,A345)</f>
        <v>7</v>
      </c>
      <c r="E345" s="36">
        <f>SUMIF('📋 Транзакції'!$B$5:$B$3623,A345,'📋 Транзакції'!$F$5:$F$3623)</f>
        <v>119.94</v>
      </c>
      <c r="F345" s="35">
        <f>INT($A$1-MAXIFS('📋 Транзакції'!$C$5:$C$3623,'📋 Транзакції'!$B$5:$B$3623,A345))</f>
        <v>2</v>
      </c>
      <c r="G345" s="37">
        <f>IF(COUNTIFS('📋 Транзакції'!$B$5:$B$3623,A345,'📋 Транзакції'!$C$5:$C$3623,"&gt;="&amp;EDATE(DATEVALUE(C345&amp;"-01"),0),'📋 Транзакції'!$C$5:$C$3623,"&lt;"&amp;EDATE(DATEVALUE(C345&amp;"-01"),1))&gt;0,1,0)</f>
        <v>1</v>
      </c>
      <c r="H345" s="37">
        <f>IF(COUNTIFS('📋 Транзакції'!$B$5:$B$3623,A345,'📋 Транзакції'!$C$5:$C$3623,"&gt;="&amp;EDATE(DATEVALUE(C345&amp;"-01"),1),'📋 Транзакції'!$C$5:$C$3623,"&lt;"&amp;EDATE(DATEVALUE(C345&amp;"-01"),2))&gt;0,1,0)</f>
        <v>1</v>
      </c>
      <c r="I345" s="37">
        <f>IF(COUNTIFS('📋 Транзакції'!$B$5:$B$3623,A345,'📋 Транзакції'!$C$5:$C$3623,"&gt;="&amp;EDATE(DATEVALUE(C345&amp;"-01"),2),'📋 Транзакції'!$C$5:$C$3623,"&lt;"&amp;EDATE(DATEVALUE(C345&amp;"-01"),3))&gt;0,1,0)</f>
        <v>1</v>
      </c>
      <c r="J345" s="37">
        <f>IF(COUNTIFS('📋 Транзакції'!$B$5:$B$3623,A345,'📋 Транзакції'!$C$5:$C$3623,"&gt;="&amp;EDATE(DATEVALUE(C345&amp;"-01"),3),'📋 Транзакції'!$C$5:$C$3623,"&lt;"&amp;EDATE(DATEVALUE(C345&amp;"-01"),4))&gt;0,1,0)</f>
        <v>1</v>
      </c>
      <c r="K345" s="37">
        <f>IF(COUNTIFS('📋 Транзакції'!$B$5:$B$3623,A345,'📋 Транзакції'!$C$5:$C$3623,"&gt;="&amp;EDATE(DATEVALUE(C345&amp;"-01"),4),'📋 Транзакції'!$C$5:$C$3623,"&lt;"&amp;EDATE(DATEVALUE(C345&amp;"-01"),5))&gt;0,1,0)</f>
        <v>1</v>
      </c>
      <c r="L345" s="37">
        <f>IF(COUNTIFS('📋 Транзакції'!$B$5:$B$3623,A345,'📋 Транзакції'!$C$5:$C$3623,"&gt;="&amp;EDATE(DATEVALUE(C345&amp;"-01"),5),'📋 Транзакції'!$C$5:$C$3623,"&lt;"&amp;EDATE(DATEVALUE(C345&amp;"-01"),6))&gt;0,1,0)</f>
        <v>1</v>
      </c>
      <c r="M345" s="37">
        <f>IF(COUNTIFS('📋 Транзакції'!$B$5:$B$3623,A345,'📋 Транзакції'!$C$5:$C$3623,"&gt;="&amp;EDATE(DATEVALUE(C345&amp;"-01"),6),'📋 Транзакції'!$C$5:$C$3623,"&lt;"&amp;EDATE(DATEVALUE(C345&amp;"-01"),7))&gt;0,1,0)</f>
        <v>0</v>
      </c>
      <c r="N345" s="37">
        <f>IF(COUNTIFS('📋 Транзакції'!$B$5:$B$3623,A345,'📋 Транзакції'!$C$5:$C$3623,"&gt;="&amp;EDATE(DATEVALUE(C345&amp;"-01"),7),'📋 Транзакції'!$C$5:$C$3623,"&lt;"&amp;EDATE(DATEVALUE(C345&amp;"-01"),8))&gt;0,1,0)</f>
        <v>0</v>
      </c>
      <c r="O345" s="37">
        <f>IF(COUNTIFS('📋 Транзакції'!$B$5:$B$3623,A345,'📋 Транзакції'!$C$5:$C$3623,"&gt;="&amp;EDATE(DATEVALUE(C345&amp;"-01"),8),'📋 Транзакції'!$C$5:$C$3623,"&lt;"&amp;EDATE(DATEVALUE(C345&amp;"-01"),9))&gt;0,1,0)</f>
        <v>0</v>
      </c>
      <c r="P345" s="37">
        <f>IF(COUNTIFS('📋 Транзакції'!$B$5:$B$3623,A345,'📋 Транзакції'!$C$5:$C$3623,"&gt;="&amp;EDATE(DATEVALUE(C345&amp;"-01"),9),'📋 Транзакції'!$C$5:$C$3623,"&lt;"&amp;EDATE(DATEVALUE(C345&amp;"-01"),10))&gt;0,1,0)</f>
        <v>0</v>
      </c>
      <c r="Q345" s="37">
        <f>IF(COUNTIFS('📋 Транзакції'!$B$5:$B$3623,A345,'📋 Транзакції'!$C$5:$C$3623,"&gt;="&amp;EDATE(DATEVALUE(C345&amp;"-01"),10),'📋 Транзакції'!$C$5:$C$3623,"&lt;"&amp;EDATE(DATEVALUE(C345&amp;"-01"),11))&gt;0,1,0)</f>
        <v>0</v>
      </c>
      <c r="R345" s="37">
        <f>IF(COUNTIFS('📋 Транзакції'!$B$5:$B$3623,A345,'📋 Транзакції'!$C$5:$C$3623,"&gt;="&amp;EDATE(DATEVALUE(C345&amp;"-01"),11),'📋 Транзакції'!$C$5:$C$3623,"&lt;"&amp;EDATE(DATEVALUE(C345&amp;"-01"),12))&gt;0,1,0)</f>
        <v>0</v>
      </c>
      <c r="S345" s="37">
        <f>SUMIFS('📋 Транзакції'!$F$5:$F$3623,'📋 Транзакції'!$B$5:$B$3623,A345,'📋 Транзакції'!$C$5:$C$3623,"&gt;="&amp;EDATE(DATEVALUE(C345&amp;"-01"),0),'📋 Транзакції'!$C$5:$C$3623,"&lt;"&amp;EDATE(DATEVALUE(C345&amp;"-01"),1))</f>
        <v>19.99</v>
      </c>
      <c r="T345" s="37">
        <f>SUMIFS('📋 Транзакції'!$F$5:$F$3623,'📋 Транзакції'!$B$5:$B$3623,A345,'📋 Транзакції'!$C$5:$C$3623,"&gt;="&amp;EDATE(DATEVALUE(C345&amp;"-01"),1),'📋 Транзакції'!$C$5:$C$3623,"&lt;"&amp;EDATE(DATEVALUE(C345&amp;"-01"),2))</f>
        <v>19.99</v>
      </c>
      <c r="U345" s="37">
        <f>SUMIFS('📋 Транзакції'!$F$5:$F$3623,'📋 Транзакції'!$B$5:$B$3623,A345,'📋 Транзакції'!$C$5:$C$3623,"&gt;="&amp;EDATE(DATEVALUE(C345&amp;"-01"),2),'📋 Транзакції'!$C$5:$C$3623,"&lt;"&amp;EDATE(DATEVALUE(C345&amp;"-01"),3))</f>
        <v>19.99</v>
      </c>
      <c r="V345" s="37">
        <f>SUMIFS('📋 Транзакції'!$F$5:$F$3623,'📋 Транзакції'!$B$5:$B$3623,A345,'📋 Транзакції'!$C$5:$C$3623,"&gt;="&amp;EDATE(DATEVALUE(C345&amp;"-01"),3),'📋 Транзакції'!$C$5:$C$3623,"&lt;"&amp;EDATE(DATEVALUE(C345&amp;"-01"),4))</f>
        <v>19.99</v>
      </c>
      <c r="W345" s="37">
        <f>SUMIFS('📋 Транзакції'!$F$5:$F$3623,'📋 Транзакції'!$B$5:$B$3623,A345,'📋 Транзакції'!$C$5:$C$3623,"&gt;="&amp;EDATE(DATEVALUE(C345&amp;"-01"),4),'📋 Транзакції'!$C$5:$C$3623,"&lt;"&amp;EDATE(DATEVALUE(C345&amp;"-01"),5))</f>
        <v>19.99</v>
      </c>
      <c r="X345" s="37">
        <f>SUMIFS('📋 Транзакції'!$F$5:$F$3623,'📋 Транзакції'!$B$5:$B$3623,A345,'📋 Транзакції'!$C$5:$C$3623,"&gt;="&amp;EDATE(DATEVALUE(C345&amp;"-01"),5),'📋 Транзакції'!$C$5:$C$3623,"&lt;"&amp;EDATE(DATEVALUE(C345&amp;"-01"),6))</f>
        <v>19.99</v>
      </c>
      <c r="Y345" s="37">
        <f>SUMIFS('📋 Транзакції'!$F$5:$F$3623,'📋 Транзакції'!$B$5:$B$3623,A345,'📋 Транзакції'!$C$5:$C$3623,"&gt;="&amp;EDATE(DATEVALUE(C345&amp;"-01"),6),'📋 Транзакції'!$C$5:$C$3623,"&lt;"&amp;EDATE(DATEVALUE(C345&amp;"-01"),7))</f>
        <v>0</v>
      </c>
      <c r="Z345" s="37">
        <f>SUMIFS('📋 Транзакції'!$F$5:$F$3623,'📋 Транзакції'!$B$5:$B$3623,A345,'📋 Транзакції'!$C$5:$C$3623,"&gt;="&amp;EDATE(DATEVALUE(C345&amp;"-01"),7),'📋 Транзакції'!$C$5:$C$3623,"&lt;"&amp;EDATE(DATEVALUE(C345&amp;"-01"),8))</f>
        <v>0</v>
      </c>
      <c r="AA345" s="37">
        <f>SUMIFS('📋 Транзакції'!$F$5:$F$3623,'📋 Транзакції'!$B$5:$B$3623,A345,'📋 Транзакції'!$C$5:$C$3623,"&gt;="&amp;EDATE(DATEVALUE(C345&amp;"-01"),8),'📋 Транзакції'!$C$5:$C$3623,"&lt;"&amp;EDATE(DATEVALUE(C345&amp;"-01"),9))</f>
        <v>0</v>
      </c>
      <c r="AB345" s="37">
        <f>SUMIFS('📋 Транзакції'!$F$5:$F$3623,'📋 Транзакції'!$B$5:$B$3623,A345,'📋 Транзакції'!$C$5:$C$3623,"&gt;="&amp;EDATE(DATEVALUE(C345&amp;"-01"),9),'📋 Транзакції'!$C$5:$C$3623,"&lt;"&amp;EDATE(DATEVALUE(C345&amp;"-01"),10))</f>
        <v>0</v>
      </c>
      <c r="AC345" s="37">
        <f>SUMIFS('📋 Транзакції'!$F$5:$F$3623,'📋 Транзакції'!$B$5:$B$3623,A345,'📋 Транзакції'!$C$5:$C$3623,"&gt;="&amp;EDATE(DATEVALUE(C345&amp;"-01"),10),'📋 Транзакції'!$C$5:$C$3623,"&lt;"&amp;EDATE(DATEVALUE(C345&amp;"-01"),11))</f>
        <v>0</v>
      </c>
      <c r="AD345" s="37">
        <f>SUMIFS('📋 Транзакції'!$F$5:$F$3623,'📋 Транзакції'!$B$5:$B$3623,A345,'📋 Транзакції'!$C$5:$C$3623,"&gt;="&amp;EDATE(DATEVALUE(C345&amp;"-01"),11),'📋 Транзакції'!$C$5:$C$3623,"&lt;"&amp;EDATE(DATEVALUE(C345&amp;"-01"),12))</f>
        <v>0</v>
      </c>
    </row>
    <row r="346" ht="15.75" customHeight="1">
      <c r="A346" s="33" t="str">
        <f>'📋 Реєстрації'!A346:A947</f>
        <v>U0137</v>
      </c>
      <c r="B346" s="34">
        <f t="array" ref="B346">INDEX('📋 Транзакції'!$C$5:$C$3623,MATCH(A346,'📋 Транзакції'!$B$5:$B$3623,0))</f>
        <v>45589</v>
      </c>
      <c r="C346" s="35" t="str">
        <f t="shared" si="1"/>
        <v>2024-10</v>
      </c>
      <c r="D346" s="36">
        <f>COUNTIF('📋 Транзакції'!$B$5:$B$3623,A346)</f>
        <v>3</v>
      </c>
      <c r="E346" s="36">
        <f>SUMIF('📋 Транзакції'!$B$5:$B$3623,A346,'📋 Транзакції'!$F$5:$F$3623)</f>
        <v>39.98</v>
      </c>
      <c r="F346" s="35">
        <f>INT($A$1-MAXIFS('📋 Транзакції'!$C$5:$C$3623,'📋 Транзакції'!$B$5:$B$3623,A346))</f>
        <v>121</v>
      </c>
      <c r="G346" s="37">
        <f>IF(COUNTIFS('📋 Транзакції'!$B$5:$B$3623,A346,'📋 Транзакції'!$C$5:$C$3623,"&gt;="&amp;EDATE(DATEVALUE(C346&amp;"-01"),0),'📋 Транзакції'!$C$5:$C$3623,"&lt;"&amp;EDATE(DATEVALUE(C346&amp;"-01"),1))&gt;0,1,0)</f>
        <v>1</v>
      </c>
      <c r="H346" s="37">
        <f>IF(COUNTIFS('📋 Транзакції'!$B$5:$B$3623,A346,'📋 Транзакції'!$C$5:$C$3623,"&gt;="&amp;EDATE(DATEVALUE(C346&amp;"-01"),1),'📋 Транзакції'!$C$5:$C$3623,"&lt;"&amp;EDATE(DATEVALUE(C346&amp;"-01"),2))&gt;0,1,0)</f>
        <v>1</v>
      </c>
      <c r="I346" s="37">
        <f>IF(COUNTIFS('📋 Транзакції'!$B$5:$B$3623,A346,'📋 Транзакції'!$C$5:$C$3623,"&gt;="&amp;EDATE(DATEVALUE(C346&amp;"-01"),2),'📋 Транзакції'!$C$5:$C$3623,"&lt;"&amp;EDATE(DATEVALUE(C346&amp;"-01"),3))&gt;0,1,0)</f>
        <v>0</v>
      </c>
      <c r="J346" s="37">
        <f>IF(COUNTIFS('📋 Транзакції'!$B$5:$B$3623,A346,'📋 Транзакції'!$C$5:$C$3623,"&gt;="&amp;EDATE(DATEVALUE(C346&amp;"-01"),3),'📋 Транзакції'!$C$5:$C$3623,"&lt;"&amp;EDATE(DATEVALUE(C346&amp;"-01"),4))&gt;0,1,0)</f>
        <v>0</v>
      </c>
      <c r="K346" s="37">
        <f>IF(COUNTIFS('📋 Транзакції'!$B$5:$B$3623,A346,'📋 Транзакції'!$C$5:$C$3623,"&gt;="&amp;EDATE(DATEVALUE(C346&amp;"-01"),4),'📋 Транзакції'!$C$5:$C$3623,"&lt;"&amp;EDATE(DATEVALUE(C346&amp;"-01"),5))&gt;0,1,0)</f>
        <v>0</v>
      </c>
      <c r="L346" s="37">
        <f>IF(COUNTIFS('📋 Транзакції'!$B$5:$B$3623,A346,'📋 Транзакції'!$C$5:$C$3623,"&gt;="&amp;EDATE(DATEVALUE(C346&amp;"-01"),5),'📋 Транзакції'!$C$5:$C$3623,"&lt;"&amp;EDATE(DATEVALUE(C346&amp;"-01"),6))&gt;0,1,0)</f>
        <v>0</v>
      </c>
      <c r="M346" s="37">
        <f>IF(COUNTIFS('📋 Транзакції'!$B$5:$B$3623,A346,'📋 Транзакції'!$C$5:$C$3623,"&gt;="&amp;EDATE(DATEVALUE(C346&amp;"-01"),6),'📋 Транзакції'!$C$5:$C$3623,"&lt;"&amp;EDATE(DATEVALUE(C346&amp;"-01"),7))&gt;0,1,0)</f>
        <v>0</v>
      </c>
      <c r="N346" s="37">
        <f>IF(COUNTIFS('📋 Транзакції'!$B$5:$B$3623,A346,'📋 Транзакції'!$C$5:$C$3623,"&gt;="&amp;EDATE(DATEVALUE(C346&amp;"-01"),7),'📋 Транзакції'!$C$5:$C$3623,"&lt;"&amp;EDATE(DATEVALUE(C346&amp;"-01"),8))&gt;0,1,0)</f>
        <v>0</v>
      </c>
      <c r="O346" s="37">
        <f>IF(COUNTIFS('📋 Транзакції'!$B$5:$B$3623,A346,'📋 Транзакції'!$C$5:$C$3623,"&gt;="&amp;EDATE(DATEVALUE(C346&amp;"-01"),8),'📋 Транзакції'!$C$5:$C$3623,"&lt;"&amp;EDATE(DATEVALUE(C346&amp;"-01"),9))&gt;0,1,0)</f>
        <v>0</v>
      </c>
      <c r="P346" s="37">
        <f>IF(COUNTIFS('📋 Транзакції'!$B$5:$B$3623,A346,'📋 Транзакції'!$C$5:$C$3623,"&gt;="&amp;EDATE(DATEVALUE(C346&amp;"-01"),9),'📋 Транзакції'!$C$5:$C$3623,"&lt;"&amp;EDATE(DATEVALUE(C346&amp;"-01"),10))&gt;0,1,0)</f>
        <v>0</v>
      </c>
      <c r="Q346" s="37">
        <f>IF(COUNTIFS('📋 Транзакції'!$B$5:$B$3623,A346,'📋 Транзакції'!$C$5:$C$3623,"&gt;="&amp;EDATE(DATEVALUE(C346&amp;"-01"),10),'📋 Транзакції'!$C$5:$C$3623,"&lt;"&amp;EDATE(DATEVALUE(C346&amp;"-01"),11))&gt;0,1,0)</f>
        <v>0</v>
      </c>
      <c r="R346" s="37">
        <f>IF(COUNTIFS('📋 Транзакції'!$B$5:$B$3623,A346,'📋 Транзакції'!$C$5:$C$3623,"&gt;="&amp;EDATE(DATEVALUE(C346&amp;"-01"),11),'📋 Транзакції'!$C$5:$C$3623,"&lt;"&amp;EDATE(DATEVALUE(C346&amp;"-01"),12))&gt;0,1,0)</f>
        <v>0</v>
      </c>
      <c r="S346" s="37">
        <f>SUMIFS('📋 Транзакції'!$F$5:$F$3623,'📋 Транзакції'!$B$5:$B$3623,A346,'📋 Транзакції'!$C$5:$C$3623,"&gt;="&amp;EDATE(DATEVALUE(C346&amp;"-01"),0),'📋 Транзакції'!$C$5:$C$3623,"&lt;"&amp;EDATE(DATEVALUE(C346&amp;"-01"),1))</f>
        <v>19.99</v>
      </c>
      <c r="T346" s="37">
        <f>SUMIFS('📋 Транзакції'!$F$5:$F$3623,'📋 Транзакції'!$B$5:$B$3623,A346,'📋 Транзакції'!$C$5:$C$3623,"&gt;="&amp;EDATE(DATEVALUE(C346&amp;"-01"),1),'📋 Транзакції'!$C$5:$C$3623,"&lt;"&amp;EDATE(DATEVALUE(C346&amp;"-01"),2))</f>
        <v>19.99</v>
      </c>
      <c r="U346" s="37">
        <f>SUMIFS('📋 Транзакції'!$F$5:$F$3623,'📋 Транзакції'!$B$5:$B$3623,A346,'📋 Транзакції'!$C$5:$C$3623,"&gt;="&amp;EDATE(DATEVALUE(C346&amp;"-01"),2),'📋 Транзакції'!$C$5:$C$3623,"&lt;"&amp;EDATE(DATEVALUE(C346&amp;"-01"),3))</f>
        <v>0</v>
      </c>
      <c r="V346" s="37">
        <f>SUMIFS('📋 Транзакції'!$F$5:$F$3623,'📋 Транзакції'!$B$5:$B$3623,A346,'📋 Транзакції'!$C$5:$C$3623,"&gt;="&amp;EDATE(DATEVALUE(C346&amp;"-01"),3),'📋 Транзакції'!$C$5:$C$3623,"&lt;"&amp;EDATE(DATEVALUE(C346&amp;"-01"),4))</f>
        <v>0</v>
      </c>
      <c r="W346" s="37">
        <f>SUMIFS('📋 Транзакції'!$F$5:$F$3623,'📋 Транзакції'!$B$5:$B$3623,A346,'📋 Транзакції'!$C$5:$C$3623,"&gt;="&amp;EDATE(DATEVALUE(C346&amp;"-01"),4),'📋 Транзакції'!$C$5:$C$3623,"&lt;"&amp;EDATE(DATEVALUE(C346&amp;"-01"),5))</f>
        <v>0</v>
      </c>
      <c r="X346" s="37">
        <f>SUMIFS('📋 Транзакції'!$F$5:$F$3623,'📋 Транзакції'!$B$5:$B$3623,A346,'📋 Транзакції'!$C$5:$C$3623,"&gt;="&amp;EDATE(DATEVALUE(C346&amp;"-01"),5),'📋 Транзакції'!$C$5:$C$3623,"&lt;"&amp;EDATE(DATEVALUE(C346&amp;"-01"),6))</f>
        <v>0</v>
      </c>
      <c r="Y346" s="37">
        <f>SUMIFS('📋 Транзакції'!$F$5:$F$3623,'📋 Транзакції'!$B$5:$B$3623,A346,'📋 Транзакції'!$C$5:$C$3623,"&gt;="&amp;EDATE(DATEVALUE(C346&amp;"-01"),6),'📋 Транзакції'!$C$5:$C$3623,"&lt;"&amp;EDATE(DATEVALUE(C346&amp;"-01"),7))</f>
        <v>0</v>
      </c>
      <c r="Z346" s="37">
        <f>SUMIFS('📋 Транзакції'!$F$5:$F$3623,'📋 Транзакції'!$B$5:$B$3623,A346,'📋 Транзакції'!$C$5:$C$3623,"&gt;="&amp;EDATE(DATEVALUE(C346&amp;"-01"),7),'📋 Транзакції'!$C$5:$C$3623,"&lt;"&amp;EDATE(DATEVALUE(C346&amp;"-01"),8))</f>
        <v>0</v>
      </c>
      <c r="AA346" s="37">
        <f>SUMIFS('📋 Транзакції'!$F$5:$F$3623,'📋 Транзакції'!$B$5:$B$3623,A346,'📋 Транзакції'!$C$5:$C$3623,"&gt;="&amp;EDATE(DATEVALUE(C346&amp;"-01"),8),'📋 Транзакції'!$C$5:$C$3623,"&lt;"&amp;EDATE(DATEVALUE(C346&amp;"-01"),9))</f>
        <v>0</v>
      </c>
      <c r="AB346" s="37">
        <f>SUMIFS('📋 Транзакції'!$F$5:$F$3623,'📋 Транзакції'!$B$5:$B$3623,A346,'📋 Транзакції'!$C$5:$C$3623,"&gt;="&amp;EDATE(DATEVALUE(C346&amp;"-01"),9),'📋 Транзакції'!$C$5:$C$3623,"&lt;"&amp;EDATE(DATEVALUE(C346&amp;"-01"),10))</f>
        <v>0</v>
      </c>
      <c r="AC346" s="37">
        <f>SUMIFS('📋 Транзакції'!$F$5:$F$3623,'📋 Транзакції'!$B$5:$B$3623,A346,'📋 Транзакції'!$C$5:$C$3623,"&gt;="&amp;EDATE(DATEVALUE(C346&amp;"-01"),10),'📋 Транзакції'!$C$5:$C$3623,"&lt;"&amp;EDATE(DATEVALUE(C346&amp;"-01"),11))</f>
        <v>0</v>
      </c>
      <c r="AD346" s="37">
        <f>SUMIFS('📋 Транзакції'!$F$5:$F$3623,'📋 Транзакції'!$B$5:$B$3623,A346,'📋 Транзакції'!$C$5:$C$3623,"&gt;="&amp;EDATE(DATEVALUE(C346&amp;"-01"),11),'📋 Транзакції'!$C$5:$C$3623,"&lt;"&amp;EDATE(DATEVALUE(C346&amp;"-01"),12))</f>
        <v>0</v>
      </c>
    </row>
    <row r="347" ht="15.75" customHeight="1">
      <c r="A347" s="33" t="str">
        <f>'📋 Реєстрації'!A347:A948</f>
        <v>U0475</v>
      </c>
      <c r="B347" s="34">
        <f t="array" ref="B347">INDEX('📋 Транзакції'!$C$5:$C$3623,MATCH(A347,'📋 Транзакції'!$B$5:$B$3623,0))</f>
        <v>45589</v>
      </c>
      <c r="C347" s="35" t="str">
        <f t="shared" si="1"/>
        <v>2024-10</v>
      </c>
      <c r="D347" s="36">
        <f>COUNTIF('📋 Транзакції'!$B$5:$B$3623,A347)</f>
        <v>7</v>
      </c>
      <c r="E347" s="36">
        <f>SUMIF('📋 Транзакції'!$B$5:$B$3623,A347,'📋 Транзакції'!$F$5:$F$3623)</f>
        <v>119.94</v>
      </c>
      <c r="F347" s="35">
        <f>INT($A$1-MAXIFS('📋 Транзакції'!$C$5:$C$3623,'📋 Транзакції'!$B$5:$B$3623,A347))</f>
        <v>1</v>
      </c>
      <c r="G347" s="37">
        <f>IF(COUNTIFS('📋 Транзакції'!$B$5:$B$3623,A347,'📋 Транзакції'!$C$5:$C$3623,"&gt;="&amp;EDATE(DATEVALUE(C347&amp;"-01"),0),'📋 Транзакції'!$C$5:$C$3623,"&lt;"&amp;EDATE(DATEVALUE(C347&amp;"-01"),1))&gt;0,1,0)</f>
        <v>1</v>
      </c>
      <c r="H347" s="37">
        <f>IF(COUNTIFS('📋 Транзакції'!$B$5:$B$3623,A347,'📋 Транзакції'!$C$5:$C$3623,"&gt;="&amp;EDATE(DATEVALUE(C347&amp;"-01"),1),'📋 Транзакції'!$C$5:$C$3623,"&lt;"&amp;EDATE(DATEVALUE(C347&amp;"-01"),2))&gt;0,1,0)</f>
        <v>1</v>
      </c>
      <c r="I347" s="37">
        <f>IF(COUNTIFS('📋 Транзакції'!$B$5:$B$3623,A347,'📋 Транзакції'!$C$5:$C$3623,"&gt;="&amp;EDATE(DATEVALUE(C347&amp;"-01"),2),'📋 Транзакції'!$C$5:$C$3623,"&lt;"&amp;EDATE(DATEVALUE(C347&amp;"-01"),3))&gt;0,1,0)</f>
        <v>1</v>
      </c>
      <c r="J347" s="37">
        <f>IF(COUNTIFS('📋 Транзакції'!$B$5:$B$3623,A347,'📋 Транзакції'!$C$5:$C$3623,"&gt;="&amp;EDATE(DATEVALUE(C347&amp;"-01"),3),'📋 Транзакції'!$C$5:$C$3623,"&lt;"&amp;EDATE(DATEVALUE(C347&amp;"-01"),4))&gt;0,1,0)</f>
        <v>1</v>
      </c>
      <c r="K347" s="37">
        <f>IF(COUNTIFS('📋 Транзакції'!$B$5:$B$3623,A347,'📋 Транзакції'!$C$5:$C$3623,"&gt;="&amp;EDATE(DATEVALUE(C347&amp;"-01"),4),'📋 Транзакції'!$C$5:$C$3623,"&lt;"&amp;EDATE(DATEVALUE(C347&amp;"-01"),5))&gt;0,1,0)</f>
        <v>1</v>
      </c>
      <c r="L347" s="37">
        <f>IF(COUNTIFS('📋 Транзакції'!$B$5:$B$3623,A347,'📋 Транзакції'!$C$5:$C$3623,"&gt;="&amp;EDATE(DATEVALUE(C347&amp;"-01"),5),'📋 Транзакції'!$C$5:$C$3623,"&lt;"&amp;EDATE(DATEVALUE(C347&amp;"-01"),6))&gt;0,1,0)</f>
        <v>1</v>
      </c>
      <c r="M347" s="37">
        <f>IF(COUNTIFS('📋 Транзакції'!$B$5:$B$3623,A347,'📋 Транзакції'!$C$5:$C$3623,"&gt;="&amp;EDATE(DATEVALUE(C347&amp;"-01"),6),'📋 Транзакції'!$C$5:$C$3623,"&lt;"&amp;EDATE(DATEVALUE(C347&amp;"-01"),7))&gt;0,1,0)</f>
        <v>0</v>
      </c>
      <c r="N347" s="37">
        <f>IF(COUNTIFS('📋 Транзакції'!$B$5:$B$3623,A347,'📋 Транзакції'!$C$5:$C$3623,"&gt;="&amp;EDATE(DATEVALUE(C347&amp;"-01"),7),'📋 Транзакції'!$C$5:$C$3623,"&lt;"&amp;EDATE(DATEVALUE(C347&amp;"-01"),8))&gt;0,1,0)</f>
        <v>0</v>
      </c>
      <c r="O347" s="37">
        <f>IF(COUNTIFS('📋 Транзакції'!$B$5:$B$3623,A347,'📋 Транзакції'!$C$5:$C$3623,"&gt;="&amp;EDATE(DATEVALUE(C347&amp;"-01"),8),'📋 Транзакції'!$C$5:$C$3623,"&lt;"&amp;EDATE(DATEVALUE(C347&amp;"-01"),9))&gt;0,1,0)</f>
        <v>0</v>
      </c>
      <c r="P347" s="37">
        <f>IF(COUNTIFS('📋 Транзакції'!$B$5:$B$3623,A347,'📋 Транзакції'!$C$5:$C$3623,"&gt;="&amp;EDATE(DATEVALUE(C347&amp;"-01"),9),'📋 Транзакції'!$C$5:$C$3623,"&lt;"&amp;EDATE(DATEVALUE(C347&amp;"-01"),10))&gt;0,1,0)</f>
        <v>0</v>
      </c>
      <c r="Q347" s="37">
        <f>IF(COUNTIFS('📋 Транзакції'!$B$5:$B$3623,A347,'📋 Транзакції'!$C$5:$C$3623,"&gt;="&amp;EDATE(DATEVALUE(C347&amp;"-01"),10),'📋 Транзакції'!$C$5:$C$3623,"&lt;"&amp;EDATE(DATEVALUE(C347&amp;"-01"),11))&gt;0,1,0)</f>
        <v>0</v>
      </c>
      <c r="R347" s="37">
        <f>IF(COUNTIFS('📋 Транзакції'!$B$5:$B$3623,A347,'📋 Транзакції'!$C$5:$C$3623,"&gt;="&amp;EDATE(DATEVALUE(C347&amp;"-01"),11),'📋 Транзакції'!$C$5:$C$3623,"&lt;"&amp;EDATE(DATEVALUE(C347&amp;"-01"),12))&gt;0,1,0)</f>
        <v>0</v>
      </c>
      <c r="S347" s="37">
        <f>SUMIFS('📋 Транзакції'!$F$5:$F$3623,'📋 Транзакції'!$B$5:$B$3623,A347,'📋 Транзакції'!$C$5:$C$3623,"&gt;="&amp;EDATE(DATEVALUE(C347&amp;"-01"),0),'📋 Транзакції'!$C$5:$C$3623,"&lt;"&amp;EDATE(DATEVALUE(C347&amp;"-01"),1))</f>
        <v>19.99</v>
      </c>
      <c r="T347" s="37">
        <f>SUMIFS('📋 Транзакції'!$F$5:$F$3623,'📋 Транзакції'!$B$5:$B$3623,A347,'📋 Транзакції'!$C$5:$C$3623,"&gt;="&amp;EDATE(DATEVALUE(C347&amp;"-01"),1),'📋 Транзакції'!$C$5:$C$3623,"&lt;"&amp;EDATE(DATEVALUE(C347&amp;"-01"),2))</f>
        <v>19.99</v>
      </c>
      <c r="U347" s="37">
        <f>SUMIFS('📋 Транзакції'!$F$5:$F$3623,'📋 Транзакції'!$B$5:$B$3623,A347,'📋 Транзакції'!$C$5:$C$3623,"&gt;="&amp;EDATE(DATEVALUE(C347&amp;"-01"),2),'📋 Транзакції'!$C$5:$C$3623,"&lt;"&amp;EDATE(DATEVALUE(C347&amp;"-01"),3))</f>
        <v>19.99</v>
      </c>
      <c r="V347" s="37">
        <f>SUMIFS('📋 Транзакції'!$F$5:$F$3623,'📋 Транзакції'!$B$5:$B$3623,A347,'📋 Транзакції'!$C$5:$C$3623,"&gt;="&amp;EDATE(DATEVALUE(C347&amp;"-01"),3),'📋 Транзакції'!$C$5:$C$3623,"&lt;"&amp;EDATE(DATEVALUE(C347&amp;"-01"),4))</f>
        <v>19.99</v>
      </c>
      <c r="W347" s="37">
        <f>SUMIFS('📋 Транзакції'!$F$5:$F$3623,'📋 Транзакції'!$B$5:$B$3623,A347,'📋 Транзакції'!$C$5:$C$3623,"&gt;="&amp;EDATE(DATEVALUE(C347&amp;"-01"),4),'📋 Транзакції'!$C$5:$C$3623,"&lt;"&amp;EDATE(DATEVALUE(C347&amp;"-01"),5))</f>
        <v>19.99</v>
      </c>
      <c r="X347" s="37">
        <f>SUMIFS('📋 Транзакції'!$F$5:$F$3623,'📋 Транзакції'!$B$5:$B$3623,A347,'📋 Транзакції'!$C$5:$C$3623,"&gt;="&amp;EDATE(DATEVALUE(C347&amp;"-01"),5),'📋 Транзакції'!$C$5:$C$3623,"&lt;"&amp;EDATE(DATEVALUE(C347&amp;"-01"),6))</f>
        <v>19.99</v>
      </c>
      <c r="Y347" s="37">
        <f>SUMIFS('📋 Транзакції'!$F$5:$F$3623,'📋 Транзакції'!$B$5:$B$3623,A347,'📋 Транзакції'!$C$5:$C$3623,"&gt;="&amp;EDATE(DATEVALUE(C347&amp;"-01"),6),'📋 Транзакції'!$C$5:$C$3623,"&lt;"&amp;EDATE(DATEVALUE(C347&amp;"-01"),7))</f>
        <v>0</v>
      </c>
      <c r="Z347" s="37">
        <f>SUMIFS('📋 Транзакції'!$F$5:$F$3623,'📋 Транзакції'!$B$5:$B$3623,A347,'📋 Транзакції'!$C$5:$C$3623,"&gt;="&amp;EDATE(DATEVALUE(C347&amp;"-01"),7),'📋 Транзакції'!$C$5:$C$3623,"&lt;"&amp;EDATE(DATEVALUE(C347&amp;"-01"),8))</f>
        <v>0</v>
      </c>
      <c r="AA347" s="37">
        <f>SUMIFS('📋 Транзакції'!$F$5:$F$3623,'📋 Транзакції'!$B$5:$B$3623,A347,'📋 Транзакції'!$C$5:$C$3623,"&gt;="&amp;EDATE(DATEVALUE(C347&amp;"-01"),8),'📋 Транзакції'!$C$5:$C$3623,"&lt;"&amp;EDATE(DATEVALUE(C347&amp;"-01"),9))</f>
        <v>0</v>
      </c>
      <c r="AB347" s="37">
        <f>SUMIFS('📋 Транзакції'!$F$5:$F$3623,'📋 Транзакції'!$B$5:$B$3623,A347,'📋 Транзакції'!$C$5:$C$3623,"&gt;="&amp;EDATE(DATEVALUE(C347&amp;"-01"),9),'📋 Транзакції'!$C$5:$C$3623,"&lt;"&amp;EDATE(DATEVALUE(C347&amp;"-01"),10))</f>
        <v>0</v>
      </c>
      <c r="AC347" s="37">
        <f>SUMIFS('📋 Транзакції'!$F$5:$F$3623,'📋 Транзакції'!$B$5:$B$3623,A347,'📋 Транзакції'!$C$5:$C$3623,"&gt;="&amp;EDATE(DATEVALUE(C347&amp;"-01"),10),'📋 Транзакції'!$C$5:$C$3623,"&lt;"&amp;EDATE(DATEVALUE(C347&amp;"-01"),11))</f>
        <v>0</v>
      </c>
      <c r="AD347" s="37">
        <f>SUMIFS('📋 Транзакції'!$F$5:$F$3623,'📋 Транзакції'!$B$5:$B$3623,A347,'📋 Транзакції'!$C$5:$C$3623,"&gt;="&amp;EDATE(DATEVALUE(C347&amp;"-01"),11),'📋 Транзакції'!$C$5:$C$3623,"&lt;"&amp;EDATE(DATEVALUE(C347&amp;"-01"),12))</f>
        <v>0</v>
      </c>
    </row>
    <row r="348" ht="15.75" customHeight="1">
      <c r="A348" s="33" t="str">
        <f>'📋 Реєстрації'!A348:A949</f>
        <v>U0609</v>
      </c>
      <c r="B348" s="34">
        <f t="array" ref="B348">INDEX('📋 Транзакції'!$C$5:$C$3623,MATCH(A348,'📋 Транзакції'!$B$5:$B$3623,0))</f>
        <v>45589</v>
      </c>
      <c r="C348" s="35" t="str">
        <f t="shared" si="1"/>
        <v>2024-10</v>
      </c>
      <c r="D348" s="36">
        <f>COUNTIF('📋 Транзакції'!$B$5:$B$3623,A348)</f>
        <v>7</v>
      </c>
      <c r="E348" s="36">
        <f>SUMIF('📋 Транзакції'!$B$5:$B$3623,A348,'📋 Транзакції'!$F$5:$F$3623)</f>
        <v>119.94</v>
      </c>
      <c r="F348" s="35">
        <f>INT($A$1-MAXIFS('📋 Транзакції'!$C$5:$C$3623,'📋 Транзакції'!$B$5:$B$3623,A348))</f>
        <v>1</v>
      </c>
      <c r="G348" s="37">
        <f>IF(COUNTIFS('📋 Транзакції'!$B$5:$B$3623,A348,'📋 Транзакції'!$C$5:$C$3623,"&gt;="&amp;EDATE(DATEVALUE(C348&amp;"-01"),0),'📋 Транзакції'!$C$5:$C$3623,"&lt;"&amp;EDATE(DATEVALUE(C348&amp;"-01"),1))&gt;0,1,0)</f>
        <v>1</v>
      </c>
      <c r="H348" s="37">
        <f>IF(COUNTIFS('📋 Транзакції'!$B$5:$B$3623,A348,'📋 Транзакції'!$C$5:$C$3623,"&gt;="&amp;EDATE(DATEVALUE(C348&amp;"-01"),1),'📋 Транзакції'!$C$5:$C$3623,"&lt;"&amp;EDATE(DATEVALUE(C348&amp;"-01"),2))&gt;0,1,0)</f>
        <v>1</v>
      </c>
      <c r="I348" s="37">
        <f>IF(COUNTIFS('📋 Транзакції'!$B$5:$B$3623,A348,'📋 Транзакції'!$C$5:$C$3623,"&gt;="&amp;EDATE(DATEVALUE(C348&amp;"-01"),2),'📋 Транзакції'!$C$5:$C$3623,"&lt;"&amp;EDATE(DATEVALUE(C348&amp;"-01"),3))&gt;0,1,0)</f>
        <v>1</v>
      </c>
      <c r="J348" s="37">
        <f>IF(COUNTIFS('📋 Транзакції'!$B$5:$B$3623,A348,'📋 Транзакції'!$C$5:$C$3623,"&gt;="&amp;EDATE(DATEVALUE(C348&amp;"-01"),3),'📋 Транзакції'!$C$5:$C$3623,"&lt;"&amp;EDATE(DATEVALUE(C348&amp;"-01"),4))&gt;0,1,0)</f>
        <v>1</v>
      </c>
      <c r="K348" s="37">
        <f>IF(COUNTIFS('📋 Транзакції'!$B$5:$B$3623,A348,'📋 Транзакції'!$C$5:$C$3623,"&gt;="&amp;EDATE(DATEVALUE(C348&amp;"-01"),4),'📋 Транзакції'!$C$5:$C$3623,"&lt;"&amp;EDATE(DATEVALUE(C348&amp;"-01"),5))&gt;0,1,0)</f>
        <v>1</v>
      </c>
      <c r="L348" s="37">
        <f>IF(COUNTIFS('📋 Транзакції'!$B$5:$B$3623,A348,'📋 Транзакції'!$C$5:$C$3623,"&gt;="&amp;EDATE(DATEVALUE(C348&amp;"-01"),5),'📋 Транзакції'!$C$5:$C$3623,"&lt;"&amp;EDATE(DATEVALUE(C348&amp;"-01"),6))&gt;0,1,0)</f>
        <v>1</v>
      </c>
      <c r="M348" s="37">
        <f>IF(COUNTIFS('📋 Транзакції'!$B$5:$B$3623,A348,'📋 Транзакції'!$C$5:$C$3623,"&gt;="&amp;EDATE(DATEVALUE(C348&amp;"-01"),6),'📋 Транзакції'!$C$5:$C$3623,"&lt;"&amp;EDATE(DATEVALUE(C348&amp;"-01"),7))&gt;0,1,0)</f>
        <v>0</v>
      </c>
      <c r="N348" s="37">
        <f>IF(COUNTIFS('📋 Транзакції'!$B$5:$B$3623,A348,'📋 Транзакції'!$C$5:$C$3623,"&gt;="&amp;EDATE(DATEVALUE(C348&amp;"-01"),7),'📋 Транзакції'!$C$5:$C$3623,"&lt;"&amp;EDATE(DATEVALUE(C348&amp;"-01"),8))&gt;0,1,0)</f>
        <v>0</v>
      </c>
      <c r="O348" s="37">
        <f>IF(COUNTIFS('📋 Транзакції'!$B$5:$B$3623,A348,'📋 Транзакції'!$C$5:$C$3623,"&gt;="&amp;EDATE(DATEVALUE(C348&amp;"-01"),8),'📋 Транзакції'!$C$5:$C$3623,"&lt;"&amp;EDATE(DATEVALUE(C348&amp;"-01"),9))&gt;0,1,0)</f>
        <v>0</v>
      </c>
      <c r="P348" s="37">
        <f>IF(COUNTIFS('📋 Транзакції'!$B$5:$B$3623,A348,'📋 Транзакції'!$C$5:$C$3623,"&gt;="&amp;EDATE(DATEVALUE(C348&amp;"-01"),9),'📋 Транзакції'!$C$5:$C$3623,"&lt;"&amp;EDATE(DATEVALUE(C348&amp;"-01"),10))&gt;0,1,0)</f>
        <v>0</v>
      </c>
      <c r="Q348" s="37">
        <f>IF(COUNTIFS('📋 Транзакції'!$B$5:$B$3623,A348,'📋 Транзакції'!$C$5:$C$3623,"&gt;="&amp;EDATE(DATEVALUE(C348&amp;"-01"),10),'📋 Транзакції'!$C$5:$C$3623,"&lt;"&amp;EDATE(DATEVALUE(C348&amp;"-01"),11))&gt;0,1,0)</f>
        <v>0</v>
      </c>
      <c r="R348" s="37">
        <f>IF(COUNTIFS('📋 Транзакції'!$B$5:$B$3623,A348,'📋 Транзакції'!$C$5:$C$3623,"&gt;="&amp;EDATE(DATEVALUE(C348&amp;"-01"),11),'📋 Транзакції'!$C$5:$C$3623,"&lt;"&amp;EDATE(DATEVALUE(C348&amp;"-01"),12))&gt;0,1,0)</f>
        <v>0</v>
      </c>
      <c r="S348" s="37">
        <f>SUMIFS('📋 Транзакції'!$F$5:$F$3623,'📋 Транзакції'!$B$5:$B$3623,A348,'📋 Транзакції'!$C$5:$C$3623,"&gt;="&amp;EDATE(DATEVALUE(C348&amp;"-01"),0),'📋 Транзакції'!$C$5:$C$3623,"&lt;"&amp;EDATE(DATEVALUE(C348&amp;"-01"),1))</f>
        <v>19.99</v>
      </c>
      <c r="T348" s="37">
        <f>SUMIFS('📋 Транзакції'!$F$5:$F$3623,'📋 Транзакції'!$B$5:$B$3623,A348,'📋 Транзакції'!$C$5:$C$3623,"&gt;="&amp;EDATE(DATEVALUE(C348&amp;"-01"),1),'📋 Транзакції'!$C$5:$C$3623,"&lt;"&amp;EDATE(DATEVALUE(C348&amp;"-01"),2))</f>
        <v>19.99</v>
      </c>
      <c r="U348" s="37">
        <f>SUMIFS('📋 Транзакції'!$F$5:$F$3623,'📋 Транзакції'!$B$5:$B$3623,A348,'📋 Транзакції'!$C$5:$C$3623,"&gt;="&amp;EDATE(DATEVALUE(C348&amp;"-01"),2),'📋 Транзакції'!$C$5:$C$3623,"&lt;"&amp;EDATE(DATEVALUE(C348&amp;"-01"),3))</f>
        <v>19.99</v>
      </c>
      <c r="V348" s="37">
        <f>SUMIFS('📋 Транзакції'!$F$5:$F$3623,'📋 Транзакції'!$B$5:$B$3623,A348,'📋 Транзакції'!$C$5:$C$3623,"&gt;="&amp;EDATE(DATEVALUE(C348&amp;"-01"),3),'📋 Транзакції'!$C$5:$C$3623,"&lt;"&amp;EDATE(DATEVALUE(C348&amp;"-01"),4))</f>
        <v>19.99</v>
      </c>
      <c r="W348" s="37">
        <f>SUMIFS('📋 Транзакції'!$F$5:$F$3623,'📋 Транзакції'!$B$5:$B$3623,A348,'📋 Транзакції'!$C$5:$C$3623,"&gt;="&amp;EDATE(DATEVALUE(C348&amp;"-01"),4),'📋 Транзакції'!$C$5:$C$3623,"&lt;"&amp;EDATE(DATEVALUE(C348&amp;"-01"),5))</f>
        <v>19.99</v>
      </c>
      <c r="X348" s="37">
        <f>SUMIFS('📋 Транзакції'!$F$5:$F$3623,'📋 Транзакції'!$B$5:$B$3623,A348,'📋 Транзакції'!$C$5:$C$3623,"&gt;="&amp;EDATE(DATEVALUE(C348&amp;"-01"),5),'📋 Транзакції'!$C$5:$C$3623,"&lt;"&amp;EDATE(DATEVALUE(C348&amp;"-01"),6))</f>
        <v>19.99</v>
      </c>
      <c r="Y348" s="37">
        <f>SUMIFS('📋 Транзакції'!$F$5:$F$3623,'📋 Транзакції'!$B$5:$B$3623,A348,'📋 Транзакції'!$C$5:$C$3623,"&gt;="&amp;EDATE(DATEVALUE(C348&amp;"-01"),6),'📋 Транзакції'!$C$5:$C$3623,"&lt;"&amp;EDATE(DATEVALUE(C348&amp;"-01"),7))</f>
        <v>0</v>
      </c>
      <c r="Z348" s="37">
        <f>SUMIFS('📋 Транзакції'!$F$5:$F$3623,'📋 Транзакції'!$B$5:$B$3623,A348,'📋 Транзакції'!$C$5:$C$3623,"&gt;="&amp;EDATE(DATEVALUE(C348&amp;"-01"),7),'📋 Транзакції'!$C$5:$C$3623,"&lt;"&amp;EDATE(DATEVALUE(C348&amp;"-01"),8))</f>
        <v>0</v>
      </c>
      <c r="AA348" s="37">
        <f>SUMIFS('📋 Транзакції'!$F$5:$F$3623,'📋 Транзакції'!$B$5:$B$3623,A348,'📋 Транзакції'!$C$5:$C$3623,"&gt;="&amp;EDATE(DATEVALUE(C348&amp;"-01"),8),'📋 Транзакції'!$C$5:$C$3623,"&lt;"&amp;EDATE(DATEVALUE(C348&amp;"-01"),9))</f>
        <v>0</v>
      </c>
      <c r="AB348" s="37">
        <f>SUMIFS('📋 Транзакції'!$F$5:$F$3623,'📋 Транзакції'!$B$5:$B$3623,A348,'📋 Транзакції'!$C$5:$C$3623,"&gt;="&amp;EDATE(DATEVALUE(C348&amp;"-01"),9),'📋 Транзакції'!$C$5:$C$3623,"&lt;"&amp;EDATE(DATEVALUE(C348&amp;"-01"),10))</f>
        <v>0</v>
      </c>
      <c r="AC348" s="37">
        <f>SUMIFS('📋 Транзакції'!$F$5:$F$3623,'📋 Транзакції'!$B$5:$B$3623,A348,'📋 Транзакції'!$C$5:$C$3623,"&gt;="&amp;EDATE(DATEVALUE(C348&amp;"-01"),10),'📋 Транзакції'!$C$5:$C$3623,"&lt;"&amp;EDATE(DATEVALUE(C348&amp;"-01"),11))</f>
        <v>0</v>
      </c>
      <c r="AD348" s="37">
        <f>SUMIFS('📋 Транзакції'!$F$5:$F$3623,'📋 Транзакції'!$B$5:$B$3623,A348,'📋 Транзакції'!$C$5:$C$3623,"&gt;="&amp;EDATE(DATEVALUE(C348&amp;"-01"),11),'📋 Транзакції'!$C$5:$C$3623,"&lt;"&amp;EDATE(DATEVALUE(C348&amp;"-01"),12))</f>
        <v>0</v>
      </c>
    </row>
    <row r="349" ht="15.75" customHeight="1">
      <c r="A349" s="33" t="str">
        <f>'📋 Реєстрації'!A349:A950</f>
        <v>U0173</v>
      </c>
      <c r="B349" s="34">
        <f t="array" ref="B349">INDEX('📋 Транзакції'!$C$5:$C$3623,MATCH(A349,'📋 Транзакції'!$B$5:$B$3623,0))</f>
        <v>45592</v>
      </c>
      <c r="C349" s="35" t="str">
        <f t="shared" si="1"/>
        <v>2024-10</v>
      </c>
      <c r="D349" s="36">
        <f>COUNTIF('📋 Транзакції'!$B$5:$B$3623,A349)</f>
        <v>6</v>
      </c>
      <c r="E349" s="36">
        <f>SUMIF('📋 Транзакції'!$B$5:$B$3623,A349,'📋 Транзакції'!$F$5:$F$3623)</f>
        <v>99.95</v>
      </c>
      <c r="F349" s="35">
        <f>INT($A$1-MAXIFS('📋 Транзакції'!$C$5:$C$3623,'📋 Транзакції'!$B$5:$B$3623,A349))</f>
        <v>28</v>
      </c>
      <c r="G349" s="37">
        <f>IF(COUNTIFS('📋 Транзакції'!$B$5:$B$3623,A349,'📋 Транзакції'!$C$5:$C$3623,"&gt;="&amp;EDATE(DATEVALUE(C349&amp;"-01"),0),'📋 Транзакції'!$C$5:$C$3623,"&lt;"&amp;EDATE(DATEVALUE(C349&amp;"-01"),1))&gt;0,1,0)</f>
        <v>1</v>
      </c>
      <c r="H349" s="37">
        <f>IF(COUNTIFS('📋 Транзакції'!$B$5:$B$3623,A349,'📋 Транзакції'!$C$5:$C$3623,"&gt;="&amp;EDATE(DATEVALUE(C349&amp;"-01"),1),'📋 Транзакції'!$C$5:$C$3623,"&lt;"&amp;EDATE(DATEVALUE(C349&amp;"-01"),2))&gt;0,1,0)</f>
        <v>1</v>
      </c>
      <c r="I349" s="37">
        <f>IF(COUNTIFS('📋 Транзакції'!$B$5:$B$3623,A349,'📋 Транзакції'!$C$5:$C$3623,"&gt;="&amp;EDATE(DATEVALUE(C349&amp;"-01"),2),'📋 Транзакції'!$C$5:$C$3623,"&lt;"&amp;EDATE(DATEVALUE(C349&amp;"-01"),3))&gt;0,1,0)</f>
        <v>1</v>
      </c>
      <c r="J349" s="37">
        <f>IF(COUNTIFS('📋 Транзакції'!$B$5:$B$3623,A349,'📋 Транзакції'!$C$5:$C$3623,"&gt;="&amp;EDATE(DATEVALUE(C349&amp;"-01"),3),'📋 Транзакції'!$C$5:$C$3623,"&lt;"&amp;EDATE(DATEVALUE(C349&amp;"-01"),4))&gt;0,1,0)</f>
        <v>1</v>
      </c>
      <c r="K349" s="37">
        <f>IF(COUNTIFS('📋 Транзакції'!$B$5:$B$3623,A349,'📋 Транзакції'!$C$5:$C$3623,"&gt;="&amp;EDATE(DATEVALUE(C349&amp;"-01"),4),'📋 Транзакції'!$C$5:$C$3623,"&lt;"&amp;EDATE(DATEVALUE(C349&amp;"-01"),5))&gt;0,1,0)</f>
        <v>1</v>
      </c>
      <c r="L349" s="37">
        <f>IF(COUNTIFS('📋 Транзакції'!$B$5:$B$3623,A349,'📋 Транзакції'!$C$5:$C$3623,"&gt;="&amp;EDATE(DATEVALUE(C349&amp;"-01"),5),'📋 Транзакції'!$C$5:$C$3623,"&lt;"&amp;EDATE(DATEVALUE(C349&amp;"-01"),6))&gt;0,1,0)</f>
        <v>1</v>
      </c>
      <c r="M349" s="37">
        <f>IF(COUNTIFS('📋 Транзакції'!$B$5:$B$3623,A349,'📋 Транзакції'!$C$5:$C$3623,"&gt;="&amp;EDATE(DATEVALUE(C349&amp;"-01"),6),'📋 Транзакції'!$C$5:$C$3623,"&lt;"&amp;EDATE(DATEVALUE(C349&amp;"-01"),7))&gt;0,1,0)</f>
        <v>0</v>
      </c>
      <c r="N349" s="37">
        <f>IF(COUNTIFS('📋 Транзакції'!$B$5:$B$3623,A349,'📋 Транзакції'!$C$5:$C$3623,"&gt;="&amp;EDATE(DATEVALUE(C349&amp;"-01"),7),'📋 Транзакції'!$C$5:$C$3623,"&lt;"&amp;EDATE(DATEVALUE(C349&amp;"-01"),8))&gt;0,1,0)</f>
        <v>0</v>
      </c>
      <c r="O349" s="37">
        <f>IF(COUNTIFS('📋 Транзакції'!$B$5:$B$3623,A349,'📋 Транзакції'!$C$5:$C$3623,"&gt;="&amp;EDATE(DATEVALUE(C349&amp;"-01"),8),'📋 Транзакції'!$C$5:$C$3623,"&lt;"&amp;EDATE(DATEVALUE(C349&amp;"-01"),9))&gt;0,1,0)</f>
        <v>0</v>
      </c>
      <c r="P349" s="37">
        <f>IF(COUNTIFS('📋 Транзакції'!$B$5:$B$3623,A349,'📋 Транзакції'!$C$5:$C$3623,"&gt;="&amp;EDATE(DATEVALUE(C349&amp;"-01"),9),'📋 Транзакції'!$C$5:$C$3623,"&lt;"&amp;EDATE(DATEVALUE(C349&amp;"-01"),10))&gt;0,1,0)</f>
        <v>0</v>
      </c>
      <c r="Q349" s="37">
        <f>IF(COUNTIFS('📋 Транзакції'!$B$5:$B$3623,A349,'📋 Транзакції'!$C$5:$C$3623,"&gt;="&amp;EDATE(DATEVALUE(C349&amp;"-01"),10),'📋 Транзакції'!$C$5:$C$3623,"&lt;"&amp;EDATE(DATEVALUE(C349&amp;"-01"),11))&gt;0,1,0)</f>
        <v>0</v>
      </c>
      <c r="R349" s="37">
        <f>IF(COUNTIFS('📋 Транзакції'!$B$5:$B$3623,A349,'📋 Транзакції'!$C$5:$C$3623,"&gt;="&amp;EDATE(DATEVALUE(C349&amp;"-01"),11),'📋 Транзакції'!$C$5:$C$3623,"&lt;"&amp;EDATE(DATEVALUE(C349&amp;"-01"),12))&gt;0,1,0)</f>
        <v>0</v>
      </c>
      <c r="S349" s="37">
        <f>SUMIFS('📋 Транзакції'!$F$5:$F$3623,'📋 Транзакції'!$B$5:$B$3623,A349,'📋 Транзакції'!$C$5:$C$3623,"&gt;="&amp;EDATE(DATEVALUE(C349&amp;"-01"),0),'📋 Транзакції'!$C$5:$C$3623,"&lt;"&amp;EDATE(DATEVALUE(C349&amp;"-01"),1))</f>
        <v>0</v>
      </c>
      <c r="T349" s="37">
        <f>SUMIFS('📋 Транзакції'!$F$5:$F$3623,'📋 Транзакції'!$B$5:$B$3623,A349,'📋 Транзакції'!$C$5:$C$3623,"&gt;="&amp;EDATE(DATEVALUE(C349&amp;"-01"),1),'📋 Транзакції'!$C$5:$C$3623,"&lt;"&amp;EDATE(DATEVALUE(C349&amp;"-01"),2))</f>
        <v>19.99</v>
      </c>
      <c r="U349" s="37">
        <f>SUMIFS('📋 Транзакції'!$F$5:$F$3623,'📋 Транзакції'!$B$5:$B$3623,A349,'📋 Транзакції'!$C$5:$C$3623,"&gt;="&amp;EDATE(DATEVALUE(C349&amp;"-01"),2),'📋 Транзакції'!$C$5:$C$3623,"&lt;"&amp;EDATE(DATEVALUE(C349&amp;"-01"),3))</f>
        <v>19.99</v>
      </c>
      <c r="V349" s="37">
        <f>SUMIFS('📋 Транзакції'!$F$5:$F$3623,'📋 Транзакції'!$B$5:$B$3623,A349,'📋 Транзакції'!$C$5:$C$3623,"&gt;="&amp;EDATE(DATEVALUE(C349&amp;"-01"),3),'📋 Транзакції'!$C$5:$C$3623,"&lt;"&amp;EDATE(DATEVALUE(C349&amp;"-01"),4))</f>
        <v>19.99</v>
      </c>
      <c r="W349" s="37">
        <f>SUMIFS('📋 Транзакції'!$F$5:$F$3623,'📋 Транзакції'!$B$5:$B$3623,A349,'📋 Транзакції'!$C$5:$C$3623,"&gt;="&amp;EDATE(DATEVALUE(C349&amp;"-01"),4),'📋 Транзакції'!$C$5:$C$3623,"&lt;"&amp;EDATE(DATEVALUE(C349&amp;"-01"),5))</f>
        <v>19.99</v>
      </c>
      <c r="X349" s="37">
        <f>SUMIFS('📋 Транзакції'!$F$5:$F$3623,'📋 Транзакції'!$B$5:$B$3623,A349,'📋 Транзакції'!$C$5:$C$3623,"&gt;="&amp;EDATE(DATEVALUE(C349&amp;"-01"),5),'📋 Транзакції'!$C$5:$C$3623,"&lt;"&amp;EDATE(DATEVALUE(C349&amp;"-01"),6))</f>
        <v>19.99</v>
      </c>
      <c r="Y349" s="37">
        <f>SUMIFS('📋 Транзакції'!$F$5:$F$3623,'📋 Транзакції'!$B$5:$B$3623,A349,'📋 Транзакції'!$C$5:$C$3623,"&gt;="&amp;EDATE(DATEVALUE(C349&amp;"-01"),6),'📋 Транзакції'!$C$5:$C$3623,"&lt;"&amp;EDATE(DATEVALUE(C349&amp;"-01"),7))</f>
        <v>0</v>
      </c>
      <c r="Z349" s="37">
        <f>SUMIFS('📋 Транзакції'!$F$5:$F$3623,'📋 Транзакції'!$B$5:$B$3623,A349,'📋 Транзакції'!$C$5:$C$3623,"&gt;="&amp;EDATE(DATEVALUE(C349&amp;"-01"),7),'📋 Транзакції'!$C$5:$C$3623,"&lt;"&amp;EDATE(DATEVALUE(C349&amp;"-01"),8))</f>
        <v>0</v>
      </c>
      <c r="AA349" s="37">
        <f>SUMIFS('📋 Транзакції'!$F$5:$F$3623,'📋 Транзакції'!$B$5:$B$3623,A349,'📋 Транзакції'!$C$5:$C$3623,"&gt;="&amp;EDATE(DATEVALUE(C349&amp;"-01"),8),'📋 Транзакції'!$C$5:$C$3623,"&lt;"&amp;EDATE(DATEVALUE(C349&amp;"-01"),9))</f>
        <v>0</v>
      </c>
      <c r="AB349" s="37">
        <f>SUMIFS('📋 Транзакції'!$F$5:$F$3623,'📋 Транзакції'!$B$5:$B$3623,A349,'📋 Транзакції'!$C$5:$C$3623,"&gt;="&amp;EDATE(DATEVALUE(C349&amp;"-01"),9),'📋 Транзакції'!$C$5:$C$3623,"&lt;"&amp;EDATE(DATEVALUE(C349&amp;"-01"),10))</f>
        <v>0</v>
      </c>
      <c r="AC349" s="37">
        <f>SUMIFS('📋 Транзакції'!$F$5:$F$3623,'📋 Транзакції'!$B$5:$B$3623,A349,'📋 Транзакції'!$C$5:$C$3623,"&gt;="&amp;EDATE(DATEVALUE(C349&amp;"-01"),10),'📋 Транзакції'!$C$5:$C$3623,"&lt;"&amp;EDATE(DATEVALUE(C349&amp;"-01"),11))</f>
        <v>0</v>
      </c>
      <c r="AD349" s="37">
        <f>SUMIFS('📋 Транзакції'!$F$5:$F$3623,'📋 Транзакції'!$B$5:$B$3623,A349,'📋 Транзакції'!$C$5:$C$3623,"&gt;="&amp;EDATE(DATEVALUE(C349&amp;"-01"),11),'📋 Транзакції'!$C$5:$C$3623,"&lt;"&amp;EDATE(DATEVALUE(C349&amp;"-01"),12))</f>
        <v>0</v>
      </c>
    </row>
    <row r="350" ht="15.75" customHeight="1">
      <c r="A350" s="33" t="str">
        <f>'📋 Реєстрації'!A350:A951</f>
        <v>U0424</v>
      </c>
      <c r="B350" s="34">
        <f t="array" ref="B350">INDEX('📋 Транзакції'!$C$5:$C$3623,MATCH(A350,'📋 Транзакції'!$B$5:$B$3623,0))</f>
        <v>45593</v>
      </c>
      <c r="C350" s="35" t="str">
        <f t="shared" si="1"/>
        <v>2024-10</v>
      </c>
      <c r="D350" s="36">
        <f>COUNTIF('📋 Транзакції'!$B$5:$B$3623,A350)</f>
        <v>3</v>
      </c>
      <c r="E350" s="36">
        <f>SUMIF('📋 Транзакції'!$B$5:$B$3623,A350,'📋 Транзакції'!$F$5:$F$3623)</f>
        <v>39.98</v>
      </c>
      <c r="F350" s="35">
        <f>INT($A$1-MAXIFS('📋 Транзакції'!$C$5:$C$3623,'📋 Транзакції'!$B$5:$B$3623,A350))</f>
        <v>117</v>
      </c>
      <c r="G350" s="37">
        <f>IF(COUNTIFS('📋 Транзакції'!$B$5:$B$3623,A350,'📋 Транзакції'!$C$5:$C$3623,"&gt;="&amp;EDATE(DATEVALUE(C350&amp;"-01"),0),'📋 Транзакції'!$C$5:$C$3623,"&lt;"&amp;EDATE(DATEVALUE(C350&amp;"-01"),1))&gt;0,1,0)</f>
        <v>1</v>
      </c>
      <c r="H350" s="37">
        <f>IF(COUNTIFS('📋 Транзакції'!$B$5:$B$3623,A350,'📋 Транзакції'!$C$5:$C$3623,"&gt;="&amp;EDATE(DATEVALUE(C350&amp;"-01"),1),'📋 Транзакції'!$C$5:$C$3623,"&lt;"&amp;EDATE(DATEVALUE(C350&amp;"-01"),2))&gt;0,1,0)</f>
        <v>1</v>
      </c>
      <c r="I350" s="37">
        <f>IF(COUNTIFS('📋 Транзакції'!$B$5:$B$3623,A350,'📋 Транзакції'!$C$5:$C$3623,"&gt;="&amp;EDATE(DATEVALUE(C350&amp;"-01"),2),'📋 Транзакції'!$C$5:$C$3623,"&lt;"&amp;EDATE(DATEVALUE(C350&amp;"-01"),3))&gt;0,1,0)</f>
        <v>1</v>
      </c>
      <c r="J350" s="37">
        <f>IF(COUNTIFS('📋 Транзакції'!$B$5:$B$3623,A350,'📋 Транзакції'!$C$5:$C$3623,"&gt;="&amp;EDATE(DATEVALUE(C350&amp;"-01"),3),'📋 Транзакції'!$C$5:$C$3623,"&lt;"&amp;EDATE(DATEVALUE(C350&amp;"-01"),4))&gt;0,1,0)</f>
        <v>0</v>
      </c>
      <c r="K350" s="37">
        <f>IF(COUNTIFS('📋 Транзакції'!$B$5:$B$3623,A350,'📋 Транзакції'!$C$5:$C$3623,"&gt;="&amp;EDATE(DATEVALUE(C350&amp;"-01"),4),'📋 Транзакції'!$C$5:$C$3623,"&lt;"&amp;EDATE(DATEVALUE(C350&amp;"-01"),5))&gt;0,1,0)</f>
        <v>0</v>
      </c>
      <c r="L350" s="37">
        <f>IF(COUNTIFS('📋 Транзакції'!$B$5:$B$3623,A350,'📋 Транзакції'!$C$5:$C$3623,"&gt;="&amp;EDATE(DATEVALUE(C350&amp;"-01"),5),'📋 Транзакції'!$C$5:$C$3623,"&lt;"&amp;EDATE(DATEVALUE(C350&amp;"-01"),6))&gt;0,1,0)</f>
        <v>0</v>
      </c>
      <c r="M350" s="37">
        <f>IF(COUNTIFS('📋 Транзакції'!$B$5:$B$3623,A350,'📋 Транзакції'!$C$5:$C$3623,"&gt;="&amp;EDATE(DATEVALUE(C350&amp;"-01"),6),'📋 Транзакції'!$C$5:$C$3623,"&lt;"&amp;EDATE(DATEVALUE(C350&amp;"-01"),7))&gt;0,1,0)</f>
        <v>0</v>
      </c>
      <c r="N350" s="37">
        <f>IF(COUNTIFS('📋 Транзакції'!$B$5:$B$3623,A350,'📋 Транзакції'!$C$5:$C$3623,"&gt;="&amp;EDATE(DATEVALUE(C350&amp;"-01"),7),'📋 Транзакції'!$C$5:$C$3623,"&lt;"&amp;EDATE(DATEVALUE(C350&amp;"-01"),8))&gt;0,1,0)</f>
        <v>0</v>
      </c>
      <c r="O350" s="37">
        <f>IF(COUNTIFS('📋 Транзакції'!$B$5:$B$3623,A350,'📋 Транзакції'!$C$5:$C$3623,"&gt;="&amp;EDATE(DATEVALUE(C350&amp;"-01"),8),'📋 Транзакції'!$C$5:$C$3623,"&lt;"&amp;EDATE(DATEVALUE(C350&amp;"-01"),9))&gt;0,1,0)</f>
        <v>0</v>
      </c>
      <c r="P350" s="37">
        <f>IF(COUNTIFS('📋 Транзакції'!$B$5:$B$3623,A350,'📋 Транзакції'!$C$5:$C$3623,"&gt;="&amp;EDATE(DATEVALUE(C350&amp;"-01"),9),'📋 Транзакції'!$C$5:$C$3623,"&lt;"&amp;EDATE(DATEVALUE(C350&amp;"-01"),10))&gt;0,1,0)</f>
        <v>0</v>
      </c>
      <c r="Q350" s="37">
        <f>IF(COUNTIFS('📋 Транзакції'!$B$5:$B$3623,A350,'📋 Транзакції'!$C$5:$C$3623,"&gt;="&amp;EDATE(DATEVALUE(C350&amp;"-01"),10),'📋 Транзакції'!$C$5:$C$3623,"&lt;"&amp;EDATE(DATEVALUE(C350&amp;"-01"),11))&gt;0,1,0)</f>
        <v>0</v>
      </c>
      <c r="R350" s="37">
        <f>IF(COUNTIFS('📋 Транзакції'!$B$5:$B$3623,A350,'📋 Транзакції'!$C$5:$C$3623,"&gt;="&amp;EDATE(DATEVALUE(C350&amp;"-01"),11),'📋 Транзакції'!$C$5:$C$3623,"&lt;"&amp;EDATE(DATEVALUE(C350&amp;"-01"),12))&gt;0,1,0)</f>
        <v>0</v>
      </c>
      <c r="S350" s="37">
        <f>SUMIFS('📋 Транзакції'!$F$5:$F$3623,'📋 Транзакції'!$B$5:$B$3623,A350,'📋 Транзакції'!$C$5:$C$3623,"&gt;="&amp;EDATE(DATEVALUE(C350&amp;"-01"),0),'📋 Транзакції'!$C$5:$C$3623,"&lt;"&amp;EDATE(DATEVALUE(C350&amp;"-01"),1))</f>
        <v>0</v>
      </c>
      <c r="T350" s="37">
        <f>SUMIFS('📋 Транзакції'!$F$5:$F$3623,'📋 Транзакції'!$B$5:$B$3623,A350,'📋 Транзакції'!$C$5:$C$3623,"&gt;="&amp;EDATE(DATEVALUE(C350&amp;"-01"),1),'📋 Транзакції'!$C$5:$C$3623,"&lt;"&amp;EDATE(DATEVALUE(C350&amp;"-01"),2))</f>
        <v>19.99</v>
      </c>
      <c r="U350" s="37">
        <f>SUMIFS('📋 Транзакції'!$F$5:$F$3623,'📋 Транзакції'!$B$5:$B$3623,A350,'📋 Транзакції'!$C$5:$C$3623,"&gt;="&amp;EDATE(DATEVALUE(C350&amp;"-01"),2),'📋 Транзакції'!$C$5:$C$3623,"&lt;"&amp;EDATE(DATEVALUE(C350&amp;"-01"),3))</f>
        <v>19.99</v>
      </c>
      <c r="V350" s="37">
        <f>SUMIFS('📋 Транзакції'!$F$5:$F$3623,'📋 Транзакції'!$B$5:$B$3623,A350,'📋 Транзакції'!$C$5:$C$3623,"&gt;="&amp;EDATE(DATEVALUE(C350&amp;"-01"),3),'📋 Транзакції'!$C$5:$C$3623,"&lt;"&amp;EDATE(DATEVALUE(C350&amp;"-01"),4))</f>
        <v>0</v>
      </c>
      <c r="W350" s="37">
        <f>SUMIFS('📋 Транзакції'!$F$5:$F$3623,'📋 Транзакції'!$B$5:$B$3623,A350,'📋 Транзакції'!$C$5:$C$3623,"&gt;="&amp;EDATE(DATEVALUE(C350&amp;"-01"),4),'📋 Транзакції'!$C$5:$C$3623,"&lt;"&amp;EDATE(DATEVALUE(C350&amp;"-01"),5))</f>
        <v>0</v>
      </c>
      <c r="X350" s="37">
        <f>SUMIFS('📋 Транзакції'!$F$5:$F$3623,'📋 Транзакції'!$B$5:$B$3623,A350,'📋 Транзакції'!$C$5:$C$3623,"&gt;="&amp;EDATE(DATEVALUE(C350&amp;"-01"),5),'📋 Транзакції'!$C$5:$C$3623,"&lt;"&amp;EDATE(DATEVALUE(C350&amp;"-01"),6))</f>
        <v>0</v>
      </c>
      <c r="Y350" s="37">
        <f>SUMIFS('📋 Транзакції'!$F$5:$F$3623,'📋 Транзакції'!$B$5:$B$3623,A350,'📋 Транзакції'!$C$5:$C$3623,"&gt;="&amp;EDATE(DATEVALUE(C350&amp;"-01"),6),'📋 Транзакції'!$C$5:$C$3623,"&lt;"&amp;EDATE(DATEVALUE(C350&amp;"-01"),7))</f>
        <v>0</v>
      </c>
      <c r="Z350" s="37">
        <f>SUMIFS('📋 Транзакції'!$F$5:$F$3623,'📋 Транзакції'!$B$5:$B$3623,A350,'📋 Транзакції'!$C$5:$C$3623,"&gt;="&amp;EDATE(DATEVALUE(C350&amp;"-01"),7),'📋 Транзакції'!$C$5:$C$3623,"&lt;"&amp;EDATE(DATEVALUE(C350&amp;"-01"),8))</f>
        <v>0</v>
      </c>
      <c r="AA350" s="37">
        <f>SUMIFS('📋 Транзакції'!$F$5:$F$3623,'📋 Транзакції'!$B$5:$B$3623,A350,'📋 Транзакції'!$C$5:$C$3623,"&gt;="&amp;EDATE(DATEVALUE(C350&amp;"-01"),8),'📋 Транзакції'!$C$5:$C$3623,"&lt;"&amp;EDATE(DATEVALUE(C350&amp;"-01"),9))</f>
        <v>0</v>
      </c>
      <c r="AB350" s="37">
        <f>SUMIFS('📋 Транзакції'!$F$5:$F$3623,'📋 Транзакції'!$B$5:$B$3623,A350,'📋 Транзакції'!$C$5:$C$3623,"&gt;="&amp;EDATE(DATEVALUE(C350&amp;"-01"),9),'📋 Транзакції'!$C$5:$C$3623,"&lt;"&amp;EDATE(DATEVALUE(C350&amp;"-01"),10))</f>
        <v>0</v>
      </c>
      <c r="AC350" s="37">
        <f>SUMIFS('📋 Транзакції'!$F$5:$F$3623,'📋 Транзакції'!$B$5:$B$3623,A350,'📋 Транзакції'!$C$5:$C$3623,"&gt;="&amp;EDATE(DATEVALUE(C350&amp;"-01"),10),'📋 Транзакції'!$C$5:$C$3623,"&lt;"&amp;EDATE(DATEVALUE(C350&amp;"-01"),11))</f>
        <v>0</v>
      </c>
      <c r="AD350" s="37">
        <f>SUMIFS('📋 Транзакції'!$F$5:$F$3623,'📋 Транзакції'!$B$5:$B$3623,A350,'📋 Транзакції'!$C$5:$C$3623,"&gt;="&amp;EDATE(DATEVALUE(C350&amp;"-01"),11),'📋 Транзакції'!$C$5:$C$3623,"&lt;"&amp;EDATE(DATEVALUE(C350&amp;"-01"),12))</f>
        <v>0</v>
      </c>
    </row>
    <row r="351" ht="15.75" customHeight="1">
      <c r="A351" s="33" t="str">
        <f>'📋 Реєстрації'!A351:A952</f>
        <v>U0480</v>
      </c>
      <c r="B351" s="34">
        <f t="array" ref="B351">INDEX('📋 Транзакції'!$C$5:$C$3623,MATCH(A351,'📋 Транзакції'!$B$5:$B$3623,0))</f>
        <v>45593</v>
      </c>
      <c r="C351" s="35" t="str">
        <f t="shared" si="1"/>
        <v>2024-10</v>
      </c>
      <c r="D351" s="36">
        <f>COUNTIF('📋 Транзакції'!$B$5:$B$3623,A351)</f>
        <v>6</v>
      </c>
      <c r="E351" s="36">
        <f>SUMIF('📋 Транзакції'!$B$5:$B$3623,A351,'📋 Транзакції'!$F$5:$F$3623)</f>
        <v>99.95</v>
      </c>
      <c r="F351" s="35">
        <f>INT($A$1-MAXIFS('📋 Транзакції'!$C$5:$C$3623,'📋 Транзакції'!$B$5:$B$3623,A351))</f>
        <v>27</v>
      </c>
      <c r="G351" s="37">
        <f>IF(COUNTIFS('📋 Транзакції'!$B$5:$B$3623,A351,'📋 Транзакції'!$C$5:$C$3623,"&gt;="&amp;EDATE(DATEVALUE(C351&amp;"-01"),0),'📋 Транзакції'!$C$5:$C$3623,"&lt;"&amp;EDATE(DATEVALUE(C351&amp;"-01"),1))&gt;0,1,0)</f>
        <v>1</v>
      </c>
      <c r="H351" s="37">
        <f>IF(COUNTIFS('📋 Транзакції'!$B$5:$B$3623,A351,'📋 Транзакції'!$C$5:$C$3623,"&gt;="&amp;EDATE(DATEVALUE(C351&amp;"-01"),1),'📋 Транзакції'!$C$5:$C$3623,"&lt;"&amp;EDATE(DATEVALUE(C351&amp;"-01"),2))&gt;0,1,0)</f>
        <v>1</v>
      </c>
      <c r="I351" s="37">
        <f>IF(COUNTIFS('📋 Транзакції'!$B$5:$B$3623,A351,'📋 Транзакції'!$C$5:$C$3623,"&gt;="&amp;EDATE(DATEVALUE(C351&amp;"-01"),2),'📋 Транзакції'!$C$5:$C$3623,"&lt;"&amp;EDATE(DATEVALUE(C351&amp;"-01"),3))&gt;0,1,0)</f>
        <v>1</v>
      </c>
      <c r="J351" s="37">
        <f>IF(COUNTIFS('📋 Транзакції'!$B$5:$B$3623,A351,'📋 Транзакції'!$C$5:$C$3623,"&gt;="&amp;EDATE(DATEVALUE(C351&amp;"-01"),3),'📋 Транзакції'!$C$5:$C$3623,"&lt;"&amp;EDATE(DATEVALUE(C351&amp;"-01"),4))&gt;0,1,0)</f>
        <v>1</v>
      </c>
      <c r="K351" s="37">
        <f>IF(COUNTIFS('📋 Транзакції'!$B$5:$B$3623,A351,'📋 Транзакції'!$C$5:$C$3623,"&gt;="&amp;EDATE(DATEVALUE(C351&amp;"-01"),4),'📋 Транзакції'!$C$5:$C$3623,"&lt;"&amp;EDATE(DATEVALUE(C351&amp;"-01"),5))&gt;0,1,0)</f>
        <v>1</v>
      </c>
      <c r="L351" s="37">
        <f>IF(COUNTIFS('📋 Транзакції'!$B$5:$B$3623,A351,'📋 Транзакції'!$C$5:$C$3623,"&gt;="&amp;EDATE(DATEVALUE(C351&amp;"-01"),5),'📋 Транзакції'!$C$5:$C$3623,"&lt;"&amp;EDATE(DATEVALUE(C351&amp;"-01"),6))&gt;0,1,0)</f>
        <v>1</v>
      </c>
      <c r="M351" s="37">
        <f>IF(COUNTIFS('📋 Транзакції'!$B$5:$B$3623,A351,'📋 Транзакції'!$C$5:$C$3623,"&gt;="&amp;EDATE(DATEVALUE(C351&amp;"-01"),6),'📋 Транзакції'!$C$5:$C$3623,"&lt;"&amp;EDATE(DATEVALUE(C351&amp;"-01"),7))&gt;0,1,0)</f>
        <v>0</v>
      </c>
      <c r="N351" s="37">
        <f>IF(COUNTIFS('📋 Транзакції'!$B$5:$B$3623,A351,'📋 Транзакції'!$C$5:$C$3623,"&gt;="&amp;EDATE(DATEVALUE(C351&amp;"-01"),7),'📋 Транзакції'!$C$5:$C$3623,"&lt;"&amp;EDATE(DATEVALUE(C351&amp;"-01"),8))&gt;0,1,0)</f>
        <v>0</v>
      </c>
      <c r="O351" s="37">
        <f>IF(COUNTIFS('📋 Транзакції'!$B$5:$B$3623,A351,'📋 Транзакції'!$C$5:$C$3623,"&gt;="&amp;EDATE(DATEVALUE(C351&amp;"-01"),8),'📋 Транзакції'!$C$5:$C$3623,"&lt;"&amp;EDATE(DATEVALUE(C351&amp;"-01"),9))&gt;0,1,0)</f>
        <v>0</v>
      </c>
      <c r="P351" s="37">
        <f>IF(COUNTIFS('📋 Транзакції'!$B$5:$B$3623,A351,'📋 Транзакції'!$C$5:$C$3623,"&gt;="&amp;EDATE(DATEVALUE(C351&amp;"-01"),9),'📋 Транзакції'!$C$5:$C$3623,"&lt;"&amp;EDATE(DATEVALUE(C351&amp;"-01"),10))&gt;0,1,0)</f>
        <v>0</v>
      </c>
      <c r="Q351" s="37">
        <f>IF(COUNTIFS('📋 Транзакції'!$B$5:$B$3623,A351,'📋 Транзакції'!$C$5:$C$3623,"&gt;="&amp;EDATE(DATEVALUE(C351&amp;"-01"),10),'📋 Транзакції'!$C$5:$C$3623,"&lt;"&amp;EDATE(DATEVALUE(C351&amp;"-01"),11))&gt;0,1,0)</f>
        <v>0</v>
      </c>
      <c r="R351" s="37">
        <f>IF(COUNTIFS('📋 Транзакції'!$B$5:$B$3623,A351,'📋 Транзакції'!$C$5:$C$3623,"&gt;="&amp;EDATE(DATEVALUE(C351&amp;"-01"),11),'📋 Транзакції'!$C$5:$C$3623,"&lt;"&amp;EDATE(DATEVALUE(C351&amp;"-01"),12))&gt;0,1,0)</f>
        <v>0</v>
      </c>
      <c r="S351" s="37">
        <f>SUMIFS('📋 Транзакції'!$F$5:$F$3623,'📋 Транзакції'!$B$5:$B$3623,A351,'📋 Транзакції'!$C$5:$C$3623,"&gt;="&amp;EDATE(DATEVALUE(C351&amp;"-01"),0),'📋 Транзакції'!$C$5:$C$3623,"&lt;"&amp;EDATE(DATEVALUE(C351&amp;"-01"),1))</f>
        <v>0</v>
      </c>
      <c r="T351" s="37">
        <f>SUMIFS('📋 Транзакції'!$F$5:$F$3623,'📋 Транзакції'!$B$5:$B$3623,A351,'📋 Транзакції'!$C$5:$C$3623,"&gt;="&amp;EDATE(DATEVALUE(C351&amp;"-01"),1),'📋 Транзакції'!$C$5:$C$3623,"&lt;"&amp;EDATE(DATEVALUE(C351&amp;"-01"),2))</f>
        <v>19.99</v>
      </c>
      <c r="U351" s="37">
        <f>SUMIFS('📋 Транзакції'!$F$5:$F$3623,'📋 Транзакції'!$B$5:$B$3623,A351,'📋 Транзакції'!$C$5:$C$3623,"&gt;="&amp;EDATE(DATEVALUE(C351&amp;"-01"),2),'📋 Транзакції'!$C$5:$C$3623,"&lt;"&amp;EDATE(DATEVALUE(C351&amp;"-01"),3))</f>
        <v>19.99</v>
      </c>
      <c r="V351" s="37">
        <f>SUMIFS('📋 Транзакції'!$F$5:$F$3623,'📋 Транзакції'!$B$5:$B$3623,A351,'📋 Транзакції'!$C$5:$C$3623,"&gt;="&amp;EDATE(DATEVALUE(C351&amp;"-01"),3),'📋 Транзакції'!$C$5:$C$3623,"&lt;"&amp;EDATE(DATEVALUE(C351&amp;"-01"),4))</f>
        <v>19.99</v>
      </c>
      <c r="W351" s="37">
        <f>SUMIFS('📋 Транзакції'!$F$5:$F$3623,'📋 Транзакції'!$B$5:$B$3623,A351,'📋 Транзакції'!$C$5:$C$3623,"&gt;="&amp;EDATE(DATEVALUE(C351&amp;"-01"),4),'📋 Транзакції'!$C$5:$C$3623,"&lt;"&amp;EDATE(DATEVALUE(C351&amp;"-01"),5))</f>
        <v>19.99</v>
      </c>
      <c r="X351" s="37">
        <f>SUMIFS('📋 Транзакції'!$F$5:$F$3623,'📋 Транзакції'!$B$5:$B$3623,A351,'📋 Транзакції'!$C$5:$C$3623,"&gt;="&amp;EDATE(DATEVALUE(C351&amp;"-01"),5),'📋 Транзакції'!$C$5:$C$3623,"&lt;"&amp;EDATE(DATEVALUE(C351&amp;"-01"),6))</f>
        <v>19.99</v>
      </c>
      <c r="Y351" s="37">
        <f>SUMIFS('📋 Транзакції'!$F$5:$F$3623,'📋 Транзакції'!$B$5:$B$3623,A351,'📋 Транзакції'!$C$5:$C$3623,"&gt;="&amp;EDATE(DATEVALUE(C351&amp;"-01"),6),'📋 Транзакції'!$C$5:$C$3623,"&lt;"&amp;EDATE(DATEVALUE(C351&amp;"-01"),7))</f>
        <v>0</v>
      </c>
      <c r="Z351" s="37">
        <f>SUMIFS('📋 Транзакції'!$F$5:$F$3623,'📋 Транзакції'!$B$5:$B$3623,A351,'📋 Транзакції'!$C$5:$C$3623,"&gt;="&amp;EDATE(DATEVALUE(C351&amp;"-01"),7),'📋 Транзакції'!$C$5:$C$3623,"&lt;"&amp;EDATE(DATEVALUE(C351&amp;"-01"),8))</f>
        <v>0</v>
      </c>
      <c r="AA351" s="37">
        <f>SUMIFS('📋 Транзакції'!$F$5:$F$3623,'📋 Транзакції'!$B$5:$B$3623,A351,'📋 Транзакції'!$C$5:$C$3623,"&gt;="&amp;EDATE(DATEVALUE(C351&amp;"-01"),8),'📋 Транзакції'!$C$5:$C$3623,"&lt;"&amp;EDATE(DATEVALUE(C351&amp;"-01"),9))</f>
        <v>0</v>
      </c>
      <c r="AB351" s="37">
        <f>SUMIFS('📋 Транзакції'!$F$5:$F$3623,'📋 Транзакції'!$B$5:$B$3623,A351,'📋 Транзакції'!$C$5:$C$3623,"&gt;="&amp;EDATE(DATEVALUE(C351&amp;"-01"),9),'📋 Транзакції'!$C$5:$C$3623,"&lt;"&amp;EDATE(DATEVALUE(C351&amp;"-01"),10))</f>
        <v>0</v>
      </c>
      <c r="AC351" s="37">
        <f>SUMIFS('📋 Транзакції'!$F$5:$F$3623,'📋 Транзакції'!$B$5:$B$3623,A351,'📋 Транзакції'!$C$5:$C$3623,"&gt;="&amp;EDATE(DATEVALUE(C351&amp;"-01"),10),'📋 Транзакції'!$C$5:$C$3623,"&lt;"&amp;EDATE(DATEVALUE(C351&amp;"-01"),11))</f>
        <v>0</v>
      </c>
      <c r="AD351" s="37">
        <f>SUMIFS('📋 Транзакції'!$F$5:$F$3623,'📋 Транзакції'!$B$5:$B$3623,A351,'📋 Транзакції'!$C$5:$C$3623,"&gt;="&amp;EDATE(DATEVALUE(C351&amp;"-01"),11),'📋 Транзакції'!$C$5:$C$3623,"&lt;"&amp;EDATE(DATEVALUE(C351&amp;"-01"),12))</f>
        <v>0</v>
      </c>
    </row>
    <row r="352" ht="15.75" customHeight="1">
      <c r="A352" s="33" t="str">
        <f>'📋 Реєстрації'!A352:A953</f>
        <v>U0713</v>
      </c>
      <c r="B352" s="34">
        <f t="array" ref="B352">INDEX('📋 Транзакції'!$C$5:$C$3623,MATCH(A352,'📋 Транзакції'!$B$5:$B$3623,0))</f>
        <v>45593</v>
      </c>
      <c r="C352" s="35" t="str">
        <f t="shared" si="1"/>
        <v>2024-10</v>
      </c>
      <c r="D352" s="36">
        <f>COUNTIF('📋 Транзакції'!$B$5:$B$3623,A352)</f>
        <v>6</v>
      </c>
      <c r="E352" s="36">
        <f>SUMIF('📋 Транзакції'!$B$5:$B$3623,A352,'📋 Транзакції'!$F$5:$F$3623)</f>
        <v>99.95</v>
      </c>
      <c r="F352" s="35">
        <f>INT($A$1-MAXIFS('📋 Транзакції'!$C$5:$C$3623,'📋 Транзакції'!$B$5:$B$3623,A352))</f>
        <v>27</v>
      </c>
      <c r="G352" s="37">
        <f>IF(COUNTIFS('📋 Транзакції'!$B$5:$B$3623,A352,'📋 Транзакції'!$C$5:$C$3623,"&gt;="&amp;EDATE(DATEVALUE(C352&amp;"-01"),0),'📋 Транзакції'!$C$5:$C$3623,"&lt;"&amp;EDATE(DATEVALUE(C352&amp;"-01"),1))&gt;0,1,0)</f>
        <v>1</v>
      </c>
      <c r="H352" s="37">
        <f>IF(COUNTIFS('📋 Транзакції'!$B$5:$B$3623,A352,'📋 Транзакції'!$C$5:$C$3623,"&gt;="&amp;EDATE(DATEVALUE(C352&amp;"-01"),1),'📋 Транзакції'!$C$5:$C$3623,"&lt;"&amp;EDATE(DATEVALUE(C352&amp;"-01"),2))&gt;0,1,0)</f>
        <v>1</v>
      </c>
      <c r="I352" s="37">
        <f>IF(COUNTIFS('📋 Транзакції'!$B$5:$B$3623,A352,'📋 Транзакції'!$C$5:$C$3623,"&gt;="&amp;EDATE(DATEVALUE(C352&amp;"-01"),2),'📋 Транзакції'!$C$5:$C$3623,"&lt;"&amp;EDATE(DATEVALUE(C352&amp;"-01"),3))&gt;0,1,0)</f>
        <v>1</v>
      </c>
      <c r="J352" s="37">
        <f>IF(COUNTIFS('📋 Транзакції'!$B$5:$B$3623,A352,'📋 Транзакції'!$C$5:$C$3623,"&gt;="&amp;EDATE(DATEVALUE(C352&amp;"-01"),3),'📋 Транзакції'!$C$5:$C$3623,"&lt;"&amp;EDATE(DATEVALUE(C352&amp;"-01"),4))&gt;0,1,0)</f>
        <v>1</v>
      </c>
      <c r="K352" s="37">
        <f>IF(COUNTIFS('📋 Транзакції'!$B$5:$B$3623,A352,'📋 Транзакції'!$C$5:$C$3623,"&gt;="&amp;EDATE(DATEVALUE(C352&amp;"-01"),4),'📋 Транзакції'!$C$5:$C$3623,"&lt;"&amp;EDATE(DATEVALUE(C352&amp;"-01"),5))&gt;0,1,0)</f>
        <v>1</v>
      </c>
      <c r="L352" s="37">
        <f>IF(COUNTIFS('📋 Транзакції'!$B$5:$B$3623,A352,'📋 Транзакції'!$C$5:$C$3623,"&gt;="&amp;EDATE(DATEVALUE(C352&amp;"-01"),5),'📋 Транзакції'!$C$5:$C$3623,"&lt;"&amp;EDATE(DATEVALUE(C352&amp;"-01"),6))&gt;0,1,0)</f>
        <v>1</v>
      </c>
      <c r="M352" s="37">
        <f>IF(COUNTIFS('📋 Транзакції'!$B$5:$B$3623,A352,'📋 Транзакції'!$C$5:$C$3623,"&gt;="&amp;EDATE(DATEVALUE(C352&amp;"-01"),6),'📋 Транзакції'!$C$5:$C$3623,"&lt;"&amp;EDATE(DATEVALUE(C352&amp;"-01"),7))&gt;0,1,0)</f>
        <v>0</v>
      </c>
      <c r="N352" s="37">
        <f>IF(COUNTIFS('📋 Транзакції'!$B$5:$B$3623,A352,'📋 Транзакції'!$C$5:$C$3623,"&gt;="&amp;EDATE(DATEVALUE(C352&amp;"-01"),7),'📋 Транзакції'!$C$5:$C$3623,"&lt;"&amp;EDATE(DATEVALUE(C352&amp;"-01"),8))&gt;0,1,0)</f>
        <v>0</v>
      </c>
      <c r="O352" s="37">
        <f>IF(COUNTIFS('📋 Транзакції'!$B$5:$B$3623,A352,'📋 Транзакції'!$C$5:$C$3623,"&gt;="&amp;EDATE(DATEVALUE(C352&amp;"-01"),8),'📋 Транзакції'!$C$5:$C$3623,"&lt;"&amp;EDATE(DATEVALUE(C352&amp;"-01"),9))&gt;0,1,0)</f>
        <v>0</v>
      </c>
      <c r="P352" s="37">
        <f>IF(COUNTIFS('📋 Транзакції'!$B$5:$B$3623,A352,'📋 Транзакції'!$C$5:$C$3623,"&gt;="&amp;EDATE(DATEVALUE(C352&amp;"-01"),9),'📋 Транзакції'!$C$5:$C$3623,"&lt;"&amp;EDATE(DATEVALUE(C352&amp;"-01"),10))&gt;0,1,0)</f>
        <v>0</v>
      </c>
      <c r="Q352" s="37">
        <f>IF(COUNTIFS('📋 Транзакції'!$B$5:$B$3623,A352,'📋 Транзакції'!$C$5:$C$3623,"&gt;="&amp;EDATE(DATEVALUE(C352&amp;"-01"),10),'📋 Транзакції'!$C$5:$C$3623,"&lt;"&amp;EDATE(DATEVALUE(C352&amp;"-01"),11))&gt;0,1,0)</f>
        <v>0</v>
      </c>
      <c r="R352" s="37">
        <f>IF(COUNTIFS('📋 Транзакції'!$B$5:$B$3623,A352,'📋 Транзакції'!$C$5:$C$3623,"&gt;="&amp;EDATE(DATEVALUE(C352&amp;"-01"),11),'📋 Транзакції'!$C$5:$C$3623,"&lt;"&amp;EDATE(DATEVALUE(C352&amp;"-01"),12))&gt;0,1,0)</f>
        <v>0</v>
      </c>
      <c r="S352" s="37">
        <f>SUMIFS('📋 Транзакції'!$F$5:$F$3623,'📋 Транзакції'!$B$5:$B$3623,A352,'📋 Транзакції'!$C$5:$C$3623,"&gt;="&amp;EDATE(DATEVALUE(C352&amp;"-01"),0),'📋 Транзакції'!$C$5:$C$3623,"&lt;"&amp;EDATE(DATEVALUE(C352&amp;"-01"),1))</f>
        <v>0</v>
      </c>
      <c r="T352" s="37">
        <f>SUMIFS('📋 Транзакції'!$F$5:$F$3623,'📋 Транзакції'!$B$5:$B$3623,A352,'📋 Транзакції'!$C$5:$C$3623,"&gt;="&amp;EDATE(DATEVALUE(C352&amp;"-01"),1),'📋 Транзакції'!$C$5:$C$3623,"&lt;"&amp;EDATE(DATEVALUE(C352&amp;"-01"),2))</f>
        <v>19.99</v>
      </c>
      <c r="U352" s="37">
        <f>SUMIFS('📋 Транзакції'!$F$5:$F$3623,'📋 Транзакції'!$B$5:$B$3623,A352,'📋 Транзакції'!$C$5:$C$3623,"&gt;="&amp;EDATE(DATEVALUE(C352&amp;"-01"),2),'📋 Транзакції'!$C$5:$C$3623,"&lt;"&amp;EDATE(DATEVALUE(C352&amp;"-01"),3))</f>
        <v>19.99</v>
      </c>
      <c r="V352" s="37">
        <f>SUMIFS('📋 Транзакції'!$F$5:$F$3623,'📋 Транзакції'!$B$5:$B$3623,A352,'📋 Транзакції'!$C$5:$C$3623,"&gt;="&amp;EDATE(DATEVALUE(C352&amp;"-01"),3),'📋 Транзакції'!$C$5:$C$3623,"&lt;"&amp;EDATE(DATEVALUE(C352&amp;"-01"),4))</f>
        <v>19.99</v>
      </c>
      <c r="W352" s="37">
        <f>SUMIFS('📋 Транзакції'!$F$5:$F$3623,'📋 Транзакції'!$B$5:$B$3623,A352,'📋 Транзакції'!$C$5:$C$3623,"&gt;="&amp;EDATE(DATEVALUE(C352&amp;"-01"),4),'📋 Транзакції'!$C$5:$C$3623,"&lt;"&amp;EDATE(DATEVALUE(C352&amp;"-01"),5))</f>
        <v>19.99</v>
      </c>
      <c r="X352" s="37">
        <f>SUMIFS('📋 Транзакції'!$F$5:$F$3623,'📋 Транзакції'!$B$5:$B$3623,A352,'📋 Транзакції'!$C$5:$C$3623,"&gt;="&amp;EDATE(DATEVALUE(C352&amp;"-01"),5),'📋 Транзакції'!$C$5:$C$3623,"&lt;"&amp;EDATE(DATEVALUE(C352&amp;"-01"),6))</f>
        <v>19.99</v>
      </c>
      <c r="Y352" s="37">
        <f>SUMIFS('📋 Транзакції'!$F$5:$F$3623,'📋 Транзакції'!$B$5:$B$3623,A352,'📋 Транзакції'!$C$5:$C$3623,"&gt;="&amp;EDATE(DATEVALUE(C352&amp;"-01"),6),'📋 Транзакції'!$C$5:$C$3623,"&lt;"&amp;EDATE(DATEVALUE(C352&amp;"-01"),7))</f>
        <v>0</v>
      </c>
      <c r="Z352" s="37">
        <f>SUMIFS('📋 Транзакції'!$F$5:$F$3623,'📋 Транзакції'!$B$5:$B$3623,A352,'📋 Транзакції'!$C$5:$C$3623,"&gt;="&amp;EDATE(DATEVALUE(C352&amp;"-01"),7),'📋 Транзакції'!$C$5:$C$3623,"&lt;"&amp;EDATE(DATEVALUE(C352&amp;"-01"),8))</f>
        <v>0</v>
      </c>
      <c r="AA352" s="37">
        <f>SUMIFS('📋 Транзакції'!$F$5:$F$3623,'📋 Транзакції'!$B$5:$B$3623,A352,'📋 Транзакції'!$C$5:$C$3623,"&gt;="&amp;EDATE(DATEVALUE(C352&amp;"-01"),8),'📋 Транзакції'!$C$5:$C$3623,"&lt;"&amp;EDATE(DATEVALUE(C352&amp;"-01"),9))</f>
        <v>0</v>
      </c>
      <c r="AB352" s="37">
        <f>SUMIFS('📋 Транзакції'!$F$5:$F$3623,'📋 Транзакції'!$B$5:$B$3623,A352,'📋 Транзакції'!$C$5:$C$3623,"&gt;="&amp;EDATE(DATEVALUE(C352&amp;"-01"),9),'📋 Транзакції'!$C$5:$C$3623,"&lt;"&amp;EDATE(DATEVALUE(C352&amp;"-01"),10))</f>
        <v>0</v>
      </c>
      <c r="AC352" s="37">
        <f>SUMIFS('📋 Транзакції'!$F$5:$F$3623,'📋 Транзакції'!$B$5:$B$3623,A352,'📋 Транзакції'!$C$5:$C$3623,"&gt;="&amp;EDATE(DATEVALUE(C352&amp;"-01"),10),'📋 Транзакції'!$C$5:$C$3623,"&lt;"&amp;EDATE(DATEVALUE(C352&amp;"-01"),11))</f>
        <v>0</v>
      </c>
      <c r="AD352" s="37">
        <f>SUMIFS('📋 Транзакції'!$F$5:$F$3623,'📋 Транзакції'!$B$5:$B$3623,A352,'📋 Транзакції'!$C$5:$C$3623,"&gt;="&amp;EDATE(DATEVALUE(C352&amp;"-01"),11),'📋 Транзакції'!$C$5:$C$3623,"&lt;"&amp;EDATE(DATEVALUE(C352&amp;"-01"),12))</f>
        <v>0</v>
      </c>
    </row>
    <row r="353" ht="15.75" customHeight="1">
      <c r="A353" s="33" t="str">
        <f>'📋 Реєстрації'!A353:A954</f>
        <v>U0748</v>
      </c>
      <c r="B353" s="34">
        <f t="array" ref="B353">INDEX('📋 Транзакції'!$C$5:$C$3623,MATCH(A353,'📋 Транзакції'!$B$5:$B$3623,0))</f>
        <v>45593</v>
      </c>
      <c r="C353" s="35" t="str">
        <f t="shared" si="1"/>
        <v>2024-10</v>
      </c>
      <c r="D353" s="36">
        <f>COUNTIF('📋 Транзакції'!$B$5:$B$3623,A353)</f>
        <v>6</v>
      </c>
      <c r="E353" s="36">
        <f>SUMIF('📋 Транзакції'!$B$5:$B$3623,A353,'📋 Транзакції'!$F$5:$F$3623)</f>
        <v>99.95</v>
      </c>
      <c r="F353" s="35">
        <f>INT($A$1-MAXIFS('📋 Транзакції'!$C$5:$C$3623,'📋 Транзакції'!$B$5:$B$3623,A353))</f>
        <v>27</v>
      </c>
      <c r="G353" s="37">
        <f>IF(COUNTIFS('📋 Транзакції'!$B$5:$B$3623,A353,'📋 Транзакції'!$C$5:$C$3623,"&gt;="&amp;EDATE(DATEVALUE(C353&amp;"-01"),0),'📋 Транзакції'!$C$5:$C$3623,"&lt;"&amp;EDATE(DATEVALUE(C353&amp;"-01"),1))&gt;0,1,0)</f>
        <v>1</v>
      </c>
      <c r="H353" s="37">
        <f>IF(COUNTIFS('📋 Транзакції'!$B$5:$B$3623,A353,'📋 Транзакції'!$C$5:$C$3623,"&gt;="&amp;EDATE(DATEVALUE(C353&amp;"-01"),1),'📋 Транзакції'!$C$5:$C$3623,"&lt;"&amp;EDATE(DATEVALUE(C353&amp;"-01"),2))&gt;0,1,0)</f>
        <v>1</v>
      </c>
      <c r="I353" s="37">
        <f>IF(COUNTIFS('📋 Транзакції'!$B$5:$B$3623,A353,'📋 Транзакції'!$C$5:$C$3623,"&gt;="&amp;EDATE(DATEVALUE(C353&amp;"-01"),2),'📋 Транзакції'!$C$5:$C$3623,"&lt;"&amp;EDATE(DATEVALUE(C353&amp;"-01"),3))&gt;0,1,0)</f>
        <v>1</v>
      </c>
      <c r="J353" s="37">
        <f>IF(COUNTIFS('📋 Транзакції'!$B$5:$B$3623,A353,'📋 Транзакції'!$C$5:$C$3623,"&gt;="&amp;EDATE(DATEVALUE(C353&amp;"-01"),3),'📋 Транзакції'!$C$5:$C$3623,"&lt;"&amp;EDATE(DATEVALUE(C353&amp;"-01"),4))&gt;0,1,0)</f>
        <v>1</v>
      </c>
      <c r="K353" s="37">
        <f>IF(COUNTIFS('📋 Транзакції'!$B$5:$B$3623,A353,'📋 Транзакції'!$C$5:$C$3623,"&gt;="&amp;EDATE(DATEVALUE(C353&amp;"-01"),4),'📋 Транзакції'!$C$5:$C$3623,"&lt;"&amp;EDATE(DATEVALUE(C353&amp;"-01"),5))&gt;0,1,0)</f>
        <v>1</v>
      </c>
      <c r="L353" s="37">
        <f>IF(COUNTIFS('📋 Транзакції'!$B$5:$B$3623,A353,'📋 Транзакції'!$C$5:$C$3623,"&gt;="&amp;EDATE(DATEVALUE(C353&amp;"-01"),5),'📋 Транзакції'!$C$5:$C$3623,"&lt;"&amp;EDATE(DATEVALUE(C353&amp;"-01"),6))&gt;0,1,0)</f>
        <v>1</v>
      </c>
      <c r="M353" s="37">
        <f>IF(COUNTIFS('📋 Транзакції'!$B$5:$B$3623,A353,'📋 Транзакції'!$C$5:$C$3623,"&gt;="&amp;EDATE(DATEVALUE(C353&amp;"-01"),6),'📋 Транзакції'!$C$5:$C$3623,"&lt;"&amp;EDATE(DATEVALUE(C353&amp;"-01"),7))&gt;0,1,0)</f>
        <v>0</v>
      </c>
      <c r="N353" s="37">
        <f>IF(COUNTIFS('📋 Транзакції'!$B$5:$B$3623,A353,'📋 Транзакції'!$C$5:$C$3623,"&gt;="&amp;EDATE(DATEVALUE(C353&amp;"-01"),7),'📋 Транзакції'!$C$5:$C$3623,"&lt;"&amp;EDATE(DATEVALUE(C353&amp;"-01"),8))&gt;0,1,0)</f>
        <v>0</v>
      </c>
      <c r="O353" s="37">
        <f>IF(COUNTIFS('📋 Транзакції'!$B$5:$B$3623,A353,'📋 Транзакції'!$C$5:$C$3623,"&gt;="&amp;EDATE(DATEVALUE(C353&amp;"-01"),8),'📋 Транзакції'!$C$5:$C$3623,"&lt;"&amp;EDATE(DATEVALUE(C353&amp;"-01"),9))&gt;0,1,0)</f>
        <v>0</v>
      </c>
      <c r="P353" s="37">
        <f>IF(COUNTIFS('📋 Транзакції'!$B$5:$B$3623,A353,'📋 Транзакції'!$C$5:$C$3623,"&gt;="&amp;EDATE(DATEVALUE(C353&amp;"-01"),9),'📋 Транзакції'!$C$5:$C$3623,"&lt;"&amp;EDATE(DATEVALUE(C353&amp;"-01"),10))&gt;0,1,0)</f>
        <v>0</v>
      </c>
      <c r="Q353" s="37">
        <f>IF(COUNTIFS('📋 Транзакції'!$B$5:$B$3623,A353,'📋 Транзакції'!$C$5:$C$3623,"&gt;="&amp;EDATE(DATEVALUE(C353&amp;"-01"),10),'📋 Транзакції'!$C$5:$C$3623,"&lt;"&amp;EDATE(DATEVALUE(C353&amp;"-01"),11))&gt;0,1,0)</f>
        <v>0</v>
      </c>
      <c r="R353" s="37">
        <f>IF(COUNTIFS('📋 Транзакції'!$B$5:$B$3623,A353,'📋 Транзакції'!$C$5:$C$3623,"&gt;="&amp;EDATE(DATEVALUE(C353&amp;"-01"),11),'📋 Транзакції'!$C$5:$C$3623,"&lt;"&amp;EDATE(DATEVALUE(C353&amp;"-01"),12))&gt;0,1,0)</f>
        <v>0</v>
      </c>
      <c r="S353" s="37">
        <f>SUMIFS('📋 Транзакції'!$F$5:$F$3623,'📋 Транзакції'!$B$5:$B$3623,A353,'📋 Транзакції'!$C$5:$C$3623,"&gt;="&amp;EDATE(DATEVALUE(C353&amp;"-01"),0),'📋 Транзакції'!$C$5:$C$3623,"&lt;"&amp;EDATE(DATEVALUE(C353&amp;"-01"),1))</f>
        <v>0</v>
      </c>
      <c r="T353" s="37">
        <f>SUMIFS('📋 Транзакції'!$F$5:$F$3623,'📋 Транзакції'!$B$5:$B$3623,A353,'📋 Транзакції'!$C$5:$C$3623,"&gt;="&amp;EDATE(DATEVALUE(C353&amp;"-01"),1),'📋 Транзакції'!$C$5:$C$3623,"&lt;"&amp;EDATE(DATEVALUE(C353&amp;"-01"),2))</f>
        <v>19.99</v>
      </c>
      <c r="U353" s="37">
        <f>SUMIFS('📋 Транзакції'!$F$5:$F$3623,'📋 Транзакції'!$B$5:$B$3623,A353,'📋 Транзакції'!$C$5:$C$3623,"&gt;="&amp;EDATE(DATEVALUE(C353&amp;"-01"),2),'📋 Транзакції'!$C$5:$C$3623,"&lt;"&amp;EDATE(DATEVALUE(C353&amp;"-01"),3))</f>
        <v>19.99</v>
      </c>
      <c r="V353" s="37">
        <f>SUMIFS('📋 Транзакції'!$F$5:$F$3623,'📋 Транзакції'!$B$5:$B$3623,A353,'📋 Транзакції'!$C$5:$C$3623,"&gt;="&amp;EDATE(DATEVALUE(C353&amp;"-01"),3),'📋 Транзакції'!$C$5:$C$3623,"&lt;"&amp;EDATE(DATEVALUE(C353&amp;"-01"),4))</f>
        <v>19.99</v>
      </c>
      <c r="W353" s="37">
        <f>SUMIFS('📋 Транзакції'!$F$5:$F$3623,'📋 Транзакції'!$B$5:$B$3623,A353,'📋 Транзакції'!$C$5:$C$3623,"&gt;="&amp;EDATE(DATEVALUE(C353&amp;"-01"),4),'📋 Транзакції'!$C$5:$C$3623,"&lt;"&amp;EDATE(DATEVALUE(C353&amp;"-01"),5))</f>
        <v>19.99</v>
      </c>
      <c r="X353" s="37">
        <f>SUMIFS('📋 Транзакції'!$F$5:$F$3623,'📋 Транзакції'!$B$5:$B$3623,A353,'📋 Транзакції'!$C$5:$C$3623,"&gt;="&amp;EDATE(DATEVALUE(C353&amp;"-01"),5),'📋 Транзакції'!$C$5:$C$3623,"&lt;"&amp;EDATE(DATEVALUE(C353&amp;"-01"),6))</f>
        <v>19.99</v>
      </c>
      <c r="Y353" s="37">
        <f>SUMIFS('📋 Транзакції'!$F$5:$F$3623,'📋 Транзакції'!$B$5:$B$3623,A353,'📋 Транзакції'!$C$5:$C$3623,"&gt;="&amp;EDATE(DATEVALUE(C353&amp;"-01"),6),'📋 Транзакції'!$C$5:$C$3623,"&lt;"&amp;EDATE(DATEVALUE(C353&amp;"-01"),7))</f>
        <v>0</v>
      </c>
      <c r="Z353" s="37">
        <f>SUMIFS('📋 Транзакції'!$F$5:$F$3623,'📋 Транзакції'!$B$5:$B$3623,A353,'📋 Транзакції'!$C$5:$C$3623,"&gt;="&amp;EDATE(DATEVALUE(C353&amp;"-01"),7),'📋 Транзакції'!$C$5:$C$3623,"&lt;"&amp;EDATE(DATEVALUE(C353&amp;"-01"),8))</f>
        <v>0</v>
      </c>
      <c r="AA353" s="37">
        <f>SUMIFS('📋 Транзакції'!$F$5:$F$3623,'📋 Транзакції'!$B$5:$B$3623,A353,'📋 Транзакції'!$C$5:$C$3623,"&gt;="&amp;EDATE(DATEVALUE(C353&amp;"-01"),8),'📋 Транзакції'!$C$5:$C$3623,"&lt;"&amp;EDATE(DATEVALUE(C353&amp;"-01"),9))</f>
        <v>0</v>
      </c>
      <c r="AB353" s="37">
        <f>SUMIFS('📋 Транзакції'!$F$5:$F$3623,'📋 Транзакції'!$B$5:$B$3623,A353,'📋 Транзакції'!$C$5:$C$3623,"&gt;="&amp;EDATE(DATEVALUE(C353&amp;"-01"),9),'📋 Транзакції'!$C$5:$C$3623,"&lt;"&amp;EDATE(DATEVALUE(C353&amp;"-01"),10))</f>
        <v>0</v>
      </c>
      <c r="AC353" s="37">
        <f>SUMIFS('📋 Транзакції'!$F$5:$F$3623,'📋 Транзакції'!$B$5:$B$3623,A353,'📋 Транзакції'!$C$5:$C$3623,"&gt;="&amp;EDATE(DATEVALUE(C353&amp;"-01"),10),'📋 Транзакції'!$C$5:$C$3623,"&lt;"&amp;EDATE(DATEVALUE(C353&amp;"-01"),11))</f>
        <v>0</v>
      </c>
      <c r="AD353" s="37">
        <f>SUMIFS('📋 Транзакції'!$F$5:$F$3623,'📋 Транзакції'!$B$5:$B$3623,A353,'📋 Транзакції'!$C$5:$C$3623,"&gt;="&amp;EDATE(DATEVALUE(C353&amp;"-01"),11),'📋 Транзакції'!$C$5:$C$3623,"&lt;"&amp;EDATE(DATEVALUE(C353&amp;"-01"),12))</f>
        <v>0</v>
      </c>
    </row>
    <row r="354" ht="15.75" customHeight="1">
      <c r="A354" s="33" t="str">
        <f>'📋 Реєстрації'!A354:A955</f>
        <v>U0835</v>
      </c>
      <c r="B354" s="34">
        <f t="array" ref="B354">INDEX('📋 Транзакції'!$C$5:$C$3623,MATCH(A354,'📋 Транзакції'!$B$5:$B$3623,0))</f>
        <v>45593</v>
      </c>
      <c r="C354" s="35" t="str">
        <f t="shared" si="1"/>
        <v>2024-10</v>
      </c>
      <c r="D354" s="36">
        <f>COUNTIF('📋 Транзакції'!$B$5:$B$3623,A354)</f>
        <v>6</v>
      </c>
      <c r="E354" s="36">
        <f>SUMIF('📋 Транзакції'!$B$5:$B$3623,A354,'📋 Транзакції'!$F$5:$F$3623)</f>
        <v>99.95</v>
      </c>
      <c r="F354" s="35">
        <f>INT($A$1-MAXIFS('📋 Транзакції'!$C$5:$C$3623,'📋 Транзакції'!$B$5:$B$3623,A354))</f>
        <v>27</v>
      </c>
      <c r="G354" s="37">
        <f>IF(COUNTIFS('📋 Транзакції'!$B$5:$B$3623,A354,'📋 Транзакції'!$C$5:$C$3623,"&gt;="&amp;EDATE(DATEVALUE(C354&amp;"-01"),0),'📋 Транзакції'!$C$5:$C$3623,"&lt;"&amp;EDATE(DATEVALUE(C354&amp;"-01"),1))&gt;0,1,0)</f>
        <v>1</v>
      </c>
      <c r="H354" s="37">
        <f>IF(COUNTIFS('📋 Транзакції'!$B$5:$B$3623,A354,'📋 Транзакції'!$C$5:$C$3623,"&gt;="&amp;EDATE(DATEVALUE(C354&amp;"-01"),1),'📋 Транзакції'!$C$5:$C$3623,"&lt;"&amp;EDATE(DATEVALUE(C354&amp;"-01"),2))&gt;0,1,0)</f>
        <v>1</v>
      </c>
      <c r="I354" s="37">
        <f>IF(COUNTIFS('📋 Транзакції'!$B$5:$B$3623,A354,'📋 Транзакції'!$C$5:$C$3623,"&gt;="&amp;EDATE(DATEVALUE(C354&amp;"-01"),2),'📋 Транзакції'!$C$5:$C$3623,"&lt;"&amp;EDATE(DATEVALUE(C354&amp;"-01"),3))&gt;0,1,0)</f>
        <v>1</v>
      </c>
      <c r="J354" s="37">
        <f>IF(COUNTIFS('📋 Транзакції'!$B$5:$B$3623,A354,'📋 Транзакції'!$C$5:$C$3623,"&gt;="&amp;EDATE(DATEVALUE(C354&amp;"-01"),3),'📋 Транзакції'!$C$5:$C$3623,"&lt;"&amp;EDATE(DATEVALUE(C354&amp;"-01"),4))&gt;0,1,0)</f>
        <v>1</v>
      </c>
      <c r="K354" s="37">
        <f>IF(COUNTIFS('📋 Транзакції'!$B$5:$B$3623,A354,'📋 Транзакції'!$C$5:$C$3623,"&gt;="&amp;EDATE(DATEVALUE(C354&amp;"-01"),4),'📋 Транзакції'!$C$5:$C$3623,"&lt;"&amp;EDATE(DATEVALUE(C354&amp;"-01"),5))&gt;0,1,0)</f>
        <v>1</v>
      </c>
      <c r="L354" s="37">
        <f>IF(COUNTIFS('📋 Транзакції'!$B$5:$B$3623,A354,'📋 Транзакції'!$C$5:$C$3623,"&gt;="&amp;EDATE(DATEVALUE(C354&amp;"-01"),5),'📋 Транзакції'!$C$5:$C$3623,"&lt;"&amp;EDATE(DATEVALUE(C354&amp;"-01"),6))&gt;0,1,0)</f>
        <v>1</v>
      </c>
      <c r="M354" s="37">
        <f>IF(COUNTIFS('📋 Транзакції'!$B$5:$B$3623,A354,'📋 Транзакції'!$C$5:$C$3623,"&gt;="&amp;EDATE(DATEVALUE(C354&amp;"-01"),6),'📋 Транзакції'!$C$5:$C$3623,"&lt;"&amp;EDATE(DATEVALUE(C354&amp;"-01"),7))&gt;0,1,0)</f>
        <v>0</v>
      </c>
      <c r="N354" s="37">
        <f>IF(COUNTIFS('📋 Транзакції'!$B$5:$B$3623,A354,'📋 Транзакції'!$C$5:$C$3623,"&gt;="&amp;EDATE(DATEVALUE(C354&amp;"-01"),7),'📋 Транзакції'!$C$5:$C$3623,"&lt;"&amp;EDATE(DATEVALUE(C354&amp;"-01"),8))&gt;0,1,0)</f>
        <v>0</v>
      </c>
      <c r="O354" s="37">
        <f>IF(COUNTIFS('📋 Транзакції'!$B$5:$B$3623,A354,'📋 Транзакції'!$C$5:$C$3623,"&gt;="&amp;EDATE(DATEVALUE(C354&amp;"-01"),8),'📋 Транзакції'!$C$5:$C$3623,"&lt;"&amp;EDATE(DATEVALUE(C354&amp;"-01"),9))&gt;0,1,0)</f>
        <v>0</v>
      </c>
      <c r="P354" s="37">
        <f>IF(COUNTIFS('📋 Транзакції'!$B$5:$B$3623,A354,'📋 Транзакції'!$C$5:$C$3623,"&gt;="&amp;EDATE(DATEVALUE(C354&amp;"-01"),9),'📋 Транзакції'!$C$5:$C$3623,"&lt;"&amp;EDATE(DATEVALUE(C354&amp;"-01"),10))&gt;0,1,0)</f>
        <v>0</v>
      </c>
      <c r="Q354" s="37">
        <f>IF(COUNTIFS('📋 Транзакції'!$B$5:$B$3623,A354,'📋 Транзакції'!$C$5:$C$3623,"&gt;="&amp;EDATE(DATEVALUE(C354&amp;"-01"),10),'📋 Транзакції'!$C$5:$C$3623,"&lt;"&amp;EDATE(DATEVALUE(C354&amp;"-01"),11))&gt;0,1,0)</f>
        <v>0</v>
      </c>
      <c r="R354" s="37">
        <f>IF(COUNTIFS('📋 Транзакції'!$B$5:$B$3623,A354,'📋 Транзакції'!$C$5:$C$3623,"&gt;="&amp;EDATE(DATEVALUE(C354&amp;"-01"),11),'📋 Транзакції'!$C$5:$C$3623,"&lt;"&amp;EDATE(DATEVALUE(C354&amp;"-01"),12))&gt;0,1,0)</f>
        <v>0</v>
      </c>
      <c r="S354" s="37">
        <f>SUMIFS('📋 Транзакції'!$F$5:$F$3623,'📋 Транзакції'!$B$5:$B$3623,A354,'📋 Транзакції'!$C$5:$C$3623,"&gt;="&amp;EDATE(DATEVALUE(C354&amp;"-01"),0),'📋 Транзакції'!$C$5:$C$3623,"&lt;"&amp;EDATE(DATEVALUE(C354&amp;"-01"),1))</f>
        <v>0</v>
      </c>
      <c r="T354" s="37">
        <f>SUMIFS('📋 Транзакції'!$F$5:$F$3623,'📋 Транзакції'!$B$5:$B$3623,A354,'📋 Транзакції'!$C$5:$C$3623,"&gt;="&amp;EDATE(DATEVALUE(C354&amp;"-01"),1),'📋 Транзакції'!$C$5:$C$3623,"&lt;"&amp;EDATE(DATEVALUE(C354&amp;"-01"),2))</f>
        <v>19.99</v>
      </c>
      <c r="U354" s="37">
        <f>SUMIFS('📋 Транзакції'!$F$5:$F$3623,'📋 Транзакції'!$B$5:$B$3623,A354,'📋 Транзакції'!$C$5:$C$3623,"&gt;="&amp;EDATE(DATEVALUE(C354&amp;"-01"),2),'📋 Транзакції'!$C$5:$C$3623,"&lt;"&amp;EDATE(DATEVALUE(C354&amp;"-01"),3))</f>
        <v>19.99</v>
      </c>
      <c r="V354" s="37">
        <f>SUMIFS('📋 Транзакції'!$F$5:$F$3623,'📋 Транзакції'!$B$5:$B$3623,A354,'📋 Транзакції'!$C$5:$C$3623,"&gt;="&amp;EDATE(DATEVALUE(C354&amp;"-01"),3),'📋 Транзакції'!$C$5:$C$3623,"&lt;"&amp;EDATE(DATEVALUE(C354&amp;"-01"),4))</f>
        <v>19.99</v>
      </c>
      <c r="W354" s="37">
        <f>SUMIFS('📋 Транзакції'!$F$5:$F$3623,'📋 Транзакції'!$B$5:$B$3623,A354,'📋 Транзакції'!$C$5:$C$3623,"&gt;="&amp;EDATE(DATEVALUE(C354&amp;"-01"),4),'📋 Транзакції'!$C$5:$C$3623,"&lt;"&amp;EDATE(DATEVALUE(C354&amp;"-01"),5))</f>
        <v>19.99</v>
      </c>
      <c r="X354" s="37">
        <f>SUMIFS('📋 Транзакції'!$F$5:$F$3623,'📋 Транзакції'!$B$5:$B$3623,A354,'📋 Транзакції'!$C$5:$C$3623,"&gt;="&amp;EDATE(DATEVALUE(C354&amp;"-01"),5),'📋 Транзакції'!$C$5:$C$3623,"&lt;"&amp;EDATE(DATEVALUE(C354&amp;"-01"),6))</f>
        <v>19.99</v>
      </c>
      <c r="Y354" s="37">
        <f>SUMIFS('📋 Транзакції'!$F$5:$F$3623,'📋 Транзакції'!$B$5:$B$3623,A354,'📋 Транзакції'!$C$5:$C$3623,"&gt;="&amp;EDATE(DATEVALUE(C354&amp;"-01"),6),'📋 Транзакції'!$C$5:$C$3623,"&lt;"&amp;EDATE(DATEVALUE(C354&amp;"-01"),7))</f>
        <v>0</v>
      </c>
      <c r="Z354" s="37">
        <f>SUMIFS('📋 Транзакції'!$F$5:$F$3623,'📋 Транзакції'!$B$5:$B$3623,A354,'📋 Транзакції'!$C$5:$C$3623,"&gt;="&amp;EDATE(DATEVALUE(C354&amp;"-01"),7),'📋 Транзакції'!$C$5:$C$3623,"&lt;"&amp;EDATE(DATEVALUE(C354&amp;"-01"),8))</f>
        <v>0</v>
      </c>
      <c r="AA354" s="37">
        <f>SUMIFS('📋 Транзакції'!$F$5:$F$3623,'📋 Транзакції'!$B$5:$B$3623,A354,'📋 Транзакції'!$C$5:$C$3623,"&gt;="&amp;EDATE(DATEVALUE(C354&amp;"-01"),8),'📋 Транзакції'!$C$5:$C$3623,"&lt;"&amp;EDATE(DATEVALUE(C354&amp;"-01"),9))</f>
        <v>0</v>
      </c>
      <c r="AB354" s="37">
        <f>SUMIFS('📋 Транзакції'!$F$5:$F$3623,'📋 Транзакції'!$B$5:$B$3623,A354,'📋 Транзакції'!$C$5:$C$3623,"&gt;="&amp;EDATE(DATEVALUE(C354&amp;"-01"),9),'📋 Транзакції'!$C$5:$C$3623,"&lt;"&amp;EDATE(DATEVALUE(C354&amp;"-01"),10))</f>
        <v>0</v>
      </c>
      <c r="AC354" s="37">
        <f>SUMIFS('📋 Транзакції'!$F$5:$F$3623,'📋 Транзакції'!$B$5:$B$3623,A354,'📋 Транзакції'!$C$5:$C$3623,"&gt;="&amp;EDATE(DATEVALUE(C354&amp;"-01"),10),'📋 Транзакції'!$C$5:$C$3623,"&lt;"&amp;EDATE(DATEVALUE(C354&amp;"-01"),11))</f>
        <v>0</v>
      </c>
      <c r="AD354" s="37">
        <f>SUMIFS('📋 Транзакції'!$F$5:$F$3623,'📋 Транзакції'!$B$5:$B$3623,A354,'📋 Транзакції'!$C$5:$C$3623,"&gt;="&amp;EDATE(DATEVALUE(C354&amp;"-01"),11),'📋 Транзакції'!$C$5:$C$3623,"&lt;"&amp;EDATE(DATEVALUE(C354&amp;"-01"),12))</f>
        <v>0</v>
      </c>
    </row>
    <row r="355" ht="15.75" customHeight="1">
      <c r="A355" s="33" t="str">
        <f>'📋 Реєстрації'!A355:A956</f>
        <v>U0048</v>
      </c>
      <c r="B355" s="34">
        <f t="array" ref="B355">INDEX('📋 Транзакції'!$C$5:$C$3623,MATCH(A355,'📋 Транзакції'!$B$5:$B$3623,0))</f>
        <v>45594</v>
      </c>
      <c r="C355" s="35" t="str">
        <f t="shared" si="1"/>
        <v>2024-10</v>
      </c>
      <c r="D355" s="36">
        <f>COUNTIF('📋 Транзакції'!$B$5:$B$3623,A355)</f>
        <v>6</v>
      </c>
      <c r="E355" s="36">
        <f>SUMIF('📋 Транзакції'!$B$5:$B$3623,A355,'📋 Транзакції'!$F$5:$F$3623)</f>
        <v>99.95</v>
      </c>
      <c r="F355" s="35">
        <f>INT($A$1-MAXIFS('📋 Транзакції'!$C$5:$C$3623,'📋 Транзакції'!$B$5:$B$3623,A355))</f>
        <v>26</v>
      </c>
      <c r="G355" s="37">
        <f>IF(COUNTIFS('📋 Транзакції'!$B$5:$B$3623,A355,'📋 Транзакції'!$C$5:$C$3623,"&gt;="&amp;EDATE(DATEVALUE(C355&amp;"-01"),0),'📋 Транзакції'!$C$5:$C$3623,"&lt;"&amp;EDATE(DATEVALUE(C355&amp;"-01"),1))&gt;0,1,0)</f>
        <v>1</v>
      </c>
      <c r="H355" s="37">
        <f>IF(COUNTIFS('📋 Транзакції'!$B$5:$B$3623,A355,'📋 Транзакції'!$C$5:$C$3623,"&gt;="&amp;EDATE(DATEVALUE(C355&amp;"-01"),1),'📋 Транзакції'!$C$5:$C$3623,"&lt;"&amp;EDATE(DATEVALUE(C355&amp;"-01"),2))&gt;0,1,0)</f>
        <v>1</v>
      </c>
      <c r="I355" s="37">
        <f>IF(COUNTIFS('📋 Транзакції'!$B$5:$B$3623,A355,'📋 Транзакції'!$C$5:$C$3623,"&gt;="&amp;EDATE(DATEVALUE(C355&amp;"-01"),2),'📋 Транзакції'!$C$5:$C$3623,"&lt;"&amp;EDATE(DATEVALUE(C355&amp;"-01"),3))&gt;0,1,0)</f>
        <v>1</v>
      </c>
      <c r="J355" s="37">
        <f>IF(COUNTIFS('📋 Транзакції'!$B$5:$B$3623,A355,'📋 Транзакції'!$C$5:$C$3623,"&gt;="&amp;EDATE(DATEVALUE(C355&amp;"-01"),3),'📋 Транзакції'!$C$5:$C$3623,"&lt;"&amp;EDATE(DATEVALUE(C355&amp;"-01"),4))&gt;0,1,0)</f>
        <v>1</v>
      </c>
      <c r="K355" s="37">
        <f>IF(COUNTIFS('📋 Транзакції'!$B$5:$B$3623,A355,'📋 Транзакції'!$C$5:$C$3623,"&gt;="&amp;EDATE(DATEVALUE(C355&amp;"-01"),4),'📋 Транзакції'!$C$5:$C$3623,"&lt;"&amp;EDATE(DATEVALUE(C355&amp;"-01"),5))&gt;0,1,0)</f>
        <v>1</v>
      </c>
      <c r="L355" s="37">
        <f>IF(COUNTIFS('📋 Транзакції'!$B$5:$B$3623,A355,'📋 Транзакції'!$C$5:$C$3623,"&gt;="&amp;EDATE(DATEVALUE(C355&amp;"-01"),5),'📋 Транзакції'!$C$5:$C$3623,"&lt;"&amp;EDATE(DATEVALUE(C355&amp;"-01"),6))&gt;0,1,0)</f>
        <v>1</v>
      </c>
      <c r="M355" s="37">
        <f>IF(COUNTIFS('📋 Транзакції'!$B$5:$B$3623,A355,'📋 Транзакції'!$C$5:$C$3623,"&gt;="&amp;EDATE(DATEVALUE(C355&amp;"-01"),6),'📋 Транзакції'!$C$5:$C$3623,"&lt;"&amp;EDATE(DATEVALUE(C355&amp;"-01"),7))&gt;0,1,0)</f>
        <v>0</v>
      </c>
      <c r="N355" s="37">
        <f>IF(COUNTIFS('📋 Транзакції'!$B$5:$B$3623,A355,'📋 Транзакції'!$C$5:$C$3623,"&gt;="&amp;EDATE(DATEVALUE(C355&amp;"-01"),7),'📋 Транзакції'!$C$5:$C$3623,"&lt;"&amp;EDATE(DATEVALUE(C355&amp;"-01"),8))&gt;0,1,0)</f>
        <v>0</v>
      </c>
      <c r="O355" s="37">
        <f>IF(COUNTIFS('📋 Транзакції'!$B$5:$B$3623,A355,'📋 Транзакції'!$C$5:$C$3623,"&gt;="&amp;EDATE(DATEVALUE(C355&amp;"-01"),8),'📋 Транзакції'!$C$5:$C$3623,"&lt;"&amp;EDATE(DATEVALUE(C355&amp;"-01"),9))&gt;0,1,0)</f>
        <v>0</v>
      </c>
      <c r="P355" s="37">
        <f>IF(COUNTIFS('📋 Транзакції'!$B$5:$B$3623,A355,'📋 Транзакції'!$C$5:$C$3623,"&gt;="&amp;EDATE(DATEVALUE(C355&amp;"-01"),9),'📋 Транзакції'!$C$5:$C$3623,"&lt;"&amp;EDATE(DATEVALUE(C355&amp;"-01"),10))&gt;0,1,0)</f>
        <v>0</v>
      </c>
      <c r="Q355" s="37">
        <f>IF(COUNTIFS('📋 Транзакції'!$B$5:$B$3623,A355,'📋 Транзакції'!$C$5:$C$3623,"&gt;="&amp;EDATE(DATEVALUE(C355&amp;"-01"),10),'📋 Транзакції'!$C$5:$C$3623,"&lt;"&amp;EDATE(DATEVALUE(C355&amp;"-01"),11))&gt;0,1,0)</f>
        <v>0</v>
      </c>
      <c r="R355" s="37">
        <f>IF(COUNTIFS('📋 Транзакції'!$B$5:$B$3623,A355,'📋 Транзакції'!$C$5:$C$3623,"&gt;="&amp;EDATE(DATEVALUE(C355&amp;"-01"),11),'📋 Транзакції'!$C$5:$C$3623,"&lt;"&amp;EDATE(DATEVALUE(C355&amp;"-01"),12))&gt;0,1,0)</f>
        <v>0</v>
      </c>
      <c r="S355" s="37">
        <f>SUMIFS('📋 Транзакції'!$F$5:$F$3623,'📋 Транзакції'!$B$5:$B$3623,A355,'📋 Транзакції'!$C$5:$C$3623,"&gt;="&amp;EDATE(DATEVALUE(C355&amp;"-01"),0),'📋 Транзакції'!$C$5:$C$3623,"&lt;"&amp;EDATE(DATEVALUE(C355&amp;"-01"),1))</f>
        <v>0</v>
      </c>
      <c r="T355" s="37">
        <f>SUMIFS('📋 Транзакції'!$F$5:$F$3623,'📋 Транзакції'!$B$5:$B$3623,A355,'📋 Транзакції'!$C$5:$C$3623,"&gt;="&amp;EDATE(DATEVALUE(C355&amp;"-01"),1),'📋 Транзакції'!$C$5:$C$3623,"&lt;"&amp;EDATE(DATEVALUE(C355&amp;"-01"),2))</f>
        <v>19.99</v>
      </c>
      <c r="U355" s="37">
        <f>SUMIFS('📋 Транзакції'!$F$5:$F$3623,'📋 Транзакції'!$B$5:$B$3623,A355,'📋 Транзакції'!$C$5:$C$3623,"&gt;="&amp;EDATE(DATEVALUE(C355&amp;"-01"),2),'📋 Транзакції'!$C$5:$C$3623,"&lt;"&amp;EDATE(DATEVALUE(C355&amp;"-01"),3))</f>
        <v>19.99</v>
      </c>
      <c r="V355" s="37">
        <f>SUMIFS('📋 Транзакції'!$F$5:$F$3623,'📋 Транзакції'!$B$5:$B$3623,A355,'📋 Транзакції'!$C$5:$C$3623,"&gt;="&amp;EDATE(DATEVALUE(C355&amp;"-01"),3),'📋 Транзакції'!$C$5:$C$3623,"&lt;"&amp;EDATE(DATEVALUE(C355&amp;"-01"),4))</f>
        <v>19.99</v>
      </c>
      <c r="W355" s="37">
        <f>SUMIFS('📋 Транзакції'!$F$5:$F$3623,'📋 Транзакції'!$B$5:$B$3623,A355,'📋 Транзакції'!$C$5:$C$3623,"&gt;="&amp;EDATE(DATEVALUE(C355&amp;"-01"),4),'📋 Транзакції'!$C$5:$C$3623,"&lt;"&amp;EDATE(DATEVALUE(C355&amp;"-01"),5))</f>
        <v>19.99</v>
      </c>
      <c r="X355" s="37">
        <f>SUMIFS('📋 Транзакції'!$F$5:$F$3623,'📋 Транзакції'!$B$5:$B$3623,A355,'📋 Транзакції'!$C$5:$C$3623,"&gt;="&amp;EDATE(DATEVALUE(C355&amp;"-01"),5),'📋 Транзакції'!$C$5:$C$3623,"&lt;"&amp;EDATE(DATEVALUE(C355&amp;"-01"),6))</f>
        <v>19.99</v>
      </c>
      <c r="Y355" s="37">
        <f>SUMIFS('📋 Транзакції'!$F$5:$F$3623,'📋 Транзакції'!$B$5:$B$3623,A355,'📋 Транзакції'!$C$5:$C$3623,"&gt;="&amp;EDATE(DATEVALUE(C355&amp;"-01"),6),'📋 Транзакції'!$C$5:$C$3623,"&lt;"&amp;EDATE(DATEVALUE(C355&amp;"-01"),7))</f>
        <v>0</v>
      </c>
      <c r="Z355" s="37">
        <f>SUMIFS('📋 Транзакції'!$F$5:$F$3623,'📋 Транзакції'!$B$5:$B$3623,A355,'📋 Транзакції'!$C$5:$C$3623,"&gt;="&amp;EDATE(DATEVALUE(C355&amp;"-01"),7),'📋 Транзакції'!$C$5:$C$3623,"&lt;"&amp;EDATE(DATEVALUE(C355&amp;"-01"),8))</f>
        <v>0</v>
      </c>
      <c r="AA355" s="37">
        <f>SUMIFS('📋 Транзакції'!$F$5:$F$3623,'📋 Транзакції'!$B$5:$B$3623,A355,'📋 Транзакції'!$C$5:$C$3623,"&gt;="&amp;EDATE(DATEVALUE(C355&amp;"-01"),8),'📋 Транзакції'!$C$5:$C$3623,"&lt;"&amp;EDATE(DATEVALUE(C355&amp;"-01"),9))</f>
        <v>0</v>
      </c>
      <c r="AB355" s="37">
        <f>SUMIFS('📋 Транзакції'!$F$5:$F$3623,'📋 Транзакції'!$B$5:$B$3623,A355,'📋 Транзакції'!$C$5:$C$3623,"&gt;="&amp;EDATE(DATEVALUE(C355&amp;"-01"),9),'📋 Транзакції'!$C$5:$C$3623,"&lt;"&amp;EDATE(DATEVALUE(C355&amp;"-01"),10))</f>
        <v>0</v>
      </c>
      <c r="AC355" s="37">
        <f>SUMIFS('📋 Транзакції'!$F$5:$F$3623,'📋 Транзакції'!$B$5:$B$3623,A355,'📋 Транзакції'!$C$5:$C$3623,"&gt;="&amp;EDATE(DATEVALUE(C355&amp;"-01"),10),'📋 Транзакції'!$C$5:$C$3623,"&lt;"&amp;EDATE(DATEVALUE(C355&amp;"-01"),11))</f>
        <v>0</v>
      </c>
      <c r="AD355" s="37">
        <f>SUMIFS('📋 Транзакції'!$F$5:$F$3623,'📋 Транзакції'!$B$5:$B$3623,A355,'📋 Транзакції'!$C$5:$C$3623,"&gt;="&amp;EDATE(DATEVALUE(C355&amp;"-01"),11),'📋 Транзакції'!$C$5:$C$3623,"&lt;"&amp;EDATE(DATEVALUE(C355&amp;"-01"),12))</f>
        <v>0</v>
      </c>
    </row>
    <row r="356" ht="15.75" customHeight="1">
      <c r="A356" s="33" t="str">
        <f>'📋 Реєстрації'!A356:A957</f>
        <v>U0096</v>
      </c>
      <c r="B356" s="34">
        <f t="array" ref="B356">INDEX('📋 Транзакції'!$C$5:$C$3623,MATCH(A356,'📋 Транзакції'!$B$5:$B$3623,0))</f>
        <v>45596</v>
      </c>
      <c r="C356" s="35" t="str">
        <f t="shared" si="1"/>
        <v>2024-10</v>
      </c>
      <c r="D356" s="36">
        <f>COUNTIF('📋 Транзакції'!$B$5:$B$3623,A356)</f>
        <v>6</v>
      </c>
      <c r="E356" s="36">
        <f>SUMIF('📋 Транзакції'!$B$5:$B$3623,A356,'📋 Транзакції'!$F$5:$F$3623)</f>
        <v>99.95</v>
      </c>
      <c r="F356" s="35">
        <f>INT($A$1-MAXIFS('📋 Транзакції'!$C$5:$C$3623,'📋 Транзакції'!$B$5:$B$3623,A356))</f>
        <v>24</v>
      </c>
      <c r="G356" s="37">
        <f>IF(COUNTIFS('📋 Транзакції'!$B$5:$B$3623,A356,'📋 Транзакції'!$C$5:$C$3623,"&gt;="&amp;EDATE(DATEVALUE(C356&amp;"-01"),0),'📋 Транзакції'!$C$5:$C$3623,"&lt;"&amp;EDATE(DATEVALUE(C356&amp;"-01"),1))&gt;0,1,0)</f>
        <v>1</v>
      </c>
      <c r="H356" s="37">
        <f>IF(COUNTIFS('📋 Транзакції'!$B$5:$B$3623,A356,'📋 Транзакції'!$C$5:$C$3623,"&gt;="&amp;EDATE(DATEVALUE(C356&amp;"-01"),1),'📋 Транзакції'!$C$5:$C$3623,"&lt;"&amp;EDATE(DATEVALUE(C356&amp;"-01"),2))&gt;0,1,0)</f>
        <v>1</v>
      </c>
      <c r="I356" s="37">
        <f>IF(COUNTIFS('📋 Транзакції'!$B$5:$B$3623,A356,'📋 Транзакції'!$C$5:$C$3623,"&gt;="&amp;EDATE(DATEVALUE(C356&amp;"-01"),2),'📋 Транзакції'!$C$5:$C$3623,"&lt;"&amp;EDATE(DATEVALUE(C356&amp;"-01"),3))&gt;0,1,0)</f>
        <v>1</v>
      </c>
      <c r="J356" s="37">
        <f>IF(COUNTIFS('📋 Транзакції'!$B$5:$B$3623,A356,'📋 Транзакції'!$C$5:$C$3623,"&gt;="&amp;EDATE(DATEVALUE(C356&amp;"-01"),3),'📋 Транзакції'!$C$5:$C$3623,"&lt;"&amp;EDATE(DATEVALUE(C356&amp;"-01"),4))&gt;0,1,0)</f>
        <v>1</v>
      </c>
      <c r="K356" s="37">
        <f>IF(COUNTIFS('📋 Транзакції'!$B$5:$B$3623,A356,'📋 Транзакції'!$C$5:$C$3623,"&gt;="&amp;EDATE(DATEVALUE(C356&amp;"-01"),4),'📋 Транзакції'!$C$5:$C$3623,"&lt;"&amp;EDATE(DATEVALUE(C356&amp;"-01"),5))&gt;0,1,0)</f>
        <v>1</v>
      </c>
      <c r="L356" s="37">
        <f>IF(COUNTIFS('📋 Транзакції'!$B$5:$B$3623,A356,'📋 Транзакції'!$C$5:$C$3623,"&gt;="&amp;EDATE(DATEVALUE(C356&amp;"-01"),5),'📋 Транзакції'!$C$5:$C$3623,"&lt;"&amp;EDATE(DATEVALUE(C356&amp;"-01"),6))&gt;0,1,0)</f>
        <v>1</v>
      </c>
      <c r="M356" s="37">
        <f>IF(COUNTIFS('📋 Транзакції'!$B$5:$B$3623,A356,'📋 Транзакції'!$C$5:$C$3623,"&gt;="&amp;EDATE(DATEVALUE(C356&amp;"-01"),6),'📋 Транзакції'!$C$5:$C$3623,"&lt;"&amp;EDATE(DATEVALUE(C356&amp;"-01"),7))&gt;0,1,0)</f>
        <v>0</v>
      </c>
      <c r="N356" s="37">
        <f>IF(COUNTIFS('📋 Транзакції'!$B$5:$B$3623,A356,'📋 Транзакції'!$C$5:$C$3623,"&gt;="&amp;EDATE(DATEVALUE(C356&amp;"-01"),7),'📋 Транзакції'!$C$5:$C$3623,"&lt;"&amp;EDATE(DATEVALUE(C356&amp;"-01"),8))&gt;0,1,0)</f>
        <v>0</v>
      </c>
      <c r="O356" s="37">
        <f>IF(COUNTIFS('📋 Транзакції'!$B$5:$B$3623,A356,'📋 Транзакції'!$C$5:$C$3623,"&gt;="&amp;EDATE(DATEVALUE(C356&amp;"-01"),8),'📋 Транзакції'!$C$5:$C$3623,"&lt;"&amp;EDATE(DATEVALUE(C356&amp;"-01"),9))&gt;0,1,0)</f>
        <v>0</v>
      </c>
      <c r="P356" s="37">
        <f>IF(COUNTIFS('📋 Транзакції'!$B$5:$B$3623,A356,'📋 Транзакції'!$C$5:$C$3623,"&gt;="&amp;EDATE(DATEVALUE(C356&amp;"-01"),9),'📋 Транзакції'!$C$5:$C$3623,"&lt;"&amp;EDATE(DATEVALUE(C356&amp;"-01"),10))&gt;0,1,0)</f>
        <v>0</v>
      </c>
      <c r="Q356" s="37">
        <f>IF(COUNTIFS('📋 Транзакції'!$B$5:$B$3623,A356,'📋 Транзакції'!$C$5:$C$3623,"&gt;="&amp;EDATE(DATEVALUE(C356&amp;"-01"),10),'📋 Транзакції'!$C$5:$C$3623,"&lt;"&amp;EDATE(DATEVALUE(C356&amp;"-01"),11))&gt;0,1,0)</f>
        <v>0</v>
      </c>
      <c r="R356" s="37">
        <f>IF(COUNTIFS('📋 Транзакції'!$B$5:$B$3623,A356,'📋 Транзакції'!$C$5:$C$3623,"&gt;="&amp;EDATE(DATEVALUE(C356&amp;"-01"),11),'📋 Транзакції'!$C$5:$C$3623,"&lt;"&amp;EDATE(DATEVALUE(C356&amp;"-01"),12))&gt;0,1,0)</f>
        <v>0</v>
      </c>
      <c r="S356" s="37">
        <f>SUMIFS('📋 Транзакції'!$F$5:$F$3623,'📋 Транзакції'!$B$5:$B$3623,A356,'📋 Транзакції'!$C$5:$C$3623,"&gt;="&amp;EDATE(DATEVALUE(C356&amp;"-01"),0),'📋 Транзакції'!$C$5:$C$3623,"&lt;"&amp;EDATE(DATEVALUE(C356&amp;"-01"),1))</f>
        <v>0</v>
      </c>
      <c r="T356" s="37">
        <f>SUMIFS('📋 Транзакції'!$F$5:$F$3623,'📋 Транзакції'!$B$5:$B$3623,A356,'📋 Транзакції'!$C$5:$C$3623,"&gt;="&amp;EDATE(DATEVALUE(C356&amp;"-01"),1),'📋 Транзакції'!$C$5:$C$3623,"&lt;"&amp;EDATE(DATEVALUE(C356&amp;"-01"),2))</f>
        <v>19.99</v>
      </c>
      <c r="U356" s="37">
        <f>SUMIFS('📋 Транзакції'!$F$5:$F$3623,'📋 Транзакції'!$B$5:$B$3623,A356,'📋 Транзакції'!$C$5:$C$3623,"&gt;="&amp;EDATE(DATEVALUE(C356&amp;"-01"),2),'📋 Транзакції'!$C$5:$C$3623,"&lt;"&amp;EDATE(DATEVALUE(C356&amp;"-01"),3))</f>
        <v>19.99</v>
      </c>
      <c r="V356" s="37">
        <f>SUMIFS('📋 Транзакції'!$F$5:$F$3623,'📋 Транзакції'!$B$5:$B$3623,A356,'📋 Транзакції'!$C$5:$C$3623,"&gt;="&amp;EDATE(DATEVALUE(C356&amp;"-01"),3),'📋 Транзакції'!$C$5:$C$3623,"&lt;"&amp;EDATE(DATEVALUE(C356&amp;"-01"),4))</f>
        <v>19.99</v>
      </c>
      <c r="W356" s="37">
        <f>SUMIFS('📋 Транзакції'!$F$5:$F$3623,'📋 Транзакції'!$B$5:$B$3623,A356,'📋 Транзакції'!$C$5:$C$3623,"&gt;="&amp;EDATE(DATEVALUE(C356&amp;"-01"),4),'📋 Транзакції'!$C$5:$C$3623,"&lt;"&amp;EDATE(DATEVALUE(C356&amp;"-01"),5))</f>
        <v>19.99</v>
      </c>
      <c r="X356" s="37">
        <f>SUMIFS('📋 Транзакції'!$F$5:$F$3623,'📋 Транзакції'!$B$5:$B$3623,A356,'📋 Транзакції'!$C$5:$C$3623,"&gt;="&amp;EDATE(DATEVALUE(C356&amp;"-01"),5),'📋 Транзакції'!$C$5:$C$3623,"&lt;"&amp;EDATE(DATEVALUE(C356&amp;"-01"),6))</f>
        <v>19.99</v>
      </c>
      <c r="Y356" s="37">
        <f>SUMIFS('📋 Транзакції'!$F$5:$F$3623,'📋 Транзакції'!$B$5:$B$3623,A356,'📋 Транзакції'!$C$5:$C$3623,"&gt;="&amp;EDATE(DATEVALUE(C356&amp;"-01"),6),'📋 Транзакції'!$C$5:$C$3623,"&lt;"&amp;EDATE(DATEVALUE(C356&amp;"-01"),7))</f>
        <v>0</v>
      </c>
      <c r="Z356" s="37">
        <f>SUMIFS('📋 Транзакції'!$F$5:$F$3623,'📋 Транзакції'!$B$5:$B$3623,A356,'📋 Транзакції'!$C$5:$C$3623,"&gt;="&amp;EDATE(DATEVALUE(C356&amp;"-01"),7),'📋 Транзакції'!$C$5:$C$3623,"&lt;"&amp;EDATE(DATEVALUE(C356&amp;"-01"),8))</f>
        <v>0</v>
      </c>
      <c r="AA356" s="37">
        <f>SUMIFS('📋 Транзакції'!$F$5:$F$3623,'📋 Транзакції'!$B$5:$B$3623,A356,'📋 Транзакції'!$C$5:$C$3623,"&gt;="&amp;EDATE(DATEVALUE(C356&amp;"-01"),8),'📋 Транзакції'!$C$5:$C$3623,"&lt;"&amp;EDATE(DATEVALUE(C356&amp;"-01"),9))</f>
        <v>0</v>
      </c>
      <c r="AB356" s="37">
        <f>SUMIFS('📋 Транзакції'!$F$5:$F$3623,'📋 Транзакції'!$B$5:$B$3623,A356,'📋 Транзакції'!$C$5:$C$3623,"&gt;="&amp;EDATE(DATEVALUE(C356&amp;"-01"),9),'📋 Транзакції'!$C$5:$C$3623,"&lt;"&amp;EDATE(DATEVALUE(C356&amp;"-01"),10))</f>
        <v>0</v>
      </c>
      <c r="AC356" s="37">
        <f>SUMIFS('📋 Транзакції'!$F$5:$F$3623,'📋 Транзакції'!$B$5:$B$3623,A356,'📋 Транзакції'!$C$5:$C$3623,"&gt;="&amp;EDATE(DATEVALUE(C356&amp;"-01"),10),'📋 Транзакції'!$C$5:$C$3623,"&lt;"&amp;EDATE(DATEVALUE(C356&amp;"-01"),11))</f>
        <v>0</v>
      </c>
      <c r="AD356" s="37">
        <f>SUMIFS('📋 Транзакції'!$F$5:$F$3623,'📋 Транзакції'!$B$5:$B$3623,A356,'📋 Транзакції'!$C$5:$C$3623,"&gt;="&amp;EDATE(DATEVALUE(C356&amp;"-01"),11),'📋 Транзакції'!$C$5:$C$3623,"&lt;"&amp;EDATE(DATEVALUE(C356&amp;"-01"),12))</f>
        <v>0</v>
      </c>
    </row>
    <row r="357" ht="15.75" customHeight="1">
      <c r="A357" s="33" t="str">
        <f>'📋 Реєстрації'!A357:A958</f>
        <v>U0307</v>
      </c>
      <c r="B357" s="34">
        <f t="array" ref="B357">INDEX('📋 Транзакції'!$C$5:$C$3623,MATCH(A357,'📋 Транзакції'!$B$5:$B$3623,0))</f>
        <v>45596</v>
      </c>
      <c r="C357" s="35" t="str">
        <f t="shared" si="1"/>
        <v>2024-10</v>
      </c>
      <c r="D357" s="36">
        <f>COUNTIF('📋 Транзакції'!$B$5:$B$3623,A357)</f>
        <v>6</v>
      </c>
      <c r="E357" s="36">
        <f>SUMIF('📋 Транзакції'!$B$5:$B$3623,A357,'📋 Транзакції'!$F$5:$F$3623)</f>
        <v>99.95</v>
      </c>
      <c r="F357" s="35">
        <f>INT($A$1-MAXIFS('📋 Транзакції'!$C$5:$C$3623,'📋 Транзакції'!$B$5:$B$3623,A357))</f>
        <v>24</v>
      </c>
      <c r="G357" s="37">
        <f>IF(COUNTIFS('📋 Транзакції'!$B$5:$B$3623,A357,'📋 Транзакції'!$C$5:$C$3623,"&gt;="&amp;EDATE(DATEVALUE(C357&amp;"-01"),0),'📋 Транзакції'!$C$5:$C$3623,"&lt;"&amp;EDATE(DATEVALUE(C357&amp;"-01"),1))&gt;0,1,0)</f>
        <v>1</v>
      </c>
      <c r="H357" s="37">
        <f>IF(COUNTIFS('📋 Транзакції'!$B$5:$B$3623,A357,'📋 Транзакції'!$C$5:$C$3623,"&gt;="&amp;EDATE(DATEVALUE(C357&amp;"-01"),1),'📋 Транзакції'!$C$5:$C$3623,"&lt;"&amp;EDATE(DATEVALUE(C357&amp;"-01"),2))&gt;0,1,0)</f>
        <v>1</v>
      </c>
      <c r="I357" s="37">
        <f>IF(COUNTIFS('📋 Транзакції'!$B$5:$B$3623,A357,'📋 Транзакції'!$C$5:$C$3623,"&gt;="&amp;EDATE(DATEVALUE(C357&amp;"-01"),2),'📋 Транзакції'!$C$5:$C$3623,"&lt;"&amp;EDATE(DATEVALUE(C357&amp;"-01"),3))&gt;0,1,0)</f>
        <v>1</v>
      </c>
      <c r="J357" s="37">
        <f>IF(COUNTIFS('📋 Транзакції'!$B$5:$B$3623,A357,'📋 Транзакції'!$C$5:$C$3623,"&gt;="&amp;EDATE(DATEVALUE(C357&amp;"-01"),3),'📋 Транзакції'!$C$5:$C$3623,"&lt;"&amp;EDATE(DATEVALUE(C357&amp;"-01"),4))&gt;0,1,0)</f>
        <v>1</v>
      </c>
      <c r="K357" s="37">
        <f>IF(COUNTIFS('📋 Транзакції'!$B$5:$B$3623,A357,'📋 Транзакції'!$C$5:$C$3623,"&gt;="&amp;EDATE(DATEVALUE(C357&amp;"-01"),4),'📋 Транзакції'!$C$5:$C$3623,"&lt;"&amp;EDATE(DATEVALUE(C357&amp;"-01"),5))&gt;0,1,0)</f>
        <v>1</v>
      </c>
      <c r="L357" s="37">
        <f>IF(COUNTIFS('📋 Транзакції'!$B$5:$B$3623,A357,'📋 Транзакції'!$C$5:$C$3623,"&gt;="&amp;EDATE(DATEVALUE(C357&amp;"-01"),5),'📋 Транзакції'!$C$5:$C$3623,"&lt;"&amp;EDATE(DATEVALUE(C357&amp;"-01"),6))&gt;0,1,0)</f>
        <v>1</v>
      </c>
      <c r="M357" s="37">
        <f>IF(COUNTIFS('📋 Транзакції'!$B$5:$B$3623,A357,'📋 Транзакції'!$C$5:$C$3623,"&gt;="&amp;EDATE(DATEVALUE(C357&amp;"-01"),6),'📋 Транзакції'!$C$5:$C$3623,"&lt;"&amp;EDATE(DATEVALUE(C357&amp;"-01"),7))&gt;0,1,0)</f>
        <v>0</v>
      </c>
      <c r="N357" s="37">
        <f>IF(COUNTIFS('📋 Транзакції'!$B$5:$B$3623,A357,'📋 Транзакції'!$C$5:$C$3623,"&gt;="&amp;EDATE(DATEVALUE(C357&amp;"-01"),7),'📋 Транзакції'!$C$5:$C$3623,"&lt;"&amp;EDATE(DATEVALUE(C357&amp;"-01"),8))&gt;0,1,0)</f>
        <v>0</v>
      </c>
      <c r="O357" s="37">
        <f>IF(COUNTIFS('📋 Транзакції'!$B$5:$B$3623,A357,'📋 Транзакції'!$C$5:$C$3623,"&gt;="&amp;EDATE(DATEVALUE(C357&amp;"-01"),8),'📋 Транзакції'!$C$5:$C$3623,"&lt;"&amp;EDATE(DATEVALUE(C357&amp;"-01"),9))&gt;0,1,0)</f>
        <v>0</v>
      </c>
      <c r="P357" s="37">
        <f>IF(COUNTIFS('📋 Транзакції'!$B$5:$B$3623,A357,'📋 Транзакції'!$C$5:$C$3623,"&gt;="&amp;EDATE(DATEVALUE(C357&amp;"-01"),9),'📋 Транзакції'!$C$5:$C$3623,"&lt;"&amp;EDATE(DATEVALUE(C357&amp;"-01"),10))&gt;0,1,0)</f>
        <v>0</v>
      </c>
      <c r="Q357" s="37">
        <f>IF(COUNTIFS('📋 Транзакції'!$B$5:$B$3623,A357,'📋 Транзакції'!$C$5:$C$3623,"&gt;="&amp;EDATE(DATEVALUE(C357&amp;"-01"),10),'📋 Транзакції'!$C$5:$C$3623,"&lt;"&amp;EDATE(DATEVALUE(C357&amp;"-01"),11))&gt;0,1,0)</f>
        <v>0</v>
      </c>
      <c r="R357" s="37">
        <f>IF(COUNTIFS('📋 Транзакції'!$B$5:$B$3623,A357,'📋 Транзакції'!$C$5:$C$3623,"&gt;="&amp;EDATE(DATEVALUE(C357&amp;"-01"),11),'📋 Транзакції'!$C$5:$C$3623,"&lt;"&amp;EDATE(DATEVALUE(C357&amp;"-01"),12))&gt;0,1,0)</f>
        <v>0</v>
      </c>
      <c r="S357" s="37">
        <f>SUMIFS('📋 Транзакції'!$F$5:$F$3623,'📋 Транзакції'!$B$5:$B$3623,A357,'📋 Транзакції'!$C$5:$C$3623,"&gt;="&amp;EDATE(DATEVALUE(C357&amp;"-01"),0),'📋 Транзакції'!$C$5:$C$3623,"&lt;"&amp;EDATE(DATEVALUE(C357&amp;"-01"),1))</f>
        <v>0</v>
      </c>
      <c r="T357" s="37">
        <f>SUMIFS('📋 Транзакції'!$F$5:$F$3623,'📋 Транзакції'!$B$5:$B$3623,A357,'📋 Транзакції'!$C$5:$C$3623,"&gt;="&amp;EDATE(DATEVALUE(C357&amp;"-01"),1),'📋 Транзакції'!$C$5:$C$3623,"&lt;"&amp;EDATE(DATEVALUE(C357&amp;"-01"),2))</f>
        <v>19.99</v>
      </c>
      <c r="U357" s="37">
        <f>SUMIFS('📋 Транзакції'!$F$5:$F$3623,'📋 Транзакції'!$B$5:$B$3623,A357,'📋 Транзакції'!$C$5:$C$3623,"&gt;="&amp;EDATE(DATEVALUE(C357&amp;"-01"),2),'📋 Транзакції'!$C$5:$C$3623,"&lt;"&amp;EDATE(DATEVALUE(C357&amp;"-01"),3))</f>
        <v>19.99</v>
      </c>
      <c r="V357" s="37">
        <f>SUMIFS('📋 Транзакції'!$F$5:$F$3623,'📋 Транзакції'!$B$5:$B$3623,A357,'📋 Транзакції'!$C$5:$C$3623,"&gt;="&amp;EDATE(DATEVALUE(C357&amp;"-01"),3),'📋 Транзакції'!$C$5:$C$3623,"&lt;"&amp;EDATE(DATEVALUE(C357&amp;"-01"),4))</f>
        <v>19.99</v>
      </c>
      <c r="W357" s="37">
        <f>SUMIFS('📋 Транзакції'!$F$5:$F$3623,'📋 Транзакції'!$B$5:$B$3623,A357,'📋 Транзакції'!$C$5:$C$3623,"&gt;="&amp;EDATE(DATEVALUE(C357&amp;"-01"),4),'📋 Транзакції'!$C$5:$C$3623,"&lt;"&amp;EDATE(DATEVALUE(C357&amp;"-01"),5))</f>
        <v>19.99</v>
      </c>
      <c r="X357" s="37">
        <f>SUMIFS('📋 Транзакції'!$F$5:$F$3623,'📋 Транзакції'!$B$5:$B$3623,A357,'📋 Транзакції'!$C$5:$C$3623,"&gt;="&amp;EDATE(DATEVALUE(C357&amp;"-01"),5),'📋 Транзакції'!$C$5:$C$3623,"&lt;"&amp;EDATE(DATEVALUE(C357&amp;"-01"),6))</f>
        <v>19.99</v>
      </c>
      <c r="Y357" s="37">
        <f>SUMIFS('📋 Транзакції'!$F$5:$F$3623,'📋 Транзакції'!$B$5:$B$3623,A357,'📋 Транзакції'!$C$5:$C$3623,"&gt;="&amp;EDATE(DATEVALUE(C357&amp;"-01"),6),'📋 Транзакції'!$C$5:$C$3623,"&lt;"&amp;EDATE(DATEVALUE(C357&amp;"-01"),7))</f>
        <v>0</v>
      </c>
      <c r="Z357" s="37">
        <f>SUMIFS('📋 Транзакції'!$F$5:$F$3623,'📋 Транзакції'!$B$5:$B$3623,A357,'📋 Транзакції'!$C$5:$C$3623,"&gt;="&amp;EDATE(DATEVALUE(C357&amp;"-01"),7),'📋 Транзакції'!$C$5:$C$3623,"&lt;"&amp;EDATE(DATEVALUE(C357&amp;"-01"),8))</f>
        <v>0</v>
      </c>
      <c r="AA357" s="37">
        <f>SUMIFS('📋 Транзакції'!$F$5:$F$3623,'📋 Транзакції'!$B$5:$B$3623,A357,'📋 Транзакції'!$C$5:$C$3623,"&gt;="&amp;EDATE(DATEVALUE(C357&amp;"-01"),8),'📋 Транзакції'!$C$5:$C$3623,"&lt;"&amp;EDATE(DATEVALUE(C357&amp;"-01"),9))</f>
        <v>0</v>
      </c>
      <c r="AB357" s="37">
        <f>SUMIFS('📋 Транзакції'!$F$5:$F$3623,'📋 Транзакції'!$B$5:$B$3623,A357,'📋 Транзакції'!$C$5:$C$3623,"&gt;="&amp;EDATE(DATEVALUE(C357&amp;"-01"),9),'📋 Транзакції'!$C$5:$C$3623,"&lt;"&amp;EDATE(DATEVALUE(C357&amp;"-01"),10))</f>
        <v>0</v>
      </c>
      <c r="AC357" s="37">
        <f>SUMIFS('📋 Транзакції'!$F$5:$F$3623,'📋 Транзакції'!$B$5:$B$3623,A357,'📋 Транзакції'!$C$5:$C$3623,"&gt;="&amp;EDATE(DATEVALUE(C357&amp;"-01"),10),'📋 Транзакції'!$C$5:$C$3623,"&lt;"&amp;EDATE(DATEVALUE(C357&amp;"-01"),11))</f>
        <v>0</v>
      </c>
      <c r="AD357" s="37">
        <f>SUMIFS('📋 Транзакції'!$F$5:$F$3623,'📋 Транзакції'!$B$5:$B$3623,A357,'📋 Транзакції'!$C$5:$C$3623,"&gt;="&amp;EDATE(DATEVALUE(C357&amp;"-01"),11),'📋 Транзакції'!$C$5:$C$3623,"&lt;"&amp;EDATE(DATEVALUE(C357&amp;"-01"),12))</f>
        <v>0</v>
      </c>
    </row>
    <row r="358" ht="15.75" customHeight="1">
      <c r="A358" s="33" t="str">
        <f>'📋 Реєстрації'!A358:A959</f>
        <v>U0485</v>
      </c>
      <c r="B358" s="34">
        <f t="array" ref="B358">INDEX('📋 Транзакції'!$C$5:$C$3623,MATCH(A358,'📋 Транзакції'!$B$5:$B$3623,0))</f>
        <v>45597</v>
      </c>
      <c r="C358" s="35" t="str">
        <f t="shared" si="1"/>
        <v>2024-11</v>
      </c>
      <c r="D358" s="36">
        <f>COUNTIF('📋 Транзакції'!$B$5:$B$3623,A358)</f>
        <v>6</v>
      </c>
      <c r="E358" s="36">
        <f>SUMIF('📋 Транзакції'!$B$5:$B$3623,A358,'📋 Транзакції'!$F$5:$F$3623)</f>
        <v>99.95</v>
      </c>
      <c r="F358" s="35">
        <f>INT($A$1-MAXIFS('📋 Транзакції'!$C$5:$C$3623,'📋 Транзакції'!$B$5:$B$3623,A358))</f>
        <v>23</v>
      </c>
      <c r="G358" s="37">
        <f>IF(COUNTIFS('📋 Транзакції'!$B$5:$B$3623,A358,'📋 Транзакції'!$C$5:$C$3623,"&gt;="&amp;EDATE(DATEVALUE(C358&amp;"-01"),0),'📋 Транзакції'!$C$5:$C$3623,"&lt;"&amp;EDATE(DATEVALUE(C358&amp;"-01"),1))&gt;0,1,0)</f>
        <v>1</v>
      </c>
      <c r="H358" s="37">
        <f>IF(COUNTIFS('📋 Транзакції'!$B$5:$B$3623,A358,'📋 Транзакції'!$C$5:$C$3623,"&gt;="&amp;EDATE(DATEVALUE(C358&amp;"-01"),1),'📋 Транзакції'!$C$5:$C$3623,"&lt;"&amp;EDATE(DATEVALUE(C358&amp;"-01"),2))&gt;0,1,0)</f>
        <v>1</v>
      </c>
      <c r="I358" s="37">
        <f>IF(COUNTIFS('📋 Транзакції'!$B$5:$B$3623,A358,'📋 Транзакції'!$C$5:$C$3623,"&gt;="&amp;EDATE(DATEVALUE(C358&amp;"-01"),2),'📋 Транзакції'!$C$5:$C$3623,"&lt;"&amp;EDATE(DATEVALUE(C358&amp;"-01"),3))&gt;0,1,0)</f>
        <v>1</v>
      </c>
      <c r="J358" s="37">
        <f>IF(COUNTIFS('📋 Транзакції'!$B$5:$B$3623,A358,'📋 Транзакції'!$C$5:$C$3623,"&gt;="&amp;EDATE(DATEVALUE(C358&amp;"-01"),3),'📋 Транзакції'!$C$5:$C$3623,"&lt;"&amp;EDATE(DATEVALUE(C358&amp;"-01"),4))&gt;0,1,0)</f>
        <v>1</v>
      </c>
      <c r="K358" s="37">
        <f>IF(COUNTIFS('📋 Транзакції'!$B$5:$B$3623,A358,'📋 Транзакції'!$C$5:$C$3623,"&gt;="&amp;EDATE(DATEVALUE(C358&amp;"-01"),4),'📋 Транзакції'!$C$5:$C$3623,"&lt;"&amp;EDATE(DATEVALUE(C358&amp;"-01"),5))&gt;0,1,0)</f>
        <v>1</v>
      </c>
      <c r="L358" s="37">
        <f>IF(COUNTIFS('📋 Транзакції'!$B$5:$B$3623,A358,'📋 Транзакції'!$C$5:$C$3623,"&gt;="&amp;EDATE(DATEVALUE(C358&amp;"-01"),5),'📋 Транзакції'!$C$5:$C$3623,"&lt;"&amp;EDATE(DATEVALUE(C358&amp;"-01"),6))&gt;0,1,0)</f>
        <v>0</v>
      </c>
      <c r="M358" s="37">
        <f>IF(COUNTIFS('📋 Транзакції'!$B$5:$B$3623,A358,'📋 Транзакції'!$C$5:$C$3623,"&gt;="&amp;EDATE(DATEVALUE(C358&amp;"-01"),6),'📋 Транзакції'!$C$5:$C$3623,"&lt;"&amp;EDATE(DATEVALUE(C358&amp;"-01"),7))&gt;0,1,0)</f>
        <v>0</v>
      </c>
      <c r="N358" s="37">
        <f>IF(COUNTIFS('📋 Транзакції'!$B$5:$B$3623,A358,'📋 Транзакції'!$C$5:$C$3623,"&gt;="&amp;EDATE(DATEVALUE(C358&amp;"-01"),7),'📋 Транзакції'!$C$5:$C$3623,"&lt;"&amp;EDATE(DATEVALUE(C358&amp;"-01"),8))&gt;0,1,0)</f>
        <v>0</v>
      </c>
      <c r="O358" s="37">
        <f>IF(COUNTIFS('📋 Транзакції'!$B$5:$B$3623,A358,'📋 Транзакції'!$C$5:$C$3623,"&gt;="&amp;EDATE(DATEVALUE(C358&amp;"-01"),8),'📋 Транзакції'!$C$5:$C$3623,"&lt;"&amp;EDATE(DATEVALUE(C358&amp;"-01"),9))&gt;0,1,0)</f>
        <v>0</v>
      </c>
      <c r="P358" s="37">
        <f>IF(COUNTIFS('📋 Транзакції'!$B$5:$B$3623,A358,'📋 Транзакції'!$C$5:$C$3623,"&gt;="&amp;EDATE(DATEVALUE(C358&amp;"-01"),9),'📋 Транзакції'!$C$5:$C$3623,"&lt;"&amp;EDATE(DATEVALUE(C358&amp;"-01"),10))&gt;0,1,0)</f>
        <v>0</v>
      </c>
      <c r="Q358" s="37">
        <f>IF(COUNTIFS('📋 Транзакції'!$B$5:$B$3623,A358,'📋 Транзакції'!$C$5:$C$3623,"&gt;="&amp;EDATE(DATEVALUE(C358&amp;"-01"),10),'📋 Транзакції'!$C$5:$C$3623,"&lt;"&amp;EDATE(DATEVALUE(C358&amp;"-01"),11))&gt;0,1,0)</f>
        <v>0</v>
      </c>
      <c r="R358" s="37">
        <f>IF(COUNTIFS('📋 Транзакції'!$B$5:$B$3623,A358,'📋 Транзакції'!$C$5:$C$3623,"&gt;="&amp;EDATE(DATEVALUE(C358&amp;"-01"),11),'📋 Транзакції'!$C$5:$C$3623,"&lt;"&amp;EDATE(DATEVALUE(C358&amp;"-01"),12))&gt;0,1,0)</f>
        <v>0</v>
      </c>
      <c r="S358" s="37">
        <f>SUMIFS('📋 Транзакції'!$F$5:$F$3623,'📋 Транзакції'!$B$5:$B$3623,A358,'📋 Транзакції'!$C$5:$C$3623,"&gt;="&amp;EDATE(DATEVALUE(C358&amp;"-01"),0),'📋 Транзакції'!$C$5:$C$3623,"&lt;"&amp;EDATE(DATEVALUE(C358&amp;"-01"),1))</f>
        <v>19.99</v>
      </c>
      <c r="T358" s="37">
        <f>SUMIFS('📋 Транзакції'!$F$5:$F$3623,'📋 Транзакції'!$B$5:$B$3623,A358,'📋 Транзакції'!$C$5:$C$3623,"&gt;="&amp;EDATE(DATEVALUE(C358&amp;"-01"),1),'📋 Транзакції'!$C$5:$C$3623,"&lt;"&amp;EDATE(DATEVALUE(C358&amp;"-01"),2))</f>
        <v>19.99</v>
      </c>
      <c r="U358" s="37">
        <f>SUMIFS('📋 Транзакції'!$F$5:$F$3623,'📋 Транзакції'!$B$5:$B$3623,A358,'📋 Транзакції'!$C$5:$C$3623,"&gt;="&amp;EDATE(DATEVALUE(C358&amp;"-01"),2),'📋 Транзакції'!$C$5:$C$3623,"&lt;"&amp;EDATE(DATEVALUE(C358&amp;"-01"),3))</f>
        <v>19.99</v>
      </c>
      <c r="V358" s="37">
        <f>SUMIFS('📋 Транзакції'!$F$5:$F$3623,'📋 Транзакції'!$B$5:$B$3623,A358,'📋 Транзакції'!$C$5:$C$3623,"&gt;="&amp;EDATE(DATEVALUE(C358&amp;"-01"),3),'📋 Транзакції'!$C$5:$C$3623,"&lt;"&amp;EDATE(DATEVALUE(C358&amp;"-01"),4))</f>
        <v>19.99</v>
      </c>
      <c r="W358" s="37">
        <f>SUMIFS('📋 Транзакції'!$F$5:$F$3623,'📋 Транзакції'!$B$5:$B$3623,A358,'📋 Транзакції'!$C$5:$C$3623,"&gt;="&amp;EDATE(DATEVALUE(C358&amp;"-01"),4),'📋 Транзакції'!$C$5:$C$3623,"&lt;"&amp;EDATE(DATEVALUE(C358&amp;"-01"),5))</f>
        <v>19.99</v>
      </c>
      <c r="X358" s="37">
        <f>SUMIFS('📋 Транзакції'!$F$5:$F$3623,'📋 Транзакції'!$B$5:$B$3623,A358,'📋 Транзакції'!$C$5:$C$3623,"&gt;="&amp;EDATE(DATEVALUE(C358&amp;"-01"),5),'📋 Транзакції'!$C$5:$C$3623,"&lt;"&amp;EDATE(DATEVALUE(C358&amp;"-01"),6))</f>
        <v>0</v>
      </c>
      <c r="Y358" s="37">
        <f>SUMIFS('📋 Транзакції'!$F$5:$F$3623,'📋 Транзакції'!$B$5:$B$3623,A358,'📋 Транзакції'!$C$5:$C$3623,"&gt;="&amp;EDATE(DATEVALUE(C358&amp;"-01"),6),'📋 Транзакції'!$C$5:$C$3623,"&lt;"&amp;EDATE(DATEVALUE(C358&amp;"-01"),7))</f>
        <v>0</v>
      </c>
      <c r="Z358" s="37">
        <f>SUMIFS('📋 Транзакції'!$F$5:$F$3623,'📋 Транзакції'!$B$5:$B$3623,A358,'📋 Транзакції'!$C$5:$C$3623,"&gt;="&amp;EDATE(DATEVALUE(C358&amp;"-01"),7),'📋 Транзакції'!$C$5:$C$3623,"&lt;"&amp;EDATE(DATEVALUE(C358&amp;"-01"),8))</f>
        <v>0</v>
      </c>
      <c r="AA358" s="37">
        <f>SUMIFS('📋 Транзакції'!$F$5:$F$3623,'📋 Транзакції'!$B$5:$B$3623,A358,'📋 Транзакції'!$C$5:$C$3623,"&gt;="&amp;EDATE(DATEVALUE(C358&amp;"-01"),8),'📋 Транзакції'!$C$5:$C$3623,"&lt;"&amp;EDATE(DATEVALUE(C358&amp;"-01"),9))</f>
        <v>0</v>
      </c>
      <c r="AB358" s="37">
        <f>SUMIFS('📋 Транзакції'!$F$5:$F$3623,'📋 Транзакції'!$B$5:$B$3623,A358,'📋 Транзакції'!$C$5:$C$3623,"&gt;="&amp;EDATE(DATEVALUE(C358&amp;"-01"),9),'📋 Транзакції'!$C$5:$C$3623,"&lt;"&amp;EDATE(DATEVALUE(C358&amp;"-01"),10))</f>
        <v>0</v>
      </c>
      <c r="AC358" s="37">
        <f>SUMIFS('📋 Транзакції'!$F$5:$F$3623,'📋 Транзакції'!$B$5:$B$3623,A358,'📋 Транзакції'!$C$5:$C$3623,"&gt;="&amp;EDATE(DATEVALUE(C358&amp;"-01"),10),'📋 Транзакції'!$C$5:$C$3623,"&lt;"&amp;EDATE(DATEVALUE(C358&amp;"-01"),11))</f>
        <v>0</v>
      </c>
      <c r="AD358" s="37">
        <f>SUMIFS('📋 Транзакції'!$F$5:$F$3623,'📋 Транзакції'!$B$5:$B$3623,A358,'📋 Транзакції'!$C$5:$C$3623,"&gt;="&amp;EDATE(DATEVALUE(C358&amp;"-01"),11),'📋 Транзакції'!$C$5:$C$3623,"&lt;"&amp;EDATE(DATEVALUE(C358&amp;"-01"),12))</f>
        <v>0</v>
      </c>
    </row>
    <row r="359" ht="15.75" customHeight="1">
      <c r="A359" s="33" t="str">
        <f>'📋 Реєстрації'!A359:A960</f>
        <v>U0554</v>
      </c>
      <c r="B359" s="34">
        <f t="array" ref="B359">INDEX('📋 Транзакції'!$C$5:$C$3623,MATCH(A359,'📋 Транзакції'!$B$5:$B$3623,0))</f>
        <v>45597</v>
      </c>
      <c r="C359" s="35" t="str">
        <f t="shared" si="1"/>
        <v>2024-11</v>
      </c>
      <c r="D359" s="36">
        <f>COUNTIF('📋 Транзакції'!$B$5:$B$3623,A359)</f>
        <v>6</v>
      </c>
      <c r="E359" s="36">
        <f>SUMIF('📋 Транзакції'!$B$5:$B$3623,A359,'📋 Транзакції'!$F$5:$F$3623)</f>
        <v>99.95</v>
      </c>
      <c r="F359" s="35">
        <f>INT($A$1-MAXIFS('📋 Транзакції'!$C$5:$C$3623,'📋 Транзакції'!$B$5:$B$3623,A359))</f>
        <v>23</v>
      </c>
      <c r="G359" s="37">
        <f>IF(COUNTIFS('📋 Транзакції'!$B$5:$B$3623,A359,'📋 Транзакції'!$C$5:$C$3623,"&gt;="&amp;EDATE(DATEVALUE(C359&amp;"-01"),0),'📋 Транзакції'!$C$5:$C$3623,"&lt;"&amp;EDATE(DATEVALUE(C359&amp;"-01"),1))&gt;0,1,0)</f>
        <v>1</v>
      </c>
      <c r="H359" s="37">
        <f>IF(COUNTIFS('📋 Транзакції'!$B$5:$B$3623,A359,'📋 Транзакції'!$C$5:$C$3623,"&gt;="&amp;EDATE(DATEVALUE(C359&amp;"-01"),1),'📋 Транзакції'!$C$5:$C$3623,"&lt;"&amp;EDATE(DATEVALUE(C359&amp;"-01"),2))&gt;0,1,0)</f>
        <v>1</v>
      </c>
      <c r="I359" s="37">
        <f>IF(COUNTIFS('📋 Транзакції'!$B$5:$B$3623,A359,'📋 Транзакції'!$C$5:$C$3623,"&gt;="&amp;EDATE(DATEVALUE(C359&amp;"-01"),2),'📋 Транзакції'!$C$5:$C$3623,"&lt;"&amp;EDATE(DATEVALUE(C359&amp;"-01"),3))&gt;0,1,0)</f>
        <v>1</v>
      </c>
      <c r="J359" s="37">
        <f>IF(COUNTIFS('📋 Транзакції'!$B$5:$B$3623,A359,'📋 Транзакції'!$C$5:$C$3623,"&gt;="&amp;EDATE(DATEVALUE(C359&amp;"-01"),3),'📋 Транзакції'!$C$5:$C$3623,"&lt;"&amp;EDATE(DATEVALUE(C359&amp;"-01"),4))&gt;0,1,0)</f>
        <v>1</v>
      </c>
      <c r="K359" s="37">
        <f>IF(COUNTIFS('📋 Транзакції'!$B$5:$B$3623,A359,'📋 Транзакції'!$C$5:$C$3623,"&gt;="&amp;EDATE(DATEVALUE(C359&amp;"-01"),4),'📋 Транзакції'!$C$5:$C$3623,"&lt;"&amp;EDATE(DATEVALUE(C359&amp;"-01"),5))&gt;0,1,0)</f>
        <v>1</v>
      </c>
      <c r="L359" s="37">
        <f>IF(COUNTIFS('📋 Транзакції'!$B$5:$B$3623,A359,'📋 Транзакції'!$C$5:$C$3623,"&gt;="&amp;EDATE(DATEVALUE(C359&amp;"-01"),5),'📋 Транзакції'!$C$5:$C$3623,"&lt;"&amp;EDATE(DATEVALUE(C359&amp;"-01"),6))&gt;0,1,0)</f>
        <v>0</v>
      </c>
      <c r="M359" s="37">
        <f>IF(COUNTIFS('📋 Транзакції'!$B$5:$B$3623,A359,'📋 Транзакції'!$C$5:$C$3623,"&gt;="&amp;EDATE(DATEVALUE(C359&amp;"-01"),6),'📋 Транзакції'!$C$5:$C$3623,"&lt;"&amp;EDATE(DATEVALUE(C359&amp;"-01"),7))&gt;0,1,0)</f>
        <v>0</v>
      </c>
      <c r="N359" s="37">
        <f>IF(COUNTIFS('📋 Транзакції'!$B$5:$B$3623,A359,'📋 Транзакції'!$C$5:$C$3623,"&gt;="&amp;EDATE(DATEVALUE(C359&amp;"-01"),7),'📋 Транзакції'!$C$5:$C$3623,"&lt;"&amp;EDATE(DATEVALUE(C359&amp;"-01"),8))&gt;0,1,0)</f>
        <v>0</v>
      </c>
      <c r="O359" s="37">
        <f>IF(COUNTIFS('📋 Транзакції'!$B$5:$B$3623,A359,'📋 Транзакції'!$C$5:$C$3623,"&gt;="&amp;EDATE(DATEVALUE(C359&amp;"-01"),8),'📋 Транзакції'!$C$5:$C$3623,"&lt;"&amp;EDATE(DATEVALUE(C359&amp;"-01"),9))&gt;0,1,0)</f>
        <v>0</v>
      </c>
      <c r="P359" s="37">
        <f>IF(COUNTIFS('📋 Транзакції'!$B$5:$B$3623,A359,'📋 Транзакції'!$C$5:$C$3623,"&gt;="&amp;EDATE(DATEVALUE(C359&amp;"-01"),9),'📋 Транзакції'!$C$5:$C$3623,"&lt;"&amp;EDATE(DATEVALUE(C359&amp;"-01"),10))&gt;0,1,0)</f>
        <v>0</v>
      </c>
      <c r="Q359" s="37">
        <f>IF(COUNTIFS('📋 Транзакції'!$B$5:$B$3623,A359,'📋 Транзакції'!$C$5:$C$3623,"&gt;="&amp;EDATE(DATEVALUE(C359&amp;"-01"),10),'📋 Транзакції'!$C$5:$C$3623,"&lt;"&amp;EDATE(DATEVALUE(C359&amp;"-01"),11))&gt;0,1,0)</f>
        <v>0</v>
      </c>
      <c r="R359" s="37">
        <f>IF(COUNTIFS('📋 Транзакції'!$B$5:$B$3623,A359,'📋 Транзакції'!$C$5:$C$3623,"&gt;="&amp;EDATE(DATEVALUE(C359&amp;"-01"),11),'📋 Транзакції'!$C$5:$C$3623,"&lt;"&amp;EDATE(DATEVALUE(C359&amp;"-01"),12))&gt;0,1,0)</f>
        <v>0</v>
      </c>
      <c r="S359" s="37">
        <f>SUMIFS('📋 Транзакції'!$F$5:$F$3623,'📋 Транзакції'!$B$5:$B$3623,A359,'📋 Транзакції'!$C$5:$C$3623,"&gt;="&amp;EDATE(DATEVALUE(C359&amp;"-01"),0),'📋 Транзакції'!$C$5:$C$3623,"&lt;"&amp;EDATE(DATEVALUE(C359&amp;"-01"),1))</f>
        <v>19.99</v>
      </c>
      <c r="T359" s="37">
        <f>SUMIFS('📋 Транзакції'!$F$5:$F$3623,'📋 Транзакції'!$B$5:$B$3623,A359,'📋 Транзакції'!$C$5:$C$3623,"&gt;="&amp;EDATE(DATEVALUE(C359&amp;"-01"),1),'📋 Транзакції'!$C$5:$C$3623,"&lt;"&amp;EDATE(DATEVALUE(C359&amp;"-01"),2))</f>
        <v>19.99</v>
      </c>
      <c r="U359" s="37">
        <f>SUMIFS('📋 Транзакції'!$F$5:$F$3623,'📋 Транзакції'!$B$5:$B$3623,A359,'📋 Транзакції'!$C$5:$C$3623,"&gt;="&amp;EDATE(DATEVALUE(C359&amp;"-01"),2),'📋 Транзакції'!$C$5:$C$3623,"&lt;"&amp;EDATE(DATEVALUE(C359&amp;"-01"),3))</f>
        <v>19.99</v>
      </c>
      <c r="V359" s="37">
        <f>SUMIFS('📋 Транзакції'!$F$5:$F$3623,'📋 Транзакції'!$B$5:$B$3623,A359,'📋 Транзакції'!$C$5:$C$3623,"&gt;="&amp;EDATE(DATEVALUE(C359&amp;"-01"),3),'📋 Транзакції'!$C$5:$C$3623,"&lt;"&amp;EDATE(DATEVALUE(C359&amp;"-01"),4))</f>
        <v>19.99</v>
      </c>
      <c r="W359" s="37">
        <f>SUMIFS('📋 Транзакції'!$F$5:$F$3623,'📋 Транзакції'!$B$5:$B$3623,A359,'📋 Транзакції'!$C$5:$C$3623,"&gt;="&amp;EDATE(DATEVALUE(C359&amp;"-01"),4),'📋 Транзакції'!$C$5:$C$3623,"&lt;"&amp;EDATE(DATEVALUE(C359&amp;"-01"),5))</f>
        <v>19.99</v>
      </c>
      <c r="X359" s="37">
        <f>SUMIFS('📋 Транзакції'!$F$5:$F$3623,'📋 Транзакції'!$B$5:$B$3623,A359,'📋 Транзакції'!$C$5:$C$3623,"&gt;="&amp;EDATE(DATEVALUE(C359&amp;"-01"),5),'📋 Транзакції'!$C$5:$C$3623,"&lt;"&amp;EDATE(DATEVALUE(C359&amp;"-01"),6))</f>
        <v>0</v>
      </c>
      <c r="Y359" s="37">
        <f>SUMIFS('📋 Транзакції'!$F$5:$F$3623,'📋 Транзакції'!$B$5:$B$3623,A359,'📋 Транзакції'!$C$5:$C$3623,"&gt;="&amp;EDATE(DATEVALUE(C359&amp;"-01"),6),'📋 Транзакції'!$C$5:$C$3623,"&lt;"&amp;EDATE(DATEVALUE(C359&amp;"-01"),7))</f>
        <v>0</v>
      </c>
      <c r="Z359" s="37">
        <f>SUMIFS('📋 Транзакції'!$F$5:$F$3623,'📋 Транзакції'!$B$5:$B$3623,A359,'📋 Транзакції'!$C$5:$C$3623,"&gt;="&amp;EDATE(DATEVALUE(C359&amp;"-01"),7),'📋 Транзакції'!$C$5:$C$3623,"&lt;"&amp;EDATE(DATEVALUE(C359&amp;"-01"),8))</f>
        <v>0</v>
      </c>
      <c r="AA359" s="37">
        <f>SUMIFS('📋 Транзакції'!$F$5:$F$3623,'📋 Транзакції'!$B$5:$B$3623,A359,'📋 Транзакції'!$C$5:$C$3623,"&gt;="&amp;EDATE(DATEVALUE(C359&amp;"-01"),8),'📋 Транзакції'!$C$5:$C$3623,"&lt;"&amp;EDATE(DATEVALUE(C359&amp;"-01"),9))</f>
        <v>0</v>
      </c>
      <c r="AB359" s="37">
        <f>SUMIFS('📋 Транзакції'!$F$5:$F$3623,'📋 Транзакції'!$B$5:$B$3623,A359,'📋 Транзакції'!$C$5:$C$3623,"&gt;="&amp;EDATE(DATEVALUE(C359&amp;"-01"),9),'📋 Транзакції'!$C$5:$C$3623,"&lt;"&amp;EDATE(DATEVALUE(C359&amp;"-01"),10))</f>
        <v>0</v>
      </c>
      <c r="AC359" s="37">
        <f>SUMIFS('📋 Транзакції'!$F$5:$F$3623,'📋 Транзакції'!$B$5:$B$3623,A359,'📋 Транзакції'!$C$5:$C$3623,"&gt;="&amp;EDATE(DATEVALUE(C359&amp;"-01"),10),'📋 Транзакції'!$C$5:$C$3623,"&lt;"&amp;EDATE(DATEVALUE(C359&amp;"-01"),11))</f>
        <v>0</v>
      </c>
      <c r="AD359" s="37">
        <f>SUMIFS('📋 Транзакції'!$F$5:$F$3623,'📋 Транзакції'!$B$5:$B$3623,A359,'📋 Транзакції'!$C$5:$C$3623,"&gt;="&amp;EDATE(DATEVALUE(C359&amp;"-01"),11),'📋 Транзакції'!$C$5:$C$3623,"&lt;"&amp;EDATE(DATEVALUE(C359&amp;"-01"),12))</f>
        <v>0</v>
      </c>
    </row>
    <row r="360" ht="15.75" customHeight="1">
      <c r="A360" s="33" t="str">
        <f>'📋 Реєстрації'!A360:A961</f>
        <v>U0753</v>
      </c>
      <c r="B360" s="34">
        <f t="array" ref="B360">INDEX('📋 Транзакції'!$C$5:$C$3623,MATCH(A360,'📋 Транзакції'!$B$5:$B$3623,0))</f>
        <v>45599</v>
      </c>
      <c r="C360" s="35" t="str">
        <f t="shared" si="1"/>
        <v>2024-11</v>
      </c>
      <c r="D360" s="36">
        <f>COUNTIF('📋 Транзакції'!$B$5:$B$3623,A360)</f>
        <v>2</v>
      </c>
      <c r="E360" s="36">
        <f>SUMIF('📋 Транзакції'!$B$5:$B$3623,A360,'📋 Транзакції'!$F$5:$F$3623)</f>
        <v>19.99</v>
      </c>
      <c r="F360" s="35">
        <f>INT($A$1-MAXIFS('📋 Транзакції'!$C$5:$C$3623,'📋 Транзакції'!$B$5:$B$3623,A360))</f>
        <v>141</v>
      </c>
      <c r="G360" s="37">
        <f>IF(COUNTIFS('📋 Транзакції'!$B$5:$B$3623,A360,'📋 Транзакції'!$C$5:$C$3623,"&gt;="&amp;EDATE(DATEVALUE(C360&amp;"-01"),0),'📋 Транзакції'!$C$5:$C$3623,"&lt;"&amp;EDATE(DATEVALUE(C360&amp;"-01"),1))&gt;0,1,0)</f>
        <v>1</v>
      </c>
      <c r="H360" s="37">
        <f>IF(COUNTIFS('📋 Транзакції'!$B$5:$B$3623,A360,'📋 Транзакції'!$C$5:$C$3623,"&gt;="&amp;EDATE(DATEVALUE(C360&amp;"-01"),1),'📋 Транзакції'!$C$5:$C$3623,"&lt;"&amp;EDATE(DATEVALUE(C360&amp;"-01"),2))&gt;0,1,0)</f>
        <v>0</v>
      </c>
      <c r="I360" s="37">
        <f>IF(COUNTIFS('📋 Транзакції'!$B$5:$B$3623,A360,'📋 Транзакції'!$C$5:$C$3623,"&gt;="&amp;EDATE(DATEVALUE(C360&amp;"-01"),2),'📋 Транзакції'!$C$5:$C$3623,"&lt;"&amp;EDATE(DATEVALUE(C360&amp;"-01"),3))&gt;0,1,0)</f>
        <v>0</v>
      </c>
      <c r="J360" s="37">
        <f>IF(COUNTIFS('📋 Транзакції'!$B$5:$B$3623,A360,'📋 Транзакції'!$C$5:$C$3623,"&gt;="&amp;EDATE(DATEVALUE(C360&amp;"-01"),3),'📋 Транзакції'!$C$5:$C$3623,"&lt;"&amp;EDATE(DATEVALUE(C360&amp;"-01"),4))&gt;0,1,0)</f>
        <v>0</v>
      </c>
      <c r="K360" s="37">
        <f>IF(COUNTIFS('📋 Транзакції'!$B$5:$B$3623,A360,'📋 Транзакції'!$C$5:$C$3623,"&gt;="&amp;EDATE(DATEVALUE(C360&amp;"-01"),4),'📋 Транзакції'!$C$5:$C$3623,"&lt;"&amp;EDATE(DATEVALUE(C360&amp;"-01"),5))&gt;0,1,0)</f>
        <v>0</v>
      </c>
      <c r="L360" s="37">
        <f>IF(COUNTIFS('📋 Транзакції'!$B$5:$B$3623,A360,'📋 Транзакції'!$C$5:$C$3623,"&gt;="&amp;EDATE(DATEVALUE(C360&amp;"-01"),5),'📋 Транзакції'!$C$5:$C$3623,"&lt;"&amp;EDATE(DATEVALUE(C360&amp;"-01"),6))&gt;0,1,0)</f>
        <v>0</v>
      </c>
      <c r="M360" s="37">
        <f>IF(COUNTIFS('📋 Транзакції'!$B$5:$B$3623,A360,'📋 Транзакції'!$C$5:$C$3623,"&gt;="&amp;EDATE(DATEVALUE(C360&amp;"-01"),6),'📋 Транзакції'!$C$5:$C$3623,"&lt;"&amp;EDATE(DATEVALUE(C360&amp;"-01"),7))&gt;0,1,0)</f>
        <v>0</v>
      </c>
      <c r="N360" s="37">
        <f>IF(COUNTIFS('📋 Транзакції'!$B$5:$B$3623,A360,'📋 Транзакції'!$C$5:$C$3623,"&gt;="&amp;EDATE(DATEVALUE(C360&amp;"-01"),7),'📋 Транзакції'!$C$5:$C$3623,"&lt;"&amp;EDATE(DATEVALUE(C360&amp;"-01"),8))&gt;0,1,0)</f>
        <v>0</v>
      </c>
      <c r="O360" s="37">
        <f>IF(COUNTIFS('📋 Транзакції'!$B$5:$B$3623,A360,'📋 Транзакції'!$C$5:$C$3623,"&gt;="&amp;EDATE(DATEVALUE(C360&amp;"-01"),8),'📋 Транзакції'!$C$5:$C$3623,"&lt;"&amp;EDATE(DATEVALUE(C360&amp;"-01"),9))&gt;0,1,0)</f>
        <v>0</v>
      </c>
      <c r="P360" s="37">
        <f>IF(COUNTIFS('📋 Транзакції'!$B$5:$B$3623,A360,'📋 Транзакції'!$C$5:$C$3623,"&gt;="&amp;EDATE(DATEVALUE(C360&amp;"-01"),9),'📋 Транзакції'!$C$5:$C$3623,"&lt;"&amp;EDATE(DATEVALUE(C360&amp;"-01"),10))&gt;0,1,0)</f>
        <v>0</v>
      </c>
      <c r="Q360" s="37">
        <f>IF(COUNTIFS('📋 Транзакції'!$B$5:$B$3623,A360,'📋 Транзакції'!$C$5:$C$3623,"&gt;="&amp;EDATE(DATEVALUE(C360&amp;"-01"),10),'📋 Транзакції'!$C$5:$C$3623,"&lt;"&amp;EDATE(DATEVALUE(C360&amp;"-01"),11))&gt;0,1,0)</f>
        <v>0</v>
      </c>
      <c r="R360" s="37">
        <f>IF(COUNTIFS('📋 Транзакції'!$B$5:$B$3623,A360,'📋 Транзакції'!$C$5:$C$3623,"&gt;="&amp;EDATE(DATEVALUE(C360&amp;"-01"),11),'📋 Транзакції'!$C$5:$C$3623,"&lt;"&amp;EDATE(DATEVALUE(C360&amp;"-01"),12))&gt;0,1,0)</f>
        <v>0</v>
      </c>
      <c r="S360" s="37">
        <f>SUMIFS('📋 Транзакції'!$F$5:$F$3623,'📋 Транзакції'!$B$5:$B$3623,A360,'📋 Транзакції'!$C$5:$C$3623,"&gt;="&amp;EDATE(DATEVALUE(C360&amp;"-01"),0),'📋 Транзакції'!$C$5:$C$3623,"&lt;"&amp;EDATE(DATEVALUE(C360&amp;"-01"),1))</f>
        <v>19.99</v>
      </c>
      <c r="T360" s="37">
        <f>SUMIFS('📋 Транзакції'!$F$5:$F$3623,'📋 Транзакції'!$B$5:$B$3623,A360,'📋 Транзакції'!$C$5:$C$3623,"&gt;="&amp;EDATE(DATEVALUE(C360&amp;"-01"),1),'📋 Транзакції'!$C$5:$C$3623,"&lt;"&amp;EDATE(DATEVALUE(C360&amp;"-01"),2))</f>
        <v>0</v>
      </c>
      <c r="U360" s="37">
        <f>SUMIFS('📋 Транзакції'!$F$5:$F$3623,'📋 Транзакції'!$B$5:$B$3623,A360,'📋 Транзакції'!$C$5:$C$3623,"&gt;="&amp;EDATE(DATEVALUE(C360&amp;"-01"),2),'📋 Транзакції'!$C$5:$C$3623,"&lt;"&amp;EDATE(DATEVALUE(C360&amp;"-01"),3))</f>
        <v>0</v>
      </c>
      <c r="V360" s="37">
        <f>SUMIFS('📋 Транзакції'!$F$5:$F$3623,'📋 Транзакції'!$B$5:$B$3623,A360,'📋 Транзакції'!$C$5:$C$3623,"&gt;="&amp;EDATE(DATEVALUE(C360&amp;"-01"),3),'📋 Транзакції'!$C$5:$C$3623,"&lt;"&amp;EDATE(DATEVALUE(C360&amp;"-01"),4))</f>
        <v>0</v>
      </c>
      <c r="W360" s="37">
        <f>SUMIFS('📋 Транзакції'!$F$5:$F$3623,'📋 Транзакції'!$B$5:$B$3623,A360,'📋 Транзакції'!$C$5:$C$3623,"&gt;="&amp;EDATE(DATEVALUE(C360&amp;"-01"),4),'📋 Транзакції'!$C$5:$C$3623,"&lt;"&amp;EDATE(DATEVALUE(C360&amp;"-01"),5))</f>
        <v>0</v>
      </c>
      <c r="X360" s="37">
        <f>SUMIFS('📋 Транзакції'!$F$5:$F$3623,'📋 Транзакції'!$B$5:$B$3623,A360,'📋 Транзакції'!$C$5:$C$3623,"&gt;="&amp;EDATE(DATEVALUE(C360&amp;"-01"),5),'📋 Транзакції'!$C$5:$C$3623,"&lt;"&amp;EDATE(DATEVALUE(C360&amp;"-01"),6))</f>
        <v>0</v>
      </c>
      <c r="Y360" s="37">
        <f>SUMIFS('📋 Транзакції'!$F$5:$F$3623,'📋 Транзакції'!$B$5:$B$3623,A360,'📋 Транзакції'!$C$5:$C$3623,"&gt;="&amp;EDATE(DATEVALUE(C360&amp;"-01"),6),'📋 Транзакції'!$C$5:$C$3623,"&lt;"&amp;EDATE(DATEVALUE(C360&amp;"-01"),7))</f>
        <v>0</v>
      </c>
      <c r="Z360" s="37">
        <f>SUMIFS('📋 Транзакції'!$F$5:$F$3623,'📋 Транзакції'!$B$5:$B$3623,A360,'📋 Транзакції'!$C$5:$C$3623,"&gt;="&amp;EDATE(DATEVALUE(C360&amp;"-01"),7),'📋 Транзакції'!$C$5:$C$3623,"&lt;"&amp;EDATE(DATEVALUE(C360&amp;"-01"),8))</f>
        <v>0</v>
      </c>
      <c r="AA360" s="37">
        <f>SUMIFS('📋 Транзакції'!$F$5:$F$3623,'📋 Транзакції'!$B$5:$B$3623,A360,'📋 Транзакції'!$C$5:$C$3623,"&gt;="&amp;EDATE(DATEVALUE(C360&amp;"-01"),8),'📋 Транзакції'!$C$5:$C$3623,"&lt;"&amp;EDATE(DATEVALUE(C360&amp;"-01"),9))</f>
        <v>0</v>
      </c>
      <c r="AB360" s="37">
        <f>SUMIFS('📋 Транзакції'!$F$5:$F$3623,'📋 Транзакції'!$B$5:$B$3623,A360,'📋 Транзакції'!$C$5:$C$3623,"&gt;="&amp;EDATE(DATEVALUE(C360&amp;"-01"),9),'📋 Транзакції'!$C$5:$C$3623,"&lt;"&amp;EDATE(DATEVALUE(C360&amp;"-01"),10))</f>
        <v>0</v>
      </c>
      <c r="AC360" s="37">
        <f>SUMIFS('📋 Транзакції'!$F$5:$F$3623,'📋 Транзакції'!$B$5:$B$3623,A360,'📋 Транзакції'!$C$5:$C$3623,"&gt;="&amp;EDATE(DATEVALUE(C360&amp;"-01"),10),'📋 Транзакції'!$C$5:$C$3623,"&lt;"&amp;EDATE(DATEVALUE(C360&amp;"-01"),11))</f>
        <v>0</v>
      </c>
      <c r="AD360" s="37">
        <f>SUMIFS('📋 Транзакції'!$F$5:$F$3623,'📋 Транзакції'!$B$5:$B$3623,A360,'📋 Транзакції'!$C$5:$C$3623,"&gt;="&amp;EDATE(DATEVALUE(C360&amp;"-01"),11),'📋 Транзакції'!$C$5:$C$3623,"&lt;"&amp;EDATE(DATEVALUE(C360&amp;"-01"),12))</f>
        <v>0</v>
      </c>
    </row>
    <row r="361" ht="15.75" customHeight="1">
      <c r="A361" s="33" t="str">
        <f>'📋 Реєстрації'!A361:A962</f>
        <v>U0256</v>
      </c>
      <c r="B361" s="34">
        <f t="array" ref="B361">INDEX('📋 Транзакції'!$C$5:$C$3623,MATCH(A361,'📋 Транзакції'!$B$5:$B$3623,0))</f>
        <v>45600</v>
      </c>
      <c r="C361" s="35" t="str">
        <f t="shared" si="1"/>
        <v>2024-11</v>
      </c>
      <c r="D361" s="36">
        <f>COUNTIF('📋 Транзакції'!$B$5:$B$3623,A361)</f>
        <v>6</v>
      </c>
      <c r="E361" s="36">
        <f>SUMIF('📋 Транзакції'!$B$5:$B$3623,A361,'📋 Транзакції'!$F$5:$F$3623)</f>
        <v>99.95</v>
      </c>
      <c r="F361" s="35">
        <f>INT($A$1-MAXIFS('📋 Транзакції'!$C$5:$C$3623,'📋 Транзакції'!$B$5:$B$3623,A361))</f>
        <v>20</v>
      </c>
      <c r="G361" s="37">
        <f>IF(COUNTIFS('📋 Транзакції'!$B$5:$B$3623,A361,'📋 Транзакції'!$C$5:$C$3623,"&gt;="&amp;EDATE(DATEVALUE(C361&amp;"-01"),0),'📋 Транзакції'!$C$5:$C$3623,"&lt;"&amp;EDATE(DATEVALUE(C361&amp;"-01"),1))&gt;0,1,0)</f>
        <v>1</v>
      </c>
      <c r="H361" s="37">
        <f>IF(COUNTIFS('📋 Транзакції'!$B$5:$B$3623,A361,'📋 Транзакції'!$C$5:$C$3623,"&gt;="&amp;EDATE(DATEVALUE(C361&amp;"-01"),1),'📋 Транзакції'!$C$5:$C$3623,"&lt;"&amp;EDATE(DATEVALUE(C361&amp;"-01"),2))&gt;0,1,0)</f>
        <v>1</v>
      </c>
      <c r="I361" s="37">
        <f>IF(COUNTIFS('📋 Транзакції'!$B$5:$B$3623,A361,'📋 Транзакції'!$C$5:$C$3623,"&gt;="&amp;EDATE(DATEVALUE(C361&amp;"-01"),2),'📋 Транзакції'!$C$5:$C$3623,"&lt;"&amp;EDATE(DATEVALUE(C361&amp;"-01"),3))&gt;0,1,0)</f>
        <v>1</v>
      </c>
      <c r="J361" s="37">
        <f>IF(COUNTIFS('📋 Транзакції'!$B$5:$B$3623,A361,'📋 Транзакції'!$C$5:$C$3623,"&gt;="&amp;EDATE(DATEVALUE(C361&amp;"-01"),3),'📋 Транзакції'!$C$5:$C$3623,"&lt;"&amp;EDATE(DATEVALUE(C361&amp;"-01"),4))&gt;0,1,0)</f>
        <v>1</v>
      </c>
      <c r="K361" s="37">
        <f>IF(COUNTIFS('📋 Транзакції'!$B$5:$B$3623,A361,'📋 Транзакції'!$C$5:$C$3623,"&gt;="&amp;EDATE(DATEVALUE(C361&amp;"-01"),4),'📋 Транзакції'!$C$5:$C$3623,"&lt;"&amp;EDATE(DATEVALUE(C361&amp;"-01"),5))&gt;0,1,0)</f>
        <v>1</v>
      </c>
      <c r="L361" s="37">
        <f>IF(COUNTIFS('📋 Транзакції'!$B$5:$B$3623,A361,'📋 Транзакції'!$C$5:$C$3623,"&gt;="&amp;EDATE(DATEVALUE(C361&amp;"-01"),5),'📋 Транзакції'!$C$5:$C$3623,"&lt;"&amp;EDATE(DATEVALUE(C361&amp;"-01"),6))&gt;0,1,0)</f>
        <v>0</v>
      </c>
      <c r="M361" s="37">
        <f>IF(COUNTIFS('📋 Транзакції'!$B$5:$B$3623,A361,'📋 Транзакції'!$C$5:$C$3623,"&gt;="&amp;EDATE(DATEVALUE(C361&amp;"-01"),6),'📋 Транзакції'!$C$5:$C$3623,"&lt;"&amp;EDATE(DATEVALUE(C361&amp;"-01"),7))&gt;0,1,0)</f>
        <v>0</v>
      </c>
      <c r="N361" s="37">
        <f>IF(COUNTIFS('📋 Транзакції'!$B$5:$B$3623,A361,'📋 Транзакції'!$C$5:$C$3623,"&gt;="&amp;EDATE(DATEVALUE(C361&amp;"-01"),7),'📋 Транзакції'!$C$5:$C$3623,"&lt;"&amp;EDATE(DATEVALUE(C361&amp;"-01"),8))&gt;0,1,0)</f>
        <v>0</v>
      </c>
      <c r="O361" s="37">
        <f>IF(COUNTIFS('📋 Транзакції'!$B$5:$B$3623,A361,'📋 Транзакції'!$C$5:$C$3623,"&gt;="&amp;EDATE(DATEVALUE(C361&amp;"-01"),8),'📋 Транзакції'!$C$5:$C$3623,"&lt;"&amp;EDATE(DATEVALUE(C361&amp;"-01"),9))&gt;0,1,0)</f>
        <v>0</v>
      </c>
      <c r="P361" s="37">
        <f>IF(COUNTIFS('📋 Транзакції'!$B$5:$B$3623,A361,'📋 Транзакції'!$C$5:$C$3623,"&gt;="&amp;EDATE(DATEVALUE(C361&amp;"-01"),9),'📋 Транзакції'!$C$5:$C$3623,"&lt;"&amp;EDATE(DATEVALUE(C361&amp;"-01"),10))&gt;0,1,0)</f>
        <v>0</v>
      </c>
      <c r="Q361" s="37">
        <f>IF(COUNTIFS('📋 Транзакції'!$B$5:$B$3623,A361,'📋 Транзакції'!$C$5:$C$3623,"&gt;="&amp;EDATE(DATEVALUE(C361&amp;"-01"),10),'📋 Транзакції'!$C$5:$C$3623,"&lt;"&amp;EDATE(DATEVALUE(C361&amp;"-01"),11))&gt;0,1,0)</f>
        <v>0</v>
      </c>
      <c r="R361" s="37">
        <f>IF(COUNTIFS('📋 Транзакції'!$B$5:$B$3623,A361,'📋 Транзакції'!$C$5:$C$3623,"&gt;="&amp;EDATE(DATEVALUE(C361&amp;"-01"),11),'📋 Транзакції'!$C$5:$C$3623,"&lt;"&amp;EDATE(DATEVALUE(C361&amp;"-01"),12))&gt;0,1,0)</f>
        <v>0</v>
      </c>
      <c r="S361" s="37">
        <f>SUMIFS('📋 Транзакції'!$F$5:$F$3623,'📋 Транзакції'!$B$5:$B$3623,A361,'📋 Транзакції'!$C$5:$C$3623,"&gt;="&amp;EDATE(DATEVALUE(C361&amp;"-01"),0),'📋 Транзакції'!$C$5:$C$3623,"&lt;"&amp;EDATE(DATEVALUE(C361&amp;"-01"),1))</f>
        <v>19.99</v>
      </c>
      <c r="T361" s="37">
        <f>SUMIFS('📋 Транзакції'!$F$5:$F$3623,'📋 Транзакції'!$B$5:$B$3623,A361,'📋 Транзакції'!$C$5:$C$3623,"&gt;="&amp;EDATE(DATEVALUE(C361&amp;"-01"),1),'📋 Транзакції'!$C$5:$C$3623,"&lt;"&amp;EDATE(DATEVALUE(C361&amp;"-01"),2))</f>
        <v>19.99</v>
      </c>
      <c r="U361" s="37">
        <f>SUMIFS('📋 Транзакції'!$F$5:$F$3623,'📋 Транзакції'!$B$5:$B$3623,A361,'📋 Транзакції'!$C$5:$C$3623,"&gt;="&amp;EDATE(DATEVALUE(C361&amp;"-01"),2),'📋 Транзакції'!$C$5:$C$3623,"&lt;"&amp;EDATE(DATEVALUE(C361&amp;"-01"),3))</f>
        <v>19.99</v>
      </c>
      <c r="V361" s="37">
        <f>SUMIFS('📋 Транзакції'!$F$5:$F$3623,'📋 Транзакції'!$B$5:$B$3623,A361,'📋 Транзакції'!$C$5:$C$3623,"&gt;="&amp;EDATE(DATEVALUE(C361&amp;"-01"),3),'📋 Транзакції'!$C$5:$C$3623,"&lt;"&amp;EDATE(DATEVALUE(C361&amp;"-01"),4))</f>
        <v>19.99</v>
      </c>
      <c r="W361" s="37">
        <f>SUMIFS('📋 Транзакції'!$F$5:$F$3623,'📋 Транзакції'!$B$5:$B$3623,A361,'📋 Транзакції'!$C$5:$C$3623,"&gt;="&amp;EDATE(DATEVALUE(C361&amp;"-01"),4),'📋 Транзакції'!$C$5:$C$3623,"&lt;"&amp;EDATE(DATEVALUE(C361&amp;"-01"),5))</f>
        <v>19.99</v>
      </c>
      <c r="X361" s="37">
        <f>SUMIFS('📋 Транзакції'!$F$5:$F$3623,'📋 Транзакції'!$B$5:$B$3623,A361,'📋 Транзакції'!$C$5:$C$3623,"&gt;="&amp;EDATE(DATEVALUE(C361&amp;"-01"),5),'📋 Транзакції'!$C$5:$C$3623,"&lt;"&amp;EDATE(DATEVALUE(C361&amp;"-01"),6))</f>
        <v>0</v>
      </c>
      <c r="Y361" s="37">
        <f>SUMIFS('📋 Транзакції'!$F$5:$F$3623,'📋 Транзакції'!$B$5:$B$3623,A361,'📋 Транзакції'!$C$5:$C$3623,"&gt;="&amp;EDATE(DATEVALUE(C361&amp;"-01"),6),'📋 Транзакції'!$C$5:$C$3623,"&lt;"&amp;EDATE(DATEVALUE(C361&amp;"-01"),7))</f>
        <v>0</v>
      </c>
      <c r="Z361" s="37">
        <f>SUMIFS('📋 Транзакції'!$F$5:$F$3623,'📋 Транзакції'!$B$5:$B$3623,A361,'📋 Транзакції'!$C$5:$C$3623,"&gt;="&amp;EDATE(DATEVALUE(C361&amp;"-01"),7),'📋 Транзакції'!$C$5:$C$3623,"&lt;"&amp;EDATE(DATEVALUE(C361&amp;"-01"),8))</f>
        <v>0</v>
      </c>
      <c r="AA361" s="37">
        <f>SUMIFS('📋 Транзакції'!$F$5:$F$3623,'📋 Транзакції'!$B$5:$B$3623,A361,'📋 Транзакції'!$C$5:$C$3623,"&gt;="&amp;EDATE(DATEVALUE(C361&amp;"-01"),8),'📋 Транзакції'!$C$5:$C$3623,"&lt;"&amp;EDATE(DATEVALUE(C361&amp;"-01"),9))</f>
        <v>0</v>
      </c>
      <c r="AB361" s="37">
        <f>SUMIFS('📋 Транзакції'!$F$5:$F$3623,'📋 Транзакції'!$B$5:$B$3623,A361,'📋 Транзакції'!$C$5:$C$3623,"&gt;="&amp;EDATE(DATEVALUE(C361&amp;"-01"),9),'📋 Транзакції'!$C$5:$C$3623,"&lt;"&amp;EDATE(DATEVALUE(C361&amp;"-01"),10))</f>
        <v>0</v>
      </c>
      <c r="AC361" s="37">
        <f>SUMIFS('📋 Транзакції'!$F$5:$F$3623,'📋 Транзакції'!$B$5:$B$3623,A361,'📋 Транзакції'!$C$5:$C$3623,"&gt;="&amp;EDATE(DATEVALUE(C361&amp;"-01"),10),'📋 Транзакції'!$C$5:$C$3623,"&lt;"&amp;EDATE(DATEVALUE(C361&amp;"-01"),11))</f>
        <v>0</v>
      </c>
      <c r="AD361" s="37">
        <f>SUMIFS('📋 Транзакції'!$F$5:$F$3623,'📋 Транзакції'!$B$5:$B$3623,A361,'📋 Транзакції'!$C$5:$C$3623,"&gt;="&amp;EDATE(DATEVALUE(C361&amp;"-01"),11),'📋 Транзакції'!$C$5:$C$3623,"&lt;"&amp;EDATE(DATEVALUE(C361&amp;"-01"),12))</f>
        <v>0</v>
      </c>
    </row>
    <row r="362" ht="15.75" customHeight="1">
      <c r="A362" s="33" t="str">
        <f>'📋 Реєстрації'!A362:A963</f>
        <v>U0542</v>
      </c>
      <c r="B362" s="34">
        <f t="array" ref="B362">INDEX('📋 Транзакції'!$C$5:$C$3623,MATCH(A362,'📋 Транзакції'!$B$5:$B$3623,0))</f>
        <v>45600</v>
      </c>
      <c r="C362" s="35" t="str">
        <f t="shared" si="1"/>
        <v>2024-11</v>
      </c>
      <c r="D362" s="36">
        <f>COUNTIF('📋 Транзакції'!$B$5:$B$3623,A362)</f>
        <v>6</v>
      </c>
      <c r="E362" s="36">
        <f>SUMIF('📋 Транзакції'!$B$5:$B$3623,A362,'📋 Транзакції'!$F$5:$F$3623)</f>
        <v>99.95</v>
      </c>
      <c r="F362" s="35">
        <f>INT($A$1-MAXIFS('📋 Транзакції'!$C$5:$C$3623,'📋 Транзакції'!$B$5:$B$3623,A362))</f>
        <v>20</v>
      </c>
      <c r="G362" s="37">
        <f>IF(COUNTIFS('📋 Транзакції'!$B$5:$B$3623,A362,'📋 Транзакції'!$C$5:$C$3623,"&gt;="&amp;EDATE(DATEVALUE(C362&amp;"-01"),0),'📋 Транзакції'!$C$5:$C$3623,"&lt;"&amp;EDATE(DATEVALUE(C362&amp;"-01"),1))&gt;0,1,0)</f>
        <v>1</v>
      </c>
      <c r="H362" s="37">
        <f>IF(COUNTIFS('📋 Транзакції'!$B$5:$B$3623,A362,'📋 Транзакції'!$C$5:$C$3623,"&gt;="&amp;EDATE(DATEVALUE(C362&amp;"-01"),1),'📋 Транзакції'!$C$5:$C$3623,"&lt;"&amp;EDATE(DATEVALUE(C362&amp;"-01"),2))&gt;0,1,0)</f>
        <v>1</v>
      </c>
      <c r="I362" s="37">
        <f>IF(COUNTIFS('📋 Транзакції'!$B$5:$B$3623,A362,'📋 Транзакції'!$C$5:$C$3623,"&gt;="&amp;EDATE(DATEVALUE(C362&amp;"-01"),2),'📋 Транзакції'!$C$5:$C$3623,"&lt;"&amp;EDATE(DATEVALUE(C362&amp;"-01"),3))&gt;0,1,0)</f>
        <v>1</v>
      </c>
      <c r="J362" s="37">
        <f>IF(COUNTIFS('📋 Транзакції'!$B$5:$B$3623,A362,'📋 Транзакції'!$C$5:$C$3623,"&gt;="&amp;EDATE(DATEVALUE(C362&amp;"-01"),3),'📋 Транзакції'!$C$5:$C$3623,"&lt;"&amp;EDATE(DATEVALUE(C362&amp;"-01"),4))&gt;0,1,0)</f>
        <v>1</v>
      </c>
      <c r="K362" s="37">
        <f>IF(COUNTIFS('📋 Транзакції'!$B$5:$B$3623,A362,'📋 Транзакції'!$C$5:$C$3623,"&gt;="&amp;EDATE(DATEVALUE(C362&amp;"-01"),4),'📋 Транзакції'!$C$5:$C$3623,"&lt;"&amp;EDATE(DATEVALUE(C362&amp;"-01"),5))&gt;0,1,0)</f>
        <v>1</v>
      </c>
      <c r="L362" s="37">
        <f>IF(COUNTIFS('📋 Транзакції'!$B$5:$B$3623,A362,'📋 Транзакції'!$C$5:$C$3623,"&gt;="&amp;EDATE(DATEVALUE(C362&amp;"-01"),5),'📋 Транзакції'!$C$5:$C$3623,"&lt;"&amp;EDATE(DATEVALUE(C362&amp;"-01"),6))&gt;0,1,0)</f>
        <v>0</v>
      </c>
      <c r="M362" s="37">
        <f>IF(COUNTIFS('📋 Транзакції'!$B$5:$B$3623,A362,'📋 Транзакції'!$C$5:$C$3623,"&gt;="&amp;EDATE(DATEVALUE(C362&amp;"-01"),6),'📋 Транзакції'!$C$5:$C$3623,"&lt;"&amp;EDATE(DATEVALUE(C362&amp;"-01"),7))&gt;0,1,0)</f>
        <v>0</v>
      </c>
      <c r="N362" s="37">
        <f>IF(COUNTIFS('📋 Транзакції'!$B$5:$B$3623,A362,'📋 Транзакції'!$C$5:$C$3623,"&gt;="&amp;EDATE(DATEVALUE(C362&amp;"-01"),7),'📋 Транзакції'!$C$5:$C$3623,"&lt;"&amp;EDATE(DATEVALUE(C362&amp;"-01"),8))&gt;0,1,0)</f>
        <v>0</v>
      </c>
      <c r="O362" s="37">
        <f>IF(COUNTIFS('📋 Транзакції'!$B$5:$B$3623,A362,'📋 Транзакції'!$C$5:$C$3623,"&gt;="&amp;EDATE(DATEVALUE(C362&amp;"-01"),8),'📋 Транзакції'!$C$5:$C$3623,"&lt;"&amp;EDATE(DATEVALUE(C362&amp;"-01"),9))&gt;0,1,0)</f>
        <v>0</v>
      </c>
      <c r="P362" s="37">
        <f>IF(COUNTIFS('📋 Транзакції'!$B$5:$B$3623,A362,'📋 Транзакції'!$C$5:$C$3623,"&gt;="&amp;EDATE(DATEVALUE(C362&amp;"-01"),9),'📋 Транзакції'!$C$5:$C$3623,"&lt;"&amp;EDATE(DATEVALUE(C362&amp;"-01"),10))&gt;0,1,0)</f>
        <v>0</v>
      </c>
      <c r="Q362" s="37">
        <f>IF(COUNTIFS('📋 Транзакції'!$B$5:$B$3623,A362,'📋 Транзакції'!$C$5:$C$3623,"&gt;="&amp;EDATE(DATEVALUE(C362&amp;"-01"),10),'📋 Транзакції'!$C$5:$C$3623,"&lt;"&amp;EDATE(DATEVALUE(C362&amp;"-01"),11))&gt;0,1,0)</f>
        <v>0</v>
      </c>
      <c r="R362" s="37">
        <f>IF(COUNTIFS('📋 Транзакції'!$B$5:$B$3623,A362,'📋 Транзакції'!$C$5:$C$3623,"&gt;="&amp;EDATE(DATEVALUE(C362&amp;"-01"),11),'📋 Транзакції'!$C$5:$C$3623,"&lt;"&amp;EDATE(DATEVALUE(C362&amp;"-01"),12))&gt;0,1,0)</f>
        <v>0</v>
      </c>
      <c r="S362" s="37">
        <f>SUMIFS('📋 Транзакції'!$F$5:$F$3623,'📋 Транзакції'!$B$5:$B$3623,A362,'📋 Транзакції'!$C$5:$C$3623,"&gt;="&amp;EDATE(DATEVALUE(C362&amp;"-01"),0),'📋 Транзакції'!$C$5:$C$3623,"&lt;"&amp;EDATE(DATEVALUE(C362&amp;"-01"),1))</f>
        <v>19.99</v>
      </c>
      <c r="T362" s="37">
        <f>SUMIFS('📋 Транзакції'!$F$5:$F$3623,'📋 Транзакції'!$B$5:$B$3623,A362,'📋 Транзакції'!$C$5:$C$3623,"&gt;="&amp;EDATE(DATEVALUE(C362&amp;"-01"),1),'📋 Транзакції'!$C$5:$C$3623,"&lt;"&amp;EDATE(DATEVALUE(C362&amp;"-01"),2))</f>
        <v>19.99</v>
      </c>
      <c r="U362" s="37">
        <f>SUMIFS('📋 Транзакції'!$F$5:$F$3623,'📋 Транзакції'!$B$5:$B$3623,A362,'📋 Транзакції'!$C$5:$C$3623,"&gt;="&amp;EDATE(DATEVALUE(C362&amp;"-01"),2),'📋 Транзакції'!$C$5:$C$3623,"&lt;"&amp;EDATE(DATEVALUE(C362&amp;"-01"),3))</f>
        <v>19.99</v>
      </c>
      <c r="V362" s="37">
        <f>SUMIFS('📋 Транзакції'!$F$5:$F$3623,'📋 Транзакції'!$B$5:$B$3623,A362,'📋 Транзакції'!$C$5:$C$3623,"&gt;="&amp;EDATE(DATEVALUE(C362&amp;"-01"),3),'📋 Транзакції'!$C$5:$C$3623,"&lt;"&amp;EDATE(DATEVALUE(C362&amp;"-01"),4))</f>
        <v>19.99</v>
      </c>
      <c r="W362" s="37">
        <f>SUMIFS('📋 Транзакції'!$F$5:$F$3623,'📋 Транзакції'!$B$5:$B$3623,A362,'📋 Транзакції'!$C$5:$C$3623,"&gt;="&amp;EDATE(DATEVALUE(C362&amp;"-01"),4),'📋 Транзакції'!$C$5:$C$3623,"&lt;"&amp;EDATE(DATEVALUE(C362&amp;"-01"),5))</f>
        <v>19.99</v>
      </c>
      <c r="X362" s="37">
        <f>SUMIFS('📋 Транзакції'!$F$5:$F$3623,'📋 Транзакції'!$B$5:$B$3623,A362,'📋 Транзакції'!$C$5:$C$3623,"&gt;="&amp;EDATE(DATEVALUE(C362&amp;"-01"),5),'📋 Транзакції'!$C$5:$C$3623,"&lt;"&amp;EDATE(DATEVALUE(C362&amp;"-01"),6))</f>
        <v>0</v>
      </c>
      <c r="Y362" s="37">
        <f>SUMIFS('📋 Транзакції'!$F$5:$F$3623,'📋 Транзакції'!$B$5:$B$3623,A362,'📋 Транзакції'!$C$5:$C$3623,"&gt;="&amp;EDATE(DATEVALUE(C362&amp;"-01"),6),'📋 Транзакції'!$C$5:$C$3623,"&lt;"&amp;EDATE(DATEVALUE(C362&amp;"-01"),7))</f>
        <v>0</v>
      </c>
      <c r="Z362" s="37">
        <f>SUMIFS('📋 Транзакції'!$F$5:$F$3623,'📋 Транзакції'!$B$5:$B$3623,A362,'📋 Транзакції'!$C$5:$C$3623,"&gt;="&amp;EDATE(DATEVALUE(C362&amp;"-01"),7),'📋 Транзакції'!$C$5:$C$3623,"&lt;"&amp;EDATE(DATEVALUE(C362&amp;"-01"),8))</f>
        <v>0</v>
      </c>
      <c r="AA362" s="37">
        <f>SUMIFS('📋 Транзакції'!$F$5:$F$3623,'📋 Транзакції'!$B$5:$B$3623,A362,'📋 Транзакції'!$C$5:$C$3623,"&gt;="&amp;EDATE(DATEVALUE(C362&amp;"-01"),8),'📋 Транзакції'!$C$5:$C$3623,"&lt;"&amp;EDATE(DATEVALUE(C362&amp;"-01"),9))</f>
        <v>0</v>
      </c>
      <c r="AB362" s="37">
        <f>SUMIFS('📋 Транзакції'!$F$5:$F$3623,'📋 Транзакції'!$B$5:$B$3623,A362,'📋 Транзакції'!$C$5:$C$3623,"&gt;="&amp;EDATE(DATEVALUE(C362&amp;"-01"),9),'📋 Транзакції'!$C$5:$C$3623,"&lt;"&amp;EDATE(DATEVALUE(C362&amp;"-01"),10))</f>
        <v>0</v>
      </c>
      <c r="AC362" s="37">
        <f>SUMIFS('📋 Транзакції'!$F$5:$F$3623,'📋 Транзакції'!$B$5:$B$3623,A362,'📋 Транзакції'!$C$5:$C$3623,"&gt;="&amp;EDATE(DATEVALUE(C362&amp;"-01"),10),'📋 Транзакції'!$C$5:$C$3623,"&lt;"&amp;EDATE(DATEVALUE(C362&amp;"-01"),11))</f>
        <v>0</v>
      </c>
      <c r="AD362" s="37">
        <f>SUMIFS('📋 Транзакції'!$F$5:$F$3623,'📋 Транзакції'!$B$5:$B$3623,A362,'📋 Транзакції'!$C$5:$C$3623,"&gt;="&amp;EDATE(DATEVALUE(C362&amp;"-01"),11),'📋 Транзакції'!$C$5:$C$3623,"&lt;"&amp;EDATE(DATEVALUE(C362&amp;"-01"),12))</f>
        <v>0</v>
      </c>
    </row>
    <row r="363" ht="15.75" customHeight="1">
      <c r="A363" s="33" t="str">
        <f>'📋 Реєстрації'!A363:A964</f>
        <v>U0261</v>
      </c>
      <c r="B363" s="34">
        <f t="array" ref="B363">INDEX('📋 Транзакції'!$C$5:$C$3623,MATCH(A363,'📋 Транзакції'!$B$5:$B$3623,0))</f>
        <v>45601</v>
      </c>
      <c r="C363" s="35" t="str">
        <f t="shared" si="1"/>
        <v>2024-11</v>
      </c>
      <c r="D363" s="36">
        <f>COUNTIF('📋 Транзакції'!$B$5:$B$3623,A363)</f>
        <v>6</v>
      </c>
      <c r="E363" s="36">
        <f>SUMIF('📋 Транзакції'!$B$5:$B$3623,A363,'📋 Транзакції'!$F$5:$F$3623)</f>
        <v>99.95</v>
      </c>
      <c r="F363" s="35">
        <f>INT($A$1-MAXIFS('📋 Транзакції'!$C$5:$C$3623,'📋 Транзакції'!$B$5:$B$3623,A363))</f>
        <v>19</v>
      </c>
      <c r="G363" s="37">
        <f>IF(COUNTIFS('📋 Транзакції'!$B$5:$B$3623,A363,'📋 Транзакції'!$C$5:$C$3623,"&gt;="&amp;EDATE(DATEVALUE(C363&amp;"-01"),0),'📋 Транзакції'!$C$5:$C$3623,"&lt;"&amp;EDATE(DATEVALUE(C363&amp;"-01"),1))&gt;0,1,0)</f>
        <v>1</v>
      </c>
      <c r="H363" s="37">
        <f>IF(COUNTIFS('📋 Транзакції'!$B$5:$B$3623,A363,'📋 Транзакції'!$C$5:$C$3623,"&gt;="&amp;EDATE(DATEVALUE(C363&amp;"-01"),1),'📋 Транзакції'!$C$5:$C$3623,"&lt;"&amp;EDATE(DATEVALUE(C363&amp;"-01"),2))&gt;0,1,0)</f>
        <v>1</v>
      </c>
      <c r="I363" s="37">
        <f>IF(COUNTIFS('📋 Транзакції'!$B$5:$B$3623,A363,'📋 Транзакції'!$C$5:$C$3623,"&gt;="&amp;EDATE(DATEVALUE(C363&amp;"-01"),2),'📋 Транзакції'!$C$5:$C$3623,"&lt;"&amp;EDATE(DATEVALUE(C363&amp;"-01"),3))&gt;0,1,0)</f>
        <v>1</v>
      </c>
      <c r="J363" s="37">
        <f>IF(COUNTIFS('📋 Транзакції'!$B$5:$B$3623,A363,'📋 Транзакції'!$C$5:$C$3623,"&gt;="&amp;EDATE(DATEVALUE(C363&amp;"-01"),3),'📋 Транзакції'!$C$5:$C$3623,"&lt;"&amp;EDATE(DATEVALUE(C363&amp;"-01"),4))&gt;0,1,0)</f>
        <v>1</v>
      </c>
      <c r="K363" s="37">
        <f>IF(COUNTIFS('📋 Транзакції'!$B$5:$B$3623,A363,'📋 Транзакції'!$C$5:$C$3623,"&gt;="&amp;EDATE(DATEVALUE(C363&amp;"-01"),4),'📋 Транзакції'!$C$5:$C$3623,"&lt;"&amp;EDATE(DATEVALUE(C363&amp;"-01"),5))&gt;0,1,0)</f>
        <v>1</v>
      </c>
      <c r="L363" s="37">
        <f>IF(COUNTIFS('📋 Транзакції'!$B$5:$B$3623,A363,'📋 Транзакції'!$C$5:$C$3623,"&gt;="&amp;EDATE(DATEVALUE(C363&amp;"-01"),5),'📋 Транзакції'!$C$5:$C$3623,"&lt;"&amp;EDATE(DATEVALUE(C363&amp;"-01"),6))&gt;0,1,0)</f>
        <v>0</v>
      </c>
      <c r="M363" s="37">
        <f>IF(COUNTIFS('📋 Транзакції'!$B$5:$B$3623,A363,'📋 Транзакції'!$C$5:$C$3623,"&gt;="&amp;EDATE(DATEVALUE(C363&amp;"-01"),6),'📋 Транзакції'!$C$5:$C$3623,"&lt;"&amp;EDATE(DATEVALUE(C363&amp;"-01"),7))&gt;0,1,0)</f>
        <v>0</v>
      </c>
      <c r="N363" s="37">
        <f>IF(COUNTIFS('📋 Транзакції'!$B$5:$B$3623,A363,'📋 Транзакції'!$C$5:$C$3623,"&gt;="&amp;EDATE(DATEVALUE(C363&amp;"-01"),7),'📋 Транзакції'!$C$5:$C$3623,"&lt;"&amp;EDATE(DATEVALUE(C363&amp;"-01"),8))&gt;0,1,0)</f>
        <v>0</v>
      </c>
      <c r="O363" s="37">
        <f>IF(COUNTIFS('📋 Транзакції'!$B$5:$B$3623,A363,'📋 Транзакції'!$C$5:$C$3623,"&gt;="&amp;EDATE(DATEVALUE(C363&amp;"-01"),8),'📋 Транзакції'!$C$5:$C$3623,"&lt;"&amp;EDATE(DATEVALUE(C363&amp;"-01"),9))&gt;0,1,0)</f>
        <v>0</v>
      </c>
      <c r="P363" s="37">
        <f>IF(COUNTIFS('📋 Транзакції'!$B$5:$B$3623,A363,'📋 Транзакції'!$C$5:$C$3623,"&gt;="&amp;EDATE(DATEVALUE(C363&amp;"-01"),9),'📋 Транзакції'!$C$5:$C$3623,"&lt;"&amp;EDATE(DATEVALUE(C363&amp;"-01"),10))&gt;0,1,0)</f>
        <v>0</v>
      </c>
      <c r="Q363" s="37">
        <f>IF(COUNTIFS('📋 Транзакції'!$B$5:$B$3623,A363,'📋 Транзакції'!$C$5:$C$3623,"&gt;="&amp;EDATE(DATEVALUE(C363&amp;"-01"),10),'📋 Транзакції'!$C$5:$C$3623,"&lt;"&amp;EDATE(DATEVALUE(C363&amp;"-01"),11))&gt;0,1,0)</f>
        <v>0</v>
      </c>
      <c r="R363" s="37">
        <f>IF(COUNTIFS('📋 Транзакції'!$B$5:$B$3623,A363,'📋 Транзакції'!$C$5:$C$3623,"&gt;="&amp;EDATE(DATEVALUE(C363&amp;"-01"),11),'📋 Транзакції'!$C$5:$C$3623,"&lt;"&amp;EDATE(DATEVALUE(C363&amp;"-01"),12))&gt;0,1,0)</f>
        <v>0</v>
      </c>
      <c r="S363" s="37">
        <f>SUMIFS('📋 Транзакції'!$F$5:$F$3623,'📋 Транзакції'!$B$5:$B$3623,A363,'📋 Транзакції'!$C$5:$C$3623,"&gt;="&amp;EDATE(DATEVALUE(C363&amp;"-01"),0),'📋 Транзакції'!$C$5:$C$3623,"&lt;"&amp;EDATE(DATEVALUE(C363&amp;"-01"),1))</f>
        <v>19.99</v>
      </c>
      <c r="T363" s="37">
        <f>SUMIFS('📋 Транзакції'!$F$5:$F$3623,'📋 Транзакції'!$B$5:$B$3623,A363,'📋 Транзакції'!$C$5:$C$3623,"&gt;="&amp;EDATE(DATEVALUE(C363&amp;"-01"),1),'📋 Транзакції'!$C$5:$C$3623,"&lt;"&amp;EDATE(DATEVALUE(C363&amp;"-01"),2))</f>
        <v>19.99</v>
      </c>
      <c r="U363" s="37">
        <f>SUMIFS('📋 Транзакції'!$F$5:$F$3623,'📋 Транзакції'!$B$5:$B$3623,A363,'📋 Транзакції'!$C$5:$C$3623,"&gt;="&amp;EDATE(DATEVALUE(C363&amp;"-01"),2),'📋 Транзакції'!$C$5:$C$3623,"&lt;"&amp;EDATE(DATEVALUE(C363&amp;"-01"),3))</f>
        <v>19.99</v>
      </c>
      <c r="V363" s="37">
        <f>SUMIFS('📋 Транзакції'!$F$5:$F$3623,'📋 Транзакції'!$B$5:$B$3623,A363,'📋 Транзакції'!$C$5:$C$3623,"&gt;="&amp;EDATE(DATEVALUE(C363&amp;"-01"),3),'📋 Транзакції'!$C$5:$C$3623,"&lt;"&amp;EDATE(DATEVALUE(C363&amp;"-01"),4))</f>
        <v>19.99</v>
      </c>
      <c r="W363" s="37">
        <f>SUMIFS('📋 Транзакції'!$F$5:$F$3623,'📋 Транзакції'!$B$5:$B$3623,A363,'📋 Транзакції'!$C$5:$C$3623,"&gt;="&amp;EDATE(DATEVALUE(C363&amp;"-01"),4),'📋 Транзакції'!$C$5:$C$3623,"&lt;"&amp;EDATE(DATEVALUE(C363&amp;"-01"),5))</f>
        <v>19.99</v>
      </c>
      <c r="X363" s="37">
        <f>SUMIFS('📋 Транзакції'!$F$5:$F$3623,'📋 Транзакції'!$B$5:$B$3623,A363,'📋 Транзакції'!$C$5:$C$3623,"&gt;="&amp;EDATE(DATEVALUE(C363&amp;"-01"),5),'📋 Транзакції'!$C$5:$C$3623,"&lt;"&amp;EDATE(DATEVALUE(C363&amp;"-01"),6))</f>
        <v>0</v>
      </c>
      <c r="Y363" s="37">
        <f>SUMIFS('📋 Транзакції'!$F$5:$F$3623,'📋 Транзакції'!$B$5:$B$3623,A363,'📋 Транзакції'!$C$5:$C$3623,"&gt;="&amp;EDATE(DATEVALUE(C363&amp;"-01"),6),'📋 Транзакції'!$C$5:$C$3623,"&lt;"&amp;EDATE(DATEVALUE(C363&amp;"-01"),7))</f>
        <v>0</v>
      </c>
      <c r="Z363" s="37">
        <f>SUMIFS('📋 Транзакції'!$F$5:$F$3623,'📋 Транзакції'!$B$5:$B$3623,A363,'📋 Транзакції'!$C$5:$C$3623,"&gt;="&amp;EDATE(DATEVALUE(C363&amp;"-01"),7),'📋 Транзакції'!$C$5:$C$3623,"&lt;"&amp;EDATE(DATEVALUE(C363&amp;"-01"),8))</f>
        <v>0</v>
      </c>
      <c r="AA363" s="37">
        <f>SUMIFS('📋 Транзакції'!$F$5:$F$3623,'📋 Транзакції'!$B$5:$B$3623,A363,'📋 Транзакції'!$C$5:$C$3623,"&gt;="&amp;EDATE(DATEVALUE(C363&amp;"-01"),8),'📋 Транзакції'!$C$5:$C$3623,"&lt;"&amp;EDATE(DATEVALUE(C363&amp;"-01"),9))</f>
        <v>0</v>
      </c>
      <c r="AB363" s="37">
        <f>SUMIFS('📋 Транзакції'!$F$5:$F$3623,'📋 Транзакції'!$B$5:$B$3623,A363,'📋 Транзакції'!$C$5:$C$3623,"&gt;="&amp;EDATE(DATEVALUE(C363&amp;"-01"),9),'📋 Транзакції'!$C$5:$C$3623,"&lt;"&amp;EDATE(DATEVALUE(C363&amp;"-01"),10))</f>
        <v>0</v>
      </c>
      <c r="AC363" s="37">
        <f>SUMIFS('📋 Транзакції'!$F$5:$F$3623,'📋 Транзакції'!$B$5:$B$3623,A363,'📋 Транзакції'!$C$5:$C$3623,"&gt;="&amp;EDATE(DATEVALUE(C363&amp;"-01"),10),'📋 Транзакції'!$C$5:$C$3623,"&lt;"&amp;EDATE(DATEVALUE(C363&amp;"-01"),11))</f>
        <v>0</v>
      </c>
      <c r="AD363" s="37">
        <f>SUMIFS('📋 Транзакції'!$F$5:$F$3623,'📋 Транзакції'!$B$5:$B$3623,A363,'📋 Транзакції'!$C$5:$C$3623,"&gt;="&amp;EDATE(DATEVALUE(C363&amp;"-01"),11),'📋 Транзакції'!$C$5:$C$3623,"&lt;"&amp;EDATE(DATEVALUE(C363&amp;"-01"),12))</f>
        <v>0</v>
      </c>
    </row>
    <row r="364" ht="15.75" customHeight="1">
      <c r="A364" s="33" t="str">
        <f>'📋 Реєстрації'!A364:A965</f>
        <v>U0534</v>
      </c>
      <c r="B364" s="34">
        <f t="array" ref="B364">INDEX('📋 Транзакції'!$C$5:$C$3623,MATCH(A364,'📋 Транзакції'!$B$5:$B$3623,0))</f>
        <v>45601</v>
      </c>
      <c r="C364" s="35" t="str">
        <f t="shared" si="1"/>
        <v>2024-11</v>
      </c>
      <c r="D364" s="36">
        <f>COUNTIF('📋 Транзакції'!$B$5:$B$3623,A364)</f>
        <v>6</v>
      </c>
      <c r="E364" s="36">
        <f>SUMIF('📋 Транзакції'!$B$5:$B$3623,A364,'📋 Транзакції'!$F$5:$F$3623)</f>
        <v>99.95</v>
      </c>
      <c r="F364" s="35">
        <f>INT($A$1-MAXIFS('📋 Транзакції'!$C$5:$C$3623,'📋 Транзакції'!$B$5:$B$3623,A364))</f>
        <v>19</v>
      </c>
      <c r="G364" s="37">
        <f>IF(COUNTIFS('📋 Транзакції'!$B$5:$B$3623,A364,'📋 Транзакції'!$C$5:$C$3623,"&gt;="&amp;EDATE(DATEVALUE(C364&amp;"-01"),0),'📋 Транзакції'!$C$5:$C$3623,"&lt;"&amp;EDATE(DATEVALUE(C364&amp;"-01"),1))&gt;0,1,0)</f>
        <v>1</v>
      </c>
      <c r="H364" s="37">
        <f>IF(COUNTIFS('📋 Транзакції'!$B$5:$B$3623,A364,'📋 Транзакції'!$C$5:$C$3623,"&gt;="&amp;EDATE(DATEVALUE(C364&amp;"-01"),1),'📋 Транзакції'!$C$5:$C$3623,"&lt;"&amp;EDATE(DATEVALUE(C364&amp;"-01"),2))&gt;0,1,0)</f>
        <v>1</v>
      </c>
      <c r="I364" s="37">
        <f>IF(COUNTIFS('📋 Транзакції'!$B$5:$B$3623,A364,'📋 Транзакції'!$C$5:$C$3623,"&gt;="&amp;EDATE(DATEVALUE(C364&amp;"-01"),2),'📋 Транзакції'!$C$5:$C$3623,"&lt;"&amp;EDATE(DATEVALUE(C364&amp;"-01"),3))&gt;0,1,0)</f>
        <v>1</v>
      </c>
      <c r="J364" s="37">
        <f>IF(COUNTIFS('📋 Транзакції'!$B$5:$B$3623,A364,'📋 Транзакції'!$C$5:$C$3623,"&gt;="&amp;EDATE(DATEVALUE(C364&amp;"-01"),3),'📋 Транзакції'!$C$5:$C$3623,"&lt;"&amp;EDATE(DATEVALUE(C364&amp;"-01"),4))&gt;0,1,0)</f>
        <v>1</v>
      </c>
      <c r="K364" s="37">
        <f>IF(COUNTIFS('📋 Транзакції'!$B$5:$B$3623,A364,'📋 Транзакції'!$C$5:$C$3623,"&gt;="&amp;EDATE(DATEVALUE(C364&amp;"-01"),4),'📋 Транзакції'!$C$5:$C$3623,"&lt;"&amp;EDATE(DATEVALUE(C364&amp;"-01"),5))&gt;0,1,0)</f>
        <v>1</v>
      </c>
      <c r="L364" s="37">
        <f>IF(COUNTIFS('📋 Транзакції'!$B$5:$B$3623,A364,'📋 Транзакції'!$C$5:$C$3623,"&gt;="&amp;EDATE(DATEVALUE(C364&amp;"-01"),5),'📋 Транзакції'!$C$5:$C$3623,"&lt;"&amp;EDATE(DATEVALUE(C364&amp;"-01"),6))&gt;0,1,0)</f>
        <v>0</v>
      </c>
      <c r="M364" s="37">
        <f>IF(COUNTIFS('📋 Транзакції'!$B$5:$B$3623,A364,'📋 Транзакції'!$C$5:$C$3623,"&gt;="&amp;EDATE(DATEVALUE(C364&amp;"-01"),6),'📋 Транзакції'!$C$5:$C$3623,"&lt;"&amp;EDATE(DATEVALUE(C364&amp;"-01"),7))&gt;0,1,0)</f>
        <v>0</v>
      </c>
      <c r="N364" s="37">
        <f>IF(COUNTIFS('📋 Транзакції'!$B$5:$B$3623,A364,'📋 Транзакції'!$C$5:$C$3623,"&gt;="&amp;EDATE(DATEVALUE(C364&amp;"-01"),7),'📋 Транзакції'!$C$5:$C$3623,"&lt;"&amp;EDATE(DATEVALUE(C364&amp;"-01"),8))&gt;0,1,0)</f>
        <v>0</v>
      </c>
      <c r="O364" s="37">
        <f>IF(COUNTIFS('📋 Транзакції'!$B$5:$B$3623,A364,'📋 Транзакції'!$C$5:$C$3623,"&gt;="&amp;EDATE(DATEVALUE(C364&amp;"-01"),8),'📋 Транзакції'!$C$5:$C$3623,"&lt;"&amp;EDATE(DATEVALUE(C364&amp;"-01"),9))&gt;0,1,0)</f>
        <v>0</v>
      </c>
      <c r="P364" s="37">
        <f>IF(COUNTIFS('📋 Транзакції'!$B$5:$B$3623,A364,'📋 Транзакції'!$C$5:$C$3623,"&gt;="&amp;EDATE(DATEVALUE(C364&amp;"-01"),9),'📋 Транзакції'!$C$5:$C$3623,"&lt;"&amp;EDATE(DATEVALUE(C364&amp;"-01"),10))&gt;0,1,0)</f>
        <v>0</v>
      </c>
      <c r="Q364" s="37">
        <f>IF(COUNTIFS('📋 Транзакції'!$B$5:$B$3623,A364,'📋 Транзакції'!$C$5:$C$3623,"&gt;="&amp;EDATE(DATEVALUE(C364&amp;"-01"),10),'📋 Транзакції'!$C$5:$C$3623,"&lt;"&amp;EDATE(DATEVALUE(C364&amp;"-01"),11))&gt;0,1,0)</f>
        <v>0</v>
      </c>
      <c r="R364" s="37">
        <f>IF(COUNTIFS('📋 Транзакції'!$B$5:$B$3623,A364,'📋 Транзакції'!$C$5:$C$3623,"&gt;="&amp;EDATE(DATEVALUE(C364&amp;"-01"),11),'📋 Транзакції'!$C$5:$C$3623,"&lt;"&amp;EDATE(DATEVALUE(C364&amp;"-01"),12))&gt;0,1,0)</f>
        <v>0</v>
      </c>
      <c r="S364" s="37">
        <f>SUMIFS('📋 Транзакції'!$F$5:$F$3623,'📋 Транзакції'!$B$5:$B$3623,A364,'📋 Транзакції'!$C$5:$C$3623,"&gt;="&amp;EDATE(DATEVALUE(C364&amp;"-01"),0),'📋 Транзакції'!$C$5:$C$3623,"&lt;"&amp;EDATE(DATEVALUE(C364&amp;"-01"),1))</f>
        <v>19.99</v>
      </c>
      <c r="T364" s="37">
        <f>SUMIFS('📋 Транзакції'!$F$5:$F$3623,'📋 Транзакції'!$B$5:$B$3623,A364,'📋 Транзакції'!$C$5:$C$3623,"&gt;="&amp;EDATE(DATEVALUE(C364&amp;"-01"),1),'📋 Транзакції'!$C$5:$C$3623,"&lt;"&amp;EDATE(DATEVALUE(C364&amp;"-01"),2))</f>
        <v>19.99</v>
      </c>
      <c r="U364" s="37">
        <f>SUMIFS('📋 Транзакції'!$F$5:$F$3623,'📋 Транзакції'!$B$5:$B$3623,A364,'📋 Транзакції'!$C$5:$C$3623,"&gt;="&amp;EDATE(DATEVALUE(C364&amp;"-01"),2),'📋 Транзакції'!$C$5:$C$3623,"&lt;"&amp;EDATE(DATEVALUE(C364&amp;"-01"),3))</f>
        <v>19.99</v>
      </c>
      <c r="V364" s="37">
        <f>SUMIFS('📋 Транзакції'!$F$5:$F$3623,'📋 Транзакції'!$B$5:$B$3623,A364,'📋 Транзакції'!$C$5:$C$3623,"&gt;="&amp;EDATE(DATEVALUE(C364&amp;"-01"),3),'📋 Транзакції'!$C$5:$C$3623,"&lt;"&amp;EDATE(DATEVALUE(C364&amp;"-01"),4))</f>
        <v>19.99</v>
      </c>
      <c r="W364" s="37">
        <f>SUMIFS('📋 Транзакції'!$F$5:$F$3623,'📋 Транзакції'!$B$5:$B$3623,A364,'📋 Транзакції'!$C$5:$C$3623,"&gt;="&amp;EDATE(DATEVALUE(C364&amp;"-01"),4),'📋 Транзакції'!$C$5:$C$3623,"&lt;"&amp;EDATE(DATEVALUE(C364&amp;"-01"),5))</f>
        <v>19.99</v>
      </c>
      <c r="X364" s="37">
        <f>SUMIFS('📋 Транзакції'!$F$5:$F$3623,'📋 Транзакції'!$B$5:$B$3623,A364,'📋 Транзакції'!$C$5:$C$3623,"&gt;="&amp;EDATE(DATEVALUE(C364&amp;"-01"),5),'📋 Транзакції'!$C$5:$C$3623,"&lt;"&amp;EDATE(DATEVALUE(C364&amp;"-01"),6))</f>
        <v>0</v>
      </c>
      <c r="Y364" s="37">
        <f>SUMIFS('📋 Транзакції'!$F$5:$F$3623,'📋 Транзакції'!$B$5:$B$3623,A364,'📋 Транзакції'!$C$5:$C$3623,"&gt;="&amp;EDATE(DATEVALUE(C364&amp;"-01"),6),'📋 Транзакції'!$C$5:$C$3623,"&lt;"&amp;EDATE(DATEVALUE(C364&amp;"-01"),7))</f>
        <v>0</v>
      </c>
      <c r="Z364" s="37">
        <f>SUMIFS('📋 Транзакції'!$F$5:$F$3623,'📋 Транзакції'!$B$5:$B$3623,A364,'📋 Транзакції'!$C$5:$C$3623,"&gt;="&amp;EDATE(DATEVALUE(C364&amp;"-01"),7),'📋 Транзакції'!$C$5:$C$3623,"&lt;"&amp;EDATE(DATEVALUE(C364&amp;"-01"),8))</f>
        <v>0</v>
      </c>
      <c r="AA364" s="37">
        <f>SUMIFS('📋 Транзакції'!$F$5:$F$3623,'📋 Транзакції'!$B$5:$B$3623,A364,'📋 Транзакції'!$C$5:$C$3623,"&gt;="&amp;EDATE(DATEVALUE(C364&amp;"-01"),8),'📋 Транзакції'!$C$5:$C$3623,"&lt;"&amp;EDATE(DATEVALUE(C364&amp;"-01"),9))</f>
        <v>0</v>
      </c>
      <c r="AB364" s="37">
        <f>SUMIFS('📋 Транзакції'!$F$5:$F$3623,'📋 Транзакції'!$B$5:$B$3623,A364,'📋 Транзакції'!$C$5:$C$3623,"&gt;="&amp;EDATE(DATEVALUE(C364&amp;"-01"),9),'📋 Транзакції'!$C$5:$C$3623,"&lt;"&amp;EDATE(DATEVALUE(C364&amp;"-01"),10))</f>
        <v>0</v>
      </c>
      <c r="AC364" s="37">
        <f>SUMIFS('📋 Транзакції'!$F$5:$F$3623,'📋 Транзакції'!$B$5:$B$3623,A364,'📋 Транзакції'!$C$5:$C$3623,"&gt;="&amp;EDATE(DATEVALUE(C364&amp;"-01"),10),'📋 Транзакції'!$C$5:$C$3623,"&lt;"&amp;EDATE(DATEVALUE(C364&amp;"-01"),11))</f>
        <v>0</v>
      </c>
      <c r="AD364" s="37">
        <f>SUMIFS('📋 Транзакції'!$F$5:$F$3623,'📋 Транзакції'!$B$5:$B$3623,A364,'📋 Транзакції'!$C$5:$C$3623,"&gt;="&amp;EDATE(DATEVALUE(C364&amp;"-01"),11),'📋 Транзакції'!$C$5:$C$3623,"&lt;"&amp;EDATE(DATEVALUE(C364&amp;"-01"),12))</f>
        <v>0</v>
      </c>
    </row>
    <row r="365" ht="15.75" customHeight="1">
      <c r="A365" s="33" t="str">
        <f>'📋 Реєстрації'!A365:A966</f>
        <v>U0566</v>
      </c>
      <c r="B365" s="34">
        <f t="array" ref="B365">INDEX('📋 Транзакції'!$C$5:$C$3623,MATCH(A365,'📋 Транзакції'!$B$5:$B$3623,0))</f>
        <v>45601</v>
      </c>
      <c r="C365" s="35" t="str">
        <f t="shared" si="1"/>
        <v>2024-11</v>
      </c>
      <c r="D365" s="36">
        <f>COUNTIF('📋 Транзакції'!$B$5:$B$3623,A365)</f>
        <v>6</v>
      </c>
      <c r="E365" s="36">
        <f>SUMIF('📋 Транзакції'!$B$5:$B$3623,A365,'📋 Транзакції'!$F$5:$F$3623)</f>
        <v>99.95</v>
      </c>
      <c r="F365" s="35">
        <f>INT($A$1-MAXIFS('📋 Транзакції'!$C$5:$C$3623,'📋 Транзакції'!$B$5:$B$3623,A365))</f>
        <v>19</v>
      </c>
      <c r="G365" s="37">
        <f>IF(COUNTIFS('📋 Транзакції'!$B$5:$B$3623,A365,'📋 Транзакції'!$C$5:$C$3623,"&gt;="&amp;EDATE(DATEVALUE(C365&amp;"-01"),0),'📋 Транзакції'!$C$5:$C$3623,"&lt;"&amp;EDATE(DATEVALUE(C365&amp;"-01"),1))&gt;0,1,0)</f>
        <v>1</v>
      </c>
      <c r="H365" s="37">
        <f>IF(COUNTIFS('📋 Транзакції'!$B$5:$B$3623,A365,'📋 Транзакції'!$C$5:$C$3623,"&gt;="&amp;EDATE(DATEVALUE(C365&amp;"-01"),1),'📋 Транзакції'!$C$5:$C$3623,"&lt;"&amp;EDATE(DATEVALUE(C365&amp;"-01"),2))&gt;0,1,0)</f>
        <v>1</v>
      </c>
      <c r="I365" s="37">
        <f>IF(COUNTIFS('📋 Транзакції'!$B$5:$B$3623,A365,'📋 Транзакції'!$C$5:$C$3623,"&gt;="&amp;EDATE(DATEVALUE(C365&amp;"-01"),2),'📋 Транзакції'!$C$5:$C$3623,"&lt;"&amp;EDATE(DATEVALUE(C365&amp;"-01"),3))&gt;0,1,0)</f>
        <v>1</v>
      </c>
      <c r="J365" s="37">
        <f>IF(COUNTIFS('📋 Транзакції'!$B$5:$B$3623,A365,'📋 Транзакції'!$C$5:$C$3623,"&gt;="&amp;EDATE(DATEVALUE(C365&amp;"-01"),3),'📋 Транзакції'!$C$5:$C$3623,"&lt;"&amp;EDATE(DATEVALUE(C365&amp;"-01"),4))&gt;0,1,0)</f>
        <v>1</v>
      </c>
      <c r="K365" s="37">
        <f>IF(COUNTIFS('📋 Транзакції'!$B$5:$B$3623,A365,'📋 Транзакції'!$C$5:$C$3623,"&gt;="&amp;EDATE(DATEVALUE(C365&amp;"-01"),4),'📋 Транзакції'!$C$5:$C$3623,"&lt;"&amp;EDATE(DATEVALUE(C365&amp;"-01"),5))&gt;0,1,0)</f>
        <v>1</v>
      </c>
      <c r="L365" s="37">
        <f>IF(COUNTIFS('📋 Транзакції'!$B$5:$B$3623,A365,'📋 Транзакції'!$C$5:$C$3623,"&gt;="&amp;EDATE(DATEVALUE(C365&amp;"-01"),5),'📋 Транзакції'!$C$5:$C$3623,"&lt;"&amp;EDATE(DATEVALUE(C365&amp;"-01"),6))&gt;0,1,0)</f>
        <v>0</v>
      </c>
      <c r="M365" s="37">
        <f>IF(COUNTIFS('📋 Транзакції'!$B$5:$B$3623,A365,'📋 Транзакції'!$C$5:$C$3623,"&gt;="&amp;EDATE(DATEVALUE(C365&amp;"-01"),6),'📋 Транзакції'!$C$5:$C$3623,"&lt;"&amp;EDATE(DATEVALUE(C365&amp;"-01"),7))&gt;0,1,0)</f>
        <v>0</v>
      </c>
      <c r="N365" s="37">
        <f>IF(COUNTIFS('📋 Транзакції'!$B$5:$B$3623,A365,'📋 Транзакції'!$C$5:$C$3623,"&gt;="&amp;EDATE(DATEVALUE(C365&amp;"-01"),7),'📋 Транзакції'!$C$5:$C$3623,"&lt;"&amp;EDATE(DATEVALUE(C365&amp;"-01"),8))&gt;0,1,0)</f>
        <v>0</v>
      </c>
      <c r="O365" s="37">
        <f>IF(COUNTIFS('📋 Транзакції'!$B$5:$B$3623,A365,'📋 Транзакції'!$C$5:$C$3623,"&gt;="&amp;EDATE(DATEVALUE(C365&amp;"-01"),8),'📋 Транзакції'!$C$5:$C$3623,"&lt;"&amp;EDATE(DATEVALUE(C365&amp;"-01"),9))&gt;0,1,0)</f>
        <v>0</v>
      </c>
      <c r="P365" s="37">
        <f>IF(COUNTIFS('📋 Транзакції'!$B$5:$B$3623,A365,'📋 Транзакції'!$C$5:$C$3623,"&gt;="&amp;EDATE(DATEVALUE(C365&amp;"-01"),9),'📋 Транзакції'!$C$5:$C$3623,"&lt;"&amp;EDATE(DATEVALUE(C365&amp;"-01"),10))&gt;0,1,0)</f>
        <v>0</v>
      </c>
      <c r="Q365" s="37">
        <f>IF(COUNTIFS('📋 Транзакції'!$B$5:$B$3623,A365,'📋 Транзакції'!$C$5:$C$3623,"&gt;="&amp;EDATE(DATEVALUE(C365&amp;"-01"),10),'📋 Транзакції'!$C$5:$C$3623,"&lt;"&amp;EDATE(DATEVALUE(C365&amp;"-01"),11))&gt;0,1,0)</f>
        <v>0</v>
      </c>
      <c r="R365" s="37">
        <f>IF(COUNTIFS('📋 Транзакції'!$B$5:$B$3623,A365,'📋 Транзакції'!$C$5:$C$3623,"&gt;="&amp;EDATE(DATEVALUE(C365&amp;"-01"),11),'📋 Транзакції'!$C$5:$C$3623,"&lt;"&amp;EDATE(DATEVALUE(C365&amp;"-01"),12))&gt;0,1,0)</f>
        <v>0</v>
      </c>
      <c r="S365" s="37">
        <f>SUMIFS('📋 Транзакції'!$F$5:$F$3623,'📋 Транзакції'!$B$5:$B$3623,A365,'📋 Транзакції'!$C$5:$C$3623,"&gt;="&amp;EDATE(DATEVALUE(C365&amp;"-01"),0),'📋 Транзакції'!$C$5:$C$3623,"&lt;"&amp;EDATE(DATEVALUE(C365&amp;"-01"),1))</f>
        <v>19.99</v>
      </c>
      <c r="T365" s="37">
        <f>SUMIFS('📋 Транзакції'!$F$5:$F$3623,'📋 Транзакції'!$B$5:$B$3623,A365,'📋 Транзакції'!$C$5:$C$3623,"&gt;="&amp;EDATE(DATEVALUE(C365&amp;"-01"),1),'📋 Транзакції'!$C$5:$C$3623,"&lt;"&amp;EDATE(DATEVALUE(C365&amp;"-01"),2))</f>
        <v>19.99</v>
      </c>
      <c r="U365" s="37">
        <f>SUMIFS('📋 Транзакції'!$F$5:$F$3623,'📋 Транзакції'!$B$5:$B$3623,A365,'📋 Транзакції'!$C$5:$C$3623,"&gt;="&amp;EDATE(DATEVALUE(C365&amp;"-01"),2),'📋 Транзакції'!$C$5:$C$3623,"&lt;"&amp;EDATE(DATEVALUE(C365&amp;"-01"),3))</f>
        <v>19.99</v>
      </c>
      <c r="V365" s="37">
        <f>SUMIFS('📋 Транзакції'!$F$5:$F$3623,'📋 Транзакції'!$B$5:$B$3623,A365,'📋 Транзакції'!$C$5:$C$3623,"&gt;="&amp;EDATE(DATEVALUE(C365&amp;"-01"),3),'📋 Транзакції'!$C$5:$C$3623,"&lt;"&amp;EDATE(DATEVALUE(C365&amp;"-01"),4))</f>
        <v>19.99</v>
      </c>
      <c r="W365" s="37">
        <f>SUMIFS('📋 Транзакції'!$F$5:$F$3623,'📋 Транзакції'!$B$5:$B$3623,A365,'📋 Транзакції'!$C$5:$C$3623,"&gt;="&amp;EDATE(DATEVALUE(C365&amp;"-01"),4),'📋 Транзакції'!$C$5:$C$3623,"&lt;"&amp;EDATE(DATEVALUE(C365&amp;"-01"),5))</f>
        <v>19.99</v>
      </c>
      <c r="X365" s="37">
        <f>SUMIFS('📋 Транзакції'!$F$5:$F$3623,'📋 Транзакції'!$B$5:$B$3623,A365,'📋 Транзакції'!$C$5:$C$3623,"&gt;="&amp;EDATE(DATEVALUE(C365&amp;"-01"),5),'📋 Транзакції'!$C$5:$C$3623,"&lt;"&amp;EDATE(DATEVALUE(C365&amp;"-01"),6))</f>
        <v>0</v>
      </c>
      <c r="Y365" s="37">
        <f>SUMIFS('📋 Транзакції'!$F$5:$F$3623,'📋 Транзакції'!$B$5:$B$3623,A365,'📋 Транзакції'!$C$5:$C$3623,"&gt;="&amp;EDATE(DATEVALUE(C365&amp;"-01"),6),'📋 Транзакції'!$C$5:$C$3623,"&lt;"&amp;EDATE(DATEVALUE(C365&amp;"-01"),7))</f>
        <v>0</v>
      </c>
      <c r="Z365" s="37">
        <f>SUMIFS('📋 Транзакції'!$F$5:$F$3623,'📋 Транзакції'!$B$5:$B$3623,A365,'📋 Транзакції'!$C$5:$C$3623,"&gt;="&amp;EDATE(DATEVALUE(C365&amp;"-01"),7),'📋 Транзакції'!$C$5:$C$3623,"&lt;"&amp;EDATE(DATEVALUE(C365&amp;"-01"),8))</f>
        <v>0</v>
      </c>
      <c r="AA365" s="37">
        <f>SUMIFS('📋 Транзакції'!$F$5:$F$3623,'📋 Транзакції'!$B$5:$B$3623,A365,'📋 Транзакції'!$C$5:$C$3623,"&gt;="&amp;EDATE(DATEVALUE(C365&amp;"-01"),8),'📋 Транзакції'!$C$5:$C$3623,"&lt;"&amp;EDATE(DATEVALUE(C365&amp;"-01"),9))</f>
        <v>0</v>
      </c>
      <c r="AB365" s="37">
        <f>SUMIFS('📋 Транзакції'!$F$5:$F$3623,'📋 Транзакції'!$B$5:$B$3623,A365,'📋 Транзакції'!$C$5:$C$3623,"&gt;="&amp;EDATE(DATEVALUE(C365&amp;"-01"),9),'📋 Транзакції'!$C$5:$C$3623,"&lt;"&amp;EDATE(DATEVALUE(C365&amp;"-01"),10))</f>
        <v>0</v>
      </c>
      <c r="AC365" s="37">
        <f>SUMIFS('📋 Транзакції'!$F$5:$F$3623,'📋 Транзакції'!$B$5:$B$3623,A365,'📋 Транзакції'!$C$5:$C$3623,"&gt;="&amp;EDATE(DATEVALUE(C365&amp;"-01"),10),'📋 Транзакції'!$C$5:$C$3623,"&lt;"&amp;EDATE(DATEVALUE(C365&amp;"-01"),11))</f>
        <v>0</v>
      </c>
      <c r="AD365" s="37">
        <f>SUMIFS('📋 Транзакції'!$F$5:$F$3623,'📋 Транзакції'!$B$5:$B$3623,A365,'📋 Транзакції'!$C$5:$C$3623,"&gt;="&amp;EDATE(DATEVALUE(C365&amp;"-01"),11),'📋 Транзакції'!$C$5:$C$3623,"&lt;"&amp;EDATE(DATEVALUE(C365&amp;"-01"),12))</f>
        <v>0</v>
      </c>
    </row>
    <row r="366" ht="15.75" customHeight="1">
      <c r="A366" s="33" t="str">
        <f>'📋 Реєстрації'!A366:A967</f>
        <v>U0787</v>
      </c>
      <c r="B366" s="34">
        <f t="array" ref="B366">INDEX('📋 Транзакції'!$C$5:$C$3623,MATCH(A366,'📋 Транзакції'!$B$5:$B$3623,0))</f>
        <v>45603</v>
      </c>
      <c r="C366" s="35" t="str">
        <f t="shared" si="1"/>
        <v>2024-11</v>
      </c>
      <c r="D366" s="36">
        <f>COUNTIF('📋 Транзакції'!$B$5:$B$3623,A366)</f>
        <v>6</v>
      </c>
      <c r="E366" s="36">
        <f>SUMIF('📋 Транзакції'!$B$5:$B$3623,A366,'📋 Транзакції'!$F$5:$F$3623)</f>
        <v>99.95</v>
      </c>
      <c r="F366" s="35">
        <f>INT($A$1-MAXIFS('📋 Транзакції'!$C$5:$C$3623,'📋 Транзакції'!$B$5:$B$3623,A366))</f>
        <v>17</v>
      </c>
      <c r="G366" s="37">
        <f>IF(COUNTIFS('📋 Транзакції'!$B$5:$B$3623,A366,'📋 Транзакції'!$C$5:$C$3623,"&gt;="&amp;EDATE(DATEVALUE(C366&amp;"-01"),0),'📋 Транзакції'!$C$5:$C$3623,"&lt;"&amp;EDATE(DATEVALUE(C366&amp;"-01"),1))&gt;0,1,0)</f>
        <v>1</v>
      </c>
      <c r="H366" s="37">
        <f>IF(COUNTIFS('📋 Транзакції'!$B$5:$B$3623,A366,'📋 Транзакції'!$C$5:$C$3623,"&gt;="&amp;EDATE(DATEVALUE(C366&amp;"-01"),1),'📋 Транзакції'!$C$5:$C$3623,"&lt;"&amp;EDATE(DATEVALUE(C366&amp;"-01"),2))&gt;0,1,0)</f>
        <v>1</v>
      </c>
      <c r="I366" s="37">
        <f>IF(COUNTIFS('📋 Транзакції'!$B$5:$B$3623,A366,'📋 Транзакції'!$C$5:$C$3623,"&gt;="&amp;EDATE(DATEVALUE(C366&amp;"-01"),2),'📋 Транзакції'!$C$5:$C$3623,"&lt;"&amp;EDATE(DATEVALUE(C366&amp;"-01"),3))&gt;0,1,0)</f>
        <v>1</v>
      </c>
      <c r="J366" s="37">
        <f>IF(COUNTIFS('📋 Транзакції'!$B$5:$B$3623,A366,'📋 Транзакції'!$C$5:$C$3623,"&gt;="&amp;EDATE(DATEVALUE(C366&amp;"-01"),3),'📋 Транзакції'!$C$5:$C$3623,"&lt;"&amp;EDATE(DATEVALUE(C366&amp;"-01"),4))&gt;0,1,0)</f>
        <v>1</v>
      </c>
      <c r="K366" s="37">
        <f>IF(COUNTIFS('📋 Транзакції'!$B$5:$B$3623,A366,'📋 Транзакції'!$C$5:$C$3623,"&gt;="&amp;EDATE(DATEVALUE(C366&amp;"-01"),4),'📋 Транзакції'!$C$5:$C$3623,"&lt;"&amp;EDATE(DATEVALUE(C366&amp;"-01"),5))&gt;0,1,0)</f>
        <v>1</v>
      </c>
      <c r="L366" s="37">
        <f>IF(COUNTIFS('📋 Транзакції'!$B$5:$B$3623,A366,'📋 Транзакції'!$C$5:$C$3623,"&gt;="&amp;EDATE(DATEVALUE(C366&amp;"-01"),5),'📋 Транзакції'!$C$5:$C$3623,"&lt;"&amp;EDATE(DATEVALUE(C366&amp;"-01"),6))&gt;0,1,0)</f>
        <v>0</v>
      </c>
      <c r="M366" s="37">
        <f>IF(COUNTIFS('📋 Транзакції'!$B$5:$B$3623,A366,'📋 Транзакції'!$C$5:$C$3623,"&gt;="&amp;EDATE(DATEVALUE(C366&amp;"-01"),6),'📋 Транзакції'!$C$5:$C$3623,"&lt;"&amp;EDATE(DATEVALUE(C366&amp;"-01"),7))&gt;0,1,0)</f>
        <v>0</v>
      </c>
      <c r="N366" s="37">
        <f>IF(COUNTIFS('📋 Транзакції'!$B$5:$B$3623,A366,'📋 Транзакції'!$C$5:$C$3623,"&gt;="&amp;EDATE(DATEVALUE(C366&amp;"-01"),7),'📋 Транзакції'!$C$5:$C$3623,"&lt;"&amp;EDATE(DATEVALUE(C366&amp;"-01"),8))&gt;0,1,0)</f>
        <v>0</v>
      </c>
      <c r="O366" s="37">
        <f>IF(COUNTIFS('📋 Транзакції'!$B$5:$B$3623,A366,'📋 Транзакції'!$C$5:$C$3623,"&gt;="&amp;EDATE(DATEVALUE(C366&amp;"-01"),8),'📋 Транзакції'!$C$5:$C$3623,"&lt;"&amp;EDATE(DATEVALUE(C366&amp;"-01"),9))&gt;0,1,0)</f>
        <v>0</v>
      </c>
      <c r="P366" s="37">
        <f>IF(COUNTIFS('📋 Транзакції'!$B$5:$B$3623,A366,'📋 Транзакції'!$C$5:$C$3623,"&gt;="&amp;EDATE(DATEVALUE(C366&amp;"-01"),9),'📋 Транзакції'!$C$5:$C$3623,"&lt;"&amp;EDATE(DATEVALUE(C366&amp;"-01"),10))&gt;0,1,0)</f>
        <v>0</v>
      </c>
      <c r="Q366" s="37">
        <f>IF(COUNTIFS('📋 Транзакції'!$B$5:$B$3623,A366,'📋 Транзакції'!$C$5:$C$3623,"&gt;="&amp;EDATE(DATEVALUE(C366&amp;"-01"),10),'📋 Транзакції'!$C$5:$C$3623,"&lt;"&amp;EDATE(DATEVALUE(C366&amp;"-01"),11))&gt;0,1,0)</f>
        <v>0</v>
      </c>
      <c r="R366" s="37">
        <f>IF(COUNTIFS('📋 Транзакції'!$B$5:$B$3623,A366,'📋 Транзакції'!$C$5:$C$3623,"&gt;="&amp;EDATE(DATEVALUE(C366&amp;"-01"),11),'📋 Транзакції'!$C$5:$C$3623,"&lt;"&amp;EDATE(DATEVALUE(C366&amp;"-01"),12))&gt;0,1,0)</f>
        <v>0</v>
      </c>
      <c r="S366" s="37">
        <f>SUMIFS('📋 Транзакції'!$F$5:$F$3623,'📋 Транзакції'!$B$5:$B$3623,A366,'📋 Транзакції'!$C$5:$C$3623,"&gt;="&amp;EDATE(DATEVALUE(C366&amp;"-01"),0),'📋 Транзакції'!$C$5:$C$3623,"&lt;"&amp;EDATE(DATEVALUE(C366&amp;"-01"),1))</f>
        <v>19.99</v>
      </c>
      <c r="T366" s="37">
        <f>SUMIFS('📋 Транзакції'!$F$5:$F$3623,'📋 Транзакції'!$B$5:$B$3623,A366,'📋 Транзакції'!$C$5:$C$3623,"&gt;="&amp;EDATE(DATEVALUE(C366&amp;"-01"),1),'📋 Транзакції'!$C$5:$C$3623,"&lt;"&amp;EDATE(DATEVALUE(C366&amp;"-01"),2))</f>
        <v>19.99</v>
      </c>
      <c r="U366" s="37">
        <f>SUMIFS('📋 Транзакції'!$F$5:$F$3623,'📋 Транзакції'!$B$5:$B$3623,A366,'📋 Транзакції'!$C$5:$C$3623,"&gt;="&amp;EDATE(DATEVALUE(C366&amp;"-01"),2),'📋 Транзакції'!$C$5:$C$3623,"&lt;"&amp;EDATE(DATEVALUE(C366&amp;"-01"),3))</f>
        <v>19.99</v>
      </c>
      <c r="V366" s="37">
        <f>SUMIFS('📋 Транзакції'!$F$5:$F$3623,'📋 Транзакції'!$B$5:$B$3623,A366,'📋 Транзакції'!$C$5:$C$3623,"&gt;="&amp;EDATE(DATEVALUE(C366&amp;"-01"),3),'📋 Транзакції'!$C$5:$C$3623,"&lt;"&amp;EDATE(DATEVALUE(C366&amp;"-01"),4))</f>
        <v>19.99</v>
      </c>
      <c r="W366" s="37">
        <f>SUMIFS('📋 Транзакції'!$F$5:$F$3623,'📋 Транзакції'!$B$5:$B$3623,A366,'📋 Транзакції'!$C$5:$C$3623,"&gt;="&amp;EDATE(DATEVALUE(C366&amp;"-01"),4),'📋 Транзакції'!$C$5:$C$3623,"&lt;"&amp;EDATE(DATEVALUE(C366&amp;"-01"),5))</f>
        <v>19.99</v>
      </c>
      <c r="X366" s="37">
        <f>SUMIFS('📋 Транзакції'!$F$5:$F$3623,'📋 Транзакції'!$B$5:$B$3623,A366,'📋 Транзакції'!$C$5:$C$3623,"&gt;="&amp;EDATE(DATEVALUE(C366&amp;"-01"),5),'📋 Транзакції'!$C$5:$C$3623,"&lt;"&amp;EDATE(DATEVALUE(C366&amp;"-01"),6))</f>
        <v>0</v>
      </c>
      <c r="Y366" s="37">
        <f>SUMIFS('📋 Транзакції'!$F$5:$F$3623,'📋 Транзакції'!$B$5:$B$3623,A366,'📋 Транзакції'!$C$5:$C$3623,"&gt;="&amp;EDATE(DATEVALUE(C366&amp;"-01"),6),'📋 Транзакції'!$C$5:$C$3623,"&lt;"&amp;EDATE(DATEVALUE(C366&amp;"-01"),7))</f>
        <v>0</v>
      </c>
      <c r="Z366" s="37">
        <f>SUMIFS('📋 Транзакції'!$F$5:$F$3623,'📋 Транзакції'!$B$5:$B$3623,A366,'📋 Транзакції'!$C$5:$C$3623,"&gt;="&amp;EDATE(DATEVALUE(C366&amp;"-01"),7),'📋 Транзакції'!$C$5:$C$3623,"&lt;"&amp;EDATE(DATEVALUE(C366&amp;"-01"),8))</f>
        <v>0</v>
      </c>
      <c r="AA366" s="37">
        <f>SUMIFS('📋 Транзакції'!$F$5:$F$3623,'📋 Транзакції'!$B$5:$B$3623,A366,'📋 Транзакції'!$C$5:$C$3623,"&gt;="&amp;EDATE(DATEVALUE(C366&amp;"-01"),8),'📋 Транзакції'!$C$5:$C$3623,"&lt;"&amp;EDATE(DATEVALUE(C366&amp;"-01"),9))</f>
        <v>0</v>
      </c>
      <c r="AB366" s="37">
        <f>SUMIFS('📋 Транзакції'!$F$5:$F$3623,'📋 Транзакції'!$B$5:$B$3623,A366,'📋 Транзакції'!$C$5:$C$3623,"&gt;="&amp;EDATE(DATEVALUE(C366&amp;"-01"),9),'📋 Транзакції'!$C$5:$C$3623,"&lt;"&amp;EDATE(DATEVALUE(C366&amp;"-01"),10))</f>
        <v>0</v>
      </c>
      <c r="AC366" s="37">
        <f>SUMIFS('📋 Транзакції'!$F$5:$F$3623,'📋 Транзакції'!$B$5:$B$3623,A366,'📋 Транзакції'!$C$5:$C$3623,"&gt;="&amp;EDATE(DATEVALUE(C366&amp;"-01"),10),'📋 Транзакції'!$C$5:$C$3623,"&lt;"&amp;EDATE(DATEVALUE(C366&amp;"-01"),11))</f>
        <v>0</v>
      </c>
      <c r="AD366" s="37">
        <f>SUMIFS('📋 Транзакції'!$F$5:$F$3623,'📋 Транзакції'!$B$5:$B$3623,A366,'📋 Транзакції'!$C$5:$C$3623,"&gt;="&amp;EDATE(DATEVALUE(C366&amp;"-01"),11),'📋 Транзакції'!$C$5:$C$3623,"&lt;"&amp;EDATE(DATEVALUE(C366&amp;"-01"),12))</f>
        <v>0</v>
      </c>
    </row>
    <row r="367" ht="15.75" customHeight="1">
      <c r="A367" s="33" t="str">
        <f>'📋 Реєстрації'!A367:A968</f>
        <v>U0798</v>
      </c>
      <c r="B367" s="34">
        <f t="array" ref="B367">INDEX('📋 Транзакції'!$C$5:$C$3623,MATCH(A367,'📋 Транзакції'!$B$5:$B$3623,0))</f>
        <v>45603</v>
      </c>
      <c r="C367" s="35" t="str">
        <f t="shared" si="1"/>
        <v>2024-11</v>
      </c>
      <c r="D367" s="36">
        <f>COUNTIF('📋 Транзакції'!$B$5:$B$3623,A367)</f>
        <v>3</v>
      </c>
      <c r="E367" s="36">
        <f>SUMIF('📋 Транзакції'!$B$5:$B$3623,A367,'📋 Транзакції'!$F$5:$F$3623)</f>
        <v>39.98</v>
      </c>
      <c r="F367" s="35">
        <f>INT($A$1-MAXIFS('📋 Транзакції'!$C$5:$C$3623,'📋 Транзакції'!$B$5:$B$3623,A367))</f>
        <v>107</v>
      </c>
      <c r="G367" s="37">
        <f>IF(COUNTIFS('📋 Транзакції'!$B$5:$B$3623,A367,'📋 Транзакції'!$C$5:$C$3623,"&gt;="&amp;EDATE(DATEVALUE(C367&amp;"-01"),0),'📋 Транзакції'!$C$5:$C$3623,"&lt;"&amp;EDATE(DATEVALUE(C367&amp;"-01"),1))&gt;0,1,0)</f>
        <v>1</v>
      </c>
      <c r="H367" s="37">
        <f>IF(COUNTIFS('📋 Транзакції'!$B$5:$B$3623,A367,'📋 Транзакції'!$C$5:$C$3623,"&gt;="&amp;EDATE(DATEVALUE(C367&amp;"-01"),1),'📋 Транзакції'!$C$5:$C$3623,"&lt;"&amp;EDATE(DATEVALUE(C367&amp;"-01"),2))&gt;0,1,0)</f>
        <v>1</v>
      </c>
      <c r="I367" s="37">
        <f>IF(COUNTIFS('📋 Транзакції'!$B$5:$B$3623,A367,'📋 Транзакції'!$C$5:$C$3623,"&gt;="&amp;EDATE(DATEVALUE(C367&amp;"-01"),2),'📋 Транзакції'!$C$5:$C$3623,"&lt;"&amp;EDATE(DATEVALUE(C367&amp;"-01"),3))&gt;0,1,0)</f>
        <v>0</v>
      </c>
      <c r="J367" s="37">
        <f>IF(COUNTIFS('📋 Транзакції'!$B$5:$B$3623,A367,'📋 Транзакції'!$C$5:$C$3623,"&gt;="&amp;EDATE(DATEVALUE(C367&amp;"-01"),3),'📋 Транзакції'!$C$5:$C$3623,"&lt;"&amp;EDATE(DATEVALUE(C367&amp;"-01"),4))&gt;0,1,0)</f>
        <v>0</v>
      </c>
      <c r="K367" s="37">
        <f>IF(COUNTIFS('📋 Транзакції'!$B$5:$B$3623,A367,'📋 Транзакції'!$C$5:$C$3623,"&gt;="&amp;EDATE(DATEVALUE(C367&amp;"-01"),4),'📋 Транзакції'!$C$5:$C$3623,"&lt;"&amp;EDATE(DATEVALUE(C367&amp;"-01"),5))&gt;0,1,0)</f>
        <v>0</v>
      </c>
      <c r="L367" s="37">
        <f>IF(COUNTIFS('📋 Транзакції'!$B$5:$B$3623,A367,'📋 Транзакції'!$C$5:$C$3623,"&gt;="&amp;EDATE(DATEVALUE(C367&amp;"-01"),5),'📋 Транзакції'!$C$5:$C$3623,"&lt;"&amp;EDATE(DATEVALUE(C367&amp;"-01"),6))&gt;0,1,0)</f>
        <v>0</v>
      </c>
      <c r="M367" s="37">
        <f>IF(COUNTIFS('📋 Транзакції'!$B$5:$B$3623,A367,'📋 Транзакції'!$C$5:$C$3623,"&gt;="&amp;EDATE(DATEVALUE(C367&amp;"-01"),6),'📋 Транзакції'!$C$5:$C$3623,"&lt;"&amp;EDATE(DATEVALUE(C367&amp;"-01"),7))&gt;0,1,0)</f>
        <v>0</v>
      </c>
      <c r="N367" s="37">
        <f>IF(COUNTIFS('📋 Транзакції'!$B$5:$B$3623,A367,'📋 Транзакції'!$C$5:$C$3623,"&gt;="&amp;EDATE(DATEVALUE(C367&amp;"-01"),7),'📋 Транзакції'!$C$5:$C$3623,"&lt;"&amp;EDATE(DATEVALUE(C367&amp;"-01"),8))&gt;0,1,0)</f>
        <v>0</v>
      </c>
      <c r="O367" s="37">
        <f>IF(COUNTIFS('📋 Транзакції'!$B$5:$B$3623,A367,'📋 Транзакції'!$C$5:$C$3623,"&gt;="&amp;EDATE(DATEVALUE(C367&amp;"-01"),8),'📋 Транзакції'!$C$5:$C$3623,"&lt;"&amp;EDATE(DATEVALUE(C367&amp;"-01"),9))&gt;0,1,0)</f>
        <v>0</v>
      </c>
      <c r="P367" s="37">
        <f>IF(COUNTIFS('📋 Транзакції'!$B$5:$B$3623,A367,'📋 Транзакції'!$C$5:$C$3623,"&gt;="&amp;EDATE(DATEVALUE(C367&amp;"-01"),9),'📋 Транзакції'!$C$5:$C$3623,"&lt;"&amp;EDATE(DATEVALUE(C367&amp;"-01"),10))&gt;0,1,0)</f>
        <v>0</v>
      </c>
      <c r="Q367" s="37">
        <f>IF(COUNTIFS('📋 Транзакції'!$B$5:$B$3623,A367,'📋 Транзакції'!$C$5:$C$3623,"&gt;="&amp;EDATE(DATEVALUE(C367&amp;"-01"),10),'📋 Транзакції'!$C$5:$C$3623,"&lt;"&amp;EDATE(DATEVALUE(C367&amp;"-01"),11))&gt;0,1,0)</f>
        <v>0</v>
      </c>
      <c r="R367" s="37">
        <f>IF(COUNTIFS('📋 Транзакції'!$B$5:$B$3623,A367,'📋 Транзакції'!$C$5:$C$3623,"&gt;="&amp;EDATE(DATEVALUE(C367&amp;"-01"),11),'📋 Транзакції'!$C$5:$C$3623,"&lt;"&amp;EDATE(DATEVALUE(C367&amp;"-01"),12))&gt;0,1,0)</f>
        <v>0</v>
      </c>
      <c r="S367" s="37">
        <f>SUMIFS('📋 Транзакції'!$F$5:$F$3623,'📋 Транзакції'!$B$5:$B$3623,A367,'📋 Транзакції'!$C$5:$C$3623,"&gt;="&amp;EDATE(DATEVALUE(C367&amp;"-01"),0),'📋 Транзакції'!$C$5:$C$3623,"&lt;"&amp;EDATE(DATEVALUE(C367&amp;"-01"),1))</f>
        <v>19.99</v>
      </c>
      <c r="T367" s="37">
        <f>SUMIFS('📋 Транзакції'!$F$5:$F$3623,'📋 Транзакції'!$B$5:$B$3623,A367,'📋 Транзакції'!$C$5:$C$3623,"&gt;="&amp;EDATE(DATEVALUE(C367&amp;"-01"),1),'📋 Транзакції'!$C$5:$C$3623,"&lt;"&amp;EDATE(DATEVALUE(C367&amp;"-01"),2))</f>
        <v>19.99</v>
      </c>
      <c r="U367" s="37">
        <f>SUMIFS('📋 Транзакції'!$F$5:$F$3623,'📋 Транзакції'!$B$5:$B$3623,A367,'📋 Транзакції'!$C$5:$C$3623,"&gt;="&amp;EDATE(DATEVALUE(C367&amp;"-01"),2),'📋 Транзакції'!$C$5:$C$3623,"&lt;"&amp;EDATE(DATEVALUE(C367&amp;"-01"),3))</f>
        <v>0</v>
      </c>
      <c r="V367" s="37">
        <f>SUMIFS('📋 Транзакції'!$F$5:$F$3623,'📋 Транзакції'!$B$5:$B$3623,A367,'📋 Транзакції'!$C$5:$C$3623,"&gt;="&amp;EDATE(DATEVALUE(C367&amp;"-01"),3),'📋 Транзакції'!$C$5:$C$3623,"&lt;"&amp;EDATE(DATEVALUE(C367&amp;"-01"),4))</f>
        <v>0</v>
      </c>
      <c r="W367" s="37">
        <f>SUMIFS('📋 Транзакції'!$F$5:$F$3623,'📋 Транзакції'!$B$5:$B$3623,A367,'📋 Транзакції'!$C$5:$C$3623,"&gt;="&amp;EDATE(DATEVALUE(C367&amp;"-01"),4),'📋 Транзакції'!$C$5:$C$3623,"&lt;"&amp;EDATE(DATEVALUE(C367&amp;"-01"),5))</f>
        <v>0</v>
      </c>
      <c r="X367" s="37">
        <f>SUMIFS('📋 Транзакції'!$F$5:$F$3623,'📋 Транзакції'!$B$5:$B$3623,A367,'📋 Транзакції'!$C$5:$C$3623,"&gt;="&amp;EDATE(DATEVALUE(C367&amp;"-01"),5),'📋 Транзакції'!$C$5:$C$3623,"&lt;"&amp;EDATE(DATEVALUE(C367&amp;"-01"),6))</f>
        <v>0</v>
      </c>
      <c r="Y367" s="37">
        <f>SUMIFS('📋 Транзакції'!$F$5:$F$3623,'📋 Транзакції'!$B$5:$B$3623,A367,'📋 Транзакції'!$C$5:$C$3623,"&gt;="&amp;EDATE(DATEVALUE(C367&amp;"-01"),6),'📋 Транзакції'!$C$5:$C$3623,"&lt;"&amp;EDATE(DATEVALUE(C367&amp;"-01"),7))</f>
        <v>0</v>
      </c>
      <c r="Z367" s="37">
        <f>SUMIFS('📋 Транзакції'!$F$5:$F$3623,'📋 Транзакції'!$B$5:$B$3623,A367,'📋 Транзакції'!$C$5:$C$3623,"&gt;="&amp;EDATE(DATEVALUE(C367&amp;"-01"),7),'📋 Транзакції'!$C$5:$C$3623,"&lt;"&amp;EDATE(DATEVALUE(C367&amp;"-01"),8))</f>
        <v>0</v>
      </c>
      <c r="AA367" s="37">
        <f>SUMIFS('📋 Транзакції'!$F$5:$F$3623,'📋 Транзакції'!$B$5:$B$3623,A367,'📋 Транзакції'!$C$5:$C$3623,"&gt;="&amp;EDATE(DATEVALUE(C367&amp;"-01"),8),'📋 Транзакції'!$C$5:$C$3623,"&lt;"&amp;EDATE(DATEVALUE(C367&amp;"-01"),9))</f>
        <v>0</v>
      </c>
      <c r="AB367" s="37">
        <f>SUMIFS('📋 Транзакції'!$F$5:$F$3623,'📋 Транзакції'!$B$5:$B$3623,A367,'📋 Транзакції'!$C$5:$C$3623,"&gt;="&amp;EDATE(DATEVALUE(C367&amp;"-01"),9),'📋 Транзакції'!$C$5:$C$3623,"&lt;"&amp;EDATE(DATEVALUE(C367&amp;"-01"),10))</f>
        <v>0</v>
      </c>
      <c r="AC367" s="37">
        <f>SUMIFS('📋 Транзакції'!$F$5:$F$3623,'📋 Транзакції'!$B$5:$B$3623,A367,'📋 Транзакції'!$C$5:$C$3623,"&gt;="&amp;EDATE(DATEVALUE(C367&amp;"-01"),10),'📋 Транзакції'!$C$5:$C$3623,"&lt;"&amp;EDATE(DATEVALUE(C367&amp;"-01"),11))</f>
        <v>0</v>
      </c>
      <c r="AD367" s="37">
        <f>SUMIFS('📋 Транзакції'!$F$5:$F$3623,'📋 Транзакції'!$B$5:$B$3623,A367,'📋 Транзакції'!$C$5:$C$3623,"&gt;="&amp;EDATE(DATEVALUE(C367&amp;"-01"),11),'📋 Транзакції'!$C$5:$C$3623,"&lt;"&amp;EDATE(DATEVALUE(C367&amp;"-01"),12))</f>
        <v>0</v>
      </c>
    </row>
    <row r="368" ht="15.75" customHeight="1">
      <c r="A368" s="33" t="str">
        <f>'📋 Реєстрації'!A368:A969</f>
        <v>U0328</v>
      </c>
      <c r="B368" s="34">
        <f t="array" ref="B368">INDEX('📋 Транзакції'!$C$5:$C$3623,MATCH(A368,'📋 Транзакції'!$B$5:$B$3623,0))</f>
        <v>45604</v>
      </c>
      <c r="C368" s="35" t="str">
        <f t="shared" si="1"/>
        <v>2024-11</v>
      </c>
      <c r="D368" s="36">
        <f>COUNTIF('📋 Транзакції'!$B$5:$B$3623,A368)</f>
        <v>6</v>
      </c>
      <c r="E368" s="36">
        <f>SUMIF('📋 Транзакції'!$B$5:$B$3623,A368,'📋 Транзакції'!$F$5:$F$3623)</f>
        <v>99.95</v>
      </c>
      <c r="F368" s="35">
        <f>INT($A$1-MAXIFS('📋 Транзакції'!$C$5:$C$3623,'📋 Транзакції'!$B$5:$B$3623,A368))</f>
        <v>16</v>
      </c>
      <c r="G368" s="37">
        <f>IF(COUNTIFS('📋 Транзакції'!$B$5:$B$3623,A368,'📋 Транзакції'!$C$5:$C$3623,"&gt;="&amp;EDATE(DATEVALUE(C368&amp;"-01"),0),'📋 Транзакції'!$C$5:$C$3623,"&lt;"&amp;EDATE(DATEVALUE(C368&amp;"-01"),1))&gt;0,1,0)</f>
        <v>1</v>
      </c>
      <c r="H368" s="37">
        <f>IF(COUNTIFS('📋 Транзакції'!$B$5:$B$3623,A368,'📋 Транзакції'!$C$5:$C$3623,"&gt;="&amp;EDATE(DATEVALUE(C368&amp;"-01"),1),'📋 Транзакції'!$C$5:$C$3623,"&lt;"&amp;EDATE(DATEVALUE(C368&amp;"-01"),2))&gt;0,1,0)</f>
        <v>1</v>
      </c>
      <c r="I368" s="37">
        <f>IF(COUNTIFS('📋 Транзакції'!$B$5:$B$3623,A368,'📋 Транзакції'!$C$5:$C$3623,"&gt;="&amp;EDATE(DATEVALUE(C368&amp;"-01"),2),'📋 Транзакції'!$C$5:$C$3623,"&lt;"&amp;EDATE(DATEVALUE(C368&amp;"-01"),3))&gt;0,1,0)</f>
        <v>1</v>
      </c>
      <c r="J368" s="37">
        <f>IF(COUNTIFS('📋 Транзакції'!$B$5:$B$3623,A368,'📋 Транзакції'!$C$5:$C$3623,"&gt;="&amp;EDATE(DATEVALUE(C368&amp;"-01"),3),'📋 Транзакції'!$C$5:$C$3623,"&lt;"&amp;EDATE(DATEVALUE(C368&amp;"-01"),4))&gt;0,1,0)</f>
        <v>1</v>
      </c>
      <c r="K368" s="37">
        <f>IF(COUNTIFS('📋 Транзакції'!$B$5:$B$3623,A368,'📋 Транзакції'!$C$5:$C$3623,"&gt;="&amp;EDATE(DATEVALUE(C368&amp;"-01"),4),'📋 Транзакції'!$C$5:$C$3623,"&lt;"&amp;EDATE(DATEVALUE(C368&amp;"-01"),5))&gt;0,1,0)</f>
        <v>1</v>
      </c>
      <c r="L368" s="37">
        <f>IF(COUNTIFS('📋 Транзакції'!$B$5:$B$3623,A368,'📋 Транзакції'!$C$5:$C$3623,"&gt;="&amp;EDATE(DATEVALUE(C368&amp;"-01"),5),'📋 Транзакції'!$C$5:$C$3623,"&lt;"&amp;EDATE(DATEVALUE(C368&amp;"-01"),6))&gt;0,1,0)</f>
        <v>0</v>
      </c>
      <c r="M368" s="37">
        <f>IF(COUNTIFS('📋 Транзакції'!$B$5:$B$3623,A368,'📋 Транзакції'!$C$5:$C$3623,"&gt;="&amp;EDATE(DATEVALUE(C368&amp;"-01"),6),'📋 Транзакції'!$C$5:$C$3623,"&lt;"&amp;EDATE(DATEVALUE(C368&amp;"-01"),7))&gt;0,1,0)</f>
        <v>0</v>
      </c>
      <c r="N368" s="37">
        <f>IF(COUNTIFS('📋 Транзакції'!$B$5:$B$3623,A368,'📋 Транзакції'!$C$5:$C$3623,"&gt;="&amp;EDATE(DATEVALUE(C368&amp;"-01"),7),'📋 Транзакції'!$C$5:$C$3623,"&lt;"&amp;EDATE(DATEVALUE(C368&amp;"-01"),8))&gt;0,1,0)</f>
        <v>0</v>
      </c>
      <c r="O368" s="37">
        <f>IF(COUNTIFS('📋 Транзакції'!$B$5:$B$3623,A368,'📋 Транзакції'!$C$5:$C$3623,"&gt;="&amp;EDATE(DATEVALUE(C368&amp;"-01"),8),'📋 Транзакції'!$C$5:$C$3623,"&lt;"&amp;EDATE(DATEVALUE(C368&amp;"-01"),9))&gt;0,1,0)</f>
        <v>0</v>
      </c>
      <c r="P368" s="37">
        <f>IF(COUNTIFS('📋 Транзакції'!$B$5:$B$3623,A368,'📋 Транзакції'!$C$5:$C$3623,"&gt;="&amp;EDATE(DATEVALUE(C368&amp;"-01"),9),'📋 Транзакції'!$C$5:$C$3623,"&lt;"&amp;EDATE(DATEVALUE(C368&amp;"-01"),10))&gt;0,1,0)</f>
        <v>0</v>
      </c>
      <c r="Q368" s="37">
        <f>IF(COUNTIFS('📋 Транзакції'!$B$5:$B$3623,A368,'📋 Транзакції'!$C$5:$C$3623,"&gt;="&amp;EDATE(DATEVALUE(C368&amp;"-01"),10),'📋 Транзакції'!$C$5:$C$3623,"&lt;"&amp;EDATE(DATEVALUE(C368&amp;"-01"),11))&gt;0,1,0)</f>
        <v>0</v>
      </c>
      <c r="R368" s="37">
        <f>IF(COUNTIFS('📋 Транзакції'!$B$5:$B$3623,A368,'📋 Транзакції'!$C$5:$C$3623,"&gt;="&amp;EDATE(DATEVALUE(C368&amp;"-01"),11),'📋 Транзакції'!$C$5:$C$3623,"&lt;"&amp;EDATE(DATEVALUE(C368&amp;"-01"),12))&gt;0,1,0)</f>
        <v>0</v>
      </c>
      <c r="S368" s="37">
        <f>SUMIFS('📋 Транзакції'!$F$5:$F$3623,'📋 Транзакції'!$B$5:$B$3623,A368,'📋 Транзакції'!$C$5:$C$3623,"&gt;="&amp;EDATE(DATEVALUE(C368&amp;"-01"),0),'📋 Транзакції'!$C$5:$C$3623,"&lt;"&amp;EDATE(DATEVALUE(C368&amp;"-01"),1))</f>
        <v>19.99</v>
      </c>
      <c r="T368" s="37">
        <f>SUMIFS('📋 Транзакції'!$F$5:$F$3623,'📋 Транзакції'!$B$5:$B$3623,A368,'📋 Транзакції'!$C$5:$C$3623,"&gt;="&amp;EDATE(DATEVALUE(C368&amp;"-01"),1),'📋 Транзакції'!$C$5:$C$3623,"&lt;"&amp;EDATE(DATEVALUE(C368&amp;"-01"),2))</f>
        <v>19.99</v>
      </c>
      <c r="U368" s="37">
        <f>SUMIFS('📋 Транзакції'!$F$5:$F$3623,'📋 Транзакції'!$B$5:$B$3623,A368,'📋 Транзакції'!$C$5:$C$3623,"&gt;="&amp;EDATE(DATEVALUE(C368&amp;"-01"),2),'📋 Транзакції'!$C$5:$C$3623,"&lt;"&amp;EDATE(DATEVALUE(C368&amp;"-01"),3))</f>
        <v>19.99</v>
      </c>
      <c r="V368" s="37">
        <f>SUMIFS('📋 Транзакції'!$F$5:$F$3623,'📋 Транзакції'!$B$5:$B$3623,A368,'📋 Транзакції'!$C$5:$C$3623,"&gt;="&amp;EDATE(DATEVALUE(C368&amp;"-01"),3),'📋 Транзакції'!$C$5:$C$3623,"&lt;"&amp;EDATE(DATEVALUE(C368&amp;"-01"),4))</f>
        <v>19.99</v>
      </c>
      <c r="W368" s="37">
        <f>SUMIFS('📋 Транзакції'!$F$5:$F$3623,'📋 Транзакції'!$B$5:$B$3623,A368,'📋 Транзакції'!$C$5:$C$3623,"&gt;="&amp;EDATE(DATEVALUE(C368&amp;"-01"),4),'📋 Транзакції'!$C$5:$C$3623,"&lt;"&amp;EDATE(DATEVALUE(C368&amp;"-01"),5))</f>
        <v>19.99</v>
      </c>
      <c r="X368" s="37">
        <f>SUMIFS('📋 Транзакції'!$F$5:$F$3623,'📋 Транзакції'!$B$5:$B$3623,A368,'📋 Транзакції'!$C$5:$C$3623,"&gt;="&amp;EDATE(DATEVALUE(C368&amp;"-01"),5),'📋 Транзакції'!$C$5:$C$3623,"&lt;"&amp;EDATE(DATEVALUE(C368&amp;"-01"),6))</f>
        <v>0</v>
      </c>
      <c r="Y368" s="37">
        <f>SUMIFS('📋 Транзакції'!$F$5:$F$3623,'📋 Транзакції'!$B$5:$B$3623,A368,'📋 Транзакції'!$C$5:$C$3623,"&gt;="&amp;EDATE(DATEVALUE(C368&amp;"-01"),6),'📋 Транзакції'!$C$5:$C$3623,"&lt;"&amp;EDATE(DATEVALUE(C368&amp;"-01"),7))</f>
        <v>0</v>
      </c>
      <c r="Z368" s="37">
        <f>SUMIFS('📋 Транзакції'!$F$5:$F$3623,'📋 Транзакції'!$B$5:$B$3623,A368,'📋 Транзакції'!$C$5:$C$3623,"&gt;="&amp;EDATE(DATEVALUE(C368&amp;"-01"),7),'📋 Транзакції'!$C$5:$C$3623,"&lt;"&amp;EDATE(DATEVALUE(C368&amp;"-01"),8))</f>
        <v>0</v>
      </c>
      <c r="AA368" s="37">
        <f>SUMIFS('📋 Транзакції'!$F$5:$F$3623,'📋 Транзакції'!$B$5:$B$3623,A368,'📋 Транзакції'!$C$5:$C$3623,"&gt;="&amp;EDATE(DATEVALUE(C368&amp;"-01"),8),'📋 Транзакції'!$C$5:$C$3623,"&lt;"&amp;EDATE(DATEVALUE(C368&amp;"-01"),9))</f>
        <v>0</v>
      </c>
      <c r="AB368" s="37">
        <f>SUMIFS('📋 Транзакції'!$F$5:$F$3623,'📋 Транзакції'!$B$5:$B$3623,A368,'📋 Транзакції'!$C$5:$C$3623,"&gt;="&amp;EDATE(DATEVALUE(C368&amp;"-01"),9),'📋 Транзакції'!$C$5:$C$3623,"&lt;"&amp;EDATE(DATEVALUE(C368&amp;"-01"),10))</f>
        <v>0</v>
      </c>
      <c r="AC368" s="37">
        <f>SUMIFS('📋 Транзакції'!$F$5:$F$3623,'📋 Транзакції'!$B$5:$B$3623,A368,'📋 Транзакції'!$C$5:$C$3623,"&gt;="&amp;EDATE(DATEVALUE(C368&amp;"-01"),10),'📋 Транзакції'!$C$5:$C$3623,"&lt;"&amp;EDATE(DATEVALUE(C368&amp;"-01"),11))</f>
        <v>0</v>
      </c>
      <c r="AD368" s="37">
        <f>SUMIFS('📋 Транзакції'!$F$5:$F$3623,'📋 Транзакції'!$B$5:$B$3623,A368,'📋 Транзакції'!$C$5:$C$3623,"&gt;="&amp;EDATE(DATEVALUE(C368&amp;"-01"),11),'📋 Транзакції'!$C$5:$C$3623,"&lt;"&amp;EDATE(DATEVALUE(C368&amp;"-01"),12))</f>
        <v>0</v>
      </c>
    </row>
    <row r="369" ht="15.75" customHeight="1">
      <c r="A369" s="33" t="str">
        <f>'📋 Реєстрації'!A369:A970</f>
        <v>U0850</v>
      </c>
      <c r="B369" s="34">
        <f t="array" ref="B369">INDEX('📋 Транзакції'!$C$5:$C$3623,MATCH(A369,'📋 Транзакції'!$B$5:$B$3623,0))</f>
        <v>45604</v>
      </c>
      <c r="C369" s="35" t="str">
        <f t="shared" si="1"/>
        <v>2024-11</v>
      </c>
      <c r="D369" s="36">
        <f>COUNTIF('📋 Транзакції'!$B$5:$B$3623,A369)</f>
        <v>3</v>
      </c>
      <c r="E369" s="36">
        <f>SUMIF('📋 Транзакції'!$B$5:$B$3623,A369,'📋 Транзакції'!$F$5:$F$3623)</f>
        <v>39.98</v>
      </c>
      <c r="F369" s="35">
        <f>INT($A$1-MAXIFS('📋 Транзакції'!$C$5:$C$3623,'📋 Транзакції'!$B$5:$B$3623,A369))</f>
        <v>106</v>
      </c>
      <c r="G369" s="37">
        <f>IF(COUNTIFS('📋 Транзакції'!$B$5:$B$3623,A369,'📋 Транзакції'!$C$5:$C$3623,"&gt;="&amp;EDATE(DATEVALUE(C369&amp;"-01"),0),'📋 Транзакції'!$C$5:$C$3623,"&lt;"&amp;EDATE(DATEVALUE(C369&amp;"-01"),1))&gt;0,1,0)</f>
        <v>1</v>
      </c>
      <c r="H369" s="37">
        <f>IF(COUNTIFS('📋 Транзакції'!$B$5:$B$3623,A369,'📋 Транзакції'!$C$5:$C$3623,"&gt;="&amp;EDATE(DATEVALUE(C369&amp;"-01"),1),'📋 Транзакції'!$C$5:$C$3623,"&lt;"&amp;EDATE(DATEVALUE(C369&amp;"-01"),2))&gt;0,1,0)</f>
        <v>1</v>
      </c>
      <c r="I369" s="37">
        <f>IF(COUNTIFS('📋 Транзакції'!$B$5:$B$3623,A369,'📋 Транзакції'!$C$5:$C$3623,"&gt;="&amp;EDATE(DATEVALUE(C369&amp;"-01"),2),'📋 Транзакції'!$C$5:$C$3623,"&lt;"&amp;EDATE(DATEVALUE(C369&amp;"-01"),3))&gt;0,1,0)</f>
        <v>0</v>
      </c>
      <c r="J369" s="37">
        <f>IF(COUNTIFS('📋 Транзакції'!$B$5:$B$3623,A369,'📋 Транзакції'!$C$5:$C$3623,"&gt;="&amp;EDATE(DATEVALUE(C369&amp;"-01"),3),'📋 Транзакції'!$C$5:$C$3623,"&lt;"&amp;EDATE(DATEVALUE(C369&amp;"-01"),4))&gt;0,1,0)</f>
        <v>0</v>
      </c>
      <c r="K369" s="37">
        <f>IF(COUNTIFS('📋 Транзакції'!$B$5:$B$3623,A369,'📋 Транзакції'!$C$5:$C$3623,"&gt;="&amp;EDATE(DATEVALUE(C369&amp;"-01"),4),'📋 Транзакції'!$C$5:$C$3623,"&lt;"&amp;EDATE(DATEVALUE(C369&amp;"-01"),5))&gt;0,1,0)</f>
        <v>0</v>
      </c>
      <c r="L369" s="37">
        <f>IF(COUNTIFS('📋 Транзакції'!$B$5:$B$3623,A369,'📋 Транзакції'!$C$5:$C$3623,"&gt;="&amp;EDATE(DATEVALUE(C369&amp;"-01"),5),'📋 Транзакції'!$C$5:$C$3623,"&lt;"&amp;EDATE(DATEVALUE(C369&amp;"-01"),6))&gt;0,1,0)</f>
        <v>0</v>
      </c>
      <c r="M369" s="37">
        <f>IF(COUNTIFS('📋 Транзакції'!$B$5:$B$3623,A369,'📋 Транзакції'!$C$5:$C$3623,"&gt;="&amp;EDATE(DATEVALUE(C369&amp;"-01"),6),'📋 Транзакції'!$C$5:$C$3623,"&lt;"&amp;EDATE(DATEVALUE(C369&amp;"-01"),7))&gt;0,1,0)</f>
        <v>0</v>
      </c>
      <c r="N369" s="37">
        <f>IF(COUNTIFS('📋 Транзакції'!$B$5:$B$3623,A369,'📋 Транзакції'!$C$5:$C$3623,"&gt;="&amp;EDATE(DATEVALUE(C369&amp;"-01"),7),'📋 Транзакції'!$C$5:$C$3623,"&lt;"&amp;EDATE(DATEVALUE(C369&amp;"-01"),8))&gt;0,1,0)</f>
        <v>0</v>
      </c>
      <c r="O369" s="37">
        <f>IF(COUNTIFS('📋 Транзакції'!$B$5:$B$3623,A369,'📋 Транзакції'!$C$5:$C$3623,"&gt;="&amp;EDATE(DATEVALUE(C369&amp;"-01"),8),'📋 Транзакції'!$C$5:$C$3623,"&lt;"&amp;EDATE(DATEVALUE(C369&amp;"-01"),9))&gt;0,1,0)</f>
        <v>0</v>
      </c>
      <c r="P369" s="37">
        <f>IF(COUNTIFS('📋 Транзакції'!$B$5:$B$3623,A369,'📋 Транзакції'!$C$5:$C$3623,"&gt;="&amp;EDATE(DATEVALUE(C369&amp;"-01"),9),'📋 Транзакції'!$C$5:$C$3623,"&lt;"&amp;EDATE(DATEVALUE(C369&amp;"-01"),10))&gt;0,1,0)</f>
        <v>0</v>
      </c>
      <c r="Q369" s="37">
        <f>IF(COUNTIFS('📋 Транзакції'!$B$5:$B$3623,A369,'📋 Транзакції'!$C$5:$C$3623,"&gt;="&amp;EDATE(DATEVALUE(C369&amp;"-01"),10),'📋 Транзакції'!$C$5:$C$3623,"&lt;"&amp;EDATE(DATEVALUE(C369&amp;"-01"),11))&gt;0,1,0)</f>
        <v>0</v>
      </c>
      <c r="R369" s="37">
        <f>IF(COUNTIFS('📋 Транзакції'!$B$5:$B$3623,A369,'📋 Транзакції'!$C$5:$C$3623,"&gt;="&amp;EDATE(DATEVALUE(C369&amp;"-01"),11),'📋 Транзакції'!$C$5:$C$3623,"&lt;"&amp;EDATE(DATEVALUE(C369&amp;"-01"),12))&gt;0,1,0)</f>
        <v>0</v>
      </c>
      <c r="S369" s="37">
        <f>SUMIFS('📋 Транзакції'!$F$5:$F$3623,'📋 Транзакції'!$B$5:$B$3623,A369,'📋 Транзакції'!$C$5:$C$3623,"&gt;="&amp;EDATE(DATEVALUE(C369&amp;"-01"),0),'📋 Транзакції'!$C$5:$C$3623,"&lt;"&amp;EDATE(DATEVALUE(C369&amp;"-01"),1))</f>
        <v>19.99</v>
      </c>
      <c r="T369" s="37">
        <f>SUMIFS('📋 Транзакції'!$F$5:$F$3623,'📋 Транзакції'!$B$5:$B$3623,A369,'📋 Транзакції'!$C$5:$C$3623,"&gt;="&amp;EDATE(DATEVALUE(C369&amp;"-01"),1),'📋 Транзакції'!$C$5:$C$3623,"&lt;"&amp;EDATE(DATEVALUE(C369&amp;"-01"),2))</f>
        <v>19.99</v>
      </c>
      <c r="U369" s="37">
        <f>SUMIFS('📋 Транзакції'!$F$5:$F$3623,'📋 Транзакції'!$B$5:$B$3623,A369,'📋 Транзакції'!$C$5:$C$3623,"&gt;="&amp;EDATE(DATEVALUE(C369&amp;"-01"),2),'📋 Транзакції'!$C$5:$C$3623,"&lt;"&amp;EDATE(DATEVALUE(C369&amp;"-01"),3))</f>
        <v>0</v>
      </c>
      <c r="V369" s="37">
        <f>SUMIFS('📋 Транзакції'!$F$5:$F$3623,'📋 Транзакції'!$B$5:$B$3623,A369,'📋 Транзакції'!$C$5:$C$3623,"&gt;="&amp;EDATE(DATEVALUE(C369&amp;"-01"),3),'📋 Транзакції'!$C$5:$C$3623,"&lt;"&amp;EDATE(DATEVALUE(C369&amp;"-01"),4))</f>
        <v>0</v>
      </c>
      <c r="W369" s="37">
        <f>SUMIFS('📋 Транзакції'!$F$5:$F$3623,'📋 Транзакції'!$B$5:$B$3623,A369,'📋 Транзакції'!$C$5:$C$3623,"&gt;="&amp;EDATE(DATEVALUE(C369&amp;"-01"),4),'📋 Транзакції'!$C$5:$C$3623,"&lt;"&amp;EDATE(DATEVALUE(C369&amp;"-01"),5))</f>
        <v>0</v>
      </c>
      <c r="X369" s="37">
        <f>SUMIFS('📋 Транзакції'!$F$5:$F$3623,'📋 Транзакції'!$B$5:$B$3623,A369,'📋 Транзакції'!$C$5:$C$3623,"&gt;="&amp;EDATE(DATEVALUE(C369&amp;"-01"),5),'📋 Транзакції'!$C$5:$C$3623,"&lt;"&amp;EDATE(DATEVALUE(C369&amp;"-01"),6))</f>
        <v>0</v>
      </c>
      <c r="Y369" s="37">
        <f>SUMIFS('📋 Транзакції'!$F$5:$F$3623,'📋 Транзакції'!$B$5:$B$3623,A369,'📋 Транзакції'!$C$5:$C$3623,"&gt;="&amp;EDATE(DATEVALUE(C369&amp;"-01"),6),'📋 Транзакції'!$C$5:$C$3623,"&lt;"&amp;EDATE(DATEVALUE(C369&amp;"-01"),7))</f>
        <v>0</v>
      </c>
      <c r="Z369" s="37">
        <f>SUMIFS('📋 Транзакції'!$F$5:$F$3623,'📋 Транзакції'!$B$5:$B$3623,A369,'📋 Транзакції'!$C$5:$C$3623,"&gt;="&amp;EDATE(DATEVALUE(C369&amp;"-01"),7),'📋 Транзакції'!$C$5:$C$3623,"&lt;"&amp;EDATE(DATEVALUE(C369&amp;"-01"),8))</f>
        <v>0</v>
      </c>
      <c r="AA369" s="37">
        <f>SUMIFS('📋 Транзакції'!$F$5:$F$3623,'📋 Транзакції'!$B$5:$B$3623,A369,'📋 Транзакції'!$C$5:$C$3623,"&gt;="&amp;EDATE(DATEVALUE(C369&amp;"-01"),8),'📋 Транзакції'!$C$5:$C$3623,"&lt;"&amp;EDATE(DATEVALUE(C369&amp;"-01"),9))</f>
        <v>0</v>
      </c>
      <c r="AB369" s="37">
        <f>SUMIFS('📋 Транзакції'!$F$5:$F$3623,'📋 Транзакції'!$B$5:$B$3623,A369,'📋 Транзакції'!$C$5:$C$3623,"&gt;="&amp;EDATE(DATEVALUE(C369&amp;"-01"),9),'📋 Транзакції'!$C$5:$C$3623,"&lt;"&amp;EDATE(DATEVALUE(C369&amp;"-01"),10))</f>
        <v>0</v>
      </c>
      <c r="AC369" s="37">
        <f>SUMIFS('📋 Транзакції'!$F$5:$F$3623,'📋 Транзакції'!$B$5:$B$3623,A369,'📋 Транзакції'!$C$5:$C$3623,"&gt;="&amp;EDATE(DATEVALUE(C369&amp;"-01"),10),'📋 Транзакції'!$C$5:$C$3623,"&lt;"&amp;EDATE(DATEVALUE(C369&amp;"-01"),11))</f>
        <v>0</v>
      </c>
      <c r="AD369" s="37">
        <f>SUMIFS('📋 Транзакції'!$F$5:$F$3623,'📋 Транзакції'!$B$5:$B$3623,A369,'📋 Транзакції'!$C$5:$C$3623,"&gt;="&amp;EDATE(DATEVALUE(C369&amp;"-01"),11),'📋 Транзакції'!$C$5:$C$3623,"&lt;"&amp;EDATE(DATEVALUE(C369&amp;"-01"),12))</f>
        <v>0</v>
      </c>
    </row>
    <row r="370" ht="15.75" customHeight="1">
      <c r="A370" s="33" t="str">
        <f>'📋 Реєстрації'!A370:A971</f>
        <v>U0147</v>
      </c>
      <c r="B370" s="34">
        <f t="array" ref="B370">INDEX('📋 Транзакції'!$C$5:$C$3623,MATCH(A370,'📋 Транзакції'!$B$5:$B$3623,0))</f>
        <v>45605</v>
      </c>
      <c r="C370" s="35" t="str">
        <f t="shared" si="1"/>
        <v>2024-11</v>
      </c>
      <c r="D370" s="36">
        <f>COUNTIF('📋 Транзакції'!$B$5:$B$3623,A370)</f>
        <v>6</v>
      </c>
      <c r="E370" s="36">
        <f>SUMIF('📋 Транзакції'!$B$5:$B$3623,A370,'📋 Транзакції'!$F$5:$F$3623)</f>
        <v>99.95</v>
      </c>
      <c r="F370" s="35">
        <f>INT($A$1-MAXIFS('📋 Транзакції'!$C$5:$C$3623,'📋 Транзакції'!$B$5:$B$3623,A370))</f>
        <v>15</v>
      </c>
      <c r="G370" s="37">
        <f>IF(COUNTIFS('📋 Транзакції'!$B$5:$B$3623,A370,'📋 Транзакції'!$C$5:$C$3623,"&gt;="&amp;EDATE(DATEVALUE(C370&amp;"-01"),0),'📋 Транзакції'!$C$5:$C$3623,"&lt;"&amp;EDATE(DATEVALUE(C370&amp;"-01"),1))&gt;0,1,0)</f>
        <v>1</v>
      </c>
      <c r="H370" s="37">
        <f>IF(COUNTIFS('📋 Транзакції'!$B$5:$B$3623,A370,'📋 Транзакції'!$C$5:$C$3623,"&gt;="&amp;EDATE(DATEVALUE(C370&amp;"-01"),1),'📋 Транзакції'!$C$5:$C$3623,"&lt;"&amp;EDATE(DATEVALUE(C370&amp;"-01"),2))&gt;0,1,0)</f>
        <v>1</v>
      </c>
      <c r="I370" s="37">
        <f>IF(COUNTIFS('📋 Транзакції'!$B$5:$B$3623,A370,'📋 Транзакції'!$C$5:$C$3623,"&gt;="&amp;EDATE(DATEVALUE(C370&amp;"-01"),2),'📋 Транзакції'!$C$5:$C$3623,"&lt;"&amp;EDATE(DATEVALUE(C370&amp;"-01"),3))&gt;0,1,0)</f>
        <v>1</v>
      </c>
      <c r="J370" s="37">
        <f>IF(COUNTIFS('📋 Транзакції'!$B$5:$B$3623,A370,'📋 Транзакції'!$C$5:$C$3623,"&gt;="&amp;EDATE(DATEVALUE(C370&amp;"-01"),3),'📋 Транзакції'!$C$5:$C$3623,"&lt;"&amp;EDATE(DATEVALUE(C370&amp;"-01"),4))&gt;0,1,0)</f>
        <v>1</v>
      </c>
      <c r="K370" s="37">
        <f>IF(COUNTIFS('📋 Транзакції'!$B$5:$B$3623,A370,'📋 Транзакції'!$C$5:$C$3623,"&gt;="&amp;EDATE(DATEVALUE(C370&amp;"-01"),4),'📋 Транзакції'!$C$5:$C$3623,"&lt;"&amp;EDATE(DATEVALUE(C370&amp;"-01"),5))&gt;0,1,0)</f>
        <v>1</v>
      </c>
      <c r="L370" s="37">
        <f>IF(COUNTIFS('📋 Транзакції'!$B$5:$B$3623,A370,'📋 Транзакції'!$C$5:$C$3623,"&gt;="&amp;EDATE(DATEVALUE(C370&amp;"-01"),5),'📋 Транзакції'!$C$5:$C$3623,"&lt;"&amp;EDATE(DATEVALUE(C370&amp;"-01"),6))&gt;0,1,0)</f>
        <v>0</v>
      </c>
      <c r="M370" s="37">
        <f>IF(COUNTIFS('📋 Транзакції'!$B$5:$B$3623,A370,'📋 Транзакції'!$C$5:$C$3623,"&gt;="&amp;EDATE(DATEVALUE(C370&amp;"-01"),6),'📋 Транзакції'!$C$5:$C$3623,"&lt;"&amp;EDATE(DATEVALUE(C370&amp;"-01"),7))&gt;0,1,0)</f>
        <v>0</v>
      </c>
      <c r="N370" s="37">
        <f>IF(COUNTIFS('📋 Транзакції'!$B$5:$B$3623,A370,'📋 Транзакції'!$C$5:$C$3623,"&gt;="&amp;EDATE(DATEVALUE(C370&amp;"-01"),7),'📋 Транзакції'!$C$5:$C$3623,"&lt;"&amp;EDATE(DATEVALUE(C370&amp;"-01"),8))&gt;0,1,0)</f>
        <v>0</v>
      </c>
      <c r="O370" s="37">
        <f>IF(COUNTIFS('📋 Транзакції'!$B$5:$B$3623,A370,'📋 Транзакції'!$C$5:$C$3623,"&gt;="&amp;EDATE(DATEVALUE(C370&amp;"-01"),8),'📋 Транзакції'!$C$5:$C$3623,"&lt;"&amp;EDATE(DATEVALUE(C370&amp;"-01"),9))&gt;0,1,0)</f>
        <v>0</v>
      </c>
      <c r="P370" s="37">
        <f>IF(COUNTIFS('📋 Транзакції'!$B$5:$B$3623,A370,'📋 Транзакції'!$C$5:$C$3623,"&gt;="&amp;EDATE(DATEVALUE(C370&amp;"-01"),9),'📋 Транзакції'!$C$5:$C$3623,"&lt;"&amp;EDATE(DATEVALUE(C370&amp;"-01"),10))&gt;0,1,0)</f>
        <v>0</v>
      </c>
      <c r="Q370" s="37">
        <f>IF(COUNTIFS('📋 Транзакції'!$B$5:$B$3623,A370,'📋 Транзакції'!$C$5:$C$3623,"&gt;="&amp;EDATE(DATEVALUE(C370&amp;"-01"),10),'📋 Транзакції'!$C$5:$C$3623,"&lt;"&amp;EDATE(DATEVALUE(C370&amp;"-01"),11))&gt;0,1,0)</f>
        <v>0</v>
      </c>
      <c r="R370" s="37">
        <f>IF(COUNTIFS('📋 Транзакції'!$B$5:$B$3623,A370,'📋 Транзакції'!$C$5:$C$3623,"&gt;="&amp;EDATE(DATEVALUE(C370&amp;"-01"),11),'📋 Транзакції'!$C$5:$C$3623,"&lt;"&amp;EDATE(DATEVALUE(C370&amp;"-01"),12))&gt;0,1,0)</f>
        <v>0</v>
      </c>
      <c r="S370" s="37">
        <f>SUMIFS('📋 Транзакції'!$F$5:$F$3623,'📋 Транзакції'!$B$5:$B$3623,A370,'📋 Транзакції'!$C$5:$C$3623,"&gt;="&amp;EDATE(DATEVALUE(C370&amp;"-01"),0),'📋 Транзакції'!$C$5:$C$3623,"&lt;"&amp;EDATE(DATEVALUE(C370&amp;"-01"),1))</f>
        <v>19.99</v>
      </c>
      <c r="T370" s="37">
        <f>SUMIFS('📋 Транзакції'!$F$5:$F$3623,'📋 Транзакції'!$B$5:$B$3623,A370,'📋 Транзакції'!$C$5:$C$3623,"&gt;="&amp;EDATE(DATEVALUE(C370&amp;"-01"),1),'📋 Транзакції'!$C$5:$C$3623,"&lt;"&amp;EDATE(DATEVALUE(C370&amp;"-01"),2))</f>
        <v>19.99</v>
      </c>
      <c r="U370" s="37">
        <f>SUMIFS('📋 Транзакції'!$F$5:$F$3623,'📋 Транзакції'!$B$5:$B$3623,A370,'📋 Транзакції'!$C$5:$C$3623,"&gt;="&amp;EDATE(DATEVALUE(C370&amp;"-01"),2),'📋 Транзакції'!$C$5:$C$3623,"&lt;"&amp;EDATE(DATEVALUE(C370&amp;"-01"),3))</f>
        <v>19.99</v>
      </c>
      <c r="V370" s="37">
        <f>SUMIFS('📋 Транзакції'!$F$5:$F$3623,'📋 Транзакції'!$B$5:$B$3623,A370,'📋 Транзакції'!$C$5:$C$3623,"&gt;="&amp;EDATE(DATEVALUE(C370&amp;"-01"),3),'📋 Транзакції'!$C$5:$C$3623,"&lt;"&amp;EDATE(DATEVALUE(C370&amp;"-01"),4))</f>
        <v>19.99</v>
      </c>
      <c r="W370" s="37">
        <f>SUMIFS('📋 Транзакції'!$F$5:$F$3623,'📋 Транзакції'!$B$5:$B$3623,A370,'📋 Транзакції'!$C$5:$C$3623,"&gt;="&amp;EDATE(DATEVALUE(C370&amp;"-01"),4),'📋 Транзакції'!$C$5:$C$3623,"&lt;"&amp;EDATE(DATEVALUE(C370&amp;"-01"),5))</f>
        <v>19.99</v>
      </c>
      <c r="X370" s="37">
        <f>SUMIFS('📋 Транзакції'!$F$5:$F$3623,'📋 Транзакції'!$B$5:$B$3623,A370,'📋 Транзакції'!$C$5:$C$3623,"&gt;="&amp;EDATE(DATEVALUE(C370&amp;"-01"),5),'📋 Транзакції'!$C$5:$C$3623,"&lt;"&amp;EDATE(DATEVALUE(C370&amp;"-01"),6))</f>
        <v>0</v>
      </c>
      <c r="Y370" s="37">
        <f>SUMIFS('📋 Транзакції'!$F$5:$F$3623,'📋 Транзакції'!$B$5:$B$3623,A370,'📋 Транзакції'!$C$5:$C$3623,"&gt;="&amp;EDATE(DATEVALUE(C370&amp;"-01"),6),'📋 Транзакції'!$C$5:$C$3623,"&lt;"&amp;EDATE(DATEVALUE(C370&amp;"-01"),7))</f>
        <v>0</v>
      </c>
      <c r="Z370" s="37">
        <f>SUMIFS('📋 Транзакції'!$F$5:$F$3623,'📋 Транзакції'!$B$5:$B$3623,A370,'📋 Транзакції'!$C$5:$C$3623,"&gt;="&amp;EDATE(DATEVALUE(C370&amp;"-01"),7),'📋 Транзакції'!$C$5:$C$3623,"&lt;"&amp;EDATE(DATEVALUE(C370&amp;"-01"),8))</f>
        <v>0</v>
      </c>
      <c r="AA370" s="37">
        <f>SUMIFS('📋 Транзакції'!$F$5:$F$3623,'📋 Транзакції'!$B$5:$B$3623,A370,'📋 Транзакції'!$C$5:$C$3623,"&gt;="&amp;EDATE(DATEVALUE(C370&amp;"-01"),8),'📋 Транзакції'!$C$5:$C$3623,"&lt;"&amp;EDATE(DATEVALUE(C370&amp;"-01"),9))</f>
        <v>0</v>
      </c>
      <c r="AB370" s="37">
        <f>SUMIFS('📋 Транзакції'!$F$5:$F$3623,'📋 Транзакції'!$B$5:$B$3623,A370,'📋 Транзакції'!$C$5:$C$3623,"&gt;="&amp;EDATE(DATEVALUE(C370&amp;"-01"),9),'📋 Транзакції'!$C$5:$C$3623,"&lt;"&amp;EDATE(DATEVALUE(C370&amp;"-01"),10))</f>
        <v>0</v>
      </c>
      <c r="AC370" s="37">
        <f>SUMIFS('📋 Транзакції'!$F$5:$F$3623,'📋 Транзакції'!$B$5:$B$3623,A370,'📋 Транзакції'!$C$5:$C$3623,"&gt;="&amp;EDATE(DATEVALUE(C370&amp;"-01"),10),'📋 Транзакції'!$C$5:$C$3623,"&lt;"&amp;EDATE(DATEVALUE(C370&amp;"-01"),11))</f>
        <v>0</v>
      </c>
      <c r="AD370" s="37">
        <f>SUMIFS('📋 Транзакції'!$F$5:$F$3623,'📋 Транзакції'!$B$5:$B$3623,A370,'📋 Транзакції'!$C$5:$C$3623,"&gt;="&amp;EDATE(DATEVALUE(C370&amp;"-01"),11),'📋 Транзакції'!$C$5:$C$3623,"&lt;"&amp;EDATE(DATEVALUE(C370&amp;"-01"),12))</f>
        <v>0</v>
      </c>
    </row>
    <row r="371" ht="15.75" customHeight="1">
      <c r="A371" s="33" t="str">
        <f>'📋 Реєстрації'!A371:A972</f>
        <v>U0170</v>
      </c>
      <c r="B371" s="34">
        <f t="array" ref="B371">INDEX('📋 Транзакції'!$C$5:$C$3623,MATCH(A371,'📋 Транзакції'!$B$5:$B$3623,0))</f>
        <v>45605</v>
      </c>
      <c r="C371" s="35" t="str">
        <f t="shared" si="1"/>
        <v>2024-11</v>
      </c>
      <c r="D371" s="36">
        <f>COUNTIF('📋 Транзакції'!$B$5:$B$3623,A371)</f>
        <v>6</v>
      </c>
      <c r="E371" s="36">
        <f>SUMIF('📋 Транзакції'!$B$5:$B$3623,A371,'📋 Транзакції'!$F$5:$F$3623)</f>
        <v>99.95</v>
      </c>
      <c r="F371" s="35">
        <f>INT($A$1-MAXIFS('📋 Транзакції'!$C$5:$C$3623,'📋 Транзакції'!$B$5:$B$3623,A371))</f>
        <v>15</v>
      </c>
      <c r="G371" s="37">
        <f>IF(COUNTIFS('📋 Транзакції'!$B$5:$B$3623,A371,'📋 Транзакції'!$C$5:$C$3623,"&gt;="&amp;EDATE(DATEVALUE(C371&amp;"-01"),0),'📋 Транзакції'!$C$5:$C$3623,"&lt;"&amp;EDATE(DATEVALUE(C371&amp;"-01"),1))&gt;0,1,0)</f>
        <v>1</v>
      </c>
      <c r="H371" s="37">
        <f>IF(COUNTIFS('📋 Транзакції'!$B$5:$B$3623,A371,'📋 Транзакції'!$C$5:$C$3623,"&gt;="&amp;EDATE(DATEVALUE(C371&amp;"-01"),1),'📋 Транзакції'!$C$5:$C$3623,"&lt;"&amp;EDATE(DATEVALUE(C371&amp;"-01"),2))&gt;0,1,0)</f>
        <v>1</v>
      </c>
      <c r="I371" s="37">
        <f>IF(COUNTIFS('📋 Транзакції'!$B$5:$B$3623,A371,'📋 Транзакції'!$C$5:$C$3623,"&gt;="&amp;EDATE(DATEVALUE(C371&amp;"-01"),2),'📋 Транзакції'!$C$5:$C$3623,"&lt;"&amp;EDATE(DATEVALUE(C371&amp;"-01"),3))&gt;0,1,0)</f>
        <v>1</v>
      </c>
      <c r="J371" s="37">
        <f>IF(COUNTIFS('📋 Транзакції'!$B$5:$B$3623,A371,'📋 Транзакції'!$C$5:$C$3623,"&gt;="&amp;EDATE(DATEVALUE(C371&amp;"-01"),3),'📋 Транзакції'!$C$5:$C$3623,"&lt;"&amp;EDATE(DATEVALUE(C371&amp;"-01"),4))&gt;0,1,0)</f>
        <v>1</v>
      </c>
      <c r="K371" s="37">
        <f>IF(COUNTIFS('📋 Транзакції'!$B$5:$B$3623,A371,'📋 Транзакції'!$C$5:$C$3623,"&gt;="&amp;EDATE(DATEVALUE(C371&amp;"-01"),4),'📋 Транзакції'!$C$5:$C$3623,"&lt;"&amp;EDATE(DATEVALUE(C371&amp;"-01"),5))&gt;0,1,0)</f>
        <v>1</v>
      </c>
      <c r="L371" s="37">
        <f>IF(COUNTIFS('📋 Транзакції'!$B$5:$B$3623,A371,'📋 Транзакції'!$C$5:$C$3623,"&gt;="&amp;EDATE(DATEVALUE(C371&amp;"-01"),5),'📋 Транзакції'!$C$5:$C$3623,"&lt;"&amp;EDATE(DATEVALUE(C371&amp;"-01"),6))&gt;0,1,0)</f>
        <v>0</v>
      </c>
      <c r="M371" s="37">
        <f>IF(COUNTIFS('📋 Транзакції'!$B$5:$B$3623,A371,'📋 Транзакції'!$C$5:$C$3623,"&gt;="&amp;EDATE(DATEVALUE(C371&amp;"-01"),6),'📋 Транзакції'!$C$5:$C$3623,"&lt;"&amp;EDATE(DATEVALUE(C371&amp;"-01"),7))&gt;0,1,0)</f>
        <v>0</v>
      </c>
      <c r="N371" s="37">
        <f>IF(COUNTIFS('📋 Транзакції'!$B$5:$B$3623,A371,'📋 Транзакції'!$C$5:$C$3623,"&gt;="&amp;EDATE(DATEVALUE(C371&amp;"-01"),7),'📋 Транзакції'!$C$5:$C$3623,"&lt;"&amp;EDATE(DATEVALUE(C371&amp;"-01"),8))&gt;0,1,0)</f>
        <v>0</v>
      </c>
      <c r="O371" s="37">
        <f>IF(COUNTIFS('📋 Транзакції'!$B$5:$B$3623,A371,'📋 Транзакції'!$C$5:$C$3623,"&gt;="&amp;EDATE(DATEVALUE(C371&amp;"-01"),8),'📋 Транзакції'!$C$5:$C$3623,"&lt;"&amp;EDATE(DATEVALUE(C371&amp;"-01"),9))&gt;0,1,0)</f>
        <v>0</v>
      </c>
      <c r="P371" s="37">
        <f>IF(COUNTIFS('📋 Транзакції'!$B$5:$B$3623,A371,'📋 Транзакції'!$C$5:$C$3623,"&gt;="&amp;EDATE(DATEVALUE(C371&amp;"-01"),9),'📋 Транзакції'!$C$5:$C$3623,"&lt;"&amp;EDATE(DATEVALUE(C371&amp;"-01"),10))&gt;0,1,0)</f>
        <v>0</v>
      </c>
      <c r="Q371" s="37">
        <f>IF(COUNTIFS('📋 Транзакції'!$B$5:$B$3623,A371,'📋 Транзакції'!$C$5:$C$3623,"&gt;="&amp;EDATE(DATEVALUE(C371&amp;"-01"),10),'📋 Транзакції'!$C$5:$C$3623,"&lt;"&amp;EDATE(DATEVALUE(C371&amp;"-01"),11))&gt;0,1,0)</f>
        <v>0</v>
      </c>
      <c r="R371" s="37">
        <f>IF(COUNTIFS('📋 Транзакції'!$B$5:$B$3623,A371,'📋 Транзакції'!$C$5:$C$3623,"&gt;="&amp;EDATE(DATEVALUE(C371&amp;"-01"),11),'📋 Транзакції'!$C$5:$C$3623,"&lt;"&amp;EDATE(DATEVALUE(C371&amp;"-01"),12))&gt;0,1,0)</f>
        <v>0</v>
      </c>
      <c r="S371" s="37">
        <f>SUMIFS('📋 Транзакції'!$F$5:$F$3623,'📋 Транзакції'!$B$5:$B$3623,A371,'📋 Транзакції'!$C$5:$C$3623,"&gt;="&amp;EDATE(DATEVALUE(C371&amp;"-01"),0),'📋 Транзакції'!$C$5:$C$3623,"&lt;"&amp;EDATE(DATEVALUE(C371&amp;"-01"),1))</f>
        <v>19.99</v>
      </c>
      <c r="T371" s="37">
        <f>SUMIFS('📋 Транзакції'!$F$5:$F$3623,'📋 Транзакції'!$B$5:$B$3623,A371,'📋 Транзакції'!$C$5:$C$3623,"&gt;="&amp;EDATE(DATEVALUE(C371&amp;"-01"),1),'📋 Транзакції'!$C$5:$C$3623,"&lt;"&amp;EDATE(DATEVALUE(C371&amp;"-01"),2))</f>
        <v>19.99</v>
      </c>
      <c r="U371" s="37">
        <f>SUMIFS('📋 Транзакції'!$F$5:$F$3623,'📋 Транзакції'!$B$5:$B$3623,A371,'📋 Транзакції'!$C$5:$C$3623,"&gt;="&amp;EDATE(DATEVALUE(C371&amp;"-01"),2),'📋 Транзакції'!$C$5:$C$3623,"&lt;"&amp;EDATE(DATEVALUE(C371&amp;"-01"),3))</f>
        <v>19.99</v>
      </c>
      <c r="V371" s="37">
        <f>SUMIFS('📋 Транзакції'!$F$5:$F$3623,'📋 Транзакції'!$B$5:$B$3623,A371,'📋 Транзакції'!$C$5:$C$3623,"&gt;="&amp;EDATE(DATEVALUE(C371&amp;"-01"),3),'📋 Транзакції'!$C$5:$C$3623,"&lt;"&amp;EDATE(DATEVALUE(C371&amp;"-01"),4))</f>
        <v>19.99</v>
      </c>
      <c r="W371" s="37">
        <f>SUMIFS('📋 Транзакції'!$F$5:$F$3623,'📋 Транзакції'!$B$5:$B$3623,A371,'📋 Транзакції'!$C$5:$C$3623,"&gt;="&amp;EDATE(DATEVALUE(C371&amp;"-01"),4),'📋 Транзакції'!$C$5:$C$3623,"&lt;"&amp;EDATE(DATEVALUE(C371&amp;"-01"),5))</f>
        <v>19.99</v>
      </c>
      <c r="X371" s="37">
        <f>SUMIFS('📋 Транзакції'!$F$5:$F$3623,'📋 Транзакції'!$B$5:$B$3623,A371,'📋 Транзакції'!$C$5:$C$3623,"&gt;="&amp;EDATE(DATEVALUE(C371&amp;"-01"),5),'📋 Транзакції'!$C$5:$C$3623,"&lt;"&amp;EDATE(DATEVALUE(C371&amp;"-01"),6))</f>
        <v>0</v>
      </c>
      <c r="Y371" s="37">
        <f>SUMIFS('📋 Транзакції'!$F$5:$F$3623,'📋 Транзакції'!$B$5:$B$3623,A371,'📋 Транзакції'!$C$5:$C$3623,"&gt;="&amp;EDATE(DATEVALUE(C371&amp;"-01"),6),'📋 Транзакції'!$C$5:$C$3623,"&lt;"&amp;EDATE(DATEVALUE(C371&amp;"-01"),7))</f>
        <v>0</v>
      </c>
      <c r="Z371" s="37">
        <f>SUMIFS('📋 Транзакції'!$F$5:$F$3623,'📋 Транзакції'!$B$5:$B$3623,A371,'📋 Транзакції'!$C$5:$C$3623,"&gt;="&amp;EDATE(DATEVALUE(C371&amp;"-01"),7),'📋 Транзакції'!$C$5:$C$3623,"&lt;"&amp;EDATE(DATEVALUE(C371&amp;"-01"),8))</f>
        <v>0</v>
      </c>
      <c r="AA371" s="37">
        <f>SUMIFS('📋 Транзакції'!$F$5:$F$3623,'📋 Транзакції'!$B$5:$B$3623,A371,'📋 Транзакції'!$C$5:$C$3623,"&gt;="&amp;EDATE(DATEVALUE(C371&amp;"-01"),8),'📋 Транзакції'!$C$5:$C$3623,"&lt;"&amp;EDATE(DATEVALUE(C371&amp;"-01"),9))</f>
        <v>0</v>
      </c>
      <c r="AB371" s="37">
        <f>SUMIFS('📋 Транзакції'!$F$5:$F$3623,'📋 Транзакції'!$B$5:$B$3623,A371,'📋 Транзакції'!$C$5:$C$3623,"&gt;="&amp;EDATE(DATEVALUE(C371&amp;"-01"),9),'📋 Транзакції'!$C$5:$C$3623,"&lt;"&amp;EDATE(DATEVALUE(C371&amp;"-01"),10))</f>
        <v>0</v>
      </c>
      <c r="AC371" s="37">
        <f>SUMIFS('📋 Транзакції'!$F$5:$F$3623,'📋 Транзакції'!$B$5:$B$3623,A371,'📋 Транзакції'!$C$5:$C$3623,"&gt;="&amp;EDATE(DATEVALUE(C371&amp;"-01"),10),'📋 Транзакції'!$C$5:$C$3623,"&lt;"&amp;EDATE(DATEVALUE(C371&amp;"-01"),11))</f>
        <v>0</v>
      </c>
      <c r="AD371" s="37">
        <f>SUMIFS('📋 Транзакції'!$F$5:$F$3623,'📋 Транзакції'!$B$5:$B$3623,A371,'📋 Транзакції'!$C$5:$C$3623,"&gt;="&amp;EDATE(DATEVALUE(C371&amp;"-01"),11),'📋 Транзакції'!$C$5:$C$3623,"&lt;"&amp;EDATE(DATEVALUE(C371&amp;"-01"),12))</f>
        <v>0</v>
      </c>
    </row>
    <row r="372" ht="15.75" customHeight="1">
      <c r="A372" s="33" t="str">
        <f>'📋 Реєстрації'!A372:A973</f>
        <v>U0560</v>
      </c>
      <c r="B372" s="34">
        <f t="array" ref="B372">INDEX('📋 Транзакції'!$C$5:$C$3623,MATCH(A372,'📋 Транзакції'!$B$5:$B$3623,0))</f>
        <v>45608</v>
      </c>
      <c r="C372" s="35" t="str">
        <f t="shared" si="1"/>
        <v>2024-11</v>
      </c>
      <c r="D372" s="36">
        <f>COUNTIF('📋 Транзакції'!$B$5:$B$3623,A372)</f>
        <v>6</v>
      </c>
      <c r="E372" s="36">
        <f>SUMIF('📋 Транзакції'!$B$5:$B$3623,A372,'📋 Транзакції'!$F$5:$F$3623)</f>
        <v>99.95</v>
      </c>
      <c r="F372" s="35">
        <f>INT($A$1-MAXIFS('📋 Транзакції'!$C$5:$C$3623,'📋 Транзакції'!$B$5:$B$3623,A372))</f>
        <v>12</v>
      </c>
      <c r="G372" s="37">
        <f>IF(COUNTIFS('📋 Транзакції'!$B$5:$B$3623,A372,'📋 Транзакції'!$C$5:$C$3623,"&gt;="&amp;EDATE(DATEVALUE(C372&amp;"-01"),0),'📋 Транзакції'!$C$5:$C$3623,"&lt;"&amp;EDATE(DATEVALUE(C372&amp;"-01"),1))&gt;0,1,0)</f>
        <v>1</v>
      </c>
      <c r="H372" s="37">
        <f>IF(COUNTIFS('📋 Транзакції'!$B$5:$B$3623,A372,'📋 Транзакції'!$C$5:$C$3623,"&gt;="&amp;EDATE(DATEVALUE(C372&amp;"-01"),1),'📋 Транзакції'!$C$5:$C$3623,"&lt;"&amp;EDATE(DATEVALUE(C372&amp;"-01"),2))&gt;0,1,0)</f>
        <v>1</v>
      </c>
      <c r="I372" s="37">
        <f>IF(COUNTIFS('📋 Транзакції'!$B$5:$B$3623,A372,'📋 Транзакції'!$C$5:$C$3623,"&gt;="&amp;EDATE(DATEVALUE(C372&amp;"-01"),2),'📋 Транзакції'!$C$5:$C$3623,"&lt;"&amp;EDATE(DATEVALUE(C372&amp;"-01"),3))&gt;0,1,0)</f>
        <v>1</v>
      </c>
      <c r="J372" s="37">
        <f>IF(COUNTIFS('📋 Транзакції'!$B$5:$B$3623,A372,'📋 Транзакції'!$C$5:$C$3623,"&gt;="&amp;EDATE(DATEVALUE(C372&amp;"-01"),3),'📋 Транзакції'!$C$5:$C$3623,"&lt;"&amp;EDATE(DATEVALUE(C372&amp;"-01"),4))&gt;0,1,0)</f>
        <v>1</v>
      </c>
      <c r="K372" s="37">
        <f>IF(COUNTIFS('📋 Транзакції'!$B$5:$B$3623,A372,'📋 Транзакції'!$C$5:$C$3623,"&gt;="&amp;EDATE(DATEVALUE(C372&amp;"-01"),4),'📋 Транзакції'!$C$5:$C$3623,"&lt;"&amp;EDATE(DATEVALUE(C372&amp;"-01"),5))&gt;0,1,0)</f>
        <v>1</v>
      </c>
      <c r="L372" s="37">
        <f>IF(COUNTIFS('📋 Транзакції'!$B$5:$B$3623,A372,'📋 Транзакції'!$C$5:$C$3623,"&gt;="&amp;EDATE(DATEVALUE(C372&amp;"-01"),5),'📋 Транзакції'!$C$5:$C$3623,"&lt;"&amp;EDATE(DATEVALUE(C372&amp;"-01"),6))&gt;0,1,0)</f>
        <v>0</v>
      </c>
      <c r="M372" s="37">
        <f>IF(COUNTIFS('📋 Транзакції'!$B$5:$B$3623,A372,'📋 Транзакції'!$C$5:$C$3623,"&gt;="&amp;EDATE(DATEVALUE(C372&amp;"-01"),6),'📋 Транзакції'!$C$5:$C$3623,"&lt;"&amp;EDATE(DATEVALUE(C372&amp;"-01"),7))&gt;0,1,0)</f>
        <v>0</v>
      </c>
      <c r="N372" s="37">
        <f>IF(COUNTIFS('📋 Транзакції'!$B$5:$B$3623,A372,'📋 Транзакції'!$C$5:$C$3623,"&gt;="&amp;EDATE(DATEVALUE(C372&amp;"-01"),7),'📋 Транзакції'!$C$5:$C$3623,"&lt;"&amp;EDATE(DATEVALUE(C372&amp;"-01"),8))&gt;0,1,0)</f>
        <v>0</v>
      </c>
      <c r="O372" s="37">
        <f>IF(COUNTIFS('📋 Транзакції'!$B$5:$B$3623,A372,'📋 Транзакції'!$C$5:$C$3623,"&gt;="&amp;EDATE(DATEVALUE(C372&amp;"-01"),8),'📋 Транзакції'!$C$5:$C$3623,"&lt;"&amp;EDATE(DATEVALUE(C372&amp;"-01"),9))&gt;0,1,0)</f>
        <v>0</v>
      </c>
      <c r="P372" s="37">
        <f>IF(COUNTIFS('📋 Транзакції'!$B$5:$B$3623,A372,'📋 Транзакції'!$C$5:$C$3623,"&gt;="&amp;EDATE(DATEVALUE(C372&amp;"-01"),9),'📋 Транзакції'!$C$5:$C$3623,"&lt;"&amp;EDATE(DATEVALUE(C372&amp;"-01"),10))&gt;0,1,0)</f>
        <v>0</v>
      </c>
      <c r="Q372" s="37">
        <f>IF(COUNTIFS('📋 Транзакції'!$B$5:$B$3623,A372,'📋 Транзакції'!$C$5:$C$3623,"&gt;="&amp;EDATE(DATEVALUE(C372&amp;"-01"),10),'📋 Транзакції'!$C$5:$C$3623,"&lt;"&amp;EDATE(DATEVALUE(C372&amp;"-01"),11))&gt;0,1,0)</f>
        <v>0</v>
      </c>
      <c r="R372" s="37">
        <f>IF(COUNTIFS('📋 Транзакції'!$B$5:$B$3623,A372,'📋 Транзакції'!$C$5:$C$3623,"&gt;="&amp;EDATE(DATEVALUE(C372&amp;"-01"),11),'📋 Транзакції'!$C$5:$C$3623,"&lt;"&amp;EDATE(DATEVALUE(C372&amp;"-01"),12))&gt;0,1,0)</f>
        <v>0</v>
      </c>
      <c r="S372" s="37">
        <f>SUMIFS('📋 Транзакції'!$F$5:$F$3623,'📋 Транзакції'!$B$5:$B$3623,A372,'📋 Транзакції'!$C$5:$C$3623,"&gt;="&amp;EDATE(DATEVALUE(C372&amp;"-01"),0),'📋 Транзакції'!$C$5:$C$3623,"&lt;"&amp;EDATE(DATEVALUE(C372&amp;"-01"),1))</f>
        <v>19.99</v>
      </c>
      <c r="T372" s="37">
        <f>SUMIFS('📋 Транзакції'!$F$5:$F$3623,'📋 Транзакції'!$B$5:$B$3623,A372,'📋 Транзакції'!$C$5:$C$3623,"&gt;="&amp;EDATE(DATEVALUE(C372&amp;"-01"),1),'📋 Транзакції'!$C$5:$C$3623,"&lt;"&amp;EDATE(DATEVALUE(C372&amp;"-01"),2))</f>
        <v>19.99</v>
      </c>
      <c r="U372" s="37">
        <f>SUMIFS('📋 Транзакції'!$F$5:$F$3623,'📋 Транзакції'!$B$5:$B$3623,A372,'📋 Транзакції'!$C$5:$C$3623,"&gt;="&amp;EDATE(DATEVALUE(C372&amp;"-01"),2),'📋 Транзакції'!$C$5:$C$3623,"&lt;"&amp;EDATE(DATEVALUE(C372&amp;"-01"),3))</f>
        <v>19.99</v>
      </c>
      <c r="V372" s="37">
        <f>SUMIFS('📋 Транзакції'!$F$5:$F$3623,'📋 Транзакції'!$B$5:$B$3623,A372,'📋 Транзакції'!$C$5:$C$3623,"&gt;="&amp;EDATE(DATEVALUE(C372&amp;"-01"),3),'📋 Транзакції'!$C$5:$C$3623,"&lt;"&amp;EDATE(DATEVALUE(C372&amp;"-01"),4))</f>
        <v>19.99</v>
      </c>
      <c r="W372" s="37">
        <f>SUMIFS('📋 Транзакції'!$F$5:$F$3623,'📋 Транзакції'!$B$5:$B$3623,A372,'📋 Транзакції'!$C$5:$C$3623,"&gt;="&amp;EDATE(DATEVALUE(C372&amp;"-01"),4),'📋 Транзакції'!$C$5:$C$3623,"&lt;"&amp;EDATE(DATEVALUE(C372&amp;"-01"),5))</f>
        <v>19.99</v>
      </c>
      <c r="X372" s="37">
        <f>SUMIFS('📋 Транзакції'!$F$5:$F$3623,'📋 Транзакції'!$B$5:$B$3623,A372,'📋 Транзакції'!$C$5:$C$3623,"&gt;="&amp;EDATE(DATEVALUE(C372&amp;"-01"),5),'📋 Транзакції'!$C$5:$C$3623,"&lt;"&amp;EDATE(DATEVALUE(C372&amp;"-01"),6))</f>
        <v>0</v>
      </c>
      <c r="Y372" s="37">
        <f>SUMIFS('📋 Транзакції'!$F$5:$F$3623,'📋 Транзакції'!$B$5:$B$3623,A372,'📋 Транзакції'!$C$5:$C$3623,"&gt;="&amp;EDATE(DATEVALUE(C372&amp;"-01"),6),'📋 Транзакції'!$C$5:$C$3623,"&lt;"&amp;EDATE(DATEVALUE(C372&amp;"-01"),7))</f>
        <v>0</v>
      </c>
      <c r="Z372" s="37">
        <f>SUMIFS('📋 Транзакції'!$F$5:$F$3623,'📋 Транзакції'!$B$5:$B$3623,A372,'📋 Транзакції'!$C$5:$C$3623,"&gt;="&amp;EDATE(DATEVALUE(C372&amp;"-01"),7),'📋 Транзакції'!$C$5:$C$3623,"&lt;"&amp;EDATE(DATEVALUE(C372&amp;"-01"),8))</f>
        <v>0</v>
      </c>
      <c r="AA372" s="37">
        <f>SUMIFS('📋 Транзакції'!$F$5:$F$3623,'📋 Транзакції'!$B$5:$B$3623,A372,'📋 Транзакції'!$C$5:$C$3623,"&gt;="&amp;EDATE(DATEVALUE(C372&amp;"-01"),8),'📋 Транзакції'!$C$5:$C$3623,"&lt;"&amp;EDATE(DATEVALUE(C372&amp;"-01"),9))</f>
        <v>0</v>
      </c>
      <c r="AB372" s="37">
        <f>SUMIFS('📋 Транзакції'!$F$5:$F$3623,'📋 Транзакції'!$B$5:$B$3623,A372,'📋 Транзакції'!$C$5:$C$3623,"&gt;="&amp;EDATE(DATEVALUE(C372&amp;"-01"),9),'📋 Транзакції'!$C$5:$C$3623,"&lt;"&amp;EDATE(DATEVALUE(C372&amp;"-01"),10))</f>
        <v>0</v>
      </c>
      <c r="AC372" s="37">
        <f>SUMIFS('📋 Транзакції'!$F$5:$F$3623,'📋 Транзакції'!$B$5:$B$3623,A372,'📋 Транзакції'!$C$5:$C$3623,"&gt;="&amp;EDATE(DATEVALUE(C372&amp;"-01"),10),'📋 Транзакції'!$C$5:$C$3623,"&lt;"&amp;EDATE(DATEVALUE(C372&amp;"-01"),11))</f>
        <v>0</v>
      </c>
      <c r="AD372" s="37">
        <f>SUMIFS('📋 Транзакції'!$F$5:$F$3623,'📋 Транзакції'!$B$5:$B$3623,A372,'📋 Транзакції'!$C$5:$C$3623,"&gt;="&amp;EDATE(DATEVALUE(C372&amp;"-01"),11),'📋 Транзакції'!$C$5:$C$3623,"&lt;"&amp;EDATE(DATEVALUE(C372&amp;"-01"),12))</f>
        <v>0</v>
      </c>
    </row>
    <row r="373" ht="15.75" customHeight="1">
      <c r="A373" s="33" t="str">
        <f>'📋 Реєстрації'!A373:A974</f>
        <v>U0804</v>
      </c>
      <c r="B373" s="34">
        <f t="array" ref="B373">INDEX('📋 Транзакції'!$C$5:$C$3623,MATCH(A373,'📋 Транзакції'!$B$5:$B$3623,0))</f>
        <v>45608</v>
      </c>
      <c r="C373" s="35" t="str">
        <f t="shared" si="1"/>
        <v>2024-11</v>
      </c>
      <c r="D373" s="36">
        <f>COUNTIF('📋 Транзакції'!$B$5:$B$3623,A373)</f>
        <v>6</v>
      </c>
      <c r="E373" s="36">
        <f>SUMIF('📋 Транзакції'!$B$5:$B$3623,A373,'📋 Транзакції'!$F$5:$F$3623)</f>
        <v>99.95</v>
      </c>
      <c r="F373" s="35">
        <f>INT($A$1-MAXIFS('📋 Транзакції'!$C$5:$C$3623,'📋 Транзакції'!$B$5:$B$3623,A373))</f>
        <v>12</v>
      </c>
      <c r="G373" s="37">
        <f>IF(COUNTIFS('📋 Транзакції'!$B$5:$B$3623,A373,'📋 Транзакції'!$C$5:$C$3623,"&gt;="&amp;EDATE(DATEVALUE(C373&amp;"-01"),0),'📋 Транзакції'!$C$5:$C$3623,"&lt;"&amp;EDATE(DATEVALUE(C373&amp;"-01"),1))&gt;0,1,0)</f>
        <v>1</v>
      </c>
      <c r="H373" s="37">
        <f>IF(COUNTIFS('📋 Транзакції'!$B$5:$B$3623,A373,'📋 Транзакції'!$C$5:$C$3623,"&gt;="&amp;EDATE(DATEVALUE(C373&amp;"-01"),1),'📋 Транзакції'!$C$5:$C$3623,"&lt;"&amp;EDATE(DATEVALUE(C373&amp;"-01"),2))&gt;0,1,0)</f>
        <v>1</v>
      </c>
      <c r="I373" s="37">
        <f>IF(COUNTIFS('📋 Транзакції'!$B$5:$B$3623,A373,'📋 Транзакції'!$C$5:$C$3623,"&gt;="&amp;EDATE(DATEVALUE(C373&amp;"-01"),2),'📋 Транзакції'!$C$5:$C$3623,"&lt;"&amp;EDATE(DATEVALUE(C373&amp;"-01"),3))&gt;0,1,0)</f>
        <v>1</v>
      </c>
      <c r="J373" s="37">
        <f>IF(COUNTIFS('📋 Транзакції'!$B$5:$B$3623,A373,'📋 Транзакції'!$C$5:$C$3623,"&gt;="&amp;EDATE(DATEVALUE(C373&amp;"-01"),3),'📋 Транзакції'!$C$5:$C$3623,"&lt;"&amp;EDATE(DATEVALUE(C373&amp;"-01"),4))&gt;0,1,0)</f>
        <v>1</v>
      </c>
      <c r="K373" s="37">
        <f>IF(COUNTIFS('📋 Транзакції'!$B$5:$B$3623,A373,'📋 Транзакції'!$C$5:$C$3623,"&gt;="&amp;EDATE(DATEVALUE(C373&amp;"-01"),4),'📋 Транзакції'!$C$5:$C$3623,"&lt;"&amp;EDATE(DATEVALUE(C373&amp;"-01"),5))&gt;0,1,0)</f>
        <v>1</v>
      </c>
      <c r="L373" s="37">
        <f>IF(COUNTIFS('📋 Транзакції'!$B$5:$B$3623,A373,'📋 Транзакції'!$C$5:$C$3623,"&gt;="&amp;EDATE(DATEVALUE(C373&amp;"-01"),5),'📋 Транзакції'!$C$5:$C$3623,"&lt;"&amp;EDATE(DATEVALUE(C373&amp;"-01"),6))&gt;0,1,0)</f>
        <v>0</v>
      </c>
      <c r="M373" s="37">
        <f>IF(COUNTIFS('📋 Транзакції'!$B$5:$B$3623,A373,'📋 Транзакції'!$C$5:$C$3623,"&gt;="&amp;EDATE(DATEVALUE(C373&amp;"-01"),6),'📋 Транзакції'!$C$5:$C$3623,"&lt;"&amp;EDATE(DATEVALUE(C373&amp;"-01"),7))&gt;0,1,0)</f>
        <v>0</v>
      </c>
      <c r="N373" s="37">
        <f>IF(COUNTIFS('📋 Транзакції'!$B$5:$B$3623,A373,'📋 Транзакції'!$C$5:$C$3623,"&gt;="&amp;EDATE(DATEVALUE(C373&amp;"-01"),7),'📋 Транзакції'!$C$5:$C$3623,"&lt;"&amp;EDATE(DATEVALUE(C373&amp;"-01"),8))&gt;0,1,0)</f>
        <v>0</v>
      </c>
      <c r="O373" s="37">
        <f>IF(COUNTIFS('📋 Транзакції'!$B$5:$B$3623,A373,'📋 Транзакції'!$C$5:$C$3623,"&gt;="&amp;EDATE(DATEVALUE(C373&amp;"-01"),8),'📋 Транзакції'!$C$5:$C$3623,"&lt;"&amp;EDATE(DATEVALUE(C373&amp;"-01"),9))&gt;0,1,0)</f>
        <v>0</v>
      </c>
      <c r="P373" s="37">
        <f>IF(COUNTIFS('📋 Транзакції'!$B$5:$B$3623,A373,'📋 Транзакції'!$C$5:$C$3623,"&gt;="&amp;EDATE(DATEVALUE(C373&amp;"-01"),9),'📋 Транзакції'!$C$5:$C$3623,"&lt;"&amp;EDATE(DATEVALUE(C373&amp;"-01"),10))&gt;0,1,0)</f>
        <v>0</v>
      </c>
      <c r="Q373" s="37">
        <f>IF(COUNTIFS('📋 Транзакції'!$B$5:$B$3623,A373,'📋 Транзакції'!$C$5:$C$3623,"&gt;="&amp;EDATE(DATEVALUE(C373&amp;"-01"),10),'📋 Транзакції'!$C$5:$C$3623,"&lt;"&amp;EDATE(DATEVALUE(C373&amp;"-01"),11))&gt;0,1,0)</f>
        <v>0</v>
      </c>
      <c r="R373" s="37">
        <f>IF(COUNTIFS('📋 Транзакції'!$B$5:$B$3623,A373,'📋 Транзакції'!$C$5:$C$3623,"&gt;="&amp;EDATE(DATEVALUE(C373&amp;"-01"),11),'📋 Транзакції'!$C$5:$C$3623,"&lt;"&amp;EDATE(DATEVALUE(C373&amp;"-01"),12))&gt;0,1,0)</f>
        <v>0</v>
      </c>
      <c r="S373" s="37">
        <f>SUMIFS('📋 Транзакції'!$F$5:$F$3623,'📋 Транзакції'!$B$5:$B$3623,A373,'📋 Транзакції'!$C$5:$C$3623,"&gt;="&amp;EDATE(DATEVALUE(C373&amp;"-01"),0),'📋 Транзакції'!$C$5:$C$3623,"&lt;"&amp;EDATE(DATEVALUE(C373&amp;"-01"),1))</f>
        <v>19.99</v>
      </c>
      <c r="T373" s="37">
        <f>SUMIFS('📋 Транзакції'!$F$5:$F$3623,'📋 Транзакції'!$B$5:$B$3623,A373,'📋 Транзакції'!$C$5:$C$3623,"&gt;="&amp;EDATE(DATEVALUE(C373&amp;"-01"),1),'📋 Транзакції'!$C$5:$C$3623,"&lt;"&amp;EDATE(DATEVALUE(C373&amp;"-01"),2))</f>
        <v>19.99</v>
      </c>
      <c r="U373" s="37">
        <f>SUMIFS('📋 Транзакції'!$F$5:$F$3623,'📋 Транзакції'!$B$5:$B$3623,A373,'📋 Транзакції'!$C$5:$C$3623,"&gt;="&amp;EDATE(DATEVALUE(C373&amp;"-01"),2),'📋 Транзакції'!$C$5:$C$3623,"&lt;"&amp;EDATE(DATEVALUE(C373&amp;"-01"),3))</f>
        <v>19.99</v>
      </c>
      <c r="V373" s="37">
        <f>SUMIFS('📋 Транзакції'!$F$5:$F$3623,'📋 Транзакції'!$B$5:$B$3623,A373,'📋 Транзакції'!$C$5:$C$3623,"&gt;="&amp;EDATE(DATEVALUE(C373&amp;"-01"),3),'📋 Транзакції'!$C$5:$C$3623,"&lt;"&amp;EDATE(DATEVALUE(C373&amp;"-01"),4))</f>
        <v>19.99</v>
      </c>
      <c r="W373" s="37">
        <f>SUMIFS('📋 Транзакції'!$F$5:$F$3623,'📋 Транзакції'!$B$5:$B$3623,A373,'📋 Транзакції'!$C$5:$C$3623,"&gt;="&amp;EDATE(DATEVALUE(C373&amp;"-01"),4),'📋 Транзакції'!$C$5:$C$3623,"&lt;"&amp;EDATE(DATEVALUE(C373&amp;"-01"),5))</f>
        <v>19.99</v>
      </c>
      <c r="X373" s="37">
        <f>SUMIFS('📋 Транзакції'!$F$5:$F$3623,'📋 Транзакції'!$B$5:$B$3623,A373,'📋 Транзакції'!$C$5:$C$3623,"&gt;="&amp;EDATE(DATEVALUE(C373&amp;"-01"),5),'📋 Транзакції'!$C$5:$C$3623,"&lt;"&amp;EDATE(DATEVALUE(C373&amp;"-01"),6))</f>
        <v>0</v>
      </c>
      <c r="Y373" s="37">
        <f>SUMIFS('📋 Транзакції'!$F$5:$F$3623,'📋 Транзакції'!$B$5:$B$3623,A373,'📋 Транзакції'!$C$5:$C$3623,"&gt;="&amp;EDATE(DATEVALUE(C373&amp;"-01"),6),'📋 Транзакції'!$C$5:$C$3623,"&lt;"&amp;EDATE(DATEVALUE(C373&amp;"-01"),7))</f>
        <v>0</v>
      </c>
      <c r="Z373" s="37">
        <f>SUMIFS('📋 Транзакції'!$F$5:$F$3623,'📋 Транзакції'!$B$5:$B$3623,A373,'📋 Транзакції'!$C$5:$C$3623,"&gt;="&amp;EDATE(DATEVALUE(C373&amp;"-01"),7),'📋 Транзакції'!$C$5:$C$3623,"&lt;"&amp;EDATE(DATEVALUE(C373&amp;"-01"),8))</f>
        <v>0</v>
      </c>
      <c r="AA373" s="37">
        <f>SUMIFS('📋 Транзакції'!$F$5:$F$3623,'📋 Транзакції'!$B$5:$B$3623,A373,'📋 Транзакції'!$C$5:$C$3623,"&gt;="&amp;EDATE(DATEVALUE(C373&amp;"-01"),8),'📋 Транзакції'!$C$5:$C$3623,"&lt;"&amp;EDATE(DATEVALUE(C373&amp;"-01"),9))</f>
        <v>0</v>
      </c>
      <c r="AB373" s="37">
        <f>SUMIFS('📋 Транзакції'!$F$5:$F$3623,'📋 Транзакції'!$B$5:$B$3623,A373,'📋 Транзакції'!$C$5:$C$3623,"&gt;="&amp;EDATE(DATEVALUE(C373&amp;"-01"),9),'📋 Транзакції'!$C$5:$C$3623,"&lt;"&amp;EDATE(DATEVALUE(C373&amp;"-01"),10))</f>
        <v>0</v>
      </c>
      <c r="AC373" s="37">
        <f>SUMIFS('📋 Транзакції'!$F$5:$F$3623,'📋 Транзакції'!$B$5:$B$3623,A373,'📋 Транзакції'!$C$5:$C$3623,"&gt;="&amp;EDATE(DATEVALUE(C373&amp;"-01"),10),'📋 Транзакції'!$C$5:$C$3623,"&lt;"&amp;EDATE(DATEVALUE(C373&amp;"-01"),11))</f>
        <v>0</v>
      </c>
      <c r="AD373" s="37">
        <f>SUMIFS('📋 Транзакції'!$F$5:$F$3623,'📋 Транзакції'!$B$5:$B$3623,A373,'📋 Транзакції'!$C$5:$C$3623,"&gt;="&amp;EDATE(DATEVALUE(C373&amp;"-01"),11),'📋 Транзакції'!$C$5:$C$3623,"&lt;"&amp;EDATE(DATEVALUE(C373&amp;"-01"),12))</f>
        <v>0</v>
      </c>
    </row>
    <row r="374" ht="15.75" customHeight="1">
      <c r="A374" s="33" t="str">
        <f>'📋 Реєстрації'!A374:A975</f>
        <v>U0859</v>
      </c>
      <c r="B374" s="34">
        <f t="array" ref="B374">INDEX('📋 Транзакції'!$C$5:$C$3623,MATCH(A374,'📋 Транзакції'!$B$5:$B$3623,0))</f>
        <v>45608</v>
      </c>
      <c r="C374" s="35" t="str">
        <f t="shared" si="1"/>
        <v>2024-11</v>
      </c>
      <c r="D374" s="36">
        <f>COUNTIF('📋 Транзакції'!$B$5:$B$3623,A374)</f>
        <v>2</v>
      </c>
      <c r="E374" s="36">
        <f>SUMIF('📋 Транзакції'!$B$5:$B$3623,A374,'📋 Транзакції'!$F$5:$F$3623)</f>
        <v>19.99</v>
      </c>
      <c r="F374" s="35">
        <f>INT($A$1-MAXIFS('📋 Транзакції'!$C$5:$C$3623,'📋 Транзакції'!$B$5:$B$3623,A374))</f>
        <v>132</v>
      </c>
      <c r="G374" s="37">
        <f>IF(COUNTIFS('📋 Транзакції'!$B$5:$B$3623,A374,'📋 Транзакції'!$C$5:$C$3623,"&gt;="&amp;EDATE(DATEVALUE(C374&amp;"-01"),0),'📋 Транзакції'!$C$5:$C$3623,"&lt;"&amp;EDATE(DATEVALUE(C374&amp;"-01"),1))&gt;0,1,0)</f>
        <v>1</v>
      </c>
      <c r="H374" s="37">
        <f>IF(COUNTIFS('📋 Транзакції'!$B$5:$B$3623,A374,'📋 Транзакції'!$C$5:$C$3623,"&gt;="&amp;EDATE(DATEVALUE(C374&amp;"-01"),1),'📋 Транзакції'!$C$5:$C$3623,"&lt;"&amp;EDATE(DATEVALUE(C374&amp;"-01"),2))&gt;0,1,0)</f>
        <v>0</v>
      </c>
      <c r="I374" s="37">
        <f>IF(COUNTIFS('📋 Транзакції'!$B$5:$B$3623,A374,'📋 Транзакції'!$C$5:$C$3623,"&gt;="&amp;EDATE(DATEVALUE(C374&amp;"-01"),2),'📋 Транзакції'!$C$5:$C$3623,"&lt;"&amp;EDATE(DATEVALUE(C374&amp;"-01"),3))&gt;0,1,0)</f>
        <v>0</v>
      </c>
      <c r="J374" s="37">
        <f>IF(COUNTIFS('📋 Транзакції'!$B$5:$B$3623,A374,'📋 Транзакції'!$C$5:$C$3623,"&gt;="&amp;EDATE(DATEVALUE(C374&amp;"-01"),3),'📋 Транзакції'!$C$5:$C$3623,"&lt;"&amp;EDATE(DATEVALUE(C374&amp;"-01"),4))&gt;0,1,0)</f>
        <v>0</v>
      </c>
      <c r="K374" s="37">
        <f>IF(COUNTIFS('📋 Транзакції'!$B$5:$B$3623,A374,'📋 Транзакції'!$C$5:$C$3623,"&gt;="&amp;EDATE(DATEVALUE(C374&amp;"-01"),4),'📋 Транзакції'!$C$5:$C$3623,"&lt;"&amp;EDATE(DATEVALUE(C374&amp;"-01"),5))&gt;0,1,0)</f>
        <v>0</v>
      </c>
      <c r="L374" s="37">
        <f>IF(COUNTIFS('📋 Транзакції'!$B$5:$B$3623,A374,'📋 Транзакції'!$C$5:$C$3623,"&gt;="&amp;EDATE(DATEVALUE(C374&amp;"-01"),5),'📋 Транзакції'!$C$5:$C$3623,"&lt;"&amp;EDATE(DATEVALUE(C374&amp;"-01"),6))&gt;0,1,0)</f>
        <v>0</v>
      </c>
      <c r="M374" s="37">
        <f>IF(COUNTIFS('📋 Транзакції'!$B$5:$B$3623,A374,'📋 Транзакції'!$C$5:$C$3623,"&gt;="&amp;EDATE(DATEVALUE(C374&amp;"-01"),6),'📋 Транзакції'!$C$5:$C$3623,"&lt;"&amp;EDATE(DATEVALUE(C374&amp;"-01"),7))&gt;0,1,0)</f>
        <v>0</v>
      </c>
      <c r="N374" s="37">
        <f>IF(COUNTIFS('📋 Транзакції'!$B$5:$B$3623,A374,'📋 Транзакції'!$C$5:$C$3623,"&gt;="&amp;EDATE(DATEVALUE(C374&amp;"-01"),7),'📋 Транзакції'!$C$5:$C$3623,"&lt;"&amp;EDATE(DATEVALUE(C374&amp;"-01"),8))&gt;0,1,0)</f>
        <v>0</v>
      </c>
      <c r="O374" s="37">
        <f>IF(COUNTIFS('📋 Транзакції'!$B$5:$B$3623,A374,'📋 Транзакції'!$C$5:$C$3623,"&gt;="&amp;EDATE(DATEVALUE(C374&amp;"-01"),8),'📋 Транзакції'!$C$5:$C$3623,"&lt;"&amp;EDATE(DATEVALUE(C374&amp;"-01"),9))&gt;0,1,0)</f>
        <v>0</v>
      </c>
      <c r="P374" s="37">
        <f>IF(COUNTIFS('📋 Транзакції'!$B$5:$B$3623,A374,'📋 Транзакції'!$C$5:$C$3623,"&gt;="&amp;EDATE(DATEVALUE(C374&amp;"-01"),9),'📋 Транзакції'!$C$5:$C$3623,"&lt;"&amp;EDATE(DATEVALUE(C374&amp;"-01"),10))&gt;0,1,0)</f>
        <v>0</v>
      </c>
      <c r="Q374" s="37">
        <f>IF(COUNTIFS('📋 Транзакції'!$B$5:$B$3623,A374,'📋 Транзакції'!$C$5:$C$3623,"&gt;="&amp;EDATE(DATEVALUE(C374&amp;"-01"),10),'📋 Транзакції'!$C$5:$C$3623,"&lt;"&amp;EDATE(DATEVALUE(C374&amp;"-01"),11))&gt;0,1,0)</f>
        <v>0</v>
      </c>
      <c r="R374" s="37">
        <f>IF(COUNTIFS('📋 Транзакції'!$B$5:$B$3623,A374,'📋 Транзакції'!$C$5:$C$3623,"&gt;="&amp;EDATE(DATEVALUE(C374&amp;"-01"),11),'📋 Транзакції'!$C$5:$C$3623,"&lt;"&amp;EDATE(DATEVALUE(C374&amp;"-01"),12))&gt;0,1,0)</f>
        <v>0</v>
      </c>
      <c r="S374" s="37">
        <f>SUMIFS('📋 Транзакції'!$F$5:$F$3623,'📋 Транзакції'!$B$5:$B$3623,A374,'📋 Транзакції'!$C$5:$C$3623,"&gt;="&amp;EDATE(DATEVALUE(C374&amp;"-01"),0),'📋 Транзакції'!$C$5:$C$3623,"&lt;"&amp;EDATE(DATEVALUE(C374&amp;"-01"),1))</f>
        <v>19.99</v>
      </c>
      <c r="T374" s="37">
        <f>SUMIFS('📋 Транзакції'!$F$5:$F$3623,'📋 Транзакції'!$B$5:$B$3623,A374,'📋 Транзакції'!$C$5:$C$3623,"&gt;="&amp;EDATE(DATEVALUE(C374&amp;"-01"),1),'📋 Транзакції'!$C$5:$C$3623,"&lt;"&amp;EDATE(DATEVALUE(C374&amp;"-01"),2))</f>
        <v>0</v>
      </c>
      <c r="U374" s="37">
        <f>SUMIFS('📋 Транзакції'!$F$5:$F$3623,'📋 Транзакції'!$B$5:$B$3623,A374,'📋 Транзакції'!$C$5:$C$3623,"&gt;="&amp;EDATE(DATEVALUE(C374&amp;"-01"),2),'📋 Транзакції'!$C$5:$C$3623,"&lt;"&amp;EDATE(DATEVALUE(C374&amp;"-01"),3))</f>
        <v>0</v>
      </c>
      <c r="V374" s="37">
        <f>SUMIFS('📋 Транзакції'!$F$5:$F$3623,'📋 Транзакції'!$B$5:$B$3623,A374,'📋 Транзакції'!$C$5:$C$3623,"&gt;="&amp;EDATE(DATEVALUE(C374&amp;"-01"),3),'📋 Транзакції'!$C$5:$C$3623,"&lt;"&amp;EDATE(DATEVALUE(C374&amp;"-01"),4))</f>
        <v>0</v>
      </c>
      <c r="W374" s="37">
        <f>SUMIFS('📋 Транзакції'!$F$5:$F$3623,'📋 Транзакції'!$B$5:$B$3623,A374,'📋 Транзакції'!$C$5:$C$3623,"&gt;="&amp;EDATE(DATEVALUE(C374&amp;"-01"),4),'📋 Транзакції'!$C$5:$C$3623,"&lt;"&amp;EDATE(DATEVALUE(C374&amp;"-01"),5))</f>
        <v>0</v>
      </c>
      <c r="X374" s="37">
        <f>SUMIFS('📋 Транзакції'!$F$5:$F$3623,'📋 Транзакції'!$B$5:$B$3623,A374,'📋 Транзакції'!$C$5:$C$3623,"&gt;="&amp;EDATE(DATEVALUE(C374&amp;"-01"),5),'📋 Транзакції'!$C$5:$C$3623,"&lt;"&amp;EDATE(DATEVALUE(C374&amp;"-01"),6))</f>
        <v>0</v>
      </c>
      <c r="Y374" s="37">
        <f>SUMIFS('📋 Транзакції'!$F$5:$F$3623,'📋 Транзакції'!$B$5:$B$3623,A374,'📋 Транзакції'!$C$5:$C$3623,"&gt;="&amp;EDATE(DATEVALUE(C374&amp;"-01"),6),'📋 Транзакції'!$C$5:$C$3623,"&lt;"&amp;EDATE(DATEVALUE(C374&amp;"-01"),7))</f>
        <v>0</v>
      </c>
      <c r="Z374" s="37">
        <f>SUMIFS('📋 Транзакції'!$F$5:$F$3623,'📋 Транзакції'!$B$5:$B$3623,A374,'📋 Транзакції'!$C$5:$C$3623,"&gt;="&amp;EDATE(DATEVALUE(C374&amp;"-01"),7),'📋 Транзакції'!$C$5:$C$3623,"&lt;"&amp;EDATE(DATEVALUE(C374&amp;"-01"),8))</f>
        <v>0</v>
      </c>
      <c r="AA374" s="37">
        <f>SUMIFS('📋 Транзакції'!$F$5:$F$3623,'📋 Транзакції'!$B$5:$B$3623,A374,'📋 Транзакції'!$C$5:$C$3623,"&gt;="&amp;EDATE(DATEVALUE(C374&amp;"-01"),8),'📋 Транзакції'!$C$5:$C$3623,"&lt;"&amp;EDATE(DATEVALUE(C374&amp;"-01"),9))</f>
        <v>0</v>
      </c>
      <c r="AB374" s="37">
        <f>SUMIFS('📋 Транзакції'!$F$5:$F$3623,'📋 Транзакції'!$B$5:$B$3623,A374,'📋 Транзакції'!$C$5:$C$3623,"&gt;="&amp;EDATE(DATEVALUE(C374&amp;"-01"),9),'📋 Транзакції'!$C$5:$C$3623,"&lt;"&amp;EDATE(DATEVALUE(C374&amp;"-01"),10))</f>
        <v>0</v>
      </c>
      <c r="AC374" s="37">
        <f>SUMIFS('📋 Транзакції'!$F$5:$F$3623,'📋 Транзакції'!$B$5:$B$3623,A374,'📋 Транзакції'!$C$5:$C$3623,"&gt;="&amp;EDATE(DATEVALUE(C374&amp;"-01"),10),'📋 Транзакції'!$C$5:$C$3623,"&lt;"&amp;EDATE(DATEVALUE(C374&amp;"-01"),11))</f>
        <v>0</v>
      </c>
      <c r="AD374" s="37">
        <f>SUMIFS('📋 Транзакції'!$F$5:$F$3623,'📋 Транзакції'!$B$5:$B$3623,A374,'📋 Транзакції'!$C$5:$C$3623,"&gt;="&amp;EDATE(DATEVALUE(C374&amp;"-01"),11),'📋 Транзакції'!$C$5:$C$3623,"&lt;"&amp;EDATE(DATEVALUE(C374&amp;"-01"),12))</f>
        <v>0</v>
      </c>
    </row>
    <row r="375" ht="15.75" customHeight="1">
      <c r="A375" s="33" t="str">
        <f>'📋 Реєстрації'!A375:A976</f>
        <v>U0750</v>
      </c>
      <c r="B375" s="34">
        <f t="array" ref="B375">INDEX('📋 Транзакції'!$C$5:$C$3623,MATCH(A375,'📋 Транзакції'!$B$5:$B$3623,0))</f>
        <v>45609</v>
      </c>
      <c r="C375" s="35" t="str">
        <f t="shared" si="1"/>
        <v>2024-11</v>
      </c>
      <c r="D375" s="36">
        <f>COUNTIF('📋 Транзакції'!$B$5:$B$3623,A375)</f>
        <v>5</v>
      </c>
      <c r="E375" s="36">
        <f>SUMIF('📋 Транзакції'!$B$5:$B$3623,A375,'📋 Транзакції'!$F$5:$F$3623)</f>
        <v>79.96</v>
      </c>
      <c r="F375" s="35">
        <f>INT($A$1-MAXIFS('📋 Транзакції'!$C$5:$C$3623,'📋 Транзакції'!$B$5:$B$3623,A375))</f>
        <v>41</v>
      </c>
      <c r="G375" s="37">
        <f>IF(COUNTIFS('📋 Транзакції'!$B$5:$B$3623,A375,'📋 Транзакції'!$C$5:$C$3623,"&gt;="&amp;EDATE(DATEVALUE(C375&amp;"-01"),0),'📋 Транзакції'!$C$5:$C$3623,"&lt;"&amp;EDATE(DATEVALUE(C375&amp;"-01"),1))&gt;0,1,0)</f>
        <v>1</v>
      </c>
      <c r="H375" s="37">
        <f>IF(COUNTIFS('📋 Транзакції'!$B$5:$B$3623,A375,'📋 Транзакції'!$C$5:$C$3623,"&gt;="&amp;EDATE(DATEVALUE(C375&amp;"-01"),1),'📋 Транзакції'!$C$5:$C$3623,"&lt;"&amp;EDATE(DATEVALUE(C375&amp;"-01"),2))&gt;0,1,0)</f>
        <v>1</v>
      </c>
      <c r="I375" s="37">
        <f>IF(COUNTIFS('📋 Транзакції'!$B$5:$B$3623,A375,'📋 Транзакції'!$C$5:$C$3623,"&gt;="&amp;EDATE(DATEVALUE(C375&amp;"-01"),2),'📋 Транзакції'!$C$5:$C$3623,"&lt;"&amp;EDATE(DATEVALUE(C375&amp;"-01"),3))&gt;0,1,0)</f>
        <v>1</v>
      </c>
      <c r="J375" s="37">
        <f>IF(COUNTIFS('📋 Транзакції'!$B$5:$B$3623,A375,'📋 Транзакції'!$C$5:$C$3623,"&gt;="&amp;EDATE(DATEVALUE(C375&amp;"-01"),3),'📋 Транзакції'!$C$5:$C$3623,"&lt;"&amp;EDATE(DATEVALUE(C375&amp;"-01"),4))&gt;0,1,0)</f>
        <v>1</v>
      </c>
      <c r="K375" s="37">
        <f>IF(COUNTIFS('📋 Транзакції'!$B$5:$B$3623,A375,'📋 Транзакції'!$C$5:$C$3623,"&gt;="&amp;EDATE(DATEVALUE(C375&amp;"-01"),4),'📋 Транзакції'!$C$5:$C$3623,"&lt;"&amp;EDATE(DATEVALUE(C375&amp;"-01"),5))&gt;0,1,0)</f>
        <v>0</v>
      </c>
      <c r="L375" s="37">
        <f>IF(COUNTIFS('📋 Транзакції'!$B$5:$B$3623,A375,'📋 Транзакції'!$C$5:$C$3623,"&gt;="&amp;EDATE(DATEVALUE(C375&amp;"-01"),5),'📋 Транзакції'!$C$5:$C$3623,"&lt;"&amp;EDATE(DATEVALUE(C375&amp;"-01"),6))&gt;0,1,0)</f>
        <v>0</v>
      </c>
      <c r="M375" s="37">
        <f>IF(COUNTIFS('📋 Транзакції'!$B$5:$B$3623,A375,'📋 Транзакції'!$C$5:$C$3623,"&gt;="&amp;EDATE(DATEVALUE(C375&amp;"-01"),6),'📋 Транзакції'!$C$5:$C$3623,"&lt;"&amp;EDATE(DATEVALUE(C375&amp;"-01"),7))&gt;0,1,0)</f>
        <v>0</v>
      </c>
      <c r="N375" s="37">
        <f>IF(COUNTIFS('📋 Транзакції'!$B$5:$B$3623,A375,'📋 Транзакції'!$C$5:$C$3623,"&gt;="&amp;EDATE(DATEVALUE(C375&amp;"-01"),7),'📋 Транзакції'!$C$5:$C$3623,"&lt;"&amp;EDATE(DATEVALUE(C375&amp;"-01"),8))&gt;0,1,0)</f>
        <v>0</v>
      </c>
      <c r="O375" s="37">
        <f>IF(COUNTIFS('📋 Транзакції'!$B$5:$B$3623,A375,'📋 Транзакції'!$C$5:$C$3623,"&gt;="&amp;EDATE(DATEVALUE(C375&amp;"-01"),8),'📋 Транзакції'!$C$5:$C$3623,"&lt;"&amp;EDATE(DATEVALUE(C375&amp;"-01"),9))&gt;0,1,0)</f>
        <v>0</v>
      </c>
      <c r="P375" s="37">
        <f>IF(COUNTIFS('📋 Транзакції'!$B$5:$B$3623,A375,'📋 Транзакції'!$C$5:$C$3623,"&gt;="&amp;EDATE(DATEVALUE(C375&amp;"-01"),9),'📋 Транзакції'!$C$5:$C$3623,"&lt;"&amp;EDATE(DATEVALUE(C375&amp;"-01"),10))&gt;0,1,0)</f>
        <v>0</v>
      </c>
      <c r="Q375" s="37">
        <f>IF(COUNTIFS('📋 Транзакції'!$B$5:$B$3623,A375,'📋 Транзакції'!$C$5:$C$3623,"&gt;="&amp;EDATE(DATEVALUE(C375&amp;"-01"),10),'📋 Транзакції'!$C$5:$C$3623,"&lt;"&amp;EDATE(DATEVALUE(C375&amp;"-01"),11))&gt;0,1,0)</f>
        <v>0</v>
      </c>
      <c r="R375" s="37">
        <f>IF(COUNTIFS('📋 Транзакції'!$B$5:$B$3623,A375,'📋 Транзакції'!$C$5:$C$3623,"&gt;="&amp;EDATE(DATEVALUE(C375&amp;"-01"),11),'📋 Транзакції'!$C$5:$C$3623,"&lt;"&amp;EDATE(DATEVALUE(C375&amp;"-01"),12))&gt;0,1,0)</f>
        <v>0</v>
      </c>
      <c r="S375" s="37">
        <f>SUMIFS('📋 Транзакції'!$F$5:$F$3623,'📋 Транзакції'!$B$5:$B$3623,A375,'📋 Транзакції'!$C$5:$C$3623,"&gt;="&amp;EDATE(DATEVALUE(C375&amp;"-01"),0),'📋 Транзакції'!$C$5:$C$3623,"&lt;"&amp;EDATE(DATEVALUE(C375&amp;"-01"),1))</f>
        <v>19.99</v>
      </c>
      <c r="T375" s="37">
        <f>SUMIFS('📋 Транзакції'!$F$5:$F$3623,'📋 Транзакції'!$B$5:$B$3623,A375,'📋 Транзакції'!$C$5:$C$3623,"&gt;="&amp;EDATE(DATEVALUE(C375&amp;"-01"),1),'📋 Транзакції'!$C$5:$C$3623,"&lt;"&amp;EDATE(DATEVALUE(C375&amp;"-01"),2))</f>
        <v>19.99</v>
      </c>
      <c r="U375" s="37">
        <f>SUMIFS('📋 Транзакції'!$F$5:$F$3623,'📋 Транзакції'!$B$5:$B$3623,A375,'📋 Транзакції'!$C$5:$C$3623,"&gt;="&amp;EDATE(DATEVALUE(C375&amp;"-01"),2),'📋 Транзакції'!$C$5:$C$3623,"&lt;"&amp;EDATE(DATEVALUE(C375&amp;"-01"),3))</f>
        <v>19.99</v>
      </c>
      <c r="V375" s="37">
        <f>SUMIFS('📋 Транзакції'!$F$5:$F$3623,'📋 Транзакції'!$B$5:$B$3623,A375,'📋 Транзакції'!$C$5:$C$3623,"&gt;="&amp;EDATE(DATEVALUE(C375&amp;"-01"),3),'📋 Транзакції'!$C$5:$C$3623,"&lt;"&amp;EDATE(DATEVALUE(C375&amp;"-01"),4))</f>
        <v>19.99</v>
      </c>
      <c r="W375" s="37">
        <f>SUMIFS('📋 Транзакції'!$F$5:$F$3623,'📋 Транзакції'!$B$5:$B$3623,A375,'📋 Транзакції'!$C$5:$C$3623,"&gt;="&amp;EDATE(DATEVALUE(C375&amp;"-01"),4),'📋 Транзакції'!$C$5:$C$3623,"&lt;"&amp;EDATE(DATEVALUE(C375&amp;"-01"),5))</f>
        <v>0</v>
      </c>
      <c r="X375" s="37">
        <f>SUMIFS('📋 Транзакції'!$F$5:$F$3623,'📋 Транзакції'!$B$5:$B$3623,A375,'📋 Транзакції'!$C$5:$C$3623,"&gt;="&amp;EDATE(DATEVALUE(C375&amp;"-01"),5),'📋 Транзакції'!$C$5:$C$3623,"&lt;"&amp;EDATE(DATEVALUE(C375&amp;"-01"),6))</f>
        <v>0</v>
      </c>
      <c r="Y375" s="37">
        <f>SUMIFS('📋 Транзакції'!$F$5:$F$3623,'📋 Транзакції'!$B$5:$B$3623,A375,'📋 Транзакції'!$C$5:$C$3623,"&gt;="&amp;EDATE(DATEVALUE(C375&amp;"-01"),6),'📋 Транзакції'!$C$5:$C$3623,"&lt;"&amp;EDATE(DATEVALUE(C375&amp;"-01"),7))</f>
        <v>0</v>
      </c>
      <c r="Z375" s="37">
        <f>SUMIFS('📋 Транзакції'!$F$5:$F$3623,'📋 Транзакції'!$B$5:$B$3623,A375,'📋 Транзакції'!$C$5:$C$3623,"&gt;="&amp;EDATE(DATEVALUE(C375&amp;"-01"),7),'📋 Транзакції'!$C$5:$C$3623,"&lt;"&amp;EDATE(DATEVALUE(C375&amp;"-01"),8))</f>
        <v>0</v>
      </c>
      <c r="AA375" s="37">
        <f>SUMIFS('📋 Транзакції'!$F$5:$F$3623,'📋 Транзакції'!$B$5:$B$3623,A375,'📋 Транзакції'!$C$5:$C$3623,"&gt;="&amp;EDATE(DATEVALUE(C375&amp;"-01"),8),'📋 Транзакції'!$C$5:$C$3623,"&lt;"&amp;EDATE(DATEVALUE(C375&amp;"-01"),9))</f>
        <v>0</v>
      </c>
      <c r="AB375" s="37">
        <f>SUMIFS('📋 Транзакції'!$F$5:$F$3623,'📋 Транзакції'!$B$5:$B$3623,A375,'📋 Транзакції'!$C$5:$C$3623,"&gt;="&amp;EDATE(DATEVALUE(C375&amp;"-01"),9),'📋 Транзакції'!$C$5:$C$3623,"&lt;"&amp;EDATE(DATEVALUE(C375&amp;"-01"),10))</f>
        <v>0</v>
      </c>
      <c r="AC375" s="37">
        <f>SUMIFS('📋 Транзакції'!$F$5:$F$3623,'📋 Транзакції'!$B$5:$B$3623,A375,'📋 Транзакції'!$C$5:$C$3623,"&gt;="&amp;EDATE(DATEVALUE(C375&amp;"-01"),10),'📋 Транзакції'!$C$5:$C$3623,"&lt;"&amp;EDATE(DATEVALUE(C375&amp;"-01"),11))</f>
        <v>0</v>
      </c>
      <c r="AD375" s="37">
        <f>SUMIFS('📋 Транзакції'!$F$5:$F$3623,'📋 Транзакції'!$B$5:$B$3623,A375,'📋 Транзакції'!$C$5:$C$3623,"&gt;="&amp;EDATE(DATEVALUE(C375&amp;"-01"),11),'📋 Транзакції'!$C$5:$C$3623,"&lt;"&amp;EDATE(DATEVALUE(C375&amp;"-01"),12))</f>
        <v>0</v>
      </c>
    </row>
    <row r="376" ht="15.75" customHeight="1">
      <c r="A376" s="33" t="str">
        <f>'📋 Реєстрації'!A376:A977</f>
        <v>U0029</v>
      </c>
      <c r="B376" s="34">
        <f t="array" ref="B376">INDEX('📋 Транзакції'!$C$5:$C$3623,MATCH(A376,'📋 Транзакції'!$B$5:$B$3623,0))</f>
        <v>45610</v>
      </c>
      <c r="C376" s="35" t="str">
        <f t="shared" si="1"/>
        <v>2024-11</v>
      </c>
      <c r="D376" s="36">
        <f>COUNTIF('📋 Транзакції'!$B$5:$B$3623,A376)</f>
        <v>4</v>
      </c>
      <c r="E376" s="36">
        <f>SUMIF('📋 Транзакції'!$B$5:$B$3623,A376,'📋 Транзакції'!$F$5:$F$3623)</f>
        <v>59.97</v>
      </c>
      <c r="F376" s="35">
        <f>INT($A$1-MAXIFS('📋 Транзакції'!$C$5:$C$3623,'📋 Транзакції'!$B$5:$B$3623,A376))</f>
        <v>70</v>
      </c>
      <c r="G376" s="37">
        <f>IF(COUNTIFS('📋 Транзакції'!$B$5:$B$3623,A376,'📋 Транзакції'!$C$5:$C$3623,"&gt;="&amp;EDATE(DATEVALUE(C376&amp;"-01"),0),'📋 Транзакції'!$C$5:$C$3623,"&lt;"&amp;EDATE(DATEVALUE(C376&amp;"-01"),1))&gt;0,1,0)</f>
        <v>1</v>
      </c>
      <c r="H376" s="37">
        <f>IF(COUNTIFS('📋 Транзакції'!$B$5:$B$3623,A376,'📋 Транзакції'!$C$5:$C$3623,"&gt;="&amp;EDATE(DATEVALUE(C376&amp;"-01"),1),'📋 Транзакції'!$C$5:$C$3623,"&lt;"&amp;EDATE(DATEVALUE(C376&amp;"-01"),2))&gt;0,1,0)</f>
        <v>1</v>
      </c>
      <c r="I376" s="37">
        <f>IF(COUNTIFS('📋 Транзакції'!$B$5:$B$3623,A376,'📋 Транзакції'!$C$5:$C$3623,"&gt;="&amp;EDATE(DATEVALUE(C376&amp;"-01"),2),'📋 Транзакції'!$C$5:$C$3623,"&lt;"&amp;EDATE(DATEVALUE(C376&amp;"-01"),3))&gt;0,1,0)</f>
        <v>1</v>
      </c>
      <c r="J376" s="37">
        <f>IF(COUNTIFS('📋 Транзакції'!$B$5:$B$3623,A376,'📋 Транзакції'!$C$5:$C$3623,"&gt;="&amp;EDATE(DATEVALUE(C376&amp;"-01"),3),'📋 Транзакції'!$C$5:$C$3623,"&lt;"&amp;EDATE(DATEVALUE(C376&amp;"-01"),4))&gt;0,1,0)</f>
        <v>0</v>
      </c>
      <c r="K376" s="37">
        <f>IF(COUNTIFS('📋 Транзакції'!$B$5:$B$3623,A376,'📋 Транзакції'!$C$5:$C$3623,"&gt;="&amp;EDATE(DATEVALUE(C376&amp;"-01"),4),'📋 Транзакції'!$C$5:$C$3623,"&lt;"&amp;EDATE(DATEVALUE(C376&amp;"-01"),5))&gt;0,1,0)</f>
        <v>0</v>
      </c>
      <c r="L376" s="37">
        <f>IF(COUNTIFS('📋 Транзакції'!$B$5:$B$3623,A376,'📋 Транзакції'!$C$5:$C$3623,"&gt;="&amp;EDATE(DATEVALUE(C376&amp;"-01"),5),'📋 Транзакції'!$C$5:$C$3623,"&lt;"&amp;EDATE(DATEVALUE(C376&amp;"-01"),6))&gt;0,1,0)</f>
        <v>0</v>
      </c>
      <c r="M376" s="37">
        <f>IF(COUNTIFS('📋 Транзакції'!$B$5:$B$3623,A376,'📋 Транзакції'!$C$5:$C$3623,"&gt;="&amp;EDATE(DATEVALUE(C376&amp;"-01"),6),'📋 Транзакції'!$C$5:$C$3623,"&lt;"&amp;EDATE(DATEVALUE(C376&amp;"-01"),7))&gt;0,1,0)</f>
        <v>0</v>
      </c>
      <c r="N376" s="37">
        <f>IF(COUNTIFS('📋 Транзакції'!$B$5:$B$3623,A376,'📋 Транзакції'!$C$5:$C$3623,"&gt;="&amp;EDATE(DATEVALUE(C376&amp;"-01"),7),'📋 Транзакції'!$C$5:$C$3623,"&lt;"&amp;EDATE(DATEVALUE(C376&amp;"-01"),8))&gt;0,1,0)</f>
        <v>0</v>
      </c>
      <c r="O376" s="37">
        <f>IF(COUNTIFS('📋 Транзакції'!$B$5:$B$3623,A376,'📋 Транзакції'!$C$5:$C$3623,"&gt;="&amp;EDATE(DATEVALUE(C376&amp;"-01"),8),'📋 Транзакції'!$C$5:$C$3623,"&lt;"&amp;EDATE(DATEVALUE(C376&amp;"-01"),9))&gt;0,1,0)</f>
        <v>0</v>
      </c>
      <c r="P376" s="37">
        <f>IF(COUNTIFS('📋 Транзакції'!$B$5:$B$3623,A376,'📋 Транзакції'!$C$5:$C$3623,"&gt;="&amp;EDATE(DATEVALUE(C376&amp;"-01"),9),'📋 Транзакції'!$C$5:$C$3623,"&lt;"&amp;EDATE(DATEVALUE(C376&amp;"-01"),10))&gt;0,1,0)</f>
        <v>0</v>
      </c>
      <c r="Q376" s="37">
        <f>IF(COUNTIFS('📋 Транзакції'!$B$5:$B$3623,A376,'📋 Транзакції'!$C$5:$C$3623,"&gt;="&amp;EDATE(DATEVALUE(C376&amp;"-01"),10),'📋 Транзакції'!$C$5:$C$3623,"&lt;"&amp;EDATE(DATEVALUE(C376&amp;"-01"),11))&gt;0,1,0)</f>
        <v>0</v>
      </c>
      <c r="R376" s="37">
        <f>IF(COUNTIFS('📋 Транзакції'!$B$5:$B$3623,A376,'📋 Транзакції'!$C$5:$C$3623,"&gt;="&amp;EDATE(DATEVALUE(C376&amp;"-01"),11),'📋 Транзакції'!$C$5:$C$3623,"&lt;"&amp;EDATE(DATEVALUE(C376&amp;"-01"),12))&gt;0,1,0)</f>
        <v>0</v>
      </c>
      <c r="S376" s="37">
        <f>SUMIFS('📋 Транзакції'!$F$5:$F$3623,'📋 Транзакції'!$B$5:$B$3623,A376,'📋 Транзакції'!$C$5:$C$3623,"&gt;="&amp;EDATE(DATEVALUE(C376&amp;"-01"),0),'📋 Транзакції'!$C$5:$C$3623,"&lt;"&amp;EDATE(DATEVALUE(C376&amp;"-01"),1))</f>
        <v>19.99</v>
      </c>
      <c r="T376" s="37">
        <f>SUMIFS('📋 Транзакції'!$F$5:$F$3623,'📋 Транзакції'!$B$5:$B$3623,A376,'📋 Транзакції'!$C$5:$C$3623,"&gt;="&amp;EDATE(DATEVALUE(C376&amp;"-01"),1),'📋 Транзакції'!$C$5:$C$3623,"&lt;"&amp;EDATE(DATEVALUE(C376&amp;"-01"),2))</f>
        <v>19.99</v>
      </c>
      <c r="U376" s="37">
        <f>SUMIFS('📋 Транзакції'!$F$5:$F$3623,'📋 Транзакції'!$B$5:$B$3623,A376,'📋 Транзакції'!$C$5:$C$3623,"&gt;="&amp;EDATE(DATEVALUE(C376&amp;"-01"),2),'📋 Транзакції'!$C$5:$C$3623,"&lt;"&amp;EDATE(DATEVALUE(C376&amp;"-01"),3))</f>
        <v>19.99</v>
      </c>
      <c r="V376" s="37">
        <f>SUMIFS('📋 Транзакції'!$F$5:$F$3623,'📋 Транзакції'!$B$5:$B$3623,A376,'📋 Транзакції'!$C$5:$C$3623,"&gt;="&amp;EDATE(DATEVALUE(C376&amp;"-01"),3),'📋 Транзакції'!$C$5:$C$3623,"&lt;"&amp;EDATE(DATEVALUE(C376&amp;"-01"),4))</f>
        <v>0</v>
      </c>
      <c r="W376" s="37">
        <f>SUMIFS('📋 Транзакції'!$F$5:$F$3623,'📋 Транзакції'!$B$5:$B$3623,A376,'📋 Транзакції'!$C$5:$C$3623,"&gt;="&amp;EDATE(DATEVALUE(C376&amp;"-01"),4),'📋 Транзакції'!$C$5:$C$3623,"&lt;"&amp;EDATE(DATEVALUE(C376&amp;"-01"),5))</f>
        <v>0</v>
      </c>
      <c r="X376" s="37">
        <f>SUMIFS('📋 Транзакції'!$F$5:$F$3623,'📋 Транзакції'!$B$5:$B$3623,A376,'📋 Транзакції'!$C$5:$C$3623,"&gt;="&amp;EDATE(DATEVALUE(C376&amp;"-01"),5),'📋 Транзакції'!$C$5:$C$3623,"&lt;"&amp;EDATE(DATEVALUE(C376&amp;"-01"),6))</f>
        <v>0</v>
      </c>
      <c r="Y376" s="37">
        <f>SUMIFS('📋 Транзакції'!$F$5:$F$3623,'📋 Транзакції'!$B$5:$B$3623,A376,'📋 Транзакції'!$C$5:$C$3623,"&gt;="&amp;EDATE(DATEVALUE(C376&amp;"-01"),6),'📋 Транзакції'!$C$5:$C$3623,"&lt;"&amp;EDATE(DATEVALUE(C376&amp;"-01"),7))</f>
        <v>0</v>
      </c>
      <c r="Z376" s="37">
        <f>SUMIFS('📋 Транзакції'!$F$5:$F$3623,'📋 Транзакції'!$B$5:$B$3623,A376,'📋 Транзакції'!$C$5:$C$3623,"&gt;="&amp;EDATE(DATEVALUE(C376&amp;"-01"),7),'📋 Транзакції'!$C$5:$C$3623,"&lt;"&amp;EDATE(DATEVALUE(C376&amp;"-01"),8))</f>
        <v>0</v>
      </c>
      <c r="AA376" s="37">
        <f>SUMIFS('📋 Транзакції'!$F$5:$F$3623,'📋 Транзакції'!$B$5:$B$3623,A376,'📋 Транзакції'!$C$5:$C$3623,"&gt;="&amp;EDATE(DATEVALUE(C376&amp;"-01"),8),'📋 Транзакції'!$C$5:$C$3623,"&lt;"&amp;EDATE(DATEVALUE(C376&amp;"-01"),9))</f>
        <v>0</v>
      </c>
      <c r="AB376" s="37">
        <f>SUMIFS('📋 Транзакції'!$F$5:$F$3623,'📋 Транзакції'!$B$5:$B$3623,A376,'📋 Транзакції'!$C$5:$C$3623,"&gt;="&amp;EDATE(DATEVALUE(C376&amp;"-01"),9),'📋 Транзакції'!$C$5:$C$3623,"&lt;"&amp;EDATE(DATEVALUE(C376&amp;"-01"),10))</f>
        <v>0</v>
      </c>
      <c r="AC376" s="37">
        <f>SUMIFS('📋 Транзакції'!$F$5:$F$3623,'📋 Транзакції'!$B$5:$B$3623,A376,'📋 Транзакції'!$C$5:$C$3623,"&gt;="&amp;EDATE(DATEVALUE(C376&amp;"-01"),10),'📋 Транзакції'!$C$5:$C$3623,"&lt;"&amp;EDATE(DATEVALUE(C376&amp;"-01"),11))</f>
        <v>0</v>
      </c>
      <c r="AD376" s="37">
        <f>SUMIFS('📋 Транзакції'!$F$5:$F$3623,'📋 Транзакції'!$B$5:$B$3623,A376,'📋 Транзакції'!$C$5:$C$3623,"&gt;="&amp;EDATE(DATEVALUE(C376&amp;"-01"),11),'📋 Транзакції'!$C$5:$C$3623,"&lt;"&amp;EDATE(DATEVALUE(C376&amp;"-01"),12))</f>
        <v>0</v>
      </c>
    </row>
    <row r="377" ht="15.75" customHeight="1">
      <c r="A377" s="33" t="str">
        <f>'📋 Реєстрації'!A377:A978</f>
        <v>U0299</v>
      </c>
      <c r="B377" s="34">
        <f t="array" ref="B377">INDEX('📋 Транзакції'!$C$5:$C$3623,MATCH(A377,'📋 Транзакції'!$B$5:$B$3623,0))</f>
        <v>45610</v>
      </c>
      <c r="C377" s="35" t="str">
        <f t="shared" si="1"/>
        <v>2024-11</v>
      </c>
      <c r="D377" s="36">
        <f>COUNTIF('📋 Транзакції'!$B$5:$B$3623,A377)</f>
        <v>6</v>
      </c>
      <c r="E377" s="36">
        <f>SUMIF('📋 Транзакції'!$B$5:$B$3623,A377,'📋 Транзакції'!$F$5:$F$3623)</f>
        <v>99.95</v>
      </c>
      <c r="F377" s="35">
        <f>INT($A$1-MAXIFS('📋 Транзакції'!$C$5:$C$3623,'📋 Транзакції'!$B$5:$B$3623,A377))</f>
        <v>10</v>
      </c>
      <c r="G377" s="37">
        <f>IF(COUNTIFS('📋 Транзакції'!$B$5:$B$3623,A377,'📋 Транзакції'!$C$5:$C$3623,"&gt;="&amp;EDATE(DATEVALUE(C377&amp;"-01"),0),'📋 Транзакції'!$C$5:$C$3623,"&lt;"&amp;EDATE(DATEVALUE(C377&amp;"-01"),1))&gt;0,1,0)</f>
        <v>1</v>
      </c>
      <c r="H377" s="37">
        <f>IF(COUNTIFS('📋 Транзакції'!$B$5:$B$3623,A377,'📋 Транзакції'!$C$5:$C$3623,"&gt;="&amp;EDATE(DATEVALUE(C377&amp;"-01"),1),'📋 Транзакції'!$C$5:$C$3623,"&lt;"&amp;EDATE(DATEVALUE(C377&amp;"-01"),2))&gt;0,1,0)</f>
        <v>1</v>
      </c>
      <c r="I377" s="37">
        <f>IF(COUNTIFS('📋 Транзакції'!$B$5:$B$3623,A377,'📋 Транзакції'!$C$5:$C$3623,"&gt;="&amp;EDATE(DATEVALUE(C377&amp;"-01"),2),'📋 Транзакції'!$C$5:$C$3623,"&lt;"&amp;EDATE(DATEVALUE(C377&amp;"-01"),3))&gt;0,1,0)</f>
        <v>1</v>
      </c>
      <c r="J377" s="37">
        <f>IF(COUNTIFS('📋 Транзакції'!$B$5:$B$3623,A377,'📋 Транзакції'!$C$5:$C$3623,"&gt;="&amp;EDATE(DATEVALUE(C377&amp;"-01"),3),'📋 Транзакції'!$C$5:$C$3623,"&lt;"&amp;EDATE(DATEVALUE(C377&amp;"-01"),4))&gt;0,1,0)</f>
        <v>1</v>
      </c>
      <c r="K377" s="37">
        <f>IF(COUNTIFS('📋 Транзакції'!$B$5:$B$3623,A377,'📋 Транзакції'!$C$5:$C$3623,"&gt;="&amp;EDATE(DATEVALUE(C377&amp;"-01"),4),'📋 Транзакції'!$C$5:$C$3623,"&lt;"&amp;EDATE(DATEVALUE(C377&amp;"-01"),5))&gt;0,1,0)</f>
        <v>1</v>
      </c>
      <c r="L377" s="37">
        <f>IF(COUNTIFS('📋 Транзакції'!$B$5:$B$3623,A377,'📋 Транзакції'!$C$5:$C$3623,"&gt;="&amp;EDATE(DATEVALUE(C377&amp;"-01"),5),'📋 Транзакції'!$C$5:$C$3623,"&lt;"&amp;EDATE(DATEVALUE(C377&amp;"-01"),6))&gt;0,1,0)</f>
        <v>0</v>
      </c>
      <c r="M377" s="37">
        <f>IF(COUNTIFS('📋 Транзакції'!$B$5:$B$3623,A377,'📋 Транзакції'!$C$5:$C$3623,"&gt;="&amp;EDATE(DATEVALUE(C377&amp;"-01"),6),'📋 Транзакції'!$C$5:$C$3623,"&lt;"&amp;EDATE(DATEVALUE(C377&amp;"-01"),7))&gt;0,1,0)</f>
        <v>0</v>
      </c>
      <c r="N377" s="37">
        <f>IF(COUNTIFS('📋 Транзакції'!$B$5:$B$3623,A377,'📋 Транзакції'!$C$5:$C$3623,"&gt;="&amp;EDATE(DATEVALUE(C377&amp;"-01"),7),'📋 Транзакції'!$C$5:$C$3623,"&lt;"&amp;EDATE(DATEVALUE(C377&amp;"-01"),8))&gt;0,1,0)</f>
        <v>0</v>
      </c>
      <c r="O377" s="37">
        <f>IF(COUNTIFS('📋 Транзакції'!$B$5:$B$3623,A377,'📋 Транзакції'!$C$5:$C$3623,"&gt;="&amp;EDATE(DATEVALUE(C377&amp;"-01"),8),'📋 Транзакції'!$C$5:$C$3623,"&lt;"&amp;EDATE(DATEVALUE(C377&amp;"-01"),9))&gt;0,1,0)</f>
        <v>0</v>
      </c>
      <c r="P377" s="37">
        <f>IF(COUNTIFS('📋 Транзакції'!$B$5:$B$3623,A377,'📋 Транзакції'!$C$5:$C$3623,"&gt;="&amp;EDATE(DATEVALUE(C377&amp;"-01"),9),'📋 Транзакції'!$C$5:$C$3623,"&lt;"&amp;EDATE(DATEVALUE(C377&amp;"-01"),10))&gt;0,1,0)</f>
        <v>0</v>
      </c>
      <c r="Q377" s="37">
        <f>IF(COUNTIFS('📋 Транзакції'!$B$5:$B$3623,A377,'📋 Транзакції'!$C$5:$C$3623,"&gt;="&amp;EDATE(DATEVALUE(C377&amp;"-01"),10),'📋 Транзакції'!$C$5:$C$3623,"&lt;"&amp;EDATE(DATEVALUE(C377&amp;"-01"),11))&gt;0,1,0)</f>
        <v>0</v>
      </c>
      <c r="R377" s="37">
        <f>IF(COUNTIFS('📋 Транзакції'!$B$5:$B$3623,A377,'📋 Транзакції'!$C$5:$C$3623,"&gt;="&amp;EDATE(DATEVALUE(C377&amp;"-01"),11),'📋 Транзакції'!$C$5:$C$3623,"&lt;"&amp;EDATE(DATEVALUE(C377&amp;"-01"),12))&gt;0,1,0)</f>
        <v>0</v>
      </c>
      <c r="S377" s="37">
        <f>SUMIFS('📋 Транзакції'!$F$5:$F$3623,'📋 Транзакції'!$B$5:$B$3623,A377,'📋 Транзакції'!$C$5:$C$3623,"&gt;="&amp;EDATE(DATEVALUE(C377&amp;"-01"),0),'📋 Транзакції'!$C$5:$C$3623,"&lt;"&amp;EDATE(DATEVALUE(C377&amp;"-01"),1))</f>
        <v>19.99</v>
      </c>
      <c r="T377" s="37">
        <f>SUMIFS('📋 Транзакції'!$F$5:$F$3623,'📋 Транзакції'!$B$5:$B$3623,A377,'📋 Транзакції'!$C$5:$C$3623,"&gt;="&amp;EDATE(DATEVALUE(C377&amp;"-01"),1),'📋 Транзакції'!$C$5:$C$3623,"&lt;"&amp;EDATE(DATEVALUE(C377&amp;"-01"),2))</f>
        <v>19.99</v>
      </c>
      <c r="U377" s="37">
        <f>SUMIFS('📋 Транзакції'!$F$5:$F$3623,'📋 Транзакції'!$B$5:$B$3623,A377,'📋 Транзакції'!$C$5:$C$3623,"&gt;="&amp;EDATE(DATEVALUE(C377&amp;"-01"),2),'📋 Транзакції'!$C$5:$C$3623,"&lt;"&amp;EDATE(DATEVALUE(C377&amp;"-01"),3))</f>
        <v>19.99</v>
      </c>
      <c r="V377" s="37">
        <f>SUMIFS('📋 Транзакції'!$F$5:$F$3623,'📋 Транзакції'!$B$5:$B$3623,A377,'📋 Транзакції'!$C$5:$C$3623,"&gt;="&amp;EDATE(DATEVALUE(C377&amp;"-01"),3),'📋 Транзакції'!$C$5:$C$3623,"&lt;"&amp;EDATE(DATEVALUE(C377&amp;"-01"),4))</f>
        <v>19.99</v>
      </c>
      <c r="W377" s="37">
        <f>SUMIFS('📋 Транзакції'!$F$5:$F$3623,'📋 Транзакції'!$B$5:$B$3623,A377,'📋 Транзакції'!$C$5:$C$3623,"&gt;="&amp;EDATE(DATEVALUE(C377&amp;"-01"),4),'📋 Транзакції'!$C$5:$C$3623,"&lt;"&amp;EDATE(DATEVALUE(C377&amp;"-01"),5))</f>
        <v>19.99</v>
      </c>
      <c r="X377" s="37">
        <f>SUMIFS('📋 Транзакції'!$F$5:$F$3623,'📋 Транзакції'!$B$5:$B$3623,A377,'📋 Транзакції'!$C$5:$C$3623,"&gt;="&amp;EDATE(DATEVALUE(C377&amp;"-01"),5),'📋 Транзакції'!$C$5:$C$3623,"&lt;"&amp;EDATE(DATEVALUE(C377&amp;"-01"),6))</f>
        <v>0</v>
      </c>
      <c r="Y377" s="37">
        <f>SUMIFS('📋 Транзакції'!$F$5:$F$3623,'📋 Транзакції'!$B$5:$B$3623,A377,'📋 Транзакції'!$C$5:$C$3623,"&gt;="&amp;EDATE(DATEVALUE(C377&amp;"-01"),6),'📋 Транзакції'!$C$5:$C$3623,"&lt;"&amp;EDATE(DATEVALUE(C377&amp;"-01"),7))</f>
        <v>0</v>
      </c>
      <c r="Z377" s="37">
        <f>SUMIFS('📋 Транзакції'!$F$5:$F$3623,'📋 Транзакції'!$B$5:$B$3623,A377,'📋 Транзакції'!$C$5:$C$3623,"&gt;="&amp;EDATE(DATEVALUE(C377&amp;"-01"),7),'📋 Транзакції'!$C$5:$C$3623,"&lt;"&amp;EDATE(DATEVALUE(C377&amp;"-01"),8))</f>
        <v>0</v>
      </c>
      <c r="AA377" s="37">
        <f>SUMIFS('📋 Транзакції'!$F$5:$F$3623,'📋 Транзакції'!$B$5:$B$3623,A377,'📋 Транзакції'!$C$5:$C$3623,"&gt;="&amp;EDATE(DATEVALUE(C377&amp;"-01"),8),'📋 Транзакції'!$C$5:$C$3623,"&lt;"&amp;EDATE(DATEVALUE(C377&amp;"-01"),9))</f>
        <v>0</v>
      </c>
      <c r="AB377" s="37">
        <f>SUMIFS('📋 Транзакції'!$F$5:$F$3623,'📋 Транзакції'!$B$5:$B$3623,A377,'📋 Транзакції'!$C$5:$C$3623,"&gt;="&amp;EDATE(DATEVALUE(C377&amp;"-01"),9),'📋 Транзакції'!$C$5:$C$3623,"&lt;"&amp;EDATE(DATEVALUE(C377&amp;"-01"),10))</f>
        <v>0</v>
      </c>
      <c r="AC377" s="37">
        <f>SUMIFS('📋 Транзакції'!$F$5:$F$3623,'📋 Транзакції'!$B$5:$B$3623,A377,'📋 Транзакції'!$C$5:$C$3623,"&gt;="&amp;EDATE(DATEVALUE(C377&amp;"-01"),10),'📋 Транзакції'!$C$5:$C$3623,"&lt;"&amp;EDATE(DATEVALUE(C377&amp;"-01"),11))</f>
        <v>0</v>
      </c>
      <c r="AD377" s="37">
        <f>SUMIFS('📋 Транзакції'!$F$5:$F$3623,'📋 Транзакції'!$B$5:$B$3623,A377,'📋 Транзакції'!$C$5:$C$3623,"&gt;="&amp;EDATE(DATEVALUE(C377&amp;"-01"),11),'📋 Транзакції'!$C$5:$C$3623,"&lt;"&amp;EDATE(DATEVALUE(C377&amp;"-01"),12))</f>
        <v>0</v>
      </c>
    </row>
    <row r="378" ht="15.75" customHeight="1">
      <c r="A378" s="33" t="str">
        <f>'📋 Реєстрації'!A378:A979</f>
        <v>U0004</v>
      </c>
      <c r="B378" s="34">
        <f t="array" ref="B378">INDEX('📋 Транзакції'!$C$5:$C$3623,MATCH(A378,'📋 Транзакції'!$B$5:$B$3623,0))</f>
        <v>45611</v>
      </c>
      <c r="C378" s="35" t="str">
        <f t="shared" si="1"/>
        <v>2024-11</v>
      </c>
      <c r="D378" s="36">
        <f>COUNTIF('📋 Транзакції'!$B$5:$B$3623,A378)</f>
        <v>3</v>
      </c>
      <c r="E378" s="36">
        <f>SUMIF('📋 Транзакції'!$B$5:$B$3623,A378,'📋 Транзакції'!$F$5:$F$3623)</f>
        <v>39.98</v>
      </c>
      <c r="F378" s="35">
        <f>INT($A$1-MAXIFS('📋 Транзакції'!$C$5:$C$3623,'📋 Транзакції'!$B$5:$B$3623,A378))</f>
        <v>99</v>
      </c>
      <c r="G378" s="37">
        <f>IF(COUNTIFS('📋 Транзакції'!$B$5:$B$3623,A378,'📋 Транзакції'!$C$5:$C$3623,"&gt;="&amp;EDATE(DATEVALUE(C378&amp;"-01"),0),'📋 Транзакції'!$C$5:$C$3623,"&lt;"&amp;EDATE(DATEVALUE(C378&amp;"-01"),1))&gt;0,1,0)</f>
        <v>1</v>
      </c>
      <c r="H378" s="37">
        <f>IF(COUNTIFS('📋 Транзакції'!$B$5:$B$3623,A378,'📋 Транзакції'!$C$5:$C$3623,"&gt;="&amp;EDATE(DATEVALUE(C378&amp;"-01"),1),'📋 Транзакції'!$C$5:$C$3623,"&lt;"&amp;EDATE(DATEVALUE(C378&amp;"-01"),2))&gt;0,1,0)</f>
        <v>1</v>
      </c>
      <c r="I378" s="37">
        <f>IF(COUNTIFS('📋 Транзакції'!$B$5:$B$3623,A378,'📋 Транзакції'!$C$5:$C$3623,"&gt;="&amp;EDATE(DATEVALUE(C378&amp;"-01"),2),'📋 Транзакції'!$C$5:$C$3623,"&lt;"&amp;EDATE(DATEVALUE(C378&amp;"-01"),3))&gt;0,1,0)</f>
        <v>0</v>
      </c>
      <c r="J378" s="37">
        <f>IF(COUNTIFS('📋 Транзакції'!$B$5:$B$3623,A378,'📋 Транзакції'!$C$5:$C$3623,"&gt;="&amp;EDATE(DATEVALUE(C378&amp;"-01"),3),'📋 Транзакції'!$C$5:$C$3623,"&lt;"&amp;EDATE(DATEVALUE(C378&amp;"-01"),4))&gt;0,1,0)</f>
        <v>0</v>
      </c>
      <c r="K378" s="37">
        <f>IF(COUNTIFS('📋 Транзакції'!$B$5:$B$3623,A378,'📋 Транзакції'!$C$5:$C$3623,"&gt;="&amp;EDATE(DATEVALUE(C378&amp;"-01"),4),'📋 Транзакції'!$C$5:$C$3623,"&lt;"&amp;EDATE(DATEVALUE(C378&amp;"-01"),5))&gt;0,1,0)</f>
        <v>0</v>
      </c>
      <c r="L378" s="37">
        <f>IF(COUNTIFS('📋 Транзакції'!$B$5:$B$3623,A378,'📋 Транзакції'!$C$5:$C$3623,"&gt;="&amp;EDATE(DATEVALUE(C378&amp;"-01"),5),'📋 Транзакції'!$C$5:$C$3623,"&lt;"&amp;EDATE(DATEVALUE(C378&amp;"-01"),6))&gt;0,1,0)</f>
        <v>0</v>
      </c>
      <c r="M378" s="37">
        <f>IF(COUNTIFS('📋 Транзакції'!$B$5:$B$3623,A378,'📋 Транзакції'!$C$5:$C$3623,"&gt;="&amp;EDATE(DATEVALUE(C378&amp;"-01"),6),'📋 Транзакції'!$C$5:$C$3623,"&lt;"&amp;EDATE(DATEVALUE(C378&amp;"-01"),7))&gt;0,1,0)</f>
        <v>0</v>
      </c>
      <c r="N378" s="37">
        <f>IF(COUNTIFS('📋 Транзакції'!$B$5:$B$3623,A378,'📋 Транзакції'!$C$5:$C$3623,"&gt;="&amp;EDATE(DATEVALUE(C378&amp;"-01"),7),'📋 Транзакції'!$C$5:$C$3623,"&lt;"&amp;EDATE(DATEVALUE(C378&amp;"-01"),8))&gt;0,1,0)</f>
        <v>0</v>
      </c>
      <c r="O378" s="37">
        <f>IF(COUNTIFS('📋 Транзакції'!$B$5:$B$3623,A378,'📋 Транзакції'!$C$5:$C$3623,"&gt;="&amp;EDATE(DATEVALUE(C378&amp;"-01"),8),'📋 Транзакції'!$C$5:$C$3623,"&lt;"&amp;EDATE(DATEVALUE(C378&amp;"-01"),9))&gt;0,1,0)</f>
        <v>0</v>
      </c>
      <c r="P378" s="37">
        <f>IF(COUNTIFS('📋 Транзакції'!$B$5:$B$3623,A378,'📋 Транзакції'!$C$5:$C$3623,"&gt;="&amp;EDATE(DATEVALUE(C378&amp;"-01"),9),'📋 Транзакції'!$C$5:$C$3623,"&lt;"&amp;EDATE(DATEVALUE(C378&amp;"-01"),10))&gt;0,1,0)</f>
        <v>0</v>
      </c>
      <c r="Q378" s="37">
        <f>IF(COUNTIFS('📋 Транзакції'!$B$5:$B$3623,A378,'📋 Транзакції'!$C$5:$C$3623,"&gt;="&amp;EDATE(DATEVALUE(C378&amp;"-01"),10),'📋 Транзакції'!$C$5:$C$3623,"&lt;"&amp;EDATE(DATEVALUE(C378&amp;"-01"),11))&gt;0,1,0)</f>
        <v>0</v>
      </c>
      <c r="R378" s="37">
        <f>IF(COUNTIFS('📋 Транзакції'!$B$5:$B$3623,A378,'📋 Транзакції'!$C$5:$C$3623,"&gt;="&amp;EDATE(DATEVALUE(C378&amp;"-01"),11),'📋 Транзакції'!$C$5:$C$3623,"&lt;"&amp;EDATE(DATEVALUE(C378&amp;"-01"),12))&gt;0,1,0)</f>
        <v>0</v>
      </c>
      <c r="S378" s="37">
        <f>SUMIFS('📋 Транзакції'!$F$5:$F$3623,'📋 Транзакції'!$B$5:$B$3623,A378,'📋 Транзакції'!$C$5:$C$3623,"&gt;="&amp;EDATE(DATEVALUE(C378&amp;"-01"),0),'📋 Транзакції'!$C$5:$C$3623,"&lt;"&amp;EDATE(DATEVALUE(C378&amp;"-01"),1))</f>
        <v>19.99</v>
      </c>
      <c r="T378" s="37">
        <f>SUMIFS('📋 Транзакції'!$F$5:$F$3623,'📋 Транзакції'!$B$5:$B$3623,A378,'📋 Транзакції'!$C$5:$C$3623,"&gt;="&amp;EDATE(DATEVALUE(C378&amp;"-01"),1),'📋 Транзакції'!$C$5:$C$3623,"&lt;"&amp;EDATE(DATEVALUE(C378&amp;"-01"),2))</f>
        <v>19.99</v>
      </c>
      <c r="U378" s="37">
        <f>SUMIFS('📋 Транзакції'!$F$5:$F$3623,'📋 Транзакції'!$B$5:$B$3623,A378,'📋 Транзакції'!$C$5:$C$3623,"&gt;="&amp;EDATE(DATEVALUE(C378&amp;"-01"),2),'📋 Транзакції'!$C$5:$C$3623,"&lt;"&amp;EDATE(DATEVALUE(C378&amp;"-01"),3))</f>
        <v>0</v>
      </c>
      <c r="V378" s="37">
        <f>SUMIFS('📋 Транзакції'!$F$5:$F$3623,'📋 Транзакції'!$B$5:$B$3623,A378,'📋 Транзакції'!$C$5:$C$3623,"&gt;="&amp;EDATE(DATEVALUE(C378&amp;"-01"),3),'📋 Транзакції'!$C$5:$C$3623,"&lt;"&amp;EDATE(DATEVALUE(C378&amp;"-01"),4))</f>
        <v>0</v>
      </c>
      <c r="W378" s="37">
        <f>SUMIFS('📋 Транзакції'!$F$5:$F$3623,'📋 Транзакції'!$B$5:$B$3623,A378,'📋 Транзакції'!$C$5:$C$3623,"&gt;="&amp;EDATE(DATEVALUE(C378&amp;"-01"),4),'📋 Транзакції'!$C$5:$C$3623,"&lt;"&amp;EDATE(DATEVALUE(C378&amp;"-01"),5))</f>
        <v>0</v>
      </c>
      <c r="X378" s="37">
        <f>SUMIFS('📋 Транзакції'!$F$5:$F$3623,'📋 Транзакції'!$B$5:$B$3623,A378,'📋 Транзакції'!$C$5:$C$3623,"&gt;="&amp;EDATE(DATEVALUE(C378&amp;"-01"),5),'📋 Транзакції'!$C$5:$C$3623,"&lt;"&amp;EDATE(DATEVALUE(C378&amp;"-01"),6))</f>
        <v>0</v>
      </c>
      <c r="Y378" s="37">
        <f>SUMIFS('📋 Транзакції'!$F$5:$F$3623,'📋 Транзакції'!$B$5:$B$3623,A378,'📋 Транзакції'!$C$5:$C$3623,"&gt;="&amp;EDATE(DATEVALUE(C378&amp;"-01"),6),'📋 Транзакції'!$C$5:$C$3623,"&lt;"&amp;EDATE(DATEVALUE(C378&amp;"-01"),7))</f>
        <v>0</v>
      </c>
      <c r="Z378" s="37">
        <f>SUMIFS('📋 Транзакції'!$F$5:$F$3623,'📋 Транзакції'!$B$5:$B$3623,A378,'📋 Транзакції'!$C$5:$C$3623,"&gt;="&amp;EDATE(DATEVALUE(C378&amp;"-01"),7),'📋 Транзакції'!$C$5:$C$3623,"&lt;"&amp;EDATE(DATEVALUE(C378&amp;"-01"),8))</f>
        <v>0</v>
      </c>
      <c r="AA378" s="37">
        <f>SUMIFS('📋 Транзакції'!$F$5:$F$3623,'📋 Транзакції'!$B$5:$B$3623,A378,'📋 Транзакції'!$C$5:$C$3623,"&gt;="&amp;EDATE(DATEVALUE(C378&amp;"-01"),8),'📋 Транзакції'!$C$5:$C$3623,"&lt;"&amp;EDATE(DATEVALUE(C378&amp;"-01"),9))</f>
        <v>0</v>
      </c>
      <c r="AB378" s="37">
        <f>SUMIFS('📋 Транзакції'!$F$5:$F$3623,'📋 Транзакції'!$B$5:$B$3623,A378,'📋 Транзакції'!$C$5:$C$3623,"&gt;="&amp;EDATE(DATEVALUE(C378&amp;"-01"),9),'📋 Транзакції'!$C$5:$C$3623,"&lt;"&amp;EDATE(DATEVALUE(C378&amp;"-01"),10))</f>
        <v>0</v>
      </c>
      <c r="AC378" s="37">
        <f>SUMIFS('📋 Транзакції'!$F$5:$F$3623,'📋 Транзакції'!$B$5:$B$3623,A378,'📋 Транзакції'!$C$5:$C$3623,"&gt;="&amp;EDATE(DATEVALUE(C378&amp;"-01"),10),'📋 Транзакції'!$C$5:$C$3623,"&lt;"&amp;EDATE(DATEVALUE(C378&amp;"-01"),11))</f>
        <v>0</v>
      </c>
      <c r="AD378" s="37">
        <f>SUMIFS('📋 Транзакції'!$F$5:$F$3623,'📋 Транзакції'!$B$5:$B$3623,A378,'📋 Транзакції'!$C$5:$C$3623,"&gt;="&amp;EDATE(DATEVALUE(C378&amp;"-01"),11),'📋 Транзакції'!$C$5:$C$3623,"&lt;"&amp;EDATE(DATEVALUE(C378&amp;"-01"),12))</f>
        <v>0</v>
      </c>
    </row>
    <row r="379" ht="15.75" customHeight="1">
      <c r="A379" s="33" t="str">
        <f>'📋 Реєстрації'!A379:A980</f>
        <v>U0478</v>
      </c>
      <c r="B379" s="34">
        <f t="array" ref="B379">INDEX('📋 Транзакції'!$C$5:$C$3623,MATCH(A379,'📋 Транзакції'!$B$5:$B$3623,0))</f>
        <v>45611</v>
      </c>
      <c r="C379" s="35" t="str">
        <f t="shared" si="1"/>
        <v>2024-11</v>
      </c>
      <c r="D379" s="36">
        <f>COUNTIF('📋 Транзакції'!$B$5:$B$3623,A379)</f>
        <v>6</v>
      </c>
      <c r="E379" s="36">
        <f>SUMIF('📋 Транзакції'!$B$5:$B$3623,A379,'📋 Транзакції'!$F$5:$F$3623)</f>
        <v>99.95</v>
      </c>
      <c r="F379" s="35">
        <f>INT($A$1-MAXIFS('📋 Транзакції'!$C$5:$C$3623,'📋 Транзакції'!$B$5:$B$3623,A379))</f>
        <v>9</v>
      </c>
      <c r="G379" s="37">
        <f>IF(COUNTIFS('📋 Транзакції'!$B$5:$B$3623,A379,'📋 Транзакції'!$C$5:$C$3623,"&gt;="&amp;EDATE(DATEVALUE(C379&amp;"-01"),0),'📋 Транзакції'!$C$5:$C$3623,"&lt;"&amp;EDATE(DATEVALUE(C379&amp;"-01"),1))&gt;0,1,0)</f>
        <v>1</v>
      </c>
      <c r="H379" s="37">
        <f>IF(COUNTIFS('📋 Транзакції'!$B$5:$B$3623,A379,'📋 Транзакції'!$C$5:$C$3623,"&gt;="&amp;EDATE(DATEVALUE(C379&amp;"-01"),1),'📋 Транзакції'!$C$5:$C$3623,"&lt;"&amp;EDATE(DATEVALUE(C379&amp;"-01"),2))&gt;0,1,0)</f>
        <v>1</v>
      </c>
      <c r="I379" s="37">
        <f>IF(COUNTIFS('📋 Транзакції'!$B$5:$B$3623,A379,'📋 Транзакції'!$C$5:$C$3623,"&gt;="&amp;EDATE(DATEVALUE(C379&amp;"-01"),2),'📋 Транзакції'!$C$5:$C$3623,"&lt;"&amp;EDATE(DATEVALUE(C379&amp;"-01"),3))&gt;0,1,0)</f>
        <v>1</v>
      </c>
      <c r="J379" s="37">
        <f>IF(COUNTIFS('📋 Транзакції'!$B$5:$B$3623,A379,'📋 Транзакції'!$C$5:$C$3623,"&gt;="&amp;EDATE(DATEVALUE(C379&amp;"-01"),3),'📋 Транзакції'!$C$5:$C$3623,"&lt;"&amp;EDATE(DATEVALUE(C379&amp;"-01"),4))&gt;0,1,0)</f>
        <v>1</v>
      </c>
      <c r="K379" s="37">
        <f>IF(COUNTIFS('📋 Транзакції'!$B$5:$B$3623,A379,'📋 Транзакції'!$C$5:$C$3623,"&gt;="&amp;EDATE(DATEVALUE(C379&amp;"-01"),4),'📋 Транзакції'!$C$5:$C$3623,"&lt;"&amp;EDATE(DATEVALUE(C379&amp;"-01"),5))&gt;0,1,0)</f>
        <v>1</v>
      </c>
      <c r="L379" s="37">
        <f>IF(COUNTIFS('📋 Транзакції'!$B$5:$B$3623,A379,'📋 Транзакції'!$C$5:$C$3623,"&gt;="&amp;EDATE(DATEVALUE(C379&amp;"-01"),5),'📋 Транзакції'!$C$5:$C$3623,"&lt;"&amp;EDATE(DATEVALUE(C379&amp;"-01"),6))&gt;0,1,0)</f>
        <v>0</v>
      </c>
      <c r="M379" s="37">
        <f>IF(COUNTIFS('📋 Транзакції'!$B$5:$B$3623,A379,'📋 Транзакції'!$C$5:$C$3623,"&gt;="&amp;EDATE(DATEVALUE(C379&amp;"-01"),6),'📋 Транзакції'!$C$5:$C$3623,"&lt;"&amp;EDATE(DATEVALUE(C379&amp;"-01"),7))&gt;0,1,0)</f>
        <v>0</v>
      </c>
      <c r="N379" s="37">
        <f>IF(COUNTIFS('📋 Транзакції'!$B$5:$B$3623,A379,'📋 Транзакції'!$C$5:$C$3623,"&gt;="&amp;EDATE(DATEVALUE(C379&amp;"-01"),7),'📋 Транзакції'!$C$5:$C$3623,"&lt;"&amp;EDATE(DATEVALUE(C379&amp;"-01"),8))&gt;0,1,0)</f>
        <v>0</v>
      </c>
      <c r="O379" s="37">
        <f>IF(COUNTIFS('📋 Транзакції'!$B$5:$B$3623,A379,'📋 Транзакції'!$C$5:$C$3623,"&gt;="&amp;EDATE(DATEVALUE(C379&amp;"-01"),8),'📋 Транзакції'!$C$5:$C$3623,"&lt;"&amp;EDATE(DATEVALUE(C379&amp;"-01"),9))&gt;0,1,0)</f>
        <v>0</v>
      </c>
      <c r="P379" s="37">
        <f>IF(COUNTIFS('📋 Транзакції'!$B$5:$B$3623,A379,'📋 Транзакції'!$C$5:$C$3623,"&gt;="&amp;EDATE(DATEVALUE(C379&amp;"-01"),9),'📋 Транзакції'!$C$5:$C$3623,"&lt;"&amp;EDATE(DATEVALUE(C379&amp;"-01"),10))&gt;0,1,0)</f>
        <v>0</v>
      </c>
      <c r="Q379" s="37">
        <f>IF(COUNTIFS('📋 Транзакції'!$B$5:$B$3623,A379,'📋 Транзакції'!$C$5:$C$3623,"&gt;="&amp;EDATE(DATEVALUE(C379&amp;"-01"),10),'📋 Транзакції'!$C$5:$C$3623,"&lt;"&amp;EDATE(DATEVALUE(C379&amp;"-01"),11))&gt;0,1,0)</f>
        <v>0</v>
      </c>
      <c r="R379" s="37">
        <f>IF(COUNTIFS('📋 Транзакції'!$B$5:$B$3623,A379,'📋 Транзакції'!$C$5:$C$3623,"&gt;="&amp;EDATE(DATEVALUE(C379&amp;"-01"),11),'📋 Транзакції'!$C$5:$C$3623,"&lt;"&amp;EDATE(DATEVALUE(C379&amp;"-01"),12))&gt;0,1,0)</f>
        <v>0</v>
      </c>
      <c r="S379" s="37">
        <f>SUMIFS('📋 Транзакції'!$F$5:$F$3623,'📋 Транзакції'!$B$5:$B$3623,A379,'📋 Транзакції'!$C$5:$C$3623,"&gt;="&amp;EDATE(DATEVALUE(C379&amp;"-01"),0),'📋 Транзакції'!$C$5:$C$3623,"&lt;"&amp;EDATE(DATEVALUE(C379&amp;"-01"),1))</f>
        <v>19.99</v>
      </c>
      <c r="T379" s="37">
        <f>SUMIFS('📋 Транзакції'!$F$5:$F$3623,'📋 Транзакції'!$B$5:$B$3623,A379,'📋 Транзакції'!$C$5:$C$3623,"&gt;="&amp;EDATE(DATEVALUE(C379&amp;"-01"),1),'📋 Транзакції'!$C$5:$C$3623,"&lt;"&amp;EDATE(DATEVALUE(C379&amp;"-01"),2))</f>
        <v>19.99</v>
      </c>
      <c r="U379" s="37">
        <f>SUMIFS('📋 Транзакції'!$F$5:$F$3623,'📋 Транзакції'!$B$5:$B$3623,A379,'📋 Транзакції'!$C$5:$C$3623,"&gt;="&amp;EDATE(DATEVALUE(C379&amp;"-01"),2),'📋 Транзакції'!$C$5:$C$3623,"&lt;"&amp;EDATE(DATEVALUE(C379&amp;"-01"),3))</f>
        <v>19.99</v>
      </c>
      <c r="V379" s="37">
        <f>SUMIFS('📋 Транзакції'!$F$5:$F$3623,'📋 Транзакції'!$B$5:$B$3623,A379,'📋 Транзакції'!$C$5:$C$3623,"&gt;="&amp;EDATE(DATEVALUE(C379&amp;"-01"),3),'📋 Транзакції'!$C$5:$C$3623,"&lt;"&amp;EDATE(DATEVALUE(C379&amp;"-01"),4))</f>
        <v>19.99</v>
      </c>
      <c r="W379" s="37">
        <f>SUMIFS('📋 Транзакції'!$F$5:$F$3623,'📋 Транзакції'!$B$5:$B$3623,A379,'📋 Транзакції'!$C$5:$C$3623,"&gt;="&amp;EDATE(DATEVALUE(C379&amp;"-01"),4),'📋 Транзакції'!$C$5:$C$3623,"&lt;"&amp;EDATE(DATEVALUE(C379&amp;"-01"),5))</f>
        <v>19.99</v>
      </c>
      <c r="X379" s="37">
        <f>SUMIFS('📋 Транзакції'!$F$5:$F$3623,'📋 Транзакції'!$B$5:$B$3623,A379,'📋 Транзакції'!$C$5:$C$3623,"&gt;="&amp;EDATE(DATEVALUE(C379&amp;"-01"),5),'📋 Транзакції'!$C$5:$C$3623,"&lt;"&amp;EDATE(DATEVALUE(C379&amp;"-01"),6))</f>
        <v>0</v>
      </c>
      <c r="Y379" s="37">
        <f>SUMIFS('📋 Транзакції'!$F$5:$F$3623,'📋 Транзакції'!$B$5:$B$3623,A379,'📋 Транзакції'!$C$5:$C$3623,"&gt;="&amp;EDATE(DATEVALUE(C379&amp;"-01"),6),'📋 Транзакції'!$C$5:$C$3623,"&lt;"&amp;EDATE(DATEVALUE(C379&amp;"-01"),7))</f>
        <v>0</v>
      </c>
      <c r="Z379" s="37">
        <f>SUMIFS('📋 Транзакції'!$F$5:$F$3623,'📋 Транзакції'!$B$5:$B$3623,A379,'📋 Транзакції'!$C$5:$C$3623,"&gt;="&amp;EDATE(DATEVALUE(C379&amp;"-01"),7),'📋 Транзакції'!$C$5:$C$3623,"&lt;"&amp;EDATE(DATEVALUE(C379&amp;"-01"),8))</f>
        <v>0</v>
      </c>
      <c r="AA379" s="37">
        <f>SUMIFS('📋 Транзакції'!$F$5:$F$3623,'📋 Транзакції'!$B$5:$B$3623,A379,'📋 Транзакції'!$C$5:$C$3623,"&gt;="&amp;EDATE(DATEVALUE(C379&amp;"-01"),8),'📋 Транзакції'!$C$5:$C$3623,"&lt;"&amp;EDATE(DATEVALUE(C379&amp;"-01"),9))</f>
        <v>0</v>
      </c>
      <c r="AB379" s="37">
        <f>SUMIFS('📋 Транзакції'!$F$5:$F$3623,'📋 Транзакції'!$B$5:$B$3623,A379,'📋 Транзакції'!$C$5:$C$3623,"&gt;="&amp;EDATE(DATEVALUE(C379&amp;"-01"),9),'📋 Транзакції'!$C$5:$C$3623,"&lt;"&amp;EDATE(DATEVALUE(C379&amp;"-01"),10))</f>
        <v>0</v>
      </c>
      <c r="AC379" s="37">
        <f>SUMIFS('📋 Транзакції'!$F$5:$F$3623,'📋 Транзакції'!$B$5:$B$3623,A379,'📋 Транзакції'!$C$5:$C$3623,"&gt;="&amp;EDATE(DATEVALUE(C379&amp;"-01"),10),'📋 Транзакції'!$C$5:$C$3623,"&lt;"&amp;EDATE(DATEVALUE(C379&amp;"-01"),11))</f>
        <v>0</v>
      </c>
      <c r="AD379" s="37">
        <f>SUMIFS('📋 Транзакції'!$F$5:$F$3623,'📋 Транзакції'!$B$5:$B$3623,A379,'📋 Транзакції'!$C$5:$C$3623,"&gt;="&amp;EDATE(DATEVALUE(C379&amp;"-01"),11),'📋 Транзакції'!$C$5:$C$3623,"&lt;"&amp;EDATE(DATEVALUE(C379&amp;"-01"),12))</f>
        <v>0</v>
      </c>
    </row>
    <row r="380" ht="15.75" customHeight="1">
      <c r="A380" s="33" t="str">
        <f>'📋 Реєстрації'!A380:A981</f>
        <v>U0803</v>
      </c>
      <c r="B380" s="34">
        <f t="array" ref="B380">INDEX('📋 Транзакції'!$C$5:$C$3623,MATCH(A380,'📋 Транзакції'!$B$5:$B$3623,0))</f>
        <v>45611</v>
      </c>
      <c r="C380" s="35" t="str">
        <f t="shared" si="1"/>
        <v>2024-11</v>
      </c>
      <c r="D380" s="36">
        <f>COUNTIF('📋 Транзакції'!$B$5:$B$3623,A380)</f>
        <v>2</v>
      </c>
      <c r="E380" s="36">
        <f>SUMIF('📋 Транзакції'!$B$5:$B$3623,A380,'📋 Транзакції'!$F$5:$F$3623)</f>
        <v>19.99</v>
      </c>
      <c r="F380" s="35">
        <f>INT($A$1-MAXIFS('📋 Транзакції'!$C$5:$C$3623,'📋 Транзакції'!$B$5:$B$3623,A380))</f>
        <v>129</v>
      </c>
      <c r="G380" s="37">
        <f>IF(COUNTIFS('📋 Транзакції'!$B$5:$B$3623,A380,'📋 Транзакції'!$C$5:$C$3623,"&gt;="&amp;EDATE(DATEVALUE(C380&amp;"-01"),0),'📋 Транзакції'!$C$5:$C$3623,"&lt;"&amp;EDATE(DATEVALUE(C380&amp;"-01"),1))&gt;0,1,0)</f>
        <v>1</v>
      </c>
      <c r="H380" s="37">
        <f>IF(COUNTIFS('📋 Транзакції'!$B$5:$B$3623,A380,'📋 Транзакції'!$C$5:$C$3623,"&gt;="&amp;EDATE(DATEVALUE(C380&amp;"-01"),1),'📋 Транзакції'!$C$5:$C$3623,"&lt;"&amp;EDATE(DATEVALUE(C380&amp;"-01"),2))&gt;0,1,0)</f>
        <v>0</v>
      </c>
      <c r="I380" s="37">
        <f>IF(COUNTIFS('📋 Транзакції'!$B$5:$B$3623,A380,'📋 Транзакції'!$C$5:$C$3623,"&gt;="&amp;EDATE(DATEVALUE(C380&amp;"-01"),2),'📋 Транзакції'!$C$5:$C$3623,"&lt;"&amp;EDATE(DATEVALUE(C380&amp;"-01"),3))&gt;0,1,0)</f>
        <v>0</v>
      </c>
      <c r="J380" s="37">
        <f>IF(COUNTIFS('📋 Транзакції'!$B$5:$B$3623,A380,'📋 Транзакції'!$C$5:$C$3623,"&gt;="&amp;EDATE(DATEVALUE(C380&amp;"-01"),3),'📋 Транзакції'!$C$5:$C$3623,"&lt;"&amp;EDATE(DATEVALUE(C380&amp;"-01"),4))&gt;0,1,0)</f>
        <v>0</v>
      </c>
      <c r="K380" s="37">
        <f>IF(COUNTIFS('📋 Транзакції'!$B$5:$B$3623,A380,'📋 Транзакції'!$C$5:$C$3623,"&gt;="&amp;EDATE(DATEVALUE(C380&amp;"-01"),4),'📋 Транзакції'!$C$5:$C$3623,"&lt;"&amp;EDATE(DATEVALUE(C380&amp;"-01"),5))&gt;0,1,0)</f>
        <v>0</v>
      </c>
      <c r="L380" s="37">
        <f>IF(COUNTIFS('📋 Транзакції'!$B$5:$B$3623,A380,'📋 Транзакції'!$C$5:$C$3623,"&gt;="&amp;EDATE(DATEVALUE(C380&amp;"-01"),5),'📋 Транзакції'!$C$5:$C$3623,"&lt;"&amp;EDATE(DATEVALUE(C380&amp;"-01"),6))&gt;0,1,0)</f>
        <v>0</v>
      </c>
      <c r="M380" s="37">
        <f>IF(COUNTIFS('📋 Транзакції'!$B$5:$B$3623,A380,'📋 Транзакції'!$C$5:$C$3623,"&gt;="&amp;EDATE(DATEVALUE(C380&amp;"-01"),6),'📋 Транзакції'!$C$5:$C$3623,"&lt;"&amp;EDATE(DATEVALUE(C380&amp;"-01"),7))&gt;0,1,0)</f>
        <v>0</v>
      </c>
      <c r="N380" s="37">
        <f>IF(COUNTIFS('📋 Транзакції'!$B$5:$B$3623,A380,'📋 Транзакції'!$C$5:$C$3623,"&gt;="&amp;EDATE(DATEVALUE(C380&amp;"-01"),7),'📋 Транзакції'!$C$5:$C$3623,"&lt;"&amp;EDATE(DATEVALUE(C380&amp;"-01"),8))&gt;0,1,0)</f>
        <v>0</v>
      </c>
      <c r="O380" s="37">
        <f>IF(COUNTIFS('📋 Транзакції'!$B$5:$B$3623,A380,'📋 Транзакції'!$C$5:$C$3623,"&gt;="&amp;EDATE(DATEVALUE(C380&amp;"-01"),8),'📋 Транзакції'!$C$5:$C$3623,"&lt;"&amp;EDATE(DATEVALUE(C380&amp;"-01"),9))&gt;0,1,0)</f>
        <v>0</v>
      </c>
      <c r="P380" s="37">
        <f>IF(COUNTIFS('📋 Транзакції'!$B$5:$B$3623,A380,'📋 Транзакції'!$C$5:$C$3623,"&gt;="&amp;EDATE(DATEVALUE(C380&amp;"-01"),9),'📋 Транзакції'!$C$5:$C$3623,"&lt;"&amp;EDATE(DATEVALUE(C380&amp;"-01"),10))&gt;0,1,0)</f>
        <v>0</v>
      </c>
      <c r="Q380" s="37">
        <f>IF(COUNTIFS('📋 Транзакції'!$B$5:$B$3623,A380,'📋 Транзакції'!$C$5:$C$3623,"&gt;="&amp;EDATE(DATEVALUE(C380&amp;"-01"),10),'📋 Транзакції'!$C$5:$C$3623,"&lt;"&amp;EDATE(DATEVALUE(C380&amp;"-01"),11))&gt;0,1,0)</f>
        <v>0</v>
      </c>
      <c r="R380" s="37">
        <f>IF(COUNTIFS('📋 Транзакції'!$B$5:$B$3623,A380,'📋 Транзакції'!$C$5:$C$3623,"&gt;="&amp;EDATE(DATEVALUE(C380&amp;"-01"),11),'📋 Транзакції'!$C$5:$C$3623,"&lt;"&amp;EDATE(DATEVALUE(C380&amp;"-01"),12))&gt;0,1,0)</f>
        <v>0</v>
      </c>
      <c r="S380" s="37">
        <f>SUMIFS('📋 Транзакції'!$F$5:$F$3623,'📋 Транзакції'!$B$5:$B$3623,A380,'📋 Транзакції'!$C$5:$C$3623,"&gt;="&amp;EDATE(DATEVALUE(C380&amp;"-01"),0),'📋 Транзакції'!$C$5:$C$3623,"&lt;"&amp;EDATE(DATEVALUE(C380&amp;"-01"),1))</f>
        <v>19.99</v>
      </c>
      <c r="T380" s="37">
        <f>SUMIFS('📋 Транзакції'!$F$5:$F$3623,'📋 Транзакції'!$B$5:$B$3623,A380,'📋 Транзакції'!$C$5:$C$3623,"&gt;="&amp;EDATE(DATEVALUE(C380&amp;"-01"),1),'📋 Транзакції'!$C$5:$C$3623,"&lt;"&amp;EDATE(DATEVALUE(C380&amp;"-01"),2))</f>
        <v>0</v>
      </c>
      <c r="U380" s="37">
        <f>SUMIFS('📋 Транзакції'!$F$5:$F$3623,'📋 Транзакції'!$B$5:$B$3623,A380,'📋 Транзакції'!$C$5:$C$3623,"&gt;="&amp;EDATE(DATEVALUE(C380&amp;"-01"),2),'📋 Транзакції'!$C$5:$C$3623,"&lt;"&amp;EDATE(DATEVALUE(C380&amp;"-01"),3))</f>
        <v>0</v>
      </c>
      <c r="V380" s="37">
        <f>SUMIFS('📋 Транзакції'!$F$5:$F$3623,'📋 Транзакції'!$B$5:$B$3623,A380,'📋 Транзакції'!$C$5:$C$3623,"&gt;="&amp;EDATE(DATEVALUE(C380&amp;"-01"),3),'📋 Транзакції'!$C$5:$C$3623,"&lt;"&amp;EDATE(DATEVALUE(C380&amp;"-01"),4))</f>
        <v>0</v>
      </c>
      <c r="W380" s="37">
        <f>SUMIFS('📋 Транзакції'!$F$5:$F$3623,'📋 Транзакції'!$B$5:$B$3623,A380,'📋 Транзакції'!$C$5:$C$3623,"&gt;="&amp;EDATE(DATEVALUE(C380&amp;"-01"),4),'📋 Транзакції'!$C$5:$C$3623,"&lt;"&amp;EDATE(DATEVALUE(C380&amp;"-01"),5))</f>
        <v>0</v>
      </c>
      <c r="X380" s="37">
        <f>SUMIFS('📋 Транзакції'!$F$5:$F$3623,'📋 Транзакції'!$B$5:$B$3623,A380,'📋 Транзакції'!$C$5:$C$3623,"&gt;="&amp;EDATE(DATEVALUE(C380&amp;"-01"),5),'📋 Транзакції'!$C$5:$C$3623,"&lt;"&amp;EDATE(DATEVALUE(C380&amp;"-01"),6))</f>
        <v>0</v>
      </c>
      <c r="Y380" s="37">
        <f>SUMIFS('📋 Транзакції'!$F$5:$F$3623,'📋 Транзакції'!$B$5:$B$3623,A380,'📋 Транзакції'!$C$5:$C$3623,"&gt;="&amp;EDATE(DATEVALUE(C380&amp;"-01"),6),'📋 Транзакції'!$C$5:$C$3623,"&lt;"&amp;EDATE(DATEVALUE(C380&amp;"-01"),7))</f>
        <v>0</v>
      </c>
      <c r="Z380" s="37">
        <f>SUMIFS('📋 Транзакції'!$F$5:$F$3623,'📋 Транзакції'!$B$5:$B$3623,A380,'📋 Транзакції'!$C$5:$C$3623,"&gt;="&amp;EDATE(DATEVALUE(C380&amp;"-01"),7),'📋 Транзакції'!$C$5:$C$3623,"&lt;"&amp;EDATE(DATEVALUE(C380&amp;"-01"),8))</f>
        <v>0</v>
      </c>
      <c r="AA380" s="37">
        <f>SUMIFS('📋 Транзакції'!$F$5:$F$3623,'📋 Транзакції'!$B$5:$B$3623,A380,'📋 Транзакції'!$C$5:$C$3623,"&gt;="&amp;EDATE(DATEVALUE(C380&amp;"-01"),8),'📋 Транзакції'!$C$5:$C$3623,"&lt;"&amp;EDATE(DATEVALUE(C380&amp;"-01"),9))</f>
        <v>0</v>
      </c>
      <c r="AB380" s="37">
        <f>SUMIFS('📋 Транзакції'!$F$5:$F$3623,'📋 Транзакції'!$B$5:$B$3623,A380,'📋 Транзакції'!$C$5:$C$3623,"&gt;="&amp;EDATE(DATEVALUE(C380&amp;"-01"),9),'📋 Транзакції'!$C$5:$C$3623,"&lt;"&amp;EDATE(DATEVALUE(C380&amp;"-01"),10))</f>
        <v>0</v>
      </c>
      <c r="AC380" s="37">
        <f>SUMIFS('📋 Транзакції'!$F$5:$F$3623,'📋 Транзакції'!$B$5:$B$3623,A380,'📋 Транзакції'!$C$5:$C$3623,"&gt;="&amp;EDATE(DATEVALUE(C380&amp;"-01"),10),'📋 Транзакції'!$C$5:$C$3623,"&lt;"&amp;EDATE(DATEVALUE(C380&amp;"-01"),11))</f>
        <v>0</v>
      </c>
      <c r="AD380" s="37">
        <f>SUMIFS('📋 Транзакції'!$F$5:$F$3623,'📋 Транзакції'!$B$5:$B$3623,A380,'📋 Транзакції'!$C$5:$C$3623,"&gt;="&amp;EDATE(DATEVALUE(C380&amp;"-01"),11),'📋 Транзакції'!$C$5:$C$3623,"&lt;"&amp;EDATE(DATEVALUE(C380&amp;"-01"),12))</f>
        <v>0</v>
      </c>
    </row>
    <row r="381" ht="15.75" customHeight="1">
      <c r="A381" s="33" t="str">
        <f>'📋 Реєстрації'!A381:A982</f>
        <v>U0817</v>
      </c>
      <c r="B381" s="34">
        <f t="array" ref="B381">INDEX('📋 Транзакції'!$C$5:$C$3623,MATCH(A381,'📋 Транзакції'!$B$5:$B$3623,0))</f>
        <v>45612</v>
      </c>
      <c r="C381" s="35" t="str">
        <f t="shared" si="1"/>
        <v>2024-11</v>
      </c>
      <c r="D381" s="36">
        <f>COUNTIF('📋 Транзакції'!$B$5:$B$3623,A381)</f>
        <v>6</v>
      </c>
      <c r="E381" s="36">
        <f>SUMIF('📋 Транзакції'!$B$5:$B$3623,A381,'📋 Транзакції'!$F$5:$F$3623)</f>
        <v>99.95</v>
      </c>
      <c r="F381" s="35">
        <f>INT($A$1-MAXIFS('📋 Транзакції'!$C$5:$C$3623,'📋 Транзакції'!$B$5:$B$3623,A381))</f>
        <v>8</v>
      </c>
      <c r="G381" s="37">
        <f>IF(COUNTIFS('📋 Транзакції'!$B$5:$B$3623,A381,'📋 Транзакції'!$C$5:$C$3623,"&gt;="&amp;EDATE(DATEVALUE(C381&amp;"-01"),0),'📋 Транзакції'!$C$5:$C$3623,"&lt;"&amp;EDATE(DATEVALUE(C381&amp;"-01"),1))&gt;0,1,0)</f>
        <v>1</v>
      </c>
      <c r="H381" s="37">
        <f>IF(COUNTIFS('📋 Транзакції'!$B$5:$B$3623,A381,'📋 Транзакції'!$C$5:$C$3623,"&gt;="&amp;EDATE(DATEVALUE(C381&amp;"-01"),1),'📋 Транзакції'!$C$5:$C$3623,"&lt;"&amp;EDATE(DATEVALUE(C381&amp;"-01"),2))&gt;0,1,0)</f>
        <v>1</v>
      </c>
      <c r="I381" s="37">
        <f>IF(COUNTIFS('📋 Транзакції'!$B$5:$B$3623,A381,'📋 Транзакції'!$C$5:$C$3623,"&gt;="&amp;EDATE(DATEVALUE(C381&amp;"-01"),2),'📋 Транзакції'!$C$5:$C$3623,"&lt;"&amp;EDATE(DATEVALUE(C381&amp;"-01"),3))&gt;0,1,0)</f>
        <v>1</v>
      </c>
      <c r="J381" s="37">
        <f>IF(COUNTIFS('📋 Транзакції'!$B$5:$B$3623,A381,'📋 Транзакції'!$C$5:$C$3623,"&gt;="&amp;EDATE(DATEVALUE(C381&amp;"-01"),3),'📋 Транзакції'!$C$5:$C$3623,"&lt;"&amp;EDATE(DATEVALUE(C381&amp;"-01"),4))&gt;0,1,0)</f>
        <v>1</v>
      </c>
      <c r="K381" s="37">
        <f>IF(COUNTIFS('📋 Транзакції'!$B$5:$B$3623,A381,'📋 Транзакції'!$C$5:$C$3623,"&gt;="&amp;EDATE(DATEVALUE(C381&amp;"-01"),4),'📋 Транзакції'!$C$5:$C$3623,"&lt;"&amp;EDATE(DATEVALUE(C381&amp;"-01"),5))&gt;0,1,0)</f>
        <v>1</v>
      </c>
      <c r="L381" s="37">
        <f>IF(COUNTIFS('📋 Транзакції'!$B$5:$B$3623,A381,'📋 Транзакції'!$C$5:$C$3623,"&gt;="&amp;EDATE(DATEVALUE(C381&amp;"-01"),5),'📋 Транзакції'!$C$5:$C$3623,"&lt;"&amp;EDATE(DATEVALUE(C381&amp;"-01"),6))&gt;0,1,0)</f>
        <v>0</v>
      </c>
      <c r="M381" s="37">
        <f>IF(COUNTIFS('📋 Транзакції'!$B$5:$B$3623,A381,'📋 Транзакції'!$C$5:$C$3623,"&gt;="&amp;EDATE(DATEVALUE(C381&amp;"-01"),6),'📋 Транзакції'!$C$5:$C$3623,"&lt;"&amp;EDATE(DATEVALUE(C381&amp;"-01"),7))&gt;0,1,0)</f>
        <v>0</v>
      </c>
      <c r="N381" s="37">
        <f>IF(COUNTIFS('📋 Транзакції'!$B$5:$B$3623,A381,'📋 Транзакції'!$C$5:$C$3623,"&gt;="&amp;EDATE(DATEVALUE(C381&amp;"-01"),7),'📋 Транзакції'!$C$5:$C$3623,"&lt;"&amp;EDATE(DATEVALUE(C381&amp;"-01"),8))&gt;0,1,0)</f>
        <v>0</v>
      </c>
      <c r="O381" s="37">
        <f>IF(COUNTIFS('📋 Транзакції'!$B$5:$B$3623,A381,'📋 Транзакції'!$C$5:$C$3623,"&gt;="&amp;EDATE(DATEVALUE(C381&amp;"-01"),8),'📋 Транзакції'!$C$5:$C$3623,"&lt;"&amp;EDATE(DATEVALUE(C381&amp;"-01"),9))&gt;0,1,0)</f>
        <v>0</v>
      </c>
      <c r="P381" s="37">
        <f>IF(COUNTIFS('📋 Транзакції'!$B$5:$B$3623,A381,'📋 Транзакції'!$C$5:$C$3623,"&gt;="&amp;EDATE(DATEVALUE(C381&amp;"-01"),9),'📋 Транзакції'!$C$5:$C$3623,"&lt;"&amp;EDATE(DATEVALUE(C381&amp;"-01"),10))&gt;0,1,0)</f>
        <v>0</v>
      </c>
      <c r="Q381" s="37">
        <f>IF(COUNTIFS('📋 Транзакції'!$B$5:$B$3623,A381,'📋 Транзакції'!$C$5:$C$3623,"&gt;="&amp;EDATE(DATEVALUE(C381&amp;"-01"),10),'📋 Транзакції'!$C$5:$C$3623,"&lt;"&amp;EDATE(DATEVALUE(C381&amp;"-01"),11))&gt;0,1,0)</f>
        <v>0</v>
      </c>
      <c r="R381" s="37">
        <f>IF(COUNTIFS('📋 Транзакції'!$B$5:$B$3623,A381,'📋 Транзакції'!$C$5:$C$3623,"&gt;="&amp;EDATE(DATEVALUE(C381&amp;"-01"),11),'📋 Транзакції'!$C$5:$C$3623,"&lt;"&amp;EDATE(DATEVALUE(C381&amp;"-01"),12))&gt;0,1,0)</f>
        <v>0</v>
      </c>
      <c r="S381" s="37">
        <f>SUMIFS('📋 Транзакції'!$F$5:$F$3623,'📋 Транзакції'!$B$5:$B$3623,A381,'📋 Транзакції'!$C$5:$C$3623,"&gt;="&amp;EDATE(DATEVALUE(C381&amp;"-01"),0),'📋 Транзакції'!$C$5:$C$3623,"&lt;"&amp;EDATE(DATEVALUE(C381&amp;"-01"),1))</f>
        <v>19.99</v>
      </c>
      <c r="T381" s="37">
        <f>SUMIFS('📋 Транзакції'!$F$5:$F$3623,'📋 Транзакції'!$B$5:$B$3623,A381,'📋 Транзакції'!$C$5:$C$3623,"&gt;="&amp;EDATE(DATEVALUE(C381&amp;"-01"),1),'📋 Транзакції'!$C$5:$C$3623,"&lt;"&amp;EDATE(DATEVALUE(C381&amp;"-01"),2))</f>
        <v>19.99</v>
      </c>
      <c r="U381" s="37">
        <f>SUMIFS('📋 Транзакції'!$F$5:$F$3623,'📋 Транзакції'!$B$5:$B$3623,A381,'📋 Транзакції'!$C$5:$C$3623,"&gt;="&amp;EDATE(DATEVALUE(C381&amp;"-01"),2),'📋 Транзакції'!$C$5:$C$3623,"&lt;"&amp;EDATE(DATEVALUE(C381&amp;"-01"),3))</f>
        <v>19.99</v>
      </c>
      <c r="V381" s="37">
        <f>SUMIFS('📋 Транзакції'!$F$5:$F$3623,'📋 Транзакції'!$B$5:$B$3623,A381,'📋 Транзакції'!$C$5:$C$3623,"&gt;="&amp;EDATE(DATEVALUE(C381&amp;"-01"),3),'📋 Транзакції'!$C$5:$C$3623,"&lt;"&amp;EDATE(DATEVALUE(C381&amp;"-01"),4))</f>
        <v>19.99</v>
      </c>
      <c r="W381" s="37">
        <f>SUMIFS('📋 Транзакції'!$F$5:$F$3623,'📋 Транзакції'!$B$5:$B$3623,A381,'📋 Транзакції'!$C$5:$C$3623,"&gt;="&amp;EDATE(DATEVALUE(C381&amp;"-01"),4),'📋 Транзакції'!$C$5:$C$3623,"&lt;"&amp;EDATE(DATEVALUE(C381&amp;"-01"),5))</f>
        <v>19.99</v>
      </c>
      <c r="X381" s="37">
        <f>SUMIFS('📋 Транзакції'!$F$5:$F$3623,'📋 Транзакції'!$B$5:$B$3623,A381,'📋 Транзакції'!$C$5:$C$3623,"&gt;="&amp;EDATE(DATEVALUE(C381&amp;"-01"),5),'📋 Транзакції'!$C$5:$C$3623,"&lt;"&amp;EDATE(DATEVALUE(C381&amp;"-01"),6))</f>
        <v>0</v>
      </c>
      <c r="Y381" s="37">
        <f>SUMIFS('📋 Транзакції'!$F$5:$F$3623,'📋 Транзакції'!$B$5:$B$3623,A381,'📋 Транзакції'!$C$5:$C$3623,"&gt;="&amp;EDATE(DATEVALUE(C381&amp;"-01"),6),'📋 Транзакції'!$C$5:$C$3623,"&lt;"&amp;EDATE(DATEVALUE(C381&amp;"-01"),7))</f>
        <v>0</v>
      </c>
      <c r="Z381" s="37">
        <f>SUMIFS('📋 Транзакції'!$F$5:$F$3623,'📋 Транзакції'!$B$5:$B$3623,A381,'📋 Транзакції'!$C$5:$C$3623,"&gt;="&amp;EDATE(DATEVALUE(C381&amp;"-01"),7),'📋 Транзакції'!$C$5:$C$3623,"&lt;"&amp;EDATE(DATEVALUE(C381&amp;"-01"),8))</f>
        <v>0</v>
      </c>
      <c r="AA381" s="37">
        <f>SUMIFS('📋 Транзакції'!$F$5:$F$3623,'📋 Транзакції'!$B$5:$B$3623,A381,'📋 Транзакції'!$C$5:$C$3623,"&gt;="&amp;EDATE(DATEVALUE(C381&amp;"-01"),8),'📋 Транзакції'!$C$5:$C$3623,"&lt;"&amp;EDATE(DATEVALUE(C381&amp;"-01"),9))</f>
        <v>0</v>
      </c>
      <c r="AB381" s="37">
        <f>SUMIFS('📋 Транзакції'!$F$5:$F$3623,'📋 Транзакції'!$B$5:$B$3623,A381,'📋 Транзакції'!$C$5:$C$3623,"&gt;="&amp;EDATE(DATEVALUE(C381&amp;"-01"),9),'📋 Транзакції'!$C$5:$C$3623,"&lt;"&amp;EDATE(DATEVALUE(C381&amp;"-01"),10))</f>
        <v>0</v>
      </c>
      <c r="AC381" s="37">
        <f>SUMIFS('📋 Транзакції'!$F$5:$F$3623,'📋 Транзакції'!$B$5:$B$3623,A381,'📋 Транзакції'!$C$5:$C$3623,"&gt;="&amp;EDATE(DATEVALUE(C381&amp;"-01"),10),'📋 Транзакції'!$C$5:$C$3623,"&lt;"&amp;EDATE(DATEVALUE(C381&amp;"-01"),11))</f>
        <v>0</v>
      </c>
      <c r="AD381" s="37">
        <f>SUMIFS('📋 Транзакції'!$F$5:$F$3623,'📋 Транзакції'!$B$5:$B$3623,A381,'📋 Транзакції'!$C$5:$C$3623,"&gt;="&amp;EDATE(DATEVALUE(C381&amp;"-01"),11),'📋 Транзакції'!$C$5:$C$3623,"&lt;"&amp;EDATE(DATEVALUE(C381&amp;"-01"),12))</f>
        <v>0</v>
      </c>
    </row>
    <row r="382" ht="15.75" customHeight="1">
      <c r="A382" s="33" t="str">
        <f>'📋 Реєстрації'!A382:A983</f>
        <v>U0866</v>
      </c>
      <c r="B382" s="34">
        <f t="array" ref="B382">INDEX('📋 Транзакції'!$C$5:$C$3623,MATCH(A382,'📋 Транзакції'!$B$5:$B$3623,0))</f>
        <v>45612</v>
      </c>
      <c r="C382" s="35" t="str">
        <f t="shared" si="1"/>
        <v>2024-11</v>
      </c>
      <c r="D382" s="36">
        <f>COUNTIF('📋 Транзакції'!$B$5:$B$3623,A382)</f>
        <v>6</v>
      </c>
      <c r="E382" s="36">
        <f>SUMIF('📋 Транзакції'!$B$5:$B$3623,A382,'📋 Транзакції'!$F$5:$F$3623)</f>
        <v>99.95</v>
      </c>
      <c r="F382" s="35">
        <f>INT($A$1-MAXIFS('📋 Транзакції'!$C$5:$C$3623,'📋 Транзакції'!$B$5:$B$3623,A382))</f>
        <v>8</v>
      </c>
      <c r="G382" s="37">
        <f>IF(COUNTIFS('📋 Транзакції'!$B$5:$B$3623,A382,'📋 Транзакції'!$C$5:$C$3623,"&gt;="&amp;EDATE(DATEVALUE(C382&amp;"-01"),0),'📋 Транзакції'!$C$5:$C$3623,"&lt;"&amp;EDATE(DATEVALUE(C382&amp;"-01"),1))&gt;0,1,0)</f>
        <v>1</v>
      </c>
      <c r="H382" s="37">
        <f>IF(COUNTIFS('📋 Транзакції'!$B$5:$B$3623,A382,'📋 Транзакції'!$C$5:$C$3623,"&gt;="&amp;EDATE(DATEVALUE(C382&amp;"-01"),1),'📋 Транзакції'!$C$5:$C$3623,"&lt;"&amp;EDATE(DATEVALUE(C382&amp;"-01"),2))&gt;0,1,0)</f>
        <v>1</v>
      </c>
      <c r="I382" s="37">
        <f>IF(COUNTIFS('📋 Транзакції'!$B$5:$B$3623,A382,'📋 Транзакції'!$C$5:$C$3623,"&gt;="&amp;EDATE(DATEVALUE(C382&amp;"-01"),2),'📋 Транзакції'!$C$5:$C$3623,"&lt;"&amp;EDATE(DATEVALUE(C382&amp;"-01"),3))&gt;0,1,0)</f>
        <v>1</v>
      </c>
      <c r="J382" s="37">
        <f>IF(COUNTIFS('📋 Транзакції'!$B$5:$B$3623,A382,'📋 Транзакції'!$C$5:$C$3623,"&gt;="&amp;EDATE(DATEVALUE(C382&amp;"-01"),3),'📋 Транзакції'!$C$5:$C$3623,"&lt;"&amp;EDATE(DATEVALUE(C382&amp;"-01"),4))&gt;0,1,0)</f>
        <v>1</v>
      </c>
      <c r="K382" s="37">
        <f>IF(COUNTIFS('📋 Транзакції'!$B$5:$B$3623,A382,'📋 Транзакції'!$C$5:$C$3623,"&gt;="&amp;EDATE(DATEVALUE(C382&amp;"-01"),4),'📋 Транзакції'!$C$5:$C$3623,"&lt;"&amp;EDATE(DATEVALUE(C382&amp;"-01"),5))&gt;0,1,0)</f>
        <v>1</v>
      </c>
      <c r="L382" s="37">
        <f>IF(COUNTIFS('📋 Транзакції'!$B$5:$B$3623,A382,'📋 Транзакції'!$C$5:$C$3623,"&gt;="&amp;EDATE(DATEVALUE(C382&amp;"-01"),5),'📋 Транзакції'!$C$5:$C$3623,"&lt;"&amp;EDATE(DATEVALUE(C382&amp;"-01"),6))&gt;0,1,0)</f>
        <v>0</v>
      </c>
      <c r="M382" s="37">
        <f>IF(COUNTIFS('📋 Транзакції'!$B$5:$B$3623,A382,'📋 Транзакції'!$C$5:$C$3623,"&gt;="&amp;EDATE(DATEVALUE(C382&amp;"-01"),6),'📋 Транзакції'!$C$5:$C$3623,"&lt;"&amp;EDATE(DATEVALUE(C382&amp;"-01"),7))&gt;0,1,0)</f>
        <v>0</v>
      </c>
      <c r="N382" s="37">
        <f>IF(COUNTIFS('📋 Транзакції'!$B$5:$B$3623,A382,'📋 Транзакції'!$C$5:$C$3623,"&gt;="&amp;EDATE(DATEVALUE(C382&amp;"-01"),7),'📋 Транзакції'!$C$5:$C$3623,"&lt;"&amp;EDATE(DATEVALUE(C382&amp;"-01"),8))&gt;0,1,0)</f>
        <v>0</v>
      </c>
      <c r="O382" s="37">
        <f>IF(COUNTIFS('📋 Транзакції'!$B$5:$B$3623,A382,'📋 Транзакції'!$C$5:$C$3623,"&gt;="&amp;EDATE(DATEVALUE(C382&amp;"-01"),8),'📋 Транзакції'!$C$5:$C$3623,"&lt;"&amp;EDATE(DATEVALUE(C382&amp;"-01"),9))&gt;0,1,0)</f>
        <v>0</v>
      </c>
      <c r="P382" s="37">
        <f>IF(COUNTIFS('📋 Транзакції'!$B$5:$B$3623,A382,'📋 Транзакції'!$C$5:$C$3623,"&gt;="&amp;EDATE(DATEVALUE(C382&amp;"-01"),9),'📋 Транзакції'!$C$5:$C$3623,"&lt;"&amp;EDATE(DATEVALUE(C382&amp;"-01"),10))&gt;0,1,0)</f>
        <v>0</v>
      </c>
      <c r="Q382" s="37">
        <f>IF(COUNTIFS('📋 Транзакції'!$B$5:$B$3623,A382,'📋 Транзакції'!$C$5:$C$3623,"&gt;="&amp;EDATE(DATEVALUE(C382&amp;"-01"),10),'📋 Транзакції'!$C$5:$C$3623,"&lt;"&amp;EDATE(DATEVALUE(C382&amp;"-01"),11))&gt;0,1,0)</f>
        <v>0</v>
      </c>
      <c r="R382" s="37">
        <f>IF(COUNTIFS('📋 Транзакції'!$B$5:$B$3623,A382,'📋 Транзакції'!$C$5:$C$3623,"&gt;="&amp;EDATE(DATEVALUE(C382&amp;"-01"),11),'📋 Транзакції'!$C$5:$C$3623,"&lt;"&amp;EDATE(DATEVALUE(C382&amp;"-01"),12))&gt;0,1,0)</f>
        <v>0</v>
      </c>
      <c r="S382" s="37">
        <f>SUMIFS('📋 Транзакції'!$F$5:$F$3623,'📋 Транзакції'!$B$5:$B$3623,A382,'📋 Транзакції'!$C$5:$C$3623,"&gt;="&amp;EDATE(DATEVALUE(C382&amp;"-01"),0),'📋 Транзакції'!$C$5:$C$3623,"&lt;"&amp;EDATE(DATEVALUE(C382&amp;"-01"),1))</f>
        <v>19.99</v>
      </c>
      <c r="T382" s="37">
        <f>SUMIFS('📋 Транзакції'!$F$5:$F$3623,'📋 Транзакції'!$B$5:$B$3623,A382,'📋 Транзакції'!$C$5:$C$3623,"&gt;="&amp;EDATE(DATEVALUE(C382&amp;"-01"),1),'📋 Транзакції'!$C$5:$C$3623,"&lt;"&amp;EDATE(DATEVALUE(C382&amp;"-01"),2))</f>
        <v>19.99</v>
      </c>
      <c r="U382" s="37">
        <f>SUMIFS('📋 Транзакції'!$F$5:$F$3623,'📋 Транзакції'!$B$5:$B$3623,A382,'📋 Транзакції'!$C$5:$C$3623,"&gt;="&amp;EDATE(DATEVALUE(C382&amp;"-01"),2),'📋 Транзакції'!$C$5:$C$3623,"&lt;"&amp;EDATE(DATEVALUE(C382&amp;"-01"),3))</f>
        <v>19.99</v>
      </c>
      <c r="V382" s="37">
        <f>SUMIFS('📋 Транзакції'!$F$5:$F$3623,'📋 Транзакції'!$B$5:$B$3623,A382,'📋 Транзакції'!$C$5:$C$3623,"&gt;="&amp;EDATE(DATEVALUE(C382&amp;"-01"),3),'📋 Транзакції'!$C$5:$C$3623,"&lt;"&amp;EDATE(DATEVALUE(C382&amp;"-01"),4))</f>
        <v>19.99</v>
      </c>
      <c r="W382" s="37">
        <f>SUMIFS('📋 Транзакції'!$F$5:$F$3623,'📋 Транзакції'!$B$5:$B$3623,A382,'📋 Транзакції'!$C$5:$C$3623,"&gt;="&amp;EDATE(DATEVALUE(C382&amp;"-01"),4),'📋 Транзакції'!$C$5:$C$3623,"&lt;"&amp;EDATE(DATEVALUE(C382&amp;"-01"),5))</f>
        <v>19.99</v>
      </c>
      <c r="X382" s="37">
        <f>SUMIFS('📋 Транзакції'!$F$5:$F$3623,'📋 Транзакції'!$B$5:$B$3623,A382,'📋 Транзакції'!$C$5:$C$3623,"&gt;="&amp;EDATE(DATEVALUE(C382&amp;"-01"),5),'📋 Транзакції'!$C$5:$C$3623,"&lt;"&amp;EDATE(DATEVALUE(C382&amp;"-01"),6))</f>
        <v>0</v>
      </c>
      <c r="Y382" s="37">
        <f>SUMIFS('📋 Транзакції'!$F$5:$F$3623,'📋 Транзакції'!$B$5:$B$3623,A382,'📋 Транзакції'!$C$5:$C$3623,"&gt;="&amp;EDATE(DATEVALUE(C382&amp;"-01"),6),'📋 Транзакції'!$C$5:$C$3623,"&lt;"&amp;EDATE(DATEVALUE(C382&amp;"-01"),7))</f>
        <v>0</v>
      </c>
      <c r="Z382" s="37">
        <f>SUMIFS('📋 Транзакції'!$F$5:$F$3623,'📋 Транзакції'!$B$5:$B$3623,A382,'📋 Транзакції'!$C$5:$C$3623,"&gt;="&amp;EDATE(DATEVALUE(C382&amp;"-01"),7),'📋 Транзакції'!$C$5:$C$3623,"&lt;"&amp;EDATE(DATEVALUE(C382&amp;"-01"),8))</f>
        <v>0</v>
      </c>
      <c r="AA382" s="37">
        <f>SUMIFS('📋 Транзакції'!$F$5:$F$3623,'📋 Транзакції'!$B$5:$B$3623,A382,'📋 Транзакції'!$C$5:$C$3623,"&gt;="&amp;EDATE(DATEVALUE(C382&amp;"-01"),8),'📋 Транзакції'!$C$5:$C$3623,"&lt;"&amp;EDATE(DATEVALUE(C382&amp;"-01"),9))</f>
        <v>0</v>
      </c>
      <c r="AB382" s="37">
        <f>SUMIFS('📋 Транзакції'!$F$5:$F$3623,'📋 Транзакції'!$B$5:$B$3623,A382,'📋 Транзакції'!$C$5:$C$3623,"&gt;="&amp;EDATE(DATEVALUE(C382&amp;"-01"),9),'📋 Транзакції'!$C$5:$C$3623,"&lt;"&amp;EDATE(DATEVALUE(C382&amp;"-01"),10))</f>
        <v>0</v>
      </c>
      <c r="AC382" s="37">
        <f>SUMIFS('📋 Транзакції'!$F$5:$F$3623,'📋 Транзакції'!$B$5:$B$3623,A382,'📋 Транзакції'!$C$5:$C$3623,"&gt;="&amp;EDATE(DATEVALUE(C382&amp;"-01"),10),'📋 Транзакції'!$C$5:$C$3623,"&lt;"&amp;EDATE(DATEVALUE(C382&amp;"-01"),11))</f>
        <v>0</v>
      </c>
      <c r="AD382" s="37">
        <f>SUMIFS('📋 Транзакції'!$F$5:$F$3623,'📋 Транзакції'!$B$5:$B$3623,A382,'📋 Транзакції'!$C$5:$C$3623,"&gt;="&amp;EDATE(DATEVALUE(C382&amp;"-01"),11),'📋 Транзакції'!$C$5:$C$3623,"&lt;"&amp;EDATE(DATEVALUE(C382&amp;"-01"),12))</f>
        <v>0</v>
      </c>
    </row>
    <row r="383" ht="15.75" customHeight="1">
      <c r="A383" s="33" t="str">
        <f>'📋 Реєстрації'!A383:A984</f>
        <v>U0285</v>
      </c>
      <c r="B383" s="34">
        <f t="array" ref="B383">INDEX('📋 Транзакції'!$C$5:$C$3623,MATCH(A383,'📋 Транзакції'!$B$5:$B$3623,0))</f>
        <v>45613</v>
      </c>
      <c r="C383" s="35" t="str">
        <f t="shared" si="1"/>
        <v>2024-11</v>
      </c>
      <c r="D383" s="36">
        <f>COUNTIF('📋 Транзакції'!$B$5:$B$3623,A383)</f>
        <v>4</v>
      </c>
      <c r="E383" s="36">
        <f>SUMIF('📋 Транзакції'!$B$5:$B$3623,A383,'📋 Транзакції'!$F$5:$F$3623)</f>
        <v>59.97</v>
      </c>
      <c r="F383" s="35">
        <f>INT($A$1-MAXIFS('📋 Транзакції'!$C$5:$C$3623,'📋 Транзакції'!$B$5:$B$3623,A383))</f>
        <v>67</v>
      </c>
      <c r="G383" s="37">
        <f>IF(COUNTIFS('📋 Транзакції'!$B$5:$B$3623,A383,'📋 Транзакції'!$C$5:$C$3623,"&gt;="&amp;EDATE(DATEVALUE(C383&amp;"-01"),0),'📋 Транзакції'!$C$5:$C$3623,"&lt;"&amp;EDATE(DATEVALUE(C383&amp;"-01"),1))&gt;0,1,0)</f>
        <v>1</v>
      </c>
      <c r="H383" s="37">
        <f>IF(COUNTIFS('📋 Транзакції'!$B$5:$B$3623,A383,'📋 Транзакції'!$C$5:$C$3623,"&gt;="&amp;EDATE(DATEVALUE(C383&amp;"-01"),1),'📋 Транзакції'!$C$5:$C$3623,"&lt;"&amp;EDATE(DATEVALUE(C383&amp;"-01"),2))&gt;0,1,0)</f>
        <v>1</v>
      </c>
      <c r="I383" s="37">
        <f>IF(COUNTIFS('📋 Транзакції'!$B$5:$B$3623,A383,'📋 Транзакції'!$C$5:$C$3623,"&gt;="&amp;EDATE(DATEVALUE(C383&amp;"-01"),2),'📋 Транзакції'!$C$5:$C$3623,"&lt;"&amp;EDATE(DATEVALUE(C383&amp;"-01"),3))&gt;0,1,0)</f>
        <v>1</v>
      </c>
      <c r="J383" s="37">
        <f>IF(COUNTIFS('📋 Транзакції'!$B$5:$B$3623,A383,'📋 Транзакції'!$C$5:$C$3623,"&gt;="&amp;EDATE(DATEVALUE(C383&amp;"-01"),3),'📋 Транзакції'!$C$5:$C$3623,"&lt;"&amp;EDATE(DATEVALUE(C383&amp;"-01"),4))&gt;0,1,0)</f>
        <v>0</v>
      </c>
      <c r="K383" s="37">
        <f>IF(COUNTIFS('📋 Транзакції'!$B$5:$B$3623,A383,'📋 Транзакції'!$C$5:$C$3623,"&gt;="&amp;EDATE(DATEVALUE(C383&amp;"-01"),4),'📋 Транзакції'!$C$5:$C$3623,"&lt;"&amp;EDATE(DATEVALUE(C383&amp;"-01"),5))&gt;0,1,0)</f>
        <v>0</v>
      </c>
      <c r="L383" s="37">
        <f>IF(COUNTIFS('📋 Транзакції'!$B$5:$B$3623,A383,'📋 Транзакції'!$C$5:$C$3623,"&gt;="&amp;EDATE(DATEVALUE(C383&amp;"-01"),5),'📋 Транзакції'!$C$5:$C$3623,"&lt;"&amp;EDATE(DATEVALUE(C383&amp;"-01"),6))&gt;0,1,0)</f>
        <v>0</v>
      </c>
      <c r="M383" s="37">
        <f>IF(COUNTIFS('📋 Транзакції'!$B$5:$B$3623,A383,'📋 Транзакції'!$C$5:$C$3623,"&gt;="&amp;EDATE(DATEVALUE(C383&amp;"-01"),6),'📋 Транзакції'!$C$5:$C$3623,"&lt;"&amp;EDATE(DATEVALUE(C383&amp;"-01"),7))&gt;0,1,0)</f>
        <v>0</v>
      </c>
      <c r="N383" s="37">
        <f>IF(COUNTIFS('📋 Транзакції'!$B$5:$B$3623,A383,'📋 Транзакції'!$C$5:$C$3623,"&gt;="&amp;EDATE(DATEVALUE(C383&amp;"-01"),7),'📋 Транзакції'!$C$5:$C$3623,"&lt;"&amp;EDATE(DATEVALUE(C383&amp;"-01"),8))&gt;0,1,0)</f>
        <v>0</v>
      </c>
      <c r="O383" s="37">
        <f>IF(COUNTIFS('📋 Транзакції'!$B$5:$B$3623,A383,'📋 Транзакції'!$C$5:$C$3623,"&gt;="&amp;EDATE(DATEVALUE(C383&amp;"-01"),8),'📋 Транзакції'!$C$5:$C$3623,"&lt;"&amp;EDATE(DATEVALUE(C383&amp;"-01"),9))&gt;0,1,0)</f>
        <v>0</v>
      </c>
      <c r="P383" s="37">
        <f>IF(COUNTIFS('📋 Транзакції'!$B$5:$B$3623,A383,'📋 Транзакції'!$C$5:$C$3623,"&gt;="&amp;EDATE(DATEVALUE(C383&amp;"-01"),9),'📋 Транзакції'!$C$5:$C$3623,"&lt;"&amp;EDATE(DATEVALUE(C383&amp;"-01"),10))&gt;0,1,0)</f>
        <v>0</v>
      </c>
      <c r="Q383" s="37">
        <f>IF(COUNTIFS('📋 Транзакції'!$B$5:$B$3623,A383,'📋 Транзакції'!$C$5:$C$3623,"&gt;="&amp;EDATE(DATEVALUE(C383&amp;"-01"),10),'📋 Транзакції'!$C$5:$C$3623,"&lt;"&amp;EDATE(DATEVALUE(C383&amp;"-01"),11))&gt;0,1,0)</f>
        <v>0</v>
      </c>
      <c r="R383" s="37">
        <f>IF(COUNTIFS('📋 Транзакції'!$B$5:$B$3623,A383,'📋 Транзакції'!$C$5:$C$3623,"&gt;="&amp;EDATE(DATEVALUE(C383&amp;"-01"),11),'📋 Транзакції'!$C$5:$C$3623,"&lt;"&amp;EDATE(DATEVALUE(C383&amp;"-01"),12))&gt;0,1,0)</f>
        <v>0</v>
      </c>
      <c r="S383" s="37">
        <f>SUMIFS('📋 Транзакції'!$F$5:$F$3623,'📋 Транзакції'!$B$5:$B$3623,A383,'📋 Транзакції'!$C$5:$C$3623,"&gt;="&amp;EDATE(DATEVALUE(C383&amp;"-01"),0),'📋 Транзакції'!$C$5:$C$3623,"&lt;"&amp;EDATE(DATEVALUE(C383&amp;"-01"),1))</f>
        <v>19.99</v>
      </c>
      <c r="T383" s="37">
        <f>SUMIFS('📋 Транзакції'!$F$5:$F$3623,'📋 Транзакції'!$B$5:$B$3623,A383,'📋 Транзакції'!$C$5:$C$3623,"&gt;="&amp;EDATE(DATEVALUE(C383&amp;"-01"),1),'📋 Транзакції'!$C$5:$C$3623,"&lt;"&amp;EDATE(DATEVALUE(C383&amp;"-01"),2))</f>
        <v>19.99</v>
      </c>
      <c r="U383" s="37">
        <f>SUMIFS('📋 Транзакції'!$F$5:$F$3623,'📋 Транзакції'!$B$5:$B$3623,A383,'📋 Транзакції'!$C$5:$C$3623,"&gt;="&amp;EDATE(DATEVALUE(C383&amp;"-01"),2),'📋 Транзакції'!$C$5:$C$3623,"&lt;"&amp;EDATE(DATEVALUE(C383&amp;"-01"),3))</f>
        <v>19.99</v>
      </c>
      <c r="V383" s="37">
        <f>SUMIFS('📋 Транзакції'!$F$5:$F$3623,'📋 Транзакції'!$B$5:$B$3623,A383,'📋 Транзакції'!$C$5:$C$3623,"&gt;="&amp;EDATE(DATEVALUE(C383&amp;"-01"),3),'📋 Транзакції'!$C$5:$C$3623,"&lt;"&amp;EDATE(DATEVALUE(C383&amp;"-01"),4))</f>
        <v>0</v>
      </c>
      <c r="W383" s="37">
        <f>SUMIFS('📋 Транзакції'!$F$5:$F$3623,'📋 Транзакції'!$B$5:$B$3623,A383,'📋 Транзакції'!$C$5:$C$3623,"&gt;="&amp;EDATE(DATEVALUE(C383&amp;"-01"),4),'📋 Транзакції'!$C$5:$C$3623,"&lt;"&amp;EDATE(DATEVALUE(C383&amp;"-01"),5))</f>
        <v>0</v>
      </c>
      <c r="X383" s="37">
        <f>SUMIFS('📋 Транзакції'!$F$5:$F$3623,'📋 Транзакції'!$B$5:$B$3623,A383,'📋 Транзакції'!$C$5:$C$3623,"&gt;="&amp;EDATE(DATEVALUE(C383&amp;"-01"),5),'📋 Транзакції'!$C$5:$C$3623,"&lt;"&amp;EDATE(DATEVALUE(C383&amp;"-01"),6))</f>
        <v>0</v>
      </c>
      <c r="Y383" s="37">
        <f>SUMIFS('📋 Транзакції'!$F$5:$F$3623,'📋 Транзакції'!$B$5:$B$3623,A383,'📋 Транзакції'!$C$5:$C$3623,"&gt;="&amp;EDATE(DATEVALUE(C383&amp;"-01"),6),'📋 Транзакції'!$C$5:$C$3623,"&lt;"&amp;EDATE(DATEVALUE(C383&amp;"-01"),7))</f>
        <v>0</v>
      </c>
      <c r="Z383" s="37">
        <f>SUMIFS('📋 Транзакції'!$F$5:$F$3623,'📋 Транзакції'!$B$5:$B$3623,A383,'📋 Транзакції'!$C$5:$C$3623,"&gt;="&amp;EDATE(DATEVALUE(C383&amp;"-01"),7),'📋 Транзакції'!$C$5:$C$3623,"&lt;"&amp;EDATE(DATEVALUE(C383&amp;"-01"),8))</f>
        <v>0</v>
      </c>
      <c r="AA383" s="37">
        <f>SUMIFS('📋 Транзакції'!$F$5:$F$3623,'📋 Транзакції'!$B$5:$B$3623,A383,'📋 Транзакції'!$C$5:$C$3623,"&gt;="&amp;EDATE(DATEVALUE(C383&amp;"-01"),8),'📋 Транзакції'!$C$5:$C$3623,"&lt;"&amp;EDATE(DATEVALUE(C383&amp;"-01"),9))</f>
        <v>0</v>
      </c>
      <c r="AB383" s="37">
        <f>SUMIFS('📋 Транзакції'!$F$5:$F$3623,'📋 Транзакції'!$B$5:$B$3623,A383,'📋 Транзакції'!$C$5:$C$3623,"&gt;="&amp;EDATE(DATEVALUE(C383&amp;"-01"),9),'📋 Транзакції'!$C$5:$C$3623,"&lt;"&amp;EDATE(DATEVALUE(C383&amp;"-01"),10))</f>
        <v>0</v>
      </c>
      <c r="AC383" s="37">
        <f>SUMIFS('📋 Транзакції'!$F$5:$F$3623,'📋 Транзакції'!$B$5:$B$3623,A383,'📋 Транзакції'!$C$5:$C$3623,"&gt;="&amp;EDATE(DATEVALUE(C383&amp;"-01"),10),'📋 Транзакції'!$C$5:$C$3623,"&lt;"&amp;EDATE(DATEVALUE(C383&amp;"-01"),11))</f>
        <v>0</v>
      </c>
      <c r="AD383" s="37">
        <f>SUMIFS('📋 Транзакції'!$F$5:$F$3623,'📋 Транзакції'!$B$5:$B$3623,A383,'📋 Транзакції'!$C$5:$C$3623,"&gt;="&amp;EDATE(DATEVALUE(C383&amp;"-01"),11),'📋 Транзакції'!$C$5:$C$3623,"&lt;"&amp;EDATE(DATEVALUE(C383&amp;"-01"),12))</f>
        <v>0</v>
      </c>
    </row>
    <row r="384" ht="15.75" customHeight="1">
      <c r="A384" s="33" t="str">
        <f>'📋 Реєстрації'!A384:A985</f>
        <v>U0346</v>
      </c>
      <c r="B384" s="34">
        <f t="array" ref="B384">INDEX('📋 Транзакції'!$C$5:$C$3623,MATCH(A384,'📋 Транзакції'!$B$5:$B$3623,0))</f>
        <v>45613</v>
      </c>
      <c r="C384" s="35" t="str">
        <f t="shared" si="1"/>
        <v>2024-11</v>
      </c>
      <c r="D384" s="36">
        <f>COUNTIF('📋 Транзакції'!$B$5:$B$3623,A384)</f>
        <v>6</v>
      </c>
      <c r="E384" s="36">
        <f>SUMIF('📋 Транзакції'!$B$5:$B$3623,A384,'📋 Транзакції'!$F$5:$F$3623)</f>
        <v>99.95</v>
      </c>
      <c r="F384" s="35">
        <f>INT($A$1-MAXIFS('📋 Транзакції'!$C$5:$C$3623,'📋 Транзакції'!$B$5:$B$3623,A384))</f>
        <v>7</v>
      </c>
      <c r="G384" s="37">
        <f>IF(COUNTIFS('📋 Транзакції'!$B$5:$B$3623,A384,'📋 Транзакції'!$C$5:$C$3623,"&gt;="&amp;EDATE(DATEVALUE(C384&amp;"-01"),0),'📋 Транзакції'!$C$5:$C$3623,"&lt;"&amp;EDATE(DATEVALUE(C384&amp;"-01"),1))&gt;0,1,0)</f>
        <v>1</v>
      </c>
      <c r="H384" s="37">
        <f>IF(COUNTIFS('📋 Транзакції'!$B$5:$B$3623,A384,'📋 Транзакції'!$C$5:$C$3623,"&gt;="&amp;EDATE(DATEVALUE(C384&amp;"-01"),1),'📋 Транзакції'!$C$5:$C$3623,"&lt;"&amp;EDATE(DATEVALUE(C384&amp;"-01"),2))&gt;0,1,0)</f>
        <v>1</v>
      </c>
      <c r="I384" s="37">
        <f>IF(COUNTIFS('📋 Транзакції'!$B$5:$B$3623,A384,'📋 Транзакції'!$C$5:$C$3623,"&gt;="&amp;EDATE(DATEVALUE(C384&amp;"-01"),2),'📋 Транзакції'!$C$5:$C$3623,"&lt;"&amp;EDATE(DATEVALUE(C384&amp;"-01"),3))&gt;0,1,0)</f>
        <v>1</v>
      </c>
      <c r="J384" s="37">
        <f>IF(COUNTIFS('📋 Транзакції'!$B$5:$B$3623,A384,'📋 Транзакції'!$C$5:$C$3623,"&gt;="&amp;EDATE(DATEVALUE(C384&amp;"-01"),3),'📋 Транзакції'!$C$5:$C$3623,"&lt;"&amp;EDATE(DATEVALUE(C384&amp;"-01"),4))&gt;0,1,0)</f>
        <v>1</v>
      </c>
      <c r="K384" s="37">
        <f>IF(COUNTIFS('📋 Транзакції'!$B$5:$B$3623,A384,'📋 Транзакції'!$C$5:$C$3623,"&gt;="&amp;EDATE(DATEVALUE(C384&amp;"-01"),4),'📋 Транзакції'!$C$5:$C$3623,"&lt;"&amp;EDATE(DATEVALUE(C384&amp;"-01"),5))&gt;0,1,0)</f>
        <v>1</v>
      </c>
      <c r="L384" s="37">
        <f>IF(COUNTIFS('📋 Транзакції'!$B$5:$B$3623,A384,'📋 Транзакції'!$C$5:$C$3623,"&gt;="&amp;EDATE(DATEVALUE(C384&amp;"-01"),5),'📋 Транзакції'!$C$5:$C$3623,"&lt;"&amp;EDATE(DATEVALUE(C384&amp;"-01"),6))&gt;0,1,0)</f>
        <v>0</v>
      </c>
      <c r="M384" s="37">
        <f>IF(COUNTIFS('📋 Транзакції'!$B$5:$B$3623,A384,'📋 Транзакції'!$C$5:$C$3623,"&gt;="&amp;EDATE(DATEVALUE(C384&amp;"-01"),6),'📋 Транзакції'!$C$5:$C$3623,"&lt;"&amp;EDATE(DATEVALUE(C384&amp;"-01"),7))&gt;0,1,0)</f>
        <v>0</v>
      </c>
      <c r="N384" s="37">
        <f>IF(COUNTIFS('📋 Транзакції'!$B$5:$B$3623,A384,'📋 Транзакції'!$C$5:$C$3623,"&gt;="&amp;EDATE(DATEVALUE(C384&amp;"-01"),7),'📋 Транзакції'!$C$5:$C$3623,"&lt;"&amp;EDATE(DATEVALUE(C384&amp;"-01"),8))&gt;0,1,0)</f>
        <v>0</v>
      </c>
      <c r="O384" s="37">
        <f>IF(COUNTIFS('📋 Транзакції'!$B$5:$B$3623,A384,'📋 Транзакції'!$C$5:$C$3623,"&gt;="&amp;EDATE(DATEVALUE(C384&amp;"-01"),8),'📋 Транзакції'!$C$5:$C$3623,"&lt;"&amp;EDATE(DATEVALUE(C384&amp;"-01"),9))&gt;0,1,0)</f>
        <v>0</v>
      </c>
      <c r="P384" s="37">
        <f>IF(COUNTIFS('📋 Транзакції'!$B$5:$B$3623,A384,'📋 Транзакції'!$C$5:$C$3623,"&gt;="&amp;EDATE(DATEVALUE(C384&amp;"-01"),9),'📋 Транзакції'!$C$5:$C$3623,"&lt;"&amp;EDATE(DATEVALUE(C384&amp;"-01"),10))&gt;0,1,0)</f>
        <v>0</v>
      </c>
      <c r="Q384" s="37">
        <f>IF(COUNTIFS('📋 Транзакції'!$B$5:$B$3623,A384,'📋 Транзакції'!$C$5:$C$3623,"&gt;="&amp;EDATE(DATEVALUE(C384&amp;"-01"),10),'📋 Транзакції'!$C$5:$C$3623,"&lt;"&amp;EDATE(DATEVALUE(C384&amp;"-01"),11))&gt;0,1,0)</f>
        <v>0</v>
      </c>
      <c r="R384" s="37">
        <f>IF(COUNTIFS('📋 Транзакції'!$B$5:$B$3623,A384,'📋 Транзакції'!$C$5:$C$3623,"&gt;="&amp;EDATE(DATEVALUE(C384&amp;"-01"),11),'📋 Транзакції'!$C$5:$C$3623,"&lt;"&amp;EDATE(DATEVALUE(C384&amp;"-01"),12))&gt;0,1,0)</f>
        <v>0</v>
      </c>
      <c r="S384" s="37">
        <f>SUMIFS('📋 Транзакції'!$F$5:$F$3623,'📋 Транзакції'!$B$5:$B$3623,A384,'📋 Транзакції'!$C$5:$C$3623,"&gt;="&amp;EDATE(DATEVALUE(C384&amp;"-01"),0),'📋 Транзакції'!$C$5:$C$3623,"&lt;"&amp;EDATE(DATEVALUE(C384&amp;"-01"),1))</f>
        <v>19.99</v>
      </c>
      <c r="T384" s="37">
        <f>SUMIFS('📋 Транзакції'!$F$5:$F$3623,'📋 Транзакції'!$B$5:$B$3623,A384,'📋 Транзакції'!$C$5:$C$3623,"&gt;="&amp;EDATE(DATEVALUE(C384&amp;"-01"),1),'📋 Транзакції'!$C$5:$C$3623,"&lt;"&amp;EDATE(DATEVALUE(C384&amp;"-01"),2))</f>
        <v>19.99</v>
      </c>
      <c r="U384" s="37">
        <f>SUMIFS('📋 Транзакції'!$F$5:$F$3623,'📋 Транзакції'!$B$5:$B$3623,A384,'📋 Транзакції'!$C$5:$C$3623,"&gt;="&amp;EDATE(DATEVALUE(C384&amp;"-01"),2),'📋 Транзакції'!$C$5:$C$3623,"&lt;"&amp;EDATE(DATEVALUE(C384&amp;"-01"),3))</f>
        <v>19.99</v>
      </c>
      <c r="V384" s="37">
        <f>SUMIFS('📋 Транзакції'!$F$5:$F$3623,'📋 Транзакції'!$B$5:$B$3623,A384,'📋 Транзакції'!$C$5:$C$3623,"&gt;="&amp;EDATE(DATEVALUE(C384&amp;"-01"),3),'📋 Транзакції'!$C$5:$C$3623,"&lt;"&amp;EDATE(DATEVALUE(C384&amp;"-01"),4))</f>
        <v>19.99</v>
      </c>
      <c r="W384" s="37">
        <f>SUMIFS('📋 Транзакції'!$F$5:$F$3623,'📋 Транзакції'!$B$5:$B$3623,A384,'📋 Транзакції'!$C$5:$C$3623,"&gt;="&amp;EDATE(DATEVALUE(C384&amp;"-01"),4),'📋 Транзакції'!$C$5:$C$3623,"&lt;"&amp;EDATE(DATEVALUE(C384&amp;"-01"),5))</f>
        <v>19.99</v>
      </c>
      <c r="X384" s="37">
        <f>SUMIFS('📋 Транзакції'!$F$5:$F$3623,'📋 Транзакції'!$B$5:$B$3623,A384,'📋 Транзакції'!$C$5:$C$3623,"&gt;="&amp;EDATE(DATEVALUE(C384&amp;"-01"),5),'📋 Транзакції'!$C$5:$C$3623,"&lt;"&amp;EDATE(DATEVALUE(C384&amp;"-01"),6))</f>
        <v>0</v>
      </c>
      <c r="Y384" s="37">
        <f>SUMIFS('📋 Транзакції'!$F$5:$F$3623,'📋 Транзакції'!$B$5:$B$3623,A384,'📋 Транзакції'!$C$5:$C$3623,"&gt;="&amp;EDATE(DATEVALUE(C384&amp;"-01"),6),'📋 Транзакції'!$C$5:$C$3623,"&lt;"&amp;EDATE(DATEVALUE(C384&amp;"-01"),7))</f>
        <v>0</v>
      </c>
      <c r="Z384" s="37">
        <f>SUMIFS('📋 Транзакції'!$F$5:$F$3623,'📋 Транзакції'!$B$5:$B$3623,A384,'📋 Транзакції'!$C$5:$C$3623,"&gt;="&amp;EDATE(DATEVALUE(C384&amp;"-01"),7),'📋 Транзакції'!$C$5:$C$3623,"&lt;"&amp;EDATE(DATEVALUE(C384&amp;"-01"),8))</f>
        <v>0</v>
      </c>
      <c r="AA384" s="37">
        <f>SUMIFS('📋 Транзакції'!$F$5:$F$3623,'📋 Транзакції'!$B$5:$B$3623,A384,'📋 Транзакції'!$C$5:$C$3623,"&gt;="&amp;EDATE(DATEVALUE(C384&amp;"-01"),8),'📋 Транзакції'!$C$5:$C$3623,"&lt;"&amp;EDATE(DATEVALUE(C384&amp;"-01"),9))</f>
        <v>0</v>
      </c>
      <c r="AB384" s="37">
        <f>SUMIFS('📋 Транзакції'!$F$5:$F$3623,'📋 Транзакції'!$B$5:$B$3623,A384,'📋 Транзакції'!$C$5:$C$3623,"&gt;="&amp;EDATE(DATEVALUE(C384&amp;"-01"),9),'📋 Транзакції'!$C$5:$C$3623,"&lt;"&amp;EDATE(DATEVALUE(C384&amp;"-01"),10))</f>
        <v>0</v>
      </c>
      <c r="AC384" s="37">
        <f>SUMIFS('📋 Транзакції'!$F$5:$F$3623,'📋 Транзакції'!$B$5:$B$3623,A384,'📋 Транзакції'!$C$5:$C$3623,"&gt;="&amp;EDATE(DATEVALUE(C384&amp;"-01"),10),'📋 Транзакції'!$C$5:$C$3623,"&lt;"&amp;EDATE(DATEVALUE(C384&amp;"-01"),11))</f>
        <v>0</v>
      </c>
      <c r="AD384" s="37">
        <f>SUMIFS('📋 Транзакції'!$F$5:$F$3623,'📋 Транзакції'!$B$5:$B$3623,A384,'📋 Транзакції'!$C$5:$C$3623,"&gt;="&amp;EDATE(DATEVALUE(C384&amp;"-01"),11),'📋 Транзакції'!$C$5:$C$3623,"&lt;"&amp;EDATE(DATEVALUE(C384&amp;"-01"),12))</f>
        <v>0</v>
      </c>
    </row>
    <row r="385" ht="15.75" customHeight="1">
      <c r="A385" s="33" t="str">
        <f>'📋 Реєстрації'!A385:A986</f>
        <v>U0426</v>
      </c>
      <c r="B385" s="34">
        <f t="array" ref="B385">INDEX('📋 Транзакції'!$C$5:$C$3623,MATCH(A385,'📋 Транзакції'!$B$5:$B$3623,0))</f>
        <v>45613</v>
      </c>
      <c r="C385" s="35" t="str">
        <f t="shared" si="1"/>
        <v>2024-11</v>
      </c>
      <c r="D385" s="36">
        <f>COUNTIF('📋 Транзакції'!$B$5:$B$3623,A385)</f>
        <v>2</v>
      </c>
      <c r="E385" s="36">
        <f>SUMIF('📋 Транзакції'!$B$5:$B$3623,A385,'📋 Транзакції'!$F$5:$F$3623)</f>
        <v>19.99</v>
      </c>
      <c r="F385" s="35">
        <f>INT($A$1-MAXIFS('📋 Транзакції'!$C$5:$C$3623,'📋 Транзакції'!$B$5:$B$3623,A385))</f>
        <v>127</v>
      </c>
      <c r="G385" s="37">
        <f>IF(COUNTIFS('📋 Транзакції'!$B$5:$B$3623,A385,'📋 Транзакції'!$C$5:$C$3623,"&gt;="&amp;EDATE(DATEVALUE(C385&amp;"-01"),0),'📋 Транзакції'!$C$5:$C$3623,"&lt;"&amp;EDATE(DATEVALUE(C385&amp;"-01"),1))&gt;0,1,0)</f>
        <v>1</v>
      </c>
      <c r="H385" s="37">
        <f>IF(COUNTIFS('📋 Транзакції'!$B$5:$B$3623,A385,'📋 Транзакції'!$C$5:$C$3623,"&gt;="&amp;EDATE(DATEVALUE(C385&amp;"-01"),1),'📋 Транзакції'!$C$5:$C$3623,"&lt;"&amp;EDATE(DATEVALUE(C385&amp;"-01"),2))&gt;0,1,0)</f>
        <v>0</v>
      </c>
      <c r="I385" s="37">
        <f>IF(COUNTIFS('📋 Транзакції'!$B$5:$B$3623,A385,'📋 Транзакції'!$C$5:$C$3623,"&gt;="&amp;EDATE(DATEVALUE(C385&amp;"-01"),2),'📋 Транзакції'!$C$5:$C$3623,"&lt;"&amp;EDATE(DATEVALUE(C385&amp;"-01"),3))&gt;0,1,0)</f>
        <v>0</v>
      </c>
      <c r="J385" s="37">
        <f>IF(COUNTIFS('📋 Транзакції'!$B$5:$B$3623,A385,'📋 Транзакції'!$C$5:$C$3623,"&gt;="&amp;EDATE(DATEVALUE(C385&amp;"-01"),3),'📋 Транзакції'!$C$5:$C$3623,"&lt;"&amp;EDATE(DATEVALUE(C385&amp;"-01"),4))&gt;0,1,0)</f>
        <v>0</v>
      </c>
      <c r="K385" s="37">
        <f>IF(COUNTIFS('📋 Транзакції'!$B$5:$B$3623,A385,'📋 Транзакції'!$C$5:$C$3623,"&gt;="&amp;EDATE(DATEVALUE(C385&amp;"-01"),4),'📋 Транзакції'!$C$5:$C$3623,"&lt;"&amp;EDATE(DATEVALUE(C385&amp;"-01"),5))&gt;0,1,0)</f>
        <v>0</v>
      </c>
      <c r="L385" s="37">
        <f>IF(COUNTIFS('📋 Транзакції'!$B$5:$B$3623,A385,'📋 Транзакції'!$C$5:$C$3623,"&gt;="&amp;EDATE(DATEVALUE(C385&amp;"-01"),5),'📋 Транзакції'!$C$5:$C$3623,"&lt;"&amp;EDATE(DATEVALUE(C385&amp;"-01"),6))&gt;0,1,0)</f>
        <v>0</v>
      </c>
      <c r="M385" s="37">
        <f>IF(COUNTIFS('📋 Транзакції'!$B$5:$B$3623,A385,'📋 Транзакції'!$C$5:$C$3623,"&gt;="&amp;EDATE(DATEVALUE(C385&amp;"-01"),6),'📋 Транзакції'!$C$5:$C$3623,"&lt;"&amp;EDATE(DATEVALUE(C385&amp;"-01"),7))&gt;0,1,0)</f>
        <v>0</v>
      </c>
      <c r="N385" s="37">
        <f>IF(COUNTIFS('📋 Транзакції'!$B$5:$B$3623,A385,'📋 Транзакції'!$C$5:$C$3623,"&gt;="&amp;EDATE(DATEVALUE(C385&amp;"-01"),7),'📋 Транзакції'!$C$5:$C$3623,"&lt;"&amp;EDATE(DATEVALUE(C385&amp;"-01"),8))&gt;0,1,0)</f>
        <v>0</v>
      </c>
      <c r="O385" s="37">
        <f>IF(COUNTIFS('📋 Транзакції'!$B$5:$B$3623,A385,'📋 Транзакції'!$C$5:$C$3623,"&gt;="&amp;EDATE(DATEVALUE(C385&amp;"-01"),8),'📋 Транзакції'!$C$5:$C$3623,"&lt;"&amp;EDATE(DATEVALUE(C385&amp;"-01"),9))&gt;0,1,0)</f>
        <v>0</v>
      </c>
      <c r="P385" s="37">
        <f>IF(COUNTIFS('📋 Транзакції'!$B$5:$B$3623,A385,'📋 Транзакції'!$C$5:$C$3623,"&gt;="&amp;EDATE(DATEVALUE(C385&amp;"-01"),9),'📋 Транзакції'!$C$5:$C$3623,"&lt;"&amp;EDATE(DATEVALUE(C385&amp;"-01"),10))&gt;0,1,0)</f>
        <v>0</v>
      </c>
      <c r="Q385" s="37">
        <f>IF(COUNTIFS('📋 Транзакції'!$B$5:$B$3623,A385,'📋 Транзакції'!$C$5:$C$3623,"&gt;="&amp;EDATE(DATEVALUE(C385&amp;"-01"),10),'📋 Транзакції'!$C$5:$C$3623,"&lt;"&amp;EDATE(DATEVALUE(C385&amp;"-01"),11))&gt;0,1,0)</f>
        <v>0</v>
      </c>
      <c r="R385" s="37">
        <f>IF(COUNTIFS('📋 Транзакції'!$B$5:$B$3623,A385,'📋 Транзакції'!$C$5:$C$3623,"&gt;="&amp;EDATE(DATEVALUE(C385&amp;"-01"),11),'📋 Транзакції'!$C$5:$C$3623,"&lt;"&amp;EDATE(DATEVALUE(C385&amp;"-01"),12))&gt;0,1,0)</f>
        <v>0</v>
      </c>
      <c r="S385" s="37">
        <f>SUMIFS('📋 Транзакції'!$F$5:$F$3623,'📋 Транзакції'!$B$5:$B$3623,A385,'📋 Транзакції'!$C$5:$C$3623,"&gt;="&amp;EDATE(DATEVALUE(C385&amp;"-01"),0),'📋 Транзакції'!$C$5:$C$3623,"&lt;"&amp;EDATE(DATEVALUE(C385&amp;"-01"),1))</f>
        <v>19.99</v>
      </c>
      <c r="T385" s="37">
        <f>SUMIFS('📋 Транзакції'!$F$5:$F$3623,'📋 Транзакції'!$B$5:$B$3623,A385,'📋 Транзакції'!$C$5:$C$3623,"&gt;="&amp;EDATE(DATEVALUE(C385&amp;"-01"),1),'📋 Транзакції'!$C$5:$C$3623,"&lt;"&amp;EDATE(DATEVALUE(C385&amp;"-01"),2))</f>
        <v>0</v>
      </c>
      <c r="U385" s="37">
        <f>SUMIFS('📋 Транзакції'!$F$5:$F$3623,'📋 Транзакції'!$B$5:$B$3623,A385,'📋 Транзакції'!$C$5:$C$3623,"&gt;="&amp;EDATE(DATEVALUE(C385&amp;"-01"),2),'📋 Транзакції'!$C$5:$C$3623,"&lt;"&amp;EDATE(DATEVALUE(C385&amp;"-01"),3))</f>
        <v>0</v>
      </c>
      <c r="V385" s="37">
        <f>SUMIFS('📋 Транзакції'!$F$5:$F$3623,'📋 Транзакції'!$B$5:$B$3623,A385,'📋 Транзакції'!$C$5:$C$3623,"&gt;="&amp;EDATE(DATEVALUE(C385&amp;"-01"),3),'📋 Транзакції'!$C$5:$C$3623,"&lt;"&amp;EDATE(DATEVALUE(C385&amp;"-01"),4))</f>
        <v>0</v>
      </c>
      <c r="W385" s="37">
        <f>SUMIFS('📋 Транзакції'!$F$5:$F$3623,'📋 Транзакції'!$B$5:$B$3623,A385,'📋 Транзакції'!$C$5:$C$3623,"&gt;="&amp;EDATE(DATEVALUE(C385&amp;"-01"),4),'📋 Транзакції'!$C$5:$C$3623,"&lt;"&amp;EDATE(DATEVALUE(C385&amp;"-01"),5))</f>
        <v>0</v>
      </c>
      <c r="X385" s="37">
        <f>SUMIFS('📋 Транзакції'!$F$5:$F$3623,'📋 Транзакції'!$B$5:$B$3623,A385,'📋 Транзакції'!$C$5:$C$3623,"&gt;="&amp;EDATE(DATEVALUE(C385&amp;"-01"),5),'📋 Транзакції'!$C$5:$C$3623,"&lt;"&amp;EDATE(DATEVALUE(C385&amp;"-01"),6))</f>
        <v>0</v>
      </c>
      <c r="Y385" s="37">
        <f>SUMIFS('📋 Транзакції'!$F$5:$F$3623,'📋 Транзакції'!$B$5:$B$3623,A385,'📋 Транзакції'!$C$5:$C$3623,"&gt;="&amp;EDATE(DATEVALUE(C385&amp;"-01"),6),'📋 Транзакції'!$C$5:$C$3623,"&lt;"&amp;EDATE(DATEVALUE(C385&amp;"-01"),7))</f>
        <v>0</v>
      </c>
      <c r="Z385" s="37">
        <f>SUMIFS('📋 Транзакції'!$F$5:$F$3623,'📋 Транзакції'!$B$5:$B$3623,A385,'📋 Транзакції'!$C$5:$C$3623,"&gt;="&amp;EDATE(DATEVALUE(C385&amp;"-01"),7),'📋 Транзакції'!$C$5:$C$3623,"&lt;"&amp;EDATE(DATEVALUE(C385&amp;"-01"),8))</f>
        <v>0</v>
      </c>
      <c r="AA385" s="37">
        <f>SUMIFS('📋 Транзакції'!$F$5:$F$3623,'📋 Транзакції'!$B$5:$B$3623,A385,'📋 Транзакції'!$C$5:$C$3623,"&gt;="&amp;EDATE(DATEVALUE(C385&amp;"-01"),8),'📋 Транзакції'!$C$5:$C$3623,"&lt;"&amp;EDATE(DATEVALUE(C385&amp;"-01"),9))</f>
        <v>0</v>
      </c>
      <c r="AB385" s="37">
        <f>SUMIFS('📋 Транзакції'!$F$5:$F$3623,'📋 Транзакції'!$B$5:$B$3623,A385,'📋 Транзакції'!$C$5:$C$3623,"&gt;="&amp;EDATE(DATEVALUE(C385&amp;"-01"),9),'📋 Транзакції'!$C$5:$C$3623,"&lt;"&amp;EDATE(DATEVALUE(C385&amp;"-01"),10))</f>
        <v>0</v>
      </c>
      <c r="AC385" s="37">
        <f>SUMIFS('📋 Транзакції'!$F$5:$F$3623,'📋 Транзакції'!$B$5:$B$3623,A385,'📋 Транзакції'!$C$5:$C$3623,"&gt;="&amp;EDATE(DATEVALUE(C385&amp;"-01"),10),'📋 Транзакції'!$C$5:$C$3623,"&lt;"&amp;EDATE(DATEVALUE(C385&amp;"-01"),11))</f>
        <v>0</v>
      </c>
      <c r="AD385" s="37">
        <f>SUMIFS('📋 Транзакції'!$F$5:$F$3623,'📋 Транзакції'!$B$5:$B$3623,A385,'📋 Транзакції'!$C$5:$C$3623,"&gt;="&amp;EDATE(DATEVALUE(C385&amp;"-01"),11),'📋 Транзакції'!$C$5:$C$3623,"&lt;"&amp;EDATE(DATEVALUE(C385&amp;"-01"),12))</f>
        <v>0</v>
      </c>
    </row>
    <row r="386" ht="15.75" customHeight="1">
      <c r="A386" s="33" t="str">
        <f>'📋 Реєстрації'!A386:A987</f>
        <v>U0492</v>
      </c>
      <c r="B386" s="34">
        <f t="array" ref="B386">INDEX('📋 Транзакції'!$C$5:$C$3623,MATCH(A386,'📋 Транзакції'!$B$5:$B$3623,0))</f>
        <v>45613</v>
      </c>
      <c r="C386" s="35" t="str">
        <f t="shared" si="1"/>
        <v>2024-11</v>
      </c>
      <c r="D386" s="36">
        <f>COUNTIF('📋 Транзакції'!$B$5:$B$3623,A386)</f>
        <v>2</v>
      </c>
      <c r="E386" s="36">
        <f>SUMIF('📋 Транзакції'!$B$5:$B$3623,A386,'📋 Транзакції'!$F$5:$F$3623)</f>
        <v>19.99</v>
      </c>
      <c r="F386" s="35">
        <f>INT($A$1-MAXIFS('📋 Транзакції'!$C$5:$C$3623,'📋 Транзакції'!$B$5:$B$3623,A386))</f>
        <v>127</v>
      </c>
      <c r="G386" s="37">
        <f>IF(COUNTIFS('📋 Транзакції'!$B$5:$B$3623,A386,'📋 Транзакції'!$C$5:$C$3623,"&gt;="&amp;EDATE(DATEVALUE(C386&amp;"-01"),0),'📋 Транзакції'!$C$5:$C$3623,"&lt;"&amp;EDATE(DATEVALUE(C386&amp;"-01"),1))&gt;0,1,0)</f>
        <v>1</v>
      </c>
      <c r="H386" s="37">
        <f>IF(COUNTIFS('📋 Транзакції'!$B$5:$B$3623,A386,'📋 Транзакції'!$C$5:$C$3623,"&gt;="&amp;EDATE(DATEVALUE(C386&amp;"-01"),1),'📋 Транзакції'!$C$5:$C$3623,"&lt;"&amp;EDATE(DATEVALUE(C386&amp;"-01"),2))&gt;0,1,0)</f>
        <v>0</v>
      </c>
      <c r="I386" s="37">
        <f>IF(COUNTIFS('📋 Транзакції'!$B$5:$B$3623,A386,'📋 Транзакції'!$C$5:$C$3623,"&gt;="&amp;EDATE(DATEVALUE(C386&amp;"-01"),2),'📋 Транзакції'!$C$5:$C$3623,"&lt;"&amp;EDATE(DATEVALUE(C386&amp;"-01"),3))&gt;0,1,0)</f>
        <v>0</v>
      </c>
      <c r="J386" s="37">
        <f>IF(COUNTIFS('📋 Транзакції'!$B$5:$B$3623,A386,'📋 Транзакції'!$C$5:$C$3623,"&gt;="&amp;EDATE(DATEVALUE(C386&amp;"-01"),3),'📋 Транзакції'!$C$5:$C$3623,"&lt;"&amp;EDATE(DATEVALUE(C386&amp;"-01"),4))&gt;0,1,0)</f>
        <v>0</v>
      </c>
      <c r="K386" s="37">
        <f>IF(COUNTIFS('📋 Транзакції'!$B$5:$B$3623,A386,'📋 Транзакції'!$C$5:$C$3623,"&gt;="&amp;EDATE(DATEVALUE(C386&amp;"-01"),4),'📋 Транзакції'!$C$5:$C$3623,"&lt;"&amp;EDATE(DATEVALUE(C386&amp;"-01"),5))&gt;0,1,0)</f>
        <v>0</v>
      </c>
      <c r="L386" s="37">
        <f>IF(COUNTIFS('📋 Транзакції'!$B$5:$B$3623,A386,'📋 Транзакції'!$C$5:$C$3623,"&gt;="&amp;EDATE(DATEVALUE(C386&amp;"-01"),5),'📋 Транзакції'!$C$5:$C$3623,"&lt;"&amp;EDATE(DATEVALUE(C386&amp;"-01"),6))&gt;0,1,0)</f>
        <v>0</v>
      </c>
      <c r="M386" s="37">
        <f>IF(COUNTIFS('📋 Транзакції'!$B$5:$B$3623,A386,'📋 Транзакції'!$C$5:$C$3623,"&gt;="&amp;EDATE(DATEVALUE(C386&amp;"-01"),6),'📋 Транзакції'!$C$5:$C$3623,"&lt;"&amp;EDATE(DATEVALUE(C386&amp;"-01"),7))&gt;0,1,0)</f>
        <v>0</v>
      </c>
      <c r="N386" s="37">
        <f>IF(COUNTIFS('📋 Транзакції'!$B$5:$B$3623,A386,'📋 Транзакції'!$C$5:$C$3623,"&gt;="&amp;EDATE(DATEVALUE(C386&amp;"-01"),7),'📋 Транзакції'!$C$5:$C$3623,"&lt;"&amp;EDATE(DATEVALUE(C386&amp;"-01"),8))&gt;0,1,0)</f>
        <v>0</v>
      </c>
      <c r="O386" s="37">
        <f>IF(COUNTIFS('📋 Транзакції'!$B$5:$B$3623,A386,'📋 Транзакції'!$C$5:$C$3623,"&gt;="&amp;EDATE(DATEVALUE(C386&amp;"-01"),8),'📋 Транзакції'!$C$5:$C$3623,"&lt;"&amp;EDATE(DATEVALUE(C386&amp;"-01"),9))&gt;0,1,0)</f>
        <v>0</v>
      </c>
      <c r="P386" s="37">
        <f>IF(COUNTIFS('📋 Транзакції'!$B$5:$B$3623,A386,'📋 Транзакції'!$C$5:$C$3623,"&gt;="&amp;EDATE(DATEVALUE(C386&amp;"-01"),9),'📋 Транзакції'!$C$5:$C$3623,"&lt;"&amp;EDATE(DATEVALUE(C386&amp;"-01"),10))&gt;0,1,0)</f>
        <v>0</v>
      </c>
      <c r="Q386" s="37">
        <f>IF(COUNTIFS('📋 Транзакції'!$B$5:$B$3623,A386,'📋 Транзакції'!$C$5:$C$3623,"&gt;="&amp;EDATE(DATEVALUE(C386&amp;"-01"),10),'📋 Транзакції'!$C$5:$C$3623,"&lt;"&amp;EDATE(DATEVALUE(C386&amp;"-01"),11))&gt;0,1,0)</f>
        <v>0</v>
      </c>
      <c r="R386" s="37">
        <f>IF(COUNTIFS('📋 Транзакції'!$B$5:$B$3623,A386,'📋 Транзакції'!$C$5:$C$3623,"&gt;="&amp;EDATE(DATEVALUE(C386&amp;"-01"),11),'📋 Транзакції'!$C$5:$C$3623,"&lt;"&amp;EDATE(DATEVALUE(C386&amp;"-01"),12))&gt;0,1,0)</f>
        <v>0</v>
      </c>
      <c r="S386" s="37">
        <f>SUMIFS('📋 Транзакції'!$F$5:$F$3623,'📋 Транзакції'!$B$5:$B$3623,A386,'📋 Транзакції'!$C$5:$C$3623,"&gt;="&amp;EDATE(DATEVALUE(C386&amp;"-01"),0),'📋 Транзакції'!$C$5:$C$3623,"&lt;"&amp;EDATE(DATEVALUE(C386&amp;"-01"),1))</f>
        <v>19.99</v>
      </c>
      <c r="T386" s="37">
        <f>SUMIFS('📋 Транзакції'!$F$5:$F$3623,'📋 Транзакції'!$B$5:$B$3623,A386,'📋 Транзакції'!$C$5:$C$3623,"&gt;="&amp;EDATE(DATEVALUE(C386&amp;"-01"),1),'📋 Транзакції'!$C$5:$C$3623,"&lt;"&amp;EDATE(DATEVALUE(C386&amp;"-01"),2))</f>
        <v>0</v>
      </c>
      <c r="U386" s="37">
        <f>SUMIFS('📋 Транзакції'!$F$5:$F$3623,'📋 Транзакції'!$B$5:$B$3623,A386,'📋 Транзакції'!$C$5:$C$3623,"&gt;="&amp;EDATE(DATEVALUE(C386&amp;"-01"),2),'📋 Транзакції'!$C$5:$C$3623,"&lt;"&amp;EDATE(DATEVALUE(C386&amp;"-01"),3))</f>
        <v>0</v>
      </c>
      <c r="V386" s="37">
        <f>SUMIFS('📋 Транзакції'!$F$5:$F$3623,'📋 Транзакції'!$B$5:$B$3623,A386,'📋 Транзакції'!$C$5:$C$3623,"&gt;="&amp;EDATE(DATEVALUE(C386&amp;"-01"),3),'📋 Транзакції'!$C$5:$C$3623,"&lt;"&amp;EDATE(DATEVALUE(C386&amp;"-01"),4))</f>
        <v>0</v>
      </c>
      <c r="W386" s="37">
        <f>SUMIFS('📋 Транзакції'!$F$5:$F$3623,'📋 Транзакції'!$B$5:$B$3623,A386,'📋 Транзакції'!$C$5:$C$3623,"&gt;="&amp;EDATE(DATEVALUE(C386&amp;"-01"),4),'📋 Транзакції'!$C$5:$C$3623,"&lt;"&amp;EDATE(DATEVALUE(C386&amp;"-01"),5))</f>
        <v>0</v>
      </c>
      <c r="X386" s="37">
        <f>SUMIFS('📋 Транзакції'!$F$5:$F$3623,'📋 Транзакції'!$B$5:$B$3623,A386,'📋 Транзакції'!$C$5:$C$3623,"&gt;="&amp;EDATE(DATEVALUE(C386&amp;"-01"),5),'📋 Транзакції'!$C$5:$C$3623,"&lt;"&amp;EDATE(DATEVALUE(C386&amp;"-01"),6))</f>
        <v>0</v>
      </c>
      <c r="Y386" s="37">
        <f>SUMIFS('📋 Транзакції'!$F$5:$F$3623,'📋 Транзакції'!$B$5:$B$3623,A386,'📋 Транзакції'!$C$5:$C$3623,"&gt;="&amp;EDATE(DATEVALUE(C386&amp;"-01"),6),'📋 Транзакції'!$C$5:$C$3623,"&lt;"&amp;EDATE(DATEVALUE(C386&amp;"-01"),7))</f>
        <v>0</v>
      </c>
      <c r="Z386" s="37">
        <f>SUMIFS('📋 Транзакції'!$F$5:$F$3623,'📋 Транзакції'!$B$5:$B$3623,A386,'📋 Транзакції'!$C$5:$C$3623,"&gt;="&amp;EDATE(DATEVALUE(C386&amp;"-01"),7),'📋 Транзакції'!$C$5:$C$3623,"&lt;"&amp;EDATE(DATEVALUE(C386&amp;"-01"),8))</f>
        <v>0</v>
      </c>
      <c r="AA386" s="37">
        <f>SUMIFS('📋 Транзакції'!$F$5:$F$3623,'📋 Транзакції'!$B$5:$B$3623,A386,'📋 Транзакції'!$C$5:$C$3623,"&gt;="&amp;EDATE(DATEVALUE(C386&amp;"-01"),8),'📋 Транзакції'!$C$5:$C$3623,"&lt;"&amp;EDATE(DATEVALUE(C386&amp;"-01"),9))</f>
        <v>0</v>
      </c>
      <c r="AB386" s="37">
        <f>SUMIFS('📋 Транзакції'!$F$5:$F$3623,'📋 Транзакції'!$B$5:$B$3623,A386,'📋 Транзакції'!$C$5:$C$3623,"&gt;="&amp;EDATE(DATEVALUE(C386&amp;"-01"),9),'📋 Транзакції'!$C$5:$C$3623,"&lt;"&amp;EDATE(DATEVALUE(C386&amp;"-01"),10))</f>
        <v>0</v>
      </c>
      <c r="AC386" s="37">
        <f>SUMIFS('📋 Транзакції'!$F$5:$F$3623,'📋 Транзакції'!$B$5:$B$3623,A386,'📋 Транзакції'!$C$5:$C$3623,"&gt;="&amp;EDATE(DATEVALUE(C386&amp;"-01"),10),'📋 Транзакції'!$C$5:$C$3623,"&lt;"&amp;EDATE(DATEVALUE(C386&amp;"-01"),11))</f>
        <v>0</v>
      </c>
      <c r="AD386" s="37">
        <f>SUMIFS('📋 Транзакції'!$F$5:$F$3623,'📋 Транзакції'!$B$5:$B$3623,A386,'📋 Транзакції'!$C$5:$C$3623,"&gt;="&amp;EDATE(DATEVALUE(C386&amp;"-01"),11),'📋 Транзакції'!$C$5:$C$3623,"&lt;"&amp;EDATE(DATEVALUE(C386&amp;"-01"),12))</f>
        <v>0</v>
      </c>
    </row>
    <row r="387" ht="15.75" customHeight="1">
      <c r="A387" s="33" t="str">
        <f>'📋 Реєстрації'!A387:A988</f>
        <v>U0545</v>
      </c>
      <c r="B387" s="34">
        <f t="array" ref="B387">INDEX('📋 Транзакції'!$C$5:$C$3623,MATCH(A387,'📋 Транзакції'!$B$5:$B$3623,0))</f>
        <v>45613</v>
      </c>
      <c r="C387" s="35" t="str">
        <f t="shared" si="1"/>
        <v>2024-11</v>
      </c>
      <c r="D387" s="36">
        <f>COUNTIF('📋 Транзакції'!$B$5:$B$3623,A387)</f>
        <v>6</v>
      </c>
      <c r="E387" s="36">
        <f>SUMIF('📋 Транзакції'!$B$5:$B$3623,A387,'📋 Транзакції'!$F$5:$F$3623)</f>
        <v>99.95</v>
      </c>
      <c r="F387" s="35">
        <f>INT($A$1-MAXIFS('📋 Транзакції'!$C$5:$C$3623,'📋 Транзакції'!$B$5:$B$3623,A387))</f>
        <v>7</v>
      </c>
      <c r="G387" s="37">
        <f>IF(COUNTIFS('📋 Транзакції'!$B$5:$B$3623,A387,'📋 Транзакції'!$C$5:$C$3623,"&gt;="&amp;EDATE(DATEVALUE(C387&amp;"-01"),0),'📋 Транзакції'!$C$5:$C$3623,"&lt;"&amp;EDATE(DATEVALUE(C387&amp;"-01"),1))&gt;0,1,0)</f>
        <v>1</v>
      </c>
      <c r="H387" s="37">
        <f>IF(COUNTIFS('📋 Транзакції'!$B$5:$B$3623,A387,'📋 Транзакції'!$C$5:$C$3623,"&gt;="&amp;EDATE(DATEVALUE(C387&amp;"-01"),1),'📋 Транзакції'!$C$5:$C$3623,"&lt;"&amp;EDATE(DATEVALUE(C387&amp;"-01"),2))&gt;0,1,0)</f>
        <v>1</v>
      </c>
      <c r="I387" s="37">
        <f>IF(COUNTIFS('📋 Транзакції'!$B$5:$B$3623,A387,'📋 Транзакції'!$C$5:$C$3623,"&gt;="&amp;EDATE(DATEVALUE(C387&amp;"-01"),2),'📋 Транзакції'!$C$5:$C$3623,"&lt;"&amp;EDATE(DATEVALUE(C387&amp;"-01"),3))&gt;0,1,0)</f>
        <v>1</v>
      </c>
      <c r="J387" s="37">
        <f>IF(COUNTIFS('📋 Транзакції'!$B$5:$B$3623,A387,'📋 Транзакції'!$C$5:$C$3623,"&gt;="&amp;EDATE(DATEVALUE(C387&amp;"-01"),3),'📋 Транзакції'!$C$5:$C$3623,"&lt;"&amp;EDATE(DATEVALUE(C387&amp;"-01"),4))&gt;0,1,0)</f>
        <v>1</v>
      </c>
      <c r="K387" s="37">
        <f>IF(COUNTIFS('📋 Транзакції'!$B$5:$B$3623,A387,'📋 Транзакції'!$C$5:$C$3623,"&gt;="&amp;EDATE(DATEVALUE(C387&amp;"-01"),4),'📋 Транзакції'!$C$5:$C$3623,"&lt;"&amp;EDATE(DATEVALUE(C387&amp;"-01"),5))&gt;0,1,0)</f>
        <v>1</v>
      </c>
      <c r="L387" s="37">
        <f>IF(COUNTIFS('📋 Транзакції'!$B$5:$B$3623,A387,'📋 Транзакції'!$C$5:$C$3623,"&gt;="&amp;EDATE(DATEVALUE(C387&amp;"-01"),5),'📋 Транзакції'!$C$5:$C$3623,"&lt;"&amp;EDATE(DATEVALUE(C387&amp;"-01"),6))&gt;0,1,0)</f>
        <v>0</v>
      </c>
      <c r="M387" s="37">
        <f>IF(COUNTIFS('📋 Транзакції'!$B$5:$B$3623,A387,'📋 Транзакції'!$C$5:$C$3623,"&gt;="&amp;EDATE(DATEVALUE(C387&amp;"-01"),6),'📋 Транзакції'!$C$5:$C$3623,"&lt;"&amp;EDATE(DATEVALUE(C387&amp;"-01"),7))&gt;0,1,0)</f>
        <v>0</v>
      </c>
      <c r="N387" s="37">
        <f>IF(COUNTIFS('📋 Транзакції'!$B$5:$B$3623,A387,'📋 Транзакції'!$C$5:$C$3623,"&gt;="&amp;EDATE(DATEVALUE(C387&amp;"-01"),7),'📋 Транзакції'!$C$5:$C$3623,"&lt;"&amp;EDATE(DATEVALUE(C387&amp;"-01"),8))&gt;0,1,0)</f>
        <v>0</v>
      </c>
      <c r="O387" s="37">
        <f>IF(COUNTIFS('📋 Транзакції'!$B$5:$B$3623,A387,'📋 Транзакції'!$C$5:$C$3623,"&gt;="&amp;EDATE(DATEVALUE(C387&amp;"-01"),8),'📋 Транзакції'!$C$5:$C$3623,"&lt;"&amp;EDATE(DATEVALUE(C387&amp;"-01"),9))&gt;0,1,0)</f>
        <v>0</v>
      </c>
      <c r="P387" s="37">
        <f>IF(COUNTIFS('📋 Транзакції'!$B$5:$B$3623,A387,'📋 Транзакції'!$C$5:$C$3623,"&gt;="&amp;EDATE(DATEVALUE(C387&amp;"-01"),9),'📋 Транзакції'!$C$5:$C$3623,"&lt;"&amp;EDATE(DATEVALUE(C387&amp;"-01"),10))&gt;0,1,0)</f>
        <v>0</v>
      </c>
      <c r="Q387" s="37">
        <f>IF(COUNTIFS('📋 Транзакції'!$B$5:$B$3623,A387,'📋 Транзакції'!$C$5:$C$3623,"&gt;="&amp;EDATE(DATEVALUE(C387&amp;"-01"),10),'📋 Транзакції'!$C$5:$C$3623,"&lt;"&amp;EDATE(DATEVALUE(C387&amp;"-01"),11))&gt;0,1,0)</f>
        <v>0</v>
      </c>
      <c r="R387" s="37">
        <f>IF(COUNTIFS('📋 Транзакції'!$B$5:$B$3623,A387,'📋 Транзакції'!$C$5:$C$3623,"&gt;="&amp;EDATE(DATEVALUE(C387&amp;"-01"),11),'📋 Транзакції'!$C$5:$C$3623,"&lt;"&amp;EDATE(DATEVALUE(C387&amp;"-01"),12))&gt;0,1,0)</f>
        <v>0</v>
      </c>
      <c r="S387" s="37">
        <f>SUMIFS('📋 Транзакції'!$F$5:$F$3623,'📋 Транзакції'!$B$5:$B$3623,A387,'📋 Транзакції'!$C$5:$C$3623,"&gt;="&amp;EDATE(DATEVALUE(C387&amp;"-01"),0),'📋 Транзакції'!$C$5:$C$3623,"&lt;"&amp;EDATE(DATEVALUE(C387&amp;"-01"),1))</f>
        <v>19.99</v>
      </c>
      <c r="T387" s="37">
        <f>SUMIFS('📋 Транзакції'!$F$5:$F$3623,'📋 Транзакції'!$B$5:$B$3623,A387,'📋 Транзакції'!$C$5:$C$3623,"&gt;="&amp;EDATE(DATEVALUE(C387&amp;"-01"),1),'📋 Транзакції'!$C$5:$C$3623,"&lt;"&amp;EDATE(DATEVALUE(C387&amp;"-01"),2))</f>
        <v>19.99</v>
      </c>
      <c r="U387" s="37">
        <f>SUMIFS('📋 Транзакції'!$F$5:$F$3623,'📋 Транзакції'!$B$5:$B$3623,A387,'📋 Транзакції'!$C$5:$C$3623,"&gt;="&amp;EDATE(DATEVALUE(C387&amp;"-01"),2),'📋 Транзакції'!$C$5:$C$3623,"&lt;"&amp;EDATE(DATEVALUE(C387&amp;"-01"),3))</f>
        <v>19.99</v>
      </c>
      <c r="V387" s="37">
        <f>SUMIFS('📋 Транзакції'!$F$5:$F$3623,'📋 Транзакції'!$B$5:$B$3623,A387,'📋 Транзакції'!$C$5:$C$3623,"&gt;="&amp;EDATE(DATEVALUE(C387&amp;"-01"),3),'📋 Транзакції'!$C$5:$C$3623,"&lt;"&amp;EDATE(DATEVALUE(C387&amp;"-01"),4))</f>
        <v>19.99</v>
      </c>
      <c r="W387" s="37">
        <f>SUMIFS('📋 Транзакції'!$F$5:$F$3623,'📋 Транзакції'!$B$5:$B$3623,A387,'📋 Транзакції'!$C$5:$C$3623,"&gt;="&amp;EDATE(DATEVALUE(C387&amp;"-01"),4),'📋 Транзакції'!$C$5:$C$3623,"&lt;"&amp;EDATE(DATEVALUE(C387&amp;"-01"),5))</f>
        <v>19.99</v>
      </c>
      <c r="X387" s="37">
        <f>SUMIFS('📋 Транзакції'!$F$5:$F$3623,'📋 Транзакції'!$B$5:$B$3623,A387,'📋 Транзакції'!$C$5:$C$3623,"&gt;="&amp;EDATE(DATEVALUE(C387&amp;"-01"),5),'📋 Транзакції'!$C$5:$C$3623,"&lt;"&amp;EDATE(DATEVALUE(C387&amp;"-01"),6))</f>
        <v>0</v>
      </c>
      <c r="Y387" s="37">
        <f>SUMIFS('📋 Транзакції'!$F$5:$F$3623,'📋 Транзакції'!$B$5:$B$3623,A387,'📋 Транзакції'!$C$5:$C$3623,"&gt;="&amp;EDATE(DATEVALUE(C387&amp;"-01"),6),'📋 Транзакції'!$C$5:$C$3623,"&lt;"&amp;EDATE(DATEVALUE(C387&amp;"-01"),7))</f>
        <v>0</v>
      </c>
      <c r="Z387" s="37">
        <f>SUMIFS('📋 Транзакції'!$F$5:$F$3623,'📋 Транзакції'!$B$5:$B$3623,A387,'📋 Транзакції'!$C$5:$C$3623,"&gt;="&amp;EDATE(DATEVALUE(C387&amp;"-01"),7),'📋 Транзакції'!$C$5:$C$3623,"&lt;"&amp;EDATE(DATEVALUE(C387&amp;"-01"),8))</f>
        <v>0</v>
      </c>
      <c r="AA387" s="37">
        <f>SUMIFS('📋 Транзакції'!$F$5:$F$3623,'📋 Транзакції'!$B$5:$B$3623,A387,'📋 Транзакції'!$C$5:$C$3623,"&gt;="&amp;EDATE(DATEVALUE(C387&amp;"-01"),8),'📋 Транзакції'!$C$5:$C$3623,"&lt;"&amp;EDATE(DATEVALUE(C387&amp;"-01"),9))</f>
        <v>0</v>
      </c>
      <c r="AB387" s="37">
        <f>SUMIFS('📋 Транзакції'!$F$5:$F$3623,'📋 Транзакції'!$B$5:$B$3623,A387,'📋 Транзакції'!$C$5:$C$3623,"&gt;="&amp;EDATE(DATEVALUE(C387&amp;"-01"),9),'📋 Транзакції'!$C$5:$C$3623,"&lt;"&amp;EDATE(DATEVALUE(C387&amp;"-01"),10))</f>
        <v>0</v>
      </c>
      <c r="AC387" s="37">
        <f>SUMIFS('📋 Транзакції'!$F$5:$F$3623,'📋 Транзакції'!$B$5:$B$3623,A387,'📋 Транзакції'!$C$5:$C$3623,"&gt;="&amp;EDATE(DATEVALUE(C387&amp;"-01"),10),'📋 Транзакції'!$C$5:$C$3623,"&lt;"&amp;EDATE(DATEVALUE(C387&amp;"-01"),11))</f>
        <v>0</v>
      </c>
      <c r="AD387" s="37">
        <f>SUMIFS('📋 Транзакції'!$F$5:$F$3623,'📋 Транзакції'!$B$5:$B$3623,A387,'📋 Транзакції'!$C$5:$C$3623,"&gt;="&amp;EDATE(DATEVALUE(C387&amp;"-01"),11),'📋 Транзакції'!$C$5:$C$3623,"&lt;"&amp;EDATE(DATEVALUE(C387&amp;"-01"),12))</f>
        <v>0</v>
      </c>
    </row>
    <row r="388" ht="15.75" customHeight="1">
      <c r="A388" s="33" t="str">
        <f>'📋 Реєстрації'!A388:A989</f>
        <v>U0031</v>
      </c>
      <c r="B388" s="34">
        <f t="array" ref="B388">INDEX('📋 Транзакції'!$C$5:$C$3623,MATCH(A388,'📋 Транзакції'!$B$5:$B$3623,0))</f>
        <v>45614</v>
      </c>
      <c r="C388" s="35" t="str">
        <f t="shared" si="1"/>
        <v>2024-11</v>
      </c>
      <c r="D388" s="36">
        <f>COUNTIF('📋 Транзакції'!$B$5:$B$3623,A388)</f>
        <v>4</v>
      </c>
      <c r="E388" s="36">
        <f>SUMIF('📋 Транзакції'!$B$5:$B$3623,A388,'📋 Транзакції'!$F$5:$F$3623)</f>
        <v>59.97</v>
      </c>
      <c r="F388" s="35">
        <f>INT($A$1-MAXIFS('📋 Транзакції'!$C$5:$C$3623,'📋 Транзакції'!$B$5:$B$3623,A388))</f>
        <v>66</v>
      </c>
      <c r="G388" s="37">
        <f>IF(COUNTIFS('📋 Транзакції'!$B$5:$B$3623,A388,'📋 Транзакції'!$C$5:$C$3623,"&gt;="&amp;EDATE(DATEVALUE(C388&amp;"-01"),0),'📋 Транзакції'!$C$5:$C$3623,"&lt;"&amp;EDATE(DATEVALUE(C388&amp;"-01"),1))&gt;0,1,0)</f>
        <v>1</v>
      </c>
      <c r="H388" s="37">
        <f>IF(COUNTIFS('📋 Транзакції'!$B$5:$B$3623,A388,'📋 Транзакції'!$C$5:$C$3623,"&gt;="&amp;EDATE(DATEVALUE(C388&amp;"-01"),1),'📋 Транзакції'!$C$5:$C$3623,"&lt;"&amp;EDATE(DATEVALUE(C388&amp;"-01"),2))&gt;0,1,0)</f>
        <v>1</v>
      </c>
      <c r="I388" s="37">
        <f>IF(COUNTIFS('📋 Транзакції'!$B$5:$B$3623,A388,'📋 Транзакції'!$C$5:$C$3623,"&gt;="&amp;EDATE(DATEVALUE(C388&amp;"-01"),2),'📋 Транзакції'!$C$5:$C$3623,"&lt;"&amp;EDATE(DATEVALUE(C388&amp;"-01"),3))&gt;0,1,0)</f>
        <v>1</v>
      </c>
      <c r="J388" s="37">
        <f>IF(COUNTIFS('📋 Транзакції'!$B$5:$B$3623,A388,'📋 Транзакції'!$C$5:$C$3623,"&gt;="&amp;EDATE(DATEVALUE(C388&amp;"-01"),3),'📋 Транзакції'!$C$5:$C$3623,"&lt;"&amp;EDATE(DATEVALUE(C388&amp;"-01"),4))&gt;0,1,0)</f>
        <v>0</v>
      </c>
      <c r="K388" s="37">
        <f>IF(COUNTIFS('📋 Транзакції'!$B$5:$B$3623,A388,'📋 Транзакції'!$C$5:$C$3623,"&gt;="&amp;EDATE(DATEVALUE(C388&amp;"-01"),4),'📋 Транзакції'!$C$5:$C$3623,"&lt;"&amp;EDATE(DATEVALUE(C388&amp;"-01"),5))&gt;0,1,0)</f>
        <v>0</v>
      </c>
      <c r="L388" s="37">
        <f>IF(COUNTIFS('📋 Транзакції'!$B$5:$B$3623,A388,'📋 Транзакції'!$C$5:$C$3623,"&gt;="&amp;EDATE(DATEVALUE(C388&amp;"-01"),5),'📋 Транзакції'!$C$5:$C$3623,"&lt;"&amp;EDATE(DATEVALUE(C388&amp;"-01"),6))&gt;0,1,0)</f>
        <v>0</v>
      </c>
      <c r="M388" s="37">
        <f>IF(COUNTIFS('📋 Транзакції'!$B$5:$B$3623,A388,'📋 Транзакції'!$C$5:$C$3623,"&gt;="&amp;EDATE(DATEVALUE(C388&amp;"-01"),6),'📋 Транзакції'!$C$5:$C$3623,"&lt;"&amp;EDATE(DATEVALUE(C388&amp;"-01"),7))&gt;0,1,0)</f>
        <v>0</v>
      </c>
      <c r="N388" s="37">
        <f>IF(COUNTIFS('📋 Транзакції'!$B$5:$B$3623,A388,'📋 Транзакції'!$C$5:$C$3623,"&gt;="&amp;EDATE(DATEVALUE(C388&amp;"-01"),7),'📋 Транзакції'!$C$5:$C$3623,"&lt;"&amp;EDATE(DATEVALUE(C388&amp;"-01"),8))&gt;0,1,0)</f>
        <v>0</v>
      </c>
      <c r="O388" s="37">
        <f>IF(COUNTIFS('📋 Транзакції'!$B$5:$B$3623,A388,'📋 Транзакції'!$C$5:$C$3623,"&gt;="&amp;EDATE(DATEVALUE(C388&amp;"-01"),8),'📋 Транзакції'!$C$5:$C$3623,"&lt;"&amp;EDATE(DATEVALUE(C388&amp;"-01"),9))&gt;0,1,0)</f>
        <v>0</v>
      </c>
      <c r="P388" s="37">
        <f>IF(COUNTIFS('📋 Транзакції'!$B$5:$B$3623,A388,'📋 Транзакції'!$C$5:$C$3623,"&gt;="&amp;EDATE(DATEVALUE(C388&amp;"-01"),9),'📋 Транзакції'!$C$5:$C$3623,"&lt;"&amp;EDATE(DATEVALUE(C388&amp;"-01"),10))&gt;0,1,0)</f>
        <v>0</v>
      </c>
      <c r="Q388" s="37">
        <f>IF(COUNTIFS('📋 Транзакції'!$B$5:$B$3623,A388,'📋 Транзакції'!$C$5:$C$3623,"&gt;="&amp;EDATE(DATEVALUE(C388&amp;"-01"),10),'📋 Транзакції'!$C$5:$C$3623,"&lt;"&amp;EDATE(DATEVALUE(C388&amp;"-01"),11))&gt;0,1,0)</f>
        <v>0</v>
      </c>
      <c r="R388" s="37">
        <f>IF(COUNTIFS('📋 Транзакції'!$B$5:$B$3623,A388,'📋 Транзакції'!$C$5:$C$3623,"&gt;="&amp;EDATE(DATEVALUE(C388&amp;"-01"),11),'📋 Транзакції'!$C$5:$C$3623,"&lt;"&amp;EDATE(DATEVALUE(C388&amp;"-01"),12))&gt;0,1,0)</f>
        <v>0</v>
      </c>
      <c r="S388" s="37">
        <f>SUMIFS('📋 Транзакції'!$F$5:$F$3623,'📋 Транзакції'!$B$5:$B$3623,A388,'📋 Транзакції'!$C$5:$C$3623,"&gt;="&amp;EDATE(DATEVALUE(C388&amp;"-01"),0),'📋 Транзакції'!$C$5:$C$3623,"&lt;"&amp;EDATE(DATEVALUE(C388&amp;"-01"),1))</f>
        <v>19.99</v>
      </c>
      <c r="T388" s="37">
        <f>SUMIFS('📋 Транзакції'!$F$5:$F$3623,'📋 Транзакції'!$B$5:$B$3623,A388,'📋 Транзакції'!$C$5:$C$3623,"&gt;="&amp;EDATE(DATEVALUE(C388&amp;"-01"),1),'📋 Транзакції'!$C$5:$C$3623,"&lt;"&amp;EDATE(DATEVALUE(C388&amp;"-01"),2))</f>
        <v>19.99</v>
      </c>
      <c r="U388" s="37">
        <f>SUMIFS('📋 Транзакції'!$F$5:$F$3623,'📋 Транзакції'!$B$5:$B$3623,A388,'📋 Транзакції'!$C$5:$C$3623,"&gt;="&amp;EDATE(DATEVALUE(C388&amp;"-01"),2),'📋 Транзакції'!$C$5:$C$3623,"&lt;"&amp;EDATE(DATEVALUE(C388&amp;"-01"),3))</f>
        <v>19.99</v>
      </c>
      <c r="V388" s="37">
        <f>SUMIFS('📋 Транзакції'!$F$5:$F$3623,'📋 Транзакції'!$B$5:$B$3623,A388,'📋 Транзакції'!$C$5:$C$3623,"&gt;="&amp;EDATE(DATEVALUE(C388&amp;"-01"),3),'📋 Транзакції'!$C$5:$C$3623,"&lt;"&amp;EDATE(DATEVALUE(C388&amp;"-01"),4))</f>
        <v>0</v>
      </c>
      <c r="W388" s="37">
        <f>SUMIFS('📋 Транзакції'!$F$5:$F$3623,'📋 Транзакції'!$B$5:$B$3623,A388,'📋 Транзакції'!$C$5:$C$3623,"&gt;="&amp;EDATE(DATEVALUE(C388&amp;"-01"),4),'📋 Транзакції'!$C$5:$C$3623,"&lt;"&amp;EDATE(DATEVALUE(C388&amp;"-01"),5))</f>
        <v>0</v>
      </c>
      <c r="X388" s="37">
        <f>SUMIFS('📋 Транзакції'!$F$5:$F$3623,'📋 Транзакції'!$B$5:$B$3623,A388,'📋 Транзакції'!$C$5:$C$3623,"&gt;="&amp;EDATE(DATEVALUE(C388&amp;"-01"),5),'📋 Транзакції'!$C$5:$C$3623,"&lt;"&amp;EDATE(DATEVALUE(C388&amp;"-01"),6))</f>
        <v>0</v>
      </c>
      <c r="Y388" s="37">
        <f>SUMIFS('📋 Транзакції'!$F$5:$F$3623,'📋 Транзакції'!$B$5:$B$3623,A388,'📋 Транзакції'!$C$5:$C$3623,"&gt;="&amp;EDATE(DATEVALUE(C388&amp;"-01"),6),'📋 Транзакції'!$C$5:$C$3623,"&lt;"&amp;EDATE(DATEVALUE(C388&amp;"-01"),7))</f>
        <v>0</v>
      </c>
      <c r="Z388" s="37">
        <f>SUMIFS('📋 Транзакції'!$F$5:$F$3623,'📋 Транзакції'!$B$5:$B$3623,A388,'📋 Транзакції'!$C$5:$C$3623,"&gt;="&amp;EDATE(DATEVALUE(C388&amp;"-01"),7),'📋 Транзакції'!$C$5:$C$3623,"&lt;"&amp;EDATE(DATEVALUE(C388&amp;"-01"),8))</f>
        <v>0</v>
      </c>
      <c r="AA388" s="37">
        <f>SUMIFS('📋 Транзакції'!$F$5:$F$3623,'📋 Транзакції'!$B$5:$B$3623,A388,'📋 Транзакції'!$C$5:$C$3623,"&gt;="&amp;EDATE(DATEVALUE(C388&amp;"-01"),8),'📋 Транзакції'!$C$5:$C$3623,"&lt;"&amp;EDATE(DATEVALUE(C388&amp;"-01"),9))</f>
        <v>0</v>
      </c>
      <c r="AB388" s="37">
        <f>SUMIFS('📋 Транзакції'!$F$5:$F$3623,'📋 Транзакції'!$B$5:$B$3623,A388,'📋 Транзакції'!$C$5:$C$3623,"&gt;="&amp;EDATE(DATEVALUE(C388&amp;"-01"),9),'📋 Транзакції'!$C$5:$C$3623,"&lt;"&amp;EDATE(DATEVALUE(C388&amp;"-01"),10))</f>
        <v>0</v>
      </c>
      <c r="AC388" s="37">
        <f>SUMIFS('📋 Транзакції'!$F$5:$F$3623,'📋 Транзакції'!$B$5:$B$3623,A388,'📋 Транзакції'!$C$5:$C$3623,"&gt;="&amp;EDATE(DATEVALUE(C388&amp;"-01"),10),'📋 Транзакції'!$C$5:$C$3623,"&lt;"&amp;EDATE(DATEVALUE(C388&amp;"-01"),11))</f>
        <v>0</v>
      </c>
      <c r="AD388" s="37">
        <f>SUMIFS('📋 Транзакції'!$F$5:$F$3623,'📋 Транзакції'!$B$5:$B$3623,A388,'📋 Транзакції'!$C$5:$C$3623,"&gt;="&amp;EDATE(DATEVALUE(C388&amp;"-01"),11),'📋 Транзакції'!$C$5:$C$3623,"&lt;"&amp;EDATE(DATEVALUE(C388&amp;"-01"),12))</f>
        <v>0</v>
      </c>
    </row>
    <row r="389" ht="15.75" customHeight="1">
      <c r="A389" s="33" t="str">
        <f>'📋 Реєстрації'!A389:A990</f>
        <v>U0205</v>
      </c>
      <c r="B389" s="34">
        <f t="array" ref="B389">INDEX('📋 Транзакції'!$C$5:$C$3623,MATCH(A389,'📋 Транзакції'!$B$5:$B$3623,0))</f>
        <v>45614</v>
      </c>
      <c r="C389" s="35" t="str">
        <f t="shared" si="1"/>
        <v>2024-11</v>
      </c>
      <c r="D389" s="36">
        <f>COUNTIF('📋 Транзакції'!$B$5:$B$3623,A389)</f>
        <v>4</v>
      </c>
      <c r="E389" s="36">
        <f>SUMIF('📋 Транзакції'!$B$5:$B$3623,A389,'📋 Транзакції'!$F$5:$F$3623)</f>
        <v>59.97</v>
      </c>
      <c r="F389" s="35">
        <f>INT($A$1-MAXIFS('📋 Транзакції'!$C$5:$C$3623,'📋 Транзакції'!$B$5:$B$3623,A389))</f>
        <v>66</v>
      </c>
      <c r="G389" s="37">
        <f>IF(COUNTIFS('📋 Транзакції'!$B$5:$B$3623,A389,'📋 Транзакції'!$C$5:$C$3623,"&gt;="&amp;EDATE(DATEVALUE(C389&amp;"-01"),0),'📋 Транзакції'!$C$5:$C$3623,"&lt;"&amp;EDATE(DATEVALUE(C389&amp;"-01"),1))&gt;0,1,0)</f>
        <v>1</v>
      </c>
      <c r="H389" s="37">
        <f>IF(COUNTIFS('📋 Транзакції'!$B$5:$B$3623,A389,'📋 Транзакції'!$C$5:$C$3623,"&gt;="&amp;EDATE(DATEVALUE(C389&amp;"-01"),1),'📋 Транзакції'!$C$5:$C$3623,"&lt;"&amp;EDATE(DATEVALUE(C389&amp;"-01"),2))&gt;0,1,0)</f>
        <v>1</v>
      </c>
      <c r="I389" s="37">
        <f>IF(COUNTIFS('📋 Транзакції'!$B$5:$B$3623,A389,'📋 Транзакції'!$C$5:$C$3623,"&gt;="&amp;EDATE(DATEVALUE(C389&amp;"-01"),2),'📋 Транзакції'!$C$5:$C$3623,"&lt;"&amp;EDATE(DATEVALUE(C389&amp;"-01"),3))&gt;0,1,0)</f>
        <v>1</v>
      </c>
      <c r="J389" s="37">
        <f>IF(COUNTIFS('📋 Транзакції'!$B$5:$B$3623,A389,'📋 Транзакції'!$C$5:$C$3623,"&gt;="&amp;EDATE(DATEVALUE(C389&amp;"-01"),3),'📋 Транзакції'!$C$5:$C$3623,"&lt;"&amp;EDATE(DATEVALUE(C389&amp;"-01"),4))&gt;0,1,0)</f>
        <v>0</v>
      </c>
      <c r="K389" s="37">
        <f>IF(COUNTIFS('📋 Транзакції'!$B$5:$B$3623,A389,'📋 Транзакції'!$C$5:$C$3623,"&gt;="&amp;EDATE(DATEVALUE(C389&amp;"-01"),4),'📋 Транзакції'!$C$5:$C$3623,"&lt;"&amp;EDATE(DATEVALUE(C389&amp;"-01"),5))&gt;0,1,0)</f>
        <v>0</v>
      </c>
      <c r="L389" s="37">
        <f>IF(COUNTIFS('📋 Транзакції'!$B$5:$B$3623,A389,'📋 Транзакції'!$C$5:$C$3623,"&gt;="&amp;EDATE(DATEVALUE(C389&amp;"-01"),5),'📋 Транзакції'!$C$5:$C$3623,"&lt;"&amp;EDATE(DATEVALUE(C389&amp;"-01"),6))&gt;0,1,0)</f>
        <v>0</v>
      </c>
      <c r="M389" s="37">
        <f>IF(COUNTIFS('📋 Транзакції'!$B$5:$B$3623,A389,'📋 Транзакції'!$C$5:$C$3623,"&gt;="&amp;EDATE(DATEVALUE(C389&amp;"-01"),6),'📋 Транзакції'!$C$5:$C$3623,"&lt;"&amp;EDATE(DATEVALUE(C389&amp;"-01"),7))&gt;0,1,0)</f>
        <v>0</v>
      </c>
      <c r="N389" s="37">
        <f>IF(COUNTIFS('📋 Транзакції'!$B$5:$B$3623,A389,'📋 Транзакції'!$C$5:$C$3623,"&gt;="&amp;EDATE(DATEVALUE(C389&amp;"-01"),7),'📋 Транзакції'!$C$5:$C$3623,"&lt;"&amp;EDATE(DATEVALUE(C389&amp;"-01"),8))&gt;0,1,0)</f>
        <v>0</v>
      </c>
      <c r="O389" s="37">
        <f>IF(COUNTIFS('📋 Транзакції'!$B$5:$B$3623,A389,'📋 Транзакції'!$C$5:$C$3623,"&gt;="&amp;EDATE(DATEVALUE(C389&amp;"-01"),8),'📋 Транзакції'!$C$5:$C$3623,"&lt;"&amp;EDATE(DATEVALUE(C389&amp;"-01"),9))&gt;0,1,0)</f>
        <v>0</v>
      </c>
      <c r="P389" s="37">
        <f>IF(COUNTIFS('📋 Транзакції'!$B$5:$B$3623,A389,'📋 Транзакції'!$C$5:$C$3623,"&gt;="&amp;EDATE(DATEVALUE(C389&amp;"-01"),9),'📋 Транзакції'!$C$5:$C$3623,"&lt;"&amp;EDATE(DATEVALUE(C389&amp;"-01"),10))&gt;0,1,0)</f>
        <v>0</v>
      </c>
      <c r="Q389" s="37">
        <f>IF(COUNTIFS('📋 Транзакції'!$B$5:$B$3623,A389,'📋 Транзакції'!$C$5:$C$3623,"&gt;="&amp;EDATE(DATEVALUE(C389&amp;"-01"),10),'📋 Транзакції'!$C$5:$C$3623,"&lt;"&amp;EDATE(DATEVALUE(C389&amp;"-01"),11))&gt;0,1,0)</f>
        <v>0</v>
      </c>
      <c r="R389" s="37">
        <f>IF(COUNTIFS('📋 Транзакції'!$B$5:$B$3623,A389,'📋 Транзакції'!$C$5:$C$3623,"&gt;="&amp;EDATE(DATEVALUE(C389&amp;"-01"),11),'📋 Транзакції'!$C$5:$C$3623,"&lt;"&amp;EDATE(DATEVALUE(C389&amp;"-01"),12))&gt;0,1,0)</f>
        <v>0</v>
      </c>
      <c r="S389" s="37">
        <f>SUMIFS('📋 Транзакції'!$F$5:$F$3623,'📋 Транзакції'!$B$5:$B$3623,A389,'📋 Транзакції'!$C$5:$C$3623,"&gt;="&amp;EDATE(DATEVALUE(C389&amp;"-01"),0),'📋 Транзакції'!$C$5:$C$3623,"&lt;"&amp;EDATE(DATEVALUE(C389&amp;"-01"),1))</f>
        <v>19.99</v>
      </c>
      <c r="T389" s="37">
        <f>SUMIFS('📋 Транзакції'!$F$5:$F$3623,'📋 Транзакції'!$B$5:$B$3623,A389,'📋 Транзакції'!$C$5:$C$3623,"&gt;="&amp;EDATE(DATEVALUE(C389&amp;"-01"),1),'📋 Транзакції'!$C$5:$C$3623,"&lt;"&amp;EDATE(DATEVALUE(C389&amp;"-01"),2))</f>
        <v>19.99</v>
      </c>
      <c r="U389" s="37">
        <f>SUMIFS('📋 Транзакції'!$F$5:$F$3623,'📋 Транзакції'!$B$5:$B$3623,A389,'📋 Транзакції'!$C$5:$C$3623,"&gt;="&amp;EDATE(DATEVALUE(C389&amp;"-01"),2),'📋 Транзакції'!$C$5:$C$3623,"&lt;"&amp;EDATE(DATEVALUE(C389&amp;"-01"),3))</f>
        <v>19.99</v>
      </c>
      <c r="V389" s="37">
        <f>SUMIFS('📋 Транзакції'!$F$5:$F$3623,'📋 Транзакції'!$B$5:$B$3623,A389,'📋 Транзакції'!$C$5:$C$3623,"&gt;="&amp;EDATE(DATEVALUE(C389&amp;"-01"),3),'📋 Транзакції'!$C$5:$C$3623,"&lt;"&amp;EDATE(DATEVALUE(C389&amp;"-01"),4))</f>
        <v>0</v>
      </c>
      <c r="W389" s="37">
        <f>SUMIFS('📋 Транзакції'!$F$5:$F$3623,'📋 Транзакції'!$B$5:$B$3623,A389,'📋 Транзакції'!$C$5:$C$3623,"&gt;="&amp;EDATE(DATEVALUE(C389&amp;"-01"),4),'📋 Транзакції'!$C$5:$C$3623,"&lt;"&amp;EDATE(DATEVALUE(C389&amp;"-01"),5))</f>
        <v>0</v>
      </c>
      <c r="X389" s="37">
        <f>SUMIFS('📋 Транзакції'!$F$5:$F$3623,'📋 Транзакції'!$B$5:$B$3623,A389,'📋 Транзакції'!$C$5:$C$3623,"&gt;="&amp;EDATE(DATEVALUE(C389&amp;"-01"),5),'📋 Транзакції'!$C$5:$C$3623,"&lt;"&amp;EDATE(DATEVALUE(C389&amp;"-01"),6))</f>
        <v>0</v>
      </c>
      <c r="Y389" s="37">
        <f>SUMIFS('📋 Транзакції'!$F$5:$F$3623,'📋 Транзакції'!$B$5:$B$3623,A389,'📋 Транзакції'!$C$5:$C$3623,"&gt;="&amp;EDATE(DATEVALUE(C389&amp;"-01"),6),'📋 Транзакції'!$C$5:$C$3623,"&lt;"&amp;EDATE(DATEVALUE(C389&amp;"-01"),7))</f>
        <v>0</v>
      </c>
      <c r="Z389" s="37">
        <f>SUMIFS('📋 Транзакції'!$F$5:$F$3623,'📋 Транзакції'!$B$5:$B$3623,A389,'📋 Транзакції'!$C$5:$C$3623,"&gt;="&amp;EDATE(DATEVALUE(C389&amp;"-01"),7),'📋 Транзакції'!$C$5:$C$3623,"&lt;"&amp;EDATE(DATEVALUE(C389&amp;"-01"),8))</f>
        <v>0</v>
      </c>
      <c r="AA389" s="37">
        <f>SUMIFS('📋 Транзакції'!$F$5:$F$3623,'📋 Транзакції'!$B$5:$B$3623,A389,'📋 Транзакції'!$C$5:$C$3623,"&gt;="&amp;EDATE(DATEVALUE(C389&amp;"-01"),8),'📋 Транзакції'!$C$5:$C$3623,"&lt;"&amp;EDATE(DATEVALUE(C389&amp;"-01"),9))</f>
        <v>0</v>
      </c>
      <c r="AB389" s="37">
        <f>SUMIFS('📋 Транзакції'!$F$5:$F$3623,'📋 Транзакції'!$B$5:$B$3623,A389,'📋 Транзакції'!$C$5:$C$3623,"&gt;="&amp;EDATE(DATEVALUE(C389&amp;"-01"),9),'📋 Транзакції'!$C$5:$C$3623,"&lt;"&amp;EDATE(DATEVALUE(C389&amp;"-01"),10))</f>
        <v>0</v>
      </c>
      <c r="AC389" s="37">
        <f>SUMIFS('📋 Транзакції'!$F$5:$F$3623,'📋 Транзакції'!$B$5:$B$3623,A389,'📋 Транзакції'!$C$5:$C$3623,"&gt;="&amp;EDATE(DATEVALUE(C389&amp;"-01"),10),'📋 Транзакції'!$C$5:$C$3623,"&lt;"&amp;EDATE(DATEVALUE(C389&amp;"-01"),11))</f>
        <v>0</v>
      </c>
      <c r="AD389" s="37">
        <f>SUMIFS('📋 Транзакції'!$F$5:$F$3623,'📋 Транзакції'!$B$5:$B$3623,A389,'📋 Транзакції'!$C$5:$C$3623,"&gt;="&amp;EDATE(DATEVALUE(C389&amp;"-01"),11),'📋 Транзакції'!$C$5:$C$3623,"&lt;"&amp;EDATE(DATEVALUE(C389&amp;"-01"),12))</f>
        <v>0</v>
      </c>
    </row>
    <row r="390" ht="15.75" customHeight="1">
      <c r="A390" s="33" t="str">
        <f>'📋 Реєстрації'!A390:A991</f>
        <v>U0757</v>
      </c>
      <c r="B390" s="34">
        <f t="array" ref="B390">INDEX('📋 Транзакції'!$C$5:$C$3623,MATCH(A390,'📋 Транзакції'!$B$5:$B$3623,0))</f>
        <v>45614</v>
      </c>
      <c r="C390" s="35" t="str">
        <f t="shared" si="1"/>
        <v>2024-11</v>
      </c>
      <c r="D390" s="36">
        <f>COUNTIF('📋 Транзакції'!$B$5:$B$3623,A390)</f>
        <v>6</v>
      </c>
      <c r="E390" s="36">
        <f>SUMIF('📋 Транзакції'!$B$5:$B$3623,A390,'📋 Транзакції'!$F$5:$F$3623)</f>
        <v>99.95</v>
      </c>
      <c r="F390" s="35">
        <f>INT($A$1-MAXIFS('📋 Транзакції'!$C$5:$C$3623,'📋 Транзакції'!$B$5:$B$3623,A390))</f>
        <v>6</v>
      </c>
      <c r="G390" s="37">
        <f>IF(COUNTIFS('📋 Транзакції'!$B$5:$B$3623,A390,'📋 Транзакції'!$C$5:$C$3623,"&gt;="&amp;EDATE(DATEVALUE(C390&amp;"-01"),0),'📋 Транзакції'!$C$5:$C$3623,"&lt;"&amp;EDATE(DATEVALUE(C390&amp;"-01"),1))&gt;0,1,0)</f>
        <v>1</v>
      </c>
      <c r="H390" s="37">
        <f>IF(COUNTIFS('📋 Транзакції'!$B$5:$B$3623,A390,'📋 Транзакції'!$C$5:$C$3623,"&gt;="&amp;EDATE(DATEVALUE(C390&amp;"-01"),1),'📋 Транзакції'!$C$5:$C$3623,"&lt;"&amp;EDATE(DATEVALUE(C390&amp;"-01"),2))&gt;0,1,0)</f>
        <v>1</v>
      </c>
      <c r="I390" s="37">
        <f>IF(COUNTIFS('📋 Транзакції'!$B$5:$B$3623,A390,'📋 Транзакції'!$C$5:$C$3623,"&gt;="&amp;EDATE(DATEVALUE(C390&amp;"-01"),2),'📋 Транзакції'!$C$5:$C$3623,"&lt;"&amp;EDATE(DATEVALUE(C390&amp;"-01"),3))&gt;0,1,0)</f>
        <v>1</v>
      </c>
      <c r="J390" s="37">
        <f>IF(COUNTIFS('📋 Транзакції'!$B$5:$B$3623,A390,'📋 Транзакції'!$C$5:$C$3623,"&gt;="&amp;EDATE(DATEVALUE(C390&amp;"-01"),3),'📋 Транзакції'!$C$5:$C$3623,"&lt;"&amp;EDATE(DATEVALUE(C390&amp;"-01"),4))&gt;0,1,0)</f>
        <v>1</v>
      </c>
      <c r="K390" s="37">
        <f>IF(COUNTIFS('📋 Транзакції'!$B$5:$B$3623,A390,'📋 Транзакції'!$C$5:$C$3623,"&gt;="&amp;EDATE(DATEVALUE(C390&amp;"-01"),4),'📋 Транзакції'!$C$5:$C$3623,"&lt;"&amp;EDATE(DATEVALUE(C390&amp;"-01"),5))&gt;0,1,0)</f>
        <v>1</v>
      </c>
      <c r="L390" s="37">
        <f>IF(COUNTIFS('📋 Транзакції'!$B$5:$B$3623,A390,'📋 Транзакції'!$C$5:$C$3623,"&gt;="&amp;EDATE(DATEVALUE(C390&amp;"-01"),5),'📋 Транзакції'!$C$5:$C$3623,"&lt;"&amp;EDATE(DATEVALUE(C390&amp;"-01"),6))&gt;0,1,0)</f>
        <v>0</v>
      </c>
      <c r="M390" s="37">
        <f>IF(COUNTIFS('📋 Транзакції'!$B$5:$B$3623,A390,'📋 Транзакції'!$C$5:$C$3623,"&gt;="&amp;EDATE(DATEVALUE(C390&amp;"-01"),6),'📋 Транзакції'!$C$5:$C$3623,"&lt;"&amp;EDATE(DATEVALUE(C390&amp;"-01"),7))&gt;0,1,0)</f>
        <v>0</v>
      </c>
      <c r="N390" s="37">
        <f>IF(COUNTIFS('📋 Транзакції'!$B$5:$B$3623,A390,'📋 Транзакції'!$C$5:$C$3623,"&gt;="&amp;EDATE(DATEVALUE(C390&amp;"-01"),7),'📋 Транзакції'!$C$5:$C$3623,"&lt;"&amp;EDATE(DATEVALUE(C390&amp;"-01"),8))&gt;0,1,0)</f>
        <v>0</v>
      </c>
      <c r="O390" s="37">
        <f>IF(COUNTIFS('📋 Транзакції'!$B$5:$B$3623,A390,'📋 Транзакції'!$C$5:$C$3623,"&gt;="&amp;EDATE(DATEVALUE(C390&amp;"-01"),8),'📋 Транзакції'!$C$5:$C$3623,"&lt;"&amp;EDATE(DATEVALUE(C390&amp;"-01"),9))&gt;0,1,0)</f>
        <v>0</v>
      </c>
      <c r="P390" s="37">
        <f>IF(COUNTIFS('📋 Транзакції'!$B$5:$B$3623,A390,'📋 Транзакції'!$C$5:$C$3623,"&gt;="&amp;EDATE(DATEVALUE(C390&amp;"-01"),9),'📋 Транзакції'!$C$5:$C$3623,"&lt;"&amp;EDATE(DATEVALUE(C390&amp;"-01"),10))&gt;0,1,0)</f>
        <v>0</v>
      </c>
      <c r="Q390" s="37">
        <f>IF(COUNTIFS('📋 Транзакції'!$B$5:$B$3623,A390,'📋 Транзакції'!$C$5:$C$3623,"&gt;="&amp;EDATE(DATEVALUE(C390&amp;"-01"),10),'📋 Транзакції'!$C$5:$C$3623,"&lt;"&amp;EDATE(DATEVALUE(C390&amp;"-01"),11))&gt;0,1,0)</f>
        <v>0</v>
      </c>
      <c r="R390" s="37">
        <f>IF(COUNTIFS('📋 Транзакції'!$B$5:$B$3623,A390,'📋 Транзакції'!$C$5:$C$3623,"&gt;="&amp;EDATE(DATEVALUE(C390&amp;"-01"),11),'📋 Транзакції'!$C$5:$C$3623,"&lt;"&amp;EDATE(DATEVALUE(C390&amp;"-01"),12))&gt;0,1,0)</f>
        <v>0</v>
      </c>
      <c r="S390" s="37">
        <f>SUMIFS('📋 Транзакції'!$F$5:$F$3623,'📋 Транзакції'!$B$5:$B$3623,A390,'📋 Транзакції'!$C$5:$C$3623,"&gt;="&amp;EDATE(DATEVALUE(C390&amp;"-01"),0),'📋 Транзакції'!$C$5:$C$3623,"&lt;"&amp;EDATE(DATEVALUE(C390&amp;"-01"),1))</f>
        <v>19.99</v>
      </c>
      <c r="T390" s="37">
        <f>SUMIFS('📋 Транзакції'!$F$5:$F$3623,'📋 Транзакції'!$B$5:$B$3623,A390,'📋 Транзакції'!$C$5:$C$3623,"&gt;="&amp;EDATE(DATEVALUE(C390&amp;"-01"),1),'📋 Транзакції'!$C$5:$C$3623,"&lt;"&amp;EDATE(DATEVALUE(C390&amp;"-01"),2))</f>
        <v>19.99</v>
      </c>
      <c r="U390" s="37">
        <f>SUMIFS('📋 Транзакції'!$F$5:$F$3623,'📋 Транзакції'!$B$5:$B$3623,A390,'📋 Транзакції'!$C$5:$C$3623,"&gt;="&amp;EDATE(DATEVALUE(C390&amp;"-01"),2),'📋 Транзакції'!$C$5:$C$3623,"&lt;"&amp;EDATE(DATEVALUE(C390&amp;"-01"),3))</f>
        <v>19.99</v>
      </c>
      <c r="V390" s="37">
        <f>SUMIFS('📋 Транзакції'!$F$5:$F$3623,'📋 Транзакції'!$B$5:$B$3623,A390,'📋 Транзакції'!$C$5:$C$3623,"&gt;="&amp;EDATE(DATEVALUE(C390&amp;"-01"),3),'📋 Транзакції'!$C$5:$C$3623,"&lt;"&amp;EDATE(DATEVALUE(C390&amp;"-01"),4))</f>
        <v>19.99</v>
      </c>
      <c r="W390" s="37">
        <f>SUMIFS('📋 Транзакції'!$F$5:$F$3623,'📋 Транзакції'!$B$5:$B$3623,A390,'📋 Транзакції'!$C$5:$C$3623,"&gt;="&amp;EDATE(DATEVALUE(C390&amp;"-01"),4),'📋 Транзакції'!$C$5:$C$3623,"&lt;"&amp;EDATE(DATEVALUE(C390&amp;"-01"),5))</f>
        <v>19.99</v>
      </c>
      <c r="X390" s="37">
        <f>SUMIFS('📋 Транзакції'!$F$5:$F$3623,'📋 Транзакції'!$B$5:$B$3623,A390,'📋 Транзакції'!$C$5:$C$3623,"&gt;="&amp;EDATE(DATEVALUE(C390&amp;"-01"),5),'📋 Транзакції'!$C$5:$C$3623,"&lt;"&amp;EDATE(DATEVALUE(C390&amp;"-01"),6))</f>
        <v>0</v>
      </c>
      <c r="Y390" s="37">
        <f>SUMIFS('📋 Транзакції'!$F$5:$F$3623,'📋 Транзакції'!$B$5:$B$3623,A390,'📋 Транзакції'!$C$5:$C$3623,"&gt;="&amp;EDATE(DATEVALUE(C390&amp;"-01"),6),'📋 Транзакції'!$C$5:$C$3623,"&lt;"&amp;EDATE(DATEVALUE(C390&amp;"-01"),7))</f>
        <v>0</v>
      </c>
      <c r="Z390" s="37">
        <f>SUMIFS('📋 Транзакції'!$F$5:$F$3623,'📋 Транзакції'!$B$5:$B$3623,A390,'📋 Транзакції'!$C$5:$C$3623,"&gt;="&amp;EDATE(DATEVALUE(C390&amp;"-01"),7),'📋 Транзакції'!$C$5:$C$3623,"&lt;"&amp;EDATE(DATEVALUE(C390&amp;"-01"),8))</f>
        <v>0</v>
      </c>
      <c r="AA390" s="37">
        <f>SUMIFS('📋 Транзакції'!$F$5:$F$3623,'📋 Транзакції'!$B$5:$B$3623,A390,'📋 Транзакції'!$C$5:$C$3623,"&gt;="&amp;EDATE(DATEVALUE(C390&amp;"-01"),8),'📋 Транзакції'!$C$5:$C$3623,"&lt;"&amp;EDATE(DATEVALUE(C390&amp;"-01"),9))</f>
        <v>0</v>
      </c>
      <c r="AB390" s="37">
        <f>SUMIFS('📋 Транзакції'!$F$5:$F$3623,'📋 Транзакції'!$B$5:$B$3623,A390,'📋 Транзакції'!$C$5:$C$3623,"&gt;="&amp;EDATE(DATEVALUE(C390&amp;"-01"),9),'📋 Транзакції'!$C$5:$C$3623,"&lt;"&amp;EDATE(DATEVALUE(C390&amp;"-01"),10))</f>
        <v>0</v>
      </c>
      <c r="AC390" s="37">
        <f>SUMIFS('📋 Транзакції'!$F$5:$F$3623,'📋 Транзакції'!$B$5:$B$3623,A390,'📋 Транзакції'!$C$5:$C$3623,"&gt;="&amp;EDATE(DATEVALUE(C390&amp;"-01"),10),'📋 Транзакції'!$C$5:$C$3623,"&lt;"&amp;EDATE(DATEVALUE(C390&amp;"-01"),11))</f>
        <v>0</v>
      </c>
      <c r="AD390" s="37">
        <f>SUMIFS('📋 Транзакції'!$F$5:$F$3623,'📋 Транзакції'!$B$5:$B$3623,A390,'📋 Транзакції'!$C$5:$C$3623,"&gt;="&amp;EDATE(DATEVALUE(C390&amp;"-01"),11),'📋 Транзакції'!$C$5:$C$3623,"&lt;"&amp;EDATE(DATEVALUE(C390&amp;"-01"),12))</f>
        <v>0</v>
      </c>
    </row>
    <row r="391" ht="15.75" customHeight="1">
      <c r="A391" s="33" t="str">
        <f>'📋 Реєстрації'!A391:A992</f>
        <v>U0082</v>
      </c>
      <c r="B391" s="34">
        <f t="array" ref="B391">INDEX('📋 Транзакції'!$C$5:$C$3623,MATCH(A391,'📋 Транзакції'!$B$5:$B$3623,0))</f>
        <v>45617</v>
      </c>
      <c r="C391" s="35" t="str">
        <f t="shared" si="1"/>
        <v>2024-11</v>
      </c>
      <c r="D391" s="36">
        <f>COUNTIF('📋 Транзакції'!$B$5:$B$3623,A391)</f>
        <v>6</v>
      </c>
      <c r="E391" s="36">
        <f>SUMIF('📋 Транзакції'!$B$5:$B$3623,A391,'📋 Транзакції'!$F$5:$F$3623)</f>
        <v>99.95</v>
      </c>
      <c r="F391" s="35">
        <f>INT($A$1-MAXIFS('📋 Транзакції'!$C$5:$C$3623,'📋 Транзакції'!$B$5:$B$3623,A391))</f>
        <v>3</v>
      </c>
      <c r="G391" s="37">
        <f>IF(COUNTIFS('📋 Транзакції'!$B$5:$B$3623,A391,'📋 Транзакції'!$C$5:$C$3623,"&gt;="&amp;EDATE(DATEVALUE(C391&amp;"-01"),0),'📋 Транзакції'!$C$5:$C$3623,"&lt;"&amp;EDATE(DATEVALUE(C391&amp;"-01"),1))&gt;0,1,0)</f>
        <v>1</v>
      </c>
      <c r="H391" s="37">
        <f>IF(COUNTIFS('📋 Транзакції'!$B$5:$B$3623,A391,'📋 Транзакції'!$C$5:$C$3623,"&gt;="&amp;EDATE(DATEVALUE(C391&amp;"-01"),1),'📋 Транзакції'!$C$5:$C$3623,"&lt;"&amp;EDATE(DATEVALUE(C391&amp;"-01"),2))&gt;0,1,0)</f>
        <v>1</v>
      </c>
      <c r="I391" s="37">
        <f>IF(COUNTIFS('📋 Транзакції'!$B$5:$B$3623,A391,'📋 Транзакції'!$C$5:$C$3623,"&gt;="&amp;EDATE(DATEVALUE(C391&amp;"-01"),2),'📋 Транзакції'!$C$5:$C$3623,"&lt;"&amp;EDATE(DATEVALUE(C391&amp;"-01"),3))&gt;0,1,0)</f>
        <v>1</v>
      </c>
      <c r="J391" s="37">
        <f>IF(COUNTIFS('📋 Транзакції'!$B$5:$B$3623,A391,'📋 Транзакції'!$C$5:$C$3623,"&gt;="&amp;EDATE(DATEVALUE(C391&amp;"-01"),3),'📋 Транзакції'!$C$5:$C$3623,"&lt;"&amp;EDATE(DATEVALUE(C391&amp;"-01"),4))&gt;0,1,0)</f>
        <v>1</v>
      </c>
      <c r="K391" s="37">
        <f>IF(COUNTIFS('📋 Транзакції'!$B$5:$B$3623,A391,'📋 Транзакції'!$C$5:$C$3623,"&gt;="&amp;EDATE(DATEVALUE(C391&amp;"-01"),4),'📋 Транзакції'!$C$5:$C$3623,"&lt;"&amp;EDATE(DATEVALUE(C391&amp;"-01"),5))&gt;0,1,0)</f>
        <v>1</v>
      </c>
      <c r="L391" s="37">
        <f>IF(COUNTIFS('📋 Транзакції'!$B$5:$B$3623,A391,'📋 Транзакції'!$C$5:$C$3623,"&gt;="&amp;EDATE(DATEVALUE(C391&amp;"-01"),5),'📋 Транзакції'!$C$5:$C$3623,"&lt;"&amp;EDATE(DATEVALUE(C391&amp;"-01"),6))&gt;0,1,0)</f>
        <v>0</v>
      </c>
      <c r="M391" s="37">
        <f>IF(COUNTIFS('📋 Транзакції'!$B$5:$B$3623,A391,'📋 Транзакції'!$C$5:$C$3623,"&gt;="&amp;EDATE(DATEVALUE(C391&amp;"-01"),6),'📋 Транзакції'!$C$5:$C$3623,"&lt;"&amp;EDATE(DATEVALUE(C391&amp;"-01"),7))&gt;0,1,0)</f>
        <v>0</v>
      </c>
      <c r="N391" s="37">
        <f>IF(COUNTIFS('📋 Транзакції'!$B$5:$B$3623,A391,'📋 Транзакції'!$C$5:$C$3623,"&gt;="&amp;EDATE(DATEVALUE(C391&amp;"-01"),7),'📋 Транзакції'!$C$5:$C$3623,"&lt;"&amp;EDATE(DATEVALUE(C391&amp;"-01"),8))&gt;0,1,0)</f>
        <v>0</v>
      </c>
      <c r="O391" s="37">
        <f>IF(COUNTIFS('📋 Транзакції'!$B$5:$B$3623,A391,'📋 Транзакції'!$C$5:$C$3623,"&gt;="&amp;EDATE(DATEVALUE(C391&amp;"-01"),8),'📋 Транзакції'!$C$5:$C$3623,"&lt;"&amp;EDATE(DATEVALUE(C391&amp;"-01"),9))&gt;0,1,0)</f>
        <v>0</v>
      </c>
      <c r="P391" s="37">
        <f>IF(COUNTIFS('📋 Транзакції'!$B$5:$B$3623,A391,'📋 Транзакції'!$C$5:$C$3623,"&gt;="&amp;EDATE(DATEVALUE(C391&amp;"-01"),9),'📋 Транзакції'!$C$5:$C$3623,"&lt;"&amp;EDATE(DATEVALUE(C391&amp;"-01"),10))&gt;0,1,0)</f>
        <v>0</v>
      </c>
      <c r="Q391" s="37">
        <f>IF(COUNTIFS('📋 Транзакції'!$B$5:$B$3623,A391,'📋 Транзакції'!$C$5:$C$3623,"&gt;="&amp;EDATE(DATEVALUE(C391&amp;"-01"),10),'📋 Транзакції'!$C$5:$C$3623,"&lt;"&amp;EDATE(DATEVALUE(C391&amp;"-01"),11))&gt;0,1,0)</f>
        <v>0</v>
      </c>
      <c r="R391" s="37">
        <f>IF(COUNTIFS('📋 Транзакції'!$B$5:$B$3623,A391,'📋 Транзакції'!$C$5:$C$3623,"&gt;="&amp;EDATE(DATEVALUE(C391&amp;"-01"),11),'📋 Транзакції'!$C$5:$C$3623,"&lt;"&amp;EDATE(DATEVALUE(C391&amp;"-01"),12))&gt;0,1,0)</f>
        <v>0</v>
      </c>
      <c r="S391" s="37">
        <f>SUMIFS('📋 Транзакції'!$F$5:$F$3623,'📋 Транзакції'!$B$5:$B$3623,A391,'📋 Транзакції'!$C$5:$C$3623,"&gt;="&amp;EDATE(DATEVALUE(C391&amp;"-01"),0),'📋 Транзакції'!$C$5:$C$3623,"&lt;"&amp;EDATE(DATEVALUE(C391&amp;"-01"),1))</f>
        <v>19.99</v>
      </c>
      <c r="T391" s="37">
        <f>SUMIFS('📋 Транзакції'!$F$5:$F$3623,'📋 Транзакції'!$B$5:$B$3623,A391,'📋 Транзакції'!$C$5:$C$3623,"&gt;="&amp;EDATE(DATEVALUE(C391&amp;"-01"),1),'📋 Транзакції'!$C$5:$C$3623,"&lt;"&amp;EDATE(DATEVALUE(C391&amp;"-01"),2))</f>
        <v>19.99</v>
      </c>
      <c r="U391" s="37">
        <f>SUMIFS('📋 Транзакції'!$F$5:$F$3623,'📋 Транзакції'!$B$5:$B$3623,A391,'📋 Транзакції'!$C$5:$C$3623,"&gt;="&amp;EDATE(DATEVALUE(C391&amp;"-01"),2),'📋 Транзакції'!$C$5:$C$3623,"&lt;"&amp;EDATE(DATEVALUE(C391&amp;"-01"),3))</f>
        <v>19.99</v>
      </c>
      <c r="V391" s="37">
        <f>SUMIFS('📋 Транзакції'!$F$5:$F$3623,'📋 Транзакції'!$B$5:$B$3623,A391,'📋 Транзакції'!$C$5:$C$3623,"&gt;="&amp;EDATE(DATEVALUE(C391&amp;"-01"),3),'📋 Транзакції'!$C$5:$C$3623,"&lt;"&amp;EDATE(DATEVALUE(C391&amp;"-01"),4))</f>
        <v>19.99</v>
      </c>
      <c r="W391" s="37">
        <f>SUMIFS('📋 Транзакції'!$F$5:$F$3623,'📋 Транзакції'!$B$5:$B$3623,A391,'📋 Транзакції'!$C$5:$C$3623,"&gt;="&amp;EDATE(DATEVALUE(C391&amp;"-01"),4),'📋 Транзакції'!$C$5:$C$3623,"&lt;"&amp;EDATE(DATEVALUE(C391&amp;"-01"),5))</f>
        <v>19.99</v>
      </c>
      <c r="X391" s="37">
        <f>SUMIFS('📋 Транзакції'!$F$5:$F$3623,'📋 Транзакції'!$B$5:$B$3623,A391,'📋 Транзакції'!$C$5:$C$3623,"&gt;="&amp;EDATE(DATEVALUE(C391&amp;"-01"),5),'📋 Транзакції'!$C$5:$C$3623,"&lt;"&amp;EDATE(DATEVALUE(C391&amp;"-01"),6))</f>
        <v>0</v>
      </c>
      <c r="Y391" s="37">
        <f>SUMIFS('📋 Транзакції'!$F$5:$F$3623,'📋 Транзакції'!$B$5:$B$3623,A391,'📋 Транзакції'!$C$5:$C$3623,"&gt;="&amp;EDATE(DATEVALUE(C391&amp;"-01"),6),'📋 Транзакції'!$C$5:$C$3623,"&lt;"&amp;EDATE(DATEVALUE(C391&amp;"-01"),7))</f>
        <v>0</v>
      </c>
      <c r="Z391" s="37">
        <f>SUMIFS('📋 Транзакції'!$F$5:$F$3623,'📋 Транзакції'!$B$5:$B$3623,A391,'📋 Транзакції'!$C$5:$C$3623,"&gt;="&amp;EDATE(DATEVALUE(C391&amp;"-01"),7),'📋 Транзакції'!$C$5:$C$3623,"&lt;"&amp;EDATE(DATEVALUE(C391&amp;"-01"),8))</f>
        <v>0</v>
      </c>
      <c r="AA391" s="37">
        <f>SUMIFS('📋 Транзакції'!$F$5:$F$3623,'📋 Транзакції'!$B$5:$B$3623,A391,'📋 Транзакції'!$C$5:$C$3623,"&gt;="&amp;EDATE(DATEVALUE(C391&amp;"-01"),8),'📋 Транзакції'!$C$5:$C$3623,"&lt;"&amp;EDATE(DATEVALUE(C391&amp;"-01"),9))</f>
        <v>0</v>
      </c>
      <c r="AB391" s="37">
        <f>SUMIFS('📋 Транзакції'!$F$5:$F$3623,'📋 Транзакції'!$B$5:$B$3623,A391,'📋 Транзакції'!$C$5:$C$3623,"&gt;="&amp;EDATE(DATEVALUE(C391&amp;"-01"),9),'📋 Транзакції'!$C$5:$C$3623,"&lt;"&amp;EDATE(DATEVALUE(C391&amp;"-01"),10))</f>
        <v>0</v>
      </c>
      <c r="AC391" s="37">
        <f>SUMIFS('📋 Транзакції'!$F$5:$F$3623,'📋 Транзакції'!$B$5:$B$3623,A391,'📋 Транзакції'!$C$5:$C$3623,"&gt;="&amp;EDATE(DATEVALUE(C391&amp;"-01"),10),'📋 Транзакції'!$C$5:$C$3623,"&lt;"&amp;EDATE(DATEVALUE(C391&amp;"-01"),11))</f>
        <v>0</v>
      </c>
      <c r="AD391" s="37">
        <f>SUMIFS('📋 Транзакції'!$F$5:$F$3623,'📋 Транзакції'!$B$5:$B$3623,A391,'📋 Транзакції'!$C$5:$C$3623,"&gt;="&amp;EDATE(DATEVALUE(C391&amp;"-01"),11),'📋 Транзакції'!$C$5:$C$3623,"&lt;"&amp;EDATE(DATEVALUE(C391&amp;"-01"),12))</f>
        <v>0</v>
      </c>
    </row>
    <row r="392" ht="15.75" customHeight="1">
      <c r="A392" s="33" t="str">
        <f>'📋 Реєстрації'!A392:A993</f>
        <v>U0358</v>
      </c>
      <c r="B392" s="34">
        <f t="array" ref="B392">INDEX('📋 Транзакції'!$C$5:$C$3623,MATCH(A392,'📋 Транзакції'!$B$5:$B$3623,0))</f>
        <v>45617</v>
      </c>
      <c r="C392" s="35" t="str">
        <f t="shared" si="1"/>
        <v>2024-11</v>
      </c>
      <c r="D392" s="36">
        <f>COUNTIF('📋 Транзакції'!$B$5:$B$3623,A392)</f>
        <v>6</v>
      </c>
      <c r="E392" s="36">
        <f>SUMIF('📋 Транзакції'!$B$5:$B$3623,A392,'📋 Транзакції'!$F$5:$F$3623)</f>
        <v>99.95</v>
      </c>
      <c r="F392" s="35">
        <f>INT($A$1-MAXIFS('📋 Транзакції'!$C$5:$C$3623,'📋 Транзакції'!$B$5:$B$3623,A392))</f>
        <v>3</v>
      </c>
      <c r="G392" s="37">
        <f>IF(COUNTIFS('📋 Транзакції'!$B$5:$B$3623,A392,'📋 Транзакції'!$C$5:$C$3623,"&gt;="&amp;EDATE(DATEVALUE(C392&amp;"-01"),0),'📋 Транзакції'!$C$5:$C$3623,"&lt;"&amp;EDATE(DATEVALUE(C392&amp;"-01"),1))&gt;0,1,0)</f>
        <v>1</v>
      </c>
      <c r="H392" s="37">
        <f>IF(COUNTIFS('📋 Транзакції'!$B$5:$B$3623,A392,'📋 Транзакції'!$C$5:$C$3623,"&gt;="&amp;EDATE(DATEVALUE(C392&amp;"-01"),1),'📋 Транзакції'!$C$5:$C$3623,"&lt;"&amp;EDATE(DATEVALUE(C392&amp;"-01"),2))&gt;0,1,0)</f>
        <v>1</v>
      </c>
      <c r="I392" s="37">
        <f>IF(COUNTIFS('📋 Транзакції'!$B$5:$B$3623,A392,'📋 Транзакції'!$C$5:$C$3623,"&gt;="&amp;EDATE(DATEVALUE(C392&amp;"-01"),2),'📋 Транзакції'!$C$5:$C$3623,"&lt;"&amp;EDATE(DATEVALUE(C392&amp;"-01"),3))&gt;0,1,0)</f>
        <v>1</v>
      </c>
      <c r="J392" s="37">
        <f>IF(COUNTIFS('📋 Транзакції'!$B$5:$B$3623,A392,'📋 Транзакції'!$C$5:$C$3623,"&gt;="&amp;EDATE(DATEVALUE(C392&amp;"-01"),3),'📋 Транзакції'!$C$5:$C$3623,"&lt;"&amp;EDATE(DATEVALUE(C392&amp;"-01"),4))&gt;0,1,0)</f>
        <v>1</v>
      </c>
      <c r="K392" s="37">
        <f>IF(COUNTIFS('📋 Транзакції'!$B$5:$B$3623,A392,'📋 Транзакції'!$C$5:$C$3623,"&gt;="&amp;EDATE(DATEVALUE(C392&amp;"-01"),4),'📋 Транзакції'!$C$5:$C$3623,"&lt;"&amp;EDATE(DATEVALUE(C392&amp;"-01"),5))&gt;0,1,0)</f>
        <v>1</v>
      </c>
      <c r="L392" s="37">
        <f>IF(COUNTIFS('📋 Транзакції'!$B$5:$B$3623,A392,'📋 Транзакції'!$C$5:$C$3623,"&gt;="&amp;EDATE(DATEVALUE(C392&amp;"-01"),5),'📋 Транзакції'!$C$5:$C$3623,"&lt;"&amp;EDATE(DATEVALUE(C392&amp;"-01"),6))&gt;0,1,0)</f>
        <v>0</v>
      </c>
      <c r="M392" s="37">
        <f>IF(COUNTIFS('📋 Транзакції'!$B$5:$B$3623,A392,'📋 Транзакції'!$C$5:$C$3623,"&gt;="&amp;EDATE(DATEVALUE(C392&amp;"-01"),6),'📋 Транзакції'!$C$5:$C$3623,"&lt;"&amp;EDATE(DATEVALUE(C392&amp;"-01"),7))&gt;0,1,0)</f>
        <v>0</v>
      </c>
      <c r="N392" s="37">
        <f>IF(COUNTIFS('📋 Транзакції'!$B$5:$B$3623,A392,'📋 Транзакції'!$C$5:$C$3623,"&gt;="&amp;EDATE(DATEVALUE(C392&amp;"-01"),7),'📋 Транзакції'!$C$5:$C$3623,"&lt;"&amp;EDATE(DATEVALUE(C392&amp;"-01"),8))&gt;0,1,0)</f>
        <v>0</v>
      </c>
      <c r="O392" s="37">
        <f>IF(COUNTIFS('📋 Транзакції'!$B$5:$B$3623,A392,'📋 Транзакції'!$C$5:$C$3623,"&gt;="&amp;EDATE(DATEVALUE(C392&amp;"-01"),8),'📋 Транзакції'!$C$5:$C$3623,"&lt;"&amp;EDATE(DATEVALUE(C392&amp;"-01"),9))&gt;0,1,0)</f>
        <v>0</v>
      </c>
      <c r="P392" s="37">
        <f>IF(COUNTIFS('📋 Транзакції'!$B$5:$B$3623,A392,'📋 Транзакції'!$C$5:$C$3623,"&gt;="&amp;EDATE(DATEVALUE(C392&amp;"-01"),9),'📋 Транзакції'!$C$5:$C$3623,"&lt;"&amp;EDATE(DATEVALUE(C392&amp;"-01"),10))&gt;0,1,0)</f>
        <v>0</v>
      </c>
      <c r="Q392" s="37">
        <f>IF(COUNTIFS('📋 Транзакції'!$B$5:$B$3623,A392,'📋 Транзакції'!$C$5:$C$3623,"&gt;="&amp;EDATE(DATEVALUE(C392&amp;"-01"),10),'📋 Транзакції'!$C$5:$C$3623,"&lt;"&amp;EDATE(DATEVALUE(C392&amp;"-01"),11))&gt;0,1,0)</f>
        <v>0</v>
      </c>
      <c r="R392" s="37">
        <f>IF(COUNTIFS('📋 Транзакції'!$B$5:$B$3623,A392,'📋 Транзакції'!$C$5:$C$3623,"&gt;="&amp;EDATE(DATEVALUE(C392&amp;"-01"),11),'📋 Транзакції'!$C$5:$C$3623,"&lt;"&amp;EDATE(DATEVALUE(C392&amp;"-01"),12))&gt;0,1,0)</f>
        <v>0</v>
      </c>
      <c r="S392" s="37">
        <f>SUMIFS('📋 Транзакції'!$F$5:$F$3623,'📋 Транзакції'!$B$5:$B$3623,A392,'📋 Транзакції'!$C$5:$C$3623,"&gt;="&amp;EDATE(DATEVALUE(C392&amp;"-01"),0),'📋 Транзакції'!$C$5:$C$3623,"&lt;"&amp;EDATE(DATEVALUE(C392&amp;"-01"),1))</f>
        <v>19.99</v>
      </c>
      <c r="T392" s="37">
        <f>SUMIFS('📋 Транзакції'!$F$5:$F$3623,'📋 Транзакції'!$B$5:$B$3623,A392,'📋 Транзакції'!$C$5:$C$3623,"&gt;="&amp;EDATE(DATEVALUE(C392&amp;"-01"),1),'📋 Транзакції'!$C$5:$C$3623,"&lt;"&amp;EDATE(DATEVALUE(C392&amp;"-01"),2))</f>
        <v>19.99</v>
      </c>
      <c r="U392" s="37">
        <f>SUMIFS('📋 Транзакції'!$F$5:$F$3623,'📋 Транзакції'!$B$5:$B$3623,A392,'📋 Транзакції'!$C$5:$C$3623,"&gt;="&amp;EDATE(DATEVALUE(C392&amp;"-01"),2),'📋 Транзакції'!$C$5:$C$3623,"&lt;"&amp;EDATE(DATEVALUE(C392&amp;"-01"),3))</f>
        <v>19.99</v>
      </c>
      <c r="V392" s="37">
        <f>SUMIFS('📋 Транзакції'!$F$5:$F$3623,'📋 Транзакції'!$B$5:$B$3623,A392,'📋 Транзакції'!$C$5:$C$3623,"&gt;="&amp;EDATE(DATEVALUE(C392&amp;"-01"),3),'📋 Транзакції'!$C$5:$C$3623,"&lt;"&amp;EDATE(DATEVALUE(C392&amp;"-01"),4))</f>
        <v>19.99</v>
      </c>
      <c r="W392" s="37">
        <f>SUMIFS('📋 Транзакції'!$F$5:$F$3623,'📋 Транзакції'!$B$5:$B$3623,A392,'📋 Транзакції'!$C$5:$C$3623,"&gt;="&amp;EDATE(DATEVALUE(C392&amp;"-01"),4),'📋 Транзакції'!$C$5:$C$3623,"&lt;"&amp;EDATE(DATEVALUE(C392&amp;"-01"),5))</f>
        <v>19.99</v>
      </c>
      <c r="X392" s="37">
        <f>SUMIFS('📋 Транзакції'!$F$5:$F$3623,'📋 Транзакції'!$B$5:$B$3623,A392,'📋 Транзакції'!$C$5:$C$3623,"&gt;="&amp;EDATE(DATEVALUE(C392&amp;"-01"),5),'📋 Транзакції'!$C$5:$C$3623,"&lt;"&amp;EDATE(DATEVALUE(C392&amp;"-01"),6))</f>
        <v>0</v>
      </c>
      <c r="Y392" s="37">
        <f>SUMIFS('📋 Транзакції'!$F$5:$F$3623,'📋 Транзакції'!$B$5:$B$3623,A392,'📋 Транзакції'!$C$5:$C$3623,"&gt;="&amp;EDATE(DATEVALUE(C392&amp;"-01"),6),'📋 Транзакції'!$C$5:$C$3623,"&lt;"&amp;EDATE(DATEVALUE(C392&amp;"-01"),7))</f>
        <v>0</v>
      </c>
      <c r="Z392" s="37">
        <f>SUMIFS('📋 Транзакції'!$F$5:$F$3623,'📋 Транзакції'!$B$5:$B$3623,A392,'📋 Транзакції'!$C$5:$C$3623,"&gt;="&amp;EDATE(DATEVALUE(C392&amp;"-01"),7),'📋 Транзакції'!$C$5:$C$3623,"&lt;"&amp;EDATE(DATEVALUE(C392&amp;"-01"),8))</f>
        <v>0</v>
      </c>
      <c r="AA392" s="37">
        <f>SUMIFS('📋 Транзакції'!$F$5:$F$3623,'📋 Транзакції'!$B$5:$B$3623,A392,'📋 Транзакції'!$C$5:$C$3623,"&gt;="&amp;EDATE(DATEVALUE(C392&amp;"-01"),8),'📋 Транзакції'!$C$5:$C$3623,"&lt;"&amp;EDATE(DATEVALUE(C392&amp;"-01"),9))</f>
        <v>0</v>
      </c>
      <c r="AB392" s="37">
        <f>SUMIFS('📋 Транзакції'!$F$5:$F$3623,'📋 Транзакції'!$B$5:$B$3623,A392,'📋 Транзакції'!$C$5:$C$3623,"&gt;="&amp;EDATE(DATEVALUE(C392&amp;"-01"),9),'📋 Транзакції'!$C$5:$C$3623,"&lt;"&amp;EDATE(DATEVALUE(C392&amp;"-01"),10))</f>
        <v>0</v>
      </c>
      <c r="AC392" s="37">
        <f>SUMIFS('📋 Транзакції'!$F$5:$F$3623,'📋 Транзакції'!$B$5:$B$3623,A392,'📋 Транзакції'!$C$5:$C$3623,"&gt;="&amp;EDATE(DATEVALUE(C392&amp;"-01"),10),'📋 Транзакції'!$C$5:$C$3623,"&lt;"&amp;EDATE(DATEVALUE(C392&amp;"-01"),11))</f>
        <v>0</v>
      </c>
      <c r="AD392" s="37">
        <f>SUMIFS('📋 Транзакції'!$F$5:$F$3623,'📋 Транзакції'!$B$5:$B$3623,A392,'📋 Транзакції'!$C$5:$C$3623,"&gt;="&amp;EDATE(DATEVALUE(C392&amp;"-01"),11),'📋 Транзакції'!$C$5:$C$3623,"&lt;"&amp;EDATE(DATEVALUE(C392&amp;"-01"),12))</f>
        <v>0</v>
      </c>
    </row>
    <row r="393" ht="15.75" customHeight="1">
      <c r="A393" s="33" t="str">
        <f>'📋 Реєстрації'!A393:A994</f>
        <v>U0464</v>
      </c>
      <c r="B393" s="34">
        <f t="array" ref="B393">INDEX('📋 Транзакції'!$C$5:$C$3623,MATCH(A393,'📋 Транзакції'!$B$5:$B$3623,0))</f>
        <v>45618</v>
      </c>
      <c r="C393" s="35" t="str">
        <f t="shared" si="1"/>
        <v>2024-11</v>
      </c>
      <c r="D393" s="36">
        <f>COUNTIF('📋 Транзакції'!$B$5:$B$3623,A393)</f>
        <v>6</v>
      </c>
      <c r="E393" s="36">
        <f>SUMIF('📋 Транзакції'!$B$5:$B$3623,A393,'📋 Транзакції'!$F$5:$F$3623)</f>
        <v>99.95</v>
      </c>
      <c r="F393" s="35">
        <f>INT($A$1-MAXIFS('📋 Транзакції'!$C$5:$C$3623,'📋 Транзакції'!$B$5:$B$3623,A393))</f>
        <v>2</v>
      </c>
      <c r="G393" s="37">
        <f>IF(COUNTIFS('📋 Транзакції'!$B$5:$B$3623,A393,'📋 Транзакції'!$C$5:$C$3623,"&gt;="&amp;EDATE(DATEVALUE(C393&amp;"-01"),0),'📋 Транзакції'!$C$5:$C$3623,"&lt;"&amp;EDATE(DATEVALUE(C393&amp;"-01"),1))&gt;0,1,0)</f>
        <v>1</v>
      </c>
      <c r="H393" s="37">
        <f>IF(COUNTIFS('📋 Транзакції'!$B$5:$B$3623,A393,'📋 Транзакції'!$C$5:$C$3623,"&gt;="&amp;EDATE(DATEVALUE(C393&amp;"-01"),1),'📋 Транзакції'!$C$5:$C$3623,"&lt;"&amp;EDATE(DATEVALUE(C393&amp;"-01"),2))&gt;0,1,0)</f>
        <v>1</v>
      </c>
      <c r="I393" s="37">
        <f>IF(COUNTIFS('📋 Транзакції'!$B$5:$B$3623,A393,'📋 Транзакції'!$C$5:$C$3623,"&gt;="&amp;EDATE(DATEVALUE(C393&amp;"-01"),2),'📋 Транзакції'!$C$5:$C$3623,"&lt;"&amp;EDATE(DATEVALUE(C393&amp;"-01"),3))&gt;0,1,0)</f>
        <v>1</v>
      </c>
      <c r="J393" s="37">
        <f>IF(COUNTIFS('📋 Транзакції'!$B$5:$B$3623,A393,'📋 Транзакції'!$C$5:$C$3623,"&gt;="&amp;EDATE(DATEVALUE(C393&amp;"-01"),3),'📋 Транзакції'!$C$5:$C$3623,"&lt;"&amp;EDATE(DATEVALUE(C393&amp;"-01"),4))&gt;0,1,0)</f>
        <v>1</v>
      </c>
      <c r="K393" s="37">
        <f>IF(COUNTIFS('📋 Транзакції'!$B$5:$B$3623,A393,'📋 Транзакції'!$C$5:$C$3623,"&gt;="&amp;EDATE(DATEVALUE(C393&amp;"-01"),4),'📋 Транзакції'!$C$5:$C$3623,"&lt;"&amp;EDATE(DATEVALUE(C393&amp;"-01"),5))&gt;0,1,0)</f>
        <v>1</v>
      </c>
      <c r="L393" s="37">
        <f>IF(COUNTIFS('📋 Транзакції'!$B$5:$B$3623,A393,'📋 Транзакції'!$C$5:$C$3623,"&gt;="&amp;EDATE(DATEVALUE(C393&amp;"-01"),5),'📋 Транзакції'!$C$5:$C$3623,"&lt;"&amp;EDATE(DATEVALUE(C393&amp;"-01"),6))&gt;0,1,0)</f>
        <v>0</v>
      </c>
      <c r="M393" s="37">
        <f>IF(COUNTIFS('📋 Транзакції'!$B$5:$B$3623,A393,'📋 Транзакції'!$C$5:$C$3623,"&gt;="&amp;EDATE(DATEVALUE(C393&amp;"-01"),6),'📋 Транзакції'!$C$5:$C$3623,"&lt;"&amp;EDATE(DATEVALUE(C393&amp;"-01"),7))&gt;0,1,0)</f>
        <v>0</v>
      </c>
      <c r="N393" s="37">
        <f>IF(COUNTIFS('📋 Транзакції'!$B$5:$B$3623,A393,'📋 Транзакції'!$C$5:$C$3623,"&gt;="&amp;EDATE(DATEVALUE(C393&amp;"-01"),7),'📋 Транзакції'!$C$5:$C$3623,"&lt;"&amp;EDATE(DATEVALUE(C393&amp;"-01"),8))&gt;0,1,0)</f>
        <v>0</v>
      </c>
      <c r="O393" s="37">
        <f>IF(COUNTIFS('📋 Транзакції'!$B$5:$B$3623,A393,'📋 Транзакції'!$C$5:$C$3623,"&gt;="&amp;EDATE(DATEVALUE(C393&amp;"-01"),8),'📋 Транзакції'!$C$5:$C$3623,"&lt;"&amp;EDATE(DATEVALUE(C393&amp;"-01"),9))&gt;0,1,0)</f>
        <v>0</v>
      </c>
      <c r="P393" s="37">
        <f>IF(COUNTIFS('📋 Транзакції'!$B$5:$B$3623,A393,'📋 Транзакції'!$C$5:$C$3623,"&gt;="&amp;EDATE(DATEVALUE(C393&amp;"-01"),9),'📋 Транзакції'!$C$5:$C$3623,"&lt;"&amp;EDATE(DATEVALUE(C393&amp;"-01"),10))&gt;0,1,0)</f>
        <v>0</v>
      </c>
      <c r="Q393" s="37">
        <f>IF(COUNTIFS('📋 Транзакції'!$B$5:$B$3623,A393,'📋 Транзакції'!$C$5:$C$3623,"&gt;="&amp;EDATE(DATEVALUE(C393&amp;"-01"),10),'📋 Транзакції'!$C$5:$C$3623,"&lt;"&amp;EDATE(DATEVALUE(C393&amp;"-01"),11))&gt;0,1,0)</f>
        <v>0</v>
      </c>
      <c r="R393" s="37">
        <f>IF(COUNTIFS('📋 Транзакції'!$B$5:$B$3623,A393,'📋 Транзакції'!$C$5:$C$3623,"&gt;="&amp;EDATE(DATEVALUE(C393&amp;"-01"),11),'📋 Транзакції'!$C$5:$C$3623,"&lt;"&amp;EDATE(DATEVALUE(C393&amp;"-01"),12))&gt;0,1,0)</f>
        <v>0</v>
      </c>
      <c r="S393" s="37">
        <f>SUMIFS('📋 Транзакції'!$F$5:$F$3623,'📋 Транзакції'!$B$5:$B$3623,A393,'📋 Транзакції'!$C$5:$C$3623,"&gt;="&amp;EDATE(DATEVALUE(C393&amp;"-01"),0),'📋 Транзакції'!$C$5:$C$3623,"&lt;"&amp;EDATE(DATEVALUE(C393&amp;"-01"),1))</f>
        <v>19.99</v>
      </c>
      <c r="T393" s="37">
        <f>SUMIFS('📋 Транзакції'!$F$5:$F$3623,'📋 Транзакції'!$B$5:$B$3623,A393,'📋 Транзакції'!$C$5:$C$3623,"&gt;="&amp;EDATE(DATEVALUE(C393&amp;"-01"),1),'📋 Транзакції'!$C$5:$C$3623,"&lt;"&amp;EDATE(DATEVALUE(C393&amp;"-01"),2))</f>
        <v>19.99</v>
      </c>
      <c r="U393" s="37">
        <f>SUMIFS('📋 Транзакції'!$F$5:$F$3623,'📋 Транзакції'!$B$5:$B$3623,A393,'📋 Транзакції'!$C$5:$C$3623,"&gt;="&amp;EDATE(DATEVALUE(C393&amp;"-01"),2),'📋 Транзакції'!$C$5:$C$3623,"&lt;"&amp;EDATE(DATEVALUE(C393&amp;"-01"),3))</f>
        <v>19.99</v>
      </c>
      <c r="V393" s="37">
        <f>SUMIFS('📋 Транзакції'!$F$5:$F$3623,'📋 Транзакції'!$B$5:$B$3623,A393,'📋 Транзакції'!$C$5:$C$3623,"&gt;="&amp;EDATE(DATEVALUE(C393&amp;"-01"),3),'📋 Транзакції'!$C$5:$C$3623,"&lt;"&amp;EDATE(DATEVALUE(C393&amp;"-01"),4))</f>
        <v>19.99</v>
      </c>
      <c r="W393" s="37">
        <f>SUMIFS('📋 Транзакції'!$F$5:$F$3623,'📋 Транзакції'!$B$5:$B$3623,A393,'📋 Транзакції'!$C$5:$C$3623,"&gt;="&amp;EDATE(DATEVALUE(C393&amp;"-01"),4),'📋 Транзакції'!$C$5:$C$3623,"&lt;"&amp;EDATE(DATEVALUE(C393&amp;"-01"),5))</f>
        <v>19.99</v>
      </c>
      <c r="X393" s="37">
        <f>SUMIFS('📋 Транзакції'!$F$5:$F$3623,'📋 Транзакції'!$B$5:$B$3623,A393,'📋 Транзакції'!$C$5:$C$3623,"&gt;="&amp;EDATE(DATEVALUE(C393&amp;"-01"),5),'📋 Транзакції'!$C$5:$C$3623,"&lt;"&amp;EDATE(DATEVALUE(C393&amp;"-01"),6))</f>
        <v>0</v>
      </c>
      <c r="Y393" s="37">
        <f>SUMIFS('📋 Транзакції'!$F$5:$F$3623,'📋 Транзакції'!$B$5:$B$3623,A393,'📋 Транзакції'!$C$5:$C$3623,"&gt;="&amp;EDATE(DATEVALUE(C393&amp;"-01"),6),'📋 Транзакції'!$C$5:$C$3623,"&lt;"&amp;EDATE(DATEVALUE(C393&amp;"-01"),7))</f>
        <v>0</v>
      </c>
      <c r="Z393" s="37">
        <f>SUMIFS('📋 Транзакції'!$F$5:$F$3623,'📋 Транзакції'!$B$5:$B$3623,A393,'📋 Транзакції'!$C$5:$C$3623,"&gt;="&amp;EDATE(DATEVALUE(C393&amp;"-01"),7),'📋 Транзакції'!$C$5:$C$3623,"&lt;"&amp;EDATE(DATEVALUE(C393&amp;"-01"),8))</f>
        <v>0</v>
      </c>
      <c r="AA393" s="37">
        <f>SUMIFS('📋 Транзакції'!$F$5:$F$3623,'📋 Транзакції'!$B$5:$B$3623,A393,'📋 Транзакції'!$C$5:$C$3623,"&gt;="&amp;EDATE(DATEVALUE(C393&amp;"-01"),8),'📋 Транзакції'!$C$5:$C$3623,"&lt;"&amp;EDATE(DATEVALUE(C393&amp;"-01"),9))</f>
        <v>0</v>
      </c>
      <c r="AB393" s="37">
        <f>SUMIFS('📋 Транзакції'!$F$5:$F$3623,'📋 Транзакції'!$B$5:$B$3623,A393,'📋 Транзакції'!$C$5:$C$3623,"&gt;="&amp;EDATE(DATEVALUE(C393&amp;"-01"),9),'📋 Транзакції'!$C$5:$C$3623,"&lt;"&amp;EDATE(DATEVALUE(C393&amp;"-01"),10))</f>
        <v>0</v>
      </c>
      <c r="AC393" s="37">
        <f>SUMIFS('📋 Транзакції'!$F$5:$F$3623,'📋 Транзакції'!$B$5:$B$3623,A393,'📋 Транзакції'!$C$5:$C$3623,"&gt;="&amp;EDATE(DATEVALUE(C393&amp;"-01"),10),'📋 Транзакції'!$C$5:$C$3623,"&lt;"&amp;EDATE(DATEVALUE(C393&amp;"-01"),11))</f>
        <v>0</v>
      </c>
      <c r="AD393" s="37">
        <f>SUMIFS('📋 Транзакції'!$F$5:$F$3623,'📋 Транзакції'!$B$5:$B$3623,A393,'📋 Транзакції'!$C$5:$C$3623,"&gt;="&amp;EDATE(DATEVALUE(C393&amp;"-01"),11),'📋 Транзакції'!$C$5:$C$3623,"&lt;"&amp;EDATE(DATEVALUE(C393&amp;"-01"),12))</f>
        <v>0</v>
      </c>
    </row>
    <row r="394" ht="15.75" customHeight="1">
      <c r="A394" s="33" t="str">
        <f>'📋 Реєстрації'!A394:A995</f>
        <v>U0696</v>
      </c>
      <c r="B394" s="34">
        <f t="array" ref="B394">INDEX('📋 Транзакції'!$C$5:$C$3623,MATCH(A394,'📋 Транзакції'!$B$5:$B$3623,0))</f>
        <v>45618</v>
      </c>
      <c r="C394" s="35" t="str">
        <f t="shared" si="1"/>
        <v>2024-11</v>
      </c>
      <c r="D394" s="36">
        <f>COUNTIF('📋 Транзакції'!$B$5:$B$3623,A394)</f>
        <v>2</v>
      </c>
      <c r="E394" s="36">
        <f>SUMIF('📋 Транзакції'!$B$5:$B$3623,A394,'📋 Транзакції'!$F$5:$F$3623)</f>
        <v>19.99</v>
      </c>
      <c r="F394" s="35">
        <f>INT($A$1-MAXIFS('📋 Транзакції'!$C$5:$C$3623,'📋 Транзакції'!$B$5:$B$3623,A394))</f>
        <v>122</v>
      </c>
      <c r="G394" s="37">
        <f>IF(COUNTIFS('📋 Транзакції'!$B$5:$B$3623,A394,'📋 Транзакції'!$C$5:$C$3623,"&gt;="&amp;EDATE(DATEVALUE(C394&amp;"-01"),0),'📋 Транзакції'!$C$5:$C$3623,"&lt;"&amp;EDATE(DATEVALUE(C394&amp;"-01"),1))&gt;0,1,0)</f>
        <v>1</v>
      </c>
      <c r="H394" s="37">
        <f>IF(COUNTIFS('📋 Транзакції'!$B$5:$B$3623,A394,'📋 Транзакції'!$C$5:$C$3623,"&gt;="&amp;EDATE(DATEVALUE(C394&amp;"-01"),1),'📋 Транзакції'!$C$5:$C$3623,"&lt;"&amp;EDATE(DATEVALUE(C394&amp;"-01"),2))&gt;0,1,0)</f>
        <v>0</v>
      </c>
      <c r="I394" s="37">
        <f>IF(COUNTIFS('📋 Транзакції'!$B$5:$B$3623,A394,'📋 Транзакції'!$C$5:$C$3623,"&gt;="&amp;EDATE(DATEVALUE(C394&amp;"-01"),2),'📋 Транзакції'!$C$5:$C$3623,"&lt;"&amp;EDATE(DATEVALUE(C394&amp;"-01"),3))&gt;0,1,0)</f>
        <v>0</v>
      </c>
      <c r="J394" s="37">
        <f>IF(COUNTIFS('📋 Транзакції'!$B$5:$B$3623,A394,'📋 Транзакції'!$C$5:$C$3623,"&gt;="&amp;EDATE(DATEVALUE(C394&amp;"-01"),3),'📋 Транзакції'!$C$5:$C$3623,"&lt;"&amp;EDATE(DATEVALUE(C394&amp;"-01"),4))&gt;0,1,0)</f>
        <v>0</v>
      </c>
      <c r="K394" s="37">
        <f>IF(COUNTIFS('📋 Транзакції'!$B$5:$B$3623,A394,'📋 Транзакції'!$C$5:$C$3623,"&gt;="&amp;EDATE(DATEVALUE(C394&amp;"-01"),4),'📋 Транзакції'!$C$5:$C$3623,"&lt;"&amp;EDATE(DATEVALUE(C394&amp;"-01"),5))&gt;0,1,0)</f>
        <v>0</v>
      </c>
      <c r="L394" s="37">
        <f>IF(COUNTIFS('📋 Транзакції'!$B$5:$B$3623,A394,'📋 Транзакції'!$C$5:$C$3623,"&gt;="&amp;EDATE(DATEVALUE(C394&amp;"-01"),5),'📋 Транзакції'!$C$5:$C$3623,"&lt;"&amp;EDATE(DATEVALUE(C394&amp;"-01"),6))&gt;0,1,0)</f>
        <v>0</v>
      </c>
      <c r="M394" s="37">
        <f>IF(COUNTIFS('📋 Транзакції'!$B$5:$B$3623,A394,'📋 Транзакції'!$C$5:$C$3623,"&gt;="&amp;EDATE(DATEVALUE(C394&amp;"-01"),6),'📋 Транзакції'!$C$5:$C$3623,"&lt;"&amp;EDATE(DATEVALUE(C394&amp;"-01"),7))&gt;0,1,0)</f>
        <v>0</v>
      </c>
      <c r="N394" s="37">
        <f>IF(COUNTIFS('📋 Транзакції'!$B$5:$B$3623,A394,'📋 Транзакції'!$C$5:$C$3623,"&gt;="&amp;EDATE(DATEVALUE(C394&amp;"-01"),7),'📋 Транзакції'!$C$5:$C$3623,"&lt;"&amp;EDATE(DATEVALUE(C394&amp;"-01"),8))&gt;0,1,0)</f>
        <v>0</v>
      </c>
      <c r="O394" s="37">
        <f>IF(COUNTIFS('📋 Транзакції'!$B$5:$B$3623,A394,'📋 Транзакції'!$C$5:$C$3623,"&gt;="&amp;EDATE(DATEVALUE(C394&amp;"-01"),8),'📋 Транзакції'!$C$5:$C$3623,"&lt;"&amp;EDATE(DATEVALUE(C394&amp;"-01"),9))&gt;0,1,0)</f>
        <v>0</v>
      </c>
      <c r="P394" s="37">
        <f>IF(COUNTIFS('📋 Транзакції'!$B$5:$B$3623,A394,'📋 Транзакції'!$C$5:$C$3623,"&gt;="&amp;EDATE(DATEVALUE(C394&amp;"-01"),9),'📋 Транзакції'!$C$5:$C$3623,"&lt;"&amp;EDATE(DATEVALUE(C394&amp;"-01"),10))&gt;0,1,0)</f>
        <v>0</v>
      </c>
      <c r="Q394" s="37">
        <f>IF(COUNTIFS('📋 Транзакції'!$B$5:$B$3623,A394,'📋 Транзакції'!$C$5:$C$3623,"&gt;="&amp;EDATE(DATEVALUE(C394&amp;"-01"),10),'📋 Транзакції'!$C$5:$C$3623,"&lt;"&amp;EDATE(DATEVALUE(C394&amp;"-01"),11))&gt;0,1,0)</f>
        <v>0</v>
      </c>
      <c r="R394" s="37">
        <f>IF(COUNTIFS('📋 Транзакції'!$B$5:$B$3623,A394,'📋 Транзакції'!$C$5:$C$3623,"&gt;="&amp;EDATE(DATEVALUE(C394&amp;"-01"),11),'📋 Транзакції'!$C$5:$C$3623,"&lt;"&amp;EDATE(DATEVALUE(C394&amp;"-01"),12))&gt;0,1,0)</f>
        <v>0</v>
      </c>
      <c r="S394" s="37">
        <f>SUMIFS('📋 Транзакції'!$F$5:$F$3623,'📋 Транзакції'!$B$5:$B$3623,A394,'📋 Транзакції'!$C$5:$C$3623,"&gt;="&amp;EDATE(DATEVALUE(C394&amp;"-01"),0),'📋 Транзакції'!$C$5:$C$3623,"&lt;"&amp;EDATE(DATEVALUE(C394&amp;"-01"),1))</f>
        <v>19.99</v>
      </c>
      <c r="T394" s="37">
        <f>SUMIFS('📋 Транзакції'!$F$5:$F$3623,'📋 Транзакції'!$B$5:$B$3623,A394,'📋 Транзакції'!$C$5:$C$3623,"&gt;="&amp;EDATE(DATEVALUE(C394&amp;"-01"),1),'📋 Транзакції'!$C$5:$C$3623,"&lt;"&amp;EDATE(DATEVALUE(C394&amp;"-01"),2))</f>
        <v>0</v>
      </c>
      <c r="U394" s="37">
        <f>SUMIFS('📋 Транзакції'!$F$5:$F$3623,'📋 Транзакції'!$B$5:$B$3623,A394,'📋 Транзакції'!$C$5:$C$3623,"&gt;="&amp;EDATE(DATEVALUE(C394&amp;"-01"),2),'📋 Транзакції'!$C$5:$C$3623,"&lt;"&amp;EDATE(DATEVALUE(C394&amp;"-01"),3))</f>
        <v>0</v>
      </c>
      <c r="V394" s="37">
        <f>SUMIFS('📋 Транзакції'!$F$5:$F$3623,'📋 Транзакції'!$B$5:$B$3623,A394,'📋 Транзакції'!$C$5:$C$3623,"&gt;="&amp;EDATE(DATEVALUE(C394&amp;"-01"),3),'📋 Транзакції'!$C$5:$C$3623,"&lt;"&amp;EDATE(DATEVALUE(C394&amp;"-01"),4))</f>
        <v>0</v>
      </c>
      <c r="W394" s="37">
        <f>SUMIFS('📋 Транзакції'!$F$5:$F$3623,'📋 Транзакції'!$B$5:$B$3623,A394,'📋 Транзакції'!$C$5:$C$3623,"&gt;="&amp;EDATE(DATEVALUE(C394&amp;"-01"),4),'📋 Транзакції'!$C$5:$C$3623,"&lt;"&amp;EDATE(DATEVALUE(C394&amp;"-01"),5))</f>
        <v>0</v>
      </c>
      <c r="X394" s="37">
        <f>SUMIFS('📋 Транзакції'!$F$5:$F$3623,'📋 Транзакції'!$B$5:$B$3623,A394,'📋 Транзакції'!$C$5:$C$3623,"&gt;="&amp;EDATE(DATEVALUE(C394&amp;"-01"),5),'📋 Транзакції'!$C$5:$C$3623,"&lt;"&amp;EDATE(DATEVALUE(C394&amp;"-01"),6))</f>
        <v>0</v>
      </c>
      <c r="Y394" s="37">
        <f>SUMIFS('📋 Транзакції'!$F$5:$F$3623,'📋 Транзакції'!$B$5:$B$3623,A394,'📋 Транзакції'!$C$5:$C$3623,"&gt;="&amp;EDATE(DATEVALUE(C394&amp;"-01"),6),'📋 Транзакції'!$C$5:$C$3623,"&lt;"&amp;EDATE(DATEVALUE(C394&amp;"-01"),7))</f>
        <v>0</v>
      </c>
      <c r="Z394" s="37">
        <f>SUMIFS('📋 Транзакції'!$F$5:$F$3623,'📋 Транзакції'!$B$5:$B$3623,A394,'📋 Транзакції'!$C$5:$C$3623,"&gt;="&amp;EDATE(DATEVALUE(C394&amp;"-01"),7),'📋 Транзакції'!$C$5:$C$3623,"&lt;"&amp;EDATE(DATEVALUE(C394&amp;"-01"),8))</f>
        <v>0</v>
      </c>
      <c r="AA394" s="37">
        <f>SUMIFS('📋 Транзакції'!$F$5:$F$3623,'📋 Транзакції'!$B$5:$B$3623,A394,'📋 Транзакції'!$C$5:$C$3623,"&gt;="&amp;EDATE(DATEVALUE(C394&amp;"-01"),8),'📋 Транзакції'!$C$5:$C$3623,"&lt;"&amp;EDATE(DATEVALUE(C394&amp;"-01"),9))</f>
        <v>0</v>
      </c>
      <c r="AB394" s="37">
        <f>SUMIFS('📋 Транзакції'!$F$5:$F$3623,'📋 Транзакції'!$B$5:$B$3623,A394,'📋 Транзакції'!$C$5:$C$3623,"&gt;="&amp;EDATE(DATEVALUE(C394&amp;"-01"),9),'📋 Транзакції'!$C$5:$C$3623,"&lt;"&amp;EDATE(DATEVALUE(C394&amp;"-01"),10))</f>
        <v>0</v>
      </c>
      <c r="AC394" s="37">
        <f>SUMIFS('📋 Транзакції'!$F$5:$F$3623,'📋 Транзакції'!$B$5:$B$3623,A394,'📋 Транзакції'!$C$5:$C$3623,"&gt;="&amp;EDATE(DATEVALUE(C394&amp;"-01"),10),'📋 Транзакції'!$C$5:$C$3623,"&lt;"&amp;EDATE(DATEVALUE(C394&amp;"-01"),11))</f>
        <v>0</v>
      </c>
      <c r="AD394" s="37">
        <f>SUMIFS('📋 Транзакції'!$F$5:$F$3623,'📋 Транзакції'!$B$5:$B$3623,A394,'📋 Транзакції'!$C$5:$C$3623,"&gt;="&amp;EDATE(DATEVALUE(C394&amp;"-01"),11),'📋 Транзакції'!$C$5:$C$3623,"&lt;"&amp;EDATE(DATEVALUE(C394&amp;"-01"),12))</f>
        <v>0</v>
      </c>
    </row>
    <row r="395" ht="15.75" customHeight="1">
      <c r="A395" s="33" t="str">
        <f>'📋 Реєстрації'!A395:A996</f>
        <v>U0792</v>
      </c>
      <c r="B395" s="34">
        <f t="array" ref="B395">INDEX('📋 Транзакції'!$C$5:$C$3623,MATCH(A395,'📋 Транзакції'!$B$5:$B$3623,0))</f>
        <v>45618</v>
      </c>
      <c r="C395" s="35" t="str">
        <f t="shared" si="1"/>
        <v>2024-11</v>
      </c>
      <c r="D395" s="36">
        <f>COUNTIF('📋 Транзакції'!$B$5:$B$3623,A395)</f>
        <v>6</v>
      </c>
      <c r="E395" s="36">
        <f>SUMIF('📋 Транзакції'!$B$5:$B$3623,A395,'📋 Транзакції'!$F$5:$F$3623)</f>
        <v>99.95</v>
      </c>
      <c r="F395" s="35">
        <f>INT($A$1-MAXIFS('📋 Транзакції'!$C$5:$C$3623,'📋 Транзакції'!$B$5:$B$3623,A395))</f>
        <v>2</v>
      </c>
      <c r="G395" s="37">
        <f>IF(COUNTIFS('📋 Транзакції'!$B$5:$B$3623,A395,'📋 Транзакції'!$C$5:$C$3623,"&gt;="&amp;EDATE(DATEVALUE(C395&amp;"-01"),0),'📋 Транзакції'!$C$5:$C$3623,"&lt;"&amp;EDATE(DATEVALUE(C395&amp;"-01"),1))&gt;0,1,0)</f>
        <v>1</v>
      </c>
      <c r="H395" s="37">
        <f>IF(COUNTIFS('📋 Транзакції'!$B$5:$B$3623,A395,'📋 Транзакції'!$C$5:$C$3623,"&gt;="&amp;EDATE(DATEVALUE(C395&amp;"-01"),1),'📋 Транзакції'!$C$5:$C$3623,"&lt;"&amp;EDATE(DATEVALUE(C395&amp;"-01"),2))&gt;0,1,0)</f>
        <v>1</v>
      </c>
      <c r="I395" s="37">
        <f>IF(COUNTIFS('📋 Транзакції'!$B$5:$B$3623,A395,'📋 Транзакції'!$C$5:$C$3623,"&gt;="&amp;EDATE(DATEVALUE(C395&amp;"-01"),2),'📋 Транзакції'!$C$5:$C$3623,"&lt;"&amp;EDATE(DATEVALUE(C395&amp;"-01"),3))&gt;0,1,0)</f>
        <v>1</v>
      </c>
      <c r="J395" s="37">
        <f>IF(COUNTIFS('📋 Транзакції'!$B$5:$B$3623,A395,'📋 Транзакції'!$C$5:$C$3623,"&gt;="&amp;EDATE(DATEVALUE(C395&amp;"-01"),3),'📋 Транзакції'!$C$5:$C$3623,"&lt;"&amp;EDATE(DATEVALUE(C395&amp;"-01"),4))&gt;0,1,0)</f>
        <v>1</v>
      </c>
      <c r="K395" s="37">
        <f>IF(COUNTIFS('📋 Транзакції'!$B$5:$B$3623,A395,'📋 Транзакції'!$C$5:$C$3623,"&gt;="&amp;EDATE(DATEVALUE(C395&amp;"-01"),4),'📋 Транзакції'!$C$5:$C$3623,"&lt;"&amp;EDATE(DATEVALUE(C395&amp;"-01"),5))&gt;0,1,0)</f>
        <v>1</v>
      </c>
      <c r="L395" s="37">
        <f>IF(COUNTIFS('📋 Транзакції'!$B$5:$B$3623,A395,'📋 Транзакції'!$C$5:$C$3623,"&gt;="&amp;EDATE(DATEVALUE(C395&amp;"-01"),5),'📋 Транзакції'!$C$5:$C$3623,"&lt;"&amp;EDATE(DATEVALUE(C395&amp;"-01"),6))&gt;0,1,0)</f>
        <v>0</v>
      </c>
      <c r="M395" s="37">
        <f>IF(COUNTIFS('📋 Транзакції'!$B$5:$B$3623,A395,'📋 Транзакції'!$C$5:$C$3623,"&gt;="&amp;EDATE(DATEVALUE(C395&amp;"-01"),6),'📋 Транзакції'!$C$5:$C$3623,"&lt;"&amp;EDATE(DATEVALUE(C395&amp;"-01"),7))&gt;0,1,0)</f>
        <v>0</v>
      </c>
      <c r="N395" s="37">
        <f>IF(COUNTIFS('📋 Транзакції'!$B$5:$B$3623,A395,'📋 Транзакції'!$C$5:$C$3623,"&gt;="&amp;EDATE(DATEVALUE(C395&amp;"-01"),7),'📋 Транзакції'!$C$5:$C$3623,"&lt;"&amp;EDATE(DATEVALUE(C395&amp;"-01"),8))&gt;0,1,0)</f>
        <v>0</v>
      </c>
      <c r="O395" s="37">
        <f>IF(COUNTIFS('📋 Транзакції'!$B$5:$B$3623,A395,'📋 Транзакції'!$C$5:$C$3623,"&gt;="&amp;EDATE(DATEVALUE(C395&amp;"-01"),8),'📋 Транзакції'!$C$5:$C$3623,"&lt;"&amp;EDATE(DATEVALUE(C395&amp;"-01"),9))&gt;0,1,0)</f>
        <v>0</v>
      </c>
      <c r="P395" s="37">
        <f>IF(COUNTIFS('📋 Транзакції'!$B$5:$B$3623,A395,'📋 Транзакції'!$C$5:$C$3623,"&gt;="&amp;EDATE(DATEVALUE(C395&amp;"-01"),9),'📋 Транзакції'!$C$5:$C$3623,"&lt;"&amp;EDATE(DATEVALUE(C395&amp;"-01"),10))&gt;0,1,0)</f>
        <v>0</v>
      </c>
      <c r="Q395" s="37">
        <f>IF(COUNTIFS('📋 Транзакції'!$B$5:$B$3623,A395,'📋 Транзакції'!$C$5:$C$3623,"&gt;="&amp;EDATE(DATEVALUE(C395&amp;"-01"),10),'📋 Транзакції'!$C$5:$C$3623,"&lt;"&amp;EDATE(DATEVALUE(C395&amp;"-01"),11))&gt;0,1,0)</f>
        <v>0</v>
      </c>
      <c r="R395" s="37">
        <f>IF(COUNTIFS('📋 Транзакції'!$B$5:$B$3623,A395,'📋 Транзакції'!$C$5:$C$3623,"&gt;="&amp;EDATE(DATEVALUE(C395&amp;"-01"),11),'📋 Транзакції'!$C$5:$C$3623,"&lt;"&amp;EDATE(DATEVALUE(C395&amp;"-01"),12))&gt;0,1,0)</f>
        <v>0</v>
      </c>
      <c r="S395" s="37">
        <f>SUMIFS('📋 Транзакції'!$F$5:$F$3623,'📋 Транзакції'!$B$5:$B$3623,A395,'📋 Транзакції'!$C$5:$C$3623,"&gt;="&amp;EDATE(DATEVALUE(C395&amp;"-01"),0),'📋 Транзакції'!$C$5:$C$3623,"&lt;"&amp;EDATE(DATEVALUE(C395&amp;"-01"),1))</f>
        <v>19.99</v>
      </c>
      <c r="T395" s="37">
        <f>SUMIFS('📋 Транзакції'!$F$5:$F$3623,'📋 Транзакції'!$B$5:$B$3623,A395,'📋 Транзакції'!$C$5:$C$3623,"&gt;="&amp;EDATE(DATEVALUE(C395&amp;"-01"),1),'📋 Транзакції'!$C$5:$C$3623,"&lt;"&amp;EDATE(DATEVALUE(C395&amp;"-01"),2))</f>
        <v>19.99</v>
      </c>
      <c r="U395" s="37">
        <f>SUMIFS('📋 Транзакції'!$F$5:$F$3623,'📋 Транзакції'!$B$5:$B$3623,A395,'📋 Транзакції'!$C$5:$C$3623,"&gt;="&amp;EDATE(DATEVALUE(C395&amp;"-01"),2),'📋 Транзакції'!$C$5:$C$3623,"&lt;"&amp;EDATE(DATEVALUE(C395&amp;"-01"),3))</f>
        <v>19.99</v>
      </c>
      <c r="V395" s="37">
        <f>SUMIFS('📋 Транзакції'!$F$5:$F$3623,'📋 Транзакції'!$B$5:$B$3623,A395,'📋 Транзакції'!$C$5:$C$3623,"&gt;="&amp;EDATE(DATEVALUE(C395&amp;"-01"),3),'📋 Транзакції'!$C$5:$C$3623,"&lt;"&amp;EDATE(DATEVALUE(C395&amp;"-01"),4))</f>
        <v>19.99</v>
      </c>
      <c r="W395" s="37">
        <f>SUMIFS('📋 Транзакції'!$F$5:$F$3623,'📋 Транзакції'!$B$5:$B$3623,A395,'📋 Транзакції'!$C$5:$C$3623,"&gt;="&amp;EDATE(DATEVALUE(C395&amp;"-01"),4),'📋 Транзакції'!$C$5:$C$3623,"&lt;"&amp;EDATE(DATEVALUE(C395&amp;"-01"),5))</f>
        <v>19.99</v>
      </c>
      <c r="X395" s="37">
        <f>SUMIFS('📋 Транзакції'!$F$5:$F$3623,'📋 Транзакції'!$B$5:$B$3623,A395,'📋 Транзакції'!$C$5:$C$3623,"&gt;="&amp;EDATE(DATEVALUE(C395&amp;"-01"),5),'📋 Транзакції'!$C$5:$C$3623,"&lt;"&amp;EDATE(DATEVALUE(C395&amp;"-01"),6))</f>
        <v>0</v>
      </c>
      <c r="Y395" s="37">
        <f>SUMIFS('📋 Транзакції'!$F$5:$F$3623,'📋 Транзакції'!$B$5:$B$3623,A395,'📋 Транзакції'!$C$5:$C$3623,"&gt;="&amp;EDATE(DATEVALUE(C395&amp;"-01"),6),'📋 Транзакції'!$C$5:$C$3623,"&lt;"&amp;EDATE(DATEVALUE(C395&amp;"-01"),7))</f>
        <v>0</v>
      </c>
      <c r="Z395" s="37">
        <f>SUMIFS('📋 Транзакції'!$F$5:$F$3623,'📋 Транзакції'!$B$5:$B$3623,A395,'📋 Транзакції'!$C$5:$C$3623,"&gt;="&amp;EDATE(DATEVALUE(C395&amp;"-01"),7),'📋 Транзакції'!$C$5:$C$3623,"&lt;"&amp;EDATE(DATEVALUE(C395&amp;"-01"),8))</f>
        <v>0</v>
      </c>
      <c r="AA395" s="37">
        <f>SUMIFS('📋 Транзакції'!$F$5:$F$3623,'📋 Транзакції'!$B$5:$B$3623,A395,'📋 Транзакції'!$C$5:$C$3623,"&gt;="&amp;EDATE(DATEVALUE(C395&amp;"-01"),8),'📋 Транзакції'!$C$5:$C$3623,"&lt;"&amp;EDATE(DATEVALUE(C395&amp;"-01"),9))</f>
        <v>0</v>
      </c>
      <c r="AB395" s="37">
        <f>SUMIFS('📋 Транзакції'!$F$5:$F$3623,'📋 Транзакції'!$B$5:$B$3623,A395,'📋 Транзакції'!$C$5:$C$3623,"&gt;="&amp;EDATE(DATEVALUE(C395&amp;"-01"),9),'📋 Транзакції'!$C$5:$C$3623,"&lt;"&amp;EDATE(DATEVALUE(C395&amp;"-01"),10))</f>
        <v>0</v>
      </c>
      <c r="AC395" s="37">
        <f>SUMIFS('📋 Транзакції'!$F$5:$F$3623,'📋 Транзакції'!$B$5:$B$3623,A395,'📋 Транзакції'!$C$5:$C$3623,"&gt;="&amp;EDATE(DATEVALUE(C395&amp;"-01"),10),'📋 Транзакції'!$C$5:$C$3623,"&lt;"&amp;EDATE(DATEVALUE(C395&amp;"-01"),11))</f>
        <v>0</v>
      </c>
      <c r="AD395" s="37">
        <f>SUMIFS('📋 Транзакції'!$F$5:$F$3623,'📋 Транзакції'!$B$5:$B$3623,A395,'📋 Транзакції'!$C$5:$C$3623,"&gt;="&amp;EDATE(DATEVALUE(C395&amp;"-01"),11),'📋 Транзакції'!$C$5:$C$3623,"&lt;"&amp;EDATE(DATEVALUE(C395&amp;"-01"),12))</f>
        <v>0</v>
      </c>
    </row>
    <row r="396" ht="15.75" customHeight="1">
      <c r="A396" s="33" t="str">
        <f>'📋 Реєстрації'!A396:A997</f>
        <v>U0094</v>
      </c>
      <c r="B396" s="34">
        <f t="array" ref="B396">INDEX('📋 Транзакції'!$C$5:$C$3623,MATCH(A396,'📋 Транзакції'!$B$5:$B$3623,0))</f>
        <v>45619</v>
      </c>
      <c r="C396" s="35" t="str">
        <f t="shared" si="1"/>
        <v>2024-11</v>
      </c>
      <c r="D396" s="36">
        <f>COUNTIF('📋 Транзакції'!$B$5:$B$3623,A396)</f>
        <v>6</v>
      </c>
      <c r="E396" s="36">
        <f>SUMIF('📋 Транзакції'!$B$5:$B$3623,A396,'📋 Транзакції'!$F$5:$F$3623)</f>
        <v>99.95</v>
      </c>
      <c r="F396" s="35">
        <f>INT($A$1-MAXIFS('📋 Транзакції'!$C$5:$C$3623,'📋 Транзакції'!$B$5:$B$3623,A396))</f>
        <v>1</v>
      </c>
      <c r="G396" s="37">
        <f>IF(COUNTIFS('📋 Транзакції'!$B$5:$B$3623,A396,'📋 Транзакції'!$C$5:$C$3623,"&gt;="&amp;EDATE(DATEVALUE(C396&amp;"-01"),0),'📋 Транзакції'!$C$5:$C$3623,"&lt;"&amp;EDATE(DATEVALUE(C396&amp;"-01"),1))&gt;0,1,0)</f>
        <v>1</v>
      </c>
      <c r="H396" s="37">
        <f>IF(COUNTIFS('📋 Транзакції'!$B$5:$B$3623,A396,'📋 Транзакції'!$C$5:$C$3623,"&gt;="&amp;EDATE(DATEVALUE(C396&amp;"-01"),1),'📋 Транзакції'!$C$5:$C$3623,"&lt;"&amp;EDATE(DATEVALUE(C396&amp;"-01"),2))&gt;0,1,0)</f>
        <v>1</v>
      </c>
      <c r="I396" s="37">
        <f>IF(COUNTIFS('📋 Транзакції'!$B$5:$B$3623,A396,'📋 Транзакції'!$C$5:$C$3623,"&gt;="&amp;EDATE(DATEVALUE(C396&amp;"-01"),2),'📋 Транзакції'!$C$5:$C$3623,"&lt;"&amp;EDATE(DATEVALUE(C396&amp;"-01"),3))&gt;0,1,0)</f>
        <v>1</v>
      </c>
      <c r="J396" s="37">
        <f>IF(COUNTIFS('📋 Транзакції'!$B$5:$B$3623,A396,'📋 Транзакції'!$C$5:$C$3623,"&gt;="&amp;EDATE(DATEVALUE(C396&amp;"-01"),3),'📋 Транзакції'!$C$5:$C$3623,"&lt;"&amp;EDATE(DATEVALUE(C396&amp;"-01"),4))&gt;0,1,0)</f>
        <v>1</v>
      </c>
      <c r="K396" s="37">
        <f>IF(COUNTIFS('📋 Транзакції'!$B$5:$B$3623,A396,'📋 Транзакції'!$C$5:$C$3623,"&gt;="&amp;EDATE(DATEVALUE(C396&amp;"-01"),4),'📋 Транзакції'!$C$5:$C$3623,"&lt;"&amp;EDATE(DATEVALUE(C396&amp;"-01"),5))&gt;0,1,0)</f>
        <v>1</v>
      </c>
      <c r="L396" s="37">
        <f>IF(COUNTIFS('📋 Транзакції'!$B$5:$B$3623,A396,'📋 Транзакції'!$C$5:$C$3623,"&gt;="&amp;EDATE(DATEVALUE(C396&amp;"-01"),5),'📋 Транзакції'!$C$5:$C$3623,"&lt;"&amp;EDATE(DATEVALUE(C396&amp;"-01"),6))&gt;0,1,0)</f>
        <v>0</v>
      </c>
      <c r="M396" s="37">
        <f>IF(COUNTIFS('📋 Транзакції'!$B$5:$B$3623,A396,'📋 Транзакції'!$C$5:$C$3623,"&gt;="&amp;EDATE(DATEVALUE(C396&amp;"-01"),6),'📋 Транзакції'!$C$5:$C$3623,"&lt;"&amp;EDATE(DATEVALUE(C396&amp;"-01"),7))&gt;0,1,0)</f>
        <v>0</v>
      </c>
      <c r="N396" s="37">
        <f>IF(COUNTIFS('📋 Транзакції'!$B$5:$B$3623,A396,'📋 Транзакції'!$C$5:$C$3623,"&gt;="&amp;EDATE(DATEVALUE(C396&amp;"-01"),7),'📋 Транзакції'!$C$5:$C$3623,"&lt;"&amp;EDATE(DATEVALUE(C396&amp;"-01"),8))&gt;0,1,0)</f>
        <v>0</v>
      </c>
      <c r="O396" s="37">
        <f>IF(COUNTIFS('📋 Транзакції'!$B$5:$B$3623,A396,'📋 Транзакції'!$C$5:$C$3623,"&gt;="&amp;EDATE(DATEVALUE(C396&amp;"-01"),8),'📋 Транзакції'!$C$5:$C$3623,"&lt;"&amp;EDATE(DATEVALUE(C396&amp;"-01"),9))&gt;0,1,0)</f>
        <v>0</v>
      </c>
      <c r="P396" s="37">
        <f>IF(COUNTIFS('📋 Транзакції'!$B$5:$B$3623,A396,'📋 Транзакції'!$C$5:$C$3623,"&gt;="&amp;EDATE(DATEVALUE(C396&amp;"-01"),9),'📋 Транзакції'!$C$5:$C$3623,"&lt;"&amp;EDATE(DATEVALUE(C396&amp;"-01"),10))&gt;0,1,0)</f>
        <v>0</v>
      </c>
      <c r="Q396" s="37">
        <f>IF(COUNTIFS('📋 Транзакції'!$B$5:$B$3623,A396,'📋 Транзакції'!$C$5:$C$3623,"&gt;="&amp;EDATE(DATEVALUE(C396&amp;"-01"),10),'📋 Транзакції'!$C$5:$C$3623,"&lt;"&amp;EDATE(DATEVALUE(C396&amp;"-01"),11))&gt;0,1,0)</f>
        <v>0</v>
      </c>
      <c r="R396" s="37">
        <f>IF(COUNTIFS('📋 Транзакції'!$B$5:$B$3623,A396,'📋 Транзакції'!$C$5:$C$3623,"&gt;="&amp;EDATE(DATEVALUE(C396&amp;"-01"),11),'📋 Транзакції'!$C$5:$C$3623,"&lt;"&amp;EDATE(DATEVALUE(C396&amp;"-01"),12))&gt;0,1,0)</f>
        <v>0</v>
      </c>
      <c r="S396" s="37">
        <f>SUMIFS('📋 Транзакції'!$F$5:$F$3623,'📋 Транзакції'!$B$5:$B$3623,A396,'📋 Транзакції'!$C$5:$C$3623,"&gt;="&amp;EDATE(DATEVALUE(C396&amp;"-01"),0),'📋 Транзакції'!$C$5:$C$3623,"&lt;"&amp;EDATE(DATEVALUE(C396&amp;"-01"),1))</f>
        <v>19.99</v>
      </c>
      <c r="T396" s="37">
        <f>SUMIFS('📋 Транзакції'!$F$5:$F$3623,'📋 Транзакції'!$B$5:$B$3623,A396,'📋 Транзакції'!$C$5:$C$3623,"&gt;="&amp;EDATE(DATEVALUE(C396&amp;"-01"),1),'📋 Транзакції'!$C$5:$C$3623,"&lt;"&amp;EDATE(DATEVALUE(C396&amp;"-01"),2))</f>
        <v>19.99</v>
      </c>
      <c r="U396" s="37">
        <f>SUMIFS('📋 Транзакції'!$F$5:$F$3623,'📋 Транзакції'!$B$5:$B$3623,A396,'📋 Транзакції'!$C$5:$C$3623,"&gt;="&amp;EDATE(DATEVALUE(C396&amp;"-01"),2),'📋 Транзакції'!$C$5:$C$3623,"&lt;"&amp;EDATE(DATEVALUE(C396&amp;"-01"),3))</f>
        <v>19.99</v>
      </c>
      <c r="V396" s="37">
        <f>SUMIFS('📋 Транзакції'!$F$5:$F$3623,'📋 Транзакції'!$B$5:$B$3623,A396,'📋 Транзакції'!$C$5:$C$3623,"&gt;="&amp;EDATE(DATEVALUE(C396&amp;"-01"),3),'📋 Транзакції'!$C$5:$C$3623,"&lt;"&amp;EDATE(DATEVALUE(C396&amp;"-01"),4))</f>
        <v>19.99</v>
      </c>
      <c r="W396" s="37">
        <f>SUMIFS('📋 Транзакції'!$F$5:$F$3623,'📋 Транзакції'!$B$5:$B$3623,A396,'📋 Транзакції'!$C$5:$C$3623,"&gt;="&amp;EDATE(DATEVALUE(C396&amp;"-01"),4),'📋 Транзакції'!$C$5:$C$3623,"&lt;"&amp;EDATE(DATEVALUE(C396&amp;"-01"),5))</f>
        <v>19.99</v>
      </c>
      <c r="X396" s="37">
        <f>SUMIFS('📋 Транзакції'!$F$5:$F$3623,'📋 Транзакції'!$B$5:$B$3623,A396,'📋 Транзакції'!$C$5:$C$3623,"&gt;="&amp;EDATE(DATEVALUE(C396&amp;"-01"),5),'📋 Транзакції'!$C$5:$C$3623,"&lt;"&amp;EDATE(DATEVALUE(C396&amp;"-01"),6))</f>
        <v>0</v>
      </c>
      <c r="Y396" s="37">
        <f>SUMIFS('📋 Транзакції'!$F$5:$F$3623,'📋 Транзакції'!$B$5:$B$3623,A396,'📋 Транзакції'!$C$5:$C$3623,"&gt;="&amp;EDATE(DATEVALUE(C396&amp;"-01"),6),'📋 Транзакції'!$C$5:$C$3623,"&lt;"&amp;EDATE(DATEVALUE(C396&amp;"-01"),7))</f>
        <v>0</v>
      </c>
      <c r="Z396" s="37">
        <f>SUMIFS('📋 Транзакції'!$F$5:$F$3623,'📋 Транзакції'!$B$5:$B$3623,A396,'📋 Транзакції'!$C$5:$C$3623,"&gt;="&amp;EDATE(DATEVALUE(C396&amp;"-01"),7),'📋 Транзакції'!$C$5:$C$3623,"&lt;"&amp;EDATE(DATEVALUE(C396&amp;"-01"),8))</f>
        <v>0</v>
      </c>
      <c r="AA396" s="37">
        <f>SUMIFS('📋 Транзакції'!$F$5:$F$3623,'📋 Транзакції'!$B$5:$B$3623,A396,'📋 Транзакції'!$C$5:$C$3623,"&gt;="&amp;EDATE(DATEVALUE(C396&amp;"-01"),8),'📋 Транзакції'!$C$5:$C$3623,"&lt;"&amp;EDATE(DATEVALUE(C396&amp;"-01"),9))</f>
        <v>0</v>
      </c>
      <c r="AB396" s="37">
        <f>SUMIFS('📋 Транзакції'!$F$5:$F$3623,'📋 Транзакції'!$B$5:$B$3623,A396,'📋 Транзакції'!$C$5:$C$3623,"&gt;="&amp;EDATE(DATEVALUE(C396&amp;"-01"),9),'📋 Транзакції'!$C$5:$C$3623,"&lt;"&amp;EDATE(DATEVALUE(C396&amp;"-01"),10))</f>
        <v>0</v>
      </c>
      <c r="AC396" s="37">
        <f>SUMIFS('📋 Транзакції'!$F$5:$F$3623,'📋 Транзакції'!$B$5:$B$3623,A396,'📋 Транзакції'!$C$5:$C$3623,"&gt;="&amp;EDATE(DATEVALUE(C396&amp;"-01"),10),'📋 Транзакції'!$C$5:$C$3623,"&lt;"&amp;EDATE(DATEVALUE(C396&amp;"-01"),11))</f>
        <v>0</v>
      </c>
      <c r="AD396" s="37">
        <f>SUMIFS('📋 Транзакції'!$F$5:$F$3623,'📋 Транзакції'!$B$5:$B$3623,A396,'📋 Транзакції'!$C$5:$C$3623,"&gt;="&amp;EDATE(DATEVALUE(C396&amp;"-01"),11),'📋 Транзакції'!$C$5:$C$3623,"&lt;"&amp;EDATE(DATEVALUE(C396&amp;"-01"),12))</f>
        <v>0</v>
      </c>
    </row>
    <row r="397" ht="15.75" customHeight="1">
      <c r="A397" s="33" t="str">
        <f>'📋 Реєстрації'!A397:A998</f>
        <v>U0350</v>
      </c>
      <c r="B397" s="34">
        <f t="array" ref="B397">INDEX('📋 Транзакції'!$C$5:$C$3623,MATCH(A397,'📋 Транзакції'!$B$5:$B$3623,0))</f>
        <v>45619</v>
      </c>
      <c r="C397" s="35" t="str">
        <f t="shared" si="1"/>
        <v>2024-11</v>
      </c>
      <c r="D397" s="36">
        <f>COUNTIF('📋 Транзакції'!$B$5:$B$3623,A397)</f>
        <v>6</v>
      </c>
      <c r="E397" s="36">
        <f>SUMIF('📋 Транзакції'!$B$5:$B$3623,A397,'📋 Транзакції'!$F$5:$F$3623)</f>
        <v>99.95</v>
      </c>
      <c r="F397" s="35">
        <f>INT($A$1-MAXIFS('📋 Транзакції'!$C$5:$C$3623,'📋 Транзакції'!$B$5:$B$3623,A397))</f>
        <v>1</v>
      </c>
      <c r="G397" s="37">
        <f>IF(COUNTIFS('📋 Транзакції'!$B$5:$B$3623,A397,'📋 Транзакції'!$C$5:$C$3623,"&gt;="&amp;EDATE(DATEVALUE(C397&amp;"-01"),0),'📋 Транзакції'!$C$5:$C$3623,"&lt;"&amp;EDATE(DATEVALUE(C397&amp;"-01"),1))&gt;0,1,0)</f>
        <v>1</v>
      </c>
      <c r="H397" s="37">
        <f>IF(COUNTIFS('📋 Транзакції'!$B$5:$B$3623,A397,'📋 Транзакції'!$C$5:$C$3623,"&gt;="&amp;EDATE(DATEVALUE(C397&amp;"-01"),1),'📋 Транзакції'!$C$5:$C$3623,"&lt;"&amp;EDATE(DATEVALUE(C397&amp;"-01"),2))&gt;0,1,0)</f>
        <v>1</v>
      </c>
      <c r="I397" s="37">
        <f>IF(COUNTIFS('📋 Транзакції'!$B$5:$B$3623,A397,'📋 Транзакції'!$C$5:$C$3623,"&gt;="&amp;EDATE(DATEVALUE(C397&amp;"-01"),2),'📋 Транзакції'!$C$5:$C$3623,"&lt;"&amp;EDATE(DATEVALUE(C397&amp;"-01"),3))&gt;0,1,0)</f>
        <v>1</v>
      </c>
      <c r="J397" s="37">
        <f>IF(COUNTIFS('📋 Транзакції'!$B$5:$B$3623,A397,'📋 Транзакції'!$C$5:$C$3623,"&gt;="&amp;EDATE(DATEVALUE(C397&amp;"-01"),3),'📋 Транзакції'!$C$5:$C$3623,"&lt;"&amp;EDATE(DATEVALUE(C397&amp;"-01"),4))&gt;0,1,0)</f>
        <v>1</v>
      </c>
      <c r="K397" s="37">
        <f>IF(COUNTIFS('📋 Транзакції'!$B$5:$B$3623,A397,'📋 Транзакції'!$C$5:$C$3623,"&gt;="&amp;EDATE(DATEVALUE(C397&amp;"-01"),4),'📋 Транзакції'!$C$5:$C$3623,"&lt;"&amp;EDATE(DATEVALUE(C397&amp;"-01"),5))&gt;0,1,0)</f>
        <v>1</v>
      </c>
      <c r="L397" s="37">
        <f>IF(COUNTIFS('📋 Транзакції'!$B$5:$B$3623,A397,'📋 Транзакції'!$C$5:$C$3623,"&gt;="&amp;EDATE(DATEVALUE(C397&amp;"-01"),5),'📋 Транзакції'!$C$5:$C$3623,"&lt;"&amp;EDATE(DATEVALUE(C397&amp;"-01"),6))&gt;0,1,0)</f>
        <v>0</v>
      </c>
      <c r="M397" s="37">
        <f>IF(COUNTIFS('📋 Транзакції'!$B$5:$B$3623,A397,'📋 Транзакції'!$C$5:$C$3623,"&gt;="&amp;EDATE(DATEVALUE(C397&amp;"-01"),6),'📋 Транзакції'!$C$5:$C$3623,"&lt;"&amp;EDATE(DATEVALUE(C397&amp;"-01"),7))&gt;0,1,0)</f>
        <v>0</v>
      </c>
      <c r="N397" s="37">
        <f>IF(COUNTIFS('📋 Транзакції'!$B$5:$B$3623,A397,'📋 Транзакції'!$C$5:$C$3623,"&gt;="&amp;EDATE(DATEVALUE(C397&amp;"-01"),7),'📋 Транзакції'!$C$5:$C$3623,"&lt;"&amp;EDATE(DATEVALUE(C397&amp;"-01"),8))&gt;0,1,0)</f>
        <v>0</v>
      </c>
      <c r="O397" s="37">
        <f>IF(COUNTIFS('📋 Транзакції'!$B$5:$B$3623,A397,'📋 Транзакції'!$C$5:$C$3623,"&gt;="&amp;EDATE(DATEVALUE(C397&amp;"-01"),8),'📋 Транзакції'!$C$5:$C$3623,"&lt;"&amp;EDATE(DATEVALUE(C397&amp;"-01"),9))&gt;0,1,0)</f>
        <v>0</v>
      </c>
      <c r="P397" s="37">
        <f>IF(COUNTIFS('📋 Транзакції'!$B$5:$B$3623,A397,'📋 Транзакції'!$C$5:$C$3623,"&gt;="&amp;EDATE(DATEVALUE(C397&amp;"-01"),9),'📋 Транзакції'!$C$5:$C$3623,"&lt;"&amp;EDATE(DATEVALUE(C397&amp;"-01"),10))&gt;0,1,0)</f>
        <v>0</v>
      </c>
      <c r="Q397" s="37">
        <f>IF(COUNTIFS('📋 Транзакції'!$B$5:$B$3623,A397,'📋 Транзакції'!$C$5:$C$3623,"&gt;="&amp;EDATE(DATEVALUE(C397&amp;"-01"),10),'📋 Транзакції'!$C$5:$C$3623,"&lt;"&amp;EDATE(DATEVALUE(C397&amp;"-01"),11))&gt;0,1,0)</f>
        <v>0</v>
      </c>
      <c r="R397" s="37">
        <f>IF(COUNTIFS('📋 Транзакції'!$B$5:$B$3623,A397,'📋 Транзакції'!$C$5:$C$3623,"&gt;="&amp;EDATE(DATEVALUE(C397&amp;"-01"),11),'📋 Транзакції'!$C$5:$C$3623,"&lt;"&amp;EDATE(DATEVALUE(C397&amp;"-01"),12))&gt;0,1,0)</f>
        <v>0</v>
      </c>
      <c r="S397" s="37">
        <f>SUMIFS('📋 Транзакції'!$F$5:$F$3623,'📋 Транзакції'!$B$5:$B$3623,A397,'📋 Транзакції'!$C$5:$C$3623,"&gt;="&amp;EDATE(DATEVALUE(C397&amp;"-01"),0),'📋 Транзакції'!$C$5:$C$3623,"&lt;"&amp;EDATE(DATEVALUE(C397&amp;"-01"),1))</f>
        <v>19.99</v>
      </c>
      <c r="T397" s="37">
        <f>SUMIFS('📋 Транзакції'!$F$5:$F$3623,'📋 Транзакції'!$B$5:$B$3623,A397,'📋 Транзакції'!$C$5:$C$3623,"&gt;="&amp;EDATE(DATEVALUE(C397&amp;"-01"),1),'📋 Транзакції'!$C$5:$C$3623,"&lt;"&amp;EDATE(DATEVALUE(C397&amp;"-01"),2))</f>
        <v>19.99</v>
      </c>
      <c r="U397" s="37">
        <f>SUMIFS('📋 Транзакції'!$F$5:$F$3623,'📋 Транзакції'!$B$5:$B$3623,A397,'📋 Транзакції'!$C$5:$C$3623,"&gt;="&amp;EDATE(DATEVALUE(C397&amp;"-01"),2),'📋 Транзакції'!$C$5:$C$3623,"&lt;"&amp;EDATE(DATEVALUE(C397&amp;"-01"),3))</f>
        <v>19.99</v>
      </c>
      <c r="V397" s="37">
        <f>SUMIFS('📋 Транзакції'!$F$5:$F$3623,'📋 Транзакції'!$B$5:$B$3623,A397,'📋 Транзакції'!$C$5:$C$3623,"&gt;="&amp;EDATE(DATEVALUE(C397&amp;"-01"),3),'📋 Транзакції'!$C$5:$C$3623,"&lt;"&amp;EDATE(DATEVALUE(C397&amp;"-01"),4))</f>
        <v>19.99</v>
      </c>
      <c r="W397" s="37">
        <f>SUMIFS('📋 Транзакції'!$F$5:$F$3623,'📋 Транзакції'!$B$5:$B$3623,A397,'📋 Транзакції'!$C$5:$C$3623,"&gt;="&amp;EDATE(DATEVALUE(C397&amp;"-01"),4),'📋 Транзакції'!$C$5:$C$3623,"&lt;"&amp;EDATE(DATEVALUE(C397&amp;"-01"),5))</f>
        <v>19.99</v>
      </c>
      <c r="X397" s="37">
        <f>SUMIFS('📋 Транзакції'!$F$5:$F$3623,'📋 Транзакції'!$B$5:$B$3623,A397,'📋 Транзакції'!$C$5:$C$3623,"&gt;="&amp;EDATE(DATEVALUE(C397&amp;"-01"),5),'📋 Транзакції'!$C$5:$C$3623,"&lt;"&amp;EDATE(DATEVALUE(C397&amp;"-01"),6))</f>
        <v>0</v>
      </c>
      <c r="Y397" s="37">
        <f>SUMIFS('📋 Транзакції'!$F$5:$F$3623,'📋 Транзакції'!$B$5:$B$3623,A397,'📋 Транзакції'!$C$5:$C$3623,"&gt;="&amp;EDATE(DATEVALUE(C397&amp;"-01"),6),'📋 Транзакції'!$C$5:$C$3623,"&lt;"&amp;EDATE(DATEVALUE(C397&amp;"-01"),7))</f>
        <v>0</v>
      </c>
      <c r="Z397" s="37">
        <f>SUMIFS('📋 Транзакції'!$F$5:$F$3623,'📋 Транзакції'!$B$5:$B$3623,A397,'📋 Транзакції'!$C$5:$C$3623,"&gt;="&amp;EDATE(DATEVALUE(C397&amp;"-01"),7),'📋 Транзакції'!$C$5:$C$3623,"&lt;"&amp;EDATE(DATEVALUE(C397&amp;"-01"),8))</f>
        <v>0</v>
      </c>
      <c r="AA397" s="37">
        <f>SUMIFS('📋 Транзакції'!$F$5:$F$3623,'📋 Транзакції'!$B$5:$B$3623,A397,'📋 Транзакції'!$C$5:$C$3623,"&gt;="&amp;EDATE(DATEVALUE(C397&amp;"-01"),8),'📋 Транзакції'!$C$5:$C$3623,"&lt;"&amp;EDATE(DATEVALUE(C397&amp;"-01"),9))</f>
        <v>0</v>
      </c>
      <c r="AB397" s="37">
        <f>SUMIFS('📋 Транзакції'!$F$5:$F$3623,'📋 Транзакції'!$B$5:$B$3623,A397,'📋 Транзакції'!$C$5:$C$3623,"&gt;="&amp;EDATE(DATEVALUE(C397&amp;"-01"),9),'📋 Транзакції'!$C$5:$C$3623,"&lt;"&amp;EDATE(DATEVALUE(C397&amp;"-01"),10))</f>
        <v>0</v>
      </c>
      <c r="AC397" s="37">
        <f>SUMIFS('📋 Транзакції'!$F$5:$F$3623,'📋 Транзакції'!$B$5:$B$3623,A397,'📋 Транзакції'!$C$5:$C$3623,"&gt;="&amp;EDATE(DATEVALUE(C397&amp;"-01"),10),'📋 Транзакції'!$C$5:$C$3623,"&lt;"&amp;EDATE(DATEVALUE(C397&amp;"-01"),11))</f>
        <v>0</v>
      </c>
      <c r="AD397" s="37">
        <f>SUMIFS('📋 Транзакції'!$F$5:$F$3623,'📋 Транзакції'!$B$5:$B$3623,A397,'📋 Транзакції'!$C$5:$C$3623,"&gt;="&amp;EDATE(DATEVALUE(C397&amp;"-01"),11),'📋 Транзакції'!$C$5:$C$3623,"&lt;"&amp;EDATE(DATEVALUE(C397&amp;"-01"),12))</f>
        <v>0</v>
      </c>
    </row>
    <row r="398" ht="15.75" customHeight="1">
      <c r="A398" s="33" t="str">
        <f>'📋 Реєстрації'!A398:A999</f>
        <v>U0647</v>
      </c>
      <c r="B398" s="34">
        <f t="array" ref="B398">INDEX('📋 Транзакції'!$C$5:$C$3623,MATCH(A398,'📋 Транзакції'!$B$5:$B$3623,0))</f>
        <v>45619</v>
      </c>
      <c r="C398" s="35" t="str">
        <f t="shared" si="1"/>
        <v>2024-11</v>
      </c>
      <c r="D398" s="36">
        <f>COUNTIF('📋 Транзакції'!$B$5:$B$3623,A398)</f>
        <v>6</v>
      </c>
      <c r="E398" s="36">
        <f>SUMIF('📋 Транзакції'!$B$5:$B$3623,A398,'📋 Транзакції'!$F$5:$F$3623)</f>
        <v>99.95</v>
      </c>
      <c r="F398" s="35">
        <f>INT($A$1-MAXIFS('📋 Транзакції'!$C$5:$C$3623,'📋 Транзакції'!$B$5:$B$3623,A398))</f>
        <v>1</v>
      </c>
      <c r="G398" s="37">
        <f>IF(COUNTIFS('📋 Транзакції'!$B$5:$B$3623,A398,'📋 Транзакції'!$C$5:$C$3623,"&gt;="&amp;EDATE(DATEVALUE(C398&amp;"-01"),0),'📋 Транзакції'!$C$5:$C$3623,"&lt;"&amp;EDATE(DATEVALUE(C398&amp;"-01"),1))&gt;0,1,0)</f>
        <v>1</v>
      </c>
      <c r="H398" s="37">
        <f>IF(COUNTIFS('📋 Транзакції'!$B$5:$B$3623,A398,'📋 Транзакції'!$C$5:$C$3623,"&gt;="&amp;EDATE(DATEVALUE(C398&amp;"-01"),1),'📋 Транзакції'!$C$5:$C$3623,"&lt;"&amp;EDATE(DATEVALUE(C398&amp;"-01"),2))&gt;0,1,0)</f>
        <v>1</v>
      </c>
      <c r="I398" s="37">
        <f>IF(COUNTIFS('📋 Транзакції'!$B$5:$B$3623,A398,'📋 Транзакції'!$C$5:$C$3623,"&gt;="&amp;EDATE(DATEVALUE(C398&amp;"-01"),2),'📋 Транзакції'!$C$5:$C$3623,"&lt;"&amp;EDATE(DATEVALUE(C398&amp;"-01"),3))&gt;0,1,0)</f>
        <v>1</v>
      </c>
      <c r="J398" s="37">
        <f>IF(COUNTIFS('📋 Транзакції'!$B$5:$B$3623,A398,'📋 Транзакції'!$C$5:$C$3623,"&gt;="&amp;EDATE(DATEVALUE(C398&amp;"-01"),3),'📋 Транзакції'!$C$5:$C$3623,"&lt;"&amp;EDATE(DATEVALUE(C398&amp;"-01"),4))&gt;0,1,0)</f>
        <v>1</v>
      </c>
      <c r="K398" s="37">
        <f>IF(COUNTIFS('📋 Транзакції'!$B$5:$B$3623,A398,'📋 Транзакції'!$C$5:$C$3623,"&gt;="&amp;EDATE(DATEVALUE(C398&amp;"-01"),4),'📋 Транзакції'!$C$5:$C$3623,"&lt;"&amp;EDATE(DATEVALUE(C398&amp;"-01"),5))&gt;0,1,0)</f>
        <v>1</v>
      </c>
      <c r="L398" s="37">
        <f>IF(COUNTIFS('📋 Транзакції'!$B$5:$B$3623,A398,'📋 Транзакції'!$C$5:$C$3623,"&gt;="&amp;EDATE(DATEVALUE(C398&amp;"-01"),5),'📋 Транзакції'!$C$5:$C$3623,"&lt;"&amp;EDATE(DATEVALUE(C398&amp;"-01"),6))&gt;0,1,0)</f>
        <v>0</v>
      </c>
      <c r="M398" s="37">
        <f>IF(COUNTIFS('📋 Транзакції'!$B$5:$B$3623,A398,'📋 Транзакції'!$C$5:$C$3623,"&gt;="&amp;EDATE(DATEVALUE(C398&amp;"-01"),6),'📋 Транзакції'!$C$5:$C$3623,"&lt;"&amp;EDATE(DATEVALUE(C398&amp;"-01"),7))&gt;0,1,0)</f>
        <v>0</v>
      </c>
      <c r="N398" s="37">
        <f>IF(COUNTIFS('📋 Транзакції'!$B$5:$B$3623,A398,'📋 Транзакції'!$C$5:$C$3623,"&gt;="&amp;EDATE(DATEVALUE(C398&amp;"-01"),7),'📋 Транзакції'!$C$5:$C$3623,"&lt;"&amp;EDATE(DATEVALUE(C398&amp;"-01"),8))&gt;0,1,0)</f>
        <v>0</v>
      </c>
      <c r="O398" s="37">
        <f>IF(COUNTIFS('📋 Транзакції'!$B$5:$B$3623,A398,'📋 Транзакції'!$C$5:$C$3623,"&gt;="&amp;EDATE(DATEVALUE(C398&amp;"-01"),8),'📋 Транзакції'!$C$5:$C$3623,"&lt;"&amp;EDATE(DATEVALUE(C398&amp;"-01"),9))&gt;0,1,0)</f>
        <v>0</v>
      </c>
      <c r="P398" s="37">
        <f>IF(COUNTIFS('📋 Транзакції'!$B$5:$B$3623,A398,'📋 Транзакції'!$C$5:$C$3623,"&gt;="&amp;EDATE(DATEVALUE(C398&amp;"-01"),9),'📋 Транзакції'!$C$5:$C$3623,"&lt;"&amp;EDATE(DATEVALUE(C398&amp;"-01"),10))&gt;0,1,0)</f>
        <v>0</v>
      </c>
      <c r="Q398" s="37">
        <f>IF(COUNTIFS('📋 Транзакції'!$B$5:$B$3623,A398,'📋 Транзакції'!$C$5:$C$3623,"&gt;="&amp;EDATE(DATEVALUE(C398&amp;"-01"),10),'📋 Транзакції'!$C$5:$C$3623,"&lt;"&amp;EDATE(DATEVALUE(C398&amp;"-01"),11))&gt;0,1,0)</f>
        <v>0</v>
      </c>
      <c r="R398" s="37">
        <f>IF(COUNTIFS('📋 Транзакції'!$B$5:$B$3623,A398,'📋 Транзакції'!$C$5:$C$3623,"&gt;="&amp;EDATE(DATEVALUE(C398&amp;"-01"),11),'📋 Транзакції'!$C$5:$C$3623,"&lt;"&amp;EDATE(DATEVALUE(C398&amp;"-01"),12))&gt;0,1,0)</f>
        <v>0</v>
      </c>
      <c r="S398" s="37">
        <f>SUMIFS('📋 Транзакції'!$F$5:$F$3623,'📋 Транзакції'!$B$5:$B$3623,A398,'📋 Транзакції'!$C$5:$C$3623,"&gt;="&amp;EDATE(DATEVALUE(C398&amp;"-01"),0),'📋 Транзакції'!$C$5:$C$3623,"&lt;"&amp;EDATE(DATEVALUE(C398&amp;"-01"),1))</f>
        <v>19.99</v>
      </c>
      <c r="T398" s="37">
        <f>SUMIFS('📋 Транзакції'!$F$5:$F$3623,'📋 Транзакції'!$B$5:$B$3623,A398,'📋 Транзакції'!$C$5:$C$3623,"&gt;="&amp;EDATE(DATEVALUE(C398&amp;"-01"),1),'📋 Транзакції'!$C$5:$C$3623,"&lt;"&amp;EDATE(DATEVALUE(C398&amp;"-01"),2))</f>
        <v>19.99</v>
      </c>
      <c r="U398" s="37">
        <f>SUMIFS('📋 Транзакції'!$F$5:$F$3623,'📋 Транзакції'!$B$5:$B$3623,A398,'📋 Транзакції'!$C$5:$C$3623,"&gt;="&amp;EDATE(DATEVALUE(C398&amp;"-01"),2),'📋 Транзакції'!$C$5:$C$3623,"&lt;"&amp;EDATE(DATEVALUE(C398&amp;"-01"),3))</f>
        <v>19.99</v>
      </c>
      <c r="V398" s="37">
        <f>SUMIFS('📋 Транзакції'!$F$5:$F$3623,'📋 Транзакції'!$B$5:$B$3623,A398,'📋 Транзакції'!$C$5:$C$3623,"&gt;="&amp;EDATE(DATEVALUE(C398&amp;"-01"),3),'📋 Транзакції'!$C$5:$C$3623,"&lt;"&amp;EDATE(DATEVALUE(C398&amp;"-01"),4))</f>
        <v>19.99</v>
      </c>
      <c r="W398" s="37">
        <f>SUMIFS('📋 Транзакції'!$F$5:$F$3623,'📋 Транзакції'!$B$5:$B$3623,A398,'📋 Транзакції'!$C$5:$C$3623,"&gt;="&amp;EDATE(DATEVALUE(C398&amp;"-01"),4),'📋 Транзакції'!$C$5:$C$3623,"&lt;"&amp;EDATE(DATEVALUE(C398&amp;"-01"),5))</f>
        <v>19.99</v>
      </c>
      <c r="X398" s="37">
        <f>SUMIFS('📋 Транзакції'!$F$5:$F$3623,'📋 Транзакції'!$B$5:$B$3623,A398,'📋 Транзакції'!$C$5:$C$3623,"&gt;="&amp;EDATE(DATEVALUE(C398&amp;"-01"),5),'📋 Транзакції'!$C$5:$C$3623,"&lt;"&amp;EDATE(DATEVALUE(C398&amp;"-01"),6))</f>
        <v>0</v>
      </c>
      <c r="Y398" s="37">
        <f>SUMIFS('📋 Транзакції'!$F$5:$F$3623,'📋 Транзакції'!$B$5:$B$3623,A398,'📋 Транзакції'!$C$5:$C$3623,"&gt;="&amp;EDATE(DATEVALUE(C398&amp;"-01"),6),'📋 Транзакції'!$C$5:$C$3623,"&lt;"&amp;EDATE(DATEVALUE(C398&amp;"-01"),7))</f>
        <v>0</v>
      </c>
      <c r="Z398" s="37">
        <f>SUMIFS('📋 Транзакції'!$F$5:$F$3623,'📋 Транзакції'!$B$5:$B$3623,A398,'📋 Транзакції'!$C$5:$C$3623,"&gt;="&amp;EDATE(DATEVALUE(C398&amp;"-01"),7),'📋 Транзакції'!$C$5:$C$3623,"&lt;"&amp;EDATE(DATEVALUE(C398&amp;"-01"),8))</f>
        <v>0</v>
      </c>
      <c r="AA398" s="37">
        <f>SUMIFS('📋 Транзакції'!$F$5:$F$3623,'📋 Транзакції'!$B$5:$B$3623,A398,'📋 Транзакції'!$C$5:$C$3623,"&gt;="&amp;EDATE(DATEVALUE(C398&amp;"-01"),8),'📋 Транзакції'!$C$5:$C$3623,"&lt;"&amp;EDATE(DATEVALUE(C398&amp;"-01"),9))</f>
        <v>0</v>
      </c>
      <c r="AB398" s="37">
        <f>SUMIFS('📋 Транзакції'!$F$5:$F$3623,'📋 Транзакції'!$B$5:$B$3623,A398,'📋 Транзакції'!$C$5:$C$3623,"&gt;="&amp;EDATE(DATEVALUE(C398&amp;"-01"),9),'📋 Транзакції'!$C$5:$C$3623,"&lt;"&amp;EDATE(DATEVALUE(C398&amp;"-01"),10))</f>
        <v>0</v>
      </c>
      <c r="AC398" s="37">
        <f>SUMIFS('📋 Транзакції'!$F$5:$F$3623,'📋 Транзакції'!$B$5:$B$3623,A398,'📋 Транзакції'!$C$5:$C$3623,"&gt;="&amp;EDATE(DATEVALUE(C398&amp;"-01"),10),'📋 Транзакції'!$C$5:$C$3623,"&lt;"&amp;EDATE(DATEVALUE(C398&amp;"-01"),11))</f>
        <v>0</v>
      </c>
      <c r="AD398" s="37">
        <f>SUMIFS('📋 Транзакції'!$F$5:$F$3623,'📋 Транзакції'!$B$5:$B$3623,A398,'📋 Транзакції'!$C$5:$C$3623,"&gt;="&amp;EDATE(DATEVALUE(C398&amp;"-01"),11),'📋 Транзакції'!$C$5:$C$3623,"&lt;"&amp;EDATE(DATEVALUE(C398&amp;"-01"),12))</f>
        <v>0</v>
      </c>
    </row>
    <row r="399" ht="15.75" customHeight="1">
      <c r="A399" s="33" t="str">
        <f>'📋 Реєстрації'!A399:A1000</f>
        <v>U0725</v>
      </c>
      <c r="B399" s="34">
        <f t="array" ref="B399">INDEX('📋 Транзакції'!$C$5:$C$3623,MATCH(A399,'📋 Транзакції'!$B$5:$B$3623,0))</f>
        <v>45619</v>
      </c>
      <c r="C399" s="35" t="str">
        <f t="shared" si="1"/>
        <v>2024-11</v>
      </c>
      <c r="D399" s="36">
        <f>COUNTIF('📋 Транзакції'!$B$5:$B$3623,A399)</f>
        <v>3</v>
      </c>
      <c r="E399" s="36">
        <f>SUMIF('📋 Транзакції'!$B$5:$B$3623,A399,'📋 Транзакції'!$F$5:$F$3623)</f>
        <v>39.98</v>
      </c>
      <c r="F399" s="35">
        <f>INT($A$1-MAXIFS('📋 Транзакції'!$C$5:$C$3623,'📋 Транзакції'!$B$5:$B$3623,A399))</f>
        <v>91</v>
      </c>
      <c r="G399" s="37">
        <f>IF(COUNTIFS('📋 Транзакції'!$B$5:$B$3623,A399,'📋 Транзакції'!$C$5:$C$3623,"&gt;="&amp;EDATE(DATEVALUE(C399&amp;"-01"),0),'📋 Транзакції'!$C$5:$C$3623,"&lt;"&amp;EDATE(DATEVALUE(C399&amp;"-01"),1))&gt;0,1,0)</f>
        <v>1</v>
      </c>
      <c r="H399" s="37">
        <f>IF(COUNTIFS('📋 Транзакції'!$B$5:$B$3623,A399,'📋 Транзакції'!$C$5:$C$3623,"&gt;="&amp;EDATE(DATEVALUE(C399&amp;"-01"),1),'📋 Транзакції'!$C$5:$C$3623,"&lt;"&amp;EDATE(DATEVALUE(C399&amp;"-01"),2))&gt;0,1,0)</f>
        <v>1</v>
      </c>
      <c r="I399" s="37">
        <f>IF(COUNTIFS('📋 Транзакції'!$B$5:$B$3623,A399,'📋 Транзакції'!$C$5:$C$3623,"&gt;="&amp;EDATE(DATEVALUE(C399&amp;"-01"),2),'📋 Транзакції'!$C$5:$C$3623,"&lt;"&amp;EDATE(DATEVALUE(C399&amp;"-01"),3))&gt;0,1,0)</f>
        <v>0</v>
      </c>
      <c r="J399" s="37">
        <f>IF(COUNTIFS('📋 Транзакції'!$B$5:$B$3623,A399,'📋 Транзакції'!$C$5:$C$3623,"&gt;="&amp;EDATE(DATEVALUE(C399&amp;"-01"),3),'📋 Транзакції'!$C$5:$C$3623,"&lt;"&amp;EDATE(DATEVALUE(C399&amp;"-01"),4))&gt;0,1,0)</f>
        <v>0</v>
      </c>
      <c r="K399" s="37">
        <f>IF(COUNTIFS('📋 Транзакції'!$B$5:$B$3623,A399,'📋 Транзакції'!$C$5:$C$3623,"&gt;="&amp;EDATE(DATEVALUE(C399&amp;"-01"),4),'📋 Транзакції'!$C$5:$C$3623,"&lt;"&amp;EDATE(DATEVALUE(C399&amp;"-01"),5))&gt;0,1,0)</f>
        <v>0</v>
      </c>
      <c r="L399" s="37">
        <f>IF(COUNTIFS('📋 Транзакції'!$B$5:$B$3623,A399,'📋 Транзакції'!$C$5:$C$3623,"&gt;="&amp;EDATE(DATEVALUE(C399&amp;"-01"),5),'📋 Транзакції'!$C$5:$C$3623,"&lt;"&amp;EDATE(DATEVALUE(C399&amp;"-01"),6))&gt;0,1,0)</f>
        <v>0</v>
      </c>
      <c r="M399" s="37">
        <f>IF(COUNTIFS('📋 Транзакції'!$B$5:$B$3623,A399,'📋 Транзакції'!$C$5:$C$3623,"&gt;="&amp;EDATE(DATEVALUE(C399&amp;"-01"),6),'📋 Транзакції'!$C$5:$C$3623,"&lt;"&amp;EDATE(DATEVALUE(C399&amp;"-01"),7))&gt;0,1,0)</f>
        <v>0</v>
      </c>
      <c r="N399" s="37">
        <f>IF(COUNTIFS('📋 Транзакції'!$B$5:$B$3623,A399,'📋 Транзакції'!$C$5:$C$3623,"&gt;="&amp;EDATE(DATEVALUE(C399&amp;"-01"),7),'📋 Транзакції'!$C$5:$C$3623,"&lt;"&amp;EDATE(DATEVALUE(C399&amp;"-01"),8))&gt;0,1,0)</f>
        <v>0</v>
      </c>
      <c r="O399" s="37">
        <f>IF(COUNTIFS('📋 Транзакції'!$B$5:$B$3623,A399,'📋 Транзакції'!$C$5:$C$3623,"&gt;="&amp;EDATE(DATEVALUE(C399&amp;"-01"),8),'📋 Транзакції'!$C$5:$C$3623,"&lt;"&amp;EDATE(DATEVALUE(C399&amp;"-01"),9))&gt;0,1,0)</f>
        <v>0</v>
      </c>
      <c r="P399" s="37">
        <f>IF(COUNTIFS('📋 Транзакції'!$B$5:$B$3623,A399,'📋 Транзакції'!$C$5:$C$3623,"&gt;="&amp;EDATE(DATEVALUE(C399&amp;"-01"),9),'📋 Транзакції'!$C$5:$C$3623,"&lt;"&amp;EDATE(DATEVALUE(C399&amp;"-01"),10))&gt;0,1,0)</f>
        <v>0</v>
      </c>
      <c r="Q399" s="37">
        <f>IF(COUNTIFS('📋 Транзакції'!$B$5:$B$3623,A399,'📋 Транзакції'!$C$5:$C$3623,"&gt;="&amp;EDATE(DATEVALUE(C399&amp;"-01"),10),'📋 Транзакції'!$C$5:$C$3623,"&lt;"&amp;EDATE(DATEVALUE(C399&amp;"-01"),11))&gt;0,1,0)</f>
        <v>0</v>
      </c>
      <c r="R399" s="37">
        <f>IF(COUNTIFS('📋 Транзакції'!$B$5:$B$3623,A399,'📋 Транзакції'!$C$5:$C$3623,"&gt;="&amp;EDATE(DATEVALUE(C399&amp;"-01"),11),'📋 Транзакції'!$C$5:$C$3623,"&lt;"&amp;EDATE(DATEVALUE(C399&amp;"-01"),12))&gt;0,1,0)</f>
        <v>0</v>
      </c>
      <c r="S399" s="37">
        <f>SUMIFS('📋 Транзакції'!$F$5:$F$3623,'📋 Транзакції'!$B$5:$B$3623,A399,'📋 Транзакції'!$C$5:$C$3623,"&gt;="&amp;EDATE(DATEVALUE(C399&amp;"-01"),0),'📋 Транзакції'!$C$5:$C$3623,"&lt;"&amp;EDATE(DATEVALUE(C399&amp;"-01"),1))</f>
        <v>19.99</v>
      </c>
      <c r="T399" s="37">
        <f>SUMIFS('📋 Транзакції'!$F$5:$F$3623,'📋 Транзакції'!$B$5:$B$3623,A399,'📋 Транзакції'!$C$5:$C$3623,"&gt;="&amp;EDATE(DATEVALUE(C399&amp;"-01"),1),'📋 Транзакції'!$C$5:$C$3623,"&lt;"&amp;EDATE(DATEVALUE(C399&amp;"-01"),2))</f>
        <v>19.99</v>
      </c>
      <c r="U399" s="37">
        <f>SUMIFS('📋 Транзакції'!$F$5:$F$3623,'📋 Транзакції'!$B$5:$B$3623,A399,'📋 Транзакції'!$C$5:$C$3623,"&gt;="&amp;EDATE(DATEVALUE(C399&amp;"-01"),2),'📋 Транзакції'!$C$5:$C$3623,"&lt;"&amp;EDATE(DATEVALUE(C399&amp;"-01"),3))</f>
        <v>0</v>
      </c>
      <c r="V399" s="37">
        <f>SUMIFS('📋 Транзакції'!$F$5:$F$3623,'📋 Транзакції'!$B$5:$B$3623,A399,'📋 Транзакції'!$C$5:$C$3623,"&gt;="&amp;EDATE(DATEVALUE(C399&amp;"-01"),3),'📋 Транзакції'!$C$5:$C$3623,"&lt;"&amp;EDATE(DATEVALUE(C399&amp;"-01"),4))</f>
        <v>0</v>
      </c>
      <c r="W399" s="37">
        <f>SUMIFS('📋 Транзакції'!$F$5:$F$3623,'📋 Транзакції'!$B$5:$B$3623,A399,'📋 Транзакції'!$C$5:$C$3623,"&gt;="&amp;EDATE(DATEVALUE(C399&amp;"-01"),4),'📋 Транзакції'!$C$5:$C$3623,"&lt;"&amp;EDATE(DATEVALUE(C399&amp;"-01"),5))</f>
        <v>0</v>
      </c>
      <c r="X399" s="37">
        <f>SUMIFS('📋 Транзакції'!$F$5:$F$3623,'📋 Транзакції'!$B$5:$B$3623,A399,'📋 Транзакції'!$C$5:$C$3623,"&gt;="&amp;EDATE(DATEVALUE(C399&amp;"-01"),5),'📋 Транзакції'!$C$5:$C$3623,"&lt;"&amp;EDATE(DATEVALUE(C399&amp;"-01"),6))</f>
        <v>0</v>
      </c>
      <c r="Y399" s="37">
        <f>SUMIFS('📋 Транзакції'!$F$5:$F$3623,'📋 Транзакції'!$B$5:$B$3623,A399,'📋 Транзакції'!$C$5:$C$3623,"&gt;="&amp;EDATE(DATEVALUE(C399&amp;"-01"),6),'📋 Транзакції'!$C$5:$C$3623,"&lt;"&amp;EDATE(DATEVALUE(C399&amp;"-01"),7))</f>
        <v>0</v>
      </c>
      <c r="Z399" s="37">
        <f>SUMIFS('📋 Транзакції'!$F$5:$F$3623,'📋 Транзакції'!$B$5:$B$3623,A399,'📋 Транзакції'!$C$5:$C$3623,"&gt;="&amp;EDATE(DATEVALUE(C399&amp;"-01"),7),'📋 Транзакції'!$C$5:$C$3623,"&lt;"&amp;EDATE(DATEVALUE(C399&amp;"-01"),8))</f>
        <v>0</v>
      </c>
      <c r="AA399" s="37">
        <f>SUMIFS('📋 Транзакції'!$F$5:$F$3623,'📋 Транзакції'!$B$5:$B$3623,A399,'📋 Транзакції'!$C$5:$C$3623,"&gt;="&amp;EDATE(DATEVALUE(C399&amp;"-01"),8),'📋 Транзакції'!$C$5:$C$3623,"&lt;"&amp;EDATE(DATEVALUE(C399&amp;"-01"),9))</f>
        <v>0</v>
      </c>
      <c r="AB399" s="37">
        <f>SUMIFS('📋 Транзакції'!$F$5:$F$3623,'📋 Транзакції'!$B$5:$B$3623,A399,'📋 Транзакції'!$C$5:$C$3623,"&gt;="&amp;EDATE(DATEVALUE(C399&amp;"-01"),9),'📋 Транзакції'!$C$5:$C$3623,"&lt;"&amp;EDATE(DATEVALUE(C399&amp;"-01"),10))</f>
        <v>0</v>
      </c>
      <c r="AC399" s="37">
        <f>SUMIFS('📋 Транзакції'!$F$5:$F$3623,'📋 Транзакції'!$B$5:$B$3623,A399,'📋 Транзакції'!$C$5:$C$3623,"&gt;="&amp;EDATE(DATEVALUE(C399&amp;"-01"),10),'📋 Транзакції'!$C$5:$C$3623,"&lt;"&amp;EDATE(DATEVALUE(C399&amp;"-01"),11))</f>
        <v>0</v>
      </c>
      <c r="AD399" s="37">
        <f>SUMIFS('📋 Транзакції'!$F$5:$F$3623,'📋 Транзакції'!$B$5:$B$3623,A399,'📋 Транзакції'!$C$5:$C$3623,"&gt;="&amp;EDATE(DATEVALUE(C399&amp;"-01"),11),'📋 Транзакції'!$C$5:$C$3623,"&lt;"&amp;EDATE(DATEVALUE(C399&amp;"-01"),12))</f>
        <v>0</v>
      </c>
    </row>
    <row r="400" ht="15.75" customHeight="1">
      <c r="A400" s="33" t="str">
        <f>'📋 Реєстрації'!A400:A1001</f>
        <v>U0021</v>
      </c>
      <c r="B400" s="34">
        <f t="array" ref="B400">INDEX('📋 Транзакції'!$C$5:$C$3623,MATCH(A400,'📋 Транзакції'!$B$5:$B$3623,0))</f>
        <v>45620</v>
      </c>
      <c r="C400" s="35" t="str">
        <f t="shared" si="1"/>
        <v>2024-11</v>
      </c>
      <c r="D400" s="36">
        <f>COUNTIF('📋 Транзакції'!$B$5:$B$3623,A400)</f>
        <v>2</v>
      </c>
      <c r="E400" s="36">
        <f>SUMIF('📋 Транзакції'!$B$5:$B$3623,A400,'📋 Транзакції'!$F$5:$F$3623)</f>
        <v>19.99</v>
      </c>
      <c r="F400" s="35">
        <f>INT($A$1-MAXIFS('📋 Транзакції'!$C$5:$C$3623,'📋 Транзакції'!$B$5:$B$3623,A400))</f>
        <v>120</v>
      </c>
      <c r="G400" s="37">
        <f>IF(COUNTIFS('📋 Транзакції'!$B$5:$B$3623,A400,'📋 Транзакції'!$C$5:$C$3623,"&gt;="&amp;EDATE(DATEVALUE(C400&amp;"-01"),0),'📋 Транзакції'!$C$5:$C$3623,"&lt;"&amp;EDATE(DATEVALUE(C400&amp;"-01"),1))&gt;0,1,0)</f>
        <v>1</v>
      </c>
      <c r="H400" s="37">
        <f>IF(COUNTIFS('📋 Транзакції'!$B$5:$B$3623,A400,'📋 Транзакції'!$C$5:$C$3623,"&gt;="&amp;EDATE(DATEVALUE(C400&amp;"-01"),1),'📋 Транзакції'!$C$5:$C$3623,"&lt;"&amp;EDATE(DATEVALUE(C400&amp;"-01"),2))&gt;0,1,0)</f>
        <v>1</v>
      </c>
      <c r="I400" s="37">
        <f>IF(COUNTIFS('📋 Транзакції'!$B$5:$B$3623,A400,'📋 Транзакції'!$C$5:$C$3623,"&gt;="&amp;EDATE(DATEVALUE(C400&amp;"-01"),2),'📋 Транзакції'!$C$5:$C$3623,"&lt;"&amp;EDATE(DATEVALUE(C400&amp;"-01"),3))&gt;0,1,0)</f>
        <v>0</v>
      </c>
      <c r="J400" s="37">
        <f>IF(COUNTIFS('📋 Транзакції'!$B$5:$B$3623,A400,'📋 Транзакції'!$C$5:$C$3623,"&gt;="&amp;EDATE(DATEVALUE(C400&amp;"-01"),3),'📋 Транзакції'!$C$5:$C$3623,"&lt;"&amp;EDATE(DATEVALUE(C400&amp;"-01"),4))&gt;0,1,0)</f>
        <v>0</v>
      </c>
      <c r="K400" s="37">
        <f>IF(COUNTIFS('📋 Транзакції'!$B$5:$B$3623,A400,'📋 Транзакції'!$C$5:$C$3623,"&gt;="&amp;EDATE(DATEVALUE(C400&amp;"-01"),4),'📋 Транзакції'!$C$5:$C$3623,"&lt;"&amp;EDATE(DATEVALUE(C400&amp;"-01"),5))&gt;0,1,0)</f>
        <v>0</v>
      </c>
      <c r="L400" s="37">
        <f>IF(COUNTIFS('📋 Транзакції'!$B$5:$B$3623,A400,'📋 Транзакції'!$C$5:$C$3623,"&gt;="&amp;EDATE(DATEVALUE(C400&amp;"-01"),5),'📋 Транзакції'!$C$5:$C$3623,"&lt;"&amp;EDATE(DATEVALUE(C400&amp;"-01"),6))&gt;0,1,0)</f>
        <v>0</v>
      </c>
      <c r="M400" s="37">
        <f>IF(COUNTIFS('📋 Транзакції'!$B$5:$B$3623,A400,'📋 Транзакції'!$C$5:$C$3623,"&gt;="&amp;EDATE(DATEVALUE(C400&amp;"-01"),6),'📋 Транзакції'!$C$5:$C$3623,"&lt;"&amp;EDATE(DATEVALUE(C400&amp;"-01"),7))&gt;0,1,0)</f>
        <v>0</v>
      </c>
      <c r="N400" s="37">
        <f>IF(COUNTIFS('📋 Транзакції'!$B$5:$B$3623,A400,'📋 Транзакції'!$C$5:$C$3623,"&gt;="&amp;EDATE(DATEVALUE(C400&amp;"-01"),7),'📋 Транзакції'!$C$5:$C$3623,"&lt;"&amp;EDATE(DATEVALUE(C400&amp;"-01"),8))&gt;0,1,0)</f>
        <v>0</v>
      </c>
      <c r="O400" s="37">
        <f>IF(COUNTIFS('📋 Транзакції'!$B$5:$B$3623,A400,'📋 Транзакції'!$C$5:$C$3623,"&gt;="&amp;EDATE(DATEVALUE(C400&amp;"-01"),8),'📋 Транзакції'!$C$5:$C$3623,"&lt;"&amp;EDATE(DATEVALUE(C400&amp;"-01"),9))&gt;0,1,0)</f>
        <v>0</v>
      </c>
      <c r="P400" s="37">
        <f>IF(COUNTIFS('📋 Транзакції'!$B$5:$B$3623,A400,'📋 Транзакції'!$C$5:$C$3623,"&gt;="&amp;EDATE(DATEVALUE(C400&amp;"-01"),9),'📋 Транзакції'!$C$5:$C$3623,"&lt;"&amp;EDATE(DATEVALUE(C400&amp;"-01"),10))&gt;0,1,0)</f>
        <v>0</v>
      </c>
      <c r="Q400" s="37">
        <f>IF(COUNTIFS('📋 Транзакції'!$B$5:$B$3623,A400,'📋 Транзакції'!$C$5:$C$3623,"&gt;="&amp;EDATE(DATEVALUE(C400&amp;"-01"),10),'📋 Транзакції'!$C$5:$C$3623,"&lt;"&amp;EDATE(DATEVALUE(C400&amp;"-01"),11))&gt;0,1,0)</f>
        <v>0</v>
      </c>
      <c r="R400" s="37">
        <f>IF(COUNTIFS('📋 Транзакції'!$B$5:$B$3623,A400,'📋 Транзакції'!$C$5:$C$3623,"&gt;="&amp;EDATE(DATEVALUE(C400&amp;"-01"),11),'📋 Транзакції'!$C$5:$C$3623,"&lt;"&amp;EDATE(DATEVALUE(C400&amp;"-01"),12))&gt;0,1,0)</f>
        <v>0</v>
      </c>
      <c r="S400" s="37">
        <f>SUMIFS('📋 Транзакції'!$F$5:$F$3623,'📋 Транзакції'!$B$5:$B$3623,A400,'📋 Транзакції'!$C$5:$C$3623,"&gt;="&amp;EDATE(DATEVALUE(C400&amp;"-01"),0),'📋 Транзакції'!$C$5:$C$3623,"&lt;"&amp;EDATE(DATEVALUE(C400&amp;"-01"),1))</f>
        <v>0</v>
      </c>
      <c r="T400" s="37">
        <f>SUMIFS('📋 Транзакції'!$F$5:$F$3623,'📋 Транзакції'!$B$5:$B$3623,A400,'📋 Транзакції'!$C$5:$C$3623,"&gt;="&amp;EDATE(DATEVALUE(C400&amp;"-01"),1),'📋 Транзакції'!$C$5:$C$3623,"&lt;"&amp;EDATE(DATEVALUE(C400&amp;"-01"),2))</f>
        <v>19.99</v>
      </c>
      <c r="U400" s="37">
        <f>SUMIFS('📋 Транзакції'!$F$5:$F$3623,'📋 Транзакції'!$B$5:$B$3623,A400,'📋 Транзакції'!$C$5:$C$3623,"&gt;="&amp;EDATE(DATEVALUE(C400&amp;"-01"),2),'📋 Транзакції'!$C$5:$C$3623,"&lt;"&amp;EDATE(DATEVALUE(C400&amp;"-01"),3))</f>
        <v>0</v>
      </c>
      <c r="V400" s="37">
        <f>SUMIFS('📋 Транзакції'!$F$5:$F$3623,'📋 Транзакції'!$B$5:$B$3623,A400,'📋 Транзакції'!$C$5:$C$3623,"&gt;="&amp;EDATE(DATEVALUE(C400&amp;"-01"),3),'📋 Транзакції'!$C$5:$C$3623,"&lt;"&amp;EDATE(DATEVALUE(C400&amp;"-01"),4))</f>
        <v>0</v>
      </c>
      <c r="W400" s="37">
        <f>SUMIFS('📋 Транзакції'!$F$5:$F$3623,'📋 Транзакції'!$B$5:$B$3623,A400,'📋 Транзакції'!$C$5:$C$3623,"&gt;="&amp;EDATE(DATEVALUE(C400&amp;"-01"),4),'📋 Транзакції'!$C$5:$C$3623,"&lt;"&amp;EDATE(DATEVALUE(C400&amp;"-01"),5))</f>
        <v>0</v>
      </c>
      <c r="X400" s="37">
        <f>SUMIFS('📋 Транзакції'!$F$5:$F$3623,'📋 Транзакції'!$B$5:$B$3623,A400,'📋 Транзакції'!$C$5:$C$3623,"&gt;="&amp;EDATE(DATEVALUE(C400&amp;"-01"),5),'📋 Транзакції'!$C$5:$C$3623,"&lt;"&amp;EDATE(DATEVALUE(C400&amp;"-01"),6))</f>
        <v>0</v>
      </c>
      <c r="Y400" s="37">
        <f>SUMIFS('📋 Транзакції'!$F$5:$F$3623,'📋 Транзакції'!$B$5:$B$3623,A400,'📋 Транзакції'!$C$5:$C$3623,"&gt;="&amp;EDATE(DATEVALUE(C400&amp;"-01"),6),'📋 Транзакції'!$C$5:$C$3623,"&lt;"&amp;EDATE(DATEVALUE(C400&amp;"-01"),7))</f>
        <v>0</v>
      </c>
      <c r="Z400" s="37">
        <f>SUMIFS('📋 Транзакції'!$F$5:$F$3623,'📋 Транзакції'!$B$5:$B$3623,A400,'📋 Транзакції'!$C$5:$C$3623,"&gt;="&amp;EDATE(DATEVALUE(C400&amp;"-01"),7),'📋 Транзакції'!$C$5:$C$3623,"&lt;"&amp;EDATE(DATEVALUE(C400&amp;"-01"),8))</f>
        <v>0</v>
      </c>
      <c r="AA400" s="37">
        <f>SUMIFS('📋 Транзакції'!$F$5:$F$3623,'📋 Транзакції'!$B$5:$B$3623,A400,'📋 Транзакції'!$C$5:$C$3623,"&gt;="&amp;EDATE(DATEVALUE(C400&amp;"-01"),8),'📋 Транзакції'!$C$5:$C$3623,"&lt;"&amp;EDATE(DATEVALUE(C400&amp;"-01"),9))</f>
        <v>0</v>
      </c>
      <c r="AB400" s="37">
        <f>SUMIFS('📋 Транзакції'!$F$5:$F$3623,'📋 Транзакції'!$B$5:$B$3623,A400,'📋 Транзакції'!$C$5:$C$3623,"&gt;="&amp;EDATE(DATEVALUE(C400&amp;"-01"),9),'📋 Транзакції'!$C$5:$C$3623,"&lt;"&amp;EDATE(DATEVALUE(C400&amp;"-01"),10))</f>
        <v>0</v>
      </c>
      <c r="AC400" s="37">
        <f>SUMIFS('📋 Транзакції'!$F$5:$F$3623,'📋 Транзакції'!$B$5:$B$3623,A400,'📋 Транзакції'!$C$5:$C$3623,"&gt;="&amp;EDATE(DATEVALUE(C400&amp;"-01"),10),'📋 Транзакції'!$C$5:$C$3623,"&lt;"&amp;EDATE(DATEVALUE(C400&amp;"-01"),11))</f>
        <v>0</v>
      </c>
      <c r="AD400" s="37">
        <f>SUMIFS('📋 Транзакції'!$F$5:$F$3623,'📋 Транзакції'!$B$5:$B$3623,A400,'📋 Транзакції'!$C$5:$C$3623,"&gt;="&amp;EDATE(DATEVALUE(C400&amp;"-01"),11),'📋 Транзакції'!$C$5:$C$3623,"&lt;"&amp;EDATE(DATEVALUE(C400&amp;"-01"),12))</f>
        <v>0</v>
      </c>
    </row>
    <row r="401" ht="15.75" customHeight="1">
      <c r="A401" s="33" t="str">
        <f>'📋 Реєстрації'!A401:A1002</f>
        <v>U0211</v>
      </c>
      <c r="B401" s="34">
        <f t="array" ref="B401">INDEX('📋 Транзакції'!$C$5:$C$3623,MATCH(A401,'📋 Транзакції'!$B$5:$B$3623,0))</f>
        <v>45620</v>
      </c>
      <c r="C401" s="35" t="str">
        <f t="shared" si="1"/>
        <v>2024-11</v>
      </c>
      <c r="D401" s="36">
        <f>COUNTIF('📋 Транзакції'!$B$5:$B$3623,A401)</f>
        <v>6</v>
      </c>
      <c r="E401" s="36">
        <f>SUMIF('📋 Транзакції'!$B$5:$B$3623,A401,'📋 Транзакції'!$F$5:$F$3623)</f>
        <v>99.95</v>
      </c>
      <c r="F401" s="35">
        <f>INT($A$1-MAXIFS('📋 Транзакції'!$C$5:$C$3623,'📋 Транзакції'!$B$5:$B$3623,A401))</f>
        <v>0</v>
      </c>
      <c r="G401" s="37">
        <f>IF(COUNTIFS('📋 Транзакції'!$B$5:$B$3623,A401,'📋 Транзакції'!$C$5:$C$3623,"&gt;="&amp;EDATE(DATEVALUE(C401&amp;"-01"),0),'📋 Транзакції'!$C$5:$C$3623,"&lt;"&amp;EDATE(DATEVALUE(C401&amp;"-01"),1))&gt;0,1,0)</f>
        <v>1</v>
      </c>
      <c r="H401" s="37">
        <f>IF(COUNTIFS('📋 Транзакції'!$B$5:$B$3623,A401,'📋 Транзакції'!$C$5:$C$3623,"&gt;="&amp;EDATE(DATEVALUE(C401&amp;"-01"),1),'📋 Транзакції'!$C$5:$C$3623,"&lt;"&amp;EDATE(DATEVALUE(C401&amp;"-01"),2))&gt;0,1,0)</f>
        <v>1</v>
      </c>
      <c r="I401" s="37">
        <f>IF(COUNTIFS('📋 Транзакції'!$B$5:$B$3623,A401,'📋 Транзакції'!$C$5:$C$3623,"&gt;="&amp;EDATE(DATEVALUE(C401&amp;"-01"),2),'📋 Транзакції'!$C$5:$C$3623,"&lt;"&amp;EDATE(DATEVALUE(C401&amp;"-01"),3))&gt;0,1,0)</f>
        <v>1</v>
      </c>
      <c r="J401" s="37">
        <f>IF(COUNTIFS('📋 Транзакції'!$B$5:$B$3623,A401,'📋 Транзакції'!$C$5:$C$3623,"&gt;="&amp;EDATE(DATEVALUE(C401&amp;"-01"),3),'📋 Транзакції'!$C$5:$C$3623,"&lt;"&amp;EDATE(DATEVALUE(C401&amp;"-01"),4))&gt;0,1,0)</f>
        <v>0</v>
      </c>
      <c r="K401" s="37">
        <f>IF(COUNTIFS('📋 Транзакції'!$B$5:$B$3623,A401,'📋 Транзакції'!$C$5:$C$3623,"&gt;="&amp;EDATE(DATEVALUE(C401&amp;"-01"),4),'📋 Транзакції'!$C$5:$C$3623,"&lt;"&amp;EDATE(DATEVALUE(C401&amp;"-01"),5))&gt;0,1,0)</f>
        <v>1</v>
      </c>
      <c r="L401" s="37">
        <f>IF(COUNTIFS('📋 Транзакції'!$B$5:$B$3623,A401,'📋 Транзакції'!$C$5:$C$3623,"&gt;="&amp;EDATE(DATEVALUE(C401&amp;"-01"),5),'📋 Транзакції'!$C$5:$C$3623,"&lt;"&amp;EDATE(DATEVALUE(C401&amp;"-01"),6))&gt;0,1,0)</f>
        <v>0</v>
      </c>
      <c r="M401" s="37">
        <f>IF(COUNTIFS('📋 Транзакції'!$B$5:$B$3623,A401,'📋 Транзакції'!$C$5:$C$3623,"&gt;="&amp;EDATE(DATEVALUE(C401&amp;"-01"),6),'📋 Транзакції'!$C$5:$C$3623,"&lt;"&amp;EDATE(DATEVALUE(C401&amp;"-01"),7))&gt;0,1,0)</f>
        <v>0</v>
      </c>
      <c r="N401" s="37">
        <f>IF(COUNTIFS('📋 Транзакції'!$B$5:$B$3623,A401,'📋 Транзакції'!$C$5:$C$3623,"&gt;="&amp;EDATE(DATEVALUE(C401&amp;"-01"),7),'📋 Транзакції'!$C$5:$C$3623,"&lt;"&amp;EDATE(DATEVALUE(C401&amp;"-01"),8))&gt;0,1,0)</f>
        <v>0</v>
      </c>
      <c r="O401" s="37">
        <f>IF(COUNTIFS('📋 Транзакції'!$B$5:$B$3623,A401,'📋 Транзакції'!$C$5:$C$3623,"&gt;="&amp;EDATE(DATEVALUE(C401&amp;"-01"),8),'📋 Транзакції'!$C$5:$C$3623,"&lt;"&amp;EDATE(DATEVALUE(C401&amp;"-01"),9))&gt;0,1,0)</f>
        <v>0</v>
      </c>
      <c r="P401" s="37">
        <f>IF(COUNTIFS('📋 Транзакції'!$B$5:$B$3623,A401,'📋 Транзакції'!$C$5:$C$3623,"&gt;="&amp;EDATE(DATEVALUE(C401&amp;"-01"),9),'📋 Транзакції'!$C$5:$C$3623,"&lt;"&amp;EDATE(DATEVALUE(C401&amp;"-01"),10))&gt;0,1,0)</f>
        <v>0</v>
      </c>
      <c r="Q401" s="37">
        <f>IF(COUNTIFS('📋 Транзакції'!$B$5:$B$3623,A401,'📋 Транзакції'!$C$5:$C$3623,"&gt;="&amp;EDATE(DATEVALUE(C401&amp;"-01"),10),'📋 Транзакції'!$C$5:$C$3623,"&lt;"&amp;EDATE(DATEVALUE(C401&amp;"-01"),11))&gt;0,1,0)</f>
        <v>0</v>
      </c>
      <c r="R401" s="37">
        <f>IF(COUNTIFS('📋 Транзакції'!$B$5:$B$3623,A401,'📋 Транзакції'!$C$5:$C$3623,"&gt;="&amp;EDATE(DATEVALUE(C401&amp;"-01"),11),'📋 Транзакції'!$C$5:$C$3623,"&lt;"&amp;EDATE(DATEVALUE(C401&amp;"-01"),12))&gt;0,1,0)</f>
        <v>0</v>
      </c>
      <c r="S401" s="37">
        <f>SUMIFS('📋 Транзакції'!$F$5:$F$3623,'📋 Транзакції'!$B$5:$B$3623,A401,'📋 Транзакції'!$C$5:$C$3623,"&gt;="&amp;EDATE(DATEVALUE(C401&amp;"-01"),0),'📋 Транзакції'!$C$5:$C$3623,"&lt;"&amp;EDATE(DATEVALUE(C401&amp;"-01"),1))</f>
        <v>0</v>
      </c>
      <c r="T401" s="37">
        <f>SUMIFS('📋 Транзакції'!$F$5:$F$3623,'📋 Транзакції'!$B$5:$B$3623,A401,'📋 Транзакції'!$C$5:$C$3623,"&gt;="&amp;EDATE(DATEVALUE(C401&amp;"-01"),1),'📋 Транзакції'!$C$5:$C$3623,"&lt;"&amp;EDATE(DATEVALUE(C401&amp;"-01"),2))</f>
        <v>39.98</v>
      </c>
      <c r="U401" s="37">
        <f>SUMIFS('📋 Транзакції'!$F$5:$F$3623,'📋 Транзакції'!$B$5:$B$3623,A401,'📋 Транзакції'!$C$5:$C$3623,"&gt;="&amp;EDATE(DATEVALUE(C401&amp;"-01"),2),'📋 Транзакції'!$C$5:$C$3623,"&lt;"&amp;EDATE(DATEVALUE(C401&amp;"-01"),3))</f>
        <v>19.99</v>
      </c>
      <c r="V401" s="37">
        <f>SUMIFS('📋 Транзакції'!$F$5:$F$3623,'📋 Транзакції'!$B$5:$B$3623,A401,'📋 Транзакції'!$C$5:$C$3623,"&gt;="&amp;EDATE(DATEVALUE(C401&amp;"-01"),3),'📋 Транзакції'!$C$5:$C$3623,"&lt;"&amp;EDATE(DATEVALUE(C401&amp;"-01"),4))</f>
        <v>0</v>
      </c>
      <c r="W401" s="37">
        <f>SUMIFS('📋 Транзакції'!$F$5:$F$3623,'📋 Транзакції'!$B$5:$B$3623,A401,'📋 Транзакції'!$C$5:$C$3623,"&gt;="&amp;EDATE(DATEVALUE(C401&amp;"-01"),4),'📋 Транзакції'!$C$5:$C$3623,"&lt;"&amp;EDATE(DATEVALUE(C401&amp;"-01"),5))</f>
        <v>39.98</v>
      </c>
      <c r="X401" s="37">
        <f>SUMIFS('📋 Транзакції'!$F$5:$F$3623,'📋 Транзакції'!$B$5:$B$3623,A401,'📋 Транзакції'!$C$5:$C$3623,"&gt;="&amp;EDATE(DATEVALUE(C401&amp;"-01"),5),'📋 Транзакції'!$C$5:$C$3623,"&lt;"&amp;EDATE(DATEVALUE(C401&amp;"-01"),6))</f>
        <v>0</v>
      </c>
      <c r="Y401" s="37">
        <f>SUMIFS('📋 Транзакції'!$F$5:$F$3623,'📋 Транзакції'!$B$5:$B$3623,A401,'📋 Транзакції'!$C$5:$C$3623,"&gt;="&amp;EDATE(DATEVALUE(C401&amp;"-01"),6),'📋 Транзакції'!$C$5:$C$3623,"&lt;"&amp;EDATE(DATEVALUE(C401&amp;"-01"),7))</f>
        <v>0</v>
      </c>
      <c r="Z401" s="37">
        <f>SUMIFS('📋 Транзакції'!$F$5:$F$3623,'📋 Транзакції'!$B$5:$B$3623,A401,'📋 Транзакції'!$C$5:$C$3623,"&gt;="&amp;EDATE(DATEVALUE(C401&amp;"-01"),7),'📋 Транзакції'!$C$5:$C$3623,"&lt;"&amp;EDATE(DATEVALUE(C401&amp;"-01"),8))</f>
        <v>0</v>
      </c>
      <c r="AA401" s="37">
        <f>SUMIFS('📋 Транзакції'!$F$5:$F$3623,'📋 Транзакції'!$B$5:$B$3623,A401,'📋 Транзакції'!$C$5:$C$3623,"&gt;="&amp;EDATE(DATEVALUE(C401&amp;"-01"),8),'📋 Транзакції'!$C$5:$C$3623,"&lt;"&amp;EDATE(DATEVALUE(C401&amp;"-01"),9))</f>
        <v>0</v>
      </c>
      <c r="AB401" s="37">
        <f>SUMIFS('📋 Транзакції'!$F$5:$F$3623,'📋 Транзакції'!$B$5:$B$3623,A401,'📋 Транзакції'!$C$5:$C$3623,"&gt;="&amp;EDATE(DATEVALUE(C401&amp;"-01"),9),'📋 Транзакції'!$C$5:$C$3623,"&lt;"&amp;EDATE(DATEVALUE(C401&amp;"-01"),10))</f>
        <v>0</v>
      </c>
      <c r="AC401" s="37">
        <f>SUMIFS('📋 Транзакції'!$F$5:$F$3623,'📋 Транзакції'!$B$5:$B$3623,A401,'📋 Транзакції'!$C$5:$C$3623,"&gt;="&amp;EDATE(DATEVALUE(C401&amp;"-01"),10),'📋 Транзакції'!$C$5:$C$3623,"&lt;"&amp;EDATE(DATEVALUE(C401&amp;"-01"),11))</f>
        <v>0</v>
      </c>
      <c r="AD401" s="37">
        <f>SUMIFS('📋 Транзакції'!$F$5:$F$3623,'📋 Транзакції'!$B$5:$B$3623,A401,'📋 Транзакції'!$C$5:$C$3623,"&gt;="&amp;EDATE(DATEVALUE(C401&amp;"-01"),11),'📋 Транзакції'!$C$5:$C$3623,"&lt;"&amp;EDATE(DATEVALUE(C401&amp;"-01"),12))</f>
        <v>0</v>
      </c>
    </row>
    <row r="402" ht="15.75" customHeight="1">
      <c r="A402" s="33" t="str">
        <f>'📋 Реєстрації'!A402:A1003</f>
        <v>U0188</v>
      </c>
      <c r="B402" s="34">
        <f t="array" ref="B402">INDEX('📋 Транзакції'!$C$5:$C$3623,MATCH(A402,'📋 Транзакції'!$B$5:$B$3623,0))</f>
        <v>45622</v>
      </c>
      <c r="C402" s="35" t="str">
        <f t="shared" si="1"/>
        <v>2024-11</v>
      </c>
      <c r="D402" s="36">
        <f>COUNTIF('📋 Транзакції'!$B$5:$B$3623,A402)</f>
        <v>2</v>
      </c>
      <c r="E402" s="36">
        <f>SUMIF('📋 Транзакції'!$B$5:$B$3623,A402,'📋 Транзакції'!$F$5:$F$3623)</f>
        <v>19.99</v>
      </c>
      <c r="F402" s="35">
        <f>INT($A$1-MAXIFS('📋 Транзакції'!$C$5:$C$3623,'📋 Транзакції'!$B$5:$B$3623,A402))</f>
        <v>118</v>
      </c>
      <c r="G402" s="37">
        <f>IF(COUNTIFS('📋 Транзакції'!$B$5:$B$3623,A402,'📋 Транзакції'!$C$5:$C$3623,"&gt;="&amp;EDATE(DATEVALUE(C402&amp;"-01"),0),'📋 Транзакції'!$C$5:$C$3623,"&lt;"&amp;EDATE(DATEVALUE(C402&amp;"-01"),1))&gt;0,1,0)</f>
        <v>1</v>
      </c>
      <c r="H402" s="37">
        <f>IF(COUNTIFS('📋 Транзакції'!$B$5:$B$3623,A402,'📋 Транзакції'!$C$5:$C$3623,"&gt;="&amp;EDATE(DATEVALUE(C402&amp;"-01"),1),'📋 Транзакції'!$C$5:$C$3623,"&lt;"&amp;EDATE(DATEVALUE(C402&amp;"-01"),2))&gt;0,1,0)</f>
        <v>1</v>
      </c>
      <c r="I402" s="37">
        <f>IF(COUNTIFS('📋 Транзакції'!$B$5:$B$3623,A402,'📋 Транзакції'!$C$5:$C$3623,"&gt;="&amp;EDATE(DATEVALUE(C402&amp;"-01"),2),'📋 Транзакції'!$C$5:$C$3623,"&lt;"&amp;EDATE(DATEVALUE(C402&amp;"-01"),3))&gt;0,1,0)</f>
        <v>0</v>
      </c>
      <c r="J402" s="37">
        <f>IF(COUNTIFS('📋 Транзакції'!$B$5:$B$3623,A402,'📋 Транзакції'!$C$5:$C$3623,"&gt;="&amp;EDATE(DATEVALUE(C402&amp;"-01"),3),'📋 Транзакції'!$C$5:$C$3623,"&lt;"&amp;EDATE(DATEVALUE(C402&amp;"-01"),4))&gt;0,1,0)</f>
        <v>0</v>
      </c>
      <c r="K402" s="37">
        <f>IF(COUNTIFS('📋 Транзакції'!$B$5:$B$3623,A402,'📋 Транзакції'!$C$5:$C$3623,"&gt;="&amp;EDATE(DATEVALUE(C402&amp;"-01"),4),'📋 Транзакції'!$C$5:$C$3623,"&lt;"&amp;EDATE(DATEVALUE(C402&amp;"-01"),5))&gt;0,1,0)</f>
        <v>0</v>
      </c>
      <c r="L402" s="37">
        <f>IF(COUNTIFS('📋 Транзакції'!$B$5:$B$3623,A402,'📋 Транзакції'!$C$5:$C$3623,"&gt;="&amp;EDATE(DATEVALUE(C402&amp;"-01"),5),'📋 Транзакції'!$C$5:$C$3623,"&lt;"&amp;EDATE(DATEVALUE(C402&amp;"-01"),6))&gt;0,1,0)</f>
        <v>0</v>
      </c>
      <c r="M402" s="37">
        <f>IF(COUNTIFS('📋 Транзакції'!$B$5:$B$3623,A402,'📋 Транзакції'!$C$5:$C$3623,"&gt;="&amp;EDATE(DATEVALUE(C402&amp;"-01"),6),'📋 Транзакції'!$C$5:$C$3623,"&lt;"&amp;EDATE(DATEVALUE(C402&amp;"-01"),7))&gt;0,1,0)</f>
        <v>0</v>
      </c>
      <c r="N402" s="37">
        <f>IF(COUNTIFS('📋 Транзакції'!$B$5:$B$3623,A402,'📋 Транзакції'!$C$5:$C$3623,"&gt;="&amp;EDATE(DATEVALUE(C402&amp;"-01"),7),'📋 Транзакції'!$C$5:$C$3623,"&lt;"&amp;EDATE(DATEVALUE(C402&amp;"-01"),8))&gt;0,1,0)</f>
        <v>0</v>
      </c>
      <c r="O402" s="37">
        <f>IF(COUNTIFS('📋 Транзакції'!$B$5:$B$3623,A402,'📋 Транзакції'!$C$5:$C$3623,"&gt;="&amp;EDATE(DATEVALUE(C402&amp;"-01"),8),'📋 Транзакції'!$C$5:$C$3623,"&lt;"&amp;EDATE(DATEVALUE(C402&amp;"-01"),9))&gt;0,1,0)</f>
        <v>0</v>
      </c>
      <c r="P402" s="37">
        <f>IF(COUNTIFS('📋 Транзакції'!$B$5:$B$3623,A402,'📋 Транзакції'!$C$5:$C$3623,"&gt;="&amp;EDATE(DATEVALUE(C402&amp;"-01"),9),'📋 Транзакції'!$C$5:$C$3623,"&lt;"&amp;EDATE(DATEVALUE(C402&amp;"-01"),10))&gt;0,1,0)</f>
        <v>0</v>
      </c>
      <c r="Q402" s="37">
        <f>IF(COUNTIFS('📋 Транзакції'!$B$5:$B$3623,A402,'📋 Транзакції'!$C$5:$C$3623,"&gt;="&amp;EDATE(DATEVALUE(C402&amp;"-01"),10),'📋 Транзакції'!$C$5:$C$3623,"&lt;"&amp;EDATE(DATEVALUE(C402&amp;"-01"),11))&gt;0,1,0)</f>
        <v>0</v>
      </c>
      <c r="R402" s="37">
        <f>IF(COUNTIFS('📋 Транзакції'!$B$5:$B$3623,A402,'📋 Транзакції'!$C$5:$C$3623,"&gt;="&amp;EDATE(DATEVALUE(C402&amp;"-01"),11),'📋 Транзакції'!$C$5:$C$3623,"&lt;"&amp;EDATE(DATEVALUE(C402&amp;"-01"),12))&gt;0,1,0)</f>
        <v>0</v>
      </c>
      <c r="S402" s="37">
        <f>SUMIFS('📋 Транзакції'!$F$5:$F$3623,'📋 Транзакції'!$B$5:$B$3623,A402,'📋 Транзакції'!$C$5:$C$3623,"&gt;="&amp;EDATE(DATEVALUE(C402&amp;"-01"),0),'📋 Транзакції'!$C$5:$C$3623,"&lt;"&amp;EDATE(DATEVALUE(C402&amp;"-01"),1))</f>
        <v>0</v>
      </c>
      <c r="T402" s="37">
        <f>SUMIFS('📋 Транзакції'!$F$5:$F$3623,'📋 Транзакції'!$B$5:$B$3623,A402,'📋 Транзакції'!$C$5:$C$3623,"&gt;="&amp;EDATE(DATEVALUE(C402&amp;"-01"),1),'📋 Транзакції'!$C$5:$C$3623,"&lt;"&amp;EDATE(DATEVALUE(C402&amp;"-01"),2))</f>
        <v>19.99</v>
      </c>
      <c r="U402" s="37">
        <f>SUMIFS('📋 Транзакції'!$F$5:$F$3623,'📋 Транзакції'!$B$5:$B$3623,A402,'📋 Транзакції'!$C$5:$C$3623,"&gt;="&amp;EDATE(DATEVALUE(C402&amp;"-01"),2),'📋 Транзакції'!$C$5:$C$3623,"&lt;"&amp;EDATE(DATEVALUE(C402&amp;"-01"),3))</f>
        <v>0</v>
      </c>
      <c r="V402" s="37">
        <f>SUMIFS('📋 Транзакції'!$F$5:$F$3623,'📋 Транзакції'!$B$5:$B$3623,A402,'📋 Транзакції'!$C$5:$C$3623,"&gt;="&amp;EDATE(DATEVALUE(C402&amp;"-01"),3),'📋 Транзакції'!$C$5:$C$3623,"&lt;"&amp;EDATE(DATEVALUE(C402&amp;"-01"),4))</f>
        <v>0</v>
      </c>
      <c r="W402" s="37">
        <f>SUMIFS('📋 Транзакції'!$F$5:$F$3623,'📋 Транзакції'!$B$5:$B$3623,A402,'📋 Транзакції'!$C$5:$C$3623,"&gt;="&amp;EDATE(DATEVALUE(C402&amp;"-01"),4),'📋 Транзакції'!$C$5:$C$3623,"&lt;"&amp;EDATE(DATEVALUE(C402&amp;"-01"),5))</f>
        <v>0</v>
      </c>
      <c r="X402" s="37">
        <f>SUMIFS('📋 Транзакції'!$F$5:$F$3623,'📋 Транзакції'!$B$5:$B$3623,A402,'📋 Транзакції'!$C$5:$C$3623,"&gt;="&amp;EDATE(DATEVALUE(C402&amp;"-01"),5),'📋 Транзакції'!$C$5:$C$3623,"&lt;"&amp;EDATE(DATEVALUE(C402&amp;"-01"),6))</f>
        <v>0</v>
      </c>
      <c r="Y402" s="37">
        <f>SUMIFS('📋 Транзакції'!$F$5:$F$3623,'📋 Транзакції'!$B$5:$B$3623,A402,'📋 Транзакції'!$C$5:$C$3623,"&gt;="&amp;EDATE(DATEVALUE(C402&amp;"-01"),6),'📋 Транзакції'!$C$5:$C$3623,"&lt;"&amp;EDATE(DATEVALUE(C402&amp;"-01"),7))</f>
        <v>0</v>
      </c>
      <c r="Z402" s="37">
        <f>SUMIFS('📋 Транзакції'!$F$5:$F$3623,'📋 Транзакції'!$B$5:$B$3623,A402,'📋 Транзакції'!$C$5:$C$3623,"&gt;="&amp;EDATE(DATEVALUE(C402&amp;"-01"),7),'📋 Транзакції'!$C$5:$C$3623,"&lt;"&amp;EDATE(DATEVALUE(C402&amp;"-01"),8))</f>
        <v>0</v>
      </c>
      <c r="AA402" s="37">
        <f>SUMIFS('📋 Транзакції'!$F$5:$F$3623,'📋 Транзакції'!$B$5:$B$3623,A402,'📋 Транзакції'!$C$5:$C$3623,"&gt;="&amp;EDATE(DATEVALUE(C402&amp;"-01"),8),'📋 Транзакції'!$C$5:$C$3623,"&lt;"&amp;EDATE(DATEVALUE(C402&amp;"-01"),9))</f>
        <v>0</v>
      </c>
      <c r="AB402" s="37">
        <f>SUMIFS('📋 Транзакції'!$F$5:$F$3623,'📋 Транзакції'!$B$5:$B$3623,A402,'📋 Транзакції'!$C$5:$C$3623,"&gt;="&amp;EDATE(DATEVALUE(C402&amp;"-01"),9),'📋 Транзакції'!$C$5:$C$3623,"&lt;"&amp;EDATE(DATEVALUE(C402&amp;"-01"),10))</f>
        <v>0</v>
      </c>
      <c r="AC402" s="37">
        <f>SUMIFS('📋 Транзакції'!$F$5:$F$3623,'📋 Транзакції'!$B$5:$B$3623,A402,'📋 Транзакції'!$C$5:$C$3623,"&gt;="&amp;EDATE(DATEVALUE(C402&amp;"-01"),10),'📋 Транзакції'!$C$5:$C$3623,"&lt;"&amp;EDATE(DATEVALUE(C402&amp;"-01"),11))</f>
        <v>0</v>
      </c>
      <c r="AD402" s="37">
        <f>SUMIFS('📋 Транзакції'!$F$5:$F$3623,'📋 Транзакції'!$B$5:$B$3623,A402,'📋 Транзакції'!$C$5:$C$3623,"&gt;="&amp;EDATE(DATEVALUE(C402&amp;"-01"),11),'📋 Транзакції'!$C$5:$C$3623,"&lt;"&amp;EDATE(DATEVALUE(C402&amp;"-01"),12))</f>
        <v>0</v>
      </c>
    </row>
    <row r="403" ht="15.75" customHeight="1">
      <c r="A403" s="33" t="str">
        <f>'📋 Реєстрації'!A403:A1004</f>
        <v>U0521</v>
      </c>
      <c r="B403" s="34">
        <f t="array" ref="B403">INDEX('📋 Транзакції'!$C$5:$C$3623,MATCH(A403,'📋 Транзакції'!$B$5:$B$3623,0))</f>
        <v>45622</v>
      </c>
      <c r="C403" s="35" t="str">
        <f t="shared" si="1"/>
        <v>2024-11</v>
      </c>
      <c r="D403" s="36">
        <f>COUNTIF('📋 Транзакції'!$B$5:$B$3623,A403)</f>
        <v>5</v>
      </c>
      <c r="E403" s="36">
        <f>SUMIF('📋 Транзакції'!$B$5:$B$3623,A403,'📋 Транзакції'!$F$5:$F$3623)</f>
        <v>79.96</v>
      </c>
      <c r="F403" s="35">
        <f>INT($A$1-MAXIFS('📋 Транзакції'!$C$5:$C$3623,'📋 Транзакції'!$B$5:$B$3623,A403))</f>
        <v>28</v>
      </c>
      <c r="G403" s="37">
        <f>IF(COUNTIFS('📋 Транзакції'!$B$5:$B$3623,A403,'📋 Транзакції'!$C$5:$C$3623,"&gt;="&amp;EDATE(DATEVALUE(C403&amp;"-01"),0),'📋 Транзакції'!$C$5:$C$3623,"&lt;"&amp;EDATE(DATEVALUE(C403&amp;"-01"),1))&gt;0,1,0)</f>
        <v>1</v>
      </c>
      <c r="H403" s="37">
        <f>IF(COUNTIFS('📋 Транзакції'!$B$5:$B$3623,A403,'📋 Транзакції'!$C$5:$C$3623,"&gt;="&amp;EDATE(DATEVALUE(C403&amp;"-01"),1),'📋 Транзакції'!$C$5:$C$3623,"&lt;"&amp;EDATE(DATEVALUE(C403&amp;"-01"),2))&gt;0,1,0)</f>
        <v>1</v>
      </c>
      <c r="I403" s="37">
        <f>IF(COUNTIFS('📋 Транзакції'!$B$5:$B$3623,A403,'📋 Транзакції'!$C$5:$C$3623,"&gt;="&amp;EDATE(DATEVALUE(C403&amp;"-01"),2),'📋 Транзакції'!$C$5:$C$3623,"&lt;"&amp;EDATE(DATEVALUE(C403&amp;"-01"),3))&gt;0,1,0)</f>
        <v>1</v>
      </c>
      <c r="J403" s="37">
        <f>IF(COUNTIFS('📋 Транзакції'!$B$5:$B$3623,A403,'📋 Транзакції'!$C$5:$C$3623,"&gt;="&amp;EDATE(DATEVALUE(C403&amp;"-01"),3),'📋 Транзакції'!$C$5:$C$3623,"&lt;"&amp;EDATE(DATEVALUE(C403&amp;"-01"),4))&gt;0,1,0)</f>
        <v>1</v>
      </c>
      <c r="K403" s="37">
        <f>IF(COUNTIFS('📋 Транзакції'!$B$5:$B$3623,A403,'📋 Транзакції'!$C$5:$C$3623,"&gt;="&amp;EDATE(DATEVALUE(C403&amp;"-01"),4),'📋 Транзакції'!$C$5:$C$3623,"&lt;"&amp;EDATE(DATEVALUE(C403&amp;"-01"),5))&gt;0,1,0)</f>
        <v>1</v>
      </c>
      <c r="L403" s="37">
        <f>IF(COUNTIFS('📋 Транзакції'!$B$5:$B$3623,A403,'📋 Транзакції'!$C$5:$C$3623,"&gt;="&amp;EDATE(DATEVALUE(C403&amp;"-01"),5),'📋 Транзакції'!$C$5:$C$3623,"&lt;"&amp;EDATE(DATEVALUE(C403&amp;"-01"),6))&gt;0,1,0)</f>
        <v>0</v>
      </c>
      <c r="M403" s="37">
        <f>IF(COUNTIFS('📋 Транзакції'!$B$5:$B$3623,A403,'📋 Транзакції'!$C$5:$C$3623,"&gt;="&amp;EDATE(DATEVALUE(C403&amp;"-01"),6),'📋 Транзакції'!$C$5:$C$3623,"&lt;"&amp;EDATE(DATEVALUE(C403&amp;"-01"),7))&gt;0,1,0)</f>
        <v>0</v>
      </c>
      <c r="N403" s="37">
        <f>IF(COUNTIFS('📋 Транзакції'!$B$5:$B$3623,A403,'📋 Транзакції'!$C$5:$C$3623,"&gt;="&amp;EDATE(DATEVALUE(C403&amp;"-01"),7),'📋 Транзакції'!$C$5:$C$3623,"&lt;"&amp;EDATE(DATEVALUE(C403&amp;"-01"),8))&gt;0,1,0)</f>
        <v>0</v>
      </c>
      <c r="O403" s="37">
        <f>IF(COUNTIFS('📋 Транзакції'!$B$5:$B$3623,A403,'📋 Транзакції'!$C$5:$C$3623,"&gt;="&amp;EDATE(DATEVALUE(C403&amp;"-01"),8),'📋 Транзакції'!$C$5:$C$3623,"&lt;"&amp;EDATE(DATEVALUE(C403&amp;"-01"),9))&gt;0,1,0)</f>
        <v>0</v>
      </c>
      <c r="P403" s="37">
        <f>IF(COUNTIFS('📋 Транзакції'!$B$5:$B$3623,A403,'📋 Транзакції'!$C$5:$C$3623,"&gt;="&amp;EDATE(DATEVALUE(C403&amp;"-01"),9),'📋 Транзакції'!$C$5:$C$3623,"&lt;"&amp;EDATE(DATEVALUE(C403&amp;"-01"),10))&gt;0,1,0)</f>
        <v>0</v>
      </c>
      <c r="Q403" s="37">
        <f>IF(COUNTIFS('📋 Транзакції'!$B$5:$B$3623,A403,'📋 Транзакції'!$C$5:$C$3623,"&gt;="&amp;EDATE(DATEVALUE(C403&amp;"-01"),10),'📋 Транзакції'!$C$5:$C$3623,"&lt;"&amp;EDATE(DATEVALUE(C403&amp;"-01"),11))&gt;0,1,0)</f>
        <v>0</v>
      </c>
      <c r="R403" s="37">
        <f>IF(COUNTIFS('📋 Транзакції'!$B$5:$B$3623,A403,'📋 Транзакції'!$C$5:$C$3623,"&gt;="&amp;EDATE(DATEVALUE(C403&amp;"-01"),11),'📋 Транзакції'!$C$5:$C$3623,"&lt;"&amp;EDATE(DATEVALUE(C403&amp;"-01"),12))&gt;0,1,0)</f>
        <v>0</v>
      </c>
      <c r="S403" s="37">
        <f>SUMIFS('📋 Транзакції'!$F$5:$F$3623,'📋 Транзакції'!$B$5:$B$3623,A403,'📋 Транзакції'!$C$5:$C$3623,"&gt;="&amp;EDATE(DATEVALUE(C403&amp;"-01"),0),'📋 Транзакції'!$C$5:$C$3623,"&lt;"&amp;EDATE(DATEVALUE(C403&amp;"-01"),1))</f>
        <v>0</v>
      </c>
      <c r="T403" s="37">
        <f>SUMIFS('📋 Транзакції'!$F$5:$F$3623,'📋 Транзакції'!$B$5:$B$3623,A403,'📋 Транзакції'!$C$5:$C$3623,"&gt;="&amp;EDATE(DATEVALUE(C403&amp;"-01"),1),'📋 Транзакції'!$C$5:$C$3623,"&lt;"&amp;EDATE(DATEVALUE(C403&amp;"-01"),2))</f>
        <v>19.99</v>
      </c>
      <c r="U403" s="37">
        <f>SUMIFS('📋 Транзакції'!$F$5:$F$3623,'📋 Транзакції'!$B$5:$B$3623,A403,'📋 Транзакції'!$C$5:$C$3623,"&gt;="&amp;EDATE(DATEVALUE(C403&amp;"-01"),2),'📋 Транзакції'!$C$5:$C$3623,"&lt;"&amp;EDATE(DATEVALUE(C403&amp;"-01"),3))</f>
        <v>19.99</v>
      </c>
      <c r="V403" s="37">
        <f>SUMIFS('📋 Транзакції'!$F$5:$F$3623,'📋 Транзакції'!$B$5:$B$3623,A403,'📋 Транзакції'!$C$5:$C$3623,"&gt;="&amp;EDATE(DATEVALUE(C403&amp;"-01"),3),'📋 Транзакції'!$C$5:$C$3623,"&lt;"&amp;EDATE(DATEVALUE(C403&amp;"-01"),4))</f>
        <v>19.99</v>
      </c>
      <c r="W403" s="37">
        <f>SUMIFS('📋 Транзакції'!$F$5:$F$3623,'📋 Транзакції'!$B$5:$B$3623,A403,'📋 Транзакції'!$C$5:$C$3623,"&gt;="&amp;EDATE(DATEVALUE(C403&amp;"-01"),4),'📋 Транзакції'!$C$5:$C$3623,"&lt;"&amp;EDATE(DATEVALUE(C403&amp;"-01"),5))</f>
        <v>19.99</v>
      </c>
      <c r="X403" s="37">
        <f>SUMIFS('📋 Транзакції'!$F$5:$F$3623,'📋 Транзакції'!$B$5:$B$3623,A403,'📋 Транзакції'!$C$5:$C$3623,"&gt;="&amp;EDATE(DATEVALUE(C403&amp;"-01"),5),'📋 Транзакції'!$C$5:$C$3623,"&lt;"&amp;EDATE(DATEVALUE(C403&amp;"-01"),6))</f>
        <v>0</v>
      </c>
      <c r="Y403" s="37">
        <f>SUMIFS('📋 Транзакції'!$F$5:$F$3623,'📋 Транзакції'!$B$5:$B$3623,A403,'📋 Транзакції'!$C$5:$C$3623,"&gt;="&amp;EDATE(DATEVALUE(C403&amp;"-01"),6),'📋 Транзакції'!$C$5:$C$3623,"&lt;"&amp;EDATE(DATEVALUE(C403&amp;"-01"),7))</f>
        <v>0</v>
      </c>
      <c r="Z403" s="37">
        <f>SUMIFS('📋 Транзакції'!$F$5:$F$3623,'📋 Транзакції'!$B$5:$B$3623,A403,'📋 Транзакції'!$C$5:$C$3623,"&gt;="&amp;EDATE(DATEVALUE(C403&amp;"-01"),7),'📋 Транзакції'!$C$5:$C$3623,"&lt;"&amp;EDATE(DATEVALUE(C403&amp;"-01"),8))</f>
        <v>0</v>
      </c>
      <c r="AA403" s="37">
        <f>SUMIFS('📋 Транзакції'!$F$5:$F$3623,'📋 Транзакції'!$B$5:$B$3623,A403,'📋 Транзакції'!$C$5:$C$3623,"&gt;="&amp;EDATE(DATEVALUE(C403&amp;"-01"),8),'📋 Транзакції'!$C$5:$C$3623,"&lt;"&amp;EDATE(DATEVALUE(C403&amp;"-01"),9))</f>
        <v>0</v>
      </c>
      <c r="AB403" s="37">
        <f>SUMIFS('📋 Транзакції'!$F$5:$F$3623,'📋 Транзакції'!$B$5:$B$3623,A403,'📋 Транзакції'!$C$5:$C$3623,"&gt;="&amp;EDATE(DATEVALUE(C403&amp;"-01"),9),'📋 Транзакції'!$C$5:$C$3623,"&lt;"&amp;EDATE(DATEVALUE(C403&amp;"-01"),10))</f>
        <v>0</v>
      </c>
      <c r="AC403" s="37">
        <f>SUMIFS('📋 Транзакції'!$F$5:$F$3623,'📋 Транзакції'!$B$5:$B$3623,A403,'📋 Транзакції'!$C$5:$C$3623,"&gt;="&amp;EDATE(DATEVALUE(C403&amp;"-01"),10),'📋 Транзакції'!$C$5:$C$3623,"&lt;"&amp;EDATE(DATEVALUE(C403&amp;"-01"),11))</f>
        <v>0</v>
      </c>
      <c r="AD403" s="37">
        <f>SUMIFS('📋 Транзакції'!$F$5:$F$3623,'📋 Транзакції'!$B$5:$B$3623,A403,'📋 Транзакції'!$C$5:$C$3623,"&gt;="&amp;EDATE(DATEVALUE(C403&amp;"-01"),11),'📋 Транзакції'!$C$5:$C$3623,"&lt;"&amp;EDATE(DATEVALUE(C403&amp;"-01"),12))</f>
        <v>0</v>
      </c>
    </row>
    <row r="404" ht="15.75" customHeight="1">
      <c r="A404" s="33" t="str">
        <f>'📋 Реєстрації'!A404:A1005</f>
        <v>U0574</v>
      </c>
      <c r="B404" s="34">
        <f t="array" ref="B404">INDEX('📋 Транзакції'!$C$5:$C$3623,MATCH(A404,'📋 Транзакції'!$B$5:$B$3623,0))</f>
        <v>45622</v>
      </c>
      <c r="C404" s="35" t="str">
        <f t="shared" si="1"/>
        <v>2024-11</v>
      </c>
      <c r="D404" s="36">
        <f>COUNTIF('📋 Транзакції'!$B$5:$B$3623,A404)</f>
        <v>2</v>
      </c>
      <c r="E404" s="36">
        <f>SUMIF('📋 Транзакції'!$B$5:$B$3623,A404,'📋 Транзакції'!$F$5:$F$3623)</f>
        <v>19.99</v>
      </c>
      <c r="F404" s="35">
        <f>INT($A$1-MAXIFS('📋 Транзакції'!$C$5:$C$3623,'📋 Транзакції'!$B$5:$B$3623,A404))</f>
        <v>118</v>
      </c>
      <c r="G404" s="37">
        <f>IF(COUNTIFS('📋 Транзакції'!$B$5:$B$3623,A404,'📋 Транзакції'!$C$5:$C$3623,"&gt;="&amp;EDATE(DATEVALUE(C404&amp;"-01"),0),'📋 Транзакції'!$C$5:$C$3623,"&lt;"&amp;EDATE(DATEVALUE(C404&amp;"-01"),1))&gt;0,1,0)</f>
        <v>1</v>
      </c>
      <c r="H404" s="37">
        <f>IF(COUNTIFS('📋 Транзакції'!$B$5:$B$3623,A404,'📋 Транзакції'!$C$5:$C$3623,"&gt;="&amp;EDATE(DATEVALUE(C404&amp;"-01"),1),'📋 Транзакції'!$C$5:$C$3623,"&lt;"&amp;EDATE(DATEVALUE(C404&amp;"-01"),2))&gt;0,1,0)</f>
        <v>1</v>
      </c>
      <c r="I404" s="37">
        <f>IF(COUNTIFS('📋 Транзакції'!$B$5:$B$3623,A404,'📋 Транзакції'!$C$5:$C$3623,"&gt;="&amp;EDATE(DATEVALUE(C404&amp;"-01"),2),'📋 Транзакції'!$C$5:$C$3623,"&lt;"&amp;EDATE(DATEVALUE(C404&amp;"-01"),3))&gt;0,1,0)</f>
        <v>0</v>
      </c>
      <c r="J404" s="37">
        <f>IF(COUNTIFS('📋 Транзакції'!$B$5:$B$3623,A404,'📋 Транзакції'!$C$5:$C$3623,"&gt;="&amp;EDATE(DATEVALUE(C404&amp;"-01"),3),'📋 Транзакції'!$C$5:$C$3623,"&lt;"&amp;EDATE(DATEVALUE(C404&amp;"-01"),4))&gt;0,1,0)</f>
        <v>0</v>
      </c>
      <c r="K404" s="37">
        <f>IF(COUNTIFS('📋 Транзакції'!$B$5:$B$3623,A404,'📋 Транзакції'!$C$5:$C$3623,"&gt;="&amp;EDATE(DATEVALUE(C404&amp;"-01"),4),'📋 Транзакції'!$C$5:$C$3623,"&lt;"&amp;EDATE(DATEVALUE(C404&amp;"-01"),5))&gt;0,1,0)</f>
        <v>0</v>
      </c>
      <c r="L404" s="37">
        <f>IF(COUNTIFS('📋 Транзакції'!$B$5:$B$3623,A404,'📋 Транзакції'!$C$5:$C$3623,"&gt;="&amp;EDATE(DATEVALUE(C404&amp;"-01"),5),'📋 Транзакції'!$C$5:$C$3623,"&lt;"&amp;EDATE(DATEVALUE(C404&amp;"-01"),6))&gt;0,1,0)</f>
        <v>0</v>
      </c>
      <c r="M404" s="37">
        <f>IF(COUNTIFS('📋 Транзакції'!$B$5:$B$3623,A404,'📋 Транзакції'!$C$5:$C$3623,"&gt;="&amp;EDATE(DATEVALUE(C404&amp;"-01"),6),'📋 Транзакції'!$C$5:$C$3623,"&lt;"&amp;EDATE(DATEVALUE(C404&amp;"-01"),7))&gt;0,1,0)</f>
        <v>0</v>
      </c>
      <c r="N404" s="37">
        <f>IF(COUNTIFS('📋 Транзакції'!$B$5:$B$3623,A404,'📋 Транзакції'!$C$5:$C$3623,"&gt;="&amp;EDATE(DATEVALUE(C404&amp;"-01"),7),'📋 Транзакції'!$C$5:$C$3623,"&lt;"&amp;EDATE(DATEVALUE(C404&amp;"-01"),8))&gt;0,1,0)</f>
        <v>0</v>
      </c>
      <c r="O404" s="37">
        <f>IF(COUNTIFS('📋 Транзакції'!$B$5:$B$3623,A404,'📋 Транзакції'!$C$5:$C$3623,"&gt;="&amp;EDATE(DATEVALUE(C404&amp;"-01"),8),'📋 Транзакції'!$C$5:$C$3623,"&lt;"&amp;EDATE(DATEVALUE(C404&amp;"-01"),9))&gt;0,1,0)</f>
        <v>0</v>
      </c>
      <c r="P404" s="37">
        <f>IF(COUNTIFS('📋 Транзакції'!$B$5:$B$3623,A404,'📋 Транзакції'!$C$5:$C$3623,"&gt;="&amp;EDATE(DATEVALUE(C404&amp;"-01"),9),'📋 Транзакції'!$C$5:$C$3623,"&lt;"&amp;EDATE(DATEVALUE(C404&amp;"-01"),10))&gt;0,1,0)</f>
        <v>0</v>
      </c>
      <c r="Q404" s="37">
        <f>IF(COUNTIFS('📋 Транзакції'!$B$5:$B$3623,A404,'📋 Транзакції'!$C$5:$C$3623,"&gt;="&amp;EDATE(DATEVALUE(C404&amp;"-01"),10),'📋 Транзакції'!$C$5:$C$3623,"&lt;"&amp;EDATE(DATEVALUE(C404&amp;"-01"),11))&gt;0,1,0)</f>
        <v>0</v>
      </c>
      <c r="R404" s="37">
        <f>IF(COUNTIFS('📋 Транзакції'!$B$5:$B$3623,A404,'📋 Транзакції'!$C$5:$C$3623,"&gt;="&amp;EDATE(DATEVALUE(C404&amp;"-01"),11),'📋 Транзакції'!$C$5:$C$3623,"&lt;"&amp;EDATE(DATEVALUE(C404&amp;"-01"),12))&gt;0,1,0)</f>
        <v>0</v>
      </c>
      <c r="S404" s="37">
        <f>SUMIFS('📋 Транзакції'!$F$5:$F$3623,'📋 Транзакції'!$B$5:$B$3623,A404,'📋 Транзакції'!$C$5:$C$3623,"&gt;="&amp;EDATE(DATEVALUE(C404&amp;"-01"),0),'📋 Транзакції'!$C$5:$C$3623,"&lt;"&amp;EDATE(DATEVALUE(C404&amp;"-01"),1))</f>
        <v>0</v>
      </c>
      <c r="T404" s="37">
        <f>SUMIFS('📋 Транзакції'!$F$5:$F$3623,'📋 Транзакції'!$B$5:$B$3623,A404,'📋 Транзакції'!$C$5:$C$3623,"&gt;="&amp;EDATE(DATEVALUE(C404&amp;"-01"),1),'📋 Транзакції'!$C$5:$C$3623,"&lt;"&amp;EDATE(DATEVALUE(C404&amp;"-01"),2))</f>
        <v>19.99</v>
      </c>
      <c r="U404" s="37">
        <f>SUMIFS('📋 Транзакції'!$F$5:$F$3623,'📋 Транзакції'!$B$5:$B$3623,A404,'📋 Транзакції'!$C$5:$C$3623,"&gt;="&amp;EDATE(DATEVALUE(C404&amp;"-01"),2),'📋 Транзакції'!$C$5:$C$3623,"&lt;"&amp;EDATE(DATEVALUE(C404&amp;"-01"),3))</f>
        <v>0</v>
      </c>
      <c r="V404" s="37">
        <f>SUMIFS('📋 Транзакції'!$F$5:$F$3623,'📋 Транзакції'!$B$5:$B$3623,A404,'📋 Транзакції'!$C$5:$C$3623,"&gt;="&amp;EDATE(DATEVALUE(C404&amp;"-01"),3),'📋 Транзакції'!$C$5:$C$3623,"&lt;"&amp;EDATE(DATEVALUE(C404&amp;"-01"),4))</f>
        <v>0</v>
      </c>
      <c r="W404" s="37">
        <f>SUMIFS('📋 Транзакції'!$F$5:$F$3623,'📋 Транзакції'!$B$5:$B$3623,A404,'📋 Транзакції'!$C$5:$C$3623,"&gt;="&amp;EDATE(DATEVALUE(C404&amp;"-01"),4),'📋 Транзакції'!$C$5:$C$3623,"&lt;"&amp;EDATE(DATEVALUE(C404&amp;"-01"),5))</f>
        <v>0</v>
      </c>
      <c r="X404" s="37">
        <f>SUMIFS('📋 Транзакції'!$F$5:$F$3623,'📋 Транзакції'!$B$5:$B$3623,A404,'📋 Транзакції'!$C$5:$C$3623,"&gt;="&amp;EDATE(DATEVALUE(C404&amp;"-01"),5),'📋 Транзакції'!$C$5:$C$3623,"&lt;"&amp;EDATE(DATEVALUE(C404&amp;"-01"),6))</f>
        <v>0</v>
      </c>
      <c r="Y404" s="37">
        <f>SUMIFS('📋 Транзакції'!$F$5:$F$3623,'📋 Транзакції'!$B$5:$B$3623,A404,'📋 Транзакції'!$C$5:$C$3623,"&gt;="&amp;EDATE(DATEVALUE(C404&amp;"-01"),6),'📋 Транзакції'!$C$5:$C$3623,"&lt;"&amp;EDATE(DATEVALUE(C404&amp;"-01"),7))</f>
        <v>0</v>
      </c>
      <c r="Z404" s="37">
        <f>SUMIFS('📋 Транзакції'!$F$5:$F$3623,'📋 Транзакції'!$B$5:$B$3623,A404,'📋 Транзакції'!$C$5:$C$3623,"&gt;="&amp;EDATE(DATEVALUE(C404&amp;"-01"),7),'📋 Транзакції'!$C$5:$C$3623,"&lt;"&amp;EDATE(DATEVALUE(C404&amp;"-01"),8))</f>
        <v>0</v>
      </c>
      <c r="AA404" s="37">
        <f>SUMIFS('📋 Транзакції'!$F$5:$F$3623,'📋 Транзакції'!$B$5:$B$3623,A404,'📋 Транзакції'!$C$5:$C$3623,"&gt;="&amp;EDATE(DATEVALUE(C404&amp;"-01"),8),'📋 Транзакції'!$C$5:$C$3623,"&lt;"&amp;EDATE(DATEVALUE(C404&amp;"-01"),9))</f>
        <v>0</v>
      </c>
      <c r="AB404" s="37">
        <f>SUMIFS('📋 Транзакції'!$F$5:$F$3623,'📋 Транзакції'!$B$5:$B$3623,A404,'📋 Транзакції'!$C$5:$C$3623,"&gt;="&amp;EDATE(DATEVALUE(C404&amp;"-01"),9),'📋 Транзакції'!$C$5:$C$3623,"&lt;"&amp;EDATE(DATEVALUE(C404&amp;"-01"),10))</f>
        <v>0</v>
      </c>
      <c r="AC404" s="37">
        <f>SUMIFS('📋 Транзакції'!$F$5:$F$3623,'📋 Транзакції'!$B$5:$B$3623,A404,'📋 Транзакції'!$C$5:$C$3623,"&gt;="&amp;EDATE(DATEVALUE(C404&amp;"-01"),10),'📋 Транзакції'!$C$5:$C$3623,"&lt;"&amp;EDATE(DATEVALUE(C404&amp;"-01"),11))</f>
        <v>0</v>
      </c>
      <c r="AD404" s="37">
        <f>SUMIFS('📋 Транзакції'!$F$5:$F$3623,'📋 Транзакції'!$B$5:$B$3623,A404,'📋 Транзакції'!$C$5:$C$3623,"&gt;="&amp;EDATE(DATEVALUE(C404&amp;"-01"),11),'📋 Транзакції'!$C$5:$C$3623,"&lt;"&amp;EDATE(DATEVALUE(C404&amp;"-01"),12))</f>
        <v>0</v>
      </c>
    </row>
    <row r="405" ht="15.75" customHeight="1">
      <c r="A405" s="33" t="str">
        <f>'📋 Реєстрації'!A405:A1006</f>
        <v>U0055</v>
      </c>
      <c r="B405" s="34">
        <f t="array" ref="B405">INDEX('📋 Транзакції'!$C$5:$C$3623,MATCH(A405,'📋 Транзакції'!$B$5:$B$3623,0))</f>
        <v>45623</v>
      </c>
      <c r="C405" s="35" t="str">
        <f t="shared" si="1"/>
        <v>2024-11</v>
      </c>
      <c r="D405" s="36">
        <f>COUNTIF('📋 Транзакції'!$B$5:$B$3623,A405)</f>
        <v>4</v>
      </c>
      <c r="E405" s="36">
        <f>SUMIF('📋 Транзакції'!$B$5:$B$3623,A405,'📋 Транзакції'!$F$5:$F$3623)</f>
        <v>59.97</v>
      </c>
      <c r="F405" s="35">
        <f>INT($A$1-MAXIFS('📋 Транзакції'!$C$5:$C$3623,'📋 Транзакції'!$B$5:$B$3623,A405))</f>
        <v>57</v>
      </c>
      <c r="G405" s="37">
        <f>IF(COUNTIFS('📋 Транзакції'!$B$5:$B$3623,A405,'📋 Транзакції'!$C$5:$C$3623,"&gt;="&amp;EDATE(DATEVALUE(C405&amp;"-01"),0),'📋 Транзакції'!$C$5:$C$3623,"&lt;"&amp;EDATE(DATEVALUE(C405&amp;"-01"),1))&gt;0,1,0)</f>
        <v>1</v>
      </c>
      <c r="H405" s="37">
        <f>IF(COUNTIFS('📋 Транзакції'!$B$5:$B$3623,A405,'📋 Транзакції'!$C$5:$C$3623,"&gt;="&amp;EDATE(DATEVALUE(C405&amp;"-01"),1),'📋 Транзакції'!$C$5:$C$3623,"&lt;"&amp;EDATE(DATEVALUE(C405&amp;"-01"),2))&gt;0,1,0)</f>
        <v>1</v>
      </c>
      <c r="I405" s="37">
        <f>IF(COUNTIFS('📋 Транзакції'!$B$5:$B$3623,A405,'📋 Транзакції'!$C$5:$C$3623,"&gt;="&amp;EDATE(DATEVALUE(C405&amp;"-01"),2),'📋 Транзакції'!$C$5:$C$3623,"&lt;"&amp;EDATE(DATEVALUE(C405&amp;"-01"),3))&gt;0,1,0)</f>
        <v>1</v>
      </c>
      <c r="J405" s="37">
        <f>IF(COUNTIFS('📋 Транзакції'!$B$5:$B$3623,A405,'📋 Транзакції'!$C$5:$C$3623,"&gt;="&amp;EDATE(DATEVALUE(C405&amp;"-01"),3),'📋 Транзакції'!$C$5:$C$3623,"&lt;"&amp;EDATE(DATEVALUE(C405&amp;"-01"),4))&gt;0,1,0)</f>
        <v>1</v>
      </c>
      <c r="K405" s="37">
        <f>IF(COUNTIFS('📋 Транзакції'!$B$5:$B$3623,A405,'📋 Транзакції'!$C$5:$C$3623,"&gt;="&amp;EDATE(DATEVALUE(C405&amp;"-01"),4),'📋 Транзакції'!$C$5:$C$3623,"&lt;"&amp;EDATE(DATEVALUE(C405&amp;"-01"),5))&gt;0,1,0)</f>
        <v>0</v>
      </c>
      <c r="L405" s="37">
        <f>IF(COUNTIFS('📋 Транзакції'!$B$5:$B$3623,A405,'📋 Транзакції'!$C$5:$C$3623,"&gt;="&amp;EDATE(DATEVALUE(C405&amp;"-01"),5),'📋 Транзакції'!$C$5:$C$3623,"&lt;"&amp;EDATE(DATEVALUE(C405&amp;"-01"),6))&gt;0,1,0)</f>
        <v>0</v>
      </c>
      <c r="M405" s="37">
        <f>IF(COUNTIFS('📋 Транзакції'!$B$5:$B$3623,A405,'📋 Транзакції'!$C$5:$C$3623,"&gt;="&amp;EDATE(DATEVALUE(C405&amp;"-01"),6),'📋 Транзакції'!$C$5:$C$3623,"&lt;"&amp;EDATE(DATEVALUE(C405&amp;"-01"),7))&gt;0,1,0)</f>
        <v>0</v>
      </c>
      <c r="N405" s="37">
        <f>IF(COUNTIFS('📋 Транзакції'!$B$5:$B$3623,A405,'📋 Транзакції'!$C$5:$C$3623,"&gt;="&amp;EDATE(DATEVALUE(C405&amp;"-01"),7),'📋 Транзакції'!$C$5:$C$3623,"&lt;"&amp;EDATE(DATEVALUE(C405&amp;"-01"),8))&gt;0,1,0)</f>
        <v>0</v>
      </c>
      <c r="O405" s="37">
        <f>IF(COUNTIFS('📋 Транзакції'!$B$5:$B$3623,A405,'📋 Транзакції'!$C$5:$C$3623,"&gt;="&amp;EDATE(DATEVALUE(C405&amp;"-01"),8),'📋 Транзакції'!$C$5:$C$3623,"&lt;"&amp;EDATE(DATEVALUE(C405&amp;"-01"),9))&gt;0,1,0)</f>
        <v>0</v>
      </c>
      <c r="P405" s="37">
        <f>IF(COUNTIFS('📋 Транзакції'!$B$5:$B$3623,A405,'📋 Транзакції'!$C$5:$C$3623,"&gt;="&amp;EDATE(DATEVALUE(C405&amp;"-01"),9),'📋 Транзакції'!$C$5:$C$3623,"&lt;"&amp;EDATE(DATEVALUE(C405&amp;"-01"),10))&gt;0,1,0)</f>
        <v>0</v>
      </c>
      <c r="Q405" s="37">
        <f>IF(COUNTIFS('📋 Транзакції'!$B$5:$B$3623,A405,'📋 Транзакції'!$C$5:$C$3623,"&gt;="&amp;EDATE(DATEVALUE(C405&amp;"-01"),10),'📋 Транзакції'!$C$5:$C$3623,"&lt;"&amp;EDATE(DATEVALUE(C405&amp;"-01"),11))&gt;0,1,0)</f>
        <v>0</v>
      </c>
      <c r="R405" s="37">
        <f>IF(COUNTIFS('📋 Транзакції'!$B$5:$B$3623,A405,'📋 Транзакції'!$C$5:$C$3623,"&gt;="&amp;EDATE(DATEVALUE(C405&amp;"-01"),11),'📋 Транзакції'!$C$5:$C$3623,"&lt;"&amp;EDATE(DATEVALUE(C405&amp;"-01"),12))&gt;0,1,0)</f>
        <v>0</v>
      </c>
      <c r="S405" s="37">
        <f>SUMIFS('📋 Транзакції'!$F$5:$F$3623,'📋 Транзакції'!$B$5:$B$3623,A405,'📋 Транзакції'!$C$5:$C$3623,"&gt;="&amp;EDATE(DATEVALUE(C405&amp;"-01"),0),'📋 Транзакції'!$C$5:$C$3623,"&lt;"&amp;EDATE(DATEVALUE(C405&amp;"-01"),1))</f>
        <v>0</v>
      </c>
      <c r="T405" s="37">
        <f>SUMIFS('📋 Транзакції'!$F$5:$F$3623,'📋 Транзакції'!$B$5:$B$3623,A405,'📋 Транзакції'!$C$5:$C$3623,"&gt;="&amp;EDATE(DATEVALUE(C405&amp;"-01"),1),'📋 Транзакції'!$C$5:$C$3623,"&lt;"&amp;EDATE(DATEVALUE(C405&amp;"-01"),2))</f>
        <v>19.99</v>
      </c>
      <c r="U405" s="37">
        <f>SUMIFS('📋 Транзакції'!$F$5:$F$3623,'📋 Транзакції'!$B$5:$B$3623,A405,'📋 Транзакції'!$C$5:$C$3623,"&gt;="&amp;EDATE(DATEVALUE(C405&amp;"-01"),2),'📋 Транзакції'!$C$5:$C$3623,"&lt;"&amp;EDATE(DATEVALUE(C405&amp;"-01"),3))</f>
        <v>19.99</v>
      </c>
      <c r="V405" s="37">
        <f>SUMIFS('📋 Транзакції'!$F$5:$F$3623,'📋 Транзакції'!$B$5:$B$3623,A405,'📋 Транзакції'!$C$5:$C$3623,"&gt;="&amp;EDATE(DATEVALUE(C405&amp;"-01"),3),'📋 Транзакції'!$C$5:$C$3623,"&lt;"&amp;EDATE(DATEVALUE(C405&amp;"-01"),4))</f>
        <v>19.99</v>
      </c>
      <c r="W405" s="37">
        <f>SUMIFS('📋 Транзакції'!$F$5:$F$3623,'📋 Транзакції'!$B$5:$B$3623,A405,'📋 Транзакції'!$C$5:$C$3623,"&gt;="&amp;EDATE(DATEVALUE(C405&amp;"-01"),4),'📋 Транзакції'!$C$5:$C$3623,"&lt;"&amp;EDATE(DATEVALUE(C405&amp;"-01"),5))</f>
        <v>0</v>
      </c>
      <c r="X405" s="37">
        <f>SUMIFS('📋 Транзакції'!$F$5:$F$3623,'📋 Транзакції'!$B$5:$B$3623,A405,'📋 Транзакції'!$C$5:$C$3623,"&gt;="&amp;EDATE(DATEVALUE(C405&amp;"-01"),5),'📋 Транзакції'!$C$5:$C$3623,"&lt;"&amp;EDATE(DATEVALUE(C405&amp;"-01"),6))</f>
        <v>0</v>
      </c>
      <c r="Y405" s="37">
        <f>SUMIFS('📋 Транзакції'!$F$5:$F$3623,'📋 Транзакції'!$B$5:$B$3623,A405,'📋 Транзакції'!$C$5:$C$3623,"&gt;="&amp;EDATE(DATEVALUE(C405&amp;"-01"),6),'📋 Транзакції'!$C$5:$C$3623,"&lt;"&amp;EDATE(DATEVALUE(C405&amp;"-01"),7))</f>
        <v>0</v>
      </c>
      <c r="Z405" s="37">
        <f>SUMIFS('📋 Транзакції'!$F$5:$F$3623,'📋 Транзакції'!$B$5:$B$3623,A405,'📋 Транзакції'!$C$5:$C$3623,"&gt;="&amp;EDATE(DATEVALUE(C405&amp;"-01"),7),'📋 Транзакції'!$C$5:$C$3623,"&lt;"&amp;EDATE(DATEVALUE(C405&amp;"-01"),8))</f>
        <v>0</v>
      </c>
      <c r="AA405" s="37">
        <f>SUMIFS('📋 Транзакції'!$F$5:$F$3623,'📋 Транзакції'!$B$5:$B$3623,A405,'📋 Транзакції'!$C$5:$C$3623,"&gt;="&amp;EDATE(DATEVALUE(C405&amp;"-01"),8),'📋 Транзакції'!$C$5:$C$3623,"&lt;"&amp;EDATE(DATEVALUE(C405&amp;"-01"),9))</f>
        <v>0</v>
      </c>
      <c r="AB405" s="37">
        <f>SUMIFS('📋 Транзакції'!$F$5:$F$3623,'📋 Транзакції'!$B$5:$B$3623,A405,'📋 Транзакції'!$C$5:$C$3623,"&gt;="&amp;EDATE(DATEVALUE(C405&amp;"-01"),9),'📋 Транзакції'!$C$5:$C$3623,"&lt;"&amp;EDATE(DATEVALUE(C405&amp;"-01"),10))</f>
        <v>0</v>
      </c>
      <c r="AC405" s="37">
        <f>SUMIFS('📋 Транзакції'!$F$5:$F$3623,'📋 Транзакції'!$B$5:$B$3623,A405,'📋 Транзакції'!$C$5:$C$3623,"&gt;="&amp;EDATE(DATEVALUE(C405&amp;"-01"),10),'📋 Транзакції'!$C$5:$C$3623,"&lt;"&amp;EDATE(DATEVALUE(C405&amp;"-01"),11))</f>
        <v>0</v>
      </c>
      <c r="AD405" s="37">
        <f>SUMIFS('📋 Транзакції'!$F$5:$F$3623,'📋 Транзакції'!$B$5:$B$3623,A405,'📋 Транзакції'!$C$5:$C$3623,"&gt;="&amp;EDATE(DATEVALUE(C405&amp;"-01"),11),'📋 Транзакції'!$C$5:$C$3623,"&lt;"&amp;EDATE(DATEVALUE(C405&amp;"-01"),12))</f>
        <v>0</v>
      </c>
    </row>
    <row r="406" ht="15.75" customHeight="1">
      <c r="A406" s="33" t="str">
        <f>'📋 Реєстрації'!A406:A1007</f>
        <v>U0290</v>
      </c>
      <c r="B406" s="34">
        <f t="array" ref="B406">INDEX('📋 Транзакції'!$C$5:$C$3623,MATCH(A406,'📋 Транзакції'!$B$5:$B$3623,0))</f>
        <v>45623</v>
      </c>
      <c r="C406" s="35" t="str">
        <f t="shared" si="1"/>
        <v>2024-11</v>
      </c>
      <c r="D406" s="36">
        <f>COUNTIF('📋 Транзакції'!$B$5:$B$3623,A406)</f>
        <v>5</v>
      </c>
      <c r="E406" s="36">
        <f>SUMIF('📋 Транзакції'!$B$5:$B$3623,A406,'📋 Транзакції'!$F$5:$F$3623)</f>
        <v>79.96</v>
      </c>
      <c r="F406" s="35">
        <f>INT($A$1-MAXIFS('📋 Транзакції'!$C$5:$C$3623,'📋 Транзакції'!$B$5:$B$3623,A406))</f>
        <v>27</v>
      </c>
      <c r="G406" s="37">
        <f>IF(COUNTIFS('📋 Транзакції'!$B$5:$B$3623,A406,'📋 Транзакції'!$C$5:$C$3623,"&gt;="&amp;EDATE(DATEVALUE(C406&amp;"-01"),0),'📋 Транзакції'!$C$5:$C$3623,"&lt;"&amp;EDATE(DATEVALUE(C406&amp;"-01"),1))&gt;0,1,0)</f>
        <v>1</v>
      </c>
      <c r="H406" s="37">
        <f>IF(COUNTIFS('📋 Транзакції'!$B$5:$B$3623,A406,'📋 Транзакції'!$C$5:$C$3623,"&gt;="&amp;EDATE(DATEVALUE(C406&amp;"-01"),1),'📋 Транзакції'!$C$5:$C$3623,"&lt;"&amp;EDATE(DATEVALUE(C406&amp;"-01"),2))&gt;0,1,0)</f>
        <v>1</v>
      </c>
      <c r="I406" s="37">
        <f>IF(COUNTIFS('📋 Транзакції'!$B$5:$B$3623,A406,'📋 Транзакції'!$C$5:$C$3623,"&gt;="&amp;EDATE(DATEVALUE(C406&amp;"-01"),2),'📋 Транзакції'!$C$5:$C$3623,"&lt;"&amp;EDATE(DATEVALUE(C406&amp;"-01"),3))&gt;0,1,0)</f>
        <v>1</v>
      </c>
      <c r="J406" s="37">
        <f>IF(COUNTIFS('📋 Транзакції'!$B$5:$B$3623,A406,'📋 Транзакції'!$C$5:$C$3623,"&gt;="&amp;EDATE(DATEVALUE(C406&amp;"-01"),3),'📋 Транзакції'!$C$5:$C$3623,"&lt;"&amp;EDATE(DATEVALUE(C406&amp;"-01"),4))&gt;0,1,0)</f>
        <v>1</v>
      </c>
      <c r="K406" s="37">
        <f>IF(COUNTIFS('📋 Транзакції'!$B$5:$B$3623,A406,'📋 Транзакції'!$C$5:$C$3623,"&gt;="&amp;EDATE(DATEVALUE(C406&amp;"-01"),4),'📋 Транзакції'!$C$5:$C$3623,"&lt;"&amp;EDATE(DATEVALUE(C406&amp;"-01"),5))&gt;0,1,0)</f>
        <v>1</v>
      </c>
      <c r="L406" s="37">
        <f>IF(COUNTIFS('📋 Транзакції'!$B$5:$B$3623,A406,'📋 Транзакції'!$C$5:$C$3623,"&gt;="&amp;EDATE(DATEVALUE(C406&amp;"-01"),5),'📋 Транзакції'!$C$5:$C$3623,"&lt;"&amp;EDATE(DATEVALUE(C406&amp;"-01"),6))&gt;0,1,0)</f>
        <v>0</v>
      </c>
      <c r="M406" s="37">
        <f>IF(COUNTIFS('📋 Транзакції'!$B$5:$B$3623,A406,'📋 Транзакції'!$C$5:$C$3623,"&gt;="&amp;EDATE(DATEVALUE(C406&amp;"-01"),6),'📋 Транзакції'!$C$5:$C$3623,"&lt;"&amp;EDATE(DATEVALUE(C406&amp;"-01"),7))&gt;0,1,0)</f>
        <v>0</v>
      </c>
      <c r="N406" s="37">
        <f>IF(COUNTIFS('📋 Транзакції'!$B$5:$B$3623,A406,'📋 Транзакції'!$C$5:$C$3623,"&gt;="&amp;EDATE(DATEVALUE(C406&amp;"-01"),7),'📋 Транзакції'!$C$5:$C$3623,"&lt;"&amp;EDATE(DATEVALUE(C406&amp;"-01"),8))&gt;0,1,0)</f>
        <v>0</v>
      </c>
      <c r="O406" s="37">
        <f>IF(COUNTIFS('📋 Транзакції'!$B$5:$B$3623,A406,'📋 Транзакції'!$C$5:$C$3623,"&gt;="&amp;EDATE(DATEVALUE(C406&amp;"-01"),8),'📋 Транзакції'!$C$5:$C$3623,"&lt;"&amp;EDATE(DATEVALUE(C406&amp;"-01"),9))&gt;0,1,0)</f>
        <v>0</v>
      </c>
      <c r="P406" s="37">
        <f>IF(COUNTIFS('📋 Транзакції'!$B$5:$B$3623,A406,'📋 Транзакції'!$C$5:$C$3623,"&gt;="&amp;EDATE(DATEVALUE(C406&amp;"-01"),9),'📋 Транзакції'!$C$5:$C$3623,"&lt;"&amp;EDATE(DATEVALUE(C406&amp;"-01"),10))&gt;0,1,0)</f>
        <v>0</v>
      </c>
      <c r="Q406" s="37">
        <f>IF(COUNTIFS('📋 Транзакції'!$B$5:$B$3623,A406,'📋 Транзакції'!$C$5:$C$3623,"&gt;="&amp;EDATE(DATEVALUE(C406&amp;"-01"),10),'📋 Транзакції'!$C$5:$C$3623,"&lt;"&amp;EDATE(DATEVALUE(C406&amp;"-01"),11))&gt;0,1,0)</f>
        <v>0</v>
      </c>
      <c r="R406" s="37">
        <f>IF(COUNTIFS('📋 Транзакції'!$B$5:$B$3623,A406,'📋 Транзакції'!$C$5:$C$3623,"&gt;="&amp;EDATE(DATEVALUE(C406&amp;"-01"),11),'📋 Транзакції'!$C$5:$C$3623,"&lt;"&amp;EDATE(DATEVALUE(C406&amp;"-01"),12))&gt;0,1,0)</f>
        <v>0</v>
      </c>
      <c r="S406" s="37">
        <f>SUMIFS('📋 Транзакції'!$F$5:$F$3623,'📋 Транзакції'!$B$5:$B$3623,A406,'📋 Транзакції'!$C$5:$C$3623,"&gt;="&amp;EDATE(DATEVALUE(C406&amp;"-01"),0),'📋 Транзакції'!$C$5:$C$3623,"&lt;"&amp;EDATE(DATEVALUE(C406&amp;"-01"),1))</f>
        <v>0</v>
      </c>
      <c r="T406" s="37">
        <f>SUMIFS('📋 Транзакції'!$F$5:$F$3623,'📋 Транзакції'!$B$5:$B$3623,A406,'📋 Транзакції'!$C$5:$C$3623,"&gt;="&amp;EDATE(DATEVALUE(C406&amp;"-01"),1),'📋 Транзакції'!$C$5:$C$3623,"&lt;"&amp;EDATE(DATEVALUE(C406&amp;"-01"),2))</f>
        <v>19.99</v>
      </c>
      <c r="U406" s="37">
        <f>SUMIFS('📋 Транзакції'!$F$5:$F$3623,'📋 Транзакції'!$B$5:$B$3623,A406,'📋 Транзакції'!$C$5:$C$3623,"&gt;="&amp;EDATE(DATEVALUE(C406&amp;"-01"),2),'📋 Транзакції'!$C$5:$C$3623,"&lt;"&amp;EDATE(DATEVALUE(C406&amp;"-01"),3))</f>
        <v>19.99</v>
      </c>
      <c r="V406" s="37">
        <f>SUMIFS('📋 Транзакції'!$F$5:$F$3623,'📋 Транзакції'!$B$5:$B$3623,A406,'📋 Транзакції'!$C$5:$C$3623,"&gt;="&amp;EDATE(DATEVALUE(C406&amp;"-01"),3),'📋 Транзакції'!$C$5:$C$3623,"&lt;"&amp;EDATE(DATEVALUE(C406&amp;"-01"),4))</f>
        <v>19.99</v>
      </c>
      <c r="W406" s="37">
        <f>SUMIFS('📋 Транзакції'!$F$5:$F$3623,'📋 Транзакції'!$B$5:$B$3623,A406,'📋 Транзакції'!$C$5:$C$3623,"&gt;="&amp;EDATE(DATEVALUE(C406&amp;"-01"),4),'📋 Транзакції'!$C$5:$C$3623,"&lt;"&amp;EDATE(DATEVALUE(C406&amp;"-01"),5))</f>
        <v>19.99</v>
      </c>
      <c r="X406" s="37">
        <f>SUMIFS('📋 Транзакції'!$F$5:$F$3623,'📋 Транзакції'!$B$5:$B$3623,A406,'📋 Транзакції'!$C$5:$C$3623,"&gt;="&amp;EDATE(DATEVALUE(C406&amp;"-01"),5),'📋 Транзакції'!$C$5:$C$3623,"&lt;"&amp;EDATE(DATEVALUE(C406&amp;"-01"),6))</f>
        <v>0</v>
      </c>
      <c r="Y406" s="37">
        <f>SUMIFS('📋 Транзакції'!$F$5:$F$3623,'📋 Транзакції'!$B$5:$B$3623,A406,'📋 Транзакції'!$C$5:$C$3623,"&gt;="&amp;EDATE(DATEVALUE(C406&amp;"-01"),6),'📋 Транзакції'!$C$5:$C$3623,"&lt;"&amp;EDATE(DATEVALUE(C406&amp;"-01"),7))</f>
        <v>0</v>
      </c>
      <c r="Z406" s="37">
        <f>SUMIFS('📋 Транзакції'!$F$5:$F$3623,'📋 Транзакції'!$B$5:$B$3623,A406,'📋 Транзакції'!$C$5:$C$3623,"&gt;="&amp;EDATE(DATEVALUE(C406&amp;"-01"),7),'📋 Транзакції'!$C$5:$C$3623,"&lt;"&amp;EDATE(DATEVALUE(C406&amp;"-01"),8))</f>
        <v>0</v>
      </c>
      <c r="AA406" s="37">
        <f>SUMIFS('📋 Транзакції'!$F$5:$F$3623,'📋 Транзакції'!$B$5:$B$3623,A406,'📋 Транзакції'!$C$5:$C$3623,"&gt;="&amp;EDATE(DATEVALUE(C406&amp;"-01"),8),'📋 Транзакції'!$C$5:$C$3623,"&lt;"&amp;EDATE(DATEVALUE(C406&amp;"-01"),9))</f>
        <v>0</v>
      </c>
      <c r="AB406" s="37">
        <f>SUMIFS('📋 Транзакції'!$F$5:$F$3623,'📋 Транзакції'!$B$5:$B$3623,A406,'📋 Транзакції'!$C$5:$C$3623,"&gt;="&amp;EDATE(DATEVALUE(C406&amp;"-01"),9),'📋 Транзакції'!$C$5:$C$3623,"&lt;"&amp;EDATE(DATEVALUE(C406&amp;"-01"),10))</f>
        <v>0</v>
      </c>
      <c r="AC406" s="37">
        <f>SUMIFS('📋 Транзакції'!$F$5:$F$3623,'📋 Транзакції'!$B$5:$B$3623,A406,'📋 Транзакції'!$C$5:$C$3623,"&gt;="&amp;EDATE(DATEVALUE(C406&amp;"-01"),10),'📋 Транзакції'!$C$5:$C$3623,"&lt;"&amp;EDATE(DATEVALUE(C406&amp;"-01"),11))</f>
        <v>0</v>
      </c>
      <c r="AD406" s="37">
        <f>SUMIFS('📋 Транзакції'!$F$5:$F$3623,'📋 Транзакції'!$B$5:$B$3623,A406,'📋 Транзакції'!$C$5:$C$3623,"&gt;="&amp;EDATE(DATEVALUE(C406&amp;"-01"),11),'📋 Транзакції'!$C$5:$C$3623,"&lt;"&amp;EDATE(DATEVALUE(C406&amp;"-01"),12))</f>
        <v>0</v>
      </c>
    </row>
    <row r="407" ht="15.75" customHeight="1">
      <c r="A407" s="33" t="str">
        <f>'📋 Реєстрації'!A407:A1008</f>
        <v>U0009</v>
      </c>
      <c r="B407" s="34">
        <f t="array" ref="B407">INDEX('📋 Транзакції'!$C$5:$C$3623,MATCH(A407,'📋 Транзакції'!$B$5:$B$3623,0))</f>
        <v>45624</v>
      </c>
      <c r="C407" s="35" t="str">
        <f t="shared" si="1"/>
        <v>2024-11</v>
      </c>
      <c r="D407" s="36">
        <f>COUNTIF('📋 Транзакції'!$B$5:$B$3623,A407)</f>
        <v>5</v>
      </c>
      <c r="E407" s="36">
        <f>SUMIF('📋 Транзакції'!$B$5:$B$3623,A407,'📋 Транзакції'!$F$5:$F$3623)</f>
        <v>79.96</v>
      </c>
      <c r="F407" s="35">
        <f>INT($A$1-MAXIFS('📋 Транзакції'!$C$5:$C$3623,'📋 Транзакції'!$B$5:$B$3623,A407))</f>
        <v>26</v>
      </c>
      <c r="G407" s="37">
        <f>IF(COUNTIFS('📋 Транзакції'!$B$5:$B$3623,A407,'📋 Транзакції'!$C$5:$C$3623,"&gt;="&amp;EDATE(DATEVALUE(C407&amp;"-01"),0),'📋 Транзакції'!$C$5:$C$3623,"&lt;"&amp;EDATE(DATEVALUE(C407&amp;"-01"),1))&gt;0,1,0)</f>
        <v>1</v>
      </c>
      <c r="H407" s="37">
        <f>IF(COUNTIFS('📋 Транзакції'!$B$5:$B$3623,A407,'📋 Транзакції'!$C$5:$C$3623,"&gt;="&amp;EDATE(DATEVALUE(C407&amp;"-01"),1),'📋 Транзакції'!$C$5:$C$3623,"&lt;"&amp;EDATE(DATEVALUE(C407&amp;"-01"),2))&gt;0,1,0)</f>
        <v>1</v>
      </c>
      <c r="I407" s="37">
        <f>IF(COUNTIFS('📋 Транзакції'!$B$5:$B$3623,A407,'📋 Транзакції'!$C$5:$C$3623,"&gt;="&amp;EDATE(DATEVALUE(C407&amp;"-01"),2),'📋 Транзакції'!$C$5:$C$3623,"&lt;"&amp;EDATE(DATEVALUE(C407&amp;"-01"),3))&gt;0,1,0)</f>
        <v>1</v>
      </c>
      <c r="J407" s="37">
        <f>IF(COUNTIFS('📋 Транзакції'!$B$5:$B$3623,A407,'📋 Транзакції'!$C$5:$C$3623,"&gt;="&amp;EDATE(DATEVALUE(C407&amp;"-01"),3),'📋 Транзакції'!$C$5:$C$3623,"&lt;"&amp;EDATE(DATEVALUE(C407&amp;"-01"),4))&gt;0,1,0)</f>
        <v>1</v>
      </c>
      <c r="K407" s="37">
        <f>IF(COUNTIFS('📋 Транзакції'!$B$5:$B$3623,A407,'📋 Транзакції'!$C$5:$C$3623,"&gt;="&amp;EDATE(DATEVALUE(C407&amp;"-01"),4),'📋 Транзакції'!$C$5:$C$3623,"&lt;"&amp;EDATE(DATEVALUE(C407&amp;"-01"),5))&gt;0,1,0)</f>
        <v>1</v>
      </c>
      <c r="L407" s="37">
        <f>IF(COUNTIFS('📋 Транзакції'!$B$5:$B$3623,A407,'📋 Транзакції'!$C$5:$C$3623,"&gt;="&amp;EDATE(DATEVALUE(C407&amp;"-01"),5),'📋 Транзакції'!$C$5:$C$3623,"&lt;"&amp;EDATE(DATEVALUE(C407&amp;"-01"),6))&gt;0,1,0)</f>
        <v>0</v>
      </c>
      <c r="M407" s="37">
        <f>IF(COUNTIFS('📋 Транзакції'!$B$5:$B$3623,A407,'📋 Транзакції'!$C$5:$C$3623,"&gt;="&amp;EDATE(DATEVALUE(C407&amp;"-01"),6),'📋 Транзакції'!$C$5:$C$3623,"&lt;"&amp;EDATE(DATEVALUE(C407&amp;"-01"),7))&gt;0,1,0)</f>
        <v>0</v>
      </c>
      <c r="N407" s="37">
        <f>IF(COUNTIFS('📋 Транзакції'!$B$5:$B$3623,A407,'📋 Транзакції'!$C$5:$C$3623,"&gt;="&amp;EDATE(DATEVALUE(C407&amp;"-01"),7),'📋 Транзакції'!$C$5:$C$3623,"&lt;"&amp;EDATE(DATEVALUE(C407&amp;"-01"),8))&gt;0,1,0)</f>
        <v>0</v>
      </c>
      <c r="O407" s="37">
        <f>IF(COUNTIFS('📋 Транзакції'!$B$5:$B$3623,A407,'📋 Транзакції'!$C$5:$C$3623,"&gt;="&amp;EDATE(DATEVALUE(C407&amp;"-01"),8),'📋 Транзакції'!$C$5:$C$3623,"&lt;"&amp;EDATE(DATEVALUE(C407&amp;"-01"),9))&gt;0,1,0)</f>
        <v>0</v>
      </c>
      <c r="P407" s="37">
        <f>IF(COUNTIFS('📋 Транзакції'!$B$5:$B$3623,A407,'📋 Транзакції'!$C$5:$C$3623,"&gt;="&amp;EDATE(DATEVALUE(C407&amp;"-01"),9),'📋 Транзакції'!$C$5:$C$3623,"&lt;"&amp;EDATE(DATEVALUE(C407&amp;"-01"),10))&gt;0,1,0)</f>
        <v>0</v>
      </c>
      <c r="Q407" s="37">
        <f>IF(COUNTIFS('📋 Транзакції'!$B$5:$B$3623,A407,'📋 Транзакції'!$C$5:$C$3623,"&gt;="&amp;EDATE(DATEVALUE(C407&amp;"-01"),10),'📋 Транзакції'!$C$5:$C$3623,"&lt;"&amp;EDATE(DATEVALUE(C407&amp;"-01"),11))&gt;0,1,0)</f>
        <v>0</v>
      </c>
      <c r="R407" s="37">
        <f>IF(COUNTIFS('📋 Транзакції'!$B$5:$B$3623,A407,'📋 Транзакції'!$C$5:$C$3623,"&gt;="&amp;EDATE(DATEVALUE(C407&amp;"-01"),11),'📋 Транзакції'!$C$5:$C$3623,"&lt;"&amp;EDATE(DATEVALUE(C407&amp;"-01"),12))&gt;0,1,0)</f>
        <v>0</v>
      </c>
      <c r="S407" s="37">
        <f>SUMIFS('📋 Транзакції'!$F$5:$F$3623,'📋 Транзакції'!$B$5:$B$3623,A407,'📋 Транзакції'!$C$5:$C$3623,"&gt;="&amp;EDATE(DATEVALUE(C407&amp;"-01"),0),'📋 Транзакції'!$C$5:$C$3623,"&lt;"&amp;EDATE(DATEVALUE(C407&amp;"-01"),1))</f>
        <v>0</v>
      </c>
      <c r="T407" s="37">
        <f>SUMIFS('📋 Транзакції'!$F$5:$F$3623,'📋 Транзакції'!$B$5:$B$3623,A407,'📋 Транзакції'!$C$5:$C$3623,"&gt;="&amp;EDATE(DATEVALUE(C407&amp;"-01"),1),'📋 Транзакції'!$C$5:$C$3623,"&lt;"&amp;EDATE(DATEVALUE(C407&amp;"-01"),2))</f>
        <v>19.99</v>
      </c>
      <c r="U407" s="37">
        <f>SUMIFS('📋 Транзакції'!$F$5:$F$3623,'📋 Транзакції'!$B$5:$B$3623,A407,'📋 Транзакції'!$C$5:$C$3623,"&gt;="&amp;EDATE(DATEVALUE(C407&amp;"-01"),2),'📋 Транзакції'!$C$5:$C$3623,"&lt;"&amp;EDATE(DATEVALUE(C407&amp;"-01"),3))</f>
        <v>19.99</v>
      </c>
      <c r="V407" s="37">
        <f>SUMIFS('📋 Транзакції'!$F$5:$F$3623,'📋 Транзакції'!$B$5:$B$3623,A407,'📋 Транзакції'!$C$5:$C$3623,"&gt;="&amp;EDATE(DATEVALUE(C407&amp;"-01"),3),'📋 Транзакції'!$C$5:$C$3623,"&lt;"&amp;EDATE(DATEVALUE(C407&amp;"-01"),4))</f>
        <v>19.99</v>
      </c>
      <c r="W407" s="37">
        <f>SUMIFS('📋 Транзакції'!$F$5:$F$3623,'📋 Транзакції'!$B$5:$B$3623,A407,'📋 Транзакції'!$C$5:$C$3623,"&gt;="&amp;EDATE(DATEVALUE(C407&amp;"-01"),4),'📋 Транзакції'!$C$5:$C$3623,"&lt;"&amp;EDATE(DATEVALUE(C407&amp;"-01"),5))</f>
        <v>19.99</v>
      </c>
      <c r="X407" s="37">
        <f>SUMIFS('📋 Транзакції'!$F$5:$F$3623,'📋 Транзакції'!$B$5:$B$3623,A407,'📋 Транзакції'!$C$5:$C$3623,"&gt;="&amp;EDATE(DATEVALUE(C407&amp;"-01"),5),'📋 Транзакції'!$C$5:$C$3623,"&lt;"&amp;EDATE(DATEVALUE(C407&amp;"-01"),6))</f>
        <v>0</v>
      </c>
      <c r="Y407" s="37">
        <f>SUMIFS('📋 Транзакції'!$F$5:$F$3623,'📋 Транзакції'!$B$5:$B$3623,A407,'📋 Транзакції'!$C$5:$C$3623,"&gt;="&amp;EDATE(DATEVALUE(C407&amp;"-01"),6),'📋 Транзакції'!$C$5:$C$3623,"&lt;"&amp;EDATE(DATEVALUE(C407&amp;"-01"),7))</f>
        <v>0</v>
      </c>
      <c r="Z407" s="37">
        <f>SUMIFS('📋 Транзакції'!$F$5:$F$3623,'📋 Транзакції'!$B$5:$B$3623,A407,'📋 Транзакції'!$C$5:$C$3623,"&gt;="&amp;EDATE(DATEVALUE(C407&amp;"-01"),7),'📋 Транзакції'!$C$5:$C$3623,"&lt;"&amp;EDATE(DATEVALUE(C407&amp;"-01"),8))</f>
        <v>0</v>
      </c>
      <c r="AA407" s="37">
        <f>SUMIFS('📋 Транзакції'!$F$5:$F$3623,'📋 Транзакції'!$B$5:$B$3623,A407,'📋 Транзакції'!$C$5:$C$3623,"&gt;="&amp;EDATE(DATEVALUE(C407&amp;"-01"),8),'📋 Транзакції'!$C$5:$C$3623,"&lt;"&amp;EDATE(DATEVALUE(C407&amp;"-01"),9))</f>
        <v>0</v>
      </c>
      <c r="AB407" s="37">
        <f>SUMIFS('📋 Транзакції'!$F$5:$F$3623,'📋 Транзакції'!$B$5:$B$3623,A407,'📋 Транзакції'!$C$5:$C$3623,"&gt;="&amp;EDATE(DATEVALUE(C407&amp;"-01"),9),'📋 Транзакції'!$C$5:$C$3623,"&lt;"&amp;EDATE(DATEVALUE(C407&amp;"-01"),10))</f>
        <v>0</v>
      </c>
      <c r="AC407" s="37">
        <f>SUMIFS('📋 Транзакції'!$F$5:$F$3623,'📋 Транзакції'!$B$5:$B$3623,A407,'📋 Транзакції'!$C$5:$C$3623,"&gt;="&amp;EDATE(DATEVALUE(C407&amp;"-01"),10),'📋 Транзакції'!$C$5:$C$3623,"&lt;"&amp;EDATE(DATEVALUE(C407&amp;"-01"),11))</f>
        <v>0</v>
      </c>
      <c r="AD407" s="37">
        <f>SUMIFS('📋 Транзакції'!$F$5:$F$3623,'📋 Транзакції'!$B$5:$B$3623,A407,'📋 Транзакції'!$C$5:$C$3623,"&gt;="&amp;EDATE(DATEVALUE(C407&amp;"-01"),11),'📋 Транзакції'!$C$5:$C$3623,"&lt;"&amp;EDATE(DATEVALUE(C407&amp;"-01"),12))</f>
        <v>0</v>
      </c>
    </row>
    <row r="408" ht="15.75" customHeight="1">
      <c r="A408" s="33" t="str">
        <f>'📋 Реєстрації'!A408:A1009</f>
        <v>U0327</v>
      </c>
      <c r="B408" s="34">
        <f t="array" ref="B408">INDEX('📋 Транзакції'!$C$5:$C$3623,MATCH(A408,'📋 Транзакції'!$B$5:$B$3623,0))</f>
        <v>45624</v>
      </c>
      <c r="C408" s="35" t="str">
        <f t="shared" si="1"/>
        <v>2024-11</v>
      </c>
      <c r="D408" s="36">
        <f>COUNTIF('📋 Транзакції'!$B$5:$B$3623,A408)</f>
        <v>5</v>
      </c>
      <c r="E408" s="36">
        <f>SUMIF('📋 Транзакції'!$B$5:$B$3623,A408,'📋 Транзакції'!$F$5:$F$3623)</f>
        <v>79.96</v>
      </c>
      <c r="F408" s="35">
        <f>INT($A$1-MAXIFS('📋 Транзакції'!$C$5:$C$3623,'📋 Транзакції'!$B$5:$B$3623,A408))</f>
        <v>26</v>
      </c>
      <c r="G408" s="37">
        <f>IF(COUNTIFS('📋 Транзакції'!$B$5:$B$3623,A408,'📋 Транзакції'!$C$5:$C$3623,"&gt;="&amp;EDATE(DATEVALUE(C408&amp;"-01"),0),'📋 Транзакції'!$C$5:$C$3623,"&lt;"&amp;EDATE(DATEVALUE(C408&amp;"-01"),1))&gt;0,1,0)</f>
        <v>1</v>
      </c>
      <c r="H408" s="37">
        <f>IF(COUNTIFS('📋 Транзакції'!$B$5:$B$3623,A408,'📋 Транзакції'!$C$5:$C$3623,"&gt;="&amp;EDATE(DATEVALUE(C408&amp;"-01"),1),'📋 Транзакції'!$C$5:$C$3623,"&lt;"&amp;EDATE(DATEVALUE(C408&amp;"-01"),2))&gt;0,1,0)</f>
        <v>1</v>
      </c>
      <c r="I408" s="37">
        <f>IF(COUNTIFS('📋 Транзакції'!$B$5:$B$3623,A408,'📋 Транзакції'!$C$5:$C$3623,"&gt;="&amp;EDATE(DATEVALUE(C408&amp;"-01"),2),'📋 Транзакції'!$C$5:$C$3623,"&lt;"&amp;EDATE(DATEVALUE(C408&amp;"-01"),3))&gt;0,1,0)</f>
        <v>1</v>
      </c>
      <c r="J408" s="37">
        <f>IF(COUNTIFS('📋 Транзакції'!$B$5:$B$3623,A408,'📋 Транзакції'!$C$5:$C$3623,"&gt;="&amp;EDATE(DATEVALUE(C408&amp;"-01"),3),'📋 Транзакції'!$C$5:$C$3623,"&lt;"&amp;EDATE(DATEVALUE(C408&amp;"-01"),4))&gt;0,1,0)</f>
        <v>1</v>
      </c>
      <c r="K408" s="37">
        <f>IF(COUNTIFS('📋 Транзакції'!$B$5:$B$3623,A408,'📋 Транзакції'!$C$5:$C$3623,"&gt;="&amp;EDATE(DATEVALUE(C408&amp;"-01"),4),'📋 Транзакції'!$C$5:$C$3623,"&lt;"&amp;EDATE(DATEVALUE(C408&amp;"-01"),5))&gt;0,1,0)</f>
        <v>1</v>
      </c>
      <c r="L408" s="37">
        <f>IF(COUNTIFS('📋 Транзакції'!$B$5:$B$3623,A408,'📋 Транзакції'!$C$5:$C$3623,"&gt;="&amp;EDATE(DATEVALUE(C408&amp;"-01"),5),'📋 Транзакції'!$C$5:$C$3623,"&lt;"&amp;EDATE(DATEVALUE(C408&amp;"-01"),6))&gt;0,1,0)</f>
        <v>0</v>
      </c>
      <c r="M408" s="37">
        <f>IF(COUNTIFS('📋 Транзакції'!$B$5:$B$3623,A408,'📋 Транзакції'!$C$5:$C$3623,"&gt;="&amp;EDATE(DATEVALUE(C408&amp;"-01"),6),'📋 Транзакції'!$C$5:$C$3623,"&lt;"&amp;EDATE(DATEVALUE(C408&amp;"-01"),7))&gt;0,1,0)</f>
        <v>0</v>
      </c>
      <c r="N408" s="37">
        <f>IF(COUNTIFS('📋 Транзакції'!$B$5:$B$3623,A408,'📋 Транзакції'!$C$5:$C$3623,"&gt;="&amp;EDATE(DATEVALUE(C408&amp;"-01"),7),'📋 Транзакції'!$C$5:$C$3623,"&lt;"&amp;EDATE(DATEVALUE(C408&amp;"-01"),8))&gt;0,1,0)</f>
        <v>0</v>
      </c>
      <c r="O408" s="37">
        <f>IF(COUNTIFS('📋 Транзакції'!$B$5:$B$3623,A408,'📋 Транзакції'!$C$5:$C$3623,"&gt;="&amp;EDATE(DATEVALUE(C408&amp;"-01"),8),'📋 Транзакції'!$C$5:$C$3623,"&lt;"&amp;EDATE(DATEVALUE(C408&amp;"-01"),9))&gt;0,1,0)</f>
        <v>0</v>
      </c>
      <c r="P408" s="37">
        <f>IF(COUNTIFS('📋 Транзакції'!$B$5:$B$3623,A408,'📋 Транзакції'!$C$5:$C$3623,"&gt;="&amp;EDATE(DATEVALUE(C408&amp;"-01"),9),'📋 Транзакції'!$C$5:$C$3623,"&lt;"&amp;EDATE(DATEVALUE(C408&amp;"-01"),10))&gt;0,1,0)</f>
        <v>0</v>
      </c>
      <c r="Q408" s="37">
        <f>IF(COUNTIFS('📋 Транзакції'!$B$5:$B$3623,A408,'📋 Транзакції'!$C$5:$C$3623,"&gt;="&amp;EDATE(DATEVALUE(C408&amp;"-01"),10),'📋 Транзакції'!$C$5:$C$3623,"&lt;"&amp;EDATE(DATEVALUE(C408&amp;"-01"),11))&gt;0,1,0)</f>
        <v>0</v>
      </c>
      <c r="R408" s="37">
        <f>IF(COUNTIFS('📋 Транзакції'!$B$5:$B$3623,A408,'📋 Транзакції'!$C$5:$C$3623,"&gt;="&amp;EDATE(DATEVALUE(C408&amp;"-01"),11),'📋 Транзакції'!$C$5:$C$3623,"&lt;"&amp;EDATE(DATEVALUE(C408&amp;"-01"),12))&gt;0,1,0)</f>
        <v>0</v>
      </c>
      <c r="S408" s="37">
        <f>SUMIFS('📋 Транзакції'!$F$5:$F$3623,'📋 Транзакції'!$B$5:$B$3623,A408,'📋 Транзакції'!$C$5:$C$3623,"&gt;="&amp;EDATE(DATEVALUE(C408&amp;"-01"),0),'📋 Транзакції'!$C$5:$C$3623,"&lt;"&amp;EDATE(DATEVALUE(C408&amp;"-01"),1))</f>
        <v>0</v>
      </c>
      <c r="T408" s="37">
        <f>SUMIFS('📋 Транзакції'!$F$5:$F$3623,'📋 Транзакції'!$B$5:$B$3623,A408,'📋 Транзакції'!$C$5:$C$3623,"&gt;="&amp;EDATE(DATEVALUE(C408&amp;"-01"),1),'📋 Транзакції'!$C$5:$C$3623,"&lt;"&amp;EDATE(DATEVALUE(C408&amp;"-01"),2))</f>
        <v>19.99</v>
      </c>
      <c r="U408" s="37">
        <f>SUMIFS('📋 Транзакції'!$F$5:$F$3623,'📋 Транзакції'!$B$5:$B$3623,A408,'📋 Транзакції'!$C$5:$C$3623,"&gt;="&amp;EDATE(DATEVALUE(C408&amp;"-01"),2),'📋 Транзакції'!$C$5:$C$3623,"&lt;"&amp;EDATE(DATEVALUE(C408&amp;"-01"),3))</f>
        <v>19.99</v>
      </c>
      <c r="V408" s="37">
        <f>SUMIFS('📋 Транзакції'!$F$5:$F$3623,'📋 Транзакції'!$B$5:$B$3623,A408,'📋 Транзакції'!$C$5:$C$3623,"&gt;="&amp;EDATE(DATEVALUE(C408&amp;"-01"),3),'📋 Транзакції'!$C$5:$C$3623,"&lt;"&amp;EDATE(DATEVALUE(C408&amp;"-01"),4))</f>
        <v>19.99</v>
      </c>
      <c r="W408" s="37">
        <f>SUMIFS('📋 Транзакції'!$F$5:$F$3623,'📋 Транзакції'!$B$5:$B$3623,A408,'📋 Транзакції'!$C$5:$C$3623,"&gt;="&amp;EDATE(DATEVALUE(C408&amp;"-01"),4),'📋 Транзакції'!$C$5:$C$3623,"&lt;"&amp;EDATE(DATEVALUE(C408&amp;"-01"),5))</f>
        <v>19.99</v>
      </c>
      <c r="X408" s="37">
        <f>SUMIFS('📋 Транзакції'!$F$5:$F$3623,'📋 Транзакції'!$B$5:$B$3623,A408,'📋 Транзакції'!$C$5:$C$3623,"&gt;="&amp;EDATE(DATEVALUE(C408&amp;"-01"),5),'📋 Транзакції'!$C$5:$C$3623,"&lt;"&amp;EDATE(DATEVALUE(C408&amp;"-01"),6))</f>
        <v>0</v>
      </c>
      <c r="Y408" s="37">
        <f>SUMIFS('📋 Транзакції'!$F$5:$F$3623,'📋 Транзакції'!$B$5:$B$3623,A408,'📋 Транзакції'!$C$5:$C$3623,"&gt;="&amp;EDATE(DATEVALUE(C408&amp;"-01"),6),'📋 Транзакції'!$C$5:$C$3623,"&lt;"&amp;EDATE(DATEVALUE(C408&amp;"-01"),7))</f>
        <v>0</v>
      </c>
      <c r="Z408" s="37">
        <f>SUMIFS('📋 Транзакції'!$F$5:$F$3623,'📋 Транзакції'!$B$5:$B$3623,A408,'📋 Транзакції'!$C$5:$C$3623,"&gt;="&amp;EDATE(DATEVALUE(C408&amp;"-01"),7),'📋 Транзакції'!$C$5:$C$3623,"&lt;"&amp;EDATE(DATEVALUE(C408&amp;"-01"),8))</f>
        <v>0</v>
      </c>
      <c r="AA408" s="37">
        <f>SUMIFS('📋 Транзакції'!$F$5:$F$3623,'📋 Транзакції'!$B$5:$B$3623,A408,'📋 Транзакції'!$C$5:$C$3623,"&gt;="&amp;EDATE(DATEVALUE(C408&amp;"-01"),8),'📋 Транзакції'!$C$5:$C$3623,"&lt;"&amp;EDATE(DATEVALUE(C408&amp;"-01"),9))</f>
        <v>0</v>
      </c>
      <c r="AB408" s="37">
        <f>SUMIFS('📋 Транзакції'!$F$5:$F$3623,'📋 Транзакції'!$B$5:$B$3623,A408,'📋 Транзакції'!$C$5:$C$3623,"&gt;="&amp;EDATE(DATEVALUE(C408&amp;"-01"),9),'📋 Транзакції'!$C$5:$C$3623,"&lt;"&amp;EDATE(DATEVALUE(C408&amp;"-01"),10))</f>
        <v>0</v>
      </c>
      <c r="AC408" s="37">
        <f>SUMIFS('📋 Транзакції'!$F$5:$F$3623,'📋 Транзакції'!$B$5:$B$3623,A408,'📋 Транзакції'!$C$5:$C$3623,"&gt;="&amp;EDATE(DATEVALUE(C408&amp;"-01"),10),'📋 Транзакції'!$C$5:$C$3623,"&lt;"&amp;EDATE(DATEVALUE(C408&amp;"-01"),11))</f>
        <v>0</v>
      </c>
      <c r="AD408" s="37">
        <f>SUMIFS('📋 Транзакції'!$F$5:$F$3623,'📋 Транзакції'!$B$5:$B$3623,A408,'📋 Транзакції'!$C$5:$C$3623,"&gt;="&amp;EDATE(DATEVALUE(C408&amp;"-01"),11),'📋 Транзакції'!$C$5:$C$3623,"&lt;"&amp;EDATE(DATEVALUE(C408&amp;"-01"),12))</f>
        <v>0</v>
      </c>
    </row>
    <row r="409" ht="15.75" customHeight="1">
      <c r="A409" s="33" t="str">
        <f>'📋 Реєстрації'!A409:A1010</f>
        <v>U0452</v>
      </c>
      <c r="B409" s="34">
        <f t="array" ref="B409">INDEX('📋 Транзакції'!$C$5:$C$3623,MATCH(A409,'📋 Транзакції'!$B$5:$B$3623,0))</f>
        <v>45624</v>
      </c>
      <c r="C409" s="35" t="str">
        <f t="shared" si="1"/>
        <v>2024-11</v>
      </c>
      <c r="D409" s="36">
        <f>COUNTIF('📋 Транзакції'!$B$5:$B$3623,A409)</f>
        <v>5</v>
      </c>
      <c r="E409" s="36">
        <f>SUMIF('📋 Транзакції'!$B$5:$B$3623,A409,'📋 Транзакції'!$F$5:$F$3623)</f>
        <v>79.96</v>
      </c>
      <c r="F409" s="35">
        <f>INT($A$1-MAXIFS('📋 Транзакції'!$C$5:$C$3623,'📋 Транзакції'!$B$5:$B$3623,A409))</f>
        <v>26</v>
      </c>
      <c r="G409" s="37">
        <f>IF(COUNTIFS('📋 Транзакції'!$B$5:$B$3623,A409,'📋 Транзакції'!$C$5:$C$3623,"&gt;="&amp;EDATE(DATEVALUE(C409&amp;"-01"),0),'📋 Транзакції'!$C$5:$C$3623,"&lt;"&amp;EDATE(DATEVALUE(C409&amp;"-01"),1))&gt;0,1,0)</f>
        <v>1</v>
      </c>
      <c r="H409" s="37">
        <f>IF(COUNTIFS('📋 Транзакції'!$B$5:$B$3623,A409,'📋 Транзакції'!$C$5:$C$3623,"&gt;="&amp;EDATE(DATEVALUE(C409&amp;"-01"),1),'📋 Транзакції'!$C$5:$C$3623,"&lt;"&amp;EDATE(DATEVALUE(C409&amp;"-01"),2))&gt;0,1,0)</f>
        <v>1</v>
      </c>
      <c r="I409" s="37">
        <f>IF(COUNTIFS('📋 Транзакції'!$B$5:$B$3623,A409,'📋 Транзакції'!$C$5:$C$3623,"&gt;="&amp;EDATE(DATEVALUE(C409&amp;"-01"),2),'📋 Транзакції'!$C$5:$C$3623,"&lt;"&amp;EDATE(DATEVALUE(C409&amp;"-01"),3))&gt;0,1,0)</f>
        <v>1</v>
      </c>
      <c r="J409" s="37">
        <f>IF(COUNTIFS('📋 Транзакції'!$B$5:$B$3623,A409,'📋 Транзакції'!$C$5:$C$3623,"&gt;="&amp;EDATE(DATEVALUE(C409&amp;"-01"),3),'📋 Транзакції'!$C$5:$C$3623,"&lt;"&amp;EDATE(DATEVALUE(C409&amp;"-01"),4))&gt;0,1,0)</f>
        <v>1</v>
      </c>
      <c r="K409" s="37">
        <f>IF(COUNTIFS('📋 Транзакції'!$B$5:$B$3623,A409,'📋 Транзакції'!$C$5:$C$3623,"&gt;="&amp;EDATE(DATEVALUE(C409&amp;"-01"),4),'📋 Транзакції'!$C$5:$C$3623,"&lt;"&amp;EDATE(DATEVALUE(C409&amp;"-01"),5))&gt;0,1,0)</f>
        <v>1</v>
      </c>
      <c r="L409" s="37">
        <f>IF(COUNTIFS('📋 Транзакції'!$B$5:$B$3623,A409,'📋 Транзакції'!$C$5:$C$3623,"&gt;="&amp;EDATE(DATEVALUE(C409&amp;"-01"),5),'📋 Транзакції'!$C$5:$C$3623,"&lt;"&amp;EDATE(DATEVALUE(C409&amp;"-01"),6))&gt;0,1,0)</f>
        <v>0</v>
      </c>
      <c r="M409" s="37">
        <f>IF(COUNTIFS('📋 Транзакції'!$B$5:$B$3623,A409,'📋 Транзакції'!$C$5:$C$3623,"&gt;="&amp;EDATE(DATEVALUE(C409&amp;"-01"),6),'📋 Транзакції'!$C$5:$C$3623,"&lt;"&amp;EDATE(DATEVALUE(C409&amp;"-01"),7))&gt;0,1,0)</f>
        <v>0</v>
      </c>
      <c r="N409" s="37">
        <f>IF(COUNTIFS('📋 Транзакції'!$B$5:$B$3623,A409,'📋 Транзакції'!$C$5:$C$3623,"&gt;="&amp;EDATE(DATEVALUE(C409&amp;"-01"),7),'📋 Транзакції'!$C$5:$C$3623,"&lt;"&amp;EDATE(DATEVALUE(C409&amp;"-01"),8))&gt;0,1,0)</f>
        <v>0</v>
      </c>
      <c r="O409" s="37">
        <f>IF(COUNTIFS('📋 Транзакції'!$B$5:$B$3623,A409,'📋 Транзакції'!$C$5:$C$3623,"&gt;="&amp;EDATE(DATEVALUE(C409&amp;"-01"),8),'📋 Транзакції'!$C$5:$C$3623,"&lt;"&amp;EDATE(DATEVALUE(C409&amp;"-01"),9))&gt;0,1,0)</f>
        <v>0</v>
      </c>
      <c r="P409" s="37">
        <f>IF(COUNTIFS('📋 Транзакції'!$B$5:$B$3623,A409,'📋 Транзакції'!$C$5:$C$3623,"&gt;="&amp;EDATE(DATEVALUE(C409&amp;"-01"),9),'📋 Транзакції'!$C$5:$C$3623,"&lt;"&amp;EDATE(DATEVALUE(C409&amp;"-01"),10))&gt;0,1,0)</f>
        <v>0</v>
      </c>
      <c r="Q409" s="37">
        <f>IF(COUNTIFS('📋 Транзакції'!$B$5:$B$3623,A409,'📋 Транзакції'!$C$5:$C$3623,"&gt;="&amp;EDATE(DATEVALUE(C409&amp;"-01"),10),'📋 Транзакції'!$C$5:$C$3623,"&lt;"&amp;EDATE(DATEVALUE(C409&amp;"-01"),11))&gt;0,1,0)</f>
        <v>0</v>
      </c>
      <c r="R409" s="37">
        <f>IF(COUNTIFS('📋 Транзакції'!$B$5:$B$3623,A409,'📋 Транзакції'!$C$5:$C$3623,"&gt;="&amp;EDATE(DATEVALUE(C409&amp;"-01"),11),'📋 Транзакції'!$C$5:$C$3623,"&lt;"&amp;EDATE(DATEVALUE(C409&amp;"-01"),12))&gt;0,1,0)</f>
        <v>0</v>
      </c>
      <c r="S409" s="37">
        <f>SUMIFS('📋 Транзакції'!$F$5:$F$3623,'📋 Транзакції'!$B$5:$B$3623,A409,'📋 Транзакції'!$C$5:$C$3623,"&gt;="&amp;EDATE(DATEVALUE(C409&amp;"-01"),0),'📋 Транзакції'!$C$5:$C$3623,"&lt;"&amp;EDATE(DATEVALUE(C409&amp;"-01"),1))</f>
        <v>0</v>
      </c>
      <c r="T409" s="37">
        <f>SUMIFS('📋 Транзакції'!$F$5:$F$3623,'📋 Транзакції'!$B$5:$B$3623,A409,'📋 Транзакції'!$C$5:$C$3623,"&gt;="&amp;EDATE(DATEVALUE(C409&amp;"-01"),1),'📋 Транзакції'!$C$5:$C$3623,"&lt;"&amp;EDATE(DATEVALUE(C409&amp;"-01"),2))</f>
        <v>19.99</v>
      </c>
      <c r="U409" s="37">
        <f>SUMIFS('📋 Транзакції'!$F$5:$F$3623,'📋 Транзакції'!$B$5:$B$3623,A409,'📋 Транзакції'!$C$5:$C$3623,"&gt;="&amp;EDATE(DATEVALUE(C409&amp;"-01"),2),'📋 Транзакції'!$C$5:$C$3623,"&lt;"&amp;EDATE(DATEVALUE(C409&amp;"-01"),3))</f>
        <v>19.99</v>
      </c>
      <c r="V409" s="37">
        <f>SUMIFS('📋 Транзакції'!$F$5:$F$3623,'📋 Транзакції'!$B$5:$B$3623,A409,'📋 Транзакції'!$C$5:$C$3623,"&gt;="&amp;EDATE(DATEVALUE(C409&amp;"-01"),3),'📋 Транзакції'!$C$5:$C$3623,"&lt;"&amp;EDATE(DATEVALUE(C409&amp;"-01"),4))</f>
        <v>19.99</v>
      </c>
      <c r="W409" s="37">
        <f>SUMIFS('📋 Транзакції'!$F$5:$F$3623,'📋 Транзакції'!$B$5:$B$3623,A409,'📋 Транзакції'!$C$5:$C$3623,"&gt;="&amp;EDATE(DATEVALUE(C409&amp;"-01"),4),'📋 Транзакції'!$C$5:$C$3623,"&lt;"&amp;EDATE(DATEVALUE(C409&amp;"-01"),5))</f>
        <v>19.99</v>
      </c>
      <c r="X409" s="37">
        <f>SUMIFS('📋 Транзакції'!$F$5:$F$3623,'📋 Транзакції'!$B$5:$B$3623,A409,'📋 Транзакції'!$C$5:$C$3623,"&gt;="&amp;EDATE(DATEVALUE(C409&amp;"-01"),5),'📋 Транзакції'!$C$5:$C$3623,"&lt;"&amp;EDATE(DATEVALUE(C409&amp;"-01"),6))</f>
        <v>0</v>
      </c>
      <c r="Y409" s="37">
        <f>SUMIFS('📋 Транзакції'!$F$5:$F$3623,'📋 Транзакції'!$B$5:$B$3623,A409,'📋 Транзакції'!$C$5:$C$3623,"&gt;="&amp;EDATE(DATEVALUE(C409&amp;"-01"),6),'📋 Транзакції'!$C$5:$C$3623,"&lt;"&amp;EDATE(DATEVALUE(C409&amp;"-01"),7))</f>
        <v>0</v>
      </c>
      <c r="Z409" s="37">
        <f>SUMIFS('📋 Транзакції'!$F$5:$F$3623,'📋 Транзакції'!$B$5:$B$3623,A409,'📋 Транзакції'!$C$5:$C$3623,"&gt;="&amp;EDATE(DATEVALUE(C409&amp;"-01"),7),'📋 Транзакції'!$C$5:$C$3623,"&lt;"&amp;EDATE(DATEVALUE(C409&amp;"-01"),8))</f>
        <v>0</v>
      </c>
      <c r="AA409" s="37">
        <f>SUMIFS('📋 Транзакції'!$F$5:$F$3623,'📋 Транзакції'!$B$5:$B$3623,A409,'📋 Транзакції'!$C$5:$C$3623,"&gt;="&amp;EDATE(DATEVALUE(C409&amp;"-01"),8),'📋 Транзакції'!$C$5:$C$3623,"&lt;"&amp;EDATE(DATEVALUE(C409&amp;"-01"),9))</f>
        <v>0</v>
      </c>
      <c r="AB409" s="37">
        <f>SUMIFS('📋 Транзакції'!$F$5:$F$3623,'📋 Транзакції'!$B$5:$B$3623,A409,'📋 Транзакції'!$C$5:$C$3623,"&gt;="&amp;EDATE(DATEVALUE(C409&amp;"-01"),9),'📋 Транзакції'!$C$5:$C$3623,"&lt;"&amp;EDATE(DATEVALUE(C409&amp;"-01"),10))</f>
        <v>0</v>
      </c>
      <c r="AC409" s="37">
        <f>SUMIFS('📋 Транзакції'!$F$5:$F$3623,'📋 Транзакції'!$B$5:$B$3623,A409,'📋 Транзакції'!$C$5:$C$3623,"&gt;="&amp;EDATE(DATEVALUE(C409&amp;"-01"),10),'📋 Транзакції'!$C$5:$C$3623,"&lt;"&amp;EDATE(DATEVALUE(C409&amp;"-01"),11))</f>
        <v>0</v>
      </c>
      <c r="AD409" s="37">
        <f>SUMIFS('📋 Транзакції'!$F$5:$F$3623,'📋 Транзакції'!$B$5:$B$3623,A409,'📋 Транзакції'!$C$5:$C$3623,"&gt;="&amp;EDATE(DATEVALUE(C409&amp;"-01"),11),'📋 Транзакції'!$C$5:$C$3623,"&lt;"&amp;EDATE(DATEVALUE(C409&amp;"-01"),12))</f>
        <v>0</v>
      </c>
    </row>
    <row r="410" ht="15.75" customHeight="1">
      <c r="A410" s="33" t="str">
        <f>'📋 Реєстрації'!A410:A1011</f>
        <v>U0279</v>
      </c>
      <c r="B410" s="34">
        <f t="array" ref="B410">INDEX('📋 Транзакції'!$C$5:$C$3623,MATCH(A410,'📋 Транзакції'!$B$5:$B$3623,0))</f>
        <v>45627</v>
      </c>
      <c r="C410" s="35" t="str">
        <f t="shared" si="1"/>
        <v>2024-12</v>
      </c>
      <c r="D410" s="36">
        <f>COUNTIF('📋 Транзакції'!$B$5:$B$3623,A410)</f>
        <v>2</v>
      </c>
      <c r="E410" s="36">
        <f>SUMIF('📋 Транзакції'!$B$5:$B$3623,A410,'📋 Транзакції'!$F$5:$F$3623)</f>
        <v>19.99</v>
      </c>
      <c r="F410" s="35">
        <f>INT($A$1-MAXIFS('📋 Транзакції'!$C$5:$C$3623,'📋 Транзакції'!$B$5:$B$3623,A410))</f>
        <v>113</v>
      </c>
      <c r="G410" s="37">
        <f>IF(COUNTIFS('📋 Транзакції'!$B$5:$B$3623,A410,'📋 Транзакції'!$C$5:$C$3623,"&gt;="&amp;EDATE(DATEVALUE(C410&amp;"-01"),0),'📋 Транзакції'!$C$5:$C$3623,"&lt;"&amp;EDATE(DATEVALUE(C410&amp;"-01"),1))&gt;0,1,0)</f>
        <v>1</v>
      </c>
      <c r="H410" s="37">
        <f>IF(COUNTIFS('📋 Транзакції'!$B$5:$B$3623,A410,'📋 Транзакції'!$C$5:$C$3623,"&gt;="&amp;EDATE(DATEVALUE(C410&amp;"-01"),1),'📋 Транзакції'!$C$5:$C$3623,"&lt;"&amp;EDATE(DATEVALUE(C410&amp;"-01"),2))&gt;0,1,0)</f>
        <v>0</v>
      </c>
      <c r="I410" s="37">
        <f>IF(COUNTIFS('📋 Транзакції'!$B$5:$B$3623,A410,'📋 Транзакції'!$C$5:$C$3623,"&gt;="&amp;EDATE(DATEVALUE(C410&amp;"-01"),2),'📋 Транзакції'!$C$5:$C$3623,"&lt;"&amp;EDATE(DATEVALUE(C410&amp;"-01"),3))&gt;0,1,0)</f>
        <v>0</v>
      </c>
      <c r="J410" s="37">
        <f>IF(COUNTIFS('📋 Транзакції'!$B$5:$B$3623,A410,'📋 Транзакції'!$C$5:$C$3623,"&gt;="&amp;EDATE(DATEVALUE(C410&amp;"-01"),3),'📋 Транзакції'!$C$5:$C$3623,"&lt;"&amp;EDATE(DATEVALUE(C410&amp;"-01"),4))&gt;0,1,0)</f>
        <v>0</v>
      </c>
      <c r="K410" s="37">
        <f>IF(COUNTIFS('📋 Транзакції'!$B$5:$B$3623,A410,'📋 Транзакції'!$C$5:$C$3623,"&gt;="&amp;EDATE(DATEVALUE(C410&amp;"-01"),4),'📋 Транзакції'!$C$5:$C$3623,"&lt;"&amp;EDATE(DATEVALUE(C410&amp;"-01"),5))&gt;0,1,0)</f>
        <v>0</v>
      </c>
      <c r="L410" s="37">
        <f>IF(COUNTIFS('📋 Транзакції'!$B$5:$B$3623,A410,'📋 Транзакції'!$C$5:$C$3623,"&gt;="&amp;EDATE(DATEVALUE(C410&amp;"-01"),5),'📋 Транзакції'!$C$5:$C$3623,"&lt;"&amp;EDATE(DATEVALUE(C410&amp;"-01"),6))&gt;0,1,0)</f>
        <v>0</v>
      </c>
      <c r="M410" s="37">
        <f>IF(COUNTIFS('📋 Транзакції'!$B$5:$B$3623,A410,'📋 Транзакції'!$C$5:$C$3623,"&gt;="&amp;EDATE(DATEVALUE(C410&amp;"-01"),6),'📋 Транзакції'!$C$5:$C$3623,"&lt;"&amp;EDATE(DATEVALUE(C410&amp;"-01"),7))&gt;0,1,0)</f>
        <v>0</v>
      </c>
      <c r="N410" s="37">
        <f>IF(COUNTIFS('📋 Транзакції'!$B$5:$B$3623,A410,'📋 Транзакції'!$C$5:$C$3623,"&gt;="&amp;EDATE(DATEVALUE(C410&amp;"-01"),7),'📋 Транзакції'!$C$5:$C$3623,"&lt;"&amp;EDATE(DATEVALUE(C410&amp;"-01"),8))&gt;0,1,0)</f>
        <v>0</v>
      </c>
      <c r="O410" s="37">
        <f>IF(COUNTIFS('📋 Транзакції'!$B$5:$B$3623,A410,'📋 Транзакції'!$C$5:$C$3623,"&gt;="&amp;EDATE(DATEVALUE(C410&amp;"-01"),8),'📋 Транзакції'!$C$5:$C$3623,"&lt;"&amp;EDATE(DATEVALUE(C410&amp;"-01"),9))&gt;0,1,0)</f>
        <v>0</v>
      </c>
      <c r="P410" s="37">
        <f>IF(COUNTIFS('📋 Транзакції'!$B$5:$B$3623,A410,'📋 Транзакції'!$C$5:$C$3623,"&gt;="&amp;EDATE(DATEVALUE(C410&amp;"-01"),9),'📋 Транзакції'!$C$5:$C$3623,"&lt;"&amp;EDATE(DATEVALUE(C410&amp;"-01"),10))&gt;0,1,0)</f>
        <v>0</v>
      </c>
      <c r="Q410" s="37">
        <f>IF(COUNTIFS('📋 Транзакції'!$B$5:$B$3623,A410,'📋 Транзакції'!$C$5:$C$3623,"&gt;="&amp;EDATE(DATEVALUE(C410&amp;"-01"),10),'📋 Транзакції'!$C$5:$C$3623,"&lt;"&amp;EDATE(DATEVALUE(C410&amp;"-01"),11))&gt;0,1,0)</f>
        <v>0</v>
      </c>
      <c r="R410" s="37">
        <f>IF(COUNTIFS('📋 Транзакції'!$B$5:$B$3623,A410,'📋 Транзакції'!$C$5:$C$3623,"&gt;="&amp;EDATE(DATEVALUE(C410&amp;"-01"),11),'📋 Транзакції'!$C$5:$C$3623,"&lt;"&amp;EDATE(DATEVALUE(C410&amp;"-01"),12))&gt;0,1,0)</f>
        <v>0</v>
      </c>
      <c r="S410" s="37">
        <f>SUMIFS('📋 Транзакції'!$F$5:$F$3623,'📋 Транзакції'!$B$5:$B$3623,A410,'📋 Транзакції'!$C$5:$C$3623,"&gt;="&amp;EDATE(DATEVALUE(C410&amp;"-01"),0),'📋 Транзакції'!$C$5:$C$3623,"&lt;"&amp;EDATE(DATEVALUE(C410&amp;"-01"),1))</f>
        <v>19.99</v>
      </c>
      <c r="T410" s="37">
        <f>SUMIFS('📋 Транзакції'!$F$5:$F$3623,'📋 Транзакції'!$B$5:$B$3623,A410,'📋 Транзакції'!$C$5:$C$3623,"&gt;="&amp;EDATE(DATEVALUE(C410&amp;"-01"),1),'📋 Транзакції'!$C$5:$C$3623,"&lt;"&amp;EDATE(DATEVALUE(C410&amp;"-01"),2))</f>
        <v>0</v>
      </c>
      <c r="U410" s="37">
        <f>SUMIFS('📋 Транзакції'!$F$5:$F$3623,'📋 Транзакції'!$B$5:$B$3623,A410,'📋 Транзакції'!$C$5:$C$3623,"&gt;="&amp;EDATE(DATEVALUE(C410&amp;"-01"),2),'📋 Транзакції'!$C$5:$C$3623,"&lt;"&amp;EDATE(DATEVALUE(C410&amp;"-01"),3))</f>
        <v>0</v>
      </c>
      <c r="V410" s="37">
        <f>SUMIFS('📋 Транзакції'!$F$5:$F$3623,'📋 Транзакції'!$B$5:$B$3623,A410,'📋 Транзакції'!$C$5:$C$3623,"&gt;="&amp;EDATE(DATEVALUE(C410&amp;"-01"),3),'📋 Транзакції'!$C$5:$C$3623,"&lt;"&amp;EDATE(DATEVALUE(C410&amp;"-01"),4))</f>
        <v>0</v>
      </c>
      <c r="W410" s="37">
        <f>SUMIFS('📋 Транзакції'!$F$5:$F$3623,'📋 Транзакції'!$B$5:$B$3623,A410,'📋 Транзакції'!$C$5:$C$3623,"&gt;="&amp;EDATE(DATEVALUE(C410&amp;"-01"),4),'📋 Транзакції'!$C$5:$C$3623,"&lt;"&amp;EDATE(DATEVALUE(C410&amp;"-01"),5))</f>
        <v>0</v>
      </c>
      <c r="X410" s="37">
        <f>SUMIFS('📋 Транзакції'!$F$5:$F$3623,'📋 Транзакції'!$B$5:$B$3623,A410,'📋 Транзакції'!$C$5:$C$3623,"&gt;="&amp;EDATE(DATEVALUE(C410&amp;"-01"),5),'📋 Транзакції'!$C$5:$C$3623,"&lt;"&amp;EDATE(DATEVALUE(C410&amp;"-01"),6))</f>
        <v>0</v>
      </c>
      <c r="Y410" s="37">
        <f>SUMIFS('📋 Транзакції'!$F$5:$F$3623,'📋 Транзакції'!$B$5:$B$3623,A410,'📋 Транзакції'!$C$5:$C$3623,"&gt;="&amp;EDATE(DATEVALUE(C410&amp;"-01"),6),'📋 Транзакції'!$C$5:$C$3623,"&lt;"&amp;EDATE(DATEVALUE(C410&amp;"-01"),7))</f>
        <v>0</v>
      </c>
      <c r="Z410" s="37">
        <f>SUMIFS('📋 Транзакції'!$F$5:$F$3623,'📋 Транзакції'!$B$5:$B$3623,A410,'📋 Транзакції'!$C$5:$C$3623,"&gt;="&amp;EDATE(DATEVALUE(C410&amp;"-01"),7),'📋 Транзакції'!$C$5:$C$3623,"&lt;"&amp;EDATE(DATEVALUE(C410&amp;"-01"),8))</f>
        <v>0</v>
      </c>
      <c r="AA410" s="37">
        <f>SUMIFS('📋 Транзакції'!$F$5:$F$3623,'📋 Транзакції'!$B$5:$B$3623,A410,'📋 Транзакції'!$C$5:$C$3623,"&gt;="&amp;EDATE(DATEVALUE(C410&amp;"-01"),8),'📋 Транзакції'!$C$5:$C$3623,"&lt;"&amp;EDATE(DATEVALUE(C410&amp;"-01"),9))</f>
        <v>0</v>
      </c>
      <c r="AB410" s="37">
        <f>SUMIFS('📋 Транзакції'!$F$5:$F$3623,'📋 Транзакції'!$B$5:$B$3623,A410,'📋 Транзакції'!$C$5:$C$3623,"&gt;="&amp;EDATE(DATEVALUE(C410&amp;"-01"),9),'📋 Транзакції'!$C$5:$C$3623,"&lt;"&amp;EDATE(DATEVALUE(C410&amp;"-01"),10))</f>
        <v>0</v>
      </c>
      <c r="AC410" s="37">
        <f>SUMIFS('📋 Транзакції'!$F$5:$F$3623,'📋 Транзакції'!$B$5:$B$3623,A410,'📋 Транзакції'!$C$5:$C$3623,"&gt;="&amp;EDATE(DATEVALUE(C410&amp;"-01"),10),'📋 Транзакції'!$C$5:$C$3623,"&lt;"&amp;EDATE(DATEVALUE(C410&amp;"-01"),11))</f>
        <v>0</v>
      </c>
      <c r="AD410" s="37">
        <f>SUMIFS('📋 Транзакції'!$F$5:$F$3623,'📋 Транзакції'!$B$5:$B$3623,A410,'📋 Транзакції'!$C$5:$C$3623,"&gt;="&amp;EDATE(DATEVALUE(C410&amp;"-01"),11),'📋 Транзакції'!$C$5:$C$3623,"&lt;"&amp;EDATE(DATEVALUE(C410&amp;"-01"),12))</f>
        <v>0</v>
      </c>
    </row>
    <row r="411" ht="15.75" customHeight="1">
      <c r="A411" s="33" t="str">
        <f>'📋 Реєстрації'!A411:A1012</f>
        <v>U0177</v>
      </c>
      <c r="B411" s="34">
        <f t="array" ref="B411">INDEX('📋 Транзакції'!$C$5:$C$3623,MATCH(A411,'📋 Транзакції'!$B$5:$B$3623,0))</f>
        <v>45628</v>
      </c>
      <c r="C411" s="35" t="str">
        <f t="shared" si="1"/>
        <v>2024-12</v>
      </c>
      <c r="D411" s="36">
        <f>COUNTIF('📋 Транзакції'!$B$5:$B$3623,A411)</f>
        <v>5</v>
      </c>
      <c r="E411" s="36">
        <f>SUMIF('📋 Транзакції'!$B$5:$B$3623,A411,'📋 Транзакції'!$F$5:$F$3623)</f>
        <v>79.96</v>
      </c>
      <c r="F411" s="35">
        <f>INT($A$1-MAXIFS('📋 Транзакції'!$C$5:$C$3623,'📋 Транзакції'!$B$5:$B$3623,A411))</f>
        <v>22</v>
      </c>
      <c r="G411" s="37">
        <f>IF(COUNTIFS('📋 Транзакції'!$B$5:$B$3623,A411,'📋 Транзакції'!$C$5:$C$3623,"&gt;="&amp;EDATE(DATEVALUE(C411&amp;"-01"),0),'📋 Транзакції'!$C$5:$C$3623,"&lt;"&amp;EDATE(DATEVALUE(C411&amp;"-01"),1))&gt;0,1,0)</f>
        <v>1</v>
      </c>
      <c r="H411" s="37">
        <f>IF(COUNTIFS('📋 Транзакції'!$B$5:$B$3623,A411,'📋 Транзакції'!$C$5:$C$3623,"&gt;="&amp;EDATE(DATEVALUE(C411&amp;"-01"),1),'📋 Транзакції'!$C$5:$C$3623,"&lt;"&amp;EDATE(DATEVALUE(C411&amp;"-01"),2))&gt;0,1,0)</f>
        <v>1</v>
      </c>
      <c r="I411" s="37">
        <f>IF(COUNTIFS('📋 Транзакції'!$B$5:$B$3623,A411,'📋 Транзакції'!$C$5:$C$3623,"&gt;="&amp;EDATE(DATEVALUE(C411&amp;"-01"),2),'📋 Транзакції'!$C$5:$C$3623,"&lt;"&amp;EDATE(DATEVALUE(C411&amp;"-01"),3))&gt;0,1,0)</f>
        <v>1</v>
      </c>
      <c r="J411" s="37">
        <f>IF(COUNTIFS('📋 Транзакції'!$B$5:$B$3623,A411,'📋 Транзакції'!$C$5:$C$3623,"&gt;="&amp;EDATE(DATEVALUE(C411&amp;"-01"),3),'📋 Транзакції'!$C$5:$C$3623,"&lt;"&amp;EDATE(DATEVALUE(C411&amp;"-01"),4))&gt;0,1,0)</f>
        <v>1</v>
      </c>
      <c r="K411" s="37">
        <f>IF(COUNTIFS('📋 Транзакції'!$B$5:$B$3623,A411,'📋 Транзакції'!$C$5:$C$3623,"&gt;="&amp;EDATE(DATEVALUE(C411&amp;"-01"),4),'📋 Транзакції'!$C$5:$C$3623,"&lt;"&amp;EDATE(DATEVALUE(C411&amp;"-01"),5))&gt;0,1,0)</f>
        <v>0</v>
      </c>
      <c r="L411" s="37">
        <f>IF(COUNTIFS('📋 Транзакції'!$B$5:$B$3623,A411,'📋 Транзакції'!$C$5:$C$3623,"&gt;="&amp;EDATE(DATEVALUE(C411&amp;"-01"),5),'📋 Транзакції'!$C$5:$C$3623,"&lt;"&amp;EDATE(DATEVALUE(C411&amp;"-01"),6))&gt;0,1,0)</f>
        <v>0</v>
      </c>
      <c r="M411" s="37">
        <f>IF(COUNTIFS('📋 Транзакції'!$B$5:$B$3623,A411,'📋 Транзакції'!$C$5:$C$3623,"&gt;="&amp;EDATE(DATEVALUE(C411&amp;"-01"),6),'📋 Транзакції'!$C$5:$C$3623,"&lt;"&amp;EDATE(DATEVALUE(C411&amp;"-01"),7))&gt;0,1,0)</f>
        <v>0</v>
      </c>
      <c r="N411" s="37">
        <f>IF(COUNTIFS('📋 Транзакції'!$B$5:$B$3623,A411,'📋 Транзакції'!$C$5:$C$3623,"&gt;="&amp;EDATE(DATEVALUE(C411&amp;"-01"),7),'📋 Транзакції'!$C$5:$C$3623,"&lt;"&amp;EDATE(DATEVALUE(C411&amp;"-01"),8))&gt;0,1,0)</f>
        <v>0</v>
      </c>
      <c r="O411" s="37">
        <f>IF(COUNTIFS('📋 Транзакції'!$B$5:$B$3623,A411,'📋 Транзакції'!$C$5:$C$3623,"&gt;="&amp;EDATE(DATEVALUE(C411&amp;"-01"),8),'📋 Транзакції'!$C$5:$C$3623,"&lt;"&amp;EDATE(DATEVALUE(C411&amp;"-01"),9))&gt;0,1,0)</f>
        <v>0</v>
      </c>
      <c r="P411" s="37">
        <f>IF(COUNTIFS('📋 Транзакції'!$B$5:$B$3623,A411,'📋 Транзакції'!$C$5:$C$3623,"&gt;="&amp;EDATE(DATEVALUE(C411&amp;"-01"),9),'📋 Транзакції'!$C$5:$C$3623,"&lt;"&amp;EDATE(DATEVALUE(C411&amp;"-01"),10))&gt;0,1,0)</f>
        <v>0</v>
      </c>
      <c r="Q411" s="37">
        <f>IF(COUNTIFS('📋 Транзакції'!$B$5:$B$3623,A411,'📋 Транзакції'!$C$5:$C$3623,"&gt;="&amp;EDATE(DATEVALUE(C411&amp;"-01"),10),'📋 Транзакції'!$C$5:$C$3623,"&lt;"&amp;EDATE(DATEVALUE(C411&amp;"-01"),11))&gt;0,1,0)</f>
        <v>0</v>
      </c>
      <c r="R411" s="37">
        <f>IF(COUNTIFS('📋 Транзакції'!$B$5:$B$3623,A411,'📋 Транзакції'!$C$5:$C$3623,"&gt;="&amp;EDATE(DATEVALUE(C411&amp;"-01"),11),'📋 Транзакції'!$C$5:$C$3623,"&lt;"&amp;EDATE(DATEVALUE(C411&amp;"-01"),12))&gt;0,1,0)</f>
        <v>0</v>
      </c>
      <c r="S411" s="37">
        <f>SUMIFS('📋 Транзакції'!$F$5:$F$3623,'📋 Транзакції'!$B$5:$B$3623,A411,'📋 Транзакції'!$C$5:$C$3623,"&gt;="&amp;EDATE(DATEVALUE(C411&amp;"-01"),0),'📋 Транзакції'!$C$5:$C$3623,"&lt;"&amp;EDATE(DATEVALUE(C411&amp;"-01"),1))</f>
        <v>19.99</v>
      </c>
      <c r="T411" s="37">
        <f>SUMIFS('📋 Транзакції'!$F$5:$F$3623,'📋 Транзакції'!$B$5:$B$3623,A411,'📋 Транзакції'!$C$5:$C$3623,"&gt;="&amp;EDATE(DATEVALUE(C411&amp;"-01"),1),'📋 Транзакції'!$C$5:$C$3623,"&lt;"&amp;EDATE(DATEVALUE(C411&amp;"-01"),2))</f>
        <v>19.99</v>
      </c>
      <c r="U411" s="37">
        <f>SUMIFS('📋 Транзакції'!$F$5:$F$3623,'📋 Транзакції'!$B$5:$B$3623,A411,'📋 Транзакції'!$C$5:$C$3623,"&gt;="&amp;EDATE(DATEVALUE(C411&amp;"-01"),2),'📋 Транзакції'!$C$5:$C$3623,"&lt;"&amp;EDATE(DATEVALUE(C411&amp;"-01"),3))</f>
        <v>19.99</v>
      </c>
      <c r="V411" s="37">
        <f>SUMIFS('📋 Транзакції'!$F$5:$F$3623,'📋 Транзакції'!$B$5:$B$3623,A411,'📋 Транзакції'!$C$5:$C$3623,"&gt;="&amp;EDATE(DATEVALUE(C411&amp;"-01"),3),'📋 Транзакції'!$C$5:$C$3623,"&lt;"&amp;EDATE(DATEVALUE(C411&amp;"-01"),4))</f>
        <v>19.99</v>
      </c>
      <c r="W411" s="37">
        <f>SUMIFS('📋 Транзакції'!$F$5:$F$3623,'📋 Транзакції'!$B$5:$B$3623,A411,'📋 Транзакції'!$C$5:$C$3623,"&gt;="&amp;EDATE(DATEVALUE(C411&amp;"-01"),4),'📋 Транзакції'!$C$5:$C$3623,"&lt;"&amp;EDATE(DATEVALUE(C411&amp;"-01"),5))</f>
        <v>0</v>
      </c>
      <c r="X411" s="37">
        <f>SUMIFS('📋 Транзакції'!$F$5:$F$3623,'📋 Транзакції'!$B$5:$B$3623,A411,'📋 Транзакції'!$C$5:$C$3623,"&gt;="&amp;EDATE(DATEVALUE(C411&amp;"-01"),5),'📋 Транзакції'!$C$5:$C$3623,"&lt;"&amp;EDATE(DATEVALUE(C411&amp;"-01"),6))</f>
        <v>0</v>
      </c>
      <c r="Y411" s="37">
        <f>SUMIFS('📋 Транзакції'!$F$5:$F$3623,'📋 Транзакції'!$B$5:$B$3623,A411,'📋 Транзакції'!$C$5:$C$3623,"&gt;="&amp;EDATE(DATEVALUE(C411&amp;"-01"),6),'📋 Транзакції'!$C$5:$C$3623,"&lt;"&amp;EDATE(DATEVALUE(C411&amp;"-01"),7))</f>
        <v>0</v>
      </c>
      <c r="Z411" s="37">
        <f>SUMIFS('📋 Транзакції'!$F$5:$F$3623,'📋 Транзакції'!$B$5:$B$3623,A411,'📋 Транзакції'!$C$5:$C$3623,"&gt;="&amp;EDATE(DATEVALUE(C411&amp;"-01"),7),'📋 Транзакції'!$C$5:$C$3623,"&lt;"&amp;EDATE(DATEVALUE(C411&amp;"-01"),8))</f>
        <v>0</v>
      </c>
      <c r="AA411" s="37">
        <f>SUMIFS('📋 Транзакції'!$F$5:$F$3623,'📋 Транзакції'!$B$5:$B$3623,A411,'📋 Транзакції'!$C$5:$C$3623,"&gt;="&amp;EDATE(DATEVALUE(C411&amp;"-01"),8),'📋 Транзакції'!$C$5:$C$3623,"&lt;"&amp;EDATE(DATEVALUE(C411&amp;"-01"),9))</f>
        <v>0</v>
      </c>
      <c r="AB411" s="37">
        <f>SUMIFS('📋 Транзакції'!$F$5:$F$3623,'📋 Транзакції'!$B$5:$B$3623,A411,'📋 Транзакції'!$C$5:$C$3623,"&gt;="&amp;EDATE(DATEVALUE(C411&amp;"-01"),9),'📋 Транзакції'!$C$5:$C$3623,"&lt;"&amp;EDATE(DATEVALUE(C411&amp;"-01"),10))</f>
        <v>0</v>
      </c>
      <c r="AC411" s="37">
        <f>SUMIFS('📋 Транзакції'!$F$5:$F$3623,'📋 Транзакції'!$B$5:$B$3623,A411,'📋 Транзакції'!$C$5:$C$3623,"&gt;="&amp;EDATE(DATEVALUE(C411&amp;"-01"),10),'📋 Транзакції'!$C$5:$C$3623,"&lt;"&amp;EDATE(DATEVALUE(C411&amp;"-01"),11))</f>
        <v>0</v>
      </c>
      <c r="AD411" s="37">
        <f>SUMIFS('📋 Транзакції'!$F$5:$F$3623,'📋 Транзакції'!$B$5:$B$3623,A411,'📋 Транзакції'!$C$5:$C$3623,"&gt;="&amp;EDATE(DATEVALUE(C411&amp;"-01"),11),'📋 Транзакції'!$C$5:$C$3623,"&lt;"&amp;EDATE(DATEVALUE(C411&amp;"-01"),12))</f>
        <v>0</v>
      </c>
    </row>
    <row r="412" ht="15.75" customHeight="1">
      <c r="A412" s="33" t="str">
        <f>'📋 Реєстрації'!A412:A1013</f>
        <v>U0171</v>
      </c>
      <c r="B412" s="34">
        <f t="array" ref="B412">INDEX('📋 Транзакції'!$C$5:$C$3623,MATCH(A412,'📋 Транзакції'!$B$5:$B$3623,0))</f>
        <v>45629</v>
      </c>
      <c r="C412" s="35" t="str">
        <f t="shared" si="1"/>
        <v>2024-12</v>
      </c>
      <c r="D412" s="36">
        <f>COUNTIF('📋 Транзакції'!$B$5:$B$3623,A412)</f>
        <v>5</v>
      </c>
      <c r="E412" s="36">
        <f>SUMIF('📋 Транзакції'!$B$5:$B$3623,A412,'📋 Транзакції'!$F$5:$F$3623)</f>
        <v>79.96</v>
      </c>
      <c r="F412" s="35">
        <f>INT($A$1-MAXIFS('📋 Транзакції'!$C$5:$C$3623,'📋 Транзакції'!$B$5:$B$3623,A412))</f>
        <v>21</v>
      </c>
      <c r="G412" s="37">
        <f>IF(COUNTIFS('📋 Транзакції'!$B$5:$B$3623,A412,'📋 Транзакції'!$C$5:$C$3623,"&gt;="&amp;EDATE(DATEVALUE(C412&amp;"-01"),0),'📋 Транзакції'!$C$5:$C$3623,"&lt;"&amp;EDATE(DATEVALUE(C412&amp;"-01"),1))&gt;0,1,0)</f>
        <v>1</v>
      </c>
      <c r="H412" s="37">
        <f>IF(COUNTIFS('📋 Транзакції'!$B$5:$B$3623,A412,'📋 Транзакції'!$C$5:$C$3623,"&gt;="&amp;EDATE(DATEVALUE(C412&amp;"-01"),1),'📋 Транзакції'!$C$5:$C$3623,"&lt;"&amp;EDATE(DATEVALUE(C412&amp;"-01"),2))&gt;0,1,0)</f>
        <v>1</v>
      </c>
      <c r="I412" s="37">
        <f>IF(COUNTIFS('📋 Транзакції'!$B$5:$B$3623,A412,'📋 Транзакції'!$C$5:$C$3623,"&gt;="&amp;EDATE(DATEVALUE(C412&amp;"-01"),2),'📋 Транзакції'!$C$5:$C$3623,"&lt;"&amp;EDATE(DATEVALUE(C412&amp;"-01"),3))&gt;0,1,0)</f>
        <v>1</v>
      </c>
      <c r="J412" s="37">
        <f>IF(COUNTIFS('📋 Транзакції'!$B$5:$B$3623,A412,'📋 Транзакції'!$C$5:$C$3623,"&gt;="&amp;EDATE(DATEVALUE(C412&amp;"-01"),3),'📋 Транзакції'!$C$5:$C$3623,"&lt;"&amp;EDATE(DATEVALUE(C412&amp;"-01"),4))&gt;0,1,0)</f>
        <v>1</v>
      </c>
      <c r="K412" s="37">
        <f>IF(COUNTIFS('📋 Транзакції'!$B$5:$B$3623,A412,'📋 Транзакції'!$C$5:$C$3623,"&gt;="&amp;EDATE(DATEVALUE(C412&amp;"-01"),4),'📋 Транзакції'!$C$5:$C$3623,"&lt;"&amp;EDATE(DATEVALUE(C412&amp;"-01"),5))&gt;0,1,0)</f>
        <v>0</v>
      </c>
      <c r="L412" s="37">
        <f>IF(COUNTIFS('📋 Транзакції'!$B$5:$B$3623,A412,'📋 Транзакції'!$C$5:$C$3623,"&gt;="&amp;EDATE(DATEVALUE(C412&amp;"-01"),5),'📋 Транзакції'!$C$5:$C$3623,"&lt;"&amp;EDATE(DATEVALUE(C412&amp;"-01"),6))&gt;0,1,0)</f>
        <v>0</v>
      </c>
      <c r="M412" s="37">
        <f>IF(COUNTIFS('📋 Транзакції'!$B$5:$B$3623,A412,'📋 Транзакції'!$C$5:$C$3623,"&gt;="&amp;EDATE(DATEVALUE(C412&amp;"-01"),6),'📋 Транзакції'!$C$5:$C$3623,"&lt;"&amp;EDATE(DATEVALUE(C412&amp;"-01"),7))&gt;0,1,0)</f>
        <v>0</v>
      </c>
      <c r="N412" s="37">
        <f>IF(COUNTIFS('📋 Транзакції'!$B$5:$B$3623,A412,'📋 Транзакції'!$C$5:$C$3623,"&gt;="&amp;EDATE(DATEVALUE(C412&amp;"-01"),7),'📋 Транзакції'!$C$5:$C$3623,"&lt;"&amp;EDATE(DATEVALUE(C412&amp;"-01"),8))&gt;0,1,0)</f>
        <v>0</v>
      </c>
      <c r="O412" s="37">
        <f>IF(COUNTIFS('📋 Транзакції'!$B$5:$B$3623,A412,'📋 Транзакції'!$C$5:$C$3623,"&gt;="&amp;EDATE(DATEVALUE(C412&amp;"-01"),8),'📋 Транзакції'!$C$5:$C$3623,"&lt;"&amp;EDATE(DATEVALUE(C412&amp;"-01"),9))&gt;0,1,0)</f>
        <v>0</v>
      </c>
      <c r="P412" s="37">
        <f>IF(COUNTIFS('📋 Транзакції'!$B$5:$B$3623,A412,'📋 Транзакції'!$C$5:$C$3623,"&gt;="&amp;EDATE(DATEVALUE(C412&amp;"-01"),9),'📋 Транзакції'!$C$5:$C$3623,"&lt;"&amp;EDATE(DATEVALUE(C412&amp;"-01"),10))&gt;0,1,0)</f>
        <v>0</v>
      </c>
      <c r="Q412" s="37">
        <f>IF(COUNTIFS('📋 Транзакції'!$B$5:$B$3623,A412,'📋 Транзакції'!$C$5:$C$3623,"&gt;="&amp;EDATE(DATEVALUE(C412&amp;"-01"),10),'📋 Транзакції'!$C$5:$C$3623,"&lt;"&amp;EDATE(DATEVALUE(C412&amp;"-01"),11))&gt;0,1,0)</f>
        <v>0</v>
      </c>
      <c r="R412" s="37">
        <f>IF(COUNTIFS('📋 Транзакції'!$B$5:$B$3623,A412,'📋 Транзакції'!$C$5:$C$3623,"&gt;="&amp;EDATE(DATEVALUE(C412&amp;"-01"),11),'📋 Транзакції'!$C$5:$C$3623,"&lt;"&amp;EDATE(DATEVALUE(C412&amp;"-01"),12))&gt;0,1,0)</f>
        <v>0</v>
      </c>
      <c r="S412" s="37">
        <f>SUMIFS('📋 Транзакції'!$F$5:$F$3623,'📋 Транзакції'!$B$5:$B$3623,A412,'📋 Транзакції'!$C$5:$C$3623,"&gt;="&amp;EDATE(DATEVALUE(C412&amp;"-01"),0),'📋 Транзакції'!$C$5:$C$3623,"&lt;"&amp;EDATE(DATEVALUE(C412&amp;"-01"),1))</f>
        <v>19.99</v>
      </c>
      <c r="T412" s="37">
        <f>SUMIFS('📋 Транзакції'!$F$5:$F$3623,'📋 Транзакції'!$B$5:$B$3623,A412,'📋 Транзакції'!$C$5:$C$3623,"&gt;="&amp;EDATE(DATEVALUE(C412&amp;"-01"),1),'📋 Транзакції'!$C$5:$C$3623,"&lt;"&amp;EDATE(DATEVALUE(C412&amp;"-01"),2))</f>
        <v>19.99</v>
      </c>
      <c r="U412" s="37">
        <f>SUMIFS('📋 Транзакції'!$F$5:$F$3623,'📋 Транзакції'!$B$5:$B$3623,A412,'📋 Транзакції'!$C$5:$C$3623,"&gt;="&amp;EDATE(DATEVALUE(C412&amp;"-01"),2),'📋 Транзакції'!$C$5:$C$3623,"&lt;"&amp;EDATE(DATEVALUE(C412&amp;"-01"),3))</f>
        <v>19.99</v>
      </c>
      <c r="V412" s="37">
        <f>SUMIFS('📋 Транзакції'!$F$5:$F$3623,'📋 Транзакції'!$B$5:$B$3623,A412,'📋 Транзакції'!$C$5:$C$3623,"&gt;="&amp;EDATE(DATEVALUE(C412&amp;"-01"),3),'📋 Транзакції'!$C$5:$C$3623,"&lt;"&amp;EDATE(DATEVALUE(C412&amp;"-01"),4))</f>
        <v>19.99</v>
      </c>
      <c r="W412" s="37">
        <f>SUMIFS('📋 Транзакції'!$F$5:$F$3623,'📋 Транзакції'!$B$5:$B$3623,A412,'📋 Транзакції'!$C$5:$C$3623,"&gt;="&amp;EDATE(DATEVALUE(C412&amp;"-01"),4),'📋 Транзакції'!$C$5:$C$3623,"&lt;"&amp;EDATE(DATEVALUE(C412&amp;"-01"),5))</f>
        <v>0</v>
      </c>
      <c r="X412" s="37">
        <f>SUMIFS('📋 Транзакції'!$F$5:$F$3623,'📋 Транзакції'!$B$5:$B$3623,A412,'📋 Транзакції'!$C$5:$C$3623,"&gt;="&amp;EDATE(DATEVALUE(C412&amp;"-01"),5),'📋 Транзакції'!$C$5:$C$3623,"&lt;"&amp;EDATE(DATEVALUE(C412&amp;"-01"),6))</f>
        <v>0</v>
      </c>
      <c r="Y412" s="37">
        <f>SUMIFS('📋 Транзакції'!$F$5:$F$3623,'📋 Транзакції'!$B$5:$B$3623,A412,'📋 Транзакції'!$C$5:$C$3623,"&gt;="&amp;EDATE(DATEVALUE(C412&amp;"-01"),6),'📋 Транзакції'!$C$5:$C$3623,"&lt;"&amp;EDATE(DATEVALUE(C412&amp;"-01"),7))</f>
        <v>0</v>
      </c>
      <c r="Z412" s="37">
        <f>SUMIFS('📋 Транзакції'!$F$5:$F$3623,'📋 Транзакції'!$B$5:$B$3623,A412,'📋 Транзакції'!$C$5:$C$3623,"&gt;="&amp;EDATE(DATEVALUE(C412&amp;"-01"),7),'📋 Транзакції'!$C$5:$C$3623,"&lt;"&amp;EDATE(DATEVALUE(C412&amp;"-01"),8))</f>
        <v>0</v>
      </c>
      <c r="AA412" s="37">
        <f>SUMIFS('📋 Транзакції'!$F$5:$F$3623,'📋 Транзакції'!$B$5:$B$3623,A412,'📋 Транзакції'!$C$5:$C$3623,"&gt;="&amp;EDATE(DATEVALUE(C412&amp;"-01"),8),'📋 Транзакції'!$C$5:$C$3623,"&lt;"&amp;EDATE(DATEVALUE(C412&amp;"-01"),9))</f>
        <v>0</v>
      </c>
      <c r="AB412" s="37">
        <f>SUMIFS('📋 Транзакції'!$F$5:$F$3623,'📋 Транзакції'!$B$5:$B$3623,A412,'📋 Транзакції'!$C$5:$C$3623,"&gt;="&amp;EDATE(DATEVALUE(C412&amp;"-01"),9),'📋 Транзакції'!$C$5:$C$3623,"&lt;"&amp;EDATE(DATEVALUE(C412&amp;"-01"),10))</f>
        <v>0</v>
      </c>
      <c r="AC412" s="37">
        <f>SUMIFS('📋 Транзакції'!$F$5:$F$3623,'📋 Транзакції'!$B$5:$B$3623,A412,'📋 Транзакції'!$C$5:$C$3623,"&gt;="&amp;EDATE(DATEVALUE(C412&amp;"-01"),10),'📋 Транзакції'!$C$5:$C$3623,"&lt;"&amp;EDATE(DATEVALUE(C412&amp;"-01"),11))</f>
        <v>0</v>
      </c>
      <c r="AD412" s="37">
        <f>SUMIFS('📋 Транзакції'!$F$5:$F$3623,'📋 Транзакції'!$B$5:$B$3623,A412,'📋 Транзакції'!$C$5:$C$3623,"&gt;="&amp;EDATE(DATEVALUE(C412&amp;"-01"),11),'📋 Транзакції'!$C$5:$C$3623,"&lt;"&amp;EDATE(DATEVALUE(C412&amp;"-01"),12))</f>
        <v>0</v>
      </c>
    </row>
    <row r="413" ht="15.75" customHeight="1">
      <c r="A413" s="33" t="str">
        <f>'📋 Реєстрації'!A413:A1014</f>
        <v>U0212</v>
      </c>
      <c r="B413" s="34">
        <f t="array" ref="B413">INDEX('📋 Транзакції'!$C$5:$C$3623,MATCH(A413,'📋 Транзакції'!$B$5:$B$3623,0))</f>
        <v>45629</v>
      </c>
      <c r="C413" s="35" t="str">
        <f t="shared" si="1"/>
        <v>2024-12</v>
      </c>
      <c r="D413" s="36">
        <f>COUNTIF('📋 Транзакції'!$B$5:$B$3623,A413)</f>
        <v>2</v>
      </c>
      <c r="E413" s="36">
        <f>SUMIF('📋 Транзакції'!$B$5:$B$3623,A413,'📋 Транзакції'!$F$5:$F$3623)</f>
        <v>19.99</v>
      </c>
      <c r="F413" s="35">
        <f>INT($A$1-MAXIFS('📋 Транзакції'!$C$5:$C$3623,'📋 Транзакції'!$B$5:$B$3623,A413))</f>
        <v>111</v>
      </c>
      <c r="G413" s="37">
        <f>IF(COUNTIFS('📋 Транзакції'!$B$5:$B$3623,A413,'📋 Транзакції'!$C$5:$C$3623,"&gt;="&amp;EDATE(DATEVALUE(C413&amp;"-01"),0),'📋 Транзакції'!$C$5:$C$3623,"&lt;"&amp;EDATE(DATEVALUE(C413&amp;"-01"),1))&gt;0,1,0)</f>
        <v>1</v>
      </c>
      <c r="H413" s="37">
        <f>IF(COUNTIFS('📋 Транзакції'!$B$5:$B$3623,A413,'📋 Транзакції'!$C$5:$C$3623,"&gt;="&amp;EDATE(DATEVALUE(C413&amp;"-01"),1),'📋 Транзакції'!$C$5:$C$3623,"&lt;"&amp;EDATE(DATEVALUE(C413&amp;"-01"),2))&gt;0,1,0)</f>
        <v>0</v>
      </c>
      <c r="I413" s="37">
        <f>IF(COUNTIFS('📋 Транзакції'!$B$5:$B$3623,A413,'📋 Транзакції'!$C$5:$C$3623,"&gt;="&amp;EDATE(DATEVALUE(C413&amp;"-01"),2),'📋 Транзакції'!$C$5:$C$3623,"&lt;"&amp;EDATE(DATEVALUE(C413&amp;"-01"),3))&gt;0,1,0)</f>
        <v>0</v>
      </c>
      <c r="J413" s="37">
        <f>IF(COUNTIFS('📋 Транзакції'!$B$5:$B$3623,A413,'📋 Транзакції'!$C$5:$C$3623,"&gt;="&amp;EDATE(DATEVALUE(C413&amp;"-01"),3),'📋 Транзакції'!$C$5:$C$3623,"&lt;"&amp;EDATE(DATEVALUE(C413&amp;"-01"),4))&gt;0,1,0)</f>
        <v>0</v>
      </c>
      <c r="K413" s="37">
        <f>IF(COUNTIFS('📋 Транзакції'!$B$5:$B$3623,A413,'📋 Транзакції'!$C$5:$C$3623,"&gt;="&amp;EDATE(DATEVALUE(C413&amp;"-01"),4),'📋 Транзакції'!$C$5:$C$3623,"&lt;"&amp;EDATE(DATEVALUE(C413&amp;"-01"),5))&gt;0,1,0)</f>
        <v>0</v>
      </c>
      <c r="L413" s="37">
        <f>IF(COUNTIFS('📋 Транзакції'!$B$5:$B$3623,A413,'📋 Транзакції'!$C$5:$C$3623,"&gt;="&amp;EDATE(DATEVALUE(C413&amp;"-01"),5),'📋 Транзакції'!$C$5:$C$3623,"&lt;"&amp;EDATE(DATEVALUE(C413&amp;"-01"),6))&gt;0,1,0)</f>
        <v>0</v>
      </c>
      <c r="M413" s="37">
        <f>IF(COUNTIFS('📋 Транзакції'!$B$5:$B$3623,A413,'📋 Транзакції'!$C$5:$C$3623,"&gt;="&amp;EDATE(DATEVALUE(C413&amp;"-01"),6),'📋 Транзакції'!$C$5:$C$3623,"&lt;"&amp;EDATE(DATEVALUE(C413&amp;"-01"),7))&gt;0,1,0)</f>
        <v>0</v>
      </c>
      <c r="N413" s="37">
        <f>IF(COUNTIFS('📋 Транзакції'!$B$5:$B$3623,A413,'📋 Транзакції'!$C$5:$C$3623,"&gt;="&amp;EDATE(DATEVALUE(C413&amp;"-01"),7),'📋 Транзакції'!$C$5:$C$3623,"&lt;"&amp;EDATE(DATEVALUE(C413&amp;"-01"),8))&gt;0,1,0)</f>
        <v>0</v>
      </c>
      <c r="O413" s="37">
        <f>IF(COUNTIFS('📋 Транзакції'!$B$5:$B$3623,A413,'📋 Транзакції'!$C$5:$C$3623,"&gt;="&amp;EDATE(DATEVALUE(C413&amp;"-01"),8),'📋 Транзакції'!$C$5:$C$3623,"&lt;"&amp;EDATE(DATEVALUE(C413&amp;"-01"),9))&gt;0,1,0)</f>
        <v>0</v>
      </c>
      <c r="P413" s="37">
        <f>IF(COUNTIFS('📋 Транзакції'!$B$5:$B$3623,A413,'📋 Транзакції'!$C$5:$C$3623,"&gt;="&amp;EDATE(DATEVALUE(C413&amp;"-01"),9),'📋 Транзакції'!$C$5:$C$3623,"&lt;"&amp;EDATE(DATEVALUE(C413&amp;"-01"),10))&gt;0,1,0)</f>
        <v>0</v>
      </c>
      <c r="Q413" s="37">
        <f>IF(COUNTIFS('📋 Транзакції'!$B$5:$B$3623,A413,'📋 Транзакції'!$C$5:$C$3623,"&gt;="&amp;EDATE(DATEVALUE(C413&amp;"-01"),10),'📋 Транзакції'!$C$5:$C$3623,"&lt;"&amp;EDATE(DATEVALUE(C413&amp;"-01"),11))&gt;0,1,0)</f>
        <v>0</v>
      </c>
      <c r="R413" s="37">
        <f>IF(COUNTIFS('📋 Транзакції'!$B$5:$B$3623,A413,'📋 Транзакції'!$C$5:$C$3623,"&gt;="&amp;EDATE(DATEVALUE(C413&amp;"-01"),11),'📋 Транзакції'!$C$5:$C$3623,"&lt;"&amp;EDATE(DATEVALUE(C413&amp;"-01"),12))&gt;0,1,0)</f>
        <v>0</v>
      </c>
      <c r="S413" s="37">
        <f>SUMIFS('📋 Транзакції'!$F$5:$F$3623,'📋 Транзакції'!$B$5:$B$3623,A413,'📋 Транзакції'!$C$5:$C$3623,"&gt;="&amp;EDATE(DATEVALUE(C413&amp;"-01"),0),'📋 Транзакції'!$C$5:$C$3623,"&lt;"&amp;EDATE(DATEVALUE(C413&amp;"-01"),1))</f>
        <v>19.99</v>
      </c>
      <c r="T413" s="37">
        <f>SUMIFS('📋 Транзакції'!$F$5:$F$3623,'📋 Транзакції'!$B$5:$B$3623,A413,'📋 Транзакції'!$C$5:$C$3623,"&gt;="&amp;EDATE(DATEVALUE(C413&amp;"-01"),1),'📋 Транзакції'!$C$5:$C$3623,"&lt;"&amp;EDATE(DATEVALUE(C413&amp;"-01"),2))</f>
        <v>0</v>
      </c>
      <c r="U413" s="37">
        <f>SUMIFS('📋 Транзакції'!$F$5:$F$3623,'📋 Транзакції'!$B$5:$B$3623,A413,'📋 Транзакції'!$C$5:$C$3623,"&gt;="&amp;EDATE(DATEVALUE(C413&amp;"-01"),2),'📋 Транзакції'!$C$5:$C$3623,"&lt;"&amp;EDATE(DATEVALUE(C413&amp;"-01"),3))</f>
        <v>0</v>
      </c>
      <c r="V413" s="37">
        <f>SUMIFS('📋 Транзакції'!$F$5:$F$3623,'📋 Транзакції'!$B$5:$B$3623,A413,'📋 Транзакції'!$C$5:$C$3623,"&gt;="&amp;EDATE(DATEVALUE(C413&amp;"-01"),3),'📋 Транзакції'!$C$5:$C$3623,"&lt;"&amp;EDATE(DATEVALUE(C413&amp;"-01"),4))</f>
        <v>0</v>
      </c>
      <c r="W413" s="37">
        <f>SUMIFS('📋 Транзакції'!$F$5:$F$3623,'📋 Транзакції'!$B$5:$B$3623,A413,'📋 Транзакції'!$C$5:$C$3623,"&gt;="&amp;EDATE(DATEVALUE(C413&amp;"-01"),4),'📋 Транзакції'!$C$5:$C$3623,"&lt;"&amp;EDATE(DATEVALUE(C413&amp;"-01"),5))</f>
        <v>0</v>
      </c>
      <c r="X413" s="37">
        <f>SUMIFS('📋 Транзакції'!$F$5:$F$3623,'📋 Транзакції'!$B$5:$B$3623,A413,'📋 Транзакції'!$C$5:$C$3623,"&gt;="&amp;EDATE(DATEVALUE(C413&amp;"-01"),5),'📋 Транзакції'!$C$5:$C$3623,"&lt;"&amp;EDATE(DATEVALUE(C413&amp;"-01"),6))</f>
        <v>0</v>
      </c>
      <c r="Y413" s="37">
        <f>SUMIFS('📋 Транзакції'!$F$5:$F$3623,'📋 Транзакції'!$B$5:$B$3623,A413,'📋 Транзакції'!$C$5:$C$3623,"&gt;="&amp;EDATE(DATEVALUE(C413&amp;"-01"),6),'📋 Транзакції'!$C$5:$C$3623,"&lt;"&amp;EDATE(DATEVALUE(C413&amp;"-01"),7))</f>
        <v>0</v>
      </c>
      <c r="Z413" s="37">
        <f>SUMIFS('📋 Транзакції'!$F$5:$F$3623,'📋 Транзакції'!$B$5:$B$3623,A413,'📋 Транзакції'!$C$5:$C$3623,"&gt;="&amp;EDATE(DATEVALUE(C413&amp;"-01"),7),'📋 Транзакції'!$C$5:$C$3623,"&lt;"&amp;EDATE(DATEVALUE(C413&amp;"-01"),8))</f>
        <v>0</v>
      </c>
      <c r="AA413" s="37">
        <f>SUMIFS('📋 Транзакції'!$F$5:$F$3623,'📋 Транзакції'!$B$5:$B$3623,A413,'📋 Транзакції'!$C$5:$C$3623,"&gt;="&amp;EDATE(DATEVALUE(C413&amp;"-01"),8),'📋 Транзакції'!$C$5:$C$3623,"&lt;"&amp;EDATE(DATEVALUE(C413&amp;"-01"),9))</f>
        <v>0</v>
      </c>
      <c r="AB413" s="37">
        <f>SUMIFS('📋 Транзакції'!$F$5:$F$3623,'📋 Транзакції'!$B$5:$B$3623,A413,'📋 Транзакції'!$C$5:$C$3623,"&gt;="&amp;EDATE(DATEVALUE(C413&amp;"-01"),9),'📋 Транзакції'!$C$5:$C$3623,"&lt;"&amp;EDATE(DATEVALUE(C413&amp;"-01"),10))</f>
        <v>0</v>
      </c>
      <c r="AC413" s="37">
        <f>SUMIFS('📋 Транзакції'!$F$5:$F$3623,'📋 Транзакції'!$B$5:$B$3623,A413,'📋 Транзакції'!$C$5:$C$3623,"&gt;="&amp;EDATE(DATEVALUE(C413&amp;"-01"),10),'📋 Транзакції'!$C$5:$C$3623,"&lt;"&amp;EDATE(DATEVALUE(C413&amp;"-01"),11))</f>
        <v>0</v>
      </c>
      <c r="AD413" s="37">
        <f>SUMIFS('📋 Транзакції'!$F$5:$F$3623,'📋 Транзакції'!$B$5:$B$3623,A413,'📋 Транзакції'!$C$5:$C$3623,"&gt;="&amp;EDATE(DATEVALUE(C413&amp;"-01"),11),'📋 Транзакції'!$C$5:$C$3623,"&lt;"&amp;EDATE(DATEVALUE(C413&amp;"-01"),12))</f>
        <v>0</v>
      </c>
    </row>
    <row r="414" ht="15.75" customHeight="1">
      <c r="A414" s="33" t="str">
        <f>'📋 Реєстрації'!A414:A1015</f>
        <v>U0505</v>
      </c>
      <c r="B414" s="34">
        <f t="array" ref="B414">INDEX('📋 Транзакції'!$C$5:$C$3623,MATCH(A414,'📋 Транзакції'!$B$5:$B$3623,0))</f>
        <v>45629</v>
      </c>
      <c r="C414" s="35" t="str">
        <f t="shared" si="1"/>
        <v>2024-12</v>
      </c>
      <c r="D414" s="36">
        <f>COUNTIF('📋 Транзакції'!$B$5:$B$3623,A414)</f>
        <v>5</v>
      </c>
      <c r="E414" s="36">
        <f>SUMIF('📋 Транзакції'!$B$5:$B$3623,A414,'📋 Транзакції'!$F$5:$F$3623)</f>
        <v>79.96</v>
      </c>
      <c r="F414" s="35">
        <f>INT($A$1-MAXIFS('📋 Транзакції'!$C$5:$C$3623,'📋 Транзакції'!$B$5:$B$3623,A414))</f>
        <v>21</v>
      </c>
      <c r="G414" s="37">
        <f>IF(COUNTIFS('📋 Транзакції'!$B$5:$B$3623,A414,'📋 Транзакції'!$C$5:$C$3623,"&gt;="&amp;EDATE(DATEVALUE(C414&amp;"-01"),0),'📋 Транзакції'!$C$5:$C$3623,"&lt;"&amp;EDATE(DATEVALUE(C414&amp;"-01"),1))&gt;0,1,0)</f>
        <v>1</v>
      </c>
      <c r="H414" s="37">
        <f>IF(COUNTIFS('📋 Транзакції'!$B$5:$B$3623,A414,'📋 Транзакції'!$C$5:$C$3623,"&gt;="&amp;EDATE(DATEVALUE(C414&amp;"-01"),1),'📋 Транзакції'!$C$5:$C$3623,"&lt;"&amp;EDATE(DATEVALUE(C414&amp;"-01"),2))&gt;0,1,0)</f>
        <v>1</v>
      </c>
      <c r="I414" s="37">
        <f>IF(COUNTIFS('📋 Транзакції'!$B$5:$B$3623,A414,'📋 Транзакції'!$C$5:$C$3623,"&gt;="&amp;EDATE(DATEVALUE(C414&amp;"-01"),2),'📋 Транзакції'!$C$5:$C$3623,"&lt;"&amp;EDATE(DATEVALUE(C414&amp;"-01"),3))&gt;0,1,0)</f>
        <v>1</v>
      </c>
      <c r="J414" s="37">
        <f>IF(COUNTIFS('📋 Транзакції'!$B$5:$B$3623,A414,'📋 Транзакції'!$C$5:$C$3623,"&gt;="&amp;EDATE(DATEVALUE(C414&amp;"-01"),3),'📋 Транзакції'!$C$5:$C$3623,"&lt;"&amp;EDATE(DATEVALUE(C414&amp;"-01"),4))&gt;0,1,0)</f>
        <v>1</v>
      </c>
      <c r="K414" s="37">
        <f>IF(COUNTIFS('📋 Транзакції'!$B$5:$B$3623,A414,'📋 Транзакції'!$C$5:$C$3623,"&gt;="&amp;EDATE(DATEVALUE(C414&amp;"-01"),4),'📋 Транзакції'!$C$5:$C$3623,"&lt;"&amp;EDATE(DATEVALUE(C414&amp;"-01"),5))&gt;0,1,0)</f>
        <v>0</v>
      </c>
      <c r="L414" s="37">
        <f>IF(COUNTIFS('📋 Транзакції'!$B$5:$B$3623,A414,'📋 Транзакції'!$C$5:$C$3623,"&gt;="&amp;EDATE(DATEVALUE(C414&amp;"-01"),5),'📋 Транзакції'!$C$5:$C$3623,"&lt;"&amp;EDATE(DATEVALUE(C414&amp;"-01"),6))&gt;0,1,0)</f>
        <v>0</v>
      </c>
      <c r="M414" s="37">
        <f>IF(COUNTIFS('📋 Транзакції'!$B$5:$B$3623,A414,'📋 Транзакції'!$C$5:$C$3623,"&gt;="&amp;EDATE(DATEVALUE(C414&amp;"-01"),6),'📋 Транзакції'!$C$5:$C$3623,"&lt;"&amp;EDATE(DATEVALUE(C414&amp;"-01"),7))&gt;0,1,0)</f>
        <v>0</v>
      </c>
      <c r="N414" s="37">
        <f>IF(COUNTIFS('📋 Транзакції'!$B$5:$B$3623,A414,'📋 Транзакції'!$C$5:$C$3623,"&gt;="&amp;EDATE(DATEVALUE(C414&amp;"-01"),7),'📋 Транзакції'!$C$5:$C$3623,"&lt;"&amp;EDATE(DATEVALUE(C414&amp;"-01"),8))&gt;0,1,0)</f>
        <v>0</v>
      </c>
      <c r="O414" s="37">
        <f>IF(COUNTIFS('📋 Транзакції'!$B$5:$B$3623,A414,'📋 Транзакції'!$C$5:$C$3623,"&gt;="&amp;EDATE(DATEVALUE(C414&amp;"-01"),8),'📋 Транзакції'!$C$5:$C$3623,"&lt;"&amp;EDATE(DATEVALUE(C414&amp;"-01"),9))&gt;0,1,0)</f>
        <v>0</v>
      </c>
      <c r="P414" s="37">
        <f>IF(COUNTIFS('📋 Транзакції'!$B$5:$B$3623,A414,'📋 Транзакції'!$C$5:$C$3623,"&gt;="&amp;EDATE(DATEVALUE(C414&amp;"-01"),9),'📋 Транзакції'!$C$5:$C$3623,"&lt;"&amp;EDATE(DATEVALUE(C414&amp;"-01"),10))&gt;0,1,0)</f>
        <v>0</v>
      </c>
      <c r="Q414" s="37">
        <f>IF(COUNTIFS('📋 Транзакції'!$B$5:$B$3623,A414,'📋 Транзакції'!$C$5:$C$3623,"&gt;="&amp;EDATE(DATEVALUE(C414&amp;"-01"),10),'📋 Транзакції'!$C$5:$C$3623,"&lt;"&amp;EDATE(DATEVALUE(C414&amp;"-01"),11))&gt;0,1,0)</f>
        <v>0</v>
      </c>
      <c r="R414" s="37">
        <f>IF(COUNTIFS('📋 Транзакції'!$B$5:$B$3623,A414,'📋 Транзакції'!$C$5:$C$3623,"&gt;="&amp;EDATE(DATEVALUE(C414&amp;"-01"),11),'📋 Транзакції'!$C$5:$C$3623,"&lt;"&amp;EDATE(DATEVALUE(C414&amp;"-01"),12))&gt;0,1,0)</f>
        <v>0</v>
      </c>
      <c r="S414" s="37">
        <f>SUMIFS('📋 Транзакції'!$F$5:$F$3623,'📋 Транзакції'!$B$5:$B$3623,A414,'📋 Транзакції'!$C$5:$C$3623,"&gt;="&amp;EDATE(DATEVALUE(C414&amp;"-01"),0),'📋 Транзакції'!$C$5:$C$3623,"&lt;"&amp;EDATE(DATEVALUE(C414&amp;"-01"),1))</f>
        <v>19.99</v>
      </c>
      <c r="T414" s="37">
        <f>SUMIFS('📋 Транзакції'!$F$5:$F$3623,'📋 Транзакції'!$B$5:$B$3623,A414,'📋 Транзакції'!$C$5:$C$3623,"&gt;="&amp;EDATE(DATEVALUE(C414&amp;"-01"),1),'📋 Транзакції'!$C$5:$C$3623,"&lt;"&amp;EDATE(DATEVALUE(C414&amp;"-01"),2))</f>
        <v>19.99</v>
      </c>
      <c r="U414" s="37">
        <f>SUMIFS('📋 Транзакції'!$F$5:$F$3623,'📋 Транзакції'!$B$5:$B$3623,A414,'📋 Транзакції'!$C$5:$C$3623,"&gt;="&amp;EDATE(DATEVALUE(C414&amp;"-01"),2),'📋 Транзакції'!$C$5:$C$3623,"&lt;"&amp;EDATE(DATEVALUE(C414&amp;"-01"),3))</f>
        <v>19.99</v>
      </c>
      <c r="V414" s="37">
        <f>SUMIFS('📋 Транзакції'!$F$5:$F$3623,'📋 Транзакції'!$B$5:$B$3623,A414,'📋 Транзакції'!$C$5:$C$3623,"&gt;="&amp;EDATE(DATEVALUE(C414&amp;"-01"),3),'📋 Транзакції'!$C$5:$C$3623,"&lt;"&amp;EDATE(DATEVALUE(C414&amp;"-01"),4))</f>
        <v>19.99</v>
      </c>
      <c r="W414" s="37">
        <f>SUMIFS('📋 Транзакції'!$F$5:$F$3623,'📋 Транзакції'!$B$5:$B$3623,A414,'📋 Транзакції'!$C$5:$C$3623,"&gt;="&amp;EDATE(DATEVALUE(C414&amp;"-01"),4),'📋 Транзакції'!$C$5:$C$3623,"&lt;"&amp;EDATE(DATEVALUE(C414&amp;"-01"),5))</f>
        <v>0</v>
      </c>
      <c r="X414" s="37">
        <f>SUMIFS('📋 Транзакції'!$F$5:$F$3623,'📋 Транзакції'!$B$5:$B$3623,A414,'📋 Транзакції'!$C$5:$C$3623,"&gt;="&amp;EDATE(DATEVALUE(C414&amp;"-01"),5),'📋 Транзакції'!$C$5:$C$3623,"&lt;"&amp;EDATE(DATEVALUE(C414&amp;"-01"),6))</f>
        <v>0</v>
      </c>
      <c r="Y414" s="37">
        <f>SUMIFS('📋 Транзакції'!$F$5:$F$3623,'📋 Транзакції'!$B$5:$B$3623,A414,'📋 Транзакції'!$C$5:$C$3623,"&gt;="&amp;EDATE(DATEVALUE(C414&amp;"-01"),6),'📋 Транзакції'!$C$5:$C$3623,"&lt;"&amp;EDATE(DATEVALUE(C414&amp;"-01"),7))</f>
        <v>0</v>
      </c>
      <c r="Z414" s="37">
        <f>SUMIFS('📋 Транзакції'!$F$5:$F$3623,'📋 Транзакції'!$B$5:$B$3623,A414,'📋 Транзакції'!$C$5:$C$3623,"&gt;="&amp;EDATE(DATEVALUE(C414&amp;"-01"),7),'📋 Транзакції'!$C$5:$C$3623,"&lt;"&amp;EDATE(DATEVALUE(C414&amp;"-01"),8))</f>
        <v>0</v>
      </c>
      <c r="AA414" s="37">
        <f>SUMIFS('📋 Транзакції'!$F$5:$F$3623,'📋 Транзакції'!$B$5:$B$3623,A414,'📋 Транзакції'!$C$5:$C$3623,"&gt;="&amp;EDATE(DATEVALUE(C414&amp;"-01"),8),'📋 Транзакції'!$C$5:$C$3623,"&lt;"&amp;EDATE(DATEVALUE(C414&amp;"-01"),9))</f>
        <v>0</v>
      </c>
      <c r="AB414" s="37">
        <f>SUMIFS('📋 Транзакції'!$F$5:$F$3623,'📋 Транзакції'!$B$5:$B$3623,A414,'📋 Транзакції'!$C$5:$C$3623,"&gt;="&amp;EDATE(DATEVALUE(C414&amp;"-01"),9),'📋 Транзакції'!$C$5:$C$3623,"&lt;"&amp;EDATE(DATEVALUE(C414&amp;"-01"),10))</f>
        <v>0</v>
      </c>
      <c r="AC414" s="37">
        <f>SUMIFS('📋 Транзакції'!$F$5:$F$3623,'📋 Транзакції'!$B$5:$B$3623,A414,'📋 Транзакції'!$C$5:$C$3623,"&gt;="&amp;EDATE(DATEVALUE(C414&amp;"-01"),10),'📋 Транзакції'!$C$5:$C$3623,"&lt;"&amp;EDATE(DATEVALUE(C414&amp;"-01"),11))</f>
        <v>0</v>
      </c>
      <c r="AD414" s="37">
        <f>SUMIFS('📋 Транзакції'!$F$5:$F$3623,'📋 Транзакції'!$B$5:$B$3623,A414,'📋 Транзакції'!$C$5:$C$3623,"&gt;="&amp;EDATE(DATEVALUE(C414&amp;"-01"),11),'📋 Транзакції'!$C$5:$C$3623,"&lt;"&amp;EDATE(DATEVALUE(C414&amp;"-01"),12))</f>
        <v>0</v>
      </c>
    </row>
    <row r="415" ht="15.75" customHeight="1">
      <c r="A415" s="33" t="str">
        <f>'📋 Реєстрації'!A415:A1016</f>
        <v>U0267</v>
      </c>
      <c r="B415" s="34">
        <f t="array" ref="B415">INDEX('📋 Транзакції'!$C$5:$C$3623,MATCH(A415,'📋 Транзакції'!$B$5:$B$3623,0))</f>
        <v>45630</v>
      </c>
      <c r="C415" s="35" t="str">
        <f t="shared" si="1"/>
        <v>2024-12</v>
      </c>
      <c r="D415" s="36">
        <f>COUNTIF('📋 Транзакції'!$B$5:$B$3623,A415)</f>
        <v>5</v>
      </c>
      <c r="E415" s="36">
        <f>SUMIF('📋 Транзакції'!$B$5:$B$3623,A415,'📋 Транзакції'!$F$5:$F$3623)</f>
        <v>79.96</v>
      </c>
      <c r="F415" s="35">
        <f>INT($A$1-MAXIFS('📋 Транзакції'!$C$5:$C$3623,'📋 Транзакції'!$B$5:$B$3623,A415))</f>
        <v>20</v>
      </c>
      <c r="G415" s="37">
        <f>IF(COUNTIFS('📋 Транзакції'!$B$5:$B$3623,A415,'📋 Транзакції'!$C$5:$C$3623,"&gt;="&amp;EDATE(DATEVALUE(C415&amp;"-01"),0),'📋 Транзакції'!$C$5:$C$3623,"&lt;"&amp;EDATE(DATEVALUE(C415&amp;"-01"),1))&gt;0,1,0)</f>
        <v>1</v>
      </c>
      <c r="H415" s="37">
        <f>IF(COUNTIFS('📋 Транзакції'!$B$5:$B$3623,A415,'📋 Транзакції'!$C$5:$C$3623,"&gt;="&amp;EDATE(DATEVALUE(C415&amp;"-01"),1),'📋 Транзакції'!$C$5:$C$3623,"&lt;"&amp;EDATE(DATEVALUE(C415&amp;"-01"),2))&gt;0,1,0)</f>
        <v>1</v>
      </c>
      <c r="I415" s="37">
        <f>IF(COUNTIFS('📋 Транзакції'!$B$5:$B$3623,A415,'📋 Транзакції'!$C$5:$C$3623,"&gt;="&amp;EDATE(DATEVALUE(C415&amp;"-01"),2),'📋 Транзакції'!$C$5:$C$3623,"&lt;"&amp;EDATE(DATEVALUE(C415&amp;"-01"),3))&gt;0,1,0)</f>
        <v>1</v>
      </c>
      <c r="J415" s="37">
        <f>IF(COUNTIFS('📋 Транзакції'!$B$5:$B$3623,A415,'📋 Транзакції'!$C$5:$C$3623,"&gt;="&amp;EDATE(DATEVALUE(C415&amp;"-01"),3),'📋 Транзакції'!$C$5:$C$3623,"&lt;"&amp;EDATE(DATEVALUE(C415&amp;"-01"),4))&gt;0,1,0)</f>
        <v>1</v>
      </c>
      <c r="K415" s="37">
        <f>IF(COUNTIFS('📋 Транзакції'!$B$5:$B$3623,A415,'📋 Транзакції'!$C$5:$C$3623,"&gt;="&amp;EDATE(DATEVALUE(C415&amp;"-01"),4),'📋 Транзакції'!$C$5:$C$3623,"&lt;"&amp;EDATE(DATEVALUE(C415&amp;"-01"),5))&gt;0,1,0)</f>
        <v>0</v>
      </c>
      <c r="L415" s="37">
        <f>IF(COUNTIFS('📋 Транзакції'!$B$5:$B$3623,A415,'📋 Транзакції'!$C$5:$C$3623,"&gt;="&amp;EDATE(DATEVALUE(C415&amp;"-01"),5),'📋 Транзакції'!$C$5:$C$3623,"&lt;"&amp;EDATE(DATEVALUE(C415&amp;"-01"),6))&gt;0,1,0)</f>
        <v>0</v>
      </c>
      <c r="M415" s="37">
        <f>IF(COUNTIFS('📋 Транзакції'!$B$5:$B$3623,A415,'📋 Транзакції'!$C$5:$C$3623,"&gt;="&amp;EDATE(DATEVALUE(C415&amp;"-01"),6),'📋 Транзакції'!$C$5:$C$3623,"&lt;"&amp;EDATE(DATEVALUE(C415&amp;"-01"),7))&gt;0,1,0)</f>
        <v>0</v>
      </c>
      <c r="N415" s="37">
        <f>IF(COUNTIFS('📋 Транзакції'!$B$5:$B$3623,A415,'📋 Транзакції'!$C$5:$C$3623,"&gt;="&amp;EDATE(DATEVALUE(C415&amp;"-01"),7),'📋 Транзакції'!$C$5:$C$3623,"&lt;"&amp;EDATE(DATEVALUE(C415&amp;"-01"),8))&gt;0,1,0)</f>
        <v>0</v>
      </c>
      <c r="O415" s="37">
        <f>IF(COUNTIFS('📋 Транзакції'!$B$5:$B$3623,A415,'📋 Транзакції'!$C$5:$C$3623,"&gt;="&amp;EDATE(DATEVALUE(C415&amp;"-01"),8),'📋 Транзакції'!$C$5:$C$3623,"&lt;"&amp;EDATE(DATEVALUE(C415&amp;"-01"),9))&gt;0,1,0)</f>
        <v>0</v>
      </c>
      <c r="P415" s="37">
        <f>IF(COUNTIFS('📋 Транзакції'!$B$5:$B$3623,A415,'📋 Транзакції'!$C$5:$C$3623,"&gt;="&amp;EDATE(DATEVALUE(C415&amp;"-01"),9),'📋 Транзакції'!$C$5:$C$3623,"&lt;"&amp;EDATE(DATEVALUE(C415&amp;"-01"),10))&gt;0,1,0)</f>
        <v>0</v>
      </c>
      <c r="Q415" s="37">
        <f>IF(COUNTIFS('📋 Транзакції'!$B$5:$B$3623,A415,'📋 Транзакції'!$C$5:$C$3623,"&gt;="&amp;EDATE(DATEVALUE(C415&amp;"-01"),10),'📋 Транзакції'!$C$5:$C$3623,"&lt;"&amp;EDATE(DATEVALUE(C415&amp;"-01"),11))&gt;0,1,0)</f>
        <v>0</v>
      </c>
      <c r="R415" s="37">
        <f>IF(COUNTIFS('📋 Транзакції'!$B$5:$B$3623,A415,'📋 Транзакції'!$C$5:$C$3623,"&gt;="&amp;EDATE(DATEVALUE(C415&amp;"-01"),11),'📋 Транзакції'!$C$5:$C$3623,"&lt;"&amp;EDATE(DATEVALUE(C415&amp;"-01"),12))&gt;0,1,0)</f>
        <v>0</v>
      </c>
      <c r="S415" s="37">
        <f>SUMIFS('📋 Транзакції'!$F$5:$F$3623,'📋 Транзакції'!$B$5:$B$3623,A415,'📋 Транзакції'!$C$5:$C$3623,"&gt;="&amp;EDATE(DATEVALUE(C415&amp;"-01"),0),'📋 Транзакції'!$C$5:$C$3623,"&lt;"&amp;EDATE(DATEVALUE(C415&amp;"-01"),1))</f>
        <v>19.99</v>
      </c>
      <c r="T415" s="37">
        <f>SUMIFS('📋 Транзакції'!$F$5:$F$3623,'📋 Транзакції'!$B$5:$B$3623,A415,'📋 Транзакції'!$C$5:$C$3623,"&gt;="&amp;EDATE(DATEVALUE(C415&amp;"-01"),1),'📋 Транзакції'!$C$5:$C$3623,"&lt;"&amp;EDATE(DATEVALUE(C415&amp;"-01"),2))</f>
        <v>19.99</v>
      </c>
      <c r="U415" s="37">
        <f>SUMIFS('📋 Транзакції'!$F$5:$F$3623,'📋 Транзакції'!$B$5:$B$3623,A415,'📋 Транзакції'!$C$5:$C$3623,"&gt;="&amp;EDATE(DATEVALUE(C415&amp;"-01"),2),'📋 Транзакції'!$C$5:$C$3623,"&lt;"&amp;EDATE(DATEVALUE(C415&amp;"-01"),3))</f>
        <v>19.99</v>
      </c>
      <c r="V415" s="37">
        <f>SUMIFS('📋 Транзакції'!$F$5:$F$3623,'📋 Транзакції'!$B$5:$B$3623,A415,'📋 Транзакції'!$C$5:$C$3623,"&gt;="&amp;EDATE(DATEVALUE(C415&amp;"-01"),3),'📋 Транзакції'!$C$5:$C$3623,"&lt;"&amp;EDATE(DATEVALUE(C415&amp;"-01"),4))</f>
        <v>19.99</v>
      </c>
      <c r="W415" s="37">
        <f>SUMIFS('📋 Транзакції'!$F$5:$F$3623,'📋 Транзакції'!$B$5:$B$3623,A415,'📋 Транзакції'!$C$5:$C$3623,"&gt;="&amp;EDATE(DATEVALUE(C415&amp;"-01"),4),'📋 Транзакції'!$C$5:$C$3623,"&lt;"&amp;EDATE(DATEVALUE(C415&amp;"-01"),5))</f>
        <v>0</v>
      </c>
      <c r="X415" s="37">
        <f>SUMIFS('📋 Транзакції'!$F$5:$F$3623,'📋 Транзакції'!$B$5:$B$3623,A415,'📋 Транзакції'!$C$5:$C$3623,"&gt;="&amp;EDATE(DATEVALUE(C415&amp;"-01"),5),'📋 Транзакції'!$C$5:$C$3623,"&lt;"&amp;EDATE(DATEVALUE(C415&amp;"-01"),6))</f>
        <v>0</v>
      </c>
      <c r="Y415" s="37">
        <f>SUMIFS('📋 Транзакції'!$F$5:$F$3623,'📋 Транзакції'!$B$5:$B$3623,A415,'📋 Транзакції'!$C$5:$C$3623,"&gt;="&amp;EDATE(DATEVALUE(C415&amp;"-01"),6),'📋 Транзакції'!$C$5:$C$3623,"&lt;"&amp;EDATE(DATEVALUE(C415&amp;"-01"),7))</f>
        <v>0</v>
      </c>
      <c r="Z415" s="37">
        <f>SUMIFS('📋 Транзакції'!$F$5:$F$3623,'📋 Транзакції'!$B$5:$B$3623,A415,'📋 Транзакції'!$C$5:$C$3623,"&gt;="&amp;EDATE(DATEVALUE(C415&amp;"-01"),7),'📋 Транзакції'!$C$5:$C$3623,"&lt;"&amp;EDATE(DATEVALUE(C415&amp;"-01"),8))</f>
        <v>0</v>
      </c>
      <c r="AA415" s="37">
        <f>SUMIFS('📋 Транзакції'!$F$5:$F$3623,'📋 Транзакції'!$B$5:$B$3623,A415,'📋 Транзакції'!$C$5:$C$3623,"&gt;="&amp;EDATE(DATEVALUE(C415&amp;"-01"),8),'📋 Транзакції'!$C$5:$C$3623,"&lt;"&amp;EDATE(DATEVALUE(C415&amp;"-01"),9))</f>
        <v>0</v>
      </c>
      <c r="AB415" s="37">
        <f>SUMIFS('📋 Транзакції'!$F$5:$F$3623,'📋 Транзакції'!$B$5:$B$3623,A415,'📋 Транзакції'!$C$5:$C$3623,"&gt;="&amp;EDATE(DATEVALUE(C415&amp;"-01"),9),'📋 Транзакції'!$C$5:$C$3623,"&lt;"&amp;EDATE(DATEVALUE(C415&amp;"-01"),10))</f>
        <v>0</v>
      </c>
      <c r="AC415" s="37">
        <f>SUMIFS('📋 Транзакції'!$F$5:$F$3623,'📋 Транзакції'!$B$5:$B$3623,A415,'📋 Транзакції'!$C$5:$C$3623,"&gt;="&amp;EDATE(DATEVALUE(C415&amp;"-01"),10),'📋 Транзакції'!$C$5:$C$3623,"&lt;"&amp;EDATE(DATEVALUE(C415&amp;"-01"),11))</f>
        <v>0</v>
      </c>
      <c r="AD415" s="37">
        <f>SUMIFS('📋 Транзакції'!$F$5:$F$3623,'📋 Транзакції'!$B$5:$B$3623,A415,'📋 Транзакції'!$C$5:$C$3623,"&gt;="&amp;EDATE(DATEVALUE(C415&amp;"-01"),11),'📋 Транзакції'!$C$5:$C$3623,"&lt;"&amp;EDATE(DATEVALUE(C415&amp;"-01"),12))</f>
        <v>0</v>
      </c>
    </row>
    <row r="416" ht="15.75" customHeight="1">
      <c r="A416" s="33" t="str">
        <f>'📋 Реєстрації'!A416:A1017</f>
        <v>U0878</v>
      </c>
      <c r="B416" s="34">
        <f t="array" ref="B416">INDEX('📋 Транзакції'!$C$5:$C$3623,MATCH(A416,'📋 Транзакції'!$B$5:$B$3623,0))</f>
        <v>45630</v>
      </c>
      <c r="C416" s="35" t="str">
        <f t="shared" si="1"/>
        <v>2024-12</v>
      </c>
      <c r="D416" s="36">
        <f>COUNTIF('📋 Транзакції'!$B$5:$B$3623,A416)</f>
        <v>5</v>
      </c>
      <c r="E416" s="36">
        <f>SUMIF('📋 Транзакції'!$B$5:$B$3623,A416,'📋 Транзакції'!$F$5:$F$3623)</f>
        <v>79.96</v>
      </c>
      <c r="F416" s="35">
        <f>INT($A$1-MAXIFS('📋 Транзакції'!$C$5:$C$3623,'📋 Транзакції'!$B$5:$B$3623,A416))</f>
        <v>20</v>
      </c>
      <c r="G416" s="37">
        <f>IF(COUNTIFS('📋 Транзакції'!$B$5:$B$3623,A416,'📋 Транзакції'!$C$5:$C$3623,"&gt;="&amp;EDATE(DATEVALUE(C416&amp;"-01"),0),'📋 Транзакції'!$C$5:$C$3623,"&lt;"&amp;EDATE(DATEVALUE(C416&amp;"-01"),1))&gt;0,1,0)</f>
        <v>1</v>
      </c>
      <c r="H416" s="37">
        <f>IF(COUNTIFS('📋 Транзакції'!$B$5:$B$3623,A416,'📋 Транзакції'!$C$5:$C$3623,"&gt;="&amp;EDATE(DATEVALUE(C416&amp;"-01"),1),'📋 Транзакції'!$C$5:$C$3623,"&lt;"&amp;EDATE(DATEVALUE(C416&amp;"-01"),2))&gt;0,1,0)</f>
        <v>1</v>
      </c>
      <c r="I416" s="37">
        <f>IF(COUNTIFS('📋 Транзакції'!$B$5:$B$3623,A416,'📋 Транзакції'!$C$5:$C$3623,"&gt;="&amp;EDATE(DATEVALUE(C416&amp;"-01"),2),'📋 Транзакції'!$C$5:$C$3623,"&lt;"&amp;EDATE(DATEVALUE(C416&amp;"-01"),3))&gt;0,1,0)</f>
        <v>1</v>
      </c>
      <c r="J416" s="37">
        <f>IF(COUNTIFS('📋 Транзакції'!$B$5:$B$3623,A416,'📋 Транзакції'!$C$5:$C$3623,"&gt;="&amp;EDATE(DATEVALUE(C416&amp;"-01"),3),'📋 Транзакції'!$C$5:$C$3623,"&lt;"&amp;EDATE(DATEVALUE(C416&amp;"-01"),4))&gt;0,1,0)</f>
        <v>1</v>
      </c>
      <c r="K416" s="37">
        <f>IF(COUNTIFS('📋 Транзакції'!$B$5:$B$3623,A416,'📋 Транзакції'!$C$5:$C$3623,"&gt;="&amp;EDATE(DATEVALUE(C416&amp;"-01"),4),'📋 Транзакції'!$C$5:$C$3623,"&lt;"&amp;EDATE(DATEVALUE(C416&amp;"-01"),5))&gt;0,1,0)</f>
        <v>0</v>
      </c>
      <c r="L416" s="37">
        <f>IF(COUNTIFS('📋 Транзакції'!$B$5:$B$3623,A416,'📋 Транзакції'!$C$5:$C$3623,"&gt;="&amp;EDATE(DATEVALUE(C416&amp;"-01"),5),'📋 Транзакції'!$C$5:$C$3623,"&lt;"&amp;EDATE(DATEVALUE(C416&amp;"-01"),6))&gt;0,1,0)</f>
        <v>0</v>
      </c>
      <c r="M416" s="37">
        <f>IF(COUNTIFS('📋 Транзакції'!$B$5:$B$3623,A416,'📋 Транзакції'!$C$5:$C$3623,"&gt;="&amp;EDATE(DATEVALUE(C416&amp;"-01"),6),'📋 Транзакції'!$C$5:$C$3623,"&lt;"&amp;EDATE(DATEVALUE(C416&amp;"-01"),7))&gt;0,1,0)</f>
        <v>0</v>
      </c>
      <c r="N416" s="37">
        <f>IF(COUNTIFS('📋 Транзакції'!$B$5:$B$3623,A416,'📋 Транзакції'!$C$5:$C$3623,"&gt;="&amp;EDATE(DATEVALUE(C416&amp;"-01"),7),'📋 Транзакції'!$C$5:$C$3623,"&lt;"&amp;EDATE(DATEVALUE(C416&amp;"-01"),8))&gt;0,1,0)</f>
        <v>0</v>
      </c>
      <c r="O416" s="37">
        <f>IF(COUNTIFS('📋 Транзакції'!$B$5:$B$3623,A416,'📋 Транзакції'!$C$5:$C$3623,"&gt;="&amp;EDATE(DATEVALUE(C416&amp;"-01"),8),'📋 Транзакції'!$C$5:$C$3623,"&lt;"&amp;EDATE(DATEVALUE(C416&amp;"-01"),9))&gt;0,1,0)</f>
        <v>0</v>
      </c>
      <c r="P416" s="37">
        <f>IF(COUNTIFS('📋 Транзакції'!$B$5:$B$3623,A416,'📋 Транзакції'!$C$5:$C$3623,"&gt;="&amp;EDATE(DATEVALUE(C416&amp;"-01"),9),'📋 Транзакції'!$C$5:$C$3623,"&lt;"&amp;EDATE(DATEVALUE(C416&amp;"-01"),10))&gt;0,1,0)</f>
        <v>0</v>
      </c>
      <c r="Q416" s="37">
        <f>IF(COUNTIFS('📋 Транзакції'!$B$5:$B$3623,A416,'📋 Транзакції'!$C$5:$C$3623,"&gt;="&amp;EDATE(DATEVALUE(C416&amp;"-01"),10),'📋 Транзакції'!$C$5:$C$3623,"&lt;"&amp;EDATE(DATEVALUE(C416&amp;"-01"),11))&gt;0,1,0)</f>
        <v>0</v>
      </c>
      <c r="R416" s="37">
        <f>IF(COUNTIFS('📋 Транзакції'!$B$5:$B$3623,A416,'📋 Транзакції'!$C$5:$C$3623,"&gt;="&amp;EDATE(DATEVALUE(C416&amp;"-01"),11),'📋 Транзакції'!$C$5:$C$3623,"&lt;"&amp;EDATE(DATEVALUE(C416&amp;"-01"),12))&gt;0,1,0)</f>
        <v>0</v>
      </c>
      <c r="S416" s="37">
        <f>SUMIFS('📋 Транзакції'!$F$5:$F$3623,'📋 Транзакції'!$B$5:$B$3623,A416,'📋 Транзакції'!$C$5:$C$3623,"&gt;="&amp;EDATE(DATEVALUE(C416&amp;"-01"),0),'📋 Транзакції'!$C$5:$C$3623,"&lt;"&amp;EDATE(DATEVALUE(C416&amp;"-01"),1))</f>
        <v>19.99</v>
      </c>
      <c r="T416" s="37">
        <f>SUMIFS('📋 Транзакції'!$F$5:$F$3623,'📋 Транзакції'!$B$5:$B$3623,A416,'📋 Транзакції'!$C$5:$C$3623,"&gt;="&amp;EDATE(DATEVALUE(C416&amp;"-01"),1),'📋 Транзакції'!$C$5:$C$3623,"&lt;"&amp;EDATE(DATEVALUE(C416&amp;"-01"),2))</f>
        <v>19.99</v>
      </c>
      <c r="U416" s="37">
        <f>SUMIFS('📋 Транзакції'!$F$5:$F$3623,'📋 Транзакції'!$B$5:$B$3623,A416,'📋 Транзакції'!$C$5:$C$3623,"&gt;="&amp;EDATE(DATEVALUE(C416&amp;"-01"),2),'📋 Транзакції'!$C$5:$C$3623,"&lt;"&amp;EDATE(DATEVALUE(C416&amp;"-01"),3))</f>
        <v>19.99</v>
      </c>
      <c r="V416" s="37">
        <f>SUMIFS('📋 Транзакції'!$F$5:$F$3623,'📋 Транзакції'!$B$5:$B$3623,A416,'📋 Транзакції'!$C$5:$C$3623,"&gt;="&amp;EDATE(DATEVALUE(C416&amp;"-01"),3),'📋 Транзакції'!$C$5:$C$3623,"&lt;"&amp;EDATE(DATEVALUE(C416&amp;"-01"),4))</f>
        <v>19.99</v>
      </c>
      <c r="W416" s="37">
        <f>SUMIFS('📋 Транзакції'!$F$5:$F$3623,'📋 Транзакції'!$B$5:$B$3623,A416,'📋 Транзакції'!$C$5:$C$3623,"&gt;="&amp;EDATE(DATEVALUE(C416&amp;"-01"),4),'📋 Транзакції'!$C$5:$C$3623,"&lt;"&amp;EDATE(DATEVALUE(C416&amp;"-01"),5))</f>
        <v>0</v>
      </c>
      <c r="X416" s="37">
        <f>SUMIFS('📋 Транзакції'!$F$5:$F$3623,'📋 Транзакції'!$B$5:$B$3623,A416,'📋 Транзакції'!$C$5:$C$3623,"&gt;="&amp;EDATE(DATEVALUE(C416&amp;"-01"),5),'📋 Транзакції'!$C$5:$C$3623,"&lt;"&amp;EDATE(DATEVALUE(C416&amp;"-01"),6))</f>
        <v>0</v>
      </c>
      <c r="Y416" s="37">
        <f>SUMIFS('📋 Транзакції'!$F$5:$F$3623,'📋 Транзакції'!$B$5:$B$3623,A416,'📋 Транзакції'!$C$5:$C$3623,"&gt;="&amp;EDATE(DATEVALUE(C416&amp;"-01"),6),'📋 Транзакції'!$C$5:$C$3623,"&lt;"&amp;EDATE(DATEVALUE(C416&amp;"-01"),7))</f>
        <v>0</v>
      </c>
      <c r="Z416" s="37">
        <f>SUMIFS('📋 Транзакції'!$F$5:$F$3623,'📋 Транзакції'!$B$5:$B$3623,A416,'📋 Транзакції'!$C$5:$C$3623,"&gt;="&amp;EDATE(DATEVALUE(C416&amp;"-01"),7),'📋 Транзакції'!$C$5:$C$3623,"&lt;"&amp;EDATE(DATEVALUE(C416&amp;"-01"),8))</f>
        <v>0</v>
      </c>
      <c r="AA416" s="37">
        <f>SUMIFS('📋 Транзакції'!$F$5:$F$3623,'📋 Транзакції'!$B$5:$B$3623,A416,'📋 Транзакції'!$C$5:$C$3623,"&gt;="&amp;EDATE(DATEVALUE(C416&amp;"-01"),8),'📋 Транзакції'!$C$5:$C$3623,"&lt;"&amp;EDATE(DATEVALUE(C416&amp;"-01"),9))</f>
        <v>0</v>
      </c>
      <c r="AB416" s="37">
        <f>SUMIFS('📋 Транзакції'!$F$5:$F$3623,'📋 Транзакції'!$B$5:$B$3623,A416,'📋 Транзакції'!$C$5:$C$3623,"&gt;="&amp;EDATE(DATEVALUE(C416&amp;"-01"),9),'📋 Транзакції'!$C$5:$C$3623,"&lt;"&amp;EDATE(DATEVALUE(C416&amp;"-01"),10))</f>
        <v>0</v>
      </c>
      <c r="AC416" s="37">
        <f>SUMIFS('📋 Транзакції'!$F$5:$F$3623,'📋 Транзакції'!$B$5:$B$3623,A416,'📋 Транзакції'!$C$5:$C$3623,"&gt;="&amp;EDATE(DATEVALUE(C416&amp;"-01"),10),'📋 Транзакції'!$C$5:$C$3623,"&lt;"&amp;EDATE(DATEVALUE(C416&amp;"-01"),11))</f>
        <v>0</v>
      </c>
      <c r="AD416" s="37">
        <f>SUMIFS('📋 Транзакції'!$F$5:$F$3623,'📋 Транзакції'!$B$5:$B$3623,A416,'📋 Транзакції'!$C$5:$C$3623,"&gt;="&amp;EDATE(DATEVALUE(C416&amp;"-01"),11),'📋 Транзакції'!$C$5:$C$3623,"&lt;"&amp;EDATE(DATEVALUE(C416&amp;"-01"),12))</f>
        <v>0</v>
      </c>
    </row>
    <row r="417" ht="15.75" customHeight="1">
      <c r="A417" s="33" t="str">
        <f>'📋 Реєстрації'!A417:A1018</f>
        <v>U0684</v>
      </c>
      <c r="B417" s="34">
        <f t="array" ref="B417">INDEX('📋 Транзакції'!$C$5:$C$3623,MATCH(A417,'📋 Транзакції'!$B$5:$B$3623,0))</f>
        <v>45631</v>
      </c>
      <c r="C417" s="35" t="str">
        <f t="shared" si="1"/>
        <v>2024-12</v>
      </c>
      <c r="D417" s="36">
        <f>COUNTIF('📋 Транзакції'!$B$5:$B$3623,A417)</f>
        <v>2</v>
      </c>
      <c r="E417" s="36">
        <f>SUMIF('📋 Транзакції'!$B$5:$B$3623,A417,'📋 Транзакції'!$F$5:$F$3623)</f>
        <v>19.99</v>
      </c>
      <c r="F417" s="35">
        <f>INT($A$1-MAXIFS('📋 Транзакції'!$C$5:$C$3623,'📋 Транзакції'!$B$5:$B$3623,A417))</f>
        <v>109</v>
      </c>
      <c r="G417" s="37">
        <f>IF(COUNTIFS('📋 Транзакції'!$B$5:$B$3623,A417,'📋 Транзакції'!$C$5:$C$3623,"&gt;="&amp;EDATE(DATEVALUE(C417&amp;"-01"),0),'📋 Транзакції'!$C$5:$C$3623,"&lt;"&amp;EDATE(DATEVALUE(C417&amp;"-01"),1))&gt;0,1,0)</f>
        <v>1</v>
      </c>
      <c r="H417" s="37">
        <f>IF(COUNTIFS('📋 Транзакції'!$B$5:$B$3623,A417,'📋 Транзакції'!$C$5:$C$3623,"&gt;="&amp;EDATE(DATEVALUE(C417&amp;"-01"),1),'📋 Транзакції'!$C$5:$C$3623,"&lt;"&amp;EDATE(DATEVALUE(C417&amp;"-01"),2))&gt;0,1,0)</f>
        <v>0</v>
      </c>
      <c r="I417" s="37">
        <f>IF(COUNTIFS('📋 Транзакції'!$B$5:$B$3623,A417,'📋 Транзакції'!$C$5:$C$3623,"&gt;="&amp;EDATE(DATEVALUE(C417&amp;"-01"),2),'📋 Транзакції'!$C$5:$C$3623,"&lt;"&amp;EDATE(DATEVALUE(C417&amp;"-01"),3))&gt;0,1,0)</f>
        <v>0</v>
      </c>
      <c r="J417" s="37">
        <f>IF(COUNTIFS('📋 Транзакції'!$B$5:$B$3623,A417,'📋 Транзакції'!$C$5:$C$3623,"&gt;="&amp;EDATE(DATEVALUE(C417&amp;"-01"),3),'📋 Транзакції'!$C$5:$C$3623,"&lt;"&amp;EDATE(DATEVALUE(C417&amp;"-01"),4))&gt;0,1,0)</f>
        <v>0</v>
      </c>
      <c r="K417" s="37">
        <f>IF(COUNTIFS('📋 Транзакції'!$B$5:$B$3623,A417,'📋 Транзакції'!$C$5:$C$3623,"&gt;="&amp;EDATE(DATEVALUE(C417&amp;"-01"),4),'📋 Транзакції'!$C$5:$C$3623,"&lt;"&amp;EDATE(DATEVALUE(C417&amp;"-01"),5))&gt;0,1,0)</f>
        <v>0</v>
      </c>
      <c r="L417" s="37">
        <f>IF(COUNTIFS('📋 Транзакції'!$B$5:$B$3623,A417,'📋 Транзакції'!$C$5:$C$3623,"&gt;="&amp;EDATE(DATEVALUE(C417&amp;"-01"),5),'📋 Транзакції'!$C$5:$C$3623,"&lt;"&amp;EDATE(DATEVALUE(C417&amp;"-01"),6))&gt;0,1,0)</f>
        <v>0</v>
      </c>
      <c r="M417" s="37">
        <f>IF(COUNTIFS('📋 Транзакції'!$B$5:$B$3623,A417,'📋 Транзакції'!$C$5:$C$3623,"&gt;="&amp;EDATE(DATEVALUE(C417&amp;"-01"),6),'📋 Транзакції'!$C$5:$C$3623,"&lt;"&amp;EDATE(DATEVALUE(C417&amp;"-01"),7))&gt;0,1,0)</f>
        <v>0</v>
      </c>
      <c r="N417" s="37">
        <f>IF(COUNTIFS('📋 Транзакції'!$B$5:$B$3623,A417,'📋 Транзакції'!$C$5:$C$3623,"&gt;="&amp;EDATE(DATEVALUE(C417&amp;"-01"),7),'📋 Транзакції'!$C$5:$C$3623,"&lt;"&amp;EDATE(DATEVALUE(C417&amp;"-01"),8))&gt;0,1,0)</f>
        <v>0</v>
      </c>
      <c r="O417" s="37">
        <f>IF(COUNTIFS('📋 Транзакції'!$B$5:$B$3623,A417,'📋 Транзакції'!$C$5:$C$3623,"&gt;="&amp;EDATE(DATEVALUE(C417&amp;"-01"),8),'📋 Транзакції'!$C$5:$C$3623,"&lt;"&amp;EDATE(DATEVALUE(C417&amp;"-01"),9))&gt;0,1,0)</f>
        <v>0</v>
      </c>
      <c r="P417" s="37">
        <f>IF(COUNTIFS('📋 Транзакції'!$B$5:$B$3623,A417,'📋 Транзакції'!$C$5:$C$3623,"&gt;="&amp;EDATE(DATEVALUE(C417&amp;"-01"),9),'📋 Транзакції'!$C$5:$C$3623,"&lt;"&amp;EDATE(DATEVALUE(C417&amp;"-01"),10))&gt;0,1,0)</f>
        <v>0</v>
      </c>
      <c r="Q417" s="37">
        <f>IF(COUNTIFS('📋 Транзакції'!$B$5:$B$3623,A417,'📋 Транзакції'!$C$5:$C$3623,"&gt;="&amp;EDATE(DATEVALUE(C417&amp;"-01"),10),'📋 Транзакції'!$C$5:$C$3623,"&lt;"&amp;EDATE(DATEVALUE(C417&amp;"-01"),11))&gt;0,1,0)</f>
        <v>0</v>
      </c>
      <c r="R417" s="37">
        <f>IF(COUNTIFS('📋 Транзакції'!$B$5:$B$3623,A417,'📋 Транзакції'!$C$5:$C$3623,"&gt;="&amp;EDATE(DATEVALUE(C417&amp;"-01"),11),'📋 Транзакції'!$C$5:$C$3623,"&lt;"&amp;EDATE(DATEVALUE(C417&amp;"-01"),12))&gt;0,1,0)</f>
        <v>0</v>
      </c>
      <c r="S417" s="37">
        <f>SUMIFS('📋 Транзакції'!$F$5:$F$3623,'📋 Транзакції'!$B$5:$B$3623,A417,'📋 Транзакції'!$C$5:$C$3623,"&gt;="&amp;EDATE(DATEVALUE(C417&amp;"-01"),0),'📋 Транзакції'!$C$5:$C$3623,"&lt;"&amp;EDATE(DATEVALUE(C417&amp;"-01"),1))</f>
        <v>19.99</v>
      </c>
      <c r="T417" s="37">
        <f>SUMIFS('📋 Транзакції'!$F$5:$F$3623,'📋 Транзакції'!$B$5:$B$3623,A417,'📋 Транзакції'!$C$5:$C$3623,"&gt;="&amp;EDATE(DATEVALUE(C417&amp;"-01"),1),'📋 Транзакції'!$C$5:$C$3623,"&lt;"&amp;EDATE(DATEVALUE(C417&amp;"-01"),2))</f>
        <v>0</v>
      </c>
      <c r="U417" s="37">
        <f>SUMIFS('📋 Транзакції'!$F$5:$F$3623,'📋 Транзакції'!$B$5:$B$3623,A417,'📋 Транзакції'!$C$5:$C$3623,"&gt;="&amp;EDATE(DATEVALUE(C417&amp;"-01"),2),'📋 Транзакції'!$C$5:$C$3623,"&lt;"&amp;EDATE(DATEVALUE(C417&amp;"-01"),3))</f>
        <v>0</v>
      </c>
      <c r="V417" s="37">
        <f>SUMIFS('📋 Транзакції'!$F$5:$F$3623,'📋 Транзакції'!$B$5:$B$3623,A417,'📋 Транзакції'!$C$5:$C$3623,"&gt;="&amp;EDATE(DATEVALUE(C417&amp;"-01"),3),'📋 Транзакції'!$C$5:$C$3623,"&lt;"&amp;EDATE(DATEVALUE(C417&amp;"-01"),4))</f>
        <v>0</v>
      </c>
      <c r="W417" s="37">
        <f>SUMIFS('📋 Транзакції'!$F$5:$F$3623,'📋 Транзакції'!$B$5:$B$3623,A417,'📋 Транзакції'!$C$5:$C$3623,"&gt;="&amp;EDATE(DATEVALUE(C417&amp;"-01"),4),'📋 Транзакції'!$C$5:$C$3623,"&lt;"&amp;EDATE(DATEVALUE(C417&amp;"-01"),5))</f>
        <v>0</v>
      </c>
      <c r="X417" s="37">
        <f>SUMIFS('📋 Транзакції'!$F$5:$F$3623,'📋 Транзакції'!$B$5:$B$3623,A417,'📋 Транзакції'!$C$5:$C$3623,"&gt;="&amp;EDATE(DATEVALUE(C417&amp;"-01"),5),'📋 Транзакції'!$C$5:$C$3623,"&lt;"&amp;EDATE(DATEVALUE(C417&amp;"-01"),6))</f>
        <v>0</v>
      </c>
      <c r="Y417" s="37">
        <f>SUMIFS('📋 Транзакції'!$F$5:$F$3623,'📋 Транзакції'!$B$5:$B$3623,A417,'📋 Транзакції'!$C$5:$C$3623,"&gt;="&amp;EDATE(DATEVALUE(C417&amp;"-01"),6),'📋 Транзакції'!$C$5:$C$3623,"&lt;"&amp;EDATE(DATEVALUE(C417&amp;"-01"),7))</f>
        <v>0</v>
      </c>
      <c r="Z417" s="37">
        <f>SUMIFS('📋 Транзакції'!$F$5:$F$3623,'📋 Транзакції'!$B$5:$B$3623,A417,'📋 Транзакції'!$C$5:$C$3623,"&gt;="&amp;EDATE(DATEVALUE(C417&amp;"-01"),7),'📋 Транзакції'!$C$5:$C$3623,"&lt;"&amp;EDATE(DATEVALUE(C417&amp;"-01"),8))</f>
        <v>0</v>
      </c>
      <c r="AA417" s="37">
        <f>SUMIFS('📋 Транзакції'!$F$5:$F$3623,'📋 Транзакції'!$B$5:$B$3623,A417,'📋 Транзакції'!$C$5:$C$3623,"&gt;="&amp;EDATE(DATEVALUE(C417&amp;"-01"),8),'📋 Транзакції'!$C$5:$C$3623,"&lt;"&amp;EDATE(DATEVALUE(C417&amp;"-01"),9))</f>
        <v>0</v>
      </c>
      <c r="AB417" s="37">
        <f>SUMIFS('📋 Транзакції'!$F$5:$F$3623,'📋 Транзакції'!$B$5:$B$3623,A417,'📋 Транзакції'!$C$5:$C$3623,"&gt;="&amp;EDATE(DATEVALUE(C417&amp;"-01"),9),'📋 Транзакції'!$C$5:$C$3623,"&lt;"&amp;EDATE(DATEVALUE(C417&amp;"-01"),10))</f>
        <v>0</v>
      </c>
      <c r="AC417" s="37">
        <f>SUMIFS('📋 Транзакції'!$F$5:$F$3623,'📋 Транзакції'!$B$5:$B$3623,A417,'📋 Транзакції'!$C$5:$C$3623,"&gt;="&amp;EDATE(DATEVALUE(C417&amp;"-01"),10),'📋 Транзакції'!$C$5:$C$3623,"&lt;"&amp;EDATE(DATEVALUE(C417&amp;"-01"),11))</f>
        <v>0</v>
      </c>
      <c r="AD417" s="37">
        <f>SUMIFS('📋 Транзакції'!$F$5:$F$3623,'📋 Транзакції'!$B$5:$B$3623,A417,'📋 Транзакції'!$C$5:$C$3623,"&gt;="&amp;EDATE(DATEVALUE(C417&amp;"-01"),11),'📋 Транзакції'!$C$5:$C$3623,"&lt;"&amp;EDATE(DATEVALUE(C417&amp;"-01"),12))</f>
        <v>0</v>
      </c>
    </row>
    <row r="418" ht="15.75" customHeight="1">
      <c r="A418" s="33" t="str">
        <f>'📋 Реєстрації'!A418:A1019</f>
        <v>U0873</v>
      </c>
      <c r="B418" s="34">
        <f t="array" ref="B418">INDEX('📋 Транзакції'!$C$5:$C$3623,MATCH(A418,'📋 Транзакції'!$B$5:$B$3623,0))</f>
        <v>45632</v>
      </c>
      <c r="C418" s="35" t="str">
        <f t="shared" si="1"/>
        <v>2024-12</v>
      </c>
      <c r="D418" s="36">
        <f>COUNTIF('📋 Транзакції'!$B$5:$B$3623,A418)</f>
        <v>5</v>
      </c>
      <c r="E418" s="36">
        <f>SUMIF('📋 Транзакції'!$B$5:$B$3623,A418,'📋 Транзакції'!$F$5:$F$3623)</f>
        <v>79.96</v>
      </c>
      <c r="F418" s="35">
        <f>INT($A$1-MAXIFS('📋 Транзакції'!$C$5:$C$3623,'📋 Транзакції'!$B$5:$B$3623,A418))</f>
        <v>18</v>
      </c>
      <c r="G418" s="37">
        <f>IF(COUNTIFS('📋 Транзакції'!$B$5:$B$3623,A418,'📋 Транзакції'!$C$5:$C$3623,"&gt;="&amp;EDATE(DATEVALUE(C418&amp;"-01"),0),'📋 Транзакції'!$C$5:$C$3623,"&lt;"&amp;EDATE(DATEVALUE(C418&amp;"-01"),1))&gt;0,1,0)</f>
        <v>1</v>
      </c>
      <c r="H418" s="37">
        <f>IF(COUNTIFS('📋 Транзакції'!$B$5:$B$3623,A418,'📋 Транзакції'!$C$5:$C$3623,"&gt;="&amp;EDATE(DATEVALUE(C418&amp;"-01"),1),'📋 Транзакції'!$C$5:$C$3623,"&lt;"&amp;EDATE(DATEVALUE(C418&amp;"-01"),2))&gt;0,1,0)</f>
        <v>1</v>
      </c>
      <c r="I418" s="37">
        <f>IF(COUNTIFS('📋 Транзакції'!$B$5:$B$3623,A418,'📋 Транзакції'!$C$5:$C$3623,"&gt;="&amp;EDATE(DATEVALUE(C418&amp;"-01"),2),'📋 Транзакції'!$C$5:$C$3623,"&lt;"&amp;EDATE(DATEVALUE(C418&amp;"-01"),3))&gt;0,1,0)</f>
        <v>1</v>
      </c>
      <c r="J418" s="37">
        <f>IF(COUNTIFS('📋 Транзакції'!$B$5:$B$3623,A418,'📋 Транзакції'!$C$5:$C$3623,"&gt;="&amp;EDATE(DATEVALUE(C418&amp;"-01"),3),'📋 Транзакції'!$C$5:$C$3623,"&lt;"&amp;EDATE(DATEVALUE(C418&amp;"-01"),4))&gt;0,1,0)</f>
        <v>1</v>
      </c>
      <c r="K418" s="37">
        <f>IF(COUNTIFS('📋 Транзакції'!$B$5:$B$3623,A418,'📋 Транзакції'!$C$5:$C$3623,"&gt;="&amp;EDATE(DATEVALUE(C418&amp;"-01"),4),'📋 Транзакції'!$C$5:$C$3623,"&lt;"&amp;EDATE(DATEVALUE(C418&amp;"-01"),5))&gt;0,1,0)</f>
        <v>0</v>
      </c>
      <c r="L418" s="37">
        <f>IF(COUNTIFS('📋 Транзакції'!$B$5:$B$3623,A418,'📋 Транзакції'!$C$5:$C$3623,"&gt;="&amp;EDATE(DATEVALUE(C418&amp;"-01"),5),'📋 Транзакції'!$C$5:$C$3623,"&lt;"&amp;EDATE(DATEVALUE(C418&amp;"-01"),6))&gt;0,1,0)</f>
        <v>0</v>
      </c>
      <c r="M418" s="37">
        <f>IF(COUNTIFS('📋 Транзакції'!$B$5:$B$3623,A418,'📋 Транзакції'!$C$5:$C$3623,"&gt;="&amp;EDATE(DATEVALUE(C418&amp;"-01"),6),'📋 Транзакції'!$C$5:$C$3623,"&lt;"&amp;EDATE(DATEVALUE(C418&amp;"-01"),7))&gt;0,1,0)</f>
        <v>0</v>
      </c>
      <c r="N418" s="37">
        <f>IF(COUNTIFS('📋 Транзакції'!$B$5:$B$3623,A418,'📋 Транзакції'!$C$5:$C$3623,"&gt;="&amp;EDATE(DATEVALUE(C418&amp;"-01"),7),'📋 Транзакції'!$C$5:$C$3623,"&lt;"&amp;EDATE(DATEVALUE(C418&amp;"-01"),8))&gt;0,1,0)</f>
        <v>0</v>
      </c>
      <c r="O418" s="37">
        <f>IF(COUNTIFS('📋 Транзакції'!$B$5:$B$3623,A418,'📋 Транзакції'!$C$5:$C$3623,"&gt;="&amp;EDATE(DATEVALUE(C418&amp;"-01"),8),'📋 Транзакції'!$C$5:$C$3623,"&lt;"&amp;EDATE(DATEVALUE(C418&amp;"-01"),9))&gt;0,1,0)</f>
        <v>0</v>
      </c>
      <c r="P418" s="37">
        <f>IF(COUNTIFS('📋 Транзакції'!$B$5:$B$3623,A418,'📋 Транзакції'!$C$5:$C$3623,"&gt;="&amp;EDATE(DATEVALUE(C418&amp;"-01"),9),'📋 Транзакції'!$C$5:$C$3623,"&lt;"&amp;EDATE(DATEVALUE(C418&amp;"-01"),10))&gt;0,1,0)</f>
        <v>0</v>
      </c>
      <c r="Q418" s="37">
        <f>IF(COUNTIFS('📋 Транзакції'!$B$5:$B$3623,A418,'📋 Транзакції'!$C$5:$C$3623,"&gt;="&amp;EDATE(DATEVALUE(C418&amp;"-01"),10),'📋 Транзакції'!$C$5:$C$3623,"&lt;"&amp;EDATE(DATEVALUE(C418&amp;"-01"),11))&gt;0,1,0)</f>
        <v>0</v>
      </c>
      <c r="R418" s="37">
        <f>IF(COUNTIFS('📋 Транзакції'!$B$5:$B$3623,A418,'📋 Транзакції'!$C$5:$C$3623,"&gt;="&amp;EDATE(DATEVALUE(C418&amp;"-01"),11),'📋 Транзакції'!$C$5:$C$3623,"&lt;"&amp;EDATE(DATEVALUE(C418&amp;"-01"),12))&gt;0,1,0)</f>
        <v>0</v>
      </c>
      <c r="S418" s="37">
        <f>SUMIFS('📋 Транзакції'!$F$5:$F$3623,'📋 Транзакції'!$B$5:$B$3623,A418,'📋 Транзакції'!$C$5:$C$3623,"&gt;="&amp;EDATE(DATEVALUE(C418&amp;"-01"),0),'📋 Транзакції'!$C$5:$C$3623,"&lt;"&amp;EDATE(DATEVALUE(C418&amp;"-01"),1))</f>
        <v>19.99</v>
      </c>
      <c r="T418" s="37">
        <f>SUMIFS('📋 Транзакції'!$F$5:$F$3623,'📋 Транзакції'!$B$5:$B$3623,A418,'📋 Транзакції'!$C$5:$C$3623,"&gt;="&amp;EDATE(DATEVALUE(C418&amp;"-01"),1),'📋 Транзакції'!$C$5:$C$3623,"&lt;"&amp;EDATE(DATEVALUE(C418&amp;"-01"),2))</f>
        <v>19.99</v>
      </c>
      <c r="U418" s="37">
        <f>SUMIFS('📋 Транзакції'!$F$5:$F$3623,'📋 Транзакції'!$B$5:$B$3623,A418,'📋 Транзакції'!$C$5:$C$3623,"&gt;="&amp;EDATE(DATEVALUE(C418&amp;"-01"),2),'📋 Транзакції'!$C$5:$C$3623,"&lt;"&amp;EDATE(DATEVALUE(C418&amp;"-01"),3))</f>
        <v>19.99</v>
      </c>
      <c r="V418" s="37">
        <f>SUMIFS('📋 Транзакції'!$F$5:$F$3623,'📋 Транзакції'!$B$5:$B$3623,A418,'📋 Транзакції'!$C$5:$C$3623,"&gt;="&amp;EDATE(DATEVALUE(C418&amp;"-01"),3),'📋 Транзакції'!$C$5:$C$3623,"&lt;"&amp;EDATE(DATEVALUE(C418&amp;"-01"),4))</f>
        <v>19.99</v>
      </c>
      <c r="W418" s="37">
        <f>SUMIFS('📋 Транзакції'!$F$5:$F$3623,'📋 Транзакції'!$B$5:$B$3623,A418,'📋 Транзакції'!$C$5:$C$3623,"&gt;="&amp;EDATE(DATEVALUE(C418&amp;"-01"),4),'📋 Транзакції'!$C$5:$C$3623,"&lt;"&amp;EDATE(DATEVALUE(C418&amp;"-01"),5))</f>
        <v>0</v>
      </c>
      <c r="X418" s="37">
        <f>SUMIFS('📋 Транзакції'!$F$5:$F$3623,'📋 Транзакції'!$B$5:$B$3623,A418,'📋 Транзакції'!$C$5:$C$3623,"&gt;="&amp;EDATE(DATEVALUE(C418&amp;"-01"),5),'📋 Транзакції'!$C$5:$C$3623,"&lt;"&amp;EDATE(DATEVALUE(C418&amp;"-01"),6))</f>
        <v>0</v>
      </c>
      <c r="Y418" s="37">
        <f>SUMIFS('📋 Транзакції'!$F$5:$F$3623,'📋 Транзакції'!$B$5:$B$3623,A418,'📋 Транзакції'!$C$5:$C$3623,"&gt;="&amp;EDATE(DATEVALUE(C418&amp;"-01"),6),'📋 Транзакції'!$C$5:$C$3623,"&lt;"&amp;EDATE(DATEVALUE(C418&amp;"-01"),7))</f>
        <v>0</v>
      </c>
      <c r="Z418" s="37">
        <f>SUMIFS('📋 Транзакції'!$F$5:$F$3623,'📋 Транзакції'!$B$5:$B$3623,A418,'📋 Транзакції'!$C$5:$C$3623,"&gt;="&amp;EDATE(DATEVALUE(C418&amp;"-01"),7),'📋 Транзакції'!$C$5:$C$3623,"&lt;"&amp;EDATE(DATEVALUE(C418&amp;"-01"),8))</f>
        <v>0</v>
      </c>
      <c r="AA418" s="37">
        <f>SUMIFS('📋 Транзакції'!$F$5:$F$3623,'📋 Транзакції'!$B$5:$B$3623,A418,'📋 Транзакції'!$C$5:$C$3623,"&gt;="&amp;EDATE(DATEVALUE(C418&amp;"-01"),8),'📋 Транзакції'!$C$5:$C$3623,"&lt;"&amp;EDATE(DATEVALUE(C418&amp;"-01"),9))</f>
        <v>0</v>
      </c>
      <c r="AB418" s="37">
        <f>SUMIFS('📋 Транзакції'!$F$5:$F$3623,'📋 Транзакції'!$B$5:$B$3623,A418,'📋 Транзакції'!$C$5:$C$3623,"&gt;="&amp;EDATE(DATEVALUE(C418&amp;"-01"),9),'📋 Транзакції'!$C$5:$C$3623,"&lt;"&amp;EDATE(DATEVALUE(C418&amp;"-01"),10))</f>
        <v>0</v>
      </c>
      <c r="AC418" s="37">
        <f>SUMIFS('📋 Транзакції'!$F$5:$F$3623,'📋 Транзакції'!$B$5:$B$3623,A418,'📋 Транзакції'!$C$5:$C$3623,"&gt;="&amp;EDATE(DATEVALUE(C418&amp;"-01"),10),'📋 Транзакції'!$C$5:$C$3623,"&lt;"&amp;EDATE(DATEVALUE(C418&amp;"-01"),11))</f>
        <v>0</v>
      </c>
      <c r="AD418" s="37">
        <f>SUMIFS('📋 Транзакції'!$F$5:$F$3623,'📋 Транзакції'!$B$5:$B$3623,A418,'📋 Транзакції'!$C$5:$C$3623,"&gt;="&amp;EDATE(DATEVALUE(C418&amp;"-01"),11),'📋 Транзакції'!$C$5:$C$3623,"&lt;"&amp;EDATE(DATEVALUE(C418&amp;"-01"),12))</f>
        <v>0</v>
      </c>
    </row>
    <row r="419" ht="15.75" customHeight="1">
      <c r="A419" s="33" t="str">
        <f>'📋 Реєстрації'!A419:A1020</f>
        <v>U0010</v>
      </c>
      <c r="B419" s="34">
        <f t="array" ref="B419">INDEX('📋 Транзакції'!$C$5:$C$3623,MATCH(A419,'📋 Транзакції'!$B$5:$B$3623,0))</f>
        <v>45633</v>
      </c>
      <c r="C419" s="35" t="str">
        <f t="shared" si="1"/>
        <v>2024-12</v>
      </c>
      <c r="D419" s="36">
        <f>COUNTIF('📋 Транзакції'!$B$5:$B$3623,A419)</f>
        <v>5</v>
      </c>
      <c r="E419" s="36">
        <f>SUMIF('📋 Транзакції'!$B$5:$B$3623,A419,'📋 Транзакції'!$F$5:$F$3623)</f>
        <v>79.96</v>
      </c>
      <c r="F419" s="35">
        <f>INT($A$1-MAXIFS('📋 Транзакції'!$C$5:$C$3623,'📋 Транзакції'!$B$5:$B$3623,A419))</f>
        <v>17</v>
      </c>
      <c r="G419" s="37">
        <f>IF(COUNTIFS('📋 Транзакції'!$B$5:$B$3623,A419,'📋 Транзакції'!$C$5:$C$3623,"&gt;="&amp;EDATE(DATEVALUE(C419&amp;"-01"),0),'📋 Транзакції'!$C$5:$C$3623,"&lt;"&amp;EDATE(DATEVALUE(C419&amp;"-01"),1))&gt;0,1,0)</f>
        <v>1</v>
      </c>
      <c r="H419" s="37">
        <f>IF(COUNTIFS('📋 Транзакції'!$B$5:$B$3623,A419,'📋 Транзакції'!$C$5:$C$3623,"&gt;="&amp;EDATE(DATEVALUE(C419&amp;"-01"),1),'📋 Транзакції'!$C$5:$C$3623,"&lt;"&amp;EDATE(DATEVALUE(C419&amp;"-01"),2))&gt;0,1,0)</f>
        <v>1</v>
      </c>
      <c r="I419" s="37">
        <f>IF(COUNTIFS('📋 Транзакції'!$B$5:$B$3623,A419,'📋 Транзакції'!$C$5:$C$3623,"&gt;="&amp;EDATE(DATEVALUE(C419&amp;"-01"),2),'📋 Транзакції'!$C$5:$C$3623,"&lt;"&amp;EDATE(DATEVALUE(C419&amp;"-01"),3))&gt;0,1,0)</f>
        <v>1</v>
      </c>
      <c r="J419" s="37">
        <f>IF(COUNTIFS('📋 Транзакції'!$B$5:$B$3623,A419,'📋 Транзакції'!$C$5:$C$3623,"&gt;="&amp;EDATE(DATEVALUE(C419&amp;"-01"),3),'📋 Транзакції'!$C$5:$C$3623,"&lt;"&amp;EDATE(DATEVALUE(C419&amp;"-01"),4))&gt;0,1,0)</f>
        <v>1</v>
      </c>
      <c r="K419" s="37">
        <f>IF(COUNTIFS('📋 Транзакції'!$B$5:$B$3623,A419,'📋 Транзакції'!$C$5:$C$3623,"&gt;="&amp;EDATE(DATEVALUE(C419&amp;"-01"),4),'📋 Транзакції'!$C$5:$C$3623,"&lt;"&amp;EDATE(DATEVALUE(C419&amp;"-01"),5))&gt;0,1,0)</f>
        <v>0</v>
      </c>
      <c r="L419" s="37">
        <f>IF(COUNTIFS('📋 Транзакції'!$B$5:$B$3623,A419,'📋 Транзакції'!$C$5:$C$3623,"&gt;="&amp;EDATE(DATEVALUE(C419&amp;"-01"),5),'📋 Транзакції'!$C$5:$C$3623,"&lt;"&amp;EDATE(DATEVALUE(C419&amp;"-01"),6))&gt;0,1,0)</f>
        <v>0</v>
      </c>
      <c r="M419" s="37">
        <f>IF(COUNTIFS('📋 Транзакції'!$B$5:$B$3623,A419,'📋 Транзакції'!$C$5:$C$3623,"&gt;="&amp;EDATE(DATEVALUE(C419&amp;"-01"),6),'📋 Транзакції'!$C$5:$C$3623,"&lt;"&amp;EDATE(DATEVALUE(C419&amp;"-01"),7))&gt;0,1,0)</f>
        <v>0</v>
      </c>
      <c r="N419" s="37">
        <f>IF(COUNTIFS('📋 Транзакції'!$B$5:$B$3623,A419,'📋 Транзакції'!$C$5:$C$3623,"&gt;="&amp;EDATE(DATEVALUE(C419&amp;"-01"),7),'📋 Транзакції'!$C$5:$C$3623,"&lt;"&amp;EDATE(DATEVALUE(C419&amp;"-01"),8))&gt;0,1,0)</f>
        <v>0</v>
      </c>
      <c r="O419" s="37">
        <f>IF(COUNTIFS('📋 Транзакції'!$B$5:$B$3623,A419,'📋 Транзакції'!$C$5:$C$3623,"&gt;="&amp;EDATE(DATEVALUE(C419&amp;"-01"),8),'📋 Транзакції'!$C$5:$C$3623,"&lt;"&amp;EDATE(DATEVALUE(C419&amp;"-01"),9))&gt;0,1,0)</f>
        <v>0</v>
      </c>
      <c r="P419" s="37">
        <f>IF(COUNTIFS('📋 Транзакції'!$B$5:$B$3623,A419,'📋 Транзакції'!$C$5:$C$3623,"&gt;="&amp;EDATE(DATEVALUE(C419&amp;"-01"),9),'📋 Транзакції'!$C$5:$C$3623,"&lt;"&amp;EDATE(DATEVALUE(C419&amp;"-01"),10))&gt;0,1,0)</f>
        <v>0</v>
      </c>
      <c r="Q419" s="37">
        <f>IF(COUNTIFS('📋 Транзакції'!$B$5:$B$3623,A419,'📋 Транзакції'!$C$5:$C$3623,"&gt;="&amp;EDATE(DATEVALUE(C419&amp;"-01"),10),'📋 Транзакції'!$C$5:$C$3623,"&lt;"&amp;EDATE(DATEVALUE(C419&amp;"-01"),11))&gt;0,1,0)</f>
        <v>0</v>
      </c>
      <c r="R419" s="37">
        <f>IF(COUNTIFS('📋 Транзакції'!$B$5:$B$3623,A419,'📋 Транзакції'!$C$5:$C$3623,"&gt;="&amp;EDATE(DATEVALUE(C419&amp;"-01"),11),'📋 Транзакції'!$C$5:$C$3623,"&lt;"&amp;EDATE(DATEVALUE(C419&amp;"-01"),12))&gt;0,1,0)</f>
        <v>0</v>
      </c>
      <c r="S419" s="37">
        <f>SUMIFS('📋 Транзакції'!$F$5:$F$3623,'📋 Транзакції'!$B$5:$B$3623,A419,'📋 Транзакції'!$C$5:$C$3623,"&gt;="&amp;EDATE(DATEVALUE(C419&amp;"-01"),0),'📋 Транзакції'!$C$5:$C$3623,"&lt;"&amp;EDATE(DATEVALUE(C419&amp;"-01"),1))</f>
        <v>19.99</v>
      </c>
      <c r="T419" s="37">
        <f>SUMIFS('📋 Транзакції'!$F$5:$F$3623,'📋 Транзакції'!$B$5:$B$3623,A419,'📋 Транзакції'!$C$5:$C$3623,"&gt;="&amp;EDATE(DATEVALUE(C419&amp;"-01"),1),'📋 Транзакції'!$C$5:$C$3623,"&lt;"&amp;EDATE(DATEVALUE(C419&amp;"-01"),2))</f>
        <v>19.99</v>
      </c>
      <c r="U419" s="37">
        <f>SUMIFS('📋 Транзакції'!$F$5:$F$3623,'📋 Транзакції'!$B$5:$B$3623,A419,'📋 Транзакції'!$C$5:$C$3623,"&gt;="&amp;EDATE(DATEVALUE(C419&amp;"-01"),2),'📋 Транзакції'!$C$5:$C$3623,"&lt;"&amp;EDATE(DATEVALUE(C419&amp;"-01"),3))</f>
        <v>19.99</v>
      </c>
      <c r="V419" s="37">
        <f>SUMIFS('📋 Транзакції'!$F$5:$F$3623,'📋 Транзакції'!$B$5:$B$3623,A419,'📋 Транзакції'!$C$5:$C$3623,"&gt;="&amp;EDATE(DATEVALUE(C419&amp;"-01"),3),'📋 Транзакції'!$C$5:$C$3623,"&lt;"&amp;EDATE(DATEVALUE(C419&amp;"-01"),4))</f>
        <v>19.99</v>
      </c>
      <c r="W419" s="37">
        <f>SUMIFS('📋 Транзакції'!$F$5:$F$3623,'📋 Транзакції'!$B$5:$B$3623,A419,'📋 Транзакції'!$C$5:$C$3623,"&gt;="&amp;EDATE(DATEVALUE(C419&amp;"-01"),4),'📋 Транзакції'!$C$5:$C$3623,"&lt;"&amp;EDATE(DATEVALUE(C419&amp;"-01"),5))</f>
        <v>0</v>
      </c>
      <c r="X419" s="37">
        <f>SUMIFS('📋 Транзакції'!$F$5:$F$3623,'📋 Транзакції'!$B$5:$B$3623,A419,'📋 Транзакції'!$C$5:$C$3623,"&gt;="&amp;EDATE(DATEVALUE(C419&amp;"-01"),5),'📋 Транзакції'!$C$5:$C$3623,"&lt;"&amp;EDATE(DATEVALUE(C419&amp;"-01"),6))</f>
        <v>0</v>
      </c>
      <c r="Y419" s="37">
        <f>SUMIFS('📋 Транзакції'!$F$5:$F$3623,'📋 Транзакції'!$B$5:$B$3623,A419,'📋 Транзакції'!$C$5:$C$3623,"&gt;="&amp;EDATE(DATEVALUE(C419&amp;"-01"),6),'📋 Транзакції'!$C$5:$C$3623,"&lt;"&amp;EDATE(DATEVALUE(C419&amp;"-01"),7))</f>
        <v>0</v>
      </c>
      <c r="Z419" s="37">
        <f>SUMIFS('📋 Транзакції'!$F$5:$F$3623,'📋 Транзакції'!$B$5:$B$3623,A419,'📋 Транзакції'!$C$5:$C$3623,"&gt;="&amp;EDATE(DATEVALUE(C419&amp;"-01"),7),'📋 Транзакції'!$C$5:$C$3623,"&lt;"&amp;EDATE(DATEVALUE(C419&amp;"-01"),8))</f>
        <v>0</v>
      </c>
      <c r="AA419" s="37">
        <f>SUMIFS('📋 Транзакції'!$F$5:$F$3623,'📋 Транзакції'!$B$5:$B$3623,A419,'📋 Транзакції'!$C$5:$C$3623,"&gt;="&amp;EDATE(DATEVALUE(C419&amp;"-01"),8),'📋 Транзакції'!$C$5:$C$3623,"&lt;"&amp;EDATE(DATEVALUE(C419&amp;"-01"),9))</f>
        <v>0</v>
      </c>
      <c r="AB419" s="37">
        <f>SUMIFS('📋 Транзакції'!$F$5:$F$3623,'📋 Транзакції'!$B$5:$B$3623,A419,'📋 Транзакції'!$C$5:$C$3623,"&gt;="&amp;EDATE(DATEVALUE(C419&amp;"-01"),9),'📋 Транзакції'!$C$5:$C$3623,"&lt;"&amp;EDATE(DATEVALUE(C419&amp;"-01"),10))</f>
        <v>0</v>
      </c>
      <c r="AC419" s="37">
        <f>SUMIFS('📋 Транзакції'!$F$5:$F$3623,'📋 Транзакції'!$B$5:$B$3623,A419,'📋 Транзакції'!$C$5:$C$3623,"&gt;="&amp;EDATE(DATEVALUE(C419&amp;"-01"),10),'📋 Транзакції'!$C$5:$C$3623,"&lt;"&amp;EDATE(DATEVALUE(C419&amp;"-01"),11))</f>
        <v>0</v>
      </c>
      <c r="AD419" s="37">
        <f>SUMIFS('📋 Транзакції'!$F$5:$F$3623,'📋 Транзакції'!$B$5:$B$3623,A419,'📋 Транзакції'!$C$5:$C$3623,"&gt;="&amp;EDATE(DATEVALUE(C419&amp;"-01"),11),'📋 Транзакції'!$C$5:$C$3623,"&lt;"&amp;EDATE(DATEVALUE(C419&amp;"-01"),12))</f>
        <v>0</v>
      </c>
    </row>
    <row r="420" ht="15.75" customHeight="1">
      <c r="A420" s="33" t="str">
        <f>'📋 Реєстрації'!A420:A1021</f>
        <v>U0239</v>
      </c>
      <c r="B420" s="34">
        <f t="array" ref="B420">INDEX('📋 Транзакції'!$C$5:$C$3623,MATCH(A420,'📋 Транзакції'!$B$5:$B$3623,0))</f>
        <v>45633</v>
      </c>
      <c r="C420" s="35" t="str">
        <f t="shared" si="1"/>
        <v>2024-12</v>
      </c>
      <c r="D420" s="36">
        <f>COUNTIF('📋 Транзакції'!$B$5:$B$3623,A420)</f>
        <v>4</v>
      </c>
      <c r="E420" s="36">
        <f>SUMIF('📋 Транзакції'!$B$5:$B$3623,A420,'📋 Транзакції'!$F$5:$F$3623)</f>
        <v>59.97</v>
      </c>
      <c r="F420" s="35">
        <f>INT($A$1-MAXIFS('📋 Транзакції'!$C$5:$C$3623,'📋 Транзакції'!$B$5:$B$3623,A420))</f>
        <v>47</v>
      </c>
      <c r="G420" s="37">
        <f>IF(COUNTIFS('📋 Транзакції'!$B$5:$B$3623,A420,'📋 Транзакції'!$C$5:$C$3623,"&gt;="&amp;EDATE(DATEVALUE(C420&amp;"-01"),0),'📋 Транзакції'!$C$5:$C$3623,"&lt;"&amp;EDATE(DATEVALUE(C420&amp;"-01"),1))&gt;0,1,0)</f>
        <v>1</v>
      </c>
      <c r="H420" s="37">
        <f>IF(COUNTIFS('📋 Транзакції'!$B$5:$B$3623,A420,'📋 Транзакції'!$C$5:$C$3623,"&gt;="&amp;EDATE(DATEVALUE(C420&amp;"-01"),1),'📋 Транзакції'!$C$5:$C$3623,"&lt;"&amp;EDATE(DATEVALUE(C420&amp;"-01"),2))&gt;0,1,0)</f>
        <v>1</v>
      </c>
      <c r="I420" s="37">
        <f>IF(COUNTIFS('📋 Транзакції'!$B$5:$B$3623,A420,'📋 Транзакції'!$C$5:$C$3623,"&gt;="&amp;EDATE(DATEVALUE(C420&amp;"-01"),2),'📋 Транзакції'!$C$5:$C$3623,"&lt;"&amp;EDATE(DATEVALUE(C420&amp;"-01"),3))&gt;0,1,0)</f>
        <v>1</v>
      </c>
      <c r="J420" s="37">
        <f>IF(COUNTIFS('📋 Транзакції'!$B$5:$B$3623,A420,'📋 Транзакції'!$C$5:$C$3623,"&gt;="&amp;EDATE(DATEVALUE(C420&amp;"-01"),3),'📋 Транзакції'!$C$5:$C$3623,"&lt;"&amp;EDATE(DATEVALUE(C420&amp;"-01"),4))&gt;0,1,0)</f>
        <v>0</v>
      </c>
      <c r="K420" s="37">
        <f>IF(COUNTIFS('📋 Транзакції'!$B$5:$B$3623,A420,'📋 Транзакції'!$C$5:$C$3623,"&gt;="&amp;EDATE(DATEVALUE(C420&amp;"-01"),4),'📋 Транзакції'!$C$5:$C$3623,"&lt;"&amp;EDATE(DATEVALUE(C420&amp;"-01"),5))&gt;0,1,0)</f>
        <v>0</v>
      </c>
      <c r="L420" s="37">
        <f>IF(COUNTIFS('📋 Транзакції'!$B$5:$B$3623,A420,'📋 Транзакції'!$C$5:$C$3623,"&gt;="&amp;EDATE(DATEVALUE(C420&amp;"-01"),5),'📋 Транзакції'!$C$5:$C$3623,"&lt;"&amp;EDATE(DATEVALUE(C420&amp;"-01"),6))&gt;0,1,0)</f>
        <v>0</v>
      </c>
      <c r="M420" s="37">
        <f>IF(COUNTIFS('📋 Транзакції'!$B$5:$B$3623,A420,'📋 Транзакції'!$C$5:$C$3623,"&gt;="&amp;EDATE(DATEVALUE(C420&amp;"-01"),6),'📋 Транзакції'!$C$5:$C$3623,"&lt;"&amp;EDATE(DATEVALUE(C420&amp;"-01"),7))&gt;0,1,0)</f>
        <v>0</v>
      </c>
      <c r="N420" s="37">
        <f>IF(COUNTIFS('📋 Транзакції'!$B$5:$B$3623,A420,'📋 Транзакції'!$C$5:$C$3623,"&gt;="&amp;EDATE(DATEVALUE(C420&amp;"-01"),7),'📋 Транзакції'!$C$5:$C$3623,"&lt;"&amp;EDATE(DATEVALUE(C420&amp;"-01"),8))&gt;0,1,0)</f>
        <v>0</v>
      </c>
      <c r="O420" s="37">
        <f>IF(COUNTIFS('📋 Транзакції'!$B$5:$B$3623,A420,'📋 Транзакції'!$C$5:$C$3623,"&gt;="&amp;EDATE(DATEVALUE(C420&amp;"-01"),8),'📋 Транзакції'!$C$5:$C$3623,"&lt;"&amp;EDATE(DATEVALUE(C420&amp;"-01"),9))&gt;0,1,0)</f>
        <v>0</v>
      </c>
      <c r="P420" s="37">
        <f>IF(COUNTIFS('📋 Транзакції'!$B$5:$B$3623,A420,'📋 Транзакції'!$C$5:$C$3623,"&gt;="&amp;EDATE(DATEVALUE(C420&amp;"-01"),9),'📋 Транзакції'!$C$5:$C$3623,"&lt;"&amp;EDATE(DATEVALUE(C420&amp;"-01"),10))&gt;0,1,0)</f>
        <v>0</v>
      </c>
      <c r="Q420" s="37">
        <f>IF(COUNTIFS('📋 Транзакції'!$B$5:$B$3623,A420,'📋 Транзакції'!$C$5:$C$3623,"&gt;="&amp;EDATE(DATEVALUE(C420&amp;"-01"),10),'📋 Транзакції'!$C$5:$C$3623,"&lt;"&amp;EDATE(DATEVALUE(C420&amp;"-01"),11))&gt;0,1,0)</f>
        <v>0</v>
      </c>
      <c r="R420" s="37">
        <f>IF(COUNTIFS('📋 Транзакції'!$B$5:$B$3623,A420,'📋 Транзакції'!$C$5:$C$3623,"&gt;="&amp;EDATE(DATEVALUE(C420&amp;"-01"),11),'📋 Транзакції'!$C$5:$C$3623,"&lt;"&amp;EDATE(DATEVALUE(C420&amp;"-01"),12))&gt;0,1,0)</f>
        <v>0</v>
      </c>
      <c r="S420" s="37">
        <f>SUMIFS('📋 Транзакції'!$F$5:$F$3623,'📋 Транзакції'!$B$5:$B$3623,A420,'📋 Транзакції'!$C$5:$C$3623,"&gt;="&amp;EDATE(DATEVALUE(C420&amp;"-01"),0),'📋 Транзакції'!$C$5:$C$3623,"&lt;"&amp;EDATE(DATEVALUE(C420&amp;"-01"),1))</f>
        <v>19.99</v>
      </c>
      <c r="T420" s="37">
        <f>SUMIFS('📋 Транзакції'!$F$5:$F$3623,'📋 Транзакції'!$B$5:$B$3623,A420,'📋 Транзакції'!$C$5:$C$3623,"&gt;="&amp;EDATE(DATEVALUE(C420&amp;"-01"),1),'📋 Транзакції'!$C$5:$C$3623,"&lt;"&amp;EDATE(DATEVALUE(C420&amp;"-01"),2))</f>
        <v>19.99</v>
      </c>
      <c r="U420" s="37">
        <f>SUMIFS('📋 Транзакції'!$F$5:$F$3623,'📋 Транзакції'!$B$5:$B$3623,A420,'📋 Транзакції'!$C$5:$C$3623,"&gt;="&amp;EDATE(DATEVALUE(C420&amp;"-01"),2),'📋 Транзакції'!$C$5:$C$3623,"&lt;"&amp;EDATE(DATEVALUE(C420&amp;"-01"),3))</f>
        <v>19.99</v>
      </c>
      <c r="V420" s="37">
        <f>SUMIFS('📋 Транзакції'!$F$5:$F$3623,'📋 Транзакції'!$B$5:$B$3623,A420,'📋 Транзакції'!$C$5:$C$3623,"&gt;="&amp;EDATE(DATEVALUE(C420&amp;"-01"),3),'📋 Транзакції'!$C$5:$C$3623,"&lt;"&amp;EDATE(DATEVALUE(C420&amp;"-01"),4))</f>
        <v>0</v>
      </c>
      <c r="W420" s="37">
        <f>SUMIFS('📋 Транзакції'!$F$5:$F$3623,'📋 Транзакції'!$B$5:$B$3623,A420,'📋 Транзакції'!$C$5:$C$3623,"&gt;="&amp;EDATE(DATEVALUE(C420&amp;"-01"),4),'📋 Транзакції'!$C$5:$C$3623,"&lt;"&amp;EDATE(DATEVALUE(C420&amp;"-01"),5))</f>
        <v>0</v>
      </c>
      <c r="X420" s="37">
        <f>SUMIFS('📋 Транзакції'!$F$5:$F$3623,'📋 Транзакції'!$B$5:$B$3623,A420,'📋 Транзакції'!$C$5:$C$3623,"&gt;="&amp;EDATE(DATEVALUE(C420&amp;"-01"),5),'📋 Транзакції'!$C$5:$C$3623,"&lt;"&amp;EDATE(DATEVALUE(C420&amp;"-01"),6))</f>
        <v>0</v>
      </c>
      <c r="Y420" s="37">
        <f>SUMIFS('📋 Транзакції'!$F$5:$F$3623,'📋 Транзакції'!$B$5:$B$3623,A420,'📋 Транзакції'!$C$5:$C$3623,"&gt;="&amp;EDATE(DATEVALUE(C420&amp;"-01"),6),'📋 Транзакції'!$C$5:$C$3623,"&lt;"&amp;EDATE(DATEVALUE(C420&amp;"-01"),7))</f>
        <v>0</v>
      </c>
      <c r="Z420" s="37">
        <f>SUMIFS('📋 Транзакції'!$F$5:$F$3623,'📋 Транзакції'!$B$5:$B$3623,A420,'📋 Транзакції'!$C$5:$C$3623,"&gt;="&amp;EDATE(DATEVALUE(C420&amp;"-01"),7),'📋 Транзакції'!$C$5:$C$3623,"&lt;"&amp;EDATE(DATEVALUE(C420&amp;"-01"),8))</f>
        <v>0</v>
      </c>
      <c r="AA420" s="37">
        <f>SUMIFS('📋 Транзакції'!$F$5:$F$3623,'📋 Транзакції'!$B$5:$B$3623,A420,'📋 Транзакції'!$C$5:$C$3623,"&gt;="&amp;EDATE(DATEVALUE(C420&amp;"-01"),8),'📋 Транзакції'!$C$5:$C$3623,"&lt;"&amp;EDATE(DATEVALUE(C420&amp;"-01"),9))</f>
        <v>0</v>
      </c>
      <c r="AB420" s="37">
        <f>SUMIFS('📋 Транзакції'!$F$5:$F$3623,'📋 Транзакції'!$B$5:$B$3623,A420,'📋 Транзакції'!$C$5:$C$3623,"&gt;="&amp;EDATE(DATEVALUE(C420&amp;"-01"),9),'📋 Транзакції'!$C$5:$C$3623,"&lt;"&amp;EDATE(DATEVALUE(C420&amp;"-01"),10))</f>
        <v>0</v>
      </c>
      <c r="AC420" s="37">
        <f>SUMIFS('📋 Транзакції'!$F$5:$F$3623,'📋 Транзакції'!$B$5:$B$3623,A420,'📋 Транзакції'!$C$5:$C$3623,"&gt;="&amp;EDATE(DATEVALUE(C420&amp;"-01"),10),'📋 Транзакції'!$C$5:$C$3623,"&lt;"&amp;EDATE(DATEVALUE(C420&amp;"-01"),11))</f>
        <v>0</v>
      </c>
      <c r="AD420" s="37">
        <f>SUMIFS('📋 Транзакції'!$F$5:$F$3623,'📋 Транзакції'!$B$5:$B$3623,A420,'📋 Транзакції'!$C$5:$C$3623,"&gt;="&amp;EDATE(DATEVALUE(C420&amp;"-01"),11),'📋 Транзакції'!$C$5:$C$3623,"&lt;"&amp;EDATE(DATEVALUE(C420&amp;"-01"),12))</f>
        <v>0</v>
      </c>
    </row>
    <row r="421" ht="15.75" customHeight="1">
      <c r="A421" s="33" t="str">
        <f>'📋 Реєстрації'!A421:A1022</f>
        <v>U0436</v>
      </c>
      <c r="B421" s="34">
        <f t="array" ref="B421">INDEX('📋 Транзакції'!$C$5:$C$3623,MATCH(A421,'📋 Транзакції'!$B$5:$B$3623,0))</f>
        <v>45633</v>
      </c>
      <c r="C421" s="35" t="str">
        <f t="shared" si="1"/>
        <v>2024-12</v>
      </c>
      <c r="D421" s="36">
        <f>COUNTIF('📋 Транзакції'!$B$5:$B$3623,A421)</f>
        <v>5</v>
      </c>
      <c r="E421" s="36">
        <f>SUMIF('📋 Транзакції'!$B$5:$B$3623,A421,'📋 Транзакції'!$F$5:$F$3623)</f>
        <v>79.96</v>
      </c>
      <c r="F421" s="35">
        <f>INT($A$1-MAXIFS('📋 Транзакції'!$C$5:$C$3623,'📋 Транзакції'!$B$5:$B$3623,A421))</f>
        <v>17</v>
      </c>
      <c r="G421" s="37">
        <f>IF(COUNTIFS('📋 Транзакції'!$B$5:$B$3623,A421,'📋 Транзакції'!$C$5:$C$3623,"&gt;="&amp;EDATE(DATEVALUE(C421&amp;"-01"),0),'📋 Транзакції'!$C$5:$C$3623,"&lt;"&amp;EDATE(DATEVALUE(C421&amp;"-01"),1))&gt;0,1,0)</f>
        <v>1</v>
      </c>
      <c r="H421" s="37">
        <f>IF(COUNTIFS('📋 Транзакції'!$B$5:$B$3623,A421,'📋 Транзакції'!$C$5:$C$3623,"&gt;="&amp;EDATE(DATEVALUE(C421&amp;"-01"),1),'📋 Транзакції'!$C$5:$C$3623,"&lt;"&amp;EDATE(DATEVALUE(C421&amp;"-01"),2))&gt;0,1,0)</f>
        <v>1</v>
      </c>
      <c r="I421" s="37">
        <f>IF(COUNTIFS('📋 Транзакції'!$B$5:$B$3623,A421,'📋 Транзакції'!$C$5:$C$3623,"&gt;="&amp;EDATE(DATEVALUE(C421&amp;"-01"),2),'📋 Транзакції'!$C$5:$C$3623,"&lt;"&amp;EDATE(DATEVALUE(C421&amp;"-01"),3))&gt;0,1,0)</f>
        <v>1</v>
      </c>
      <c r="J421" s="37">
        <f>IF(COUNTIFS('📋 Транзакції'!$B$5:$B$3623,A421,'📋 Транзакції'!$C$5:$C$3623,"&gt;="&amp;EDATE(DATEVALUE(C421&amp;"-01"),3),'📋 Транзакції'!$C$5:$C$3623,"&lt;"&amp;EDATE(DATEVALUE(C421&amp;"-01"),4))&gt;0,1,0)</f>
        <v>1</v>
      </c>
      <c r="K421" s="37">
        <f>IF(COUNTIFS('📋 Транзакції'!$B$5:$B$3623,A421,'📋 Транзакції'!$C$5:$C$3623,"&gt;="&amp;EDATE(DATEVALUE(C421&amp;"-01"),4),'📋 Транзакції'!$C$5:$C$3623,"&lt;"&amp;EDATE(DATEVALUE(C421&amp;"-01"),5))&gt;0,1,0)</f>
        <v>0</v>
      </c>
      <c r="L421" s="37">
        <f>IF(COUNTIFS('📋 Транзакції'!$B$5:$B$3623,A421,'📋 Транзакції'!$C$5:$C$3623,"&gt;="&amp;EDATE(DATEVALUE(C421&amp;"-01"),5),'📋 Транзакції'!$C$5:$C$3623,"&lt;"&amp;EDATE(DATEVALUE(C421&amp;"-01"),6))&gt;0,1,0)</f>
        <v>0</v>
      </c>
      <c r="M421" s="37">
        <f>IF(COUNTIFS('📋 Транзакції'!$B$5:$B$3623,A421,'📋 Транзакції'!$C$5:$C$3623,"&gt;="&amp;EDATE(DATEVALUE(C421&amp;"-01"),6),'📋 Транзакції'!$C$5:$C$3623,"&lt;"&amp;EDATE(DATEVALUE(C421&amp;"-01"),7))&gt;0,1,0)</f>
        <v>0</v>
      </c>
      <c r="N421" s="37">
        <f>IF(COUNTIFS('📋 Транзакції'!$B$5:$B$3623,A421,'📋 Транзакції'!$C$5:$C$3623,"&gt;="&amp;EDATE(DATEVALUE(C421&amp;"-01"),7),'📋 Транзакції'!$C$5:$C$3623,"&lt;"&amp;EDATE(DATEVALUE(C421&amp;"-01"),8))&gt;0,1,0)</f>
        <v>0</v>
      </c>
      <c r="O421" s="37">
        <f>IF(COUNTIFS('📋 Транзакції'!$B$5:$B$3623,A421,'📋 Транзакції'!$C$5:$C$3623,"&gt;="&amp;EDATE(DATEVALUE(C421&amp;"-01"),8),'📋 Транзакції'!$C$5:$C$3623,"&lt;"&amp;EDATE(DATEVALUE(C421&amp;"-01"),9))&gt;0,1,0)</f>
        <v>0</v>
      </c>
      <c r="P421" s="37">
        <f>IF(COUNTIFS('📋 Транзакції'!$B$5:$B$3623,A421,'📋 Транзакції'!$C$5:$C$3623,"&gt;="&amp;EDATE(DATEVALUE(C421&amp;"-01"),9),'📋 Транзакції'!$C$5:$C$3623,"&lt;"&amp;EDATE(DATEVALUE(C421&amp;"-01"),10))&gt;0,1,0)</f>
        <v>0</v>
      </c>
      <c r="Q421" s="37">
        <f>IF(COUNTIFS('📋 Транзакції'!$B$5:$B$3623,A421,'📋 Транзакції'!$C$5:$C$3623,"&gt;="&amp;EDATE(DATEVALUE(C421&amp;"-01"),10),'📋 Транзакції'!$C$5:$C$3623,"&lt;"&amp;EDATE(DATEVALUE(C421&amp;"-01"),11))&gt;0,1,0)</f>
        <v>0</v>
      </c>
      <c r="R421" s="37">
        <f>IF(COUNTIFS('📋 Транзакції'!$B$5:$B$3623,A421,'📋 Транзакції'!$C$5:$C$3623,"&gt;="&amp;EDATE(DATEVALUE(C421&amp;"-01"),11),'📋 Транзакції'!$C$5:$C$3623,"&lt;"&amp;EDATE(DATEVALUE(C421&amp;"-01"),12))&gt;0,1,0)</f>
        <v>0</v>
      </c>
      <c r="S421" s="37">
        <f>SUMIFS('📋 Транзакції'!$F$5:$F$3623,'📋 Транзакції'!$B$5:$B$3623,A421,'📋 Транзакції'!$C$5:$C$3623,"&gt;="&amp;EDATE(DATEVALUE(C421&amp;"-01"),0),'📋 Транзакції'!$C$5:$C$3623,"&lt;"&amp;EDATE(DATEVALUE(C421&amp;"-01"),1))</f>
        <v>19.99</v>
      </c>
      <c r="T421" s="37">
        <f>SUMIFS('📋 Транзакції'!$F$5:$F$3623,'📋 Транзакції'!$B$5:$B$3623,A421,'📋 Транзакції'!$C$5:$C$3623,"&gt;="&amp;EDATE(DATEVALUE(C421&amp;"-01"),1),'📋 Транзакції'!$C$5:$C$3623,"&lt;"&amp;EDATE(DATEVALUE(C421&amp;"-01"),2))</f>
        <v>19.99</v>
      </c>
      <c r="U421" s="37">
        <f>SUMIFS('📋 Транзакції'!$F$5:$F$3623,'📋 Транзакції'!$B$5:$B$3623,A421,'📋 Транзакції'!$C$5:$C$3623,"&gt;="&amp;EDATE(DATEVALUE(C421&amp;"-01"),2),'📋 Транзакції'!$C$5:$C$3623,"&lt;"&amp;EDATE(DATEVALUE(C421&amp;"-01"),3))</f>
        <v>19.99</v>
      </c>
      <c r="V421" s="37">
        <f>SUMIFS('📋 Транзакції'!$F$5:$F$3623,'📋 Транзакції'!$B$5:$B$3623,A421,'📋 Транзакції'!$C$5:$C$3623,"&gt;="&amp;EDATE(DATEVALUE(C421&amp;"-01"),3),'📋 Транзакції'!$C$5:$C$3623,"&lt;"&amp;EDATE(DATEVALUE(C421&amp;"-01"),4))</f>
        <v>19.99</v>
      </c>
      <c r="W421" s="37">
        <f>SUMIFS('📋 Транзакції'!$F$5:$F$3623,'📋 Транзакції'!$B$5:$B$3623,A421,'📋 Транзакції'!$C$5:$C$3623,"&gt;="&amp;EDATE(DATEVALUE(C421&amp;"-01"),4),'📋 Транзакції'!$C$5:$C$3623,"&lt;"&amp;EDATE(DATEVALUE(C421&amp;"-01"),5))</f>
        <v>0</v>
      </c>
      <c r="X421" s="37">
        <f>SUMIFS('📋 Транзакції'!$F$5:$F$3623,'📋 Транзакції'!$B$5:$B$3623,A421,'📋 Транзакції'!$C$5:$C$3623,"&gt;="&amp;EDATE(DATEVALUE(C421&amp;"-01"),5),'📋 Транзакції'!$C$5:$C$3623,"&lt;"&amp;EDATE(DATEVALUE(C421&amp;"-01"),6))</f>
        <v>0</v>
      </c>
      <c r="Y421" s="37">
        <f>SUMIFS('📋 Транзакції'!$F$5:$F$3623,'📋 Транзакції'!$B$5:$B$3623,A421,'📋 Транзакції'!$C$5:$C$3623,"&gt;="&amp;EDATE(DATEVALUE(C421&amp;"-01"),6),'📋 Транзакції'!$C$5:$C$3623,"&lt;"&amp;EDATE(DATEVALUE(C421&amp;"-01"),7))</f>
        <v>0</v>
      </c>
      <c r="Z421" s="37">
        <f>SUMIFS('📋 Транзакції'!$F$5:$F$3623,'📋 Транзакції'!$B$5:$B$3623,A421,'📋 Транзакції'!$C$5:$C$3623,"&gt;="&amp;EDATE(DATEVALUE(C421&amp;"-01"),7),'📋 Транзакції'!$C$5:$C$3623,"&lt;"&amp;EDATE(DATEVALUE(C421&amp;"-01"),8))</f>
        <v>0</v>
      </c>
      <c r="AA421" s="37">
        <f>SUMIFS('📋 Транзакції'!$F$5:$F$3623,'📋 Транзакції'!$B$5:$B$3623,A421,'📋 Транзакції'!$C$5:$C$3623,"&gt;="&amp;EDATE(DATEVALUE(C421&amp;"-01"),8),'📋 Транзакції'!$C$5:$C$3623,"&lt;"&amp;EDATE(DATEVALUE(C421&amp;"-01"),9))</f>
        <v>0</v>
      </c>
      <c r="AB421" s="37">
        <f>SUMIFS('📋 Транзакції'!$F$5:$F$3623,'📋 Транзакції'!$B$5:$B$3623,A421,'📋 Транзакції'!$C$5:$C$3623,"&gt;="&amp;EDATE(DATEVALUE(C421&amp;"-01"),9),'📋 Транзакції'!$C$5:$C$3623,"&lt;"&amp;EDATE(DATEVALUE(C421&amp;"-01"),10))</f>
        <v>0</v>
      </c>
      <c r="AC421" s="37">
        <f>SUMIFS('📋 Транзакції'!$F$5:$F$3623,'📋 Транзакції'!$B$5:$B$3623,A421,'📋 Транзакції'!$C$5:$C$3623,"&gt;="&amp;EDATE(DATEVALUE(C421&amp;"-01"),10),'📋 Транзакції'!$C$5:$C$3623,"&lt;"&amp;EDATE(DATEVALUE(C421&amp;"-01"),11))</f>
        <v>0</v>
      </c>
      <c r="AD421" s="37">
        <f>SUMIFS('📋 Транзакції'!$F$5:$F$3623,'📋 Транзакції'!$B$5:$B$3623,A421,'📋 Транзакції'!$C$5:$C$3623,"&gt;="&amp;EDATE(DATEVALUE(C421&amp;"-01"),11),'📋 Транзакції'!$C$5:$C$3623,"&lt;"&amp;EDATE(DATEVALUE(C421&amp;"-01"),12))</f>
        <v>0</v>
      </c>
    </row>
    <row r="422" ht="15.75" customHeight="1">
      <c r="A422" s="33" t="str">
        <f>'📋 Реєстрації'!A422:A1023</f>
        <v>U0356</v>
      </c>
      <c r="B422" s="34">
        <f t="array" ref="B422">INDEX('📋 Транзакції'!$C$5:$C$3623,MATCH(A422,'📋 Транзакції'!$B$5:$B$3623,0))</f>
        <v>45634</v>
      </c>
      <c r="C422" s="35" t="str">
        <f t="shared" si="1"/>
        <v>2024-12</v>
      </c>
      <c r="D422" s="36">
        <f>COUNTIF('📋 Транзакції'!$B$5:$B$3623,A422)</f>
        <v>5</v>
      </c>
      <c r="E422" s="36">
        <f>SUMIF('📋 Транзакції'!$B$5:$B$3623,A422,'📋 Транзакції'!$F$5:$F$3623)</f>
        <v>79.96</v>
      </c>
      <c r="F422" s="35">
        <f>INT($A$1-MAXIFS('📋 Транзакції'!$C$5:$C$3623,'📋 Транзакції'!$B$5:$B$3623,A422))</f>
        <v>16</v>
      </c>
      <c r="G422" s="37">
        <f>IF(COUNTIFS('📋 Транзакції'!$B$5:$B$3623,A422,'📋 Транзакції'!$C$5:$C$3623,"&gt;="&amp;EDATE(DATEVALUE(C422&amp;"-01"),0),'📋 Транзакції'!$C$5:$C$3623,"&lt;"&amp;EDATE(DATEVALUE(C422&amp;"-01"),1))&gt;0,1,0)</f>
        <v>1</v>
      </c>
      <c r="H422" s="37">
        <f>IF(COUNTIFS('📋 Транзакції'!$B$5:$B$3623,A422,'📋 Транзакції'!$C$5:$C$3623,"&gt;="&amp;EDATE(DATEVALUE(C422&amp;"-01"),1),'📋 Транзакції'!$C$5:$C$3623,"&lt;"&amp;EDATE(DATEVALUE(C422&amp;"-01"),2))&gt;0,1,0)</f>
        <v>1</v>
      </c>
      <c r="I422" s="37">
        <f>IF(COUNTIFS('📋 Транзакції'!$B$5:$B$3623,A422,'📋 Транзакції'!$C$5:$C$3623,"&gt;="&amp;EDATE(DATEVALUE(C422&amp;"-01"),2),'📋 Транзакції'!$C$5:$C$3623,"&lt;"&amp;EDATE(DATEVALUE(C422&amp;"-01"),3))&gt;0,1,0)</f>
        <v>1</v>
      </c>
      <c r="J422" s="37">
        <f>IF(COUNTIFS('📋 Транзакції'!$B$5:$B$3623,A422,'📋 Транзакції'!$C$5:$C$3623,"&gt;="&amp;EDATE(DATEVALUE(C422&amp;"-01"),3),'📋 Транзакції'!$C$5:$C$3623,"&lt;"&amp;EDATE(DATEVALUE(C422&amp;"-01"),4))&gt;0,1,0)</f>
        <v>1</v>
      </c>
      <c r="K422" s="37">
        <f>IF(COUNTIFS('📋 Транзакції'!$B$5:$B$3623,A422,'📋 Транзакції'!$C$5:$C$3623,"&gt;="&amp;EDATE(DATEVALUE(C422&amp;"-01"),4),'📋 Транзакції'!$C$5:$C$3623,"&lt;"&amp;EDATE(DATEVALUE(C422&amp;"-01"),5))&gt;0,1,0)</f>
        <v>0</v>
      </c>
      <c r="L422" s="37">
        <f>IF(COUNTIFS('📋 Транзакції'!$B$5:$B$3623,A422,'📋 Транзакції'!$C$5:$C$3623,"&gt;="&amp;EDATE(DATEVALUE(C422&amp;"-01"),5),'📋 Транзакції'!$C$5:$C$3623,"&lt;"&amp;EDATE(DATEVALUE(C422&amp;"-01"),6))&gt;0,1,0)</f>
        <v>0</v>
      </c>
      <c r="M422" s="37">
        <f>IF(COUNTIFS('📋 Транзакції'!$B$5:$B$3623,A422,'📋 Транзакції'!$C$5:$C$3623,"&gt;="&amp;EDATE(DATEVALUE(C422&amp;"-01"),6),'📋 Транзакції'!$C$5:$C$3623,"&lt;"&amp;EDATE(DATEVALUE(C422&amp;"-01"),7))&gt;0,1,0)</f>
        <v>0</v>
      </c>
      <c r="N422" s="37">
        <f>IF(COUNTIFS('📋 Транзакції'!$B$5:$B$3623,A422,'📋 Транзакції'!$C$5:$C$3623,"&gt;="&amp;EDATE(DATEVALUE(C422&amp;"-01"),7),'📋 Транзакції'!$C$5:$C$3623,"&lt;"&amp;EDATE(DATEVALUE(C422&amp;"-01"),8))&gt;0,1,0)</f>
        <v>0</v>
      </c>
      <c r="O422" s="37">
        <f>IF(COUNTIFS('📋 Транзакції'!$B$5:$B$3623,A422,'📋 Транзакції'!$C$5:$C$3623,"&gt;="&amp;EDATE(DATEVALUE(C422&amp;"-01"),8),'📋 Транзакції'!$C$5:$C$3623,"&lt;"&amp;EDATE(DATEVALUE(C422&amp;"-01"),9))&gt;0,1,0)</f>
        <v>0</v>
      </c>
      <c r="P422" s="37">
        <f>IF(COUNTIFS('📋 Транзакції'!$B$5:$B$3623,A422,'📋 Транзакції'!$C$5:$C$3623,"&gt;="&amp;EDATE(DATEVALUE(C422&amp;"-01"),9),'📋 Транзакції'!$C$5:$C$3623,"&lt;"&amp;EDATE(DATEVALUE(C422&amp;"-01"),10))&gt;0,1,0)</f>
        <v>0</v>
      </c>
      <c r="Q422" s="37">
        <f>IF(COUNTIFS('📋 Транзакції'!$B$5:$B$3623,A422,'📋 Транзакції'!$C$5:$C$3623,"&gt;="&amp;EDATE(DATEVALUE(C422&amp;"-01"),10),'📋 Транзакції'!$C$5:$C$3623,"&lt;"&amp;EDATE(DATEVALUE(C422&amp;"-01"),11))&gt;0,1,0)</f>
        <v>0</v>
      </c>
      <c r="R422" s="37">
        <f>IF(COUNTIFS('📋 Транзакції'!$B$5:$B$3623,A422,'📋 Транзакції'!$C$5:$C$3623,"&gt;="&amp;EDATE(DATEVALUE(C422&amp;"-01"),11),'📋 Транзакції'!$C$5:$C$3623,"&lt;"&amp;EDATE(DATEVALUE(C422&amp;"-01"),12))&gt;0,1,0)</f>
        <v>0</v>
      </c>
      <c r="S422" s="37">
        <f>SUMIFS('📋 Транзакції'!$F$5:$F$3623,'📋 Транзакції'!$B$5:$B$3623,A422,'📋 Транзакції'!$C$5:$C$3623,"&gt;="&amp;EDATE(DATEVALUE(C422&amp;"-01"),0),'📋 Транзакції'!$C$5:$C$3623,"&lt;"&amp;EDATE(DATEVALUE(C422&amp;"-01"),1))</f>
        <v>19.99</v>
      </c>
      <c r="T422" s="37">
        <f>SUMIFS('📋 Транзакції'!$F$5:$F$3623,'📋 Транзакції'!$B$5:$B$3623,A422,'📋 Транзакції'!$C$5:$C$3623,"&gt;="&amp;EDATE(DATEVALUE(C422&amp;"-01"),1),'📋 Транзакції'!$C$5:$C$3623,"&lt;"&amp;EDATE(DATEVALUE(C422&amp;"-01"),2))</f>
        <v>19.99</v>
      </c>
      <c r="U422" s="37">
        <f>SUMIFS('📋 Транзакції'!$F$5:$F$3623,'📋 Транзакції'!$B$5:$B$3623,A422,'📋 Транзакції'!$C$5:$C$3623,"&gt;="&amp;EDATE(DATEVALUE(C422&amp;"-01"),2),'📋 Транзакції'!$C$5:$C$3623,"&lt;"&amp;EDATE(DATEVALUE(C422&amp;"-01"),3))</f>
        <v>19.99</v>
      </c>
      <c r="V422" s="37">
        <f>SUMIFS('📋 Транзакції'!$F$5:$F$3623,'📋 Транзакції'!$B$5:$B$3623,A422,'📋 Транзакції'!$C$5:$C$3623,"&gt;="&amp;EDATE(DATEVALUE(C422&amp;"-01"),3),'📋 Транзакції'!$C$5:$C$3623,"&lt;"&amp;EDATE(DATEVALUE(C422&amp;"-01"),4))</f>
        <v>19.99</v>
      </c>
      <c r="W422" s="37">
        <f>SUMIFS('📋 Транзакції'!$F$5:$F$3623,'📋 Транзакції'!$B$5:$B$3623,A422,'📋 Транзакції'!$C$5:$C$3623,"&gt;="&amp;EDATE(DATEVALUE(C422&amp;"-01"),4),'📋 Транзакції'!$C$5:$C$3623,"&lt;"&amp;EDATE(DATEVALUE(C422&amp;"-01"),5))</f>
        <v>0</v>
      </c>
      <c r="X422" s="37">
        <f>SUMIFS('📋 Транзакції'!$F$5:$F$3623,'📋 Транзакції'!$B$5:$B$3623,A422,'📋 Транзакції'!$C$5:$C$3623,"&gt;="&amp;EDATE(DATEVALUE(C422&amp;"-01"),5),'📋 Транзакції'!$C$5:$C$3623,"&lt;"&amp;EDATE(DATEVALUE(C422&amp;"-01"),6))</f>
        <v>0</v>
      </c>
      <c r="Y422" s="37">
        <f>SUMIFS('📋 Транзакції'!$F$5:$F$3623,'📋 Транзакції'!$B$5:$B$3623,A422,'📋 Транзакції'!$C$5:$C$3623,"&gt;="&amp;EDATE(DATEVALUE(C422&amp;"-01"),6),'📋 Транзакції'!$C$5:$C$3623,"&lt;"&amp;EDATE(DATEVALUE(C422&amp;"-01"),7))</f>
        <v>0</v>
      </c>
      <c r="Z422" s="37">
        <f>SUMIFS('📋 Транзакції'!$F$5:$F$3623,'📋 Транзакції'!$B$5:$B$3623,A422,'📋 Транзакції'!$C$5:$C$3623,"&gt;="&amp;EDATE(DATEVALUE(C422&amp;"-01"),7),'📋 Транзакції'!$C$5:$C$3623,"&lt;"&amp;EDATE(DATEVALUE(C422&amp;"-01"),8))</f>
        <v>0</v>
      </c>
      <c r="AA422" s="37">
        <f>SUMIFS('📋 Транзакції'!$F$5:$F$3623,'📋 Транзакції'!$B$5:$B$3623,A422,'📋 Транзакції'!$C$5:$C$3623,"&gt;="&amp;EDATE(DATEVALUE(C422&amp;"-01"),8),'📋 Транзакції'!$C$5:$C$3623,"&lt;"&amp;EDATE(DATEVALUE(C422&amp;"-01"),9))</f>
        <v>0</v>
      </c>
      <c r="AB422" s="37">
        <f>SUMIFS('📋 Транзакції'!$F$5:$F$3623,'📋 Транзакції'!$B$5:$B$3623,A422,'📋 Транзакції'!$C$5:$C$3623,"&gt;="&amp;EDATE(DATEVALUE(C422&amp;"-01"),9),'📋 Транзакції'!$C$5:$C$3623,"&lt;"&amp;EDATE(DATEVALUE(C422&amp;"-01"),10))</f>
        <v>0</v>
      </c>
      <c r="AC422" s="37">
        <f>SUMIFS('📋 Транзакції'!$F$5:$F$3623,'📋 Транзакції'!$B$5:$B$3623,A422,'📋 Транзакції'!$C$5:$C$3623,"&gt;="&amp;EDATE(DATEVALUE(C422&amp;"-01"),10),'📋 Транзакції'!$C$5:$C$3623,"&lt;"&amp;EDATE(DATEVALUE(C422&amp;"-01"),11))</f>
        <v>0</v>
      </c>
      <c r="AD422" s="37">
        <f>SUMIFS('📋 Транзакції'!$F$5:$F$3623,'📋 Транзакції'!$B$5:$B$3623,A422,'📋 Транзакції'!$C$5:$C$3623,"&gt;="&amp;EDATE(DATEVALUE(C422&amp;"-01"),11),'📋 Транзакції'!$C$5:$C$3623,"&lt;"&amp;EDATE(DATEVALUE(C422&amp;"-01"),12))</f>
        <v>0</v>
      </c>
    </row>
    <row r="423" ht="15.75" customHeight="1">
      <c r="A423" s="33" t="str">
        <f>'📋 Реєстрації'!A423:A1024</f>
        <v>U0561</v>
      </c>
      <c r="B423" s="34">
        <f t="array" ref="B423">INDEX('📋 Транзакції'!$C$5:$C$3623,MATCH(A423,'📋 Транзакції'!$B$5:$B$3623,0))</f>
        <v>45634</v>
      </c>
      <c r="C423" s="35" t="str">
        <f t="shared" si="1"/>
        <v>2024-12</v>
      </c>
      <c r="D423" s="36">
        <f>COUNTIF('📋 Транзакції'!$B$5:$B$3623,A423)</f>
        <v>3</v>
      </c>
      <c r="E423" s="36">
        <f>SUMIF('📋 Транзакції'!$B$5:$B$3623,A423,'📋 Транзакції'!$F$5:$F$3623)</f>
        <v>39.98</v>
      </c>
      <c r="F423" s="35">
        <f>INT($A$1-MAXIFS('📋 Транзакції'!$C$5:$C$3623,'📋 Транзакції'!$B$5:$B$3623,A423))</f>
        <v>76</v>
      </c>
      <c r="G423" s="37">
        <f>IF(COUNTIFS('📋 Транзакції'!$B$5:$B$3623,A423,'📋 Транзакції'!$C$5:$C$3623,"&gt;="&amp;EDATE(DATEVALUE(C423&amp;"-01"),0),'📋 Транзакції'!$C$5:$C$3623,"&lt;"&amp;EDATE(DATEVALUE(C423&amp;"-01"),1))&gt;0,1,0)</f>
        <v>1</v>
      </c>
      <c r="H423" s="37">
        <f>IF(COUNTIFS('📋 Транзакції'!$B$5:$B$3623,A423,'📋 Транзакції'!$C$5:$C$3623,"&gt;="&amp;EDATE(DATEVALUE(C423&amp;"-01"),1),'📋 Транзакції'!$C$5:$C$3623,"&lt;"&amp;EDATE(DATEVALUE(C423&amp;"-01"),2))&gt;0,1,0)</f>
        <v>1</v>
      </c>
      <c r="I423" s="37">
        <f>IF(COUNTIFS('📋 Транзакції'!$B$5:$B$3623,A423,'📋 Транзакції'!$C$5:$C$3623,"&gt;="&amp;EDATE(DATEVALUE(C423&amp;"-01"),2),'📋 Транзакції'!$C$5:$C$3623,"&lt;"&amp;EDATE(DATEVALUE(C423&amp;"-01"),3))&gt;0,1,0)</f>
        <v>0</v>
      </c>
      <c r="J423" s="37">
        <f>IF(COUNTIFS('📋 Транзакції'!$B$5:$B$3623,A423,'📋 Транзакції'!$C$5:$C$3623,"&gt;="&amp;EDATE(DATEVALUE(C423&amp;"-01"),3),'📋 Транзакції'!$C$5:$C$3623,"&lt;"&amp;EDATE(DATEVALUE(C423&amp;"-01"),4))&gt;0,1,0)</f>
        <v>0</v>
      </c>
      <c r="K423" s="37">
        <f>IF(COUNTIFS('📋 Транзакції'!$B$5:$B$3623,A423,'📋 Транзакції'!$C$5:$C$3623,"&gt;="&amp;EDATE(DATEVALUE(C423&amp;"-01"),4),'📋 Транзакції'!$C$5:$C$3623,"&lt;"&amp;EDATE(DATEVALUE(C423&amp;"-01"),5))&gt;0,1,0)</f>
        <v>0</v>
      </c>
      <c r="L423" s="37">
        <f>IF(COUNTIFS('📋 Транзакції'!$B$5:$B$3623,A423,'📋 Транзакції'!$C$5:$C$3623,"&gt;="&amp;EDATE(DATEVALUE(C423&amp;"-01"),5),'📋 Транзакції'!$C$5:$C$3623,"&lt;"&amp;EDATE(DATEVALUE(C423&amp;"-01"),6))&gt;0,1,0)</f>
        <v>0</v>
      </c>
      <c r="M423" s="37">
        <f>IF(COUNTIFS('📋 Транзакції'!$B$5:$B$3623,A423,'📋 Транзакції'!$C$5:$C$3623,"&gt;="&amp;EDATE(DATEVALUE(C423&amp;"-01"),6),'📋 Транзакції'!$C$5:$C$3623,"&lt;"&amp;EDATE(DATEVALUE(C423&amp;"-01"),7))&gt;0,1,0)</f>
        <v>0</v>
      </c>
      <c r="N423" s="37">
        <f>IF(COUNTIFS('📋 Транзакції'!$B$5:$B$3623,A423,'📋 Транзакції'!$C$5:$C$3623,"&gt;="&amp;EDATE(DATEVALUE(C423&amp;"-01"),7),'📋 Транзакції'!$C$5:$C$3623,"&lt;"&amp;EDATE(DATEVALUE(C423&amp;"-01"),8))&gt;0,1,0)</f>
        <v>0</v>
      </c>
      <c r="O423" s="37">
        <f>IF(COUNTIFS('📋 Транзакції'!$B$5:$B$3623,A423,'📋 Транзакції'!$C$5:$C$3623,"&gt;="&amp;EDATE(DATEVALUE(C423&amp;"-01"),8),'📋 Транзакції'!$C$5:$C$3623,"&lt;"&amp;EDATE(DATEVALUE(C423&amp;"-01"),9))&gt;0,1,0)</f>
        <v>0</v>
      </c>
      <c r="P423" s="37">
        <f>IF(COUNTIFS('📋 Транзакції'!$B$5:$B$3623,A423,'📋 Транзакції'!$C$5:$C$3623,"&gt;="&amp;EDATE(DATEVALUE(C423&amp;"-01"),9),'📋 Транзакції'!$C$5:$C$3623,"&lt;"&amp;EDATE(DATEVALUE(C423&amp;"-01"),10))&gt;0,1,0)</f>
        <v>0</v>
      </c>
      <c r="Q423" s="37">
        <f>IF(COUNTIFS('📋 Транзакції'!$B$5:$B$3623,A423,'📋 Транзакції'!$C$5:$C$3623,"&gt;="&amp;EDATE(DATEVALUE(C423&amp;"-01"),10),'📋 Транзакції'!$C$5:$C$3623,"&lt;"&amp;EDATE(DATEVALUE(C423&amp;"-01"),11))&gt;0,1,0)</f>
        <v>0</v>
      </c>
      <c r="R423" s="37">
        <f>IF(COUNTIFS('📋 Транзакції'!$B$5:$B$3623,A423,'📋 Транзакції'!$C$5:$C$3623,"&gt;="&amp;EDATE(DATEVALUE(C423&amp;"-01"),11),'📋 Транзакції'!$C$5:$C$3623,"&lt;"&amp;EDATE(DATEVALUE(C423&amp;"-01"),12))&gt;0,1,0)</f>
        <v>0</v>
      </c>
      <c r="S423" s="37">
        <f>SUMIFS('📋 Транзакції'!$F$5:$F$3623,'📋 Транзакції'!$B$5:$B$3623,A423,'📋 Транзакції'!$C$5:$C$3623,"&gt;="&amp;EDATE(DATEVALUE(C423&amp;"-01"),0),'📋 Транзакції'!$C$5:$C$3623,"&lt;"&amp;EDATE(DATEVALUE(C423&amp;"-01"),1))</f>
        <v>19.99</v>
      </c>
      <c r="T423" s="37">
        <f>SUMIFS('📋 Транзакції'!$F$5:$F$3623,'📋 Транзакції'!$B$5:$B$3623,A423,'📋 Транзакції'!$C$5:$C$3623,"&gt;="&amp;EDATE(DATEVALUE(C423&amp;"-01"),1),'📋 Транзакції'!$C$5:$C$3623,"&lt;"&amp;EDATE(DATEVALUE(C423&amp;"-01"),2))</f>
        <v>19.99</v>
      </c>
      <c r="U423" s="37">
        <f>SUMIFS('📋 Транзакції'!$F$5:$F$3623,'📋 Транзакції'!$B$5:$B$3623,A423,'📋 Транзакції'!$C$5:$C$3623,"&gt;="&amp;EDATE(DATEVALUE(C423&amp;"-01"),2),'📋 Транзакції'!$C$5:$C$3623,"&lt;"&amp;EDATE(DATEVALUE(C423&amp;"-01"),3))</f>
        <v>0</v>
      </c>
      <c r="V423" s="37">
        <f>SUMIFS('📋 Транзакції'!$F$5:$F$3623,'📋 Транзакції'!$B$5:$B$3623,A423,'📋 Транзакції'!$C$5:$C$3623,"&gt;="&amp;EDATE(DATEVALUE(C423&amp;"-01"),3),'📋 Транзакції'!$C$5:$C$3623,"&lt;"&amp;EDATE(DATEVALUE(C423&amp;"-01"),4))</f>
        <v>0</v>
      </c>
      <c r="W423" s="37">
        <f>SUMIFS('📋 Транзакції'!$F$5:$F$3623,'📋 Транзакції'!$B$5:$B$3623,A423,'📋 Транзакції'!$C$5:$C$3623,"&gt;="&amp;EDATE(DATEVALUE(C423&amp;"-01"),4),'📋 Транзакції'!$C$5:$C$3623,"&lt;"&amp;EDATE(DATEVALUE(C423&amp;"-01"),5))</f>
        <v>0</v>
      </c>
      <c r="X423" s="37">
        <f>SUMIFS('📋 Транзакції'!$F$5:$F$3623,'📋 Транзакції'!$B$5:$B$3623,A423,'📋 Транзакції'!$C$5:$C$3623,"&gt;="&amp;EDATE(DATEVALUE(C423&amp;"-01"),5),'📋 Транзакції'!$C$5:$C$3623,"&lt;"&amp;EDATE(DATEVALUE(C423&amp;"-01"),6))</f>
        <v>0</v>
      </c>
      <c r="Y423" s="37">
        <f>SUMIFS('📋 Транзакції'!$F$5:$F$3623,'📋 Транзакції'!$B$5:$B$3623,A423,'📋 Транзакції'!$C$5:$C$3623,"&gt;="&amp;EDATE(DATEVALUE(C423&amp;"-01"),6),'📋 Транзакції'!$C$5:$C$3623,"&lt;"&amp;EDATE(DATEVALUE(C423&amp;"-01"),7))</f>
        <v>0</v>
      </c>
      <c r="Z423" s="37">
        <f>SUMIFS('📋 Транзакції'!$F$5:$F$3623,'📋 Транзакції'!$B$5:$B$3623,A423,'📋 Транзакції'!$C$5:$C$3623,"&gt;="&amp;EDATE(DATEVALUE(C423&amp;"-01"),7),'📋 Транзакції'!$C$5:$C$3623,"&lt;"&amp;EDATE(DATEVALUE(C423&amp;"-01"),8))</f>
        <v>0</v>
      </c>
      <c r="AA423" s="37">
        <f>SUMIFS('📋 Транзакції'!$F$5:$F$3623,'📋 Транзакції'!$B$5:$B$3623,A423,'📋 Транзакції'!$C$5:$C$3623,"&gt;="&amp;EDATE(DATEVALUE(C423&amp;"-01"),8),'📋 Транзакції'!$C$5:$C$3623,"&lt;"&amp;EDATE(DATEVALUE(C423&amp;"-01"),9))</f>
        <v>0</v>
      </c>
      <c r="AB423" s="37">
        <f>SUMIFS('📋 Транзакції'!$F$5:$F$3623,'📋 Транзакції'!$B$5:$B$3623,A423,'📋 Транзакції'!$C$5:$C$3623,"&gt;="&amp;EDATE(DATEVALUE(C423&amp;"-01"),9),'📋 Транзакції'!$C$5:$C$3623,"&lt;"&amp;EDATE(DATEVALUE(C423&amp;"-01"),10))</f>
        <v>0</v>
      </c>
      <c r="AC423" s="37">
        <f>SUMIFS('📋 Транзакції'!$F$5:$F$3623,'📋 Транзакції'!$B$5:$B$3623,A423,'📋 Транзакції'!$C$5:$C$3623,"&gt;="&amp;EDATE(DATEVALUE(C423&amp;"-01"),10),'📋 Транзакції'!$C$5:$C$3623,"&lt;"&amp;EDATE(DATEVALUE(C423&amp;"-01"),11))</f>
        <v>0</v>
      </c>
      <c r="AD423" s="37">
        <f>SUMIFS('📋 Транзакції'!$F$5:$F$3623,'📋 Транзакції'!$B$5:$B$3623,A423,'📋 Транзакції'!$C$5:$C$3623,"&gt;="&amp;EDATE(DATEVALUE(C423&amp;"-01"),11),'📋 Транзакції'!$C$5:$C$3623,"&lt;"&amp;EDATE(DATEVALUE(C423&amp;"-01"),12))</f>
        <v>0</v>
      </c>
    </row>
    <row r="424" ht="15.75" customHeight="1">
      <c r="A424" s="33" t="str">
        <f>'📋 Реєстрації'!A424:A1025</f>
        <v>U0648</v>
      </c>
      <c r="B424" s="34">
        <f t="array" ref="B424">INDEX('📋 Транзакції'!$C$5:$C$3623,MATCH(A424,'📋 Транзакції'!$B$5:$B$3623,0))</f>
        <v>45634</v>
      </c>
      <c r="C424" s="35" t="str">
        <f t="shared" si="1"/>
        <v>2024-12</v>
      </c>
      <c r="D424" s="36">
        <f>COUNTIF('📋 Транзакції'!$B$5:$B$3623,A424)</f>
        <v>5</v>
      </c>
      <c r="E424" s="36">
        <f>SUMIF('📋 Транзакції'!$B$5:$B$3623,A424,'📋 Транзакції'!$F$5:$F$3623)</f>
        <v>79.96</v>
      </c>
      <c r="F424" s="35">
        <f>INT($A$1-MAXIFS('📋 Транзакції'!$C$5:$C$3623,'📋 Транзакції'!$B$5:$B$3623,A424))</f>
        <v>16</v>
      </c>
      <c r="G424" s="37">
        <f>IF(COUNTIFS('📋 Транзакції'!$B$5:$B$3623,A424,'📋 Транзакції'!$C$5:$C$3623,"&gt;="&amp;EDATE(DATEVALUE(C424&amp;"-01"),0),'📋 Транзакції'!$C$5:$C$3623,"&lt;"&amp;EDATE(DATEVALUE(C424&amp;"-01"),1))&gt;0,1,0)</f>
        <v>1</v>
      </c>
      <c r="H424" s="37">
        <f>IF(COUNTIFS('📋 Транзакції'!$B$5:$B$3623,A424,'📋 Транзакції'!$C$5:$C$3623,"&gt;="&amp;EDATE(DATEVALUE(C424&amp;"-01"),1),'📋 Транзакції'!$C$5:$C$3623,"&lt;"&amp;EDATE(DATEVALUE(C424&amp;"-01"),2))&gt;0,1,0)</f>
        <v>1</v>
      </c>
      <c r="I424" s="37">
        <f>IF(COUNTIFS('📋 Транзакції'!$B$5:$B$3623,A424,'📋 Транзакції'!$C$5:$C$3623,"&gt;="&amp;EDATE(DATEVALUE(C424&amp;"-01"),2),'📋 Транзакції'!$C$5:$C$3623,"&lt;"&amp;EDATE(DATEVALUE(C424&amp;"-01"),3))&gt;0,1,0)</f>
        <v>1</v>
      </c>
      <c r="J424" s="37">
        <f>IF(COUNTIFS('📋 Транзакції'!$B$5:$B$3623,A424,'📋 Транзакції'!$C$5:$C$3623,"&gt;="&amp;EDATE(DATEVALUE(C424&amp;"-01"),3),'📋 Транзакції'!$C$5:$C$3623,"&lt;"&amp;EDATE(DATEVALUE(C424&amp;"-01"),4))&gt;0,1,0)</f>
        <v>1</v>
      </c>
      <c r="K424" s="37">
        <f>IF(COUNTIFS('📋 Транзакції'!$B$5:$B$3623,A424,'📋 Транзакції'!$C$5:$C$3623,"&gt;="&amp;EDATE(DATEVALUE(C424&amp;"-01"),4),'📋 Транзакції'!$C$5:$C$3623,"&lt;"&amp;EDATE(DATEVALUE(C424&amp;"-01"),5))&gt;0,1,0)</f>
        <v>0</v>
      </c>
      <c r="L424" s="37">
        <f>IF(COUNTIFS('📋 Транзакції'!$B$5:$B$3623,A424,'📋 Транзакції'!$C$5:$C$3623,"&gt;="&amp;EDATE(DATEVALUE(C424&amp;"-01"),5),'📋 Транзакції'!$C$5:$C$3623,"&lt;"&amp;EDATE(DATEVALUE(C424&amp;"-01"),6))&gt;0,1,0)</f>
        <v>0</v>
      </c>
      <c r="M424" s="37">
        <f>IF(COUNTIFS('📋 Транзакції'!$B$5:$B$3623,A424,'📋 Транзакції'!$C$5:$C$3623,"&gt;="&amp;EDATE(DATEVALUE(C424&amp;"-01"),6),'📋 Транзакції'!$C$5:$C$3623,"&lt;"&amp;EDATE(DATEVALUE(C424&amp;"-01"),7))&gt;0,1,0)</f>
        <v>0</v>
      </c>
      <c r="N424" s="37">
        <f>IF(COUNTIFS('📋 Транзакції'!$B$5:$B$3623,A424,'📋 Транзакції'!$C$5:$C$3623,"&gt;="&amp;EDATE(DATEVALUE(C424&amp;"-01"),7),'📋 Транзакції'!$C$5:$C$3623,"&lt;"&amp;EDATE(DATEVALUE(C424&amp;"-01"),8))&gt;0,1,0)</f>
        <v>0</v>
      </c>
      <c r="O424" s="37">
        <f>IF(COUNTIFS('📋 Транзакції'!$B$5:$B$3623,A424,'📋 Транзакції'!$C$5:$C$3623,"&gt;="&amp;EDATE(DATEVALUE(C424&amp;"-01"),8),'📋 Транзакції'!$C$5:$C$3623,"&lt;"&amp;EDATE(DATEVALUE(C424&amp;"-01"),9))&gt;0,1,0)</f>
        <v>0</v>
      </c>
      <c r="P424" s="37">
        <f>IF(COUNTIFS('📋 Транзакції'!$B$5:$B$3623,A424,'📋 Транзакції'!$C$5:$C$3623,"&gt;="&amp;EDATE(DATEVALUE(C424&amp;"-01"),9),'📋 Транзакції'!$C$5:$C$3623,"&lt;"&amp;EDATE(DATEVALUE(C424&amp;"-01"),10))&gt;0,1,0)</f>
        <v>0</v>
      </c>
      <c r="Q424" s="37">
        <f>IF(COUNTIFS('📋 Транзакції'!$B$5:$B$3623,A424,'📋 Транзакції'!$C$5:$C$3623,"&gt;="&amp;EDATE(DATEVALUE(C424&amp;"-01"),10),'📋 Транзакції'!$C$5:$C$3623,"&lt;"&amp;EDATE(DATEVALUE(C424&amp;"-01"),11))&gt;0,1,0)</f>
        <v>0</v>
      </c>
      <c r="R424" s="37">
        <f>IF(COUNTIFS('📋 Транзакції'!$B$5:$B$3623,A424,'📋 Транзакції'!$C$5:$C$3623,"&gt;="&amp;EDATE(DATEVALUE(C424&amp;"-01"),11),'📋 Транзакції'!$C$5:$C$3623,"&lt;"&amp;EDATE(DATEVALUE(C424&amp;"-01"),12))&gt;0,1,0)</f>
        <v>0</v>
      </c>
      <c r="S424" s="37">
        <f>SUMIFS('📋 Транзакції'!$F$5:$F$3623,'📋 Транзакції'!$B$5:$B$3623,A424,'📋 Транзакції'!$C$5:$C$3623,"&gt;="&amp;EDATE(DATEVALUE(C424&amp;"-01"),0),'📋 Транзакції'!$C$5:$C$3623,"&lt;"&amp;EDATE(DATEVALUE(C424&amp;"-01"),1))</f>
        <v>19.99</v>
      </c>
      <c r="T424" s="37">
        <f>SUMIFS('📋 Транзакції'!$F$5:$F$3623,'📋 Транзакції'!$B$5:$B$3623,A424,'📋 Транзакції'!$C$5:$C$3623,"&gt;="&amp;EDATE(DATEVALUE(C424&amp;"-01"),1),'📋 Транзакції'!$C$5:$C$3623,"&lt;"&amp;EDATE(DATEVALUE(C424&amp;"-01"),2))</f>
        <v>19.99</v>
      </c>
      <c r="U424" s="37">
        <f>SUMIFS('📋 Транзакції'!$F$5:$F$3623,'📋 Транзакції'!$B$5:$B$3623,A424,'📋 Транзакції'!$C$5:$C$3623,"&gt;="&amp;EDATE(DATEVALUE(C424&amp;"-01"),2),'📋 Транзакції'!$C$5:$C$3623,"&lt;"&amp;EDATE(DATEVALUE(C424&amp;"-01"),3))</f>
        <v>19.99</v>
      </c>
      <c r="V424" s="37">
        <f>SUMIFS('📋 Транзакції'!$F$5:$F$3623,'📋 Транзакції'!$B$5:$B$3623,A424,'📋 Транзакції'!$C$5:$C$3623,"&gt;="&amp;EDATE(DATEVALUE(C424&amp;"-01"),3),'📋 Транзакції'!$C$5:$C$3623,"&lt;"&amp;EDATE(DATEVALUE(C424&amp;"-01"),4))</f>
        <v>19.99</v>
      </c>
      <c r="W424" s="37">
        <f>SUMIFS('📋 Транзакції'!$F$5:$F$3623,'📋 Транзакції'!$B$5:$B$3623,A424,'📋 Транзакції'!$C$5:$C$3623,"&gt;="&amp;EDATE(DATEVALUE(C424&amp;"-01"),4),'📋 Транзакції'!$C$5:$C$3623,"&lt;"&amp;EDATE(DATEVALUE(C424&amp;"-01"),5))</f>
        <v>0</v>
      </c>
      <c r="X424" s="37">
        <f>SUMIFS('📋 Транзакції'!$F$5:$F$3623,'📋 Транзакції'!$B$5:$B$3623,A424,'📋 Транзакції'!$C$5:$C$3623,"&gt;="&amp;EDATE(DATEVALUE(C424&amp;"-01"),5),'📋 Транзакції'!$C$5:$C$3623,"&lt;"&amp;EDATE(DATEVALUE(C424&amp;"-01"),6))</f>
        <v>0</v>
      </c>
      <c r="Y424" s="37">
        <f>SUMIFS('📋 Транзакції'!$F$5:$F$3623,'📋 Транзакції'!$B$5:$B$3623,A424,'📋 Транзакції'!$C$5:$C$3623,"&gt;="&amp;EDATE(DATEVALUE(C424&amp;"-01"),6),'📋 Транзакції'!$C$5:$C$3623,"&lt;"&amp;EDATE(DATEVALUE(C424&amp;"-01"),7))</f>
        <v>0</v>
      </c>
      <c r="Z424" s="37">
        <f>SUMIFS('📋 Транзакції'!$F$5:$F$3623,'📋 Транзакції'!$B$5:$B$3623,A424,'📋 Транзакції'!$C$5:$C$3623,"&gt;="&amp;EDATE(DATEVALUE(C424&amp;"-01"),7),'📋 Транзакції'!$C$5:$C$3623,"&lt;"&amp;EDATE(DATEVALUE(C424&amp;"-01"),8))</f>
        <v>0</v>
      </c>
      <c r="AA424" s="37">
        <f>SUMIFS('📋 Транзакції'!$F$5:$F$3623,'📋 Транзакції'!$B$5:$B$3623,A424,'📋 Транзакції'!$C$5:$C$3623,"&gt;="&amp;EDATE(DATEVALUE(C424&amp;"-01"),8),'📋 Транзакції'!$C$5:$C$3623,"&lt;"&amp;EDATE(DATEVALUE(C424&amp;"-01"),9))</f>
        <v>0</v>
      </c>
      <c r="AB424" s="37">
        <f>SUMIFS('📋 Транзакції'!$F$5:$F$3623,'📋 Транзакції'!$B$5:$B$3623,A424,'📋 Транзакції'!$C$5:$C$3623,"&gt;="&amp;EDATE(DATEVALUE(C424&amp;"-01"),9),'📋 Транзакції'!$C$5:$C$3623,"&lt;"&amp;EDATE(DATEVALUE(C424&amp;"-01"),10))</f>
        <v>0</v>
      </c>
      <c r="AC424" s="37">
        <f>SUMIFS('📋 Транзакції'!$F$5:$F$3623,'📋 Транзакції'!$B$5:$B$3623,A424,'📋 Транзакції'!$C$5:$C$3623,"&gt;="&amp;EDATE(DATEVALUE(C424&amp;"-01"),10),'📋 Транзакції'!$C$5:$C$3623,"&lt;"&amp;EDATE(DATEVALUE(C424&amp;"-01"),11))</f>
        <v>0</v>
      </c>
      <c r="AD424" s="37">
        <f>SUMIFS('📋 Транзакції'!$F$5:$F$3623,'📋 Транзакції'!$B$5:$B$3623,A424,'📋 Транзакції'!$C$5:$C$3623,"&gt;="&amp;EDATE(DATEVALUE(C424&amp;"-01"),11),'📋 Транзакції'!$C$5:$C$3623,"&lt;"&amp;EDATE(DATEVALUE(C424&amp;"-01"),12))</f>
        <v>0</v>
      </c>
    </row>
    <row r="425" ht="15.75" customHeight="1">
      <c r="A425" s="33" t="str">
        <f>'📋 Реєстрації'!A425:A1026</f>
        <v>U0842</v>
      </c>
      <c r="B425" s="34">
        <f t="array" ref="B425">INDEX('📋 Транзакції'!$C$5:$C$3623,MATCH(A425,'📋 Транзакції'!$B$5:$B$3623,0))</f>
        <v>45634</v>
      </c>
      <c r="C425" s="35" t="str">
        <f t="shared" si="1"/>
        <v>2024-12</v>
      </c>
      <c r="D425" s="36">
        <f>COUNTIF('📋 Транзакції'!$B$5:$B$3623,A425)</f>
        <v>5</v>
      </c>
      <c r="E425" s="36">
        <f>SUMIF('📋 Транзакції'!$B$5:$B$3623,A425,'📋 Транзакції'!$F$5:$F$3623)</f>
        <v>79.96</v>
      </c>
      <c r="F425" s="35">
        <f>INT($A$1-MAXIFS('📋 Транзакції'!$C$5:$C$3623,'📋 Транзакції'!$B$5:$B$3623,A425))</f>
        <v>16</v>
      </c>
      <c r="G425" s="37">
        <f>IF(COUNTIFS('📋 Транзакції'!$B$5:$B$3623,A425,'📋 Транзакції'!$C$5:$C$3623,"&gt;="&amp;EDATE(DATEVALUE(C425&amp;"-01"),0),'📋 Транзакції'!$C$5:$C$3623,"&lt;"&amp;EDATE(DATEVALUE(C425&amp;"-01"),1))&gt;0,1,0)</f>
        <v>1</v>
      </c>
      <c r="H425" s="37">
        <f>IF(COUNTIFS('📋 Транзакції'!$B$5:$B$3623,A425,'📋 Транзакції'!$C$5:$C$3623,"&gt;="&amp;EDATE(DATEVALUE(C425&amp;"-01"),1),'📋 Транзакції'!$C$5:$C$3623,"&lt;"&amp;EDATE(DATEVALUE(C425&amp;"-01"),2))&gt;0,1,0)</f>
        <v>1</v>
      </c>
      <c r="I425" s="37">
        <f>IF(COUNTIFS('📋 Транзакції'!$B$5:$B$3623,A425,'📋 Транзакції'!$C$5:$C$3623,"&gt;="&amp;EDATE(DATEVALUE(C425&amp;"-01"),2),'📋 Транзакції'!$C$5:$C$3623,"&lt;"&amp;EDATE(DATEVALUE(C425&amp;"-01"),3))&gt;0,1,0)</f>
        <v>1</v>
      </c>
      <c r="J425" s="37">
        <f>IF(COUNTIFS('📋 Транзакції'!$B$5:$B$3623,A425,'📋 Транзакції'!$C$5:$C$3623,"&gt;="&amp;EDATE(DATEVALUE(C425&amp;"-01"),3),'📋 Транзакції'!$C$5:$C$3623,"&lt;"&amp;EDATE(DATEVALUE(C425&amp;"-01"),4))&gt;0,1,0)</f>
        <v>1</v>
      </c>
      <c r="K425" s="37">
        <f>IF(COUNTIFS('📋 Транзакції'!$B$5:$B$3623,A425,'📋 Транзакції'!$C$5:$C$3623,"&gt;="&amp;EDATE(DATEVALUE(C425&amp;"-01"),4),'📋 Транзакції'!$C$5:$C$3623,"&lt;"&amp;EDATE(DATEVALUE(C425&amp;"-01"),5))&gt;0,1,0)</f>
        <v>0</v>
      </c>
      <c r="L425" s="37">
        <f>IF(COUNTIFS('📋 Транзакції'!$B$5:$B$3623,A425,'📋 Транзакції'!$C$5:$C$3623,"&gt;="&amp;EDATE(DATEVALUE(C425&amp;"-01"),5),'📋 Транзакції'!$C$5:$C$3623,"&lt;"&amp;EDATE(DATEVALUE(C425&amp;"-01"),6))&gt;0,1,0)</f>
        <v>0</v>
      </c>
      <c r="M425" s="37">
        <f>IF(COUNTIFS('📋 Транзакції'!$B$5:$B$3623,A425,'📋 Транзакції'!$C$5:$C$3623,"&gt;="&amp;EDATE(DATEVALUE(C425&amp;"-01"),6),'📋 Транзакції'!$C$5:$C$3623,"&lt;"&amp;EDATE(DATEVALUE(C425&amp;"-01"),7))&gt;0,1,0)</f>
        <v>0</v>
      </c>
      <c r="N425" s="37">
        <f>IF(COUNTIFS('📋 Транзакції'!$B$5:$B$3623,A425,'📋 Транзакції'!$C$5:$C$3623,"&gt;="&amp;EDATE(DATEVALUE(C425&amp;"-01"),7),'📋 Транзакції'!$C$5:$C$3623,"&lt;"&amp;EDATE(DATEVALUE(C425&amp;"-01"),8))&gt;0,1,0)</f>
        <v>0</v>
      </c>
      <c r="O425" s="37">
        <f>IF(COUNTIFS('📋 Транзакції'!$B$5:$B$3623,A425,'📋 Транзакції'!$C$5:$C$3623,"&gt;="&amp;EDATE(DATEVALUE(C425&amp;"-01"),8),'📋 Транзакції'!$C$5:$C$3623,"&lt;"&amp;EDATE(DATEVALUE(C425&amp;"-01"),9))&gt;0,1,0)</f>
        <v>0</v>
      </c>
      <c r="P425" s="37">
        <f>IF(COUNTIFS('📋 Транзакції'!$B$5:$B$3623,A425,'📋 Транзакції'!$C$5:$C$3623,"&gt;="&amp;EDATE(DATEVALUE(C425&amp;"-01"),9),'📋 Транзакції'!$C$5:$C$3623,"&lt;"&amp;EDATE(DATEVALUE(C425&amp;"-01"),10))&gt;0,1,0)</f>
        <v>0</v>
      </c>
      <c r="Q425" s="37">
        <f>IF(COUNTIFS('📋 Транзакції'!$B$5:$B$3623,A425,'📋 Транзакції'!$C$5:$C$3623,"&gt;="&amp;EDATE(DATEVALUE(C425&amp;"-01"),10),'📋 Транзакції'!$C$5:$C$3623,"&lt;"&amp;EDATE(DATEVALUE(C425&amp;"-01"),11))&gt;0,1,0)</f>
        <v>0</v>
      </c>
      <c r="R425" s="37">
        <f>IF(COUNTIFS('📋 Транзакції'!$B$5:$B$3623,A425,'📋 Транзакції'!$C$5:$C$3623,"&gt;="&amp;EDATE(DATEVALUE(C425&amp;"-01"),11),'📋 Транзакції'!$C$5:$C$3623,"&lt;"&amp;EDATE(DATEVALUE(C425&amp;"-01"),12))&gt;0,1,0)</f>
        <v>0</v>
      </c>
      <c r="S425" s="37">
        <f>SUMIFS('📋 Транзакції'!$F$5:$F$3623,'📋 Транзакції'!$B$5:$B$3623,A425,'📋 Транзакції'!$C$5:$C$3623,"&gt;="&amp;EDATE(DATEVALUE(C425&amp;"-01"),0),'📋 Транзакції'!$C$5:$C$3623,"&lt;"&amp;EDATE(DATEVALUE(C425&amp;"-01"),1))</f>
        <v>19.99</v>
      </c>
      <c r="T425" s="37">
        <f>SUMIFS('📋 Транзакції'!$F$5:$F$3623,'📋 Транзакції'!$B$5:$B$3623,A425,'📋 Транзакції'!$C$5:$C$3623,"&gt;="&amp;EDATE(DATEVALUE(C425&amp;"-01"),1),'📋 Транзакції'!$C$5:$C$3623,"&lt;"&amp;EDATE(DATEVALUE(C425&amp;"-01"),2))</f>
        <v>19.99</v>
      </c>
      <c r="U425" s="37">
        <f>SUMIFS('📋 Транзакції'!$F$5:$F$3623,'📋 Транзакції'!$B$5:$B$3623,A425,'📋 Транзакції'!$C$5:$C$3623,"&gt;="&amp;EDATE(DATEVALUE(C425&amp;"-01"),2),'📋 Транзакції'!$C$5:$C$3623,"&lt;"&amp;EDATE(DATEVALUE(C425&amp;"-01"),3))</f>
        <v>19.99</v>
      </c>
      <c r="V425" s="37">
        <f>SUMIFS('📋 Транзакції'!$F$5:$F$3623,'📋 Транзакції'!$B$5:$B$3623,A425,'📋 Транзакції'!$C$5:$C$3623,"&gt;="&amp;EDATE(DATEVALUE(C425&amp;"-01"),3),'📋 Транзакції'!$C$5:$C$3623,"&lt;"&amp;EDATE(DATEVALUE(C425&amp;"-01"),4))</f>
        <v>19.99</v>
      </c>
      <c r="W425" s="37">
        <f>SUMIFS('📋 Транзакції'!$F$5:$F$3623,'📋 Транзакції'!$B$5:$B$3623,A425,'📋 Транзакції'!$C$5:$C$3623,"&gt;="&amp;EDATE(DATEVALUE(C425&amp;"-01"),4),'📋 Транзакції'!$C$5:$C$3623,"&lt;"&amp;EDATE(DATEVALUE(C425&amp;"-01"),5))</f>
        <v>0</v>
      </c>
      <c r="X425" s="37">
        <f>SUMIFS('📋 Транзакції'!$F$5:$F$3623,'📋 Транзакції'!$B$5:$B$3623,A425,'📋 Транзакції'!$C$5:$C$3623,"&gt;="&amp;EDATE(DATEVALUE(C425&amp;"-01"),5),'📋 Транзакції'!$C$5:$C$3623,"&lt;"&amp;EDATE(DATEVALUE(C425&amp;"-01"),6))</f>
        <v>0</v>
      </c>
      <c r="Y425" s="37">
        <f>SUMIFS('📋 Транзакції'!$F$5:$F$3623,'📋 Транзакції'!$B$5:$B$3623,A425,'📋 Транзакції'!$C$5:$C$3623,"&gt;="&amp;EDATE(DATEVALUE(C425&amp;"-01"),6),'📋 Транзакції'!$C$5:$C$3623,"&lt;"&amp;EDATE(DATEVALUE(C425&amp;"-01"),7))</f>
        <v>0</v>
      </c>
      <c r="Z425" s="37">
        <f>SUMIFS('📋 Транзакції'!$F$5:$F$3623,'📋 Транзакції'!$B$5:$B$3623,A425,'📋 Транзакції'!$C$5:$C$3623,"&gt;="&amp;EDATE(DATEVALUE(C425&amp;"-01"),7),'📋 Транзакції'!$C$5:$C$3623,"&lt;"&amp;EDATE(DATEVALUE(C425&amp;"-01"),8))</f>
        <v>0</v>
      </c>
      <c r="AA425" s="37">
        <f>SUMIFS('📋 Транзакції'!$F$5:$F$3623,'📋 Транзакції'!$B$5:$B$3623,A425,'📋 Транзакції'!$C$5:$C$3623,"&gt;="&amp;EDATE(DATEVALUE(C425&amp;"-01"),8),'📋 Транзакції'!$C$5:$C$3623,"&lt;"&amp;EDATE(DATEVALUE(C425&amp;"-01"),9))</f>
        <v>0</v>
      </c>
      <c r="AB425" s="37">
        <f>SUMIFS('📋 Транзакції'!$F$5:$F$3623,'📋 Транзакції'!$B$5:$B$3623,A425,'📋 Транзакції'!$C$5:$C$3623,"&gt;="&amp;EDATE(DATEVALUE(C425&amp;"-01"),9),'📋 Транзакції'!$C$5:$C$3623,"&lt;"&amp;EDATE(DATEVALUE(C425&amp;"-01"),10))</f>
        <v>0</v>
      </c>
      <c r="AC425" s="37">
        <f>SUMIFS('📋 Транзакції'!$F$5:$F$3623,'📋 Транзакції'!$B$5:$B$3623,A425,'📋 Транзакції'!$C$5:$C$3623,"&gt;="&amp;EDATE(DATEVALUE(C425&amp;"-01"),10),'📋 Транзакції'!$C$5:$C$3623,"&lt;"&amp;EDATE(DATEVALUE(C425&amp;"-01"),11))</f>
        <v>0</v>
      </c>
      <c r="AD425" s="37">
        <f>SUMIFS('📋 Транзакції'!$F$5:$F$3623,'📋 Транзакції'!$B$5:$B$3623,A425,'📋 Транзакції'!$C$5:$C$3623,"&gt;="&amp;EDATE(DATEVALUE(C425&amp;"-01"),11),'📋 Транзакції'!$C$5:$C$3623,"&lt;"&amp;EDATE(DATEVALUE(C425&amp;"-01"),12))</f>
        <v>0</v>
      </c>
    </row>
    <row r="426" ht="15.75" customHeight="1">
      <c r="A426" s="33" t="str">
        <f>'📋 Реєстрації'!A426:A1027</f>
        <v>U0221</v>
      </c>
      <c r="B426" s="34">
        <f t="array" ref="B426">INDEX('📋 Транзакції'!$C$5:$C$3623,MATCH(A426,'📋 Транзакції'!$B$5:$B$3623,0))</f>
        <v>45635</v>
      </c>
      <c r="C426" s="35" t="str">
        <f t="shared" si="1"/>
        <v>2024-12</v>
      </c>
      <c r="D426" s="36">
        <f>COUNTIF('📋 Транзакції'!$B$5:$B$3623,A426)</f>
        <v>5</v>
      </c>
      <c r="E426" s="36">
        <f>SUMIF('📋 Транзакції'!$B$5:$B$3623,A426,'📋 Транзакції'!$F$5:$F$3623)</f>
        <v>79.96</v>
      </c>
      <c r="F426" s="35">
        <f>INT($A$1-MAXIFS('📋 Транзакції'!$C$5:$C$3623,'📋 Транзакції'!$B$5:$B$3623,A426))</f>
        <v>15</v>
      </c>
      <c r="G426" s="37">
        <f>IF(COUNTIFS('📋 Транзакції'!$B$5:$B$3623,A426,'📋 Транзакції'!$C$5:$C$3623,"&gt;="&amp;EDATE(DATEVALUE(C426&amp;"-01"),0),'📋 Транзакції'!$C$5:$C$3623,"&lt;"&amp;EDATE(DATEVALUE(C426&amp;"-01"),1))&gt;0,1,0)</f>
        <v>1</v>
      </c>
      <c r="H426" s="37">
        <f>IF(COUNTIFS('📋 Транзакції'!$B$5:$B$3623,A426,'📋 Транзакції'!$C$5:$C$3623,"&gt;="&amp;EDATE(DATEVALUE(C426&amp;"-01"),1),'📋 Транзакції'!$C$5:$C$3623,"&lt;"&amp;EDATE(DATEVALUE(C426&amp;"-01"),2))&gt;0,1,0)</f>
        <v>1</v>
      </c>
      <c r="I426" s="37">
        <f>IF(COUNTIFS('📋 Транзакції'!$B$5:$B$3623,A426,'📋 Транзакції'!$C$5:$C$3623,"&gt;="&amp;EDATE(DATEVALUE(C426&amp;"-01"),2),'📋 Транзакції'!$C$5:$C$3623,"&lt;"&amp;EDATE(DATEVALUE(C426&amp;"-01"),3))&gt;0,1,0)</f>
        <v>1</v>
      </c>
      <c r="J426" s="37">
        <f>IF(COUNTIFS('📋 Транзакції'!$B$5:$B$3623,A426,'📋 Транзакції'!$C$5:$C$3623,"&gt;="&amp;EDATE(DATEVALUE(C426&amp;"-01"),3),'📋 Транзакції'!$C$5:$C$3623,"&lt;"&amp;EDATE(DATEVALUE(C426&amp;"-01"),4))&gt;0,1,0)</f>
        <v>1</v>
      </c>
      <c r="K426" s="37">
        <f>IF(COUNTIFS('📋 Транзакції'!$B$5:$B$3623,A426,'📋 Транзакції'!$C$5:$C$3623,"&gt;="&amp;EDATE(DATEVALUE(C426&amp;"-01"),4),'📋 Транзакції'!$C$5:$C$3623,"&lt;"&amp;EDATE(DATEVALUE(C426&amp;"-01"),5))&gt;0,1,0)</f>
        <v>0</v>
      </c>
      <c r="L426" s="37">
        <f>IF(COUNTIFS('📋 Транзакції'!$B$5:$B$3623,A426,'📋 Транзакції'!$C$5:$C$3623,"&gt;="&amp;EDATE(DATEVALUE(C426&amp;"-01"),5),'📋 Транзакції'!$C$5:$C$3623,"&lt;"&amp;EDATE(DATEVALUE(C426&amp;"-01"),6))&gt;0,1,0)</f>
        <v>0</v>
      </c>
      <c r="M426" s="37">
        <f>IF(COUNTIFS('📋 Транзакції'!$B$5:$B$3623,A426,'📋 Транзакції'!$C$5:$C$3623,"&gt;="&amp;EDATE(DATEVALUE(C426&amp;"-01"),6),'📋 Транзакції'!$C$5:$C$3623,"&lt;"&amp;EDATE(DATEVALUE(C426&amp;"-01"),7))&gt;0,1,0)</f>
        <v>0</v>
      </c>
      <c r="N426" s="37">
        <f>IF(COUNTIFS('📋 Транзакції'!$B$5:$B$3623,A426,'📋 Транзакції'!$C$5:$C$3623,"&gt;="&amp;EDATE(DATEVALUE(C426&amp;"-01"),7),'📋 Транзакції'!$C$5:$C$3623,"&lt;"&amp;EDATE(DATEVALUE(C426&amp;"-01"),8))&gt;0,1,0)</f>
        <v>0</v>
      </c>
      <c r="O426" s="37">
        <f>IF(COUNTIFS('📋 Транзакції'!$B$5:$B$3623,A426,'📋 Транзакції'!$C$5:$C$3623,"&gt;="&amp;EDATE(DATEVALUE(C426&amp;"-01"),8),'📋 Транзакції'!$C$5:$C$3623,"&lt;"&amp;EDATE(DATEVALUE(C426&amp;"-01"),9))&gt;0,1,0)</f>
        <v>0</v>
      </c>
      <c r="P426" s="37">
        <f>IF(COUNTIFS('📋 Транзакції'!$B$5:$B$3623,A426,'📋 Транзакції'!$C$5:$C$3623,"&gt;="&amp;EDATE(DATEVALUE(C426&amp;"-01"),9),'📋 Транзакції'!$C$5:$C$3623,"&lt;"&amp;EDATE(DATEVALUE(C426&amp;"-01"),10))&gt;0,1,0)</f>
        <v>0</v>
      </c>
      <c r="Q426" s="37">
        <f>IF(COUNTIFS('📋 Транзакції'!$B$5:$B$3623,A426,'📋 Транзакції'!$C$5:$C$3623,"&gt;="&amp;EDATE(DATEVALUE(C426&amp;"-01"),10),'📋 Транзакції'!$C$5:$C$3623,"&lt;"&amp;EDATE(DATEVALUE(C426&amp;"-01"),11))&gt;0,1,0)</f>
        <v>0</v>
      </c>
      <c r="R426" s="37">
        <f>IF(COUNTIFS('📋 Транзакції'!$B$5:$B$3623,A426,'📋 Транзакції'!$C$5:$C$3623,"&gt;="&amp;EDATE(DATEVALUE(C426&amp;"-01"),11),'📋 Транзакції'!$C$5:$C$3623,"&lt;"&amp;EDATE(DATEVALUE(C426&amp;"-01"),12))&gt;0,1,0)</f>
        <v>0</v>
      </c>
      <c r="S426" s="37">
        <f>SUMIFS('📋 Транзакції'!$F$5:$F$3623,'📋 Транзакції'!$B$5:$B$3623,A426,'📋 Транзакції'!$C$5:$C$3623,"&gt;="&amp;EDATE(DATEVALUE(C426&amp;"-01"),0),'📋 Транзакції'!$C$5:$C$3623,"&lt;"&amp;EDATE(DATEVALUE(C426&amp;"-01"),1))</f>
        <v>19.99</v>
      </c>
      <c r="T426" s="37">
        <f>SUMIFS('📋 Транзакції'!$F$5:$F$3623,'📋 Транзакції'!$B$5:$B$3623,A426,'📋 Транзакції'!$C$5:$C$3623,"&gt;="&amp;EDATE(DATEVALUE(C426&amp;"-01"),1),'📋 Транзакції'!$C$5:$C$3623,"&lt;"&amp;EDATE(DATEVALUE(C426&amp;"-01"),2))</f>
        <v>19.99</v>
      </c>
      <c r="U426" s="37">
        <f>SUMIFS('📋 Транзакції'!$F$5:$F$3623,'📋 Транзакції'!$B$5:$B$3623,A426,'📋 Транзакції'!$C$5:$C$3623,"&gt;="&amp;EDATE(DATEVALUE(C426&amp;"-01"),2),'📋 Транзакції'!$C$5:$C$3623,"&lt;"&amp;EDATE(DATEVALUE(C426&amp;"-01"),3))</f>
        <v>19.99</v>
      </c>
      <c r="V426" s="37">
        <f>SUMIFS('📋 Транзакції'!$F$5:$F$3623,'📋 Транзакції'!$B$5:$B$3623,A426,'📋 Транзакції'!$C$5:$C$3623,"&gt;="&amp;EDATE(DATEVALUE(C426&amp;"-01"),3),'📋 Транзакції'!$C$5:$C$3623,"&lt;"&amp;EDATE(DATEVALUE(C426&amp;"-01"),4))</f>
        <v>19.99</v>
      </c>
      <c r="W426" s="37">
        <f>SUMIFS('📋 Транзакції'!$F$5:$F$3623,'📋 Транзакції'!$B$5:$B$3623,A426,'📋 Транзакції'!$C$5:$C$3623,"&gt;="&amp;EDATE(DATEVALUE(C426&amp;"-01"),4),'📋 Транзакції'!$C$5:$C$3623,"&lt;"&amp;EDATE(DATEVALUE(C426&amp;"-01"),5))</f>
        <v>0</v>
      </c>
      <c r="X426" s="37">
        <f>SUMIFS('📋 Транзакції'!$F$5:$F$3623,'📋 Транзакції'!$B$5:$B$3623,A426,'📋 Транзакції'!$C$5:$C$3623,"&gt;="&amp;EDATE(DATEVALUE(C426&amp;"-01"),5),'📋 Транзакції'!$C$5:$C$3623,"&lt;"&amp;EDATE(DATEVALUE(C426&amp;"-01"),6))</f>
        <v>0</v>
      </c>
      <c r="Y426" s="37">
        <f>SUMIFS('📋 Транзакції'!$F$5:$F$3623,'📋 Транзакції'!$B$5:$B$3623,A426,'📋 Транзакції'!$C$5:$C$3623,"&gt;="&amp;EDATE(DATEVALUE(C426&amp;"-01"),6),'📋 Транзакції'!$C$5:$C$3623,"&lt;"&amp;EDATE(DATEVALUE(C426&amp;"-01"),7))</f>
        <v>0</v>
      </c>
      <c r="Z426" s="37">
        <f>SUMIFS('📋 Транзакції'!$F$5:$F$3623,'📋 Транзакції'!$B$5:$B$3623,A426,'📋 Транзакції'!$C$5:$C$3623,"&gt;="&amp;EDATE(DATEVALUE(C426&amp;"-01"),7),'📋 Транзакції'!$C$5:$C$3623,"&lt;"&amp;EDATE(DATEVALUE(C426&amp;"-01"),8))</f>
        <v>0</v>
      </c>
      <c r="AA426" s="37">
        <f>SUMIFS('📋 Транзакції'!$F$5:$F$3623,'📋 Транзакції'!$B$5:$B$3623,A426,'📋 Транзакції'!$C$5:$C$3623,"&gt;="&amp;EDATE(DATEVALUE(C426&amp;"-01"),8),'📋 Транзакції'!$C$5:$C$3623,"&lt;"&amp;EDATE(DATEVALUE(C426&amp;"-01"),9))</f>
        <v>0</v>
      </c>
      <c r="AB426" s="37">
        <f>SUMIFS('📋 Транзакції'!$F$5:$F$3623,'📋 Транзакції'!$B$5:$B$3623,A426,'📋 Транзакції'!$C$5:$C$3623,"&gt;="&amp;EDATE(DATEVALUE(C426&amp;"-01"),9),'📋 Транзакції'!$C$5:$C$3623,"&lt;"&amp;EDATE(DATEVALUE(C426&amp;"-01"),10))</f>
        <v>0</v>
      </c>
      <c r="AC426" s="37">
        <f>SUMIFS('📋 Транзакції'!$F$5:$F$3623,'📋 Транзакції'!$B$5:$B$3623,A426,'📋 Транзакції'!$C$5:$C$3623,"&gt;="&amp;EDATE(DATEVALUE(C426&amp;"-01"),10),'📋 Транзакції'!$C$5:$C$3623,"&lt;"&amp;EDATE(DATEVALUE(C426&amp;"-01"),11))</f>
        <v>0</v>
      </c>
      <c r="AD426" s="37">
        <f>SUMIFS('📋 Транзакції'!$F$5:$F$3623,'📋 Транзакції'!$B$5:$B$3623,A426,'📋 Транзакції'!$C$5:$C$3623,"&gt;="&amp;EDATE(DATEVALUE(C426&amp;"-01"),11),'📋 Транзакції'!$C$5:$C$3623,"&lt;"&amp;EDATE(DATEVALUE(C426&amp;"-01"),12))</f>
        <v>0</v>
      </c>
    </row>
    <row r="427" ht="15.75" customHeight="1">
      <c r="A427" s="33" t="str">
        <f>'📋 Реєстрації'!A427:A1028</f>
        <v>U0115</v>
      </c>
      <c r="B427" s="34">
        <f t="array" ref="B427">INDEX('📋 Транзакції'!$C$5:$C$3623,MATCH(A427,'📋 Транзакції'!$B$5:$B$3623,0))</f>
        <v>45636</v>
      </c>
      <c r="C427" s="35" t="str">
        <f t="shared" si="1"/>
        <v>2024-12</v>
      </c>
      <c r="D427" s="36">
        <f>COUNTIF('📋 Транзакції'!$B$5:$B$3623,A427)</f>
        <v>5</v>
      </c>
      <c r="E427" s="36">
        <f>SUMIF('📋 Транзакції'!$B$5:$B$3623,A427,'📋 Транзакції'!$F$5:$F$3623)</f>
        <v>79.96</v>
      </c>
      <c r="F427" s="35">
        <f>INT($A$1-MAXIFS('📋 Транзакції'!$C$5:$C$3623,'📋 Транзакції'!$B$5:$B$3623,A427))</f>
        <v>14</v>
      </c>
      <c r="G427" s="37">
        <f>IF(COUNTIFS('📋 Транзакції'!$B$5:$B$3623,A427,'📋 Транзакції'!$C$5:$C$3623,"&gt;="&amp;EDATE(DATEVALUE(C427&amp;"-01"),0),'📋 Транзакції'!$C$5:$C$3623,"&lt;"&amp;EDATE(DATEVALUE(C427&amp;"-01"),1))&gt;0,1,0)</f>
        <v>1</v>
      </c>
      <c r="H427" s="37">
        <f>IF(COUNTIFS('📋 Транзакції'!$B$5:$B$3623,A427,'📋 Транзакції'!$C$5:$C$3623,"&gt;="&amp;EDATE(DATEVALUE(C427&amp;"-01"),1),'📋 Транзакції'!$C$5:$C$3623,"&lt;"&amp;EDATE(DATEVALUE(C427&amp;"-01"),2))&gt;0,1,0)</f>
        <v>1</v>
      </c>
      <c r="I427" s="37">
        <f>IF(COUNTIFS('📋 Транзакції'!$B$5:$B$3623,A427,'📋 Транзакції'!$C$5:$C$3623,"&gt;="&amp;EDATE(DATEVALUE(C427&amp;"-01"),2),'📋 Транзакції'!$C$5:$C$3623,"&lt;"&amp;EDATE(DATEVALUE(C427&amp;"-01"),3))&gt;0,1,0)</f>
        <v>1</v>
      </c>
      <c r="J427" s="37">
        <f>IF(COUNTIFS('📋 Транзакції'!$B$5:$B$3623,A427,'📋 Транзакції'!$C$5:$C$3623,"&gt;="&amp;EDATE(DATEVALUE(C427&amp;"-01"),3),'📋 Транзакції'!$C$5:$C$3623,"&lt;"&amp;EDATE(DATEVALUE(C427&amp;"-01"),4))&gt;0,1,0)</f>
        <v>1</v>
      </c>
      <c r="K427" s="37">
        <f>IF(COUNTIFS('📋 Транзакції'!$B$5:$B$3623,A427,'📋 Транзакції'!$C$5:$C$3623,"&gt;="&amp;EDATE(DATEVALUE(C427&amp;"-01"),4),'📋 Транзакції'!$C$5:$C$3623,"&lt;"&amp;EDATE(DATEVALUE(C427&amp;"-01"),5))&gt;0,1,0)</f>
        <v>0</v>
      </c>
      <c r="L427" s="37">
        <f>IF(COUNTIFS('📋 Транзакції'!$B$5:$B$3623,A427,'📋 Транзакції'!$C$5:$C$3623,"&gt;="&amp;EDATE(DATEVALUE(C427&amp;"-01"),5),'📋 Транзакції'!$C$5:$C$3623,"&lt;"&amp;EDATE(DATEVALUE(C427&amp;"-01"),6))&gt;0,1,0)</f>
        <v>0</v>
      </c>
      <c r="M427" s="37">
        <f>IF(COUNTIFS('📋 Транзакції'!$B$5:$B$3623,A427,'📋 Транзакції'!$C$5:$C$3623,"&gt;="&amp;EDATE(DATEVALUE(C427&amp;"-01"),6),'📋 Транзакції'!$C$5:$C$3623,"&lt;"&amp;EDATE(DATEVALUE(C427&amp;"-01"),7))&gt;0,1,0)</f>
        <v>0</v>
      </c>
      <c r="N427" s="37">
        <f>IF(COUNTIFS('📋 Транзакції'!$B$5:$B$3623,A427,'📋 Транзакції'!$C$5:$C$3623,"&gt;="&amp;EDATE(DATEVALUE(C427&amp;"-01"),7),'📋 Транзакції'!$C$5:$C$3623,"&lt;"&amp;EDATE(DATEVALUE(C427&amp;"-01"),8))&gt;0,1,0)</f>
        <v>0</v>
      </c>
      <c r="O427" s="37">
        <f>IF(COUNTIFS('📋 Транзакції'!$B$5:$B$3623,A427,'📋 Транзакції'!$C$5:$C$3623,"&gt;="&amp;EDATE(DATEVALUE(C427&amp;"-01"),8),'📋 Транзакції'!$C$5:$C$3623,"&lt;"&amp;EDATE(DATEVALUE(C427&amp;"-01"),9))&gt;0,1,0)</f>
        <v>0</v>
      </c>
      <c r="P427" s="37">
        <f>IF(COUNTIFS('📋 Транзакції'!$B$5:$B$3623,A427,'📋 Транзакції'!$C$5:$C$3623,"&gt;="&amp;EDATE(DATEVALUE(C427&amp;"-01"),9),'📋 Транзакції'!$C$5:$C$3623,"&lt;"&amp;EDATE(DATEVALUE(C427&amp;"-01"),10))&gt;0,1,0)</f>
        <v>0</v>
      </c>
      <c r="Q427" s="37">
        <f>IF(COUNTIFS('📋 Транзакції'!$B$5:$B$3623,A427,'📋 Транзакції'!$C$5:$C$3623,"&gt;="&amp;EDATE(DATEVALUE(C427&amp;"-01"),10),'📋 Транзакції'!$C$5:$C$3623,"&lt;"&amp;EDATE(DATEVALUE(C427&amp;"-01"),11))&gt;0,1,0)</f>
        <v>0</v>
      </c>
      <c r="R427" s="37">
        <f>IF(COUNTIFS('📋 Транзакції'!$B$5:$B$3623,A427,'📋 Транзакції'!$C$5:$C$3623,"&gt;="&amp;EDATE(DATEVALUE(C427&amp;"-01"),11),'📋 Транзакції'!$C$5:$C$3623,"&lt;"&amp;EDATE(DATEVALUE(C427&amp;"-01"),12))&gt;0,1,0)</f>
        <v>0</v>
      </c>
      <c r="S427" s="37">
        <f>SUMIFS('📋 Транзакції'!$F$5:$F$3623,'📋 Транзакції'!$B$5:$B$3623,A427,'📋 Транзакції'!$C$5:$C$3623,"&gt;="&amp;EDATE(DATEVALUE(C427&amp;"-01"),0),'📋 Транзакції'!$C$5:$C$3623,"&lt;"&amp;EDATE(DATEVALUE(C427&amp;"-01"),1))</f>
        <v>19.99</v>
      </c>
      <c r="T427" s="37">
        <f>SUMIFS('📋 Транзакції'!$F$5:$F$3623,'📋 Транзакції'!$B$5:$B$3623,A427,'📋 Транзакції'!$C$5:$C$3623,"&gt;="&amp;EDATE(DATEVALUE(C427&amp;"-01"),1),'📋 Транзакції'!$C$5:$C$3623,"&lt;"&amp;EDATE(DATEVALUE(C427&amp;"-01"),2))</f>
        <v>19.99</v>
      </c>
      <c r="U427" s="37">
        <f>SUMIFS('📋 Транзакції'!$F$5:$F$3623,'📋 Транзакції'!$B$5:$B$3623,A427,'📋 Транзакції'!$C$5:$C$3623,"&gt;="&amp;EDATE(DATEVALUE(C427&amp;"-01"),2),'📋 Транзакції'!$C$5:$C$3623,"&lt;"&amp;EDATE(DATEVALUE(C427&amp;"-01"),3))</f>
        <v>19.99</v>
      </c>
      <c r="V427" s="37">
        <f>SUMIFS('📋 Транзакції'!$F$5:$F$3623,'📋 Транзакції'!$B$5:$B$3623,A427,'📋 Транзакції'!$C$5:$C$3623,"&gt;="&amp;EDATE(DATEVALUE(C427&amp;"-01"),3),'📋 Транзакції'!$C$5:$C$3623,"&lt;"&amp;EDATE(DATEVALUE(C427&amp;"-01"),4))</f>
        <v>19.99</v>
      </c>
      <c r="W427" s="37">
        <f>SUMIFS('📋 Транзакції'!$F$5:$F$3623,'📋 Транзакції'!$B$5:$B$3623,A427,'📋 Транзакції'!$C$5:$C$3623,"&gt;="&amp;EDATE(DATEVALUE(C427&amp;"-01"),4),'📋 Транзакції'!$C$5:$C$3623,"&lt;"&amp;EDATE(DATEVALUE(C427&amp;"-01"),5))</f>
        <v>0</v>
      </c>
      <c r="X427" s="37">
        <f>SUMIFS('📋 Транзакції'!$F$5:$F$3623,'📋 Транзакції'!$B$5:$B$3623,A427,'📋 Транзакції'!$C$5:$C$3623,"&gt;="&amp;EDATE(DATEVALUE(C427&amp;"-01"),5),'📋 Транзакції'!$C$5:$C$3623,"&lt;"&amp;EDATE(DATEVALUE(C427&amp;"-01"),6))</f>
        <v>0</v>
      </c>
      <c r="Y427" s="37">
        <f>SUMIFS('📋 Транзакції'!$F$5:$F$3623,'📋 Транзакції'!$B$5:$B$3623,A427,'📋 Транзакції'!$C$5:$C$3623,"&gt;="&amp;EDATE(DATEVALUE(C427&amp;"-01"),6),'📋 Транзакції'!$C$5:$C$3623,"&lt;"&amp;EDATE(DATEVALUE(C427&amp;"-01"),7))</f>
        <v>0</v>
      </c>
      <c r="Z427" s="37">
        <f>SUMIFS('📋 Транзакції'!$F$5:$F$3623,'📋 Транзакції'!$B$5:$B$3623,A427,'📋 Транзакції'!$C$5:$C$3623,"&gt;="&amp;EDATE(DATEVALUE(C427&amp;"-01"),7),'📋 Транзакції'!$C$5:$C$3623,"&lt;"&amp;EDATE(DATEVALUE(C427&amp;"-01"),8))</f>
        <v>0</v>
      </c>
      <c r="AA427" s="37">
        <f>SUMIFS('📋 Транзакції'!$F$5:$F$3623,'📋 Транзакції'!$B$5:$B$3623,A427,'📋 Транзакції'!$C$5:$C$3623,"&gt;="&amp;EDATE(DATEVALUE(C427&amp;"-01"),8),'📋 Транзакції'!$C$5:$C$3623,"&lt;"&amp;EDATE(DATEVALUE(C427&amp;"-01"),9))</f>
        <v>0</v>
      </c>
      <c r="AB427" s="37">
        <f>SUMIFS('📋 Транзакції'!$F$5:$F$3623,'📋 Транзакції'!$B$5:$B$3623,A427,'📋 Транзакції'!$C$5:$C$3623,"&gt;="&amp;EDATE(DATEVALUE(C427&amp;"-01"),9),'📋 Транзакції'!$C$5:$C$3623,"&lt;"&amp;EDATE(DATEVALUE(C427&amp;"-01"),10))</f>
        <v>0</v>
      </c>
      <c r="AC427" s="37">
        <f>SUMIFS('📋 Транзакції'!$F$5:$F$3623,'📋 Транзакції'!$B$5:$B$3623,A427,'📋 Транзакції'!$C$5:$C$3623,"&gt;="&amp;EDATE(DATEVALUE(C427&amp;"-01"),10),'📋 Транзакції'!$C$5:$C$3623,"&lt;"&amp;EDATE(DATEVALUE(C427&amp;"-01"),11))</f>
        <v>0</v>
      </c>
      <c r="AD427" s="37">
        <f>SUMIFS('📋 Транзакції'!$F$5:$F$3623,'📋 Транзакції'!$B$5:$B$3623,A427,'📋 Транзакції'!$C$5:$C$3623,"&gt;="&amp;EDATE(DATEVALUE(C427&amp;"-01"),11),'📋 Транзакції'!$C$5:$C$3623,"&lt;"&amp;EDATE(DATEVALUE(C427&amp;"-01"),12))</f>
        <v>0</v>
      </c>
    </row>
    <row r="428" ht="15.75" customHeight="1">
      <c r="A428" s="33" t="str">
        <f>'📋 Реєстрації'!A428:A1029</f>
        <v>U0733</v>
      </c>
      <c r="B428" s="34">
        <f t="array" ref="B428">INDEX('📋 Транзакції'!$C$5:$C$3623,MATCH(A428,'📋 Транзакції'!$B$5:$B$3623,0))</f>
        <v>45636</v>
      </c>
      <c r="C428" s="35" t="str">
        <f t="shared" si="1"/>
        <v>2024-12</v>
      </c>
      <c r="D428" s="36">
        <f>COUNTIF('📋 Транзакції'!$B$5:$B$3623,A428)</f>
        <v>2</v>
      </c>
      <c r="E428" s="36">
        <f>SUMIF('📋 Транзакції'!$B$5:$B$3623,A428,'📋 Транзакції'!$F$5:$F$3623)</f>
        <v>19.99</v>
      </c>
      <c r="F428" s="35">
        <f>INT($A$1-MAXIFS('📋 Транзакції'!$C$5:$C$3623,'📋 Транзакції'!$B$5:$B$3623,A428))</f>
        <v>104</v>
      </c>
      <c r="G428" s="37">
        <f>IF(COUNTIFS('📋 Транзакції'!$B$5:$B$3623,A428,'📋 Транзакції'!$C$5:$C$3623,"&gt;="&amp;EDATE(DATEVALUE(C428&amp;"-01"),0),'📋 Транзакції'!$C$5:$C$3623,"&lt;"&amp;EDATE(DATEVALUE(C428&amp;"-01"),1))&gt;0,1,0)</f>
        <v>1</v>
      </c>
      <c r="H428" s="37">
        <f>IF(COUNTIFS('📋 Транзакції'!$B$5:$B$3623,A428,'📋 Транзакції'!$C$5:$C$3623,"&gt;="&amp;EDATE(DATEVALUE(C428&amp;"-01"),1),'📋 Транзакції'!$C$5:$C$3623,"&lt;"&amp;EDATE(DATEVALUE(C428&amp;"-01"),2))&gt;0,1,0)</f>
        <v>0</v>
      </c>
      <c r="I428" s="37">
        <f>IF(COUNTIFS('📋 Транзакції'!$B$5:$B$3623,A428,'📋 Транзакції'!$C$5:$C$3623,"&gt;="&amp;EDATE(DATEVALUE(C428&amp;"-01"),2),'📋 Транзакції'!$C$5:$C$3623,"&lt;"&amp;EDATE(DATEVALUE(C428&amp;"-01"),3))&gt;0,1,0)</f>
        <v>0</v>
      </c>
      <c r="J428" s="37">
        <f>IF(COUNTIFS('📋 Транзакції'!$B$5:$B$3623,A428,'📋 Транзакції'!$C$5:$C$3623,"&gt;="&amp;EDATE(DATEVALUE(C428&amp;"-01"),3),'📋 Транзакції'!$C$5:$C$3623,"&lt;"&amp;EDATE(DATEVALUE(C428&amp;"-01"),4))&gt;0,1,0)</f>
        <v>0</v>
      </c>
      <c r="K428" s="37">
        <f>IF(COUNTIFS('📋 Транзакції'!$B$5:$B$3623,A428,'📋 Транзакції'!$C$5:$C$3623,"&gt;="&amp;EDATE(DATEVALUE(C428&amp;"-01"),4),'📋 Транзакції'!$C$5:$C$3623,"&lt;"&amp;EDATE(DATEVALUE(C428&amp;"-01"),5))&gt;0,1,0)</f>
        <v>0</v>
      </c>
      <c r="L428" s="37">
        <f>IF(COUNTIFS('📋 Транзакції'!$B$5:$B$3623,A428,'📋 Транзакції'!$C$5:$C$3623,"&gt;="&amp;EDATE(DATEVALUE(C428&amp;"-01"),5),'📋 Транзакції'!$C$5:$C$3623,"&lt;"&amp;EDATE(DATEVALUE(C428&amp;"-01"),6))&gt;0,1,0)</f>
        <v>0</v>
      </c>
      <c r="M428" s="37">
        <f>IF(COUNTIFS('📋 Транзакції'!$B$5:$B$3623,A428,'📋 Транзакції'!$C$5:$C$3623,"&gt;="&amp;EDATE(DATEVALUE(C428&amp;"-01"),6),'📋 Транзакції'!$C$5:$C$3623,"&lt;"&amp;EDATE(DATEVALUE(C428&amp;"-01"),7))&gt;0,1,0)</f>
        <v>0</v>
      </c>
      <c r="N428" s="37">
        <f>IF(COUNTIFS('📋 Транзакції'!$B$5:$B$3623,A428,'📋 Транзакції'!$C$5:$C$3623,"&gt;="&amp;EDATE(DATEVALUE(C428&amp;"-01"),7),'📋 Транзакції'!$C$5:$C$3623,"&lt;"&amp;EDATE(DATEVALUE(C428&amp;"-01"),8))&gt;0,1,0)</f>
        <v>0</v>
      </c>
      <c r="O428" s="37">
        <f>IF(COUNTIFS('📋 Транзакції'!$B$5:$B$3623,A428,'📋 Транзакції'!$C$5:$C$3623,"&gt;="&amp;EDATE(DATEVALUE(C428&amp;"-01"),8),'📋 Транзакції'!$C$5:$C$3623,"&lt;"&amp;EDATE(DATEVALUE(C428&amp;"-01"),9))&gt;0,1,0)</f>
        <v>0</v>
      </c>
      <c r="P428" s="37">
        <f>IF(COUNTIFS('📋 Транзакції'!$B$5:$B$3623,A428,'📋 Транзакції'!$C$5:$C$3623,"&gt;="&amp;EDATE(DATEVALUE(C428&amp;"-01"),9),'📋 Транзакції'!$C$5:$C$3623,"&lt;"&amp;EDATE(DATEVALUE(C428&amp;"-01"),10))&gt;0,1,0)</f>
        <v>0</v>
      </c>
      <c r="Q428" s="37">
        <f>IF(COUNTIFS('📋 Транзакції'!$B$5:$B$3623,A428,'📋 Транзакції'!$C$5:$C$3623,"&gt;="&amp;EDATE(DATEVALUE(C428&amp;"-01"),10),'📋 Транзакції'!$C$5:$C$3623,"&lt;"&amp;EDATE(DATEVALUE(C428&amp;"-01"),11))&gt;0,1,0)</f>
        <v>0</v>
      </c>
      <c r="R428" s="37">
        <f>IF(COUNTIFS('📋 Транзакції'!$B$5:$B$3623,A428,'📋 Транзакції'!$C$5:$C$3623,"&gt;="&amp;EDATE(DATEVALUE(C428&amp;"-01"),11),'📋 Транзакції'!$C$5:$C$3623,"&lt;"&amp;EDATE(DATEVALUE(C428&amp;"-01"),12))&gt;0,1,0)</f>
        <v>0</v>
      </c>
      <c r="S428" s="37">
        <f>SUMIFS('📋 Транзакції'!$F$5:$F$3623,'📋 Транзакції'!$B$5:$B$3623,A428,'📋 Транзакції'!$C$5:$C$3623,"&gt;="&amp;EDATE(DATEVALUE(C428&amp;"-01"),0),'📋 Транзакції'!$C$5:$C$3623,"&lt;"&amp;EDATE(DATEVALUE(C428&amp;"-01"),1))</f>
        <v>19.99</v>
      </c>
      <c r="T428" s="37">
        <f>SUMIFS('📋 Транзакції'!$F$5:$F$3623,'📋 Транзакції'!$B$5:$B$3623,A428,'📋 Транзакції'!$C$5:$C$3623,"&gt;="&amp;EDATE(DATEVALUE(C428&amp;"-01"),1),'📋 Транзакції'!$C$5:$C$3623,"&lt;"&amp;EDATE(DATEVALUE(C428&amp;"-01"),2))</f>
        <v>0</v>
      </c>
      <c r="U428" s="37">
        <f>SUMIFS('📋 Транзакції'!$F$5:$F$3623,'📋 Транзакції'!$B$5:$B$3623,A428,'📋 Транзакції'!$C$5:$C$3623,"&gt;="&amp;EDATE(DATEVALUE(C428&amp;"-01"),2),'📋 Транзакції'!$C$5:$C$3623,"&lt;"&amp;EDATE(DATEVALUE(C428&amp;"-01"),3))</f>
        <v>0</v>
      </c>
      <c r="V428" s="37">
        <f>SUMIFS('📋 Транзакції'!$F$5:$F$3623,'📋 Транзакції'!$B$5:$B$3623,A428,'📋 Транзакції'!$C$5:$C$3623,"&gt;="&amp;EDATE(DATEVALUE(C428&amp;"-01"),3),'📋 Транзакції'!$C$5:$C$3623,"&lt;"&amp;EDATE(DATEVALUE(C428&amp;"-01"),4))</f>
        <v>0</v>
      </c>
      <c r="W428" s="37">
        <f>SUMIFS('📋 Транзакції'!$F$5:$F$3623,'📋 Транзакції'!$B$5:$B$3623,A428,'📋 Транзакції'!$C$5:$C$3623,"&gt;="&amp;EDATE(DATEVALUE(C428&amp;"-01"),4),'📋 Транзакції'!$C$5:$C$3623,"&lt;"&amp;EDATE(DATEVALUE(C428&amp;"-01"),5))</f>
        <v>0</v>
      </c>
      <c r="X428" s="37">
        <f>SUMIFS('📋 Транзакції'!$F$5:$F$3623,'📋 Транзакції'!$B$5:$B$3623,A428,'📋 Транзакції'!$C$5:$C$3623,"&gt;="&amp;EDATE(DATEVALUE(C428&amp;"-01"),5),'📋 Транзакції'!$C$5:$C$3623,"&lt;"&amp;EDATE(DATEVALUE(C428&amp;"-01"),6))</f>
        <v>0</v>
      </c>
      <c r="Y428" s="37">
        <f>SUMIFS('📋 Транзакції'!$F$5:$F$3623,'📋 Транзакції'!$B$5:$B$3623,A428,'📋 Транзакції'!$C$5:$C$3623,"&gt;="&amp;EDATE(DATEVALUE(C428&amp;"-01"),6),'📋 Транзакції'!$C$5:$C$3623,"&lt;"&amp;EDATE(DATEVALUE(C428&amp;"-01"),7))</f>
        <v>0</v>
      </c>
      <c r="Z428" s="37">
        <f>SUMIFS('📋 Транзакції'!$F$5:$F$3623,'📋 Транзакції'!$B$5:$B$3623,A428,'📋 Транзакції'!$C$5:$C$3623,"&gt;="&amp;EDATE(DATEVALUE(C428&amp;"-01"),7),'📋 Транзакції'!$C$5:$C$3623,"&lt;"&amp;EDATE(DATEVALUE(C428&amp;"-01"),8))</f>
        <v>0</v>
      </c>
      <c r="AA428" s="37">
        <f>SUMIFS('📋 Транзакції'!$F$5:$F$3623,'📋 Транзакції'!$B$5:$B$3623,A428,'📋 Транзакції'!$C$5:$C$3623,"&gt;="&amp;EDATE(DATEVALUE(C428&amp;"-01"),8),'📋 Транзакції'!$C$5:$C$3623,"&lt;"&amp;EDATE(DATEVALUE(C428&amp;"-01"),9))</f>
        <v>0</v>
      </c>
      <c r="AB428" s="37">
        <f>SUMIFS('📋 Транзакції'!$F$5:$F$3623,'📋 Транзакції'!$B$5:$B$3623,A428,'📋 Транзакції'!$C$5:$C$3623,"&gt;="&amp;EDATE(DATEVALUE(C428&amp;"-01"),9),'📋 Транзакції'!$C$5:$C$3623,"&lt;"&amp;EDATE(DATEVALUE(C428&amp;"-01"),10))</f>
        <v>0</v>
      </c>
      <c r="AC428" s="37">
        <f>SUMIFS('📋 Транзакції'!$F$5:$F$3623,'📋 Транзакції'!$B$5:$B$3623,A428,'📋 Транзакції'!$C$5:$C$3623,"&gt;="&amp;EDATE(DATEVALUE(C428&amp;"-01"),10),'📋 Транзакції'!$C$5:$C$3623,"&lt;"&amp;EDATE(DATEVALUE(C428&amp;"-01"),11))</f>
        <v>0</v>
      </c>
      <c r="AD428" s="37">
        <f>SUMIFS('📋 Транзакції'!$F$5:$F$3623,'📋 Транзакції'!$B$5:$B$3623,A428,'📋 Транзакції'!$C$5:$C$3623,"&gt;="&amp;EDATE(DATEVALUE(C428&amp;"-01"),11),'📋 Транзакції'!$C$5:$C$3623,"&lt;"&amp;EDATE(DATEVALUE(C428&amp;"-01"),12))</f>
        <v>0</v>
      </c>
    </row>
    <row r="429" ht="15.75" customHeight="1">
      <c r="A429" s="33" t="str">
        <f>'📋 Реєстрації'!A429:A1030</f>
        <v>U0419</v>
      </c>
      <c r="B429" s="34">
        <f t="array" ref="B429">INDEX('📋 Транзакції'!$C$5:$C$3623,MATCH(A429,'📋 Транзакції'!$B$5:$B$3623,0))</f>
        <v>45637</v>
      </c>
      <c r="C429" s="35" t="str">
        <f t="shared" si="1"/>
        <v>2024-12</v>
      </c>
      <c r="D429" s="36">
        <f>COUNTIF('📋 Транзакції'!$B$5:$B$3623,A429)</f>
        <v>5</v>
      </c>
      <c r="E429" s="36">
        <f>SUMIF('📋 Транзакції'!$B$5:$B$3623,A429,'📋 Транзакції'!$F$5:$F$3623)</f>
        <v>79.96</v>
      </c>
      <c r="F429" s="35">
        <f>INT($A$1-MAXIFS('📋 Транзакції'!$C$5:$C$3623,'📋 Транзакції'!$B$5:$B$3623,A429))</f>
        <v>13</v>
      </c>
      <c r="G429" s="37">
        <f>IF(COUNTIFS('📋 Транзакції'!$B$5:$B$3623,A429,'📋 Транзакції'!$C$5:$C$3623,"&gt;="&amp;EDATE(DATEVALUE(C429&amp;"-01"),0),'📋 Транзакції'!$C$5:$C$3623,"&lt;"&amp;EDATE(DATEVALUE(C429&amp;"-01"),1))&gt;0,1,0)</f>
        <v>1</v>
      </c>
      <c r="H429" s="37">
        <f>IF(COUNTIFS('📋 Транзакції'!$B$5:$B$3623,A429,'📋 Транзакції'!$C$5:$C$3623,"&gt;="&amp;EDATE(DATEVALUE(C429&amp;"-01"),1),'📋 Транзакції'!$C$5:$C$3623,"&lt;"&amp;EDATE(DATEVALUE(C429&amp;"-01"),2))&gt;0,1,0)</f>
        <v>1</v>
      </c>
      <c r="I429" s="37">
        <f>IF(COUNTIFS('📋 Транзакції'!$B$5:$B$3623,A429,'📋 Транзакції'!$C$5:$C$3623,"&gt;="&amp;EDATE(DATEVALUE(C429&amp;"-01"),2),'📋 Транзакції'!$C$5:$C$3623,"&lt;"&amp;EDATE(DATEVALUE(C429&amp;"-01"),3))&gt;0,1,0)</f>
        <v>1</v>
      </c>
      <c r="J429" s="37">
        <f>IF(COUNTIFS('📋 Транзакції'!$B$5:$B$3623,A429,'📋 Транзакції'!$C$5:$C$3623,"&gt;="&amp;EDATE(DATEVALUE(C429&amp;"-01"),3),'📋 Транзакції'!$C$5:$C$3623,"&lt;"&amp;EDATE(DATEVALUE(C429&amp;"-01"),4))&gt;0,1,0)</f>
        <v>1</v>
      </c>
      <c r="K429" s="37">
        <f>IF(COUNTIFS('📋 Транзакції'!$B$5:$B$3623,A429,'📋 Транзакції'!$C$5:$C$3623,"&gt;="&amp;EDATE(DATEVALUE(C429&amp;"-01"),4),'📋 Транзакції'!$C$5:$C$3623,"&lt;"&amp;EDATE(DATEVALUE(C429&amp;"-01"),5))&gt;0,1,0)</f>
        <v>0</v>
      </c>
      <c r="L429" s="37">
        <f>IF(COUNTIFS('📋 Транзакції'!$B$5:$B$3623,A429,'📋 Транзакції'!$C$5:$C$3623,"&gt;="&amp;EDATE(DATEVALUE(C429&amp;"-01"),5),'📋 Транзакції'!$C$5:$C$3623,"&lt;"&amp;EDATE(DATEVALUE(C429&amp;"-01"),6))&gt;0,1,0)</f>
        <v>0</v>
      </c>
      <c r="M429" s="37">
        <f>IF(COUNTIFS('📋 Транзакції'!$B$5:$B$3623,A429,'📋 Транзакції'!$C$5:$C$3623,"&gt;="&amp;EDATE(DATEVALUE(C429&amp;"-01"),6),'📋 Транзакції'!$C$5:$C$3623,"&lt;"&amp;EDATE(DATEVALUE(C429&amp;"-01"),7))&gt;0,1,0)</f>
        <v>0</v>
      </c>
      <c r="N429" s="37">
        <f>IF(COUNTIFS('📋 Транзакції'!$B$5:$B$3623,A429,'📋 Транзакції'!$C$5:$C$3623,"&gt;="&amp;EDATE(DATEVALUE(C429&amp;"-01"),7),'📋 Транзакції'!$C$5:$C$3623,"&lt;"&amp;EDATE(DATEVALUE(C429&amp;"-01"),8))&gt;0,1,0)</f>
        <v>0</v>
      </c>
      <c r="O429" s="37">
        <f>IF(COUNTIFS('📋 Транзакції'!$B$5:$B$3623,A429,'📋 Транзакції'!$C$5:$C$3623,"&gt;="&amp;EDATE(DATEVALUE(C429&amp;"-01"),8),'📋 Транзакції'!$C$5:$C$3623,"&lt;"&amp;EDATE(DATEVALUE(C429&amp;"-01"),9))&gt;0,1,0)</f>
        <v>0</v>
      </c>
      <c r="P429" s="37">
        <f>IF(COUNTIFS('📋 Транзакції'!$B$5:$B$3623,A429,'📋 Транзакції'!$C$5:$C$3623,"&gt;="&amp;EDATE(DATEVALUE(C429&amp;"-01"),9),'📋 Транзакції'!$C$5:$C$3623,"&lt;"&amp;EDATE(DATEVALUE(C429&amp;"-01"),10))&gt;0,1,0)</f>
        <v>0</v>
      </c>
      <c r="Q429" s="37">
        <f>IF(COUNTIFS('📋 Транзакції'!$B$5:$B$3623,A429,'📋 Транзакції'!$C$5:$C$3623,"&gt;="&amp;EDATE(DATEVALUE(C429&amp;"-01"),10),'📋 Транзакції'!$C$5:$C$3623,"&lt;"&amp;EDATE(DATEVALUE(C429&amp;"-01"),11))&gt;0,1,0)</f>
        <v>0</v>
      </c>
      <c r="R429" s="37">
        <f>IF(COUNTIFS('📋 Транзакції'!$B$5:$B$3623,A429,'📋 Транзакції'!$C$5:$C$3623,"&gt;="&amp;EDATE(DATEVALUE(C429&amp;"-01"),11),'📋 Транзакції'!$C$5:$C$3623,"&lt;"&amp;EDATE(DATEVALUE(C429&amp;"-01"),12))&gt;0,1,0)</f>
        <v>0</v>
      </c>
      <c r="S429" s="37">
        <f>SUMIFS('📋 Транзакції'!$F$5:$F$3623,'📋 Транзакції'!$B$5:$B$3623,A429,'📋 Транзакції'!$C$5:$C$3623,"&gt;="&amp;EDATE(DATEVALUE(C429&amp;"-01"),0),'📋 Транзакції'!$C$5:$C$3623,"&lt;"&amp;EDATE(DATEVALUE(C429&amp;"-01"),1))</f>
        <v>19.99</v>
      </c>
      <c r="T429" s="37">
        <f>SUMIFS('📋 Транзакції'!$F$5:$F$3623,'📋 Транзакції'!$B$5:$B$3623,A429,'📋 Транзакції'!$C$5:$C$3623,"&gt;="&amp;EDATE(DATEVALUE(C429&amp;"-01"),1),'📋 Транзакції'!$C$5:$C$3623,"&lt;"&amp;EDATE(DATEVALUE(C429&amp;"-01"),2))</f>
        <v>19.99</v>
      </c>
      <c r="U429" s="37">
        <f>SUMIFS('📋 Транзакції'!$F$5:$F$3623,'📋 Транзакції'!$B$5:$B$3623,A429,'📋 Транзакції'!$C$5:$C$3623,"&gt;="&amp;EDATE(DATEVALUE(C429&amp;"-01"),2),'📋 Транзакції'!$C$5:$C$3623,"&lt;"&amp;EDATE(DATEVALUE(C429&amp;"-01"),3))</f>
        <v>19.99</v>
      </c>
      <c r="V429" s="37">
        <f>SUMIFS('📋 Транзакції'!$F$5:$F$3623,'📋 Транзакції'!$B$5:$B$3623,A429,'📋 Транзакції'!$C$5:$C$3623,"&gt;="&amp;EDATE(DATEVALUE(C429&amp;"-01"),3),'📋 Транзакції'!$C$5:$C$3623,"&lt;"&amp;EDATE(DATEVALUE(C429&amp;"-01"),4))</f>
        <v>19.99</v>
      </c>
      <c r="W429" s="37">
        <f>SUMIFS('📋 Транзакції'!$F$5:$F$3623,'📋 Транзакції'!$B$5:$B$3623,A429,'📋 Транзакції'!$C$5:$C$3623,"&gt;="&amp;EDATE(DATEVALUE(C429&amp;"-01"),4),'📋 Транзакції'!$C$5:$C$3623,"&lt;"&amp;EDATE(DATEVALUE(C429&amp;"-01"),5))</f>
        <v>0</v>
      </c>
      <c r="X429" s="37">
        <f>SUMIFS('📋 Транзакції'!$F$5:$F$3623,'📋 Транзакції'!$B$5:$B$3623,A429,'📋 Транзакції'!$C$5:$C$3623,"&gt;="&amp;EDATE(DATEVALUE(C429&amp;"-01"),5),'📋 Транзакції'!$C$5:$C$3623,"&lt;"&amp;EDATE(DATEVALUE(C429&amp;"-01"),6))</f>
        <v>0</v>
      </c>
      <c r="Y429" s="37">
        <f>SUMIFS('📋 Транзакції'!$F$5:$F$3623,'📋 Транзакції'!$B$5:$B$3623,A429,'📋 Транзакції'!$C$5:$C$3623,"&gt;="&amp;EDATE(DATEVALUE(C429&amp;"-01"),6),'📋 Транзакції'!$C$5:$C$3623,"&lt;"&amp;EDATE(DATEVALUE(C429&amp;"-01"),7))</f>
        <v>0</v>
      </c>
      <c r="Z429" s="37">
        <f>SUMIFS('📋 Транзакції'!$F$5:$F$3623,'📋 Транзакції'!$B$5:$B$3623,A429,'📋 Транзакції'!$C$5:$C$3623,"&gt;="&amp;EDATE(DATEVALUE(C429&amp;"-01"),7),'📋 Транзакції'!$C$5:$C$3623,"&lt;"&amp;EDATE(DATEVALUE(C429&amp;"-01"),8))</f>
        <v>0</v>
      </c>
      <c r="AA429" s="37">
        <f>SUMIFS('📋 Транзакції'!$F$5:$F$3623,'📋 Транзакції'!$B$5:$B$3623,A429,'📋 Транзакції'!$C$5:$C$3623,"&gt;="&amp;EDATE(DATEVALUE(C429&amp;"-01"),8),'📋 Транзакції'!$C$5:$C$3623,"&lt;"&amp;EDATE(DATEVALUE(C429&amp;"-01"),9))</f>
        <v>0</v>
      </c>
      <c r="AB429" s="37">
        <f>SUMIFS('📋 Транзакції'!$F$5:$F$3623,'📋 Транзакції'!$B$5:$B$3623,A429,'📋 Транзакції'!$C$5:$C$3623,"&gt;="&amp;EDATE(DATEVALUE(C429&amp;"-01"),9),'📋 Транзакції'!$C$5:$C$3623,"&lt;"&amp;EDATE(DATEVALUE(C429&amp;"-01"),10))</f>
        <v>0</v>
      </c>
      <c r="AC429" s="37">
        <f>SUMIFS('📋 Транзакції'!$F$5:$F$3623,'📋 Транзакції'!$B$5:$B$3623,A429,'📋 Транзакції'!$C$5:$C$3623,"&gt;="&amp;EDATE(DATEVALUE(C429&amp;"-01"),10),'📋 Транзакції'!$C$5:$C$3623,"&lt;"&amp;EDATE(DATEVALUE(C429&amp;"-01"),11))</f>
        <v>0</v>
      </c>
      <c r="AD429" s="37">
        <f>SUMIFS('📋 Транзакції'!$F$5:$F$3623,'📋 Транзакції'!$B$5:$B$3623,A429,'📋 Транзакції'!$C$5:$C$3623,"&gt;="&amp;EDATE(DATEVALUE(C429&amp;"-01"),11),'📋 Транзакції'!$C$5:$C$3623,"&lt;"&amp;EDATE(DATEVALUE(C429&amp;"-01"),12))</f>
        <v>0</v>
      </c>
    </row>
    <row r="430" ht="15.75" customHeight="1">
      <c r="A430" s="33" t="str">
        <f>'📋 Реєстрації'!A430:A1031</f>
        <v>U0102</v>
      </c>
      <c r="B430" s="34">
        <f t="array" ref="B430">INDEX('📋 Транзакції'!$C$5:$C$3623,MATCH(A430,'📋 Транзакції'!$B$5:$B$3623,0))</f>
        <v>45638</v>
      </c>
      <c r="C430" s="35" t="str">
        <f t="shared" si="1"/>
        <v>2024-12</v>
      </c>
      <c r="D430" s="36">
        <f>COUNTIF('📋 Транзакції'!$B$5:$B$3623,A430)</f>
        <v>2</v>
      </c>
      <c r="E430" s="36">
        <f>SUMIF('📋 Транзакції'!$B$5:$B$3623,A430,'📋 Транзакції'!$F$5:$F$3623)</f>
        <v>19.99</v>
      </c>
      <c r="F430" s="35">
        <f>INT($A$1-MAXIFS('📋 Транзакції'!$C$5:$C$3623,'📋 Транзакції'!$B$5:$B$3623,A430))</f>
        <v>102</v>
      </c>
      <c r="G430" s="37">
        <f>IF(COUNTIFS('📋 Транзакції'!$B$5:$B$3623,A430,'📋 Транзакції'!$C$5:$C$3623,"&gt;="&amp;EDATE(DATEVALUE(C430&amp;"-01"),0),'📋 Транзакції'!$C$5:$C$3623,"&lt;"&amp;EDATE(DATEVALUE(C430&amp;"-01"),1))&gt;0,1,0)</f>
        <v>1</v>
      </c>
      <c r="H430" s="37">
        <f>IF(COUNTIFS('📋 Транзакції'!$B$5:$B$3623,A430,'📋 Транзакції'!$C$5:$C$3623,"&gt;="&amp;EDATE(DATEVALUE(C430&amp;"-01"),1),'📋 Транзакції'!$C$5:$C$3623,"&lt;"&amp;EDATE(DATEVALUE(C430&amp;"-01"),2))&gt;0,1,0)</f>
        <v>0</v>
      </c>
      <c r="I430" s="37">
        <f>IF(COUNTIFS('📋 Транзакції'!$B$5:$B$3623,A430,'📋 Транзакції'!$C$5:$C$3623,"&gt;="&amp;EDATE(DATEVALUE(C430&amp;"-01"),2),'📋 Транзакції'!$C$5:$C$3623,"&lt;"&amp;EDATE(DATEVALUE(C430&amp;"-01"),3))&gt;0,1,0)</f>
        <v>0</v>
      </c>
      <c r="J430" s="37">
        <f>IF(COUNTIFS('📋 Транзакції'!$B$5:$B$3623,A430,'📋 Транзакції'!$C$5:$C$3623,"&gt;="&amp;EDATE(DATEVALUE(C430&amp;"-01"),3),'📋 Транзакції'!$C$5:$C$3623,"&lt;"&amp;EDATE(DATEVALUE(C430&amp;"-01"),4))&gt;0,1,0)</f>
        <v>0</v>
      </c>
      <c r="K430" s="37">
        <f>IF(COUNTIFS('📋 Транзакції'!$B$5:$B$3623,A430,'📋 Транзакції'!$C$5:$C$3623,"&gt;="&amp;EDATE(DATEVALUE(C430&amp;"-01"),4),'📋 Транзакції'!$C$5:$C$3623,"&lt;"&amp;EDATE(DATEVALUE(C430&amp;"-01"),5))&gt;0,1,0)</f>
        <v>0</v>
      </c>
      <c r="L430" s="37">
        <f>IF(COUNTIFS('📋 Транзакції'!$B$5:$B$3623,A430,'📋 Транзакції'!$C$5:$C$3623,"&gt;="&amp;EDATE(DATEVALUE(C430&amp;"-01"),5),'📋 Транзакції'!$C$5:$C$3623,"&lt;"&amp;EDATE(DATEVALUE(C430&amp;"-01"),6))&gt;0,1,0)</f>
        <v>0</v>
      </c>
      <c r="M430" s="37">
        <f>IF(COUNTIFS('📋 Транзакції'!$B$5:$B$3623,A430,'📋 Транзакції'!$C$5:$C$3623,"&gt;="&amp;EDATE(DATEVALUE(C430&amp;"-01"),6),'📋 Транзакції'!$C$5:$C$3623,"&lt;"&amp;EDATE(DATEVALUE(C430&amp;"-01"),7))&gt;0,1,0)</f>
        <v>0</v>
      </c>
      <c r="N430" s="37">
        <f>IF(COUNTIFS('📋 Транзакції'!$B$5:$B$3623,A430,'📋 Транзакції'!$C$5:$C$3623,"&gt;="&amp;EDATE(DATEVALUE(C430&amp;"-01"),7),'📋 Транзакції'!$C$5:$C$3623,"&lt;"&amp;EDATE(DATEVALUE(C430&amp;"-01"),8))&gt;0,1,0)</f>
        <v>0</v>
      </c>
      <c r="O430" s="37">
        <f>IF(COUNTIFS('📋 Транзакції'!$B$5:$B$3623,A430,'📋 Транзакції'!$C$5:$C$3623,"&gt;="&amp;EDATE(DATEVALUE(C430&amp;"-01"),8),'📋 Транзакції'!$C$5:$C$3623,"&lt;"&amp;EDATE(DATEVALUE(C430&amp;"-01"),9))&gt;0,1,0)</f>
        <v>0</v>
      </c>
      <c r="P430" s="37">
        <f>IF(COUNTIFS('📋 Транзакції'!$B$5:$B$3623,A430,'📋 Транзакції'!$C$5:$C$3623,"&gt;="&amp;EDATE(DATEVALUE(C430&amp;"-01"),9),'📋 Транзакції'!$C$5:$C$3623,"&lt;"&amp;EDATE(DATEVALUE(C430&amp;"-01"),10))&gt;0,1,0)</f>
        <v>0</v>
      </c>
      <c r="Q430" s="37">
        <f>IF(COUNTIFS('📋 Транзакції'!$B$5:$B$3623,A430,'📋 Транзакції'!$C$5:$C$3623,"&gt;="&amp;EDATE(DATEVALUE(C430&amp;"-01"),10),'📋 Транзакції'!$C$5:$C$3623,"&lt;"&amp;EDATE(DATEVALUE(C430&amp;"-01"),11))&gt;0,1,0)</f>
        <v>0</v>
      </c>
      <c r="R430" s="37">
        <f>IF(COUNTIFS('📋 Транзакції'!$B$5:$B$3623,A430,'📋 Транзакції'!$C$5:$C$3623,"&gt;="&amp;EDATE(DATEVALUE(C430&amp;"-01"),11),'📋 Транзакції'!$C$5:$C$3623,"&lt;"&amp;EDATE(DATEVALUE(C430&amp;"-01"),12))&gt;0,1,0)</f>
        <v>0</v>
      </c>
      <c r="S430" s="37">
        <f>SUMIFS('📋 Транзакції'!$F$5:$F$3623,'📋 Транзакції'!$B$5:$B$3623,A430,'📋 Транзакції'!$C$5:$C$3623,"&gt;="&amp;EDATE(DATEVALUE(C430&amp;"-01"),0),'📋 Транзакції'!$C$5:$C$3623,"&lt;"&amp;EDATE(DATEVALUE(C430&amp;"-01"),1))</f>
        <v>19.99</v>
      </c>
      <c r="T430" s="37">
        <f>SUMIFS('📋 Транзакції'!$F$5:$F$3623,'📋 Транзакції'!$B$5:$B$3623,A430,'📋 Транзакції'!$C$5:$C$3623,"&gt;="&amp;EDATE(DATEVALUE(C430&amp;"-01"),1),'📋 Транзакції'!$C$5:$C$3623,"&lt;"&amp;EDATE(DATEVALUE(C430&amp;"-01"),2))</f>
        <v>0</v>
      </c>
      <c r="U430" s="37">
        <f>SUMIFS('📋 Транзакції'!$F$5:$F$3623,'📋 Транзакції'!$B$5:$B$3623,A430,'📋 Транзакції'!$C$5:$C$3623,"&gt;="&amp;EDATE(DATEVALUE(C430&amp;"-01"),2),'📋 Транзакції'!$C$5:$C$3623,"&lt;"&amp;EDATE(DATEVALUE(C430&amp;"-01"),3))</f>
        <v>0</v>
      </c>
      <c r="V430" s="37">
        <f>SUMIFS('📋 Транзакції'!$F$5:$F$3623,'📋 Транзакції'!$B$5:$B$3623,A430,'📋 Транзакції'!$C$5:$C$3623,"&gt;="&amp;EDATE(DATEVALUE(C430&amp;"-01"),3),'📋 Транзакції'!$C$5:$C$3623,"&lt;"&amp;EDATE(DATEVALUE(C430&amp;"-01"),4))</f>
        <v>0</v>
      </c>
      <c r="W430" s="37">
        <f>SUMIFS('📋 Транзакції'!$F$5:$F$3623,'📋 Транзакції'!$B$5:$B$3623,A430,'📋 Транзакції'!$C$5:$C$3623,"&gt;="&amp;EDATE(DATEVALUE(C430&amp;"-01"),4),'📋 Транзакції'!$C$5:$C$3623,"&lt;"&amp;EDATE(DATEVALUE(C430&amp;"-01"),5))</f>
        <v>0</v>
      </c>
      <c r="X430" s="37">
        <f>SUMIFS('📋 Транзакції'!$F$5:$F$3623,'📋 Транзакції'!$B$5:$B$3623,A430,'📋 Транзакції'!$C$5:$C$3623,"&gt;="&amp;EDATE(DATEVALUE(C430&amp;"-01"),5),'📋 Транзакції'!$C$5:$C$3623,"&lt;"&amp;EDATE(DATEVALUE(C430&amp;"-01"),6))</f>
        <v>0</v>
      </c>
      <c r="Y430" s="37">
        <f>SUMIFS('📋 Транзакції'!$F$5:$F$3623,'📋 Транзакції'!$B$5:$B$3623,A430,'📋 Транзакції'!$C$5:$C$3623,"&gt;="&amp;EDATE(DATEVALUE(C430&amp;"-01"),6),'📋 Транзакції'!$C$5:$C$3623,"&lt;"&amp;EDATE(DATEVALUE(C430&amp;"-01"),7))</f>
        <v>0</v>
      </c>
      <c r="Z430" s="37">
        <f>SUMIFS('📋 Транзакції'!$F$5:$F$3623,'📋 Транзакції'!$B$5:$B$3623,A430,'📋 Транзакції'!$C$5:$C$3623,"&gt;="&amp;EDATE(DATEVALUE(C430&amp;"-01"),7),'📋 Транзакції'!$C$5:$C$3623,"&lt;"&amp;EDATE(DATEVALUE(C430&amp;"-01"),8))</f>
        <v>0</v>
      </c>
      <c r="AA430" s="37">
        <f>SUMIFS('📋 Транзакції'!$F$5:$F$3623,'📋 Транзакції'!$B$5:$B$3623,A430,'📋 Транзакції'!$C$5:$C$3623,"&gt;="&amp;EDATE(DATEVALUE(C430&amp;"-01"),8),'📋 Транзакції'!$C$5:$C$3623,"&lt;"&amp;EDATE(DATEVALUE(C430&amp;"-01"),9))</f>
        <v>0</v>
      </c>
      <c r="AB430" s="37">
        <f>SUMIFS('📋 Транзакції'!$F$5:$F$3623,'📋 Транзакції'!$B$5:$B$3623,A430,'📋 Транзакції'!$C$5:$C$3623,"&gt;="&amp;EDATE(DATEVALUE(C430&amp;"-01"),9),'📋 Транзакції'!$C$5:$C$3623,"&lt;"&amp;EDATE(DATEVALUE(C430&amp;"-01"),10))</f>
        <v>0</v>
      </c>
      <c r="AC430" s="37">
        <f>SUMIFS('📋 Транзакції'!$F$5:$F$3623,'📋 Транзакції'!$B$5:$B$3623,A430,'📋 Транзакції'!$C$5:$C$3623,"&gt;="&amp;EDATE(DATEVALUE(C430&amp;"-01"),10),'📋 Транзакції'!$C$5:$C$3623,"&lt;"&amp;EDATE(DATEVALUE(C430&amp;"-01"),11))</f>
        <v>0</v>
      </c>
      <c r="AD430" s="37">
        <f>SUMIFS('📋 Транзакції'!$F$5:$F$3623,'📋 Транзакції'!$B$5:$B$3623,A430,'📋 Транзакції'!$C$5:$C$3623,"&gt;="&amp;EDATE(DATEVALUE(C430&amp;"-01"),11),'📋 Транзакції'!$C$5:$C$3623,"&lt;"&amp;EDATE(DATEVALUE(C430&amp;"-01"),12))</f>
        <v>0</v>
      </c>
    </row>
    <row r="431" ht="15.75" customHeight="1">
      <c r="A431" s="33" t="str">
        <f>'📋 Реєстрації'!A431:A1032</f>
        <v>U0201</v>
      </c>
      <c r="B431" s="34">
        <f t="array" ref="B431">INDEX('📋 Транзакції'!$C$5:$C$3623,MATCH(A431,'📋 Транзакції'!$B$5:$B$3623,0))</f>
        <v>45638</v>
      </c>
      <c r="C431" s="35" t="str">
        <f t="shared" si="1"/>
        <v>2024-12</v>
      </c>
      <c r="D431" s="36">
        <f>COUNTIF('📋 Транзакції'!$B$5:$B$3623,A431)</f>
        <v>5</v>
      </c>
      <c r="E431" s="36">
        <f>SUMIF('📋 Транзакції'!$B$5:$B$3623,A431,'📋 Транзакції'!$F$5:$F$3623)</f>
        <v>79.96</v>
      </c>
      <c r="F431" s="35">
        <f>INT($A$1-MAXIFS('📋 Транзакції'!$C$5:$C$3623,'📋 Транзакції'!$B$5:$B$3623,A431))</f>
        <v>12</v>
      </c>
      <c r="G431" s="37">
        <f>IF(COUNTIFS('📋 Транзакції'!$B$5:$B$3623,A431,'📋 Транзакції'!$C$5:$C$3623,"&gt;="&amp;EDATE(DATEVALUE(C431&amp;"-01"),0),'📋 Транзакції'!$C$5:$C$3623,"&lt;"&amp;EDATE(DATEVALUE(C431&amp;"-01"),1))&gt;0,1,0)</f>
        <v>1</v>
      </c>
      <c r="H431" s="37">
        <f>IF(COUNTIFS('📋 Транзакції'!$B$5:$B$3623,A431,'📋 Транзакції'!$C$5:$C$3623,"&gt;="&amp;EDATE(DATEVALUE(C431&amp;"-01"),1),'📋 Транзакції'!$C$5:$C$3623,"&lt;"&amp;EDATE(DATEVALUE(C431&amp;"-01"),2))&gt;0,1,0)</f>
        <v>1</v>
      </c>
      <c r="I431" s="37">
        <f>IF(COUNTIFS('📋 Транзакції'!$B$5:$B$3623,A431,'📋 Транзакції'!$C$5:$C$3623,"&gt;="&amp;EDATE(DATEVALUE(C431&amp;"-01"),2),'📋 Транзакції'!$C$5:$C$3623,"&lt;"&amp;EDATE(DATEVALUE(C431&amp;"-01"),3))&gt;0,1,0)</f>
        <v>1</v>
      </c>
      <c r="J431" s="37">
        <f>IF(COUNTIFS('📋 Транзакції'!$B$5:$B$3623,A431,'📋 Транзакції'!$C$5:$C$3623,"&gt;="&amp;EDATE(DATEVALUE(C431&amp;"-01"),3),'📋 Транзакції'!$C$5:$C$3623,"&lt;"&amp;EDATE(DATEVALUE(C431&amp;"-01"),4))&gt;0,1,0)</f>
        <v>1</v>
      </c>
      <c r="K431" s="37">
        <f>IF(COUNTIFS('📋 Транзакції'!$B$5:$B$3623,A431,'📋 Транзакції'!$C$5:$C$3623,"&gt;="&amp;EDATE(DATEVALUE(C431&amp;"-01"),4),'📋 Транзакції'!$C$5:$C$3623,"&lt;"&amp;EDATE(DATEVALUE(C431&amp;"-01"),5))&gt;0,1,0)</f>
        <v>0</v>
      </c>
      <c r="L431" s="37">
        <f>IF(COUNTIFS('📋 Транзакції'!$B$5:$B$3623,A431,'📋 Транзакції'!$C$5:$C$3623,"&gt;="&amp;EDATE(DATEVALUE(C431&amp;"-01"),5),'📋 Транзакції'!$C$5:$C$3623,"&lt;"&amp;EDATE(DATEVALUE(C431&amp;"-01"),6))&gt;0,1,0)</f>
        <v>0</v>
      </c>
      <c r="M431" s="37">
        <f>IF(COUNTIFS('📋 Транзакції'!$B$5:$B$3623,A431,'📋 Транзакції'!$C$5:$C$3623,"&gt;="&amp;EDATE(DATEVALUE(C431&amp;"-01"),6),'📋 Транзакції'!$C$5:$C$3623,"&lt;"&amp;EDATE(DATEVALUE(C431&amp;"-01"),7))&gt;0,1,0)</f>
        <v>0</v>
      </c>
      <c r="N431" s="37">
        <f>IF(COUNTIFS('📋 Транзакції'!$B$5:$B$3623,A431,'📋 Транзакції'!$C$5:$C$3623,"&gt;="&amp;EDATE(DATEVALUE(C431&amp;"-01"),7),'📋 Транзакції'!$C$5:$C$3623,"&lt;"&amp;EDATE(DATEVALUE(C431&amp;"-01"),8))&gt;0,1,0)</f>
        <v>0</v>
      </c>
      <c r="O431" s="37">
        <f>IF(COUNTIFS('📋 Транзакції'!$B$5:$B$3623,A431,'📋 Транзакції'!$C$5:$C$3623,"&gt;="&amp;EDATE(DATEVALUE(C431&amp;"-01"),8),'📋 Транзакції'!$C$5:$C$3623,"&lt;"&amp;EDATE(DATEVALUE(C431&amp;"-01"),9))&gt;0,1,0)</f>
        <v>0</v>
      </c>
      <c r="P431" s="37">
        <f>IF(COUNTIFS('📋 Транзакції'!$B$5:$B$3623,A431,'📋 Транзакції'!$C$5:$C$3623,"&gt;="&amp;EDATE(DATEVALUE(C431&amp;"-01"),9),'📋 Транзакції'!$C$5:$C$3623,"&lt;"&amp;EDATE(DATEVALUE(C431&amp;"-01"),10))&gt;0,1,0)</f>
        <v>0</v>
      </c>
      <c r="Q431" s="37">
        <f>IF(COUNTIFS('📋 Транзакції'!$B$5:$B$3623,A431,'📋 Транзакції'!$C$5:$C$3623,"&gt;="&amp;EDATE(DATEVALUE(C431&amp;"-01"),10),'📋 Транзакції'!$C$5:$C$3623,"&lt;"&amp;EDATE(DATEVALUE(C431&amp;"-01"),11))&gt;0,1,0)</f>
        <v>0</v>
      </c>
      <c r="R431" s="37">
        <f>IF(COUNTIFS('📋 Транзакції'!$B$5:$B$3623,A431,'📋 Транзакції'!$C$5:$C$3623,"&gt;="&amp;EDATE(DATEVALUE(C431&amp;"-01"),11),'📋 Транзакції'!$C$5:$C$3623,"&lt;"&amp;EDATE(DATEVALUE(C431&amp;"-01"),12))&gt;0,1,0)</f>
        <v>0</v>
      </c>
      <c r="S431" s="37">
        <f>SUMIFS('📋 Транзакції'!$F$5:$F$3623,'📋 Транзакції'!$B$5:$B$3623,A431,'📋 Транзакції'!$C$5:$C$3623,"&gt;="&amp;EDATE(DATEVALUE(C431&amp;"-01"),0),'📋 Транзакції'!$C$5:$C$3623,"&lt;"&amp;EDATE(DATEVALUE(C431&amp;"-01"),1))</f>
        <v>19.99</v>
      </c>
      <c r="T431" s="37">
        <f>SUMIFS('📋 Транзакції'!$F$5:$F$3623,'📋 Транзакції'!$B$5:$B$3623,A431,'📋 Транзакції'!$C$5:$C$3623,"&gt;="&amp;EDATE(DATEVALUE(C431&amp;"-01"),1),'📋 Транзакції'!$C$5:$C$3623,"&lt;"&amp;EDATE(DATEVALUE(C431&amp;"-01"),2))</f>
        <v>19.99</v>
      </c>
      <c r="U431" s="37">
        <f>SUMIFS('📋 Транзакції'!$F$5:$F$3623,'📋 Транзакції'!$B$5:$B$3623,A431,'📋 Транзакції'!$C$5:$C$3623,"&gt;="&amp;EDATE(DATEVALUE(C431&amp;"-01"),2),'📋 Транзакції'!$C$5:$C$3623,"&lt;"&amp;EDATE(DATEVALUE(C431&amp;"-01"),3))</f>
        <v>19.99</v>
      </c>
      <c r="V431" s="37">
        <f>SUMIFS('📋 Транзакції'!$F$5:$F$3623,'📋 Транзакції'!$B$5:$B$3623,A431,'📋 Транзакції'!$C$5:$C$3623,"&gt;="&amp;EDATE(DATEVALUE(C431&amp;"-01"),3),'📋 Транзакції'!$C$5:$C$3623,"&lt;"&amp;EDATE(DATEVALUE(C431&amp;"-01"),4))</f>
        <v>19.99</v>
      </c>
      <c r="W431" s="37">
        <f>SUMIFS('📋 Транзакції'!$F$5:$F$3623,'📋 Транзакції'!$B$5:$B$3623,A431,'📋 Транзакції'!$C$5:$C$3623,"&gt;="&amp;EDATE(DATEVALUE(C431&amp;"-01"),4),'📋 Транзакції'!$C$5:$C$3623,"&lt;"&amp;EDATE(DATEVALUE(C431&amp;"-01"),5))</f>
        <v>0</v>
      </c>
      <c r="X431" s="37">
        <f>SUMIFS('📋 Транзакції'!$F$5:$F$3623,'📋 Транзакції'!$B$5:$B$3623,A431,'📋 Транзакції'!$C$5:$C$3623,"&gt;="&amp;EDATE(DATEVALUE(C431&amp;"-01"),5),'📋 Транзакції'!$C$5:$C$3623,"&lt;"&amp;EDATE(DATEVALUE(C431&amp;"-01"),6))</f>
        <v>0</v>
      </c>
      <c r="Y431" s="37">
        <f>SUMIFS('📋 Транзакції'!$F$5:$F$3623,'📋 Транзакції'!$B$5:$B$3623,A431,'📋 Транзакції'!$C$5:$C$3623,"&gt;="&amp;EDATE(DATEVALUE(C431&amp;"-01"),6),'📋 Транзакції'!$C$5:$C$3623,"&lt;"&amp;EDATE(DATEVALUE(C431&amp;"-01"),7))</f>
        <v>0</v>
      </c>
      <c r="Z431" s="37">
        <f>SUMIFS('📋 Транзакції'!$F$5:$F$3623,'📋 Транзакції'!$B$5:$B$3623,A431,'📋 Транзакції'!$C$5:$C$3623,"&gt;="&amp;EDATE(DATEVALUE(C431&amp;"-01"),7),'📋 Транзакції'!$C$5:$C$3623,"&lt;"&amp;EDATE(DATEVALUE(C431&amp;"-01"),8))</f>
        <v>0</v>
      </c>
      <c r="AA431" s="37">
        <f>SUMIFS('📋 Транзакції'!$F$5:$F$3623,'📋 Транзакції'!$B$5:$B$3623,A431,'📋 Транзакції'!$C$5:$C$3623,"&gt;="&amp;EDATE(DATEVALUE(C431&amp;"-01"),8),'📋 Транзакції'!$C$5:$C$3623,"&lt;"&amp;EDATE(DATEVALUE(C431&amp;"-01"),9))</f>
        <v>0</v>
      </c>
      <c r="AB431" s="37">
        <f>SUMIFS('📋 Транзакції'!$F$5:$F$3623,'📋 Транзакції'!$B$5:$B$3623,A431,'📋 Транзакції'!$C$5:$C$3623,"&gt;="&amp;EDATE(DATEVALUE(C431&amp;"-01"),9),'📋 Транзакції'!$C$5:$C$3623,"&lt;"&amp;EDATE(DATEVALUE(C431&amp;"-01"),10))</f>
        <v>0</v>
      </c>
      <c r="AC431" s="37">
        <f>SUMIFS('📋 Транзакції'!$F$5:$F$3623,'📋 Транзакції'!$B$5:$B$3623,A431,'📋 Транзакції'!$C$5:$C$3623,"&gt;="&amp;EDATE(DATEVALUE(C431&amp;"-01"),10),'📋 Транзакції'!$C$5:$C$3623,"&lt;"&amp;EDATE(DATEVALUE(C431&amp;"-01"),11))</f>
        <v>0</v>
      </c>
      <c r="AD431" s="37">
        <f>SUMIFS('📋 Транзакції'!$F$5:$F$3623,'📋 Транзакції'!$B$5:$B$3623,A431,'📋 Транзакції'!$C$5:$C$3623,"&gt;="&amp;EDATE(DATEVALUE(C431&amp;"-01"),11),'📋 Транзакції'!$C$5:$C$3623,"&lt;"&amp;EDATE(DATEVALUE(C431&amp;"-01"),12))</f>
        <v>0</v>
      </c>
    </row>
    <row r="432" ht="15.75" customHeight="1">
      <c r="A432" s="33" t="str">
        <f>'📋 Реєстрації'!A432:A1033</f>
        <v>U0092</v>
      </c>
      <c r="B432" s="34">
        <f t="array" ref="B432">INDEX('📋 Транзакції'!$C$5:$C$3623,MATCH(A432,'📋 Транзакції'!$B$5:$B$3623,0))</f>
        <v>45640</v>
      </c>
      <c r="C432" s="35" t="str">
        <f t="shared" si="1"/>
        <v>2024-12</v>
      </c>
      <c r="D432" s="36">
        <f>COUNTIF('📋 Транзакції'!$B$5:$B$3623,A432)</f>
        <v>3</v>
      </c>
      <c r="E432" s="36">
        <f>SUMIF('📋 Транзакції'!$B$5:$B$3623,A432,'📋 Транзакції'!$F$5:$F$3623)</f>
        <v>39.98</v>
      </c>
      <c r="F432" s="35">
        <f>INT($A$1-MAXIFS('📋 Транзакції'!$C$5:$C$3623,'📋 Транзакції'!$B$5:$B$3623,A432))</f>
        <v>70</v>
      </c>
      <c r="G432" s="37">
        <f>IF(COUNTIFS('📋 Транзакції'!$B$5:$B$3623,A432,'📋 Транзакції'!$C$5:$C$3623,"&gt;="&amp;EDATE(DATEVALUE(C432&amp;"-01"),0),'📋 Транзакції'!$C$5:$C$3623,"&lt;"&amp;EDATE(DATEVALUE(C432&amp;"-01"),1))&gt;0,1,0)</f>
        <v>1</v>
      </c>
      <c r="H432" s="37">
        <f>IF(COUNTIFS('📋 Транзакції'!$B$5:$B$3623,A432,'📋 Транзакції'!$C$5:$C$3623,"&gt;="&amp;EDATE(DATEVALUE(C432&amp;"-01"),1),'📋 Транзакції'!$C$5:$C$3623,"&lt;"&amp;EDATE(DATEVALUE(C432&amp;"-01"),2))&gt;0,1,0)</f>
        <v>1</v>
      </c>
      <c r="I432" s="37">
        <f>IF(COUNTIFS('📋 Транзакції'!$B$5:$B$3623,A432,'📋 Транзакції'!$C$5:$C$3623,"&gt;="&amp;EDATE(DATEVALUE(C432&amp;"-01"),2),'📋 Транзакції'!$C$5:$C$3623,"&lt;"&amp;EDATE(DATEVALUE(C432&amp;"-01"),3))&gt;0,1,0)</f>
        <v>0</v>
      </c>
      <c r="J432" s="37">
        <f>IF(COUNTIFS('📋 Транзакції'!$B$5:$B$3623,A432,'📋 Транзакції'!$C$5:$C$3623,"&gt;="&amp;EDATE(DATEVALUE(C432&amp;"-01"),3),'📋 Транзакції'!$C$5:$C$3623,"&lt;"&amp;EDATE(DATEVALUE(C432&amp;"-01"),4))&gt;0,1,0)</f>
        <v>0</v>
      </c>
      <c r="K432" s="37">
        <f>IF(COUNTIFS('📋 Транзакції'!$B$5:$B$3623,A432,'📋 Транзакції'!$C$5:$C$3623,"&gt;="&amp;EDATE(DATEVALUE(C432&amp;"-01"),4),'📋 Транзакції'!$C$5:$C$3623,"&lt;"&amp;EDATE(DATEVALUE(C432&amp;"-01"),5))&gt;0,1,0)</f>
        <v>0</v>
      </c>
      <c r="L432" s="37">
        <f>IF(COUNTIFS('📋 Транзакції'!$B$5:$B$3623,A432,'📋 Транзакції'!$C$5:$C$3623,"&gt;="&amp;EDATE(DATEVALUE(C432&amp;"-01"),5),'📋 Транзакції'!$C$5:$C$3623,"&lt;"&amp;EDATE(DATEVALUE(C432&amp;"-01"),6))&gt;0,1,0)</f>
        <v>0</v>
      </c>
      <c r="M432" s="37">
        <f>IF(COUNTIFS('📋 Транзакції'!$B$5:$B$3623,A432,'📋 Транзакції'!$C$5:$C$3623,"&gt;="&amp;EDATE(DATEVALUE(C432&amp;"-01"),6),'📋 Транзакції'!$C$5:$C$3623,"&lt;"&amp;EDATE(DATEVALUE(C432&amp;"-01"),7))&gt;0,1,0)</f>
        <v>0</v>
      </c>
      <c r="N432" s="37">
        <f>IF(COUNTIFS('📋 Транзакції'!$B$5:$B$3623,A432,'📋 Транзакції'!$C$5:$C$3623,"&gt;="&amp;EDATE(DATEVALUE(C432&amp;"-01"),7),'📋 Транзакції'!$C$5:$C$3623,"&lt;"&amp;EDATE(DATEVALUE(C432&amp;"-01"),8))&gt;0,1,0)</f>
        <v>0</v>
      </c>
      <c r="O432" s="37">
        <f>IF(COUNTIFS('📋 Транзакції'!$B$5:$B$3623,A432,'📋 Транзакції'!$C$5:$C$3623,"&gt;="&amp;EDATE(DATEVALUE(C432&amp;"-01"),8),'📋 Транзакції'!$C$5:$C$3623,"&lt;"&amp;EDATE(DATEVALUE(C432&amp;"-01"),9))&gt;0,1,0)</f>
        <v>0</v>
      </c>
      <c r="P432" s="37">
        <f>IF(COUNTIFS('📋 Транзакції'!$B$5:$B$3623,A432,'📋 Транзакції'!$C$5:$C$3623,"&gt;="&amp;EDATE(DATEVALUE(C432&amp;"-01"),9),'📋 Транзакції'!$C$5:$C$3623,"&lt;"&amp;EDATE(DATEVALUE(C432&amp;"-01"),10))&gt;0,1,0)</f>
        <v>0</v>
      </c>
      <c r="Q432" s="37">
        <f>IF(COUNTIFS('📋 Транзакції'!$B$5:$B$3623,A432,'📋 Транзакції'!$C$5:$C$3623,"&gt;="&amp;EDATE(DATEVALUE(C432&amp;"-01"),10),'📋 Транзакції'!$C$5:$C$3623,"&lt;"&amp;EDATE(DATEVALUE(C432&amp;"-01"),11))&gt;0,1,0)</f>
        <v>0</v>
      </c>
      <c r="R432" s="37">
        <f>IF(COUNTIFS('📋 Транзакції'!$B$5:$B$3623,A432,'📋 Транзакції'!$C$5:$C$3623,"&gt;="&amp;EDATE(DATEVALUE(C432&amp;"-01"),11),'📋 Транзакції'!$C$5:$C$3623,"&lt;"&amp;EDATE(DATEVALUE(C432&amp;"-01"),12))&gt;0,1,0)</f>
        <v>0</v>
      </c>
      <c r="S432" s="37">
        <f>SUMIFS('📋 Транзакції'!$F$5:$F$3623,'📋 Транзакції'!$B$5:$B$3623,A432,'📋 Транзакції'!$C$5:$C$3623,"&gt;="&amp;EDATE(DATEVALUE(C432&amp;"-01"),0),'📋 Транзакції'!$C$5:$C$3623,"&lt;"&amp;EDATE(DATEVALUE(C432&amp;"-01"),1))</f>
        <v>19.99</v>
      </c>
      <c r="T432" s="37">
        <f>SUMIFS('📋 Транзакції'!$F$5:$F$3623,'📋 Транзакції'!$B$5:$B$3623,A432,'📋 Транзакції'!$C$5:$C$3623,"&gt;="&amp;EDATE(DATEVALUE(C432&amp;"-01"),1),'📋 Транзакції'!$C$5:$C$3623,"&lt;"&amp;EDATE(DATEVALUE(C432&amp;"-01"),2))</f>
        <v>19.99</v>
      </c>
      <c r="U432" s="37">
        <f>SUMIFS('📋 Транзакції'!$F$5:$F$3623,'📋 Транзакції'!$B$5:$B$3623,A432,'📋 Транзакції'!$C$5:$C$3623,"&gt;="&amp;EDATE(DATEVALUE(C432&amp;"-01"),2),'📋 Транзакції'!$C$5:$C$3623,"&lt;"&amp;EDATE(DATEVALUE(C432&amp;"-01"),3))</f>
        <v>0</v>
      </c>
      <c r="V432" s="37">
        <f>SUMIFS('📋 Транзакції'!$F$5:$F$3623,'📋 Транзакції'!$B$5:$B$3623,A432,'📋 Транзакції'!$C$5:$C$3623,"&gt;="&amp;EDATE(DATEVALUE(C432&amp;"-01"),3),'📋 Транзакції'!$C$5:$C$3623,"&lt;"&amp;EDATE(DATEVALUE(C432&amp;"-01"),4))</f>
        <v>0</v>
      </c>
      <c r="W432" s="37">
        <f>SUMIFS('📋 Транзакції'!$F$5:$F$3623,'📋 Транзакції'!$B$5:$B$3623,A432,'📋 Транзакції'!$C$5:$C$3623,"&gt;="&amp;EDATE(DATEVALUE(C432&amp;"-01"),4),'📋 Транзакції'!$C$5:$C$3623,"&lt;"&amp;EDATE(DATEVALUE(C432&amp;"-01"),5))</f>
        <v>0</v>
      </c>
      <c r="X432" s="37">
        <f>SUMIFS('📋 Транзакції'!$F$5:$F$3623,'📋 Транзакції'!$B$5:$B$3623,A432,'📋 Транзакції'!$C$5:$C$3623,"&gt;="&amp;EDATE(DATEVALUE(C432&amp;"-01"),5),'📋 Транзакції'!$C$5:$C$3623,"&lt;"&amp;EDATE(DATEVALUE(C432&amp;"-01"),6))</f>
        <v>0</v>
      </c>
      <c r="Y432" s="37">
        <f>SUMIFS('📋 Транзакції'!$F$5:$F$3623,'📋 Транзакції'!$B$5:$B$3623,A432,'📋 Транзакції'!$C$5:$C$3623,"&gt;="&amp;EDATE(DATEVALUE(C432&amp;"-01"),6),'📋 Транзакції'!$C$5:$C$3623,"&lt;"&amp;EDATE(DATEVALUE(C432&amp;"-01"),7))</f>
        <v>0</v>
      </c>
      <c r="Z432" s="37">
        <f>SUMIFS('📋 Транзакції'!$F$5:$F$3623,'📋 Транзакції'!$B$5:$B$3623,A432,'📋 Транзакції'!$C$5:$C$3623,"&gt;="&amp;EDATE(DATEVALUE(C432&amp;"-01"),7),'📋 Транзакції'!$C$5:$C$3623,"&lt;"&amp;EDATE(DATEVALUE(C432&amp;"-01"),8))</f>
        <v>0</v>
      </c>
      <c r="AA432" s="37">
        <f>SUMIFS('📋 Транзакції'!$F$5:$F$3623,'📋 Транзакції'!$B$5:$B$3623,A432,'📋 Транзакції'!$C$5:$C$3623,"&gt;="&amp;EDATE(DATEVALUE(C432&amp;"-01"),8),'📋 Транзакції'!$C$5:$C$3623,"&lt;"&amp;EDATE(DATEVALUE(C432&amp;"-01"),9))</f>
        <v>0</v>
      </c>
      <c r="AB432" s="37">
        <f>SUMIFS('📋 Транзакції'!$F$5:$F$3623,'📋 Транзакції'!$B$5:$B$3623,A432,'📋 Транзакції'!$C$5:$C$3623,"&gt;="&amp;EDATE(DATEVALUE(C432&amp;"-01"),9),'📋 Транзакції'!$C$5:$C$3623,"&lt;"&amp;EDATE(DATEVALUE(C432&amp;"-01"),10))</f>
        <v>0</v>
      </c>
      <c r="AC432" s="37">
        <f>SUMIFS('📋 Транзакції'!$F$5:$F$3623,'📋 Транзакції'!$B$5:$B$3623,A432,'📋 Транзакції'!$C$5:$C$3623,"&gt;="&amp;EDATE(DATEVALUE(C432&amp;"-01"),10),'📋 Транзакції'!$C$5:$C$3623,"&lt;"&amp;EDATE(DATEVALUE(C432&amp;"-01"),11))</f>
        <v>0</v>
      </c>
      <c r="AD432" s="37">
        <f>SUMIFS('📋 Транзакції'!$F$5:$F$3623,'📋 Транзакції'!$B$5:$B$3623,A432,'📋 Транзакції'!$C$5:$C$3623,"&gt;="&amp;EDATE(DATEVALUE(C432&amp;"-01"),11),'📋 Транзакції'!$C$5:$C$3623,"&lt;"&amp;EDATE(DATEVALUE(C432&amp;"-01"),12))</f>
        <v>0</v>
      </c>
    </row>
    <row r="433" ht="15.75" customHeight="1">
      <c r="A433" s="33" t="str">
        <f>'📋 Реєстрації'!A433:A1034</f>
        <v>U0213</v>
      </c>
      <c r="B433" s="34">
        <f t="array" ref="B433">INDEX('📋 Транзакції'!$C$5:$C$3623,MATCH(A433,'📋 Транзакції'!$B$5:$B$3623,0))</f>
        <v>45640</v>
      </c>
      <c r="C433" s="35" t="str">
        <f t="shared" si="1"/>
        <v>2024-12</v>
      </c>
      <c r="D433" s="36">
        <f>COUNTIF('📋 Транзакції'!$B$5:$B$3623,A433)</f>
        <v>5</v>
      </c>
      <c r="E433" s="36">
        <f>SUMIF('📋 Транзакції'!$B$5:$B$3623,A433,'📋 Транзакції'!$F$5:$F$3623)</f>
        <v>79.96</v>
      </c>
      <c r="F433" s="35">
        <f>INT($A$1-MAXIFS('📋 Транзакції'!$C$5:$C$3623,'📋 Транзакції'!$B$5:$B$3623,A433))</f>
        <v>10</v>
      </c>
      <c r="G433" s="37">
        <f>IF(COUNTIFS('📋 Транзакції'!$B$5:$B$3623,A433,'📋 Транзакції'!$C$5:$C$3623,"&gt;="&amp;EDATE(DATEVALUE(C433&amp;"-01"),0),'📋 Транзакції'!$C$5:$C$3623,"&lt;"&amp;EDATE(DATEVALUE(C433&amp;"-01"),1))&gt;0,1,0)</f>
        <v>1</v>
      </c>
      <c r="H433" s="37">
        <f>IF(COUNTIFS('📋 Транзакції'!$B$5:$B$3623,A433,'📋 Транзакції'!$C$5:$C$3623,"&gt;="&amp;EDATE(DATEVALUE(C433&amp;"-01"),1),'📋 Транзакції'!$C$5:$C$3623,"&lt;"&amp;EDATE(DATEVALUE(C433&amp;"-01"),2))&gt;0,1,0)</f>
        <v>1</v>
      </c>
      <c r="I433" s="37">
        <f>IF(COUNTIFS('📋 Транзакції'!$B$5:$B$3623,A433,'📋 Транзакції'!$C$5:$C$3623,"&gt;="&amp;EDATE(DATEVALUE(C433&amp;"-01"),2),'📋 Транзакції'!$C$5:$C$3623,"&lt;"&amp;EDATE(DATEVALUE(C433&amp;"-01"),3))&gt;0,1,0)</f>
        <v>1</v>
      </c>
      <c r="J433" s="37">
        <f>IF(COUNTIFS('📋 Транзакції'!$B$5:$B$3623,A433,'📋 Транзакції'!$C$5:$C$3623,"&gt;="&amp;EDATE(DATEVALUE(C433&amp;"-01"),3),'📋 Транзакції'!$C$5:$C$3623,"&lt;"&amp;EDATE(DATEVALUE(C433&amp;"-01"),4))&gt;0,1,0)</f>
        <v>1</v>
      </c>
      <c r="K433" s="37">
        <f>IF(COUNTIFS('📋 Транзакції'!$B$5:$B$3623,A433,'📋 Транзакції'!$C$5:$C$3623,"&gt;="&amp;EDATE(DATEVALUE(C433&amp;"-01"),4),'📋 Транзакції'!$C$5:$C$3623,"&lt;"&amp;EDATE(DATEVALUE(C433&amp;"-01"),5))&gt;0,1,0)</f>
        <v>0</v>
      </c>
      <c r="L433" s="37">
        <f>IF(COUNTIFS('📋 Транзакції'!$B$5:$B$3623,A433,'📋 Транзакції'!$C$5:$C$3623,"&gt;="&amp;EDATE(DATEVALUE(C433&amp;"-01"),5),'📋 Транзакції'!$C$5:$C$3623,"&lt;"&amp;EDATE(DATEVALUE(C433&amp;"-01"),6))&gt;0,1,0)</f>
        <v>0</v>
      </c>
      <c r="M433" s="37">
        <f>IF(COUNTIFS('📋 Транзакції'!$B$5:$B$3623,A433,'📋 Транзакції'!$C$5:$C$3623,"&gt;="&amp;EDATE(DATEVALUE(C433&amp;"-01"),6),'📋 Транзакції'!$C$5:$C$3623,"&lt;"&amp;EDATE(DATEVALUE(C433&amp;"-01"),7))&gt;0,1,0)</f>
        <v>0</v>
      </c>
      <c r="N433" s="37">
        <f>IF(COUNTIFS('📋 Транзакції'!$B$5:$B$3623,A433,'📋 Транзакції'!$C$5:$C$3623,"&gt;="&amp;EDATE(DATEVALUE(C433&amp;"-01"),7),'📋 Транзакції'!$C$5:$C$3623,"&lt;"&amp;EDATE(DATEVALUE(C433&amp;"-01"),8))&gt;0,1,0)</f>
        <v>0</v>
      </c>
      <c r="O433" s="37">
        <f>IF(COUNTIFS('📋 Транзакції'!$B$5:$B$3623,A433,'📋 Транзакції'!$C$5:$C$3623,"&gt;="&amp;EDATE(DATEVALUE(C433&amp;"-01"),8),'📋 Транзакції'!$C$5:$C$3623,"&lt;"&amp;EDATE(DATEVALUE(C433&amp;"-01"),9))&gt;0,1,0)</f>
        <v>0</v>
      </c>
      <c r="P433" s="37">
        <f>IF(COUNTIFS('📋 Транзакції'!$B$5:$B$3623,A433,'📋 Транзакції'!$C$5:$C$3623,"&gt;="&amp;EDATE(DATEVALUE(C433&amp;"-01"),9),'📋 Транзакції'!$C$5:$C$3623,"&lt;"&amp;EDATE(DATEVALUE(C433&amp;"-01"),10))&gt;0,1,0)</f>
        <v>0</v>
      </c>
      <c r="Q433" s="37">
        <f>IF(COUNTIFS('📋 Транзакції'!$B$5:$B$3623,A433,'📋 Транзакції'!$C$5:$C$3623,"&gt;="&amp;EDATE(DATEVALUE(C433&amp;"-01"),10),'📋 Транзакції'!$C$5:$C$3623,"&lt;"&amp;EDATE(DATEVALUE(C433&amp;"-01"),11))&gt;0,1,0)</f>
        <v>0</v>
      </c>
      <c r="R433" s="37">
        <f>IF(COUNTIFS('📋 Транзакції'!$B$5:$B$3623,A433,'📋 Транзакції'!$C$5:$C$3623,"&gt;="&amp;EDATE(DATEVALUE(C433&amp;"-01"),11),'📋 Транзакції'!$C$5:$C$3623,"&lt;"&amp;EDATE(DATEVALUE(C433&amp;"-01"),12))&gt;0,1,0)</f>
        <v>0</v>
      </c>
      <c r="S433" s="37">
        <f>SUMIFS('📋 Транзакції'!$F$5:$F$3623,'📋 Транзакції'!$B$5:$B$3623,A433,'📋 Транзакції'!$C$5:$C$3623,"&gt;="&amp;EDATE(DATEVALUE(C433&amp;"-01"),0),'📋 Транзакції'!$C$5:$C$3623,"&lt;"&amp;EDATE(DATEVALUE(C433&amp;"-01"),1))</f>
        <v>19.99</v>
      </c>
      <c r="T433" s="37">
        <f>SUMIFS('📋 Транзакції'!$F$5:$F$3623,'📋 Транзакції'!$B$5:$B$3623,A433,'📋 Транзакції'!$C$5:$C$3623,"&gt;="&amp;EDATE(DATEVALUE(C433&amp;"-01"),1),'📋 Транзакції'!$C$5:$C$3623,"&lt;"&amp;EDATE(DATEVALUE(C433&amp;"-01"),2))</f>
        <v>19.99</v>
      </c>
      <c r="U433" s="37">
        <f>SUMIFS('📋 Транзакції'!$F$5:$F$3623,'📋 Транзакції'!$B$5:$B$3623,A433,'📋 Транзакції'!$C$5:$C$3623,"&gt;="&amp;EDATE(DATEVALUE(C433&amp;"-01"),2),'📋 Транзакції'!$C$5:$C$3623,"&lt;"&amp;EDATE(DATEVALUE(C433&amp;"-01"),3))</f>
        <v>19.99</v>
      </c>
      <c r="V433" s="37">
        <f>SUMIFS('📋 Транзакції'!$F$5:$F$3623,'📋 Транзакції'!$B$5:$B$3623,A433,'📋 Транзакції'!$C$5:$C$3623,"&gt;="&amp;EDATE(DATEVALUE(C433&amp;"-01"),3),'📋 Транзакції'!$C$5:$C$3623,"&lt;"&amp;EDATE(DATEVALUE(C433&amp;"-01"),4))</f>
        <v>19.99</v>
      </c>
      <c r="W433" s="37">
        <f>SUMIFS('📋 Транзакції'!$F$5:$F$3623,'📋 Транзакції'!$B$5:$B$3623,A433,'📋 Транзакції'!$C$5:$C$3623,"&gt;="&amp;EDATE(DATEVALUE(C433&amp;"-01"),4),'📋 Транзакції'!$C$5:$C$3623,"&lt;"&amp;EDATE(DATEVALUE(C433&amp;"-01"),5))</f>
        <v>0</v>
      </c>
      <c r="X433" s="37">
        <f>SUMIFS('📋 Транзакції'!$F$5:$F$3623,'📋 Транзакції'!$B$5:$B$3623,A433,'📋 Транзакції'!$C$5:$C$3623,"&gt;="&amp;EDATE(DATEVALUE(C433&amp;"-01"),5),'📋 Транзакції'!$C$5:$C$3623,"&lt;"&amp;EDATE(DATEVALUE(C433&amp;"-01"),6))</f>
        <v>0</v>
      </c>
      <c r="Y433" s="37">
        <f>SUMIFS('📋 Транзакції'!$F$5:$F$3623,'📋 Транзакції'!$B$5:$B$3623,A433,'📋 Транзакції'!$C$5:$C$3623,"&gt;="&amp;EDATE(DATEVALUE(C433&amp;"-01"),6),'📋 Транзакції'!$C$5:$C$3623,"&lt;"&amp;EDATE(DATEVALUE(C433&amp;"-01"),7))</f>
        <v>0</v>
      </c>
      <c r="Z433" s="37">
        <f>SUMIFS('📋 Транзакції'!$F$5:$F$3623,'📋 Транзакції'!$B$5:$B$3623,A433,'📋 Транзакції'!$C$5:$C$3623,"&gt;="&amp;EDATE(DATEVALUE(C433&amp;"-01"),7),'📋 Транзакції'!$C$5:$C$3623,"&lt;"&amp;EDATE(DATEVALUE(C433&amp;"-01"),8))</f>
        <v>0</v>
      </c>
      <c r="AA433" s="37">
        <f>SUMIFS('📋 Транзакції'!$F$5:$F$3623,'📋 Транзакції'!$B$5:$B$3623,A433,'📋 Транзакції'!$C$5:$C$3623,"&gt;="&amp;EDATE(DATEVALUE(C433&amp;"-01"),8),'📋 Транзакції'!$C$5:$C$3623,"&lt;"&amp;EDATE(DATEVALUE(C433&amp;"-01"),9))</f>
        <v>0</v>
      </c>
      <c r="AB433" s="37">
        <f>SUMIFS('📋 Транзакції'!$F$5:$F$3623,'📋 Транзакції'!$B$5:$B$3623,A433,'📋 Транзакції'!$C$5:$C$3623,"&gt;="&amp;EDATE(DATEVALUE(C433&amp;"-01"),9),'📋 Транзакції'!$C$5:$C$3623,"&lt;"&amp;EDATE(DATEVALUE(C433&amp;"-01"),10))</f>
        <v>0</v>
      </c>
      <c r="AC433" s="37">
        <f>SUMIFS('📋 Транзакції'!$F$5:$F$3623,'📋 Транзакції'!$B$5:$B$3623,A433,'📋 Транзакції'!$C$5:$C$3623,"&gt;="&amp;EDATE(DATEVALUE(C433&amp;"-01"),10),'📋 Транзакції'!$C$5:$C$3623,"&lt;"&amp;EDATE(DATEVALUE(C433&amp;"-01"),11))</f>
        <v>0</v>
      </c>
      <c r="AD433" s="37">
        <f>SUMIFS('📋 Транзакції'!$F$5:$F$3623,'📋 Транзакції'!$B$5:$B$3623,A433,'📋 Транзакції'!$C$5:$C$3623,"&gt;="&amp;EDATE(DATEVALUE(C433&amp;"-01"),11),'📋 Транзакції'!$C$5:$C$3623,"&lt;"&amp;EDATE(DATEVALUE(C433&amp;"-01"),12))</f>
        <v>0</v>
      </c>
    </row>
    <row r="434" ht="15.75" customHeight="1">
      <c r="A434" s="33" t="str">
        <f>'📋 Реєстрації'!A434:A1035</f>
        <v>U0278</v>
      </c>
      <c r="B434" s="34">
        <f t="array" ref="B434">INDEX('📋 Транзакції'!$C$5:$C$3623,MATCH(A434,'📋 Транзакції'!$B$5:$B$3623,0))</f>
        <v>45640</v>
      </c>
      <c r="C434" s="35" t="str">
        <f t="shared" si="1"/>
        <v>2024-12</v>
      </c>
      <c r="D434" s="36">
        <f>COUNTIF('📋 Транзакції'!$B$5:$B$3623,A434)</f>
        <v>5</v>
      </c>
      <c r="E434" s="36">
        <f>SUMIF('📋 Транзакції'!$B$5:$B$3623,A434,'📋 Транзакції'!$F$5:$F$3623)</f>
        <v>79.96</v>
      </c>
      <c r="F434" s="35">
        <f>INT($A$1-MAXIFS('📋 Транзакції'!$C$5:$C$3623,'📋 Транзакції'!$B$5:$B$3623,A434))</f>
        <v>10</v>
      </c>
      <c r="G434" s="37">
        <f>IF(COUNTIFS('📋 Транзакції'!$B$5:$B$3623,A434,'📋 Транзакції'!$C$5:$C$3623,"&gt;="&amp;EDATE(DATEVALUE(C434&amp;"-01"),0),'📋 Транзакції'!$C$5:$C$3623,"&lt;"&amp;EDATE(DATEVALUE(C434&amp;"-01"),1))&gt;0,1,0)</f>
        <v>1</v>
      </c>
      <c r="H434" s="37">
        <f>IF(COUNTIFS('📋 Транзакції'!$B$5:$B$3623,A434,'📋 Транзакції'!$C$5:$C$3623,"&gt;="&amp;EDATE(DATEVALUE(C434&amp;"-01"),1),'📋 Транзакції'!$C$5:$C$3623,"&lt;"&amp;EDATE(DATEVALUE(C434&amp;"-01"),2))&gt;0,1,0)</f>
        <v>1</v>
      </c>
      <c r="I434" s="37">
        <f>IF(COUNTIFS('📋 Транзакції'!$B$5:$B$3623,A434,'📋 Транзакції'!$C$5:$C$3623,"&gt;="&amp;EDATE(DATEVALUE(C434&amp;"-01"),2),'📋 Транзакції'!$C$5:$C$3623,"&lt;"&amp;EDATE(DATEVALUE(C434&amp;"-01"),3))&gt;0,1,0)</f>
        <v>1</v>
      </c>
      <c r="J434" s="37">
        <f>IF(COUNTIFS('📋 Транзакції'!$B$5:$B$3623,A434,'📋 Транзакції'!$C$5:$C$3623,"&gt;="&amp;EDATE(DATEVALUE(C434&amp;"-01"),3),'📋 Транзакції'!$C$5:$C$3623,"&lt;"&amp;EDATE(DATEVALUE(C434&amp;"-01"),4))&gt;0,1,0)</f>
        <v>1</v>
      </c>
      <c r="K434" s="37">
        <f>IF(COUNTIFS('📋 Транзакції'!$B$5:$B$3623,A434,'📋 Транзакції'!$C$5:$C$3623,"&gt;="&amp;EDATE(DATEVALUE(C434&amp;"-01"),4),'📋 Транзакції'!$C$5:$C$3623,"&lt;"&amp;EDATE(DATEVALUE(C434&amp;"-01"),5))&gt;0,1,0)</f>
        <v>0</v>
      </c>
      <c r="L434" s="37">
        <f>IF(COUNTIFS('📋 Транзакції'!$B$5:$B$3623,A434,'📋 Транзакції'!$C$5:$C$3623,"&gt;="&amp;EDATE(DATEVALUE(C434&amp;"-01"),5),'📋 Транзакції'!$C$5:$C$3623,"&lt;"&amp;EDATE(DATEVALUE(C434&amp;"-01"),6))&gt;0,1,0)</f>
        <v>0</v>
      </c>
      <c r="M434" s="37">
        <f>IF(COUNTIFS('📋 Транзакції'!$B$5:$B$3623,A434,'📋 Транзакції'!$C$5:$C$3623,"&gt;="&amp;EDATE(DATEVALUE(C434&amp;"-01"),6),'📋 Транзакції'!$C$5:$C$3623,"&lt;"&amp;EDATE(DATEVALUE(C434&amp;"-01"),7))&gt;0,1,0)</f>
        <v>0</v>
      </c>
      <c r="N434" s="37">
        <f>IF(COUNTIFS('📋 Транзакції'!$B$5:$B$3623,A434,'📋 Транзакції'!$C$5:$C$3623,"&gt;="&amp;EDATE(DATEVALUE(C434&amp;"-01"),7),'📋 Транзакції'!$C$5:$C$3623,"&lt;"&amp;EDATE(DATEVALUE(C434&amp;"-01"),8))&gt;0,1,0)</f>
        <v>0</v>
      </c>
      <c r="O434" s="37">
        <f>IF(COUNTIFS('📋 Транзакції'!$B$5:$B$3623,A434,'📋 Транзакції'!$C$5:$C$3623,"&gt;="&amp;EDATE(DATEVALUE(C434&amp;"-01"),8),'📋 Транзакції'!$C$5:$C$3623,"&lt;"&amp;EDATE(DATEVALUE(C434&amp;"-01"),9))&gt;0,1,0)</f>
        <v>0</v>
      </c>
      <c r="P434" s="37">
        <f>IF(COUNTIFS('📋 Транзакції'!$B$5:$B$3623,A434,'📋 Транзакції'!$C$5:$C$3623,"&gt;="&amp;EDATE(DATEVALUE(C434&amp;"-01"),9),'📋 Транзакції'!$C$5:$C$3623,"&lt;"&amp;EDATE(DATEVALUE(C434&amp;"-01"),10))&gt;0,1,0)</f>
        <v>0</v>
      </c>
      <c r="Q434" s="37">
        <f>IF(COUNTIFS('📋 Транзакції'!$B$5:$B$3623,A434,'📋 Транзакції'!$C$5:$C$3623,"&gt;="&amp;EDATE(DATEVALUE(C434&amp;"-01"),10),'📋 Транзакції'!$C$5:$C$3623,"&lt;"&amp;EDATE(DATEVALUE(C434&amp;"-01"),11))&gt;0,1,0)</f>
        <v>0</v>
      </c>
      <c r="R434" s="37">
        <f>IF(COUNTIFS('📋 Транзакції'!$B$5:$B$3623,A434,'📋 Транзакції'!$C$5:$C$3623,"&gt;="&amp;EDATE(DATEVALUE(C434&amp;"-01"),11),'📋 Транзакції'!$C$5:$C$3623,"&lt;"&amp;EDATE(DATEVALUE(C434&amp;"-01"),12))&gt;0,1,0)</f>
        <v>0</v>
      </c>
      <c r="S434" s="37">
        <f>SUMIFS('📋 Транзакції'!$F$5:$F$3623,'📋 Транзакції'!$B$5:$B$3623,A434,'📋 Транзакції'!$C$5:$C$3623,"&gt;="&amp;EDATE(DATEVALUE(C434&amp;"-01"),0),'📋 Транзакції'!$C$5:$C$3623,"&lt;"&amp;EDATE(DATEVALUE(C434&amp;"-01"),1))</f>
        <v>19.99</v>
      </c>
      <c r="T434" s="37">
        <f>SUMIFS('📋 Транзакції'!$F$5:$F$3623,'📋 Транзакції'!$B$5:$B$3623,A434,'📋 Транзакції'!$C$5:$C$3623,"&gt;="&amp;EDATE(DATEVALUE(C434&amp;"-01"),1),'📋 Транзакції'!$C$5:$C$3623,"&lt;"&amp;EDATE(DATEVALUE(C434&amp;"-01"),2))</f>
        <v>19.99</v>
      </c>
      <c r="U434" s="37">
        <f>SUMIFS('📋 Транзакції'!$F$5:$F$3623,'📋 Транзакції'!$B$5:$B$3623,A434,'📋 Транзакції'!$C$5:$C$3623,"&gt;="&amp;EDATE(DATEVALUE(C434&amp;"-01"),2),'📋 Транзакції'!$C$5:$C$3623,"&lt;"&amp;EDATE(DATEVALUE(C434&amp;"-01"),3))</f>
        <v>19.99</v>
      </c>
      <c r="V434" s="37">
        <f>SUMIFS('📋 Транзакції'!$F$5:$F$3623,'📋 Транзакції'!$B$5:$B$3623,A434,'📋 Транзакції'!$C$5:$C$3623,"&gt;="&amp;EDATE(DATEVALUE(C434&amp;"-01"),3),'📋 Транзакції'!$C$5:$C$3623,"&lt;"&amp;EDATE(DATEVALUE(C434&amp;"-01"),4))</f>
        <v>19.99</v>
      </c>
      <c r="W434" s="37">
        <f>SUMIFS('📋 Транзакції'!$F$5:$F$3623,'📋 Транзакції'!$B$5:$B$3623,A434,'📋 Транзакції'!$C$5:$C$3623,"&gt;="&amp;EDATE(DATEVALUE(C434&amp;"-01"),4),'📋 Транзакції'!$C$5:$C$3623,"&lt;"&amp;EDATE(DATEVALUE(C434&amp;"-01"),5))</f>
        <v>0</v>
      </c>
      <c r="X434" s="37">
        <f>SUMIFS('📋 Транзакції'!$F$5:$F$3623,'📋 Транзакції'!$B$5:$B$3623,A434,'📋 Транзакції'!$C$5:$C$3623,"&gt;="&amp;EDATE(DATEVALUE(C434&amp;"-01"),5),'📋 Транзакції'!$C$5:$C$3623,"&lt;"&amp;EDATE(DATEVALUE(C434&amp;"-01"),6))</f>
        <v>0</v>
      </c>
      <c r="Y434" s="37">
        <f>SUMIFS('📋 Транзакції'!$F$5:$F$3623,'📋 Транзакції'!$B$5:$B$3623,A434,'📋 Транзакції'!$C$5:$C$3623,"&gt;="&amp;EDATE(DATEVALUE(C434&amp;"-01"),6),'📋 Транзакції'!$C$5:$C$3623,"&lt;"&amp;EDATE(DATEVALUE(C434&amp;"-01"),7))</f>
        <v>0</v>
      </c>
      <c r="Z434" s="37">
        <f>SUMIFS('📋 Транзакції'!$F$5:$F$3623,'📋 Транзакції'!$B$5:$B$3623,A434,'📋 Транзакції'!$C$5:$C$3623,"&gt;="&amp;EDATE(DATEVALUE(C434&amp;"-01"),7),'📋 Транзакції'!$C$5:$C$3623,"&lt;"&amp;EDATE(DATEVALUE(C434&amp;"-01"),8))</f>
        <v>0</v>
      </c>
      <c r="AA434" s="37">
        <f>SUMIFS('📋 Транзакції'!$F$5:$F$3623,'📋 Транзакції'!$B$5:$B$3623,A434,'📋 Транзакції'!$C$5:$C$3623,"&gt;="&amp;EDATE(DATEVALUE(C434&amp;"-01"),8),'📋 Транзакції'!$C$5:$C$3623,"&lt;"&amp;EDATE(DATEVALUE(C434&amp;"-01"),9))</f>
        <v>0</v>
      </c>
      <c r="AB434" s="37">
        <f>SUMIFS('📋 Транзакції'!$F$5:$F$3623,'📋 Транзакції'!$B$5:$B$3623,A434,'📋 Транзакції'!$C$5:$C$3623,"&gt;="&amp;EDATE(DATEVALUE(C434&amp;"-01"),9),'📋 Транзакції'!$C$5:$C$3623,"&lt;"&amp;EDATE(DATEVALUE(C434&amp;"-01"),10))</f>
        <v>0</v>
      </c>
      <c r="AC434" s="37">
        <f>SUMIFS('📋 Транзакції'!$F$5:$F$3623,'📋 Транзакції'!$B$5:$B$3623,A434,'📋 Транзакції'!$C$5:$C$3623,"&gt;="&amp;EDATE(DATEVALUE(C434&amp;"-01"),10),'📋 Транзакції'!$C$5:$C$3623,"&lt;"&amp;EDATE(DATEVALUE(C434&amp;"-01"),11))</f>
        <v>0</v>
      </c>
      <c r="AD434" s="37">
        <f>SUMIFS('📋 Транзакції'!$F$5:$F$3623,'📋 Транзакції'!$B$5:$B$3623,A434,'📋 Транзакції'!$C$5:$C$3623,"&gt;="&amp;EDATE(DATEVALUE(C434&amp;"-01"),11),'📋 Транзакції'!$C$5:$C$3623,"&lt;"&amp;EDATE(DATEVALUE(C434&amp;"-01"),12))</f>
        <v>0</v>
      </c>
    </row>
    <row r="435" ht="15.75" customHeight="1">
      <c r="A435" s="33" t="str">
        <f>'📋 Реєстрації'!A435:A1036</f>
        <v>U0353</v>
      </c>
      <c r="B435" s="34">
        <f t="array" ref="B435">INDEX('📋 Транзакції'!$C$5:$C$3623,MATCH(A435,'📋 Транзакції'!$B$5:$B$3623,0))</f>
        <v>45641</v>
      </c>
      <c r="C435" s="35" t="str">
        <f t="shared" si="1"/>
        <v>2024-12</v>
      </c>
      <c r="D435" s="36">
        <f>COUNTIF('📋 Транзакції'!$B$5:$B$3623,A435)</f>
        <v>5</v>
      </c>
      <c r="E435" s="36">
        <f>SUMIF('📋 Транзакції'!$B$5:$B$3623,A435,'📋 Транзакції'!$F$5:$F$3623)</f>
        <v>79.96</v>
      </c>
      <c r="F435" s="35">
        <f>INT($A$1-MAXIFS('📋 Транзакції'!$C$5:$C$3623,'📋 Транзакції'!$B$5:$B$3623,A435))</f>
        <v>9</v>
      </c>
      <c r="G435" s="37">
        <f>IF(COUNTIFS('📋 Транзакції'!$B$5:$B$3623,A435,'📋 Транзакції'!$C$5:$C$3623,"&gt;="&amp;EDATE(DATEVALUE(C435&amp;"-01"),0),'📋 Транзакції'!$C$5:$C$3623,"&lt;"&amp;EDATE(DATEVALUE(C435&amp;"-01"),1))&gt;0,1,0)</f>
        <v>1</v>
      </c>
      <c r="H435" s="37">
        <f>IF(COUNTIFS('📋 Транзакції'!$B$5:$B$3623,A435,'📋 Транзакції'!$C$5:$C$3623,"&gt;="&amp;EDATE(DATEVALUE(C435&amp;"-01"),1),'📋 Транзакції'!$C$5:$C$3623,"&lt;"&amp;EDATE(DATEVALUE(C435&amp;"-01"),2))&gt;0,1,0)</f>
        <v>1</v>
      </c>
      <c r="I435" s="37">
        <f>IF(COUNTIFS('📋 Транзакції'!$B$5:$B$3623,A435,'📋 Транзакції'!$C$5:$C$3623,"&gt;="&amp;EDATE(DATEVALUE(C435&amp;"-01"),2),'📋 Транзакції'!$C$5:$C$3623,"&lt;"&amp;EDATE(DATEVALUE(C435&amp;"-01"),3))&gt;0,1,0)</f>
        <v>1</v>
      </c>
      <c r="J435" s="37">
        <f>IF(COUNTIFS('📋 Транзакції'!$B$5:$B$3623,A435,'📋 Транзакції'!$C$5:$C$3623,"&gt;="&amp;EDATE(DATEVALUE(C435&amp;"-01"),3),'📋 Транзакції'!$C$5:$C$3623,"&lt;"&amp;EDATE(DATEVALUE(C435&amp;"-01"),4))&gt;0,1,0)</f>
        <v>1</v>
      </c>
      <c r="K435" s="37">
        <f>IF(COUNTIFS('📋 Транзакції'!$B$5:$B$3623,A435,'📋 Транзакції'!$C$5:$C$3623,"&gt;="&amp;EDATE(DATEVALUE(C435&amp;"-01"),4),'📋 Транзакції'!$C$5:$C$3623,"&lt;"&amp;EDATE(DATEVALUE(C435&amp;"-01"),5))&gt;0,1,0)</f>
        <v>0</v>
      </c>
      <c r="L435" s="37">
        <f>IF(COUNTIFS('📋 Транзакції'!$B$5:$B$3623,A435,'📋 Транзакції'!$C$5:$C$3623,"&gt;="&amp;EDATE(DATEVALUE(C435&amp;"-01"),5),'📋 Транзакції'!$C$5:$C$3623,"&lt;"&amp;EDATE(DATEVALUE(C435&amp;"-01"),6))&gt;0,1,0)</f>
        <v>0</v>
      </c>
      <c r="M435" s="37">
        <f>IF(COUNTIFS('📋 Транзакції'!$B$5:$B$3623,A435,'📋 Транзакції'!$C$5:$C$3623,"&gt;="&amp;EDATE(DATEVALUE(C435&amp;"-01"),6),'📋 Транзакції'!$C$5:$C$3623,"&lt;"&amp;EDATE(DATEVALUE(C435&amp;"-01"),7))&gt;0,1,0)</f>
        <v>0</v>
      </c>
      <c r="N435" s="37">
        <f>IF(COUNTIFS('📋 Транзакції'!$B$5:$B$3623,A435,'📋 Транзакції'!$C$5:$C$3623,"&gt;="&amp;EDATE(DATEVALUE(C435&amp;"-01"),7),'📋 Транзакції'!$C$5:$C$3623,"&lt;"&amp;EDATE(DATEVALUE(C435&amp;"-01"),8))&gt;0,1,0)</f>
        <v>0</v>
      </c>
      <c r="O435" s="37">
        <f>IF(COUNTIFS('📋 Транзакції'!$B$5:$B$3623,A435,'📋 Транзакції'!$C$5:$C$3623,"&gt;="&amp;EDATE(DATEVALUE(C435&amp;"-01"),8),'📋 Транзакції'!$C$5:$C$3623,"&lt;"&amp;EDATE(DATEVALUE(C435&amp;"-01"),9))&gt;0,1,0)</f>
        <v>0</v>
      </c>
      <c r="P435" s="37">
        <f>IF(COUNTIFS('📋 Транзакції'!$B$5:$B$3623,A435,'📋 Транзакції'!$C$5:$C$3623,"&gt;="&amp;EDATE(DATEVALUE(C435&amp;"-01"),9),'📋 Транзакції'!$C$5:$C$3623,"&lt;"&amp;EDATE(DATEVALUE(C435&amp;"-01"),10))&gt;0,1,0)</f>
        <v>0</v>
      </c>
      <c r="Q435" s="37">
        <f>IF(COUNTIFS('📋 Транзакції'!$B$5:$B$3623,A435,'📋 Транзакції'!$C$5:$C$3623,"&gt;="&amp;EDATE(DATEVALUE(C435&amp;"-01"),10),'📋 Транзакції'!$C$5:$C$3623,"&lt;"&amp;EDATE(DATEVALUE(C435&amp;"-01"),11))&gt;0,1,0)</f>
        <v>0</v>
      </c>
      <c r="R435" s="37">
        <f>IF(COUNTIFS('📋 Транзакції'!$B$5:$B$3623,A435,'📋 Транзакції'!$C$5:$C$3623,"&gt;="&amp;EDATE(DATEVALUE(C435&amp;"-01"),11),'📋 Транзакції'!$C$5:$C$3623,"&lt;"&amp;EDATE(DATEVALUE(C435&amp;"-01"),12))&gt;0,1,0)</f>
        <v>0</v>
      </c>
      <c r="S435" s="37">
        <f>SUMIFS('📋 Транзакції'!$F$5:$F$3623,'📋 Транзакції'!$B$5:$B$3623,A435,'📋 Транзакції'!$C$5:$C$3623,"&gt;="&amp;EDATE(DATEVALUE(C435&amp;"-01"),0),'📋 Транзакції'!$C$5:$C$3623,"&lt;"&amp;EDATE(DATEVALUE(C435&amp;"-01"),1))</f>
        <v>19.99</v>
      </c>
      <c r="T435" s="37">
        <f>SUMIFS('📋 Транзакції'!$F$5:$F$3623,'📋 Транзакції'!$B$5:$B$3623,A435,'📋 Транзакції'!$C$5:$C$3623,"&gt;="&amp;EDATE(DATEVALUE(C435&amp;"-01"),1),'📋 Транзакції'!$C$5:$C$3623,"&lt;"&amp;EDATE(DATEVALUE(C435&amp;"-01"),2))</f>
        <v>19.99</v>
      </c>
      <c r="U435" s="37">
        <f>SUMIFS('📋 Транзакції'!$F$5:$F$3623,'📋 Транзакції'!$B$5:$B$3623,A435,'📋 Транзакції'!$C$5:$C$3623,"&gt;="&amp;EDATE(DATEVALUE(C435&amp;"-01"),2),'📋 Транзакції'!$C$5:$C$3623,"&lt;"&amp;EDATE(DATEVALUE(C435&amp;"-01"),3))</f>
        <v>19.99</v>
      </c>
      <c r="V435" s="37">
        <f>SUMIFS('📋 Транзакції'!$F$5:$F$3623,'📋 Транзакції'!$B$5:$B$3623,A435,'📋 Транзакції'!$C$5:$C$3623,"&gt;="&amp;EDATE(DATEVALUE(C435&amp;"-01"),3),'📋 Транзакції'!$C$5:$C$3623,"&lt;"&amp;EDATE(DATEVALUE(C435&amp;"-01"),4))</f>
        <v>19.99</v>
      </c>
      <c r="W435" s="37">
        <f>SUMIFS('📋 Транзакції'!$F$5:$F$3623,'📋 Транзакції'!$B$5:$B$3623,A435,'📋 Транзакції'!$C$5:$C$3623,"&gt;="&amp;EDATE(DATEVALUE(C435&amp;"-01"),4),'📋 Транзакції'!$C$5:$C$3623,"&lt;"&amp;EDATE(DATEVALUE(C435&amp;"-01"),5))</f>
        <v>0</v>
      </c>
      <c r="X435" s="37">
        <f>SUMIFS('📋 Транзакції'!$F$5:$F$3623,'📋 Транзакції'!$B$5:$B$3623,A435,'📋 Транзакції'!$C$5:$C$3623,"&gt;="&amp;EDATE(DATEVALUE(C435&amp;"-01"),5),'📋 Транзакції'!$C$5:$C$3623,"&lt;"&amp;EDATE(DATEVALUE(C435&amp;"-01"),6))</f>
        <v>0</v>
      </c>
      <c r="Y435" s="37">
        <f>SUMIFS('📋 Транзакції'!$F$5:$F$3623,'📋 Транзакції'!$B$5:$B$3623,A435,'📋 Транзакції'!$C$5:$C$3623,"&gt;="&amp;EDATE(DATEVALUE(C435&amp;"-01"),6),'📋 Транзакції'!$C$5:$C$3623,"&lt;"&amp;EDATE(DATEVALUE(C435&amp;"-01"),7))</f>
        <v>0</v>
      </c>
      <c r="Z435" s="37">
        <f>SUMIFS('📋 Транзакції'!$F$5:$F$3623,'📋 Транзакції'!$B$5:$B$3623,A435,'📋 Транзакції'!$C$5:$C$3623,"&gt;="&amp;EDATE(DATEVALUE(C435&amp;"-01"),7),'📋 Транзакції'!$C$5:$C$3623,"&lt;"&amp;EDATE(DATEVALUE(C435&amp;"-01"),8))</f>
        <v>0</v>
      </c>
      <c r="AA435" s="37">
        <f>SUMIFS('📋 Транзакції'!$F$5:$F$3623,'📋 Транзакції'!$B$5:$B$3623,A435,'📋 Транзакції'!$C$5:$C$3623,"&gt;="&amp;EDATE(DATEVALUE(C435&amp;"-01"),8),'📋 Транзакції'!$C$5:$C$3623,"&lt;"&amp;EDATE(DATEVALUE(C435&amp;"-01"),9))</f>
        <v>0</v>
      </c>
      <c r="AB435" s="37">
        <f>SUMIFS('📋 Транзакції'!$F$5:$F$3623,'📋 Транзакції'!$B$5:$B$3623,A435,'📋 Транзакції'!$C$5:$C$3623,"&gt;="&amp;EDATE(DATEVALUE(C435&amp;"-01"),9),'📋 Транзакції'!$C$5:$C$3623,"&lt;"&amp;EDATE(DATEVALUE(C435&amp;"-01"),10))</f>
        <v>0</v>
      </c>
      <c r="AC435" s="37">
        <f>SUMIFS('📋 Транзакції'!$F$5:$F$3623,'📋 Транзакції'!$B$5:$B$3623,A435,'📋 Транзакції'!$C$5:$C$3623,"&gt;="&amp;EDATE(DATEVALUE(C435&amp;"-01"),10),'📋 Транзакції'!$C$5:$C$3623,"&lt;"&amp;EDATE(DATEVALUE(C435&amp;"-01"),11))</f>
        <v>0</v>
      </c>
      <c r="AD435" s="37">
        <f>SUMIFS('📋 Транзакції'!$F$5:$F$3623,'📋 Транзакції'!$B$5:$B$3623,A435,'📋 Транзакції'!$C$5:$C$3623,"&gt;="&amp;EDATE(DATEVALUE(C435&amp;"-01"),11),'📋 Транзакції'!$C$5:$C$3623,"&lt;"&amp;EDATE(DATEVALUE(C435&amp;"-01"),12))</f>
        <v>0</v>
      </c>
    </row>
    <row r="436" ht="15.75" customHeight="1">
      <c r="A436" s="33" t="str">
        <f>'📋 Реєстрації'!A436:A1037</f>
        <v>U0215</v>
      </c>
      <c r="B436" s="34">
        <f t="array" ref="B436">INDEX('📋 Транзакції'!$C$5:$C$3623,MATCH(A436,'📋 Транзакції'!$B$5:$B$3623,0))</f>
        <v>45643</v>
      </c>
      <c r="C436" s="35" t="str">
        <f t="shared" si="1"/>
        <v>2024-12</v>
      </c>
      <c r="D436" s="36">
        <f>COUNTIF('📋 Транзакції'!$B$5:$B$3623,A436)</f>
        <v>4</v>
      </c>
      <c r="E436" s="36">
        <f>SUMIF('📋 Транзакції'!$B$5:$B$3623,A436,'📋 Транзакції'!$F$5:$F$3623)</f>
        <v>59.97</v>
      </c>
      <c r="F436" s="35">
        <f>INT($A$1-MAXIFS('📋 Транзакції'!$C$5:$C$3623,'📋 Транзакції'!$B$5:$B$3623,A436))</f>
        <v>37</v>
      </c>
      <c r="G436" s="37">
        <f>IF(COUNTIFS('📋 Транзакції'!$B$5:$B$3623,A436,'📋 Транзакції'!$C$5:$C$3623,"&gt;="&amp;EDATE(DATEVALUE(C436&amp;"-01"),0),'📋 Транзакції'!$C$5:$C$3623,"&lt;"&amp;EDATE(DATEVALUE(C436&amp;"-01"),1))&gt;0,1,0)</f>
        <v>1</v>
      </c>
      <c r="H436" s="37">
        <f>IF(COUNTIFS('📋 Транзакції'!$B$5:$B$3623,A436,'📋 Транзакції'!$C$5:$C$3623,"&gt;="&amp;EDATE(DATEVALUE(C436&amp;"-01"),1),'📋 Транзакції'!$C$5:$C$3623,"&lt;"&amp;EDATE(DATEVALUE(C436&amp;"-01"),2))&gt;0,1,0)</f>
        <v>1</v>
      </c>
      <c r="I436" s="37">
        <f>IF(COUNTIFS('📋 Транзакції'!$B$5:$B$3623,A436,'📋 Транзакції'!$C$5:$C$3623,"&gt;="&amp;EDATE(DATEVALUE(C436&amp;"-01"),2),'📋 Транзакції'!$C$5:$C$3623,"&lt;"&amp;EDATE(DATEVALUE(C436&amp;"-01"),3))&gt;0,1,0)</f>
        <v>1</v>
      </c>
      <c r="J436" s="37">
        <f>IF(COUNTIFS('📋 Транзакції'!$B$5:$B$3623,A436,'📋 Транзакції'!$C$5:$C$3623,"&gt;="&amp;EDATE(DATEVALUE(C436&amp;"-01"),3),'📋 Транзакції'!$C$5:$C$3623,"&lt;"&amp;EDATE(DATEVALUE(C436&amp;"-01"),4))&gt;0,1,0)</f>
        <v>0</v>
      </c>
      <c r="K436" s="37">
        <f>IF(COUNTIFS('📋 Транзакції'!$B$5:$B$3623,A436,'📋 Транзакції'!$C$5:$C$3623,"&gt;="&amp;EDATE(DATEVALUE(C436&amp;"-01"),4),'📋 Транзакції'!$C$5:$C$3623,"&lt;"&amp;EDATE(DATEVALUE(C436&amp;"-01"),5))&gt;0,1,0)</f>
        <v>0</v>
      </c>
      <c r="L436" s="37">
        <f>IF(COUNTIFS('📋 Транзакції'!$B$5:$B$3623,A436,'📋 Транзакції'!$C$5:$C$3623,"&gt;="&amp;EDATE(DATEVALUE(C436&amp;"-01"),5),'📋 Транзакції'!$C$5:$C$3623,"&lt;"&amp;EDATE(DATEVALUE(C436&amp;"-01"),6))&gt;0,1,0)</f>
        <v>0</v>
      </c>
      <c r="M436" s="37">
        <f>IF(COUNTIFS('📋 Транзакції'!$B$5:$B$3623,A436,'📋 Транзакції'!$C$5:$C$3623,"&gt;="&amp;EDATE(DATEVALUE(C436&amp;"-01"),6),'📋 Транзакції'!$C$5:$C$3623,"&lt;"&amp;EDATE(DATEVALUE(C436&amp;"-01"),7))&gt;0,1,0)</f>
        <v>0</v>
      </c>
      <c r="N436" s="37">
        <f>IF(COUNTIFS('📋 Транзакції'!$B$5:$B$3623,A436,'📋 Транзакції'!$C$5:$C$3623,"&gt;="&amp;EDATE(DATEVALUE(C436&amp;"-01"),7),'📋 Транзакції'!$C$5:$C$3623,"&lt;"&amp;EDATE(DATEVALUE(C436&amp;"-01"),8))&gt;0,1,0)</f>
        <v>0</v>
      </c>
      <c r="O436" s="37">
        <f>IF(COUNTIFS('📋 Транзакції'!$B$5:$B$3623,A436,'📋 Транзакції'!$C$5:$C$3623,"&gt;="&amp;EDATE(DATEVALUE(C436&amp;"-01"),8),'📋 Транзакції'!$C$5:$C$3623,"&lt;"&amp;EDATE(DATEVALUE(C436&amp;"-01"),9))&gt;0,1,0)</f>
        <v>0</v>
      </c>
      <c r="P436" s="37">
        <f>IF(COUNTIFS('📋 Транзакції'!$B$5:$B$3623,A436,'📋 Транзакції'!$C$5:$C$3623,"&gt;="&amp;EDATE(DATEVALUE(C436&amp;"-01"),9),'📋 Транзакції'!$C$5:$C$3623,"&lt;"&amp;EDATE(DATEVALUE(C436&amp;"-01"),10))&gt;0,1,0)</f>
        <v>0</v>
      </c>
      <c r="Q436" s="37">
        <f>IF(COUNTIFS('📋 Транзакції'!$B$5:$B$3623,A436,'📋 Транзакції'!$C$5:$C$3623,"&gt;="&amp;EDATE(DATEVALUE(C436&amp;"-01"),10),'📋 Транзакції'!$C$5:$C$3623,"&lt;"&amp;EDATE(DATEVALUE(C436&amp;"-01"),11))&gt;0,1,0)</f>
        <v>0</v>
      </c>
      <c r="R436" s="37">
        <f>IF(COUNTIFS('📋 Транзакції'!$B$5:$B$3623,A436,'📋 Транзакції'!$C$5:$C$3623,"&gt;="&amp;EDATE(DATEVALUE(C436&amp;"-01"),11),'📋 Транзакції'!$C$5:$C$3623,"&lt;"&amp;EDATE(DATEVALUE(C436&amp;"-01"),12))&gt;0,1,0)</f>
        <v>0</v>
      </c>
      <c r="S436" s="37">
        <f>SUMIFS('📋 Транзакції'!$F$5:$F$3623,'📋 Транзакції'!$B$5:$B$3623,A436,'📋 Транзакції'!$C$5:$C$3623,"&gt;="&amp;EDATE(DATEVALUE(C436&amp;"-01"),0),'📋 Транзакції'!$C$5:$C$3623,"&lt;"&amp;EDATE(DATEVALUE(C436&amp;"-01"),1))</f>
        <v>19.99</v>
      </c>
      <c r="T436" s="37">
        <f>SUMIFS('📋 Транзакції'!$F$5:$F$3623,'📋 Транзакції'!$B$5:$B$3623,A436,'📋 Транзакції'!$C$5:$C$3623,"&gt;="&amp;EDATE(DATEVALUE(C436&amp;"-01"),1),'📋 Транзакції'!$C$5:$C$3623,"&lt;"&amp;EDATE(DATEVALUE(C436&amp;"-01"),2))</f>
        <v>19.99</v>
      </c>
      <c r="U436" s="37">
        <f>SUMIFS('📋 Транзакції'!$F$5:$F$3623,'📋 Транзакції'!$B$5:$B$3623,A436,'📋 Транзакції'!$C$5:$C$3623,"&gt;="&amp;EDATE(DATEVALUE(C436&amp;"-01"),2),'📋 Транзакції'!$C$5:$C$3623,"&lt;"&amp;EDATE(DATEVALUE(C436&amp;"-01"),3))</f>
        <v>19.99</v>
      </c>
      <c r="V436" s="37">
        <f>SUMIFS('📋 Транзакції'!$F$5:$F$3623,'📋 Транзакції'!$B$5:$B$3623,A436,'📋 Транзакції'!$C$5:$C$3623,"&gt;="&amp;EDATE(DATEVALUE(C436&amp;"-01"),3),'📋 Транзакції'!$C$5:$C$3623,"&lt;"&amp;EDATE(DATEVALUE(C436&amp;"-01"),4))</f>
        <v>0</v>
      </c>
      <c r="W436" s="37">
        <f>SUMIFS('📋 Транзакції'!$F$5:$F$3623,'📋 Транзакції'!$B$5:$B$3623,A436,'📋 Транзакції'!$C$5:$C$3623,"&gt;="&amp;EDATE(DATEVALUE(C436&amp;"-01"),4),'📋 Транзакції'!$C$5:$C$3623,"&lt;"&amp;EDATE(DATEVALUE(C436&amp;"-01"),5))</f>
        <v>0</v>
      </c>
      <c r="X436" s="37">
        <f>SUMIFS('📋 Транзакції'!$F$5:$F$3623,'📋 Транзакції'!$B$5:$B$3623,A436,'📋 Транзакції'!$C$5:$C$3623,"&gt;="&amp;EDATE(DATEVALUE(C436&amp;"-01"),5),'📋 Транзакції'!$C$5:$C$3623,"&lt;"&amp;EDATE(DATEVALUE(C436&amp;"-01"),6))</f>
        <v>0</v>
      </c>
      <c r="Y436" s="37">
        <f>SUMIFS('📋 Транзакції'!$F$5:$F$3623,'📋 Транзакції'!$B$5:$B$3623,A436,'📋 Транзакції'!$C$5:$C$3623,"&gt;="&amp;EDATE(DATEVALUE(C436&amp;"-01"),6),'📋 Транзакції'!$C$5:$C$3623,"&lt;"&amp;EDATE(DATEVALUE(C436&amp;"-01"),7))</f>
        <v>0</v>
      </c>
      <c r="Z436" s="37">
        <f>SUMIFS('📋 Транзакції'!$F$5:$F$3623,'📋 Транзакції'!$B$5:$B$3623,A436,'📋 Транзакції'!$C$5:$C$3623,"&gt;="&amp;EDATE(DATEVALUE(C436&amp;"-01"),7),'📋 Транзакції'!$C$5:$C$3623,"&lt;"&amp;EDATE(DATEVALUE(C436&amp;"-01"),8))</f>
        <v>0</v>
      </c>
      <c r="AA436" s="37">
        <f>SUMIFS('📋 Транзакції'!$F$5:$F$3623,'📋 Транзакції'!$B$5:$B$3623,A436,'📋 Транзакції'!$C$5:$C$3623,"&gt;="&amp;EDATE(DATEVALUE(C436&amp;"-01"),8),'📋 Транзакції'!$C$5:$C$3623,"&lt;"&amp;EDATE(DATEVALUE(C436&amp;"-01"),9))</f>
        <v>0</v>
      </c>
      <c r="AB436" s="37">
        <f>SUMIFS('📋 Транзакції'!$F$5:$F$3623,'📋 Транзакції'!$B$5:$B$3623,A436,'📋 Транзакції'!$C$5:$C$3623,"&gt;="&amp;EDATE(DATEVALUE(C436&amp;"-01"),9),'📋 Транзакції'!$C$5:$C$3623,"&lt;"&amp;EDATE(DATEVALUE(C436&amp;"-01"),10))</f>
        <v>0</v>
      </c>
      <c r="AC436" s="37">
        <f>SUMIFS('📋 Транзакції'!$F$5:$F$3623,'📋 Транзакції'!$B$5:$B$3623,A436,'📋 Транзакції'!$C$5:$C$3623,"&gt;="&amp;EDATE(DATEVALUE(C436&amp;"-01"),10),'📋 Транзакції'!$C$5:$C$3623,"&lt;"&amp;EDATE(DATEVALUE(C436&amp;"-01"),11))</f>
        <v>0</v>
      </c>
      <c r="AD436" s="37">
        <f>SUMIFS('📋 Транзакції'!$F$5:$F$3623,'📋 Транзакції'!$B$5:$B$3623,A436,'📋 Транзакції'!$C$5:$C$3623,"&gt;="&amp;EDATE(DATEVALUE(C436&amp;"-01"),11),'📋 Транзакції'!$C$5:$C$3623,"&lt;"&amp;EDATE(DATEVALUE(C436&amp;"-01"),12))</f>
        <v>0</v>
      </c>
    </row>
    <row r="437" ht="15.75" customHeight="1">
      <c r="A437" s="33" t="str">
        <f>'📋 Реєстрації'!A437:A1038</f>
        <v>U0316</v>
      </c>
      <c r="B437" s="34">
        <f t="array" ref="B437">INDEX('📋 Транзакції'!$C$5:$C$3623,MATCH(A437,'📋 Транзакції'!$B$5:$B$3623,0))</f>
        <v>45643</v>
      </c>
      <c r="C437" s="35" t="str">
        <f t="shared" si="1"/>
        <v>2024-12</v>
      </c>
      <c r="D437" s="36">
        <f>COUNTIF('📋 Транзакції'!$B$5:$B$3623,A437)</f>
        <v>5</v>
      </c>
      <c r="E437" s="36">
        <f>SUMIF('📋 Транзакції'!$B$5:$B$3623,A437,'📋 Транзакції'!$F$5:$F$3623)</f>
        <v>79.96</v>
      </c>
      <c r="F437" s="35">
        <f>INT($A$1-MAXIFS('📋 Транзакції'!$C$5:$C$3623,'📋 Транзакції'!$B$5:$B$3623,A437))</f>
        <v>7</v>
      </c>
      <c r="G437" s="37">
        <f>IF(COUNTIFS('📋 Транзакції'!$B$5:$B$3623,A437,'📋 Транзакції'!$C$5:$C$3623,"&gt;="&amp;EDATE(DATEVALUE(C437&amp;"-01"),0),'📋 Транзакції'!$C$5:$C$3623,"&lt;"&amp;EDATE(DATEVALUE(C437&amp;"-01"),1))&gt;0,1,0)</f>
        <v>1</v>
      </c>
      <c r="H437" s="37">
        <f>IF(COUNTIFS('📋 Транзакції'!$B$5:$B$3623,A437,'📋 Транзакції'!$C$5:$C$3623,"&gt;="&amp;EDATE(DATEVALUE(C437&amp;"-01"),1),'📋 Транзакції'!$C$5:$C$3623,"&lt;"&amp;EDATE(DATEVALUE(C437&amp;"-01"),2))&gt;0,1,0)</f>
        <v>1</v>
      </c>
      <c r="I437" s="37">
        <f>IF(COUNTIFS('📋 Транзакції'!$B$5:$B$3623,A437,'📋 Транзакції'!$C$5:$C$3623,"&gt;="&amp;EDATE(DATEVALUE(C437&amp;"-01"),2),'📋 Транзакції'!$C$5:$C$3623,"&lt;"&amp;EDATE(DATEVALUE(C437&amp;"-01"),3))&gt;0,1,0)</f>
        <v>1</v>
      </c>
      <c r="J437" s="37">
        <f>IF(COUNTIFS('📋 Транзакції'!$B$5:$B$3623,A437,'📋 Транзакції'!$C$5:$C$3623,"&gt;="&amp;EDATE(DATEVALUE(C437&amp;"-01"),3),'📋 Транзакції'!$C$5:$C$3623,"&lt;"&amp;EDATE(DATEVALUE(C437&amp;"-01"),4))&gt;0,1,0)</f>
        <v>1</v>
      </c>
      <c r="K437" s="37">
        <f>IF(COUNTIFS('📋 Транзакції'!$B$5:$B$3623,A437,'📋 Транзакції'!$C$5:$C$3623,"&gt;="&amp;EDATE(DATEVALUE(C437&amp;"-01"),4),'📋 Транзакції'!$C$5:$C$3623,"&lt;"&amp;EDATE(DATEVALUE(C437&amp;"-01"),5))&gt;0,1,0)</f>
        <v>0</v>
      </c>
      <c r="L437" s="37">
        <f>IF(COUNTIFS('📋 Транзакції'!$B$5:$B$3623,A437,'📋 Транзакції'!$C$5:$C$3623,"&gt;="&amp;EDATE(DATEVALUE(C437&amp;"-01"),5),'📋 Транзакції'!$C$5:$C$3623,"&lt;"&amp;EDATE(DATEVALUE(C437&amp;"-01"),6))&gt;0,1,0)</f>
        <v>0</v>
      </c>
      <c r="M437" s="37">
        <f>IF(COUNTIFS('📋 Транзакції'!$B$5:$B$3623,A437,'📋 Транзакції'!$C$5:$C$3623,"&gt;="&amp;EDATE(DATEVALUE(C437&amp;"-01"),6),'📋 Транзакції'!$C$5:$C$3623,"&lt;"&amp;EDATE(DATEVALUE(C437&amp;"-01"),7))&gt;0,1,0)</f>
        <v>0</v>
      </c>
      <c r="N437" s="37">
        <f>IF(COUNTIFS('📋 Транзакції'!$B$5:$B$3623,A437,'📋 Транзакції'!$C$5:$C$3623,"&gt;="&amp;EDATE(DATEVALUE(C437&amp;"-01"),7),'📋 Транзакції'!$C$5:$C$3623,"&lt;"&amp;EDATE(DATEVALUE(C437&amp;"-01"),8))&gt;0,1,0)</f>
        <v>0</v>
      </c>
      <c r="O437" s="37">
        <f>IF(COUNTIFS('📋 Транзакції'!$B$5:$B$3623,A437,'📋 Транзакції'!$C$5:$C$3623,"&gt;="&amp;EDATE(DATEVALUE(C437&amp;"-01"),8),'📋 Транзакції'!$C$5:$C$3623,"&lt;"&amp;EDATE(DATEVALUE(C437&amp;"-01"),9))&gt;0,1,0)</f>
        <v>0</v>
      </c>
      <c r="P437" s="37">
        <f>IF(COUNTIFS('📋 Транзакції'!$B$5:$B$3623,A437,'📋 Транзакції'!$C$5:$C$3623,"&gt;="&amp;EDATE(DATEVALUE(C437&amp;"-01"),9),'📋 Транзакції'!$C$5:$C$3623,"&lt;"&amp;EDATE(DATEVALUE(C437&amp;"-01"),10))&gt;0,1,0)</f>
        <v>0</v>
      </c>
      <c r="Q437" s="37">
        <f>IF(COUNTIFS('📋 Транзакції'!$B$5:$B$3623,A437,'📋 Транзакції'!$C$5:$C$3623,"&gt;="&amp;EDATE(DATEVALUE(C437&amp;"-01"),10),'📋 Транзакції'!$C$5:$C$3623,"&lt;"&amp;EDATE(DATEVALUE(C437&amp;"-01"),11))&gt;0,1,0)</f>
        <v>0</v>
      </c>
      <c r="R437" s="37">
        <f>IF(COUNTIFS('📋 Транзакції'!$B$5:$B$3623,A437,'📋 Транзакції'!$C$5:$C$3623,"&gt;="&amp;EDATE(DATEVALUE(C437&amp;"-01"),11),'📋 Транзакції'!$C$5:$C$3623,"&lt;"&amp;EDATE(DATEVALUE(C437&amp;"-01"),12))&gt;0,1,0)</f>
        <v>0</v>
      </c>
      <c r="S437" s="37">
        <f>SUMIFS('📋 Транзакції'!$F$5:$F$3623,'📋 Транзакції'!$B$5:$B$3623,A437,'📋 Транзакції'!$C$5:$C$3623,"&gt;="&amp;EDATE(DATEVALUE(C437&amp;"-01"),0),'📋 Транзакції'!$C$5:$C$3623,"&lt;"&amp;EDATE(DATEVALUE(C437&amp;"-01"),1))</f>
        <v>19.99</v>
      </c>
      <c r="T437" s="37">
        <f>SUMIFS('📋 Транзакції'!$F$5:$F$3623,'📋 Транзакції'!$B$5:$B$3623,A437,'📋 Транзакції'!$C$5:$C$3623,"&gt;="&amp;EDATE(DATEVALUE(C437&amp;"-01"),1),'📋 Транзакції'!$C$5:$C$3623,"&lt;"&amp;EDATE(DATEVALUE(C437&amp;"-01"),2))</f>
        <v>19.99</v>
      </c>
      <c r="U437" s="37">
        <f>SUMIFS('📋 Транзакції'!$F$5:$F$3623,'📋 Транзакції'!$B$5:$B$3623,A437,'📋 Транзакції'!$C$5:$C$3623,"&gt;="&amp;EDATE(DATEVALUE(C437&amp;"-01"),2),'📋 Транзакції'!$C$5:$C$3623,"&lt;"&amp;EDATE(DATEVALUE(C437&amp;"-01"),3))</f>
        <v>19.99</v>
      </c>
      <c r="V437" s="37">
        <f>SUMIFS('📋 Транзакції'!$F$5:$F$3623,'📋 Транзакції'!$B$5:$B$3623,A437,'📋 Транзакції'!$C$5:$C$3623,"&gt;="&amp;EDATE(DATEVALUE(C437&amp;"-01"),3),'📋 Транзакції'!$C$5:$C$3623,"&lt;"&amp;EDATE(DATEVALUE(C437&amp;"-01"),4))</f>
        <v>19.99</v>
      </c>
      <c r="W437" s="37">
        <f>SUMIFS('📋 Транзакції'!$F$5:$F$3623,'📋 Транзакції'!$B$5:$B$3623,A437,'📋 Транзакції'!$C$5:$C$3623,"&gt;="&amp;EDATE(DATEVALUE(C437&amp;"-01"),4),'📋 Транзакції'!$C$5:$C$3623,"&lt;"&amp;EDATE(DATEVALUE(C437&amp;"-01"),5))</f>
        <v>0</v>
      </c>
      <c r="X437" s="37">
        <f>SUMIFS('📋 Транзакції'!$F$5:$F$3623,'📋 Транзакції'!$B$5:$B$3623,A437,'📋 Транзакції'!$C$5:$C$3623,"&gt;="&amp;EDATE(DATEVALUE(C437&amp;"-01"),5),'📋 Транзакції'!$C$5:$C$3623,"&lt;"&amp;EDATE(DATEVALUE(C437&amp;"-01"),6))</f>
        <v>0</v>
      </c>
      <c r="Y437" s="37">
        <f>SUMIFS('📋 Транзакції'!$F$5:$F$3623,'📋 Транзакції'!$B$5:$B$3623,A437,'📋 Транзакції'!$C$5:$C$3623,"&gt;="&amp;EDATE(DATEVALUE(C437&amp;"-01"),6),'📋 Транзакції'!$C$5:$C$3623,"&lt;"&amp;EDATE(DATEVALUE(C437&amp;"-01"),7))</f>
        <v>0</v>
      </c>
      <c r="Z437" s="37">
        <f>SUMIFS('📋 Транзакції'!$F$5:$F$3623,'📋 Транзакції'!$B$5:$B$3623,A437,'📋 Транзакції'!$C$5:$C$3623,"&gt;="&amp;EDATE(DATEVALUE(C437&amp;"-01"),7),'📋 Транзакції'!$C$5:$C$3623,"&lt;"&amp;EDATE(DATEVALUE(C437&amp;"-01"),8))</f>
        <v>0</v>
      </c>
      <c r="AA437" s="37">
        <f>SUMIFS('📋 Транзакції'!$F$5:$F$3623,'📋 Транзакції'!$B$5:$B$3623,A437,'📋 Транзакції'!$C$5:$C$3623,"&gt;="&amp;EDATE(DATEVALUE(C437&amp;"-01"),8),'📋 Транзакції'!$C$5:$C$3623,"&lt;"&amp;EDATE(DATEVALUE(C437&amp;"-01"),9))</f>
        <v>0</v>
      </c>
      <c r="AB437" s="37">
        <f>SUMIFS('📋 Транзакції'!$F$5:$F$3623,'📋 Транзакції'!$B$5:$B$3623,A437,'📋 Транзакції'!$C$5:$C$3623,"&gt;="&amp;EDATE(DATEVALUE(C437&amp;"-01"),9),'📋 Транзакції'!$C$5:$C$3623,"&lt;"&amp;EDATE(DATEVALUE(C437&amp;"-01"),10))</f>
        <v>0</v>
      </c>
      <c r="AC437" s="37">
        <f>SUMIFS('📋 Транзакції'!$F$5:$F$3623,'📋 Транзакції'!$B$5:$B$3623,A437,'📋 Транзакції'!$C$5:$C$3623,"&gt;="&amp;EDATE(DATEVALUE(C437&amp;"-01"),10),'📋 Транзакції'!$C$5:$C$3623,"&lt;"&amp;EDATE(DATEVALUE(C437&amp;"-01"),11))</f>
        <v>0</v>
      </c>
      <c r="AD437" s="37">
        <f>SUMIFS('📋 Транзакції'!$F$5:$F$3623,'📋 Транзакції'!$B$5:$B$3623,A437,'📋 Транзакції'!$C$5:$C$3623,"&gt;="&amp;EDATE(DATEVALUE(C437&amp;"-01"),11),'📋 Транзакції'!$C$5:$C$3623,"&lt;"&amp;EDATE(DATEVALUE(C437&amp;"-01"),12))</f>
        <v>0</v>
      </c>
    </row>
    <row r="438" ht="15.75" customHeight="1">
      <c r="A438" s="33" t="str">
        <f>'📋 Реєстрації'!A438:A1039</f>
        <v>U0482</v>
      </c>
      <c r="B438" s="34">
        <f t="array" ref="B438">INDEX('📋 Транзакції'!$C$5:$C$3623,MATCH(A438,'📋 Транзакції'!$B$5:$B$3623,0))</f>
        <v>45643</v>
      </c>
      <c r="C438" s="35" t="str">
        <f t="shared" si="1"/>
        <v>2024-12</v>
      </c>
      <c r="D438" s="36">
        <f>COUNTIF('📋 Транзакції'!$B$5:$B$3623,A438)</f>
        <v>5</v>
      </c>
      <c r="E438" s="36">
        <f>SUMIF('📋 Транзакції'!$B$5:$B$3623,A438,'📋 Транзакції'!$F$5:$F$3623)</f>
        <v>79.96</v>
      </c>
      <c r="F438" s="35">
        <f>INT($A$1-MAXIFS('📋 Транзакції'!$C$5:$C$3623,'📋 Транзакції'!$B$5:$B$3623,A438))</f>
        <v>7</v>
      </c>
      <c r="G438" s="37">
        <f>IF(COUNTIFS('📋 Транзакції'!$B$5:$B$3623,A438,'📋 Транзакції'!$C$5:$C$3623,"&gt;="&amp;EDATE(DATEVALUE(C438&amp;"-01"),0),'📋 Транзакції'!$C$5:$C$3623,"&lt;"&amp;EDATE(DATEVALUE(C438&amp;"-01"),1))&gt;0,1,0)</f>
        <v>1</v>
      </c>
      <c r="H438" s="37">
        <f>IF(COUNTIFS('📋 Транзакції'!$B$5:$B$3623,A438,'📋 Транзакції'!$C$5:$C$3623,"&gt;="&amp;EDATE(DATEVALUE(C438&amp;"-01"),1),'📋 Транзакції'!$C$5:$C$3623,"&lt;"&amp;EDATE(DATEVALUE(C438&amp;"-01"),2))&gt;0,1,0)</f>
        <v>1</v>
      </c>
      <c r="I438" s="37">
        <f>IF(COUNTIFS('📋 Транзакції'!$B$5:$B$3623,A438,'📋 Транзакції'!$C$5:$C$3623,"&gt;="&amp;EDATE(DATEVALUE(C438&amp;"-01"),2),'📋 Транзакції'!$C$5:$C$3623,"&lt;"&amp;EDATE(DATEVALUE(C438&amp;"-01"),3))&gt;0,1,0)</f>
        <v>1</v>
      </c>
      <c r="J438" s="37">
        <f>IF(COUNTIFS('📋 Транзакції'!$B$5:$B$3623,A438,'📋 Транзакції'!$C$5:$C$3623,"&gt;="&amp;EDATE(DATEVALUE(C438&amp;"-01"),3),'📋 Транзакції'!$C$5:$C$3623,"&lt;"&amp;EDATE(DATEVALUE(C438&amp;"-01"),4))&gt;0,1,0)</f>
        <v>1</v>
      </c>
      <c r="K438" s="37">
        <f>IF(COUNTIFS('📋 Транзакції'!$B$5:$B$3623,A438,'📋 Транзакції'!$C$5:$C$3623,"&gt;="&amp;EDATE(DATEVALUE(C438&amp;"-01"),4),'📋 Транзакції'!$C$5:$C$3623,"&lt;"&amp;EDATE(DATEVALUE(C438&amp;"-01"),5))&gt;0,1,0)</f>
        <v>0</v>
      </c>
      <c r="L438" s="37">
        <f>IF(COUNTIFS('📋 Транзакції'!$B$5:$B$3623,A438,'📋 Транзакції'!$C$5:$C$3623,"&gt;="&amp;EDATE(DATEVALUE(C438&amp;"-01"),5),'📋 Транзакції'!$C$5:$C$3623,"&lt;"&amp;EDATE(DATEVALUE(C438&amp;"-01"),6))&gt;0,1,0)</f>
        <v>0</v>
      </c>
      <c r="M438" s="37">
        <f>IF(COUNTIFS('📋 Транзакції'!$B$5:$B$3623,A438,'📋 Транзакції'!$C$5:$C$3623,"&gt;="&amp;EDATE(DATEVALUE(C438&amp;"-01"),6),'📋 Транзакції'!$C$5:$C$3623,"&lt;"&amp;EDATE(DATEVALUE(C438&amp;"-01"),7))&gt;0,1,0)</f>
        <v>0</v>
      </c>
      <c r="N438" s="37">
        <f>IF(COUNTIFS('📋 Транзакції'!$B$5:$B$3623,A438,'📋 Транзакції'!$C$5:$C$3623,"&gt;="&amp;EDATE(DATEVALUE(C438&amp;"-01"),7),'📋 Транзакції'!$C$5:$C$3623,"&lt;"&amp;EDATE(DATEVALUE(C438&amp;"-01"),8))&gt;0,1,0)</f>
        <v>0</v>
      </c>
      <c r="O438" s="37">
        <f>IF(COUNTIFS('📋 Транзакції'!$B$5:$B$3623,A438,'📋 Транзакції'!$C$5:$C$3623,"&gt;="&amp;EDATE(DATEVALUE(C438&amp;"-01"),8),'📋 Транзакції'!$C$5:$C$3623,"&lt;"&amp;EDATE(DATEVALUE(C438&amp;"-01"),9))&gt;0,1,0)</f>
        <v>0</v>
      </c>
      <c r="P438" s="37">
        <f>IF(COUNTIFS('📋 Транзакції'!$B$5:$B$3623,A438,'📋 Транзакції'!$C$5:$C$3623,"&gt;="&amp;EDATE(DATEVALUE(C438&amp;"-01"),9),'📋 Транзакції'!$C$5:$C$3623,"&lt;"&amp;EDATE(DATEVALUE(C438&amp;"-01"),10))&gt;0,1,0)</f>
        <v>0</v>
      </c>
      <c r="Q438" s="37">
        <f>IF(COUNTIFS('📋 Транзакції'!$B$5:$B$3623,A438,'📋 Транзакції'!$C$5:$C$3623,"&gt;="&amp;EDATE(DATEVALUE(C438&amp;"-01"),10),'📋 Транзакції'!$C$5:$C$3623,"&lt;"&amp;EDATE(DATEVALUE(C438&amp;"-01"),11))&gt;0,1,0)</f>
        <v>0</v>
      </c>
      <c r="R438" s="37">
        <f>IF(COUNTIFS('📋 Транзакції'!$B$5:$B$3623,A438,'📋 Транзакції'!$C$5:$C$3623,"&gt;="&amp;EDATE(DATEVALUE(C438&amp;"-01"),11),'📋 Транзакції'!$C$5:$C$3623,"&lt;"&amp;EDATE(DATEVALUE(C438&amp;"-01"),12))&gt;0,1,0)</f>
        <v>0</v>
      </c>
      <c r="S438" s="37">
        <f>SUMIFS('📋 Транзакції'!$F$5:$F$3623,'📋 Транзакції'!$B$5:$B$3623,A438,'📋 Транзакції'!$C$5:$C$3623,"&gt;="&amp;EDATE(DATEVALUE(C438&amp;"-01"),0),'📋 Транзакції'!$C$5:$C$3623,"&lt;"&amp;EDATE(DATEVALUE(C438&amp;"-01"),1))</f>
        <v>19.99</v>
      </c>
      <c r="T438" s="37">
        <f>SUMIFS('📋 Транзакції'!$F$5:$F$3623,'📋 Транзакції'!$B$5:$B$3623,A438,'📋 Транзакції'!$C$5:$C$3623,"&gt;="&amp;EDATE(DATEVALUE(C438&amp;"-01"),1),'📋 Транзакції'!$C$5:$C$3623,"&lt;"&amp;EDATE(DATEVALUE(C438&amp;"-01"),2))</f>
        <v>19.99</v>
      </c>
      <c r="U438" s="37">
        <f>SUMIFS('📋 Транзакції'!$F$5:$F$3623,'📋 Транзакції'!$B$5:$B$3623,A438,'📋 Транзакції'!$C$5:$C$3623,"&gt;="&amp;EDATE(DATEVALUE(C438&amp;"-01"),2),'📋 Транзакції'!$C$5:$C$3623,"&lt;"&amp;EDATE(DATEVALUE(C438&amp;"-01"),3))</f>
        <v>19.99</v>
      </c>
      <c r="V438" s="37">
        <f>SUMIFS('📋 Транзакції'!$F$5:$F$3623,'📋 Транзакції'!$B$5:$B$3623,A438,'📋 Транзакції'!$C$5:$C$3623,"&gt;="&amp;EDATE(DATEVALUE(C438&amp;"-01"),3),'📋 Транзакції'!$C$5:$C$3623,"&lt;"&amp;EDATE(DATEVALUE(C438&amp;"-01"),4))</f>
        <v>19.99</v>
      </c>
      <c r="W438" s="37">
        <f>SUMIFS('📋 Транзакції'!$F$5:$F$3623,'📋 Транзакції'!$B$5:$B$3623,A438,'📋 Транзакції'!$C$5:$C$3623,"&gt;="&amp;EDATE(DATEVALUE(C438&amp;"-01"),4),'📋 Транзакції'!$C$5:$C$3623,"&lt;"&amp;EDATE(DATEVALUE(C438&amp;"-01"),5))</f>
        <v>0</v>
      </c>
      <c r="X438" s="37">
        <f>SUMIFS('📋 Транзакції'!$F$5:$F$3623,'📋 Транзакції'!$B$5:$B$3623,A438,'📋 Транзакції'!$C$5:$C$3623,"&gt;="&amp;EDATE(DATEVALUE(C438&amp;"-01"),5),'📋 Транзакції'!$C$5:$C$3623,"&lt;"&amp;EDATE(DATEVALUE(C438&amp;"-01"),6))</f>
        <v>0</v>
      </c>
      <c r="Y438" s="37">
        <f>SUMIFS('📋 Транзакції'!$F$5:$F$3623,'📋 Транзакції'!$B$5:$B$3623,A438,'📋 Транзакції'!$C$5:$C$3623,"&gt;="&amp;EDATE(DATEVALUE(C438&amp;"-01"),6),'📋 Транзакції'!$C$5:$C$3623,"&lt;"&amp;EDATE(DATEVALUE(C438&amp;"-01"),7))</f>
        <v>0</v>
      </c>
      <c r="Z438" s="37">
        <f>SUMIFS('📋 Транзакції'!$F$5:$F$3623,'📋 Транзакції'!$B$5:$B$3623,A438,'📋 Транзакції'!$C$5:$C$3623,"&gt;="&amp;EDATE(DATEVALUE(C438&amp;"-01"),7),'📋 Транзакції'!$C$5:$C$3623,"&lt;"&amp;EDATE(DATEVALUE(C438&amp;"-01"),8))</f>
        <v>0</v>
      </c>
      <c r="AA438" s="37">
        <f>SUMIFS('📋 Транзакції'!$F$5:$F$3623,'📋 Транзакції'!$B$5:$B$3623,A438,'📋 Транзакції'!$C$5:$C$3623,"&gt;="&amp;EDATE(DATEVALUE(C438&amp;"-01"),8),'📋 Транзакції'!$C$5:$C$3623,"&lt;"&amp;EDATE(DATEVALUE(C438&amp;"-01"),9))</f>
        <v>0</v>
      </c>
      <c r="AB438" s="37">
        <f>SUMIFS('📋 Транзакції'!$F$5:$F$3623,'📋 Транзакції'!$B$5:$B$3623,A438,'📋 Транзакції'!$C$5:$C$3623,"&gt;="&amp;EDATE(DATEVALUE(C438&amp;"-01"),9),'📋 Транзакції'!$C$5:$C$3623,"&lt;"&amp;EDATE(DATEVALUE(C438&amp;"-01"),10))</f>
        <v>0</v>
      </c>
      <c r="AC438" s="37">
        <f>SUMIFS('📋 Транзакції'!$F$5:$F$3623,'📋 Транзакції'!$B$5:$B$3623,A438,'📋 Транзакції'!$C$5:$C$3623,"&gt;="&amp;EDATE(DATEVALUE(C438&amp;"-01"),10),'📋 Транзакції'!$C$5:$C$3623,"&lt;"&amp;EDATE(DATEVALUE(C438&amp;"-01"),11))</f>
        <v>0</v>
      </c>
      <c r="AD438" s="37">
        <f>SUMIFS('📋 Транзакції'!$F$5:$F$3623,'📋 Транзакції'!$B$5:$B$3623,A438,'📋 Транзакції'!$C$5:$C$3623,"&gt;="&amp;EDATE(DATEVALUE(C438&amp;"-01"),11),'📋 Транзакції'!$C$5:$C$3623,"&lt;"&amp;EDATE(DATEVALUE(C438&amp;"-01"),12))</f>
        <v>0</v>
      </c>
    </row>
    <row r="439" ht="15.75" customHeight="1">
      <c r="A439" s="33" t="str">
        <f>'📋 Реєстрації'!A439:A1040</f>
        <v>U0610</v>
      </c>
      <c r="B439" s="34">
        <f t="array" ref="B439">INDEX('📋 Транзакції'!$C$5:$C$3623,MATCH(A439,'📋 Транзакції'!$B$5:$B$3623,0))</f>
        <v>45644</v>
      </c>
      <c r="C439" s="35" t="str">
        <f t="shared" si="1"/>
        <v>2024-12</v>
      </c>
      <c r="D439" s="36">
        <f>COUNTIF('📋 Транзакції'!$B$5:$B$3623,A439)</f>
        <v>5</v>
      </c>
      <c r="E439" s="36">
        <f>SUMIF('📋 Транзакції'!$B$5:$B$3623,A439,'📋 Транзакції'!$F$5:$F$3623)</f>
        <v>79.96</v>
      </c>
      <c r="F439" s="35">
        <f>INT($A$1-MAXIFS('📋 Транзакції'!$C$5:$C$3623,'📋 Транзакції'!$B$5:$B$3623,A439))</f>
        <v>6</v>
      </c>
      <c r="G439" s="37">
        <f>IF(COUNTIFS('📋 Транзакції'!$B$5:$B$3623,A439,'📋 Транзакції'!$C$5:$C$3623,"&gt;="&amp;EDATE(DATEVALUE(C439&amp;"-01"),0),'📋 Транзакції'!$C$5:$C$3623,"&lt;"&amp;EDATE(DATEVALUE(C439&amp;"-01"),1))&gt;0,1,0)</f>
        <v>1</v>
      </c>
      <c r="H439" s="37">
        <f>IF(COUNTIFS('📋 Транзакції'!$B$5:$B$3623,A439,'📋 Транзакції'!$C$5:$C$3623,"&gt;="&amp;EDATE(DATEVALUE(C439&amp;"-01"),1),'📋 Транзакції'!$C$5:$C$3623,"&lt;"&amp;EDATE(DATEVALUE(C439&amp;"-01"),2))&gt;0,1,0)</f>
        <v>1</v>
      </c>
      <c r="I439" s="37">
        <f>IF(COUNTIFS('📋 Транзакції'!$B$5:$B$3623,A439,'📋 Транзакції'!$C$5:$C$3623,"&gt;="&amp;EDATE(DATEVALUE(C439&amp;"-01"),2),'📋 Транзакції'!$C$5:$C$3623,"&lt;"&amp;EDATE(DATEVALUE(C439&amp;"-01"),3))&gt;0,1,0)</f>
        <v>1</v>
      </c>
      <c r="J439" s="37">
        <f>IF(COUNTIFS('📋 Транзакції'!$B$5:$B$3623,A439,'📋 Транзакції'!$C$5:$C$3623,"&gt;="&amp;EDATE(DATEVALUE(C439&amp;"-01"),3),'📋 Транзакції'!$C$5:$C$3623,"&lt;"&amp;EDATE(DATEVALUE(C439&amp;"-01"),4))&gt;0,1,0)</f>
        <v>1</v>
      </c>
      <c r="K439" s="37">
        <f>IF(COUNTIFS('📋 Транзакції'!$B$5:$B$3623,A439,'📋 Транзакції'!$C$5:$C$3623,"&gt;="&amp;EDATE(DATEVALUE(C439&amp;"-01"),4),'📋 Транзакції'!$C$5:$C$3623,"&lt;"&amp;EDATE(DATEVALUE(C439&amp;"-01"),5))&gt;0,1,0)</f>
        <v>0</v>
      </c>
      <c r="L439" s="37">
        <f>IF(COUNTIFS('📋 Транзакції'!$B$5:$B$3623,A439,'📋 Транзакції'!$C$5:$C$3623,"&gt;="&amp;EDATE(DATEVALUE(C439&amp;"-01"),5),'📋 Транзакції'!$C$5:$C$3623,"&lt;"&amp;EDATE(DATEVALUE(C439&amp;"-01"),6))&gt;0,1,0)</f>
        <v>0</v>
      </c>
      <c r="M439" s="37">
        <f>IF(COUNTIFS('📋 Транзакції'!$B$5:$B$3623,A439,'📋 Транзакції'!$C$5:$C$3623,"&gt;="&amp;EDATE(DATEVALUE(C439&amp;"-01"),6),'📋 Транзакції'!$C$5:$C$3623,"&lt;"&amp;EDATE(DATEVALUE(C439&amp;"-01"),7))&gt;0,1,0)</f>
        <v>0</v>
      </c>
      <c r="N439" s="37">
        <f>IF(COUNTIFS('📋 Транзакції'!$B$5:$B$3623,A439,'📋 Транзакції'!$C$5:$C$3623,"&gt;="&amp;EDATE(DATEVALUE(C439&amp;"-01"),7),'📋 Транзакції'!$C$5:$C$3623,"&lt;"&amp;EDATE(DATEVALUE(C439&amp;"-01"),8))&gt;0,1,0)</f>
        <v>0</v>
      </c>
      <c r="O439" s="37">
        <f>IF(COUNTIFS('📋 Транзакції'!$B$5:$B$3623,A439,'📋 Транзакції'!$C$5:$C$3623,"&gt;="&amp;EDATE(DATEVALUE(C439&amp;"-01"),8),'📋 Транзакції'!$C$5:$C$3623,"&lt;"&amp;EDATE(DATEVALUE(C439&amp;"-01"),9))&gt;0,1,0)</f>
        <v>0</v>
      </c>
      <c r="P439" s="37">
        <f>IF(COUNTIFS('📋 Транзакції'!$B$5:$B$3623,A439,'📋 Транзакції'!$C$5:$C$3623,"&gt;="&amp;EDATE(DATEVALUE(C439&amp;"-01"),9),'📋 Транзакції'!$C$5:$C$3623,"&lt;"&amp;EDATE(DATEVALUE(C439&amp;"-01"),10))&gt;0,1,0)</f>
        <v>0</v>
      </c>
      <c r="Q439" s="37">
        <f>IF(COUNTIFS('📋 Транзакції'!$B$5:$B$3623,A439,'📋 Транзакції'!$C$5:$C$3623,"&gt;="&amp;EDATE(DATEVALUE(C439&amp;"-01"),10),'📋 Транзакції'!$C$5:$C$3623,"&lt;"&amp;EDATE(DATEVALUE(C439&amp;"-01"),11))&gt;0,1,0)</f>
        <v>0</v>
      </c>
      <c r="R439" s="37">
        <f>IF(COUNTIFS('📋 Транзакції'!$B$5:$B$3623,A439,'📋 Транзакції'!$C$5:$C$3623,"&gt;="&amp;EDATE(DATEVALUE(C439&amp;"-01"),11),'📋 Транзакції'!$C$5:$C$3623,"&lt;"&amp;EDATE(DATEVALUE(C439&amp;"-01"),12))&gt;0,1,0)</f>
        <v>0</v>
      </c>
      <c r="S439" s="37">
        <f>SUMIFS('📋 Транзакції'!$F$5:$F$3623,'📋 Транзакції'!$B$5:$B$3623,A439,'📋 Транзакції'!$C$5:$C$3623,"&gt;="&amp;EDATE(DATEVALUE(C439&amp;"-01"),0),'📋 Транзакції'!$C$5:$C$3623,"&lt;"&amp;EDATE(DATEVALUE(C439&amp;"-01"),1))</f>
        <v>19.99</v>
      </c>
      <c r="T439" s="37">
        <f>SUMIFS('📋 Транзакції'!$F$5:$F$3623,'📋 Транзакції'!$B$5:$B$3623,A439,'📋 Транзакції'!$C$5:$C$3623,"&gt;="&amp;EDATE(DATEVALUE(C439&amp;"-01"),1),'📋 Транзакції'!$C$5:$C$3623,"&lt;"&amp;EDATE(DATEVALUE(C439&amp;"-01"),2))</f>
        <v>19.99</v>
      </c>
      <c r="U439" s="37">
        <f>SUMIFS('📋 Транзакції'!$F$5:$F$3623,'📋 Транзакції'!$B$5:$B$3623,A439,'📋 Транзакції'!$C$5:$C$3623,"&gt;="&amp;EDATE(DATEVALUE(C439&amp;"-01"),2),'📋 Транзакції'!$C$5:$C$3623,"&lt;"&amp;EDATE(DATEVALUE(C439&amp;"-01"),3))</f>
        <v>19.99</v>
      </c>
      <c r="V439" s="37">
        <f>SUMIFS('📋 Транзакції'!$F$5:$F$3623,'📋 Транзакції'!$B$5:$B$3623,A439,'📋 Транзакції'!$C$5:$C$3623,"&gt;="&amp;EDATE(DATEVALUE(C439&amp;"-01"),3),'📋 Транзакції'!$C$5:$C$3623,"&lt;"&amp;EDATE(DATEVALUE(C439&amp;"-01"),4))</f>
        <v>19.99</v>
      </c>
      <c r="W439" s="37">
        <f>SUMIFS('📋 Транзакції'!$F$5:$F$3623,'📋 Транзакції'!$B$5:$B$3623,A439,'📋 Транзакції'!$C$5:$C$3623,"&gt;="&amp;EDATE(DATEVALUE(C439&amp;"-01"),4),'📋 Транзакції'!$C$5:$C$3623,"&lt;"&amp;EDATE(DATEVALUE(C439&amp;"-01"),5))</f>
        <v>0</v>
      </c>
      <c r="X439" s="37">
        <f>SUMIFS('📋 Транзакції'!$F$5:$F$3623,'📋 Транзакції'!$B$5:$B$3623,A439,'📋 Транзакції'!$C$5:$C$3623,"&gt;="&amp;EDATE(DATEVALUE(C439&amp;"-01"),5),'📋 Транзакції'!$C$5:$C$3623,"&lt;"&amp;EDATE(DATEVALUE(C439&amp;"-01"),6))</f>
        <v>0</v>
      </c>
      <c r="Y439" s="37">
        <f>SUMIFS('📋 Транзакції'!$F$5:$F$3623,'📋 Транзакції'!$B$5:$B$3623,A439,'📋 Транзакції'!$C$5:$C$3623,"&gt;="&amp;EDATE(DATEVALUE(C439&amp;"-01"),6),'📋 Транзакції'!$C$5:$C$3623,"&lt;"&amp;EDATE(DATEVALUE(C439&amp;"-01"),7))</f>
        <v>0</v>
      </c>
      <c r="Z439" s="37">
        <f>SUMIFS('📋 Транзакції'!$F$5:$F$3623,'📋 Транзакції'!$B$5:$B$3623,A439,'📋 Транзакції'!$C$5:$C$3623,"&gt;="&amp;EDATE(DATEVALUE(C439&amp;"-01"),7),'📋 Транзакції'!$C$5:$C$3623,"&lt;"&amp;EDATE(DATEVALUE(C439&amp;"-01"),8))</f>
        <v>0</v>
      </c>
      <c r="AA439" s="37">
        <f>SUMIFS('📋 Транзакції'!$F$5:$F$3623,'📋 Транзакції'!$B$5:$B$3623,A439,'📋 Транзакції'!$C$5:$C$3623,"&gt;="&amp;EDATE(DATEVALUE(C439&amp;"-01"),8),'📋 Транзакції'!$C$5:$C$3623,"&lt;"&amp;EDATE(DATEVALUE(C439&amp;"-01"),9))</f>
        <v>0</v>
      </c>
      <c r="AB439" s="37">
        <f>SUMIFS('📋 Транзакції'!$F$5:$F$3623,'📋 Транзакції'!$B$5:$B$3623,A439,'📋 Транзакції'!$C$5:$C$3623,"&gt;="&amp;EDATE(DATEVALUE(C439&amp;"-01"),9),'📋 Транзакції'!$C$5:$C$3623,"&lt;"&amp;EDATE(DATEVALUE(C439&amp;"-01"),10))</f>
        <v>0</v>
      </c>
      <c r="AC439" s="37">
        <f>SUMIFS('📋 Транзакції'!$F$5:$F$3623,'📋 Транзакції'!$B$5:$B$3623,A439,'📋 Транзакції'!$C$5:$C$3623,"&gt;="&amp;EDATE(DATEVALUE(C439&amp;"-01"),10),'📋 Транзакції'!$C$5:$C$3623,"&lt;"&amp;EDATE(DATEVALUE(C439&amp;"-01"),11))</f>
        <v>0</v>
      </c>
      <c r="AD439" s="37">
        <f>SUMIFS('📋 Транзакції'!$F$5:$F$3623,'📋 Транзакції'!$B$5:$B$3623,A439,'📋 Транзакції'!$C$5:$C$3623,"&gt;="&amp;EDATE(DATEVALUE(C439&amp;"-01"),11),'📋 Транзакції'!$C$5:$C$3623,"&lt;"&amp;EDATE(DATEVALUE(C439&amp;"-01"),12))</f>
        <v>0</v>
      </c>
    </row>
    <row r="440" ht="15.75" customHeight="1">
      <c r="A440" s="33" t="str">
        <f>'📋 Реєстрації'!A440:A1041</f>
        <v>U0887</v>
      </c>
      <c r="B440" s="34">
        <f t="array" ref="B440">INDEX('📋 Транзакції'!$C$5:$C$3623,MATCH(A440,'📋 Транзакції'!$B$5:$B$3623,0))</f>
        <v>45644</v>
      </c>
      <c r="C440" s="35" t="str">
        <f t="shared" si="1"/>
        <v>2024-12</v>
      </c>
      <c r="D440" s="36">
        <f>COUNTIF('📋 Транзакції'!$B$5:$B$3623,A440)</f>
        <v>5</v>
      </c>
      <c r="E440" s="36">
        <f>SUMIF('📋 Транзакції'!$B$5:$B$3623,A440,'📋 Транзакції'!$F$5:$F$3623)</f>
        <v>79.96</v>
      </c>
      <c r="F440" s="35">
        <f>INT($A$1-MAXIFS('📋 Транзакції'!$C$5:$C$3623,'📋 Транзакції'!$B$5:$B$3623,A440))</f>
        <v>6</v>
      </c>
      <c r="G440" s="37">
        <f>IF(COUNTIFS('📋 Транзакції'!$B$5:$B$3623,A440,'📋 Транзакції'!$C$5:$C$3623,"&gt;="&amp;EDATE(DATEVALUE(C440&amp;"-01"),0),'📋 Транзакції'!$C$5:$C$3623,"&lt;"&amp;EDATE(DATEVALUE(C440&amp;"-01"),1))&gt;0,1,0)</f>
        <v>1</v>
      </c>
      <c r="H440" s="37">
        <f>IF(COUNTIFS('📋 Транзакції'!$B$5:$B$3623,A440,'📋 Транзакції'!$C$5:$C$3623,"&gt;="&amp;EDATE(DATEVALUE(C440&amp;"-01"),1),'📋 Транзакції'!$C$5:$C$3623,"&lt;"&amp;EDATE(DATEVALUE(C440&amp;"-01"),2))&gt;0,1,0)</f>
        <v>1</v>
      </c>
      <c r="I440" s="37">
        <f>IF(COUNTIFS('📋 Транзакції'!$B$5:$B$3623,A440,'📋 Транзакції'!$C$5:$C$3623,"&gt;="&amp;EDATE(DATEVALUE(C440&amp;"-01"),2),'📋 Транзакції'!$C$5:$C$3623,"&lt;"&amp;EDATE(DATEVALUE(C440&amp;"-01"),3))&gt;0,1,0)</f>
        <v>1</v>
      </c>
      <c r="J440" s="37">
        <f>IF(COUNTIFS('📋 Транзакції'!$B$5:$B$3623,A440,'📋 Транзакції'!$C$5:$C$3623,"&gt;="&amp;EDATE(DATEVALUE(C440&amp;"-01"),3),'📋 Транзакції'!$C$5:$C$3623,"&lt;"&amp;EDATE(DATEVALUE(C440&amp;"-01"),4))&gt;0,1,0)</f>
        <v>1</v>
      </c>
      <c r="K440" s="37">
        <f>IF(COUNTIFS('📋 Транзакції'!$B$5:$B$3623,A440,'📋 Транзакції'!$C$5:$C$3623,"&gt;="&amp;EDATE(DATEVALUE(C440&amp;"-01"),4),'📋 Транзакції'!$C$5:$C$3623,"&lt;"&amp;EDATE(DATEVALUE(C440&amp;"-01"),5))&gt;0,1,0)</f>
        <v>0</v>
      </c>
      <c r="L440" s="37">
        <f>IF(COUNTIFS('📋 Транзакції'!$B$5:$B$3623,A440,'📋 Транзакції'!$C$5:$C$3623,"&gt;="&amp;EDATE(DATEVALUE(C440&amp;"-01"),5),'📋 Транзакції'!$C$5:$C$3623,"&lt;"&amp;EDATE(DATEVALUE(C440&amp;"-01"),6))&gt;0,1,0)</f>
        <v>0</v>
      </c>
      <c r="M440" s="37">
        <f>IF(COUNTIFS('📋 Транзакції'!$B$5:$B$3623,A440,'📋 Транзакції'!$C$5:$C$3623,"&gt;="&amp;EDATE(DATEVALUE(C440&amp;"-01"),6),'📋 Транзакції'!$C$5:$C$3623,"&lt;"&amp;EDATE(DATEVALUE(C440&amp;"-01"),7))&gt;0,1,0)</f>
        <v>0</v>
      </c>
      <c r="N440" s="37">
        <f>IF(COUNTIFS('📋 Транзакції'!$B$5:$B$3623,A440,'📋 Транзакції'!$C$5:$C$3623,"&gt;="&amp;EDATE(DATEVALUE(C440&amp;"-01"),7),'📋 Транзакції'!$C$5:$C$3623,"&lt;"&amp;EDATE(DATEVALUE(C440&amp;"-01"),8))&gt;0,1,0)</f>
        <v>0</v>
      </c>
      <c r="O440" s="37">
        <f>IF(COUNTIFS('📋 Транзакції'!$B$5:$B$3623,A440,'📋 Транзакції'!$C$5:$C$3623,"&gt;="&amp;EDATE(DATEVALUE(C440&amp;"-01"),8),'📋 Транзакції'!$C$5:$C$3623,"&lt;"&amp;EDATE(DATEVALUE(C440&amp;"-01"),9))&gt;0,1,0)</f>
        <v>0</v>
      </c>
      <c r="P440" s="37">
        <f>IF(COUNTIFS('📋 Транзакції'!$B$5:$B$3623,A440,'📋 Транзакції'!$C$5:$C$3623,"&gt;="&amp;EDATE(DATEVALUE(C440&amp;"-01"),9),'📋 Транзакції'!$C$5:$C$3623,"&lt;"&amp;EDATE(DATEVALUE(C440&amp;"-01"),10))&gt;0,1,0)</f>
        <v>0</v>
      </c>
      <c r="Q440" s="37">
        <f>IF(COUNTIFS('📋 Транзакції'!$B$5:$B$3623,A440,'📋 Транзакції'!$C$5:$C$3623,"&gt;="&amp;EDATE(DATEVALUE(C440&amp;"-01"),10),'📋 Транзакції'!$C$5:$C$3623,"&lt;"&amp;EDATE(DATEVALUE(C440&amp;"-01"),11))&gt;0,1,0)</f>
        <v>0</v>
      </c>
      <c r="R440" s="37">
        <f>IF(COUNTIFS('📋 Транзакції'!$B$5:$B$3623,A440,'📋 Транзакції'!$C$5:$C$3623,"&gt;="&amp;EDATE(DATEVALUE(C440&amp;"-01"),11),'📋 Транзакції'!$C$5:$C$3623,"&lt;"&amp;EDATE(DATEVALUE(C440&amp;"-01"),12))&gt;0,1,0)</f>
        <v>0</v>
      </c>
      <c r="S440" s="37">
        <f>SUMIFS('📋 Транзакції'!$F$5:$F$3623,'📋 Транзакції'!$B$5:$B$3623,A440,'📋 Транзакції'!$C$5:$C$3623,"&gt;="&amp;EDATE(DATEVALUE(C440&amp;"-01"),0),'📋 Транзакції'!$C$5:$C$3623,"&lt;"&amp;EDATE(DATEVALUE(C440&amp;"-01"),1))</f>
        <v>19.99</v>
      </c>
      <c r="T440" s="37">
        <f>SUMIFS('📋 Транзакції'!$F$5:$F$3623,'📋 Транзакції'!$B$5:$B$3623,A440,'📋 Транзакції'!$C$5:$C$3623,"&gt;="&amp;EDATE(DATEVALUE(C440&amp;"-01"),1),'📋 Транзакції'!$C$5:$C$3623,"&lt;"&amp;EDATE(DATEVALUE(C440&amp;"-01"),2))</f>
        <v>19.99</v>
      </c>
      <c r="U440" s="37">
        <f>SUMIFS('📋 Транзакції'!$F$5:$F$3623,'📋 Транзакції'!$B$5:$B$3623,A440,'📋 Транзакції'!$C$5:$C$3623,"&gt;="&amp;EDATE(DATEVALUE(C440&amp;"-01"),2),'📋 Транзакції'!$C$5:$C$3623,"&lt;"&amp;EDATE(DATEVALUE(C440&amp;"-01"),3))</f>
        <v>19.99</v>
      </c>
      <c r="V440" s="37">
        <f>SUMIFS('📋 Транзакції'!$F$5:$F$3623,'📋 Транзакції'!$B$5:$B$3623,A440,'📋 Транзакції'!$C$5:$C$3623,"&gt;="&amp;EDATE(DATEVALUE(C440&amp;"-01"),3),'📋 Транзакції'!$C$5:$C$3623,"&lt;"&amp;EDATE(DATEVALUE(C440&amp;"-01"),4))</f>
        <v>19.99</v>
      </c>
      <c r="W440" s="37">
        <f>SUMIFS('📋 Транзакції'!$F$5:$F$3623,'📋 Транзакції'!$B$5:$B$3623,A440,'📋 Транзакції'!$C$5:$C$3623,"&gt;="&amp;EDATE(DATEVALUE(C440&amp;"-01"),4),'📋 Транзакції'!$C$5:$C$3623,"&lt;"&amp;EDATE(DATEVALUE(C440&amp;"-01"),5))</f>
        <v>0</v>
      </c>
      <c r="X440" s="37">
        <f>SUMIFS('📋 Транзакції'!$F$5:$F$3623,'📋 Транзакції'!$B$5:$B$3623,A440,'📋 Транзакції'!$C$5:$C$3623,"&gt;="&amp;EDATE(DATEVALUE(C440&amp;"-01"),5),'📋 Транзакції'!$C$5:$C$3623,"&lt;"&amp;EDATE(DATEVALUE(C440&amp;"-01"),6))</f>
        <v>0</v>
      </c>
      <c r="Y440" s="37">
        <f>SUMIFS('📋 Транзакції'!$F$5:$F$3623,'📋 Транзакції'!$B$5:$B$3623,A440,'📋 Транзакції'!$C$5:$C$3623,"&gt;="&amp;EDATE(DATEVALUE(C440&amp;"-01"),6),'📋 Транзакції'!$C$5:$C$3623,"&lt;"&amp;EDATE(DATEVALUE(C440&amp;"-01"),7))</f>
        <v>0</v>
      </c>
      <c r="Z440" s="37">
        <f>SUMIFS('📋 Транзакції'!$F$5:$F$3623,'📋 Транзакції'!$B$5:$B$3623,A440,'📋 Транзакції'!$C$5:$C$3623,"&gt;="&amp;EDATE(DATEVALUE(C440&amp;"-01"),7),'📋 Транзакції'!$C$5:$C$3623,"&lt;"&amp;EDATE(DATEVALUE(C440&amp;"-01"),8))</f>
        <v>0</v>
      </c>
      <c r="AA440" s="37">
        <f>SUMIFS('📋 Транзакції'!$F$5:$F$3623,'📋 Транзакції'!$B$5:$B$3623,A440,'📋 Транзакції'!$C$5:$C$3623,"&gt;="&amp;EDATE(DATEVALUE(C440&amp;"-01"),8),'📋 Транзакції'!$C$5:$C$3623,"&lt;"&amp;EDATE(DATEVALUE(C440&amp;"-01"),9))</f>
        <v>0</v>
      </c>
      <c r="AB440" s="37">
        <f>SUMIFS('📋 Транзакції'!$F$5:$F$3623,'📋 Транзакції'!$B$5:$B$3623,A440,'📋 Транзакції'!$C$5:$C$3623,"&gt;="&amp;EDATE(DATEVALUE(C440&amp;"-01"),9),'📋 Транзакції'!$C$5:$C$3623,"&lt;"&amp;EDATE(DATEVALUE(C440&amp;"-01"),10))</f>
        <v>0</v>
      </c>
      <c r="AC440" s="37">
        <f>SUMIFS('📋 Транзакції'!$F$5:$F$3623,'📋 Транзакції'!$B$5:$B$3623,A440,'📋 Транзакції'!$C$5:$C$3623,"&gt;="&amp;EDATE(DATEVALUE(C440&amp;"-01"),10),'📋 Транзакції'!$C$5:$C$3623,"&lt;"&amp;EDATE(DATEVALUE(C440&amp;"-01"),11))</f>
        <v>0</v>
      </c>
      <c r="AD440" s="37">
        <f>SUMIFS('📋 Транзакції'!$F$5:$F$3623,'📋 Транзакції'!$B$5:$B$3623,A440,'📋 Транзакції'!$C$5:$C$3623,"&gt;="&amp;EDATE(DATEVALUE(C440&amp;"-01"),11),'📋 Транзакції'!$C$5:$C$3623,"&lt;"&amp;EDATE(DATEVALUE(C440&amp;"-01"),12))</f>
        <v>0</v>
      </c>
    </row>
    <row r="441" ht="15.75" customHeight="1">
      <c r="A441" s="33" t="str">
        <f>'📋 Реєстрації'!A441:A1042</f>
        <v>U0039</v>
      </c>
      <c r="B441" s="34">
        <f t="array" ref="B441">INDEX('📋 Транзакції'!$C$5:$C$3623,MATCH(A441,'📋 Транзакції'!$B$5:$B$3623,0))</f>
        <v>45645</v>
      </c>
      <c r="C441" s="35" t="str">
        <f t="shared" si="1"/>
        <v>2024-12</v>
      </c>
      <c r="D441" s="36">
        <f>COUNTIF('📋 Транзакції'!$B$5:$B$3623,A441)</f>
        <v>4</v>
      </c>
      <c r="E441" s="36">
        <f>SUMIF('📋 Транзакції'!$B$5:$B$3623,A441,'📋 Транзакції'!$F$5:$F$3623)</f>
        <v>59.97</v>
      </c>
      <c r="F441" s="35">
        <f>INT($A$1-MAXIFS('📋 Транзакції'!$C$5:$C$3623,'📋 Транзакції'!$B$5:$B$3623,A441))</f>
        <v>35</v>
      </c>
      <c r="G441" s="37">
        <f>IF(COUNTIFS('📋 Транзакції'!$B$5:$B$3623,A441,'📋 Транзакції'!$C$5:$C$3623,"&gt;="&amp;EDATE(DATEVALUE(C441&amp;"-01"),0),'📋 Транзакції'!$C$5:$C$3623,"&lt;"&amp;EDATE(DATEVALUE(C441&amp;"-01"),1))&gt;0,1,0)</f>
        <v>1</v>
      </c>
      <c r="H441" s="37">
        <f>IF(COUNTIFS('📋 Транзакції'!$B$5:$B$3623,A441,'📋 Транзакції'!$C$5:$C$3623,"&gt;="&amp;EDATE(DATEVALUE(C441&amp;"-01"),1),'📋 Транзакції'!$C$5:$C$3623,"&lt;"&amp;EDATE(DATEVALUE(C441&amp;"-01"),2))&gt;0,1,0)</f>
        <v>1</v>
      </c>
      <c r="I441" s="37">
        <f>IF(COUNTIFS('📋 Транзакції'!$B$5:$B$3623,A441,'📋 Транзакції'!$C$5:$C$3623,"&gt;="&amp;EDATE(DATEVALUE(C441&amp;"-01"),2),'📋 Транзакції'!$C$5:$C$3623,"&lt;"&amp;EDATE(DATEVALUE(C441&amp;"-01"),3))&gt;0,1,0)</f>
        <v>1</v>
      </c>
      <c r="J441" s="37">
        <f>IF(COUNTIFS('📋 Транзакції'!$B$5:$B$3623,A441,'📋 Транзакції'!$C$5:$C$3623,"&gt;="&amp;EDATE(DATEVALUE(C441&amp;"-01"),3),'📋 Транзакції'!$C$5:$C$3623,"&lt;"&amp;EDATE(DATEVALUE(C441&amp;"-01"),4))&gt;0,1,0)</f>
        <v>0</v>
      </c>
      <c r="K441" s="37">
        <f>IF(COUNTIFS('📋 Транзакції'!$B$5:$B$3623,A441,'📋 Транзакції'!$C$5:$C$3623,"&gt;="&amp;EDATE(DATEVALUE(C441&amp;"-01"),4),'📋 Транзакції'!$C$5:$C$3623,"&lt;"&amp;EDATE(DATEVALUE(C441&amp;"-01"),5))&gt;0,1,0)</f>
        <v>0</v>
      </c>
      <c r="L441" s="37">
        <f>IF(COUNTIFS('📋 Транзакції'!$B$5:$B$3623,A441,'📋 Транзакції'!$C$5:$C$3623,"&gt;="&amp;EDATE(DATEVALUE(C441&amp;"-01"),5),'📋 Транзакції'!$C$5:$C$3623,"&lt;"&amp;EDATE(DATEVALUE(C441&amp;"-01"),6))&gt;0,1,0)</f>
        <v>0</v>
      </c>
      <c r="M441" s="37">
        <f>IF(COUNTIFS('📋 Транзакції'!$B$5:$B$3623,A441,'📋 Транзакції'!$C$5:$C$3623,"&gt;="&amp;EDATE(DATEVALUE(C441&amp;"-01"),6),'📋 Транзакції'!$C$5:$C$3623,"&lt;"&amp;EDATE(DATEVALUE(C441&amp;"-01"),7))&gt;0,1,0)</f>
        <v>0</v>
      </c>
      <c r="N441" s="37">
        <f>IF(COUNTIFS('📋 Транзакції'!$B$5:$B$3623,A441,'📋 Транзакції'!$C$5:$C$3623,"&gt;="&amp;EDATE(DATEVALUE(C441&amp;"-01"),7),'📋 Транзакції'!$C$5:$C$3623,"&lt;"&amp;EDATE(DATEVALUE(C441&amp;"-01"),8))&gt;0,1,0)</f>
        <v>0</v>
      </c>
      <c r="O441" s="37">
        <f>IF(COUNTIFS('📋 Транзакції'!$B$5:$B$3623,A441,'📋 Транзакції'!$C$5:$C$3623,"&gt;="&amp;EDATE(DATEVALUE(C441&amp;"-01"),8),'📋 Транзакції'!$C$5:$C$3623,"&lt;"&amp;EDATE(DATEVALUE(C441&amp;"-01"),9))&gt;0,1,0)</f>
        <v>0</v>
      </c>
      <c r="P441" s="37">
        <f>IF(COUNTIFS('📋 Транзакції'!$B$5:$B$3623,A441,'📋 Транзакції'!$C$5:$C$3623,"&gt;="&amp;EDATE(DATEVALUE(C441&amp;"-01"),9),'📋 Транзакції'!$C$5:$C$3623,"&lt;"&amp;EDATE(DATEVALUE(C441&amp;"-01"),10))&gt;0,1,0)</f>
        <v>0</v>
      </c>
      <c r="Q441" s="37">
        <f>IF(COUNTIFS('📋 Транзакції'!$B$5:$B$3623,A441,'📋 Транзакції'!$C$5:$C$3623,"&gt;="&amp;EDATE(DATEVALUE(C441&amp;"-01"),10),'📋 Транзакції'!$C$5:$C$3623,"&lt;"&amp;EDATE(DATEVALUE(C441&amp;"-01"),11))&gt;0,1,0)</f>
        <v>0</v>
      </c>
      <c r="R441" s="37">
        <f>IF(COUNTIFS('📋 Транзакції'!$B$5:$B$3623,A441,'📋 Транзакції'!$C$5:$C$3623,"&gt;="&amp;EDATE(DATEVALUE(C441&amp;"-01"),11),'📋 Транзакції'!$C$5:$C$3623,"&lt;"&amp;EDATE(DATEVALUE(C441&amp;"-01"),12))&gt;0,1,0)</f>
        <v>0</v>
      </c>
      <c r="S441" s="37">
        <f>SUMIFS('📋 Транзакції'!$F$5:$F$3623,'📋 Транзакції'!$B$5:$B$3623,A441,'📋 Транзакції'!$C$5:$C$3623,"&gt;="&amp;EDATE(DATEVALUE(C441&amp;"-01"),0),'📋 Транзакції'!$C$5:$C$3623,"&lt;"&amp;EDATE(DATEVALUE(C441&amp;"-01"),1))</f>
        <v>19.99</v>
      </c>
      <c r="T441" s="37">
        <f>SUMIFS('📋 Транзакції'!$F$5:$F$3623,'📋 Транзакції'!$B$5:$B$3623,A441,'📋 Транзакції'!$C$5:$C$3623,"&gt;="&amp;EDATE(DATEVALUE(C441&amp;"-01"),1),'📋 Транзакції'!$C$5:$C$3623,"&lt;"&amp;EDATE(DATEVALUE(C441&amp;"-01"),2))</f>
        <v>19.99</v>
      </c>
      <c r="U441" s="37">
        <f>SUMIFS('📋 Транзакції'!$F$5:$F$3623,'📋 Транзакції'!$B$5:$B$3623,A441,'📋 Транзакції'!$C$5:$C$3623,"&gt;="&amp;EDATE(DATEVALUE(C441&amp;"-01"),2),'📋 Транзакції'!$C$5:$C$3623,"&lt;"&amp;EDATE(DATEVALUE(C441&amp;"-01"),3))</f>
        <v>19.99</v>
      </c>
      <c r="V441" s="37">
        <f>SUMIFS('📋 Транзакції'!$F$5:$F$3623,'📋 Транзакції'!$B$5:$B$3623,A441,'📋 Транзакції'!$C$5:$C$3623,"&gt;="&amp;EDATE(DATEVALUE(C441&amp;"-01"),3),'📋 Транзакції'!$C$5:$C$3623,"&lt;"&amp;EDATE(DATEVALUE(C441&amp;"-01"),4))</f>
        <v>0</v>
      </c>
      <c r="W441" s="37">
        <f>SUMIFS('📋 Транзакції'!$F$5:$F$3623,'📋 Транзакції'!$B$5:$B$3623,A441,'📋 Транзакції'!$C$5:$C$3623,"&gt;="&amp;EDATE(DATEVALUE(C441&amp;"-01"),4),'📋 Транзакції'!$C$5:$C$3623,"&lt;"&amp;EDATE(DATEVALUE(C441&amp;"-01"),5))</f>
        <v>0</v>
      </c>
      <c r="X441" s="37">
        <f>SUMIFS('📋 Транзакції'!$F$5:$F$3623,'📋 Транзакції'!$B$5:$B$3623,A441,'📋 Транзакції'!$C$5:$C$3623,"&gt;="&amp;EDATE(DATEVALUE(C441&amp;"-01"),5),'📋 Транзакції'!$C$5:$C$3623,"&lt;"&amp;EDATE(DATEVALUE(C441&amp;"-01"),6))</f>
        <v>0</v>
      </c>
      <c r="Y441" s="37">
        <f>SUMIFS('📋 Транзакції'!$F$5:$F$3623,'📋 Транзакції'!$B$5:$B$3623,A441,'📋 Транзакції'!$C$5:$C$3623,"&gt;="&amp;EDATE(DATEVALUE(C441&amp;"-01"),6),'📋 Транзакції'!$C$5:$C$3623,"&lt;"&amp;EDATE(DATEVALUE(C441&amp;"-01"),7))</f>
        <v>0</v>
      </c>
      <c r="Z441" s="37">
        <f>SUMIFS('📋 Транзакції'!$F$5:$F$3623,'📋 Транзакції'!$B$5:$B$3623,A441,'📋 Транзакції'!$C$5:$C$3623,"&gt;="&amp;EDATE(DATEVALUE(C441&amp;"-01"),7),'📋 Транзакції'!$C$5:$C$3623,"&lt;"&amp;EDATE(DATEVALUE(C441&amp;"-01"),8))</f>
        <v>0</v>
      </c>
      <c r="AA441" s="37">
        <f>SUMIFS('📋 Транзакції'!$F$5:$F$3623,'📋 Транзакції'!$B$5:$B$3623,A441,'📋 Транзакції'!$C$5:$C$3623,"&gt;="&amp;EDATE(DATEVALUE(C441&amp;"-01"),8),'📋 Транзакції'!$C$5:$C$3623,"&lt;"&amp;EDATE(DATEVALUE(C441&amp;"-01"),9))</f>
        <v>0</v>
      </c>
      <c r="AB441" s="37">
        <f>SUMIFS('📋 Транзакції'!$F$5:$F$3623,'📋 Транзакції'!$B$5:$B$3623,A441,'📋 Транзакції'!$C$5:$C$3623,"&gt;="&amp;EDATE(DATEVALUE(C441&amp;"-01"),9),'📋 Транзакції'!$C$5:$C$3623,"&lt;"&amp;EDATE(DATEVALUE(C441&amp;"-01"),10))</f>
        <v>0</v>
      </c>
      <c r="AC441" s="37">
        <f>SUMIFS('📋 Транзакції'!$F$5:$F$3623,'📋 Транзакції'!$B$5:$B$3623,A441,'📋 Транзакції'!$C$5:$C$3623,"&gt;="&amp;EDATE(DATEVALUE(C441&amp;"-01"),10),'📋 Транзакції'!$C$5:$C$3623,"&lt;"&amp;EDATE(DATEVALUE(C441&amp;"-01"),11))</f>
        <v>0</v>
      </c>
      <c r="AD441" s="37">
        <f>SUMIFS('📋 Транзакції'!$F$5:$F$3623,'📋 Транзакції'!$B$5:$B$3623,A441,'📋 Транзакції'!$C$5:$C$3623,"&gt;="&amp;EDATE(DATEVALUE(C441&amp;"-01"),11),'📋 Транзакції'!$C$5:$C$3623,"&lt;"&amp;EDATE(DATEVALUE(C441&amp;"-01"),12))</f>
        <v>0</v>
      </c>
    </row>
    <row r="442" ht="15.75" customHeight="1">
      <c r="A442" s="33" t="str">
        <f>'📋 Реєстрації'!A442:A1043</f>
        <v>U0075</v>
      </c>
      <c r="B442" s="34">
        <f t="array" ref="B442">INDEX('📋 Транзакції'!$C$5:$C$3623,MATCH(A442,'📋 Транзакції'!$B$5:$B$3623,0))</f>
        <v>45646</v>
      </c>
      <c r="C442" s="35" t="str">
        <f t="shared" si="1"/>
        <v>2024-12</v>
      </c>
      <c r="D442" s="36">
        <f>COUNTIF('📋 Транзакції'!$B$5:$B$3623,A442)</f>
        <v>5</v>
      </c>
      <c r="E442" s="36">
        <f>SUMIF('📋 Транзакції'!$B$5:$B$3623,A442,'📋 Транзакції'!$F$5:$F$3623)</f>
        <v>79.96</v>
      </c>
      <c r="F442" s="35">
        <f>INT($A$1-MAXIFS('📋 Транзакції'!$C$5:$C$3623,'📋 Транзакції'!$B$5:$B$3623,A442))</f>
        <v>4</v>
      </c>
      <c r="G442" s="37">
        <f>IF(COUNTIFS('📋 Транзакції'!$B$5:$B$3623,A442,'📋 Транзакції'!$C$5:$C$3623,"&gt;="&amp;EDATE(DATEVALUE(C442&amp;"-01"),0),'📋 Транзакції'!$C$5:$C$3623,"&lt;"&amp;EDATE(DATEVALUE(C442&amp;"-01"),1))&gt;0,1,0)</f>
        <v>1</v>
      </c>
      <c r="H442" s="37">
        <f>IF(COUNTIFS('📋 Транзакції'!$B$5:$B$3623,A442,'📋 Транзакції'!$C$5:$C$3623,"&gt;="&amp;EDATE(DATEVALUE(C442&amp;"-01"),1),'📋 Транзакції'!$C$5:$C$3623,"&lt;"&amp;EDATE(DATEVALUE(C442&amp;"-01"),2))&gt;0,1,0)</f>
        <v>1</v>
      </c>
      <c r="I442" s="37">
        <f>IF(COUNTIFS('📋 Транзакції'!$B$5:$B$3623,A442,'📋 Транзакції'!$C$5:$C$3623,"&gt;="&amp;EDATE(DATEVALUE(C442&amp;"-01"),2),'📋 Транзакції'!$C$5:$C$3623,"&lt;"&amp;EDATE(DATEVALUE(C442&amp;"-01"),3))&gt;0,1,0)</f>
        <v>1</v>
      </c>
      <c r="J442" s="37">
        <f>IF(COUNTIFS('📋 Транзакції'!$B$5:$B$3623,A442,'📋 Транзакції'!$C$5:$C$3623,"&gt;="&amp;EDATE(DATEVALUE(C442&amp;"-01"),3),'📋 Транзакції'!$C$5:$C$3623,"&lt;"&amp;EDATE(DATEVALUE(C442&amp;"-01"),4))&gt;0,1,0)</f>
        <v>1</v>
      </c>
      <c r="K442" s="37">
        <f>IF(COUNTIFS('📋 Транзакції'!$B$5:$B$3623,A442,'📋 Транзакції'!$C$5:$C$3623,"&gt;="&amp;EDATE(DATEVALUE(C442&amp;"-01"),4),'📋 Транзакції'!$C$5:$C$3623,"&lt;"&amp;EDATE(DATEVALUE(C442&amp;"-01"),5))&gt;0,1,0)</f>
        <v>0</v>
      </c>
      <c r="L442" s="37">
        <f>IF(COUNTIFS('📋 Транзакції'!$B$5:$B$3623,A442,'📋 Транзакції'!$C$5:$C$3623,"&gt;="&amp;EDATE(DATEVALUE(C442&amp;"-01"),5),'📋 Транзакції'!$C$5:$C$3623,"&lt;"&amp;EDATE(DATEVALUE(C442&amp;"-01"),6))&gt;0,1,0)</f>
        <v>0</v>
      </c>
      <c r="M442" s="37">
        <f>IF(COUNTIFS('📋 Транзакції'!$B$5:$B$3623,A442,'📋 Транзакції'!$C$5:$C$3623,"&gt;="&amp;EDATE(DATEVALUE(C442&amp;"-01"),6),'📋 Транзакції'!$C$5:$C$3623,"&lt;"&amp;EDATE(DATEVALUE(C442&amp;"-01"),7))&gt;0,1,0)</f>
        <v>0</v>
      </c>
      <c r="N442" s="37">
        <f>IF(COUNTIFS('📋 Транзакції'!$B$5:$B$3623,A442,'📋 Транзакції'!$C$5:$C$3623,"&gt;="&amp;EDATE(DATEVALUE(C442&amp;"-01"),7),'📋 Транзакції'!$C$5:$C$3623,"&lt;"&amp;EDATE(DATEVALUE(C442&amp;"-01"),8))&gt;0,1,0)</f>
        <v>0</v>
      </c>
      <c r="O442" s="37">
        <f>IF(COUNTIFS('📋 Транзакції'!$B$5:$B$3623,A442,'📋 Транзакції'!$C$5:$C$3623,"&gt;="&amp;EDATE(DATEVALUE(C442&amp;"-01"),8),'📋 Транзакції'!$C$5:$C$3623,"&lt;"&amp;EDATE(DATEVALUE(C442&amp;"-01"),9))&gt;0,1,0)</f>
        <v>0</v>
      </c>
      <c r="P442" s="37">
        <f>IF(COUNTIFS('📋 Транзакції'!$B$5:$B$3623,A442,'📋 Транзакції'!$C$5:$C$3623,"&gt;="&amp;EDATE(DATEVALUE(C442&amp;"-01"),9),'📋 Транзакції'!$C$5:$C$3623,"&lt;"&amp;EDATE(DATEVALUE(C442&amp;"-01"),10))&gt;0,1,0)</f>
        <v>0</v>
      </c>
      <c r="Q442" s="37">
        <f>IF(COUNTIFS('📋 Транзакції'!$B$5:$B$3623,A442,'📋 Транзакції'!$C$5:$C$3623,"&gt;="&amp;EDATE(DATEVALUE(C442&amp;"-01"),10),'📋 Транзакції'!$C$5:$C$3623,"&lt;"&amp;EDATE(DATEVALUE(C442&amp;"-01"),11))&gt;0,1,0)</f>
        <v>0</v>
      </c>
      <c r="R442" s="37">
        <f>IF(COUNTIFS('📋 Транзакції'!$B$5:$B$3623,A442,'📋 Транзакції'!$C$5:$C$3623,"&gt;="&amp;EDATE(DATEVALUE(C442&amp;"-01"),11),'📋 Транзакції'!$C$5:$C$3623,"&lt;"&amp;EDATE(DATEVALUE(C442&amp;"-01"),12))&gt;0,1,0)</f>
        <v>0</v>
      </c>
      <c r="S442" s="37">
        <f>SUMIFS('📋 Транзакції'!$F$5:$F$3623,'📋 Транзакції'!$B$5:$B$3623,A442,'📋 Транзакції'!$C$5:$C$3623,"&gt;="&amp;EDATE(DATEVALUE(C442&amp;"-01"),0),'📋 Транзакції'!$C$5:$C$3623,"&lt;"&amp;EDATE(DATEVALUE(C442&amp;"-01"),1))</f>
        <v>19.99</v>
      </c>
      <c r="T442" s="37">
        <f>SUMIFS('📋 Транзакції'!$F$5:$F$3623,'📋 Транзакції'!$B$5:$B$3623,A442,'📋 Транзакції'!$C$5:$C$3623,"&gt;="&amp;EDATE(DATEVALUE(C442&amp;"-01"),1),'📋 Транзакції'!$C$5:$C$3623,"&lt;"&amp;EDATE(DATEVALUE(C442&amp;"-01"),2))</f>
        <v>19.99</v>
      </c>
      <c r="U442" s="37">
        <f>SUMIFS('📋 Транзакції'!$F$5:$F$3623,'📋 Транзакції'!$B$5:$B$3623,A442,'📋 Транзакції'!$C$5:$C$3623,"&gt;="&amp;EDATE(DATEVALUE(C442&amp;"-01"),2),'📋 Транзакції'!$C$5:$C$3623,"&lt;"&amp;EDATE(DATEVALUE(C442&amp;"-01"),3))</f>
        <v>19.99</v>
      </c>
      <c r="V442" s="37">
        <f>SUMIFS('📋 Транзакції'!$F$5:$F$3623,'📋 Транзакції'!$B$5:$B$3623,A442,'📋 Транзакції'!$C$5:$C$3623,"&gt;="&amp;EDATE(DATEVALUE(C442&amp;"-01"),3),'📋 Транзакції'!$C$5:$C$3623,"&lt;"&amp;EDATE(DATEVALUE(C442&amp;"-01"),4))</f>
        <v>19.99</v>
      </c>
      <c r="W442" s="37">
        <f>SUMIFS('📋 Транзакції'!$F$5:$F$3623,'📋 Транзакції'!$B$5:$B$3623,A442,'📋 Транзакції'!$C$5:$C$3623,"&gt;="&amp;EDATE(DATEVALUE(C442&amp;"-01"),4),'📋 Транзакції'!$C$5:$C$3623,"&lt;"&amp;EDATE(DATEVALUE(C442&amp;"-01"),5))</f>
        <v>0</v>
      </c>
      <c r="X442" s="37">
        <f>SUMIFS('📋 Транзакції'!$F$5:$F$3623,'📋 Транзакції'!$B$5:$B$3623,A442,'📋 Транзакції'!$C$5:$C$3623,"&gt;="&amp;EDATE(DATEVALUE(C442&amp;"-01"),5),'📋 Транзакції'!$C$5:$C$3623,"&lt;"&amp;EDATE(DATEVALUE(C442&amp;"-01"),6))</f>
        <v>0</v>
      </c>
      <c r="Y442" s="37">
        <f>SUMIFS('📋 Транзакції'!$F$5:$F$3623,'📋 Транзакції'!$B$5:$B$3623,A442,'📋 Транзакції'!$C$5:$C$3623,"&gt;="&amp;EDATE(DATEVALUE(C442&amp;"-01"),6),'📋 Транзакції'!$C$5:$C$3623,"&lt;"&amp;EDATE(DATEVALUE(C442&amp;"-01"),7))</f>
        <v>0</v>
      </c>
      <c r="Z442" s="37">
        <f>SUMIFS('📋 Транзакції'!$F$5:$F$3623,'📋 Транзакції'!$B$5:$B$3623,A442,'📋 Транзакції'!$C$5:$C$3623,"&gt;="&amp;EDATE(DATEVALUE(C442&amp;"-01"),7),'📋 Транзакції'!$C$5:$C$3623,"&lt;"&amp;EDATE(DATEVALUE(C442&amp;"-01"),8))</f>
        <v>0</v>
      </c>
      <c r="AA442" s="37">
        <f>SUMIFS('📋 Транзакції'!$F$5:$F$3623,'📋 Транзакції'!$B$5:$B$3623,A442,'📋 Транзакції'!$C$5:$C$3623,"&gt;="&amp;EDATE(DATEVALUE(C442&amp;"-01"),8),'📋 Транзакції'!$C$5:$C$3623,"&lt;"&amp;EDATE(DATEVALUE(C442&amp;"-01"),9))</f>
        <v>0</v>
      </c>
      <c r="AB442" s="37">
        <f>SUMIFS('📋 Транзакції'!$F$5:$F$3623,'📋 Транзакції'!$B$5:$B$3623,A442,'📋 Транзакції'!$C$5:$C$3623,"&gt;="&amp;EDATE(DATEVALUE(C442&amp;"-01"),9),'📋 Транзакції'!$C$5:$C$3623,"&lt;"&amp;EDATE(DATEVALUE(C442&amp;"-01"),10))</f>
        <v>0</v>
      </c>
      <c r="AC442" s="37">
        <f>SUMIFS('📋 Транзакції'!$F$5:$F$3623,'📋 Транзакції'!$B$5:$B$3623,A442,'📋 Транзакції'!$C$5:$C$3623,"&gt;="&amp;EDATE(DATEVALUE(C442&amp;"-01"),10),'📋 Транзакції'!$C$5:$C$3623,"&lt;"&amp;EDATE(DATEVALUE(C442&amp;"-01"),11))</f>
        <v>0</v>
      </c>
      <c r="AD442" s="37">
        <f>SUMIFS('📋 Транзакції'!$F$5:$F$3623,'📋 Транзакції'!$B$5:$B$3623,A442,'📋 Транзакції'!$C$5:$C$3623,"&gt;="&amp;EDATE(DATEVALUE(C442&amp;"-01"),11),'📋 Транзакції'!$C$5:$C$3623,"&lt;"&amp;EDATE(DATEVALUE(C442&amp;"-01"),12))</f>
        <v>0</v>
      </c>
    </row>
    <row r="443" ht="15.75" customHeight="1">
      <c r="A443" s="33" t="str">
        <f>'📋 Реєстрації'!A443:A1044</f>
        <v>U0088</v>
      </c>
      <c r="B443" s="34">
        <f t="array" ref="B443">INDEX('📋 Транзакції'!$C$5:$C$3623,MATCH(A443,'📋 Транзакції'!$B$5:$B$3623,0))</f>
        <v>45646</v>
      </c>
      <c r="C443" s="35" t="str">
        <f t="shared" si="1"/>
        <v>2024-12</v>
      </c>
      <c r="D443" s="36">
        <f>COUNTIF('📋 Транзакції'!$B$5:$B$3623,A443)</f>
        <v>5</v>
      </c>
      <c r="E443" s="36">
        <f>SUMIF('📋 Транзакції'!$B$5:$B$3623,A443,'📋 Транзакції'!$F$5:$F$3623)</f>
        <v>79.96</v>
      </c>
      <c r="F443" s="35">
        <f>INT($A$1-MAXIFS('📋 Транзакції'!$C$5:$C$3623,'📋 Транзакції'!$B$5:$B$3623,A443))</f>
        <v>4</v>
      </c>
      <c r="G443" s="37">
        <f>IF(COUNTIFS('📋 Транзакції'!$B$5:$B$3623,A443,'📋 Транзакції'!$C$5:$C$3623,"&gt;="&amp;EDATE(DATEVALUE(C443&amp;"-01"),0),'📋 Транзакції'!$C$5:$C$3623,"&lt;"&amp;EDATE(DATEVALUE(C443&amp;"-01"),1))&gt;0,1,0)</f>
        <v>1</v>
      </c>
      <c r="H443" s="37">
        <f>IF(COUNTIFS('📋 Транзакції'!$B$5:$B$3623,A443,'📋 Транзакції'!$C$5:$C$3623,"&gt;="&amp;EDATE(DATEVALUE(C443&amp;"-01"),1),'📋 Транзакції'!$C$5:$C$3623,"&lt;"&amp;EDATE(DATEVALUE(C443&amp;"-01"),2))&gt;0,1,0)</f>
        <v>1</v>
      </c>
      <c r="I443" s="37">
        <f>IF(COUNTIFS('📋 Транзакції'!$B$5:$B$3623,A443,'📋 Транзакції'!$C$5:$C$3623,"&gt;="&amp;EDATE(DATEVALUE(C443&amp;"-01"),2),'📋 Транзакції'!$C$5:$C$3623,"&lt;"&amp;EDATE(DATEVALUE(C443&amp;"-01"),3))&gt;0,1,0)</f>
        <v>1</v>
      </c>
      <c r="J443" s="37">
        <f>IF(COUNTIFS('📋 Транзакції'!$B$5:$B$3623,A443,'📋 Транзакції'!$C$5:$C$3623,"&gt;="&amp;EDATE(DATEVALUE(C443&amp;"-01"),3),'📋 Транзакції'!$C$5:$C$3623,"&lt;"&amp;EDATE(DATEVALUE(C443&amp;"-01"),4))&gt;0,1,0)</f>
        <v>1</v>
      </c>
      <c r="K443" s="37">
        <f>IF(COUNTIFS('📋 Транзакції'!$B$5:$B$3623,A443,'📋 Транзакції'!$C$5:$C$3623,"&gt;="&amp;EDATE(DATEVALUE(C443&amp;"-01"),4),'📋 Транзакції'!$C$5:$C$3623,"&lt;"&amp;EDATE(DATEVALUE(C443&amp;"-01"),5))&gt;0,1,0)</f>
        <v>0</v>
      </c>
      <c r="L443" s="37">
        <f>IF(COUNTIFS('📋 Транзакції'!$B$5:$B$3623,A443,'📋 Транзакції'!$C$5:$C$3623,"&gt;="&amp;EDATE(DATEVALUE(C443&amp;"-01"),5),'📋 Транзакції'!$C$5:$C$3623,"&lt;"&amp;EDATE(DATEVALUE(C443&amp;"-01"),6))&gt;0,1,0)</f>
        <v>0</v>
      </c>
      <c r="M443" s="37">
        <f>IF(COUNTIFS('📋 Транзакції'!$B$5:$B$3623,A443,'📋 Транзакції'!$C$5:$C$3623,"&gt;="&amp;EDATE(DATEVALUE(C443&amp;"-01"),6),'📋 Транзакції'!$C$5:$C$3623,"&lt;"&amp;EDATE(DATEVALUE(C443&amp;"-01"),7))&gt;0,1,0)</f>
        <v>0</v>
      </c>
      <c r="N443" s="37">
        <f>IF(COUNTIFS('📋 Транзакції'!$B$5:$B$3623,A443,'📋 Транзакції'!$C$5:$C$3623,"&gt;="&amp;EDATE(DATEVALUE(C443&amp;"-01"),7),'📋 Транзакції'!$C$5:$C$3623,"&lt;"&amp;EDATE(DATEVALUE(C443&amp;"-01"),8))&gt;0,1,0)</f>
        <v>0</v>
      </c>
      <c r="O443" s="37">
        <f>IF(COUNTIFS('📋 Транзакції'!$B$5:$B$3623,A443,'📋 Транзакції'!$C$5:$C$3623,"&gt;="&amp;EDATE(DATEVALUE(C443&amp;"-01"),8),'📋 Транзакції'!$C$5:$C$3623,"&lt;"&amp;EDATE(DATEVALUE(C443&amp;"-01"),9))&gt;0,1,0)</f>
        <v>0</v>
      </c>
      <c r="P443" s="37">
        <f>IF(COUNTIFS('📋 Транзакції'!$B$5:$B$3623,A443,'📋 Транзакції'!$C$5:$C$3623,"&gt;="&amp;EDATE(DATEVALUE(C443&amp;"-01"),9),'📋 Транзакції'!$C$5:$C$3623,"&lt;"&amp;EDATE(DATEVALUE(C443&amp;"-01"),10))&gt;0,1,0)</f>
        <v>0</v>
      </c>
      <c r="Q443" s="37">
        <f>IF(COUNTIFS('📋 Транзакції'!$B$5:$B$3623,A443,'📋 Транзакції'!$C$5:$C$3623,"&gt;="&amp;EDATE(DATEVALUE(C443&amp;"-01"),10),'📋 Транзакції'!$C$5:$C$3623,"&lt;"&amp;EDATE(DATEVALUE(C443&amp;"-01"),11))&gt;0,1,0)</f>
        <v>0</v>
      </c>
      <c r="R443" s="37">
        <f>IF(COUNTIFS('📋 Транзакції'!$B$5:$B$3623,A443,'📋 Транзакції'!$C$5:$C$3623,"&gt;="&amp;EDATE(DATEVALUE(C443&amp;"-01"),11),'📋 Транзакції'!$C$5:$C$3623,"&lt;"&amp;EDATE(DATEVALUE(C443&amp;"-01"),12))&gt;0,1,0)</f>
        <v>0</v>
      </c>
      <c r="S443" s="37">
        <f>SUMIFS('📋 Транзакції'!$F$5:$F$3623,'📋 Транзакції'!$B$5:$B$3623,A443,'📋 Транзакції'!$C$5:$C$3623,"&gt;="&amp;EDATE(DATEVALUE(C443&amp;"-01"),0),'📋 Транзакції'!$C$5:$C$3623,"&lt;"&amp;EDATE(DATEVALUE(C443&amp;"-01"),1))</f>
        <v>19.99</v>
      </c>
      <c r="T443" s="37">
        <f>SUMIFS('📋 Транзакції'!$F$5:$F$3623,'📋 Транзакції'!$B$5:$B$3623,A443,'📋 Транзакції'!$C$5:$C$3623,"&gt;="&amp;EDATE(DATEVALUE(C443&amp;"-01"),1),'📋 Транзакції'!$C$5:$C$3623,"&lt;"&amp;EDATE(DATEVALUE(C443&amp;"-01"),2))</f>
        <v>19.99</v>
      </c>
      <c r="U443" s="37">
        <f>SUMIFS('📋 Транзакції'!$F$5:$F$3623,'📋 Транзакції'!$B$5:$B$3623,A443,'📋 Транзакції'!$C$5:$C$3623,"&gt;="&amp;EDATE(DATEVALUE(C443&amp;"-01"),2),'📋 Транзакції'!$C$5:$C$3623,"&lt;"&amp;EDATE(DATEVALUE(C443&amp;"-01"),3))</f>
        <v>19.99</v>
      </c>
      <c r="V443" s="37">
        <f>SUMIFS('📋 Транзакції'!$F$5:$F$3623,'📋 Транзакції'!$B$5:$B$3623,A443,'📋 Транзакції'!$C$5:$C$3623,"&gt;="&amp;EDATE(DATEVALUE(C443&amp;"-01"),3),'📋 Транзакції'!$C$5:$C$3623,"&lt;"&amp;EDATE(DATEVALUE(C443&amp;"-01"),4))</f>
        <v>19.99</v>
      </c>
      <c r="W443" s="37">
        <f>SUMIFS('📋 Транзакції'!$F$5:$F$3623,'📋 Транзакції'!$B$5:$B$3623,A443,'📋 Транзакції'!$C$5:$C$3623,"&gt;="&amp;EDATE(DATEVALUE(C443&amp;"-01"),4),'📋 Транзакції'!$C$5:$C$3623,"&lt;"&amp;EDATE(DATEVALUE(C443&amp;"-01"),5))</f>
        <v>0</v>
      </c>
      <c r="X443" s="37">
        <f>SUMIFS('📋 Транзакції'!$F$5:$F$3623,'📋 Транзакції'!$B$5:$B$3623,A443,'📋 Транзакції'!$C$5:$C$3623,"&gt;="&amp;EDATE(DATEVALUE(C443&amp;"-01"),5),'📋 Транзакції'!$C$5:$C$3623,"&lt;"&amp;EDATE(DATEVALUE(C443&amp;"-01"),6))</f>
        <v>0</v>
      </c>
      <c r="Y443" s="37">
        <f>SUMIFS('📋 Транзакції'!$F$5:$F$3623,'📋 Транзакції'!$B$5:$B$3623,A443,'📋 Транзакції'!$C$5:$C$3623,"&gt;="&amp;EDATE(DATEVALUE(C443&amp;"-01"),6),'📋 Транзакції'!$C$5:$C$3623,"&lt;"&amp;EDATE(DATEVALUE(C443&amp;"-01"),7))</f>
        <v>0</v>
      </c>
      <c r="Z443" s="37">
        <f>SUMIFS('📋 Транзакції'!$F$5:$F$3623,'📋 Транзакції'!$B$5:$B$3623,A443,'📋 Транзакції'!$C$5:$C$3623,"&gt;="&amp;EDATE(DATEVALUE(C443&amp;"-01"),7),'📋 Транзакції'!$C$5:$C$3623,"&lt;"&amp;EDATE(DATEVALUE(C443&amp;"-01"),8))</f>
        <v>0</v>
      </c>
      <c r="AA443" s="37">
        <f>SUMIFS('📋 Транзакції'!$F$5:$F$3623,'📋 Транзакції'!$B$5:$B$3623,A443,'📋 Транзакції'!$C$5:$C$3623,"&gt;="&amp;EDATE(DATEVALUE(C443&amp;"-01"),8),'📋 Транзакції'!$C$5:$C$3623,"&lt;"&amp;EDATE(DATEVALUE(C443&amp;"-01"),9))</f>
        <v>0</v>
      </c>
      <c r="AB443" s="37">
        <f>SUMIFS('📋 Транзакції'!$F$5:$F$3623,'📋 Транзакції'!$B$5:$B$3623,A443,'📋 Транзакції'!$C$5:$C$3623,"&gt;="&amp;EDATE(DATEVALUE(C443&amp;"-01"),9),'📋 Транзакції'!$C$5:$C$3623,"&lt;"&amp;EDATE(DATEVALUE(C443&amp;"-01"),10))</f>
        <v>0</v>
      </c>
      <c r="AC443" s="37">
        <f>SUMIFS('📋 Транзакції'!$F$5:$F$3623,'📋 Транзакції'!$B$5:$B$3623,A443,'📋 Транзакції'!$C$5:$C$3623,"&gt;="&amp;EDATE(DATEVALUE(C443&amp;"-01"),10),'📋 Транзакції'!$C$5:$C$3623,"&lt;"&amp;EDATE(DATEVALUE(C443&amp;"-01"),11))</f>
        <v>0</v>
      </c>
      <c r="AD443" s="37">
        <f>SUMIFS('📋 Транзакції'!$F$5:$F$3623,'📋 Транзакції'!$B$5:$B$3623,A443,'📋 Транзакції'!$C$5:$C$3623,"&gt;="&amp;EDATE(DATEVALUE(C443&amp;"-01"),11),'📋 Транзакції'!$C$5:$C$3623,"&lt;"&amp;EDATE(DATEVALUE(C443&amp;"-01"),12))</f>
        <v>0</v>
      </c>
    </row>
    <row r="444" ht="15.75" customHeight="1">
      <c r="A444" s="33" t="str">
        <f>'📋 Реєстрації'!A444:A1045</f>
        <v>U0219</v>
      </c>
      <c r="B444" s="34">
        <f t="array" ref="B444">INDEX('📋 Транзакції'!$C$5:$C$3623,MATCH(A444,'📋 Транзакції'!$B$5:$B$3623,0))</f>
        <v>45646</v>
      </c>
      <c r="C444" s="35" t="str">
        <f t="shared" si="1"/>
        <v>2024-12</v>
      </c>
      <c r="D444" s="36">
        <f>COUNTIF('📋 Транзакції'!$B$5:$B$3623,A444)</f>
        <v>3</v>
      </c>
      <c r="E444" s="36">
        <f>SUMIF('📋 Транзакції'!$B$5:$B$3623,A444,'📋 Транзакції'!$F$5:$F$3623)</f>
        <v>39.98</v>
      </c>
      <c r="F444" s="35">
        <f>INT($A$1-MAXIFS('📋 Транзакції'!$C$5:$C$3623,'📋 Транзакції'!$B$5:$B$3623,A444))</f>
        <v>64</v>
      </c>
      <c r="G444" s="37">
        <f>IF(COUNTIFS('📋 Транзакції'!$B$5:$B$3623,A444,'📋 Транзакції'!$C$5:$C$3623,"&gt;="&amp;EDATE(DATEVALUE(C444&amp;"-01"),0),'📋 Транзакції'!$C$5:$C$3623,"&lt;"&amp;EDATE(DATEVALUE(C444&amp;"-01"),1))&gt;0,1,0)</f>
        <v>1</v>
      </c>
      <c r="H444" s="37">
        <f>IF(COUNTIFS('📋 Транзакції'!$B$5:$B$3623,A444,'📋 Транзакції'!$C$5:$C$3623,"&gt;="&amp;EDATE(DATEVALUE(C444&amp;"-01"),1),'📋 Транзакції'!$C$5:$C$3623,"&lt;"&amp;EDATE(DATEVALUE(C444&amp;"-01"),2))&gt;0,1,0)</f>
        <v>1</v>
      </c>
      <c r="I444" s="37">
        <f>IF(COUNTIFS('📋 Транзакції'!$B$5:$B$3623,A444,'📋 Транзакції'!$C$5:$C$3623,"&gt;="&amp;EDATE(DATEVALUE(C444&amp;"-01"),2),'📋 Транзакції'!$C$5:$C$3623,"&lt;"&amp;EDATE(DATEVALUE(C444&amp;"-01"),3))&gt;0,1,0)</f>
        <v>0</v>
      </c>
      <c r="J444" s="37">
        <f>IF(COUNTIFS('📋 Транзакції'!$B$5:$B$3623,A444,'📋 Транзакції'!$C$5:$C$3623,"&gt;="&amp;EDATE(DATEVALUE(C444&amp;"-01"),3),'📋 Транзакції'!$C$5:$C$3623,"&lt;"&amp;EDATE(DATEVALUE(C444&amp;"-01"),4))&gt;0,1,0)</f>
        <v>0</v>
      </c>
      <c r="K444" s="37">
        <f>IF(COUNTIFS('📋 Транзакції'!$B$5:$B$3623,A444,'📋 Транзакції'!$C$5:$C$3623,"&gt;="&amp;EDATE(DATEVALUE(C444&amp;"-01"),4),'📋 Транзакції'!$C$5:$C$3623,"&lt;"&amp;EDATE(DATEVALUE(C444&amp;"-01"),5))&gt;0,1,0)</f>
        <v>0</v>
      </c>
      <c r="L444" s="37">
        <f>IF(COUNTIFS('📋 Транзакції'!$B$5:$B$3623,A444,'📋 Транзакції'!$C$5:$C$3623,"&gt;="&amp;EDATE(DATEVALUE(C444&amp;"-01"),5),'📋 Транзакції'!$C$5:$C$3623,"&lt;"&amp;EDATE(DATEVALUE(C444&amp;"-01"),6))&gt;0,1,0)</f>
        <v>0</v>
      </c>
      <c r="M444" s="37">
        <f>IF(COUNTIFS('📋 Транзакції'!$B$5:$B$3623,A444,'📋 Транзакції'!$C$5:$C$3623,"&gt;="&amp;EDATE(DATEVALUE(C444&amp;"-01"),6),'📋 Транзакції'!$C$5:$C$3623,"&lt;"&amp;EDATE(DATEVALUE(C444&amp;"-01"),7))&gt;0,1,0)</f>
        <v>0</v>
      </c>
      <c r="N444" s="37">
        <f>IF(COUNTIFS('📋 Транзакції'!$B$5:$B$3623,A444,'📋 Транзакції'!$C$5:$C$3623,"&gt;="&amp;EDATE(DATEVALUE(C444&amp;"-01"),7),'📋 Транзакції'!$C$5:$C$3623,"&lt;"&amp;EDATE(DATEVALUE(C444&amp;"-01"),8))&gt;0,1,0)</f>
        <v>0</v>
      </c>
      <c r="O444" s="37">
        <f>IF(COUNTIFS('📋 Транзакції'!$B$5:$B$3623,A444,'📋 Транзакції'!$C$5:$C$3623,"&gt;="&amp;EDATE(DATEVALUE(C444&amp;"-01"),8),'📋 Транзакції'!$C$5:$C$3623,"&lt;"&amp;EDATE(DATEVALUE(C444&amp;"-01"),9))&gt;0,1,0)</f>
        <v>0</v>
      </c>
      <c r="P444" s="37">
        <f>IF(COUNTIFS('📋 Транзакції'!$B$5:$B$3623,A444,'📋 Транзакції'!$C$5:$C$3623,"&gt;="&amp;EDATE(DATEVALUE(C444&amp;"-01"),9),'📋 Транзакції'!$C$5:$C$3623,"&lt;"&amp;EDATE(DATEVALUE(C444&amp;"-01"),10))&gt;0,1,0)</f>
        <v>0</v>
      </c>
      <c r="Q444" s="37">
        <f>IF(COUNTIFS('📋 Транзакції'!$B$5:$B$3623,A444,'📋 Транзакції'!$C$5:$C$3623,"&gt;="&amp;EDATE(DATEVALUE(C444&amp;"-01"),10),'📋 Транзакції'!$C$5:$C$3623,"&lt;"&amp;EDATE(DATEVALUE(C444&amp;"-01"),11))&gt;0,1,0)</f>
        <v>0</v>
      </c>
      <c r="R444" s="37">
        <f>IF(COUNTIFS('📋 Транзакції'!$B$5:$B$3623,A444,'📋 Транзакції'!$C$5:$C$3623,"&gt;="&amp;EDATE(DATEVALUE(C444&amp;"-01"),11),'📋 Транзакції'!$C$5:$C$3623,"&lt;"&amp;EDATE(DATEVALUE(C444&amp;"-01"),12))&gt;0,1,0)</f>
        <v>0</v>
      </c>
      <c r="S444" s="37">
        <f>SUMIFS('📋 Транзакції'!$F$5:$F$3623,'📋 Транзакції'!$B$5:$B$3623,A444,'📋 Транзакції'!$C$5:$C$3623,"&gt;="&amp;EDATE(DATEVALUE(C444&amp;"-01"),0),'📋 Транзакції'!$C$5:$C$3623,"&lt;"&amp;EDATE(DATEVALUE(C444&amp;"-01"),1))</f>
        <v>19.99</v>
      </c>
      <c r="T444" s="37">
        <f>SUMIFS('📋 Транзакції'!$F$5:$F$3623,'📋 Транзакції'!$B$5:$B$3623,A444,'📋 Транзакції'!$C$5:$C$3623,"&gt;="&amp;EDATE(DATEVALUE(C444&amp;"-01"),1),'📋 Транзакції'!$C$5:$C$3623,"&lt;"&amp;EDATE(DATEVALUE(C444&amp;"-01"),2))</f>
        <v>19.99</v>
      </c>
      <c r="U444" s="37">
        <f>SUMIFS('📋 Транзакції'!$F$5:$F$3623,'📋 Транзакції'!$B$5:$B$3623,A444,'📋 Транзакції'!$C$5:$C$3623,"&gt;="&amp;EDATE(DATEVALUE(C444&amp;"-01"),2),'📋 Транзакції'!$C$5:$C$3623,"&lt;"&amp;EDATE(DATEVALUE(C444&amp;"-01"),3))</f>
        <v>0</v>
      </c>
      <c r="V444" s="37">
        <f>SUMIFS('📋 Транзакції'!$F$5:$F$3623,'📋 Транзакції'!$B$5:$B$3623,A444,'📋 Транзакції'!$C$5:$C$3623,"&gt;="&amp;EDATE(DATEVALUE(C444&amp;"-01"),3),'📋 Транзакції'!$C$5:$C$3623,"&lt;"&amp;EDATE(DATEVALUE(C444&amp;"-01"),4))</f>
        <v>0</v>
      </c>
      <c r="W444" s="37">
        <f>SUMIFS('📋 Транзакції'!$F$5:$F$3623,'📋 Транзакції'!$B$5:$B$3623,A444,'📋 Транзакції'!$C$5:$C$3623,"&gt;="&amp;EDATE(DATEVALUE(C444&amp;"-01"),4),'📋 Транзакції'!$C$5:$C$3623,"&lt;"&amp;EDATE(DATEVALUE(C444&amp;"-01"),5))</f>
        <v>0</v>
      </c>
      <c r="X444" s="37">
        <f>SUMIFS('📋 Транзакції'!$F$5:$F$3623,'📋 Транзакції'!$B$5:$B$3623,A444,'📋 Транзакції'!$C$5:$C$3623,"&gt;="&amp;EDATE(DATEVALUE(C444&amp;"-01"),5),'📋 Транзакції'!$C$5:$C$3623,"&lt;"&amp;EDATE(DATEVALUE(C444&amp;"-01"),6))</f>
        <v>0</v>
      </c>
      <c r="Y444" s="37">
        <f>SUMIFS('📋 Транзакції'!$F$5:$F$3623,'📋 Транзакції'!$B$5:$B$3623,A444,'📋 Транзакції'!$C$5:$C$3623,"&gt;="&amp;EDATE(DATEVALUE(C444&amp;"-01"),6),'📋 Транзакції'!$C$5:$C$3623,"&lt;"&amp;EDATE(DATEVALUE(C444&amp;"-01"),7))</f>
        <v>0</v>
      </c>
      <c r="Z444" s="37">
        <f>SUMIFS('📋 Транзакції'!$F$5:$F$3623,'📋 Транзакції'!$B$5:$B$3623,A444,'📋 Транзакції'!$C$5:$C$3623,"&gt;="&amp;EDATE(DATEVALUE(C444&amp;"-01"),7),'📋 Транзакції'!$C$5:$C$3623,"&lt;"&amp;EDATE(DATEVALUE(C444&amp;"-01"),8))</f>
        <v>0</v>
      </c>
      <c r="AA444" s="37">
        <f>SUMIFS('📋 Транзакції'!$F$5:$F$3623,'📋 Транзакції'!$B$5:$B$3623,A444,'📋 Транзакції'!$C$5:$C$3623,"&gt;="&amp;EDATE(DATEVALUE(C444&amp;"-01"),8),'📋 Транзакції'!$C$5:$C$3623,"&lt;"&amp;EDATE(DATEVALUE(C444&amp;"-01"),9))</f>
        <v>0</v>
      </c>
      <c r="AB444" s="37">
        <f>SUMIFS('📋 Транзакції'!$F$5:$F$3623,'📋 Транзакції'!$B$5:$B$3623,A444,'📋 Транзакції'!$C$5:$C$3623,"&gt;="&amp;EDATE(DATEVALUE(C444&amp;"-01"),9),'📋 Транзакції'!$C$5:$C$3623,"&lt;"&amp;EDATE(DATEVALUE(C444&amp;"-01"),10))</f>
        <v>0</v>
      </c>
      <c r="AC444" s="37">
        <f>SUMIFS('📋 Транзакції'!$F$5:$F$3623,'📋 Транзакції'!$B$5:$B$3623,A444,'📋 Транзакції'!$C$5:$C$3623,"&gt;="&amp;EDATE(DATEVALUE(C444&amp;"-01"),10),'📋 Транзакції'!$C$5:$C$3623,"&lt;"&amp;EDATE(DATEVALUE(C444&amp;"-01"),11))</f>
        <v>0</v>
      </c>
      <c r="AD444" s="37">
        <f>SUMIFS('📋 Транзакції'!$F$5:$F$3623,'📋 Транзакції'!$B$5:$B$3623,A444,'📋 Транзакції'!$C$5:$C$3623,"&gt;="&amp;EDATE(DATEVALUE(C444&amp;"-01"),11),'📋 Транзакції'!$C$5:$C$3623,"&lt;"&amp;EDATE(DATEVALUE(C444&amp;"-01"),12))</f>
        <v>0</v>
      </c>
    </row>
    <row r="445" ht="15.75" customHeight="1">
      <c r="A445" s="33" t="str">
        <f>'📋 Реєстрації'!A445:A1046</f>
        <v>U0374</v>
      </c>
      <c r="B445" s="34">
        <f t="array" ref="B445">INDEX('📋 Транзакції'!$C$5:$C$3623,MATCH(A445,'📋 Транзакції'!$B$5:$B$3623,0))</f>
        <v>45646</v>
      </c>
      <c r="C445" s="35" t="str">
        <f t="shared" si="1"/>
        <v>2024-12</v>
      </c>
      <c r="D445" s="36">
        <f>COUNTIF('📋 Транзакції'!$B$5:$B$3623,A445)</f>
        <v>5</v>
      </c>
      <c r="E445" s="36">
        <f>SUMIF('📋 Транзакції'!$B$5:$B$3623,A445,'📋 Транзакції'!$F$5:$F$3623)</f>
        <v>79.96</v>
      </c>
      <c r="F445" s="35">
        <f>INT($A$1-MAXIFS('📋 Транзакції'!$C$5:$C$3623,'📋 Транзакції'!$B$5:$B$3623,A445))</f>
        <v>4</v>
      </c>
      <c r="G445" s="37">
        <f>IF(COUNTIFS('📋 Транзакції'!$B$5:$B$3623,A445,'📋 Транзакції'!$C$5:$C$3623,"&gt;="&amp;EDATE(DATEVALUE(C445&amp;"-01"),0),'📋 Транзакції'!$C$5:$C$3623,"&lt;"&amp;EDATE(DATEVALUE(C445&amp;"-01"),1))&gt;0,1,0)</f>
        <v>1</v>
      </c>
      <c r="H445" s="37">
        <f>IF(COUNTIFS('📋 Транзакції'!$B$5:$B$3623,A445,'📋 Транзакції'!$C$5:$C$3623,"&gt;="&amp;EDATE(DATEVALUE(C445&amp;"-01"),1),'📋 Транзакції'!$C$5:$C$3623,"&lt;"&amp;EDATE(DATEVALUE(C445&amp;"-01"),2))&gt;0,1,0)</f>
        <v>1</v>
      </c>
      <c r="I445" s="37">
        <f>IF(COUNTIFS('📋 Транзакції'!$B$5:$B$3623,A445,'📋 Транзакції'!$C$5:$C$3623,"&gt;="&amp;EDATE(DATEVALUE(C445&amp;"-01"),2),'📋 Транзакції'!$C$5:$C$3623,"&lt;"&amp;EDATE(DATEVALUE(C445&amp;"-01"),3))&gt;0,1,0)</f>
        <v>1</v>
      </c>
      <c r="J445" s="37">
        <f>IF(COUNTIFS('📋 Транзакції'!$B$5:$B$3623,A445,'📋 Транзакції'!$C$5:$C$3623,"&gt;="&amp;EDATE(DATEVALUE(C445&amp;"-01"),3),'📋 Транзакції'!$C$5:$C$3623,"&lt;"&amp;EDATE(DATEVALUE(C445&amp;"-01"),4))&gt;0,1,0)</f>
        <v>1</v>
      </c>
      <c r="K445" s="37">
        <f>IF(COUNTIFS('📋 Транзакції'!$B$5:$B$3623,A445,'📋 Транзакції'!$C$5:$C$3623,"&gt;="&amp;EDATE(DATEVALUE(C445&amp;"-01"),4),'📋 Транзакції'!$C$5:$C$3623,"&lt;"&amp;EDATE(DATEVALUE(C445&amp;"-01"),5))&gt;0,1,0)</f>
        <v>0</v>
      </c>
      <c r="L445" s="37">
        <f>IF(COUNTIFS('📋 Транзакції'!$B$5:$B$3623,A445,'📋 Транзакції'!$C$5:$C$3623,"&gt;="&amp;EDATE(DATEVALUE(C445&amp;"-01"),5),'📋 Транзакції'!$C$5:$C$3623,"&lt;"&amp;EDATE(DATEVALUE(C445&amp;"-01"),6))&gt;0,1,0)</f>
        <v>0</v>
      </c>
      <c r="M445" s="37">
        <f>IF(COUNTIFS('📋 Транзакції'!$B$5:$B$3623,A445,'📋 Транзакції'!$C$5:$C$3623,"&gt;="&amp;EDATE(DATEVALUE(C445&amp;"-01"),6),'📋 Транзакції'!$C$5:$C$3623,"&lt;"&amp;EDATE(DATEVALUE(C445&amp;"-01"),7))&gt;0,1,0)</f>
        <v>0</v>
      </c>
      <c r="N445" s="37">
        <f>IF(COUNTIFS('📋 Транзакції'!$B$5:$B$3623,A445,'📋 Транзакції'!$C$5:$C$3623,"&gt;="&amp;EDATE(DATEVALUE(C445&amp;"-01"),7),'📋 Транзакції'!$C$5:$C$3623,"&lt;"&amp;EDATE(DATEVALUE(C445&amp;"-01"),8))&gt;0,1,0)</f>
        <v>0</v>
      </c>
      <c r="O445" s="37">
        <f>IF(COUNTIFS('📋 Транзакції'!$B$5:$B$3623,A445,'📋 Транзакції'!$C$5:$C$3623,"&gt;="&amp;EDATE(DATEVALUE(C445&amp;"-01"),8),'📋 Транзакції'!$C$5:$C$3623,"&lt;"&amp;EDATE(DATEVALUE(C445&amp;"-01"),9))&gt;0,1,0)</f>
        <v>0</v>
      </c>
      <c r="P445" s="37">
        <f>IF(COUNTIFS('📋 Транзакції'!$B$5:$B$3623,A445,'📋 Транзакції'!$C$5:$C$3623,"&gt;="&amp;EDATE(DATEVALUE(C445&amp;"-01"),9),'📋 Транзакції'!$C$5:$C$3623,"&lt;"&amp;EDATE(DATEVALUE(C445&amp;"-01"),10))&gt;0,1,0)</f>
        <v>0</v>
      </c>
      <c r="Q445" s="37">
        <f>IF(COUNTIFS('📋 Транзакції'!$B$5:$B$3623,A445,'📋 Транзакції'!$C$5:$C$3623,"&gt;="&amp;EDATE(DATEVALUE(C445&amp;"-01"),10),'📋 Транзакції'!$C$5:$C$3623,"&lt;"&amp;EDATE(DATEVALUE(C445&amp;"-01"),11))&gt;0,1,0)</f>
        <v>0</v>
      </c>
      <c r="R445" s="37">
        <f>IF(COUNTIFS('📋 Транзакції'!$B$5:$B$3623,A445,'📋 Транзакції'!$C$5:$C$3623,"&gt;="&amp;EDATE(DATEVALUE(C445&amp;"-01"),11),'📋 Транзакції'!$C$5:$C$3623,"&lt;"&amp;EDATE(DATEVALUE(C445&amp;"-01"),12))&gt;0,1,0)</f>
        <v>0</v>
      </c>
      <c r="S445" s="37">
        <f>SUMIFS('📋 Транзакції'!$F$5:$F$3623,'📋 Транзакції'!$B$5:$B$3623,A445,'📋 Транзакції'!$C$5:$C$3623,"&gt;="&amp;EDATE(DATEVALUE(C445&amp;"-01"),0),'📋 Транзакції'!$C$5:$C$3623,"&lt;"&amp;EDATE(DATEVALUE(C445&amp;"-01"),1))</f>
        <v>19.99</v>
      </c>
      <c r="T445" s="37">
        <f>SUMIFS('📋 Транзакції'!$F$5:$F$3623,'📋 Транзакції'!$B$5:$B$3623,A445,'📋 Транзакції'!$C$5:$C$3623,"&gt;="&amp;EDATE(DATEVALUE(C445&amp;"-01"),1),'📋 Транзакції'!$C$5:$C$3623,"&lt;"&amp;EDATE(DATEVALUE(C445&amp;"-01"),2))</f>
        <v>19.99</v>
      </c>
      <c r="U445" s="37">
        <f>SUMIFS('📋 Транзакції'!$F$5:$F$3623,'📋 Транзакції'!$B$5:$B$3623,A445,'📋 Транзакції'!$C$5:$C$3623,"&gt;="&amp;EDATE(DATEVALUE(C445&amp;"-01"),2),'📋 Транзакції'!$C$5:$C$3623,"&lt;"&amp;EDATE(DATEVALUE(C445&amp;"-01"),3))</f>
        <v>19.99</v>
      </c>
      <c r="V445" s="37">
        <f>SUMIFS('📋 Транзакції'!$F$5:$F$3623,'📋 Транзакції'!$B$5:$B$3623,A445,'📋 Транзакції'!$C$5:$C$3623,"&gt;="&amp;EDATE(DATEVALUE(C445&amp;"-01"),3),'📋 Транзакції'!$C$5:$C$3623,"&lt;"&amp;EDATE(DATEVALUE(C445&amp;"-01"),4))</f>
        <v>19.99</v>
      </c>
      <c r="W445" s="37">
        <f>SUMIFS('📋 Транзакції'!$F$5:$F$3623,'📋 Транзакції'!$B$5:$B$3623,A445,'📋 Транзакції'!$C$5:$C$3623,"&gt;="&amp;EDATE(DATEVALUE(C445&amp;"-01"),4),'📋 Транзакції'!$C$5:$C$3623,"&lt;"&amp;EDATE(DATEVALUE(C445&amp;"-01"),5))</f>
        <v>0</v>
      </c>
      <c r="X445" s="37">
        <f>SUMIFS('📋 Транзакції'!$F$5:$F$3623,'📋 Транзакції'!$B$5:$B$3623,A445,'📋 Транзакції'!$C$5:$C$3623,"&gt;="&amp;EDATE(DATEVALUE(C445&amp;"-01"),5),'📋 Транзакції'!$C$5:$C$3623,"&lt;"&amp;EDATE(DATEVALUE(C445&amp;"-01"),6))</f>
        <v>0</v>
      </c>
      <c r="Y445" s="37">
        <f>SUMIFS('📋 Транзакції'!$F$5:$F$3623,'📋 Транзакції'!$B$5:$B$3623,A445,'📋 Транзакції'!$C$5:$C$3623,"&gt;="&amp;EDATE(DATEVALUE(C445&amp;"-01"),6),'📋 Транзакції'!$C$5:$C$3623,"&lt;"&amp;EDATE(DATEVALUE(C445&amp;"-01"),7))</f>
        <v>0</v>
      </c>
      <c r="Z445" s="37">
        <f>SUMIFS('📋 Транзакції'!$F$5:$F$3623,'📋 Транзакції'!$B$5:$B$3623,A445,'📋 Транзакції'!$C$5:$C$3623,"&gt;="&amp;EDATE(DATEVALUE(C445&amp;"-01"),7),'📋 Транзакції'!$C$5:$C$3623,"&lt;"&amp;EDATE(DATEVALUE(C445&amp;"-01"),8))</f>
        <v>0</v>
      </c>
      <c r="AA445" s="37">
        <f>SUMIFS('📋 Транзакції'!$F$5:$F$3623,'📋 Транзакції'!$B$5:$B$3623,A445,'📋 Транзакції'!$C$5:$C$3623,"&gt;="&amp;EDATE(DATEVALUE(C445&amp;"-01"),8),'📋 Транзакції'!$C$5:$C$3623,"&lt;"&amp;EDATE(DATEVALUE(C445&amp;"-01"),9))</f>
        <v>0</v>
      </c>
      <c r="AB445" s="37">
        <f>SUMIFS('📋 Транзакції'!$F$5:$F$3623,'📋 Транзакції'!$B$5:$B$3623,A445,'📋 Транзакції'!$C$5:$C$3623,"&gt;="&amp;EDATE(DATEVALUE(C445&amp;"-01"),9),'📋 Транзакції'!$C$5:$C$3623,"&lt;"&amp;EDATE(DATEVALUE(C445&amp;"-01"),10))</f>
        <v>0</v>
      </c>
      <c r="AC445" s="37">
        <f>SUMIFS('📋 Транзакції'!$F$5:$F$3623,'📋 Транзакції'!$B$5:$B$3623,A445,'📋 Транзакції'!$C$5:$C$3623,"&gt;="&amp;EDATE(DATEVALUE(C445&amp;"-01"),10),'📋 Транзакції'!$C$5:$C$3623,"&lt;"&amp;EDATE(DATEVALUE(C445&amp;"-01"),11))</f>
        <v>0</v>
      </c>
      <c r="AD445" s="37">
        <f>SUMIFS('📋 Транзакції'!$F$5:$F$3623,'📋 Транзакції'!$B$5:$B$3623,A445,'📋 Транзакції'!$C$5:$C$3623,"&gt;="&amp;EDATE(DATEVALUE(C445&amp;"-01"),11),'📋 Транзакції'!$C$5:$C$3623,"&lt;"&amp;EDATE(DATEVALUE(C445&amp;"-01"),12))</f>
        <v>0</v>
      </c>
    </row>
    <row r="446" ht="15.75" customHeight="1">
      <c r="A446" s="33" t="str">
        <f>'📋 Реєстрації'!A446:A1047</f>
        <v>U0659</v>
      </c>
      <c r="B446" s="34">
        <f t="array" ref="B446">INDEX('📋 Транзакції'!$C$5:$C$3623,MATCH(A446,'📋 Транзакції'!$B$5:$B$3623,0))</f>
        <v>45647</v>
      </c>
      <c r="C446" s="35" t="str">
        <f t="shared" si="1"/>
        <v>2024-12</v>
      </c>
      <c r="D446" s="36">
        <f>COUNTIF('📋 Транзакції'!$B$5:$B$3623,A446)</f>
        <v>5</v>
      </c>
      <c r="E446" s="36">
        <f>SUMIF('📋 Транзакції'!$B$5:$B$3623,A446,'📋 Транзакції'!$F$5:$F$3623)</f>
        <v>79.96</v>
      </c>
      <c r="F446" s="35">
        <f>INT($A$1-MAXIFS('📋 Транзакції'!$C$5:$C$3623,'📋 Транзакції'!$B$5:$B$3623,A446))</f>
        <v>3</v>
      </c>
      <c r="G446" s="37">
        <f>IF(COUNTIFS('📋 Транзакції'!$B$5:$B$3623,A446,'📋 Транзакції'!$C$5:$C$3623,"&gt;="&amp;EDATE(DATEVALUE(C446&amp;"-01"),0),'📋 Транзакції'!$C$5:$C$3623,"&lt;"&amp;EDATE(DATEVALUE(C446&amp;"-01"),1))&gt;0,1,0)</f>
        <v>1</v>
      </c>
      <c r="H446" s="37">
        <f>IF(COUNTIFS('📋 Транзакції'!$B$5:$B$3623,A446,'📋 Транзакції'!$C$5:$C$3623,"&gt;="&amp;EDATE(DATEVALUE(C446&amp;"-01"),1),'📋 Транзакції'!$C$5:$C$3623,"&lt;"&amp;EDATE(DATEVALUE(C446&amp;"-01"),2))&gt;0,1,0)</f>
        <v>1</v>
      </c>
      <c r="I446" s="37">
        <f>IF(COUNTIFS('📋 Транзакції'!$B$5:$B$3623,A446,'📋 Транзакції'!$C$5:$C$3623,"&gt;="&amp;EDATE(DATEVALUE(C446&amp;"-01"),2),'📋 Транзакції'!$C$5:$C$3623,"&lt;"&amp;EDATE(DATEVALUE(C446&amp;"-01"),3))&gt;0,1,0)</f>
        <v>1</v>
      </c>
      <c r="J446" s="37">
        <f>IF(COUNTIFS('📋 Транзакції'!$B$5:$B$3623,A446,'📋 Транзакції'!$C$5:$C$3623,"&gt;="&amp;EDATE(DATEVALUE(C446&amp;"-01"),3),'📋 Транзакції'!$C$5:$C$3623,"&lt;"&amp;EDATE(DATEVALUE(C446&amp;"-01"),4))&gt;0,1,0)</f>
        <v>1</v>
      </c>
      <c r="K446" s="37">
        <f>IF(COUNTIFS('📋 Транзакції'!$B$5:$B$3623,A446,'📋 Транзакції'!$C$5:$C$3623,"&gt;="&amp;EDATE(DATEVALUE(C446&amp;"-01"),4),'📋 Транзакції'!$C$5:$C$3623,"&lt;"&amp;EDATE(DATEVALUE(C446&amp;"-01"),5))&gt;0,1,0)</f>
        <v>0</v>
      </c>
      <c r="L446" s="37">
        <f>IF(COUNTIFS('📋 Транзакції'!$B$5:$B$3623,A446,'📋 Транзакції'!$C$5:$C$3623,"&gt;="&amp;EDATE(DATEVALUE(C446&amp;"-01"),5),'📋 Транзакції'!$C$5:$C$3623,"&lt;"&amp;EDATE(DATEVALUE(C446&amp;"-01"),6))&gt;0,1,0)</f>
        <v>0</v>
      </c>
      <c r="M446" s="37">
        <f>IF(COUNTIFS('📋 Транзакції'!$B$5:$B$3623,A446,'📋 Транзакції'!$C$5:$C$3623,"&gt;="&amp;EDATE(DATEVALUE(C446&amp;"-01"),6),'📋 Транзакції'!$C$5:$C$3623,"&lt;"&amp;EDATE(DATEVALUE(C446&amp;"-01"),7))&gt;0,1,0)</f>
        <v>0</v>
      </c>
      <c r="N446" s="37">
        <f>IF(COUNTIFS('📋 Транзакції'!$B$5:$B$3623,A446,'📋 Транзакції'!$C$5:$C$3623,"&gt;="&amp;EDATE(DATEVALUE(C446&amp;"-01"),7),'📋 Транзакції'!$C$5:$C$3623,"&lt;"&amp;EDATE(DATEVALUE(C446&amp;"-01"),8))&gt;0,1,0)</f>
        <v>0</v>
      </c>
      <c r="O446" s="37">
        <f>IF(COUNTIFS('📋 Транзакції'!$B$5:$B$3623,A446,'📋 Транзакції'!$C$5:$C$3623,"&gt;="&amp;EDATE(DATEVALUE(C446&amp;"-01"),8),'📋 Транзакції'!$C$5:$C$3623,"&lt;"&amp;EDATE(DATEVALUE(C446&amp;"-01"),9))&gt;0,1,0)</f>
        <v>0</v>
      </c>
      <c r="P446" s="37">
        <f>IF(COUNTIFS('📋 Транзакції'!$B$5:$B$3623,A446,'📋 Транзакції'!$C$5:$C$3623,"&gt;="&amp;EDATE(DATEVALUE(C446&amp;"-01"),9),'📋 Транзакції'!$C$5:$C$3623,"&lt;"&amp;EDATE(DATEVALUE(C446&amp;"-01"),10))&gt;0,1,0)</f>
        <v>0</v>
      </c>
      <c r="Q446" s="37">
        <f>IF(COUNTIFS('📋 Транзакції'!$B$5:$B$3623,A446,'📋 Транзакції'!$C$5:$C$3623,"&gt;="&amp;EDATE(DATEVALUE(C446&amp;"-01"),10),'📋 Транзакції'!$C$5:$C$3623,"&lt;"&amp;EDATE(DATEVALUE(C446&amp;"-01"),11))&gt;0,1,0)</f>
        <v>0</v>
      </c>
      <c r="R446" s="37">
        <f>IF(COUNTIFS('📋 Транзакції'!$B$5:$B$3623,A446,'📋 Транзакції'!$C$5:$C$3623,"&gt;="&amp;EDATE(DATEVALUE(C446&amp;"-01"),11),'📋 Транзакції'!$C$5:$C$3623,"&lt;"&amp;EDATE(DATEVALUE(C446&amp;"-01"),12))&gt;0,1,0)</f>
        <v>0</v>
      </c>
      <c r="S446" s="37">
        <f>SUMIFS('📋 Транзакції'!$F$5:$F$3623,'📋 Транзакції'!$B$5:$B$3623,A446,'📋 Транзакції'!$C$5:$C$3623,"&gt;="&amp;EDATE(DATEVALUE(C446&amp;"-01"),0),'📋 Транзакції'!$C$5:$C$3623,"&lt;"&amp;EDATE(DATEVALUE(C446&amp;"-01"),1))</f>
        <v>19.99</v>
      </c>
      <c r="T446" s="37">
        <f>SUMIFS('📋 Транзакції'!$F$5:$F$3623,'📋 Транзакції'!$B$5:$B$3623,A446,'📋 Транзакції'!$C$5:$C$3623,"&gt;="&amp;EDATE(DATEVALUE(C446&amp;"-01"),1),'📋 Транзакції'!$C$5:$C$3623,"&lt;"&amp;EDATE(DATEVALUE(C446&amp;"-01"),2))</f>
        <v>19.99</v>
      </c>
      <c r="U446" s="37">
        <f>SUMIFS('📋 Транзакції'!$F$5:$F$3623,'📋 Транзакції'!$B$5:$B$3623,A446,'📋 Транзакції'!$C$5:$C$3623,"&gt;="&amp;EDATE(DATEVALUE(C446&amp;"-01"),2),'📋 Транзакції'!$C$5:$C$3623,"&lt;"&amp;EDATE(DATEVALUE(C446&amp;"-01"),3))</f>
        <v>19.99</v>
      </c>
      <c r="V446" s="37">
        <f>SUMIFS('📋 Транзакції'!$F$5:$F$3623,'📋 Транзакції'!$B$5:$B$3623,A446,'📋 Транзакції'!$C$5:$C$3623,"&gt;="&amp;EDATE(DATEVALUE(C446&amp;"-01"),3),'📋 Транзакції'!$C$5:$C$3623,"&lt;"&amp;EDATE(DATEVALUE(C446&amp;"-01"),4))</f>
        <v>19.99</v>
      </c>
      <c r="W446" s="37">
        <f>SUMIFS('📋 Транзакції'!$F$5:$F$3623,'📋 Транзакції'!$B$5:$B$3623,A446,'📋 Транзакції'!$C$5:$C$3623,"&gt;="&amp;EDATE(DATEVALUE(C446&amp;"-01"),4),'📋 Транзакції'!$C$5:$C$3623,"&lt;"&amp;EDATE(DATEVALUE(C446&amp;"-01"),5))</f>
        <v>0</v>
      </c>
      <c r="X446" s="37">
        <f>SUMIFS('📋 Транзакції'!$F$5:$F$3623,'📋 Транзакції'!$B$5:$B$3623,A446,'📋 Транзакції'!$C$5:$C$3623,"&gt;="&amp;EDATE(DATEVALUE(C446&amp;"-01"),5),'📋 Транзакції'!$C$5:$C$3623,"&lt;"&amp;EDATE(DATEVALUE(C446&amp;"-01"),6))</f>
        <v>0</v>
      </c>
      <c r="Y446" s="37">
        <f>SUMIFS('📋 Транзакції'!$F$5:$F$3623,'📋 Транзакції'!$B$5:$B$3623,A446,'📋 Транзакції'!$C$5:$C$3623,"&gt;="&amp;EDATE(DATEVALUE(C446&amp;"-01"),6),'📋 Транзакції'!$C$5:$C$3623,"&lt;"&amp;EDATE(DATEVALUE(C446&amp;"-01"),7))</f>
        <v>0</v>
      </c>
      <c r="Z446" s="37">
        <f>SUMIFS('📋 Транзакції'!$F$5:$F$3623,'📋 Транзакції'!$B$5:$B$3623,A446,'📋 Транзакції'!$C$5:$C$3623,"&gt;="&amp;EDATE(DATEVALUE(C446&amp;"-01"),7),'📋 Транзакції'!$C$5:$C$3623,"&lt;"&amp;EDATE(DATEVALUE(C446&amp;"-01"),8))</f>
        <v>0</v>
      </c>
      <c r="AA446" s="37">
        <f>SUMIFS('📋 Транзакції'!$F$5:$F$3623,'📋 Транзакції'!$B$5:$B$3623,A446,'📋 Транзакції'!$C$5:$C$3623,"&gt;="&amp;EDATE(DATEVALUE(C446&amp;"-01"),8),'📋 Транзакції'!$C$5:$C$3623,"&lt;"&amp;EDATE(DATEVALUE(C446&amp;"-01"),9))</f>
        <v>0</v>
      </c>
      <c r="AB446" s="37">
        <f>SUMIFS('📋 Транзакції'!$F$5:$F$3623,'📋 Транзакції'!$B$5:$B$3623,A446,'📋 Транзакції'!$C$5:$C$3623,"&gt;="&amp;EDATE(DATEVALUE(C446&amp;"-01"),9),'📋 Транзакції'!$C$5:$C$3623,"&lt;"&amp;EDATE(DATEVALUE(C446&amp;"-01"),10))</f>
        <v>0</v>
      </c>
      <c r="AC446" s="37">
        <f>SUMIFS('📋 Транзакції'!$F$5:$F$3623,'📋 Транзакції'!$B$5:$B$3623,A446,'📋 Транзакції'!$C$5:$C$3623,"&gt;="&amp;EDATE(DATEVALUE(C446&amp;"-01"),10),'📋 Транзакції'!$C$5:$C$3623,"&lt;"&amp;EDATE(DATEVALUE(C446&amp;"-01"),11))</f>
        <v>0</v>
      </c>
      <c r="AD446" s="37">
        <f>SUMIFS('📋 Транзакції'!$F$5:$F$3623,'📋 Транзакції'!$B$5:$B$3623,A446,'📋 Транзакції'!$C$5:$C$3623,"&gt;="&amp;EDATE(DATEVALUE(C446&amp;"-01"),11),'📋 Транзакції'!$C$5:$C$3623,"&lt;"&amp;EDATE(DATEVALUE(C446&amp;"-01"),12))</f>
        <v>0</v>
      </c>
    </row>
    <row r="447" ht="15.75" customHeight="1">
      <c r="A447" s="33" t="str">
        <f>'📋 Реєстрації'!A447:A1048</f>
        <v>U0481</v>
      </c>
      <c r="B447" s="34">
        <f t="array" ref="B447">INDEX('📋 Транзакції'!$C$5:$C$3623,MATCH(A447,'📋 Транзакції'!$B$5:$B$3623,0))</f>
        <v>45648</v>
      </c>
      <c r="C447" s="35" t="str">
        <f t="shared" si="1"/>
        <v>2024-12</v>
      </c>
      <c r="D447" s="36">
        <f>COUNTIF('📋 Транзакції'!$B$5:$B$3623,A447)</f>
        <v>5</v>
      </c>
      <c r="E447" s="36">
        <f>SUMIF('📋 Транзакції'!$B$5:$B$3623,A447,'📋 Транзакції'!$F$5:$F$3623)</f>
        <v>79.96</v>
      </c>
      <c r="F447" s="35">
        <f>INT($A$1-MAXIFS('📋 Транзакції'!$C$5:$C$3623,'📋 Транзакції'!$B$5:$B$3623,A447))</f>
        <v>2</v>
      </c>
      <c r="G447" s="37">
        <f>IF(COUNTIFS('📋 Транзакції'!$B$5:$B$3623,A447,'📋 Транзакції'!$C$5:$C$3623,"&gt;="&amp;EDATE(DATEVALUE(C447&amp;"-01"),0),'📋 Транзакції'!$C$5:$C$3623,"&lt;"&amp;EDATE(DATEVALUE(C447&amp;"-01"),1))&gt;0,1,0)</f>
        <v>1</v>
      </c>
      <c r="H447" s="37">
        <f>IF(COUNTIFS('📋 Транзакції'!$B$5:$B$3623,A447,'📋 Транзакції'!$C$5:$C$3623,"&gt;="&amp;EDATE(DATEVALUE(C447&amp;"-01"),1),'📋 Транзакції'!$C$5:$C$3623,"&lt;"&amp;EDATE(DATEVALUE(C447&amp;"-01"),2))&gt;0,1,0)</f>
        <v>1</v>
      </c>
      <c r="I447" s="37">
        <f>IF(COUNTIFS('📋 Транзакції'!$B$5:$B$3623,A447,'📋 Транзакції'!$C$5:$C$3623,"&gt;="&amp;EDATE(DATEVALUE(C447&amp;"-01"),2),'📋 Транзакції'!$C$5:$C$3623,"&lt;"&amp;EDATE(DATEVALUE(C447&amp;"-01"),3))&gt;0,1,0)</f>
        <v>1</v>
      </c>
      <c r="J447" s="37">
        <f>IF(COUNTIFS('📋 Транзакції'!$B$5:$B$3623,A447,'📋 Транзакції'!$C$5:$C$3623,"&gt;="&amp;EDATE(DATEVALUE(C447&amp;"-01"),3),'📋 Транзакції'!$C$5:$C$3623,"&lt;"&amp;EDATE(DATEVALUE(C447&amp;"-01"),4))&gt;0,1,0)</f>
        <v>1</v>
      </c>
      <c r="K447" s="37">
        <f>IF(COUNTIFS('📋 Транзакції'!$B$5:$B$3623,A447,'📋 Транзакції'!$C$5:$C$3623,"&gt;="&amp;EDATE(DATEVALUE(C447&amp;"-01"),4),'📋 Транзакції'!$C$5:$C$3623,"&lt;"&amp;EDATE(DATEVALUE(C447&amp;"-01"),5))&gt;0,1,0)</f>
        <v>0</v>
      </c>
      <c r="L447" s="37">
        <f>IF(COUNTIFS('📋 Транзакції'!$B$5:$B$3623,A447,'📋 Транзакції'!$C$5:$C$3623,"&gt;="&amp;EDATE(DATEVALUE(C447&amp;"-01"),5),'📋 Транзакції'!$C$5:$C$3623,"&lt;"&amp;EDATE(DATEVALUE(C447&amp;"-01"),6))&gt;0,1,0)</f>
        <v>0</v>
      </c>
      <c r="M447" s="37">
        <f>IF(COUNTIFS('📋 Транзакції'!$B$5:$B$3623,A447,'📋 Транзакції'!$C$5:$C$3623,"&gt;="&amp;EDATE(DATEVALUE(C447&amp;"-01"),6),'📋 Транзакції'!$C$5:$C$3623,"&lt;"&amp;EDATE(DATEVALUE(C447&amp;"-01"),7))&gt;0,1,0)</f>
        <v>0</v>
      </c>
      <c r="N447" s="37">
        <f>IF(COUNTIFS('📋 Транзакції'!$B$5:$B$3623,A447,'📋 Транзакції'!$C$5:$C$3623,"&gt;="&amp;EDATE(DATEVALUE(C447&amp;"-01"),7),'📋 Транзакції'!$C$5:$C$3623,"&lt;"&amp;EDATE(DATEVALUE(C447&amp;"-01"),8))&gt;0,1,0)</f>
        <v>0</v>
      </c>
      <c r="O447" s="37">
        <f>IF(COUNTIFS('📋 Транзакції'!$B$5:$B$3623,A447,'📋 Транзакції'!$C$5:$C$3623,"&gt;="&amp;EDATE(DATEVALUE(C447&amp;"-01"),8),'📋 Транзакції'!$C$5:$C$3623,"&lt;"&amp;EDATE(DATEVALUE(C447&amp;"-01"),9))&gt;0,1,0)</f>
        <v>0</v>
      </c>
      <c r="P447" s="37">
        <f>IF(COUNTIFS('📋 Транзакції'!$B$5:$B$3623,A447,'📋 Транзакції'!$C$5:$C$3623,"&gt;="&amp;EDATE(DATEVALUE(C447&amp;"-01"),9),'📋 Транзакції'!$C$5:$C$3623,"&lt;"&amp;EDATE(DATEVALUE(C447&amp;"-01"),10))&gt;0,1,0)</f>
        <v>0</v>
      </c>
      <c r="Q447" s="37">
        <f>IF(COUNTIFS('📋 Транзакції'!$B$5:$B$3623,A447,'📋 Транзакції'!$C$5:$C$3623,"&gt;="&amp;EDATE(DATEVALUE(C447&amp;"-01"),10),'📋 Транзакції'!$C$5:$C$3623,"&lt;"&amp;EDATE(DATEVALUE(C447&amp;"-01"),11))&gt;0,1,0)</f>
        <v>0</v>
      </c>
      <c r="R447" s="37">
        <f>IF(COUNTIFS('📋 Транзакції'!$B$5:$B$3623,A447,'📋 Транзакції'!$C$5:$C$3623,"&gt;="&amp;EDATE(DATEVALUE(C447&amp;"-01"),11),'📋 Транзакції'!$C$5:$C$3623,"&lt;"&amp;EDATE(DATEVALUE(C447&amp;"-01"),12))&gt;0,1,0)</f>
        <v>0</v>
      </c>
      <c r="S447" s="37">
        <f>SUMIFS('📋 Транзакції'!$F$5:$F$3623,'📋 Транзакції'!$B$5:$B$3623,A447,'📋 Транзакції'!$C$5:$C$3623,"&gt;="&amp;EDATE(DATEVALUE(C447&amp;"-01"),0),'📋 Транзакції'!$C$5:$C$3623,"&lt;"&amp;EDATE(DATEVALUE(C447&amp;"-01"),1))</f>
        <v>19.99</v>
      </c>
      <c r="T447" s="37">
        <f>SUMIFS('📋 Транзакції'!$F$5:$F$3623,'📋 Транзакції'!$B$5:$B$3623,A447,'📋 Транзакції'!$C$5:$C$3623,"&gt;="&amp;EDATE(DATEVALUE(C447&amp;"-01"),1),'📋 Транзакції'!$C$5:$C$3623,"&lt;"&amp;EDATE(DATEVALUE(C447&amp;"-01"),2))</f>
        <v>19.99</v>
      </c>
      <c r="U447" s="37">
        <f>SUMIFS('📋 Транзакції'!$F$5:$F$3623,'📋 Транзакції'!$B$5:$B$3623,A447,'📋 Транзакції'!$C$5:$C$3623,"&gt;="&amp;EDATE(DATEVALUE(C447&amp;"-01"),2),'📋 Транзакції'!$C$5:$C$3623,"&lt;"&amp;EDATE(DATEVALUE(C447&amp;"-01"),3))</f>
        <v>19.99</v>
      </c>
      <c r="V447" s="37">
        <f>SUMIFS('📋 Транзакції'!$F$5:$F$3623,'📋 Транзакції'!$B$5:$B$3623,A447,'📋 Транзакції'!$C$5:$C$3623,"&gt;="&amp;EDATE(DATEVALUE(C447&amp;"-01"),3),'📋 Транзакції'!$C$5:$C$3623,"&lt;"&amp;EDATE(DATEVALUE(C447&amp;"-01"),4))</f>
        <v>19.99</v>
      </c>
      <c r="W447" s="37">
        <f>SUMIFS('📋 Транзакції'!$F$5:$F$3623,'📋 Транзакції'!$B$5:$B$3623,A447,'📋 Транзакції'!$C$5:$C$3623,"&gt;="&amp;EDATE(DATEVALUE(C447&amp;"-01"),4),'📋 Транзакції'!$C$5:$C$3623,"&lt;"&amp;EDATE(DATEVALUE(C447&amp;"-01"),5))</f>
        <v>0</v>
      </c>
      <c r="X447" s="37">
        <f>SUMIFS('📋 Транзакції'!$F$5:$F$3623,'📋 Транзакції'!$B$5:$B$3623,A447,'📋 Транзакції'!$C$5:$C$3623,"&gt;="&amp;EDATE(DATEVALUE(C447&amp;"-01"),5),'📋 Транзакції'!$C$5:$C$3623,"&lt;"&amp;EDATE(DATEVALUE(C447&amp;"-01"),6))</f>
        <v>0</v>
      </c>
      <c r="Y447" s="37">
        <f>SUMIFS('📋 Транзакції'!$F$5:$F$3623,'📋 Транзакції'!$B$5:$B$3623,A447,'📋 Транзакції'!$C$5:$C$3623,"&gt;="&amp;EDATE(DATEVALUE(C447&amp;"-01"),6),'📋 Транзакції'!$C$5:$C$3623,"&lt;"&amp;EDATE(DATEVALUE(C447&amp;"-01"),7))</f>
        <v>0</v>
      </c>
      <c r="Z447" s="37">
        <f>SUMIFS('📋 Транзакції'!$F$5:$F$3623,'📋 Транзакції'!$B$5:$B$3623,A447,'📋 Транзакції'!$C$5:$C$3623,"&gt;="&amp;EDATE(DATEVALUE(C447&amp;"-01"),7),'📋 Транзакції'!$C$5:$C$3623,"&lt;"&amp;EDATE(DATEVALUE(C447&amp;"-01"),8))</f>
        <v>0</v>
      </c>
      <c r="AA447" s="37">
        <f>SUMIFS('📋 Транзакції'!$F$5:$F$3623,'📋 Транзакції'!$B$5:$B$3623,A447,'📋 Транзакції'!$C$5:$C$3623,"&gt;="&amp;EDATE(DATEVALUE(C447&amp;"-01"),8),'📋 Транзакції'!$C$5:$C$3623,"&lt;"&amp;EDATE(DATEVALUE(C447&amp;"-01"),9))</f>
        <v>0</v>
      </c>
      <c r="AB447" s="37">
        <f>SUMIFS('📋 Транзакції'!$F$5:$F$3623,'📋 Транзакції'!$B$5:$B$3623,A447,'📋 Транзакції'!$C$5:$C$3623,"&gt;="&amp;EDATE(DATEVALUE(C447&amp;"-01"),9),'📋 Транзакції'!$C$5:$C$3623,"&lt;"&amp;EDATE(DATEVALUE(C447&amp;"-01"),10))</f>
        <v>0</v>
      </c>
      <c r="AC447" s="37">
        <f>SUMIFS('📋 Транзакції'!$F$5:$F$3623,'📋 Транзакції'!$B$5:$B$3623,A447,'📋 Транзакції'!$C$5:$C$3623,"&gt;="&amp;EDATE(DATEVALUE(C447&amp;"-01"),10),'📋 Транзакції'!$C$5:$C$3623,"&lt;"&amp;EDATE(DATEVALUE(C447&amp;"-01"),11))</f>
        <v>0</v>
      </c>
      <c r="AD447" s="37">
        <f>SUMIFS('📋 Транзакції'!$F$5:$F$3623,'📋 Транзакції'!$B$5:$B$3623,A447,'📋 Транзакції'!$C$5:$C$3623,"&gt;="&amp;EDATE(DATEVALUE(C447&amp;"-01"),11),'📋 Транзакції'!$C$5:$C$3623,"&lt;"&amp;EDATE(DATEVALUE(C447&amp;"-01"),12))</f>
        <v>0</v>
      </c>
    </row>
    <row r="448" ht="15.75" customHeight="1">
      <c r="A448" s="33" t="str">
        <f>'📋 Реєстрації'!A448:A1049</f>
        <v>U0585</v>
      </c>
      <c r="B448" s="34">
        <f t="array" ref="B448">INDEX('📋 Транзакції'!$C$5:$C$3623,MATCH(A448,'📋 Транзакції'!$B$5:$B$3623,0))</f>
        <v>45648</v>
      </c>
      <c r="C448" s="35" t="str">
        <f t="shared" si="1"/>
        <v>2024-12</v>
      </c>
      <c r="D448" s="36">
        <f>COUNTIF('📋 Транзакції'!$B$5:$B$3623,A448)</f>
        <v>5</v>
      </c>
      <c r="E448" s="36">
        <f>SUMIF('📋 Транзакції'!$B$5:$B$3623,A448,'📋 Транзакції'!$F$5:$F$3623)</f>
        <v>79.96</v>
      </c>
      <c r="F448" s="35">
        <f>INT($A$1-MAXIFS('📋 Транзакції'!$C$5:$C$3623,'📋 Транзакції'!$B$5:$B$3623,A448))</f>
        <v>2</v>
      </c>
      <c r="G448" s="37">
        <f>IF(COUNTIFS('📋 Транзакції'!$B$5:$B$3623,A448,'📋 Транзакції'!$C$5:$C$3623,"&gt;="&amp;EDATE(DATEVALUE(C448&amp;"-01"),0),'📋 Транзакції'!$C$5:$C$3623,"&lt;"&amp;EDATE(DATEVALUE(C448&amp;"-01"),1))&gt;0,1,0)</f>
        <v>1</v>
      </c>
      <c r="H448" s="37">
        <f>IF(COUNTIFS('📋 Транзакції'!$B$5:$B$3623,A448,'📋 Транзакції'!$C$5:$C$3623,"&gt;="&amp;EDATE(DATEVALUE(C448&amp;"-01"),1),'📋 Транзакції'!$C$5:$C$3623,"&lt;"&amp;EDATE(DATEVALUE(C448&amp;"-01"),2))&gt;0,1,0)</f>
        <v>1</v>
      </c>
      <c r="I448" s="37">
        <f>IF(COUNTIFS('📋 Транзакції'!$B$5:$B$3623,A448,'📋 Транзакції'!$C$5:$C$3623,"&gt;="&amp;EDATE(DATEVALUE(C448&amp;"-01"),2),'📋 Транзакції'!$C$5:$C$3623,"&lt;"&amp;EDATE(DATEVALUE(C448&amp;"-01"),3))&gt;0,1,0)</f>
        <v>1</v>
      </c>
      <c r="J448" s="37">
        <f>IF(COUNTIFS('📋 Транзакції'!$B$5:$B$3623,A448,'📋 Транзакції'!$C$5:$C$3623,"&gt;="&amp;EDATE(DATEVALUE(C448&amp;"-01"),3),'📋 Транзакції'!$C$5:$C$3623,"&lt;"&amp;EDATE(DATEVALUE(C448&amp;"-01"),4))&gt;0,1,0)</f>
        <v>1</v>
      </c>
      <c r="K448" s="37">
        <f>IF(COUNTIFS('📋 Транзакції'!$B$5:$B$3623,A448,'📋 Транзакції'!$C$5:$C$3623,"&gt;="&amp;EDATE(DATEVALUE(C448&amp;"-01"),4),'📋 Транзакції'!$C$5:$C$3623,"&lt;"&amp;EDATE(DATEVALUE(C448&amp;"-01"),5))&gt;0,1,0)</f>
        <v>0</v>
      </c>
      <c r="L448" s="37">
        <f>IF(COUNTIFS('📋 Транзакції'!$B$5:$B$3623,A448,'📋 Транзакції'!$C$5:$C$3623,"&gt;="&amp;EDATE(DATEVALUE(C448&amp;"-01"),5),'📋 Транзакції'!$C$5:$C$3623,"&lt;"&amp;EDATE(DATEVALUE(C448&amp;"-01"),6))&gt;0,1,0)</f>
        <v>0</v>
      </c>
      <c r="M448" s="37">
        <f>IF(COUNTIFS('📋 Транзакції'!$B$5:$B$3623,A448,'📋 Транзакції'!$C$5:$C$3623,"&gt;="&amp;EDATE(DATEVALUE(C448&amp;"-01"),6),'📋 Транзакції'!$C$5:$C$3623,"&lt;"&amp;EDATE(DATEVALUE(C448&amp;"-01"),7))&gt;0,1,0)</f>
        <v>0</v>
      </c>
      <c r="N448" s="37">
        <f>IF(COUNTIFS('📋 Транзакції'!$B$5:$B$3623,A448,'📋 Транзакції'!$C$5:$C$3623,"&gt;="&amp;EDATE(DATEVALUE(C448&amp;"-01"),7),'📋 Транзакції'!$C$5:$C$3623,"&lt;"&amp;EDATE(DATEVALUE(C448&amp;"-01"),8))&gt;0,1,0)</f>
        <v>0</v>
      </c>
      <c r="O448" s="37">
        <f>IF(COUNTIFS('📋 Транзакції'!$B$5:$B$3623,A448,'📋 Транзакції'!$C$5:$C$3623,"&gt;="&amp;EDATE(DATEVALUE(C448&amp;"-01"),8),'📋 Транзакції'!$C$5:$C$3623,"&lt;"&amp;EDATE(DATEVALUE(C448&amp;"-01"),9))&gt;0,1,0)</f>
        <v>0</v>
      </c>
      <c r="P448" s="37">
        <f>IF(COUNTIFS('📋 Транзакції'!$B$5:$B$3623,A448,'📋 Транзакції'!$C$5:$C$3623,"&gt;="&amp;EDATE(DATEVALUE(C448&amp;"-01"),9),'📋 Транзакції'!$C$5:$C$3623,"&lt;"&amp;EDATE(DATEVALUE(C448&amp;"-01"),10))&gt;0,1,0)</f>
        <v>0</v>
      </c>
      <c r="Q448" s="37">
        <f>IF(COUNTIFS('📋 Транзакції'!$B$5:$B$3623,A448,'📋 Транзакції'!$C$5:$C$3623,"&gt;="&amp;EDATE(DATEVALUE(C448&amp;"-01"),10),'📋 Транзакції'!$C$5:$C$3623,"&lt;"&amp;EDATE(DATEVALUE(C448&amp;"-01"),11))&gt;0,1,0)</f>
        <v>0</v>
      </c>
      <c r="R448" s="37">
        <f>IF(COUNTIFS('📋 Транзакції'!$B$5:$B$3623,A448,'📋 Транзакції'!$C$5:$C$3623,"&gt;="&amp;EDATE(DATEVALUE(C448&amp;"-01"),11),'📋 Транзакції'!$C$5:$C$3623,"&lt;"&amp;EDATE(DATEVALUE(C448&amp;"-01"),12))&gt;0,1,0)</f>
        <v>0</v>
      </c>
      <c r="S448" s="37">
        <f>SUMIFS('📋 Транзакції'!$F$5:$F$3623,'📋 Транзакції'!$B$5:$B$3623,A448,'📋 Транзакції'!$C$5:$C$3623,"&gt;="&amp;EDATE(DATEVALUE(C448&amp;"-01"),0),'📋 Транзакції'!$C$5:$C$3623,"&lt;"&amp;EDATE(DATEVALUE(C448&amp;"-01"),1))</f>
        <v>19.99</v>
      </c>
      <c r="T448" s="37">
        <f>SUMIFS('📋 Транзакції'!$F$5:$F$3623,'📋 Транзакції'!$B$5:$B$3623,A448,'📋 Транзакції'!$C$5:$C$3623,"&gt;="&amp;EDATE(DATEVALUE(C448&amp;"-01"),1),'📋 Транзакції'!$C$5:$C$3623,"&lt;"&amp;EDATE(DATEVALUE(C448&amp;"-01"),2))</f>
        <v>19.99</v>
      </c>
      <c r="U448" s="37">
        <f>SUMIFS('📋 Транзакції'!$F$5:$F$3623,'📋 Транзакції'!$B$5:$B$3623,A448,'📋 Транзакції'!$C$5:$C$3623,"&gt;="&amp;EDATE(DATEVALUE(C448&amp;"-01"),2),'📋 Транзакції'!$C$5:$C$3623,"&lt;"&amp;EDATE(DATEVALUE(C448&amp;"-01"),3))</f>
        <v>19.99</v>
      </c>
      <c r="V448" s="37">
        <f>SUMIFS('📋 Транзакції'!$F$5:$F$3623,'📋 Транзакції'!$B$5:$B$3623,A448,'📋 Транзакції'!$C$5:$C$3623,"&gt;="&amp;EDATE(DATEVALUE(C448&amp;"-01"),3),'📋 Транзакції'!$C$5:$C$3623,"&lt;"&amp;EDATE(DATEVALUE(C448&amp;"-01"),4))</f>
        <v>19.99</v>
      </c>
      <c r="W448" s="37">
        <f>SUMIFS('📋 Транзакції'!$F$5:$F$3623,'📋 Транзакції'!$B$5:$B$3623,A448,'📋 Транзакції'!$C$5:$C$3623,"&gt;="&amp;EDATE(DATEVALUE(C448&amp;"-01"),4),'📋 Транзакції'!$C$5:$C$3623,"&lt;"&amp;EDATE(DATEVALUE(C448&amp;"-01"),5))</f>
        <v>0</v>
      </c>
      <c r="X448" s="37">
        <f>SUMIFS('📋 Транзакції'!$F$5:$F$3623,'📋 Транзакції'!$B$5:$B$3623,A448,'📋 Транзакції'!$C$5:$C$3623,"&gt;="&amp;EDATE(DATEVALUE(C448&amp;"-01"),5),'📋 Транзакції'!$C$5:$C$3623,"&lt;"&amp;EDATE(DATEVALUE(C448&amp;"-01"),6))</f>
        <v>0</v>
      </c>
      <c r="Y448" s="37">
        <f>SUMIFS('📋 Транзакції'!$F$5:$F$3623,'📋 Транзакції'!$B$5:$B$3623,A448,'📋 Транзакції'!$C$5:$C$3623,"&gt;="&amp;EDATE(DATEVALUE(C448&amp;"-01"),6),'📋 Транзакції'!$C$5:$C$3623,"&lt;"&amp;EDATE(DATEVALUE(C448&amp;"-01"),7))</f>
        <v>0</v>
      </c>
      <c r="Z448" s="37">
        <f>SUMIFS('📋 Транзакції'!$F$5:$F$3623,'📋 Транзакції'!$B$5:$B$3623,A448,'📋 Транзакції'!$C$5:$C$3623,"&gt;="&amp;EDATE(DATEVALUE(C448&amp;"-01"),7),'📋 Транзакції'!$C$5:$C$3623,"&lt;"&amp;EDATE(DATEVALUE(C448&amp;"-01"),8))</f>
        <v>0</v>
      </c>
      <c r="AA448" s="37">
        <f>SUMIFS('📋 Транзакції'!$F$5:$F$3623,'📋 Транзакції'!$B$5:$B$3623,A448,'📋 Транзакції'!$C$5:$C$3623,"&gt;="&amp;EDATE(DATEVALUE(C448&amp;"-01"),8),'📋 Транзакції'!$C$5:$C$3623,"&lt;"&amp;EDATE(DATEVALUE(C448&amp;"-01"),9))</f>
        <v>0</v>
      </c>
      <c r="AB448" s="37">
        <f>SUMIFS('📋 Транзакції'!$F$5:$F$3623,'📋 Транзакції'!$B$5:$B$3623,A448,'📋 Транзакції'!$C$5:$C$3623,"&gt;="&amp;EDATE(DATEVALUE(C448&amp;"-01"),9),'📋 Транзакції'!$C$5:$C$3623,"&lt;"&amp;EDATE(DATEVALUE(C448&amp;"-01"),10))</f>
        <v>0</v>
      </c>
      <c r="AC448" s="37">
        <f>SUMIFS('📋 Транзакції'!$F$5:$F$3623,'📋 Транзакції'!$B$5:$B$3623,A448,'📋 Транзакції'!$C$5:$C$3623,"&gt;="&amp;EDATE(DATEVALUE(C448&amp;"-01"),10),'📋 Транзакції'!$C$5:$C$3623,"&lt;"&amp;EDATE(DATEVALUE(C448&amp;"-01"),11))</f>
        <v>0</v>
      </c>
      <c r="AD448" s="37">
        <f>SUMIFS('📋 Транзакції'!$F$5:$F$3623,'📋 Транзакції'!$B$5:$B$3623,A448,'📋 Транзакції'!$C$5:$C$3623,"&gt;="&amp;EDATE(DATEVALUE(C448&amp;"-01"),11),'📋 Транзакції'!$C$5:$C$3623,"&lt;"&amp;EDATE(DATEVALUE(C448&amp;"-01"),12))</f>
        <v>0</v>
      </c>
    </row>
    <row r="449" ht="15.75" customHeight="1">
      <c r="A449" s="33" t="str">
        <f>'📋 Реєстрації'!A449:A1050</f>
        <v>U0230</v>
      </c>
      <c r="B449" s="34">
        <f t="array" ref="B449">INDEX('📋 Транзакції'!$C$5:$C$3623,MATCH(A449,'📋 Транзакції'!$B$5:$B$3623,0))</f>
        <v>45651</v>
      </c>
      <c r="C449" s="35" t="str">
        <f t="shared" si="1"/>
        <v>2024-12</v>
      </c>
      <c r="D449" s="36">
        <f>COUNTIF('📋 Транзакції'!$B$5:$B$3623,A449)</f>
        <v>4</v>
      </c>
      <c r="E449" s="36">
        <f>SUMIF('📋 Транзакції'!$B$5:$B$3623,A449,'📋 Транзакції'!$F$5:$F$3623)</f>
        <v>59.97</v>
      </c>
      <c r="F449" s="35">
        <f>INT($A$1-MAXIFS('📋 Транзакції'!$C$5:$C$3623,'📋 Транзакції'!$B$5:$B$3623,A449))</f>
        <v>29</v>
      </c>
      <c r="G449" s="37">
        <f>IF(COUNTIFS('📋 Транзакції'!$B$5:$B$3623,A449,'📋 Транзакції'!$C$5:$C$3623,"&gt;="&amp;EDATE(DATEVALUE(C449&amp;"-01"),0),'📋 Транзакції'!$C$5:$C$3623,"&lt;"&amp;EDATE(DATEVALUE(C449&amp;"-01"),1))&gt;0,1,0)</f>
        <v>1</v>
      </c>
      <c r="H449" s="37">
        <f>IF(COUNTIFS('📋 Транзакції'!$B$5:$B$3623,A449,'📋 Транзакції'!$C$5:$C$3623,"&gt;="&amp;EDATE(DATEVALUE(C449&amp;"-01"),1),'📋 Транзакції'!$C$5:$C$3623,"&lt;"&amp;EDATE(DATEVALUE(C449&amp;"-01"),2))&gt;0,1,0)</f>
        <v>1</v>
      </c>
      <c r="I449" s="37">
        <f>IF(COUNTIFS('📋 Транзакції'!$B$5:$B$3623,A449,'📋 Транзакції'!$C$5:$C$3623,"&gt;="&amp;EDATE(DATEVALUE(C449&amp;"-01"),2),'📋 Транзакції'!$C$5:$C$3623,"&lt;"&amp;EDATE(DATEVALUE(C449&amp;"-01"),3))&gt;0,1,0)</f>
        <v>0</v>
      </c>
      <c r="J449" s="37">
        <f>IF(COUNTIFS('📋 Транзакції'!$B$5:$B$3623,A449,'📋 Транзакції'!$C$5:$C$3623,"&gt;="&amp;EDATE(DATEVALUE(C449&amp;"-01"),3),'📋 Транзакції'!$C$5:$C$3623,"&lt;"&amp;EDATE(DATEVALUE(C449&amp;"-01"),4))&gt;0,1,0)</f>
        <v>1</v>
      </c>
      <c r="K449" s="37">
        <f>IF(COUNTIFS('📋 Транзакції'!$B$5:$B$3623,A449,'📋 Транзакції'!$C$5:$C$3623,"&gt;="&amp;EDATE(DATEVALUE(C449&amp;"-01"),4),'📋 Транзакції'!$C$5:$C$3623,"&lt;"&amp;EDATE(DATEVALUE(C449&amp;"-01"),5))&gt;0,1,0)</f>
        <v>0</v>
      </c>
      <c r="L449" s="37">
        <f>IF(COUNTIFS('📋 Транзакції'!$B$5:$B$3623,A449,'📋 Транзакції'!$C$5:$C$3623,"&gt;="&amp;EDATE(DATEVALUE(C449&amp;"-01"),5),'📋 Транзакції'!$C$5:$C$3623,"&lt;"&amp;EDATE(DATEVALUE(C449&amp;"-01"),6))&gt;0,1,0)</f>
        <v>0</v>
      </c>
      <c r="M449" s="37">
        <f>IF(COUNTIFS('📋 Транзакції'!$B$5:$B$3623,A449,'📋 Транзакції'!$C$5:$C$3623,"&gt;="&amp;EDATE(DATEVALUE(C449&amp;"-01"),6),'📋 Транзакції'!$C$5:$C$3623,"&lt;"&amp;EDATE(DATEVALUE(C449&amp;"-01"),7))&gt;0,1,0)</f>
        <v>0</v>
      </c>
      <c r="N449" s="37">
        <f>IF(COUNTIFS('📋 Транзакції'!$B$5:$B$3623,A449,'📋 Транзакції'!$C$5:$C$3623,"&gt;="&amp;EDATE(DATEVALUE(C449&amp;"-01"),7),'📋 Транзакції'!$C$5:$C$3623,"&lt;"&amp;EDATE(DATEVALUE(C449&amp;"-01"),8))&gt;0,1,0)</f>
        <v>0</v>
      </c>
      <c r="O449" s="37">
        <f>IF(COUNTIFS('📋 Транзакції'!$B$5:$B$3623,A449,'📋 Транзакції'!$C$5:$C$3623,"&gt;="&amp;EDATE(DATEVALUE(C449&amp;"-01"),8),'📋 Транзакції'!$C$5:$C$3623,"&lt;"&amp;EDATE(DATEVALUE(C449&amp;"-01"),9))&gt;0,1,0)</f>
        <v>0</v>
      </c>
      <c r="P449" s="37">
        <f>IF(COUNTIFS('📋 Транзакції'!$B$5:$B$3623,A449,'📋 Транзакції'!$C$5:$C$3623,"&gt;="&amp;EDATE(DATEVALUE(C449&amp;"-01"),9),'📋 Транзакції'!$C$5:$C$3623,"&lt;"&amp;EDATE(DATEVALUE(C449&amp;"-01"),10))&gt;0,1,0)</f>
        <v>0</v>
      </c>
      <c r="Q449" s="37">
        <f>IF(COUNTIFS('📋 Транзакції'!$B$5:$B$3623,A449,'📋 Транзакції'!$C$5:$C$3623,"&gt;="&amp;EDATE(DATEVALUE(C449&amp;"-01"),10),'📋 Транзакції'!$C$5:$C$3623,"&lt;"&amp;EDATE(DATEVALUE(C449&amp;"-01"),11))&gt;0,1,0)</f>
        <v>0</v>
      </c>
      <c r="R449" s="37">
        <f>IF(COUNTIFS('📋 Транзакції'!$B$5:$B$3623,A449,'📋 Транзакції'!$C$5:$C$3623,"&gt;="&amp;EDATE(DATEVALUE(C449&amp;"-01"),11),'📋 Транзакції'!$C$5:$C$3623,"&lt;"&amp;EDATE(DATEVALUE(C449&amp;"-01"),12))&gt;0,1,0)</f>
        <v>0</v>
      </c>
      <c r="S449" s="37">
        <f>SUMIFS('📋 Транзакції'!$F$5:$F$3623,'📋 Транзакції'!$B$5:$B$3623,A449,'📋 Транзакції'!$C$5:$C$3623,"&gt;="&amp;EDATE(DATEVALUE(C449&amp;"-01"),0),'📋 Транзакції'!$C$5:$C$3623,"&lt;"&amp;EDATE(DATEVALUE(C449&amp;"-01"),1))</f>
        <v>0</v>
      </c>
      <c r="T449" s="37">
        <f>SUMIFS('📋 Транзакції'!$F$5:$F$3623,'📋 Транзакції'!$B$5:$B$3623,A449,'📋 Транзакції'!$C$5:$C$3623,"&gt;="&amp;EDATE(DATEVALUE(C449&amp;"-01"),1),'📋 Транзакції'!$C$5:$C$3623,"&lt;"&amp;EDATE(DATEVALUE(C449&amp;"-01"),2))</f>
        <v>39.98</v>
      </c>
      <c r="U449" s="37">
        <f>SUMIFS('📋 Транзакції'!$F$5:$F$3623,'📋 Транзакції'!$B$5:$B$3623,A449,'📋 Транзакції'!$C$5:$C$3623,"&gt;="&amp;EDATE(DATEVALUE(C449&amp;"-01"),2),'📋 Транзакції'!$C$5:$C$3623,"&lt;"&amp;EDATE(DATEVALUE(C449&amp;"-01"),3))</f>
        <v>0</v>
      </c>
      <c r="V449" s="37">
        <f>SUMIFS('📋 Транзакції'!$F$5:$F$3623,'📋 Транзакції'!$B$5:$B$3623,A449,'📋 Транзакції'!$C$5:$C$3623,"&gt;="&amp;EDATE(DATEVALUE(C449&amp;"-01"),3),'📋 Транзакції'!$C$5:$C$3623,"&lt;"&amp;EDATE(DATEVALUE(C449&amp;"-01"),4))</f>
        <v>19.99</v>
      </c>
      <c r="W449" s="37">
        <f>SUMIFS('📋 Транзакції'!$F$5:$F$3623,'📋 Транзакції'!$B$5:$B$3623,A449,'📋 Транзакції'!$C$5:$C$3623,"&gt;="&amp;EDATE(DATEVALUE(C449&amp;"-01"),4),'📋 Транзакції'!$C$5:$C$3623,"&lt;"&amp;EDATE(DATEVALUE(C449&amp;"-01"),5))</f>
        <v>0</v>
      </c>
      <c r="X449" s="37">
        <f>SUMIFS('📋 Транзакції'!$F$5:$F$3623,'📋 Транзакції'!$B$5:$B$3623,A449,'📋 Транзакції'!$C$5:$C$3623,"&gt;="&amp;EDATE(DATEVALUE(C449&amp;"-01"),5),'📋 Транзакції'!$C$5:$C$3623,"&lt;"&amp;EDATE(DATEVALUE(C449&amp;"-01"),6))</f>
        <v>0</v>
      </c>
      <c r="Y449" s="37">
        <f>SUMIFS('📋 Транзакції'!$F$5:$F$3623,'📋 Транзакції'!$B$5:$B$3623,A449,'📋 Транзакції'!$C$5:$C$3623,"&gt;="&amp;EDATE(DATEVALUE(C449&amp;"-01"),6),'📋 Транзакції'!$C$5:$C$3623,"&lt;"&amp;EDATE(DATEVALUE(C449&amp;"-01"),7))</f>
        <v>0</v>
      </c>
      <c r="Z449" s="37">
        <f>SUMIFS('📋 Транзакції'!$F$5:$F$3623,'📋 Транзакції'!$B$5:$B$3623,A449,'📋 Транзакції'!$C$5:$C$3623,"&gt;="&amp;EDATE(DATEVALUE(C449&amp;"-01"),7),'📋 Транзакції'!$C$5:$C$3623,"&lt;"&amp;EDATE(DATEVALUE(C449&amp;"-01"),8))</f>
        <v>0</v>
      </c>
      <c r="AA449" s="37">
        <f>SUMIFS('📋 Транзакції'!$F$5:$F$3623,'📋 Транзакції'!$B$5:$B$3623,A449,'📋 Транзакції'!$C$5:$C$3623,"&gt;="&amp;EDATE(DATEVALUE(C449&amp;"-01"),8),'📋 Транзакції'!$C$5:$C$3623,"&lt;"&amp;EDATE(DATEVALUE(C449&amp;"-01"),9))</f>
        <v>0</v>
      </c>
      <c r="AB449" s="37">
        <f>SUMIFS('📋 Транзакції'!$F$5:$F$3623,'📋 Транзакції'!$B$5:$B$3623,A449,'📋 Транзакції'!$C$5:$C$3623,"&gt;="&amp;EDATE(DATEVALUE(C449&amp;"-01"),9),'📋 Транзакції'!$C$5:$C$3623,"&lt;"&amp;EDATE(DATEVALUE(C449&amp;"-01"),10))</f>
        <v>0</v>
      </c>
      <c r="AC449" s="37">
        <f>SUMIFS('📋 Транзакції'!$F$5:$F$3623,'📋 Транзакції'!$B$5:$B$3623,A449,'📋 Транзакції'!$C$5:$C$3623,"&gt;="&amp;EDATE(DATEVALUE(C449&amp;"-01"),10),'📋 Транзакції'!$C$5:$C$3623,"&lt;"&amp;EDATE(DATEVALUE(C449&amp;"-01"),11))</f>
        <v>0</v>
      </c>
      <c r="AD449" s="37">
        <f>SUMIFS('📋 Транзакції'!$F$5:$F$3623,'📋 Транзакції'!$B$5:$B$3623,A449,'📋 Транзакції'!$C$5:$C$3623,"&gt;="&amp;EDATE(DATEVALUE(C449&amp;"-01"),11),'📋 Транзакції'!$C$5:$C$3623,"&lt;"&amp;EDATE(DATEVALUE(C449&amp;"-01"),12))</f>
        <v>0</v>
      </c>
    </row>
    <row r="450" ht="15.75" customHeight="1">
      <c r="A450" s="33" t="str">
        <f>'📋 Реєстрації'!A450:A1051</f>
        <v>U0323</v>
      </c>
      <c r="B450" s="34">
        <f t="array" ref="B450">INDEX('📋 Транзакції'!$C$5:$C$3623,MATCH(A450,'📋 Транзакції'!$B$5:$B$3623,0))</f>
        <v>45651</v>
      </c>
      <c r="C450" s="35" t="str">
        <f t="shared" si="1"/>
        <v>2024-12</v>
      </c>
      <c r="D450" s="36">
        <f>COUNTIF('📋 Транзакції'!$B$5:$B$3623,A450)</f>
        <v>3</v>
      </c>
      <c r="E450" s="36">
        <f>SUMIF('📋 Транзакції'!$B$5:$B$3623,A450,'📋 Транзакції'!$F$5:$F$3623)</f>
        <v>39.98</v>
      </c>
      <c r="F450" s="35">
        <f>INT($A$1-MAXIFS('📋 Транзакції'!$C$5:$C$3623,'📋 Транзакції'!$B$5:$B$3623,A450))</f>
        <v>59</v>
      </c>
      <c r="G450" s="37">
        <f>IF(COUNTIFS('📋 Транзакції'!$B$5:$B$3623,A450,'📋 Транзакції'!$C$5:$C$3623,"&gt;="&amp;EDATE(DATEVALUE(C450&amp;"-01"),0),'📋 Транзакції'!$C$5:$C$3623,"&lt;"&amp;EDATE(DATEVALUE(C450&amp;"-01"),1))&gt;0,1,0)</f>
        <v>1</v>
      </c>
      <c r="H450" s="37">
        <f>IF(COUNTIFS('📋 Транзакції'!$B$5:$B$3623,A450,'📋 Транзакції'!$C$5:$C$3623,"&gt;="&amp;EDATE(DATEVALUE(C450&amp;"-01"),1),'📋 Транзакції'!$C$5:$C$3623,"&lt;"&amp;EDATE(DATEVALUE(C450&amp;"-01"),2))&gt;0,1,0)</f>
        <v>1</v>
      </c>
      <c r="I450" s="37">
        <f>IF(COUNTIFS('📋 Транзакції'!$B$5:$B$3623,A450,'📋 Транзакції'!$C$5:$C$3623,"&gt;="&amp;EDATE(DATEVALUE(C450&amp;"-01"),2),'📋 Транзакції'!$C$5:$C$3623,"&lt;"&amp;EDATE(DATEVALUE(C450&amp;"-01"),3))&gt;0,1,0)</f>
        <v>0</v>
      </c>
      <c r="J450" s="37">
        <f>IF(COUNTIFS('📋 Транзакції'!$B$5:$B$3623,A450,'📋 Транзакції'!$C$5:$C$3623,"&gt;="&amp;EDATE(DATEVALUE(C450&amp;"-01"),3),'📋 Транзакції'!$C$5:$C$3623,"&lt;"&amp;EDATE(DATEVALUE(C450&amp;"-01"),4))&gt;0,1,0)</f>
        <v>0</v>
      </c>
      <c r="K450" s="37">
        <f>IF(COUNTIFS('📋 Транзакції'!$B$5:$B$3623,A450,'📋 Транзакції'!$C$5:$C$3623,"&gt;="&amp;EDATE(DATEVALUE(C450&amp;"-01"),4),'📋 Транзакції'!$C$5:$C$3623,"&lt;"&amp;EDATE(DATEVALUE(C450&amp;"-01"),5))&gt;0,1,0)</f>
        <v>0</v>
      </c>
      <c r="L450" s="37">
        <f>IF(COUNTIFS('📋 Транзакції'!$B$5:$B$3623,A450,'📋 Транзакції'!$C$5:$C$3623,"&gt;="&amp;EDATE(DATEVALUE(C450&amp;"-01"),5),'📋 Транзакції'!$C$5:$C$3623,"&lt;"&amp;EDATE(DATEVALUE(C450&amp;"-01"),6))&gt;0,1,0)</f>
        <v>0</v>
      </c>
      <c r="M450" s="37">
        <f>IF(COUNTIFS('📋 Транзакції'!$B$5:$B$3623,A450,'📋 Транзакції'!$C$5:$C$3623,"&gt;="&amp;EDATE(DATEVALUE(C450&amp;"-01"),6),'📋 Транзакції'!$C$5:$C$3623,"&lt;"&amp;EDATE(DATEVALUE(C450&amp;"-01"),7))&gt;0,1,0)</f>
        <v>0</v>
      </c>
      <c r="N450" s="37">
        <f>IF(COUNTIFS('📋 Транзакції'!$B$5:$B$3623,A450,'📋 Транзакції'!$C$5:$C$3623,"&gt;="&amp;EDATE(DATEVALUE(C450&amp;"-01"),7),'📋 Транзакції'!$C$5:$C$3623,"&lt;"&amp;EDATE(DATEVALUE(C450&amp;"-01"),8))&gt;0,1,0)</f>
        <v>0</v>
      </c>
      <c r="O450" s="37">
        <f>IF(COUNTIFS('📋 Транзакції'!$B$5:$B$3623,A450,'📋 Транзакції'!$C$5:$C$3623,"&gt;="&amp;EDATE(DATEVALUE(C450&amp;"-01"),8),'📋 Транзакції'!$C$5:$C$3623,"&lt;"&amp;EDATE(DATEVALUE(C450&amp;"-01"),9))&gt;0,1,0)</f>
        <v>0</v>
      </c>
      <c r="P450" s="37">
        <f>IF(COUNTIFS('📋 Транзакції'!$B$5:$B$3623,A450,'📋 Транзакції'!$C$5:$C$3623,"&gt;="&amp;EDATE(DATEVALUE(C450&amp;"-01"),9),'📋 Транзакції'!$C$5:$C$3623,"&lt;"&amp;EDATE(DATEVALUE(C450&amp;"-01"),10))&gt;0,1,0)</f>
        <v>0</v>
      </c>
      <c r="Q450" s="37">
        <f>IF(COUNTIFS('📋 Транзакції'!$B$5:$B$3623,A450,'📋 Транзакції'!$C$5:$C$3623,"&gt;="&amp;EDATE(DATEVALUE(C450&amp;"-01"),10),'📋 Транзакції'!$C$5:$C$3623,"&lt;"&amp;EDATE(DATEVALUE(C450&amp;"-01"),11))&gt;0,1,0)</f>
        <v>0</v>
      </c>
      <c r="R450" s="37">
        <f>IF(COUNTIFS('📋 Транзакції'!$B$5:$B$3623,A450,'📋 Транзакції'!$C$5:$C$3623,"&gt;="&amp;EDATE(DATEVALUE(C450&amp;"-01"),11),'📋 Транзакції'!$C$5:$C$3623,"&lt;"&amp;EDATE(DATEVALUE(C450&amp;"-01"),12))&gt;0,1,0)</f>
        <v>0</v>
      </c>
      <c r="S450" s="37">
        <f>SUMIFS('📋 Транзакції'!$F$5:$F$3623,'📋 Транзакції'!$B$5:$B$3623,A450,'📋 Транзакції'!$C$5:$C$3623,"&gt;="&amp;EDATE(DATEVALUE(C450&amp;"-01"),0),'📋 Транзакції'!$C$5:$C$3623,"&lt;"&amp;EDATE(DATEVALUE(C450&amp;"-01"),1))</f>
        <v>0</v>
      </c>
      <c r="T450" s="37">
        <f>SUMIFS('📋 Транзакції'!$F$5:$F$3623,'📋 Транзакції'!$B$5:$B$3623,A450,'📋 Транзакції'!$C$5:$C$3623,"&gt;="&amp;EDATE(DATEVALUE(C450&amp;"-01"),1),'📋 Транзакції'!$C$5:$C$3623,"&lt;"&amp;EDATE(DATEVALUE(C450&amp;"-01"),2))</f>
        <v>39.98</v>
      </c>
      <c r="U450" s="37">
        <f>SUMIFS('📋 Транзакції'!$F$5:$F$3623,'📋 Транзакції'!$B$5:$B$3623,A450,'📋 Транзакції'!$C$5:$C$3623,"&gt;="&amp;EDATE(DATEVALUE(C450&amp;"-01"),2),'📋 Транзакції'!$C$5:$C$3623,"&lt;"&amp;EDATE(DATEVALUE(C450&amp;"-01"),3))</f>
        <v>0</v>
      </c>
      <c r="V450" s="37">
        <f>SUMIFS('📋 Транзакції'!$F$5:$F$3623,'📋 Транзакції'!$B$5:$B$3623,A450,'📋 Транзакції'!$C$5:$C$3623,"&gt;="&amp;EDATE(DATEVALUE(C450&amp;"-01"),3),'📋 Транзакції'!$C$5:$C$3623,"&lt;"&amp;EDATE(DATEVALUE(C450&amp;"-01"),4))</f>
        <v>0</v>
      </c>
      <c r="W450" s="37">
        <f>SUMIFS('📋 Транзакції'!$F$5:$F$3623,'📋 Транзакції'!$B$5:$B$3623,A450,'📋 Транзакції'!$C$5:$C$3623,"&gt;="&amp;EDATE(DATEVALUE(C450&amp;"-01"),4),'📋 Транзакції'!$C$5:$C$3623,"&lt;"&amp;EDATE(DATEVALUE(C450&amp;"-01"),5))</f>
        <v>0</v>
      </c>
      <c r="X450" s="37">
        <f>SUMIFS('📋 Транзакції'!$F$5:$F$3623,'📋 Транзакції'!$B$5:$B$3623,A450,'📋 Транзакції'!$C$5:$C$3623,"&gt;="&amp;EDATE(DATEVALUE(C450&amp;"-01"),5),'📋 Транзакції'!$C$5:$C$3623,"&lt;"&amp;EDATE(DATEVALUE(C450&amp;"-01"),6))</f>
        <v>0</v>
      </c>
      <c r="Y450" s="37">
        <f>SUMIFS('📋 Транзакції'!$F$5:$F$3623,'📋 Транзакції'!$B$5:$B$3623,A450,'📋 Транзакції'!$C$5:$C$3623,"&gt;="&amp;EDATE(DATEVALUE(C450&amp;"-01"),6),'📋 Транзакції'!$C$5:$C$3623,"&lt;"&amp;EDATE(DATEVALUE(C450&amp;"-01"),7))</f>
        <v>0</v>
      </c>
      <c r="Z450" s="37">
        <f>SUMIFS('📋 Транзакції'!$F$5:$F$3623,'📋 Транзакції'!$B$5:$B$3623,A450,'📋 Транзакції'!$C$5:$C$3623,"&gt;="&amp;EDATE(DATEVALUE(C450&amp;"-01"),7),'📋 Транзакції'!$C$5:$C$3623,"&lt;"&amp;EDATE(DATEVALUE(C450&amp;"-01"),8))</f>
        <v>0</v>
      </c>
      <c r="AA450" s="37">
        <f>SUMIFS('📋 Транзакції'!$F$5:$F$3623,'📋 Транзакції'!$B$5:$B$3623,A450,'📋 Транзакції'!$C$5:$C$3623,"&gt;="&amp;EDATE(DATEVALUE(C450&amp;"-01"),8),'📋 Транзакції'!$C$5:$C$3623,"&lt;"&amp;EDATE(DATEVALUE(C450&amp;"-01"),9))</f>
        <v>0</v>
      </c>
      <c r="AB450" s="37">
        <f>SUMIFS('📋 Транзакції'!$F$5:$F$3623,'📋 Транзакції'!$B$5:$B$3623,A450,'📋 Транзакції'!$C$5:$C$3623,"&gt;="&amp;EDATE(DATEVALUE(C450&amp;"-01"),9),'📋 Транзакції'!$C$5:$C$3623,"&lt;"&amp;EDATE(DATEVALUE(C450&amp;"-01"),10))</f>
        <v>0</v>
      </c>
      <c r="AC450" s="37">
        <f>SUMIFS('📋 Транзакції'!$F$5:$F$3623,'📋 Транзакції'!$B$5:$B$3623,A450,'📋 Транзакції'!$C$5:$C$3623,"&gt;="&amp;EDATE(DATEVALUE(C450&amp;"-01"),10),'📋 Транзакції'!$C$5:$C$3623,"&lt;"&amp;EDATE(DATEVALUE(C450&amp;"-01"),11))</f>
        <v>0</v>
      </c>
      <c r="AD450" s="37">
        <f>SUMIFS('📋 Транзакції'!$F$5:$F$3623,'📋 Транзакції'!$B$5:$B$3623,A450,'📋 Транзакції'!$C$5:$C$3623,"&gt;="&amp;EDATE(DATEVALUE(C450&amp;"-01"),11),'📋 Транзакції'!$C$5:$C$3623,"&lt;"&amp;EDATE(DATEVALUE(C450&amp;"-01"),12))</f>
        <v>0</v>
      </c>
    </row>
    <row r="451" ht="15.75" customHeight="1">
      <c r="A451" s="33" t="str">
        <f>'📋 Реєстрації'!A451:A1052</f>
        <v>U0462</v>
      </c>
      <c r="B451" s="34">
        <f t="array" ref="B451">INDEX('📋 Транзакції'!$C$5:$C$3623,MATCH(A451,'📋 Транзакції'!$B$5:$B$3623,0))</f>
        <v>45651</v>
      </c>
      <c r="C451" s="35" t="str">
        <f t="shared" si="1"/>
        <v>2024-12</v>
      </c>
      <c r="D451" s="36">
        <f>COUNTIF('📋 Транзакції'!$B$5:$B$3623,A451)</f>
        <v>4</v>
      </c>
      <c r="E451" s="36">
        <f>SUMIF('📋 Транзакції'!$B$5:$B$3623,A451,'📋 Транзакції'!$F$5:$F$3623)</f>
        <v>59.97</v>
      </c>
      <c r="F451" s="35">
        <f>INT($A$1-MAXIFS('📋 Транзакції'!$C$5:$C$3623,'📋 Транзакції'!$B$5:$B$3623,A451))</f>
        <v>29</v>
      </c>
      <c r="G451" s="37">
        <f>IF(COUNTIFS('📋 Транзакції'!$B$5:$B$3623,A451,'📋 Транзакції'!$C$5:$C$3623,"&gt;="&amp;EDATE(DATEVALUE(C451&amp;"-01"),0),'📋 Транзакції'!$C$5:$C$3623,"&lt;"&amp;EDATE(DATEVALUE(C451&amp;"-01"),1))&gt;0,1,0)</f>
        <v>1</v>
      </c>
      <c r="H451" s="37">
        <f>IF(COUNTIFS('📋 Транзакції'!$B$5:$B$3623,A451,'📋 Транзакції'!$C$5:$C$3623,"&gt;="&amp;EDATE(DATEVALUE(C451&amp;"-01"),1),'📋 Транзакції'!$C$5:$C$3623,"&lt;"&amp;EDATE(DATEVALUE(C451&amp;"-01"),2))&gt;0,1,0)</f>
        <v>1</v>
      </c>
      <c r="I451" s="37">
        <f>IF(COUNTIFS('📋 Транзакції'!$B$5:$B$3623,A451,'📋 Транзакції'!$C$5:$C$3623,"&gt;="&amp;EDATE(DATEVALUE(C451&amp;"-01"),2),'📋 Транзакції'!$C$5:$C$3623,"&lt;"&amp;EDATE(DATEVALUE(C451&amp;"-01"),3))&gt;0,1,0)</f>
        <v>0</v>
      </c>
      <c r="J451" s="37">
        <f>IF(COUNTIFS('📋 Транзакції'!$B$5:$B$3623,A451,'📋 Транзакції'!$C$5:$C$3623,"&gt;="&amp;EDATE(DATEVALUE(C451&amp;"-01"),3),'📋 Транзакції'!$C$5:$C$3623,"&lt;"&amp;EDATE(DATEVALUE(C451&amp;"-01"),4))&gt;0,1,0)</f>
        <v>1</v>
      </c>
      <c r="K451" s="37">
        <f>IF(COUNTIFS('📋 Транзакції'!$B$5:$B$3623,A451,'📋 Транзакції'!$C$5:$C$3623,"&gt;="&amp;EDATE(DATEVALUE(C451&amp;"-01"),4),'📋 Транзакції'!$C$5:$C$3623,"&lt;"&amp;EDATE(DATEVALUE(C451&amp;"-01"),5))&gt;0,1,0)</f>
        <v>0</v>
      </c>
      <c r="L451" s="37">
        <f>IF(COUNTIFS('📋 Транзакції'!$B$5:$B$3623,A451,'📋 Транзакції'!$C$5:$C$3623,"&gt;="&amp;EDATE(DATEVALUE(C451&amp;"-01"),5),'📋 Транзакції'!$C$5:$C$3623,"&lt;"&amp;EDATE(DATEVALUE(C451&amp;"-01"),6))&gt;0,1,0)</f>
        <v>0</v>
      </c>
      <c r="M451" s="37">
        <f>IF(COUNTIFS('📋 Транзакції'!$B$5:$B$3623,A451,'📋 Транзакції'!$C$5:$C$3623,"&gt;="&amp;EDATE(DATEVALUE(C451&amp;"-01"),6),'📋 Транзакції'!$C$5:$C$3623,"&lt;"&amp;EDATE(DATEVALUE(C451&amp;"-01"),7))&gt;0,1,0)</f>
        <v>0</v>
      </c>
      <c r="N451" s="37">
        <f>IF(COUNTIFS('📋 Транзакції'!$B$5:$B$3623,A451,'📋 Транзакції'!$C$5:$C$3623,"&gt;="&amp;EDATE(DATEVALUE(C451&amp;"-01"),7),'📋 Транзакції'!$C$5:$C$3623,"&lt;"&amp;EDATE(DATEVALUE(C451&amp;"-01"),8))&gt;0,1,0)</f>
        <v>0</v>
      </c>
      <c r="O451" s="37">
        <f>IF(COUNTIFS('📋 Транзакції'!$B$5:$B$3623,A451,'📋 Транзакції'!$C$5:$C$3623,"&gt;="&amp;EDATE(DATEVALUE(C451&amp;"-01"),8),'📋 Транзакції'!$C$5:$C$3623,"&lt;"&amp;EDATE(DATEVALUE(C451&amp;"-01"),9))&gt;0,1,0)</f>
        <v>0</v>
      </c>
      <c r="P451" s="37">
        <f>IF(COUNTIFS('📋 Транзакції'!$B$5:$B$3623,A451,'📋 Транзакції'!$C$5:$C$3623,"&gt;="&amp;EDATE(DATEVALUE(C451&amp;"-01"),9),'📋 Транзакції'!$C$5:$C$3623,"&lt;"&amp;EDATE(DATEVALUE(C451&amp;"-01"),10))&gt;0,1,0)</f>
        <v>0</v>
      </c>
      <c r="Q451" s="37">
        <f>IF(COUNTIFS('📋 Транзакції'!$B$5:$B$3623,A451,'📋 Транзакції'!$C$5:$C$3623,"&gt;="&amp;EDATE(DATEVALUE(C451&amp;"-01"),10),'📋 Транзакції'!$C$5:$C$3623,"&lt;"&amp;EDATE(DATEVALUE(C451&amp;"-01"),11))&gt;0,1,0)</f>
        <v>0</v>
      </c>
      <c r="R451" s="37">
        <f>IF(COUNTIFS('📋 Транзакції'!$B$5:$B$3623,A451,'📋 Транзакції'!$C$5:$C$3623,"&gt;="&amp;EDATE(DATEVALUE(C451&amp;"-01"),11),'📋 Транзакції'!$C$5:$C$3623,"&lt;"&amp;EDATE(DATEVALUE(C451&amp;"-01"),12))&gt;0,1,0)</f>
        <v>0</v>
      </c>
      <c r="S451" s="37">
        <f>SUMIFS('📋 Транзакції'!$F$5:$F$3623,'📋 Транзакції'!$B$5:$B$3623,A451,'📋 Транзакції'!$C$5:$C$3623,"&gt;="&amp;EDATE(DATEVALUE(C451&amp;"-01"),0),'📋 Транзакції'!$C$5:$C$3623,"&lt;"&amp;EDATE(DATEVALUE(C451&amp;"-01"),1))</f>
        <v>0</v>
      </c>
      <c r="T451" s="37">
        <f>SUMIFS('📋 Транзакції'!$F$5:$F$3623,'📋 Транзакції'!$B$5:$B$3623,A451,'📋 Транзакції'!$C$5:$C$3623,"&gt;="&amp;EDATE(DATEVALUE(C451&amp;"-01"),1),'📋 Транзакції'!$C$5:$C$3623,"&lt;"&amp;EDATE(DATEVALUE(C451&amp;"-01"),2))</f>
        <v>39.98</v>
      </c>
      <c r="U451" s="37">
        <f>SUMIFS('📋 Транзакції'!$F$5:$F$3623,'📋 Транзакції'!$B$5:$B$3623,A451,'📋 Транзакції'!$C$5:$C$3623,"&gt;="&amp;EDATE(DATEVALUE(C451&amp;"-01"),2),'📋 Транзакції'!$C$5:$C$3623,"&lt;"&amp;EDATE(DATEVALUE(C451&amp;"-01"),3))</f>
        <v>0</v>
      </c>
      <c r="V451" s="37">
        <f>SUMIFS('📋 Транзакції'!$F$5:$F$3623,'📋 Транзакції'!$B$5:$B$3623,A451,'📋 Транзакції'!$C$5:$C$3623,"&gt;="&amp;EDATE(DATEVALUE(C451&amp;"-01"),3),'📋 Транзакції'!$C$5:$C$3623,"&lt;"&amp;EDATE(DATEVALUE(C451&amp;"-01"),4))</f>
        <v>19.99</v>
      </c>
      <c r="W451" s="37">
        <f>SUMIFS('📋 Транзакції'!$F$5:$F$3623,'📋 Транзакції'!$B$5:$B$3623,A451,'📋 Транзакції'!$C$5:$C$3623,"&gt;="&amp;EDATE(DATEVALUE(C451&amp;"-01"),4),'📋 Транзакції'!$C$5:$C$3623,"&lt;"&amp;EDATE(DATEVALUE(C451&amp;"-01"),5))</f>
        <v>0</v>
      </c>
      <c r="X451" s="37">
        <f>SUMIFS('📋 Транзакції'!$F$5:$F$3623,'📋 Транзакції'!$B$5:$B$3623,A451,'📋 Транзакції'!$C$5:$C$3623,"&gt;="&amp;EDATE(DATEVALUE(C451&amp;"-01"),5),'📋 Транзакції'!$C$5:$C$3623,"&lt;"&amp;EDATE(DATEVALUE(C451&amp;"-01"),6))</f>
        <v>0</v>
      </c>
      <c r="Y451" s="37">
        <f>SUMIFS('📋 Транзакції'!$F$5:$F$3623,'📋 Транзакції'!$B$5:$B$3623,A451,'📋 Транзакції'!$C$5:$C$3623,"&gt;="&amp;EDATE(DATEVALUE(C451&amp;"-01"),6),'📋 Транзакції'!$C$5:$C$3623,"&lt;"&amp;EDATE(DATEVALUE(C451&amp;"-01"),7))</f>
        <v>0</v>
      </c>
      <c r="Z451" s="37">
        <f>SUMIFS('📋 Транзакції'!$F$5:$F$3623,'📋 Транзакції'!$B$5:$B$3623,A451,'📋 Транзакції'!$C$5:$C$3623,"&gt;="&amp;EDATE(DATEVALUE(C451&amp;"-01"),7),'📋 Транзакції'!$C$5:$C$3623,"&lt;"&amp;EDATE(DATEVALUE(C451&amp;"-01"),8))</f>
        <v>0</v>
      </c>
      <c r="AA451" s="37">
        <f>SUMIFS('📋 Транзакції'!$F$5:$F$3623,'📋 Транзакції'!$B$5:$B$3623,A451,'📋 Транзакції'!$C$5:$C$3623,"&gt;="&amp;EDATE(DATEVALUE(C451&amp;"-01"),8),'📋 Транзакції'!$C$5:$C$3623,"&lt;"&amp;EDATE(DATEVALUE(C451&amp;"-01"),9))</f>
        <v>0</v>
      </c>
      <c r="AB451" s="37">
        <f>SUMIFS('📋 Транзакції'!$F$5:$F$3623,'📋 Транзакції'!$B$5:$B$3623,A451,'📋 Транзакції'!$C$5:$C$3623,"&gt;="&amp;EDATE(DATEVALUE(C451&amp;"-01"),9),'📋 Транзакції'!$C$5:$C$3623,"&lt;"&amp;EDATE(DATEVALUE(C451&amp;"-01"),10))</f>
        <v>0</v>
      </c>
      <c r="AC451" s="37">
        <f>SUMIFS('📋 Транзакції'!$F$5:$F$3623,'📋 Транзакції'!$B$5:$B$3623,A451,'📋 Транзакції'!$C$5:$C$3623,"&gt;="&amp;EDATE(DATEVALUE(C451&amp;"-01"),10),'📋 Транзакції'!$C$5:$C$3623,"&lt;"&amp;EDATE(DATEVALUE(C451&amp;"-01"),11))</f>
        <v>0</v>
      </c>
      <c r="AD451" s="37">
        <f>SUMIFS('📋 Транзакції'!$F$5:$F$3623,'📋 Транзакції'!$B$5:$B$3623,A451,'📋 Транзакції'!$C$5:$C$3623,"&gt;="&amp;EDATE(DATEVALUE(C451&amp;"-01"),11),'📋 Транзакції'!$C$5:$C$3623,"&lt;"&amp;EDATE(DATEVALUE(C451&amp;"-01"),12))</f>
        <v>0</v>
      </c>
    </row>
    <row r="452" ht="15.75" customHeight="1">
      <c r="A452" s="33" t="str">
        <f>'📋 Реєстрації'!A452:A1053</f>
        <v>U0710</v>
      </c>
      <c r="B452" s="34">
        <f t="array" ref="B452">INDEX('📋 Транзакції'!$C$5:$C$3623,MATCH(A452,'📋 Транзакції'!$B$5:$B$3623,0))</f>
        <v>45653</v>
      </c>
      <c r="C452" s="35" t="str">
        <f t="shared" si="1"/>
        <v>2024-12</v>
      </c>
      <c r="D452" s="36">
        <f>COUNTIF('📋 Транзакції'!$B$5:$B$3623,A452)</f>
        <v>3</v>
      </c>
      <c r="E452" s="36">
        <f>SUMIF('📋 Транзакції'!$B$5:$B$3623,A452,'📋 Транзакції'!$F$5:$F$3623)</f>
        <v>39.98</v>
      </c>
      <c r="F452" s="35">
        <f>INT($A$1-MAXIFS('📋 Транзакції'!$C$5:$C$3623,'📋 Транзакції'!$B$5:$B$3623,A452))</f>
        <v>57</v>
      </c>
      <c r="G452" s="37">
        <f>IF(COUNTIFS('📋 Транзакції'!$B$5:$B$3623,A452,'📋 Транзакції'!$C$5:$C$3623,"&gt;="&amp;EDATE(DATEVALUE(C452&amp;"-01"),0),'📋 Транзакції'!$C$5:$C$3623,"&lt;"&amp;EDATE(DATEVALUE(C452&amp;"-01"),1))&gt;0,1,0)</f>
        <v>1</v>
      </c>
      <c r="H452" s="37">
        <f>IF(COUNTIFS('📋 Транзакції'!$B$5:$B$3623,A452,'📋 Транзакції'!$C$5:$C$3623,"&gt;="&amp;EDATE(DATEVALUE(C452&amp;"-01"),1),'📋 Транзакції'!$C$5:$C$3623,"&lt;"&amp;EDATE(DATEVALUE(C452&amp;"-01"),2))&gt;0,1,0)</f>
        <v>1</v>
      </c>
      <c r="I452" s="37">
        <f>IF(COUNTIFS('📋 Транзакції'!$B$5:$B$3623,A452,'📋 Транзакції'!$C$5:$C$3623,"&gt;="&amp;EDATE(DATEVALUE(C452&amp;"-01"),2),'📋 Транзакції'!$C$5:$C$3623,"&lt;"&amp;EDATE(DATEVALUE(C452&amp;"-01"),3))&gt;0,1,0)</f>
        <v>1</v>
      </c>
      <c r="J452" s="37">
        <f>IF(COUNTIFS('📋 Транзакції'!$B$5:$B$3623,A452,'📋 Транзакції'!$C$5:$C$3623,"&gt;="&amp;EDATE(DATEVALUE(C452&amp;"-01"),3),'📋 Транзакції'!$C$5:$C$3623,"&lt;"&amp;EDATE(DATEVALUE(C452&amp;"-01"),4))&gt;0,1,0)</f>
        <v>0</v>
      </c>
      <c r="K452" s="37">
        <f>IF(COUNTIFS('📋 Транзакції'!$B$5:$B$3623,A452,'📋 Транзакції'!$C$5:$C$3623,"&gt;="&amp;EDATE(DATEVALUE(C452&amp;"-01"),4),'📋 Транзакції'!$C$5:$C$3623,"&lt;"&amp;EDATE(DATEVALUE(C452&amp;"-01"),5))&gt;0,1,0)</f>
        <v>0</v>
      </c>
      <c r="L452" s="37">
        <f>IF(COUNTIFS('📋 Транзакції'!$B$5:$B$3623,A452,'📋 Транзакції'!$C$5:$C$3623,"&gt;="&amp;EDATE(DATEVALUE(C452&amp;"-01"),5),'📋 Транзакції'!$C$5:$C$3623,"&lt;"&amp;EDATE(DATEVALUE(C452&amp;"-01"),6))&gt;0,1,0)</f>
        <v>0</v>
      </c>
      <c r="M452" s="37">
        <f>IF(COUNTIFS('📋 Транзакції'!$B$5:$B$3623,A452,'📋 Транзакції'!$C$5:$C$3623,"&gt;="&amp;EDATE(DATEVALUE(C452&amp;"-01"),6),'📋 Транзакції'!$C$5:$C$3623,"&lt;"&amp;EDATE(DATEVALUE(C452&amp;"-01"),7))&gt;0,1,0)</f>
        <v>0</v>
      </c>
      <c r="N452" s="37">
        <f>IF(COUNTIFS('📋 Транзакції'!$B$5:$B$3623,A452,'📋 Транзакції'!$C$5:$C$3623,"&gt;="&amp;EDATE(DATEVALUE(C452&amp;"-01"),7),'📋 Транзакції'!$C$5:$C$3623,"&lt;"&amp;EDATE(DATEVALUE(C452&amp;"-01"),8))&gt;0,1,0)</f>
        <v>0</v>
      </c>
      <c r="O452" s="37">
        <f>IF(COUNTIFS('📋 Транзакції'!$B$5:$B$3623,A452,'📋 Транзакції'!$C$5:$C$3623,"&gt;="&amp;EDATE(DATEVALUE(C452&amp;"-01"),8),'📋 Транзакції'!$C$5:$C$3623,"&lt;"&amp;EDATE(DATEVALUE(C452&amp;"-01"),9))&gt;0,1,0)</f>
        <v>0</v>
      </c>
      <c r="P452" s="37">
        <f>IF(COUNTIFS('📋 Транзакції'!$B$5:$B$3623,A452,'📋 Транзакції'!$C$5:$C$3623,"&gt;="&amp;EDATE(DATEVALUE(C452&amp;"-01"),9),'📋 Транзакції'!$C$5:$C$3623,"&lt;"&amp;EDATE(DATEVALUE(C452&amp;"-01"),10))&gt;0,1,0)</f>
        <v>0</v>
      </c>
      <c r="Q452" s="37">
        <f>IF(COUNTIFS('📋 Транзакції'!$B$5:$B$3623,A452,'📋 Транзакції'!$C$5:$C$3623,"&gt;="&amp;EDATE(DATEVALUE(C452&amp;"-01"),10),'📋 Транзакції'!$C$5:$C$3623,"&lt;"&amp;EDATE(DATEVALUE(C452&amp;"-01"),11))&gt;0,1,0)</f>
        <v>0</v>
      </c>
      <c r="R452" s="37">
        <f>IF(COUNTIFS('📋 Транзакції'!$B$5:$B$3623,A452,'📋 Транзакції'!$C$5:$C$3623,"&gt;="&amp;EDATE(DATEVALUE(C452&amp;"-01"),11),'📋 Транзакції'!$C$5:$C$3623,"&lt;"&amp;EDATE(DATEVALUE(C452&amp;"-01"),12))&gt;0,1,0)</f>
        <v>0</v>
      </c>
      <c r="S452" s="37">
        <f>SUMIFS('📋 Транзакції'!$F$5:$F$3623,'📋 Транзакції'!$B$5:$B$3623,A452,'📋 Транзакції'!$C$5:$C$3623,"&gt;="&amp;EDATE(DATEVALUE(C452&amp;"-01"),0),'📋 Транзакції'!$C$5:$C$3623,"&lt;"&amp;EDATE(DATEVALUE(C452&amp;"-01"),1))</f>
        <v>0</v>
      </c>
      <c r="T452" s="37">
        <f>SUMIFS('📋 Транзакції'!$F$5:$F$3623,'📋 Транзакції'!$B$5:$B$3623,A452,'📋 Транзакції'!$C$5:$C$3623,"&gt;="&amp;EDATE(DATEVALUE(C452&amp;"-01"),1),'📋 Транзакції'!$C$5:$C$3623,"&lt;"&amp;EDATE(DATEVALUE(C452&amp;"-01"),2))</f>
        <v>19.99</v>
      </c>
      <c r="U452" s="37">
        <f>SUMIFS('📋 Транзакції'!$F$5:$F$3623,'📋 Транзакції'!$B$5:$B$3623,A452,'📋 Транзакції'!$C$5:$C$3623,"&gt;="&amp;EDATE(DATEVALUE(C452&amp;"-01"),2),'📋 Транзакції'!$C$5:$C$3623,"&lt;"&amp;EDATE(DATEVALUE(C452&amp;"-01"),3))</f>
        <v>19.99</v>
      </c>
      <c r="V452" s="37">
        <f>SUMIFS('📋 Транзакції'!$F$5:$F$3623,'📋 Транзакції'!$B$5:$B$3623,A452,'📋 Транзакції'!$C$5:$C$3623,"&gt;="&amp;EDATE(DATEVALUE(C452&amp;"-01"),3),'📋 Транзакції'!$C$5:$C$3623,"&lt;"&amp;EDATE(DATEVALUE(C452&amp;"-01"),4))</f>
        <v>0</v>
      </c>
      <c r="W452" s="37">
        <f>SUMIFS('📋 Транзакції'!$F$5:$F$3623,'📋 Транзакції'!$B$5:$B$3623,A452,'📋 Транзакції'!$C$5:$C$3623,"&gt;="&amp;EDATE(DATEVALUE(C452&amp;"-01"),4),'📋 Транзакції'!$C$5:$C$3623,"&lt;"&amp;EDATE(DATEVALUE(C452&amp;"-01"),5))</f>
        <v>0</v>
      </c>
      <c r="X452" s="37">
        <f>SUMIFS('📋 Транзакції'!$F$5:$F$3623,'📋 Транзакції'!$B$5:$B$3623,A452,'📋 Транзакції'!$C$5:$C$3623,"&gt;="&amp;EDATE(DATEVALUE(C452&amp;"-01"),5),'📋 Транзакції'!$C$5:$C$3623,"&lt;"&amp;EDATE(DATEVALUE(C452&amp;"-01"),6))</f>
        <v>0</v>
      </c>
      <c r="Y452" s="37">
        <f>SUMIFS('📋 Транзакції'!$F$5:$F$3623,'📋 Транзакції'!$B$5:$B$3623,A452,'📋 Транзакції'!$C$5:$C$3623,"&gt;="&amp;EDATE(DATEVALUE(C452&amp;"-01"),6),'📋 Транзакції'!$C$5:$C$3623,"&lt;"&amp;EDATE(DATEVALUE(C452&amp;"-01"),7))</f>
        <v>0</v>
      </c>
      <c r="Z452" s="37">
        <f>SUMIFS('📋 Транзакції'!$F$5:$F$3623,'📋 Транзакції'!$B$5:$B$3623,A452,'📋 Транзакції'!$C$5:$C$3623,"&gt;="&amp;EDATE(DATEVALUE(C452&amp;"-01"),7),'📋 Транзакції'!$C$5:$C$3623,"&lt;"&amp;EDATE(DATEVALUE(C452&amp;"-01"),8))</f>
        <v>0</v>
      </c>
      <c r="AA452" s="37">
        <f>SUMIFS('📋 Транзакції'!$F$5:$F$3623,'📋 Транзакції'!$B$5:$B$3623,A452,'📋 Транзакції'!$C$5:$C$3623,"&gt;="&amp;EDATE(DATEVALUE(C452&amp;"-01"),8),'📋 Транзакції'!$C$5:$C$3623,"&lt;"&amp;EDATE(DATEVALUE(C452&amp;"-01"),9))</f>
        <v>0</v>
      </c>
      <c r="AB452" s="37">
        <f>SUMIFS('📋 Транзакції'!$F$5:$F$3623,'📋 Транзакції'!$B$5:$B$3623,A452,'📋 Транзакції'!$C$5:$C$3623,"&gt;="&amp;EDATE(DATEVALUE(C452&amp;"-01"),9),'📋 Транзакції'!$C$5:$C$3623,"&lt;"&amp;EDATE(DATEVALUE(C452&amp;"-01"),10))</f>
        <v>0</v>
      </c>
      <c r="AC452" s="37">
        <f>SUMIFS('📋 Транзакції'!$F$5:$F$3623,'📋 Транзакції'!$B$5:$B$3623,A452,'📋 Транзакції'!$C$5:$C$3623,"&gt;="&amp;EDATE(DATEVALUE(C452&amp;"-01"),10),'📋 Транзакції'!$C$5:$C$3623,"&lt;"&amp;EDATE(DATEVALUE(C452&amp;"-01"),11))</f>
        <v>0</v>
      </c>
      <c r="AD452" s="37">
        <f>SUMIFS('📋 Транзакції'!$F$5:$F$3623,'📋 Транзакції'!$B$5:$B$3623,A452,'📋 Транзакції'!$C$5:$C$3623,"&gt;="&amp;EDATE(DATEVALUE(C452&amp;"-01"),11),'📋 Транзакції'!$C$5:$C$3623,"&lt;"&amp;EDATE(DATEVALUE(C452&amp;"-01"),12))</f>
        <v>0</v>
      </c>
    </row>
    <row r="453" ht="15.75" customHeight="1">
      <c r="A453" s="33" t="str">
        <f>'📋 Реєстрації'!A453:A1054</f>
        <v>U0597</v>
      </c>
      <c r="B453" s="34">
        <f t="array" ref="B453">INDEX('📋 Транзакції'!$C$5:$C$3623,MATCH(A453,'📋 Транзакції'!$B$5:$B$3623,0))</f>
        <v>45654</v>
      </c>
      <c r="C453" s="35" t="str">
        <f t="shared" si="1"/>
        <v>2024-12</v>
      </c>
      <c r="D453" s="36">
        <f>COUNTIF('📋 Транзакції'!$B$5:$B$3623,A453)</f>
        <v>2</v>
      </c>
      <c r="E453" s="36">
        <f>SUMIF('📋 Транзакції'!$B$5:$B$3623,A453,'📋 Транзакції'!$F$5:$F$3623)</f>
        <v>19.99</v>
      </c>
      <c r="F453" s="35">
        <f>INT($A$1-MAXIFS('📋 Транзакції'!$C$5:$C$3623,'📋 Транзакції'!$B$5:$B$3623,A453))</f>
        <v>86</v>
      </c>
      <c r="G453" s="37">
        <f>IF(COUNTIFS('📋 Транзакції'!$B$5:$B$3623,A453,'📋 Транзакції'!$C$5:$C$3623,"&gt;="&amp;EDATE(DATEVALUE(C453&amp;"-01"),0),'📋 Транзакції'!$C$5:$C$3623,"&lt;"&amp;EDATE(DATEVALUE(C453&amp;"-01"),1))&gt;0,1,0)</f>
        <v>1</v>
      </c>
      <c r="H453" s="37">
        <f>IF(COUNTIFS('📋 Транзакції'!$B$5:$B$3623,A453,'📋 Транзакції'!$C$5:$C$3623,"&gt;="&amp;EDATE(DATEVALUE(C453&amp;"-01"),1),'📋 Транзакції'!$C$5:$C$3623,"&lt;"&amp;EDATE(DATEVALUE(C453&amp;"-01"),2))&gt;0,1,0)</f>
        <v>1</v>
      </c>
      <c r="I453" s="37">
        <f>IF(COUNTIFS('📋 Транзакції'!$B$5:$B$3623,A453,'📋 Транзакції'!$C$5:$C$3623,"&gt;="&amp;EDATE(DATEVALUE(C453&amp;"-01"),2),'📋 Транзакції'!$C$5:$C$3623,"&lt;"&amp;EDATE(DATEVALUE(C453&amp;"-01"),3))&gt;0,1,0)</f>
        <v>0</v>
      </c>
      <c r="J453" s="37">
        <f>IF(COUNTIFS('📋 Транзакції'!$B$5:$B$3623,A453,'📋 Транзакції'!$C$5:$C$3623,"&gt;="&amp;EDATE(DATEVALUE(C453&amp;"-01"),3),'📋 Транзакції'!$C$5:$C$3623,"&lt;"&amp;EDATE(DATEVALUE(C453&amp;"-01"),4))&gt;0,1,0)</f>
        <v>0</v>
      </c>
      <c r="K453" s="37">
        <f>IF(COUNTIFS('📋 Транзакції'!$B$5:$B$3623,A453,'📋 Транзакції'!$C$5:$C$3623,"&gt;="&amp;EDATE(DATEVALUE(C453&amp;"-01"),4),'📋 Транзакції'!$C$5:$C$3623,"&lt;"&amp;EDATE(DATEVALUE(C453&amp;"-01"),5))&gt;0,1,0)</f>
        <v>0</v>
      </c>
      <c r="L453" s="37">
        <f>IF(COUNTIFS('📋 Транзакції'!$B$5:$B$3623,A453,'📋 Транзакції'!$C$5:$C$3623,"&gt;="&amp;EDATE(DATEVALUE(C453&amp;"-01"),5),'📋 Транзакції'!$C$5:$C$3623,"&lt;"&amp;EDATE(DATEVALUE(C453&amp;"-01"),6))&gt;0,1,0)</f>
        <v>0</v>
      </c>
      <c r="M453" s="37">
        <f>IF(COUNTIFS('📋 Транзакції'!$B$5:$B$3623,A453,'📋 Транзакції'!$C$5:$C$3623,"&gt;="&amp;EDATE(DATEVALUE(C453&amp;"-01"),6),'📋 Транзакції'!$C$5:$C$3623,"&lt;"&amp;EDATE(DATEVALUE(C453&amp;"-01"),7))&gt;0,1,0)</f>
        <v>0</v>
      </c>
      <c r="N453" s="37">
        <f>IF(COUNTIFS('📋 Транзакції'!$B$5:$B$3623,A453,'📋 Транзакції'!$C$5:$C$3623,"&gt;="&amp;EDATE(DATEVALUE(C453&amp;"-01"),7),'📋 Транзакції'!$C$5:$C$3623,"&lt;"&amp;EDATE(DATEVALUE(C453&amp;"-01"),8))&gt;0,1,0)</f>
        <v>0</v>
      </c>
      <c r="O453" s="37">
        <f>IF(COUNTIFS('📋 Транзакції'!$B$5:$B$3623,A453,'📋 Транзакції'!$C$5:$C$3623,"&gt;="&amp;EDATE(DATEVALUE(C453&amp;"-01"),8),'📋 Транзакції'!$C$5:$C$3623,"&lt;"&amp;EDATE(DATEVALUE(C453&amp;"-01"),9))&gt;0,1,0)</f>
        <v>0</v>
      </c>
      <c r="P453" s="37">
        <f>IF(COUNTIFS('📋 Транзакції'!$B$5:$B$3623,A453,'📋 Транзакції'!$C$5:$C$3623,"&gt;="&amp;EDATE(DATEVALUE(C453&amp;"-01"),9),'📋 Транзакції'!$C$5:$C$3623,"&lt;"&amp;EDATE(DATEVALUE(C453&amp;"-01"),10))&gt;0,1,0)</f>
        <v>0</v>
      </c>
      <c r="Q453" s="37">
        <f>IF(COUNTIFS('📋 Транзакції'!$B$5:$B$3623,A453,'📋 Транзакції'!$C$5:$C$3623,"&gt;="&amp;EDATE(DATEVALUE(C453&amp;"-01"),10),'📋 Транзакції'!$C$5:$C$3623,"&lt;"&amp;EDATE(DATEVALUE(C453&amp;"-01"),11))&gt;0,1,0)</f>
        <v>0</v>
      </c>
      <c r="R453" s="37">
        <f>IF(COUNTIFS('📋 Транзакції'!$B$5:$B$3623,A453,'📋 Транзакції'!$C$5:$C$3623,"&gt;="&amp;EDATE(DATEVALUE(C453&amp;"-01"),11),'📋 Транзакції'!$C$5:$C$3623,"&lt;"&amp;EDATE(DATEVALUE(C453&amp;"-01"),12))&gt;0,1,0)</f>
        <v>0</v>
      </c>
      <c r="S453" s="37">
        <f>SUMIFS('📋 Транзакції'!$F$5:$F$3623,'📋 Транзакції'!$B$5:$B$3623,A453,'📋 Транзакції'!$C$5:$C$3623,"&gt;="&amp;EDATE(DATEVALUE(C453&amp;"-01"),0),'📋 Транзакції'!$C$5:$C$3623,"&lt;"&amp;EDATE(DATEVALUE(C453&amp;"-01"),1))</f>
        <v>0</v>
      </c>
      <c r="T453" s="37">
        <f>SUMIFS('📋 Транзакції'!$F$5:$F$3623,'📋 Транзакції'!$B$5:$B$3623,A453,'📋 Транзакції'!$C$5:$C$3623,"&gt;="&amp;EDATE(DATEVALUE(C453&amp;"-01"),1),'📋 Транзакції'!$C$5:$C$3623,"&lt;"&amp;EDATE(DATEVALUE(C453&amp;"-01"),2))</f>
        <v>19.99</v>
      </c>
      <c r="U453" s="37">
        <f>SUMIFS('📋 Транзакції'!$F$5:$F$3623,'📋 Транзакції'!$B$5:$B$3623,A453,'📋 Транзакції'!$C$5:$C$3623,"&gt;="&amp;EDATE(DATEVALUE(C453&amp;"-01"),2),'📋 Транзакції'!$C$5:$C$3623,"&lt;"&amp;EDATE(DATEVALUE(C453&amp;"-01"),3))</f>
        <v>0</v>
      </c>
      <c r="V453" s="37">
        <f>SUMIFS('📋 Транзакції'!$F$5:$F$3623,'📋 Транзакції'!$B$5:$B$3623,A453,'📋 Транзакції'!$C$5:$C$3623,"&gt;="&amp;EDATE(DATEVALUE(C453&amp;"-01"),3),'📋 Транзакції'!$C$5:$C$3623,"&lt;"&amp;EDATE(DATEVALUE(C453&amp;"-01"),4))</f>
        <v>0</v>
      </c>
      <c r="W453" s="37">
        <f>SUMIFS('📋 Транзакції'!$F$5:$F$3623,'📋 Транзакції'!$B$5:$B$3623,A453,'📋 Транзакції'!$C$5:$C$3623,"&gt;="&amp;EDATE(DATEVALUE(C453&amp;"-01"),4),'📋 Транзакції'!$C$5:$C$3623,"&lt;"&amp;EDATE(DATEVALUE(C453&amp;"-01"),5))</f>
        <v>0</v>
      </c>
      <c r="X453" s="37">
        <f>SUMIFS('📋 Транзакції'!$F$5:$F$3623,'📋 Транзакції'!$B$5:$B$3623,A453,'📋 Транзакції'!$C$5:$C$3623,"&gt;="&amp;EDATE(DATEVALUE(C453&amp;"-01"),5),'📋 Транзакції'!$C$5:$C$3623,"&lt;"&amp;EDATE(DATEVALUE(C453&amp;"-01"),6))</f>
        <v>0</v>
      </c>
      <c r="Y453" s="37">
        <f>SUMIFS('📋 Транзакції'!$F$5:$F$3623,'📋 Транзакції'!$B$5:$B$3623,A453,'📋 Транзакції'!$C$5:$C$3623,"&gt;="&amp;EDATE(DATEVALUE(C453&amp;"-01"),6),'📋 Транзакції'!$C$5:$C$3623,"&lt;"&amp;EDATE(DATEVALUE(C453&amp;"-01"),7))</f>
        <v>0</v>
      </c>
      <c r="Z453" s="37">
        <f>SUMIFS('📋 Транзакції'!$F$5:$F$3623,'📋 Транзакції'!$B$5:$B$3623,A453,'📋 Транзакції'!$C$5:$C$3623,"&gt;="&amp;EDATE(DATEVALUE(C453&amp;"-01"),7),'📋 Транзакції'!$C$5:$C$3623,"&lt;"&amp;EDATE(DATEVALUE(C453&amp;"-01"),8))</f>
        <v>0</v>
      </c>
      <c r="AA453" s="37">
        <f>SUMIFS('📋 Транзакції'!$F$5:$F$3623,'📋 Транзакції'!$B$5:$B$3623,A453,'📋 Транзакції'!$C$5:$C$3623,"&gt;="&amp;EDATE(DATEVALUE(C453&amp;"-01"),8),'📋 Транзакції'!$C$5:$C$3623,"&lt;"&amp;EDATE(DATEVALUE(C453&amp;"-01"),9))</f>
        <v>0</v>
      </c>
      <c r="AB453" s="37">
        <f>SUMIFS('📋 Транзакції'!$F$5:$F$3623,'📋 Транзакції'!$B$5:$B$3623,A453,'📋 Транзакції'!$C$5:$C$3623,"&gt;="&amp;EDATE(DATEVALUE(C453&amp;"-01"),9),'📋 Транзакції'!$C$5:$C$3623,"&lt;"&amp;EDATE(DATEVALUE(C453&amp;"-01"),10))</f>
        <v>0</v>
      </c>
      <c r="AC453" s="37">
        <f>SUMIFS('📋 Транзакції'!$F$5:$F$3623,'📋 Транзакції'!$B$5:$B$3623,A453,'📋 Транзакції'!$C$5:$C$3623,"&gt;="&amp;EDATE(DATEVALUE(C453&amp;"-01"),10),'📋 Транзакції'!$C$5:$C$3623,"&lt;"&amp;EDATE(DATEVALUE(C453&amp;"-01"),11))</f>
        <v>0</v>
      </c>
      <c r="AD453" s="37">
        <f>SUMIFS('📋 Транзакції'!$F$5:$F$3623,'📋 Транзакції'!$B$5:$B$3623,A453,'📋 Транзакції'!$C$5:$C$3623,"&gt;="&amp;EDATE(DATEVALUE(C453&amp;"-01"),11),'📋 Транзакції'!$C$5:$C$3623,"&lt;"&amp;EDATE(DATEVALUE(C453&amp;"-01"),12))</f>
        <v>0</v>
      </c>
    </row>
    <row r="454" ht="15.75" customHeight="1">
      <c r="A454" s="33" t="str">
        <f>'📋 Реєстрації'!A454:A1055</f>
        <v>U0781</v>
      </c>
      <c r="B454" s="34">
        <f t="array" ref="B454">INDEX('📋 Транзакції'!$C$5:$C$3623,MATCH(A454,'📋 Транзакції'!$B$5:$B$3623,0))</f>
        <v>45654</v>
      </c>
      <c r="C454" s="35" t="str">
        <f t="shared" si="1"/>
        <v>2024-12</v>
      </c>
      <c r="D454" s="36">
        <f>COUNTIF('📋 Транзакції'!$B$5:$B$3623,A454)</f>
        <v>4</v>
      </c>
      <c r="E454" s="36">
        <f>SUMIF('📋 Транзакції'!$B$5:$B$3623,A454,'📋 Транзакції'!$F$5:$F$3623)</f>
        <v>59.97</v>
      </c>
      <c r="F454" s="35">
        <f>INT($A$1-MAXIFS('📋 Транзакції'!$C$5:$C$3623,'📋 Транзакції'!$B$5:$B$3623,A454))</f>
        <v>26</v>
      </c>
      <c r="G454" s="37">
        <f>IF(COUNTIFS('📋 Транзакції'!$B$5:$B$3623,A454,'📋 Транзакції'!$C$5:$C$3623,"&gt;="&amp;EDATE(DATEVALUE(C454&amp;"-01"),0),'📋 Транзакції'!$C$5:$C$3623,"&lt;"&amp;EDATE(DATEVALUE(C454&amp;"-01"),1))&gt;0,1,0)</f>
        <v>1</v>
      </c>
      <c r="H454" s="37">
        <f>IF(COUNTIFS('📋 Транзакції'!$B$5:$B$3623,A454,'📋 Транзакції'!$C$5:$C$3623,"&gt;="&amp;EDATE(DATEVALUE(C454&amp;"-01"),1),'📋 Транзакції'!$C$5:$C$3623,"&lt;"&amp;EDATE(DATEVALUE(C454&amp;"-01"),2))&gt;0,1,0)</f>
        <v>1</v>
      </c>
      <c r="I454" s="37">
        <f>IF(COUNTIFS('📋 Транзакції'!$B$5:$B$3623,A454,'📋 Транзакції'!$C$5:$C$3623,"&gt;="&amp;EDATE(DATEVALUE(C454&amp;"-01"),2),'📋 Транзакції'!$C$5:$C$3623,"&lt;"&amp;EDATE(DATEVALUE(C454&amp;"-01"),3))&gt;0,1,0)</f>
        <v>1</v>
      </c>
      <c r="J454" s="37">
        <f>IF(COUNTIFS('📋 Транзакції'!$B$5:$B$3623,A454,'📋 Транзакції'!$C$5:$C$3623,"&gt;="&amp;EDATE(DATEVALUE(C454&amp;"-01"),3),'📋 Транзакції'!$C$5:$C$3623,"&lt;"&amp;EDATE(DATEVALUE(C454&amp;"-01"),4))&gt;0,1,0)</f>
        <v>1</v>
      </c>
      <c r="K454" s="37">
        <f>IF(COUNTIFS('📋 Транзакції'!$B$5:$B$3623,A454,'📋 Транзакції'!$C$5:$C$3623,"&gt;="&amp;EDATE(DATEVALUE(C454&amp;"-01"),4),'📋 Транзакції'!$C$5:$C$3623,"&lt;"&amp;EDATE(DATEVALUE(C454&amp;"-01"),5))&gt;0,1,0)</f>
        <v>0</v>
      </c>
      <c r="L454" s="37">
        <f>IF(COUNTIFS('📋 Транзакції'!$B$5:$B$3623,A454,'📋 Транзакції'!$C$5:$C$3623,"&gt;="&amp;EDATE(DATEVALUE(C454&amp;"-01"),5),'📋 Транзакції'!$C$5:$C$3623,"&lt;"&amp;EDATE(DATEVALUE(C454&amp;"-01"),6))&gt;0,1,0)</f>
        <v>0</v>
      </c>
      <c r="M454" s="37">
        <f>IF(COUNTIFS('📋 Транзакції'!$B$5:$B$3623,A454,'📋 Транзакції'!$C$5:$C$3623,"&gt;="&amp;EDATE(DATEVALUE(C454&amp;"-01"),6),'📋 Транзакції'!$C$5:$C$3623,"&lt;"&amp;EDATE(DATEVALUE(C454&amp;"-01"),7))&gt;0,1,0)</f>
        <v>0</v>
      </c>
      <c r="N454" s="37">
        <f>IF(COUNTIFS('📋 Транзакції'!$B$5:$B$3623,A454,'📋 Транзакції'!$C$5:$C$3623,"&gt;="&amp;EDATE(DATEVALUE(C454&amp;"-01"),7),'📋 Транзакції'!$C$5:$C$3623,"&lt;"&amp;EDATE(DATEVALUE(C454&amp;"-01"),8))&gt;0,1,0)</f>
        <v>0</v>
      </c>
      <c r="O454" s="37">
        <f>IF(COUNTIFS('📋 Транзакції'!$B$5:$B$3623,A454,'📋 Транзакції'!$C$5:$C$3623,"&gt;="&amp;EDATE(DATEVALUE(C454&amp;"-01"),8),'📋 Транзакції'!$C$5:$C$3623,"&lt;"&amp;EDATE(DATEVALUE(C454&amp;"-01"),9))&gt;0,1,0)</f>
        <v>0</v>
      </c>
      <c r="P454" s="37">
        <f>IF(COUNTIFS('📋 Транзакції'!$B$5:$B$3623,A454,'📋 Транзакції'!$C$5:$C$3623,"&gt;="&amp;EDATE(DATEVALUE(C454&amp;"-01"),9),'📋 Транзакції'!$C$5:$C$3623,"&lt;"&amp;EDATE(DATEVALUE(C454&amp;"-01"),10))&gt;0,1,0)</f>
        <v>0</v>
      </c>
      <c r="Q454" s="37">
        <f>IF(COUNTIFS('📋 Транзакції'!$B$5:$B$3623,A454,'📋 Транзакції'!$C$5:$C$3623,"&gt;="&amp;EDATE(DATEVALUE(C454&amp;"-01"),10),'📋 Транзакції'!$C$5:$C$3623,"&lt;"&amp;EDATE(DATEVALUE(C454&amp;"-01"),11))&gt;0,1,0)</f>
        <v>0</v>
      </c>
      <c r="R454" s="37">
        <f>IF(COUNTIFS('📋 Транзакції'!$B$5:$B$3623,A454,'📋 Транзакції'!$C$5:$C$3623,"&gt;="&amp;EDATE(DATEVALUE(C454&amp;"-01"),11),'📋 Транзакції'!$C$5:$C$3623,"&lt;"&amp;EDATE(DATEVALUE(C454&amp;"-01"),12))&gt;0,1,0)</f>
        <v>0</v>
      </c>
      <c r="S454" s="37">
        <f>SUMIFS('📋 Транзакції'!$F$5:$F$3623,'📋 Транзакції'!$B$5:$B$3623,A454,'📋 Транзакції'!$C$5:$C$3623,"&gt;="&amp;EDATE(DATEVALUE(C454&amp;"-01"),0),'📋 Транзакції'!$C$5:$C$3623,"&lt;"&amp;EDATE(DATEVALUE(C454&amp;"-01"),1))</f>
        <v>0</v>
      </c>
      <c r="T454" s="37">
        <f>SUMIFS('📋 Транзакції'!$F$5:$F$3623,'📋 Транзакції'!$B$5:$B$3623,A454,'📋 Транзакції'!$C$5:$C$3623,"&gt;="&amp;EDATE(DATEVALUE(C454&amp;"-01"),1),'📋 Транзакції'!$C$5:$C$3623,"&lt;"&amp;EDATE(DATEVALUE(C454&amp;"-01"),2))</f>
        <v>19.99</v>
      </c>
      <c r="U454" s="37">
        <f>SUMIFS('📋 Транзакції'!$F$5:$F$3623,'📋 Транзакції'!$B$5:$B$3623,A454,'📋 Транзакції'!$C$5:$C$3623,"&gt;="&amp;EDATE(DATEVALUE(C454&amp;"-01"),2),'📋 Транзакції'!$C$5:$C$3623,"&lt;"&amp;EDATE(DATEVALUE(C454&amp;"-01"),3))</f>
        <v>19.99</v>
      </c>
      <c r="V454" s="37">
        <f>SUMIFS('📋 Транзакції'!$F$5:$F$3623,'📋 Транзакції'!$B$5:$B$3623,A454,'📋 Транзакції'!$C$5:$C$3623,"&gt;="&amp;EDATE(DATEVALUE(C454&amp;"-01"),3),'📋 Транзакції'!$C$5:$C$3623,"&lt;"&amp;EDATE(DATEVALUE(C454&amp;"-01"),4))</f>
        <v>19.99</v>
      </c>
      <c r="W454" s="37">
        <f>SUMIFS('📋 Транзакції'!$F$5:$F$3623,'📋 Транзакції'!$B$5:$B$3623,A454,'📋 Транзакції'!$C$5:$C$3623,"&gt;="&amp;EDATE(DATEVALUE(C454&amp;"-01"),4),'📋 Транзакції'!$C$5:$C$3623,"&lt;"&amp;EDATE(DATEVALUE(C454&amp;"-01"),5))</f>
        <v>0</v>
      </c>
      <c r="X454" s="37">
        <f>SUMIFS('📋 Транзакції'!$F$5:$F$3623,'📋 Транзакції'!$B$5:$B$3623,A454,'📋 Транзакції'!$C$5:$C$3623,"&gt;="&amp;EDATE(DATEVALUE(C454&amp;"-01"),5),'📋 Транзакції'!$C$5:$C$3623,"&lt;"&amp;EDATE(DATEVALUE(C454&amp;"-01"),6))</f>
        <v>0</v>
      </c>
      <c r="Y454" s="37">
        <f>SUMIFS('📋 Транзакції'!$F$5:$F$3623,'📋 Транзакції'!$B$5:$B$3623,A454,'📋 Транзакції'!$C$5:$C$3623,"&gt;="&amp;EDATE(DATEVALUE(C454&amp;"-01"),6),'📋 Транзакції'!$C$5:$C$3623,"&lt;"&amp;EDATE(DATEVALUE(C454&amp;"-01"),7))</f>
        <v>0</v>
      </c>
      <c r="Z454" s="37">
        <f>SUMIFS('📋 Транзакції'!$F$5:$F$3623,'📋 Транзакції'!$B$5:$B$3623,A454,'📋 Транзакції'!$C$5:$C$3623,"&gt;="&amp;EDATE(DATEVALUE(C454&amp;"-01"),7),'📋 Транзакції'!$C$5:$C$3623,"&lt;"&amp;EDATE(DATEVALUE(C454&amp;"-01"),8))</f>
        <v>0</v>
      </c>
      <c r="AA454" s="37">
        <f>SUMIFS('📋 Транзакції'!$F$5:$F$3623,'📋 Транзакції'!$B$5:$B$3623,A454,'📋 Транзакції'!$C$5:$C$3623,"&gt;="&amp;EDATE(DATEVALUE(C454&amp;"-01"),8),'📋 Транзакції'!$C$5:$C$3623,"&lt;"&amp;EDATE(DATEVALUE(C454&amp;"-01"),9))</f>
        <v>0</v>
      </c>
      <c r="AB454" s="37">
        <f>SUMIFS('📋 Транзакції'!$F$5:$F$3623,'📋 Транзакції'!$B$5:$B$3623,A454,'📋 Транзакції'!$C$5:$C$3623,"&gt;="&amp;EDATE(DATEVALUE(C454&amp;"-01"),9),'📋 Транзакції'!$C$5:$C$3623,"&lt;"&amp;EDATE(DATEVALUE(C454&amp;"-01"),10))</f>
        <v>0</v>
      </c>
      <c r="AC454" s="37">
        <f>SUMIFS('📋 Транзакції'!$F$5:$F$3623,'📋 Транзакції'!$B$5:$B$3623,A454,'📋 Транзакції'!$C$5:$C$3623,"&gt;="&amp;EDATE(DATEVALUE(C454&amp;"-01"),10),'📋 Транзакції'!$C$5:$C$3623,"&lt;"&amp;EDATE(DATEVALUE(C454&amp;"-01"),11))</f>
        <v>0</v>
      </c>
      <c r="AD454" s="37">
        <f>SUMIFS('📋 Транзакції'!$F$5:$F$3623,'📋 Транзакції'!$B$5:$B$3623,A454,'📋 Транзакції'!$C$5:$C$3623,"&gt;="&amp;EDATE(DATEVALUE(C454&amp;"-01"),11),'📋 Транзакції'!$C$5:$C$3623,"&lt;"&amp;EDATE(DATEVALUE(C454&amp;"-01"),12))</f>
        <v>0</v>
      </c>
    </row>
    <row r="455" ht="15.75" customHeight="1">
      <c r="A455" s="33" t="str">
        <f>'📋 Реєстрації'!A455:A1056</f>
        <v>U0347</v>
      </c>
      <c r="B455" s="34">
        <f t="array" ref="B455">INDEX('📋 Транзакції'!$C$5:$C$3623,MATCH(A455,'📋 Транзакції'!$B$5:$B$3623,0))</f>
        <v>45656</v>
      </c>
      <c r="C455" s="35" t="str">
        <f t="shared" si="1"/>
        <v>2024-12</v>
      </c>
      <c r="D455" s="36">
        <f>COUNTIF('📋 Транзакції'!$B$5:$B$3623,A455)</f>
        <v>4</v>
      </c>
      <c r="E455" s="36">
        <f>SUMIF('📋 Транзакції'!$B$5:$B$3623,A455,'📋 Транзакції'!$F$5:$F$3623)</f>
        <v>59.97</v>
      </c>
      <c r="F455" s="35">
        <f>INT($A$1-MAXIFS('📋 Транзакції'!$C$5:$C$3623,'📋 Транзакції'!$B$5:$B$3623,A455))</f>
        <v>24</v>
      </c>
      <c r="G455" s="37">
        <f>IF(COUNTIFS('📋 Транзакції'!$B$5:$B$3623,A455,'📋 Транзакції'!$C$5:$C$3623,"&gt;="&amp;EDATE(DATEVALUE(C455&amp;"-01"),0),'📋 Транзакції'!$C$5:$C$3623,"&lt;"&amp;EDATE(DATEVALUE(C455&amp;"-01"),1))&gt;0,1,0)</f>
        <v>1</v>
      </c>
      <c r="H455" s="37">
        <f>IF(COUNTIFS('📋 Транзакції'!$B$5:$B$3623,A455,'📋 Транзакції'!$C$5:$C$3623,"&gt;="&amp;EDATE(DATEVALUE(C455&amp;"-01"),1),'📋 Транзакції'!$C$5:$C$3623,"&lt;"&amp;EDATE(DATEVALUE(C455&amp;"-01"),2))&gt;0,1,0)</f>
        <v>1</v>
      </c>
      <c r="I455" s="37">
        <f>IF(COUNTIFS('📋 Транзакції'!$B$5:$B$3623,A455,'📋 Транзакції'!$C$5:$C$3623,"&gt;="&amp;EDATE(DATEVALUE(C455&amp;"-01"),2),'📋 Транзакції'!$C$5:$C$3623,"&lt;"&amp;EDATE(DATEVALUE(C455&amp;"-01"),3))&gt;0,1,0)</f>
        <v>1</v>
      </c>
      <c r="J455" s="37">
        <f>IF(COUNTIFS('📋 Транзакції'!$B$5:$B$3623,A455,'📋 Транзакції'!$C$5:$C$3623,"&gt;="&amp;EDATE(DATEVALUE(C455&amp;"-01"),3),'📋 Транзакції'!$C$5:$C$3623,"&lt;"&amp;EDATE(DATEVALUE(C455&amp;"-01"),4))&gt;0,1,0)</f>
        <v>1</v>
      </c>
      <c r="K455" s="37">
        <f>IF(COUNTIFS('📋 Транзакції'!$B$5:$B$3623,A455,'📋 Транзакції'!$C$5:$C$3623,"&gt;="&amp;EDATE(DATEVALUE(C455&amp;"-01"),4),'📋 Транзакції'!$C$5:$C$3623,"&lt;"&amp;EDATE(DATEVALUE(C455&amp;"-01"),5))&gt;0,1,0)</f>
        <v>0</v>
      </c>
      <c r="L455" s="37">
        <f>IF(COUNTIFS('📋 Транзакції'!$B$5:$B$3623,A455,'📋 Транзакції'!$C$5:$C$3623,"&gt;="&amp;EDATE(DATEVALUE(C455&amp;"-01"),5),'📋 Транзакції'!$C$5:$C$3623,"&lt;"&amp;EDATE(DATEVALUE(C455&amp;"-01"),6))&gt;0,1,0)</f>
        <v>0</v>
      </c>
      <c r="M455" s="37">
        <f>IF(COUNTIFS('📋 Транзакції'!$B$5:$B$3623,A455,'📋 Транзакції'!$C$5:$C$3623,"&gt;="&amp;EDATE(DATEVALUE(C455&amp;"-01"),6),'📋 Транзакції'!$C$5:$C$3623,"&lt;"&amp;EDATE(DATEVALUE(C455&amp;"-01"),7))&gt;0,1,0)</f>
        <v>0</v>
      </c>
      <c r="N455" s="37">
        <f>IF(COUNTIFS('📋 Транзакції'!$B$5:$B$3623,A455,'📋 Транзакції'!$C$5:$C$3623,"&gt;="&amp;EDATE(DATEVALUE(C455&amp;"-01"),7),'📋 Транзакції'!$C$5:$C$3623,"&lt;"&amp;EDATE(DATEVALUE(C455&amp;"-01"),8))&gt;0,1,0)</f>
        <v>0</v>
      </c>
      <c r="O455" s="37">
        <f>IF(COUNTIFS('📋 Транзакції'!$B$5:$B$3623,A455,'📋 Транзакції'!$C$5:$C$3623,"&gt;="&amp;EDATE(DATEVALUE(C455&amp;"-01"),8),'📋 Транзакції'!$C$5:$C$3623,"&lt;"&amp;EDATE(DATEVALUE(C455&amp;"-01"),9))&gt;0,1,0)</f>
        <v>0</v>
      </c>
      <c r="P455" s="37">
        <f>IF(COUNTIFS('📋 Транзакції'!$B$5:$B$3623,A455,'📋 Транзакції'!$C$5:$C$3623,"&gt;="&amp;EDATE(DATEVALUE(C455&amp;"-01"),9),'📋 Транзакції'!$C$5:$C$3623,"&lt;"&amp;EDATE(DATEVALUE(C455&amp;"-01"),10))&gt;0,1,0)</f>
        <v>0</v>
      </c>
      <c r="Q455" s="37">
        <f>IF(COUNTIFS('📋 Транзакції'!$B$5:$B$3623,A455,'📋 Транзакції'!$C$5:$C$3623,"&gt;="&amp;EDATE(DATEVALUE(C455&amp;"-01"),10),'📋 Транзакції'!$C$5:$C$3623,"&lt;"&amp;EDATE(DATEVALUE(C455&amp;"-01"),11))&gt;0,1,0)</f>
        <v>0</v>
      </c>
      <c r="R455" s="37">
        <f>IF(COUNTIFS('📋 Транзакції'!$B$5:$B$3623,A455,'📋 Транзакції'!$C$5:$C$3623,"&gt;="&amp;EDATE(DATEVALUE(C455&amp;"-01"),11),'📋 Транзакції'!$C$5:$C$3623,"&lt;"&amp;EDATE(DATEVALUE(C455&amp;"-01"),12))&gt;0,1,0)</f>
        <v>0</v>
      </c>
      <c r="S455" s="37">
        <f>SUMIFS('📋 Транзакції'!$F$5:$F$3623,'📋 Транзакції'!$B$5:$B$3623,A455,'📋 Транзакції'!$C$5:$C$3623,"&gt;="&amp;EDATE(DATEVALUE(C455&amp;"-01"),0),'📋 Транзакції'!$C$5:$C$3623,"&lt;"&amp;EDATE(DATEVALUE(C455&amp;"-01"),1))</f>
        <v>0</v>
      </c>
      <c r="T455" s="37">
        <f>SUMIFS('📋 Транзакції'!$F$5:$F$3623,'📋 Транзакції'!$B$5:$B$3623,A455,'📋 Транзакції'!$C$5:$C$3623,"&gt;="&amp;EDATE(DATEVALUE(C455&amp;"-01"),1),'📋 Транзакції'!$C$5:$C$3623,"&lt;"&amp;EDATE(DATEVALUE(C455&amp;"-01"),2))</f>
        <v>19.99</v>
      </c>
      <c r="U455" s="37">
        <f>SUMIFS('📋 Транзакції'!$F$5:$F$3623,'📋 Транзакції'!$B$5:$B$3623,A455,'📋 Транзакції'!$C$5:$C$3623,"&gt;="&amp;EDATE(DATEVALUE(C455&amp;"-01"),2),'📋 Транзакції'!$C$5:$C$3623,"&lt;"&amp;EDATE(DATEVALUE(C455&amp;"-01"),3))</f>
        <v>19.99</v>
      </c>
      <c r="V455" s="37">
        <f>SUMIFS('📋 Транзакції'!$F$5:$F$3623,'📋 Транзакції'!$B$5:$B$3623,A455,'📋 Транзакції'!$C$5:$C$3623,"&gt;="&amp;EDATE(DATEVALUE(C455&amp;"-01"),3),'📋 Транзакції'!$C$5:$C$3623,"&lt;"&amp;EDATE(DATEVALUE(C455&amp;"-01"),4))</f>
        <v>19.99</v>
      </c>
      <c r="W455" s="37">
        <f>SUMIFS('📋 Транзакції'!$F$5:$F$3623,'📋 Транзакції'!$B$5:$B$3623,A455,'📋 Транзакції'!$C$5:$C$3623,"&gt;="&amp;EDATE(DATEVALUE(C455&amp;"-01"),4),'📋 Транзакції'!$C$5:$C$3623,"&lt;"&amp;EDATE(DATEVALUE(C455&amp;"-01"),5))</f>
        <v>0</v>
      </c>
      <c r="X455" s="37">
        <f>SUMIFS('📋 Транзакції'!$F$5:$F$3623,'📋 Транзакції'!$B$5:$B$3623,A455,'📋 Транзакції'!$C$5:$C$3623,"&gt;="&amp;EDATE(DATEVALUE(C455&amp;"-01"),5),'📋 Транзакції'!$C$5:$C$3623,"&lt;"&amp;EDATE(DATEVALUE(C455&amp;"-01"),6))</f>
        <v>0</v>
      </c>
      <c r="Y455" s="37">
        <f>SUMIFS('📋 Транзакції'!$F$5:$F$3623,'📋 Транзакції'!$B$5:$B$3623,A455,'📋 Транзакції'!$C$5:$C$3623,"&gt;="&amp;EDATE(DATEVALUE(C455&amp;"-01"),6),'📋 Транзакції'!$C$5:$C$3623,"&lt;"&amp;EDATE(DATEVALUE(C455&amp;"-01"),7))</f>
        <v>0</v>
      </c>
      <c r="Z455" s="37">
        <f>SUMIFS('📋 Транзакції'!$F$5:$F$3623,'📋 Транзакції'!$B$5:$B$3623,A455,'📋 Транзакції'!$C$5:$C$3623,"&gt;="&amp;EDATE(DATEVALUE(C455&amp;"-01"),7),'📋 Транзакції'!$C$5:$C$3623,"&lt;"&amp;EDATE(DATEVALUE(C455&amp;"-01"),8))</f>
        <v>0</v>
      </c>
      <c r="AA455" s="37">
        <f>SUMIFS('📋 Транзакції'!$F$5:$F$3623,'📋 Транзакції'!$B$5:$B$3623,A455,'📋 Транзакції'!$C$5:$C$3623,"&gt;="&amp;EDATE(DATEVALUE(C455&amp;"-01"),8),'📋 Транзакції'!$C$5:$C$3623,"&lt;"&amp;EDATE(DATEVALUE(C455&amp;"-01"),9))</f>
        <v>0</v>
      </c>
      <c r="AB455" s="37">
        <f>SUMIFS('📋 Транзакції'!$F$5:$F$3623,'📋 Транзакції'!$B$5:$B$3623,A455,'📋 Транзакції'!$C$5:$C$3623,"&gt;="&amp;EDATE(DATEVALUE(C455&amp;"-01"),9),'📋 Транзакції'!$C$5:$C$3623,"&lt;"&amp;EDATE(DATEVALUE(C455&amp;"-01"),10))</f>
        <v>0</v>
      </c>
      <c r="AC455" s="37">
        <f>SUMIFS('📋 Транзакції'!$F$5:$F$3623,'📋 Транзакції'!$B$5:$B$3623,A455,'📋 Транзакції'!$C$5:$C$3623,"&gt;="&amp;EDATE(DATEVALUE(C455&amp;"-01"),10),'📋 Транзакції'!$C$5:$C$3623,"&lt;"&amp;EDATE(DATEVALUE(C455&amp;"-01"),11))</f>
        <v>0</v>
      </c>
      <c r="AD455" s="37">
        <f>SUMIFS('📋 Транзакції'!$F$5:$F$3623,'📋 Транзакції'!$B$5:$B$3623,A455,'📋 Транзакції'!$C$5:$C$3623,"&gt;="&amp;EDATE(DATEVALUE(C455&amp;"-01"),11),'📋 Транзакції'!$C$5:$C$3623,"&lt;"&amp;EDATE(DATEVALUE(C455&amp;"-01"),12))</f>
        <v>0</v>
      </c>
    </row>
    <row r="456" ht="15.75" customHeight="1">
      <c r="A456" s="33" t="str">
        <f>'📋 Реєстрації'!A456:A1057</f>
        <v>U0882</v>
      </c>
      <c r="B456" s="34">
        <f t="array" ref="B456">INDEX('📋 Транзакції'!$C$5:$C$3623,MATCH(A456,'📋 Транзакції'!$B$5:$B$3623,0))</f>
        <v>45656</v>
      </c>
      <c r="C456" s="35" t="str">
        <f t="shared" si="1"/>
        <v>2024-12</v>
      </c>
      <c r="D456" s="36">
        <f>COUNTIF('📋 Транзакції'!$B$5:$B$3623,A456)</f>
        <v>4</v>
      </c>
      <c r="E456" s="36">
        <f>SUMIF('📋 Транзакції'!$B$5:$B$3623,A456,'📋 Транзакції'!$F$5:$F$3623)</f>
        <v>59.97</v>
      </c>
      <c r="F456" s="35">
        <f>INT($A$1-MAXIFS('📋 Транзакції'!$C$5:$C$3623,'📋 Транзакції'!$B$5:$B$3623,A456))</f>
        <v>24</v>
      </c>
      <c r="G456" s="37">
        <f>IF(COUNTIFS('📋 Транзакції'!$B$5:$B$3623,A456,'📋 Транзакції'!$C$5:$C$3623,"&gt;="&amp;EDATE(DATEVALUE(C456&amp;"-01"),0),'📋 Транзакції'!$C$5:$C$3623,"&lt;"&amp;EDATE(DATEVALUE(C456&amp;"-01"),1))&gt;0,1,0)</f>
        <v>1</v>
      </c>
      <c r="H456" s="37">
        <f>IF(COUNTIFS('📋 Транзакції'!$B$5:$B$3623,A456,'📋 Транзакції'!$C$5:$C$3623,"&gt;="&amp;EDATE(DATEVALUE(C456&amp;"-01"),1),'📋 Транзакції'!$C$5:$C$3623,"&lt;"&amp;EDATE(DATEVALUE(C456&amp;"-01"),2))&gt;0,1,0)</f>
        <v>1</v>
      </c>
      <c r="I456" s="37">
        <f>IF(COUNTIFS('📋 Транзакції'!$B$5:$B$3623,A456,'📋 Транзакції'!$C$5:$C$3623,"&gt;="&amp;EDATE(DATEVALUE(C456&amp;"-01"),2),'📋 Транзакції'!$C$5:$C$3623,"&lt;"&amp;EDATE(DATEVALUE(C456&amp;"-01"),3))&gt;0,1,0)</f>
        <v>1</v>
      </c>
      <c r="J456" s="37">
        <f>IF(COUNTIFS('📋 Транзакції'!$B$5:$B$3623,A456,'📋 Транзакції'!$C$5:$C$3623,"&gt;="&amp;EDATE(DATEVALUE(C456&amp;"-01"),3),'📋 Транзакції'!$C$5:$C$3623,"&lt;"&amp;EDATE(DATEVALUE(C456&amp;"-01"),4))&gt;0,1,0)</f>
        <v>1</v>
      </c>
      <c r="K456" s="37">
        <f>IF(COUNTIFS('📋 Транзакції'!$B$5:$B$3623,A456,'📋 Транзакції'!$C$5:$C$3623,"&gt;="&amp;EDATE(DATEVALUE(C456&amp;"-01"),4),'📋 Транзакції'!$C$5:$C$3623,"&lt;"&amp;EDATE(DATEVALUE(C456&amp;"-01"),5))&gt;0,1,0)</f>
        <v>0</v>
      </c>
      <c r="L456" s="37">
        <f>IF(COUNTIFS('📋 Транзакції'!$B$5:$B$3623,A456,'📋 Транзакції'!$C$5:$C$3623,"&gt;="&amp;EDATE(DATEVALUE(C456&amp;"-01"),5),'📋 Транзакції'!$C$5:$C$3623,"&lt;"&amp;EDATE(DATEVALUE(C456&amp;"-01"),6))&gt;0,1,0)</f>
        <v>0</v>
      </c>
      <c r="M456" s="37">
        <f>IF(COUNTIFS('📋 Транзакції'!$B$5:$B$3623,A456,'📋 Транзакції'!$C$5:$C$3623,"&gt;="&amp;EDATE(DATEVALUE(C456&amp;"-01"),6),'📋 Транзакції'!$C$5:$C$3623,"&lt;"&amp;EDATE(DATEVALUE(C456&amp;"-01"),7))&gt;0,1,0)</f>
        <v>0</v>
      </c>
      <c r="N456" s="37">
        <f>IF(COUNTIFS('📋 Транзакції'!$B$5:$B$3623,A456,'📋 Транзакції'!$C$5:$C$3623,"&gt;="&amp;EDATE(DATEVALUE(C456&amp;"-01"),7),'📋 Транзакції'!$C$5:$C$3623,"&lt;"&amp;EDATE(DATEVALUE(C456&amp;"-01"),8))&gt;0,1,0)</f>
        <v>0</v>
      </c>
      <c r="O456" s="37">
        <f>IF(COUNTIFS('📋 Транзакції'!$B$5:$B$3623,A456,'📋 Транзакції'!$C$5:$C$3623,"&gt;="&amp;EDATE(DATEVALUE(C456&amp;"-01"),8),'📋 Транзакції'!$C$5:$C$3623,"&lt;"&amp;EDATE(DATEVALUE(C456&amp;"-01"),9))&gt;0,1,0)</f>
        <v>0</v>
      </c>
      <c r="P456" s="37">
        <f>IF(COUNTIFS('📋 Транзакції'!$B$5:$B$3623,A456,'📋 Транзакції'!$C$5:$C$3623,"&gt;="&amp;EDATE(DATEVALUE(C456&amp;"-01"),9),'📋 Транзакції'!$C$5:$C$3623,"&lt;"&amp;EDATE(DATEVALUE(C456&amp;"-01"),10))&gt;0,1,0)</f>
        <v>0</v>
      </c>
      <c r="Q456" s="37">
        <f>IF(COUNTIFS('📋 Транзакції'!$B$5:$B$3623,A456,'📋 Транзакції'!$C$5:$C$3623,"&gt;="&amp;EDATE(DATEVALUE(C456&amp;"-01"),10),'📋 Транзакції'!$C$5:$C$3623,"&lt;"&amp;EDATE(DATEVALUE(C456&amp;"-01"),11))&gt;0,1,0)</f>
        <v>0</v>
      </c>
      <c r="R456" s="37">
        <f>IF(COUNTIFS('📋 Транзакції'!$B$5:$B$3623,A456,'📋 Транзакції'!$C$5:$C$3623,"&gt;="&amp;EDATE(DATEVALUE(C456&amp;"-01"),11),'📋 Транзакції'!$C$5:$C$3623,"&lt;"&amp;EDATE(DATEVALUE(C456&amp;"-01"),12))&gt;0,1,0)</f>
        <v>0</v>
      </c>
      <c r="S456" s="37">
        <f>SUMIFS('📋 Транзакції'!$F$5:$F$3623,'📋 Транзакції'!$B$5:$B$3623,A456,'📋 Транзакції'!$C$5:$C$3623,"&gt;="&amp;EDATE(DATEVALUE(C456&amp;"-01"),0),'📋 Транзакції'!$C$5:$C$3623,"&lt;"&amp;EDATE(DATEVALUE(C456&amp;"-01"),1))</f>
        <v>0</v>
      </c>
      <c r="T456" s="37">
        <f>SUMIFS('📋 Транзакції'!$F$5:$F$3623,'📋 Транзакції'!$B$5:$B$3623,A456,'📋 Транзакції'!$C$5:$C$3623,"&gt;="&amp;EDATE(DATEVALUE(C456&amp;"-01"),1),'📋 Транзакції'!$C$5:$C$3623,"&lt;"&amp;EDATE(DATEVALUE(C456&amp;"-01"),2))</f>
        <v>19.99</v>
      </c>
      <c r="U456" s="37">
        <f>SUMIFS('📋 Транзакції'!$F$5:$F$3623,'📋 Транзакції'!$B$5:$B$3623,A456,'📋 Транзакції'!$C$5:$C$3623,"&gt;="&amp;EDATE(DATEVALUE(C456&amp;"-01"),2),'📋 Транзакції'!$C$5:$C$3623,"&lt;"&amp;EDATE(DATEVALUE(C456&amp;"-01"),3))</f>
        <v>19.99</v>
      </c>
      <c r="V456" s="37">
        <f>SUMIFS('📋 Транзакції'!$F$5:$F$3623,'📋 Транзакції'!$B$5:$B$3623,A456,'📋 Транзакції'!$C$5:$C$3623,"&gt;="&amp;EDATE(DATEVALUE(C456&amp;"-01"),3),'📋 Транзакції'!$C$5:$C$3623,"&lt;"&amp;EDATE(DATEVALUE(C456&amp;"-01"),4))</f>
        <v>19.99</v>
      </c>
      <c r="W456" s="37">
        <f>SUMIFS('📋 Транзакції'!$F$5:$F$3623,'📋 Транзакції'!$B$5:$B$3623,A456,'📋 Транзакції'!$C$5:$C$3623,"&gt;="&amp;EDATE(DATEVALUE(C456&amp;"-01"),4),'📋 Транзакції'!$C$5:$C$3623,"&lt;"&amp;EDATE(DATEVALUE(C456&amp;"-01"),5))</f>
        <v>0</v>
      </c>
      <c r="X456" s="37">
        <f>SUMIFS('📋 Транзакції'!$F$5:$F$3623,'📋 Транзакції'!$B$5:$B$3623,A456,'📋 Транзакції'!$C$5:$C$3623,"&gt;="&amp;EDATE(DATEVALUE(C456&amp;"-01"),5),'📋 Транзакції'!$C$5:$C$3623,"&lt;"&amp;EDATE(DATEVALUE(C456&amp;"-01"),6))</f>
        <v>0</v>
      </c>
      <c r="Y456" s="37">
        <f>SUMIFS('📋 Транзакції'!$F$5:$F$3623,'📋 Транзакції'!$B$5:$B$3623,A456,'📋 Транзакції'!$C$5:$C$3623,"&gt;="&amp;EDATE(DATEVALUE(C456&amp;"-01"),6),'📋 Транзакції'!$C$5:$C$3623,"&lt;"&amp;EDATE(DATEVALUE(C456&amp;"-01"),7))</f>
        <v>0</v>
      </c>
      <c r="Z456" s="37">
        <f>SUMIFS('📋 Транзакції'!$F$5:$F$3623,'📋 Транзакції'!$B$5:$B$3623,A456,'📋 Транзакції'!$C$5:$C$3623,"&gt;="&amp;EDATE(DATEVALUE(C456&amp;"-01"),7),'📋 Транзакції'!$C$5:$C$3623,"&lt;"&amp;EDATE(DATEVALUE(C456&amp;"-01"),8))</f>
        <v>0</v>
      </c>
      <c r="AA456" s="37">
        <f>SUMIFS('📋 Транзакції'!$F$5:$F$3623,'📋 Транзакції'!$B$5:$B$3623,A456,'📋 Транзакції'!$C$5:$C$3623,"&gt;="&amp;EDATE(DATEVALUE(C456&amp;"-01"),8),'📋 Транзакції'!$C$5:$C$3623,"&lt;"&amp;EDATE(DATEVALUE(C456&amp;"-01"),9))</f>
        <v>0</v>
      </c>
      <c r="AB456" s="37">
        <f>SUMIFS('📋 Транзакції'!$F$5:$F$3623,'📋 Транзакції'!$B$5:$B$3623,A456,'📋 Транзакції'!$C$5:$C$3623,"&gt;="&amp;EDATE(DATEVALUE(C456&amp;"-01"),9),'📋 Транзакції'!$C$5:$C$3623,"&lt;"&amp;EDATE(DATEVALUE(C456&amp;"-01"),10))</f>
        <v>0</v>
      </c>
      <c r="AC456" s="37">
        <f>SUMIFS('📋 Транзакції'!$F$5:$F$3623,'📋 Транзакції'!$B$5:$B$3623,A456,'📋 Транзакції'!$C$5:$C$3623,"&gt;="&amp;EDATE(DATEVALUE(C456&amp;"-01"),10),'📋 Транзакції'!$C$5:$C$3623,"&lt;"&amp;EDATE(DATEVALUE(C456&amp;"-01"),11))</f>
        <v>0</v>
      </c>
      <c r="AD456" s="37">
        <f>SUMIFS('📋 Транзакції'!$F$5:$F$3623,'📋 Транзакції'!$B$5:$B$3623,A456,'📋 Транзакції'!$C$5:$C$3623,"&gt;="&amp;EDATE(DATEVALUE(C456&amp;"-01"),11),'📋 Транзакції'!$C$5:$C$3623,"&lt;"&amp;EDATE(DATEVALUE(C456&amp;"-01"),12))</f>
        <v>0</v>
      </c>
    </row>
    <row r="457" ht="15.75" customHeight="1">
      <c r="A457" s="33" t="str">
        <f>'📋 Реєстрації'!A457:A1058</f>
        <v>U0304</v>
      </c>
      <c r="B457" s="34">
        <f t="array" ref="B457">INDEX('📋 Транзакції'!$C$5:$C$3623,MATCH(A457,'📋 Транзакції'!$B$5:$B$3623,0))</f>
        <v>45657</v>
      </c>
      <c r="C457" s="35" t="str">
        <f t="shared" si="1"/>
        <v>2024-12</v>
      </c>
      <c r="D457" s="36">
        <f>COUNTIF('📋 Транзакції'!$B$5:$B$3623,A457)</f>
        <v>3</v>
      </c>
      <c r="E457" s="36">
        <f>SUMIF('📋 Транзакції'!$B$5:$B$3623,A457,'📋 Транзакції'!$F$5:$F$3623)</f>
        <v>39.98</v>
      </c>
      <c r="F457" s="35">
        <f>INT($A$1-MAXIFS('📋 Транзакції'!$C$5:$C$3623,'📋 Транзакції'!$B$5:$B$3623,A457))</f>
        <v>53</v>
      </c>
      <c r="G457" s="37">
        <f>IF(COUNTIFS('📋 Транзакції'!$B$5:$B$3623,A457,'📋 Транзакції'!$C$5:$C$3623,"&gt;="&amp;EDATE(DATEVALUE(C457&amp;"-01"),0),'📋 Транзакції'!$C$5:$C$3623,"&lt;"&amp;EDATE(DATEVALUE(C457&amp;"-01"),1))&gt;0,1,0)</f>
        <v>1</v>
      </c>
      <c r="H457" s="37">
        <f>IF(COUNTIFS('📋 Транзакції'!$B$5:$B$3623,A457,'📋 Транзакції'!$C$5:$C$3623,"&gt;="&amp;EDATE(DATEVALUE(C457&amp;"-01"),1),'📋 Транзакції'!$C$5:$C$3623,"&lt;"&amp;EDATE(DATEVALUE(C457&amp;"-01"),2))&gt;0,1,0)</f>
        <v>1</v>
      </c>
      <c r="I457" s="37">
        <f>IF(COUNTIFS('📋 Транзакції'!$B$5:$B$3623,A457,'📋 Транзакції'!$C$5:$C$3623,"&gt;="&amp;EDATE(DATEVALUE(C457&amp;"-01"),2),'📋 Транзакції'!$C$5:$C$3623,"&lt;"&amp;EDATE(DATEVALUE(C457&amp;"-01"),3))&gt;0,1,0)</f>
        <v>1</v>
      </c>
      <c r="J457" s="37">
        <f>IF(COUNTIFS('📋 Транзакції'!$B$5:$B$3623,A457,'📋 Транзакції'!$C$5:$C$3623,"&gt;="&amp;EDATE(DATEVALUE(C457&amp;"-01"),3),'📋 Транзакції'!$C$5:$C$3623,"&lt;"&amp;EDATE(DATEVALUE(C457&amp;"-01"),4))&gt;0,1,0)</f>
        <v>0</v>
      </c>
      <c r="K457" s="37">
        <f>IF(COUNTIFS('📋 Транзакції'!$B$5:$B$3623,A457,'📋 Транзакції'!$C$5:$C$3623,"&gt;="&amp;EDATE(DATEVALUE(C457&amp;"-01"),4),'📋 Транзакції'!$C$5:$C$3623,"&lt;"&amp;EDATE(DATEVALUE(C457&amp;"-01"),5))&gt;0,1,0)</f>
        <v>0</v>
      </c>
      <c r="L457" s="37">
        <f>IF(COUNTIFS('📋 Транзакції'!$B$5:$B$3623,A457,'📋 Транзакції'!$C$5:$C$3623,"&gt;="&amp;EDATE(DATEVALUE(C457&amp;"-01"),5),'📋 Транзакції'!$C$5:$C$3623,"&lt;"&amp;EDATE(DATEVALUE(C457&amp;"-01"),6))&gt;0,1,0)</f>
        <v>0</v>
      </c>
      <c r="M457" s="37">
        <f>IF(COUNTIFS('📋 Транзакції'!$B$5:$B$3623,A457,'📋 Транзакції'!$C$5:$C$3623,"&gt;="&amp;EDATE(DATEVALUE(C457&amp;"-01"),6),'📋 Транзакції'!$C$5:$C$3623,"&lt;"&amp;EDATE(DATEVALUE(C457&amp;"-01"),7))&gt;0,1,0)</f>
        <v>0</v>
      </c>
      <c r="N457" s="37">
        <f>IF(COUNTIFS('📋 Транзакції'!$B$5:$B$3623,A457,'📋 Транзакції'!$C$5:$C$3623,"&gt;="&amp;EDATE(DATEVALUE(C457&amp;"-01"),7),'📋 Транзакції'!$C$5:$C$3623,"&lt;"&amp;EDATE(DATEVALUE(C457&amp;"-01"),8))&gt;0,1,0)</f>
        <v>0</v>
      </c>
      <c r="O457" s="37">
        <f>IF(COUNTIFS('📋 Транзакції'!$B$5:$B$3623,A457,'📋 Транзакції'!$C$5:$C$3623,"&gt;="&amp;EDATE(DATEVALUE(C457&amp;"-01"),8),'📋 Транзакції'!$C$5:$C$3623,"&lt;"&amp;EDATE(DATEVALUE(C457&amp;"-01"),9))&gt;0,1,0)</f>
        <v>0</v>
      </c>
      <c r="P457" s="37">
        <f>IF(COUNTIFS('📋 Транзакції'!$B$5:$B$3623,A457,'📋 Транзакції'!$C$5:$C$3623,"&gt;="&amp;EDATE(DATEVALUE(C457&amp;"-01"),9),'📋 Транзакції'!$C$5:$C$3623,"&lt;"&amp;EDATE(DATEVALUE(C457&amp;"-01"),10))&gt;0,1,0)</f>
        <v>0</v>
      </c>
      <c r="Q457" s="37">
        <f>IF(COUNTIFS('📋 Транзакції'!$B$5:$B$3623,A457,'📋 Транзакції'!$C$5:$C$3623,"&gt;="&amp;EDATE(DATEVALUE(C457&amp;"-01"),10),'📋 Транзакції'!$C$5:$C$3623,"&lt;"&amp;EDATE(DATEVALUE(C457&amp;"-01"),11))&gt;0,1,0)</f>
        <v>0</v>
      </c>
      <c r="R457" s="37">
        <f>IF(COUNTIFS('📋 Транзакції'!$B$5:$B$3623,A457,'📋 Транзакції'!$C$5:$C$3623,"&gt;="&amp;EDATE(DATEVALUE(C457&amp;"-01"),11),'📋 Транзакції'!$C$5:$C$3623,"&lt;"&amp;EDATE(DATEVALUE(C457&amp;"-01"),12))&gt;0,1,0)</f>
        <v>0</v>
      </c>
      <c r="S457" s="37">
        <f>SUMIFS('📋 Транзакції'!$F$5:$F$3623,'📋 Транзакції'!$B$5:$B$3623,A457,'📋 Транзакції'!$C$5:$C$3623,"&gt;="&amp;EDATE(DATEVALUE(C457&amp;"-01"),0),'📋 Транзакції'!$C$5:$C$3623,"&lt;"&amp;EDATE(DATEVALUE(C457&amp;"-01"),1))</f>
        <v>0</v>
      </c>
      <c r="T457" s="37">
        <f>SUMIFS('📋 Транзакції'!$F$5:$F$3623,'📋 Транзакції'!$B$5:$B$3623,A457,'📋 Транзакції'!$C$5:$C$3623,"&gt;="&amp;EDATE(DATEVALUE(C457&amp;"-01"),1),'📋 Транзакції'!$C$5:$C$3623,"&lt;"&amp;EDATE(DATEVALUE(C457&amp;"-01"),2))</f>
        <v>19.99</v>
      </c>
      <c r="U457" s="37">
        <f>SUMIFS('📋 Транзакції'!$F$5:$F$3623,'📋 Транзакції'!$B$5:$B$3623,A457,'📋 Транзакції'!$C$5:$C$3623,"&gt;="&amp;EDATE(DATEVALUE(C457&amp;"-01"),2),'📋 Транзакції'!$C$5:$C$3623,"&lt;"&amp;EDATE(DATEVALUE(C457&amp;"-01"),3))</f>
        <v>19.99</v>
      </c>
      <c r="V457" s="37">
        <f>SUMIFS('📋 Транзакції'!$F$5:$F$3623,'📋 Транзакції'!$B$5:$B$3623,A457,'📋 Транзакції'!$C$5:$C$3623,"&gt;="&amp;EDATE(DATEVALUE(C457&amp;"-01"),3),'📋 Транзакції'!$C$5:$C$3623,"&lt;"&amp;EDATE(DATEVALUE(C457&amp;"-01"),4))</f>
        <v>0</v>
      </c>
      <c r="W457" s="37">
        <f>SUMIFS('📋 Транзакції'!$F$5:$F$3623,'📋 Транзакції'!$B$5:$B$3623,A457,'📋 Транзакції'!$C$5:$C$3623,"&gt;="&amp;EDATE(DATEVALUE(C457&amp;"-01"),4),'📋 Транзакції'!$C$5:$C$3623,"&lt;"&amp;EDATE(DATEVALUE(C457&amp;"-01"),5))</f>
        <v>0</v>
      </c>
      <c r="X457" s="37">
        <f>SUMIFS('📋 Транзакції'!$F$5:$F$3623,'📋 Транзакції'!$B$5:$B$3623,A457,'📋 Транзакції'!$C$5:$C$3623,"&gt;="&amp;EDATE(DATEVALUE(C457&amp;"-01"),5),'📋 Транзакції'!$C$5:$C$3623,"&lt;"&amp;EDATE(DATEVALUE(C457&amp;"-01"),6))</f>
        <v>0</v>
      </c>
      <c r="Y457" s="37">
        <f>SUMIFS('📋 Транзакції'!$F$5:$F$3623,'📋 Транзакції'!$B$5:$B$3623,A457,'📋 Транзакції'!$C$5:$C$3623,"&gt;="&amp;EDATE(DATEVALUE(C457&amp;"-01"),6),'📋 Транзакції'!$C$5:$C$3623,"&lt;"&amp;EDATE(DATEVALUE(C457&amp;"-01"),7))</f>
        <v>0</v>
      </c>
      <c r="Z457" s="37">
        <f>SUMIFS('📋 Транзакції'!$F$5:$F$3623,'📋 Транзакції'!$B$5:$B$3623,A457,'📋 Транзакції'!$C$5:$C$3623,"&gt;="&amp;EDATE(DATEVALUE(C457&amp;"-01"),7),'📋 Транзакції'!$C$5:$C$3623,"&lt;"&amp;EDATE(DATEVALUE(C457&amp;"-01"),8))</f>
        <v>0</v>
      </c>
      <c r="AA457" s="37">
        <f>SUMIFS('📋 Транзакції'!$F$5:$F$3623,'📋 Транзакції'!$B$5:$B$3623,A457,'📋 Транзакції'!$C$5:$C$3623,"&gt;="&amp;EDATE(DATEVALUE(C457&amp;"-01"),8),'📋 Транзакції'!$C$5:$C$3623,"&lt;"&amp;EDATE(DATEVALUE(C457&amp;"-01"),9))</f>
        <v>0</v>
      </c>
      <c r="AB457" s="37">
        <f>SUMIFS('📋 Транзакції'!$F$5:$F$3623,'📋 Транзакції'!$B$5:$B$3623,A457,'📋 Транзакції'!$C$5:$C$3623,"&gt;="&amp;EDATE(DATEVALUE(C457&amp;"-01"),9),'📋 Транзакції'!$C$5:$C$3623,"&lt;"&amp;EDATE(DATEVALUE(C457&amp;"-01"),10))</f>
        <v>0</v>
      </c>
      <c r="AC457" s="37">
        <f>SUMIFS('📋 Транзакції'!$F$5:$F$3623,'📋 Транзакції'!$B$5:$B$3623,A457,'📋 Транзакції'!$C$5:$C$3623,"&gt;="&amp;EDATE(DATEVALUE(C457&amp;"-01"),10),'📋 Транзакції'!$C$5:$C$3623,"&lt;"&amp;EDATE(DATEVALUE(C457&amp;"-01"),11))</f>
        <v>0</v>
      </c>
      <c r="AD457" s="37">
        <f>SUMIFS('📋 Транзакції'!$F$5:$F$3623,'📋 Транзакції'!$B$5:$B$3623,A457,'📋 Транзакції'!$C$5:$C$3623,"&gt;="&amp;EDATE(DATEVALUE(C457&amp;"-01"),11),'📋 Транзакції'!$C$5:$C$3623,"&lt;"&amp;EDATE(DATEVALUE(C457&amp;"-01"),12))</f>
        <v>0</v>
      </c>
    </row>
    <row r="458" ht="15.75" customHeight="1">
      <c r="A458" s="33" t="str">
        <f>'📋 Реєстрації'!A458:A1059</f>
        <v>U0003</v>
      </c>
      <c r="B458" s="34">
        <f t="array" ref="B458">INDEX('📋 Транзакції'!$C$5:$C$3623,MATCH(A458,'📋 Транзакції'!$B$5:$B$3623,0))</f>
        <v>45658</v>
      </c>
      <c r="C458" s="35" t="str">
        <f t="shared" si="1"/>
        <v>2025-01</v>
      </c>
      <c r="D458" s="36">
        <f>COUNTIF('📋 Транзакції'!$B$5:$B$3623,A458)</f>
        <v>4</v>
      </c>
      <c r="E458" s="36">
        <f>SUMIF('📋 Транзакції'!$B$5:$B$3623,A458,'📋 Транзакції'!$F$5:$F$3623)</f>
        <v>59.97</v>
      </c>
      <c r="F458" s="35">
        <f>INT($A$1-MAXIFS('📋 Транзакції'!$C$5:$C$3623,'📋 Транзакції'!$B$5:$B$3623,A458))</f>
        <v>22</v>
      </c>
      <c r="G458" s="37">
        <f>IF(COUNTIFS('📋 Транзакції'!$B$5:$B$3623,A458,'📋 Транзакції'!$C$5:$C$3623,"&gt;="&amp;EDATE(DATEVALUE(C458&amp;"-01"),0),'📋 Транзакції'!$C$5:$C$3623,"&lt;"&amp;EDATE(DATEVALUE(C458&amp;"-01"),1))&gt;0,1,0)</f>
        <v>1</v>
      </c>
      <c r="H458" s="37">
        <f>IF(COUNTIFS('📋 Транзакції'!$B$5:$B$3623,A458,'📋 Транзакції'!$C$5:$C$3623,"&gt;="&amp;EDATE(DATEVALUE(C458&amp;"-01"),1),'📋 Транзакції'!$C$5:$C$3623,"&lt;"&amp;EDATE(DATEVALUE(C458&amp;"-01"),2))&gt;0,1,0)</f>
        <v>1</v>
      </c>
      <c r="I458" s="37">
        <f>IF(COUNTIFS('📋 Транзакції'!$B$5:$B$3623,A458,'📋 Транзакції'!$C$5:$C$3623,"&gt;="&amp;EDATE(DATEVALUE(C458&amp;"-01"),2),'📋 Транзакції'!$C$5:$C$3623,"&lt;"&amp;EDATE(DATEVALUE(C458&amp;"-01"),3))&gt;0,1,0)</f>
        <v>1</v>
      </c>
      <c r="J458" s="37">
        <f>IF(COUNTIFS('📋 Транзакції'!$B$5:$B$3623,A458,'📋 Транзакції'!$C$5:$C$3623,"&gt;="&amp;EDATE(DATEVALUE(C458&amp;"-01"),3),'📋 Транзакції'!$C$5:$C$3623,"&lt;"&amp;EDATE(DATEVALUE(C458&amp;"-01"),4))&gt;0,1,0)</f>
        <v>0</v>
      </c>
      <c r="K458" s="37">
        <f>IF(COUNTIFS('📋 Транзакції'!$B$5:$B$3623,A458,'📋 Транзакції'!$C$5:$C$3623,"&gt;="&amp;EDATE(DATEVALUE(C458&amp;"-01"),4),'📋 Транзакції'!$C$5:$C$3623,"&lt;"&amp;EDATE(DATEVALUE(C458&amp;"-01"),5))&gt;0,1,0)</f>
        <v>0</v>
      </c>
      <c r="L458" s="37">
        <f>IF(COUNTIFS('📋 Транзакції'!$B$5:$B$3623,A458,'📋 Транзакції'!$C$5:$C$3623,"&gt;="&amp;EDATE(DATEVALUE(C458&amp;"-01"),5),'📋 Транзакції'!$C$5:$C$3623,"&lt;"&amp;EDATE(DATEVALUE(C458&amp;"-01"),6))&gt;0,1,0)</f>
        <v>0</v>
      </c>
      <c r="M458" s="37">
        <f>IF(COUNTIFS('📋 Транзакції'!$B$5:$B$3623,A458,'📋 Транзакції'!$C$5:$C$3623,"&gt;="&amp;EDATE(DATEVALUE(C458&amp;"-01"),6),'📋 Транзакції'!$C$5:$C$3623,"&lt;"&amp;EDATE(DATEVALUE(C458&amp;"-01"),7))&gt;0,1,0)</f>
        <v>0</v>
      </c>
      <c r="N458" s="37">
        <f>IF(COUNTIFS('📋 Транзакції'!$B$5:$B$3623,A458,'📋 Транзакції'!$C$5:$C$3623,"&gt;="&amp;EDATE(DATEVALUE(C458&amp;"-01"),7),'📋 Транзакції'!$C$5:$C$3623,"&lt;"&amp;EDATE(DATEVALUE(C458&amp;"-01"),8))&gt;0,1,0)</f>
        <v>0</v>
      </c>
      <c r="O458" s="37">
        <f>IF(COUNTIFS('📋 Транзакції'!$B$5:$B$3623,A458,'📋 Транзакції'!$C$5:$C$3623,"&gt;="&amp;EDATE(DATEVALUE(C458&amp;"-01"),8),'📋 Транзакції'!$C$5:$C$3623,"&lt;"&amp;EDATE(DATEVALUE(C458&amp;"-01"),9))&gt;0,1,0)</f>
        <v>0</v>
      </c>
      <c r="P458" s="37">
        <f>IF(COUNTIFS('📋 Транзакції'!$B$5:$B$3623,A458,'📋 Транзакції'!$C$5:$C$3623,"&gt;="&amp;EDATE(DATEVALUE(C458&amp;"-01"),9),'📋 Транзакції'!$C$5:$C$3623,"&lt;"&amp;EDATE(DATEVALUE(C458&amp;"-01"),10))&gt;0,1,0)</f>
        <v>0</v>
      </c>
      <c r="Q458" s="37">
        <f>IF(COUNTIFS('📋 Транзакції'!$B$5:$B$3623,A458,'📋 Транзакції'!$C$5:$C$3623,"&gt;="&amp;EDATE(DATEVALUE(C458&amp;"-01"),10),'📋 Транзакції'!$C$5:$C$3623,"&lt;"&amp;EDATE(DATEVALUE(C458&amp;"-01"),11))&gt;0,1,0)</f>
        <v>0</v>
      </c>
      <c r="R458" s="37">
        <f>IF(COUNTIFS('📋 Транзакції'!$B$5:$B$3623,A458,'📋 Транзакції'!$C$5:$C$3623,"&gt;="&amp;EDATE(DATEVALUE(C458&amp;"-01"),11),'📋 Транзакції'!$C$5:$C$3623,"&lt;"&amp;EDATE(DATEVALUE(C458&amp;"-01"),12))&gt;0,1,0)</f>
        <v>0</v>
      </c>
      <c r="S458" s="37">
        <f>SUMIFS('📋 Транзакції'!$F$5:$F$3623,'📋 Транзакції'!$B$5:$B$3623,A458,'📋 Транзакції'!$C$5:$C$3623,"&gt;="&amp;EDATE(DATEVALUE(C458&amp;"-01"),0),'📋 Транзакції'!$C$5:$C$3623,"&lt;"&amp;EDATE(DATEVALUE(C458&amp;"-01"),1))</f>
        <v>19.99</v>
      </c>
      <c r="T458" s="37">
        <f>SUMIFS('📋 Транзакції'!$F$5:$F$3623,'📋 Транзакції'!$B$5:$B$3623,A458,'📋 Транзакції'!$C$5:$C$3623,"&gt;="&amp;EDATE(DATEVALUE(C458&amp;"-01"),1),'📋 Транзакції'!$C$5:$C$3623,"&lt;"&amp;EDATE(DATEVALUE(C458&amp;"-01"),2))</f>
        <v>19.99</v>
      </c>
      <c r="U458" s="37">
        <f>SUMIFS('📋 Транзакції'!$F$5:$F$3623,'📋 Транзакції'!$B$5:$B$3623,A458,'📋 Транзакції'!$C$5:$C$3623,"&gt;="&amp;EDATE(DATEVALUE(C458&amp;"-01"),2),'📋 Транзакції'!$C$5:$C$3623,"&lt;"&amp;EDATE(DATEVALUE(C458&amp;"-01"),3))</f>
        <v>19.99</v>
      </c>
      <c r="V458" s="37">
        <f>SUMIFS('📋 Транзакції'!$F$5:$F$3623,'📋 Транзакції'!$B$5:$B$3623,A458,'📋 Транзакції'!$C$5:$C$3623,"&gt;="&amp;EDATE(DATEVALUE(C458&amp;"-01"),3),'📋 Транзакції'!$C$5:$C$3623,"&lt;"&amp;EDATE(DATEVALUE(C458&amp;"-01"),4))</f>
        <v>0</v>
      </c>
      <c r="W458" s="37">
        <f>SUMIFS('📋 Транзакції'!$F$5:$F$3623,'📋 Транзакції'!$B$5:$B$3623,A458,'📋 Транзакції'!$C$5:$C$3623,"&gt;="&amp;EDATE(DATEVALUE(C458&amp;"-01"),4),'📋 Транзакції'!$C$5:$C$3623,"&lt;"&amp;EDATE(DATEVALUE(C458&amp;"-01"),5))</f>
        <v>0</v>
      </c>
      <c r="X458" s="37">
        <f>SUMIFS('📋 Транзакції'!$F$5:$F$3623,'📋 Транзакції'!$B$5:$B$3623,A458,'📋 Транзакції'!$C$5:$C$3623,"&gt;="&amp;EDATE(DATEVALUE(C458&amp;"-01"),5),'📋 Транзакції'!$C$5:$C$3623,"&lt;"&amp;EDATE(DATEVALUE(C458&amp;"-01"),6))</f>
        <v>0</v>
      </c>
      <c r="Y458" s="37">
        <f>SUMIFS('📋 Транзакції'!$F$5:$F$3623,'📋 Транзакції'!$B$5:$B$3623,A458,'📋 Транзакції'!$C$5:$C$3623,"&gt;="&amp;EDATE(DATEVALUE(C458&amp;"-01"),6),'📋 Транзакції'!$C$5:$C$3623,"&lt;"&amp;EDATE(DATEVALUE(C458&amp;"-01"),7))</f>
        <v>0</v>
      </c>
      <c r="Z458" s="37">
        <f>SUMIFS('📋 Транзакції'!$F$5:$F$3623,'📋 Транзакції'!$B$5:$B$3623,A458,'📋 Транзакції'!$C$5:$C$3623,"&gt;="&amp;EDATE(DATEVALUE(C458&amp;"-01"),7),'📋 Транзакції'!$C$5:$C$3623,"&lt;"&amp;EDATE(DATEVALUE(C458&amp;"-01"),8))</f>
        <v>0</v>
      </c>
      <c r="AA458" s="37">
        <f>SUMIFS('📋 Транзакції'!$F$5:$F$3623,'📋 Транзакції'!$B$5:$B$3623,A458,'📋 Транзакції'!$C$5:$C$3623,"&gt;="&amp;EDATE(DATEVALUE(C458&amp;"-01"),8),'📋 Транзакції'!$C$5:$C$3623,"&lt;"&amp;EDATE(DATEVALUE(C458&amp;"-01"),9))</f>
        <v>0</v>
      </c>
      <c r="AB458" s="37">
        <f>SUMIFS('📋 Транзакції'!$F$5:$F$3623,'📋 Транзакції'!$B$5:$B$3623,A458,'📋 Транзакції'!$C$5:$C$3623,"&gt;="&amp;EDATE(DATEVALUE(C458&amp;"-01"),9),'📋 Транзакції'!$C$5:$C$3623,"&lt;"&amp;EDATE(DATEVALUE(C458&amp;"-01"),10))</f>
        <v>0</v>
      </c>
      <c r="AC458" s="37">
        <f>SUMIFS('📋 Транзакції'!$F$5:$F$3623,'📋 Транзакції'!$B$5:$B$3623,A458,'📋 Транзакції'!$C$5:$C$3623,"&gt;="&amp;EDATE(DATEVALUE(C458&amp;"-01"),10),'📋 Транзакції'!$C$5:$C$3623,"&lt;"&amp;EDATE(DATEVALUE(C458&amp;"-01"),11))</f>
        <v>0</v>
      </c>
      <c r="AD458" s="37">
        <f>SUMIFS('📋 Транзакції'!$F$5:$F$3623,'📋 Транзакції'!$B$5:$B$3623,A458,'📋 Транзакції'!$C$5:$C$3623,"&gt;="&amp;EDATE(DATEVALUE(C458&amp;"-01"),11),'📋 Транзакції'!$C$5:$C$3623,"&lt;"&amp;EDATE(DATEVALUE(C458&amp;"-01"),12))</f>
        <v>0</v>
      </c>
    </row>
    <row r="459" ht="15.75" customHeight="1">
      <c r="A459" s="33" t="str">
        <f>'📋 Реєстрації'!A459:A1060</f>
        <v>U0806</v>
      </c>
      <c r="B459" s="34">
        <f t="array" ref="B459">INDEX('📋 Транзакції'!$C$5:$C$3623,MATCH(A459,'📋 Транзакції'!$B$5:$B$3623,0))</f>
        <v>45659</v>
      </c>
      <c r="C459" s="35" t="str">
        <f t="shared" si="1"/>
        <v>2025-01</v>
      </c>
      <c r="D459" s="36">
        <f>COUNTIF('📋 Транзакції'!$B$5:$B$3623,A459)</f>
        <v>3</v>
      </c>
      <c r="E459" s="36">
        <f>SUMIF('📋 Транзакції'!$B$5:$B$3623,A459,'📋 Транзакції'!$F$5:$F$3623)</f>
        <v>39.98</v>
      </c>
      <c r="F459" s="35">
        <f>INT($A$1-MAXIFS('📋 Транзакції'!$C$5:$C$3623,'📋 Транзакції'!$B$5:$B$3623,A459))</f>
        <v>51</v>
      </c>
      <c r="G459" s="37">
        <f>IF(COUNTIFS('📋 Транзакції'!$B$5:$B$3623,A459,'📋 Транзакції'!$C$5:$C$3623,"&gt;="&amp;EDATE(DATEVALUE(C459&amp;"-01"),0),'📋 Транзакції'!$C$5:$C$3623,"&lt;"&amp;EDATE(DATEVALUE(C459&amp;"-01"),1))&gt;0,1,0)</f>
        <v>1</v>
      </c>
      <c r="H459" s="37">
        <f>IF(COUNTIFS('📋 Транзакції'!$B$5:$B$3623,A459,'📋 Транзакції'!$C$5:$C$3623,"&gt;="&amp;EDATE(DATEVALUE(C459&amp;"-01"),1),'📋 Транзакції'!$C$5:$C$3623,"&lt;"&amp;EDATE(DATEVALUE(C459&amp;"-01"),2))&gt;0,1,0)</f>
        <v>1</v>
      </c>
      <c r="I459" s="37">
        <f>IF(COUNTIFS('📋 Транзакції'!$B$5:$B$3623,A459,'📋 Транзакції'!$C$5:$C$3623,"&gt;="&amp;EDATE(DATEVALUE(C459&amp;"-01"),2),'📋 Транзакції'!$C$5:$C$3623,"&lt;"&amp;EDATE(DATEVALUE(C459&amp;"-01"),3))&gt;0,1,0)</f>
        <v>0</v>
      </c>
      <c r="J459" s="37">
        <f>IF(COUNTIFS('📋 Транзакції'!$B$5:$B$3623,A459,'📋 Транзакції'!$C$5:$C$3623,"&gt;="&amp;EDATE(DATEVALUE(C459&amp;"-01"),3),'📋 Транзакції'!$C$5:$C$3623,"&lt;"&amp;EDATE(DATEVALUE(C459&amp;"-01"),4))&gt;0,1,0)</f>
        <v>0</v>
      </c>
      <c r="K459" s="37">
        <f>IF(COUNTIFS('📋 Транзакції'!$B$5:$B$3623,A459,'📋 Транзакції'!$C$5:$C$3623,"&gt;="&amp;EDATE(DATEVALUE(C459&amp;"-01"),4),'📋 Транзакції'!$C$5:$C$3623,"&lt;"&amp;EDATE(DATEVALUE(C459&amp;"-01"),5))&gt;0,1,0)</f>
        <v>0</v>
      </c>
      <c r="L459" s="37">
        <f>IF(COUNTIFS('📋 Транзакції'!$B$5:$B$3623,A459,'📋 Транзакції'!$C$5:$C$3623,"&gt;="&amp;EDATE(DATEVALUE(C459&amp;"-01"),5),'📋 Транзакції'!$C$5:$C$3623,"&lt;"&amp;EDATE(DATEVALUE(C459&amp;"-01"),6))&gt;0,1,0)</f>
        <v>0</v>
      </c>
      <c r="M459" s="37">
        <f>IF(COUNTIFS('📋 Транзакції'!$B$5:$B$3623,A459,'📋 Транзакції'!$C$5:$C$3623,"&gt;="&amp;EDATE(DATEVALUE(C459&amp;"-01"),6),'📋 Транзакції'!$C$5:$C$3623,"&lt;"&amp;EDATE(DATEVALUE(C459&amp;"-01"),7))&gt;0,1,0)</f>
        <v>0</v>
      </c>
      <c r="N459" s="37">
        <f>IF(COUNTIFS('📋 Транзакції'!$B$5:$B$3623,A459,'📋 Транзакції'!$C$5:$C$3623,"&gt;="&amp;EDATE(DATEVALUE(C459&amp;"-01"),7),'📋 Транзакції'!$C$5:$C$3623,"&lt;"&amp;EDATE(DATEVALUE(C459&amp;"-01"),8))&gt;0,1,0)</f>
        <v>0</v>
      </c>
      <c r="O459" s="37">
        <f>IF(COUNTIFS('📋 Транзакції'!$B$5:$B$3623,A459,'📋 Транзакції'!$C$5:$C$3623,"&gt;="&amp;EDATE(DATEVALUE(C459&amp;"-01"),8),'📋 Транзакції'!$C$5:$C$3623,"&lt;"&amp;EDATE(DATEVALUE(C459&amp;"-01"),9))&gt;0,1,0)</f>
        <v>0</v>
      </c>
      <c r="P459" s="37">
        <f>IF(COUNTIFS('📋 Транзакції'!$B$5:$B$3623,A459,'📋 Транзакції'!$C$5:$C$3623,"&gt;="&amp;EDATE(DATEVALUE(C459&amp;"-01"),9),'📋 Транзакції'!$C$5:$C$3623,"&lt;"&amp;EDATE(DATEVALUE(C459&amp;"-01"),10))&gt;0,1,0)</f>
        <v>0</v>
      </c>
      <c r="Q459" s="37">
        <f>IF(COUNTIFS('📋 Транзакції'!$B$5:$B$3623,A459,'📋 Транзакції'!$C$5:$C$3623,"&gt;="&amp;EDATE(DATEVALUE(C459&amp;"-01"),10),'📋 Транзакції'!$C$5:$C$3623,"&lt;"&amp;EDATE(DATEVALUE(C459&amp;"-01"),11))&gt;0,1,0)</f>
        <v>0</v>
      </c>
      <c r="R459" s="37">
        <f>IF(COUNTIFS('📋 Транзакції'!$B$5:$B$3623,A459,'📋 Транзакції'!$C$5:$C$3623,"&gt;="&amp;EDATE(DATEVALUE(C459&amp;"-01"),11),'📋 Транзакції'!$C$5:$C$3623,"&lt;"&amp;EDATE(DATEVALUE(C459&amp;"-01"),12))&gt;0,1,0)</f>
        <v>0</v>
      </c>
      <c r="S459" s="37">
        <f>SUMIFS('📋 Транзакції'!$F$5:$F$3623,'📋 Транзакції'!$B$5:$B$3623,A459,'📋 Транзакції'!$C$5:$C$3623,"&gt;="&amp;EDATE(DATEVALUE(C459&amp;"-01"),0),'📋 Транзакції'!$C$5:$C$3623,"&lt;"&amp;EDATE(DATEVALUE(C459&amp;"-01"),1))</f>
        <v>19.99</v>
      </c>
      <c r="T459" s="37">
        <f>SUMIFS('📋 Транзакції'!$F$5:$F$3623,'📋 Транзакції'!$B$5:$B$3623,A459,'📋 Транзакції'!$C$5:$C$3623,"&gt;="&amp;EDATE(DATEVALUE(C459&amp;"-01"),1),'📋 Транзакції'!$C$5:$C$3623,"&lt;"&amp;EDATE(DATEVALUE(C459&amp;"-01"),2))</f>
        <v>19.99</v>
      </c>
      <c r="U459" s="37">
        <f>SUMIFS('📋 Транзакції'!$F$5:$F$3623,'📋 Транзакції'!$B$5:$B$3623,A459,'📋 Транзакції'!$C$5:$C$3623,"&gt;="&amp;EDATE(DATEVALUE(C459&amp;"-01"),2),'📋 Транзакції'!$C$5:$C$3623,"&lt;"&amp;EDATE(DATEVALUE(C459&amp;"-01"),3))</f>
        <v>0</v>
      </c>
      <c r="V459" s="37">
        <f>SUMIFS('📋 Транзакції'!$F$5:$F$3623,'📋 Транзакції'!$B$5:$B$3623,A459,'📋 Транзакції'!$C$5:$C$3623,"&gt;="&amp;EDATE(DATEVALUE(C459&amp;"-01"),3),'📋 Транзакції'!$C$5:$C$3623,"&lt;"&amp;EDATE(DATEVALUE(C459&amp;"-01"),4))</f>
        <v>0</v>
      </c>
      <c r="W459" s="37">
        <f>SUMIFS('📋 Транзакції'!$F$5:$F$3623,'📋 Транзакції'!$B$5:$B$3623,A459,'📋 Транзакції'!$C$5:$C$3623,"&gt;="&amp;EDATE(DATEVALUE(C459&amp;"-01"),4),'📋 Транзакції'!$C$5:$C$3623,"&lt;"&amp;EDATE(DATEVALUE(C459&amp;"-01"),5))</f>
        <v>0</v>
      </c>
      <c r="X459" s="37">
        <f>SUMIFS('📋 Транзакції'!$F$5:$F$3623,'📋 Транзакції'!$B$5:$B$3623,A459,'📋 Транзакції'!$C$5:$C$3623,"&gt;="&amp;EDATE(DATEVALUE(C459&amp;"-01"),5),'📋 Транзакції'!$C$5:$C$3623,"&lt;"&amp;EDATE(DATEVALUE(C459&amp;"-01"),6))</f>
        <v>0</v>
      </c>
      <c r="Y459" s="37">
        <f>SUMIFS('📋 Транзакції'!$F$5:$F$3623,'📋 Транзакції'!$B$5:$B$3623,A459,'📋 Транзакції'!$C$5:$C$3623,"&gt;="&amp;EDATE(DATEVALUE(C459&amp;"-01"),6),'📋 Транзакції'!$C$5:$C$3623,"&lt;"&amp;EDATE(DATEVALUE(C459&amp;"-01"),7))</f>
        <v>0</v>
      </c>
      <c r="Z459" s="37">
        <f>SUMIFS('📋 Транзакції'!$F$5:$F$3623,'📋 Транзакції'!$B$5:$B$3623,A459,'📋 Транзакції'!$C$5:$C$3623,"&gt;="&amp;EDATE(DATEVALUE(C459&amp;"-01"),7),'📋 Транзакції'!$C$5:$C$3623,"&lt;"&amp;EDATE(DATEVALUE(C459&amp;"-01"),8))</f>
        <v>0</v>
      </c>
      <c r="AA459" s="37">
        <f>SUMIFS('📋 Транзакції'!$F$5:$F$3623,'📋 Транзакції'!$B$5:$B$3623,A459,'📋 Транзакції'!$C$5:$C$3623,"&gt;="&amp;EDATE(DATEVALUE(C459&amp;"-01"),8),'📋 Транзакції'!$C$5:$C$3623,"&lt;"&amp;EDATE(DATEVALUE(C459&amp;"-01"),9))</f>
        <v>0</v>
      </c>
      <c r="AB459" s="37">
        <f>SUMIFS('📋 Транзакції'!$F$5:$F$3623,'📋 Транзакції'!$B$5:$B$3623,A459,'📋 Транзакції'!$C$5:$C$3623,"&gt;="&amp;EDATE(DATEVALUE(C459&amp;"-01"),9),'📋 Транзакції'!$C$5:$C$3623,"&lt;"&amp;EDATE(DATEVALUE(C459&amp;"-01"),10))</f>
        <v>0</v>
      </c>
      <c r="AC459" s="37">
        <f>SUMIFS('📋 Транзакції'!$F$5:$F$3623,'📋 Транзакції'!$B$5:$B$3623,A459,'📋 Транзакції'!$C$5:$C$3623,"&gt;="&amp;EDATE(DATEVALUE(C459&amp;"-01"),10),'📋 Транзакції'!$C$5:$C$3623,"&lt;"&amp;EDATE(DATEVALUE(C459&amp;"-01"),11))</f>
        <v>0</v>
      </c>
      <c r="AD459" s="37">
        <f>SUMIFS('📋 Транзакції'!$F$5:$F$3623,'📋 Транзакції'!$B$5:$B$3623,A459,'📋 Транзакції'!$C$5:$C$3623,"&gt;="&amp;EDATE(DATEVALUE(C459&amp;"-01"),11),'📋 Транзакції'!$C$5:$C$3623,"&lt;"&amp;EDATE(DATEVALUE(C459&amp;"-01"),12))</f>
        <v>0</v>
      </c>
    </row>
    <row r="460" ht="15.75" customHeight="1">
      <c r="A460" s="33" t="str">
        <f>'📋 Реєстрації'!A460:A1061</f>
        <v>U0764</v>
      </c>
      <c r="B460" s="34">
        <f t="array" ref="B460">INDEX('📋 Транзакції'!$C$5:$C$3623,MATCH(A460,'📋 Транзакції'!$B$5:$B$3623,0))</f>
        <v>45660</v>
      </c>
      <c r="C460" s="35" t="str">
        <f t="shared" si="1"/>
        <v>2025-01</v>
      </c>
      <c r="D460" s="36">
        <f>COUNTIF('📋 Транзакції'!$B$5:$B$3623,A460)</f>
        <v>4</v>
      </c>
      <c r="E460" s="36">
        <f>SUMIF('📋 Транзакції'!$B$5:$B$3623,A460,'📋 Транзакції'!$F$5:$F$3623)</f>
        <v>59.97</v>
      </c>
      <c r="F460" s="35">
        <f>INT($A$1-MAXIFS('📋 Транзакції'!$C$5:$C$3623,'📋 Транзакції'!$B$5:$B$3623,A460))</f>
        <v>20</v>
      </c>
      <c r="G460" s="37">
        <f>IF(COUNTIFS('📋 Транзакції'!$B$5:$B$3623,A460,'📋 Транзакції'!$C$5:$C$3623,"&gt;="&amp;EDATE(DATEVALUE(C460&amp;"-01"),0),'📋 Транзакції'!$C$5:$C$3623,"&lt;"&amp;EDATE(DATEVALUE(C460&amp;"-01"),1))&gt;0,1,0)</f>
        <v>1</v>
      </c>
      <c r="H460" s="37">
        <f>IF(COUNTIFS('📋 Транзакції'!$B$5:$B$3623,A460,'📋 Транзакції'!$C$5:$C$3623,"&gt;="&amp;EDATE(DATEVALUE(C460&amp;"-01"),1),'📋 Транзакції'!$C$5:$C$3623,"&lt;"&amp;EDATE(DATEVALUE(C460&amp;"-01"),2))&gt;0,1,0)</f>
        <v>1</v>
      </c>
      <c r="I460" s="37">
        <f>IF(COUNTIFS('📋 Транзакції'!$B$5:$B$3623,A460,'📋 Транзакції'!$C$5:$C$3623,"&gt;="&amp;EDATE(DATEVALUE(C460&amp;"-01"),2),'📋 Транзакції'!$C$5:$C$3623,"&lt;"&amp;EDATE(DATEVALUE(C460&amp;"-01"),3))&gt;0,1,0)</f>
        <v>1</v>
      </c>
      <c r="J460" s="37">
        <f>IF(COUNTIFS('📋 Транзакції'!$B$5:$B$3623,A460,'📋 Транзакції'!$C$5:$C$3623,"&gt;="&amp;EDATE(DATEVALUE(C460&amp;"-01"),3),'📋 Транзакції'!$C$5:$C$3623,"&lt;"&amp;EDATE(DATEVALUE(C460&amp;"-01"),4))&gt;0,1,0)</f>
        <v>0</v>
      </c>
      <c r="K460" s="37">
        <f>IF(COUNTIFS('📋 Транзакції'!$B$5:$B$3623,A460,'📋 Транзакції'!$C$5:$C$3623,"&gt;="&amp;EDATE(DATEVALUE(C460&amp;"-01"),4),'📋 Транзакції'!$C$5:$C$3623,"&lt;"&amp;EDATE(DATEVALUE(C460&amp;"-01"),5))&gt;0,1,0)</f>
        <v>0</v>
      </c>
      <c r="L460" s="37">
        <f>IF(COUNTIFS('📋 Транзакції'!$B$5:$B$3623,A460,'📋 Транзакції'!$C$5:$C$3623,"&gt;="&amp;EDATE(DATEVALUE(C460&amp;"-01"),5),'📋 Транзакції'!$C$5:$C$3623,"&lt;"&amp;EDATE(DATEVALUE(C460&amp;"-01"),6))&gt;0,1,0)</f>
        <v>0</v>
      </c>
      <c r="M460" s="37">
        <f>IF(COUNTIFS('📋 Транзакції'!$B$5:$B$3623,A460,'📋 Транзакції'!$C$5:$C$3623,"&gt;="&amp;EDATE(DATEVALUE(C460&amp;"-01"),6),'📋 Транзакції'!$C$5:$C$3623,"&lt;"&amp;EDATE(DATEVALUE(C460&amp;"-01"),7))&gt;0,1,0)</f>
        <v>0</v>
      </c>
      <c r="N460" s="37">
        <f>IF(COUNTIFS('📋 Транзакції'!$B$5:$B$3623,A460,'📋 Транзакції'!$C$5:$C$3623,"&gt;="&amp;EDATE(DATEVALUE(C460&amp;"-01"),7),'📋 Транзакції'!$C$5:$C$3623,"&lt;"&amp;EDATE(DATEVALUE(C460&amp;"-01"),8))&gt;0,1,0)</f>
        <v>0</v>
      </c>
      <c r="O460" s="37">
        <f>IF(COUNTIFS('📋 Транзакції'!$B$5:$B$3623,A460,'📋 Транзакції'!$C$5:$C$3623,"&gt;="&amp;EDATE(DATEVALUE(C460&amp;"-01"),8),'📋 Транзакції'!$C$5:$C$3623,"&lt;"&amp;EDATE(DATEVALUE(C460&amp;"-01"),9))&gt;0,1,0)</f>
        <v>0</v>
      </c>
      <c r="P460" s="37">
        <f>IF(COUNTIFS('📋 Транзакції'!$B$5:$B$3623,A460,'📋 Транзакції'!$C$5:$C$3623,"&gt;="&amp;EDATE(DATEVALUE(C460&amp;"-01"),9),'📋 Транзакції'!$C$5:$C$3623,"&lt;"&amp;EDATE(DATEVALUE(C460&amp;"-01"),10))&gt;0,1,0)</f>
        <v>0</v>
      </c>
      <c r="Q460" s="37">
        <f>IF(COUNTIFS('📋 Транзакції'!$B$5:$B$3623,A460,'📋 Транзакції'!$C$5:$C$3623,"&gt;="&amp;EDATE(DATEVALUE(C460&amp;"-01"),10),'📋 Транзакції'!$C$5:$C$3623,"&lt;"&amp;EDATE(DATEVALUE(C460&amp;"-01"),11))&gt;0,1,0)</f>
        <v>0</v>
      </c>
      <c r="R460" s="37">
        <f>IF(COUNTIFS('📋 Транзакції'!$B$5:$B$3623,A460,'📋 Транзакції'!$C$5:$C$3623,"&gt;="&amp;EDATE(DATEVALUE(C460&amp;"-01"),11),'📋 Транзакції'!$C$5:$C$3623,"&lt;"&amp;EDATE(DATEVALUE(C460&amp;"-01"),12))&gt;0,1,0)</f>
        <v>0</v>
      </c>
      <c r="S460" s="37">
        <f>SUMIFS('📋 Транзакції'!$F$5:$F$3623,'📋 Транзакції'!$B$5:$B$3623,A460,'📋 Транзакції'!$C$5:$C$3623,"&gt;="&amp;EDATE(DATEVALUE(C460&amp;"-01"),0),'📋 Транзакції'!$C$5:$C$3623,"&lt;"&amp;EDATE(DATEVALUE(C460&amp;"-01"),1))</f>
        <v>19.99</v>
      </c>
      <c r="T460" s="37">
        <f>SUMIFS('📋 Транзакції'!$F$5:$F$3623,'📋 Транзакції'!$B$5:$B$3623,A460,'📋 Транзакції'!$C$5:$C$3623,"&gt;="&amp;EDATE(DATEVALUE(C460&amp;"-01"),1),'📋 Транзакції'!$C$5:$C$3623,"&lt;"&amp;EDATE(DATEVALUE(C460&amp;"-01"),2))</f>
        <v>19.99</v>
      </c>
      <c r="U460" s="37">
        <f>SUMIFS('📋 Транзакції'!$F$5:$F$3623,'📋 Транзакції'!$B$5:$B$3623,A460,'📋 Транзакції'!$C$5:$C$3623,"&gt;="&amp;EDATE(DATEVALUE(C460&amp;"-01"),2),'📋 Транзакції'!$C$5:$C$3623,"&lt;"&amp;EDATE(DATEVALUE(C460&amp;"-01"),3))</f>
        <v>19.99</v>
      </c>
      <c r="V460" s="37">
        <f>SUMIFS('📋 Транзакції'!$F$5:$F$3623,'📋 Транзакції'!$B$5:$B$3623,A460,'📋 Транзакції'!$C$5:$C$3623,"&gt;="&amp;EDATE(DATEVALUE(C460&amp;"-01"),3),'📋 Транзакції'!$C$5:$C$3623,"&lt;"&amp;EDATE(DATEVALUE(C460&amp;"-01"),4))</f>
        <v>0</v>
      </c>
      <c r="W460" s="37">
        <f>SUMIFS('📋 Транзакції'!$F$5:$F$3623,'📋 Транзакції'!$B$5:$B$3623,A460,'📋 Транзакції'!$C$5:$C$3623,"&gt;="&amp;EDATE(DATEVALUE(C460&amp;"-01"),4),'📋 Транзакції'!$C$5:$C$3623,"&lt;"&amp;EDATE(DATEVALUE(C460&amp;"-01"),5))</f>
        <v>0</v>
      </c>
      <c r="X460" s="37">
        <f>SUMIFS('📋 Транзакції'!$F$5:$F$3623,'📋 Транзакції'!$B$5:$B$3623,A460,'📋 Транзакції'!$C$5:$C$3623,"&gt;="&amp;EDATE(DATEVALUE(C460&amp;"-01"),5),'📋 Транзакції'!$C$5:$C$3623,"&lt;"&amp;EDATE(DATEVALUE(C460&amp;"-01"),6))</f>
        <v>0</v>
      </c>
      <c r="Y460" s="37">
        <f>SUMIFS('📋 Транзакції'!$F$5:$F$3623,'📋 Транзакції'!$B$5:$B$3623,A460,'📋 Транзакції'!$C$5:$C$3623,"&gt;="&amp;EDATE(DATEVALUE(C460&amp;"-01"),6),'📋 Транзакції'!$C$5:$C$3623,"&lt;"&amp;EDATE(DATEVALUE(C460&amp;"-01"),7))</f>
        <v>0</v>
      </c>
      <c r="Z460" s="37">
        <f>SUMIFS('📋 Транзакції'!$F$5:$F$3623,'📋 Транзакції'!$B$5:$B$3623,A460,'📋 Транзакції'!$C$5:$C$3623,"&gt;="&amp;EDATE(DATEVALUE(C460&amp;"-01"),7),'📋 Транзакції'!$C$5:$C$3623,"&lt;"&amp;EDATE(DATEVALUE(C460&amp;"-01"),8))</f>
        <v>0</v>
      </c>
      <c r="AA460" s="37">
        <f>SUMIFS('📋 Транзакції'!$F$5:$F$3623,'📋 Транзакції'!$B$5:$B$3623,A460,'📋 Транзакції'!$C$5:$C$3623,"&gt;="&amp;EDATE(DATEVALUE(C460&amp;"-01"),8),'📋 Транзакції'!$C$5:$C$3623,"&lt;"&amp;EDATE(DATEVALUE(C460&amp;"-01"),9))</f>
        <v>0</v>
      </c>
      <c r="AB460" s="37">
        <f>SUMIFS('📋 Транзакції'!$F$5:$F$3623,'📋 Транзакції'!$B$5:$B$3623,A460,'📋 Транзакції'!$C$5:$C$3623,"&gt;="&amp;EDATE(DATEVALUE(C460&amp;"-01"),9),'📋 Транзакції'!$C$5:$C$3623,"&lt;"&amp;EDATE(DATEVALUE(C460&amp;"-01"),10))</f>
        <v>0</v>
      </c>
      <c r="AC460" s="37">
        <f>SUMIFS('📋 Транзакції'!$F$5:$F$3623,'📋 Транзакції'!$B$5:$B$3623,A460,'📋 Транзакції'!$C$5:$C$3623,"&gt;="&amp;EDATE(DATEVALUE(C460&amp;"-01"),10),'📋 Транзакції'!$C$5:$C$3623,"&lt;"&amp;EDATE(DATEVALUE(C460&amp;"-01"),11))</f>
        <v>0</v>
      </c>
      <c r="AD460" s="37">
        <f>SUMIFS('📋 Транзакції'!$F$5:$F$3623,'📋 Транзакції'!$B$5:$B$3623,A460,'📋 Транзакції'!$C$5:$C$3623,"&gt;="&amp;EDATE(DATEVALUE(C460&amp;"-01"),11),'📋 Транзакції'!$C$5:$C$3623,"&lt;"&amp;EDATE(DATEVALUE(C460&amp;"-01"),12))</f>
        <v>0</v>
      </c>
    </row>
    <row r="461" ht="15.75" customHeight="1">
      <c r="A461" s="33" t="str">
        <f>'📋 Реєстрації'!A461:A1062</f>
        <v>U0087</v>
      </c>
      <c r="B461" s="34">
        <f t="array" ref="B461">INDEX('📋 Транзакції'!$C$5:$C$3623,MATCH(A461,'📋 Транзакції'!$B$5:$B$3623,0))</f>
        <v>45661</v>
      </c>
      <c r="C461" s="35" t="str">
        <f t="shared" si="1"/>
        <v>2025-01</v>
      </c>
      <c r="D461" s="36">
        <f>COUNTIF('📋 Транзакції'!$B$5:$B$3623,A461)</f>
        <v>4</v>
      </c>
      <c r="E461" s="36">
        <f>SUMIF('📋 Транзакції'!$B$5:$B$3623,A461,'📋 Транзакції'!$F$5:$F$3623)</f>
        <v>59.97</v>
      </c>
      <c r="F461" s="35">
        <f>INT($A$1-MAXIFS('📋 Транзакції'!$C$5:$C$3623,'📋 Транзакції'!$B$5:$B$3623,A461))</f>
        <v>19</v>
      </c>
      <c r="G461" s="37">
        <f>IF(COUNTIFS('📋 Транзакції'!$B$5:$B$3623,A461,'📋 Транзакції'!$C$5:$C$3623,"&gt;="&amp;EDATE(DATEVALUE(C461&amp;"-01"),0),'📋 Транзакції'!$C$5:$C$3623,"&lt;"&amp;EDATE(DATEVALUE(C461&amp;"-01"),1))&gt;0,1,0)</f>
        <v>1</v>
      </c>
      <c r="H461" s="37">
        <f>IF(COUNTIFS('📋 Транзакції'!$B$5:$B$3623,A461,'📋 Транзакції'!$C$5:$C$3623,"&gt;="&amp;EDATE(DATEVALUE(C461&amp;"-01"),1),'📋 Транзакції'!$C$5:$C$3623,"&lt;"&amp;EDATE(DATEVALUE(C461&amp;"-01"),2))&gt;0,1,0)</f>
        <v>1</v>
      </c>
      <c r="I461" s="37">
        <f>IF(COUNTIFS('📋 Транзакції'!$B$5:$B$3623,A461,'📋 Транзакції'!$C$5:$C$3623,"&gt;="&amp;EDATE(DATEVALUE(C461&amp;"-01"),2),'📋 Транзакції'!$C$5:$C$3623,"&lt;"&amp;EDATE(DATEVALUE(C461&amp;"-01"),3))&gt;0,1,0)</f>
        <v>1</v>
      </c>
      <c r="J461" s="37">
        <f>IF(COUNTIFS('📋 Транзакції'!$B$5:$B$3623,A461,'📋 Транзакції'!$C$5:$C$3623,"&gt;="&amp;EDATE(DATEVALUE(C461&amp;"-01"),3),'📋 Транзакції'!$C$5:$C$3623,"&lt;"&amp;EDATE(DATEVALUE(C461&amp;"-01"),4))&gt;0,1,0)</f>
        <v>0</v>
      </c>
      <c r="K461" s="37">
        <f>IF(COUNTIFS('📋 Транзакції'!$B$5:$B$3623,A461,'📋 Транзакції'!$C$5:$C$3623,"&gt;="&amp;EDATE(DATEVALUE(C461&amp;"-01"),4),'📋 Транзакції'!$C$5:$C$3623,"&lt;"&amp;EDATE(DATEVALUE(C461&amp;"-01"),5))&gt;0,1,0)</f>
        <v>0</v>
      </c>
      <c r="L461" s="37">
        <f>IF(COUNTIFS('📋 Транзакції'!$B$5:$B$3623,A461,'📋 Транзакції'!$C$5:$C$3623,"&gt;="&amp;EDATE(DATEVALUE(C461&amp;"-01"),5),'📋 Транзакції'!$C$5:$C$3623,"&lt;"&amp;EDATE(DATEVALUE(C461&amp;"-01"),6))&gt;0,1,0)</f>
        <v>0</v>
      </c>
      <c r="M461" s="37">
        <f>IF(COUNTIFS('📋 Транзакції'!$B$5:$B$3623,A461,'📋 Транзакції'!$C$5:$C$3623,"&gt;="&amp;EDATE(DATEVALUE(C461&amp;"-01"),6),'📋 Транзакції'!$C$5:$C$3623,"&lt;"&amp;EDATE(DATEVALUE(C461&amp;"-01"),7))&gt;0,1,0)</f>
        <v>0</v>
      </c>
      <c r="N461" s="37">
        <f>IF(COUNTIFS('📋 Транзакції'!$B$5:$B$3623,A461,'📋 Транзакції'!$C$5:$C$3623,"&gt;="&amp;EDATE(DATEVALUE(C461&amp;"-01"),7),'📋 Транзакції'!$C$5:$C$3623,"&lt;"&amp;EDATE(DATEVALUE(C461&amp;"-01"),8))&gt;0,1,0)</f>
        <v>0</v>
      </c>
      <c r="O461" s="37">
        <f>IF(COUNTIFS('📋 Транзакції'!$B$5:$B$3623,A461,'📋 Транзакції'!$C$5:$C$3623,"&gt;="&amp;EDATE(DATEVALUE(C461&amp;"-01"),8),'📋 Транзакції'!$C$5:$C$3623,"&lt;"&amp;EDATE(DATEVALUE(C461&amp;"-01"),9))&gt;0,1,0)</f>
        <v>0</v>
      </c>
      <c r="P461" s="37">
        <f>IF(COUNTIFS('📋 Транзакції'!$B$5:$B$3623,A461,'📋 Транзакції'!$C$5:$C$3623,"&gt;="&amp;EDATE(DATEVALUE(C461&amp;"-01"),9),'📋 Транзакції'!$C$5:$C$3623,"&lt;"&amp;EDATE(DATEVALUE(C461&amp;"-01"),10))&gt;0,1,0)</f>
        <v>0</v>
      </c>
      <c r="Q461" s="37">
        <f>IF(COUNTIFS('📋 Транзакції'!$B$5:$B$3623,A461,'📋 Транзакції'!$C$5:$C$3623,"&gt;="&amp;EDATE(DATEVALUE(C461&amp;"-01"),10),'📋 Транзакції'!$C$5:$C$3623,"&lt;"&amp;EDATE(DATEVALUE(C461&amp;"-01"),11))&gt;0,1,0)</f>
        <v>0</v>
      </c>
      <c r="R461" s="37">
        <f>IF(COUNTIFS('📋 Транзакції'!$B$5:$B$3623,A461,'📋 Транзакції'!$C$5:$C$3623,"&gt;="&amp;EDATE(DATEVALUE(C461&amp;"-01"),11),'📋 Транзакції'!$C$5:$C$3623,"&lt;"&amp;EDATE(DATEVALUE(C461&amp;"-01"),12))&gt;0,1,0)</f>
        <v>0</v>
      </c>
      <c r="S461" s="37">
        <f>SUMIFS('📋 Транзакції'!$F$5:$F$3623,'📋 Транзакції'!$B$5:$B$3623,A461,'📋 Транзакції'!$C$5:$C$3623,"&gt;="&amp;EDATE(DATEVALUE(C461&amp;"-01"),0),'📋 Транзакції'!$C$5:$C$3623,"&lt;"&amp;EDATE(DATEVALUE(C461&amp;"-01"),1))</f>
        <v>19.99</v>
      </c>
      <c r="T461" s="37">
        <f>SUMIFS('📋 Транзакції'!$F$5:$F$3623,'📋 Транзакції'!$B$5:$B$3623,A461,'📋 Транзакції'!$C$5:$C$3623,"&gt;="&amp;EDATE(DATEVALUE(C461&amp;"-01"),1),'📋 Транзакції'!$C$5:$C$3623,"&lt;"&amp;EDATE(DATEVALUE(C461&amp;"-01"),2))</f>
        <v>19.99</v>
      </c>
      <c r="U461" s="37">
        <f>SUMIFS('📋 Транзакції'!$F$5:$F$3623,'📋 Транзакції'!$B$5:$B$3623,A461,'📋 Транзакції'!$C$5:$C$3623,"&gt;="&amp;EDATE(DATEVALUE(C461&amp;"-01"),2),'📋 Транзакції'!$C$5:$C$3623,"&lt;"&amp;EDATE(DATEVALUE(C461&amp;"-01"),3))</f>
        <v>19.99</v>
      </c>
      <c r="V461" s="37">
        <f>SUMIFS('📋 Транзакції'!$F$5:$F$3623,'📋 Транзакції'!$B$5:$B$3623,A461,'📋 Транзакції'!$C$5:$C$3623,"&gt;="&amp;EDATE(DATEVALUE(C461&amp;"-01"),3),'📋 Транзакції'!$C$5:$C$3623,"&lt;"&amp;EDATE(DATEVALUE(C461&amp;"-01"),4))</f>
        <v>0</v>
      </c>
      <c r="W461" s="37">
        <f>SUMIFS('📋 Транзакції'!$F$5:$F$3623,'📋 Транзакції'!$B$5:$B$3623,A461,'📋 Транзакції'!$C$5:$C$3623,"&gt;="&amp;EDATE(DATEVALUE(C461&amp;"-01"),4),'📋 Транзакції'!$C$5:$C$3623,"&lt;"&amp;EDATE(DATEVALUE(C461&amp;"-01"),5))</f>
        <v>0</v>
      </c>
      <c r="X461" s="37">
        <f>SUMIFS('📋 Транзакції'!$F$5:$F$3623,'📋 Транзакції'!$B$5:$B$3623,A461,'📋 Транзакції'!$C$5:$C$3623,"&gt;="&amp;EDATE(DATEVALUE(C461&amp;"-01"),5),'📋 Транзакції'!$C$5:$C$3623,"&lt;"&amp;EDATE(DATEVALUE(C461&amp;"-01"),6))</f>
        <v>0</v>
      </c>
      <c r="Y461" s="37">
        <f>SUMIFS('📋 Транзакції'!$F$5:$F$3623,'📋 Транзакції'!$B$5:$B$3623,A461,'📋 Транзакції'!$C$5:$C$3623,"&gt;="&amp;EDATE(DATEVALUE(C461&amp;"-01"),6),'📋 Транзакції'!$C$5:$C$3623,"&lt;"&amp;EDATE(DATEVALUE(C461&amp;"-01"),7))</f>
        <v>0</v>
      </c>
      <c r="Z461" s="37">
        <f>SUMIFS('📋 Транзакції'!$F$5:$F$3623,'📋 Транзакції'!$B$5:$B$3623,A461,'📋 Транзакції'!$C$5:$C$3623,"&gt;="&amp;EDATE(DATEVALUE(C461&amp;"-01"),7),'📋 Транзакції'!$C$5:$C$3623,"&lt;"&amp;EDATE(DATEVALUE(C461&amp;"-01"),8))</f>
        <v>0</v>
      </c>
      <c r="AA461" s="37">
        <f>SUMIFS('📋 Транзакції'!$F$5:$F$3623,'📋 Транзакції'!$B$5:$B$3623,A461,'📋 Транзакції'!$C$5:$C$3623,"&gt;="&amp;EDATE(DATEVALUE(C461&amp;"-01"),8),'📋 Транзакції'!$C$5:$C$3623,"&lt;"&amp;EDATE(DATEVALUE(C461&amp;"-01"),9))</f>
        <v>0</v>
      </c>
      <c r="AB461" s="37">
        <f>SUMIFS('📋 Транзакції'!$F$5:$F$3623,'📋 Транзакції'!$B$5:$B$3623,A461,'📋 Транзакції'!$C$5:$C$3623,"&gt;="&amp;EDATE(DATEVALUE(C461&amp;"-01"),9),'📋 Транзакції'!$C$5:$C$3623,"&lt;"&amp;EDATE(DATEVALUE(C461&amp;"-01"),10))</f>
        <v>0</v>
      </c>
      <c r="AC461" s="37">
        <f>SUMIFS('📋 Транзакції'!$F$5:$F$3623,'📋 Транзакції'!$B$5:$B$3623,A461,'📋 Транзакції'!$C$5:$C$3623,"&gt;="&amp;EDATE(DATEVALUE(C461&amp;"-01"),10),'📋 Транзакції'!$C$5:$C$3623,"&lt;"&amp;EDATE(DATEVALUE(C461&amp;"-01"),11))</f>
        <v>0</v>
      </c>
      <c r="AD461" s="37">
        <f>SUMIFS('📋 Транзакції'!$F$5:$F$3623,'📋 Транзакції'!$B$5:$B$3623,A461,'📋 Транзакції'!$C$5:$C$3623,"&gt;="&amp;EDATE(DATEVALUE(C461&amp;"-01"),11),'📋 Транзакції'!$C$5:$C$3623,"&lt;"&amp;EDATE(DATEVALUE(C461&amp;"-01"),12))</f>
        <v>0</v>
      </c>
    </row>
    <row r="462" ht="15.75" customHeight="1">
      <c r="A462" s="33" t="str">
        <f>'📋 Реєстрації'!A462:A1063</f>
        <v>U0432</v>
      </c>
      <c r="B462" s="34">
        <f t="array" ref="B462">INDEX('📋 Транзакції'!$C$5:$C$3623,MATCH(A462,'📋 Транзакції'!$B$5:$B$3623,0))</f>
        <v>45663</v>
      </c>
      <c r="C462" s="35" t="str">
        <f t="shared" si="1"/>
        <v>2025-01</v>
      </c>
      <c r="D462" s="36">
        <f>COUNTIF('📋 Транзакції'!$B$5:$B$3623,A462)</f>
        <v>4</v>
      </c>
      <c r="E462" s="36">
        <f>SUMIF('📋 Транзакції'!$B$5:$B$3623,A462,'📋 Транзакції'!$F$5:$F$3623)</f>
        <v>59.97</v>
      </c>
      <c r="F462" s="35">
        <f>INT($A$1-MAXIFS('📋 Транзакції'!$C$5:$C$3623,'📋 Транзакції'!$B$5:$B$3623,A462))</f>
        <v>17</v>
      </c>
      <c r="G462" s="37">
        <f>IF(COUNTIFS('📋 Транзакції'!$B$5:$B$3623,A462,'📋 Транзакції'!$C$5:$C$3623,"&gt;="&amp;EDATE(DATEVALUE(C462&amp;"-01"),0),'📋 Транзакції'!$C$5:$C$3623,"&lt;"&amp;EDATE(DATEVALUE(C462&amp;"-01"),1))&gt;0,1,0)</f>
        <v>1</v>
      </c>
      <c r="H462" s="37">
        <f>IF(COUNTIFS('📋 Транзакції'!$B$5:$B$3623,A462,'📋 Транзакції'!$C$5:$C$3623,"&gt;="&amp;EDATE(DATEVALUE(C462&amp;"-01"),1),'📋 Транзакції'!$C$5:$C$3623,"&lt;"&amp;EDATE(DATEVALUE(C462&amp;"-01"),2))&gt;0,1,0)</f>
        <v>1</v>
      </c>
      <c r="I462" s="37">
        <f>IF(COUNTIFS('📋 Транзакції'!$B$5:$B$3623,A462,'📋 Транзакції'!$C$5:$C$3623,"&gt;="&amp;EDATE(DATEVALUE(C462&amp;"-01"),2),'📋 Транзакції'!$C$5:$C$3623,"&lt;"&amp;EDATE(DATEVALUE(C462&amp;"-01"),3))&gt;0,1,0)</f>
        <v>1</v>
      </c>
      <c r="J462" s="37">
        <f>IF(COUNTIFS('📋 Транзакції'!$B$5:$B$3623,A462,'📋 Транзакції'!$C$5:$C$3623,"&gt;="&amp;EDATE(DATEVALUE(C462&amp;"-01"),3),'📋 Транзакції'!$C$5:$C$3623,"&lt;"&amp;EDATE(DATEVALUE(C462&amp;"-01"),4))&gt;0,1,0)</f>
        <v>0</v>
      </c>
      <c r="K462" s="37">
        <f>IF(COUNTIFS('📋 Транзакції'!$B$5:$B$3623,A462,'📋 Транзакції'!$C$5:$C$3623,"&gt;="&amp;EDATE(DATEVALUE(C462&amp;"-01"),4),'📋 Транзакції'!$C$5:$C$3623,"&lt;"&amp;EDATE(DATEVALUE(C462&amp;"-01"),5))&gt;0,1,0)</f>
        <v>0</v>
      </c>
      <c r="L462" s="37">
        <f>IF(COUNTIFS('📋 Транзакції'!$B$5:$B$3623,A462,'📋 Транзакції'!$C$5:$C$3623,"&gt;="&amp;EDATE(DATEVALUE(C462&amp;"-01"),5),'📋 Транзакції'!$C$5:$C$3623,"&lt;"&amp;EDATE(DATEVALUE(C462&amp;"-01"),6))&gt;0,1,0)</f>
        <v>0</v>
      </c>
      <c r="M462" s="37">
        <f>IF(COUNTIFS('📋 Транзакції'!$B$5:$B$3623,A462,'📋 Транзакції'!$C$5:$C$3623,"&gt;="&amp;EDATE(DATEVALUE(C462&amp;"-01"),6),'📋 Транзакції'!$C$5:$C$3623,"&lt;"&amp;EDATE(DATEVALUE(C462&amp;"-01"),7))&gt;0,1,0)</f>
        <v>0</v>
      </c>
      <c r="N462" s="37">
        <f>IF(COUNTIFS('📋 Транзакції'!$B$5:$B$3623,A462,'📋 Транзакції'!$C$5:$C$3623,"&gt;="&amp;EDATE(DATEVALUE(C462&amp;"-01"),7),'📋 Транзакції'!$C$5:$C$3623,"&lt;"&amp;EDATE(DATEVALUE(C462&amp;"-01"),8))&gt;0,1,0)</f>
        <v>0</v>
      </c>
      <c r="O462" s="37">
        <f>IF(COUNTIFS('📋 Транзакції'!$B$5:$B$3623,A462,'📋 Транзакції'!$C$5:$C$3623,"&gt;="&amp;EDATE(DATEVALUE(C462&amp;"-01"),8),'📋 Транзакції'!$C$5:$C$3623,"&lt;"&amp;EDATE(DATEVALUE(C462&amp;"-01"),9))&gt;0,1,0)</f>
        <v>0</v>
      </c>
      <c r="P462" s="37">
        <f>IF(COUNTIFS('📋 Транзакції'!$B$5:$B$3623,A462,'📋 Транзакції'!$C$5:$C$3623,"&gt;="&amp;EDATE(DATEVALUE(C462&amp;"-01"),9),'📋 Транзакції'!$C$5:$C$3623,"&lt;"&amp;EDATE(DATEVALUE(C462&amp;"-01"),10))&gt;0,1,0)</f>
        <v>0</v>
      </c>
      <c r="Q462" s="37">
        <f>IF(COUNTIFS('📋 Транзакції'!$B$5:$B$3623,A462,'📋 Транзакції'!$C$5:$C$3623,"&gt;="&amp;EDATE(DATEVALUE(C462&amp;"-01"),10),'📋 Транзакції'!$C$5:$C$3623,"&lt;"&amp;EDATE(DATEVALUE(C462&amp;"-01"),11))&gt;0,1,0)</f>
        <v>0</v>
      </c>
      <c r="R462" s="37">
        <f>IF(COUNTIFS('📋 Транзакції'!$B$5:$B$3623,A462,'📋 Транзакції'!$C$5:$C$3623,"&gt;="&amp;EDATE(DATEVALUE(C462&amp;"-01"),11),'📋 Транзакції'!$C$5:$C$3623,"&lt;"&amp;EDATE(DATEVALUE(C462&amp;"-01"),12))&gt;0,1,0)</f>
        <v>0</v>
      </c>
      <c r="S462" s="37">
        <f>SUMIFS('📋 Транзакції'!$F$5:$F$3623,'📋 Транзакції'!$B$5:$B$3623,A462,'📋 Транзакції'!$C$5:$C$3623,"&gt;="&amp;EDATE(DATEVALUE(C462&amp;"-01"),0),'📋 Транзакції'!$C$5:$C$3623,"&lt;"&amp;EDATE(DATEVALUE(C462&amp;"-01"),1))</f>
        <v>19.99</v>
      </c>
      <c r="T462" s="37">
        <f>SUMIFS('📋 Транзакції'!$F$5:$F$3623,'📋 Транзакції'!$B$5:$B$3623,A462,'📋 Транзакції'!$C$5:$C$3623,"&gt;="&amp;EDATE(DATEVALUE(C462&amp;"-01"),1),'📋 Транзакції'!$C$5:$C$3623,"&lt;"&amp;EDATE(DATEVALUE(C462&amp;"-01"),2))</f>
        <v>19.99</v>
      </c>
      <c r="U462" s="37">
        <f>SUMIFS('📋 Транзакції'!$F$5:$F$3623,'📋 Транзакції'!$B$5:$B$3623,A462,'📋 Транзакції'!$C$5:$C$3623,"&gt;="&amp;EDATE(DATEVALUE(C462&amp;"-01"),2),'📋 Транзакції'!$C$5:$C$3623,"&lt;"&amp;EDATE(DATEVALUE(C462&amp;"-01"),3))</f>
        <v>19.99</v>
      </c>
      <c r="V462" s="37">
        <f>SUMIFS('📋 Транзакції'!$F$5:$F$3623,'📋 Транзакції'!$B$5:$B$3623,A462,'📋 Транзакції'!$C$5:$C$3623,"&gt;="&amp;EDATE(DATEVALUE(C462&amp;"-01"),3),'📋 Транзакції'!$C$5:$C$3623,"&lt;"&amp;EDATE(DATEVALUE(C462&amp;"-01"),4))</f>
        <v>0</v>
      </c>
      <c r="W462" s="37">
        <f>SUMIFS('📋 Транзакції'!$F$5:$F$3623,'📋 Транзакції'!$B$5:$B$3623,A462,'📋 Транзакції'!$C$5:$C$3623,"&gt;="&amp;EDATE(DATEVALUE(C462&amp;"-01"),4),'📋 Транзакції'!$C$5:$C$3623,"&lt;"&amp;EDATE(DATEVALUE(C462&amp;"-01"),5))</f>
        <v>0</v>
      </c>
      <c r="X462" s="37">
        <f>SUMIFS('📋 Транзакції'!$F$5:$F$3623,'📋 Транзакції'!$B$5:$B$3623,A462,'📋 Транзакції'!$C$5:$C$3623,"&gt;="&amp;EDATE(DATEVALUE(C462&amp;"-01"),5),'📋 Транзакції'!$C$5:$C$3623,"&lt;"&amp;EDATE(DATEVALUE(C462&amp;"-01"),6))</f>
        <v>0</v>
      </c>
      <c r="Y462" s="37">
        <f>SUMIFS('📋 Транзакції'!$F$5:$F$3623,'📋 Транзакції'!$B$5:$B$3623,A462,'📋 Транзакції'!$C$5:$C$3623,"&gt;="&amp;EDATE(DATEVALUE(C462&amp;"-01"),6),'📋 Транзакції'!$C$5:$C$3623,"&lt;"&amp;EDATE(DATEVALUE(C462&amp;"-01"),7))</f>
        <v>0</v>
      </c>
      <c r="Z462" s="37">
        <f>SUMIFS('📋 Транзакції'!$F$5:$F$3623,'📋 Транзакції'!$B$5:$B$3623,A462,'📋 Транзакції'!$C$5:$C$3623,"&gt;="&amp;EDATE(DATEVALUE(C462&amp;"-01"),7),'📋 Транзакції'!$C$5:$C$3623,"&lt;"&amp;EDATE(DATEVALUE(C462&amp;"-01"),8))</f>
        <v>0</v>
      </c>
      <c r="AA462" s="37">
        <f>SUMIFS('📋 Транзакції'!$F$5:$F$3623,'📋 Транзакції'!$B$5:$B$3623,A462,'📋 Транзакції'!$C$5:$C$3623,"&gt;="&amp;EDATE(DATEVALUE(C462&amp;"-01"),8),'📋 Транзакції'!$C$5:$C$3623,"&lt;"&amp;EDATE(DATEVALUE(C462&amp;"-01"),9))</f>
        <v>0</v>
      </c>
      <c r="AB462" s="37">
        <f>SUMIFS('📋 Транзакції'!$F$5:$F$3623,'📋 Транзакції'!$B$5:$B$3623,A462,'📋 Транзакції'!$C$5:$C$3623,"&gt;="&amp;EDATE(DATEVALUE(C462&amp;"-01"),9),'📋 Транзакції'!$C$5:$C$3623,"&lt;"&amp;EDATE(DATEVALUE(C462&amp;"-01"),10))</f>
        <v>0</v>
      </c>
      <c r="AC462" s="37">
        <f>SUMIFS('📋 Транзакції'!$F$5:$F$3623,'📋 Транзакції'!$B$5:$B$3623,A462,'📋 Транзакції'!$C$5:$C$3623,"&gt;="&amp;EDATE(DATEVALUE(C462&amp;"-01"),10),'📋 Транзакції'!$C$5:$C$3623,"&lt;"&amp;EDATE(DATEVALUE(C462&amp;"-01"),11))</f>
        <v>0</v>
      </c>
      <c r="AD462" s="37">
        <f>SUMIFS('📋 Транзакції'!$F$5:$F$3623,'📋 Транзакції'!$B$5:$B$3623,A462,'📋 Транзакції'!$C$5:$C$3623,"&gt;="&amp;EDATE(DATEVALUE(C462&amp;"-01"),11),'📋 Транзакції'!$C$5:$C$3623,"&lt;"&amp;EDATE(DATEVALUE(C462&amp;"-01"),12))</f>
        <v>0</v>
      </c>
    </row>
    <row r="463" ht="15.75" customHeight="1">
      <c r="A463" s="33" t="str">
        <f>'📋 Реєстрації'!A463:A1064</f>
        <v>U0572</v>
      </c>
      <c r="B463" s="34">
        <f t="array" ref="B463">INDEX('📋 Транзакції'!$C$5:$C$3623,MATCH(A463,'📋 Транзакції'!$B$5:$B$3623,0))</f>
        <v>45663</v>
      </c>
      <c r="C463" s="35" t="str">
        <f t="shared" si="1"/>
        <v>2025-01</v>
      </c>
      <c r="D463" s="36">
        <f>COUNTIF('📋 Транзакції'!$B$5:$B$3623,A463)</f>
        <v>4</v>
      </c>
      <c r="E463" s="36">
        <f>SUMIF('📋 Транзакції'!$B$5:$B$3623,A463,'📋 Транзакції'!$F$5:$F$3623)</f>
        <v>59.97</v>
      </c>
      <c r="F463" s="35">
        <f>INT($A$1-MAXIFS('📋 Транзакції'!$C$5:$C$3623,'📋 Транзакції'!$B$5:$B$3623,A463))</f>
        <v>17</v>
      </c>
      <c r="G463" s="37">
        <f>IF(COUNTIFS('📋 Транзакції'!$B$5:$B$3623,A463,'📋 Транзакції'!$C$5:$C$3623,"&gt;="&amp;EDATE(DATEVALUE(C463&amp;"-01"),0),'📋 Транзакції'!$C$5:$C$3623,"&lt;"&amp;EDATE(DATEVALUE(C463&amp;"-01"),1))&gt;0,1,0)</f>
        <v>1</v>
      </c>
      <c r="H463" s="37">
        <f>IF(COUNTIFS('📋 Транзакції'!$B$5:$B$3623,A463,'📋 Транзакції'!$C$5:$C$3623,"&gt;="&amp;EDATE(DATEVALUE(C463&amp;"-01"),1),'📋 Транзакції'!$C$5:$C$3623,"&lt;"&amp;EDATE(DATEVALUE(C463&amp;"-01"),2))&gt;0,1,0)</f>
        <v>1</v>
      </c>
      <c r="I463" s="37">
        <f>IF(COUNTIFS('📋 Транзакції'!$B$5:$B$3623,A463,'📋 Транзакції'!$C$5:$C$3623,"&gt;="&amp;EDATE(DATEVALUE(C463&amp;"-01"),2),'📋 Транзакції'!$C$5:$C$3623,"&lt;"&amp;EDATE(DATEVALUE(C463&amp;"-01"),3))&gt;0,1,0)</f>
        <v>1</v>
      </c>
      <c r="J463" s="37">
        <f>IF(COUNTIFS('📋 Транзакції'!$B$5:$B$3623,A463,'📋 Транзакції'!$C$5:$C$3623,"&gt;="&amp;EDATE(DATEVALUE(C463&amp;"-01"),3),'📋 Транзакції'!$C$5:$C$3623,"&lt;"&amp;EDATE(DATEVALUE(C463&amp;"-01"),4))&gt;0,1,0)</f>
        <v>0</v>
      </c>
      <c r="K463" s="37">
        <f>IF(COUNTIFS('📋 Транзакції'!$B$5:$B$3623,A463,'📋 Транзакції'!$C$5:$C$3623,"&gt;="&amp;EDATE(DATEVALUE(C463&amp;"-01"),4),'📋 Транзакції'!$C$5:$C$3623,"&lt;"&amp;EDATE(DATEVALUE(C463&amp;"-01"),5))&gt;0,1,0)</f>
        <v>0</v>
      </c>
      <c r="L463" s="37">
        <f>IF(COUNTIFS('📋 Транзакції'!$B$5:$B$3623,A463,'📋 Транзакції'!$C$5:$C$3623,"&gt;="&amp;EDATE(DATEVALUE(C463&amp;"-01"),5),'📋 Транзакції'!$C$5:$C$3623,"&lt;"&amp;EDATE(DATEVALUE(C463&amp;"-01"),6))&gt;0,1,0)</f>
        <v>0</v>
      </c>
      <c r="M463" s="37">
        <f>IF(COUNTIFS('📋 Транзакції'!$B$5:$B$3623,A463,'📋 Транзакції'!$C$5:$C$3623,"&gt;="&amp;EDATE(DATEVALUE(C463&amp;"-01"),6),'📋 Транзакції'!$C$5:$C$3623,"&lt;"&amp;EDATE(DATEVALUE(C463&amp;"-01"),7))&gt;0,1,0)</f>
        <v>0</v>
      </c>
      <c r="N463" s="37">
        <f>IF(COUNTIFS('📋 Транзакції'!$B$5:$B$3623,A463,'📋 Транзакції'!$C$5:$C$3623,"&gt;="&amp;EDATE(DATEVALUE(C463&amp;"-01"),7),'📋 Транзакції'!$C$5:$C$3623,"&lt;"&amp;EDATE(DATEVALUE(C463&amp;"-01"),8))&gt;0,1,0)</f>
        <v>0</v>
      </c>
      <c r="O463" s="37">
        <f>IF(COUNTIFS('📋 Транзакції'!$B$5:$B$3623,A463,'📋 Транзакції'!$C$5:$C$3623,"&gt;="&amp;EDATE(DATEVALUE(C463&amp;"-01"),8),'📋 Транзакції'!$C$5:$C$3623,"&lt;"&amp;EDATE(DATEVALUE(C463&amp;"-01"),9))&gt;0,1,0)</f>
        <v>0</v>
      </c>
      <c r="P463" s="37">
        <f>IF(COUNTIFS('📋 Транзакції'!$B$5:$B$3623,A463,'📋 Транзакції'!$C$5:$C$3623,"&gt;="&amp;EDATE(DATEVALUE(C463&amp;"-01"),9),'📋 Транзакції'!$C$5:$C$3623,"&lt;"&amp;EDATE(DATEVALUE(C463&amp;"-01"),10))&gt;0,1,0)</f>
        <v>0</v>
      </c>
      <c r="Q463" s="37">
        <f>IF(COUNTIFS('📋 Транзакції'!$B$5:$B$3623,A463,'📋 Транзакції'!$C$5:$C$3623,"&gt;="&amp;EDATE(DATEVALUE(C463&amp;"-01"),10),'📋 Транзакції'!$C$5:$C$3623,"&lt;"&amp;EDATE(DATEVALUE(C463&amp;"-01"),11))&gt;0,1,0)</f>
        <v>0</v>
      </c>
      <c r="R463" s="37">
        <f>IF(COUNTIFS('📋 Транзакції'!$B$5:$B$3623,A463,'📋 Транзакції'!$C$5:$C$3623,"&gt;="&amp;EDATE(DATEVALUE(C463&amp;"-01"),11),'📋 Транзакції'!$C$5:$C$3623,"&lt;"&amp;EDATE(DATEVALUE(C463&amp;"-01"),12))&gt;0,1,0)</f>
        <v>0</v>
      </c>
      <c r="S463" s="37">
        <f>SUMIFS('📋 Транзакції'!$F$5:$F$3623,'📋 Транзакції'!$B$5:$B$3623,A463,'📋 Транзакції'!$C$5:$C$3623,"&gt;="&amp;EDATE(DATEVALUE(C463&amp;"-01"),0),'📋 Транзакції'!$C$5:$C$3623,"&lt;"&amp;EDATE(DATEVALUE(C463&amp;"-01"),1))</f>
        <v>19.99</v>
      </c>
      <c r="T463" s="37">
        <f>SUMIFS('📋 Транзакції'!$F$5:$F$3623,'📋 Транзакції'!$B$5:$B$3623,A463,'📋 Транзакції'!$C$5:$C$3623,"&gt;="&amp;EDATE(DATEVALUE(C463&amp;"-01"),1),'📋 Транзакції'!$C$5:$C$3623,"&lt;"&amp;EDATE(DATEVALUE(C463&amp;"-01"),2))</f>
        <v>19.99</v>
      </c>
      <c r="U463" s="37">
        <f>SUMIFS('📋 Транзакції'!$F$5:$F$3623,'📋 Транзакції'!$B$5:$B$3623,A463,'📋 Транзакції'!$C$5:$C$3623,"&gt;="&amp;EDATE(DATEVALUE(C463&amp;"-01"),2),'📋 Транзакції'!$C$5:$C$3623,"&lt;"&amp;EDATE(DATEVALUE(C463&amp;"-01"),3))</f>
        <v>19.99</v>
      </c>
      <c r="V463" s="37">
        <f>SUMIFS('📋 Транзакції'!$F$5:$F$3623,'📋 Транзакції'!$B$5:$B$3623,A463,'📋 Транзакції'!$C$5:$C$3623,"&gt;="&amp;EDATE(DATEVALUE(C463&amp;"-01"),3),'📋 Транзакції'!$C$5:$C$3623,"&lt;"&amp;EDATE(DATEVALUE(C463&amp;"-01"),4))</f>
        <v>0</v>
      </c>
      <c r="W463" s="37">
        <f>SUMIFS('📋 Транзакції'!$F$5:$F$3623,'📋 Транзакції'!$B$5:$B$3623,A463,'📋 Транзакції'!$C$5:$C$3623,"&gt;="&amp;EDATE(DATEVALUE(C463&amp;"-01"),4),'📋 Транзакції'!$C$5:$C$3623,"&lt;"&amp;EDATE(DATEVALUE(C463&amp;"-01"),5))</f>
        <v>0</v>
      </c>
      <c r="X463" s="37">
        <f>SUMIFS('📋 Транзакції'!$F$5:$F$3623,'📋 Транзакції'!$B$5:$B$3623,A463,'📋 Транзакції'!$C$5:$C$3623,"&gt;="&amp;EDATE(DATEVALUE(C463&amp;"-01"),5),'📋 Транзакції'!$C$5:$C$3623,"&lt;"&amp;EDATE(DATEVALUE(C463&amp;"-01"),6))</f>
        <v>0</v>
      </c>
      <c r="Y463" s="37">
        <f>SUMIFS('📋 Транзакції'!$F$5:$F$3623,'📋 Транзакції'!$B$5:$B$3623,A463,'📋 Транзакції'!$C$5:$C$3623,"&gt;="&amp;EDATE(DATEVALUE(C463&amp;"-01"),6),'📋 Транзакції'!$C$5:$C$3623,"&lt;"&amp;EDATE(DATEVALUE(C463&amp;"-01"),7))</f>
        <v>0</v>
      </c>
      <c r="Z463" s="37">
        <f>SUMIFS('📋 Транзакції'!$F$5:$F$3623,'📋 Транзакції'!$B$5:$B$3623,A463,'📋 Транзакції'!$C$5:$C$3623,"&gt;="&amp;EDATE(DATEVALUE(C463&amp;"-01"),7),'📋 Транзакції'!$C$5:$C$3623,"&lt;"&amp;EDATE(DATEVALUE(C463&amp;"-01"),8))</f>
        <v>0</v>
      </c>
      <c r="AA463" s="37">
        <f>SUMIFS('📋 Транзакції'!$F$5:$F$3623,'📋 Транзакції'!$B$5:$B$3623,A463,'📋 Транзакції'!$C$5:$C$3623,"&gt;="&amp;EDATE(DATEVALUE(C463&amp;"-01"),8),'📋 Транзакції'!$C$5:$C$3623,"&lt;"&amp;EDATE(DATEVALUE(C463&amp;"-01"),9))</f>
        <v>0</v>
      </c>
      <c r="AB463" s="37">
        <f>SUMIFS('📋 Транзакції'!$F$5:$F$3623,'📋 Транзакції'!$B$5:$B$3623,A463,'📋 Транзакції'!$C$5:$C$3623,"&gt;="&amp;EDATE(DATEVALUE(C463&amp;"-01"),9),'📋 Транзакції'!$C$5:$C$3623,"&lt;"&amp;EDATE(DATEVALUE(C463&amp;"-01"),10))</f>
        <v>0</v>
      </c>
      <c r="AC463" s="37">
        <f>SUMIFS('📋 Транзакції'!$F$5:$F$3623,'📋 Транзакції'!$B$5:$B$3623,A463,'📋 Транзакції'!$C$5:$C$3623,"&gt;="&amp;EDATE(DATEVALUE(C463&amp;"-01"),10),'📋 Транзакції'!$C$5:$C$3623,"&lt;"&amp;EDATE(DATEVALUE(C463&amp;"-01"),11))</f>
        <v>0</v>
      </c>
      <c r="AD463" s="37">
        <f>SUMIFS('📋 Транзакції'!$F$5:$F$3623,'📋 Транзакції'!$B$5:$B$3623,A463,'📋 Транзакції'!$C$5:$C$3623,"&gt;="&amp;EDATE(DATEVALUE(C463&amp;"-01"),11),'📋 Транзакції'!$C$5:$C$3623,"&lt;"&amp;EDATE(DATEVALUE(C463&amp;"-01"),12))</f>
        <v>0</v>
      </c>
    </row>
    <row r="464" ht="15.75" customHeight="1">
      <c r="A464" s="33" t="str">
        <f>'📋 Реєстрації'!A464:A1065</f>
        <v>U0775</v>
      </c>
      <c r="B464" s="34">
        <f t="array" ref="B464">INDEX('📋 Транзакції'!$C$5:$C$3623,MATCH(A464,'📋 Транзакції'!$B$5:$B$3623,0))</f>
        <v>45663</v>
      </c>
      <c r="C464" s="35" t="str">
        <f t="shared" si="1"/>
        <v>2025-01</v>
      </c>
      <c r="D464" s="36">
        <f>COUNTIF('📋 Транзакції'!$B$5:$B$3623,A464)</f>
        <v>2</v>
      </c>
      <c r="E464" s="36">
        <f>SUMIF('📋 Транзакції'!$B$5:$B$3623,A464,'📋 Транзакції'!$F$5:$F$3623)</f>
        <v>19.99</v>
      </c>
      <c r="F464" s="35">
        <f>INT($A$1-MAXIFS('📋 Транзакції'!$C$5:$C$3623,'📋 Транзакції'!$B$5:$B$3623,A464))</f>
        <v>77</v>
      </c>
      <c r="G464" s="37">
        <f>IF(COUNTIFS('📋 Транзакції'!$B$5:$B$3623,A464,'📋 Транзакції'!$C$5:$C$3623,"&gt;="&amp;EDATE(DATEVALUE(C464&amp;"-01"),0),'📋 Транзакції'!$C$5:$C$3623,"&lt;"&amp;EDATE(DATEVALUE(C464&amp;"-01"),1))&gt;0,1,0)</f>
        <v>1</v>
      </c>
      <c r="H464" s="37">
        <f>IF(COUNTIFS('📋 Транзакції'!$B$5:$B$3623,A464,'📋 Транзакції'!$C$5:$C$3623,"&gt;="&amp;EDATE(DATEVALUE(C464&amp;"-01"),1),'📋 Транзакції'!$C$5:$C$3623,"&lt;"&amp;EDATE(DATEVALUE(C464&amp;"-01"),2))&gt;0,1,0)</f>
        <v>0</v>
      </c>
      <c r="I464" s="37">
        <f>IF(COUNTIFS('📋 Транзакції'!$B$5:$B$3623,A464,'📋 Транзакції'!$C$5:$C$3623,"&gt;="&amp;EDATE(DATEVALUE(C464&amp;"-01"),2),'📋 Транзакції'!$C$5:$C$3623,"&lt;"&amp;EDATE(DATEVALUE(C464&amp;"-01"),3))&gt;0,1,0)</f>
        <v>0</v>
      </c>
      <c r="J464" s="37">
        <f>IF(COUNTIFS('📋 Транзакції'!$B$5:$B$3623,A464,'📋 Транзакції'!$C$5:$C$3623,"&gt;="&amp;EDATE(DATEVALUE(C464&amp;"-01"),3),'📋 Транзакції'!$C$5:$C$3623,"&lt;"&amp;EDATE(DATEVALUE(C464&amp;"-01"),4))&gt;0,1,0)</f>
        <v>0</v>
      </c>
      <c r="K464" s="37">
        <f>IF(COUNTIFS('📋 Транзакції'!$B$5:$B$3623,A464,'📋 Транзакції'!$C$5:$C$3623,"&gt;="&amp;EDATE(DATEVALUE(C464&amp;"-01"),4),'📋 Транзакції'!$C$5:$C$3623,"&lt;"&amp;EDATE(DATEVALUE(C464&amp;"-01"),5))&gt;0,1,0)</f>
        <v>0</v>
      </c>
      <c r="L464" s="37">
        <f>IF(COUNTIFS('📋 Транзакції'!$B$5:$B$3623,A464,'📋 Транзакції'!$C$5:$C$3623,"&gt;="&amp;EDATE(DATEVALUE(C464&amp;"-01"),5),'📋 Транзакції'!$C$5:$C$3623,"&lt;"&amp;EDATE(DATEVALUE(C464&amp;"-01"),6))&gt;0,1,0)</f>
        <v>0</v>
      </c>
      <c r="M464" s="37">
        <f>IF(COUNTIFS('📋 Транзакції'!$B$5:$B$3623,A464,'📋 Транзакції'!$C$5:$C$3623,"&gt;="&amp;EDATE(DATEVALUE(C464&amp;"-01"),6),'📋 Транзакції'!$C$5:$C$3623,"&lt;"&amp;EDATE(DATEVALUE(C464&amp;"-01"),7))&gt;0,1,0)</f>
        <v>0</v>
      </c>
      <c r="N464" s="37">
        <f>IF(COUNTIFS('📋 Транзакції'!$B$5:$B$3623,A464,'📋 Транзакції'!$C$5:$C$3623,"&gt;="&amp;EDATE(DATEVALUE(C464&amp;"-01"),7),'📋 Транзакції'!$C$5:$C$3623,"&lt;"&amp;EDATE(DATEVALUE(C464&amp;"-01"),8))&gt;0,1,0)</f>
        <v>0</v>
      </c>
      <c r="O464" s="37">
        <f>IF(COUNTIFS('📋 Транзакції'!$B$5:$B$3623,A464,'📋 Транзакції'!$C$5:$C$3623,"&gt;="&amp;EDATE(DATEVALUE(C464&amp;"-01"),8),'📋 Транзакції'!$C$5:$C$3623,"&lt;"&amp;EDATE(DATEVALUE(C464&amp;"-01"),9))&gt;0,1,0)</f>
        <v>0</v>
      </c>
      <c r="P464" s="37">
        <f>IF(COUNTIFS('📋 Транзакції'!$B$5:$B$3623,A464,'📋 Транзакції'!$C$5:$C$3623,"&gt;="&amp;EDATE(DATEVALUE(C464&amp;"-01"),9),'📋 Транзакції'!$C$5:$C$3623,"&lt;"&amp;EDATE(DATEVALUE(C464&amp;"-01"),10))&gt;0,1,0)</f>
        <v>0</v>
      </c>
      <c r="Q464" s="37">
        <f>IF(COUNTIFS('📋 Транзакції'!$B$5:$B$3623,A464,'📋 Транзакції'!$C$5:$C$3623,"&gt;="&amp;EDATE(DATEVALUE(C464&amp;"-01"),10),'📋 Транзакції'!$C$5:$C$3623,"&lt;"&amp;EDATE(DATEVALUE(C464&amp;"-01"),11))&gt;0,1,0)</f>
        <v>0</v>
      </c>
      <c r="R464" s="37">
        <f>IF(COUNTIFS('📋 Транзакції'!$B$5:$B$3623,A464,'📋 Транзакції'!$C$5:$C$3623,"&gt;="&amp;EDATE(DATEVALUE(C464&amp;"-01"),11),'📋 Транзакції'!$C$5:$C$3623,"&lt;"&amp;EDATE(DATEVALUE(C464&amp;"-01"),12))&gt;0,1,0)</f>
        <v>0</v>
      </c>
      <c r="S464" s="37">
        <f>SUMIFS('📋 Транзакції'!$F$5:$F$3623,'📋 Транзакції'!$B$5:$B$3623,A464,'📋 Транзакції'!$C$5:$C$3623,"&gt;="&amp;EDATE(DATEVALUE(C464&amp;"-01"),0),'📋 Транзакції'!$C$5:$C$3623,"&lt;"&amp;EDATE(DATEVALUE(C464&amp;"-01"),1))</f>
        <v>19.99</v>
      </c>
      <c r="T464" s="37">
        <f>SUMIFS('📋 Транзакції'!$F$5:$F$3623,'📋 Транзакції'!$B$5:$B$3623,A464,'📋 Транзакції'!$C$5:$C$3623,"&gt;="&amp;EDATE(DATEVALUE(C464&amp;"-01"),1),'📋 Транзакції'!$C$5:$C$3623,"&lt;"&amp;EDATE(DATEVALUE(C464&amp;"-01"),2))</f>
        <v>0</v>
      </c>
      <c r="U464" s="37">
        <f>SUMIFS('📋 Транзакції'!$F$5:$F$3623,'📋 Транзакції'!$B$5:$B$3623,A464,'📋 Транзакції'!$C$5:$C$3623,"&gt;="&amp;EDATE(DATEVALUE(C464&amp;"-01"),2),'📋 Транзакції'!$C$5:$C$3623,"&lt;"&amp;EDATE(DATEVALUE(C464&amp;"-01"),3))</f>
        <v>0</v>
      </c>
      <c r="V464" s="37">
        <f>SUMIFS('📋 Транзакції'!$F$5:$F$3623,'📋 Транзакції'!$B$5:$B$3623,A464,'📋 Транзакції'!$C$5:$C$3623,"&gt;="&amp;EDATE(DATEVALUE(C464&amp;"-01"),3),'📋 Транзакції'!$C$5:$C$3623,"&lt;"&amp;EDATE(DATEVALUE(C464&amp;"-01"),4))</f>
        <v>0</v>
      </c>
      <c r="W464" s="37">
        <f>SUMIFS('📋 Транзакції'!$F$5:$F$3623,'📋 Транзакції'!$B$5:$B$3623,A464,'📋 Транзакції'!$C$5:$C$3623,"&gt;="&amp;EDATE(DATEVALUE(C464&amp;"-01"),4),'📋 Транзакції'!$C$5:$C$3623,"&lt;"&amp;EDATE(DATEVALUE(C464&amp;"-01"),5))</f>
        <v>0</v>
      </c>
      <c r="X464" s="37">
        <f>SUMIFS('📋 Транзакції'!$F$5:$F$3623,'📋 Транзакції'!$B$5:$B$3623,A464,'📋 Транзакції'!$C$5:$C$3623,"&gt;="&amp;EDATE(DATEVALUE(C464&amp;"-01"),5),'📋 Транзакції'!$C$5:$C$3623,"&lt;"&amp;EDATE(DATEVALUE(C464&amp;"-01"),6))</f>
        <v>0</v>
      </c>
      <c r="Y464" s="37">
        <f>SUMIFS('📋 Транзакції'!$F$5:$F$3623,'📋 Транзакції'!$B$5:$B$3623,A464,'📋 Транзакції'!$C$5:$C$3623,"&gt;="&amp;EDATE(DATEVALUE(C464&amp;"-01"),6),'📋 Транзакції'!$C$5:$C$3623,"&lt;"&amp;EDATE(DATEVALUE(C464&amp;"-01"),7))</f>
        <v>0</v>
      </c>
      <c r="Z464" s="37">
        <f>SUMIFS('📋 Транзакції'!$F$5:$F$3623,'📋 Транзакції'!$B$5:$B$3623,A464,'📋 Транзакції'!$C$5:$C$3623,"&gt;="&amp;EDATE(DATEVALUE(C464&amp;"-01"),7),'📋 Транзакції'!$C$5:$C$3623,"&lt;"&amp;EDATE(DATEVALUE(C464&amp;"-01"),8))</f>
        <v>0</v>
      </c>
      <c r="AA464" s="37">
        <f>SUMIFS('📋 Транзакції'!$F$5:$F$3623,'📋 Транзакції'!$B$5:$B$3623,A464,'📋 Транзакції'!$C$5:$C$3623,"&gt;="&amp;EDATE(DATEVALUE(C464&amp;"-01"),8),'📋 Транзакції'!$C$5:$C$3623,"&lt;"&amp;EDATE(DATEVALUE(C464&amp;"-01"),9))</f>
        <v>0</v>
      </c>
      <c r="AB464" s="37">
        <f>SUMIFS('📋 Транзакції'!$F$5:$F$3623,'📋 Транзакції'!$B$5:$B$3623,A464,'📋 Транзакції'!$C$5:$C$3623,"&gt;="&amp;EDATE(DATEVALUE(C464&amp;"-01"),9),'📋 Транзакції'!$C$5:$C$3623,"&lt;"&amp;EDATE(DATEVALUE(C464&amp;"-01"),10))</f>
        <v>0</v>
      </c>
      <c r="AC464" s="37">
        <f>SUMIFS('📋 Транзакції'!$F$5:$F$3623,'📋 Транзакції'!$B$5:$B$3623,A464,'📋 Транзакції'!$C$5:$C$3623,"&gt;="&amp;EDATE(DATEVALUE(C464&amp;"-01"),10),'📋 Транзакції'!$C$5:$C$3623,"&lt;"&amp;EDATE(DATEVALUE(C464&amp;"-01"),11))</f>
        <v>0</v>
      </c>
      <c r="AD464" s="37">
        <f>SUMIFS('📋 Транзакції'!$F$5:$F$3623,'📋 Транзакції'!$B$5:$B$3623,A464,'📋 Транзакції'!$C$5:$C$3623,"&gt;="&amp;EDATE(DATEVALUE(C464&amp;"-01"),11),'📋 Транзакції'!$C$5:$C$3623,"&lt;"&amp;EDATE(DATEVALUE(C464&amp;"-01"),12))</f>
        <v>0</v>
      </c>
    </row>
    <row r="465" ht="15.75" customHeight="1">
      <c r="A465" s="33" t="str">
        <f>'📋 Реєстрації'!A465:A1066</f>
        <v>U0885</v>
      </c>
      <c r="B465" s="34">
        <f t="array" ref="B465">INDEX('📋 Транзакції'!$C$5:$C$3623,MATCH(A465,'📋 Транзакції'!$B$5:$B$3623,0))</f>
        <v>45663</v>
      </c>
      <c r="C465" s="35" t="str">
        <f t="shared" si="1"/>
        <v>2025-01</v>
      </c>
      <c r="D465" s="36">
        <f>COUNTIF('📋 Транзакції'!$B$5:$B$3623,A465)</f>
        <v>2</v>
      </c>
      <c r="E465" s="36">
        <f>SUMIF('📋 Транзакції'!$B$5:$B$3623,A465,'📋 Транзакції'!$F$5:$F$3623)</f>
        <v>19.99</v>
      </c>
      <c r="F465" s="35">
        <f>INT($A$1-MAXIFS('📋 Транзакції'!$C$5:$C$3623,'📋 Транзакції'!$B$5:$B$3623,A465))</f>
        <v>77</v>
      </c>
      <c r="G465" s="37">
        <f>IF(COUNTIFS('📋 Транзакції'!$B$5:$B$3623,A465,'📋 Транзакції'!$C$5:$C$3623,"&gt;="&amp;EDATE(DATEVALUE(C465&amp;"-01"),0),'📋 Транзакції'!$C$5:$C$3623,"&lt;"&amp;EDATE(DATEVALUE(C465&amp;"-01"),1))&gt;0,1,0)</f>
        <v>1</v>
      </c>
      <c r="H465" s="37">
        <f>IF(COUNTIFS('📋 Транзакції'!$B$5:$B$3623,A465,'📋 Транзакції'!$C$5:$C$3623,"&gt;="&amp;EDATE(DATEVALUE(C465&amp;"-01"),1),'📋 Транзакції'!$C$5:$C$3623,"&lt;"&amp;EDATE(DATEVALUE(C465&amp;"-01"),2))&gt;0,1,0)</f>
        <v>0</v>
      </c>
      <c r="I465" s="37">
        <f>IF(COUNTIFS('📋 Транзакції'!$B$5:$B$3623,A465,'📋 Транзакції'!$C$5:$C$3623,"&gt;="&amp;EDATE(DATEVALUE(C465&amp;"-01"),2),'📋 Транзакції'!$C$5:$C$3623,"&lt;"&amp;EDATE(DATEVALUE(C465&amp;"-01"),3))&gt;0,1,0)</f>
        <v>0</v>
      </c>
      <c r="J465" s="37">
        <f>IF(COUNTIFS('📋 Транзакції'!$B$5:$B$3623,A465,'📋 Транзакції'!$C$5:$C$3623,"&gt;="&amp;EDATE(DATEVALUE(C465&amp;"-01"),3),'📋 Транзакції'!$C$5:$C$3623,"&lt;"&amp;EDATE(DATEVALUE(C465&amp;"-01"),4))&gt;0,1,0)</f>
        <v>0</v>
      </c>
      <c r="K465" s="37">
        <f>IF(COUNTIFS('📋 Транзакції'!$B$5:$B$3623,A465,'📋 Транзакції'!$C$5:$C$3623,"&gt;="&amp;EDATE(DATEVALUE(C465&amp;"-01"),4),'📋 Транзакції'!$C$5:$C$3623,"&lt;"&amp;EDATE(DATEVALUE(C465&amp;"-01"),5))&gt;0,1,0)</f>
        <v>0</v>
      </c>
      <c r="L465" s="37">
        <f>IF(COUNTIFS('📋 Транзакції'!$B$5:$B$3623,A465,'📋 Транзакції'!$C$5:$C$3623,"&gt;="&amp;EDATE(DATEVALUE(C465&amp;"-01"),5),'📋 Транзакції'!$C$5:$C$3623,"&lt;"&amp;EDATE(DATEVALUE(C465&amp;"-01"),6))&gt;0,1,0)</f>
        <v>0</v>
      </c>
      <c r="M465" s="37">
        <f>IF(COUNTIFS('📋 Транзакції'!$B$5:$B$3623,A465,'📋 Транзакції'!$C$5:$C$3623,"&gt;="&amp;EDATE(DATEVALUE(C465&amp;"-01"),6),'📋 Транзакції'!$C$5:$C$3623,"&lt;"&amp;EDATE(DATEVALUE(C465&amp;"-01"),7))&gt;0,1,0)</f>
        <v>0</v>
      </c>
      <c r="N465" s="37">
        <f>IF(COUNTIFS('📋 Транзакції'!$B$5:$B$3623,A465,'📋 Транзакції'!$C$5:$C$3623,"&gt;="&amp;EDATE(DATEVALUE(C465&amp;"-01"),7),'📋 Транзакції'!$C$5:$C$3623,"&lt;"&amp;EDATE(DATEVALUE(C465&amp;"-01"),8))&gt;0,1,0)</f>
        <v>0</v>
      </c>
      <c r="O465" s="37">
        <f>IF(COUNTIFS('📋 Транзакції'!$B$5:$B$3623,A465,'📋 Транзакції'!$C$5:$C$3623,"&gt;="&amp;EDATE(DATEVALUE(C465&amp;"-01"),8),'📋 Транзакції'!$C$5:$C$3623,"&lt;"&amp;EDATE(DATEVALUE(C465&amp;"-01"),9))&gt;0,1,0)</f>
        <v>0</v>
      </c>
      <c r="P465" s="37">
        <f>IF(COUNTIFS('📋 Транзакції'!$B$5:$B$3623,A465,'📋 Транзакції'!$C$5:$C$3623,"&gt;="&amp;EDATE(DATEVALUE(C465&amp;"-01"),9),'📋 Транзакції'!$C$5:$C$3623,"&lt;"&amp;EDATE(DATEVALUE(C465&amp;"-01"),10))&gt;0,1,0)</f>
        <v>0</v>
      </c>
      <c r="Q465" s="37">
        <f>IF(COUNTIFS('📋 Транзакції'!$B$5:$B$3623,A465,'📋 Транзакції'!$C$5:$C$3623,"&gt;="&amp;EDATE(DATEVALUE(C465&amp;"-01"),10),'📋 Транзакції'!$C$5:$C$3623,"&lt;"&amp;EDATE(DATEVALUE(C465&amp;"-01"),11))&gt;0,1,0)</f>
        <v>0</v>
      </c>
      <c r="R465" s="37">
        <f>IF(COUNTIFS('📋 Транзакції'!$B$5:$B$3623,A465,'📋 Транзакції'!$C$5:$C$3623,"&gt;="&amp;EDATE(DATEVALUE(C465&amp;"-01"),11),'📋 Транзакції'!$C$5:$C$3623,"&lt;"&amp;EDATE(DATEVALUE(C465&amp;"-01"),12))&gt;0,1,0)</f>
        <v>0</v>
      </c>
      <c r="S465" s="37">
        <f>SUMIFS('📋 Транзакції'!$F$5:$F$3623,'📋 Транзакції'!$B$5:$B$3623,A465,'📋 Транзакції'!$C$5:$C$3623,"&gt;="&amp;EDATE(DATEVALUE(C465&amp;"-01"),0),'📋 Транзакції'!$C$5:$C$3623,"&lt;"&amp;EDATE(DATEVALUE(C465&amp;"-01"),1))</f>
        <v>19.99</v>
      </c>
      <c r="T465" s="37">
        <f>SUMIFS('📋 Транзакції'!$F$5:$F$3623,'📋 Транзакції'!$B$5:$B$3623,A465,'📋 Транзакції'!$C$5:$C$3623,"&gt;="&amp;EDATE(DATEVALUE(C465&amp;"-01"),1),'📋 Транзакції'!$C$5:$C$3623,"&lt;"&amp;EDATE(DATEVALUE(C465&amp;"-01"),2))</f>
        <v>0</v>
      </c>
      <c r="U465" s="37">
        <f>SUMIFS('📋 Транзакції'!$F$5:$F$3623,'📋 Транзакції'!$B$5:$B$3623,A465,'📋 Транзакції'!$C$5:$C$3623,"&gt;="&amp;EDATE(DATEVALUE(C465&amp;"-01"),2),'📋 Транзакції'!$C$5:$C$3623,"&lt;"&amp;EDATE(DATEVALUE(C465&amp;"-01"),3))</f>
        <v>0</v>
      </c>
      <c r="V465" s="37">
        <f>SUMIFS('📋 Транзакції'!$F$5:$F$3623,'📋 Транзакції'!$B$5:$B$3623,A465,'📋 Транзакції'!$C$5:$C$3623,"&gt;="&amp;EDATE(DATEVALUE(C465&amp;"-01"),3),'📋 Транзакції'!$C$5:$C$3623,"&lt;"&amp;EDATE(DATEVALUE(C465&amp;"-01"),4))</f>
        <v>0</v>
      </c>
      <c r="W465" s="37">
        <f>SUMIFS('📋 Транзакції'!$F$5:$F$3623,'📋 Транзакції'!$B$5:$B$3623,A465,'📋 Транзакції'!$C$5:$C$3623,"&gt;="&amp;EDATE(DATEVALUE(C465&amp;"-01"),4),'📋 Транзакції'!$C$5:$C$3623,"&lt;"&amp;EDATE(DATEVALUE(C465&amp;"-01"),5))</f>
        <v>0</v>
      </c>
      <c r="X465" s="37">
        <f>SUMIFS('📋 Транзакції'!$F$5:$F$3623,'📋 Транзакції'!$B$5:$B$3623,A465,'📋 Транзакції'!$C$5:$C$3623,"&gt;="&amp;EDATE(DATEVALUE(C465&amp;"-01"),5),'📋 Транзакції'!$C$5:$C$3623,"&lt;"&amp;EDATE(DATEVALUE(C465&amp;"-01"),6))</f>
        <v>0</v>
      </c>
      <c r="Y465" s="37">
        <f>SUMIFS('📋 Транзакції'!$F$5:$F$3623,'📋 Транзакції'!$B$5:$B$3623,A465,'📋 Транзакції'!$C$5:$C$3623,"&gt;="&amp;EDATE(DATEVALUE(C465&amp;"-01"),6),'📋 Транзакції'!$C$5:$C$3623,"&lt;"&amp;EDATE(DATEVALUE(C465&amp;"-01"),7))</f>
        <v>0</v>
      </c>
      <c r="Z465" s="37">
        <f>SUMIFS('📋 Транзакції'!$F$5:$F$3623,'📋 Транзакції'!$B$5:$B$3623,A465,'📋 Транзакції'!$C$5:$C$3623,"&gt;="&amp;EDATE(DATEVALUE(C465&amp;"-01"),7),'📋 Транзакції'!$C$5:$C$3623,"&lt;"&amp;EDATE(DATEVALUE(C465&amp;"-01"),8))</f>
        <v>0</v>
      </c>
      <c r="AA465" s="37">
        <f>SUMIFS('📋 Транзакції'!$F$5:$F$3623,'📋 Транзакції'!$B$5:$B$3623,A465,'📋 Транзакції'!$C$5:$C$3623,"&gt;="&amp;EDATE(DATEVALUE(C465&amp;"-01"),8),'📋 Транзакції'!$C$5:$C$3623,"&lt;"&amp;EDATE(DATEVALUE(C465&amp;"-01"),9))</f>
        <v>0</v>
      </c>
      <c r="AB465" s="37">
        <f>SUMIFS('📋 Транзакції'!$F$5:$F$3623,'📋 Транзакції'!$B$5:$B$3623,A465,'📋 Транзакції'!$C$5:$C$3623,"&gt;="&amp;EDATE(DATEVALUE(C465&amp;"-01"),9),'📋 Транзакції'!$C$5:$C$3623,"&lt;"&amp;EDATE(DATEVALUE(C465&amp;"-01"),10))</f>
        <v>0</v>
      </c>
      <c r="AC465" s="37">
        <f>SUMIFS('📋 Транзакції'!$F$5:$F$3623,'📋 Транзакції'!$B$5:$B$3623,A465,'📋 Транзакції'!$C$5:$C$3623,"&gt;="&amp;EDATE(DATEVALUE(C465&amp;"-01"),10),'📋 Транзакції'!$C$5:$C$3623,"&lt;"&amp;EDATE(DATEVALUE(C465&amp;"-01"),11))</f>
        <v>0</v>
      </c>
      <c r="AD465" s="37">
        <f>SUMIFS('📋 Транзакції'!$F$5:$F$3623,'📋 Транзакції'!$B$5:$B$3623,A465,'📋 Транзакції'!$C$5:$C$3623,"&gt;="&amp;EDATE(DATEVALUE(C465&amp;"-01"),11),'📋 Транзакції'!$C$5:$C$3623,"&lt;"&amp;EDATE(DATEVALUE(C465&amp;"-01"),12))</f>
        <v>0</v>
      </c>
    </row>
    <row r="466" ht="15.75" customHeight="1">
      <c r="A466" s="33" t="str">
        <f>'📋 Реєстрації'!A466:A1067</f>
        <v>U0559</v>
      </c>
      <c r="B466" s="34">
        <f t="array" ref="B466">INDEX('📋 Транзакції'!$C$5:$C$3623,MATCH(A466,'📋 Транзакції'!$B$5:$B$3623,0))</f>
        <v>45664</v>
      </c>
      <c r="C466" s="35" t="str">
        <f t="shared" si="1"/>
        <v>2025-01</v>
      </c>
      <c r="D466" s="36">
        <f>COUNTIF('📋 Транзакції'!$B$5:$B$3623,A466)</f>
        <v>4</v>
      </c>
      <c r="E466" s="36">
        <f>SUMIF('📋 Транзакції'!$B$5:$B$3623,A466,'📋 Транзакції'!$F$5:$F$3623)</f>
        <v>59.97</v>
      </c>
      <c r="F466" s="35">
        <f>INT($A$1-MAXIFS('📋 Транзакції'!$C$5:$C$3623,'📋 Транзакції'!$B$5:$B$3623,A466))</f>
        <v>16</v>
      </c>
      <c r="G466" s="37">
        <f>IF(COUNTIFS('📋 Транзакції'!$B$5:$B$3623,A466,'📋 Транзакції'!$C$5:$C$3623,"&gt;="&amp;EDATE(DATEVALUE(C466&amp;"-01"),0),'📋 Транзакції'!$C$5:$C$3623,"&lt;"&amp;EDATE(DATEVALUE(C466&amp;"-01"),1))&gt;0,1,0)</f>
        <v>1</v>
      </c>
      <c r="H466" s="37">
        <f>IF(COUNTIFS('📋 Транзакції'!$B$5:$B$3623,A466,'📋 Транзакції'!$C$5:$C$3623,"&gt;="&amp;EDATE(DATEVALUE(C466&amp;"-01"),1),'📋 Транзакції'!$C$5:$C$3623,"&lt;"&amp;EDATE(DATEVALUE(C466&amp;"-01"),2))&gt;0,1,0)</f>
        <v>1</v>
      </c>
      <c r="I466" s="37">
        <f>IF(COUNTIFS('📋 Транзакції'!$B$5:$B$3623,A466,'📋 Транзакції'!$C$5:$C$3623,"&gt;="&amp;EDATE(DATEVALUE(C466&amp;"-01"),2),'📋 Транзакції'!$C$5:$C$3623,"&lt;"&amp;EDATE(DATEVALUE(C466&amp;"-01"),3))&gt;0,1,0)</f>
        <v>1</v>
      </c>
      <c r="J466" s="37">
        <f>IF(COUNTIFS('📋 Транзакції'!$B$5:$B$3623,A466,'📋 Транзакції'!$C$5:$C$3623,"&gt;="&amp;EDATE(DATEVALUE(C466&amp;"-01"),3),'📋 Транзакції'!$C$5:$C$3623,"&lt;"&amp;EDATE(DATEVALUE(C466&amp;"-01"),4))&gt;0,1,0)</f>
        <v>0</v>
      </c>
      <c r="K466" s="37">
        <f>IF(COUNTIFS('📋 Транзакції'!$B$5:$B$3623,A466,'📋 Транзакції'!$C$5:$C$3623,"&gt;="&amp;EDATE(DATEVALUE(C466&amp;"-01"),4),'📋 Транзакції'!$C$5:$C$3623,"&lt;"&amp;EDATE(DATEVALUE(C466&amp;"-01"),5))&gt;0,1,0)</f>
        <v>0</v>
      </c>
      <c r="L466" s="37">
        <f>IF(COUNTIFS('📋 Транзакції'!$B$5:$B$3623,A466,'📋 Транзакції'!$C$5:$C$3623,"&gt;="&amp;EDATE(DATEVALUE(C466&amp;"-01"),5),'📋 Транзакції'!$C$5:$C$3623,"&lt;"&amp;EDATE(DATEVALUE(C466&amp;"-01"),6))&gt;0,1,0)</f>
        <v>0</v>
      </c>
      <c r="M466" s="37">
        <f>IF(COUNTIFS('📋 Транзакції'!$B$5:$B$3623,A466,'📋 Транзакції'!$C$5:$C$3623,"&gt;="&amp;EDATE(DATEVALUE(C466&amp;"-01"),6),'📋 Транзакції'!$C$5:$C$3623,"&lt;"&amp;EDATE(DATEVALUE(C466&amp;"-01"),7))&gt;0,1,0)</f>
        <v>0</v>
      </c>
      <c r="N466" s="37">
        <f>IF(COUNTIFS('📋 Транзакції'!$B$5:$B$3623,A466,'📋 Транзакції'!$C$5:$C$3623,"&gt;="&amp;EDATE(DATEVALUE(C466&amp;"-01"),7),'📋 Транзакції'!$C$5:$C$3623,"&lt;"&amp;EDATE(DATEVALUE(C466&amp;"-01"),8))&gt;0,1,0)</f>
        <v>0</v>
      </c>
      <c r="O466" s="37">
        <f>IF(COUNTIFS('📋 Транзакції'!$B$5:$B$3623,A466,'📋 Транзакції'!$C$5:$C$3623,"&gt;="&amp;EDATE(DATEVALUE(C466&amp;"-01"),8),'📋 Транзакції'!$C$5:$C$3623,"&lt;"&amp;EDATE(DATEVALUE(C466&amp;"-01"),9))&gt;0,1,0)</f>
        <v>0</v>
      </c>
      <c r="P466" s="37">
        <f>IF(COUNTIFS('📋 Транзакції'!$B$5:$B$3623,A466,'📋 Транзакції'!$C$5:$C$3623,"&gt;="&amp;EDATE(DATEVALUE(C466&amp;"-01"),9),'📋 Транзакції'!$C$5:$C$3623,"&lt;"&amp;EDATE(DATEVALUE(C466&amp;"-01"),10))&gt;0,1,0)</f>
        <v>0</v>
      </c>
      <c r="Q466" s="37">
        <f>IF(COUNTIFS('📋 Транзакції'!$B$5:$B$3623,A466,'📋 Транзакції'!$C$5:$C$3623,"&gt;="&amp;EDATE(DATEVALUE(C466&amp;"-01"),10),'📋 Транзакції'!$C$5:$C$3623,"&lt;"&amp;EDATE(DATEVALUE(C466&amp;"-01"),11))&gt;0,1,0)</f>
        <v>0</v>
      </c>
      <c r="R466" s="37">
        <f>IF(COUNTIFS('📋 Транзакції'!$B$5:$B$3623,A466,'📋 Транзакції'!$C$5:$C$3623,"&gt;="&amp;EDATE(DATEVALUE(C466&amp;"-01"),11),'📋 Транзакції'!$C$5:$C$3623,"&lt;"&amp;EDATE(DATEVALUE(C466&amp;"-01"),12))&gt;0,1,0)</f>
        <v>0</v>
      </c>
      <c r="S466" s="37">
        <f>SUMIFS('📋 Транзакції'!$F$5:$F$3623,'📋 Транзакції'!$B$5:$B$3623,A466,'📋 Транзакції'!$C$5:$C$3623,"&gt;="&amp;EDATE(DATEVALUE(C466&amp;"-01"),0),'📋 Транзакції'!$C$5:$C$3623,"&lt;"&amp;EDATE(DATEVALUE(C466&amp;"-01"),1))</f>
        <v>19.99</v>
      </c>
      <c r="T466" s="37">
        <f>SUMIFS('📋 Транзакції'!$F$5:$F$3623,'📋 Транзакції'!$B$5:$B$3623,A466,'📋 Транзакції'!$C$5:$C$3623,"&gt;="&amp;EDATE(DATEVALUE(C466&amp;"-01"),1),'📋 Транзакції'!$C$5:$C$3623,"&lt;"&amp;EDATE(DATEVALUE(C466&amp;"-01"),2))</f>
        <v>19.99</v>
      </c>
      <c r="U466" s="37">
        <f>SUMIFS('📋 Транзакції'!$F$5:$F$3623,'📋 Транзакції'!$B$5:$B$3623,A466,'📋 Транзакції'!$C$5:$C$3623,"&gt;="&amp;EDATE(DATEVALUE(C466&amp;"-01"),2),'📋 Транзакції'!$C$5:$C$3623,"&lt;"&amp;EDATE(DATEVALUE(C466&amp;"-01"),3))</f>
        <v>19.99</v>
      </c>
      <c r="V466" s="37">
        <f>SUMIFS('📋 Транзакції'!$F$5:$F$3623,'📋 Транзакції'!$B$5:$B$3623,A466,'📋 Транзакції'!$C$5:$C$3623,"&gt;="&amp;EDATE(DATEVALUE(C466&amp;"-01"),3),'📋 Транзакції'!$C$5:$C$3623,"&lt;"&amp;EDATE(DATEVALUE(C466&amp;"-01"),4))</f>
        <v>0</v>
      </c>
      <c r="W466" s="37">
        <f>SUMIFS('📋 Транзакції'!$F$5:$F$3623,'📋 Транзакції'!$B$5:$B$3623,A466,'📋 Транзакції'!$C$5:$C$3623,"&gt;="&amp;EDATE(DATEVALUE(C466&amp;"-01"),4),'📋 Транзакції'!$C$5:$C$3623,"&lt;"&amp;EDATE(DATEVALUE(C466&amp;"-01"),5))</f>
        <v>0</v>
      </c>
      <c r="X466" s="37">
        <f>SUMIFS('📋 Транзакції'!$F$5:$F$3623,'📋 Транзакції'!$B$5:$B$3623,A466,'📋 Транзакції'!$C$5:$C$3623,"&gt;="&amp;EDATE(DATEVALUE(C466&amp;"-01"),5),'📋 Транзакції'!$C$5:$C$3623,"&lt;"&amp;EDATE(DATEVALUE(C466&amp;"-01"),6))</f>
        <v>0</v>
      </c>
      <c r="Y466" s="37">
        <f>SUMIFS('📋 Транзакції'!$F$5:$F$3623,'📋 Транзакції'!$B$5:$B$3623,A466,'📋 Транзакції'!$C$5:$C$3623,"&gt;="&amp;EDATE(DATEVALUE(C466&amp;"-01"),6),'📋 Транзакції'!$C$5:$C$3623,"&lt;"&amp;EDATE(DATEVALUE(C466&amp;"-01"),7))</f>
        <v>0</v>
      </c>
      <c r="Z466" s="37">
        <f>SUMIFS('📋 Транзакції'!$F$5:$F$3623,'📋 Транзакції'!$B$5:$B$3623,A466,'📋 Транзакції'!$C$5:$C$3623,"&gt;="&amp;EDATE(DATEVALUE(C466&amp;"-01"),7),'📋 Транзакції'!$C$5:$C$3623,"&lt;"&amp;EDATE(DATEVALUE(C466&amp;"-01"),8))</f>
        <v>0</v>
      </c>
      <c r="AA466" s="37">
        <f>SUMIFS('📋 Транзакції'!$F$5:$F$3623,'📋 Транзакції'!$B$5:$B$3623,A466,'📋 Транзакції'!$C$5:$C$3623,"&gt;="&amp;EDATE(DATEVALUE(C466&amp;"-01"),8),'📋 Транзакції'!$C$5:$C$3623,"&lt;"&amp;EDATE(DATEVALUE(C466&amp;"-01"),9))</f>
        <v>0</v>
      </c>
      <c r="AB466" s="37">
        <f>SUMIFS('📋 Транзакції'!$F$5:$F$3623,'📋 Транзакції'!$B$5:$B$3623,A466,'📋 Транзакції'!$C$5:$C$3623,"&gt;="&amp;EDATE(DATEVALUE(C466&amp;"-01"),9),'📋 Транзакції'!$C$5:$C$3623,"&lt;"&amp;EDATE(DATEVALUE(C466&amp;"-01"),10))</f>
        <v>0</v>
      </c>
      <c r="AC466" s="37">
        <f>SUMIFS('📋 Транзакції'!$F$5:$F$3623,'📋 Транзакції'!$B$5:$B$3623,A466,'📋 Транзакції'!$C$5:$C$3623,"&gt;="&amp;EDATE(DATEVALUE(C466&amp;"-01"),10),'📋 Транзакції'!$C$5:$C$3623,"&lt;"&amp;EDATE(DATEVALUE(C466&amp;"-01"),11))</f>
        <v>0</v>
      </c>
      <c r="AD466" s="37">
        <f>SUMIFS('📋 Транзакції'!$F$5:$F$3623,'📋 Транзакції'!$B$5:$B$3623,A466,'📋 Транзакції'!$C$5:$C$3623,"&gt;="&amp;EDATE(DATEVALUE(C466&amp;"-01"),11),'📋 Транзакції'!$C$5:$C$3623,"&lt;"&amp;EDATE(DATEVALUE(C466&amp;"-01"),12))</f>
        <v>0</v>
      </c>
    </row>
    <row r="467" ht="15.75" customHeight="1">
      <c r="A467" s="33" t="str">
        <f>'📋 Реєстрації'!A467:A1068</f>
        <v>U0026</v>
      </c>
      <c r="B467" s="34">
        <f t="array" ref="B467">INDEX('📋 Транзакції'!$C$5:$C$3623,MATCH(A467,'📋 Транзакції'!$B$5:$B$3623,0))</f>
        <v>45665</v>
      </c>
      <c r="C467" s="35" t="str">
        <f t="shared" si="1"/>
        <v>2025-01</v>
      </c>
      <c r="D467" s="36">
        <f>COUNTIF('📋 Транзакції'!$B$5:$B$3623,A467)</f>
        <v>4</v>
      </c>
      <c r="E467" s="36">
        <f>SUMIF('📋 Транзакції'!$B$5:$B$3623,A467,'📋 Транзакції'!$F$5:$F$3623)</f>
        <v>59.97</v>
      </c>
      <c r="F467" s="35">
        <f>INT($A$1-MAXIFS('📋 Транзакції'!$C$5:$C$3623,'📋 Транзакції'!$B$5:$B$3623,A467))</f>
        <v>15</v>
      </c>
      <c r="G467" s="37">
        <f>IF(COUNTIFS('📋 Транзакції'!$B$5:$B$3623,A467,'📋 Транзакції'!$C$5:$C$3623,"&gt;="&amp;EDATE(DATEVALUE(C467&amp;"-01"),0),'📋 Транзакції'!$C$5:$C$3623,"&lt;"&amp;EDATE(DATEVALUE(C467&amp;"-01"),1))&gt;0,1,0)</f>
        <v>1</v>
      </c>
      <c r="H467" s="37">
        <f>IF(COUNTIFS('📋 Транзакції'!$B$5:$B$3623,A467,'📋 Транзакції'!$C$5:$C$3623,"&gt;="&amp;EDATE(DATEVALUE(C467&amp;"-01"),1),'📋 Транзакції'!$C$5:$C$3623,"&lt;"&amp;EDATE(DATEVALUE(C467&amp;"-01"),2))&gt;0,1,0)</f>
        <v>1</v>
      </c>
      <c r="I467" s="37">
        <f>IF(COUNTIFS('📋 Транзакції'!$B$5:$B$3623,A467,'📋 Транзакції'!$C$5:$C$3623,"&gt;="&amp;EDATE(DATEVALUE(C467&amp;"-01"),2),'📋 Транзакції'!$C$5:$C$3623,"&lt;"&amp;EDATE(DATEVALUE(C467&amp;"-01"),3))&gt;0,1,0)</f>
        <v>1</v>
      </c>
      <c r="J467" s="37">
        <f>IF(COUNTIFS('📋 Транзакції'!$B$5:$B$3623,A467,'📋 Транзакції'!$C$5:$C$3623,"&gt;="&amp;EDATE(DATEVALUE(C467&amp;"-01"),3),'📋 Транзакції'!$C$5:$C$3623,"&lt;"&amp;EDATE(DATEVALUE(C467&amp;"-01"),4))&gt;0,1,0)</f>
        <v>0</v>
      </c>
      <c r="K467" s="37">
        <f>IF(COUNTIFS('📋 Транзакції'!$B$5:$B$3623,A467,'📋 Транзакції'!$C$5:$C$3623,"&gt;="&amp;EDATE(DATEVALUE(C467&amp;"-01"),4),'📋 Транзакції'!$C$5:$C$3623,"&lt;"&amp;EDATE(DATEVALUE(C467&amp;"-01"),5))&gt;0,1,0)</f>
        <v>0</v>
      </c>
      <c r="L467" s="37">
        <f>IF(COUNTIFS('📋 Транзакції'!$B$5:$B$3623,A467,'📋 Транзакції'!$C$5:$C$3623,"&gt;="&amp;EDATE(DATEVALUE(C467&amp;"-01"),5),'📋 Транзакції'!$C$5:$C$3623,"&lt;"&amp;EDATE(DATEVALUE(C467&amp;"-01"),6))&gt;0,1,0)</f>
        <v>0</v>
      </c>
      <c r="M467" s="37">
        <f>IF(COUNTIFS('📋 Транзакції'!$B$5:$B$3623,A467,'📋 Транзакції'!$C$5:$C$3623,"&gt;="&amp;EDATE(DATEVALUE(C467&amp;"-01"),6),'📋 Транзакції'!$C$5:$C$3623,"&lt;"&amp;EDATE(DATEVALUE(C467&amp;"-01"),7))&gt;0,1,0)</f>
        <v>0</v>
      </c>
      <c r="N467" s="37">
        <f>IF(COUNTIFS('📋 Транзакції'!$B$5:$B$3623,A467,'📋 Транзакції'!$C$5:$C$3623,"&gt;="&amp;EDATE(DATEVALUE(C467&amp;"-01"),7),'📋 Транзакції'!$C$5:$C$3623,"&lt;"&amp;EDATE(DATEVALUE(C467&amp;"-01"),8))&gt;0,1,0)</f>
        <v>0</v>
      </c>
      <c r="O467" s="37">
        <f>IF(COUNTIFS('📋 Транзакції'!$B$5:$B$3623,A467,'📋 Транзакції'!$C$5:$C$3623,"&gt;="&amp;EDATE(DATEVALUE(C467&amp;"-01"),8),'📋 Транзакції'!$C$5:$C$3623,"&lt;"&amp;EDATE(DATEVALUE(C467&amp;"-01"),9))&gt;0,1,0)</f>
        <v>0</v>
      </c>
      <c r="P467" s="37">
        <f>IF(COUNTIFS('📋 Транзакції'!$B$5:$B$3623,A467,'📋 Транзакції'!$C$5:$C$3623,"&gt;="&amp;EDATE(DATEVALUE(C467&amp;"-01"),9),'📋 Транзакції'!$C$5:$C$3623,"&lt;"&amp;EDATE(DATEVALUE(C467&amp;"-01"),10))&gt;0,1,0)</f>
        <v>0</v>
      </c>
      <c r="Q467" s="37">
        <f>IF(COUNTIFS('📋 Транзакції'!$B$5:$B$3623,A467,'📋 Транзакції'!$C$5:$C$3623,"&gt;="&amp;EDATE(DATEVALUE(C467&amp;"-01"),10),'📋 Транзакції'!$C$5:$C$3623,"&lt;"&amp;EDATE(DATEVALUE(C467&amp;"-01"),11))&gt;0,1,0)</f>
        <v>0</v>
      </c>
      <c r="R467" s="37">
        <f>IF(COUNTIFS('📋 Транзакції'!$B$5:$B$3623,A467,'📋 Транзакції'!$C$5:$C$3623,"&gt;="&amp;EDATE(DATEVALUE(C467&amp;"-01"),11),'📋 Транзакції'!$C$5:$C$3623,"&lt;"&amp;EDATE(DATEVALUE(C467&amp;"-01"),12))&gt;0,1,0)</f>
        <v>0</v>
      </c>
      <c r="S467" s="37">
        <f>SUMIFS('📋 Транзакції'!$F$5:$F$3623,'📋 Транзакції'!$B$5:$B$3623,A467,'📋 Транзакції'!$C$5:$C$3623,"&gt;="&amp;EDATE(DATEVALUE(C467&amp;"-01"),0),'📋 Транзакції'!$C$5:$C$3623,"&lt;"&amp;EDATE(DATEVALUE(C467&amp;"-01"),1))</f>
        <v>19.99</v>
      </c>
      <c r="T467" s="37">
        <f>SUMIFS('📋 Транзакції'!$F$5:$F$3623,'📋 Транзакції'!$B$5:$B$3623,A467,'📋 Транзакції'!$C$5:$C$3623,"&gt;="&amp;EDATE(DATEVALUE(C467&amp;"-01"),1),'📋 Транзакції'!$C$5:$C$3623,"&lt;"&amp;EDATE(DATEVALUE(C467&amp;"-01"),2))</f>
        <v>19.99</v>
      </c>
      <c r="U467" s="37">
        <f>SUMIFS('📋 Транзакції'!$F$5:$F$3623,'📋 Транзакції'!$B$5:$B$3623,A467,'📋 Транзакції'!$C$5:$C$3623,"&gt;="&amp;EDATE(DATEVALUE(C467&amp;"-01"),2),'📋 Транзакції'!$C$5:$C$3623,"&lt;"&amp;EDATE(DATEVALUE(C467&amp;"-01"),3))</f>
        <v>19.99</v>
      </c>
      <c r="V467" s="37">
        <f>SUMIFS('📋 Транзакції'!$F$5:$F$3623,'📋 Транзакції'!$B$5:$B$3623,A467,'📋 Транзакції'!$C$5:$C$3623,"&gt;="&amp;EDATE(DATEVALUE(C467&amp;"-01"),3),'📋 Транзакції'!$C$5:$C$3623,"&lt;"&amp;EDATE(DATEVALUE(C467&amp;"-01"),4))</f>
        <v>0</v>
      </c>
      <c r="W467" s="37">
        <f>SUMIFS('📋 Транзакції'!$F$5:$F$3623,'📋 Транзакції'!$B$5:$B$3623,A467,'📋 Транзакції'!$C$5:$C$3623,"&gt;="&amp;EDATE(DATEVALUE(C467&amp;"-01"),4),'📋 Транзакції'!$C$5:$C$3623,"&lt;"&amp;EDATE(DATEVALUE(C467&amp;"-01"),5))</f>
        <v>0</v>
      </c>
      <c r="X467" s="37">
        <f>SUMIFS('📋 Транзакції'!$F$5:$F$3623,'📋 Транзакції'!$B$5:$B$3623,A467,'📋 Транзакції'!$C$5:$C$3623,"&gt;="&amp;EDATE(DATEVALUE(C467&amp;"-01"),5),'📋 Транзакції'!$C$5:$C$3623,"&lt;"&amp;EDATE(DATEVALUE(C467&amp;"-01"),6))</f>
        <v>0</v>
      </c>
      <c r="Y467" s="37">
        <f>SUMIFS('📋 Транзакції'!$F$5:$F$3623,'📋 Транзакції'!$B$5:$B$3623,A467,'📋 Транзакції'!$C$5:$C$3623,"&gt;="&amp;EDATE(DATEVALUE(C467&amp;"-01"),6),'📋 Транзакції'!$C$5:$C$3623,"&lt;"&amp;EDATE(DATEVALUE(C467&amp;"-01"),7))</f>
        <v>0</v>
      </c>
      <c r="Z467" s="37">
        <f>SUMIFS('📋 Транзакції'!$F$5:$F$3623,'📋 Транзакції'!$B$5:$B$3623,A467,'📋 Транзакції'!$C$5:$C$3623,"&gt;="&amp;EDATE(DATEVALUE(C467&amp;"-01"),7),'📋 Транзакції'!$C$5:$C$3623,"&lt;"&amp;EDATE(DATEVALUE(C467&amp;"-01"),8))</f>
        <v>0</v>
      </c>
      <c r="AA467" s="37">
        <f>SUMIFS('📋 Транзакції'!$F$5:$F$3623,'📋 Транзакції'!$B$5:$B$3623,A467,'📋 Транзакції'!$C$5:$C$3623,"&gt;="&amp;EDATE(DATEVALUE(C467&amp;"-01"),8),'📋 Транзакції'!$C$5:$C$3623,"&lt;"&amp;EDATE(DATEVALUE(C467&amp;"-01"),9))</f>
        <v>0</v>
      </c>
      <c r="AB467" s="37">
        <f>SUMIFS('📋 Транзакції'!$F$5:$F$3623,'📋 Транзакції'!$B$5:$B$3623,A467,'📋 Транзакції'!$C$5:$C$3623,"&gt;="&amp;EDATE(DATEVALUE(C467&amp;"-01"),9),'📋 Транзакції'!$C$5:$C$3623,"&lt;"&amp;EDATE(DATEVALUE(C467&amp;"-01"),10))</f>
        <v>0</v>
      </c>
      <c r="AC467" s="37">
        <f>SUMIFS('📋 Транзакції'!$F$5:$F$3623,'📋 Транзакції'!$B$5:$B$3623,A467,'📋 Транзакції'!$C$5:$C$3623,"&gt;="&amp;EDATE(DATEVALUE(C467&amp;"-01"),10),'📋 Транзакції'!$C$5:$C$3623,"&lt;"&amp;EDATE(DATEVALUE(C467&amp;"-01"),11))</f>
        <v>0</v>
      </c>
      <c r="AD467" s="37">
        <f>SUMIFS('📋 Транзакції'!$F$5:$F$3623,'📋 Транзакції'!$B$5:$B$3623,A467,'📋 Транзакції'!$C$5:$C$3623,"&gt;="&amp;EDATE(DATEVALUE(C467&amp;"-01"),11),'📋 Транзакції'!$C$5:$C$3623,"&lt;"&amp;EDATE(DATEVALUE(C467&amp;"-01"),12))</f>
        <v>0</v>
      </c>
    </row>
    <row r="468" ht="15.75" customHeight="1">
      <c r="A468" s="33" t="str">
        <f>'📋 Реєстрації'!A468:A1069</f>
        <v>U0394</v>
      </c>
      <c r="B468" s="34">
        <f t="array" ref="B468">INDEX('📋 Транзакції'!$C$5:$C$3623,MATCH(A468,'📋 Транзакції'!$B$5:$B$3623,0))</f>
        <v>45665</v>
      </c>
      <c r="C468" s="35" t="str">
        <f t="shared" si="1"/>
        <v>2025-01</v>
      </c>
      <c r="D468" s="36">
        <f>COUNTIF('📋 Транзакції'!$B$5:$B$3623,A468)</f>
        <v>2</v>
      </c>
      <c r="E468" s="36">
        <f>SUMIF('📋 Транзакції'!$B$5:$B$3623,A468,'📋 Транзакції'!$F$5:$F$3623)</f>
        <v>19.99</v>
      </c>
      <c r="F468" s="35">
        <f>INT($A$1-MAXIFS('📋 Транзакції'!$C$5:$C$3623,'📋 Транзакції'!$B$5:$B$3623,A468))</f>
        <v>75</v>
      </c>
      <c r="G468" s="37">
        <f>IF(COUNTIFS('📋 Транзакції'!$B$5:$B$3623,A468,'📋 Транзакції'!$C$5:$C$3623,"&gt;="&amp;EDATE(DATEVALUE(C468&amp;"-01"),0),'📋 Транзакції'!$C$5:$C$3623,"&lt;"&amp;EDATE(DATEVALUE(C468&amp;"-01"),1))&gt;0,1,0)</f>
        <v>1</v>
      </c>
      <c r="H468" s="37">
        <f>IF(COUNTIFS('📋 Транзакції'!$B$5:$B$3623,A468,'📋 Транзакції'!$C$5:$C$3623,"&gt;="&amp;EDATE(DATEVALUE(C468&amp;"-01"),1),'📋 Транзакції'!$C$5:$C$3623,"&lt;"&amp;EDATE(DATEVALUE(C468&amp;"-01"),2))&gt;0,1,0)</f>
        <v>0</v>
      </c>
      <c r="I468" s="37">
        <f>IF(COUNTIFS('📋 Транзакції'!$B$5:$B$3623,A468,'📋 Транзакції'!$C$5:$C$3623,"&gt;="&amp;EDATE(DATEVALUE(C468&amp;"-01"),2),'📋 Транзакції'!$C$5:$C$3623,"&lt;"&amp;EDATE(DATEVALUE(C468&amp;"-01"),3))&gt;0,1,0)</f>
        <v>0</v>
      </c>
      <c r="J468" s="37">
        <f>IF(COUNTIFS('📋 Транзакції'!$B$5:$B$3623,A468,'📋 Транзакції'!$C$5:$C$3623,"&gt;="&amp;EDATE(DATEVALUE(C468&amp;"-01"),3),'📋 Транзакції'!$C$5:$C$3623,"&lt;"&amp;EDATE(DATEVALUE(C468&amp;"-01"),4))&gt;0,1,0)</f>
        <v>0</v>
      </c>
      <c r="K468" s="37">
        <f>IF(COUNTIFS('📋 Транзакції'!$B$5:$B$3623,A468,'📋 Транзакції'!$C$5:$C$3623,"&gt;="&amp;EDATE(DATEVALUE(C468&amp;"-01"),4),'📋 Транзакції'!$C$5:$C$3623,"&lt;"&amp;EDATE(DATEVALUE(C468&amp;"-01"),5))&gt;0,1,0)</f>
        <v>0</v>
      </c>
      <c r="L468" s="37">
        <f>IF(COUNTIFS('📋 Транзакції'!$B$5:$B$3623,A468,'📋 Транзакції'!$C$5:$C$3623,"&gt;="&amp;EDATE(DATEVALUE(C468&amp;"-01"),5),'📋 Транзакції'!$C$5:$C$3623,"&lt;"&amp;EDATE(DATEVALUE(C468&amp;"-01"),6))&gt;0,1,0)</f>
        <v>0</v>
      </c>
      <c r="M468" s="37">
        <f>IF(COUNTIFS('📋 Транзакції'!$B$5:$B$3623,A468,'📋 Транзакції'!$C$5:$C$3623,"&gt;="&amp;EDATE(DATEVALUE(C468&amp;"-01"),6),'📋 Транзакції'!$C$5:$C$3623,"&lt;"&amp;EDATE(DATEVALUE(C468&amp;"-01"),7))&gt;0,1,0)</f>
        <v>0</v>
      </c>
      <c r="N468" s="37">
        <f>IF(COUNTIFS('📋 Транзакції'!$B$5:$B$3623,A468,'📋 Транзакції'!$C$5:$C$3623,"&gt;="&amp;EDATE(DATEVALUE(C468&amp;"-01"),7),'📋 Транзакції'!$C$5:$C$3623,"&lt;"&amp;EDATE(DATEVALUE(C468&amp;"-01"),8))&gt;0,1,0)</f>
        <v>0</v>
      </c>
      <c r="O468" s="37">
        <f>IF(COUNTIFS('📋 Транзакції'!$B$5:$B$3623,A468,'📋 Транзакції'!$C$5:$C$3623,"&gt;="&amp;EDATE(DATEVALUE(C468&amp;"-01"),8),'📋 Транзакції'!$C$5:$C$3623,"&lt;"&amp;EDATE(DATEVALUE(C468&amp;"-01"),9))&gt;0,1,0)</f>
        <v>0</v>
      </c>
      <c r="P468" s="37">
        <f>IF(COUNTIFS('📋 Транзакції'!$B$5:$B$3623,A468,'📋 Транзакції'!$C$5:$C$3623,"&gt;="&amp;EDATE(DATEVALUE(C468&amp;"-01"),9),'📋 Транзакції'!$C$5:$C$3623,"&lt;"&amp;EDATE(DATEVALUE(C468&amp;"-01"),10))&gt;0,1,0)</f>
        <v>0</v>
      </c>
      <c r="Q468" s="37">
        <f>IF(COUNTIFS('📋 Транзакції'!$B$5:$B$3623,A468,'📋 Транзакції'!$C$5:$C$3623,"&gt;="&amp;EDATE(DATEVALUE(C468&amp;"-01"),10),'📋 Транзакції'!$C$5:$C$3623,"&lt;"&amp;EDATE(DATEVALUE(C468&amp;"-01"),11))&gt;0,1,0)</f>
        <v>0</v>
      </c>
      <c r="R468" s="37">
        <f>IF(COUNTIFS('📋 Транзакції'!$B$5:$B$3623,A468,'📋 Транзакції'!$C$5:$C$3623,"&gt;="&amp;EDATE(DATEVALUE(C468&amp;"-01"),11),'📋 Транзакції'!$C$5:$C$3623,"&lt;"&amp;EDATE(DATEVALUE(C468&amp;"-01"),12))&gt;0,1,0)</f>
        <v>0</v>
      </c>
      <c r="S468" s="37">
        <f>SUMIFS('📋 Транзакції'!$F$5:$F$3623,'📋 Транзакції'!$B$5:$B$3623,A468,'📋 Транзакції'!$C$5:$C$3623,"&gt;="&amp;EDATE(DATEVALUE(C468&amp;"-01"),0),'📋 Транзакції'!$C$5:$C$3623,"&lt;"&amp;EDATE(DATEVALUE(C468&amp;"-01"),1))</f>
        <v>19.99</v>
      </c>
      <c r="T468" s="37">
        <f>SUMIFS('📋 Транзакції'!$F$5:$F$3623,'📋 Транзакції'!$B$5:$B$3623,A468,'📋 Транзакції'!$C$5:$C$3623,"&gt;="&amp;EDATE(DATEVALUE(C468&amp;"-01"),1),'📋 Транзакції'!$C$5:$C$3623,"&lt;"&amp;EDATE(DATEVALUE(C468&amp;"-01"),2))</f>
        <v>0</v>
      </c>
      <c r="U468" s="37">
        <f>SUMIFS('📋 Транзакції'!$F$5:$F$3623,'📋 Транзакції'!$B$5:$B$3623,A468,'📋 Транзакції'!$C$5:$C$3623,"&gt;="&amp;EDATE(DATEVALUE(C468&amp;"-01"),2),'📋 Транзакції'!$C$5:$C$3623,"&lt;"&amp;EDATE(DATEVALUE(C468&amp;"-01"),3))</f>
        <v>0</v>
      </c>
      <c r="V468" s="37">
        <f>SUMIFS('📋 Транзакції'!$F$5:$F$3623,'📋 Транзакції'!$B$5:$B$3623,A468,'📋 Транзакції'!$C$5:$C$3623,"&gt;="&amp;EDATE(DATEVALUE(C468&amp;"-01"),3),'📋 Транзакції'!$C$5:$C$3623,"&lt;"&amp;EDATE(DATEVALUE(C468&amp;"-01"),4))</f>
        <v>0</v>
      </c>
      <c r="W468" s="37">
        <f>SUMIFS('📋 Транзакції'!$F$5:$F$3623,'📋 Транзакції'!$B$5:$B$3623,A468,'📋 Транзакції'!$C$5:$C$3623,"&gt;="&amp;EDATE(DATEVALUE(C468&amp;"-01"),4),'📋 Транзакції'!$C$5:$C$3623,"&lt;"&amp;EDATE(DATEVALUE(C468&amp;"-01"),5))</f>
        <v>0</v>
      </c>
      <c r="X468" s="37">
        <f>SUMIFS('📋 Транзакції'!$F$5:$F$3623,'📋 Транзакції'!$B$5:$B$3623,A468,'📋 Транзакції'!$C$5:$C$3623,"&gt;="&amp;EDATE(DATEVALUE(C468&amp;"-01"),5),'📋 Транзакції'!$C$5:$C$3623,"&lt;"&amp;EDATE(DATEVALUE(C468&amp;"-01"),6))</f>
        <v>0</v>
      </c>
      <c r="Y468" s="37">
        <f>SUMIFS('📋 Транзакції'!$F$5:$F$3623,'📋 Транзакції'!$B$5:$B$3623,A468,'📋 Транзакції'!$C$5:$C$3623,"&gt;="&amp;EDATE(DATEVALUE(C468&amp;"-01"),6),'📋 Транзакції'!$C$5:$C$3623,"&lt;"&amp;EDATE(DATEVALUE(C468&amp;"-01"),7))</f>
        <v>0</v>
      </c>
      <c r="Z468" s="37">
        <f>SUMIFS('📋 Транзакції'!$F$5:$F$3623,'📋 Транзакції'!$B$5:$B$3623,A468,'📋 Транзакції'!$C$5:$C$3623,"&gt;="&amp;EDATE(DATEVALUE(C468&amp;"-01"),7),'📋 Транзакції'!$C$5:$C$3623,"&lt;"&amp;EDATE(DATEVALUE(C468&amp;"-01"),8))</f>
        <v>0</v>
      </c>
      <c r="AA468" s="37">
        <f>SUMIFS('📋 Транзакції'!$F$5:$F$3623,'📋 Транзакції'!$B$5:$B$3623,A468,'📋 Транзакції'!$C$5:$C$3623,"&gt;="&amp;EDATE(DATEVALUE(C468&amp;"-01"),8),'📋 Транзакції'!$C$5:$C$3623,"&lt;"&amp;EDATE(DATEVALUE(C468&amp;"-01"),9))</f>
        <v>0</v>
      </c>
      <c r="AB468" s="37">
        <f>SUMIFS('📋 Транзакції'!$F$5:$F$3623,'📋 Транзакції'!$B$5:$B$3623,A468,'📋 Транзакції'!$C$5:$C$3623,"&gt;="&amp;EDATE(DATEVALUE(C468&amp;"-01"),9),'📋 Транзакції'!$C$5:$C$3623,"&lt;"&amp;EDATE(DATEVALUE(C468&amp;"-01"),10))</f>
        <v>0</v>
      </c>
      <c r="AC468" s="37">
        <f>SUMIFS('📋 Транзакції'!$F$5:$F$3623,'📋 Транзакції'!$B$5:$B$3623,A468,'📋 Транзакції'!$C$5:$C$3623,"&gt;="&amp;EDATE(DATEVALUE(C468&amp;"-01"),10),'📋 Транзакції'!$C$5:$C$3623,"&lt;"&amp;EDATE(DATEVALUE(C468&amp;"-01"),11))</f>
        <v>0</v>
      </c>
      <c r="AD468" s="37">
        <f>SUMIFS('📋 Транзакції'!$F$5:$F$3623,'📋 Транзакції'!$B$5:$B$3623,A468,'📋 Транзакції'!$C$5:$C$3623,"&gt;="&amp;EDATE(DATEVALUE(C468&amp;"-01"),11),'📋 Транзакції'!$C$5:$C$3623,"&lt;"&amp;EDATE(DATEVALUE(C468&amp;"-01"),12))</f>
        <v>0</v>
      </c>
    </row>
    <row r="469" ht="15.75" customHeight="1">
      <c r="A469" s="33" t="str">
        <f>'📋 Реєстрації'!A469:A1070</f>
        <v>U0861</v>
      </c>
      <c r="B469" s="34">
        <f t="array" ref="B469">INDEX('📋 Транзакції'!$C$5:$C$3623,MATCH(A469,'📋 Транзакції'!$B$5:$B$3623,0))</f>
        <v>45665</v>
      </c>
      <c r="C469" s="35" t="str">
        <f t="shared" si="1"/>
        <v>2025-01</v>
      </c>
      <c r="D469" s="36">
        <f>COUNTIF('📋 Транзакції'!$B$5:$B$3623,A469)</f>
        <v>4</v>
      </c>
      <c r="E469" s="36">
        <f>SUMIF('📋 Транзакції'!$B$5:$B$3623,A469,'📋 Транзакції'!$F$5:$F$3623)</f>
        <v>59.97</v>
      </c>
      <c r="F469" s="35">
        <f>INT($A$1-MAXIFS('📋 Транзакції'!$C$5:$C$3623,'📋 Транзакції'!$B$5:$B$3623,A469))</f>
        <v>15</v>
      </c>
      <c r="G469" s="37">
        <f>IF(COUNTIFS('📋 Транзакції'!$B$5:$B$3623,A469,'📋 Транзакції'!$C$5:$C$3623,"&gt;="&amp;EDATE(DATEVALUE(C469&amp;"-01"),0),'📋 Транзакції'!$C$5:$C$3623,"&lt;"&amp;EDATE(DATEVALUE(C469&amp;"-01"),1))&gt;0,1,0)</f>
        <v>1</v>
      </c>
      <c r="H469" s="37">
        <f>IF(COUNTIFS('📋 Транзакції'!$B$5:$B$3623,A469,'📋 Транзакції'!$C$5:$C$3623,"&gt;="&amp;EDATE(DATEVALUE(C469&amp;"-01"),1),'📋 Транзакції'!$C$5:$C$3623,"&lt;"&amp;EDATE(DATEVALUE(C469&amp;"-01"),2))&gt;0,1,0)</f>
        <v>1</v>
      </c>
      <c r="I469" s="37">
        <f>IF(COUNTIFS('📋 Транзакції'!$B$5:$B$3623,A469,'📋 Транзакції'!$C$5:$C$3623,"&gt;="&amp;EDATE(DATEVALUE(C469&amp;"-01"),2),'📋 Транзакції'!$C$5:$C$3623,"&lt;"&amp;EDATE(DATEVALUE(C469&amp;"-01"),3))&gt;0,1,0)</f>
        <v>1</v>
      </c>
      <c r="J469" s="37">
        <f>IF(COUNTIFS('📋 Транзакції'!$B$5:$B$3623,A469,'📋 Транзакції'!$C$5:$C$3623,"&gt;="&amp;EDATE(DATEVALUE(C469&amp;"-01"),3),'📋 Транзакції'!$C$5:$C$3623,"&lt;"&amp;EDATE(DATEVALUE(C469&amp;"-01"),4))&gt;0,1,0)</f>
        <v>0</v>
      </c>
      <c r="K469" s="37">
        <f>IF(COUNTIFS('📋 Транзакції'!$B$5:$B$3623,A469,'📋 Транзакції'!$C$5:$C$3623,"&gt;="&amp;EDATE(DATEVALUE(C469&amp;"-01"),4),'📋 Транзакції'!$C$5:$C$3623,"&lt;"&amp;EDATE(DATEVALUE(C469&amp;"-01"),5))&gt;0,1,0)</f>
        <v>0</v>
      </c>
      <c r="L469" s="37">
        <f>IF(COUNTIFS('📋 Транзакції'!$B$5:$B$3623,A469,'📋 Транзакції'!$C$5:$C$3623,"&gt;="&amp;EDATE(DATEVALUE(C469&amp;"-01"),5),'📋 Транзакції'!$C$5:$C$3623,"&lt;"&amp;EDATE(DATEVALUE(C469&amp;"-01"),6))&gt;0,1,0)</f>
        <v>0</v>
      </c>
      <c r="M469" s="37">
        <f>IF(COUNTIFS('📋 Транзакції'!$B$5:$B$3623,A469,'📋 Транзакції'!$C$5:$C$3623,"&gt;="&amp;EDATE(DATEVALUE(C469&amp;"-01"),6),'📋 Транзакції'!$C$5:$C$3623,"&lt;"&amp;EDATE(DATEVALUE(C469&amp;"-01"),7))&gt;0,1,0)</f>
        <v>0</v>
      </c>
      <c r="N469" s="37">
        <f>IF(COUNTIFS('📋 Транзакції'!$B$5:$B$3623,A469,'📋 Транзакції'!$C$5:$C$3623,"&gt;="&amp;EDATE(DATEVALUE(C469&amp;"-01"),7),'📋 Транзакції'!$C$5:$C$3623,"&lt;"&amp;EDATE(DATEVALUE(C469&amp;"-01"),8))&gt;0,1,0)</f>
        <v>0</v>
      </c>
      <c r="O469" s="37">
        <f>IF(COUNTIFS('📋 Транзакції'!$B$5:$B$3623,A469,'📋 Транзакції'!$C$5:$C$3623,"&gt;="&amp;EDATE(DATEVALUE(C469&amp;"-01"),8),'📋 Транзакції'!$C$5:$C$3623,"&lt;"&amp;EDATE(DATEVALUE(C469&amp;"-01"),9))&gt;0,1,0)</f>
        <v>0</v>
      </c>
      <c r="P469" s="37">
        <f>IF(COUNTIFS('📋 Транзакції'!$B$5:$B$3623,A469,'📋 Транзакції'!$C$5:$C$3623,"&gt;="&amp;EDATE(DATEVALUE(C469&amp;"-01"),9),'📋 Транзакції'!$C$5:$C$3623,"&lt;"&amp;EDATE(DATEVALUE(C469&amp;"-01"),10))&gt;0,1,0)</f>
        <v>0</v>
      </c>
      <c r="Q469" s="37">
        <f>IF(COUNTIFS('📋 Транзакції'!$B$5:$B$3623,A469,'📋 Транзакції'!$C$5:$C$3623,"&gt;="&amp;EDATE(DATEVALUE(C469&amp;"-01"),10),'📋 Транзакції'!$C$5:$C$3623,"&lt;"&amp;EDATE(DATEVALUE(C469&amp;"-01"),11))&gt;0,1,0)</f>
        <v>0</v>
      </c>
      <c r="R469" s="37">
        <f>IF(COUNTIFS('📋 Транзакції'!$B$5:$B$3623,A469,'📋 Транзакції'!$C$5:$C$3623,"&gt;="&amp;EDATE(DATEVALUE(C469&amp;"-01"),11),'📋 Транзакції'!$C$5:$C$3623,"&lt;"&amp;EDATE(DATEVALUE(C469&amp;"-01"),12))&gt;0,1,0)</f>
        <v>0</v>
      </c>
      <c r="S469" s="37">
        <f>SUMIFS('📋 Транзакції'!$F$5:$F$3623,'📋 Транзакції'!$B$5:$B$3623,A469,'📋 Транзакції'!$C$5:$C$3623,"&gt;="&amp;EDATE(DATEVALUE(C469&amp;"-01"),0),'📋 Транзакції'!$C$5:$C$3623,"&lt;"&amp;EDATE(DATEVALUE(C469&amp;"-01"),1))</f>
        <v>19.99</v>
      </c>
      <c r="T469" s="37">
        <f>SUMIFS('📋 Транзакції'!$F$5:$F$3623,'📋 Транзакції'!$B$5:$B$3623,A469,'📋 Транзакції'!$C$5:$C$3623,"&gt;="&amp;EDATE(DATEVALUE(C469&amp;"-01"),1),'📋 Транзакції'!$C$5:$C$3623,"&lt;"&amp;EDATE(DATEVALUE(C469&amp;"-01"),2))</f>
        <v>19.99</v>
      </c>
      <c r="U469" s="37">
        <f>SUMIFS('📋 Транзакції'!$F$5:$F$3623,'📋 Транзакції'!$B$5:$B$3623,A469,'📋 Транзакції'!$C$5:$C$3623,"&gt;="&amp;EDATE(DATEVALUE(C469&amp;"-01"),2),'📋 Транзакції'!$C$5:$C$3623,"&lt;"&amp;EDATE(DATEVALUE(C469&amp;"-01"),3))</f>
        <v>19.99</v>
      </c>
      <c r="V469" s="37">
        <f>SUMIFS('📋 Транзакції'!$F$5:$F$3623,'📋 Транзакції'!$B$5:$B$3623,A469,'📋 Транзакції'!$C$5:$C$3623,"&gt;="&amp;EDATE(DATEVALUE(C469&amp;"-01"),3),'📋 Транзакції'!$C$5:$C$3623,"&lt;"&amp;EDATE(DATEVALUE(C469&amp;"-01"),4))</f>
        <v>0</v>
      </c>
      <c r="W469" s="37">
        <f>SUMIFS('📋 Транзакції'!$F$5:$F$3623,'📋 Транзакції'!$B$5:$B$3623,A469,'📋 Транзакції'!$C$5:$C$3623,"&gt;="&amp;EDATE(DATEVALUE(C469&amp;"-01"),4),'📋 Транзакції'!$C$5:$C$3623,"&lt;"&amp;EDATE(DATEVALUE(C469&amp;"-01"),5))</f>
        <v>0</v>
      </c>
      <c r="X469" s="37">
        <f>SUMIFS('📋 Транзакції'!$F$5:$F$3623,'📋 Транзакції'!$B$5:$B$3623,A469,'📋 Транзакції'!$C$5:$C$3623,"&gt;="&amp;EDATE(DATEVALUE(C469&amp;"-01"),5),'📋 Транзакції'!$C$5:$C$3623,"&lt;"&amp;EDATE(DATEVALUE(C469&amp;"-01"),6))</f>
        <v>0</v>
      </c>
      <c r="Y469" s="37">
        <f>SUMIFS('📋 Транзакції'!$F$5:$F$3623,'📋 Транзакції'!$B$5:$B$3623,A469,'📋 Транзакції'!$C$5:$C$3623,"&gt;="&amp;EDATE(DATEVALUE(C469&amp;"-01"),6),'📋 Транзакції'!$C$5:$C$3623,"&lt;"&amp;EDATE(DATEVALUE(C469&amp;"-01"),7))</f>
        <v>0</v>
      </c>
      <c r="Z469" s="37">
        <f>SUMIFS('📋 Транзакції'!$F$5:$F$3623,'📋 Транзакції'!$B$5:$B$3623,A469,'📋 Транзакції'!$C$5:$C$3623,"&gt;="&amp;EDATE(DATEVALUE(C469&amp;"-01"),7),'📋 Транзакції'!$C$5:$C$3623,"&lt;"&amp;EDATE(DATEVALUE(C469&amp;"-01"),8))</f>
        <v>0</v>
      </c>
      <c r="AA469" s="37">
        <f>SUMIFS('📋 Транзакції'!$F$5:$F$3623,'📋 Транзакції'!$B$5:$B$3623,A469,'📋 Транзакції'!$C$5:$C$3623,"&gt;="&amp;EDATE(DATEVALUE(C469&amp;"-01"),8),'📋 Транзакції'!$C$5:$C$3623,"&lt;"&amp;EDATE(DATEVALUE(C469&amp;"-01"),9))</f>
        <v>0</v>
      </c>
      <c r="AB469" s="37">
        <f>SUMIFS('📋 Транзакції'!$F$5:$F$3623,'📋 Транзакції'!$B$5:$B$3623,A469,'📋 Транзакції'!$C$5:$C$3623,"&gt;="&amp;EDATE(DATEVALUE(C469&amp;"-01"),9),'📋 Транзакції'!$C$5:$C$3623,"&lt;"&amp;EDATE(DATEVALUE(C469&amp;"-01"),10))</f>
        <v>0</v>
      </c>
      <c r="AC469" s="37">
        <f>SUMIFS('📋 Транзакції'!$F$5:$F$3623,'📋 Транзакції'!$B$5:$B$3623,A469,'📋 Транзакції'!$C$5:$C$3623,"&gt;="&amp;EDATE(DATEVALUE(C469&amp;"-01"),10),'📋 Транзакції'!$C$5:$C$3623,"&lt;"&amp;EDATE(DATEVALUE(C469&amp;"-01"),11))</f>
        <v>0</v>
      </c>
      <c r="AD469" s="37">
        <f>SUMIFS('📋 Транзакції'!$F$5:$F$3623,'📋 Транзакції'!$B$5:$B$3623,A469,'📋 Транзакції'!$C$5:$C$3623,"&gt;="&amp;EDATE(DATEVALUE(C469&amp;"-01"),11),'📋 Транзакції'!$C$5:$C$3623,"&lt;"&amp;EDATE(DATEVALUE(C469&amp;"-01"),12))</f>
        <v>0</v>
      </c>
    </row>
    <row r="470" ht="15.75" customHeight="1">
      <c r="A470" s="33" t="str">
        <f>'📋 Реєстрації'!A470:A1071</f>
        <v>U0052</v>
      </c>
      <c r="B470" s="34">
        <f t="array" ref="B470">INDEX('📋 Транзакції'!$C$5:$C$3623,MATCH(A470,'📋 Транзакції'!$B$5:$B$3623,0))</f>
        <v>45666</v>
      </c>
      <c r="C470" s="35" t="str">
        <f t="shared" si="1"/>
        <v>2025-01</v>
      </c>
      <c r="D470" s="36">
        <f>COUNTIF('📋 Транзакції'!$B$5:$B$3623,A470)</f>
        <v>4</v>
      </c>
      <c r="E470" s="36">
        <f>SUMIF('📋 Транзакції'!$B$5:$B$3623,A470,'📋 Транзакції'!$F$5:$F$3623)</f>
        <v>59.97</v>
      </c>
      <c r="F470" s="35">
        <f>INT($A$1-MAXIFS('📋 Транзакції'!$C$5:$C$3623,'📋 Транзакції'!$B$5:$B$3623,A470))</f>
        <v>14</v>
      </c>
      <c r="G470" s="37">
        <f>IF(COUNTIFS('📋 Транзакції'!$B$5:$B$3623,A470,'📋 Транзакції'!$C$5:$C$3623,"&gt;="&amp;EDATE(DATEVALUE(C470&amp;"-01"),0),'📋 Транзакції'!$C$5:$C$3623,"&lt;"&amp;EDATE(DATEVALUE(C470&amp;"-01"),1))&gt;0,1,0)</f>
        <v>1</v>
      </c>
      <c r="H470" s="37">
        <f>IF(COUNTIFS('📋 Транзакції'!$B$5:$B$3623,A470,'📋 Транзакції'!$C$5:$C$3623,"&gt;="&amp;EDATE(DATEVALUE(C470&amp;"-01"),1),'📋 Транзакції'!$C$5:$C$3623,"&lt;"&amp;EDATE(DATEVALUE(C470&amp;"-01"),2))&gt;0,1,0)</f>
        <v>1</v>
      </c>
      <c r="I470" s="37">
        <f>IF(COUNTIFS('📋 Транзакції'!$B$5:$B$3623,A470,'📋 Транзакції'!$C$5:$C$3623,"&gt;="&amp;EDATE(DATEVALUE(C470&amp;"-01"),2),'📋 Транзакції'!$C$5:$C$3623,"&lt;"&amp;EDATE(DATEVALUE(C470&amp;"-01"),3))&gt;0,1,0)</f>
        <v>1</v>
      </c>
      <c r="J470" s="37">
        <f>IF(COUNTIFS('📋 Транзакції'!$B$5:$B$3623,A470,'📋 Транзакції'!$C$5:$C$3623,"&gt;="&amp;EDATE(DATEVALUE(C470&amp;"-01"),3),'📋 Транзакції'!$C$5:$C$3623,"&lt;"&amp;EDATE(DATEVALUE(C470&amp;"-01"),4))&gt;0,1,0)</f>
        <v>0</v>
      </c>
      <c r="K470" s="37">
        <f>IF(COUNTIFS('📋 Транзакції'!$B$5:$B$3623,A470,'📋 Транзакції'!$C$5:$C$3623,"&gt;="&amp;EDATE(DATEVALUE(C470&amp;"-01"),4),'📋 Транзакції'!$C$5:$C$3623,"&lt;"&amp;EDATE(DATEVALUE(C470&amp;"-01"),5))&gt;0,1,0)</f>
        <v>0</v>
      </c>
      <c r="L470" s="37">
        <f>IF(COUNTIFS('📋 Транзакції'!$B$5:$B$3623,A470,'📋 Транзакції'!$C$5:$C$3623,"&gt;="&amp;EDATE(DATEVALUE(C470&amp;"-01"),5),'📋 Транзакції'!$C$5:$C$3623,"&lt;"&amp;EDATE(DATEVALUE(C470&amp;"-01"),6))&gt;0,1,0)</f>
        <v>0</v>
      </c>
      <c r="M470" s="37">
        <f>IF(COUNTIFS('📋 Транзакції'!$B$5:$B$3623,A470,'📋 Транзакції'!$C$5:$C$3623,"&gt;="&amp;EDATE(DATEVALUE(C470&amp;"-01"),6),'📋 Транзакції'!$C$5:$C$3623,"&lt;"&amp;EDATE(DATEVALUE(C470&amp;"-01"),7))&gt;0,1,0)</f>
        <v>0</v>
      </c>
      <c r="N470" s="37">
        <f>IF(COUNTIFS('📋 Транзакції'!$B$5:$B$3623,A470,'📋 Транзакції'!$C$5:$C$3623,"&gt;="&amp;EDATE(DATEVALUE(C470&amp;"-01"),7),'📋 Транзакції'!$C$5:$C$3623,"&lt;"&amp;EDATE(DATEVALUE(C470&amp;"-01"),8))&gt;0,1,0)</f>
        <v>0</v>
      </c>
      <c r="O470" s="37">
        <f>IF(COUNTIFS('📋 Транзакції'!$B$5:$B$3623,A470,'📋 Транзакції'!$C$5:$C$3623,"&gt;="&amp;EDATE(DATEVALUE(C470&amp;"-01"),8),'📋 Транзакції'!$C$5:$C$3623,"&lt;"&amp;EDATE(DATEVALUE(C470&amp;"-01"),9))&gt;0,1,0)</f>
        <v>0</v>
      </c>
      <c r="P470" s="37">
        <f>IF(COUNTIFS('📋 Транзакції'!$B$5:$B$3623,A470,'📋 Транзакції'!$C$5:$C$3623,"&gt;="&amp;EDATE(DATEVALUE(C470&amp;"-01"),9),'📋 Транзакції'!$C$5:$C$3623,"&lt;"&amp;EDATE(DATEVALUE(C470&amp;"-01"),10))&gt;0,1,0)</f>
        <v>0</v>
      </c>
      <c r="Q470" s="37">
        <f>IF(COUNTIFS('📋 Транзакції'!$B$5:$B$3623,A470,'📋 Транзакції'!$C$5:$C$3623,"&gt;="&amp;EDATE(DATEVALUE(C470&amp;"-01"),10),'📋 Транзакції'!$C$5:$C$3623,"&lt;"&amp;EDATE(DATEVALUE(C470&amp;"-01"),11))&gt;0,1,0)</f>
        <v>0</v>
      </c>
      <c r="R470" s="37">
        <f>IF(COUNTIFS('📋 Транзакції'!$B$5:$B$3623,A470,'📋 Транзакції'!$C$5:$C$3623,"&gt;="&amp;EDATE(DATEVALUE(C470&amp;"-01"),11),'📋 Транзакції'!$C$5:$C$3623,"&lt;"&amp;EDATE(DATEVALUE(C470&amp;"-01"),12))&gt;0,1,0)</f>
        <v>0</v>
      </c>
      <c r="S470" s="37">
        <f>SUMIFS('📋 Транзакції'!$F$5:$F$3623,'📋 Транзакції'!$B$5:$B$3623,A470,'📋 Транзакції'!$C$5:$C$3623,"&gt;="&amp;EDATE(DATEVALUE(C470&amp;"-01"),0),'📋 Транзакції'!$C$5:$C$3623,"&lt;"&amp;EDATE(DATEVALUE(C470&amp;"-01"),1))</f>
        <v>19.99</v>
      </c>
      <c r="T470" s="37">
        <f>SUMIFS('📋 Транзакції'!$F$5:$F$3623,'📋 Транзакції'!$B$5:$B$3623,A470,'📋 Транзакції'!$C$5:$C$3623,"&gt;="&amp;EDATE(DATEVALUE(C470&amp;"-01"),1),'📋 Транзакції'!$C$5:$C$3623,"&lt;"&amp;EDATE(DATEVALUE(C470&amp;"-01"),2))</f>
        <v>19.99</v>
      </c>
      <c r="U470" s="37">
        <f>SUMIFS('📋 Транзакції'!$F$5:$F$3623,'📋 Транзакції'!$B$5:$B$3623,A470,'📋 Транзакції'!$C$5:$C$3623,"&gt;="&amp;EDATE(DATEVALUE(C470&amp;"-01"),2),'📋 Транзакції'!$C$5:$C$3623,"&lt;"&amp;EDATE(DATEVALUE(C470&amp;"-01"),3))</f>
        <v>19.99</v>
      </c>
      <c r="V470" s="37">
        <f>SUMIFS('📋 Транзакції'!$F$5:$F$3623,'📋 Транзакції'!$B$5:$B$3623,A470,'📋 Транзакції'!$C$5:$C$3623,"&gt;="&amp;EDATE(DATEVALUE(C470&amp;"-01"),3),'📋 Транзакції'!$C$5:$C$3623,"&lt;"&amp;EDATE(DATEVALUE(C470&amp;"-01"),4))</f>
        <v>0</v>
      </c>
      <c r="W470" s="37">
        <f>SUMIFS('📋 Транзакції'!$F$5:$F$3623,'📋 Транзакції'!$B$5:$B$3623,A470,'📋 Транзакції'!$C$5:$C$3623,"&gt;="&amp;EDATE(DATEVALUE(C470&amp;"-01"),4),'📋 Транзакції'!$C$5:$C$3623,"&lt;"&amp;EDATE(DATEVALUE(C470&amp;"-01"),5))</f>
        <v>0</v>
      </c>
      <c r="X470" s="37">
        <f>SUMIFS('📋 Транзакції'!$F$5:$F$3623,'📋 Транзакції'!$B$5:$B$3623,A470,'📋 Транзакції'!$C$5:$C$3623,"&gt;="&amp;EDATE(DATEVALUE(C470&amp;"-01"),5),'📋 Транзакції'!$C$5:$C$3623,"&lt;"&amp;EDATE(DATEVALUE(C470&amp;"-01"),6))</f>
        <v>0</v>
      </c>
      <c r="Y470" s="37">
        <f>SUMIFS('📋 Транзакції'!$F$5:$F$3623,'📋 Транзакції'!$B$5:$B$3623,A470,'📋 Транзакції'!$C$5:$C$3623,"&gt;="&amp;EDATE(DATEVALUE(C470&amp;"-01"),6),'📋 Транзакції'!$C$5:$C$3623,"&lt;"&amp;EDATE(DATEVALUE(C470&amp;"-01"),7))</f>
        <v>0</v>
      </c>
      <c r="Z470" s="37">
        <f>SUMIFS('📋 Транзакції'!$F$5:$F$3623,'📋 Транзакції'!$B$5:$B$3623,A470,'📋 Транзакції'!$C$5:$C$3623,"&gt;="&amp;EDATE(DATEVALUE(C470&amp;"-01"),7),'📋 Транзакції'!$C$5:$C$3623,"&lt;"&amp;EDATE(DATEVALUE(C470&amp;"-01"),8))</f>
        <v>0</v>
      </c>
      <c r="AA470" s="37">
        <f>SUMIFS('📋 Транзакції'!$F$5:$F$3623,'📋 Транзакції'!$B$5:$B$3623,A470,'📋 Транзакції'!$C$5:$C$3623,"&gt;="&amp;EDATE(DATEVALUE(C470&amp;"-01"),8),'📋 Транзакції'!$C$5:$C$3623,"&lt;"&amp;EDATE(DATEVALUE(C470&amp;"-01"),9))</f>
        <v>0</v>
      </c>
      <c r="AB470" s="37">
        <f>SUMIFS('📋 Транзакції'!$F$5:$F$3623,'📋 Транзакції'!$B$5:$B$3623,A470,'📋 Транзакції'!$C$5:$C$3623,"&gt;="&amp;EDATE(DATEVALUE(C470&amp;"-01"),9),'📋 Транзакції'!$C$5:$C$3623,"&lt;"&amp;EDATE(DATEVALUE(C470&amp;"-01"),10))</f>
        <v>0</v>
      </c>
      <c r="AC470" s="37">
        <f>SUMIFS('📋 Транзакції'!$F$5:$F$3623,'📋 Транзакції'!$B$5:$B$3623,A470,'📋 Транзакції'!$C$5:$C$3623,"&gt;="&amp;EDATE(DATEVALUE(C470&amp;"-01"),10),'📋 Транзакції'!$C$5:$C$3623,"&lt;"&amp;EDATE(DATEVALUE(C470&amp;"-01"),11))</f>
        <v>0</v>
      </c>
      <c r="AD470" s="37">
        <f>SUMIFS('📋 Транзакції'!$F$5:$F$3623,'📋 Транзакції'!$B$5:$B$3623,A470,'📋 Транзакції'!$C$5:$C$3623,"&gt;="&amp;EDATE(DATEVALUE(C470&amp;"-01"),11),'📋 Транзакції'!$C$5:$C$3623,"&lt;"&amp;EDATE(DATEVALUE(C470&amp;"-01"),12))</f>
        <v>0</v>
      </c>
    </row>
    <row r="471" ht="15.75" customHeight="1">
      <c r="A471" s="33" t="str">
        <f>'📋 Реєстрації'!A471:A1072</f>
        <v>U0451</v>
      </c>
      <c r="B471" s="34">
        <f t="array" ref="B471">INDEX('📋 Транзакції'!$C$5:$C$3623,MATCH(A471,'📋 Транзакції'!$B$5:$B$3623,0))</f>
        <v>45667</v>
      </c>
      <c r="C471" s="35" t="str">
        <f t="shared" si="1"/>
        <v>2025-01</v>
      </c>
      <c r="D471" s="36">
        <f>COUNTIF('📋 Транзакції'!$B$5:$B$3623,A471)</f>
        <v>4</v>
      </c>
      <c r="E471" s="36">
        <f>SUMIF('📋 Транзакції'!$B$5:$B$3623,A471,'📋 Транзакції'!$F$5:$F$3623)</f>
        <v>59.97</v>
      </c>
      <c r="F471" s="35">
        <f>INT($A$1-MAXIFS('📋 Транзакції'!$C$5:$C$3623,'📋 Транзакції'!$B$5:$B$3623,A471))</f>
        <v>13</v>
      </c>
      <c r="G471" s="37">
        <f>IF(COUNTIFS('📋 Транзакції'!$B$5:$B$3623,A471,'📋 Транзакції'!$C$5:$C$3623,"&gt;="&amp;EDATE(DATEVALUE(C471&amp;"-01"),0),'📋 Транзакції'!$C$5:$C$3623,"&lt;"&amp;EDATE(DATEVALUE(C471&amp;"-01"),1))&gt;0,1,0)</f>
        <v>1</v>
      </c>
      <c r="H471" s="37">
        <f>IF(COUNTIFS('📋 Транзакції'!$B$5:$B$3623,A471,'📋 Транзакції'!$C$5:$C$3623,"&gt;="&amp;EDATE(DATEVALUE(C471&amp;"-01"),1),'📋 Транзакції'!$C$5:$C$3623,"&lt;"&amp;EDATE(DATEVALUE(C471&amp;"-01"),2))&gt;0,1,0)</f>
        <v>1</v>
      </c>
      <c r="I471" s="37">
        <f>IF(COUNTIFS('📋 Транзакції'!$B$5:$B$3623,A471,'📋 Транзакції'!$C$5:$C$3623,"&gt;="&amp;EDATE(DATEVALUE(C471&amp;"-01"),2),'📋 Транзакції'!$C$5:$C$3623,"&lt;"&amp;EDATE(DATEVALUE(C471&amp;"-01"),3))&gt;0,1,0)</f>
        <v>1</v>
      </c>
      <c r="J471" s="37">
        <f>IF(COUNTIFS('📋 Транзакції'!$B$5:$B$3623,A471,'📋 Транзакції'!$C$5:$C$3623,"&gt;="&amp;EDATE(DATEVALUE(C471&amp;"-01"),3),'📋 Транзакції'!$C$5:$C$3623,"&lt;"&amp;EDATE(DATEVALUE(C471&amp;"-01"),4))&gt;0,1,0)</f>
        <v>0</v>
      </c>
      <c r="K471" s="37">
        <f>IF(COUNTIFS('📋 Транзакції'!$B$5:$B$3623,A471,'📋 Транзакції'!$C$5:$C$3623,"&gt;="&amp;EDATE(DATEVALUE(C471&amp;"-01"),4),'📋 Транзакції'!$C$5:$C$3623,"&lt;"&amp;EDATE(DATEVALUE(C471&amp;"-01"),5))&gt;0,1,0)</f>
        <v>0</v>
      </c>
      <c r="L471" s="37">
        <f>IF(COUNTIFS('📋 Транзакції'!$B$5:$B$3623,A471,'📋 Транзакції'!$C$5:$C$3623,"&gt;="&amp;EDATE(DATEVALUE(C471&amp;"-01"),5),'📋 Транзакції'!$C$5:$C$3623,"&lt;"&amp;EDATE(DATEVALUE(C471&amp;"-01"),6))&gt;0,1,0)</f>
        <v>0</v>
      </c>
      <c r="M471" s="37">
        <f>IF(COUNTIFS('📋 Транзакції'!$B$5:$B$3623,A471,'📋 Транзакції'!$C$5:$C$3623,"&gt;="&amp;EDATE(DATEVALUE(C471&amp;"-01"),6),'📋 Транзакції'!$C$5:$C$3623,"&lt;"&amp;EDATE(DATEVALUE(C471&amp;"-01"),7))&gt;0,1,0)</f>
        <v>0</v>
      </c>
      <c r="N471" s="37">
        <f>IF(COUNTIFS('📋 Транзакції'!$B$5:$B$3623,A471,'📋 Транзакції'!$C$5:$C$3623,"&gt;="&amp;EDATE(DATEVALUE(C471&amp;"-01"),7),'📋 Транзакції'!$C$5:$C$3623,"&lt;"&amp;EDATE(DATEVALUE(C471&amp;"-01"),8))&gt;0,1,0)</f>
        <v>0</v>
      </c>
      <c r="O471" s="37">
        <f>IF(COUNTIFS('📋 Транзакції'!$B$5:$B$3623,A471,'📋 Транзакції'!$C$5:$C$3623,"&gt;="&amp;EDATE(DATEVALUE(C471&amp;"-01"),8),'📋 Транзакції'!$C$5:$C$3623,"&lt;"&amp;EDATE(DATEVALUE(C471&amp;"-01"),9))&gt;0,1,0)</f>
        <v>0</v>
      </c>
      <c r="P471" s="37">
        <f>IF(COUNTIFS('📋 Транзакції'!$B$5:$B$3623,A471,'📋 Транзакції'!$C$5:$C$3623,"&gt;="&amp;EDATE(DATEVALUE(C471&amp;"-01"),9),'📋 Транзакції'!$C$5:$C$3623,"&lt;"&amp;EDATE(DATEVALUE(C471&amp;"-01"),10))&gt;0,1,0)</f>
        <v>0</v>
      </c>
      <c r="Q471" s="37">
        <f>IF(COUNTIFS('📋 Транзакції'!$B$5:$B$3623,A471,'📋 Транзакції'!$C$5:$C$3623,"&gt;="&amp;EDATE(DATEVALUE(C471&amp;"-01"),10),'📋 Транзакції'!$C$5:$C$3623,"&lt;"&amp;EDATE(DATEVALUE(C471&amp;"-01"),11))&gt;0,1,0)</f>
        <v>0</v>
      </c>
      <c r="R471" s="37">
        <f>IF(COUNTIFS('📋 Транзакції'!$B$5:$B$3623,A471,'📋 Транзакції'!$C$5:$C$3623,"&gt;="&amp;EDATE(DATEVALUE(C471&amp;"-01"),11),'📋 Транзакції'!$C$5:$C$3623,"&lt;"&amp;EDATE(DATEVALUE(C471&amp;"-01"),12))&gt;0,1,0)</f>
        <v>0</v>
      </c>
      <c r="S471" s="37">
        <f>SUMIFS('📋 Транзакції'!$F$5:$F$3623,'📋 Транзакції'!$B$5:$B$3623,A471,'📋 Транзакції'!$C$5:$C$3623,"&gt;="&amp;EDATE(DATEVALUE(C471&amp;"-01"),0),'📋 Транзакції'!$C$5:$C$3623,"&lt;"&amp;EDATE(DATEVALUE(C471&amp;"-01"),1))</f>
        <v>19.99</v>
      </c>
      <c r="T471" s="37">
        <f>SUMIFS('📋 Транзакції'!$F$5:$F$3623,'📋 Транзакції'!$B$5:$B$3623,A471,'📋 Транзакції'!$C$5:$C$3623,"&gt;="&amp;EDATE(DATEVALUE(C471&amp;"-01"),1),'📋 Транзакції'!$C$5:$C$3623,"&lt;"&amp;EDATE(DATEVALUE(C471&amp;"-01"),2))</f>
        <v>19.99</v>
      </c>
      <c r="U471" s="37">
        <f>SUMIFS('📋 Транзакції'!$F$5:$F$3623,'📋 Транзакції'!$B$5:$B$3623,A471,'📋 Транзакції'!$C$5:$C$3623,"&gt;="&amp;EDATE(DATEVALUE(C471&amp;"-01"),2),'📋 Транзакції'!$C$5:$C$3623,"&lt;"&amp;EDATE(DATEVALUE(C471&amp;"-01"),3))</f>
        <v>19.99</v>
      </c>
      <c r="V471" s="37">
        <f>SUMIFS('📋 Транзакції'!$F$5:$F$3623,'📋 Транзакції'!$B$5:$B$3623,A471,'📋 Транзакції'!$C$5:$C$3623,"&gt;="&amp;EDATE(DATEVALUE(C471&amp;"-01"),3),'📋 Транзакції'!$C$5:$C$3623,"&lt;"&amp;EDATE(DATEVALUE(C471&amp;"-01"),4))</f>
        <v>0</v>
      </c>
      <c r="W471" s="37">
        <f>SUMIFS('📋 Транзакції'!$F$5:$F$3623,'📋 Транзакції'!$B$5:$B$3623,A471,'📋 Транзакції'!$C$5:$C$3623,"&gt;="&amp;EDATE(DATEVALUE(C471&amp;"-01"),4),'📋 Транзакції'!$C$5:$C$3623,"&lt;"&amp;EDATE(DATEVALUE(C471&amp;"-01"),5))</f>
        <v>0</v>
      </c>
      <c r="X471" s="37">
        <f>SUMIFS('📋 Транзакції'!$F$5:$F$3623,'📋 Транзакції'!$B$5:$B$3623,A471,'📋 Транзакції'!$C$5:$C$3623,"&gt;="&amp;EDATE(DATEVALUE(C471&amp;"-01"),5),'📋 Транзакції'!$C$5:$C$3623,"&lt;"&amp;EDATE(DATEVALUE(C471&amp;"-01"),6))</f>
        <v>0</v>
      </c>
      <c r="Y471" s="37">
        <f>SUMIFS('📋 Транзакції'!$F$5:$F$3623,'📋 Транзакції'!$B$5:$B$3623,A471,'📋 Транзакції'!$C$5:$C$3623,"&gt;="&amp;EDATE(DATEVALUE(C471&amp;"-01"),6),'📋 Транзакції'!$C$5:$C$3623,"&lt;"&amp;EDATE(DATEVALUE(C471&amp;"-01"),7))</f>
        <v>0</v>
      </c>
      <c r="Z471" s="37">
        <f>SUMIFS('📋 Транзакції'!$F$5:$F$3623,'📋 Транзакції'!$B$5:$B$3623,A471,'📋 Транзакції'!$C$5:$C$3623,"&gt;="&amp;EDATE(DATEVALUE(C471&amp;"-01"),7),'📋 Транзакції'!$C$5:$C$3623,"&lt;"&amp;EDATE(DATEVALUE(C471&amp;"-01"),8))</f>
        <v>0</v>
      </c>
      <c r="AA471" s="37">
        <f>SUMIFS('📋 Транзакції'!$F$5:$F$3623,'📋 Транзакції'!$B$5:$B$3623,A471,'📋 Транзакції'!$C$5:$C$3623,"&gt;="&amp;EDATE(DATEVALUE(C471&amp;"-01"),8),'📋 Транзакції'!$C$5:$C$3623,"&lt;"&amp;EDATE(DATEVALUE(C471&amp;"-01"),9))</f>
        <v>0</v>
      </c>
      <c r="AB471" s="37">
        <f>SUMIFS('📋 Транзакції'!$F$5:$F$3623,'📋 Транзакції'!$B$5:$B$3623,A471,'📋 Транзакції'!$C$5:$C$3623,"&gt;="&amp;EDATE(DATEVALUE(C471&amp;"-01"),9),'📋 Транзакції'!$C$5:$C$3623,"&lt;"&amp;EDATE(DATEVALUE(C471&amp;"-01"),10))</f>
        <v>0</v>
      </c>
      <c r="AC471" s="37">
        <f>SUMIFS('📋 Транзакції'!$F$5:$F$3623,'📋 Транзакції'!$B$5:$B$3623,A471,'📋 Транзакції'!$C$5:$C$3623,"&gt;="&amp;EDATE(DATEVALUE(C471&amp;"-01"),10),'📋 Транзакції'!$C$5:$C$3623,"&lt;"&amp;EDATE(DATEVALUE(C471&amp;"-01"),11))</f>
        <v>0</v>
      </c>
      <c r="AD471" s="37">
        <f>SUMIFS('📋 Транзакції'!$F$5:$F$3623,'📋 Транзакції'!$B$5:$B$3623,A471,'📋 Транзакції'!$C$5:$C$3623,"&gt;="&amp;EDATE(DATEVALUE(C471&amp;"-01"),11),'📋 Транзакції'!$C$5:$C$3623,"&lt;"&amp;EDATE(DATEVALUE(C471&amp;"-01"),12))</f>
        <v>0</v>
      </c>
    </row>
    <row r="472" ht="15.75" customHeight="1">
      <c r="A472" s="33" t="str">
        <f>'📋 Реєстрації'!A472:A1073</f>
        <v>U0236</v>
      </c>
      <c r="B472" s="34">
        <f t="array" ref="B472">INDEX('📋 Транзакції'!$C$5:$C$3623,MATCH(A472,'📋 Транзакції'!$B$5:$B$3623,0))</f>
        <v>45668</v>
      </c>
      <c r="C472" s="35" t="str">
        <f t="shared" si="1"/>
        <v>2025-01</v>
      </c>
      <c r="D472" s="36">
        <f>COUNTIF('📋 Транзакції'!$B$5:$B$3623,A472)</f>
        <v>4</v>
      </c>
      <c r="E472" s="36">
        <f>SUMIF('📋 Транзакції'!$B$5:$B$3623,A472,'📋 Транзакції'!$F$5:$F$3623)</f>
        <v>59.97</v>
      </c>
      <c r="F472" s="35">
        <f>INT($A$1-MAXIFS('📋 Транзакції'!$C$5:$C$3623,'📋 Транзакції'!$B$5:$B$3623,A472))</f>
        <v>12</v>
      </c>
      <c r="G472" s="37">
        <f>IF(COUNTIFS('📋 Транзакції'!$B$5:$B$3623,A472,'📋 Транзакції'!$C$5:$C$3623,"&gt;="&amp;EDATE(DATEVALUE(C472&amp;"-01"),0),'📋 Транзакції'!$C$5:$C$3623,"&lt;"&amp;EDATE(DATEVALUE(C472&amp;"-01"),1))&gt;0,1,0)</f>
        <v>1</v>
      </c>
      <c r="H472" s="37">
        <f>IF(COUNTIFS('📋 Транзакції'!$B$5:$B$3623,A472,'📋 Транзакції'!$C$5:$C$3623,"&gt;="&amp;EDATE(DATEVALUE(C472&amp;"-01"),1),'📋 Транзакції'!$C$5:$C$3623,"&lt;"&amp;EDATE(DATEVALUE(C472&amp;"-01"),2))&gt;0,1,0)</f>
        <v>1</v>
      </c>
      <c r="I472" s="37">
        <f>IF(COUNTIFS('📋 Транзакції'!$B$5:$B$3623,A472,'📋 Транзакції'!$C$5:$C$3623,"&gt;="&amp;EDATE(DATEVALUE(C472&amp;"-01"),2),'📋 Транзакції'!$C$5:$C$3623,"&lt;"&amp;EDATE(DATEVALUE(C472&amp;"-01"),3))&gt;0,1,0)</f>
        <v>1</v>
      </c>
      <c r="J472" s="37">
        <f>IF(COUNTIFS('📋 Транзакції'!$B$5:$B$3623,A472,'📋 Транзакції'!$C$5:$C$3623,"&gt;="&amp;EDATE(DATEVALUE(C472&amp;"-01"),3),'📋 Транзакції'!$C$5:$C$3623,"&lt;"&amp;EDATE(DATEVALUE(C472&amp;"-01"),4))&gt;0,1,0)</f>
        <v>0</v>
      </c>
      <c r="K472" s="37">
        <f>IF(COUNTIFS('📋 Транзакції'!$B$5:$B$3623,A472,'📋 Транзакції'!$C$5:$C$3623,"&gt;="&amp;EDATE(DATEVALUE(C472&amp;"-01"),4),'📋 Транзакції'!$C$5:$C$3623,"&lt;"&amp;EDATE(DATEVALUE(C472&amp;"-01"),5))&gt;0,1,0)</f>
        <v>0</v>
      </c>
      <c r="L472" s="37">
        <f>IF(COUNTIFS('📋 Транзакції'!$B$5:$B$3623,A472,'📋 Транзакції'!$C$5:$C$3623,"&gt;="&amp;EDATE(DATEVALUE(C472&amp;"-01"),5),'📋 Транзакції'!$C$5:$C$3623,"&lt;"&amp;EDATE(DATEVALUE(C472&amp;"-01"),6))&gt;0,1,0)</f>
        <v>0</v>
      </c>
      <c r="M472" s="37">
        <f>IF(COUNTIFS('📋 Транзакції'!$B$5:$B$3623,A472,'📋 Транзакції'!$C$5:$C$3623,"&gt;="&amp;EDATE(DATEVALUE(C472&amp;"-01"),6),'📋 Транзакції'!$C$5:$C$3623,"&lt;"&amp;EDATE(DATEVALUE(C472&amp;"-01"),7))&gt;0,1,0)</f>
        <v>0</v>
      </c>
      <c r="N472" s="37">
        <f>IF(COUNTIFS('📋 Транзакції'!$B$5:$B$3623,A472,'📋 Транзакції'!$C$5:$C$3623,"&gt;="&amp;EDATE(DATEVALUE(C472&amp;"-01"),7),'📋 Транзакції'!$C$5:$C$3623,"&lt;"&amp;EDATE(DATEVALUE(C472&amp;"-01"),8))&gt;0,1,0)</f>
        <v>0</v>
      </c>
      <c r="O472" s="37">
        <f>IF(COUNTIFS('📋 Транзакції'!$B$5:$B$3623,A472,'📋 Транзакції'!$C$5:$C$3623,"&gt;="&amp;EDATE(DATEVALUE(C472&amp;"-01"),8),'📋 Транзакції'!$C$5:$C$3623,"&lt;"&amp;EDATE(DATEVALUE(C472&amp;"-01"),9))&gt;0,1,0)</f>
        <v>0</v>
      </c>
      <c r="P472" s="37">
        <f>IF(COUNTIFS('📋 Транзакції'!$B$5:$B$3623,A472,'📋 Транзакції'!$C$5:$C$3623,"&gt;="&amp;EDATE(DATEVALUE(C472&amp;"-01"),9),'📋 Транзакції'!$C$5:$C$3623,"&lt;"&amp;EDATE(DATEVALUE(C472&amp;"-01"),10))&gt;0,1,0)</f>
        <v>0</v>
      </c>
      <c r="Q472" s="37">
        <f>IF(COUNTIFS('📋 Транзакції'!$B$5:$B$3623,A472,'📋 Транзакції'!$C$5:$C$3623,"&gt;="&amp;EDATE(DATEVALUE(C472&amp;"-01"),10),'📋 Транзакції'!$C$5:$C$3623,"&lt;"&amp;EDATE(DATEVALUE(C472&amp;"-01"),11))&gt;0,1,0)</f>
        <v>0</v>
      </c>
      <c r="R472" s="37">
        <f>IF(COUNTIFS('📋 Транзакції'!$B$5:$B$3623,A472,'📋 Транзакції'!$C$5:$C$3623,"&gt;="&amp;EDATE(DATEVALUE(C472&amp;"-01"),11),'📋 Транзакції'!$C$5:$C$3623,"&lt;"&amp;EDATE(DATEVALUE(C472&amp;"-01"),12))&gt;0,1,0)</f>
        <v>0</v>
      </c>
      <c r="S472" s="37">
        <f>SUMIFS('📋 Транзакції'!$F$5:$F$3623,'📋 Транзакції'!$B$5:$B$3623,A472,'📋 Транзакції'!$C$5:$C$3623,"&gt;="&amp;EDATE(DATEVALUE(C472&amp;"-01"),0),'📋 Транзакції'!$C$5:$C$3623,"&lt;"&amp;EDATE(DATEVALUE(C472&amp;"-01"),1))</f>
        <v>19.99</v>
      </c>
      <c r="T472" s="37">
        <f>SUMIFS('📋 Транзакції'!$F$5:$F$3623,'📋 Транзакції'!$B$5:$B$3623,A472,'📋 Транзакції'!$C$5:$C$3623,"&gt;="&amp;EDATE(DATEVALUE(C472&amp;"-01"),1),'📋 Транзакції'!$C$5:$C$3623,"&lt;"&amp;EDATE(DATEVALUE(C472&amp;"-01"),2))</f>
        <v>19.99</v>
      </c>
      <c r="U472" s="37">
        <f>SUMIFS('📋 Транзакції'!$F$5:$F$3623,'📋 Транзакції'!$B$5:$B$3623,A472,'📋 Транзакції'!$C$5:$C$3623,"&gt;="&amp;EDATE(DATEVALUE(C472&amp;"-01"),2),'📋 Транзакції'!$C$5:$C$3623,"&lt;"&amp;EDATE(DATEVALUE(C472&amp;"-01"),3))</f>
        <v>19.99</v>
      </c>
      <c r="V472" s="37">
        <f>SUMIFS('📋 Транзакції'!$F$5:$F$3623,'📋 Транзакції'!$B$5:$B$3623,A472,'📋 Транзакції'!$C$5:$C$3623,"&gt;="&amp;EDATE(DATEVALUE(C472&amp;"-01"),3),'📋 Транзакції'!$C$5:$C$3623,"&lt;"&amp;EDATE(DATEVALUE(C472&amp;"-01"),4))</f>
        <v>0</v>
      </c>
      <c r="W472" s="37">
        <f>SUMIFS('📋 Транзакції'!$F$5:$F$3623,'📋 Транзакції'!$B$5:$B$3623,A472,'📋 Транзакції'!$C$5:$C$3623,"&gt;="&amp;EDATE(DATEVALUE(C472&amp;"-01"),4),'📋 Транзакції'!$C$5:$C$3623,"&lt;"&amp;EDATE(DATEVALUE(C472&amp;"-01"),5))</f>
        <v>0</v>
      </c>
      <c r="X472" s="37">
        <f>SUMIFS('📋 Транзакції'!$F$5:$F$3623,'📋 Транзакції'!$B$5:$B$3623,A472,'📋 Транзакції'!$C$5:$C$3623,"&gt;="&amp;EDATE(DATEVALUE(C472&amp;"-01"),5),'📋 Транзакції'!$C$5:$C$3623,"&lt;"&amp;EDATE(DATEVALUE(C472&amp;"-01"),6))</f>
        <v>0</v>
      </c>
      <c r="Y472" s="37">
        <f>SUMIFS('📋 Транзакції'!$F$5:$F$3623,'📋 Транзакції'!$B$5:$B$3623,A472,'📋 Транзакції'!$C$5:$C$3623,"&gt;="&amp;EDATE(DATEVALUE(C472&amp;"-01"),6),'📋 Транзакції'!$C$5:$C$3623,"&lt;"&amp;EDATE(DATEVALUE(C472&amp;"-01"),7))</f>
        <v>0</v>
      </c>
      <c r="Z472" s="37">
        <f>SUMIFS('📋 Транзакції'!$F$5:$F$3623,'📋 Транзакції'!$B$5:$B$3623,A472,'📋 Транзакції'!$C$5:$C$3623,"&gt;="&amp;EDATE(DATEVALUE(C472&amp;"-01"),7),'📋 Транзакції'!$C$5:$C$3623,"&lt;"&amp;EDATE(DATEVALUE(C472&amp;"-01"),8))</f>
        <v>0</v>
      </c>
      <c r="AA472" s="37">
        <f>SUMIFS('📋 Транзакції'!$F$5:$F$3623,'📋 Транзакції'!$B$5:$B$3623,A472,'📋 Транзакції'!$C$5:$C$3623,"&gt;="&amp;EDATE(DATEVALUE(C472&amp;"-01"),8),'📋 Транзакції'!$C$5:$C$3623,"&lt;"&amp;EDATE(DATEVALUE(C472&amp;"-01"),9))</f>
        <v>0</v>
      </c>
      <c r="AB472" s="37">
        <f>SUMIFS('📋 Транзакції'!$F$5:$F$3623,'📋 Транзакції'!$B$5:$B$3623,A472,'📋 Транзакції'!$C$5:$C$3623,"&gt;="&amp;EDATE(DATEVALUE(C472&amp;"-01"),9),'📋 Транзакції'!$C$5:$C$3623,"&lt;"&amp;EDATE(DATEVALUE(C472&amp;"-01"),10))</f>
        <v>0</v>
      </c>
      <c r="AC472" s="37">
        <f>SUMIFS('📋 Транзакції'!$F$5:$F$3623,'📋 Транзакції'!$B$5:$B$3623,A472,'📋 Транзакції'!$C$5:$C$3623,"&gt;="&amp;EDATE(DATEVALUE(C472&amp;"-01"),10),'📋 Транзакції'!$C$5:$C$3623,"&lt;"&amp;EDATE(DATEVALUE(C472&amp;"-01"),11))</f>
        <v>0</v>
      </c>
      <c r="AD472" s="37">
        <f>SUMIFS('📋 Транзакції'!$F$5:$F$3623,'📋 Транзакції'!$B$5:$B$3623,A472,'📋 Транзакції'!$C$5:$C$3623,"&gt;="&amp;EDATE(DATEVALUE(C472&amp;"-01"),11),'📋 Транзакції'!$C$5:$C$3623,"&lt;"&amp;EDATE(DATEVALUE(C472&amp;"-01"),12))</f>
        <v>0</v>
      </c>
    </row>
    <row r="473" ht="15.75" customHeight="1">
      <c r="A473" s="33" t="str">
        <f>'📋 Реєстрації'!A473:A1074</f>
        <v>U0326</v>
      </c>
      <c r="B473" s="34">
        <f t="array" ref="B473">INDEX('📋 Транзакції'!$C$5:$C$3623,MATCH(A473,'📋 Транзакції'!$B$5:$B$3623,0))</f>
        <v>45668</v>
      </c>
      <c r="C473" s="35" t="str">
        <f t="shared" si="1"/>
        <v>2025-01</v>
      </c>
      <c r="D473" s="36">
        <f>COUNTIF('📋 Транзакції'!$B$5:$B$3623,A473)</f>
        <v>4</v>
      </c>
      <c r="E473" s="36">
        <f>SUMIF('📋 Транзакції'!$B$5:$B$3623,A473,'📋 Транзакції'!$F$5:$F$3623)</f>
        <v>59.97</v>
      </c>
      <c r="F473" s="35">
        <f>INT($A$1-MAXIFS('📋 Транзакції'!$C$5:$C$3623,'📋 Транзакції'!$B$5:$B$3623,A473))</f>
        <v>12</v>
      </c>
      <c r="G473" s="37">
        <f>IF(COUNTIFS('📋 Транзакції'!$B$5:$B$3623,A473,'📋 Транзакції'!$C$5:$C$3623,"&gt;="&amp;EDATE(DATEVALUE(C473&amp;"-01"),0),'📋 Транзакції'!$C$5:$C$3623,"&lt;"&amp;EDATE(DATEVALUE(C473&amp;"-01"),1))&gt;0,1,0)</f>
        <v>1</v>
      </c>
      <c r="H473" s="37">
        <f>IF(COUNTIFS('📋 Транзакції'!$B$5:$B$3623,A473,'📋 Транзакції'!$C$5:$C$3623,"&gt;="&amp;EDATE(DATEVALUE(C473&amp;"-01"),1),'📋 Транзакції'!$C$5:$C$3623,"&lt;"&amp;EDATE(DATEVALUE(C473&amp;"-01"),2))&gt;0,1,0)</f>
        <v>1</v>
      </c>
      <c r="I473" s="37">
        <f>IF(COUNTIFS('📋 Транзакції'!$B$5:$B$3623,A473,'📋 Транзакції'!$C$5:$C$3623,"&gt;="&amp;EDATE(DATEVALUE(C473&amp;"-01"),2),'📋 Транзакції'!$C$5:$C$3623,"&lt;"&amp;EDATE(DATEVALUE(C473&amp;"-01"),3))&gt;0,1,0)</f>
        <v>1</v>
      </c>
      <c r="J473" s="37">
        <f>IF(COUNTIFS('📋 Транзакції'!$B$5:$B$3623,A473,'📋 Транзакції'!$C$5:$C$3623,"&gt;="&amp;EDATE(DATEVALUE(C473&amp;"-01"),3),'📋 Транзакції'!$C$5:$C$3623,"&lt;"&amp;EDATE(DATEVALUE(C473&amp;"-01"),4))&gt;0,1,0)</f>
        <v>0</v>
      </c>
      <c r="K473" s="37">
        <f>IF(COUNTIFS('📋 Транзакції'!$B$5:$B$3623,A473,'📋 Транзакції'!$C$5:$C$3623,"&gt;="&amp;EDATE(DATEVALUE(C473&amp;"-01"),4),'📋 Транзакції'!$C$5:$C$3623,"&lt;"&amp;EDATE(DATEVALUE(C473&amp;"-01"),5))&gt;0,1,0)</f>
        <v>0</v>
      </c>
      <c r="L473" s="37">
        <f>IF(COUNTIFS('📋 Транзакції'!$B$5:$B$3623,A473,'📋 Транзакції'!$C$5:$C$3623,"&gt;="&amp;EDATE(DATEVALUE(C473&amp;"-01"),5),'📋 Транзакції'!$C$5:$C$3623,"&lt;"&amp;EDATE(DATEVALUE(C473&amp;"-01"),6))&gt;0,1,0)</f>
        <v>0</v>
      </c>
      <c r="M473" s="37">
        <f>IF(COUNTIFS('📋 Транзакції'!$B$5:$B$3623,A473,'📋 Транзакції'!$C$5:$C$3623,"&gt;="&amp;EDATE(DATEVALUE(C473&amp;"-01"),6),'📋 Транзакції'!$C$5:$C$3623,"&lt;"&amp;EDATE(DATEVALUE(C473&amp;"-01"),7))&gt;0,1,0)</f>
        <v>0</v>
      </c>
      <c r="N473" s="37">
        <f>IF(COUNTIFS('📋 Транзакції'!$B$5:$B$3623,A473,'📋 Транзакції'!$C$5:$C$3623,"&gt;="&amp;EDATE(DATEVALUE(C473&amp;"-01"),7),'📋 Транзакції'!$C$5:$C$3623,"&lt;"&amp;EDATE(DATEVALUE(C473&amp;"-01"),8))&gt;0,1,0)</f>
        <v>0</v>
      </c>
      <c r="O473" s="37">
        <f>IF(COUNTIFS('📋 Транзакції'!$B$5:$B$3623,A473,'📋 Транзакції'!$C$5:$C$3623,"&gt;="&amp;EDATE(DATEVALUE(C473&amp;"-01"),8),'📋 Транзакції'!$C$5:$C$3623,"&lt;"&amp;EDATE(DATEVALUE(C473&amp;"-01"),9))&gt;0,1,0)</f>
        <v>0</v>
      </c>
      <c r="P473" s="37">
        <f>IF(COUNTIFS('📋 Транзакції'!$B$5:$B$3623,A473,'📋 Транзакції'!$C$5:$C$3623,"&gt;="&amp;EDATE(DATEVALUE(C473&amp;"-01"),9),'📋 Транзакції'!$C$5:$C$3623,"&lt;"&amp;EDATE(DATEVALUE(C473&amp;"-01"),10))&gt;0,1,0)</f>
        <v>0</v>
      </c>
      <c r="Q473" s="37">
        <f>IF(COUNTIFS('📋 Транзакції'!$B$5:$B$3623,A473,'📋 Транзакції'!$C$5:$C$3623,"&gt;="&amp;EDATE(DATEVALUE(C473&amp;"-01"),10),'📋 Транзакції'!$C$5:$C$3623,"&lt;"&amp;EDATE(DATEVALUE(C473&amp;"-01"),11))&gt;0,1,0)</f>
        <v>0</v>
      </c>
      <c r="R473" s="37">
        <f>IF(COUNTIFS('📋 Транзакції'!$B$5:$B$3623,A473,'📋 Транзакції'!$C$5:$C$3623,"&gt;="&amp;EDATE(DATEVALUE(C473&amp;"-01"),11),'📋 Транзакції'!$C$5:$C$3623,"&lt;"&amp;EDATE(DATEVALUE(C473&amp;"-01"),12))&gt;0,1,0)</f>
        <v>0</v>
      </c>
      <c r="S473" s="37">
        <f>SUMIFS('📋 Транзакції'!$F$5:$F$3623,'📋 Транзакції'!$B$5:$B$3623,A473,'📋 Транзакції'!$C$5:$C$3623,"&gt;="&amp;EDATE(DATEVALUE(C473&amp;"-01"),0),'📋 Транзакції'!$C$5:$C$3623,"&lt;"&amp;EDATE(DATEVALUE(C473&amp;"-01"),1))</f>
        <v>19.99</v>
      </c>
      <c r="T473" s="37">
        <f>SUMIFS('📋 Транзакції'!$F$5:$F$3623,'📋 Транзакції'!$B$5:$B$3623,A473,'📋 Транзакції'!$C$5:$C$3623,"&gt;="&amp;EDATE(DATEVALUE(C473&amp;"-01"),1),'📋 Транзакції'!$C$5:$C$3623,"&lt;"&amp;EDATE(DATEVALUE(C473&amp;"-01"),2))</f>
        <v>19.99</v>
      </c>
      <c r="U473" s="37">
        <f>SUMIFS('📋 Транзакції'!$F$5:$F$3623,'📋 Транзакції'!$B$5:$B$3623,A473,'📋 Транзакції'!$C$5:$C$3623,"&gt;="&amp;EDATE(DATEVALUE(C473&amp;"-01"),2),'📋 Транзакції'!$C$5:$C$3623,"&lt;"&amp;EDATE(DATEVALUE(C473&amp;"-01"),3))</f>
        <v>19.99</v>
      </c>
      <c r="V473" s="37">
        <f>SUMIFS('📋 Транзакції'!$F$5:$F$3623,'📋 Транзакції'!$B$5:$B$3623,A473,'📋 Транзакції'!$C$5:$C$3623,"&gt;="&amp;EDATE(DATEVALUE(C473&amp;"-01"),3),'📋 Транзакції'!$C$5:$C$3623,"&lt;"&amp;EDATE(DATEVALUE(C473&amp;"-01"),4))</f>
        <v>0</v>
      </c>
      <c r="W473" s="37">
        <f>SUMIFS('📋 Транзакції'!$F$5:$F$3623,'📋 Транзакції'!$B$5:$B$3623,A473,'📋 Транзакції'!$C$5:$C$3623,"&gt;="&amp;EDATE(DATEVALUE(C473&amp;"-01"),4),'📋 Транзакції'!$C$5:$C$3623,"&lt;"&amp;EDATE(DATEVALUE(C473&amp;"-01"),5))</f>
        <v>0</v>
      </c>
      <c r="X473" s="37">
        <f>SUMIFS('📋 Транзакції'!$F$5:$F$3623,'📋 Транзакції'!$B$5:$B$3623,A473,'📋 Транзакції'!$C$5:$C$3623,"&gt;="&amp;EDATE(DATEVALUE(C473&amp;"-01"),5),'📋 Транзакції'!$C$5:$C$3623,"&lt;"&amp;EDATE(DATEVALUE(C473&amp;"-01"),6))</f>
        <v>0</v>
      </c>
      <c r="Y473" s="37">
        <f>SUMIFS('📋 Транзакції'!$F$5:$F$3623,'📋 Транзакції'!$B$5:$B$3623,A473,'📋 Транзакції'!$C$5:$C$3623,"&gt;="&amp;EDATE(DATEVALUE(C473&amp;"-01"),6),'📋 Транзакції'!$C$5:$C$3623,"&lt;"&amp;EDATE(DATEVALUE(C473&amp;"-01"),7))</f>
        <v>0</v>
      </c>
      <c r="Z473" s="37">
        <f>SUMIFS('📋 Транзакції'!$F$5:$F$3623,'📋 Транзакції'!$B$5:$B$3623,A473,'📋 Транзакції'!$C$5:$C$3623,"&gt;="&amp;EDATE(DATEVALUE(C473&amp;"-01"),7),'📋 Транзакції'!$C$5:$C$3623,"&lt;"&amp;EDATE(DATEVALUE(C473&amp;"-01"),8))</f>
        <v>0</v>
      </c>
      <c r="AA473" s="37">
        <f>SUMIFS('📋 Транзакції'!$F$5:$F$3623,'📋 Транзакції'!$B$5:$B$3623,A473,'📋 Транзакції'!$C$5:$C$3623,"&gt;="&amp;EDATE(DATEVALUE(C473&amp;"-01"),8),'📋 Транзакції'!$C$5:$C$3623,"&lt;"&amp;EDATE(DATEVALUE(C473&amp;"-01"),9))</f>
        <v>0</v>
      </c>
      <c r="AB473" s="37">
        <f>SUMIFS('📋 Транзакції'!$F$5:$F$3623,'📋 Транзакції'!$B$5:$B$3623,A473,'📋 Транзакції'!$C$5:$C$3623,"&gt;="&amp;EDATE(DATEVALUE(C473&amp;"-01"),9),'📋 Транзакції'!$C$5:$C$3623,"&lt;"&amp;EDATE(DATEVALUE(C473&amp;"-01"),10))</f>
        <v>0</v>
      </c>
      <c r="AC473" s="37">
        <f>SUMIFS('📋 Транзакції'!$F$5:$F$3623,'📋 Транзакції'!$B$5:$B$3623,A473,'📋 Транзакції'!$C$5:$C$3623,"&gt;="&amp;EDATE(DATEVALUE(C473&amp;"-01"),10),'📋 Транзакції'!$C$5:$C$3623,"&lt;"&amp;EDATE(DATEVALUE(C473&amp;"-01"),11))</f>
        <v>0</v>
      </c>
      <c r="AD473" s="37">
        <f>SUMIFS('📋 Транзакції'!$F$5:$F$3623,'📋 Транзакції'!$B$5:$B$3623,A473,'📋 Транзакції'!$C$5:$C$3623,"&gt;="&amp;EDATE(DATEVALUE(C473&amp;"-01"),11),'📋 Транзакції'!$C$5:$C$3623,"&lt;"&amp;EDATE(DATEVALUE(C473&amp;"-01"),12))</f>
        <v>0</v>
      </c>
    </row>
    <row r="474" ht="15.75" customHeight="1">
      <c r="A474" s="33" t="str">
        <f>'📋 Реєстрації'!A474:A1075</f>
        <v>U0117</v>
      </c>
      <c r="B474" s="34">
        <f t="array" ref="B474">INDEX('📋 Транзакції'!$C$5:$C$3623,MATCH(A474,'📋 Транзакції'!$B$5:$B$3623,0))</f>
        <v>45669</v>
      </c>
      <c r="C474" s="35" t="str">
        <f t="shared" si="1"/>
        <v>2025-01</v>
      </c>
      <c r="D474" s="36">
        <f>COUNTIF('📋 Транзакції'!$B$5:$B$3623,A474)</f>
        <v>4</v>
      </c>
      <c r="E474" s="36">
        <f>SUMIF('📋 Транзакції'!$B$5:$B$3623,A474,'📋 Транзакції'!$F$5:$F$3623)</f>
        <v>59.97</v>
      </c>
      <c r="F474" s="35">
        <f>INT($A$1-MAXIFS('📋 Транзакції'!$C$5:$C$3623,'📋 Транзакції'!$B$5:$B$3623,A474))</f>
        <v>11</v>
      </c>
      <c r="G474" s="37">
        <f>IF(COUNTIFS('📋 Транзакції'!$B$5:$B$3623,A474,'📋 Транзакції'!$C$5:$C$3623,"&gt;="&amp;EDATE(DATEVALUE(C474&amp;"-01"),0),'📋 Транзакції'!$C$5:$C$3623,"&lt;"&amp;EDATE(DATEVALUE(C474&amp;"-01"),1))&gt;0,1,0)</f>
        <v>1</v>
      </c>
      <c r="H474" s="37">
        <f>IF(COUNTIFS('📋 Транзакції'!$B$5:$B$3623,A474,'📋 Транзакції'!$C$5:$C$3623,"&gt;="&amp;EDATE(DATEVALUE(C474&amp;"-01"),1),'📋 Транзакції'!$C$5:$C$3623,"&lt;"&amp;EDATE(DATEVALUE(C474&amp;"-01"),2))&gt;0,1,0)</f>
        <v>1</v>
      </c>
      <c r="I474" s="37">
        <f>IF(COUNTIFS('📋 Транзакції'!$B$5:$B$3623,A474,'📋 Транзакції'!$C$5:$C$3623,"&gt;="&amp;EDATE(DATEVALUE(C474&amp;"-01"),2),'📋 Транзакції'!$C$5:$C$3623,"&lt;"&amp;EDATE(DATEVALUE(C474&amp;"-01"),3))&gt;0,1,0)</f>
        <v>1</v>
      </c>
      <c r="J474" s="37">
        <f>IF(COUNTIFS('📋 Транзакції'!$B$5:$B$3623,A474,'📋 Транзакції'!$C$5:$C$3623,"&gt;="&amp;EDATE(DATEVALUE(C474&amp;"-01"),3),'📋 Транзакції'!$C$5:$C$3623,"&lt;"&amp;EDATE(DATEVALUE(C474&amp;"-01"),4))&gt;0,1,0)</f>
        <v>0</v>
      </c>
      <c r="K474" s="37">
        <f>IF(COUNTIFS('📋 Транзакції'!$B$5:$B$3623,A474,'📋 Транзакції'!$C$5:$C$3623,"&gt;="&amp;EDATE(DATEVALUE(C474&amp;"-01"),4),'📋 Транзакції'!$C$5:$C$3623,"&lt;"&amp;EDATE(DATEVALUE(C474&amp;"-01"),5))&gt;0,1,0)</f>
        <v>0</v>
      </c>
      <c r="L474" s="37">
        <f>IF(COUNTIFS('📋 Транзакції'!$B$5:$B$3623,A474,'📋 Транзакції'!$C$5:$C$3623,"&gt;="&amp;EDATE(DATEVALUE(C474&amp;"-01"),5),'📋 Транзакції'!$C$5:$C$3623,"&lt;"&amp;EDATE(DATEVALUE(C474&amp;"-01"),6))&gt;0,1,0)</f>
        <v>0</v>
      </c>
      <c r="M474" s="37">
        <f>IF(COUNTIFS('📋 Транзакції'!$B$5:$B$3623,A474,'📋 Транзакції'!$C$5:$C$3623,"&gt;="&amp;EDATE(DATEVALUE(C474&amp;"-01"),6),'📋 Транзакції'!$C$5:$C$3623,"&lt;"&amp;EDATE(DATEVALUE(C474&amp;"-01"),7))&gt;0,1,0)</f>
        <v>0</v>
      </c>
      <c r="N474" s="37">
        <f>IF(COUNTIFS('📋 Транзакції'!$B$5:$B$3623,A474,'📋 Транзакції'!$C$5:$C$3623,"&gt;="&amp;EDATE(DATEVALUE(C474&amp;"-01"),7),'📋 Транзакції'!$C$5:$C$3623,"&lt;"&amp;EDATE(DATEVALUE(C474&amp;"-01"),8))&gt;0,1,0)</f>
        <v>0</v>
      </c>
      <c r="O474" s="37">
        <f>IF(COUNTIFS('📋 Транзакції'!$B$5:$B$3623,A474,'📋 Транзакції'!$C$5:$C$3623,"&gt;="&amp;EDATE(DATEVALUE(C474&amp;"-01"),8),'📋 Транзакції'!$C$5:$C$3623,"&lt;"&amp;EDATE(DATEVALUE(C474&amp;"-01"),9))&gt;0,1,0)</f>
        <v>0</v>
      </c>
      <c r="P474" s="37">
        <f>IF(COUNTIFS('📋 Транзакції'!$B$5:$B$3623,A474,'📋 Транзакції'!$C$5:$C$3623,"&gt;="&amp;EDATE(DATEVALUE(C474&amp;"-01"),9),'📋 Транзакції'!$C$5:$C$3623,"&lt;"&amp;EDATE(DATEVALUE(C474&amp;"-01"),10))&gt;0,1,0)</f>
        <v>0</v>
      </c>
      <c r="Q474" s="37">
        <f>IF(COUNTIFS('📋 Транзакції'!$B$5:$B$3623,A474,'📋 Транзакції'!$C$5:$C$3623,"&gt;="&amp;EDATE(DATEVALUE(C474&amp;"-01"),10),'📋 Транзакції'!$C$5:$C$3623,"&lt;"&amp;EDATE(DATEVALUE(C474&amp;"-01"),11))&gt;0,1,0)</f>
        <v>0</v>
      </c>
      <c r="R474" s="37">
        <f>IF(COUNTIFS('📋 Транзакції'!$B$5:$B$3623,A474,'📋 Транзакції'!$C$5:$C$3623,"&gt;="&amp;EDATE(DATEVALUE(C474&amp;"-01"),11),'📋 Транзакції'!$C$5:$C$3623,"&lt;"&amp;EDATE(DATEVALUE(C474&amp;"-01"),12))&gt;0,1,0)</f>
        <v>0</v>
      </c>
      <c r="S474" s="37">
        <f>SUMIFS('📋 Транзакції'!$F$5:$F$3623,'📋 Транзакції'!$B$5:$B$3623,A474,'📋 Транзакції'!$C$5:$C$3623,"&gt;="&amp;EDATE(DATEVALUE(C474&amp;"-01"),0),'📋 Транзакції'!$C$5:$C$3623,"&lt;"&amp;EDATE(DATEVALUE(C474&amp;"-01"),1))</f>
        <v>19.99</v>
      </c>
      <c r="T474" s="37">
        <f>SUMIFS('📋 Транзакції'!$F$5:$F$3623,'📋 Транзакції'!$B$5:$B$3623,A474,'📋 Транзакції'!$C$5:$C$3623,"&gt;="&amp;EDATE(DATEVALUE(C474&amp;"-01"),1),'📋 Транзакції'!$C$5:$C$3623,"&lt;"&amp;EDATE(DATEVALUE(C474&amp;"-01"),2))</f>
        <v>19.99</v>
      </c>
      <c r="U474" s="37">
        <f>SUMIFS('📋 Транзакції'!$F$5:$F$3623,'📋 Транзакції'!$B$5:$B$3623,A474,'📋 Транзакції'!$C$5:$C$3623,"&gt;="&amp;EDATE(DATEVALUE(C474&amp;"-01"),2),'📋 Транзакції'!$C$5:$C$3623,"&lt;"&amp;EDATE(DATEVALUE(C474&amp;"-01"),3))</f>
        <v>19.99</v>
      </c>
      <c r="V474" s="37">
        <f>SUMIFS('📋 Транзакції'!$F$5:$F$3623,'📋 Транзакції'!$B$5:$B$3623,A474,'📋 Транзакції'!$C$5:$C$3623,"&gt;="&amp;EDATE(DATEVALUE(C474&amp;"-01"),3),'📋 Транзакції'!$C$5:$C$3623,"&lt;"&amp;EDATE(DATEVALUE(C474&amp;"-01"),4))</f>
        <v>0</v>
      </c>
      <c r="W474" s="37">
        <f>SUMIFS('📋 Транзакції'!$F$5:$F$3623,'📋 Транзакції'!$B$5:$B$3623,A474,'📋 Транзакції'!$C$5:$C$3623,"&gt;="&amp;EDATE(DATEVALUE(C474&amp;"-01"),4),'📋 Транзакції'!$C$5:$C$3623,"&lt;"&amp;EDATE(DATEVALUE(C474&amp;"-01"),5))</f>
        <v>0</v>
      </c>
      <c r="X474" s="37">
        <f>SUMIFS('📋 Транзакції'!$F$5:$F$3623,'📋 Транзакції'!$B$5:$B$3623,A474,'📋 Транзакції'!$C$5:$C$3623,"&gt;="&amp;EDATE(DATEVALUE(C474&amp;"-01"),5),'📋 Транзакції'!$C$5:$C$3623,"&lt;"&amp;EDATE(DATEVALUE(C474&amp;"-01"),6))</f>
        <v>0</v>
      </c>
      <c r="Y474" s="37">
        <f>SUMIFS('📋 Транзакції'!$F$5:$F$3623,'📋 Транзакції'!$B$5:$B$3623,A474,'📋 Транзакції'!$C$5:$C$3623,"&gt;="&amp;EDATE(DATEVALUE(C474&amp;"-01"),6),'📋 Транзакції'!$C$5:$C$3623,"&lt;"&amp;EDATE(DATEVALUE(C474&amp;"-01"),7))</f>
        <v>0</v>
      </c>
      <c r="Z474" s="37">
        <f>SUMIFS('📋 Транзакції'!$F$5:$F$3623,'📋 Транзакції'!$B$5:$B$3623,A474,'📋 Транзакції'!$C$5:$C$3623,"&gt;="&amp;EDATE(DATEVALUE(C474&amp;"-01"),7),'📋 Транзакції'!$C$5:$C$3623,"&lt;"&amp;EDATE(DATEVALUE(C474&amp;"-01"),8))</f>
        <v>0</v>
      </c>
      <c r="AA474" s="37">
        <f>SUMIFS('📋 Транзакції'!$F$5:$F$3623,'📋 Транзакції'!$B$5:$B$3623,A474,'📋 Транзакції'!$C$5:$C$3623,"&gt;="&amp;EDATE(DATEVALUE(C474&amp;"-01"),8),'📋 Транзакції'!$C$5:$C$3623,"&lt;"&amp;EDATE(DATEVALUE(C474&amp;"-01"),9))</f>
        <v>0</v>
      </c>
      <c r="AB474" s="37">
        <f>SUMIFS('📋 Транзакції'!$F$5:$F$3623,'📋 Транзакції'!$B$5:$B$3623,A474,'📋 Транзакції'!$C$5:$C$3623,"&gt;="&amp;EDATE(DATEVALUE(C474&amp;"-01"),9),'📋 Транзакції'!$C$5:$C$3623,"&lt;"&amp;EDATE(DATEVALUE(C474&amp;"-01"),10))</f>
        <v>0</v>
      </c>
      <c r="AC474" s="37">
        <f>SUMIFS('📋 Транзакції'!$F$5:$F$3623,'📋 Транзакції'!$B$5:$B$3623,A474,'📋 Транзакції'!$C$5:$C$3623,"&gt;="&amp;EDATE(DATEVALUE(C474&amp;"-01"),10),'📋 Транзакції'!$C$5:$C$3623,"&lt;"&amp;EDATE(DATEVALUE(C474&amp;"-01"),11))</f>
        <v>0</v>
      </c>
      <c r="AD474" s="37">
        <f>SUMIFS('📋 Транзакції'!$F$5:$F$3623,'📋 Транзакції'!$B$5:$B$3623,A474,'📋 Транзакції'!$C$5:$C$3623,"&gt;="&amp;EDATE(DATEVALUE(C474&amp;"-01"),11),'📋 Транзакції'!$C$5:$C$3623,"&lt;"&amp;EDATE(DATEVALUE(C474&amp;"-01"),12))</f>
        <v>0</v>
      </c>
    </row>
    <row r="475" ht="15.75" customHeight="1">
      <c r="A475" s="33" t="str">
        <f>'📋 Реєстрації'!A475:A1076</f>
        <v>U0421</v>
      </c>
      <c r="B475" s="34">
        <f t="array" ref="B475">INDEX('📋 Транзакції'!$C$5:$C$3623,MATCH(A475,'📋 Транзакції'!$B$5:$B$3623,0))</f>
        <v>45669</v>
      </c>
      <c r="C475" s="35" t="str">
        <f t="shared" si="1"/>
        <v>2025-01</v>
      </c>
      <c r="D475" s="36">
        <f>COUNTIF('📋 Транзакції'!$B$5:$B$3623,A475)</f>
        <v>4</v>
      </c>
      <c r="E475" s="36">
        <f>SUMIF('📋 Транзакції'!$B$5:$B$3623,A475,'📋 Транзакції'!$F$5:$F$3623)</f>
        <v>59.97</v>
      </c>
      <c r="F475" s="35">
        <f>INT($A$1-MAXIFS('📋 Транзакції'!$C$5:$C$3623,'📋 Транзакції'!$B$5:$B$3623,A475))</f>
        <v>11</v>
      </c>
      <c r="G475" s="37">
        <f>IF(COUNTIFS('📋 Транзакції'!$B$5:$B$3623,A475,'📋 Транзакції'!$C$5:$C$3623,"&gt;="&amp;EDATE(DATEVALUE(C475&amp;"-01"),0),'📋 Транзакції'!$C$5:$C$3623,"&lt;"&amp;EDATE(DATEVALUE(C475&amp;"-01"),1))&gt;0,1,0)</f>
        <v>1</v>
      </c>
      <c r="H475" s="37">
        <f>IF(COUNTIFS('📋 Транзакції'!$B$5:$B$3623,A475,'📋 Транзакції'!$C$5:$C$3623,"&gt;="&amp;EDATE(DATEVALUE(C475&amp;"-01"),1),'📋 Транзакції'!$C$5:$C$3623,"&lt;"&amp;EDATE(DATEVALUE(C475&amp;"-01"),2))&gt;0,1,0)</f>
        <v>1</v>
      </c>
      <c r="I475" s="37">
        <f>IF(COUNTIFS('📋 Транзакції'!$B$5:$B$3623,A475,'📋 Транзакції'!$C$5:$C$3623,"&gt;="&amp;EDATE(DATEVALUE(C475&amp;"-01"),2),'📋 Транзакції'!$C$5:$C$3623,"&lt;"&amp;EDATE(DATEVALUE(C475&amp;"-01"),3))&gt;0,1,0)</f>
        <v>1</v>
      </c>
      <c r="J475" s="37">
        <f>IF(COUNTIFS('📋 Транзакції'!$B$5:$B$3623,A475,'📋 Транзакції'!$C$5:$C$3623,"&gt;="&amp;EDATE(DATEVALUE(C475&amp;"-01"),3),'📋 Транзакції'!$C$5:$C$3623,"&lt;"&amp;EDATE(DATEVALUE(C475&amp;"-01"),4))&gt;0,1,0)</f>
        <v>0</v>
      </c>
      <c r="K475" s="37">
        <f>IF(COUNTIFS('📋 Транзакції'!$B$5:$B$3623,A475,'📋 Транзакції'!$C$5:$C$3623,"&gt;="&amp;EDATE(DATEVALUE(C475&amp;"-01"),4),'📋 Транзакції'!$C$5:$C$3623,"&lt;"&amp;EDATE(DATEVALUE(C475&amp;"-01"),5))&gt;0,1,0)</f>
        <v>0</v>
      </c>
      <c r="L475" s="37">
        <f>IF(COUNTIFS('📋 Транзакції'!$B$5:$B$3623,A475,'📋 Транзакції'!$C$5:$C$3623,"&gt;="&amp;EDATE(DATEVALUE(C475&amp;"-01"),5),'📋 Транзакції'!$C$5:$C$3623,"&lt;"&amp;EDATE(DATEVALUE(C475&amp;"-01"),6))&gt;0,1,0)</f>
        <v>0</v>
      </c>
      <c r="M475" s="37">
        <f>IF(COUNTIFS('📋 Транзакції'!$B$5:$B$3623,A475,'📋 Транзакції'!$C$5:$C$3623,"&gt;="&amp;EDATE(DATEVALUE(C475&amp;"-01"),6),'📋 Транзакції'!$C$5:$C$3623,"&lt;"&amp;EDATE(DATEVALUE(C475&amp;"-01"),7))&gt;0,1,0)</f>
        <v>0</v>
      </c>
      <c r="N475" s="37">
        <f>IF(COUNTIFS('📋 Транзакції'!$B$5:$B$3623,A475,'📋 Транзакції'!$C$5:$C$3623,"&gt;="&amp;EDATE(DATEVALUE(C475&amp;"-01"),7),'📋 Транзакції'!$C$5:$C$3623,"&lt;"&amp;EDATE(DATEVALUE(C475&amp;"-01"),8))&gt;0,1,0)</f>
        <v>0</v>
      </c>
      <c r="O475" s="37">
        <f>IF(COUNTIFS('📋 Транзакції'!$B$5:$B$3623,A475,'📋 Транзакції'!$C$5:$C$3623,"&gt;="&amp;EDATE(DATEVALUE(C475&amp;"-01"),8),'📋 Транзакції'!$C$5:$C$3623,"&lt;"&amp;EDATE(DATEVALUE(C475&amp;"-01"),9))&gt;0,1,0)</f>
        <v>0</v>
      </c>
      <c r="P475" s="37">
        <f>IF(COUNTIFS('📋 Транзакції'!$B$5:$B$3623,A475,'📋 Транзакції'!$C$5:$C$3623,"&gt;="&amp;EDATE(DATEVALUE(C475&amp;"-01"),9),'📋 Транзакції'!$C$5:$C$3623,"&lt;"&amp;EDATE(DATEVALUE(C475&amp;"-01"),10))&gt;0,1,0)</f>
        <v>0</v>
      </c>
      <c r="Q475" s="37">
        <f>IF(COUNTIFS('📋 Транзакції'!$B$5:$B$3623,A475,'📋 Транзакції'!$C$5:$C$3623,"&gt;="&amp;EDATE(DATEVALUE(C475&amp;"-01"),10),'📋 Транзакції'!$C$5:$C$3623,"&lt;"&amp;EDATE(DATEVALUE(C475&amp;"-01"),11))&gt;0,1,0)</f>
        <v>0</v>
      </c>
      <c r="R475" s="37">
        <f>IF(COUNTIFS('📋 Транзакції'!$B$5:$B$3623,A475,'📋 Транзакції'!$C$5:$C$3623,"&gt;="&amp;EDATE(DATEVALUE(C475&amp;"-01"),11),'📋 Транзакції'!$C$5:$C$3623,"&lt;"&amp;EDATE(DATEVALUE(C475&amp;"-01"),12))&gt;0,1,0)</f>
        <v>0</v>
      </c>
      <c r="S475" s="37">
        <f>SUMIFS('📋 Транзакції'!$F$5:$F$3623,'📋 Транзакції'!$B$5:$B$3623,A475,'📋 Транзакції'!$C$5:$C$3623,"&gt;="&amp;EDATE(DATEVALUE(C475&amp;"-01"),0),'📋 Транзакції'!$C$5:$C$3623,"&lt;"&amp;EDATE(DATEVALUE(C475&amp;"-01"),1))</f>
        <v>19.99</v>
      </c>
      <c r="T475" s="37">
        <f>SUMIFS('📋 Транзакції'!$F$5:$F$3623,'📋 Транзакції'!$B$5:$B$3623,A475,'📋 Транзакції'!$C$5:$C$3623,"&gt;="&amp;EDATE(DATEVALUE(C475&amp;"-01"),1),'📋 Транзакції'!$C$5:$C$3623,"&lt;"&amp;EDATE(DATEVALUE(C475&amp;"-01"),2))</f>
        <v>19.99</v>
      </c>
      <c r="U475" s="37">
        <f>SUMIFS('📋 Транзакції'!$F$5:$F$3623,'📋 Транзакції'!$B$5:$B$3623,A475,'📋 Транзакції'!$C$5:$C$3623,"&gt;="&amp;EDATE(DATEVALUE(C475&amp;"-01"),2),'📋 Транзакції'!$C$5:$C$3623,"&lt;"&amp;EDATE(DATEVALUE(C475&amp;"-01"),3))</f>
        <v>19.99</v>
      </c>
      <c r="V475" s="37">
        <f>SUMIFS('📋 Транзакції'!$F$5:$F$3623,'📋 Транзакції'!$B$5:$B$3623,A475,'📋 Транзакції'!$C$5:$C$3623,"&gt;="&amp;EDATE(DATEVALUE(C475&amp;"-01"),3),'📋 Транзакції'!$C$5:$C$3623,"&lt;"&amp;EDATE(DATEVALUE(C475&amp;"-01"),4))</f>
        <v>0</v>
      </c>
      <c r="W475" s="37">
        <f>SUMIFS('📋 Транзакції'!$F$5:$F$3623,'📋 Транзакції'!$B$5:$B$3623,A475,'📋 Транзакції'!$C$5:$C$3623,"&gt;="&amp;EDATE(DATEVALUE(C475&amp;"-01"),4),'📋 Транзакції'!$C$5:$C$3623,"&lt;"&amp;EDATE(DATEVALUE(C475&amp;"-01"),5))</f>
        <v>0</v>
      </c>
      <c r="X475" s="37">
        <f>SUMIFS('📋 Транзакції'!$F$5:$F$3623,'📋 Транзакції'!$B$5:$B$3623,A475,'📋 Транзакції'!$C$5:$C$3623,"&gt;="&amp;EDATE(DATEVALUE(C475&amp;"-01"),5),'📋 Транзакції'!$C$5:$C$3623,"&lt;"&amp;EDATE(DATEVALUE(C475&amp;"-01"),6))</f>
        <v>0</v>
      </c>
      <c r="Y475" s="37">
        <f>SUMIFS('📋 Транзакції'!$F$5:$F$3623,'📋 Транзакції'!$B$5:$B$3623,A475,'📋 Транзакції'!$C$5:$C$3623,"&gt;="&amp;EDATE(DATEVALUE(C475&amp;"-01"),6),'📋 Транзакції'!$C$5:$C$3623,"&lt;"&amp;EDATE(DATEVALUE(C475&amp;"-01"),7))</f>
        <v>0</v>
      </c>
      <c r="Z475" s="37">
        <f>SUMIFS('📋 Транзакції'!$F$5:$F$3623,'📋 Транзакції'!$B$5:$B$3623,A475,'📋 Транзакції'!$C$5:$C$3623,"&gt;="&amp;EDATE(DATEVALUE(C475&amp;"-01"),7),'📋 Транзакції'!$C$5:$C$3623,"&lt;"&amp;EDATE(DATEVALUE(C475&amp;"-01"),8))</f>
        <v>0</v>
      </c>
      <c r="AA475" s="37">
        <f>SUMIFS('📋 Транзакції'!$F$5:$F$3623,'📋 Транзакції'!$B$5:$B$3623,A475,'📋 Транзакції'!$C$5:$C$3623,"&gt;="&amp;EDATE(DATEVALUE(C475&amp;"-01"),8),'📋 Транзакції'!$C$5:$C$3623,"&lt;"&amp;EDATE(DATEVALUE(C475&amp;"-01"),9))</f>
        <v>0</v>
      </c>
      <c r="AB475" s="37">
        <f>SUMIFS('📋 Транзакції'!$F$5:$F$3623,'📋 Транзакції'!$B$5:$B$3623,A475,'📋 Транзакції'!$C$5:$C$3623,"&gt;="&amp;EDATE(DATEVALUE(C475&amp;"-01"),9),'📋 Транзакції'!$C$5:$C$3623,"&lt;"&amp;EDATE(DATEVALUE(C475&amp;"-01"),10))</f>
        <v>0</v>
      </c>
      <c r="AC475" s="37">
        <f>SUMIFS('📋 Транзакції'!$F$5:$F$3623,'📋 Транзакції'!$B$5:$B$3623,A475,'📋 Транзакції'!$C$5:$C$3623,"&gt;="&amp;EDATE(DATEVALUE(C475&amp;"-01"),10),'📋 Транзакції'!$C$5:$C$3623,"&lt;"&amp;EDATE(DATEVALUE(C475&amp;"-01"),11))</f>
        <v>0</v>
      </c>
      <c r="AD475" s="37">
        <f>SUMIFS('📋 Транзакції'!$F$5:$F$3623,'📋 Транзакції'!$B$5:$B$3623,A475,'📋 Транзакції'!$C$5:$C$3623,"&gt;="&amp;EDATE(DATEVALUE(C475&amp;"-01"),11),'📋 Транзакції'!$C$5:$C$3623,"&lt;"&amp;EDATE(DATEVALUE(C475&amp;"-01"),12))</f>
        <v>0</v>
      </c>
    </row>
    <row r="476" ht="15.75" customHeight="1">
      <c r="A476" s="33" t="str">
        <f>'📋 Реєстрації'!A476:A1077</f>
        <v>U0649</v>
      </c>
      <c r="B476" s="34">
        <f t="array" ref="B476">INDEX('📋 Транзакції'!$C$5:$C$3623,MATCH(A476,'📋 Транзакції'!$B$5:$B$3623,0))</f>
        <v>45669</v>
      </c>
      <c r="C476" s="35" t="str">
        <f t="shared" si="1"/>
        <v>2025-01</v>
      </c>
      <c r="D476" s="36">
        <f>COUNTIF('📋 Транзакції'!$B$5:$B$3623,A476)</f>
        <v>4</v>
      </c>
      <c r="E476" s="36">
        <f>SUMIF('📋 Транзакції'!$B$5:$B$3623,A476,'📋 Транзакції'!$F$5:$F$3623)</f>
        <v>59.97</v>
      </c>
      <c r="F476" s="35">
        <f>INT($A$1-MAXIFS('📋 Транзакції'!$C$5:$C$3623,'📋 Транзакції'!$B$5:$B$3623,A476))</f>
        <v>11</v>
      </c>
      <c r="G476" s="37">
        <f>IF(COUNTIFS('📋 Транзакції'!$B$5:$B$3623,A476,'📋 Транзакції'!$C$5:$C$3623,"&gt;="&amp;EDATE(DATEVALUE(C476&amp;"-01"),0),'📋 Транзакції'!$C$5:$C$3623,"&lt;"&amp;EDATE(DATEVALUE(C476&amp;"-01"),1))&gt;0,1,0)</f>
        <v>1</v>
      </c>
      <c r="H476" s="37">
        <f>IF(COUNTIFS('📋 Транзакції'!$B$5:$B$3623,A476,'📋 Транзакції'!$C$5:$C$3623,"&gt;="&amp;EDATE(DATEVALUE(C476&amp;"-01"),1),'📋 Транзакції'!$C$5:$C$3623,"&lt;"&amp;EDATE(DATEVALUE(C476&amp;"-01"),2))&gt;0,1,0)</f>
        <v>1</v>
      </c>
      <c r="I476" s="37">
        <f>IF(COUNTIFS('📋 Транзакції'!$B$5:$B$3623,A476,'📋 Транзакції'!$C$5:$C$3623,"&gt;="&amp;EDATE(DATEVALUE(C476&amp;"-01"),2),'📋 Транзакції'!$C$5:$C$3623,"&lt;"&amp;EDATE(DATEVALUE(C476&amp;"-01"),3))&gt;0,1,0)</f>
        <v>1</v>
      </c>
      <c r="J476" s="37">
        <f>IF(COUNTIFS('📋 Транзакції'!$B$5:$B$3623,A476,'📋 Транзакції'!$C$5:$C$3623,"&gt;="&amp;EDATE(DATEVALUE(C476&amp;"-01"),3),'📋 Транзакції'!$C$5:$C$3623,"&lt;"&amp;EDATE(DATEVALUE(C476&amp;"-01"),4))&gt;0,1,0)</f>
        <v>0</v>
      </c>
      <c r="K476" s="37">
        <f>IF(COUNTIFS('📋 Транзакції'!$B$5:$B$3623,A476,'📋 Транзакції'!$C$5:$C$3623,"&gt;="&amp;EDATE(DATEVALUE(C476&amp;"-01"),4),'📋 Транзакції'!$C$5:$C$3623,"&lt;"&amp;EDATE(DATEVALUE(C476&amp;"-01"),5))&gt;0,1,0)</f>
        <v>0</v>
      </c>
      <c r="L476" s="37">
        <f>IF(COUNTIFS('📋 Транзакції'!$B$5:$B$3623,A476,'📋 Транзакції'!$C$5:$C$3623,"&gt;="&amp;EDATE(DATEVALUE(C476&amp;"-01"),5),'📋 Транзакції'!$C$5:$C$3623,"&lt;"&amp;EDATE(DATEVALUE(C476&amp;"-01"),6))&gt;0,1,0)</f>
        <v>0</v>
      </c>
      <c r="M476" s="37">
        <f>IF(COUNTIFS('📋 Транзакції'!$B$5:$B$3623,A476,'📋 Транзакції'!$C$5:$C$3623,"&gt;="&amp;EDATE(DATEVALUE(C476&amp;"-01"),6),'📋 Транзакції'!$C$5:$C$3623,"&lt;"&amp;EDATE(DATEVALUE(C476&amp;"-01"),7))&gt;0,1,0)</f>
        <v>0</v>
      </c>
      <c r="N476" s="37">
        <f>IF(COUNTIFS('📋 Транзакції'!$B$5:$B$3623,A476,'📋 Транзакції'!$C$5:$C$3623,"&gt;="&amp;EDATE(DATEVALUE(C476&amp;"-01"),7),'📋 Транзакції'!$C$5:$C$3623,"&lt;"&amp;EDATE(DATEVALUE(C476&amp;"-01"),8))&gt;0,1,0)</f>
        <v>0</v>
      </c>
      <c r="O476" s="37">
        <f>IF(COUNTIFS('📋 Транзакції'!$B$5:$B$3623,A476,'📋 Транзакції'!$C$5:$C$3623,"&gt;="&amp;EDATE(DATEVALUE(C476&amp;"-01"),8),'📋 Транзакції'!$C$5:$C$3623,"&lt;"&amp;EDATE(DATEVALUE(C476&amp;"-01"),9))&gt;0,1,0)</f>
        <v>0</v>
      </c>
      <c r="P476" s="37">
        <f>IF(COUNTIFS('📋 Транзакції'!$B$5:$B$3623,A476,'📋 Транзакції'!$C$5:$C$3623,"&gt;="&amp;EDATE(DATEVALUE(C476&amp;"-01"),9),'📋 Транзакції'!$C$5:$C$3623,"&lt;"&amp;EDATE(DATEVALUE(C476&amp;"-01"),10))&gt;0,1,0)</f>
        <v>0</v>
      </c>
      <c r="Q476" s="37">
        <f>IF(COUNTIFS('📋 Транзакції'!$B$5:$B$3623,A476,'📋 Транзакції'!$C$5:$C$3623,"&gt;="&amp;EDATE(DATEVALUE(C476&amp;"-01"),10),'📋 Транзакції'!$C$5:$C$3623,"&lt;"&amp;EDATE(DATEVALUE(C476&amp;"-01"),11))&gt;0,1,0)</f>
        <v>0</v>
      </c>
      <c r="R476" s="37">
        <f>IF(COUNTIFS('📋 Транзакції'!$B$5:$B$3623,A476,'📋 Транзакції'!$C$5:$C$3623,"&gt;="&amp;EDATE(DATEVALUE(C476&amp;"-01"),11),'📋 Транзакції'!$C$5:$C$3623,"&lt;"&amp;EDATE(DATEVALUE(C476&amp;"-01"),12))&gt;0,1,0)</f>
        <v>0</v>
      </c>
      <c r="S476" s="37">
        <f>SUMIFS('📋 Транзакції'!$F$5:$F$3623,'📋 Транзакції'!$B$5:$B$3623,A476,'📋 Транзакції'!$C$5:$C$3623,"&gt;="&amp;EDATE(DATEVALUE(C476&amp;"-01"),0),'📋 Транзакції'!$C$5:$C$3623,"&lt;"&amp;EDATE(DATEVALUE(C476&amp;"-01"),1))</f>
        <v>19.99</v>
      </c>
      <c r="T476" s="37">
        <f>SUMIFS('📋 Транзакції'!$F$5:$F$3623,'📋 Транзакції'!$B$5:$B$3623,A476,'📋 Транзакції'!$C$5:$C$3623,"&gt;="&amp;EDATE(DATEVALUE(C476&amp;"-01"),1),'📋 Транзакції'!$C$5:$C$3623,"&lt;"&amp;EDATE(DATEVALUE(C476&amp;"-01"),2))</f>
        <v>19.99</v>
      </c>
      <c r="U476" s="37">
        <f>SUMIFS('📋 Транзакції'!$F$5:$F$3623,'📋 Транзакції'!$B$5:$B$3623,A476,'📋 Транзакції'!$C$5:$C$3623,"&gt;="&amp;EDATE(DATEVALUE(C476&amp;"-01"),2),'📋 Транзакції'!$C$5:$C$3623,"&lt;"&amp;EDATE(DATEVALUE(C476&amp;"-01"),3))</f>
        <v>19.99</v>
      </c>
      <c r="V476" s="37">
        <f>SUMIFS('📋 Транзакції'!$F$5:$F$3623,'📋 Транзакції'!$B$5:$B$3623,A476,'📋 Транзакції'!$C$5:$C$3623,"&gt;="&amp;EDATE(DATEVALUE(C476&amp;"-01"),3),'📋 Транзакції'!$C$5:$C$3623,"&lt;"&amp;EDATE(DATEVALUE(C476&amp;"-01"),4))</f>
        <v>0</v>
      </c>
      <c r="W476" s="37">
        <f>SUMIFS('📋 Транзакції'!$F$5:$F$3623,'📋 Транзакції'!$B$5:$B$3623,A476,'📋 Транзакції'!$C$5:$C$3623,"&gt;="&amp;EDATE(DATEVALUE(C476&amp;"-01"),4),'📋 Транзакції'!$C$5:$C$3623,"&lt;"&amp;EDATE(DATEVALUE(C476&amp;"-01"),5))</f>
        <v>0</v>
      </c>
      <c r="X476" s="37">
        <f>SUMIFS('📋 Транзакції'!$F$5:$F$3623,'📋 Транзакції'!$B$5:$B$3623,A476,'📋 Транзакції'!$C$5:$C$3623,"&gt;="&amp;EDATE(DATEVALUE(C476&amp;"-01"),5),'📋 Транзакції'!$C$5:$C$3623,"&lt;"&amp;EDATE(DATEVALUE(C476&amp;"-01"),6))</f>
        <v>0</v>
      </c>
      <c r="Y476" s="37">
        <f>SUMIFS('📋 Транзакції'!$F$5:$F$3623,'📋 Транзакції'!$B$5:$B$3623,A476,'📋 Транзакції'!$C$5:$C$3623,"&gt;="&amp;EDATE(DATEVALUE(C476&amp;"-01"),6),'📋 Транзакції'!$C$5:$C$3623,"&lt;"&amp;EDATE(DATEVALUE(C476&amp;"-01"),7))</f>
        <v>0</v>
      </c>
      <c r="Z476" s="37">
        <f>SUMIFS('📋 Транзакції'!$F$5:$F$3623,'📋 Транзакції'!$B$5:$B$3623,A476,'📋 Транзакції'!$C$5:$C$3623,"&gt;="&amp;EDATE(DATEVALUE(C476&amp;"-01"),7),'📋 Транзакції'!$C$5:$C$3623,"&lt;"&amp;EDATE(DATEVALUE(C476&amp;"-01"),8))</f>
        <v>0</v>
      </c>
      <c r="AA476" s="37">
        <f>SUMIFS('📋 Транзакції'!$F$5:$F$3623,'📋 Транзакції'!$B$5:$B$3623,A476,'📋 Транзакції'!$C$5:$C$3623,"&gt;="&amp;EDATE(DATEVALUE(C476&amp;"-01"),8),'📋 Транзакції'!$C$5:$C$3623,"&lt;"&amp;EDATE(DATEVALUE(C476&amp;"-01"),9))</f>
        <v>0</v>
      </c>
      <c r="AB476" s="37">
        <f>SUMIFS('📋 Транзакції'!$F$5:$F$3623,'📋 Транзакції'!$B$5:$B$3623,A476,'📋 Транзакції'!$C$5:$C$3623,"&gt;="&amp;EDATE(DATEVALUE(C476&amp;"-01"),9),'📋 Транзакції'!$C$5:$C$3623,"&lt;"&amp;EDATE(DATEVALUE(C476&amp;"-01"),10))</f>
        <v>0</v>
      </c>
      <c r="AC476" s="37">
        <f>SUMIFS('📋 Транзакції'!$F$5:$F$3623,'📋 Транзакції'!$B$5:$B$3623,A476,'📋 Транзакції'!$C$5:$C$3623,"&gt;="&amp;EDATE(DATEVALUE(C476&amp;"-01"),10),'📋 Транзакції'!$C$5:$C$3623,"&lt;"&amp;EDATE(DATEVALUE(C476&amp;"-01"),11))</f>
        <v>0</v>
      </c>
      <c r="AD476" s="37">
        <f>SUMIFS('📋 Транзакції'!$F$5:$F$3623,'📋 Транзакції'!$B$5:$B$3623,A476,'📋 Транзакції'!$C$5:$C$3623,"&gt;="&amp;EDATE(DATEVALUE(C476&amp;"-01"),11),'📋 Транзакції'!$C$5:$C$3623,"&lt;"&amp;EDATE(DATEVALUE(C476&amp;"-01"),12))</f>
        <v>0</v>
      </c>
    </row>
    <row r="477" ht="15.75" customHeight="1">
      <c r="A477" s="33" t="str">
        <f>'📋 Реєстрації'!A477:A1078</f>
        <v>U0620</v>
      </c>
      <c r="B477" s="34">
        <f t="array" ref="B477">INDEX('📋 Транзакції'!$C$5:$C$3623,MATCH(A477,'📋 Транзакції'!$B$5:$B$3623,0))</f>
        <v>45671</v>
      </c>
      <c r="C477" s="35" t="str">
        <f t="shared" si="1"/>
        <v>2025-01</v>
      </c>
      <c r="D477" s="36">
        <f>COUNTIF('📋 Транзакції'!$B$5:$B$3623,A477)</f>
        <v>4</v>
      </c>
      <c r="E477" s="36">
        <f>SUMIF('📋 Транзакції'!$B$5:$B$3623,A477,'📋 Транзакції'!$F$5:$F$3623)</f>
        <v>59.97</v>
      </c>
      <c r="F477" s="35">
        <f>INT($A$1-MAXIFS('📋 Транзакції'!$C$5:$C$3623,'📋 Транзакції'!$B$5:$B$3623,A477))</f>
        <v>9</v>
      </c>
      <c r="G477" s="37">
        <f>IF(COUNTIFS('📋 Транзакції'!$B$5:$B$3623,A477,'📋 Транзакції'!$C$5:$C$3623,"&gt;="&amp;EDATE(DATEVALUE(C477&amp;"-01"),0),'📋 Транзакції'!$C$5:$C$3623,"&lt;"&amp;EDATE(DATEVALUE(C477&amp;"-01"),1))&gt;0,1,0)</f>
        <v>1</v>
      </c>
      <c r="H477" s="37">
        <f>IF(COUNTIFS('📋 Транзакції'!$B$5:$B$3623,A477,'📋 Транзакції'!$C$5:$C$3623,"&gt;="&amp;EDATE(DATEVALUE(C477&amp;"-01"),1),'📋 Транзакції'!$C$5:$C$3623,"&lt;"&amp;EDATE(DATEVALUE(C477&amp;"-01"),2))&gt;0,1,0)</f>
        <v>1</v>
      </c>
      <c r="I477" s="37">
        <f>IF(COUNTIFS('📋 Транзакції'!$B$5:$B$3623,A477,'📋 Транзакції'!$C$5:$C$3623,"&gt;="&amp;EDATE(DATEVALUE(C477&amp;"-01"),2),'📋 Транзакції'!$C$5:$C$3623,"&lt;"&amp;EDATE(DATEVALUE(C477&amp;"-01"),3))&gt;0,1,0)</f>
        <v>1</v>
      </c>
      <c r="J477" s="37">
        <f>IF(COUNTIFS('📋 Транзакції'!$B$5:$B$3623,A477,'📋 Транзакції'!$C$5:$C$3623,"&gt;="&amp;EDATE(DATEVALUE(C477&amp;"-01"),3),'📋 Транзакції'!$C$5:$C$3623,"&lt;"&amp;EDATE(DATEVALUE(C477&amp;"-01"),4))&gt;0,1,0)</f>
        <v>0</v>
      </c>
      <c r="K477" s="37">
        <f>IF(COUNTIFS('📋 Транзакції'!$B$5:$B$3623,A477,'📋 Транзакції'!$C$5:$C$3623,"&gt;="&amp;EDATE(DATEVALUE(C477&amp;"-01"),4),'📋 Транзакції'!$C$5:$C$3623,"&lt;"&amp;EDATE(DATEVALUE(C477&amp;"-01"),5))&gt;0,1,0)</f>
        <v>0</v>
      </c>
      <c r="L477" s="37">
        <f>IF(COUNTIFS('📋 Транзакції'!$B$5:$B$3623,A477,'📋 Транзакції'!$C$5:$C$3623,"&gt;="&amp;EDATE(DATEVALUE(C477&amp;"-01"),5),'📋 Транзакції'!$C$5:$C$3623,"&lt;"&amp;EDATE(DATEVALUE(C477&amp;"-01"),6))&gt;0,1,0)</f>
        <v>0</v>
      </c>
      <c r="M477" s="37">
        <f>IF(COUNTIFS('📋 Транзакції'!$B$5:$B$3623,A477,'📋 Транзакції'!$C$5:$C$3623,"&gt;="&amp;EDATE(DATEVALUE(C477&amp;"-01"),6),'📋 Транзакції'!$C$5:$C$3623,"&lt;"&amp;EDATE(DATEVALUE(C477&amp;"-01"),7))&gt;0,1,0)</f>
        <v>0</v>
      </c>
      <c r="N477" s="37">
        <f>IF(COUNTIFS('📋 Транзакції'!$B$5:$B$3623,A477,'📋 Транзакції'!$C$5:$C$3623,"&gt;="&amp;EDATE(DATEVALUE(C477&amp;"-01"),7),'📋 Транзакції'!$C$5:$C$3623,"&lt;"&amp;EDATE(DATEVALUE(C477&amp;"-01"),8))&gt;0,1,0)</f>
        <v>0</v>
      </c>
      <c r="O477" s="37">
        <f>IF(COUNTIFS('📋 Транзакції'!$B$5:$B$3623,A477,'📋 Транзакції'!$C$5:$C$3623,"&gt;="&amp;EDATE(DATEVALUE(C477&amp;"-01"),8),'📋 Транзакції'!$C$5:$C$3623,"&lt;"&amp;EDATE(DATEVALUE(C477&amp;"-01"),9))&gt;0,1,0)</f>
        <v>0</v>
      </c>
      <c r="P477" s="37">
        <f>IF(COUNTIFS('📋 Транзакції'!$B$5:$B$3623,A477,'📋 Транзакції'!$C$5:$C$3623,"&gt;="&amp;EDATE(DATEVALUE(C477&amp;"-01"),9),'📋 Транзакції'!$C$5:$C$3623,"&lt;"&amp;EDATE(DATEVALUE(C477&amp;"-01"),10))&gt;0,1,0)</f>
        <v>0</v>
      </c>
      <c r="Q477" s="37">
        <f>IF(COUNTIFS('📋 Транзакції'!$B$5:$B$3623,A477,'📋 Транзакції'!$C$5:$C$3623,"&gt;="&amp;EDATE(DATEVALUE(C477&amp;"-01"),10),'📋 Транзакції'!$C$5:$C$3623,"&lt;"&amp;EDATE(DATEVALUE(C477&amp;"-01"),11))&gt;0,1,0)</f>
        <v>0</v>
      </c>
      <c r="R477" s="37">
        <f>IF(COUNTIFS('📋 Транзакції'!$B$5:$B$3623,A477,'📋 Транзакції'!$C$5:$C$3623,"&gt;="&amp;EDATE(DATEVALUE(C477&amp;"-01"),11),'📋 Транзакції'!$C$5:$C$3623,"&lt;"&amp;EDATE(DATEVALUE(C477&amp;"-01"),12))&gt;0,1,0)</f>
        <v>0</v>
      </c>
      <c r="S477" s="37">
        <f>SUMIFS('📋 Транзакції'!$F$5:$F$3623,'📋 Транзакції'!$B$5:$B$3623,A477,'📋 Транзакції'!$C$5:$C$3623,"&gt;="&amp;EDATE(DATEVALUE(C477&amp;"-01"),0),'📋 Транзакції'!$C$5:$C$3623,"&lt;"&amp;EDATE(DATEVALUE(C477&amp;"-01"),1))</f>
        <v>19.99</v>
      </c>
      <c r="T477" s="37">
        <f>SUMIFS('📋 Транзакції'!$F$5:$F$3623,'📋 Транзакції'!$B$5:$B$3623,A477,'📋 Транзакції'!$C$5:$C$3623,"&gt;="&amp;EDATE(DATEVALUE(C477&amp;"-01"),1),'📋 Транзакції'!$C$5:$C$3623,"&lt;"&amp;EDATE(DATEVALUE(C477&amp;"-01"),2))</f>
        <v>19.99</v>
      </c>
      <c r="U477" s="37">
        <f>SUMIFS('📋 Транзакції'!$F$5:$F$3623,'📋 Транзакції'!$B$5:$B$3623,A477,'📋 Транзакції'!$C$5:$C$3623,"&gt;="&amp;EDATE(DATEVALUE(C477&amp;"-01"),2),'📋 Транзакції'!$C$5:$C$3623,"&lt;"&amp;EDATE(DATEVALUE(C477&amp;"-01"),3))</f>
        <v>19.99</v>
      </c>
      <c r="V477" s="37">
        <f>SUMIFS('📋 Транзакції'!$F$5:$F$3623,'📋 Транзакції'!$B$5:$B$3623,A477,'📋 Транзакції'!$C$5:$C$3623,"&gt;="&amp;EDATE(DATEVALUE(C477&amp;"-01"),3),'📋 Транзакції'!$C$5:$C$3623,"&lt;"&amp;EDATE(DATEVALUE(C477&amp;"-01"),4))</f>
        <v>0</v>
      </c>
      <c r="W477" s="37">
        <f>SUMIFS('📋 Транзакції'!$F$5:$F$3623,'📋 Транзакції'!$B$5:$B$3623,A477,'📋 Транзакції'!$C$5:$C$3623,"&gt;="&amp;EDATE(DATEVALUE(C477&amp;"-01"),4),'📋 Транзакції'!$C$5:$C$3623,"&lt;"&amp;EDATE(DATEVALUE(C477&amp;"-01"),5))</f>
        <v>0</v>
      </c>
      <c r="X477" s="37">
        <f>SUMIFS('📋 Транзакції'!$F$5:$F$3623,'📋 Транзакції'!$B$5:$B$3623,A477,'📋 Транзакції'!$C$5:$C$3623,"&gt;="&amp;EDATE(DATEVALUE(C477&amp;"-01"),5),'📋 Транзакції'!$C$5:$C$3623,"&lt;"&amp;EDATE(DATEVALUE(C477&amp;"-01"),6))</f>
        <v>0</v>
      </c>
      <c r="Y477" s="37">
        <f>SUMIFS('📋 Транзакції'!$F$5:$F$3623,'📋 Транзакції'!$B$5:$B$3623,A477,'📋 Транзакції'!$C$5:$C$3623,"&gt;="&amp;EDATE(DATEVALUE(C477&amp;"-01"),6),'📋 Транзакції'!$C$5:$C$3623,"&lt;"&amp;EDATE(DATEVALUE(C477&amp;"-01"),7))</f>
        <v>0</v>
      </c>
      <c r="Z477" s="37">
        <f>SUMIFS('📋 Транзакції'!$F$5:$F$3623,'📋 Транзакції'!$B$5:$B$3623,A477,'📋 Транзакції'!$C$5:$C$3623,"&gt;="&amp;EDATE(DATEVALUE(C477&amp;"-01"),7),'📋 Транзакції'!$C$5:$C$3623,"&lt;"&amp;EDATE(DATEVALUE(C477&amp;"-01"),8))</f>
        <v>0</v>
      </c>
      <c r="AA477" s="37">
        <f>SUMIFS('📋 Транзакції'!$F$5:$F$3623,'📋 Транзакції'!$B$5:$B$3623,A477,'📋 Транзакції'!$C$5:$C$3623,"&gt;="&amp;EDATE(DATEVALUE(C477&amp;"-01"),8),'📋 Транзакції'!$C$5:$C$3623,"&lt;"&amp;EDATE(DATEVALUE(C477&amp;"-01"),9))</f>
        <v>0</v>
      </c>
      <c r="AB477" s="37">
        <f>SUMIFS('📋 Транзакції'!$F$5:$F$3623,'📋 Транзакції'!$B$5:$B$3623,A477,'📋 Транзакції'!$C$5:$C$3623,"&gt;="&amp;EDATE(DATEVALUE(C477&amp;"-01"),9),'📋 Транзакції'!$C$5:$C$3623,"&lt;"&amp;EDATE(DATEVALUE(C477&amp;"-01"),10))</f>
        <v>0</v>
      </c>
      <c r="AC477" s="37">
        <f>SUMIFS('📋 Транзакції'!$F$5:$F$3623,'📋 Транзакції'!$B$5:$B$3623,A477,'📋 Транзакції'!$C$5:$C$3623,"&gt;="&amp;EDATE(DATEVALUE(C477&amp;"-01"),10),'📋 Транзакції'!$C$5:$C$3623,"&lt;"&amp;EDATE(DATEVALUE(C477&amp;"-01"),11))</f>
        <v>0</v>
      </c>
      <c r="AD477" s="37">
        <f>SUMIFS('📋 Транзакції'!$F$5:$F$3623,'📋 Транзакції'!$B$5:$B$3623,A477,'📋 Транзакції'!$C$5:$C$3623,"&gt;="&amp;EDATE(DATEVALUE(C477&amp;"-01"),11),'📋 Транзакції'!$C$5:$C$3623,"&lt;"&amp;EDATE(DATEVALUE(C477&amp;"-01"),12))</f>
        <v>0</v>
      </c>
    </row>
    <row r="478" ht="15.75" customHeight="1">
      <c r="A478" s="33" t="str">
        <f>'📋 Реєстрації'!A478:A1079</f>
        <v>U0077</v>
      </c>
      <c r="B478" s="34">
        <f t="array" ref="B478">INDEX('📋 Транзакції'!$C$5:$C$3623,MATCH(A478,'📋 Транзакції'!$B$5:$B$3623,0))</f>
        <v>45672</v>
      </c>
      <c r="C478" s="35" t="str">
        <f t="shared" si="1"/>
        <v>2025-01</v>
      </c>
      <c r="D478" s="36">
        <f>COUNTIF('📋 Транзакції'!$B$5:$B$3623,A478)</f>
        <v>4</v>
      </c>
      <c r="E478" s="36">
        <f>SUMIF('📋 Транзакції'!$B$5:$B$3623,A478,'📋 Транзакції'!$F$5:$F$3623)</f>
        <v>59.97</v>
      </c>
      <c r="F478" s="35">
        <f>INT($A$1-MAXIFS('📋 Транзакції'!$C$5:$C$3623,'📋 Транзакції'!$B$5:$B$3623,A478))</f>
        <v>8</v>
      </c>
      <c r="G478" s="37">
        <f>IF(COUNTIFS('📋 Транзакції'!$B$5:$B$3623,A478,'📋 Транзакції'!$C$5:$C$3623,"&gt;="&amp;EDATE(DATEVALUE(C478&amp;"-01"),0),'📋 Транзакції'!$C$5:$C$3623,"&lt;"&amp;EDATE(DATEVALUE(C478&amp;"-01"),1))&gt;0,1,0)</f>
        <v>1</v>
      </c>
      <c r="H478" s="37">
        <f>IF(COUNTIFS('📋 Транзакції'!$B$5:$B$3623,A478,'📋 Транзакції'!$C$5:$C$3623,"&gt;="&amp;EDATE(DATEVALUE(C478&amp;"-01"),1),'📋 Транзакції'!$C$5:$C$3623,"&lt;"&amp;EDATE(DATEVALUE(C478&amp;"-01"),2))&gt;0,1,0)</f>
        <v>1</v>
      </c>
      <c r="I478" s="37">
        <f>IF(COUNTIFS('📋 Транзакції'!$B$5:$B$3623,A478,'📋 Транзакції'!$C$5:$C$3623,"&gt;="&amp;EDATE(DATEVALUE(C478&amp;"-01"),2),'📋 Транзакції'!$C$5:$C$3623,"&lt;"&amp;EDATE(DATEVALUE(C478&amp;"-01"),3))&gt;0,1,0)</f>
        <v>1</v>
      </c>
      <c r="J478" s="37">
        <f>IF(COUNTIFS('📋 Транзакції'!$B$5:$B$3623,A478,'📋 Транзакції'!$C$5:$C$3623,"&gt;="&amp;EDATE(DATEVALUE(C478&amp;"-01"),3),'📋 Транзакції'!$C$5:$C$3623,"&lt;"&amp;EDATE(DATEVALUE(C478&amp;"-01"),4))&gt;0,1,0)</f>
        <v>0</v>
      </c>
      <c r="K478" s="37">
        <f>IF(COUNTIFS('📋 Транзакції'!$B$5:$B$3623,A478,'📋 Транзакції'!$C$5:$C$3623,"&gt;="&amp;EDATE(DATEVALUE(C478&amp;"-01"),4),'📋 Транзакції'!$C$5:$C$3623,"&lt;"&amp;EDATE(DATEVALUE(C478&amp;"-01"),5))&gt;0,1,0)</f>
        <v>0</v>
      </c>
      <c r="L478" s="37">
        <f>IF(COUNTIFS('📋 Транзакції'!$B$5:$B$3623,A478,'📋 Транзакції'!$C$5:$C$3623,"&gt;="&amp;EDATE(DATEVALUE(C478&amp;"-01"),5),'📋 Транзакції'!$C$5:$C$3623,"&lt;"&amp;EDATE(DATEVALUE(C478&amp;"-01"),6))&gt;0,1,0)</f>
        <v>0</v>
      </c>
      <c r="M478" s="37">
        <f>IF(COUNTIFS('📋 Транзакції'!$B$5:$B$3623,A478,'📋 Транзакції'!$C$5:$C$3623,"&gt;="&amp;EDATE(DATEVALUE(C478&amp;"-01"),6),'📋 Транзакції'!$C$5:$C$3623,"&lt;"&amp;EDATE(DATEVALUE(C478&amp;"-01"),7))&gt;0,1,0)</f>
        <v>0</v>
      </c>
      <c r="N478" s="37">
        <f>IF(COUNTIFS('📋 Транзакції'!$B$5:$B$3623,A478,'📋 Транзакції'!$C$5:$C$3623,"&gt;="&amp;EDATE(DATEVALUE(C478&amp;"-01"),7),'📋 Транзакції'!$C$5:$C$3623,"&lt;"&amp;EDATE(DATEVALUE(C478&amp;"-01"),8))&gt;0,1,0)</f>
        <v>0</v>
      </c>
      <c r="O478" s="37">
        <f>IF(COUNTIFS('📋 Транзакції'!$B$5:$B$3623,A478,'📋 Транзакції'!$C$5:$C$3623,"&gt;="&amp;EDATE(DATEVALUE(C478&amp;"-01"),8),'📋 Транзакції'!$C$5:$C$3623,"&lt;"&amp;EDATE(DATEVALUE(C478&amp;"-01"),9))&gt;0,1,0)</f>
        <v>0</v>
      </c>
      <c r="P478" s="37">
        <f>IF(COUNTIFS('📋 Транзакції'!$B$5:$B$3623,A478,'📋 Транзакції'!$C$5:$C$3623,"&gt;="&amp;EDATE(DATEVALUE(C478&amp;"-01"),9),'📋 Транзакції'!$C$5:$C$3623,"&lt;"&amp;EDATE(DATEVALUE(C478&amp;"-01"),10))&gt;0,1,0)</f>
        <v>0</v>
      </c>
      <c r="Q478" s="37">
        <f>IF(COUNTIFS('📋 Транзакції'!$B$5:$B$3623,A478,'📋 Транзакції'!$C$5:$C$3623,"&gt;="&amp;EDATE(DATEVALUE(C478&amp;"-01"),10),'📋 Транзакції'!$C$5:$C$3623,"&lt;"&amp;EDATE(DATEVALUE(C478&amp;"-01"),11))&gt;0,1,0)</f>
        <v>0</v>
      </c>
      <c r="R478" s="37">
        <f>IF(COUNTIFS('📋 Транзакції'!$B$5:$B$3623,A478,'📋 Транзакції'!$C$5:$C$3623,"&gt;="&amp;EDATE(DATEVALUE(C478&amp;"-01"),11),'📋 Транзакції'!$C$5:$C$3623,"&lt;"&amp;EDATE(DATEVALUE(C478&amp;"-01"),12))&gt;0,1,0)</f>
        <v>0</v>
      </c>
      <c r="S478" s="37">
        <f>SUMIFS('📋 Транзакції'!$F$5:$F$3623,'📋 Транзакції'!$B$5:$B$3623,A478,'📋 Транзакції'!$C$5:$C$3623,"&gt;="&amp;EDATE(DATEVALUE(C478&amp;"-01"),0),'📋 Транзакції'!$C$5:$C$3623,"&lt;"&amp;EDATE(DATEVALUE(C478&amp;"-01"),1))</f>
        <v>19.99</v>
      </c>
      <c r="T478" s="37">
        <f>SUMIFS('📋 Транзакції'!$F$5:$F$3623,'📋 Транзакції'!$B$5:$B$3623,A478,'📋 Транзакції'!$C$5:$C$3623,"&gt;="&amp;EDATE(DATEVALUE(C478&amp;"-01"),1),'📋 Транзакції'!$C$5:$C$3623,"&lt;"&amp;EDATE(DATEVALUE(C478&amp;"-01"),2))</f>
        <v>19.99</v>
      </c>
      <c r="U478" s="37">
        <f>SUMIFS('📋 Транзакції'!$F$5:$F$3623,'📋 Транзакції'!$B$5:$B$3623,A478,'📋 Транзакції'!$C$5:$C$3623,"&gt;="&amp;EDATE(DATEVALUE(C478&amp;"-01"),2),'📋 Транзакції'!$C$5:$C$3623,"&lt;"&amp;EDATE(DATEVALUE(C478&amp;"-01"),3))</f>
        <v>19.99</v>
      </c>
      <c r="V478" s="37">
        <f>SUMIFS('📋 Транзакції'!$F$5:$F$3623,'📋 Транзакції'!$B$5:$B$3623,A478,'📋 Транзакції'!$C$5:$C$3623,"&gt;="&amp;EDATE(DATEVALUE(C478&amp;"-01"),3),'📋 Транзакції'!$C$5:$C$3623,"&lt;"&amp;EDATE(DATEVALUE(C478&amp;"-01"),4))</f>
        <v>0</v>
      </c>
      <c r="W478" s="37">
        <f>SUMIFS('📋 Транзакції'!$F$5:$F$3623,'📋 Транзакції'!$B$5:$B$3623,A478,'📋 Транзакції'!$C$5:$C$3623,"&gt;="&amp;EDATE(DATEVALUE(C478&amp;"-01"),4),'📋 Транзакції'!$C$5:$C$3623,"&lt;"&amp;EDATE(DATEVALUE(C478&amp;"-01"),5))</f>
        <v>0</v>
      </c>
      <c r="X478" s="37">
        <f>SUMIFS('📋 Транзакції'!$F$5:$F$3623,'📋 Транзакції'!$B$5:$B$3623,A478,'📋 Транзакції'!$C$5:$C$3623,"&gt;="&amp;EDATE(DATEVALUE(C478&amp;"-01"),5),'📋 Транзакції'!$C$5:$C$3623,"&lt;"&amp;EDATE(DATEVALUE(C478&amp;"-01"),6))</f>
        <v>0</v>
      </c>
      <c r="Y478" s="37">
        <f>SUMIFS('📋 Транзакції'!$F$5:$F$3623,'📋 Транзакції'!$B$5:$B$3623,A478,'📋 Транзакції'!$C$5:$C$3623,"&gt;="&amp;EDATE(DATEVALUE(C478&amp;"-01"),6),'📋 Транзакції'!$C$5:$C$3623,"&lt;"&amp;EDATE(DATEVALUE(C478&amp;"-01"),7))</f>
        <v>0</v>
      </c>
      <c r="Z478" s="37">
        <f>SUMIFS('📋 Транзакції'!$F$5:$F$3623,'📋 Транзакції'!$B$5:$B$3623,A478,'📋 Транзакції'!$C$5:$C$3623,"&gt;="&amp;EDATE(DATEVALUE(C478&amp;"-01"),7),'📋 Транзакції'!$C$5:$C$3623,"&lt;"&amp;EDATE(DATEVALUE(C478&amp;"-01"),8))</f>
        <v>0</v>
      </c>
      <c r="AA478" s="37">
        <f>SUMIFS('📋 Транзакції'!$F$5:$F$3623,'📋 Транзакції'!$B$5:$B$3623,A478,'📋 Транзакції'!$C$5:$C$3623,"&gt;="&amp;EDATE(DATEVALUE(C478&amp;"-01"),8),'📋 Транзакції'!$C$5:$C$3623,"&lt;"&amp;EDATE(DATEVALUE(C478&amp;"-01"),9))</f>
        <v>0</v>
      </c>
      <c r="AB478" s="37">
        <f>SUMIFS('📋 Транзакції'!$F$5:$F$3623,'📋 Транзакції'!$B$5:$B$3623,A478,'📋 Транзакції'!$C$5:$C$3623,"&gt;="&amp;EDATE(DATEVALUE(C478&amp;"-01"),9),'📋 Транзакції'!$C$5:$C$3623,"&lt;"&amp;EDATE(DATEVALUE(C478&amp;"-01"),10))</f>
        <v>0</v>
      </c>
      <c r="AC478" s="37">
        <f>SUMIFS('📋 Транзакції'!$F$5:$F$3623,'📋 Транзакції'!$B$5:$B$3623,A478,'📋 Транзакції'!$C$5:$C$3623,"&gt;="&amp;EDATE(DATEVALUE(C478&amp;"-01"),10),'📋 Транзакції'!$C$5:$C$3623,"&lt;"&amp;EDATE(DATEVALUE(C478&amp;"-01"),11))</f>
        <v>0</v>
      </c>
      <c r="AD478" s="37">
        <f>SUMIFS('📋 Транзакції'!$F$5:$F$3623,'📋 Транзакції'!$B$5:$B$3623,A478,'📋 Транзакції'!$C$5:$C$3623,"&gt;="&amp;EDATE(DATEVALUE(C478&amp;"-01"),11),'📋 Транзакції'!$C$5:$C$3623,"&lt;"&amp;EDATE(DATEVALUE(C478&amp;"-01"),12))</f>
        <v>0</v>
      </c>
    </row>
    <row r="479" ht="15.75" customHeight="1">
      <c r="A479" s="33" t="str">
        <f>'📋 Реєстрації'!A479:A1080</f>
        <v>U0332</v>
      </c>
      <c r="B479" s="34">
        <f t="array" ref="B479">INDEX('📋 Транзакції'!$C$5:$C$3623,MATCH(A479,'📋 Транзакції'!$B$5:$B$3623,0))</f>
        <v>45673</v>
      </c>
      <c r="C479" s="35" t="str">
        <f t="shared" si="1"/>
        <v>2025-01</v>
      </c>
      <c r="D479" s="36">
        <f>COUNTIF('📋 Транзакції'!$B$5:$B$3623,A479)</f>
        <v>2</v>
      </c>
      <c r="E479" s="36">
        <f>SUMIF('📋 Транзакції'!$B$5:$B$3623,A479,'📋 Транзакції'!$F$5:$F$3623)</f>
        <v>19.99</v>
      </c>
      <c r="F479" s="35">
        <f>INT($A$1-MAXIFS('📋 Транзакції'!$C$5:$C$3623,'📋 Транзакції'!$B$5:$B$3623,A479))</f>
        <v>67</v>
      </c>
      <c r="G479" s="37">
        <f>IF(COUNTIFS('📋 Транзакції'!$B$5:$B$3623,A479,'📋 Транзакції'!$C$5:$C$3623,"&gt;="&amp;EDATE(DATEVALUE(C479&amp;"-01"),0),'📋 Транзакції'!$C$5:$C$3623,"&lt;"&amp;EDATE(DATEVALUE(C479&amp;"-01"),1))&gt;0,1,0)</f>
        <v>1</v>
      </c>
      <c r="H479" s="37">
        <f>IF(COUNTIFS('📋 Транзакції'!$B$5:$B$3623,A479,'📋 Транзакції'!$C$5:$C$3623,"&gt;="&amp;EDATE(DATEVALUE(C479&amp;"-01"),1),'📋 Транзакції'!$C$5:$C$3623,"&lt;"&amp;EDATE(DATEVALUE(C479&amp;"-01"),2))&gt;0,1,0)</f>
        <v>0</v>
      </c>
      <c r="I479" s="37">
        <f>IF(COUNTIFS('📋 Транзакції'!$B$5:$B$3623,A479,'📋 Транзакції'!$C$5:$C$3623,"&gt;="&amp;EDATE(DATEVALUE(C479&amp;"-01"),2),'📋 Транзакції'!$C$5:$C$3623,"&lt;"&amp;EDATE(DATEVALUE(C479&amp;"-01"),3))&gt;0,1,0)</f>
        <v>0</v>
      </c>
      <c r="J479" s="37">
        <f>IF(COUNTIFS('📋 Транзакції'!$B$5:$B$3623,A479,'📋 Транзакції'!$C$5:$C$3623,"&gt;="&amp;EDATE(DATEVALUE(C479&amp;"-01"),3),'📋 Транзакції'!$C$5:$C$3623,"&lt;"&amp;EDATE(DATEVALUE(C479&amp;"-01"),4))&gt;0,1,0)</f>
        <v>0</v>
      </c>
      <c r="K479" s="37">
        <f>IF(COUNTIFS('📋 Транзакції'!$B$5:$B$3623,A479,'📋 Транзакції'!$C$5:$C$3623,"&gt;="&amp;EDATE(DATEVALUE(C479&amp;"-01"),4),'📋 Транзакції'!$C$5:$C$3623,"&lt;"&amp;EDATE(DATEVALUE(C479&amp;"-01"),5))&gt;0,1,0)</f>
        <v>0</v>
      </c>
      <c r="L479" s="37">
        <f>IF(COUNTIFS('📋 Транзакції'!$B$5:$B$3623,A479,'📋 Транзакції'!$C$5:$C$3623,"&gt;="&amp;EDATE(DATEVALUE(C479&amp;"-01"),5),'📋 Транзакції'!$C$5:$C$3623,"&lt;"&amp;EDATE(DATEVALUE(C479&amp;"-01"),6))&gt;0,1,0)</f>
        <v>0</v>
      </c>
      <c r="M479" s="37">
        <f>IF(COUNTIFS('📋 Транзакції'!$B$5:$B$3623,A479,'📋 Транзакції'!$C$5:$C$3623,"&gt;="&amp;EDATE(DATEVALUE(C479&amp;"-01"),6),'📋 Транзакції'!$C$5:$C$3623,"&lt;"&amp;EDATE(DATEVALUE(C479&amp;"-01"),7))&gt;0,1,0)</f>
        <v>0</v>
      </c>
      <c r="N479" s="37">
        <f>IF(COUNTIFS('📋 Транзакції'!$B$5:$B$3623,A479,'📋 Транзакції'!$C$5:$C$3623,"&gt;="&amp;EDATE(DATEVALUE(C479&amp;"-01"),7),'📋 Транзакції'!$C$5:$C$3623,"&lt;"&amp;EDATE(DATEVALUE(C479&amp;"-01"),8))&gt;0,1,0)</f>
        <v>0</v>
      </c>
      <c r="O479" s="37">
        <f>IF(COUNTIFS('📋 Транзакції'!$B$5:$B$3623,A479,'📋 Транзакції'!$C$5:$C$3623,"&gt;="&amp;EDATE(DATEVALUE(C479&amp;"-01"),8),'📋 Транзакції'!$C$5:$C$3623,"&lt;"&amp;EDATE(DATEVALUE(C479&amp;"-01"),9))&gt;0,1,0)</f>
        <v>0</v>
      </c>
      <c r="P479" s="37">
        <f>IF(COUNTIFS('📋 Транзакції'!$B$5:$B$3623,A479,'📋 Транзакції'!$C$5:$C$3623,"&gt;="&amp;EDATE(DATEVALUE(C479&amp;"-01"),9),'📋 Транзакції'!$C$5:$C$3623,"&lt;"&amp;EDATE(DATEVALUE(C479&amp;"-01"),10))&gt;0,1,0)</f>
        <v>0</v>
      </c>
      <c r="Q479" s="37">
        <f>IF(COUNTIFS('📋 Транзакції'!$B$5:$B$3623,A479,'📋 Транзакції'!$C$5:$C$3623,"&gt;="&amp;EDATE(DATEVALUE(C479&amp;"-01"),10),'📋 Транзакції'!$C$5:$C$3623,"&lt;"&amp;EDATE(DATEVALUE(C479&amp;"-01"),11))&gt;0,1,0)</f>
        <v>0</v>
      </c>
      <c r="R479" s="37">
        <f>IF(COUNTIFS('📋 Транзакції'!$B$5:$B$3623,A479,'📋 Транзакції'!$C$5:$C$3623,"&gt;="&amp;EDATE(DATEVALUE(C479&amp;"-01"),11),'📋 Транзакції'!$C$5:$C$3623,"&lt;"&amp;EDATE(DATEVALUE(C479&amp;"-01"),12))&gt;0,1,0)</f>
        <v>0</v>
      </c>
      <c r="S479" s="37">
        <f>SUMIFS('📋 Транзакції'!$F$5:$F$3623,'📋 Транзакції'!$B$5:$B$3623,A479,'📋 Транзакції'!$C$5:$C$3623,"&gt;="&amp;EDATE(DATEVALUE(C479&amp;"-01"),0),'📋 Транзакції'!$C$5:$C$3623,"&lt;"&amp;EDATE(DATEVALUE(C479&amp;"-01"),1))</f>
        <v>19.99</v>
      </c>
      <c r="T479" s="37">
        <f>SUMIFS('📋 Транзакції'!$F$5:$F$3623,'📋 Транзакції'!$B$5:$B$3623,A479,'📋 Транзакції'!$C$5:$C$3623,"&gt;="&amp;EDATE(DATEVALUE(C479&amp;"-01"),1),'📋 Транзакції'!$C$5:$C$3623,"&lt;"&amp;EDATE(DATEVALUE(C479&amp;"-01"),2))</f>
        <v>0</v>
      </c>
      <c r="U479" s="37">
        <f>SUMIFS('📋 Транзакції'!$F$5:$F$3623,'📋 Транзакції'!$B$5:$B$3623,A479,'📋 Транзакції'!$C$5:$C$3623,"&gt;="&amp;EDATE(DATEVALUE(C479&amp;"-01"),2),'📋 Транзакції'!$C$5:$C$3623,"&lt;"&amp;EDATE(DATEVALUE(C479&amp;"-01"),3))</f>
        <v>0</v>
      </c>
      <c r="V479" s="37">
        <f>SUMIFS('📋 Транзакції'!$F$5:$F$3623,'📋 Транзакції'!$B$5:$B$3623,A479,'📋 Транзакції'!$C$5:$C$3623,"&gt;="&amp;EDATE(DATEVALUE(C479&amp;"-01"),3),'📋 Транзакції'!$C$5:$C$3623,"&lt;"&amp;EDATE(DATEVALUE(C479&amp;"-01"),4))</f>
        <v>0</v>
      </c>
      <c r="W479" s="37">
        <f>SUMIFS('📋 Транзакції'!$F$5:$F$3623,'📋 Транзакції'!$B$5:$B$3623,A479,'📋 Транзакції'!$C$5:$C$3623,"&gt;="&amp;EDATE(DATEVALUE(C479&amp;"-01"),4),'📋 Транзакції'!$C$5:$C$3623,"&lt;"&amp;EDATE(DATEVALUE(C479&amp;"-01"),5))</f>
        <v>0</v>
      </c>
      <c r="X479" s="37">
        <f>SUMIFS('📋 Транзакції'!$F$5:$F$3623,'📋 Транзакції'!$B$5:$B$3623,A479,'📋 Транзакції'!$C$5:$C$3623,"&gt;="&amp;EDATE(DATEVALUE(C479&amp;"-01"),5),'📋 Транзакції'!$C$5:$C$3623,"&lt;"&amp;EDATE(DATEVALUE(C479&amp;"-01"),6))</f>
        <v>0</v>
      </c>
      <c r="Y479" s="37">
        <f>SUMIFS('📋 Транзакції'!$F$5:$F$3623,'📋 Транзакції'!$B$5:$B$3623,A479,'📋 Транзакції'!$C$5:$C$3623,"&gt;="&amp;EDATE(DATEVALUE(C479&amp;"-01"),6),'📋 Транзакції'!$C$5:$C$3623,"&lt;"&amp;EDATE(DATEVALUE(C479&amp;"-01"),7))</f>
        <v>0</v>
      </c>
      <c r="Z479" s="37">
        <f>SUMIFS('📋 Транзакції'!$F$5:$F$3623,'📋 Транзакції'!$B$5:$B$3623,A479,'📋 Транзакції'!$C$5:$C$3623,"&gt;="&amp;EDATE(DATEVALUE(C479&amp;"-01"),7),'📋 Транзакції'!$C$5:$C$3623,"&lt;"&amp;EDATE(DATEVALUE(C479&amp;"-01"),8))</f>
        <v>0</v>
      </c>
      <c r="AA479" s="37">
        <f>SUMIFS('📋 Транзакції'!$F$5:$F$3623,'📋 Транзакції'!$B$5:$B$3623,A479,'📋 Транзакції'!$C$5:$C$3623,"&gt;="&amp;EDATE(DATEVALUE(C479&amp;"-01"),8),'📋 Транзакції'!$C$5:$C$3623,"&lt;"&amp;EDATE(DATEVALUE(C479&amp;"-01"),9))</f>
        <v>0</v>
      </c>
      <c r="AB479" s="37">
        <f>SUMIFS('📋 Транзакції'!$F$5:$F$3623,'📋 Транзакції'!$B$5:$B$3623,A479,'📋 Транзакції'!$C$5:$C$3623,"&gt;="&amp;EDATE(DATEVALUE(C479&amp;"-01"),9),'📋 Транзакції'!$C$5:$C$3623,"&lt;"&amp;EDATE(DATEVALUE(C479&amp;"-01"),10))</f>
        <v>0</v>
      </c>
      <c r="AC479" s="37">
        <f>SUMIFS('📋 Транзакції'!$F$5:$F$3623,'📋 Транзакції'!$B$5:$B$3623,A479,'📋 Транзакції'!$C$5:$C$3623,"&gt;="&amp;EDATE(DATEVALUE(C479&amp;"-01"),10),'📋 Транзакції'!$C$5:$C$3623,"&lt;"&amp;EDATE(DATEVALUE(C479&amp;"-01"),11))</f>
        <v>0</v>
      </c>
      <c r="AD479" s="37">
        <f>SUMIFS('📋 Транзакції'!$F$5:$F$3623,'📋 Транзакції'!$B$5:$B$3623,A479,'📋 Транзакції'!$C$5:$C$3623,"&gt;="&amp;EDATE(DATEVALUE(C479&amp;"-01"),11),'📋 Транзакції'!$C$5:$C$3623,"&lt;"&amp;EDATE(DATEVALUE(C479&amp;"-01"),12))</f>
        <v>0</v>
      </c>
    </row>
    <row r="480" ht="15.75" customHeight="1">
      <c r="A480" s="33" t="str">
        <f>'📋 Реєстрації'!A480:A1081</f>
        <v>U0829</v>
      </c>
      <c r="B480" s="34">
        <f t="array" ref="B480">INDEX('📋 Транзакції'!$C$5:$C$3623,MATCH(A480,'📋 Транзакції'!$B$5:$B$3623,0))</f>
        <v>45674</v>
      </c>
      <c r="C480" s="35" t="str">
        <f t="shared" si="1"/>
        <v>2025-01</v>
      </c>
      <c r="D480" s="36">
        <f>COUNTIF('📋 Транзакції'!$B$5:$B$3623,A480)</f>
        <v>4</v>
      </c>
      <c r="E480" s="36">
        <f>SUMIF('📋 Транзакції'!$B$5:$B$3623,A480,'📋 Транзакції'!$F$5:$F$3623)</f>
        <v>59.97</v>
      </c>
      <c r="F480" s="35">
        <f>INT($A$1-MAXIFS('📋 Транзакції'!$C$5:$C$3623,'📋 Транзакції'!$B$5:$B$3623,A480))</f>
        <v>6</v>
      </c>
      <c r="G480" s="37">
        <f>IF(COUNTIFS('📋 Транзакції'!$B$5:$B$3623,A480,'📋 Транзакції'!$C$5:$C$3623,"&gt;="&amp;EDATE(DATEVALUE(C480&amp;"-01"),0),'📋 Транзакції'!$C$5:$C$3623,"&lt;"&amp;EDATE(DATEVALUE(C480&amp;"-01"),1))&gt;0,1,0)</f>
        <v>1</v>
      </c>
      <c r="H480" s="37">
        <f>IF(COUNTIFS('📋 Транзакції'!$B$5:$B$3623,A480,'📋 Транзакції'!$C$5:$C$3623,"&gt;="&amp;EDATE(DATEVALUE(C480&amp;"-01"),1),'📋 Транзакції'!$C$5:$C$3623,"&lt;"&amp;EDATE(DATEVALUE(C480&amp;"-01"),2))&gt;0,1,0)</f>
        <v>1</v>
      </c>
      <c r="I480" s="37">
        <f>IF(COUNTIFS('📋 Транзакції'!$B$5:$B$3623,A480,'📋 Транзакції'!$C$5:$C$3623,"&gt;="&amp;EDATE(DATEVALUE(C480&amp;"-01"),2),'📋 Транзакції'!$C$5:$C$3623,"&lt;"&amp;EDATE(DATEVALUE(C480&amp;"-01"),3))&gt;0,1,0)</f>
        <v>1</v>
      </c>
      <c r="J480" s="37">
        <f>IF(COUNTIFS('📋 Транзакції'!$B$5:$B$3623,A480,'📋 Транзакції'!$C$5:$C$3623,"&gt;="&amp;EDATE(DATEVALUE(C480&amp;"-01"),3),'📋 Транзакції'!$C$5:$C$3623,"&lt;"&amp;EDATE(DATEVALUE(C480&amp;"-01"),4))&gt;0,1,0)</f>
        <v>0</v>
      </c>
      <c r="K480" s="37">
        <f>IF(COUNTIFS('📋 Транзакції'!$B$5:$B$3623,A480,'📋 Транзакції'!$C$5:$C$3623,"&gt;="&amp;EDATE(DATEVALUE(C480&amp;"-01"),4),'📋 Транзакції'!$C$5:$C$3623,"&lt;"&amp;EDATE(DATEVALUE(C480&amp;"-01"),5))&gt;0,1,0)</f>
        <v>0</v>
      </c>
      <c r="L480" s="37">
        <f>IF(COUNTIFS('📋 Транзакції'!$B$5:$B$3623,A480,'📋 Транзакції'!$C$5:$C$3623,"&gt;="&amp;EDATE(DATEVALUE(C480&amp;"-01"),5),'📋 Транзакції'!$C$5:$C$3623,"&lt;"&amp;EDATE(DATEVALUE(C480&amp;"-01"),6))&gt;0,1,0)</f>
        <v>0</v>
      </c>
      <c r="M480" s="37">
        <f>IF(COUNTIFS('📋 Транзакції'!$B$5:$B$3623,A480,'📋 Транзакції'!$C$5:$C$3623,"&gt;="&amp;EDATE(DATEVALUE(C480&amp;"-01"),6),'📋 Транзакції'!$C$5:$C$3623,"&lt;"&amp;EDATE(DATEVALUE(C480&amp;"-01"),7))&gt;0,1,0)</f>
        <v>0</v>
      </c>
      <c r="N480" s="37">
        <f>IF(COUNTIFS('📋 Транзакції'!$B$5:$B$3623,A480,'📋 Транзакції'!$C$5:$C$3623,"&gt;="&amp;EDATE(DATEVALUE(C480&amp;"-01"),7),'📋 Транзакції'!$C$5:$C$3623,"&lt;"&amp;EDATE(DATEVALUE(C480&amp;"-01"),8))&gt;0,1,0)</f>
        <v>0</v>
      </c>
      <c r="O480" s="37">
        <f>IF(COUNTIFS('📋 Транзакції'!$B$5:$B$3623,A480,'📋 Транзакції'!$C$5:$C$3623,"&gt;="&amp;EDATE(DATEVALUE(C480&amp;"-01"),8),'📋 Транзакції'!$C$5:$C$3623,"&lt;"&amp;EDATE(DATEVALUE(C480&amp;"-01"),9))&gt;0,1,0)</f>
        <v>0</v>
      </c>
      <c r="P480" s="37">
        <f>IF(COUNTIFS('📋 Транзакції'!$B$5:$B$3623,A480,'📋 Транзакції'!$C$5:$C$3623,"&gt;="&amp;EDATE(DATEVALUE(C480&amp;"-01"),9),'📋 Транзакції'!$C$5:$C$3623,"&lt;"&amp;EDATE(DATEVALUE(C480&amp;"-01"),10))&gt;0,1,0)</f>
        <v>0</v>
      </c>
      <c r="Q480" s="37">
        <f>IF(COUNTIFS('📋 Транзакції'!$B$5:$B$3623,A480,'📋 Транзакції'!$C$5:$C$3623,"&gt;="&amp;EDATE(DATEVALUE(C480&amp;"-01"),10),'📋 Транзакції'!$C$5:$C$3623,"&lt;"&amp;EDATE(DATEVALUE(C480&amp;"-01"),11))&gt;0,1,0)</f>
        <v>0</v>
      </c>
      <c r="R480" s="37">
        <f>IF(COUNTIFS('📋 Транзакції'!$B$5:$B$3623,A480,'📋 Транзакції'!$C$5:$C$3623,"&gt;="&amp;EDATE(DATEVALUE(C480&amp;"-01"),11),'📋 Транзакції'!$C$5:$C$3623,"&lt;"&amp;EDATE(DATEVALUE(C480&amp;"-01"),12))&gt;0,1,0)</f>
        <v>0</v>
      </c>
      <c r="S480" s="37">
        <f>SUMIFS('📋 Транзакції'!$F$5:$F$3623,'📋 Транзакції'!$B$5:$B$3623,A480,'📋 Транзакції'!$C$5:$C$3623,"&gt;="&amp;EDATE(DATEVALUE(C480&amp;"-01"),0),'📋 Транзакції'!$C$5:$C$3623,"&lt;"&amp;EDATE(DATEVALUE(C480&amp;"-01"),1))</f>
        <v>19.99</v>
      </c>
      <c r="T480" s="37">
        <f>SUMIFS('📋 Транзакції'!$F$5:$F$3623,'📋 Транзакції'!$B$5:$B$3623,A480,'📋 Транзакції'!$C$5:$C$3623,"&gt;="&amp;EDATE(DATEVALUE(C480&amp;"-01"),1),'📋 Транзакції'!$C$5:$C$3623,"&lt;"&amp;EDATE(DATEVALUE(C480&amp;"-01"),2))</f>
        <v>19.99</v>
      </c>
      <c r="U480" s="37">
        <f>SUMIFS('📋 Транзакції'!$F$5:$F$3623,'📋 Транзакції'!$B$5:$B$3623,A480,'📋 Транзакції'!$C$5:$C$3623,"&gt;="&amp;EDATE(DATEVALUE(C480&amp;"-01"),2),'📋 Транзакції'!$C$5:$C$3623,"&lt;"&amp;EDATE(DATEVALUE(C480&amp;"-01"),3))</f>
        <v>19.99</v>
      </c>
      <c r="V480" s="37">
        <f>SUMIFS('📋 Транзакції'!$F$5:$F$3623,'📋 Транзакції'!$B$5:$B$3623,A480,'📋 Транзакції'!$C$5:$C$3623,"&gt;="&amp;EDATE(DATEVALUE(C480&amp;"-01"),3),'📋 Транзакції'!$C$5:$C$3623,"&lt;"&amp;EDATE(DATEVALUE(C480&amp;"-01"),4))</f>
        <v>0</v>
      </c>
      <c r="W480" s="37">
        <f>SUMIFS('📋 Транзакції'!$F$5:$F$3623,'📋 Транзакції'!$B$5:$B$3623,A480,'📋 Транзакції'!$C$5:$C$3623,"&gt;="&amp;EDATE(DATEVALUE(C480&amp;"-01"),4),'📋 Транзакції'!$C$5:$C$3623,"&lt;"&amp;EDATE(DATEVALUE(C480&amp;"-01"),5))</f>
        <v>0</v>
      </c>
      <c r="X480" s="37">
        <f>SUMIFS('📋 Транзакції'!$F$5:$F$3623,'📋 Транзакції'!$B$5:$B$3623,A480,'📋 Транзакції'!$C$5:$C$3623,"&gt;="&amp;EDATE(DATEVALUE(C480&amp;"-01"),5),'📋 Транзакції'!$C$5:$C$3623,"&lt;"&amp;EDATE(DATEVALUE(C480&amp;"-01"),6))</f>
        <v>0</v>
      </c>
      <c r="Y480" s="37">
        <f>SUMIFS('📋 Транзакції'!$F$5:$F$3623,'📋 Транзакції'!$B$5:$B$3623,A480,'📋 Транзакції'!$C$5:$C$3623,"&gt;="&amp;EDATE(DATEVALUE(C480&amp;"-01"),6),'📋 Транзакції'!$C$5:$C$3623,"&lt;"&amp;EDATE(DATEVALUE(C480&amp;"-01"),7))</f>
        <v>0</v>
      </c>
      <c r="Z480" s="37">
        <f>SUMIFS('📋 Транзакції'!$F$5:$F$3623,'📋 Транзакції'!$B$5:$B$3623,A480,'📋 Транзакції'!$C$5:$C$3623,"&gt;="&amp;EDATE(DATEVALUE(C480&amp;"-01"),7),'📋 Транзакції'!$C$5:$C$3623,"&lt;"&amp;EDATE(DATEVALUE(C480&amp;"-01"),8))</f>
        <v>0</v>
      </c>
      <c r="AA480" s="37">
        <f>SUMIFS('📋 Транзакції'!$F$5:$F$3623,'📋 Транзакції'!$B$5:$B$3623,A480,'📋 Транзакції'!$C$5:$C$3623,"&gt;="&amp;EDATE(DATEVALUE(C480&amp;"-01"),8),'📋 Транзакції'!$C$5:$C$3623,"&lt;"&amp;EDATE(DATEVALUE(C480&amp;"-01"),9))</f>
        <v>0</v>
      </c>
      <c r="AB480" s="37">
        <f>SUMIFS('📋 Транзакції'!$F$5:$F$3623,'📋 Транзакції'!$B$5:$B$3623,A480,'📋 Транзакції'!$C$5:$C$3623,"&gt;="&amp;EDATE(DATEVALUE(C480&amp;"-01"),9),'📋 Транзакції'!$C$5:$C$3623,"&lt;"&amp;EDATE(DATEVALUE(C480&amp;"-01"),10))</f>
        <v>0</v>
      </c>
      <c r="AC480" s="37">
        <f>SUMIFS('📋 Транзакції'!$F$5:$F$3623,'📋 Транзакції'!$B$5:$B$3623,A480,'📋 Транзакції'!$C$5:$C$3623,"&gt;="&amp;EDATE(DATEVALUE(C480&amp;"-01"),10),'📋 Транзакції'!$C$5:$C$3623,"&lt;"&amp;EDATE(DATEVALUE(C480&amp;"-01"),11))</f>
        <v>0</v>
      </c>
      <c r="AD480" s="37">
        <f>SUMIFS('📋 Транзакції'!$F$5:$F$3623,'📋 Транзакції'!$B$5:$B$3623,A480,'📋 Транзакції'!$C$5:$C$3623,"&gt;="&amp;EDATE(DATEVALUE(C480&amp;"-01"),11),'📋 Транзакції'!$C$5:$C$3623,"&lt;"&amp;EDATE(DATEVALUE(C480&amp;"-01"),12))</f>
        <v>0</v>
      </c>
    </row>
    <row r="481" ht="15.75" customHeight="1">
      <c r="A481" s="33" t="str">
        <f>'📋 Реєстрації'!A481:A1082</f>
        <v>U0628</v>
      </c>
      <c r="B481" s="34">
        <f t="array" ref="B481">INDEX('📋 Транзакції'!$C$5:$C$3623,MATCH(A481,'📋 Транзакції'!$B$5:$B$3623,0))</f>
        <v>45675</v>
      </c>
      <c r="C481" s="35" t="str">
        <f t="shared" si="1"/>
        <v>2025-01</v>
      </c>
      <c r="D481" s="36">
        <f>COUNTIF('📋 Транзакції'!$B$5:$B$3623,A481)</f>
        <v>4</v>
      </c>
      <c r="E481" s="36">
        <f>SUMIF('📋 Транзакції'!$B$5:$B$3623,A481,'📋 Транзакції'!$F$5:$F$3623)</f>
        <v>59.97</v>
      </c>
      <c r="F481" s="35">
        <f>INT($A$1-MAXIFS('📋 Транзакції'!$C$5:$C$3623,'📋 Транзакції'!$B$5:$B$3623,A481))</f>
        <v>5</v>
      </c>
      <c r="G481" s="37">
        <f>IF(COUNTIFS('📋 Транзакції'!$B$5:$B$3623,A481,'📋 Транзакції'!$C$5:$C$3623,"&gt;="&amp;EDATE(DATEVALUE(C481&amp;"-01"),0),'📋 Транзакції'!$C$5:$C$3623,"&lt;"&amp;EDATE(DATEVALUE(C481&amp;"-01"),1))&gt;0,1,0)</f>
        <v>1</v>
      </c>
      <c r="H481" s="37">
        <f>IF(COUNTIFS('📋 Транзакції'!$B$5:$B$3623,A481,'📋 Транзакції'!$C$5:$C$3623,"&gt;="&amp;EDATE(DATEVALUE(C481&amp;"-01"),1),'📋 Транзакції'!$C$5:$C$3623,"&lt;"&amp;EDATE(DATEVALUE(C481&amp;"-01"),2))&gt;0,1,0)</f>
        <v>1</v>
      </c>
      <c r="I481" s="37">
        <f>IF(COUNTIFS('📋 Транзакції'!$B$5:$B$3623,A481,'📋 Транзакції'!$C$5:$C$3623,"&gt;="&amp;EDATE(DATEVALUE(C481&amp;"-01"),2),'📋 Транзакції'!$C$5:$C$3623,"&lt;"&amp;EDATE(DATEVALUE(C481&amp;"-01"),3))&gt;0,1,0)</f>
        <v>1</v>
      </c>
      <c r="J481" s="37">
        <f>IF(COUNTIFS('📋 Транзакції'!$B$5:$B$3623,A481,'📋 Транзакції'!$C$5:$C$3623,"&gt;="&amp;EDATE(DATEVALUE(C481&amp;"-01"),3),'📋 Транзакції'!$C$5:$C$3623,"&lt;"&amp;EDATE(DATEVALUE(C481&amp;"-01"),4))&gt;0,1,0)</f>
        <v>0</v>
      </c>
      <c r="K481" s="37">
        <f>IF(COUNTIFS('📋 Транзакції'!$B$5:$B$3623,A481,'📋 Транзакції'!$C$5:$C$3623,"&gt;="&amp;EDATE(DATEVALUE(C481&amp;"-01"),4),'📋 Транзакції'!$C$5:$C$3623,"&lt;"&amp;EDATE(DATEVALUE(C481&amp;"-01"),5))&gt;0,1,0)</f>
        <v>0</v>
      </c>
      <c r="L481" s="37">
        <f>IF(COUNTIFS('📋 Транзакції'!$B$5:$B$3623,A481,'📋 Транзакції'!$C$5:$C$3623,"&gt;="&amp;EDATE(DATEVALUE(C481&amp;"-01"),5),'📋 Транзакції'!$C$5:$C$3623,"&lt;"&amp;EDATE(DATEVALUE(C481&amp;"-01"),6))&gt;0,1,0)</f>
        <v>0</v>
      </c>
      <c r="M481" s="37">
        <f>IF(COUNTIFS('📋 Транзакції'!$B$5:$B$3623,A481,'📋 Транзакції'!$C$5:$C$3623,"&gt;="&amp;EDATE(DATEVALUE(C481&amp;"-01"),6),'📋 Транзакції'!$C$5:$C$3623,"&lt;"&amp;EDATE(DATEVALUE(C481&amp;"-01"),7))&gt;0,1,0)</f>
        <v>0</v>
      </c>
      <c r="N481" s="37">
        <f>IF(COUNTIFS('📋 Транзакції'!$B$5:$B$3623,A481,'📋 Транзакції'!$C$5:$C$3623,"&gt;="&amp;EDATE(DATEVALUE(C481&amp;"-01"),7),'📋 Транзакції'!$C$5:$C$3623,"&lt;"&amp;EDATE(DATEVALUE(C481&amp;"-01"),8))&gt;0,1,0)</f>
        <v>0</v>
      </c>
      <c r="O481" s="37">
        <f>IF(COUNTIFS('📋 Транзакції'!$B$5:$B$3623,A481,'📋 Транзакції'!$C$5:$C$3623,"&gt;="&amp;EDATE(DATEVALUE(C481&amp;"-01"),8),'📋 Транзакції'!$C$5:$C$3623,"&lt;"&amp;EDATE(DATEVALUE(C481&amp;"-01"),9))&gt;0,1,0)</f>
        <v>0</v>
      </c>
      <c r="P481" s="37">
        <f>IF(COUNTIFS('📋 Транзакції'!$B$5:$B$3623,A481,'📋 Транзакції'!$C$5:$C$3623,"&gt;="&amp;EDATE(DATEVALUE(C481&amp;"-01"),9),'📋 Транзакції'!$C$5:$C$3623,"&lt;"&amp;EDATE(DATEVALUE(C481&amp;"-01"),10))&gt;0,1,0)</f>
        <v>0</v>
      </c>
      <c r="Q481" s="37">
        <f>IF(COUNTIFS('📋 Транзакції'!$B$5:$B$3623,A481,'📋 Транзакції'!$C$5:$C$3623,"&gt;="&amp;EDATE(DATEVALUE(C481&amp;"-01"),10),'📋 Транзакції'!$C$5:$C$3623,"&lt;"&amp;EDATE(DATEVALUE(C481&amp;"-01"),11))&gt;0,1,0)</f>
        <v>0</v>
      </c>
      <c r="R481" s="37">
        <f>IF(COUNTIFS('📋 Транзакції'!$B$5:$B$3623,A481,'📋 Транзакції'!$C$5:$C$3623,"&gt;="&amp;EDATE(DATEVALUE(C481&amp;"-01"),11),'📋 Транзакції'!$C$5:$C$3623,"&lt;"&amp;EDATE(DATEVALUE(C481&amp;"-01"),12))&gt;0,1,0)</f>
        <v>0</v>
      </c>
      <c r="S481" s="37">
        <f>SUMIFS('📋 Транзакції'!$F$5:$F$3623,'📋 Транзакції'!$B$5:$B$3623,A481,'📋 Транзакції'!$C$5:$C$3623,"&gt;="&amp;EDATE(DATEVALUE(C481&amp;"-01"),0),'📋 Транзакції'!$C$5:$C$3623,"&lt;"&amp;EDATE(DATEVALUE(C481&amp;"-01"),1))</f>
        <v>19.99</v>
      </c>
      <c r="T481" s="37">
        <f>SUMIFS('📋 Транзакції'!$F$5:$F$3623,'📋 Транзакції'!$B$5:$B$3623,A481,'📋 Транзакції'!$C$5:$C$3623,"&gt;="&amp;EDATE(DATEVALUE(C481&amp;"-01"),1),'📋 Транзакції'!$C$5:$C$3623,"&lt;"&amp;EDATE(DATEVALUE(C481&amp;"-01"),2))</f>
        <v>19.99</v>
      </c>
      <c r="U481" s="37">
        <f>SUMIFS('📋 Транзакції'!$F$5:$F$3623,'📋 Транзакції'!$B$5:$B$3623,A481,'📋 Транзакції'!$C$5:$C$3623,"&gt;="&amp;EDATE(DATEVALUE(C481&amp;"-01"),2),'📋 Транзакції'!$C$5:$C$3623,"&lt;"&amp;EDATE(DATEVALUE(C481&amp;"-01"),3))</f>
        <v>19.99</v>
      </c>
      <c r="V481" s="37">
        <f>SUMIFS('📋 Транзакції'!$F$5:$F$3623,'📋 Транзакції'!$B$5:$B$3623,A481,'📋 Транзакції'!$C$5:$C$3623,"&gt;="&amp;EDATE(DATEVALUE(C481&amp;"-01"),3),'📋 Транзакції'!$C$5:$C$3623,"&lt;"&amp;EDATE(DATEVALUE(C481&amp;"-01"),4))</f>
        <v>0</v>
      </c>
      <c r="W481" s="37">
        <f>SUMIFS('📋 Транзакції'!$F$5:$F$3623,'📋 Транзакції'!$B$5:$B$3623,A481,'📋 Транзакції'!$C$5:$C$3623,"&gt;="&amp;EDATE(DATEVALUE(C481&amp;"-01"),4),'📋 Транзакції'!$C$5:$C$3623,"&lt;"&amp;EDATE(DATEVALUE(C481&amp;"-01"),5))</f>
        <v>0</v>
      </c>
      <c r="X481" s="37">
        <f>SUMIFS('📋 Транзакції'!$F$5:$F$3623,'📋 Транзакції'!$B$5:$B$3623,A481,'📋 Транзакції'!$C$5:$C$3623,"&gt;="&amp;EDATE(DATEVALUE(C481&amp;"-01"),5),'📋 Транзакції'!$C$5:$C$3623,"&lt;"&amp;EDATE(DATEVALUE(C481&amp;"-01"),6))</f>
        <v>0</v>
      </c>
      <c r="Y481" s="37">
        <f>SUMIFS('📋 Транзакції'!$F$5:$F$3623,'📋 Транзакції'!$B$5:$B$3623,A481,'📋 Транзакції'!$C$5:$C$3623,"&gt;="&amp;EDATE(DATEVALUE(C481&amp;"-01"),6),'📋 Транзакції'!$C$5:$C$3623,"&lt;"&amp;EDATE(DATEVALUE(C481&amp;"-01"),7))</f>
        <v>0</v>
      </c>
      <c r="Z481" s="37">
        <f>SUMIFS('📋 Транзакції'!$F$5:$F$3623,'📋 Транзакції'!$B$5:$B$3623,A481,'📋 Транзакції'!$C$5:$C$3623,"&gt;="&amp;EDATE(DATEVALUE(C481&amp;"-01"),7),'📋 Транзакції'!$C$5:$C$3623,"&lt;"&amp;EDATE(DATEVALUE(C481&amp;"-01"),8))</f>
        <v>0</v>
      </c>
      <c r="AA481" s="37">
        <f>SUMIFS('📋 Транзакції'!$F$5:$F$3623,'📋 Транзакції'!$B$5:$B$3623,A481,'📋 Транзакції'!$C$5:$C$3623,"&gt;="&amp;EDATE(DATEVALUE(C481&amp;"-01"),8),'📋 Транзакції'!$C$5:$C$3623,"&lt;"&amp;EDATE(DATEVALUE(C481&amp;"-01"),9))</f>
        <v>0</v>
      </c>
      <c r="AB481" s="37">
        <f>SUMIFS('📋 Транзакції'!$F$5:$F$3623,'📋 Транзакції'!$B$5:$B$3623,A481,'📋 Транзакції'!$C$5:$C$3623,"&gt;="&amp;EDATE(DATEVALUE(C481&amp;"-01"),9),'📋 Транзакції'!$C$5:$C$3623,"&lt;"&amp;EDATE(DATEVALUE(C481&amp;"-01"),10))</f>
        <v>0</v>
      </c>
      <c r="AC481" s="37">
        <f>SUMIFS('📋 Транзакції'!$F$5:$F$3623,'📋 Транзакції'!$B$5:$B$3623,A481,'📋 Транзакції'!$C$5:$C$3623,"&gt;="&amp;EDATE(DATEVALUE(C481&amp;"-01"),10),'📋 Транзакції'!$C$5:$C$3623,"&lt;"&amp;EDATE(DATEVALUE(C481&amp;"-01"),11))</f>
        <v>0</v>
      </c>
      <c r="AD481" s="37">
        <f>SUMIFS('📋 Транзакції'!$F$5:$F$3623,'📋 Транзакції'!$B$5:$B$3623,A481,'📋 Транзакції'!$C$5:$C$3623,"&gt;="&amp;EDATE(DATEVALUE(C481&amp;"-01"),11),'📋 Транзакції'!$C$5:$C$3623,"&lt;"&amp;EDATE(DATEVALUE(C481&amp;"-01"),12))</f>
        <v>0</v>
      </c>
    </row>
    <row r="482" ht="15.75" customHeight="1">
      <c r="A482" s="33" t="str">
        <f>'📋 Реєстрації'!A482:A1083</f>
        <v>U0218</v>
      </c>
      <c r="B482" s="34">
        <f t="array" ref="B482">INDEX('📋 Транзакції'!$C$5:$C$3623,MATCH(A482,'📋 Транзакції'!$B$5:$B$3623,0))</f>
        <v>45676</v>
      </c>
      <c r="C482" s="35" t="str">
        <f t="shared" si="1"/>
        <v>2025-01</v>
      </c>
      <c r="D482" s="36">
        <f>COUNTIF('📋 Транзакції'!$B$5:$B$3623,A482)</f>
        <v>4</v>
      </c>
      <c r="E482" s="36">
        <f>SUMIF('📋 Транзакції'!$B$5:$B$3623,A482,'📋 Транзакції'!$F$5:$F$3623)</f>
        <v>59.97</v>
      </c>
      <c r="F482" s="35">
        <f>INT($A$1-MAXIFS('📋 Транзакції'!$C$5:$C$3623,'📋 Транзакції'!$B$5:$B$3623,A482))</f>
        <v>4</v>
      </c>
      <c r="G482" s="37">
        <f>IF(COUNTIFS('📋 Транзакції'!$B$5:$B$3623,A482,'📋 Транзакції'!$C$5:$C$3623,"&gt;="&amp;EDATE(DATEVALUE(C482&amp;"-01"),0),'📋 Транзакції'!$C$5:$C$3623,"&lt;"&amp;EDATE(DATEVALUE(C482&amp;"-01"),1))&gt;0,1,0)</f>
        <v>1</v>
      </c>
      <c r="H482" s="37">
        <f>IF(COUNTIFS('📋 Транзакції'!$B$5:$B$3623,A482,'📋 Транзакції'!$C$5:$C$3623,"&gt;="&amp;EDATE(DATEVALUE(C482&amp;"-01"),1),'📋 Транзакції'!$C$5:$C$3623,"&lt;"&amp;EDATE(DATEVALUE(C482&amp;"-01"),2))&gt;0,1,0)</f>
        <v>1</v>
      </c>
      <c r="I482" s="37">
        <f>IF(COUNTIFS('📋 Транзакції'!$B$5:$B$3623,A482,'📋 Транзакції'!$C$5:$C$3623,"&gt;="&amp;EDATE(DATEVALUE(C482&amp;"-01"),2),'📋 Транзакції'!$C$5:$C$3623,"&lt;"&amp;EDATE(DATEVALUE(C482&amp;"-01"),3))&gt;0,1,0)</f>
        <v>1</v>
      </c>
      <c r="J482" s="37">
        <f>IF(COUNTIFS('📋 Транзакції'!$B$5:$B$3623,A482,'📋 Транзакції'!$C$5:$C$3623,"&gt;="&amp;EDATE(DATEVALUE(C482&amp;"-01"),3),'📋 Транзакції'!$C$5:$C$3623,"&lt;"&amp;EDATE(DATEVALUE(C482&amp;"-01"),4))&gt;0,1,0)</f>
        <v>0</v>
      </c>
      <c r="K482" s="37">
        <f>IF(COUNTIFS('📋 Транзакції'!$B$5:$B$3623,A482,'📋 Транзакції'!$C$5:$C$3623,"&gt;="&amp;EDATE(DATEVALUE(C482&amp;"-01"),4),'📋 Транзакції'!$C$5:$C$3623,"&lt;"&amp;EDATE(DATEVALUE(C482&amp;"-01"),5))&gt;0,1,0)</f>
        <v>0</v>
      </c>
      <c r="L482" s="37">
        <f>IF(COUNTIFS('📋 Транзакції'!$B$5:$B$3623,A482,'📋 Транзакції'!$C$5:$C$3623,"&gt;="&amp;EDATE(DATEVALUE(C482&amp;"-01"),5),'📋 Транзакції'!$C$5:$C$3623,"&lt;"&amp;EDATE(DATEVALUE(C482&amp;"-01"),6))&gt;0,1,0)</f>
        <v>0</v>
      </c>
      <c r="M482" s="37">
        <f>IF(COUNTIFS('📋 Транзакції'!$B$5:$B$3623,A482,'📋 Транзакції'!$C$5:$C$3623,"&gt;="&amp;EDATE(DATEVALUE(C482&amp;"-01"),6),'📋 Транзакції'!$C$5:$C$3623,"&lt;"&amp;EDATE(DATEVALUE(C482&amp;"-01"),7))&gt;0,1,0)</f>
        <v>0</v>
      </c>
      <c r="N482" s="37">
        <f>IF(COUNTIFS('📋 Транзакції'!$B$5:$B$3623,A482,'📋 Транзакції'!$C$5:$C$3623,"&gt;="&amp;EDATE(DATEVALUE(C482&amp;"-01"),7),'📋 Транзакції'!$C$5:$C$3623,"&lt;"&amp;EDATE(DATEVALUE(C482&amp;"-01"),8))&gt;0,1,0)</f>
        <v>0</v>
      </c>
      <c r="O482" s="37">
        <f>IF(COUNTIFS('📋 Транзакції'!$B$5:$B$3623,A482,'📋 Транзакції'!$C$5:$C$3623,"&gt;="&amp;EDATE(DATEVALUE(C482&amp;"-01"),8),'📋 Транзакції'!$C$5:$C$3623,"&lt;"&amp;EDATE(DATEVALUE(C482&amp;"-01"),9))&gt;0,1,0)</f>
        <v>0</v>
      </c>
      <c r="P482" s="37">
        <f>IF(COUNTIFS('📋 Транзакції'!$B$5:$B$3623,A482,'📋 Транзакції'!$C$5:$C$3623,"&gt;="&amp;EDATE(DATEVALUE(C482&amp;"-01"),9),'📋 Транзакції'!$C$5:$C$3623,"&lt;"&amp;EDATE(DATEVALUE(C482&amp;"-01"),10))&gt;0,1,0)</f>
        <v>0</v>
      </c>
      <c r="Q482" s="37">
        <f>IF(COUNTIFS('📋 Транзакції'!$B$5:$B$3623,A482,'📋 Транзакції'!$C$5:$C$3623,"&gt;="&amp;EDATE(DATEVALUE(C482&amp;"-01"),10),'📋 Транзакції'!$C$5:$C$3623,"&lt;"&amp;EDATE(DATEVALUE(C482&amp;"-01"),11))&gt;0,1,0)</f>
        <v>0</v>
      </c>
      <c r="R482" s="37">
        <f>IF(COUNTIFS('📋 Транзакції'!$B$5:$B$3623,A482,'📋 Транзакції'!$C$5:$C$3623,"&gt;="&amp;EDATE(DATEVALUE(C482&amp;"-01"),11),'📋 Транзакції'!$C$5:$C$3623,"&lt;"&amp;EDATE(DATEVALUE(C482&amp;"-01"),12))&gt;0,1,0)</f>
        <v>0</v>
      </c>
      <c r="S482" s="37">
        <f>SUMIFS('📋 Транзакції'!$F$5:$F$3623,'📋 Транзакції'!$B$5:$B$3623,A482,'📋 Транзакції'!$C$5:$C$3623,"&gt;="&amp;EDATE(DATEVALUE(C482&amp;"-01"),0),'📋 Транзакції'!$C$5:$C$3623,"&lt;"&amp;EDATE(DATEVALUE(C482&amp;"-01"),1))</f>
        <v>19.99</v>
      </c>
      <c r="T482" s="37">
        <f>SUMIFS('📋 Транзакції'!$F$5:$F$3623,'📋 Транзакції'!$B$5:$B$3623,A482,'📋 Транзакції'!$C$5:$C$3623,"&gt;="&amp;EDATE(DATEVALUE(C482&amp;"-01"),1),'📋 Транзакції'!$C$5:$C$3623,"&lt;"&amp;EDATE(DATEVALUE(C482&amp;"-01"),2))</f>
        <v>19.99</v>
      </c>
      <c r="U482" s="37">
        <f>SUMIFS('📋 Транзакції'!$F$5:$F$3623,'📋 Транзакції'!$B$5:$B$3623,A482,'📋 Транзакції'!$C$5:$C$3623,"&gt;="&amp;EDATE(DATEVALUE(C482&amp;"-01"),2),'📋 Транзакції'!$C$5:$C$3623,"&lt;"&amp;EDATE(DATEVALUE(C482&amp;"-01"),3))</f>
        <v>19.99</v>
      </c>
      <c r="V482" s="37">
        <f>SUMIFS('📋 Транзакції'!$F$5:$F$3623,'📋 Транзакції'!$B$5:$B$3623,A482,'📋 Транзакції'!$C$5:$C$3623,"&gt;="&amp;EDATE(DATEVALUE(C482&amp;"-01"),3),'📋 Транзакції'!$C$5:$C$3623,"&lt;"&amp;EDATE(DATEVALUE(C482&amp;"-01"),4))</f>
        <v>0</v>
      </c>
      <c r="W482" s="37">
        <f>SUMIFS('📋 Транзакції'!$F$5:$F$3623,'📋 Транзакції'!$B$5:$B$3623,A482,'📋 Транзакції'!$C$5:$C$3623,"&gt;="&amp;EDATE(DATEVALUE(C482&amp;"-01"),4),'📋 Транзакції'!$C$5:$C$3623,"&lt;"&amp;EDATE(DATEVALUE(C482&amp;"-01"),5))</f>
        <v>0</v>
      </c>
      <c r="X482" s="37">
        <f>SUMIFS('📋 Транзакції'!$F$5:$F$3623,'📋 Транзакції'!$B$5:$B$3623,A482,'📋 Транзакції'!$C$5:$C$3623,"&gt;="&amp;EDATE(DATEVALUE(C482&amp;"-01"),5),'📋 Транзакції'!$C$5:$C$3623,"&lt;"&amp;EDATE(DATEVALUE(C482&amp;"-01"),6))</f>
        <v>0</v>
      </c>
      <c r="Y482" s="37">
        <f>SUMIFS('📋 Транзакції'!$F$5:$F$3623,'📋 Транзакції'!$B$5:$B$3623,A482,'📋 Транзакції'!$C$5:$C$3623,"&gt;="&amp;EDATE(DATEVALUE(C482&amp;"-01"),6),'📋 Транзакції'!$C$5:$C$3623,"&lt;"&amp;EDATE(DATEVALUE(C482&amp;"-01"),7))</f>
        <v>0</v>
      </c>
      <c r="Z482" s="37">
        <f>SUMIFS('📋 Транзакції'!$F$5:$F$3623,'📋 Транзакції'!$B$5:$B$3623,A482,'📋 Транзакції'!$C$5:$C$3623,"&gt;="&amp;EDATE(DATEVALUE(C482&amp;"-01"),7),'📋 Транзакції'!$C$5:$C$3623,"&lt;"&amp;EDATE(DATEVALUE(C482&amp;"-01"),8))</f>
        <v>0</v>
      </c>
      <c r="AA482" s="37">
        <f>SUMIFS('📋 Транзакції'!$F$5:$F$3623,'📋 Транзакції'!$B$5:$B$3623,A482,'📋 Транзакції'!$C$5:$C$3623,"&gt;="&amp;EDATE(DATEVALUE(C482&amp;"-01"),8),'📋 Транзакції'!$C$5:$C$3623,"&lt;"&amp;EDATE(DATEVALUE(C482&amp;"-01"),9))</f>
        <v>0</v>
      </c>
      <c r="AB482" s="37">
        <f>SUMIFS('📋 Транзакції'!$F$5:$F$3623,'📋 Транзакції'!$B$5:$B$3623,A482,'📋 Транзакції'!$C$5:$C$3623,"&gt;="&amp;EDATE(DATEVALUE(C482&amp;"-01"),9),'📋 Транзакції'!$C$5:$C$3623,"&lt;"&amp;EDATE(DATEVALUE(C482&amp;"-01"),10))</f>
        <v>0</v>
      </c>
      <c r="AC482" s="37">
        <f>SUMIFS('📋 Транзакції'!$F$5:$F$3623,'📋 Транзакції'!$B$5:$B$3623,A482,'📋 Транзакції'!$C$5:$C$3623,"&gt;="&amp;EDATE(DATEVALUE(C482&amp;"-01"),10),'📋 Транзакції'!$C$5:$C$3623,"&lt;"&amp;EDATE(DATEVALUE(C482&amp;"-01"),11))</f>
        <v>0</v>
      </c>
      <c r="AD482" s="37">
        <f>SUMIFS('📋 Транзакції'!$F$5:$F$3623,'📋 Транзакції'!$B$5:$B$3623,A482,'📋 Транзакції'!$C$5:$C$3623,"&gt;="&amp;EDATE(DATEVALUE(C482&amp;"-01"),11),'📋 Транзакції'!$C$5:$C$3623,"&lt;"&amp;EDATE(DATEVALUE(C482&amp;"-01"),12))</f>
        <v>0</v>
      </c>
    </row>
    <row r="483" ht="15.75" customHeight="1">
      <c r="A483" s="33" t="str">
        <f>'📋 Реєстрації'!A483:A1084</f>
        <v>U0068</v>
      </c>
      <c r="B483" s="34">
        <f t="array" ref="B483">INDEX('📋 Транзакції'!$C$5:$C$3623,MATCH(A483,'📋 Транзакції'!$B$5:$B$3623,0))</f>
        <v>45677</v>
      </c>
      <c r="C483" s="35" t="str">
        <f t="shared" si="1"/>
        <v>2025-01</v>
      </c>
      <c r="D483" s="36">
        <f>COUNTIF('📋 Транзакції'!$B$5:$B$3623,A483)</f>
        <v>4</v>
      </c>
      <c r="E483" s="36">
        <f>SUMIF('📋 Транзакції'!$B$5:$B$3623,A483,'📋 Транзакції'!$F$5:$F$3623)</f>
        <v>59.97</v>
      </c>
      <c r="F483" s="35">
        <f>INT($A$1-MAXIFS('📋 Транзакції'!$C$5:$C$3623,'📋 Транзакції'!$B$5:$B$3623,A483))</f>
        <v>3</v>
      </c>
      <c r="G483" s="37">
        <f>IF(COUNTIFS('📋 Транзакції'!$B$5:$B$3623,A483,'📋 Транзакції'!$C$5:$C$3623,"&gt;="&amp;EDATE(DATEVALUE(C483&amp;"-01"),0),'📋 Транзакції'!$C$5:$C$3623,"&lt;"&amp;EDATE(DATEVALUE(C483&amp;"-01"),1))&gt;0,1,0)</f>
        <v>1</v>
      </c>
      <c r="H483" s="37">
        <f>IF(COUNTIFS('📋 Транзакції'!$B$5:$B$3623,A483,'📋 Транзакції'!$C$5:$C$3623,"&gt;="&amp;EDATE(DATEVALUE(C483&amp;"-01"),1),'📋 Транзакції'!$C$5:$C$3623,"&lt;"&amp;EDATE(DATEVALUE(C483&amp;"-01"),2))&gt;0,1,0)</f>
        <v>1</v>
      </c>
      <c r="I483" s="37">
        <f>IF(COUNTIFS('📋 Транзакції'!$B$5:$B$3623,A483,'📋 Транзакції'!$C$5:$C$3623,"&gt;="&amp;EDATE(DATEVALUE(C483&amp;"-01"),2),'📋 Транзакції'!$C$5:$C$3623,"&lt;"&amp;EDATE(DATEVALUE(C483&amp;"-01"),3))&gt;0,1,0)</f>
        <v>1</v>
      </c>
      <c r="J483" s="37">
        <f>IF(COUNTIFS('📋 Транзакції'!$B$5:$B$3623,A483,'📋 Транзакції'!$C$5:$C$3623,"&gt;="&amp;EDATE(DATEVALUE(C483&amp;"-01"),3),'📋 Транзакції'!$C$5:$C$3623,"&lt;"&amp;EDATE(DATEVALUE(C483&amp;"-01"),4))&gt;0,1,0)</f>
        <v>0</v>
      </c>
      <c r="K483" s="37">
        <f>IF(COUNTIFS('📋 Транзакції'!$B$5:$B$3623,A483,'📋 Транзакції'!$C$5:$C$3623,"&gt;="&amp;EDATE(DATEVALUE(C483&amp;"-01"),4),'📋 Транзакції'!$C$5:$C$3623,"&lt;"&amp;EDATE(DATEVALUE(C483&amp;"-01"),5))&gt;0,1,0)</f>
        <v>0</v>
      </c>
      <c r="L483" s="37">
        <f>IF(COUNTIFS('📋 Транзакції'!$B$5:$B$3623,A483,'📋 Транзакції'!$C$5:$C$3623,"&gt;="&amp;EDATE(DATEVALUE(C483&amp;"-01"),5),'📋 Транзакції'!$C$5:$C$3623,"&lt;"&amp;EDATE(DATEVALUE(C483&amp;"-01"),6))&gt;0,1,0)</f>
        <v>0</v>
      </c>
      <c r="M483" s="37">
        <f>IF(COUNTIFS('📋 Транзакції'!$B$5:$B$3623,A483,'📋 Транзакції'!$C$5:$C$3623,"&gt;="&amp;EDATE(DATEVALUE(C483&amp;"-01"),6),'📋 Транзакції'!$C$5:$C$3623,"&lt;"&amp;EDATE(DATEVALUE(C483&amp;"-01"),7))&gt;0,1,0)</f>
        <v>0</v>
      </c>
      <c r="N483" s="37">
        <f>IF(COUNTIFS('📋 Транзакції'!$B$5:$B$3623,A483,'📋 Транзакції'!$C$5:$C$3623,"&gt;="&amp;EDATE(DATEVALUE(C483&amp;"-01"),7),'📋 Транзакції'!$C$5:$C$3623,"&lt;"&amp;EDATE(DATEVALUE(C483&amp;"-01"),8))&gt;0,1,0)</f>
        <v>0</v>
      </c>
      <c r="O483" s="37">
        <f>IF(COUNTIFS('📋 Транзакції'!$B$5:$B$3623,A483,'📋 Транзакції'!$C$5:$C$3623,"&gt;="&amp;EDATE(DATEVALUE(C483&amp;"-01"),8),'📋 Транзакції'!$C$5:$C$3623,"&lt;"&amp;EDATE(DATEVALUE(C483&amp;"-01"),9))&gt;0,1,0)</f>
        <v>0</v>
      </c>
      <c r="P483" s="37">
        <f>IF(COUNTIFS('📋 Транзакції'!$B$5:$B$3623,A483,'📋 Транзакції'!$C$5:$C$3623,"&gt;="&amp;EDATE(DATEVALUE(C483&amp;"-01"),9),'📋 Транзакції'!$C$5:$C$3623,"&lt;"&amp;EDATE(DATEVALUE(C483&amp;"-01"),10))&gt;0,1,0)</f>
        <v>0</v>
      </c>
      <c r="Q483" s="37">
        <f>IF(COUNTIFS('📋 Транзакції'!$B$5:$B$3623,A483,'📋 Транзакції'!$C$5:$C$3623,"&gt;="&amp;EDATE(DATEVALUE(C483&amp;"-01"),10),'📋 Транзакції'!$C$5:$C$3623,"&lt;"&amp;EDATE(DATEVALUE(C483&amp;"-01"),11))&gt;0,1,0)</f>
        <v>0</v>
      </c>
      <c r="R483" s="37">
        <f>IF(COUNTIFS('📋 Транзакції'!$B$5:$B$3623,A483,'📋 Транзакції'!$C$5:$C$3623,"&gt;="&amp;EDATE(DATEVALUE(C483&amp;"-01"),11),'📋 Транзакції'!$C$5:$C$3623,"&lt;"&amp;EDATE(DATEVALUE(C483&amp;"-01"),12))&gt;0,1,0)</f>
        <v>0</v>
      </c>
      <c r="S483" s="37">
        <f>SUMIFS('📋 Транзакції'!$F$5:$F$3623,'📋 Транзакції'!$B$5:$B$3623,A483,'📋 Транзакції'!$C$5:$C$3623,"&gt;="&amp;EDATE(DATEVALUE(C483&amp;"-01"),0),'📋 Транзакції'!$C$5:$C$3623,"&lt;"&amp;EDATE(DATEVALUE(C483&amp;"-01"),1))</f>
        <v>19.99</v>
      </c>
      <c r="T483" s="37">
        <f>SUMIFS('📋 Транзакції'!$F$5:$F$3623,'📋 Транзакції'!$B$5:$B$3623,A483,'📋 Транзакції'!$C$5:$C$3623,"&gt;="&amp;EDATE(DATEVALUE(C483&amp;"-01"),1),'📋 Транзакції'!$C$5:$C$3623,"&lt;"&amp;EDATE(DATEVALUE(C483&amp;"-01"),2))</f>
        <v>19.99</v>
      </c>
      <c r="U483" s="37">
        <f>SUMIFS('📋 Транзакції'!$F$5:$F$3623,'📋 Транзакції'!$B$5:$B$3623,A483,'📋 Транзакції'!$C$5:$C$3623,"&gt;="&amp;EDATE(DATEVALUE(C483&amp;"-01"),2),'📋 Транзакції'!$C$5:$C$3623,"&lt;"&amp;EDATE(DATEVALUE(C483&amp;"-01"),3))</f>
        <v>19.99</v>
      </c>
      <c r="V483" s="37">
        <f>SUMIFS('📋 Транзакції'!$F$5:$F$3623,'📋 Транзакції'!$B$5:$B$3623,A483,'📋 Транзакції'!$C$5:$C$3623,"&gt;="&amp;EDATE(DATEVALUE(C483&amp;"-01"),3),'📋 Транзакції'!$C$5:$C$3623,"&lt;"&amp;EDATE(DATEVALUE(C483&amp;"-01"),4))</f>
        <v>0</v>
      </c>
      <c r="W483" s="37">
        <f>SUMIFS('📋 Транзакції'!$F$5:$F$3623,'📋 Транзакції'!$B$5:$B$3623,A483,'📋 Транзакції'!$C$5:$C$3623,"&gt;="&amp;EDATE(DATEVALUE(C483&amp;"-01"),4),'📋 Транзакції'!$C$5:$C$3623,"&lt;"&amp;EDATE(DATEVALUE(C483&amp;"-01"),5))</f>
        <v>0</v>
      </c>
      <c r="X483" s="37">
        <f>SUMIFS('📋 Транзакції'!$F$5:$F$3623,'📋 Транзакції'!$B$5:$B$3623,A483,'📋 Транзакції'!$C$5:$C$3623,"&gt;="&amp;EDATE(DATEVALUE(C483&amp;"-01"),5),'📋 Транзакції'!$C$5:$C$3623,"&lt;"&amp;EDATE(DATEVALUE(C483&amp;"-01"),6))</f>
        <v>0</v>
      </c>
      <c r="Y483" s="37">
        <f>SUMIFS('📋 Транзакції'!$F$5:$F$3623,'📋 Транзакції'!$B$5:$B$3623,A483,'📋 Транзакції'!$C$5:$C$3623,"&gt;="&amp;EDATE(DATEVALUE(C483&amp;"-01"),6),'📋 Транзакції'!$C$5:$C$3623,"&lt;"&amp;EDATE(DATEVALUE(C483&amp;"-01"),7))</f>
        <v>0</v>
      </c>
      <c r="Z483" s="37">
        <f>SUMIFS('📋 Транзакції'!$F$5:$F$3623,'📋 Транзакції'!$B$5:$B$3623,A483,'📋 Транзакції'!$C$5:$C$3623,"&gt;="&amp;EDATE(DATEVALUE(C483&amp;"-01"),7),'📋 Транзакції'!$C$5:$C$3623,"&lt;"&amp;EDATE(DATEVALUE(C483&amp;"-01"),8))</f>
        <v>0</v>
      </c>
      <c r="AA483" s="37">
        <f>SUMIFS('📋 Транзакції'!$F$5:$F$3623,'📋 Транзакції'!$B$5:$B$3623,A483,'📋 Транзакції'!$C$5:$C$3623,"&gt;="&amp;EDATE(DATEVALUE(C483&amp;"-01"),8),'📋 Транзакції'!$C$5:$C$3623,"&lt;"&amp;EDATE(DATEVALUE(C483&amp;"-01"),9))</f>
        <v>0</v>
      </c>
      <c r="AB483" s="37">
        <f>SUMIFS('📋 Транзакції'!$F$5:$F$3623,'📋 Транзакції'!$B$5:$B$3623,A483,'📋 Транзакції'!$C$5:$C$3623,"&gt;="&amp;EDATE(DATEVALUE(C483&amp;"-01"),9),'📋 Транзакції'!$C$5:$C$3623,"&lt;"&amp;EDATE(DATEVALUE(C483&amp;"-01"),10))</f>
        <v>0</v>
      </c>
      <c r="AC483" s="37">
        <f>SUMIFS('📋 Транзакції'!$F$5:$F$3623,'📋 Транзакції'!$B$5:$B$3623,A483,'📋 Транзакції'!$C$5:$C$3623,"&gt;="&amp;EDATE(DATEVALUE(C483&amp;"-01"),10),'📋 Транзакції'!$C$5:$C$3623,"&lt;"&amp;EDATE(DATEVALUE(C483&amp;"-01"),11))</f>
        <v>0</v>
      </c>
      <c r="AD483" s="37">
        <f>SUMIFS('📋 Транзакції'!$F$5:$F$3623,'📋 Транзакції'!$B$5:$B$3623,A483,'📋 Транзакції'!$C$5:$C$3623,"&gt;="&amp;EDATE(DATEVALUE(C483&amp;"-01"),11),'📋 Транзакції'!$C$5:$C$3623,"&lt;"&amp;EDATE(DATEVALUE(C483&amp;"-01"),12))</f>
        <v>0</v>
      </c>
    </row>
    <row r="484" ht="15.75" customHeight="1">
      <c r="A484" s="33" t="str">
        <f>'📋 Реєстрації'!A484:A1085</f>
        <v>U0200</v>
      </c>
      <c r="B484" s="34">
        <f t="array" ref="B484">INDEX('📋 Транзакції'!$C$5:$C$3623,MATCH(A484,'📋 Транзакції'!$B$5:$B$3623,0))</f>
        <v>45677</v>
      </c>
      <c r="C484" s="35" t="str">
        <f t="shared" si="1"/>
        <v>2025-01</v>
      </c>
      <c r="D484" s="36">
        <f>COUNTIF('📋 Транзакції'!$B$5:$B$3623,A484)</f>
        <v>3</v>
      </c>
      <c r="E484" s="36">
        <f>SUMIF('📋 Транзакції'!$B$5:$B$3623,A484,'📋 Транзакції'!$F$5:$F$3623)</f>
        <v>39.98</v>
      </c>
      <c r="F484" s="35">
        <f>INT($A$1-MAXIFS('📋 Транзакції'!$C$5:$C$3623,'📋 Транзакції'!$B$5:$B$3623,A484))</f>
        <v>33</v>
      </c>
      <c r="G484" s="37">
        <f>IF(COUNTIFS('📋 Транзакції'!$B$5:$B$3623,A484,'📋 Транзакції'!$C$5:$C$3623,"&gt;="&amp;EDATE(DATEVALUE(C484&amp;"-01"),0),'📋 Транзакції'!$C$5:$C$3623,"&lt;"&amp;EDATE(DATEVALUE(C484&amp;"-01"),1))&gt;0,1,0)</f>
        <v>1</v>
      </c>
      <c r="H484" s="37">
        <f>IF(COUNTIFS('📋 Транзакції'!$B$5:$B$3623,A484,'📋 Транзакції'!$C$5:$C$3623,"&gt;="&amp;EDATE(DATEVALUE(C484&amp;"-01"),1),'📋 Транзакції'!$C$5:$C$3623,"&lt;"&amp;EDATE(DATEVALUE(C484&amp;"-01"),2))&gt;0,1,0)</f>
        <v>1</v>
      </c>
      <c r="I484" s="37">
        <f>IF(COUNTIFS('📋 Транзакції'!$B$5:$B$3623,A484,'📋 Транзакції'!$C$5:$C$3623,"&gt;="&amp;EDATE(DATEVALUE(C484&amp;"-01"),2),'📋 Транзакції'!$C$5:$C$3623,"&lt;"&amp;EDATE(DATEVALUE(C484&amp;"-01"),3))&gt;0,1,0)</f>
        <v>0</v>
      </c>
      <c r="J484" s="37">
        <f>IF(COUNTIFS('📋 Транзакції'!$B$5:$B$3623,A484,'📋 Транзакції'!$C$5:$C$3623,"&gt;="&amp;EDATE(DATEVALUE(C484&amp;"-01"),3),'📋 Транзакції'!$C$5:$C$3623,"&lt;"&amp;EDATE(DATEVALUE(C484&amp;"-01"),4))&gt;0,1,0)</f>
        <v>0</v>
      </c>
      <c r="K484" s="37">
        <f>IF(COUNTIFS('📋 Транзакції'!$B$5:$B$3623,A484,'📋 Транзакції'!$C$5:$C$3623,"&gt;="&amp;EDATE(DATEVALUE(C484&amp;"-01"),4),'📋 Транзакції'!$C$5:$C$3623,"&lt;"&amp;EDATE(DATEVALUE(C484&amp;"-01"),5))&gt;0,1,0)</f>
        <v>0</v>
      </c>
      <c r="L484" s="37">
        <f>IF(COUNTIFS('📋 Транзакції'!$B$5:$B$3623,A484,'📋 Транзакції'!$C$5:$C$3623,"&gt;="&amp;EDATE(DATEVALUE(C484&amp;"-01"),5),'📋 Транзакції'!$C$5:$C$3623,"&lt;"&amp;EDATE(DATEVALUE(C484&amp;"-01"),6))&gt;0,1,0)</f>
        <v>0</v>
      </c>
      <c r="M484" s="37">
        <f>IF(COUNTIFS('📋 Транзакції'!$B$5:$B$3623,A484,'📋 Транзакції'!$C$5:$C$3623,"&gt;="&amp;EDATE(DATEVALUE(C484&amp;"-01"),6),'📋 Транзакції'!$C$5:$C$3623,"&lt;"&amp;EDATE(DATEVALUE(C484&amp;"-01"),7))&gt;0,1,0)</f>
        <v>0</v>
      </c>
      <c r="N484" s="37">
        <f>IF(COUNTIFS('📋 Транзакції'!$B$5:$B$3623,A484,'📋 Транзакції'!$C$5:$C$3623,"&gt;="&amp;EDATE(DATEVALUE(C484&amp;"-01"),7),'📋 Транзакції'!$C$5:$C$3623,"&lt;"&amp;EDATE(DATEVALUE(C484&amp;"-01"),8))&gt;0,1,0)</f>
        <v>0</v>
      </c>
      <c r="O484" s="37">
        <f>IF(COUNTIFS('📋 Транзакції'!$B$5:$B$3623,A484,'📋 Транзакції'!$C$5:$C$3623,"&gt;="&amp;EDATE(DATEVALUE(C484&amp;"-01"),8),'📋 Транзакції'!$C$5:$C$3623,"&lt;"&amp;EDATE(DATEVALUE(C484&amp;"-01"),9))&gt;0,1,0)</f>
        <v>0</v>
      </c>
      <c r="P484" s="37">
        <f>IF(COUNTIFS('📋 Транзакції'!$B$5:$B$3623,A484,'📋 Транзакції'!$C$5:$C$3623,"&gt;="&amp;EDATE(DATEVALUE(C484&amp;"-01"),9),'📋 Транзакції'!$C$5:$C$3623,"&lt;"&amp;EDATE(DATEVALUE(C484&amp;"-01"),10))&gt;0,1,0)</f>
        <v>0</v>
      </c>
      <c r="Q484" s="37">
        <f>IF(COUNTIFS('📋 Транзакції'!$B$5:$B$3623,A484,'📋 Транзакції'!$C$5:$C$3623,"&gt;="&amp;EDATE(DATEVALUE(C484&amp;"-01"),10),'📋 Транзакції'!$C$5:$C$3623,"&lt;"&amp;EDATE(DATEVALUE(C484&amp;"-01"),11))&gt;0,1,0)</f>
        <v>0</v>
      </c>
      <c r="R484" s="37">
        <f>IF(COUNTIFS('📋 Транзакції'!$B$5:$B$3623,A484,'📋 Транзакції'!$C$5:$C$3623,"&gt;="&amp;EDATE(DATEVALUE(C484&amp;"-01"),11),'📋 Транзакції'!$C$5:$C$3623,"&lt;"&amp;EDATE(DATEVALUE(C484&amp;"-01"),12))&gt;0,1,0)</f>
        <v>0</v>
      </c>
      <c r="S484" s="37">
        <f>SUMIFS('📋 Транзакції'!$F$5:$F$3623,'📋 Транзакції'!$B$5:$B$3623,A484,'📋 Транзакції'!$C$5:$C$3623,"&gt;="&amp;EDATE(DATEVALUE(C484&amp;"-01"),0),'📋 Транзакції'!$C$5:$C$3623,"&lt;"&amp;EDATE(DATEVALUE(C484&amp;"-01"),1))</f>
        <v>19.99</v>
      </c>
      <c r="T484" s="37">
        <f>SUMIFS('📋 Транзакції'!$F$5:$F$3623,'📋 Транзакції'!$B$5:$B$3623,A484,'📋 Транзакції'!$C$5:$C$3623,"&gt;="&amp;EDATE(DATEVALUE(C484&amp;"-01"),1),'📋 Транзакції'!$C$5:$C$3623,"&lt;"&amp;EDATE(DATEVALUE(C484&amp;"-01"),2))</f>
        <v>19.99</v>
      </c>
      <c r="U484" s="37">
        <f>SUMIFS('📋 Транзакції'!$F$5:$F$3623,'📋 Транзакції'!$B$5:$B$3623,A484,'📋 Транзакції'!$C$5:$C$3623,"&gt;="&amp;EDATE(DATEVALUE(C484&amp;"-01"),2),'📋 Транзакції'!$C$5:$C$3623,"&lt;"&amp;EDATE(DATEVALUE(C484&amp;"-01"),3))</f>
        <v>0</v>
      </c>
      <c r="V484" s="37">
        <f>SUMIFS('📋 Транзакції'!$F$5:$F$3623,'📋 Транзакції'!$B$5:$B$3623,A484,'📋 Транзакції'!$C$5:$C$3623,"&gt;="&amp;EDATE(DATEVALUE(C484&amp;"-01"),3),'📋 Транзакції'!$C$5:$C$3623,"&lt;"&amp;EDATE(DATEVALUE(C484&amp;"-01"),4))</f>
        <v>0</v>
      </c>
      <c r="W484" s="37">
        <f>SUMIFS('📋 Транзакції'!$F$5:$F$3623,'📋 Транзакції'!$B$5:$B$3623,A484,'📋 Транзакції'!$C$5:$C$3623,"&gt;="&amp;EDATE(DATEVALUE(C484&amp;"-01"),4),'📋 Транзакції'!$C$5:$C$3623,"&lt;"&amp;EDATE(DATEVALUE(C484&amp;"-01"),5))</f>
        <v>0</v>
      </c>
      <c r="X484" s="37">
        <f>SUMIFS('📋 Транзакції'!$F$5:$F$3623,'📋 Транзакції'!$B$5:$B$3623,A484,'📋 Транзакції'!$C$5:$C$3623,"&gt;="&amp;EDATE(DATEVALUE(C484&amp;"-01"),5),'📋 Транзакції'!$C$5:$C$3623,"&lt;"&amp;EDATE(DATEVALUE(C484&amp;"-01"),6))</f>
        <v>0</v>
      </c>
      <c r="Y484" s="37">
        <f>SUMIFS('📋 Транзакції'!$F$5:$F$3623,'📋 Транзакції'!$B$5:$B$3623,A484,'📋 Транзакції'!$C$5:$C$3623,"&gt;="&amp;EDATE(DATEVALUE(C484&amp;"-01"),6),'📋 Транзакції'!$C$5:$C$3623,"&lt;"&amp;EDATE(DATEVALUE(C484&amp;"-01"),7))</f>
        <v>0</v>
      </c>
      <c r="Z484" s="37">
        <f>SUMIFS('📋 Транзакції'!$F$5:$F$3623,'📋 Транзакції'!$B$5:$B$3623,A484,'📋 Транзакції'!$C$5:$C$3623,"&gt;="&amp;EDATE(DATEVALUE(C484&amp;"-01"),7),'📋 Транзакції'!$C$5:$C$3623,"&lt;"&amp;EDATE(DATEVALUE(C484&amp;"-01"),8))</f>
        <v>0</v>
      </c>
      <c r="AA484" s="37">
        <f>SUMIFS('📋 Транзакції'!$F$5:$F$3623,'📋 Транзакції'!$B$5:$B$3623,A484,'📋 Транзакції'!$C$5:$C$3623,"&gt;="&amp;EDATE(DATEVALUE(C484&amp;"-01"),8),'📋 Транзакції'!$C$5:$C$3623,"&lt;"&amp;EDATE(DATEVALUE(C484&amp;"-01"),9))</f>
        <v>0</v>
      </c>
      <c r="AB484" s="37">
        <f>SUMIFS('📋 Транзакції'!$F$5:$F$3623,'📋 Транзакції'!$B$5:$B$3623,A484,'📋 Транзакції'!$C$5:$C$3623,"&gt;="&amp;EDATE(DATEVALUE(C484&amp;"-01"),9),'📋 Транзакції'!$C$5:$C$3623,"&lt;"&amp;EDATE(DATEVALUE(C484&amp;"-01"),10))</f>
        <v>0</v>
      </c>
      <c r="AC484" s="37">
        <f>SUMIFS('📋 Транзакції'!$F$5:$F$3623,'📋 Транзакції'!$B$5:$B$3623,A484,'📋 Транзакції'!$C$5:$C$3623,"&gt;="&amp;EDATE(DATEVALUE(C484&amp;"-01"),10),'📋 Транзакції'!$C$5:$C$3623,"&lt;"&amp;EDATE(DATEVALUE(C484&amp;"-01"),11))</f>
        <v>0</v>
      </c>
      <c r="AD484" s="37">
        <f>SUMIFS('📋 Транзакції'!$F$5:$F$3623,'📋 Транзакції'!$B$5:$B$3623,A484,'📋 Транзакції'!$C$5:$C$3623,"&gt;="&amp;EDATE(DATEVALUE(C484&amp;"-01"),11),'📋 Транзакції'!$C$5:$C$3623,"&lt;"&amp;EDATE(DATEVALUE(C484&amp;"-01"),12))</f>
        <v>0</v>
      </c>
    </row>
    <row r="485" ht="15.75" customHeight="1">
      <c r="A485" s="33" t="str">
        <f>'📋 Реєстрації'!A485:A1086</f>
        <v>U0400</v>
      </c>
      <c r="B485" s="34">
        <f t="array" ref="B485">INDEX('📋 Транзакції'!$C$5:$C$3623,MATCH(A485,'📋 Транзакції'!$B$5:$B$3623,0))</f>
        <v>45679</v>
      </c>
      <c r="C485" s="35" t="str">
        <f t="shared" si="1"/>
        <v>2025-01</v>
      </c>
      <c r="D485" s="36">
        <f>COUNTIF('📋 Транзакції'!$B$5:$B$3623,A485)</f>
        <v>4</v>
      </c>
      <c r="E485" s="36">
        <f>SUMIF('📋 Транзакції'!$B$5:$B$3623,A485,'📋 Транзакції'!$F$5:$F$3623)</f>
        <v>59.97</v>
      </c>
      <c r="F485" s="35">
        <f>INT($A$1-MAXIFS('📋 Транзакції'!$C$5:$C$3623,'📋 Транзакції'!$B$5:$B$3623,A485))</f>
        <v>1</v>
      </c>
      <c r="G485" s="37">
        <f>IF(COUNTIFS('📋 Транзакції'!$B$5:$B$3623,A485,'📋 Транзакції'!$C$5:$C$3623,"&gt;="&amp;EDATE(DATEVALUE(C485&amp;"-01"),0),'📋 Транзакції'!$C$5:$C$3623,"&lt;"&amp;EDATE(DATEVALUE(C485&amp;"-01"),1))&gt;0,1,0)</f>
        <v>1</v>
      </c>
      <c r="H485" s="37">
        <f>IF(COUNTIFS('📋 Транзакції'!$B$5:$B$3623,A485,'📋 Транзакції'!$C$5:$C$3623,"&gt;="&amp;EDATE(DATEVALUE(C485&amp;"-01"),1),'📋 Транзакції'!$C$5:$C$3623,"&lt;"&amp;EDATE(DATEVALUE(C485&amp;"-01"),2))&gt;0,1,0)</f>
        <v>1</v>
      </c>
      <c r="I485" s="37">
        <f>IF(COUNTIFS('📋 Транзакції'!$B$5:$B$3623,A485,'📋 Транзакції'!$C$5:$C$3623,"&gt;="&amp;EDATE(DATEVALUE(C485&amp;"-01"),2),'📋 Транзакції'!$C$5:$C$3623,"&lt;"&amp;EDATE(DATEVALUE(C485&amp;"-01"),3))&gt;0,1,0)</f>
        <v>1</v>
      </c>
      <c r="J485" s="37">
        <f>IF(COUNTIFS('📋 Транзакції'!$B$5:$B$3623,A485,'📋 Транзакції'!$C$5:$C$3623,"&gt;="&amp;EDATE(DATEVALUE(C485&amp;"-01"),3),'📋 Транзакції'!$C$5:$C$3623,"&lt;"&amp;EDATE(DATEVALUE(C485&amp;"-01"),4))&gt;0,1,0)</f>
        <v>0</v>
      </c>
      <c r="K485" s="37">
        <f>IF(COUNTIFS('📋 Транзакції'!$B$5:$B$3623,A485,'📋 Транзакції'!$C$5:$C$3623,"&gt;="&amp;EDATE(DATEVALUE(C485&amp;"-01"),4),'📋 Транзакції'!$C$5:$C$3623,"&lt;"&amp;EDATE(DATEVALUE(C485&amp;"-01"),5))&gt;0,1,0)</f>
        <v>0</v>
      </c>
      <c r="L485" s="37">
        <f>IF(COUNTIFS('📋 Транзакції'!$B$5:$B$3623,A485,'📋 Транзакції'!$C$5:$C$3623,"&gt;="&amp;EDATE(DATEVALUE(C485&amp;"-01"),5),'📋 Транзакції'!$C$5:$C$3623,"&lt;"&amp;EDATE(DATEVALUE(C485&amp;"-01"),6))&gt;0,1,0)</f>
        <v>0</v>
      </c>
      <c r="M485" s="37">
        <f>IF(COUNTIFS('📋 Транзакції'!$B$5:$B$3623,A485,'📋 Транзакції'!$C$5:$C$3623,"&gt;="&amp;EDATE(DATEVALUE(C485&amp;"-01"),6),'📋 Транзакції'!$C$5:$C$3623,"&lt;"&amp;EDATE(DATEVALUE(C485&amp;"-01"),7))&gt;0,1,0)</f>
        <v>0</v>
      </c>
      <c r="N485" s="37">
        <f>IF(COUNTIFS('📋 Транзакції'!$B$5:$B$3623,A485,'📋 Транзакції'!$C$5:$C$3623,"&gt;="&amp;EDATE(DATEVALUE(C485&amp;"-01"),7),'📋 Транзакції'!$C$5:$C$3623,"&lt;"&amp;EDATE(DATEVALUE(C485&amp;"-01"),8))&gt;0,1,0)</f>
        <v>0</v>
      </c>
      <c r="O485" s="37">
        <f>IF(COUNTIFS('📋 Транзакції'!$B$5:$B$3623,A485,'📋 Транзакції'!$C$5:$C$3623,"&gt;="&amp;EDATE(DATEVALUE(C485&amp;"-01"),8),'📋 Транзакції'!$C$5:$C$3623,"&lt;"&amp;EDATE(DATEVALUE(C485&amp;"-01"),9))&gt;0,1,0)</f>
        <v>0</v>
      </c>
      <c r="P485" s="37">
        <f>IF(COUNTIFS('📋 Транзакції'!$B$5:$B$3623,A485,'📋 Транзакції'!$C$5:$C$3623,"&gt;="&amp;EDATE(DATEVALUE(C485&amp;"-01"),9),'📋 Транзакції'!$C$5:$C$3623,"&lt;"&amp;EDATE(DATEVALUE(C485&amp;"-01"),10))&gt;0,1,0)</f>
        <v>0</v>
      </c>
      <c r="Q485" s="37">
        <f>IF(COUNTIFS('📋 Транзакції'!$B$5:$B$3623,A485,'📋 Транзакції'!$C$5:$C$3623,"&gt;="&amp;EDATE(DATEVALUE(C485&amp;"-01"),10),'📋 Транзакції'!$C$5:$C$3623,"&lt;"&amp;EDATE(DATEVALUE(C485&amp;"-01"),11))&gt;0,1,0)</f>
        <v>0</v>
      </c>
      <c r="R485" s="37">
        <f>IF(COUNTIFS('📋 Транзакції'!$B$5:$B$3623,A485,'📋 Транзакції'!$C$5:$C$3623,"&gt;="&amp;EDATE(DATEVALUE(C485&amp;"-01"),11),'📋 Транзакції'!$C$5:$C$3623,"&lt;"&amp;EDATE(DATEVALUE(C485&amp;"-01"),12))&gt;0,1,0)</f>
        <v>0</v>
      </c>
      <c r="S485" s="37">
        <f>SUMIFS('📋 Транзакції'!$F$5:$F$3623,'📋 Транзакції'!$B$5:$B$3623,A485,'📋 Транзакції'!$C$5:$C$3623,"&gt;="&amp;EDATE(DATEVALUE(C485&amp;"-01"),0),'📋 Транзакції'!$C$5:$C$3623,"&lt;"&amp;EDATE(DATEVALUE(C485&amp;"-01"),1))</f>
        <v>19.99</v>
      </c>
      <c r="T485" s="37">
        <f>SUMIFS('📋 Транзакції'!$F$5:$F$3623,'📋 Транзакції'!$B$5:$B$3623,A485,'📋 Транзакції'!$C$5:$C$3623,"&gt;="&amp;EDATE(DATEVALUE(C485&amp;"-01"),1),'📋 Транзакції'!$C$5:$C$3623,"&lt;"&amp;EDATE(DATEVALUE(C485&amp;"-01"),2))</f>
        <v>19.99</v>
      </c>
      <c r="U485" s="37">
        <f>SUMIFS('📋 Транзакції'!$F$5:$F$3623,'📋 Транзакції'!$B$5:$B$3623,A485,'📋 Транзакції'!$C$5:$C$3623,"&gt;="&amp;EDATE(DATEVALUE(C485&amp;"-01"),2),'📋 Транзакції'!$C$5:$C$3623,"&lt;"&amp;EDATE(DATEVALUE(C485&amp;"-01"),3))</f>
        <v>19.99</v>
      </c>
      <c r="V485" s="37">
        <f>SUMIFS('📋 Транзакції'!$F$5:$F$3623,'📋 Транзакції'!$B$5:$B$3623,A485,'📋 Транзакції'!$C$5:$C$3623,"&gt;="&amp;EDATE(DATEVALUE(C485&amp;"-01"),3),'📋 Транзакції'!$C$5:$C$3623,"&lt;"&amp;EDATE(DATEVALUE(C485&amp;"-01"),4))</f>
        <v>0</v>
      </c>
      <c r="W485" s="37">
        <f>SUMIFS('📋 Транзакції'!$F$5:$F$3623,'📋 Транзакції'!$B$5:$B$3623,A485,'📋 Транзакції'!$C$5:$C$3623,"&gt;="&amp;EDATE(DATEVALUE(C485&amp;"-01"),4),'📋 Транзакції'!$C$5:$C$3623,"&lt;"&amp;EDATE(DATEVALUE(C485&amp;"-01"),5))</f>
        <v>0</v>
      </c>
      <c r="X485" s="37">
        <f>SUMIFS('📋 Транзакції'!$F$5:$F$3623,'📋 Транзакції'!$B$5:$B$3623,A485,'📋 Транзакції'!$C$5:$C$3623,"&gt;="&amp;EDATE(DATEVALUE(C485&amp;"-01"),5),'📋 Транзакції'!$C$5:$C$3623,"&lt;"&amp;EDATE(DATEVALUE(C485&amp;"-01"),6))</f>
        <v>0</v>
      </c>
      <c r="Y485" s="37">
        <f>SUMIFS('📋 Транзакції'!$F$5:$F$3623,'📋 Транзакції'!$B$5:$B$3623,A485,'📋 Транзакції'!$C$5:$C$3623,"&gt;="&amp;EDATE(DATEVALUE(C485&amp;"-01"),6),'📋 Транзакції'!$C$5:$C$3623,"&lt;"&amp;EDATE(DATEVALUE(C485&amp;"-01"),7))</f>
        <v>0</v>
      </c>
      <c r="Z485" s="37">
        <f>SUMIFS('📋 Транзакції'!$F$5:$F$3623,'📋 Транзакції'!$B$5:$B$3623,A485,'📋 Транзакції'!$C$5:$C$3623,"&gt;="&amp;EDATE(DATEVALUE(C485&amp;"-01"),7),'📋 Транзакції'!$C$5:$C$3623,"&lt;"&amp;EDATE(DATEVALUE(C485&amp;"-01"),8))</f>
        <v>0</v>
      </c>
      <c r="AA485" s="37">
        <f>SUMIFS('📋 Транзакції'!$F$5:$F$3623,'📋 Транзакції'!$B$5:$B$3623,A485,'📋 Транзакції'!$C$5:$C$3623,"&gt;="&amp;EDATE(DATEVALUE(C485&amp;"-01"),8),'📋 Транзакції'!$C$5:$C$3623,"&lt;"&amp;EDATE(DATEVALUE(C485&amp;"-01"),9))</f>
        <v>0</v>
      </c>
      <c r="AB485" s="37">
        <f>SUMIFS('📋 Транзакції'!$F$5:$F$3623,'📋 Транзакції'!$B$5:$B$3623,A485,'📋 Транзакції'!$C$5:$C$3623,"&gt;="&amp;EDATE(DATEVALUE(C485&amp;"-01"),9),'📋 Транзакції'!$C$5:$C$3623,"&lt;"&amp;EDATE(DATEVALUE(C485&amp;"-01"),10))</f>
        <v>0</v>
      </c>
      <c r="AC485" s="37">
        <f>SUMIFS('📋 Транзакції'!$F$5:$F$3623,'📋 Транзакції'!$B$5:$B$3623,A485,'📋 Транзакції'!$C$5:$C$3623,"&gt;="&amp;EDATE(DATEVALUE(C485&amp;"-01"),10),'📋 Транзакції'!$C$5:$C$3623,"&lt;"&amp;EDATE(DATEVALUE(C485&amp;"-01"),11))</f>
        <v>0</v>
      </c>
      <c r="AD485" s="37">
        <f>SUMIFS('📋 Транзакції'!$F$5:$F$3623,'📋 Транзакції'!$B$5:$B$3623,A485,'📋 Транзакції'!$C$5:$C$3623,"&gt;="&amp;EDATE(DATEVALUE(C485&amp;"-01"),11),'📋 Транзакції'!$C$5:$C$3623,"&lt;"&amp;EDATE(DATEVALUE(C485&amp;"-01"),12))</f>
        <v>0</v>
      </c>
    </row>
    <row r="486" ht="15.75" customHeight="1">
      <c r="A486" s="33" t="str">
        <f>'📋 Реєстрації'!A486:A1087</f>
        <v>U0160</v>
      </c>
      <c r="B486" s="34">
        <f t="array" ref="B486">INDEX('📋 Транзакції'!$C$5:$C$3623,MATCH(A486,'📋 Транзакції'!$B$5:$B$3623,0))</f>
        <v>45680</v>
      </c>
      <c r="C486" s="35" t="str">
        <f t="shared" si="1"/>
        <v>2025-01</v>
      </c>
      <c r="D486" s="36">
        <f>COUNTIF('📋 Транзакції'!$B$5:$B$3623,A486)</f>
        <v>4</v>
      </c>
      <c r="E486" s="36">
        <f>SUMIF('📋 Транзакції'!$B$5:$B$3623,A486,'📋 Транзакції'!$F$5:$F$3623)</f>
        <v>59.97</v>
      </c>
      <c r="F486" s="35">
        <f>INT($A$1-MAXIFS('📋 Транзакції'!$C$5:$C$3623,'📋 Транзакції'!$B$5:$B$3623,A486))</f>
        <v>0</v>
      </c>
      <c r="G486" s="37">
        <f>IF(COUNTIFS('📋 Транзакції'!$B$5:$B$3623,A486,'📋 Транзакції'!$C$5:$C$3623,"&gt;="&amp;EDATE(DATEVALUE(C486&amp;"-01"),0),'📋 Транзакції'!$C$5:$C$3623,"&lt;"&amp;EDATE(DATEVALUE(C486&amp;"-01"),1))&gt;0,1,0)</f>
        <v>1</v>
      </c>
      <c r="H486" s="37">
        <f>IF(COUNTIFS('📋 Транзакції'!$B$5:$B$3623,A486,'📋 Транзакції'!$C$5:$C$3623,"&gt;="&amp;EDATE(DATEVALUE(C486&amp;"-01"),1),'📋 Транзакції'!$C$5:$C$3623,"&lt;"&amp;EDATE(DATEVALUE(C486&amp;"-01"),2))&gt;0,1,0)</f>
        <v>0</v>
      </c>
      <c r="I486" s="37">
        <f>IF(COUNTIFS('📋 Транзакції'!$B$5:$B$3623,A486,'📋 Транзакції'!$C$5:$C$3623,"&gt;="&amp;EDATE(DATEVALUE(C486&amp;"-01"),2),'📋 Транзакції'!$C$5:$C$3623,"&lt;"&amp;EDATE(DATEVALUE(C486&amp;"-01"),3))&gt;0,1,0)</f>
        <v>1</v>
      </c>
      <c r="J486" s="37">
        <f>IF(COUNTIFS('📋 Транзакції'!$B$5:$B$3623,A486,'📋 Транзакції'!$C$5:$C$3623,"&gt;="&amp;EDATE(DATEVALUE(C486&amp;"-01"),3),'📋 Транзакції'!$C$5:$C$3623,"&lt;"&amp;EDATE(DATEVALUE(C486&amp;"-01"),4))&gt;0,1,0)</f>
        <v>0</v>
      </c>
      <c r="K486" s="37">
        <f>IF(COUNTIFS('📋 Транзакції'!$B$5:$B$3623,A486,'📋 Транзакції'!$C$5:$C$3623,"&gt;="&amp;EDATE(DATEVALUE(C486&amp;"-01"),4),'📋 Транзакції'!$C$5:$C$3623,"&lt;"&amp;EDATE(DATEVALUE(C486&amp;"-01"),5))&gt;0,1,0)</f>
        <v>0</v>
      </c>
      <c r="L486" s="37">
        <f>IF(COUNTIFS('📋 Транзакції'!$B$5:$B$3623,A486,'📋 Транзакції'!$C$5:$C$3623,"&gt;="&amp;EDATE(DATEVALUE(C486&amp;"-01"),5),'📋 Транзакції'!$C$5:$C$3623,"&lt;"&amp;EDATE(DATEVALUE(C486&amp;"-01"),6))&gt;0,1,0)</f>
        <v>0</v>
      </c>
      <c r="M486" s="37">
        <f>IF(COUNTIFS('📋 Транзакції'!$B$5:$B$3623,A486,'📋 Транзакції'!$C$5:$C$3623,"&gt;="&amp;EDATE(DATEVALUE(C486&amp;"-01"),6),'📋 Транзакції'!$C$5:$C$3623,"&lt;"&amp;EDATE(DATEVALUE(C486&amp;"-01"),7))&gt;0,1,0)</f>
        <v>0</v>
      </c>
      <c r="N486" s="37">
        <f>IF(COUNTIFS('📋 Транзакції'!$B$5:$B$3623,A486,'📋 Транзакції'!$C$5:$C$3623,"&gt;="&amp;EDATE(DATEVALUE(C486&amp;"-01"),7),'📋 Транзакції'!$C$5:$C$3623,"&lt;"&amp;EDATE(DATEVALUE(C486&amp;"-01"),8))&gt;0,1,0)</f>
        <v>0</v>
      </c>
      <c r="O486" s="37">
        <f>IF(COUNTIFS('📋 Транзакції'!$B$5:$B$3623,A486,'📋 Транзакції'!$C$5:$C$3623,"&gt;="&amp;EDATE(DATEVALUE(C486&amp;"-01"),8),'📋 Транзакції'!$C$5:$C$3623,"&lt;"&amp;EDATE(DATEVALUE(C486&amp;"-01"),9))&gt;0,1,0)</f>
        <v>0</v>
      </c>
      <c r="P486" s="37">
        <f>IF(COUNTIFS('📋 Транзакції'!$B$5:$B$3623,A486,'📋 Транзакції'!$C$5:$C$3623,"&gt;="&amp;EDATE(DATEVALUE(C486&amp;"-01"),9),'📋 Транзакції'!$C$5:$C$3623,"&lt;"&amp;EDATE(DATEVALUE(C486&amp;"-01"),10))&gt;0,1,0)</f>
        <v>0</v>
      </c>
      <c r="Q486" s="37">
        <f>IF(COUNTIFS('📋 Транзакції'!$B$5:$B$3623,A486,'📋 Транзакції'!$C$5:$C$3623,"&gt;="&amp;EDATE(DATEVALUE(C486&amp;"-01"),10),'📋 Транзакції'!$C$5:$C$3623,"&lt;"&amp;EDATE(DATEVALUE(C486&amp;"-01"),11))&gt;0,1,0)</f>
        <v>0</v>
      </c>
      <c r="R486" s="37">
        <f>IF(COUNTIFS('📋 Транзакції'!$B$5:$B$3623,A486,'📋 Транзакції'!$C$5:$C$3623,"&gt;="&amp;EDATE(DATEVALUE(C486&amp;"-01"),11),'📋 Транзакції'!$C$5:$C$3623,"&lt;"&amp;EDATE(DATEVALUE(C486&amp;"-01"),12))&gt;0,1,0)</f>
        <v>0</v>
      </c>
      <c r="S486" s="37">
        <f>SUMIFS('📋 Транзакції'!$F$5:$F$3623,'📋 Транзакції'!$B$5:$B$3623,A486,'📋 Транзакції'!$C$5:$C$3623,"&gt;="&amp;EDATE(DATEVALUE(C486&amp;"-01"),0),'📋 Транзакції'!$C$5:$C$3623,"&lt;"&amp;EDATE(DATEVALUE(C486&amp;"-01"),1))</f>
        <v>19.99</v>
      </c>
      <c r="T486" s="37">
        <f>SUMIFS('📋 Транзакції'!$F$5:$F$3623,'📋 Транзакції'!$B$5:$B$3623,A486,'📋 Транзакції'!$C$5:$C$3623,"&gt;="&amp;EDATE(DATEVALUE(C486&amp;"-01"),1),'📋 Транзакції'!$C$5:$C$3623,"&lt;"&amp;EDATE(DATEVALUE(C486&amp;"-01"),2))</f>
        <v>0</v>
      </c>
      <c r="U486" s="37">
        <f>SUMIFS('📋 Транзакції'!$F$5:$F$3623,'📋 Транзакції'!$B$5:$B$3623,A486,'📋 Транзакції'!$C$5:$C$3623,"&gt;="&amp;EDATE(DATEVALUE(C486&amp;"-01"),2),'📋 Транзакції'!$C$5:$C$3623,"&lt;"&amp;EDATE(DATEVALUE(C486&amp;"-01"),3))</f>
        <v>39.98</v>
      </c>
      <c r="V486" s="37">
        <f>SUMIFS('📋 Транзакції'!$F$5:$F$3623,'📋 Транзакції'!$B$5:$B$3623,A486,'📋 Транзакції'!$C$5:$C$3623,"&gt;="&amp;EDATE(DATEVALUE(C486&amp;"-01"),3),'📋 Транзакції'!$C$5:$C$3623,"&lt;"&amp;EDATE(DATEVALUE(C486&amp;"-01"),4))</f>
        <v>0</v>
      </c>
      <c r="W486" s="37">
        <f>SUMIFS('📋 Транзакції'!$F$5:$F$3623,'📋 Транзакції'!$B$5:$B$3623,A486,'📋 Транзакції'!$C$5:$C$3623,"&gt;="&amp;EDATE(DATEVALUE(C486&amp;"-01"),4),'📋 Транзакції'!$C$5:$C$3623,"&lt;"&amp;EDATE(DATEVALUE(C486&amp;"-01"),5))</f>
        <v>0</v>
      </c>
      <c r="X486" s="37">
        <f>SUMIFS('📋 Транзакції'!$F$5:$F$3623,'📋 Транзакції'!$B$5:$B$3623,A486,'📋 Транзакції'!$C$5:$C$3623,"&gt;="&amp;EDATE(DATEVALUE(C486&amp;"-01"),5),'📋 Транзакції'!$C$5:$C$3623,"&lt;"&amp;EDATE(DATEVALUE(C486&amp;"-01"),6))</f>
        <v>0</v>
      </c>
      <c r="Y486" s="37">
        <f>SUMIFS('📋 Транзакції'!$F$5:$F$3623,'📋 Транзакції'!$B$5:$B$3623,A486,'📋 Транзакції'!$C$5:$C$3623,"&gt;="&amp;EDATE(DATEVALUE(C486&amp;"-01"),6),'📋 Транзакції'!$C$5:$C$3623,"&lt;"&amp;EDATE(DATEVALUE(C486&amp;"-01"),7))</f>
        <v>0</v>
      </c>
      <c r="Z486" s="37">
        <f>SUMIFS('📋 Транзакції'!$F$5:$F$3623,'📋 Транзакції'!$B$5:$B$3623,A486,'📋 Транзакції'!$C$5:$C$3623,"&gt;="&amp;EDATE(DATEVALUE(C486&amp;"-01"),7),'📋 Транзакції'!$C$5:$C$3623,"&lt;"&amp;EDATE(DATEVALUE(C486&amp;"-01"),8))</f>
        <v>0</v>
      </c>
      <c r="AA486" s="37">
        <f>SUMIFS('📋 Транзакції'!$F$5:$F$3623,'📋 Транзакції'!$B$5:$B$3623,A486,'📋 Транзакції'!$C$5:$C$3623,"&gt;="&amp;EDATE(DATEVALUE(C486&amp;"-01"),8),'📋 Транзакції'!$C$5:$C$3623,"&lt;"&amp;EDATE(DATEVALUE(C486&amp;"-01"),9))</f>
        <v>0</v>
      </c>
      <c r="AB486" s="37">
        <f>SUMIFS('📋 Транзакції'!$F$5:$F$3623,'📋 Транзакції'!$B$5:$B$3623,A486,'📋 Транзакції'!$C$5:$C$3623,"&gt;="&amp;EDATE(DATEVALUE(C486&amp;"-01"),9),'📋 Транзакції'!$C$5:$C$3623,"&lt;"&amp;EDATE(DATEVALUE(C486&amp;"-01"),10))</f>
        <v>0</v>
      </c>
      <c r="AC486" s="37">
        <f>SUMIFS('📋 Транзакції'!$F$5:$F$3623,'📋 Транзакції'!$B$5:$B$3623,A486,'📋 Транзакції'!$C$5:$C$3623,"&gt;="&amp;EDATE(DATEVALUE(C486&amp;"-01"),10),'📋 Транзакції'!$C$5:$C$3623,"&lt;"&amp;EDATE(DATEVALUE(C486&amp;"-01"),11))</f>
        <v>0</v>
      </c>
      <c r="AD486" s="37">
        <f>SUMIFS('📋 Транзакції'!$F$5:$F$3623,'📋 Транзакції'!$B$5:$B$3623,A486,'📋 Транзакції'!$C$5:$C$3623,"&gt;="&amp;EDATE(DATEVALUE(C486&amp;"-01"),11),'📋 Транзакції'!$C$5:$C$3623,"&lt;"&amp;EDATE(DATEVALUE(C486&amp;"-01"),12))</f>
        <v>0</v>
      </c>
    </row>
    <row r="487" ht="15.75" customHeight="1">
      <c r="A487" s="33" t="str">
        <f>'📋 Реєстрації'!A487:A1088</f>
        <v>U0280</v>
      </c>
      <c r="B487" s="34">
        <f t="array" ref="B487">INDEX('📋 Транзакції'!$C$5:$C$3623,MATCH(A487,'📋 Транзакції'!$B$5:$B$3623,0))</f>
        <v>45680</v>
      </c>
      <c r="C487" s="35" t="str">
        <f t="shared" si="1"/>
        <v>2025-01</v>
      </c>
      <c r="D487" s="36">
        <f>COUNTIF('📋 Транзакції'!$B$5:$B$3623,A487)</f>
        <v>4</v>
      </c>
      <c r="E487" s="36">
        <f>SUMIF('📋 Транзакції'!$B$5:$B$3623,A487,'📋 Транзакції'!$F$5:$F$3623)</f>
        <v>59.97</v>
      </c>
      <c r="F487" s="35">
        <f>INT($A$1-MAXIFS('📋 Транзакції'!$C$5:$C$3623,'📋 Транзакції'!$B$5:$B$3623,A487))</f>
        <v>0</v>
      </c>
      <c r="G487" s="37">
        <f>IF(COUNTIFS('📋 Транзакції'!$B$5:$B$3623,A487,'📋 Транзакції'!$C$5:$C$3623,"&gt;="&amp;EDATE(DATEVALUE(C487&amp;"-01"),0),'📋 Транзакції'!$C$5:$C$3623,"&lt;"&amp;EDATE(DATEVALUE(C487&amp;"-01"),1))&gt;0,1,0)</f>
        <v>1</v>
      </c>
      <c r="H487" s="37">
        <f>IF(COUNTIFS('📋 Транзакції'!$B$5:$B$3623,A487,'📋 Транзакції'!$C$5:$C$3623,"&gt;="&amp;EDATE(DATEVALUE(C487&amp;"-01"),1),'📋 Транзакції'!$C$5:$C$3623,"&lt;"&amp;EDATE(DATEVALUE(C487&amp;"-01"),2))&gt;0,1,0)</f>
        <v>0</v>
      </c>
      <c r="I487" s="37">
        <f>IF(COUNTIFS('📋 Транзакції'!$B$5:$B$3623,A487,'📋 Транзакції'!$C$5:$C$3623,"&gt;="&amp;EDATE(DATEVALUE(C487&amp;"-01"),2),'📋 Транзакції'!$C$5:$C$3623,"&lt;"&amp;EDATE(DATEVALUE(C487&amp;"-01"),3))&gt;0,1,0)</f>
        <v>1</v>
      </c>
      <c r="J487" s="37">
        <f>IF(COUNTIFS('📋 Транзакції'!$B$5:$B$3623,A487,'📋 Транзакції'!$C$5:$C$3623,"&gt;="&amp;EDATE(DATEVALUE(C487&amp;"-01"),3),'📋 Транзакції'!$C$5:$C$3623,"&lt;"&amp;EDATE(DATEVALUE(C487&amp;"-01"),4))&gt;0,1,0)</f>
        <v>0</v>
      </c>
      <c r="K487" s="37">
        <f>IF(COUNTIFS('📋 Транзакції'!$B$5:$B$3623,A487,'📋 Транзакції'!$C$5:$C$3623,"&gt;="&amp;EDATE(DATEVALUE(C487&amp;"-01"),4),'📋 Транзакції'!$C$5:$C$3623,"&lt;"&amp;EDATE(DATEVALUE(C487&amp;"-01"),5))&gt;0,1,0)</f>
        <v>0</v>
      </c>
      <c r="L487" s="37">
        <f>IF(COUNTIFS('📋 Транзакції'!$B$5:$B$3623,A487,'📋 Транзакції'!$C$5:$C$3623,"&gt;="&amp;EDATE(DATEVALUE(C487&amp;"-01"),5),'📋 Транзакції'!$C$5:$C$3623,"&lt;"&amp;EDATE(DATEVALUE(C487&amp;"-01"),6))&gt;0,1,0)</f>
        <v>0</v>
      </c>
      <c r="M487" s="37">
        <f>IF(COUNTIFS('📋 Транзакції'!$B$5:$B$3623,A487,'📋 Транзакції'!$C$5:$C$3623,"&gt;="&amp;EDATE(DATEVALUE(C487&amp;"-01"),6),'📋 Транзакції'!$C$5:$C$3623,"&lt;"&amp;EDATE(DATEVALUE(C487&amp;"-01"),7))&gt;0,1,0)</f>
        <v>0</v>
      </c>
      <c r="N487" s="37">
        <f>IF(COUNTIFS('📋 Транзакції'!$B$5:$B$3623,A487,'📋 Транзакції'!$C$5:$C$3623,"&gt;="&amp;EDATE(DATEVALUE(C487&amp;"-01"),7),'📋 Транзакції'!$C$5:$C$3623,"&lt;"&amp;EDATE(DATEVALUE(C487&amp;"-01"),8))&gt;0,1,0)</f>
        <v>0</v>
      </c>
      <c r="O487" s="37">
        <f>IF(COUNTIFS('📋 Транзакції'!$B$5:$B$3623,A487,'📋 Транзакції'!$C$5:$C$3623,"&gt;="&amp;EDATE(DATEVALUE(C487&amp;"-01"),8),'📋 Транзакції'!$C$5:$C$3623,"&lt;"&amp;EDATE(DATEVALUE(C487&amp;"-01"),9))&gt;0,1,0)</f>
        <v>0</v>
      </c>
      <c r="P487" s="37">
        <f>IF(COUNTIFS('📋 Транзакції'!$B$5:$B$3623,A487,'📋 Транзакції'!$C$5:$C$3623,"&gt;="&amp;EDATE(DATEVALUE(C487&amp;"-01"),9),'📋 Транзакції'!$C$5:$C$3623,"&lt;"&amp;EDATE(DATEVALUE(C487&amp;"-01"),10))&gt;0,1,0)</f>
        <v>0</v>
      </c>
      <c r="Q487" s="37">
        <f>IF(COUNTIFS('📋 Транзакції'!$B$5:$B$3623,A487,'📋 Транзакції'!$C$5:$C$3623,"&gt;="&amp;EDATE(DATEVALUE(C487&amp;"-01"),10),'📋 Транзакції'!$C$5:$C$3623,"&lt;"&amp;EDATE(DATEVALUE(C487&amp;"-01"),11))&gt;0,1,0)</f>
        <v>0</v>
      </c>
      <c r="R487" s="37">
        <f>IF(COUNTIFS('📋 Транзакції'!$B$5:$B$3623,A487,'📋 Транзакції'!$C$5:$C$3623,"&gt;="&amp;EDATE(DATEVALUE(C487&amp;"-01"),11),'📋 Транзакції'!$C$5:$C$3623,"&lt;"&amp;EDATE(DATEVALUE(C487&amp;"-01"),12))&gt;0,1,0)</f>
        <v>0</v>
      </c>
      <c r="S487" s="37">
        <f>SUMIFS('📋 Транзакції'!$F$5:$F$3623,'📋 Транзакції'!$B$5:$B$3623,A487,'📋 Транзакції'!$C$5:$C$3623,"&gt;="&amp;EDATE(DATEVALUE(C487&amp;"-01"),0),'📋 Транзакції'!$C$5:$C$3623,"&lt;"&amp;EDATE(DATEVALUE(C487&amp;"-01"),1))</f>
        <v>19.99</v>
      </c>
      <c r="T487" s="37">
        <f>SUMIFS('📋 Транзакції'!$F$5:$F$3623,'📋 Транзакції'!$B$5:$B$3623,A487,'📋 Транзакції'!$C$5:$C$3623,"&gt;="&amp;EDATE(DATEVALUE(C487&amp;"-01"),1),'📋 Транзакції'!$C$5:$C$3623,"&lt;"&amp;EDATE(DATEVALUE(C487&amp;"-01"),2))</f>
        <v>0</v>
      </c>
      <c r="U487" s="37">
        <f>SUMIFS('📋 Транзакції'!$F$5:$F$3623,'📋 Транзакції'!$B$5:$B$3623,A487,'📋 Транзакції'!$C$5:$C$3623,"&gt;="&amp;EDATE(DATEVALUE(C487&amp;"-01"),2),'📋 Транзакції'!$C$5:$C$3623,"&lt;"&amp;EDATE(DATEVALUE(C487&amp;"-01"),3))</f>
        <v>39.98</v>
      </c>
      <c r="V487" s="37">
        <f>SUMIFS('📋 Транзакції'!$F$5:$F$3623,'📋 Транзакції'!$B$5:$B$3623,A487,'📋 Транзакції'!$C$5:$C$3623,"&gt;="&amp;EDATE(DATEVALUE(C487&amp;"-01"),3),'📋 Транзакції'!$C$5:$C$3623,"&lt;"&amp;EDATE(DATEVALUE(C487&amp;"-01"),4))</f>
        <v>0</v>
      </c>
      <c r="W487" s="37">
        <f>SUMIFS('📋 Транзакції'!$F$5:$F$3623,'📋 Транзакції'!$B$5:$B$3623,A487,'📋 Транзакції'!$C$5:$C$3623,"&gt;="&amp;EDATE(DATEVALUE(C487&amp;"-01"),4),'📋 Транзакції'!$C$5:$C$3623,"&lt;"&amp;EDATE(DATEVALUE(C487&amp;"-01"),5))</f>
        <v>0</v>
      </c>
      <c r="X487" s="37">
        <f>SUMIFS('📋 Транзакції'!$F$5:$F$3623,'📋 Транзакції'!$B$5:$B$3623,A487,'📋 Транзакції'!$C$5:$C$3623,"&gt;="&amp;EDATE(DATEVALUE(C487&amp;"-01"),5),'📋 Транзакції'!$C$5:$C$3623,"&lt;"&amp;EDATE(DATEVALUE(C487&amp;"-01"),6))</f>
        <v>0</v>
      </c>
      <c r="Y487" s="37">
        <f>SUMIFS('📋 Транзакції'!$F$5:$F$3623,'📋 Транзакції'!$B$5:$B$3623,A487,'📋 Транзакції'!$C$5:$C$3623,"&gt;="&amp;EDATE(DATEVALUE(C487&amp;"-01"),6),'📋 Транзакції'!$C$5:$C$3623,"&lt;"&amp;EDATE(DATEVALUE(C487&amp;"-01"),7))</f>
        <v>0</v>
      </c>
      <c r="Z487" s="37">
        <f>SUMIFS('📋 Транзакції'!$F$5:$F$3623,'📋 Транзакції'!$B$5:$B$3623,A487,'📋 Транзакції'!$C$5:$C$3623,"&gt;="&amp;EDATE(DATEVALUE(C487&amp;"-01"),7),'📋 Транзакції'!$C$5:$C$3623,"&lt;"&amp;EDATE(DATEVALUE(C487&amp;"-01"),8))</f>
        <v>0</v>
      </c>
      <c r="AA487" s="37">
        <f>SUMIFS('📋 Транзакції'!$F$5:$F$3623,'📋 Транзакції'!$B$5:$B$3623,A487,'📋 Транзакції'!$C$5:$C$3623,"&gt;="&amp;EDATE(DATEVALUE(C487&amp;"-01"),8),'📋 Транзакції'!$C$5:$C$3623,"&lt;"&amp;EDATE(DATEVALUE(C487&amp;"-01"),9))</f>
        <v>0</v>
      </c>
      <c r="AB487" s="37">
        <f>SUMIFS('📋 Транзакції'!$F$5:$F$3623,'📋 Транзакції'!$B$5:$B$3623,A487,'📋 Транзакції'!$C$5:$C$3623,"&gt;="&amp;EDATE(DATEVALUE(C487&amp;"-01"),9),'📋 Транзакції'!$C$5:$C$3623,"&lt;"&amp;EDATE(DATEVALUE(C487&amp;"-01"),10))</f>
        <v>0</v>
      </c>
      <c r="AC487" s="37">
        <f>SUMIFS('📋 Транзакції'!$F$5:$F$3623,'📋 Транзакції'!$B$5:$B$3623,A487,'📋 Транзакції'!$C$5:$C$3623,"&gt;="&amp;EDATE(DATEVALUE(C487&amp;"-01"),10),'📋 Транзакції'!$C$5:$C$3623,"&lt;"&amp;EDATE(DATEVALUE(C487&amp;"-01"),11))</f>
        <v>0</v>
      </c>
      <c r="AD487" s="37">
        <f>SUMIFS('📋 Транзакції'!$F$5:$F$3623,'📋 Транзакції'!$B$5:$B$3623,A487,'📋 Транзакції'!$C$5:$C$3623,"&gt;="&amp;EDATE(DATEVALUE(C487&amp;"-01"),11),'📋 Транзакції'!$C$5:$C$3623,"&lt;"&amp;EDATE(DATEVALUE(C487&amp;"-01"),12))</f>
        <v>0</v>
      </c>
    </row>
    <row r="488" ht="15.75" customHeight="1">
      <c r="A488" s="33" t="str">
        <f>'📋 Реєстрації'!A488:A1089</f>
        <v>U0877</v>
      </c>
      <c r="B488" s="34">
        <f t="array" ref="B488">INDEX('📋 Транзакції'!$C$5:$C$3623,MATCH(A488,'📋 Транзакції'!$B$5:$B$3623,0))</f>
        <v>45680</v>
      </c>
      <c r="C488" s="35" t="str">
        <f t="shared" si="1"/>
        <v>2025-01</v>
      </c>
      <c r="D488" s="36">
        <f>COUNTIF('📋 Транзакції'!$B$5:$B$3623,A488)</f>
        <v>4</v>
      </c>
      <c r="E488" s="36">
        <f>SUMIF('📋 Транзакції'!$B$5:$B$3623,A488,'📋 Транзакції'!$F$5:$F$3623)</f>
        <v>59.97</v>
      </c>
      <c r="F488" s="35">
        <f>INT($A$1-MAXIFS('📋 Транзакції'!$C$5:$C$3623,'📋 Транзакції'!$B$5:$B$3623,A488))</f>
        <v>0</v>
      </c>
      <c r="G488" s="37">
        <f>IF(COUNTIFS('📋 Транзакції'!$B$5:$B$3623,A488,'📋 Транзакції'!$C$5:$C$3623,"&gt;="&amp;EDATE(DATEVALUE(C488&amp;"-01"),0),'📋 Транзакції'!$C$5:$C$3623,"&lt;"&amp;EDATE(DATEVALUE(C488&amp;"-01"),1))&gt;0,1,0)</f>
        <v>1</v>
      </c>
      <c r="H488" s="37">
        <f>IF(COUNTIFS('📋 Транзакції'!$B$5:$B$3623,A488,'📋 Транзакції'!$C$5:$C$3623,"&gt;="&amp;EDATE(DATEVALUE(C488&amp;"-01"),1),'📋 Транзакції'!$C$5:$C$3623,"&lt;"&amp;EDATE(DATEVALUE(C488&amp;"-01"),2))&gt;0,1,0)</f>
        <v>0</v>
      </c>
      <c r="I488" s="37">
        <f>IF(COUNTIFS('📋 Транзакції'!$B$5:$B$3623,A488,'📋 Транзакції'!$C$5:$C$3623,"&gt;="&amp;EDATE(DATEVALUE(C488&amp;"-01"),2),'📋 Транзакції'!$C$5:$C$3623,"&lt;"&amp;EDATE(DATEVALUE(C488&amp;"-01"),3))&gt;0,1,0)</f>
        <v>1</v>
      </c>
      <c r="J488" s="37">
        <f>IF(COUNTIFS('📋 Транзакції'!$B$5:$B$3623,A488,'📋 Транзакції'!$C$5:$C$3623,"&gt;="&amp;EDATE(DATEVALUE(C488&amp;"-01"),3),'📋 Транзакції'!$C$5:$C$3623,"&lt;"&amp;EDATE(DATEVALUE(C488&amp;"-01"),4))&gt;0,1,0)</f>
        <v>0</v>
      </c>
      <c r="K488" s="37">
        <f>IF(COUNTIFS('📋 Транзакції'!$B$5:$B$3623,A488,'📋 Транзакції'!$C$5:$C$3623,"&gt;="&amp;EDATE(DATEVALUE(C488&amp;"-01"),4),'📋 Транзакції'!$C$5:$C$3623,"&lt;"&amp;EDATE(DATEVALUE(C488&amp;"-01"),5))&gt;0,1,0)</f>
        <v>0</v>
      </c>
      <c r="L488" s="37">
        <f>IF(COUNTIFS('📋 Транзакції'!$B$5:$B$3623,A488,'📋 Транзакції'!$C$5:$C$3623,"&gt;="&amp;EDATE(DATEVALUE(C488&amp;"-01"),5),'📋 Транзакції'!$C$5:$C$3623,"&lt;"&amp;EDATE(DATEVALUE(C488&amp;"-01"),6))&gt;0,1,0)</f>
        <v>0</v>
      </c>
      <c r="M488" s="37">
        <f>IF(COUNTIFS('📋 Транзакції'!$B$5:$B$3623,A488,'📋 Транзакції'!$C$5:$C$3623,"&gt;="&amp;EDATE(DATEVALUE(C488&amp;"-01"),6),'📋 Транзакції'!$C$5:$C$3623,"&lt;"&amp;EDATE(DATEVALUE(C488&amp;"-01"),7))&gt;0,1,0)</f>
        <v>0</v>
      </c>
      <c r="N488" s="37">
        <f>IF(COUNTIFS('📋 Транзакції'!$B$5:$B$3623,A488,'📋 Транзакції'!$C$5:$C$3623,"&gt;="&amp;EDATE(DATEVALUE(C488&amp;"-01"),7),'📋 Транзакції'!$C$5:$C$3623,"&lt;"&amp;EDATE(DATEVALUE(C488&amp;"-01"),8))&gt;0,1,0)</f>
        <v>0</v>
      </c>
      <c r="O488" s="37">
        <f>IF(COUNTIFS('📋 Транзакції'!$B$5:$B$3623,A488,'📋 Транзакції'!$C$5:$C$3623,"&gt;="&amp;EDATE(DATEVALUE(C488&amp;"-01"),8),'📋 Транзакції'!$C$5:$C$3623,"&lt;"&amp;EDATE(DATEVALUE(C488&amp;"-01"),9))&gt;0,1,0)</f>
        <v>0</v>
      </c>
      <c r="P488" s="37">
        <f>IF(COUNTIFS('📋 Транзакції'!$B$5:$B$3623,A488,'📋 Транзакції'!$C$5:$C$3623,"&gt;="&amp;EDATE(DATEVALUE(C488&amp;"-01"),9),'📋 Транзакції'!$C$5:$C$3623,"&lt;"&amp;EDATE(DATEVALUE(C488&amp;"-01"),10))&gt;0,1,0)</f>
        <v>0</v>
      </c>
      <c r="Q488" s="37">
        <f>IF(COUNTIFS('📋 Транзакції'!$B$5:$B$3623,A488,'📋 Транзакції'!$C$5:$C$3623,"&gt;="&amp;EDATE(DATEVALUE(C488&amp;"-01"),10),'📋 Транзакції'!$C$5:$C$3623,"&lt;"&amp;EDATE(DATEVALUE(C488&amp;"-01"),11))&gt;0,1,0)</f>
        <v>0</v>
      </c>
      <c r="R488" s="37">
        <f>IF(COUNTIFS('📋 Транзакції'!$B$5:$B$3623,A488,'📋 Транзакції'!$C$5:$C$3623,"&gt;="&amp;EDATE(DATEVALUE(C488&amp;"-01"),11),'📋 Транзакції'!$C$5:$C$3623,"&lt;"&amp;EDATE(DATEVALUE(C488&amp;"-01"),12))&gt;0,1,0)</f>
        <v>0</v>
      </c>
      <c r="S488" s="37">
        <f>SUMIFS('📋 Транзакції'!$F$5:$F$3623,'📋 Транзакції'!$B$5:$B$3623,A488,'📋 Транзакції'!$C$5:$C$3623,"&gt;="&amp;EDATE(DATEVALUE(C488&amp;"-01"),0),'📋 Транзакції'!$C$5:$C$3623,"&lt;"&amp;EDATE(DATEVALUE(C488&amp;"-01"),1))</f>
        <v>19.99</v>
      </c>
      <c r="T488" s="37">
        <f>SUMIFS('📋 Транзакції'!$F$5:$F$3623,'📋 Транзакції'!$B$5:$B$3623,A488,'📋 Транзакції'!$C$5:$C$3623,"&gt;="&amp;EDATE(DATEVALUE(C488&amp;"-01"),1),'📋 Транзакції'!$C$5:$C$3623,"&lt;"&amp;EDATE(DATEVALUE(C488&amp;"-01"),2))</f>
        <v>0</v>
      </c>
      <c r="U488" s="37">
        <f>SUMIFS('📋 Транзакції'!$F$5:$F$3623,'📋 Транзакції'!$B$5:$B$3623,A488,'📋 Транзакції'!$C$5:$C$3623,"&gt;="&amp;EDATE(DATEVALUE(C488&amp;"-01"),2),'📋 Транзакції'!$C$5:$C$3623,"&lt;"&amp;EDATE(DATEVALUE(C488&amp;"-01"),3))</f>
        <v>39.98</v>
      </c>
      <c r="V488" s="37">
        <f>SUMIFS('📋 Транзакції'!$F$5:$F$3623,'📋 Транзакції'!$B$5:$B$3623,A488,'📋 Транзакції'!$C$5:$C$3623,"&gt;="&amp;EDATE(DATEVALUE(C488&amp;"-01"),3),'📋 Транзакції'!$C$5:$C$3623,"&lt;"&amp;EDATE(DATEVALUE(C488&amp;"-01"),4))</f>
        <v>0</v>
      </c>
      <c r="W488" s="37">
        <f>SUMIFS('📋 Транзакції'!$F$5:$F$3623,'📋 Транзакції'!$B$5:$B$3623,A488,'📋 Транзакції'!$C$5:$C$3623,"&gt;="&amp;EDATE(DATEVALUE(C488&amp;"-01"),4),'📋 Транзакції'!$C$5:$C$3623,"&lt;"&amp;EDATE(DATEVALUE(C488&amp;"-01"),5))</f>
        <v>0</v>
      </c>
      <c r="X488" s="37">
        <f>SUMIFS('📋 Транзакції'!$F$5:$F$3623,'📋 Транзакції'!$B$5:$B$3623,A488,'📋 Транзакції'!$C$5:$C$3623,"&gt;="&amp;EDATE(DATEVALUE(C488&amp;"-01"),5),'📋 Транзакції'!$C$5:$C$3623,"&lt;"&amp;EDATE(DATEVALUE(C488&amp;"-01"),6))</f>
        <v>0</v>
      </c>
      <c r="Y488" s="37">
        <f>SUMIFS('📋 Транзакції'!$F$5:$F$3623,'📋 Транзакції'!$B$5:$B$3623,A488,'📋 Транзакції'!$C$5:$C$3623,"&gt;="&amp;EDATE(DATEVALUE(C488&amp;"-01"),6),'📋 Транзакції'!$C$5:$C$3623,"&lt;"&amp;EDATE(DATEVALUE(C488&amp;"-01"),7))</f>
        <v>0</v>
      </c>
      <c r="Z488" s="37">
        <f>SUMIFS('📋 Транзакції'!$F$5:$F$3623,'📋 Транзакції'!$B$5:$B$3623,A488,'📋 Транзакції'!$C$5:$C$3623,"&gt;="&amp;EDATE(DATEVALUE(C488&amp;"-01"),7),'📋 Транзакції'!$C$5:$C$3623,"&lt;"&amp;EDATE(DATEVALUE(C488&amp;"-01"),8))</f>
        <v>0</v>
      </c>
      <c r="AA488" s="37">
        <f>SUMIFS('📋 Транзакції'!$F$5:$F$3623,'📋 Транзакції'!$B$5:$B$3623,A488,'📋 Транзакції'!$C$5:$C$3623,"&gt;="&amp;EDATE(DATEVALUE(C488&amp;"-01"),8),'📋 Транзакції'!$C$5:$C$3623,"&lt;"&amp;EDATE(DATEVALUE(C488&amp;"-01"),9))</f>
        <v>0</v>
      </c>
      <c r="AB488" s="37">
        <f>SUMIFS('📋 Транзакції'!$F$5:$F$3623,'📋 Транзакції'!$B$5:$B$3623,A488,'📋 Транзакції'!$C$5:$C$3623,"&gt;="&amp;EDATE(DATEVALUE(C488&amp;"-01"),9),'📋 Транзакції'!$C$5:$C$3623,"&lt;"&amp;EDATE(DATEVALUE(C488&amp;"-01"),10))</f>
        <v>0</v>
      </c>
      <c r="AC488" s="37">
        <f>SUMIFS('📋 Транзакції'!$F$5:$F$3623,'📋 Транзакції'!$B$5:$B$3623,A488,'📋 Транзакції'!$C$5:$C$3623,"&gt;="&amp;EDATE(DATEVALUE(C488&amp;"-01"),10),'📋 Транзакції'!$C$5:$C$3623,"&lt;"&amp;EDATE(DATEVALUE(C488&amp;"-01"),11))</f>
        <v>0</v>
      </c>
      <c r="AD488" s="37">
        <f>SUMIFS('📋 Транзакції'!$F$5:$F$3623,'📋 Транзакції'!$B$5:$B$3623,A488,'📋 Транзакції'!$C$5:$C$3623,"&gt;="&amp;EDATE(DATEVALUE(C488&amp;"-01"),11),'📋 Транзакції'!$C$5:$C$3623,"&lt;"&amp;EDATE(DATEVALUE(C488&amp;"-01"),12))</f>
        <v>0</v>
      </c>
    </row>
    <row r="489" ht="15.75" customHeight="1">
      <c r="A489" s="33" t="str">
        <f>'📋 Реєстрації'!A489:A1090</f>
        <v>U0231</v>
      </c>
      <c r="B489" s="34">
        <f t="array" ref="B489">INDEX('📋 Транзакції'!$C$5:$C$3623,MATCH(A489,'📋 Транзакції'!$B$5:$B$3623,0))</f>
        <v>45681</v>
      </c>
      <c r="C489" s="35" t="str">
        <f t="shared" si="1"/>
        <v>2025-01</v>
      </c>
      <c r="D489" s="36">
        <f>COUNTIF('📋 Транзакції'!$B$5:$B$3623,A489)</f>
        <v>3</v>
      </c>
      <c r="E489" s="36">
        <f>SUMIF('📋 Транзакції'!$B$5:$B$3623,A489,'📋 Транзакції'!$F$5:$F$3623)</f>
        <v>39.98</v>
      </c>
      <c r="F489" s="35">
        <f>INT($A$1-MAXIFS('📋 Транзакції'!$C$5:$C$3623,'📋 Транзакції'!$B$5:$B$3623,A489))</f>
        <v>29</v>
      </c>
      <c r="G489" s="37">
        <f>IF(COUNTIFS('📋 Транзакції'!$B$5:$B$3623,A489,'📋 Транзакції'!$C$5:$C$3623,"&gt;="&amp;EDATE(DATEVALUE(C489&amp;"-01"),0),'📋 Транзакції'!$C$5:$C$3623,"&lt;"&amp;EDATE(DATEVALUE(C489&amp;"-01"),1))&gt;0,1,0)</f>
        <v>1</v>
      </c>
      <c r="H489" s="37">
        <f>IF(COUNTIFS('📋 Транзакції'!$B$5:$B$3623,A489,'📋 Транзакції'!$C$5:$C$3623,"&gt;="&amp;EDATE(DATEVALUE(C489&amp;"-01"),1),'📋 Транзакції'!$C$5:$C$3623,"&lt;"&amp;EDATE(DATEVALUE(C489&amp;"-01"),2))&gt;0,1,0)</f>
        <v>0</v>
      </c>
      <c r="I489" s="37">
        <f>IF(COUNTIFS('📋 Транзакції'!$B$5:$B$3623,A489,'📋 Транзакції'!$C$5:$C$3623,"&gt;="&amp;EDATE(DATEVALUE(C489&amp;"-01"),2),'📋 Транзакції'!$C$5:$C$3623,"&lt;"&amp;EDATE(DATEVALUE(C489&amp;"-01"),3))&gt;0,1,0)</f>
        <v>1</v>
      </c>
      <c r="J489" s="37">
        <f>IF(COUNTIFS('📋 Транзакції'!$B$5:$B$3623,A489,'📋 Транзакції'!$C$5:$C$3623,"&gt;="&amp;EDATE(DATEVALUE(C489&amp;"-01"),3),'📋 Транзакції'!$C$5:$C$3623,"&lt;"&amp;EDATE(DATEVALUE(C489&amp;"-01"),4))&gt;0,1,0)</f>
        <v>0</v>
      </c>
      <c r="K489" s="37">
        <f>IF(COUNTIFS('📋 Транзакції'!$B$5:$B$3623,A489,'📋 Транзакції'!$C$5:$C$3623,"&gt;="&amp;EDATE(DATEVALUE(C489&amp;"-01"),4),'📋 Транзакції'!$C$5:$C$3623,"&lt;"&amp;EDATE(DATEVALUE(C489&amp;"-01"),5))&gt;0,1,0)</f>
        <v>0</v>
      </c>
      <c r="L489" s="37">
        <f>IF(COUNTIFS('📋 Транзакції'!$B$5:$B$3623,A489,'📋 Транзакції'!$C$5:$C$3623,"&gt;="&amp;EDATE(DATEVALUE(C489&amp;"-01"),5),'📋 Транзакції'!$C$5:$C$3623,"&lt;"&amp;EDATE(DATEVALUE(C489&amp;"-01"),6))&gt;0,1,0)</f>
        <v>0</v>
      </c>
      <c r="M489" s="37">
        <f>IF(COUNTIFS('📋 Транзакції'!$B$5:$B$3623,A489,'📋 Транзакції'!$C$5:$C$3623,"&gt;="&amp;EDATE(DATEVALUE(C489&amp;"-01"),6),'📋 Транзакції'!$C$5:$C$3623,"&lt;"&amp;EDATE(DATEVALUE(C489&amp;"-01"),7))&gt;0,1,0)</f>
        <v>0</v>
      </c>
      <c r="N489" s="37">
        <f>IF(COUNTIFS('📋 Транзакції'!$B$5:$B$3623,A489,'📋 Транзакції'!$C$5:$C$3623,"&gt;="&amp;EDATE(DATEVALUE(C489&amp;"-01"),7),'📋 Транзакції'!$C$5:$C$3623,"&lt;"&amp;EDATE(DATEVALUE(C489&amp;"-01"),8))&gt;0,1,0)</f>
        <v>0</v>
      </c>
      <c r="O489" s="37">
        <f>IF(COUNTIFS('📋 Транзакції'!$B$5:$B$3623,A489,'📋 Транзакції'!$C$5:$C$3623,"&gt;="&amp;EDATE(DATEVALUE(C489&amp;"-01"),8),'📋 Транзакції'!$C$5:$C$3623,"&lt;"&amp;EDATE(DATEVALUE(C489&amp;"-01"),9))&gt;0,1,0)</f>
        <v>0</v>
      </c>
      <c r="P489" s="37">
        <f>IF(COUNTIFS('📋 Транзакції'!$B$5:$B$3623,A489,'📋 Транзакції'!$C$5:$C$3623,"&gt;="&amp;EDATE(DATEVALUE(C489&amp;"-01"),9),'📋 Транзакції'!$C$5:$C$3623,"&lt;"&amp;EDATE(DATEVALUE(C489&amp;"-01"),10))&gt;0,1,0)</f>
        <v>0</v>
      </c>
      <c r="Q489" s="37">
        <f>IF(COUNTIFS('📋 Транзакції'!$B$5:$B$3623,A489,'📋 Транзакції'!$C$5:$C$3623,"&gt;="&amp;EDATE(DATEVALUE(C489&amp;"-01"),10),'📋 Транзакції'!$C$5:$C$3623,"&lt;"&amp;EDATE(DATEVALUE(C489&amp;"-01"),11))&gt;0,1,0)</f>
        <v>0</v>
      </c>
      <c r="R489" s="37">
        <f>IF(COUNTIFS('📋 Транзакції'!$B$5:$B$3623,A489,'📋 Транзакції'!$C$5:$C$3623,"&gt;="&amp;EDATE(DATEVALUE(C489&amp;"-01"),11),'📋 Транзакції'!$C$5:$C$3623,"&lt;"&amp;EDATE(DATEVALUE(C489&amp;"-01"),12))&gt;0,1,0)</f>
        <v>0</v>
      </c>
      <c r="S489" s="37">
        <f>SUMIFS('📋 Транзакції'!$F$5:$F$3623,'📋 Транзакції'!$B$5:$B$3623,A489,'📋 Транзакції'!$C$5:$C$3623,"&gt;="&amp;EDATE(DATEVALUE(C489&amp;"-01"),0),'📋 Транзакції'!$C$5:$C$3623,"&lt;"&amp;EDATE(DATEVALUE(C489&amp;"-01"),1))</f>
        <v>19.99</v>
      </c>
      <c r="T489" s="37">
        <f>SUMIFS('📋 Транзакції'!$F$5:$F$3623,'📋 Транзакції'!$B$5:$B$3623,A489,'📋 Транзакції'!$C$5:$C$3623,"&gt;="&amp;EDATE(DATEVALUE(C489&amp;"-01"),1),'📋 Транзакції'!$C$5:$C$3623,"&lt;"&amp;EDATE(DATEVALUE(C489&amp;"-01"),2))</f>
        <v>0</v>
      </c>
      <c r="U489" s="37">
        <f>SUMIFS('📋 Транзакції'!$F$5:$F$3623,'📋 Транзакції'!$B$5:$B$3623,A489,'📋 Транзакції'!$C$5:$C$3623,"&gt;="&amp;EDATE(DATEVALUE(C489&amp;"-01"),2),'📋 Транзакції'!$C$5:$C$3623,"&lt;"&amp;EDATE(DATEVALUE(C489&amp;"-01"),3))</f>
        <v>19.99</v>
      </c>
      <c r="V489" s="37">
        <f>SUMIFS('📋 Транзакції'!$F$5:$F$3623,'📋 Транзакції'!$B$5:$B$3623,A489,'📋 Транзакції'!$C$5:$C$3623,"&gt;="&amp;EDATE(DATEVALUE(C489&amp;"-01"),3),'📋 Транзакції'!$C$5:$C$3623,"&lt;"&amp;EDATE(DATEVALUE(C489&amp;"-01"),4))</f>
        <v>0</v>
      </c>
      <c r="W489" s="37">
        <f>SUMIFS('📋 Транзакції'!$F$5:$F$3623,'📋 Транзакції'!$B$5:$B$3623,A489,'📋 Транзакції'!$C$5:$C$3623,"&gt;="&amp;EDATE(DATEVALUE(C489&amp;"-01"),4),'📋 Транзакції'!$C$5:$C$3623,"&lt;"&amp;EDATE(DATEVALUE(C489&amp;"-01"),5))</f>
        <v>0</v>
      </c>
      <c r="X489" s="37">
        <f>SUMIFS('📋 Транзакції'!$F$5:$F$3623,'📋 Транзакції'!$B$5:$B$3623,A489,'📋 Транзакції'!$C$5:$C$3623,"&gt;="&amp;EDATE(DATEVALUE(C489&amp;"-01"),5),'📋 Транзакції'!$C$5:$C$3623,"&lt;"&amp;EDATE(DATEVALUE(C489&amp;"-01"),6))</f>
        <v>0</v>
      </c>
      <c r="Y489" s="37">
        <f>SUMIFS('📋 Транзакції'!$F$5:$F$3623,'📋 Транзакції'!$B$5:$B$3623,A489,'📋 Транзакції'!$C$5:$C$3623,"&gt;="&amp;EDATE(DATEVALUE(C489&amp;"-01"),6),'📋 Транзакції'!$C$5:$C$3623,"&lt;"&amp;EDATE(DATEVALUE(C489&amp;"-01"),7))</f>
        <v>0</v>
      </c>
      <c r="Z489" s="37">
        <f>SUMIFS('📋 Транзакції'!$F$5:$F$3623,'📋 Транзакції'!$B$5:$B$3623,A489,'📋 Транзакції'!$C$5:$C$3623,"&gt;="&amp;EDATE(DATEVALUE(C489&amp;"-01"),7),'📋 Транзакції'!$C$5:$C$3623,"&lt;"&amp;EDATE(DATEVALUE(C489&amp;"-01"),8))</f>
        <v>0</v>
      </c>
      <c r="AA489" s="37">
        <f>SUMIFS('📋 Транзакції'!$F$5:$F$3623,'📋 Транзакції'!$B$5:$B$3623,A489,'📋 Транзакції'!$C$5:$C$3623,"&gt;="&amp;EDATE(DATEVALUE(C489&amp;"-01"),8),'📋 Транзакції'!$C$5:$C$3623,"&lt;"&amp;EDATE(DATEVALUE(C489&amp;"-01"),9))</f>
        <v>0</v>
      </c>
      <c r="AB489" s="37">
        <f>SUMIFS('📋 Транзакції'!$F$5:$F$3623,'📋 Транзакції'!$B$5:$B$3623,A489,'📋 Транзакції'!$C$5:$C$3623,"&gt;="&amp;EDATE(DATEVALUE(C489&amp;"-01"),9),'📋 Транзакції'!$C$5:$C$3623,"&lt;"&amp;EDATE(DATEVALUE(C489&amp;"-01"),10))</f>
        <v>0</v>
      </c>
      <c r="AC489" s="37">
        <f>SUMIFS('📋 Транзакції'!$F$5:$F$3623,'📋 Транзакції'!$B$5:$B$3623,A489,'📋 Транзакції'!$C$5:$C$3623,"&gt;="&amp;EDATE(DATEVALUE(C489&amp;"-01"),10),'📋 Транзакції'!$C$5:$C$3623,"&lt;"&amp;EDATE(DATEVALUE(C489&amp;"-01"),11))</f>
        <v>0</v>
      </c>
      <c r="AD489" s="37">
        <f>SUMIFS('📋 Транзакції'!$F$5:$F$3623,'📋 Транзакції'!$B$5:$B$3623,A489,'📋 Транзакції'!$C$5:$C$3623,"&gt;="&amp;EDATE(DATEVALUE(C489&amp;"-01"),11),'📋 Транзакції'!$C$5:$C$3623,"&lt;"&amp;EDATE(DATEVALUE(C489&amp;"-01"),12))</f>
        <v>0</v>
      </c>
    </row>
    <row r="490" ht="15.75" customHeight="1">
      <c r="A490" s="33" t="str">
        <f>'📋 Реєстрації'!A490:A1091</f>
        <v>U0728</v>
      </c>
      <c r="B490" s="34">
        <f t="array" ref="B490">INDEX('📋 Транзакції'!$C$5:$C$3623,MATCH(A490,'📋 Транзакції'!$B$5:$B$3623,0))</f>
        <v>45681</v>
      </c>
      <c r="C490" s="35" t="str">
        <f t="shared" si="1"/>
        <v>2025-01</v>
      </c>
      <c r="D490" s="36">
        <f>COUNTIF('📋 Транзакції'!$B$5:$B$3623,A490)</f>
        <v>3</v>
      </c>
      <c r="E490" s="36">
        <f>SUMIF('📋 Транзакції'!$B$5:$B$3623,A490,'📋 Транзакції'!$F$5:$F$3623)</f>
        <v>39.98</v>
      </c>
      <c r="F490" s="35">
        <f>INT($A$1-MAXIFS('📋 Транзакції'!$C$5:$C$3623,'📋 Транзакції'!$B$5:$B$3623,A490))</f>
        <v>29</v>
      </c>
      <c r="G490" s="37">
        <f>IF(COUNTIFS('📋 Транзакції'!$B$5:$B$3623,A490,'📋 Транзакції'!$C$5:$C$3623,"&gt;="&amp;EDATE(DATEVALUE(C490&amp;"-01"),0),'📋 Транзакції'!$C$5:$C$3623,"&lt;"&amp;EDATE(DATEVALUE(C490&amp;"-01"),1))&gt;0,1,0)</f>
        <v>1</v>
      </c>
      <c r="H490" s="37">
        <f>IF(COUNTIFS('📋 Транзакції'!$B$5:$B$3623,A490,'📋 Транзакції'!$C$5:$C$3623,"&gt;="&amp;EDATE(DATEVALUE(C490&amp;"-01"),1),'📋 Транзакції'!$C$5:$C$3623,"&lt;"&amp;EDATE(DATEVALUE(C490&amp;"-01"),2))&gt;0,1,0)</f>
        <v>0</v>
      </c>
      <c r="I490" s="37">
        <f>IF(COUNTIFS('📋 Транзакції'!$B$5:$B$3623,A490,'📋 Транзакції'!$C$5:$C$3623,"&gt;="&amp;EDATE(DATEVALUE(C490&amp;"-01"),2),'📋 Транзакції'!$C$5:$C$3623,"&lt;"&amp;EDATE(DATEVALUE(C490&amp;"-01"),3))&gt;0,1,0)</f>
        <v>1</v>
      </c>
      <c r="J490" s="37">
        <f>IF(COUNTIFS('📋 Транзакції'!$B$5:$B$3623,A490,'📋 Транзакції'!$C$5:$C$3623,"&gt;="&amp;EDATE(DATEVALUE(C490&amp;"-01"),3),'📋 Транзакції'!$C$5:$C$3623,"&lt;"&amp;EDATE(DATEVALUE(C490&amp;"-01"),4))&gt;0,1,0)</f>
        <v>0</v>
      </c>
      <c r="K490" s="37">
        <f>IF(COUNTIFS('📋 Транзакції'!$B$5:$B$3623,A490,'📋 Транзакції'!$C$5:$C$3623,"&gt;="&amp;EDATE(DATEVALUE(C490&amp;"-01"),4),'📋 Транзакції'!$C$5:$C$3623,"&lt;"&amp;EDATE(DATEVALUE(C490&amp;"-01"),5))&gt;0,1,0)</f>
        <v>0</v>
      </c>
      <c r="L490" s="37">
        <f>IF(COUNTIFS('📋 Транзакції'!$B$5:$B$3623,A490,'📋 Транзакції'!$C$5:$C$3623,"&gt;="&amp;EDATE(DATEVALUE(C490&amp;"-01"),5),'📋 Транзакції'!$C$5:$C$3623,"&lt;"&amp;EDATE(DATEVALUE(C490&amp;"-01"),6))&gt;0,1,0)</f>
        <v>0</v>
      </c>
      <c r="M490" s="37">
        <f>IF(COUNTIFS('📋 Транзакції'!$B$5:$B$3623,A490,'📋 Транзакції'!$C$5:$C$3623,"&gt;="&amp;EDATE(DATEVALUE(C490&amp;"-01"),6),'📋 Транзакції'!$C$5:$C$3623,"&lt;"&amp;EDATE(DATEVALUE(C490&amp;"-01"),7))&gt;0,1,0)</f>
        <v>0</v>
      </c>
      <c r="N490" s="37">
        <f>IF(COUNTIFS('📋 Транзакції'!$B$5:$B$3623,A490,'📋 Транзакції'!$C$5:$C$3623,"&gt;="&amp;EDATE(DATEVALUE(C490&amp;"-01"),7),'📋 Транзакції'!$C$5:$C$3623,"&lt;"&amp;EDATE(DATEVALUE(C490&amp;"-01"),8))&gt;0,1,0)</f>
        <v>0</v>
      </c>
      <c r="O490" s="37">
        <f>IF(COUNTIFS('📋 Транзакції'!$B$5:$B$3623,A490,'📋 Транзакції'!$C$5:$C$3623,"&gt;="&amp;EDATE(DATEVALUE(C490&amp;"-01"),8),'📋 Транзакції'!$C$5:$C$3623,"&lt;"&amp;EDATE(DATEVALUE(C490&amp;"-01"),9))&gt;0,1,0)</f>
        <v>0</v>
      </c>
      <c r="P490" s="37">
        <f>IF(COUNTIFS('📋 Транзакції'!$B$5:$B$3623,A490,'📋 Транзакції'!$C$5:$C$3623,"&gt;="&amp;EDATE(DATEVALUE(C490&amp;"-01"),9),'📋 Транзакції'!$C$5:$C$3623,"&lt;"&amp;EDATE(DATEVALUE(C490&amp;"-01"),10))&gt;0,1,0)</f>
        <v>0</v>
      </c>
      <c r="Q490" s="37">
        <f>IF(COUNTIFS('📋 Транзакції'!$B$5:$B$3623,A490,'📋 Транзакції'!$C$5:$C$3623,"&gt;="&amp;EDATE(DATEVALUE(C490&amp;"-01"),10),'📋 Транзакції'!$C$5:$C$3623,"&lt;"&amp;EDATE(DATEVALUE(C490&amp;"-01"),11))&gt;0,1,0)</f>
        <v>0</v>
      </c>
      <c r="R490" s="37">
        <f>IF(COUNTIFS('📋 Транзакції'!$B$5:$B$3623,A490,'📋 Транзакції'!$C$5:$C$3623,"&gt;="&amp;EDATE(DATEVALUE(C490&amp;"-01"),11),'📋 Транзакції'!$C$5:$C$3623,"&lt;"&amp;EDATE(DATEVALUE(C490&amp;"-01"),12))&gt;0,1,0)</f>
        <v>0</v>
      </c>
      <c r="S490" s="37">
        <f>SUMIFS('📋 Транзакції'!$F$5:$F$3623,'📋 Транзакції'!$B$5:$B$3623,A490,'📋 Транзакції'!$C$5:$C$3623,"&gt;="&amp;EDATE(DATEVALUE(C490&amp;"-01"),0),'📋 Транзакції'!$C$5:$C$3623,"&lt;"&amp;EDATE(DATEVALUE(C490&amp;"-01"),1))</f>
        <v>19.99</v>
      </c>
      <c r="T490" s="37">
        <f>SUMIFS('📋 Транзакції'!$F$5:$F$3623,'📋 Транзакції'!$B$5:$B$3623,A490,'📋 Транзакції'!$C$5:$C$3623,"&gt;="&amp;EDATE(DATEVALUE(C490&amp;"-01"),1),'📋 Транзакції'!$C$5:$C$3623,"&lt;"&amp;EDATE(DATEVALUE(C490&amp;"-01"),2))</f>
        <v>0</v>
      </c>
      <c r="U490" s="37">
        <f>SUMIFS('📋 Транзакції'!$F$5:$F$3623,'📋 Транзакції'!$B$5:$B$3623,A490,'📋 Транзакції'!$C$5:$C$3623,"&gt;="&amp;EDATE(DATEVALUE(C490&amp;"-01"),2),'📋 Транзакції'!$C$5:$C$3623,"&lt;"&amp;EDATE(DATEVALUE(C490&amp;"-01"),3))</f>
        <v>19.99</v>
      </c>
      <c r="V490" s="37">
        <f>SUMIFS('📋 Транзакції'!$F$5:$F$3623,'📋 Транзакції'!$B$5:$B$3623,A490,'📋 Транзакції'!$C$5:$C$3623,"&gt;="&amp;EDATE(DATEVALUE(C490&amp;"-01"),3),'📋 Транзакції'!$C$5:$C$3623,"&lt;"&amp;EDATE(DATEVALUE(C490&amp;"-01"),4))</f>
        <v>0</v>
      </c>
      <c r="W490" s="37">
        <f>SUMIFS('📋 Транзакції'!$F$5:$F$3623,'📋 Транзакції'!$B$5:$B$3623,A490,'📋 Транзакції'!$C$5:$C$3623,"&gt;="&amp;EDATE(DATEVALUE(C490&amp;"-01"),4),'📋 Транзакції'!$C$5:$C$3623,"&lt;"&amp;EDATE(DATEVALUE(C490&amp;"-01"),5))</f>
        <v>0</v>
      </c>
      <c r="X490" s="37">
        <f>SUMIFS('📋 Транзакції'!$F$5:$F$3623,'📋 Транзакції'!$B$5:$B$3623,A490,'📋 Транзакції'!$C$5:$C$3623,"&gt;="&amp;EDATE(DATEVALUE(C490&amp;"-01"),5),'📋 Транзакції'!$C$5:$C$3623,"&lt;"&amp;EDATE(DATEVALUE(C490&amp;"-01"),6))</f>
        <v>0</v>
      </c>
      <c r="Y490" s="37">
        <f>SUMIFS('📋 Транзакції'!$F$5:$F$3623,'📋 Транзакції'!$B$5:$B$3623,A490,'📋 Транзакції'!$C$5:$C$3623,"&gt;="&amp;EDATE(DATEVALUE(C490&amp;"-01"),6),'📋 Транзакції'!$C$5:$C$3623,"&lt;"&amp;EDATE(DATEVALUE(C490&amp;"-01"),7))</f>
        <v>0</v>
      </c>
      <c r="Z490" s="37">
        <f>SUMIFS('📋 Транзакції'!$F$5:$F$3623,'📋 Транзакції'!$B$5:$B$3623,A490,'📋 Транзакції'!$C$5:$C$3623,"&gt;="&amp;EDATE(DATEVALUE(C490&amp;"-01"),7),'📋 Транзакції'!$C$5:$C$3623,"&lt;"&amp;EDATE(DATEVALUE(C490&amp;"-01"),8))</f>
        <v>0</v>
      </c>
      <c r="AA490" s="37">
        <f>SUMIFS('📋 Транзакції'!$F$5:$F$3623,'📋 Транзакції'!$B$5:$B$3623,A490,'📋 Транзакції'!$C$5:$C$3623,"&gt;="&amp;EDATE(DATEVALUE(C490&amp;"-01"),8),'📋 Транзакції'!$C$5:$C$3623,"&lt;"&amp;EDATE(DATEVALUE(C490&amp;"-01"),9))</f>
        <v>0</v>
      </c>
      <c r="AB490" s="37">
        <f>SUMIFS('📋 Транзакції'!$F$5:$F$3623,'📋 Транзакції'!$B$5:$B$3623,A490,'📋 Транзакції'!$C$5:$C$3623,"&gt;="&amp;EDATE(DATEVALUE(C490&amp;"-01"),9),'📋 Транзакції'!$C$5:$C$3623,"&lt;"&amp;EDATE(DATEVALUE(C490&amp;"-01"),10))</f>
        <v>0</v>
      </c>
      <c r="AC490" s="37">
        <f>SUMIFS('📋 Транзакції'!$F$5:$F$3623,'📋 Транзакції'!$B$5:$B$3623,A490,'📋 Транзакції'!$C$5:$C$3623,"&gt;="&amp;EDATE(DATEVALUE(C490&amp;"-01"),10),'📋 Транзакції'!$C$5:$C$3623,"&lt;"&amp;EDATE(DATEVALUE(C490&amp;"-01"),11))</f>
        <v>0</v>
      </c>
      <c r="AD490" s="37">
        <f>SUMIFS('📋 Транзакції'!$F$5:$F$3623,'📋 Транзакції'!$B$5:$B$3623,A490,'📋 Транзакції'!$C$5:$C$3623,"&gt;="&amp;EDATE(DATEVALUE(C490&amp;"-01"),11),'📋 Транзакції'!$C$5:$C$3623,"&lt;"&amp;EDATE(DATEVALUE(C490&amp;"-01"),12))</f>
        <v>0</v>
      </c>
    </row>
    <row r="491" ht="15.75" customHeight="1">
      <c r="A491" s="33" t="str">
        <f>'📋 Реєстрації'!A491:A1092</f>
        <v>U0385</v>
      </c>
      <c r="B491" s="34">
        <f t="array" ref="B491">INDEX('📋 Транзакції'!$C$5:$C$3623,MATCH(A491,'📋 Транзакції'!$B$5:$B$3623,0))</f>
        <v>45682</v>
      </c>
      <c r="C491" s="35" t="str">
        <f t="shared" si="1"/>
        <v>2025-01</v>
      </c>
      <c r="D491" s="36">
        <f>COUNTIF('📋 Транзакції'!$B$5:$B$3623,A491)</f>
        <v>3</v>
      </c>
      <c r="E491" s="36">
        <f>SUMIF('📋 Транзакції'!$B$5:$B$3623,A491,'📋 Транзакції'!$F$5:$F$3623)</f>
        <v>39.98</v>
      </c>
      <c r="F491" s="35">
        <f>INT($A$1-MAXIFS('📋 Транзакції'!$C$5:$C$3623,'📋 Транзакції'!$B$5:$B$3623,A491))</f>
        <v>28</v>
      </c>
      <c r="G491" s="37">
        <f>IF(COUNTIFS('📋 Транзакції'!$B$5:$B$3623,A491,'📋 Транзакції'!$C$5:$C$3623,"&gt;="&amp;EDATE(DATEVALUE(C491&amp;"-01"),0),'📋 Транзакції'!$C$5:$C$3623,"&lt;"&amp;EDATE(DATEVALUE(C491&amp;"-01"),1))&gt;0,1,0)</f>
        <v>1</v>
      </c>
      <c r="H491" s="37">
        <f>IF(COUNTIFS('📋 Транзакції'!$B$5:$B$3623,A491,'📋 Транзакції'!$C$5:$C$3623,"&gt;="&amp;EDATE(DATEVALUE(C491&amp;"-01"),1),'📋 Транзакції'!$C$5:$C$3623,"&lt;"&amp;EDATE(DATEVALUE(C491&amp;"-01"),2))&gt;0,1,0)</f>
        <v>1</v>
      </c>
      <c r="I491" s="37">
        <f>IF(COUNTIFS('📋 Транзакції'!$B$5:$B$3623,A491,'📋 Транзакції'!$C$5:$C$3623,"&gt;="&amp;EDATE(DATEVALUE(C491&amp;"-01"),2),'📋 Транзакції'!$C$5:$C$3623,"&lt;"&amp;EDATE(DATEVALUE(C491&amp;"-01"),3))&gt;0,1,0)</f>
        <v>1</v>
      </c>
      <c r="J491" s="37">
        <f>IF(COUNTIFS('📋 Транзакції'!$B$5:$B$3623,A491,'📋 Транзакції'!$C$5:$C$3623,"&gt;="&amp;EDATE(DATEVALUE(C491&amp;"-01"),3),'📋 Транзакції'!$C$5:$C$3623,"&lt;"&amp;EDATE(DATEVALUE(C491&amp;"-01"),4))&gt;0,1,0)</f>
        <v>0</v>
      </c>
      <c r="K491" s="37">
        <f>IF(COUNTIFS('📋 Транзакції'!$B$5:$B$3623,A491,'📋 Транзакції'!$C$5:$C$3623,"&gt;="&amp;EDATE(DATEVALUE(C491&amp;"-01"),4),'📋 Транзакції'!$C$5:$C$3623,"&lt;"&amp;EDATE(DATEVALUE(C491&amp;"-01"),5))&gt;0,1,0)</f>
        <v>0</v>
      </c>
      <c r="L491" s="37">
        <f>IF(COUNTIFS('📋 Транзакції'!$B$5:$B$3623,A491,'📋 Транзакції'!$C$5:$C$3623,"&gt;="&amp;EDATE(DATEVALUE(C491&amp;"-01"),5),'📋 Транзакції'!$C$5:$C$3623,"&lt;"&amp;EDATE(DATEVALUE(C491&amp;"-01"),6))&gt;0,1,0)</f>
        <v>0</v>
      </c>
      <c r="M491" s="37">
        <f>IF(COUNTIFS('📋 Транзакції'!$B$5:$B$3623,A491,'📋 Транзакції'!$C$5:$C$3623,"&gt;="&amp;EDATE(DATEVALUE(C491&amp;"-01"),6),'📋 Транзакції'!$C$5:$C$3623,"&lt;"&amp;EDATE(DATEVALUE(C491&amp;"-01"),7))&gt;0,1,0)</f>
        <v>0</v>
      </c>
      <c r="N491" s="37">
        <f>IF(COUNTIFS('📋 Транзакції'!$B$5:$B$3623,A491,'📋 Транзакції'!$C$5:$C$3623,"&gt;="&amp;EDATE(DATEVALUE(C491&amp;"-01"),7),'📋 Транзакції'!$C$5:$C$3623,"&lt;"&amp;EDATE(DATEVALUE(C491&amp;"-01"),8))&gt;0,1,0)</f>
        <v>0</v>
      </c>
      <c r="O491" s="37">
        <f>IF(COUNTIFS('📋 Транзакції'!$B$5:$B$3623,A491,'📋 Транзакції'!$C$5:$C$3623,"&gt;="&amp;EDATE(DATEVALUE(C491&amp;"-01"),8),'📋 Транзакції'!$C$5:$C$3623,"&lt;"&amp;EDATE(DATEVALUE(C491&amp;"-01"),9))&gt;0,1,0)</f>
        <v>0</v>
      </c>
      <c r="P491" s="37">
        <f>IF(COUNTIFS('📋 Транзакції'!$B$5:$B$3623,A491,'📋 Транзакції'!$C$5:$C$3623,"&gt;="&amp;EDATE(DATEVALUE(C491&amp;"-01"),9),'📋 Транзакції'!$C$5:$C$3623,"&lt;"&amp;EDATE(DATEVALUE(C491&amp;"-01"),10))&gt;0,1,0)</f>
        <v>0</v>
      </c>
      <c r="Q491" s="37">
        <f>IF(COUNTIFS('📋 Транзакції'!$B$5:$B$3623,A491,'📋 Транзакції'!$C$5:$C$3623,"&gt;="&amp;EDATE(DATEVALUE(C491&amp;"-01"),10),'📋 Транзакції'!$C$5:$C$3623,"&lt;"&amp;EDATE(DATEVALUE(C491&amp;"-01"),11))&gt;0,1,0)</f>
        <v>0</v>
      </c>
      <c r="R491" s="37">
        <f>IF(COUNTIFS('📋 Транзакції'!$B$5:$B$3623,A491,'📋 Транзакції'!$C$5:$C$3623,"&gt;="&amp;EDATE(DATEVALUE(C491&amp;"-01"),11),'📋 Транзакції'!$C$5:$C$3623,"&lt;"&amp;EDATE(DATEVALUE(C491&amp;"-01"),12))&gt;0,1,0)</f>
        <v>0</v>
      </c>
      <c r="S491" s="37">
        <f>SUMIFS('📋 Транзакції'!$F$5:$F$3623,'📋 Транзакції'!$B$5:$B$3623,A491,'📋 Транзакції'!$C$5:$C$3623,"&gt;="&amp;EDATE(DATEVALUE(C491&amp;"-01"),0),'📋 Транзакції'!$C$5:$C$3623,"&lt;"&amp;EDATE(DATEVALUE(C491&amp;"-01"),1))</f>
        <v>0</v>
      </c>
      <c r="T491" s="37">
        <f>SUMIFS('📋 Транзакції'!$F$5:$F$3623,'📋 Транзакції'!$B$5:$B$3623,A491,'📋 Транзакції'!$C$5:$C$3623,"&gt;="&amp;EDATE(DATEVALUE(C491&amp;"-01"),1),'📋 Транзакції'!$C$5:$C$3623,"&lt;"&amp;EDATE(DATEVALUE(C491&amp;"-01"),2))</f>
        <v>19.99</v>
      </c>
      <c r="U491" s="37">
        <f>SUMIFS('📋 Транзакції'!$F$5:$F$3623,'📋 Транзакції'!$B$5:$B$3623,A491,'📋 Транзакції'!$C$5:$C$3623,"&gt;="&amp;EDATE(DATEVALUE(C491&amp;"-01"),2),'📋 Транзакції'!$C$5:$C$3623,"&lt;"&amp;EDATE(DATEVALUE(C491&amp;"-01"),3))</f>
        <v>19.99</v>
      </c>
      <c r="V491" s="37">
        <f>SUMIFS('📋 Транзакції'!$F$5:$F$3623,'📋 Транзакції'!$B$5:$B$3623,A491,'📋 Транзакції'!$C$5:$C$3623,"&gt;="&amp;EDATE(DATEVALUE(C491&amp;"-01"),3),'📋 Транзакції'!$C$5:$C$3623,"&lt;"&amp;EDATE(DATEVALUE(C491&amp;"-01"),4))</f>
        <v>0</v>
      </c>
      <c r="W491" s="37">
        <f>SUMIFS('📋 Транзакції'!$F$5:$F$3623,'📋 Транзакції'!$B$5:$B$3623,A491,'📋 Транзакції'!$C$5:$C$3623,"&gt;="&amp;EDATE(DATEVALUE(C491&amp;"-01"),4),'📋 Транзакції'!$C$5:$C$3623,"&lt;"&amp;EDATE(DATEVALUE(C491&amp;"-01"),5))</f>
        <v>0</v>
      </c>
      <c r="X491" s="37">
        <f>SUMIFS('📋 Транзакції'!$F$5:$F$3623,'📋 Транзакції'!$B$5:$B$3623,A491,'📋 Транзакції'!$C$5:$C$3623,"&gt;="&amp;EDATE(DATEVALUE(C491&amp;"-01"),5),'📋 Транзакції'!$C$5:$C$3623,"&lt;"&amp;EDATE(DATEVALUE(C491&amp;"-01"),6))</f>
        <v>0</v>
      </c>
      <c r="Y491" s="37">
        <f>SUMIFS('📋 Транзакції'!$F$5:$F$3623,'📋 Транзакції'!$B$5:$B$3623,A491,'📋 Транзакції'!$C$5:$C$3623,"&gt;="&amp;EDATE(DATEVALUE(C491&amp;"-01"),6),'📋 Транзакції'!$C$5:$C$3623,"&lt;"&amp;EDATE(DATEVALUE(C491&amp;"-01"),7))</f>
        <v>0</v>
      </c>
      <c r="Z491" s="37">
        <f>SUMIFS('📋 Транзакції'!$F$5:$F$3623,'📋 Транзакції'!$B$5:$B$3623,A491,'📋 Транзакції'!$C$5:$C$3623,"&gt;="&amp;EDATE(DATEVALUE(C491&amp;"-01"),7),'📋 Транзакції'!$C$5:$C$3623,"&lt;"&amp;EDATE(DATEVALUE(C491&amp;"-01"),8))</f>
        <v>0</v>
      </c>
      <c r="AA491" s="37">
        <f>SUMIFS('📋 Транзакції'!$F$5:$F$3623,'📋 Транзакції'!$B$5:$B$3623,A491,'📋 Транзакції'!$C$5:$C$3623,"&gt;="&amp;EDATE(DATEVALUE(C491&amp;"-01"),8),'📋 Транзакції'!$C$5:$C$3623,"&lt;"&amp;EDATE(DATEVALUE(C491&amp;"-01"),9))</f>
        <v>0</v>
      </c>
      <c r="AB491" s="37">
        <f>SUMIFS('📋 Транзакції'!$F$5:$F$3623,'📋 Транзакції'!$B$5:$B$3623,A491,'📋 Транзакції'!$C$5:$C$3623,"&gt;="&amp;EDATE(DATEVALUE(C491&amp;"-01"),9),'📋 Транзакції'!$C$5:$C$3623,"&lt;"&amp;EDATE(DATEVALUE(C491&amp;"-01"),10))</f>
        <v>0</v>
      </c>
      <c r="AC491" s="37">
        <f>SUMIFS('📋 Транзакції'!$F$5:$F$3623,'📋 Транзакції'!$B$5:$B$3623,A491,'📋 Транзакції'!$C$5:$C$3623,"&gt;="&amp;EDATE(DATEVALUE(C491&amp;"-01"),10),'📋 Транзакції'!$C$5:$C$3623,"&lt;"&amp;EDATE(DATEVALUE(C491&amp;"-01"),11))</f>
        <v>0</v>
      </c>
      <c r="AD491" s="37">
        <f>SUMIFS('📋 Транзакції'!$F$5:$F$3623,'📋 Транзакції'!$B$5:$B$3623,A491,'📋 Транзакції'!$C$5:$C$3623,"&gt;="&amp;EDATE(DATEVALUE(C491&amp;"-01"),11),'📋 Транзакції'!$C$5:$C$3623,"&lt;"&amp;EDATE(DATEVALUE(C491&amp;"-01"),12))</f>
        <v>0</v>
      </c>
    </row>
    <row r="492" ht="15.75" customHeight="1">
      <c r="A492" s="33" t="str">
        <f>'📋 Реєстрації'!A492:A1093</f>
        <v>U0535</v>
      </c>
      <c r="B492" s="34">
        <f t="array" ref="B492">INDEX('📋 Транзакції'!$C$5:$C$3623,MATCH(A492,'📋 Транзакції'!$B$5:$B$3623,0))</f>
        <v>45682</v>
      </c>
      <c r="C492" s="35" t="str">
        <f t="shared" si="1"/>
        <v>2025-01</v>
      </c>
      <c r="D492" s="36">
        <f>COUNTIF('📋 Транзакції'!$B$5:$B$3623,A492)</f>
        <v>3</v>
      </c>
      <c r="E492" s="36">
        <f>SUMIF('📋 Транзакції'!$B$5:$B$3623,A492,'📋 Транзакції'!$F$5:$F$3623)</f>
        <v>39.98</v>
      </c>
      <c r="F492" s="35">
        <f>INT($A$1-MAXIFS('📋 Транзакції'!$C$5:$C$3623,'📋 Транзакції'!$B$5:$B$3623,A492))</f>
        <v>28</v>
      </c>
      <c r="G492" s="37">
        <f>IF(COUNTIFS('📋 Транзакції'!$B$5:$B$3623,A492,'📋 Транзакції'!$C$5:$C$3623,"&gt;="&amp;EDATE(DATEVALUE(C492&amp;"-01"),0),'📋 Транзакції'!$C$5:$C$3623,"&lt;"&amp;EDATE(DATEVALUE(C492&amp;"-01"),1))&gt;0,1,0)</f>
        <v>1</v>
      </c>
      <c r="H492" s="37">
        <f>IF(COUNTIFS('📋 Транзакції'!$B$5:$B$3623,A492,'📋 Транзакції'!$C$5:$C$3623,"&gt;="&amp;EDATE(DATEVALUE(C492&amp;"-01"),1),'📋 Транзакції'!$C$5:$C$3623,"&lt;"&amp;EDATE(DATEVALUE(C492&amp;"-01"),2))&gt;0,1,0)</f>
        <v>1</v>
      </c>
      <c r="I492" s="37">
        <f>IF(COUNTIFS('📋 Транзакції'!$B$5:$B$3623,A492,'📋 Транзакції'!$C$5:$C$3623,"&gt;="&amp;EDATE(DATEVALUE(C492&amp;"-01"),2),'📋 Транзакції'!$C$5:$C$3623,"&lt;"&amp;EDATE(DATEVALUE(C492&amp;"-01"),3))&gt;0,1,0)</f>
        <v>1</v>
      </c>
      <c r="J492" s="37">
        <f>IF(COUNTIFS('📋 Транзакції'!$B$5:$B$3623,A492,'📋 Транзакції'!$C$5:$C$3623,"&gt;="&amp;EDATE(DATEVALUE(C492&amp;"-01"),3),'📋 Транзакції'!$C$5:$C$3623,"&lt;"&amp;EDATE(DATEVALUE(C492&amp;"-01"),4))&gt;0,1,0)</f>
        <v>0</v>
      </c>
      <c r="K492" s="37">
        <f>IF(COUNTIFS('📋 Транзакції'!$B$5:$B$3623,A492,'📋 Транзакції'!$C$5:$C$3623,"&gt;="&amp;EDATE(DATEVALUE(C492&amp;"-01"),4),'📋 Транзакції'!$C$5:$C$3623,"&lt;"&amp;EDATE(DATEVALUE(C492&amp;"-01"),5))&gt;0,1,0)</f>
        <v>0</v>
      </c>
      <c r="L492" s="37">
        <f>IF(COUNTIFS('📋 Транзакції'!$B$5:$B$3623,A492,'📋 Транзакції'!$C$5:$C$3623,"&gt;="&amp;EDATE(DATEVALUE(C492&amp;"-01"),5),'📋 Транзакції'!$C$5:$C$3623,"&lt;"&amp;EDATE(DATEVALUE(C492&amp;"-01"),6))&gt;0,1,0)</f>
        <v>0</v>
      </c>
      <c r="M492" s="37">
        <f>IF(COUNTIFS('📋 Транзакції'!$B$5:$B$3623,A492,'📋 Транзакції'!$C$5:$C$3623,"&gt;="&amp;EDATE(DATEVALUE(C492&amp;"-01"),6),'📋 Транзакції'!$C$5:$C$3623,"&lt;"&amp;EDATE(DATEVALUE(C492&amp;"-01"),7))&gt;0,1,0)</f>
        <v>0</v>
      </c>
      <c r="N492" s="37">
        <f>IF(COUNTIFS('📋 Транзакції'!$B$5:$B$3623,A492,'📋 Транзакції'!$C$5:$C$3623,"&gt;="&amp;EDATE(DATEVALUE(C492&amp;"-01"),7),'📋 Транзакції'!$C$5:$C$3623,"&lt;"&amp;EDATE(DATEVALUE(C492&amp;"-01"),8))&gt;0,1,0)</f>
        <v>0</v>
      </c>
      <c r="O492" s="37">
        <f>IF(COUNTIFS('📋 Транзакції'!$B$5:$B$3623,A492,'📋 Транзакції'!$C$5:$C$3623,"&gt;="&amp;EDATE(DATEVALUE(C492&amp;"-01"),8),'📋 Транзакції'!$C$5:$C$3623,"&lt;"&amp;EDATE(DATEVALUE(C492&amp;"-01"),9))&gt;0,1,0)</f>
        <v>0</v>
      </c>
      <c r="P492" s="37">
        <f>IF(COUNTIFS('📋 Транзакції'!$B$5:$B$3623,A492,'📋 Транзакції'!$C$5:$C$3623,"&gt;="&amp;EDATE(DATEVALUE(C492&amp;"-01"),9),'📋 Транзакції'!$C$5:$C$3623,"&lt;"&amp;EDATE(DATEVALUE(C492&amp;"-01"),10))&gt;0,1,0)</f>
        <v>0</v>
      </c>
      <c r="Q492" s="37">
        <f>IF(COUNTIFS('📋 Транзакції'!$B$5:$B$3623,A492,'📋 Транзакції'!$C$5:$C$3623,"&gt;="&amp;EDATE(DATEVALUE(C492&amp;"-01"),10),'📋 Транзакції'!$C$5:$C$3623,"&lt;"&amp;EDATE(DATEVALUE(C492&amp;"-01"),11))&gt;0,1,0)</f>
        <v>0</v>
      </c>
      <c r="R492" s="37">
        <f>IF(COUNTIFS('📋 Транзакції'!$B$5:$B$3623,A492,'📋 Транзакції'!$C$5:$C$3623,"&gt;="&amp;EDATE(DATEVALUE(C492&amp;"-01"),11),'📋 Транзакції'!$C$5:$C$3623,"&lt;"&amp;EDATE(DATEVALUE(C492&amp;"-01"),12))&gt;0,1,0)</f>
        <v>0</v>
      </c>
      <c r="S492" s="37">
        <f>SUMIFS('📋 Транзакції'!$F$5:$F$3623,'📋 Транзакції'!$B$5:$B$3623,A492,'📋 Транзакції'!$C$5:$C$3623,"&gt;="&amp;EDATE(DATEVALUE(C492&amp;"-01"),0),'📋 Транзакції'!$C$5:$C$3623,"&lt;"&amp;EDATE(DATEVALUE(C492&amp;"-01"),1))</f>
        <v>0</v>
      </c>
      <c r="T492" s="37">
        <f>SUMIFS('📋 Транзакції'!$F$5:$F$3623,'📋 Транзакції'!$B$5:$B$3623,A492,'📋 Транзакції'!$C$5:$C$3623,"&gt;="&amp;EDATE(DATEVALUE(C492&amp;"-01"),1),'📋 Транзакції'!$C$5:$C$3623,"&lt;"&amp;EDATE(DATEVALUE(C492&amp;"-01"),2))</f>
        <v>19.99</v>
      </c>
      <c r="U492" s="37">
        <f>SUMIFS('📋 Транзакції'!$F$5:$F$3623,'📋 Транзакції'!$B$5:$B$3623,A492,'📋 Транзакції'!$C$5:$C$3623,"&gt;="&amp;EDATE(DATEVALUE(C492&amp;"-01"),2),'📋 Транзакції'!$C$5:$C$3623,"&lt;"&amp;EDATE(DATEVALUE(C492&amp;"-01"),3))</f>
        <v>19.99</v>
      </c>
      <c r="V492" s="37">
        <f>SUMIFS('📋 Транзакції'!$F$5:$F$3623,'📋 Транзакції'!$B$5:$B$3623,A492,'📋 Транзакції'!$C$5:$C$3623,"&gt;="&amp;EDATE(DATEVALUE(C492&amp;"-01"),3),'📋 Транзакції'!$C$5:$C$3623,"&lt;"&amp;EDATE(DATEVALUE(C492&amp;"-01"),4))</f>
        <v>0</v>
      </c>
      <c r="W492" s="37">
        <f>SUMIFS('📋 Транзакції'!$F$5:$F$3623,'📋 Транзакції'!$B$5:$B$3623,A492,'📋 Транзакції'!$C$5:$C$3623,"&gt;="&amp;EDATE(DATEVALUE(C492&amp;"-01"),4),'📋 Транзакції'!$C$5:$C$3623,"&lt;"&amp;EDATE(DATEVALUE(C492&amp;"-01"),5))</f>
        <v>0</v>
      </c>
      <c r="X492" s="37">
        <f>SUMIFS('📋 Транзакції'!$F$5:$F$3623,'📋 Транзакції'!$B$5:$B$3623,A492,'📋 Транзакції'!$C$5:$C$3623,"&gt;="&amp;EDATE(DATEVALUE(C492&amp;"-01"),5),'📋 Транзакції'!$C$5:$C$3623,"&lt;"&amp;EDATE(DATEVALUE(C492&amp;"-01"),6))</f>
        <v>0</v>
      </c>
      <c r="Y492" s="37">
        <f>SUMIFS('📋 Транзакції'!$F$5:$F$3623,'📋 Транзакції'!$B$5:$B$3623,A492,'📋 Транзакції'!$C$5:$C$3623,"&gt;="&amp;EDATE(DATEVALUE(C492&amp;"-01"),6),'📋 Транзакції'!$C$5:$C$3623,"&lt;"&amp;EDATE(DATEVALUE(C492&amp;"-01"),7))</f>
        <v>0</v>
      </c>
      <c r="Z492" s="37">
        <f>SUMIFS('📋 Транзакції'!$F$5:$F$3623,'📋 Транзакції'!$B$5:$B$3623,A492,'📋 Транзакції'!$C$5:$C$3623,"&gt;="&amp;EDATE(DATEVALUE(C492&amp;"-01"),7),'📋 Транзакції'!$C$5:$C$3623,"&lt;"&amp;EDATE(DATEVALUE(C492&amp;"-01"),8))</f>
        <v>0</v>
      </c>
      <c r="AA492" s="37">
        <f>SUMIFS('📋 Транзакції'!$F$5:$F$3623,'📋 Транзакції'!$B$5:$B$3623,A492,'📋 Транзакції'!$C$5:$C$3623,"&gt;="&amp;EDATE(DATEVALUE(C492&amp;"-01"),8),'📋 Транзакції'!$C$5:$C$3623,"&lt;"&amp;EDATE(DATEVALUE(C492&amp;"-01"),9))</f>
        <v>0</v>
      </c>
      <c r="AB492" s="37">
        <f>SUMIFS('📋 Транзакції'!$F$5:$F$3623,'📋 Транзакції'!$B$5:$B$3623,A492,'📋 Транзакції'!$C$5:$C$3623,"&gt;="&amp;EDATE(DATEVALUE(C492&amp;"-01"),9),'📋 Транзакції'!$C$5:$C$3623,"&lt;"&amp;EDATE(DATEVALUE(C492&amp;"-01"),10))</f>
        <v>0</v>
      </c>
      <c r="AC492" s="37">
        <f>SUMIFS('📋 Транзакції'!$F$5:$F$3623,'📋 Транзакції'!$B$5:$B$3623,A492,'📋 Транзакції'!$C$5:$C$3623,"&gt;="&amp;EDATE(DATEVALUE(C492&amp;"-01"),10),'📋 Транзакції'!$C$5:$C$3623,"&lt;"&amp;EDATE(DATEVALUE(C492&amp;"-01"),11))</f>
        <v>0</v>
      </c>
      <c r="AD492" s="37">
        <f>SUMIFS('📋 Транзакції'!$F$5:$F$3623,'📋 Транзакції'!$B$5:$B$3623,A492,'📋 Транзакції'!$C$5:$C$3623,"&gt;="&amp;EDATE(DATEVALUE(C492&amp;"-01"),11),'📋 Транзакції'!$C$5:$C$3623,"&lt;"&amp;EDATE(DATEVALUE(C492&amp;"-01"),12))</f>
        <v>0</v>
      </c>
    </row>
    <row r="493" ht="15.75" customHeight="1">
      <c r="A493" s="33" t="str">
        <f>'📋 Реєстрації'!A493:A1094</f>
        <v>U0076</v>
      </c>
      <c r="B493" s="34">
        <f t="array" ref="B493">INDEX('📋 Транзакції'!$C$5:$C$3623,MATCH(A493,'📋 Транзакції'!$B$5:$B$3623,0))</f>
        <v>45683</v>
      </c>
      <c r="C493" s="35" t="str">
        <f t="shared" si="1"/>
        <v>2025-01</v>
      </c>
      <c r="D493" s="36">
        <f>COUNTIF('📋 Транзакції'!$B$5:$B$3623,A493)</f>
        <v>3</v>
      </c>
      <c r="E493" s="36">
        <f>SUMIF('📋 Транзакції'!$B$5:$B$3623,A493,'📋 Транзакції'!$F$5:$F$3623)</f>
        <v>39.98</v>
      </c>
      <c r="F493" s="35">
        <f>INT($A$1-MAXIFS('📋 Транзакції'!$C$5:$C$3623,'📋 Транзакції'!$B$5:$B$3623,A493))</f>
        <v>27</v>
      </c>
      <c r="G493" s="37">
        <f>IF(COUNTIFS('📋 Транзакції'!$B$5:$B$3623,A493,'📋 Транзакції'!$C$5:$C$3623,"&gt;="&amp;EDATE(DATEVALUE(C493&amp;"-01"),0),'📋 Транзакції'!$C$5:$C$3623,"&lt;"&amp;EDATE(DATEVALUE(C493&amp;"-01"),1))&gt;0,1,0)</f>
        <v>1</v>
      </c>
      <c r="H493" s="37">
        <f>IF(COUNTIFS('📋 Транзакції'!$B$5:$B$3623,A493,'📋 Транзакції'!$C$5:$C$3623,"&gt;="&amp;EDATE(DATEVALUE(C493&amp;"-01"),1),'📋 Транзакції'!$C$5:$C$3623,"&lt;"&amp;EDATE(DATEVALUE(C493&amp;"-01"),2))&gt;0,1,0)</f>
        <v>1</v>
      </c>
      <c r="I493" s="37">
        <f>IF(COUNTIFS('📋 Транзакції'!$B$5:$B$3623,A493,'📋 Транзакції'!$C$5:$C$3623,"&gt;="&amp;EDATE(DATEVALUE(C493&amp;"-01"),2),'📋 Транзакції'!$C$5:$C$3623,"&lt;"&amp;EDATE(DATEVALUE(C493&amp;"-01"),3))&gt;0,1,0)</f>
        <v>1</v>
      </c>
      <c r="J493" s="37">
        <f>IF(COUNTIFS('📋 Транзакції'!$B$5:$B$3623,A493,'📋 Транзакції'!$C$5:$C$3623,"&gt;="&amp;EDATE(DATEVALUE(C493&amp;"-01"),3),'📋 Транзакції'!$C$5:$C$3623,"&lt;"&amp;EDATE(DATEVALUE(C493&amp;"-01"),4))&gt;0,1,0)</f>
        <v>0</v>
      </c>
      <c r="K493" s="37">
        <f>IF(COUNTIFS('📋 Транзакції'!$B$5:$B$3623,A493,'📋 Транзакції'!$C$5:$C$3623,"&gt;="&amp;EDATE(DATEVALUE(C493&amp;"-01"),4),'📋 Транзакції'!$C$5:$C$3623,"&lt;"&amp;EDATE(DATEVALUE(C493&amp;"-01"),5))&gt;0,1,0)</f>
        <v>0</v>
      </c>
      <c r="L493" s="37">
        <f>IF(COUNTIFS('📋 Транзакції'!$B$5:$B$3623,A493,'📋 Транзакції'!$C$5:$C$3623,"&gt;="&amp;EDATE(DATEVALUE(C493&amp;"-01"),5),'📋 Транзакції'!$C$5:$C$3623,"&lt;"&amp;EDATE(DATEVALUE(C493&amp;"-01"),6))&gt;0,1,0)</f>
        <v>0</v>
      </c>
      <c r="M493" s="37">
        <f>IF(COUNTIFS('📋 Транзакції'!$B$5:$B$3623,A493,'📋 Транзакції'!$C$5:$C$3623,"&gt;="&amp;EDATE(DATEVALUE(C493&amp;"-01"),6),'📋 Транзакції'!$C$5:$C$3623,"&lt;"&amp;EDATE(DATEVALUE(C493&amp;"-01"),7))&gt;0,1,0)</f>
        <v>0</v>
      </c>
      <c r="N493" s="37">
        <f>IF(COUNTIFS('📋 Транзакції'!$B$5:$B$3623,A493,'📋 Транзакції'!$C$5:$C$3623,"&gt;="&amp;EDATE(DATEVALUE(C493&amp;"-01"),7),'📋 Транзакції'!$C$5:$C$3623,"&lt;"&amp;EDATE(DATEVALUE(C493&amp;"-01"),8))&gt;0,1,0)</f>
        <v>0</v>
      </c>
      <c r="O493" s="37">
        <f>IF(COUNTIFS('📋 Транзакції'!$B$5:$B$3623,A493,'📋 Транзакції'!$C$5:$C$3623,"&gt;="&amp;EDATE(DATEVALUE(C493&amp;"-01"),8),'📋 Транзакції'!$C$5:$C$3623,"&lt;"&amp;EDATE(DATEVALUE(C493&amp;"-01"),9))&gt;0,1,0)</f>
        <v>0</v>
      </c>
      <c r="P493" s="37">
        <f>IF(COUNTIFS('📋 Транзакції'!$B$5:$B$3623,A493,'📋 Транзакції'!$C$5:$C$3623,"&gt;="&amp;EDATE(DATEVALUE(C493&amp;"-01"),9),'📋 Транзакції'!$C$5:$C$3623,"&lt;"&amp;EDATE(DATEVALUE(C493&amp;"-01"),10))&gt;0,1,0)</f>
        <v>0</v>
      </c>
      <c r="Q493" s="37">
        <f>IF(COUNTIFS('📋 Транзакції'!$B$5:$B$3623,A493,'📋 Транзакції'!$C$5:$C$3623,"&gt;="&amp;EDATE(DATEVALUE(C493&amp;"-01"),10),'📋 Транзакції'!$C$5:$C$3623,"&lt;"&amp;EDATE(DATEVALUE(C493&amp;"-01"),11))&gt;0,1,0)</f>
        <v>0</v>
      </c>
      <c r="R493" s="37">
        <f>IF(COUNTIFS('📋 Транзакції'!$B$5:$B$3623,A493,'📋 Транзакції'!$C$5:$C$3623,"&gt;="&amp;EDATE(DATEVALUE(C493&amp;"-01"),11),'📋 Транзакції'!$C$5:$C$3623,"&lt;"&amp;EDATE(DATEVALUE(C493&amp;"-01"),12))&gt;0,1,0)</f>
        <v>0</v>
      </c>
      <c r="S493" s="37">
        <f>SUMIFS('📋 Транзакції'!$F$5:$F$3623,'📋 Транзакції'!$B$5:$B$3623,A493,'📋 Транзакції'!$C$5:$C$3623,"&gt;="&amp;EDATE(DATEVALUE(C493&amp;"-01"),0),'📋 Транзакції'!$C$5:$C$3623,"&lt;"&amp;EDATE(DATEVALUE(C493&amp;"-01"),1))</f>
        <v>0</v>
      </c>
      <c r="T493" s="37">
        <f>SUMIFS('📋 Транзакції'!$F$5:$F$3623,'📋 Транзакції'!$B$5:$B$3623,A493,'📋 Транзакції'!$C$5:$C$3623,"&gt;="&amp;EDATE(DATEVALUE(C493&amp;"-01"),1),'📋 Транзакції'!$C$5:$C$3623,"&lt;"&amp;EDATE(DATEVALUE(C493&amp;"-01"),2))</f>
        <v>19.99</v>
      </c>
      <c r="U493" s="37">
        <f>SUMIFS('📋 Транзакції'!$F$5:$F$3623,'📋 Транзакції'!$B$5:$B$3623,A493,'📋 Транзакції'!$C$5:$C$3623,"&gt;="&amp;EDATE(DATEVALUE(C493&amp;"-01"),2),'📋 Транзакції'!$C$5:$C$3623,"&lt;"&amp;EDATE(DATEVALUE(C493&amp;"-01"),3))</f>
        <v>19.99</v>
      </c>
      <c r="V493" s="37">
        <f>SUMIFS('📋 Транзакції'!$F$5:$F$3623,'📋 Транзакції'!$B$5:$B$3623,A493,'📋 Транзакції'!$C$5:$C$3623,"&gt;="&amp;EDATE(DATEVALUE(C493&amp;"-01"),3),'📋 Транзакції'!$C$5:$C$3623,"&lt;"&amp;EDATE(DATEVALUE(C493&amp;"-01"),4))</f>
        <v>0</v>
      </c>
      <c r="W493" s="37">
        <f>SUMIFS('📋 Транзакції'!$F$5:$F$3623,'📋 Транзакції'!$B$5:$B$3623,A493,'📋 Транзакції'!$C$5:$C$3623,"&gt;="&amp;EDATE(DATEVALUE(C493&amp;"-01"),4),'📋 Транзакції'!$C$5:$C$3623,"&lt;"&amp;EDATE(DATEVALUE(C493&amp;"-01"),5))</f>
        <v>0</v>
      </c>
      <c r="X493" s="37">
        <f>SUMIFS('📋 Транзакції'!$F$5:$F$3623,'📋 Транзакції'!$B$5:$B$3623,A493,'📋 Транзакції'!$C$5:$C$3623,"&gt;="&amp;EDATE(DATEVALUE(C493&amp;"-01"),5),'📋 Транзакції'!$C$5:$C$3623,"&lt;"&amp;EDATE(DATEVALUE(C493&amp;"-01"),6))</f>
        <v>0</v>
      </c>
      <c r="Y493" s="37">
        <f>SUMIFS('📋 Транзакції'!$F$5:$F$3623,'📋 Транзакції'!$B$5:$B$3623,A493,'📋 Транзакції'!$C$5:$C$3623,"&gt;="&amp;EDATE(DATEVALUE(C493&amp;"-01"),6),'📋 Транзакції'!$C$5:$C$3623,"&lt;"&amp;EDATE(DATEVALUE(C493&amp;"-01"),7))</f>
        <v>0</v>
      </c>
      <c r="Z493" s="37">
        <f>SUMIFS('📋 Транзакції'!$F$5:$F$3623,'📋 Транзакції'!$B$5:$B$3623,A493,'📋 Транзакції'!$C$5:$C$3623,"&gt;="&amp;EDATE(DATEVALUE(C493&amp;"-01"),7),'📋 Транзакції'!$C$5:$C$3623,"&lt;"&amp;EDATE(DATEVALUE(C493&amp;"-01"),8))</f>
        <v>0</v>
      </c>
      <c r="AA493" s="37">
        <f>SUMIFS('📋 Транзакції'!$F$5:$F$3623,'📋 Транзакції'!$B$5:$B$3623,A493,'📋 Транзакції'!$C$5:$C$3623,"&gt;="&amp;EDATE(DATEVALUE(C493&amp;"-01"),8),'📋 Транзакції'!$C$5:$C$3623,"&lt;"&amp;EDATE(DATEVALUE(C493&amp;"-01"),9))</f>
        <v>0</v>
      </c>
      <c r="AB493" s="37">
        <f>SUMIFS('📋 Транзакції'!$F$5:$F$3623,'📋 Транзакції'!$B$5:$B$3623,A493,'📋 Транзакції'!$C$5:$C$3623,"&gt;="&amp;EDATE(DATEVALUE(C493&amp;"-01"),9),'📋 Транзакції'!$C$5:$C$3623,"&lt;"&amp;EDATE(DATEVALUE(C493&amp;"-01"),10))</f>
        <v>0</v>
      </c>
      <c r="AC493" s="37">
        <f>SUMIFS('📋 Транзакції'!$F$5:$F$3623,'📋 Транзакції'!$B$5:$B$3623,A493,'📋 Транзакції'!$C$5:$C$3623,"&gt;="&amp;EDATE(DATEVALUE(C493&amp;"-01"),10),'📋 Транзакції'!$C$5:$C$3623,"&lt;"&amp;EDATE(DATEVALUE(C493&amp;"-01"),11))</f>
        <v>0</v>
      </c>
      <c r="AD493" s="37">
        <f>SUMIFS('📋 Транзакції'!$F$5:$F$3623,'📋 Транзакції'!$B$5:$B$3623,A493,'📋 Транзакції'!$C$5:$C$3623,"&gt;="&amp;EDATE(DATEVALUE(C493&amp;"-01"),11),'📋 Транзакції'!$C$5:$C$3623,"&lt;"&amp;EDATE(DATEVALUE(C493&amp;"-01"),12))</f>
        <v>0</v>
      </c>
    </row>
    <row r="494" ht="15.75" customHeight="1">
      <c r="A494" s="33" t="str">
        <f>'📋 Реєстрації'!A494:A1095</f>
        <v>U0108</v>
      </c>
      <c r="B494" s="34">
        <f t="array" ref="B494">INDEX('📋 Транзакції'!$C$5:$C$3623,MATCH(A494,'📋 Транзакції'!$B$5:$B$3623,0))</f>
        <v>45683</v>
      </c>
      <c r="C494" s="35" t="str">
        <f t="shared" si="1"/>
        <v>2025-01</v>
      </c>
      <c r="D494" s="36">
        <f>COUNTIF('📋 Транзакції'!$B$5:$B$3623,A494)</f>
        <v>3</v>
      </c>
      <c r="E494" s="36">
        <f>SUMIF('📋 Транзакції'!$B$5:$B$3623,A494,'📋 Транзакції'!$F$5:$F$3623)</f>
        <v>39.98</v>
      </c>
      <c r="F494" s="35">
        <f>INT($A$1-MAXIFS('📋 Транзакції'!$C$5:$C$3623,'📋 Транзакції'!$B$5:$B$3623,A494))</f>
        <v>27</v>
      </c>
      <c r="G494" s="37">
        <f>IF(COUNTIFS('📋 Транзакції'!$B$5:$B$3623,A494,'📋 Транзакції'!$C$5:$C$3623,"&gt;="&amp;EDATE(DATEVALUE(C494&amp;"-01"),0),'📋 Транзакції'!$C$5:$C$3623,"&lt;"&amp;EDATE(DATEVALUE(C494&amp;"-01"),1))&gt;0,1,0)</f>
        <v>1</v>
      </c>
      <c r="H494" s="37">
        <f>IF(COUNTIFS('📋 Транзакції'!$B$5:$B$3623,A494,'📋 Транзакції'!$C$5:$C$3623,"&gt;="&amp;EDATE(DATEVALUE(C494&amp;"-01"),1),'📋 Транзакції'!$C$5:$C$3623,"&lt;"&amp;EDATE(DATEVALUE(C494&amp;"-01"),2))&gt;0,1,0)</f>
        <v>1</v>
      </c>
      <c r="I494" s="37">
        <f>IF(COUNTIFS('📋 Транзакції'!$B$5:$B$3623,A494,'📋 Транзакції'!$C$5:$C$3623,"&gt;="&amp;EDATE(DATEVALUE(C494&amp;"-01"),2),'📋 Транзакції'!$C$5:$C$3623,"&lt;"&amp;EDATE(DATEVALUE(C494&amp;"-01"),3))&gt;0,1,0)</f>
        <v>1</v>
      </c>
      <c r="J494" s="37">
        <f>IF(COUNTIFS('📋 Транзакції'!$B$5:$B$3623,A494,'📋 Транзакції'!$C$5:$C$3623,"&gt;="&amp;EDATE(DATEVALUE(C494&amp;"-01"),3),'📋 Транзакції'!$C$5:$C$3623,"&lt;"&amp;EDATE(DATEVALUE(C494&amp;"-01"),4))&gt;0,1,0)</f>
        <v>0</v>
      </c>
      <c r="K494" s="37">
        <f>IF(COUNTIFS('📋 Транзакції'!$B$5:$B$3623,A494,'📋 Транзакції'!$C$5:$C$3623,"&gt;="&amp;EDATE(DATEVALUE(C494&amp;"-01"),4),'📋 Транзакції'!$C$5:$C$3623,"&lt;"&amp;EDATE(DATEVALUE(C494&amp;"-01"),5))&gt;0,1,0)</f>
        <v>0</v>
      </c>
      <c r="L494" s="37">
        <f>IF(COUNTIFS('📋 Транзакції'!$B$5:$B$3623,A494,'📋 Транзакції'!$C$5:$C$3623,"&gt;="&amp;EDATE(DATEVALUE(C494&amp;"-01"),5),'📋 Транзакції'!$C$5:$C$3623,"&lt;"&amp;EDATE(DATEVALUE(C494&amp;"-01"),6))&gt;0,1,0)</f>
        <v>0</v>
      </c>
      <c r="M494" s="37">
        <f>IF(COUNTIFS('📋 Транзакції'!$B$5:$B$3623,A494,'📋 Транзакції'!$C$5:$C$3623,"&gt;="&amp;EDATE(DATEVALUE(C494&amp;"-01"),6),'📋 Транзакції'!$C$5:$C$3623,"&lt;"&amp;EDATE(DATEVALUE(C494&amp;"-01"),7))&gt;0,1,0)</f>
        <v>0</v>
      </c>
      <c r="N494" s="37">
        <f>IF(COUNTIFS('📋 Транзакції'!$B$5:$B$3623,A494,'📋 Транзакції'!$C$5:$C$3623,"&gt;="&amp;EDATE(DATEVALUE(C494&amp;"-01"),7),'📋 Транзакції'!$C$5:$C$3623,"&lt;"&amp;EDATE(DATEVALUE(C494&amp;"-01"),8))&gt;0,1,0)</f>
        <v>0</v>
      </c>
      <c r="O494" s="37">
        <f>IF(COUNTIFS('📋 Транзакції'!$B$5:$B$3623,A494,'📋 Транзакції'!$C$5:$C$3623,"&gt;="&amp;EDATE(DATEVALUE(C494&amp;"-01"),8),'📋 Транзакції'!$C$5:$C$3623,"&lt;"&amp;EDATE(DATEVALUE(C494&amp;"-01"),9))&gt;0,1,0)</f>
        <v>0</v>
      </c>
      <c r="P494" s="37">
        <f>IF(COUNTIFS('📋 Транзакції'!$B$5:$B$3623,A494,'📋 Транзакції'!$C$5:$C$3623,"&gt;="&amp;EDATE(DATEVALUE(C494&amp;"-01"),9),'📋 Транзакції'!$C$5:$C$3623,"&lt;"&amp;EDATE(DATEVALUE(C494&amp;"-01"),10))&gt;0,1,0)</f>
        <v>0</v>
      </c>
      <c r="Q494" s="37">
        <f>IF(COUNTIFS('📋 Транзакції'!$B$5:$B$3623,A494,'📋 Транзакції'!$C$5:$C$3623,"&gt;="&amp;EDATE(DATEVALUE(C494&amp;"-01"),10),'📋 Транзакції'!$C$5:$C$3623,"&lt;"&amp;EDATE(DATEVALUE(C494&amp;"-01"),11))&gt;0,1,0)</f>
        <v>0</v>
      </c>
      <c r="R494" s="37">
        <f>IF(COUNTIFS('📋 Транзакції'!$B$5:$B$3623,A494,'📋 Транзакції'!$C$5:$C$3623,"&gt;="&amp;EDATE(DATEVALUE(C494&amp;"-01"),11),'📋 Транзакції'!$C$5:$C$3623,"&lt;"&amp;EDATE(DATEVALUE(C494&amp;"-01"),12))&gt;0,1,0)</f>
        <v>0</v>
      </c>
      <c r="S494" s="37">
        <f>SUMIFS('📋 Транзакції'!$F$5:$F$3623,'📋 Транзакції'!$B$5:$B$3623,A494,'📋 Транзакції'!$C$5:$C$3623,"&gt;="&amp;EDATE(DATEVALUE(C494&amp;"-01"),0),'📋 Транзакції'!$C$5:$C$3623,"&lt;"&amp;EDATE(DATEVALUE(C494&amp;"-01"),1))</f>
        <v>0</v>
      </c>
      <c r="T494" s="37">
        <f>SUMIFS('📋 Транзакції'!$F$5:$F$3623,'📋 Транзакції'!$B$5:$B$3623,A494,'📋 Транзакції'!$C$5:$C$3623,"&gt;="&amp;EDATE(DATEVALUE(C494&amp;"-01"),1),'📋 Транзакції'!$C$5:$C$3623,"&lt;"&amp;EDATE(DATEVALUE(C494&amp;"-01"),2))</f>
        <v>19.99</v>
      </c>
      <c r="U494" s="37">
        <f>SUMIFS('📋 Транзакції'!$F$5:$F$3623,'📋 Транзакції'!$B$5:$B$3623,A494,'📋 Транзакції'!$C$5:$C$3623,"&gt;="&amp;EDATE(DATEVALUE(C494&amp;"-01"),2),'📋 Транзакції'!$C$5:$C$3623,"&lt;"&amp;EDATE(DATEVALUE(C494&amp;"-01"),3))</f>
        <v>19.99</v>
      </c>
      <c r="V494" s="37">
        <f>SUMIFS('📋 Транзакції'!$F$5:$F$3623,'📋 Транзакції'!$B$5:$B$3623,A494,'📋 Транзакції'!$C$5:$C$3623,"&gt;="&amp;EDATE(DATEVALUE(C494&amp;"-01"),3),'📋 Транзакції'!$C$5:$C$3623,"&lt;"&amp;EDATE(DATEVALUE(C494&amp;"-01"),4))</f>
        <v>0</v>
      </c>
      <c r="W494" s="37">
        <f>SUMIFS('📋 Транзакції'!$F$5:$F$3623,'📋 Транзакції'!$B$5:$B$3623,A494,'📋 Транзакції'!$C$5:$C$3623,"&gt;="&amp;EDATE(DATEVALUE(C494&amp;"-01"),4),'📋 Транзакції'!$C$5:$C$3623,"&lt;"&amp;EDATE(DATEVALUE(C494&amp;"-01"),5))</f>
        <v>0</v>
      </c>
      <c r="X494" s="37">
        <f>SUMIFS('📋 Транзакції'!$F$5:$F$3623,'📋 Транзакції'!$B$5:$B$3623,A494,'📋 Транзакції'!$C$5:$C$3623,"&gt;="&amp;EDATE(DATEVALUE(C494&amp;"-01"),5),'📋 Транзакції'!$C$5:$C$3623,"&lt;"&amp;EDATE(DATEVALUE(C494&amp;"-01"),6))</f>
        <v>0</v>
      </c>
      <c r="Y494" s="37">
        <f>SUMIFS('📋 Транзакції'!$F$5:$F$3623,'📋 Транзакції'!$B$5:$B$3623,A494,'📋 Транзакції'!$C$5:$C$3623,"&gt;="&amp;EDATE(DATEVALUE(C494&amp;"-01"),6),'📋 Транзакції'!$C$5:$C$3623,"&lt;"&amp;EDATE(DATEVALUE(C494&amp;"-01"),7))</f>
        <v>0</v>
      </c>
      <c r="Z494" s="37">
        <f>SUMIFS('📋 Транзакції'!$F$5:$F$3623,'📋 Транзакції'!$B$5:$B$3623,A494,'📋 Транзакції'!$C$5:$C$3623,"&gt;="&amp;EDATE(DATEVALUE(C494&amp;"-01"),7),'📋 Транзакції'!$C$5:$C$3623,"&lt;"&amp;EDATE(DATEVALUE(C494&amp;"-01"),8))</f>
        <v>0</v>
      </c>
      <c r="AA494" s="37">
        <f>SUMIFS('📋 Транзакції'!$F$5:$F$3623,'📋 Транзакції'!$B$5:$B$3623,A494,'📋 Транзакції'!$C$5:$C$3623,"&gt;="&amp;EDATE(DATEVALUE(C494&amp;"-01"),8),'📋 Транзакції'!$C$5:$C$3623,"&lt;"&amp;EDATE(DATEVALUE(C494&amp;"-01"),9))</f>
        <v>0</v>
      </c>
      <c r="AB494" s="37">
        <f>SUMIFS('📋 Транзакції'!$F$5:$F$3623,'📋 Транзакції'!$B$5:$B$3623,A494,'📋 Транзакції'!$C$5:$C$3623,"&gt;="&amp;EDATE(DATEVALUE(C494&amp;"-01"),9),'📋 Транзакції'!$C$5:$C$3623,"&lt;"&amp;EDATE(DATEVALUE(C494&amp;"-01"),10))</f>
        <v>0</v>
      </c>
      <c r="AC494" s="37">
        <f>SUMIFS('📋 Транзакції'!$F$5:$F$3623,'📋 Транзакції'!$B$5:$B$3623,A494,'📋 Транзакції'!$C$5:$C$3623,"&gt;="&amp;EDATE(DATEVALUE(C494&amp;"-01"),10),'📋 Транзакції'!$C$5:$C$3623,"&lt;"&amp;EDATE(DATEVALUE(C494&amp;"-01"),11))</f>
        <v>0</v>
      </c>
      <c r="AD494" s="37">
        <f>SUMIFS('📋 Транзакції'!$F$5:$F$3623,'📋 Транзакції'!$B$5:$B$3623,A494,'📋 Транзакції'!$C$5:$C$3623,"&gt;="&amp;EDATE(DATEVALUE(C494&amp;"-01"),11),'📋 Транзакції'!$C$5:$C$3623,"&lt;"&amp;EDATE(DATEVALUE(C494&amp;"-01"),12))</f>
        <v>0</v>
      </c>
    </row>
    <row r="495" ht="15.75" customHeight="1">
      <c r="A495" s="33" t="str">
        <f>'📋 Реєстрації'!A495:A1096</f>
        <v>U0448</v>
      </c>
      <c r="B495" s="34">
        <f t="array" ref="B495">INDEX('📋 Транзакції'!$C$5:$C$3623,MATCH(A495,'📋 Транзакції'!$B$5:$B$3623,0))</f>
        <v>45683</v>
      </c>
      <c r="C495" s="35" t="str">
        <f t="shared" si="1"/>
        <v>2025-01</v>
      </c>
      <c r="D495" s="36">
        <f>COUNTIF('📋 Транзакції'!$B$5:$B$3623,A495)</f>
        <v>3</v>
      </c>
      <c r="E495" s="36">
        <f>SUMIF('📋 Транзакції'!$B$5:$B$3623,A495,'📋 Транзакції'!$F$5:$F$3623)</f>
        <v>39.98</v>
      </c>
      <c r="F495" s="35">
        <f>INT($A$1-MAXIFS('📋 Транзакції'!$C$5:$C$3623,'📋 Транзакції'!$B$5:$B$3623,A495))</f>
        <v>27</v>
      </c>
      <c r="G495" s="37">
        <f>IF(COUNTIFS('📋 Транзакції'!$B$5:$B$3623,A495,'📋 Транзакції'!$C$5:$C$3623,"&gt;="&amp;EDATE(DATEVALUE(C495&amp;"-01"),0),'📋 Транзакції'!$C$5:$C$3623,"&lt;"&amp;EDATE(DATEVALUE(C495&amp;"-01"),1))&gt;0,1,0)</f>
        <v>1</v>
      </c>
      <c r="H495" s="37">
        <f>IF(COUNTIFS('📋 Транзакції'!$B$5:$B$3623,A495,'📋 Транзакції'!$C$5:$C$3623,"&gt;="&amp;EDATE(DATEVALUE(C495&amp;"-01"),1),'📋 Транзакції'!$C$5:$C$3623,"&lt;"&amp;EDATE(DATEVALUE(C495&amp;"-01"),2))&gt;0,1,0)</f>
        <v>1</v>
      </c>
      <c r="I495" s="37">
        <f>IF(COUNTIFS('📋 Транзакції'!$B$5:$B$3623,A495,'📋 Транзакції'!$C$5:$C$3623,"&gt;="&amp;EDATE(DATEVALUE(C495&amp;"-01"),2),'📋 Транзакції'!$C$5:$C$3623,"&lt;"&amp;EDATE(DATEVALUE(C495&amp;"-01"),3))&gt;0,1,0)</f>
        <v>1</v>
      </c>
      <c r="J495" s="37">
        <f>IF(COUNTIFS('📋 Транзакції'!$B$5:$B$3623,A495,'📋 Транзакції'!$C$5:$C$3623,"&gt;="&amp;EDATE(DATEVALUE(C495&amp;"-01"),3),'📋 Транзакції'!$C$5:$C$3623,"&lt;"&amp;EDATE(DATEVALUE(C495&amp;"-01"),4))&gt;0,1,0)</f>
        <v>0</v>
      </c>
      <c r="K495" s="37">
        <f>IF(COUNTIFS('📋 Транзакції'!$B$5:$B$3623,A495,'📋 Транзакції'!$C$5:$C$3623,"&gt;="&amp;EDATE(DATEVALUE(C495&amp;"-01"),4),'📋 Транзакції'!$C$5:$C$3623,"&lt;"&amp;EDATE(DATEVALUE(C495&amp;"-01"),5))&gt;0,1,0)</f>
        <v>0</v>
      </c>
      <c r="L495" s="37">
        <f>IF(COUNTIFS('📋 Транзакції'!$B$5:$B$3623,A495,'📋 Транзакції'!$C$5:$C$3623,"&gt;="&amp;EDATE(DATEVALUE(C495&amp;"-01"),5),'📋 Транзакції'!$C$5:$C$3623,"&lt;"&amp;EDATE(DATEVALUE(C495&amp;"-01"),6))&gt;0,1,0)</f>
        <v>0</v>
      </c>
      <c r="M495" s="37">
        <f>IF(COUNTIFS('📋 Транзакції'!$B$5:$B$3623,A495,'📋 Транзакції'!$C$5:$C$3623,"&gt;="&amp;EDATE(DATEVALUE(C495&amp;"-01"),6),'📋 Транзакції'!$C$5:$C$3623,"&lt;"&amp;EDATE(DATEVALUE(C495&amp;"-01"),7))&gt;0,1,0)</f>
        <v>0</v>
      </c>
      <c r="N495" s="37">
        <f>IF(COUNTIFS('📋 Транзакції'!$B$5:$B$3623,A495,'📋 Транзакції'!$C$5:$C$3623,"&gt;="&amp;EDATE(DATEVALUE(C495&amp;"-01"),7),'📋 Транзакції'!$C$5:$C$3623,"&lt;"&amp;EDATE(DATEVALUE(C495&amp;"-01"),8))&gt;0,1,0)</f>
        <v>0</v>
      </c>
      <c r="O495" s="37">
        <f>IF(COUNTIFS('📋 Транзакції'!$B$5:$B$3623,A495,'📋 Транзакції'!$C$5:$C$3623,"&gt;="&amp;EDATE(DATEVALUE(C495&amp;"-01"),8),'📋 Транзакції'!$C$5:$C$3623,"&lt;"&amp;EDATE(DATEVALUE(C495&amp;"-01"),9))&gt;0,1,0)</f>
        <v>0</v>
      </c>
      <c r="P495" s="37">
        <f>IF(COUNTIFS('📋 Транзакції'!$B$5:$B$3623,A495,'📋 Транзакції'!$C$5:$C$3623,"&gt;="&amp;EDATE(DATEVALUE(C495&amp;"-01"),9),'📋 Транзакції'!$C$5:$C$3623,"&lt;"&amp;EDATE(DATEVALUE(C495&amp;"-01"),10))&gt;0,1,0)</f>
        <v>0</v>
      </c>
      <c r="Q495" s="37">
        <f>IF(COUNTIFS('📋 Транзакції'!$B$5:$B$3623,A495,'📋 Транзакції'!$C$5:$C$3623,"&gt;="&amp;EDATE(DATEVALUE(C495&amp;"-01"),10),'📋 Транзакції'!$C$5:$C$3623,"&lt;"&amp;EDATE(DATEVALUE(C495&amp;"-01"),11))&gt;0,1,0)</f>
        <v>0</v>
      </c>
      <c r="R495" s="37">
        <f>IF(COUNTIFS('📋 Транзакції'!$B$5:$B$3623,A495,'📋 Транзакції'!$C$5:$C$3623,"&gt;="&amp;EDATE(DATEVALUE(C495&amp;"-01"),11),'📋 Транзакції'!$C$5:$C$3623,"&lt;"&amp;EDATE(DATEVALUE(C495&amp;"-01"),12))&gt;0,1,0)</f>
        <v>0</v>
      </c>
      <c r="S495" s="37">
        <f>SUMIFS('📋 Транзакції'!$F$5:$F$3623,'📋 Транзакції'!$B$5:$B$3623,A495,'📋 Транзакції'!$C$5:$C$3623,"&gt;="&amp;EDATE(DATEVALUE(C495&amp;"-01"),0),'📋 Транзакції'!$C$5:$C$3623,"&lt;"&amp;EDATE(DATEVALUE(C495&amp;"-01"),1))</f>
        <v>0</v>
      </c>
      <c r="T495" s="37">
        <f>SUMIFS('📋 Транзакції'!$F$5:$F$3623,'📋 Транзакції'!$B$5:$B$3623,A495,'📋 Транзакції'!$C$5:$C$3623,"&gt;="&amp;EDATE(DATEVALUE(C495&amp;"-01"),1),'📋 Транзакції'!$C$5:$C$3623,"&lt;"&amp;EDATE(DATEVALUE(C495&amp;"-01"),2))</f>
        <v>19.99</v>
      </c>
      <c r="U495" s="37">
        <f>SUMIFS('📋 Транзакції'!$F$5:$F$3623,'📋 Транзакції'!$B$5:$B$3623,A495,'📋 Транзакції'!$C$5:$C$3623,"&gt;="&amp;EDATE(DATEVALUE(C495&amp;"-01"),2),'📋 Транзакції'!$C$5:$C$3623,"&lt;"&amp;EDATE(DATEVALUE(C495&amp;"-01"),3))</f>
        <v>19.99</v>
      </c>
      <c r="V495" s="37">
        <f>SUMIFS('📋 Транзакції'!$F$5:$F$3623,'📋 Транзакції'!$B$5:$B$3623,A495,'📋 Транзакції'!$C$5:$C$3623,"&gt;="&amp;EDATE(DATEVALUE(C495&amp;"-01"),3),'📋 Транзакції'!$C$5:$C$3623,"&lt;"&amp;EDATE(DATEVALUE(C495&amp;"-01"),4))</f>
        <v>0</v>
      </c>
      <c r="W495" s="37">
        <f>SUMIFS('📋 Транзакції'!$F$5:$F$3623,'📋 Транзакції'!$B$5:$B$3623,A495,'📋 Транзакції'!$C$5:$C$3623,"&gt;="&amp;EDATE(DATEVALUE(C495&amp;"-01"),4),'📋 Транзакції'!$C$5:$C$3623,"&lt;"&amp;EDATE(DATEVALUE(C495&amp;"-01"),5))</f>
        <v>0</v>
      </c>
      <c r="X495" s="37">
        <f>SUMIFS('📋 Транзакції'!$F$5:$F$3623,'📋 Транзакції'!$B$5:$B$3623,A495,'📋 Транзакції'!$C$5:$C$3623,"&gt;="&amp;EDATE(DATEVALUE(C495&amp;"-01"),5),'📋 Транзакції'!$C$5:$C$3623,"&lt;"&amp;EDATE(DATEVALUE(C495&amp;"-01"),6))</f>
        <v>0</v>
      </c>
      <c r="Y495" s="37">
        <f>SUMIFS('📋 Транзакції'!$F$5:$F$3623,'📋 Транзакції'!$B$5:$B$3623,A495,'📋 Транзакції'!$C$5:$C$3623,"&gt;="&amp;EDATE(DATEVALUE(C495&amp;"-01"),6),'📋 Транзакції'!$C$5:$C$3623,"&lt;"&amp;EDATE(DATEVALUE(C495&amp;"-01"),7))</f>
        <v>0</v>
      </c>
      <c r="Z495" s="37">
        <f>SUMIFS('📋 Транзакції'!$F$5:$F$3623,'📋 Транзакції'!$B$5:$B$3623,A495,'📋 Транзакції'!$C$5:$C$3623,"&gt;="&amp;EDATE(DATEVALUE(C495&amp;"-01"),7),'📋 Транзакції'!$C$5:$C$3623,"&lt;"&amp;EDATE(DATEVALUE(C495&amp;"-01"),8))</f>
        <v>0</v>
      </c>
      <c r="AA495" s="37">
        <f>SUMIFS('📋 Транзакції'!$F$5:$F$3623,'📋 Транзакції'!$B$5:$B$3623,A495,'📋 Транзакції'!$C$5:$C$3623,"&gt;="&amp;EDATE(DATEVALUE(C495&amp;"-01"),8),'📋 Транзакції'!$C$5:$C$3623,"&lt;"&amp;EDATE(DATEVALUE(C495&amp;"-01"),9))</f>
        <v>0</v>
      </c>
      <c r="AB495" s="37">
        <f>SUMIFS('📋 Транзакції'!$F$5:$F$3623,'📋 Транзакції'!$B$5:$B$3623,A495,'📋 Транзакції'!$C$5:$C$3623,"&gt;="&amp;EDATE(DATEVALUE(C495&amp;"-01"),9),'📋 Транзакції'!$C$5:$C$3623,"&lt;"&amp;EDATE(DATEVALUE(C495&amp;"-01"),10))</f>
        <v>0</v>
      </c>
      <c r="AC495" s="37">
        <f>SUMIFS('📋 Транзакції'!$F$5:$F$3623,'📋 Транзакції'!$B$5:$B$3623,A495,'📋 Транзакції'!$C$5:$C$3623,"&gt;="&amp;EDATE(DATEVALUE(C495&amp;"-01"),10),'📋 Транзакції'!$C$5:$C$3623,"&lt;"&amp;EDATE(DATEVALUE(C495&amp;"-01"),11))</f>
        <v>0</v>
      </c>
      <c r="AD495" s="37">
        <f>SUMIFS('📋 Транзакції'!$F$5:$F$3623,'📋 Транзакції'!$B$5:$B$3623,A495,'📋 Транзакції'!$C$5:$C$3623,"&gt;="&amp;EDATE(DATEVALUE(C495&amp;"-01"),11),'📋 Транзакції'!$C$5:$C$3623,"&lt;"&amp;EDATE(DATEVALUE(C495&amp;"-01"),12))</f>
        <v>0</v>
      </c>
    </row>
    <row r="496" ht="15.75" customHeight="1">
      <c r="A496" s="33" t="str">
        <f>'📋 Реєстрації'!A496:A1097</f>
        <v>U0093</v>
      </c>
      <c r="B496" s="34">
        <f t="array" ref="B496">INDEX('📋 Транзакції'!$C$5:$C$3623,MATCH(A496,'📋 Транзакції'!$B$5:$B$3623,0))</f>
        <v>45684</v>
      </c>
      <c r="C496" s="35" t="str">
        <f t="shared" si="1"/>
        <v>2025-01</v>
      </c>
      <c r="D496" s="36">
        <f>COUNTIF('📋 Транзакції'!$B$5:$B$3623,A496)</f>
        <v>3</v>
      </c>
      <c r="E496" s="36">
        <f>SUMIF('📋 Транзакції'!$B$5:$B$3623,A496,'📋 Транзакції'!$F$5:$F$3623)</f>
        <v>39.98</v>
      </c>
      <c r="F496" s="35">
        <f>INT($A$1-MAXIFS('📋 Транзакції'!$C$5:$C$3623,'📋 Транзакції'!$B$5:$B$3623,A496))</f>
        <v>26</v>
      </c>
      <c r="G496" s="37">
        <f>IF(COUNTIFS('📋 Транзакції'!$B$5:$B$3623,A496,'📋 Транзакції'!$C$5:$C$3623,"&gt;="&amp;EDATE(DATEVALUE(C496&amp;"-01"),0),'📋 Транзакції'!$C$5:$C$3623,"&lt;"&amp;EDATE(DATEVALUE(C496&amp;"-01"),1))&gt;0,1,0)</f>
        <v>1</v>
      </c>
      <c r="H496" s="37">
        <f>IF(COUNTIFS('📋 Транзакції'!$B$5:$B$3623,A496,'📋 Транзакції'!$C$5:$C$3623,"&gt;="&amp;EDATE(DATEVALUE(C496&amp;"-01"),1),'📋 Транзакції'!$C$5:$C$3623,"&lt;"&amp;EDATE(DATEVALUE(C496&amp;"-01"),2))&gt;0,1,0)</f>
        <v>1</v>
      </c>
      <c r="I496" s="37">
        <f>IF(COUNTIFS('📋 Транзакції'!$B$5:$B$3623,A496,'📋 Транзакції'!$C$5:$C$3623,"&gt;="&amp;EDATE(DATEVALUE(C496&amp;"-01"),2),'📋 Транзакції'!$C$5:$C$3623,"&lt;"&amp;EDATE(DATEVALUE(C496&amp;"-01"),3))&gt;0,1,0)</f>
        <v>1</v>
      </c>
      <c r="J496" s="37">
        <f>IF(COUNTIFS('📋 Транзакції'!$B$5:$B$3623,A496,'📋 Транзакції'!$C$5:$C$3623,"&gt;="&amp;EDATE(DATEVALUE(C496&amp;"-01"),3),'📋 Транзакції'!$C$5:$C$3623,"&lt;"&amp;EDATE(DATEVALUE(C496&amp;"-01"),4))&gt;0,1,0)</f>
        <v>0</v>
      </c>
      <c r="K496" s="37">
        <f>IF(COUNTIFS('📋 Транзакції'!$B$5:$B$3623,A496,'📋 Транзакції'!$C$5:$C$3623,"&gt;="&amp;EDATE(DATEVALUE(C496&amp;"-01"),4),'📋 Транзакції'!$C$5:$C$3623,"&lt;"&amp;EDATE(DATEVALUE(C496&amp;"-01"),5))&gt;0,1,0)</f>
        <v>0</v>
      </c>
      <c r="L496" s="37">
        <f>IF(COUNTIFS('📋 Транзакції'!$B$5:$B$3623,A496,'📋 Транзакції'!$C$5:$C$3623,"&gt;="&amp;EDATE(DATEVALUE(C496&amp;"-01"),5),'📋 Транзакції'!$C$5:$C$3623,"&lt;"&amp;EDATE(DATEVALUE(C496&amp;"-01"),6))&gt;0,1,0)</f>
        <v>0</v>
      </c>
      <c r="M496" s="37">
        <f>IF(COUNTIFS('📋 Транзакції'!$B$5:$B$3623,A496,'📋 Транзакції'!$C$5:$C$3623,"&gt;="&amp;EDATE(DATEVALUE(C496&amp;"-01"),6),'📋 Транзакції'!$C$5:$C$3623,"&lt;"&amp;EDATE(DATEVALUE(C496&amp;"-01"),7))&gt;0,1,0)</f>
        <v>0</v>
      </c>
      <c r="N496" s="37">
        <f>IF(COUNTIFS('📋 Транзакції'!$B$5:$B$3623,A496,'📋 Транзакції'!$C$5:$C$3623,"&gt;="&amp;EDATE(DATEVALUE(C496&amp;"-01"),7),'📋 Транзакції'!$C$5:$C$3623,"&lt;"&amp;EDATE(DATEVALUE(C496&amp;"-01"),8))&gt;0,1,0)</f>
        <v>0</v>
      </c>
      <c r="O496" s="37">
        <f>IF(COUNTIFS('📋 Транзакції'!$B$5:$B$3623,A496,'📋 Транзакції'!$C$5:$C$3623,"&gt;="&amp;EDATE(DATEVALUE(C496&amp;"-01"),8),'📋 Транзакції'!$C$5:$C$3623,"&lt;"&amp;EDATE(DATEVALUE(C496&amp;"-01"),9))&gt;0,1,0)</f>
        <v>0</v>
      </c>
      <c r="P496" s="37">
        <f>IF(COUNTIFS('📋 Транзакції'!$B$5:$B$3623,A496,'📋 Транзакції'!$C$5:$C$3623,"&gt;="&amp;EDATE(DATEVALUE(C496&amp;"-01"),9),'📋 Транзакції'!$C$5:$C$3623,"&lt;"&amp;EDATE(DATEVALUE(C496&amp;"-01"),10))&gt;0,1,0)</f>
        <v>0</v>
      </c>
      <c r="Q496" s="37">
        <f>IF(COUNTIFS('📋 Транзакції'!$B$5:$B$3623,A496,'📋 Транзакції'!$C$5:$C$3623,"&gt;="&amp;EDATE(DATEVALUE(C496&amp;"-01"),10),'📋 Транзакції'!$C$5:$C$3623,"&lt;"&amp;EDATE(DATEVALUE(C496&amp;"-01"),11))&gt;0,1,0)</f>
        <v>0</v>
      </c>
      <c r="R496" s="37">
        <f>IF(COUNTIFS('📋 Транзакції'!$B$5:$B$3623,A496,'📋 Транзакції'!$C$5:$C$3623,"&gt;="&amp;EDATE(DATEVALUE(C496&amp;"-01"),11),'📋 Транзакції'!$C$5:$C$3623,"&lt;"&amp;EDATE(DATEVALUE(C496&amp;"-01"),12))&gt;0,1,0)</f>
        <v>0</v>
      </c>
      <c r="S496" s="37">
        <f>SUMIFS('📋 Транзакції'!$F$5:$F$3623,'📋 Транзакції'!$B$5:$B$3623,A496,'📋 Транзакції'!$C$5:$C$3623,"&gt;="&amp;EDATE(DATEVALUE(C496&amp;"-01"),0),'📋 Транзакції'!$C$5:$C$3623,"&lt;"&amp;EDATE(DATEVALUE(C496&amp;"-01"),1))</f>
        <v>0</v>
      </c>
      <c r="T496" s="37">
        <f>SUMIFS('📋 Транзакції'!$F$5:$F$3623,'📋 Транзакції'!$B$5:$B$3623,A496,'📋 Транзакції'!$C$5:$C$3623,"&gt;="&amp;EDATE(DATEVALUE(C496&amp;"-01"),1),'📋 Транзакції'!$C$5:$C$3623,"&lt;"&amp;EDATE(DATEVALUE(C496&amp;"-01"),2))</f>
        <v>19.99</v>
      </c>
      <c r="U496" s="37">
        <f>SUMIFS('📋 Транзакції'!$F$5:$F$3623,'📋 Транзакції'!$B$5:$B$3623,A496,'📋 Транзакції'!$C$5:$C$3623,"&gt;="&amp;EDATE(DATEVALUE(C496&amp;"-01"),2),'📋 Транзакції'!$C$5:$C$3623,"&lt;"&amp;EDATE(DATEVALUE(C496&amp;"-01"),3))</f>
        <v>19.99</v>
      </c>
      <c r="V496" s="37">
        <f>SUMIFS('📋 Транзакції'!$F$5:$F$3623,'📋 Транзакції'!$B$5:$B$3623,A496,'📋 Транзакції'!$C$5:$C$3623,"&gt;="&amp;EDATE(DATEVALUE(C496&amp;"-01"),3),'📋 Транзакції'!$C$5:$C$3623,"&lt;"&amp;EDATE(DATEVALUE(C496&amp;"-01"),4))</f>
        <v>0</v>
      </c>
      <c r="W496" s="37">
        <f>SUMIFS('📋 Транзакції'!$F$5:$F$3623,'📋 Транзакції'!$B$5:$B$3623,A496,'📋 Транзакції'!$C$5:$C$3623,"&gt;="&amp;EDATE(DATEVALUE(C496&amp;"-01"),4),'📋 Транзакції'!$C$5:$C$3623,"&lt;"&amp;EDATE(DATEVALUE(C496&amp;"-01"),5))</f>
        <v>0</v>
      </c>
      <c r="X496" s="37">
        <f>SUMIFS('📋 Транзакції'!$F$5:$F$3623,'📋 Транзакції'!$B$5:$B$3623,A496,'📋 Транзакції'!$C$5:$C$3623,"&gt;="&amp;EDATE(DATEVALUE(C496&amp;"-01"),5),'📋 Транзакції'!$C$5:$C$3623,"&lt;"&amp;EDATE(DATEVALUE(C496&amp;"-01"),6))</f>
        <v>0</v>
      </c>
      <c r="Y496" s="37">
        <f>SUMIFS('📋 Транзакції'!$F$5:$F$3623,'📋 Транзакції'!$B$5:$B$3623,A496,'📋 Транзакції'!$C$5:$C$3623,"&gt;="&amp;EDATE(DATEVALUE(C496&amp;"-01"),6),'📋 Транзакції'!$C$5:$C$3623,"&lt;"&amp;EDATE(DATEVALUE(C496&amp;"-01"),7))</f>
        <v>0</v>
      </c>
      <c r="Z496" s="37">
        <f>SUMIFS('📋 Транзакції'!$F$5:$F$3623,'📋 Транзакції'!$B$5:$B$3623,A496,'📋 Транзакції'!$C$5:$C$3623,"&gt;="&amp;EDATE(DATEVALUE(C496&amp;"-01"),7),'📋 Транзакції'!$C$5:$C$3623,"&lt;"&amp;EDATE(DATEVALUE(C496&amp;"-01"),8))</f>
        <v>0</v>
      </c>
      <c r="AA496" s="37">
        <f>SUMIFS('📋 Транзакції'!$F$5:$F$3623,'📋 Транзакції'!$B$5:$B$3623,A496,'📋 Транзакції'!$C$5:$C$3623,"&gt;="&amp;EDATE(DATEVALUE(C496&amp;"-01"),8),'📋 Транзакції'!$C$5:$C$3623,"&lt;"&amp;EDATE(DATEVALUE(C496&amp;"-01"),9))</f>
        <v>0</v>
      </c>
      <c r="AB496" s="37">
        <f>SUMIFS('📋 Транзакції'!$F$5:$F$3623,'📋 Транзакції'!$B$5:$B$3623,A496,'📋 Транзакції'!$C$5:$C$3623,"&gt;="&amp;EDATE(DATEVALUE(C496&amp;"-01"),9),'📋 Транзакції'!$C$5:$C$3623,"&lt;"&amp;EDATE(DATEVALUE(C496&amp;"-01"),10))</f>
        <v>0</v>
      </c>
      <c r="AC496" s="37">
        <f>SUMIFS('📋 Транзакції'!$F$5:$F$3623,'📋 Транзакції'!$B$5:$B$3623,A496,'📋 Транзакції'!$C$5:$C$3623,"&gt;="&amp;EDATE(DATEVALUE(C496&amp;"-01"),10),'📋 Транзакції'!$C$5:$C$3623,"&lt;"&amp;EDATE(DATEVALUE(C496&amp;"-01"),11))</f>
        <v>0</v>
      </c>
      <c r="AD496" s="37">
        <f>SUMIFS('📋 Транзакції'!$F$5:$F$3623,'📋 Транзакції'!$B$5:$B$3623,A496,'📋 Транзакції'!$C$5:$C$3623,"&gt;="&amp;EDATE(DATEVALUE(C496&amp;"-01"),11),'📋 Транзакції'!$C$5:$C$3623,"&lt;"&amp;EDATE(DATEVALUE(C496&amp;"-01"),12))</f>
        <v>0</v>
      </c>
    </row>
    <row r="497" ht="15.75" customHeight="1">
      <c r="A497" s="33" t="str">
        <f>'📋 Реєстрації'!A497:A1098</f>
        <v>U0510</v>
      </c>
      <c r="B497" s="34">
        <f t="array" ref="B497">INDEX('📋 Транзакції'!$C$5:$C$3623,MATCH(A497,'📋 Транзакції'!$B$5:$B$3623,0))</f>
        <v>45685</v>
      </c>
      <c r="C497" s="35" t="str">
        <f t="shared" si="1"/>
        <v>2025-01</v>
      </c>
      <c r="D497" s="36">
        <f>COUNTIF('📋 Транзакції'!$B$5:$B$3623,A497)</f>
        <v>3</v>
      </c>
      <c r="E497" s="36">
        <f>SUMIF('📋 Транзакції'!$B$5:$B$3623,A497,'📋 Транзакції'!$F$5:$F$3623)</f>
        <v>39.98</v>
      </c>
      <c r="F497" s="35">
        <f>INT($A$1-MAXIFS('📋 Транзакції'!$C$5:$C$3623,'📋 Транзакції'!$B$5:$B$3623,A497))</f>
        <v>25</v>
      </c>
      <c r="G497" s="37">
        <f>IF(COUNTIFS('📋 Транзакції'!$B$5:$B$3623,A497,'📋 Транзакції'!$C$5:$C$3623,"&gt;="&amp;EDATE(DATEVALUE(C497&amp;"-01"),0),'📋 Транзакції'!$C$5:$C$3623,"&lt;"&amp;EDATE(DATEVALUE(C497&amp;"-01"),1))&gt;0,1,0)</f>
        <v>1</v>
      </c>
      <c r="H497" s="37">
        <f>IF(COUNTIFS('📋 Транзакції'!$B$5:$B$3623,A497,'📋 Транзакції'!$C$5:$C$3623,"&gt;="&amp;EDATE(DATEVALUE(C497&amp;"-01"),1),'📋 Транзакції'!$C$5:$C$3623,"&lt;"&amp;EDATE(DATEVALUE(C497&amp;"-01"),2))&gt;0,1,0)</f>
        <v>1</v>
      </c>
      <c r="I497" s="37">
        <f>IF(COUNTIFS('📋 Транзакції'!$B$5:$B$3623,A497,'📋 Транзакції'!$C$5:$C$3623,"&gt;="&amp;EDATE(DATEVALUE(C497&amp;"-01"),2),'📋 Транзакції'!$C$5:$C$3623,"&lt;"&amp;EDATE(DATEVALUE(C497&amp;"-01"),3))&gt;0,1,0)</f>
        <v>1</v>
      </c>
      <c r="J497" s="37">
        <f>IF(COUNTIFS('📋 Транзакції'!$B$5:$B$3623,A497,'📋 Транзакції'!$C$5:$C$3623,"&gt;="&amp;EDATE(DATEVALUE(C497&amp;"-01"),3),'📋 Транзакції'!$C$5:$C$3623,"&lt;"&amp;EDATE(DATEVALUE(C497&amp;"-01"),4))&gt;0,1,0)</f>
        <v>0</v>
      </c>
      <c r="K497" s="37">
        <f>IF(COUNTIFS('📋 Транзакції'!$B$5:$B$3623,A497,'📋 Транзакції'!$C$5:$C$3623,"&gt;="&amp;EDATE(DATEVALUE(C497&amp;"-01"),4),'📋 Транзакції'!$C$5:$C$3623,"&lt;"&amp;EDATE(DATEVALUE(C497&amp;"-01"),5))&gt;0,1,0)</f>
        <v>0</v>
      </c>
      <c r="L497" s="37">
        <f>IF(COUNTIFS('📋 Транзакції'!$B$5:$B$3623,A497,'📋 Транзакції'!$C$5:$C$3623,"&gt;="&amp;EDATE(DATEVALUE(C497&amp;"-01"),5),'📋 Транзакції'!$C$5:$C$3623,"&lt;"&amp;EDATE(DATEVALUE(C497&amp;"-01"),6))&gt;0,1,0)</f>
        <v>0</v>
      </c>
      <c r="M497" s="37">
        <f>IF(COUNTIFS('📋 Транзакції'!$B$5:$B$3623,A497,'📋 Транзакції'!$C$5:$C$3623,"&gt;="&amp;EDATE(DATEVALUE(C497&amp;"-01"),6),'📋 Транзакції'!$C$5:$C$3623,"&lt;"&amp;EDATE(DATEVALUE(C497&amp;"-01"),7))&gt;0,1,0)</f>
        <v>0</v>
      </c>
      <c r="N497" s="37">
        <f>IF(COUNTIFS('📋 Транзакції'!$B$5:$B$3623,A497,'📋 Транзакції'!$C$5:$C$3623,"&gt;="&amp;EDATE(DATEVALUE(C497&amp;"-01"),7),'📋 Транзакції'!$C$5:$C$3623,"&lt;"&amp;EDATE(DATEVALUE(C497&amp;"-01"),8))&gt;0,1,0)</f>
        <v>0</v>
      </c>
      <c r="O497" s="37">
        <f>IF(COUNTIFS('📋 Транзакції'!$B$5:$B$3623,A497,'📋 Транзакції'!$C$5:$C$3623,"&gt;="&amp;EDATE(DATEVALUE(C497&amp;"-01"),8),'📋 Транзакції'!$C$5:$C$3623,"&lt;"&amp;EDATE(DATEVALUE(C497&amp;"-01"),9))&gt;0,1,0)</f>
        <v>0</v>
      </c>
      <c r="P497" s="37">
        <f>IF(COUNTIFS('📋 Транзакції'!$B$5:$B$3623,A497,'📋 Транзакції'!$C$5:$C$3623,"&gt;="&amp;EDATE(DATEVALUE(C497&amp;"-01"),9),'📋 Транзакції'!$C$5:$C$3623,"&lt;"&amp;EDATE(DATEVALUE(C497&amp;"-01"),10))&gt;0,1,0)</f>
        <v>0</v>
      </c>
      <c r="Q497" s="37">
        <f>IF(COUNTIFS('📋 Транзакції'!$B$5:$B$3623,A497,'📋 Транзакції'!$C$5:$C$3623,"&gt;="&amp;EDATE(DATEVALUE(C497&amp;"-01"),10),'📋 Транзакції'!$C$5:$C$3623,"&lt;"&amp;EDATE(DATEVALUE(C497&amp;"-01"),11))&gt;0,1,0)</f>
        <v>0</v>
      </c>
      <c r="R497" s="37">
        <f>IF(COUNTIFS('📋 Транзакції'!$B$5:$B$3623,A497,'📋 Транзакції'!$C$5:$C$3623,"&gt;="&amp;EDATE(DATEVALUE(C497&amp;"-01"),11),'📋 Транзакції'!$C$5:$C$3623,"&lt;"&amp;EDATE(DATEVALUE(C497&amp;"-01"),12))&gt;0,1,0)</f>
        <v>0</v>
      </c>
      <c r="S497" s="37">
        <f>SUMIFS('📋 Транзакції'!$F$5:$F$3623,'📋 Транзакції'!$B$5:$B$3623,A497,'📋 Транзакції'!$C$5:$C$3623,"&gt;="&amp;EDATE(DATEVALUE(C497&amp;"-01"),0),'📋 Транзакції'!$C$5:$C$3623,"&lt;"&amp;EDATE(DATEVALUE(C497&amp;"-01"),1))</f>
        <v>0</v>
      </c>
      <c r="T497" s="37">
        <f>SUMIFS('📋 Транзакції'!$F$5:$F$3623,'📋 Транзакції'!$B$5:$B$3623,A497,'📋 Транзакції'!$C$5:$C$3623,"&gt;="&amp;EDATE(DATEVALUE(C497&amp;"-01"),1),'📋 Транзакції'!$C$5:$C$3623,"&lt;"&amp;EDATE(DATEVALUE(C497&amp;"-01"),2))</f>
        <v>19.99</v>
      </c>
      <c r="U497" s="37">
        <f>SUMIFS('📋 Транзакції'!$F$5:$F$3623,'📋 Транзакції'!$B$5:$B$3623,A497,'📋 Транзакції'!$C$5:$C$3623,"&gt;="&amp;EDATE(DATEVALUE(C497&amp;"-01"),2),'📋 Транзакції'!$C$5:$C$3623,"&lt;"&amp;EDATE(DATEVALUE(C497&amp;"-01"),3))</f>
        <v>19.99</v>
      </c>
      <c r="V497" s="37">
        <f>SUMIFS('📋 Транзакції'!$F$5:$F$3623,'📋 Транзакції'!$B$5:$B$3623,A497,'📋 Транзакції'!$C$5:$C$3623,"&gt;="&amp;EDATE(DATEVALUE(C497&amp;"-01"),3),'📋 Транзакції'!$C$5:$C$3623,"&lt;"&amp;EDATE(DATEVALUE(C497&amp;"-01"),4))</f>
        <v>0</v>
      </c>
      <c r="W497" s="37">
        <f>SUMIFS('📋 Транзакції'!$F$5:$F$3623,'📋 Транзакції'!$B$5:$B$3623,A497,'📋 Транзакції'!$C$5:$C$3623,"&gt;="&amp;EDATE(DATEVALUE(C497&amp;"-01"),4),'📋 Транзакції'!$C$5:$C$3623,"&lt;"&amp;EDATE(DATEVALUE(C497&amp;"-01"),5))</f>
        <v>0</v>
      </c>
      <c r="X497" s="37">
        <f>SUMIFS('📋 Транзакції'!$F$5:$F$3623,'📋 Транзакції'!$B$5:$B$3623,A497,'📋 Транзакції'!$C$5:$C$3623,"&gt;="&amp;EDATE(DATEVALUE(C497&amp;"-01"),5),'📋 Транзакції'!$C$5:$C$3623,"&lt;"&amp;EDATE(DATEVALUE(C497&amp;"-01"),6))</f>
        <v>0</v>
      </c>
      <c r="Y497" s="37">
        <f>SUMIFS('📋 Транзакції'!$F$5:$F$3623,'📋 Транзакції'!$B$5:$B$3623,A497,'📋 Транзакції'!$C$5:$C$3623,"&gt;="&amp;EDATE(DATEVALUE(C497&amp;"-01"),6),'📋 Транзакції'!$C$5:$C$3623,"&lt;"&amp;EDATE(DATEVALUE(C497&amp;"-01"),7))</f>
        <v>0</v>
      </c>
      <c r="Z497" s="37">
        <f>SUMIFS('📋 Транзакції'!$F$5:$F$3623,'📋 Транзакції'!$B$5:$B$3623,A497,'📋 Транзакції'!$C$5:$C$3623,"&gt;="&amp;EDATE(DATEVALUE(C497&amp;"-01"),7),'📋 Транзакції'!$C$5:$C$3623,"&lt;"&amp;EDATE(DATEVALUE(C497&amp;"-01"),8))</f>
        <v>0</v>
      </c>
      <c r="AA497" s="37">
        <f>SUMIFS('📋 Транзакції'!$F$5:$F$3623,'📋 Транзакції'!$B$5:$B$3623,A497,'📋 Транзакції'!$C$5:$C$3623,"&gt;="&amp;EDATE(DATEVALUE(C497&amp;"-01"),8),'📋 Транзакції'!$C$5:$C$3623,"&lt;"&amp;EDATE(DATEVALUE(C497&amp;"-01"),9))</f>
        <v>0</v>
      </c>
      <c r="AB497" s="37">
        <f>SUMIFS('📋 Транзакції'!$F$5:$F$3623,'📋 Транзакції'!$B$5:$B$3623,A497,'📋 Транзакції'!$C$5:$C$3623,"&gt;="&amp;EDATE(DATEVALUE(C497&amp;"-01"),9),'📋 Транзакції'!$C$5:$C$3623,"&lt;"&amp;EDATE(DATEVALUE(C497&amp;"-01"),10))</f>
        <v>0</v>
      </c>
      <c r="AC497" s="37">
        <f>SUMIFS('📋 Транзакції'!$F$5:$F$3623,'📋 Транзакції'!$B$5:$B$3623,A497,'📋 Транзакції'!$C$5:$C$3623,"&gt;="&amp;EDATE(DATEVALUE(C497&amp;"-01"),10),'📋 Транзакції'!$C$5:$C$3623,"&lt;"&amp;EDATE(DATEVALUE(C497&amp;"-01"),11))</f>
        <v>0</v>
      </c>
      <c r="AD497" s="37">
        <f>SUMIFS('📋 Транзакції'!$F$5:$F$3623,'📋 Транзакції'!$B$5:$B$3623,A497,'📋 Транзакції'!$C$5:$C$3623,"&gt;="&amp;EDATE(DATEVALUE(C497&amp;"-01"),11),'📋 Транзакції'!$C$5:$C$3623,"&lt;"&amp;EDATE(DATEVALUE(C497&amp;"-01"),12))</f>
        <v>0</v>
      </c>
    </row>
    <row r="498" ht="15.75" customHeight="1">
      <c r="A498" s="33" t="str">
        <f>'📋 Реєстрації'!A498:A1099</f>
        <v>U0550</v>
      </c>
      <c r="B498" s="34">
        <f t="array" ref="B498">INDEX('📋 Транзакції'!$C$5:$C$3623,MATCH(A498,'📋 Транзакції'!$B$5:$B$3623,0))</f>
        <v>45685</v>
      </c>
      <c r="C498" s="35" t="str">
        <f t="shared" si="1"/>
        <v>2025-01</v>
      </c>
      <c r="D498" s="36">
        <f>COUNTIF('📋 Транзакції'!$B$5:$B$3623,A498)</f>
        <v>3</v>
      </c>
      <c r="E498" s="36">
        <f>SUMIF('📋 Транзакції'!$B$5:$B$3623,A498,'📋 Транзакції'!$F$5:$F$3623)</f>
        <v>39.98</v>
      </c>
      <c r="F498" s="35">
        <f>INT($A$1-MAXIFS('📋 Транзакції'!$C$5:$C$3623,'📋 Транзакції'!$B$5:$B$3623,A498))</f>
        <v>25</v>
      </c>
      <c r="G498" s="37">
        <f>IF(COUNTIFS('📋 Транзакції'!$B$5:$B$3623,A498,'📋 Транзакції'!$C$5:$C$3623,"&gt;="&amp;EDATE(DATEVALUE(C498&amp;"-01"),0),'📋 Транзакції'!$C$5:$C$3623,"&lt;"&amp;EDATE(DATEVALUE(C498&amp;"-01"),1))&gt;0,1,0)</f>
        <v>1</v>
      </c>
      <c r="H498" s="37">
        <f>IF(COUNTIFS('📋 Транзакції'!$B$5:$B$3623,A498,'📋 Транзакції'!$C$5:$C$3623,"&gt;="&amp;EDATE(DATEVALUE(C498&amp;"-01"),1),'📋 Транзакції'!$C$5:$C$3623,"&lt;"&amp;EDATE(DATEVALUE(C498&amp;"-01"),2))&gt;0,1,0)</f>
        <v>1</v>
      </c>
      <c r="I498" s="37">
        <f>IF(COUNTIFS('📋 Транзакції'!$B$5:$B$3623,A498,'📋 Транзакції'!$C$5:$C$3623,"&gt;="&amp;EDATE(DATEVALUE(C498&amp;"-01"),2),'📋 Транзакції'!$C$5:$C$3623,"&lt;"&amp;EDATE(DATEVALUE(C498&amp;"-01"),3))&gt;0,1,0)</f>
        <v>1</v>
      </c>
      <c r="J498" s="37">
        <f>IF(COUNTIFS('📋 Транзакції'!$B$5:$B$3623,A498,'📋 Транзакції'!$C$5:$C$3623,"&gt;="&amp;EDATE(DATEVALUE(C498&amp;"-01"),3),'📋 Транзакції'!$C$5:$C$3623,"&lt;"&amp;EDATE(DATEVALUE(C498&amp;"-01"),4))&gt;0,1,0)</f>
        <v>0</v>
      </c>
      <c r="K498" s="37">
        <f>IF(COUNTIFS('📋 Транзакції'!$B$5:$B$3623,A498,'📋 Транзакції'!$C$5:$C$3623,"&gt;="&amp;EDATE(DATEVALUE(C498&amp;"-01"),4),'📋 Транзакції'!$C$5:$C$3623,"&lt;"&amp;EDATE(DATEVALUE(C498&amp;"-01"),5))&gt;0,1,0)</f>
        <v>0</v>
      </c>
      <c r="L498" s="37">
        <f>IF(COUNTIFS('📋 Транзакції'!$B$5:$B$3623,A498,'📋 Транзакції'!$C$5:$C$3623,"&gt;="&amp;EDATE(DATEVALUE(C498&amp;"-01"),5),'📋 Транзакції'!$C$5:$C$3623,"&lt;"&amp;EDATE(DATEVALUE(C498&amp;"-01"),6))&gt;0,1,0)</f>
        <v>0</v>
      </c>
      <c r="M498" s="37">
        <f>IF(COUNTIFS('📋 Транзакції'!$B$5:$B$3623,A498,'📋 Транзакції'!$C$5:$C$3623,"&gt;="&amp;EDATE(DATEVALUE(C498&amp;"-01"),6),'📋 Транзакції'!$C$5:$C$3623,"&lt;"&amp;EDATE(DATEVALUE(C498&amp;"-01"),7))&gt;0,1,0)</f>
        <v>0</v>
      </c>
      <c r="N498" s="37">
        <f>IF(COUNTIFS('📋 Транзакції'!$B$5:$B$3623,A498,'📋 Транзакції'!$C$5:$C$3623,"&gt;="&amp;EDATE(DATEVALUE(C498&amp;"-01"),7),'📋 Транзакції'!$C$5:$C$3623,"&lt;"&amp;EDATE(DATEVALUE(C498&amp;"-01"),8))&gt;0,1,0)</f>
        <v>0</v>
      </c>
      <c r="O498" s="37">
        <f>IF(COUNTIFS('📋 Транзакції'!$B$5:$B$3623,A498,'📋 Транзакції'!$C$5:$C$3623,"&gt;="&amp;EDATE(DATEVALUE(C498&amp;"-01"),8),'📋 Транзакції'!$C$5:$C$3623,"&lt;"&amp;EDATE(DATEVALUE(C498&amp;"-01"),9))&gt;0,1,0)</f>
        <v>0</v>
      </c>
      <c r="P498" s="37">
        <f>IF(COUNTIFS('📋 Транзакції'!$B$5:$B$3623,A498,'📋 Транзакції'!$C$5:$C$3623,"&gt;="&amp;EDATE(DATEVALUE(C498&amp;"-01"),9),'📋 Транзакції'!$C$5:$C$3623,"&lt;"&amp;EDATE(DATEVALUE(C498&amp;"-01"),10))&gt;0,1,0)</f>
        <v>0</v>
      </c>
      <c r="Q498" s="37">
        <f>IF(COUNTIFS('📋 Транзакції'!$B$5:$B$3623,A498,'📋 Транзакції'!$C$5:$C$3623,"&gt;="&amp;EDATE(DATEVALUE(C498&amp;"-01"),10),'📋 Транзакції'!$C$5:$C$3623,"&lt;"&amp;EDATE(DATEVALUE(C498&amp;"-01"),11))&gt;0,1,0)</f>
        <v>0</v>
      </c>
      <c r="R498" s="37">
        <f>IF(COUNTIFS('📋 Транзакції'!$B$5:$B$3623,A498,'📋 Транзакції'!$C$5:$C$3623,"&gt;="&amp;EDATE(DATEVALUE(C498&amp;"-01"),11),'📋 Транзакції'!$C$5:$C$3623,"&lt;"&amp;EDATE(DATEVALUE(C498&amp;"-01"),12))&gt;0,1,0)</f>
        <v>0</v>
      </c>
      <c r="S498" s="37">
        <f>SUMIFS('📋 Транзакції'!$F$5:$F$3623,'📋 Транзакції'!$B$5:$B$3623,A498,'📋 Транзакції'!$C$5:$C$3623,"&gt;="&amp;EDATE(DATEVALUE(C498&amp;"-01"),0),'📋 Транзакції'!$C$5:$C$3623,"&lt;"&amp;EDATE(DATEVALUE(C498&amp;"-01"),1))</f>
        <v>0</v>
      </c>
      <c r="T498" s="37">
        <f>SUMIFS('📋 Транзакції'!$F$5:$F$3623,'📋 Транзакції'!$B$5:$B$3623,A498,'📋 Транзакції'!$C$5:$C$3623,"&gt;="&amp;EDATE(DATEVALUE(C498&amp;"-01"),1),'📋 Транзакції'!$C$5:$C$3623,"&lt;"&amp;EDATE(DATEVALUE(C498&amp;"-01"),2))</f>
        <v>19.99</v>
      </c>
      <c r="U498" s="37">
        <f>SUMIFS('📋 Транзакції'!$F$5:$F$3623,'📋 Транзакції'!$B$5:$B$3623,A498,'📋 Транзакції'!$C$5:$C$3623,"&gt;="&amp;EDATE(DATEVALUE(C498&amp;"-01"),2),'📋 Транзакції'!$C$5:$C$3623,"&lt;"&amp;EDATE(DATEVALUE(C498&amp;"-01"),3))</f>
        <v>19.99</v>
      </c>
      <c r="V498" s="37">
        <f>SUMIFS('📋 Транзакції'!$F$5:$F$3623,'📋 Транзакції'!$B$5:$B$3623,A498,'📋 Транзакції'!$C$5:$C$3623,"&gt;="&amp;EDATE(DATEVALUE(C498&amp;"-01"),3),'📋 Транзакції'!$C$5:$C$3623,"&lt;"&amp;EDATE(DATEVALUE(C498&amp;"-01"),4))</f>
        <v>0</v>
      </c>
      <c r="W498" s="37">
        <f>SUMIFS('📋 Транзакції'!$F$5:$F$3623,'📋 Транзакції'!$B$5:$B$3623,A498,'📋 Транзакції'!$C$5:$C$3623,"&gt;="&amp;EDATE(DATEVALUE(C498&amp;"-01"),4),'📋 Транзакції'!$C$5:$C$3623,"&lt;"&amp;EDATE(DATEVALUE(C498&amp;"-01"),5))</f>
        <v>0</v>
      </c>
      <c r="X498" s="37">
        <f>SUMIFS('📋 Транзакції'!$F$5:$F$3623,'📋 Транзакції'!$B$5:$B$3623,A498,'📋 Транзакції'!$C$5:$C$3623,"&gt;="&amp;EDATE(DATEVALUE(C498&amp;"-01"),5),'📋 Транзакції'!$C$5:$C$3623,"&lt;"&amp;EDATE(DATEVALUE(C498&amp;"-01"),6))</f>
        <v>0</v>
      </c>
      <c r="Y498" s="37">
        <f>SUMIFS('📋 Транзакції'!$F$5:$F$3623,'📋 Транзакції'!$B$5:$B$3623,A498,'📋 Транзакції'!$C$5:$C$3623,"&gt;="&amp;EDATE(DATEVALUE(C498&amp;"-01"),6),'📋 Транзакції'!$C$5:$C$3623,"&lt;"&amp;EDATE(DATEVALUE(C498&amp;"-01"),7))</f>
        <v>0</v>
      </c>
      <c r="Z498" s="37">
        <f>SUMIFS('📋 Транзакції'!$F$5:$F$3623,'📋 Транзакції'!$B$5:$B$3623,A498,'📋 Транзакції'!$C$5:$C$3623,"&gt;="&amp;EDATE(DATEVALUE(C498&amp;"-01"),7),'📋 Транзакції'!$C$5:$C$3623,"&lt;"&amp;EDATE(DATEVALUE(C498&amp;"-01"),8))</f>
        <v>0</v>
      </c>
      <c r="AA498" s="37">
        <f>SUMIFS('📋 Транзакції'!$F$5:$F$3623,'📋 Транзакції'!$B$5:$B$3623,A498,'📋 Транзакції'!$C$5:$C$3623,"&gt;="&amp;EDATE(DATEVALUE(C498&amp;"-01"),8),'📋 Транзакції'!$C$5:$C$3623,"&lt;"&amp;EDATE(DATEVALUE(C498&amp;"-01"),9))</f>
        <v>0</v>
      </c>
      <c r="AB498" s="37">
        <f>SUMIFS('📋 Транзакції'!$F$5:$F$3623,'📋 Транзакції'!$B$5:$B$3623,A498,'📋 Транзакції'!$C$5:$C$3623,"&gt;="&amp;EDATE(DATEVALUE(C498&amp;"-01"),9),'📋 Транзакції'!$C$5:$C$3623,"&lt;"&amp;EDATE(DATEVALUE(C498&amp;"-01"),10))</f>
        <v>0</v>
      </c>
      <c r="AC498" s="37">
        <f>SUMIFS('📋 Транзакції'!$F$5:$F$3623,'📋 Транзакції'!$B$5:$B$3623,A498,'📋 Транзакції'!$C$5:$C$3623,"&gt;="&amp;EDATE(DATEVALUE(C498&amp;"-01"),10),'📋 Транзакції'!$C$5:$C$3623,"&lt;"&amp;EDATE(DATEVALUE(C498&amp;"-01"),11))</f>
        <v>0</v>
      </c>
      <c r="AD498" s="37">
        <f>SUMIFS('📋 Транзакції'!$F$5:$F$3623,'📋 Транзакції'!$B$5:$B$3623,A498,'📋 Транзакції'!$C$5:$C$3623,"&gt;="&amp;EDATE(DATEVALUE(C498&amp;"-01"),11),'📋 Транзакції'!$C$5:$C$3623,"&lt;"&amp;EDATE(DATEVALUE(C498&amp;"-01"),12))</f>
        <v>0</v>
      </c>
    </row>
    <row r="499" ht="15.75" customHeight="1">
      <c r="A499" s="33" t="str">
        <f>'📋 Реєстрації'!A499:A1100</f>
        <v>U0612</v>
      </c>
      <c r="B499" s="34">
        <f t="array" ref="B499">INDEX('📋 Транзакції'!$C$5:$C$3623,MATCH(A499,'📋 Транзакції'!$B$5:$B$3623,0))</f>
        <v>45685</v>
      </c>
      <c r="C499" s="35" t="str">
        <f t="shared" si="1"/>
        <v>2025-01</v>
      </c>
      <c r="D499" s="36">
        <f>COUNTIF('📋 Транзакції'!$B$5:$B$3623,A499)</f>
        <v>2</v>
      </c>
      <c r="E499" s="36">
        <f>SUMIF('📋 Транзакції'!$B$5:$B$3623,A499,'📋 Транзакції'!$F$5:$F$3623)</f>
        <v>19.99</v>
      </c>
      <c r="F499" s="35">
        <f>INT($A$1-MAXIFS('📋 Транзакції'!$C$5:$C$3623,'📋 Транзакції'!$B$5:$B$3623,A499))</f>
        <v>55</v>
      </c>
      <c r="G499" s="37">
        <f>IF(COUNTIFS('📋 Транзакції'!$B$5:$B$3623,A499,'📋 Транзакції'!$C$5:$C$3623,"&gt;="&amp;EDATE(DATEVALUE(C499&amp;"-01"),0),'📋 Транзакції'!$C$5:$C$3623,"&lt;"&amp;EDATE(DATEVALUE(C499&amp;"-01"),1))&gt;0,1,0)</f>
        <v>1</v>
      </c>
      <c r="H499" s="37">
        <f>IF(COUNTIFS('📋 Транзакції'!$B$5:$B$3623,A499,'📋 Транзакції'!$C$5:$C$3623,"&gt;="&amp;EDATE(DATEVALUE(C499&amp;"-01"),1),'📋 Транзакції'!$C$5:$C$3623,"&lt;"&amp;EDATE(DATEVALUE(C499&amp;"-01"),2))&gt;0,1,0)</f>
        <v>1</v>
      </c>
      <c r="I499" s="37">
        <f>IF(COUNTIFS('📋 Транзакції'!$B$5:$B$3623,A499,'📋 Транзакції'!$C$5:$C$3623,"&gt;="&amp;EDATE(DATEVALUE(C499&amp;"-01"),2),'📋 Транзакції'!$C$5:$C$3623,"&lt;"&amp;EDATE(DATEVALUE(C499&amp;"-01"),3))&gt;0,1,0)</f>
        <v>0</v>
      </c>
      <c r="J499" s="37">
        <f>IF(COUNTIFS('📋 Транзакції'!$B$5:$B$3623,A499,'📋 Транзакції'!$C$5:$C$3623,"&gt;="&amp;EDATE(DATEVALUE(C499&amp;"-01"),3),'📋 Транзакції'!$C$5:$C$3623,"&lt;"&amp;EDATE(DATEVALUE(C499&amp;"-01"),4))&gt;0,1,0)</f>
        <v>0</v>
      </c>
      <c r="K499" s="37">
        <f>IF(COUNTIFS('📋 Транзакції'!$B$5:$B$3623,A499,'📋 Транзакції'!$C$5:$C$3623,"&gt;="&amp;EDATE(DATEVALUE(C499&amp;"-01"),4),'📋 Транзакції'!$C$5:$C$3623,"&lt;"&amp;EDATE(DATEVALUE(C499&amp;"-01"),5))&gt;0,1,0)</f>
        <v>0</v>
      </c>
      <c r="L499" s="37">
        <f>IF(COUNTIFS('📋 Транзакції'!$B$5:$B$3623,A499,'📋 Транзакції'!$C$5:$C$3623,"&gt;="&amp;EDATE(DATEVALUE(C499&amp;"-01"),5),'📋 Транзакції'!$C$5:$C$3623,"&lt;"&amp;EDATE(DATEVALUE(C499&amp;"-01"),6))&gt;0,1,0)</f>
        <v>0</v>
      </c>
      <c r="M499" s="37">
        <f>IF(COUNTIFS('📋 Транзакції'!$B$5:$B$3623,A499,'📋 Транзакції'!$C$5:$C$3623,"&gt;="&amp;EDATE(DATEVALUE(C499&amp;"-01"),6),'📋 Транзакції'!$C$5:$C$3623,"&lt;"&amp;EDATE(DATEVALUE(C499&amp;"-01"),7))&gt;0,1,0)</f>
        <v>0</v>
      </c>
      <c r="N499" s="37">
        <f>IF(COUNTIFS('📋 Транзакції'!$B$5:$B$3623,A499,'📋 Транзакції'!$C$5:$C$3623,"&gt;="&amp;EDATE(DATEVALUE(C499&amp;"-01"),7),'📋 Транзакції'!$C$5:$C$3623,"&lt;"&amp;EDATE(DATEVALUE(C499&amp;"-01"),8))&gt;0,1,0)</f>
        <v>0</v>
      </c>
      <c r="O499" s="37">
        <f>IF(COUNTIFS('📋 Транзакції'!$B$5:$B$3623,A499,'📋 Транзакції'!$C$5:$C$3623,"&gt;="&amp;EDATE(DATEVALUE(C499&amp;"-01"),8),'📋 Транзакції'!$C$5:$C$3623,"&lt;"&amp;EDATE(DATEVALUE(C499&amp;"-01"),9))&gt;0,1,0)</f>
        <v>0</v>
      </c>
      <c r="P499" s="37">
        <f>IF(COUNTIFS('📋 Транзакції'!$B$5:$B$3623,A499,'📋 Транзакції'!$C$5:$C$3623,"&gt;="&amp;EDATE(DATEVALUE(C499&amp;"-01"),9),'📋 Транзакції'!$C$5:$C$3623,"&lt;"&amp;EDATE(DATEVALUE(C499&amp;"-01"),10))&gt;0,1,0)</f>
        <v>0</v>
      </c>
      <c r="Q499" s="37">
        <f>IF(COUNTIFS('📋 Транзакції'!$B$5:$B$3623,A499,'📋 Транзакції'!$C$5:$C$3623,"&gt;="&amp;EDATE(DATEVALUE(C499&amp;"-01"),10),'📋 Транзакції'!$C$5:$C$3623,"&lt;"&amp;EDATE(DATEVALUE(C499&amp;"-01"),11))&gt;0,1,0)</f>
        <v>0</v>
      </c>
      <c r="R499" s="37">
        <f>IF(COUNTIFS('📋 Транзакції'!$B$5:$B$3623,A499,'📋 Транзакції'!$C$5:$C$3623,"&gt;="&amp;EDATE(DATEVALUE(C499&amp;"-01"),11),'📋 Транзакції'!$C$5:$C$3623,"&lt;"&amp;EDATE(DATEVALUE(C499&amp;"-01"),12))&gt;0,1,0)</f>
        <v>0</v>
      </c>
      <c r="S499" s="37">
        <f>SUMIFS('📋 Транзакції'!$F$5:$F$3623,'📋 Транзакції'!$B$5:$B$3623,A499,'📋 Транзакції'!$C$5:$C$3623,"&gt;="&amp;EDATE(DATEVALUE(C499&amp;"-01"),0),'📋 Транзакції'!$C$5:$C$3623,"&lt;"&amp;EDATE(DATEVALUE(C499&amp;"-01"),1))</f>
        <v>0</v>
      </c>
      <c r="T499" s="37">
        <f>SUMIFS('📋 Транзакції'!$F$5:$F$3623,'📋 Транзакції'!$B$5:$B$3623,A499,'📋 Транзакції'!$C$5:$C$3623,"&gt;="&amp;EDATE(DATEVALUE(C499&amp;"-01"),1),'📋 Транзакції'!$C$5:$C$3623,"&lt;"&amp;EDATE(DATEVALUE(C499&amp;"-01"),2))</f>
        <v>19.99</v>
      </c>
      <c r="U499" s="37">
        <f>SUMIFS('📋 Транзакції'!$F$5:$F$3623,'📋 Транзакції'!$B$5:$B$3623,A499,'📋 Транзакції'!$C$5:$C$3623,"&gt;="&amp;EDATE(DATEVALUE(C499&amp;"-01"),2),'📋 Транзакції'!$C$5:$C$3623,"&lt;"&amp;EDATE(DATEVALUE(C499&amp;"-01"),3))</f>
        <v>0</v>
      </c>
      <c r="V499" s="37">
        <f>SUMIFS('📋 Транзакції'!$F$5:$F$3623,'📋 Транзакції'!$B$5:$B$3623,A499,'📋 Транзакції'!$C$5:$C$3623,"&gt;="&amp;EDATE(DATEVALUE(C499&amp;"-01"),3),'📋 Транзакції'!$C$5:$C$3623,"&lt;"&amp;EDATE(DATEVALUE(C499&amp;"-01"),4))</f>
        <v>0</v>
      </c>
      <c r="W499" s="37">
        <f>SUMIFS('📋 Транзакції'!$F$5:$F$3623,'📋 Транзакції'!$B$5:$B$3623,A499,'📋 Транзакції'!$C$5:$C$3623,"&gt;="&amp;EDATE(DATEVALUE(C499&amp;"-01"),4),'📋 Транзакції'!$C$5:$C$3623,"&lt;"&amp;EDATE(DATEVALUE(C499&amp;"-01"),5))</f>
        <v>0</v>
      </c>
      <c r="X499" s="37">
        <f>SUMIFS('📋 Транзакції'!$F$5:$F$3623,'📋 Транзакції'!$B$5:$B$3623,A499,'📋 Транзакції'!$C$5:$C$3623,"&gt;="&amp;EDATE(DATEVALUE(C499&amp;"-01"),5),'📋 Транзакції'!$C$5:$C$3623,"&lt;"&amp;EDATE(DATEVALUE(C499&amp;"-01"),6))</f>
        <v>0</v>
      </c>
      <c r="Y499" s="37">
        <f>SUMIFS('📋 Транзакції'!$F$5:$F$3623,'📋 Транзакції'!$B$5:$B$3623,A499,'📋 Транзакції'!$C$5:$C$3623,"&gt;="&amp;EDATE(DATEVALUE(C499&amp;"-01"),6),'📋 Транзакції'!$C$5:$C$3623,"&lt;"&amp;EDATE(DATEVALUE(C499&amp;"-01"),7))</f>
        <v>0</v>
      </c>
      <c r="Z499" s="37">
        <f>SUMIFS('📋 Транзакції'!$F$5:$F$3623,'📋 Транзакції'!$B$5:$B$3623,A499,'📋 Транзакції'!$C$5:$C$3623,"&gt;="&amp;EDATE(DATEVALUE(C499&amp;"-01"),7),'📋 Транзакції'!$C$5:$C$3623,"&lt;"&amp;EDATE(DATEVALUE(C499&amp;"-01"),8))</f>
        <v>0</v>
      </c>
      <c r="AA499" s="37">
        <f>SUMIFS('📋 Транзакції'!$F$5:$F$3623,'📋 Транзакції'!$B$5:$B$3623,A499,'📋 Транзакції'!$C$5:$C$3623,"&gt;="&amp;EDATE(DATEVALUE(C499&amp;"-01"),8),'📋 Транзакції'!$C$5:$C$3623,"&lt;"&amp;EDATE(DATEVALUE(C499&amp;"-01"),9))</f>
        <v>0</v>
      </c>
      <c r="AB499" s="37">
        <f>SUMIFS('📋 Транзакції'!$F$5:$F$3623,'📋 Транзакції'!$B$5:$B$3623,A499,'📋 Транзакції'!$C$5:$C$3623,"&gt;="&amp;EDATE(DATEVALUE(C499&amp;"-01"),9),'📋 Транзакції'!$C$5:$C$3623,"&lt;"&amp;EDATE(DATEVALUE(C499&amp;"-01"),10))</f>
        <v>0</v>
      </c>
      <c r="AC499" s="37">
        <f>SUMIFS('📋 Транзакції'!$F$5:$F$3623,'📋 Транзакції'!$B$5:$B$3623,A499,'📋 Транзакції'!$C$5:$C$3623,"&gt;="&amp;EDATE(DATEVALUE(C499&amp;"-01"),10),'📋 Транзакції'!$C$5:$C$3623,"&lt;"&amp;EDATE(DATEVALUE(C499&amp;"-01"),11))</f>
        <v>0</v>
      </c>
      <c r="AD499" s="37">
        <f>SUMIFS('📋 Транзакції'!$F$5:$F$3623,'📋 Транзакції'!$B$5:$B$3623,A499,'📋 Транзакції'!$C$5:$C$3623,"&gt;="&amp;EDATE(DATEVALUE(C499&amp;"-01"),11),'📋 Транзакції'!$C$5:$C$3623,"&lt;"&amp;EDATE(DATEVALUE(C499&amp;"-01"),12))</f>
        <v>0</v>
      </c>
    </row>
    <row r="500" ht="15.75" customHeight="1">
      <c r="A500" s="33" t="str">
        <f>'📋 Реєстрації'!A500:A1101</f>
        <v>U0654</v>
      </c>
      <c r="B500" s="34">
        <f t="array" ref="B500">INDEX('📋 Транзакції'!$C$5:$C$3623,MATCH(A500,'📋 Транзакції'!$B$5:$B$3623,0))</f>
        <v>45685</v>
      </c>
      <c r="C500" s="35" t="str">
        <f t="shared" si="1"/>
        <v>2025-01</v>
      </c>
      <c r="D500" s="36">
        <f>COUNTIF('📋 Транзакції'!$B$5:$B$3623,A500)</f>
        <v>3</v>
      </c>
      <c r="E500" s="36">
        <f>SUMIF('📋 Транзакції'!$B$5:$B$3623,A500,'📋 Транзакції'!$F$5:$F$3623)</f>
        <v>39.98</v>
      </c>
      <c r="F500" s="35">
        <f>INT($A$1-MAXIFS('📋 Транзакції'!$C$5:$C$3623,'📋 Транзакції'!$B$5:$B$3623,A500))</f>
        <v>25</v>
      </c>
      <c r="G500" s="37">
        <f>IF(COUNTIFS('📋 Транзакції'!$B$5:$B$3623,A500,'📋 Транзакції'!$C$5:$C$3623,"&gt;="&amp;EDATE(DATEVALUE(C500&amp;"-01"),0),'📋 Транзакції'!$C$5:$C$3623,"&lt;"&amp;EDATE(DATEVALUE(C500&amp;"-01"),1))&gt;0,1,0)</f>
        <v>1</v>
      </c>
      <c r="H500" s="37">
        <f>IF(COUNTIFS('📋 Транзакції'!$B$5:$B$3623,A500,'📋 Транзакції'!$C$5:$C$3623,"&gt;="&amp;EDATE(DATEVALUE(C500&amp;"-01"),1),'📋 Транзакції'!$C$5:$C$3623,"&lt;"&amp;EDATE(DATEVALUE(C500&amp;"-01"),2))&gt;0,1,0)</f>
        <v>1</v>
      </c>
      <c r="I500" s="37">
        <f>IF(COUNTIFS('📋 Транзакції'!$B$5:$B$3623,A500,'📋 Транзакції'!$C$5:$C$3623,"&gt;="&amp;EDATE(DATEVALUE(C500&amp;"-01"),2),'📋 Транзакції'!$C$5:$C$3623,"&lt;"&amp;EDATE(DATEVALUE(C500&amp;"-01"),3))&gt;0,1,0)</f>
        <v>1</v>
      </c>
      <c r="J500" s="37">
        <f>IF(COUNTIFS('📋 Транзакції'!$B$5:$B$3623,A500,'📋 Транзакції'!$C$5:$C$3623,"&gt;="&amp;EDATE(DATEVALUE(C500&amp;"-01"),3),'📋 Транзакції'!$C$5:$C$3623,"&lt;"&amp;EDATE(DATEVALUE(C500&amp;"-01"),4))&gt;0,1,0)</f>
        <v>0</v>
      </c>
      <c r="K500" s="37">
        <f>IF(COUNTIFS('📋 Транзакції'!$B$5:$B$3623,A500,'📋 Транзакції'!$C$5:$C$3623,"&gt;="&amp;EDATE(DATEVALUE(C500&amp;"-01"),4),'📋 Транзакції'!$C$5:$C$3623,"&lt;"&amp;EDATE(DATEVALUE(C500&amp;"-01"),5))&gt;0,1,0)</f>
        <v>0</v>
      </c>
      <c r="L500" s="37">
        <f>IF(COUNTIFS('📋 Транзакції'!$B$5:$B$3623,A500,'📋 Транзакції'!$C$5:$C$3623,"&gt;="&amp;EDATE(DATEVALUE(C500&amp;"-01"),5),'📋 Транзакції'!$C$5:$C$3623,"&lt;"&amp;EDATE(DATEVALUE(C500&amp;"-01"),6))&gt;0,1,0)</f>
        <v>0</v>
      </c>
      <c r="M500" s="37">
        <f>IF(COUNTIFS('📋 Транзакції'!$B$5:$B$3623,A500,'📋 Транзакції'!$C$5:$C$3623,"&gt;="&amp;EDATE(DATEVALUE(C500&amp;"-01"),6),'📋 Транзакції'!$C$5:$C$3623,"&lt;"&amp;EDATE(DATEVALUE(C500&amp;"-01"),7))&gt;0,1,0)</f>
        <v>0</v>
      </c>
      <c r="N500" s="37">
        <f>IF(COUNTIFS('📋 Транзакції'!$B$5:$B$3623,A500,'📋 Транзакції'!$C$5:$C$3623,"&gt;="&amp;EDATE(DATEVALUE(C500&amp;"-01"),7),'📋 Транзакції'!$C$5:$C$3623,"&lt;"&amp;EDATE(DATEVALUE(C500&amp;"-01"),8))&gt;0,1,0)</f>
        <v>0</v>
      </c>
      <c r="O500" s="37">
        <f>IF(COUNTIFS('📋 Транзакції'!$B$5:$B$3623,A500,'📋 Транзакції'!$C$5:$C$3623,"&gt;="&amp;EDATE(DATEVALUE(C500&amp;"-01"),8),'📋 Транзакції'!$C$5:$C$3623,"&lt;"&amp;EDATE(DATEVALUE(C500&amp;"-01"),9))&gt;0,1,0)</f>
        <v>0</v>
      </c>
      <c r="P500" s="37">
        <f>IF(COUNTIFS('📋 Транзакції'!$B$5:$B$3623,A500,'📋 Транзакції'!$C$5:$C$3623,"&gt;="&amp;EDATE(DATEVALUE(C500&amp;"-01"),9),'📋 Транзакції'!$C$5:$C$3623,"&lt;"&amp;EDATE(DATEVALUE(C500&amp;"-01"),10))&gt;0,1,0)</f>
        <v>0</v>
      </c>
      <c r="Q500" s="37">
        <f>IF(COUNTIFS('📋 Транзакції'!$B$5:$B$3623,A500,'📋 Транзакції'!$C$5:$C$3623,"&gt;="&amp;EDATE(DATEVALUE(C500&amp;"-01"),10),'📋 Транзакції'!$C$5:$C$3623,"&lt;"&amp;EDATE(DATEVALUE(C500&amp;"-01"),11))&gt;0,1,0)</f>
        <v>0</v>
      </c>
      <c r="R500" s="37">
        <f>IF(COUNTIFS('📋 Транзакції'!$B$5:$B$3623,A500,'📋 Транзакції'!$C$5:$C$3623,"&gt;="&amp;EDATE(DATEVALUE(C500&amp;"-01"),11),'📋 Транзакції'!$C$5:$C$3623,"&lt;"&amp;EDATE(DATEVALUE(C500&amp;"-01"),12))&gt;0,1,0)</f>
        <v>0</v>
      </c>
      <c r="S500" s="37">
        <f>SUMIFS('📋 Транзакції'!$F$5:$F$3623,'📋 Транзакції'!$B$5:$B$3623,A500,'📋 Транзакції'!$C$5:$C$3623,"&gt;="&amp;EDATE(DATEVALUE(C500&amp;"-01"),0),'📋 Транзакції'!$C$5:$C$3623,"&lt;"&amp;EDATE(DATEVALUE(C500&amp;"-01"),1))</f>
        <v>0</v>
      </c>
      <c r="T500" s="37">
        <f>SUMIFS('📋 Транзакції'!$F$5:$F$3623,'📋 Транзакції'!$B$5:$B$3623,A500,'📋 Транзакції'!$C$5:$C$3623,"&gt;="&amp;EDATE(DATEVALUE(C500&amp;"-01"),1),'📋 Транзакції'!$C$5:$C$3623,"&lt;"&amp;EDATE(DATEVALUE(C500&amp;"-01"),2))</f>
        <v>19.99</v>
      </c>
      <c r="U500" s="37">
        <f>SUMIFS('📋 Транзакції'!$F$5:$F$3623,'📋 Транзакції'!$B$5:$B$3623,A500,'📋 Транзакції'!$C$5:$C$3623,"&gt;="&amp;EDATE(DATEVALUE(C500&amp;"-01"),2),'📋 Транзакції'!$C$5:$C$3623,"&lt;"&amp;EDATE(DATEVALUE(C500&amp;"-01"),3))</f>
        <v>19.99</v>
      </c>
      <c r="V500" s="37">
        <f>SUMIFS('📋 Транзакції'!$F$5:$F$3623,'📋 Транзакції'!$B$5:$B$3623,A500,'📋 Транзакції'!$C$5:$C$3623,"&gt;="&amp;EDATE(DATEVALUE(C500&amp;"-01"),3),'📋 Транзакції'!$C$5:$C$3623,"&lt;"&amp;EDATE(DATEVALUE(C500&amp;"-01"),4))</f>
        <v>0</v>
      </c>
      <c r="W500" s="37">
        <f>SUMIFS('📋 Транзакції'!$F$5:$F$3623,'📋 Транзакції'!$B$5:$B$3623,A500,'📋 Транзакції'!$C$5:$C$3623,"&gt;="&amp;EDATE(DATEVALUE(C500&amp;"-01"),4),'📋 Транзакції'!$C$5:$C$3623,"&lt;"&amp;EDATE(DATEVALUE(C500&amp;"-01"),5))</f>
        <v>0</v>
      </c>
      <c r="X500" s="37">
        <f>SUMIFS('📋 Транзакції'!$F$5:$F$3623,'📋 Транзакції'!$B$5:$B$3623,A500,'📋 Транзакції'!$C$5:$C$3623,"&gt;="&amp;EDATE(DATEVALUE(C500&amp;"-01"),5),'📋 Транзакції'!$C$5:$C$3623,"&lt;"&amp;EDATE(DATEVALUE(C500&amp;"-01"),6))</f>
        <v>0</v>
      </c>
      <c r="Y500" s="37">
        <f>SUMIFS('📋 Транзакції'!$F$5:$F$3623,'📋 Транзакції'!$B$5:$B$3623,A500,'📋 Транзакції'!$C$5:$C$3623,"&gt;="&amp;EDATE(DATEVALUE(C500&amp;"-01"),6),'📋 Транзакції'!$C$5:$C$3623,"&lt;"&amp;EDATE(DATEVALUE(C500&amp;"-01"),7))</f>
        <v>0</v>
      </c>
      <c r="Z500" s="37">
        <f>SUMIFS('📋 Транзакції'!$F$5:$F$3623,'📋 Транзакції'!$B$5:$B$3623,A500,'📋 Транзакції'!$C$5:$C$3623,"&gt;="&amp;EDATE(DATEVALUE(C500&amp;"-01"),7),'📋 Транзакції'!$C$5:$C$3623,"&lt;"&amp;EDATE(DATEVALUE(C500&amp;"-01"),8))</f>
        <v>0</v>
      </c>
      <c r="AA500" s="37">
        <f>SUMIFS('📋 Транзакції'!$F$5:$F$3623,'📋 Транзакції'!$B$5:$B$3623,A500,'📋 Транзакції'!$C$5:$C$3623,"&gt;="&amp;EDATE(DATEVALUE(C500&amp;"-01"),8),'📋 Транзакції'!$C$5:$C$3623,"&lt;"&amp;EDATE(DATEVALUE(C500&amp;"-01"),9))</f>
        <v>0</v>
      </c>
      <c r="AB500" s="37">
        <f>SUMIFS('📋 Транзакції'!$F$5:$F$3623,'📋 Транзакції'!$B$5:$B$3623,A500,'📋 Транзакції'!$C$5:$C$3623,"&gt;="&amp;EDATE(DATEVALUE(C500&amp;"-01"),9),'📋 Транзакції'!$C$5:$C$3623,"&lt;"&amp;EDATE(DATEVALUE(C500&amp;"-01"),10))</f>
        <v>0</v>
      </c>
      <c r="AC500" s="37">
        <f>SUMIFS('📋 Транзакції'!$F$5:$F$3623,'📋 Транзакції'!$B$5:$B$3623,A500,'📋 Транзакції'!$C$5:$C$3623,"&gt;="&amp;EDATE(DATEVALUE(C500&amp;"-01"),10),'📋 Транзакції'!$C$5:$C$3623,"&lt;"&amp;EDATE(DATEVALUE(C500&amp;"-01"),11))</f>
        <v>0</v>
      </c>
      <c r="AD500" s="37">
        <f>SUMIFS('📋 Транзакції'!$F$5:$F$3623,'📋 Транзакції'!$B$5:$B$3623,A500,'📋 Транзакції'!$C$5:$C$3623,"&gt;="&amp;EDATE(DATEVALUE(C500&amp;"-01"),11),'📋 Транзакції'!$C$5:$C$3623,"&lt;"&amp;EDATE(DATEVALUE(C500&amp;"-01"),12))</f>
        <v>0</v>
      </c>
    </row>
    <row r="501" ht="15.75" customHeight="1">
      <c r="A501" s="33" t="str">
        <f>'📋 Реєстрації'!A501:A1102</f>
        <v>U0720</v>
      </c>
      <c r="B501" s="34">
        <f t="array" ref="B501">INDEX('📋 Транзакції'!$C$5:$C$3623,MATCH(A501,'📋 Транзакції'!$B$5:$B$3623,0))</f>
        <v>45686</v>
      </c>
      <c r="C501" s="35" t="str">
        <f t="shared" si="1"/>
        <v>2025-01</v>
      </c>
      <c r="D501" s="36">
        <f>COUNTIF('📋 Транзакції'!$B$5:$B$3623,A501)</f>
        <v>3</v>
      </c>
      <c r="E501" s="36">
        <f>SUMIF('📋 Транзакції'!$B$5:$B$3623,A501,'📋 Транзакції'!$F$5:$F$3623)</f>
        <v>39.98</v>
      </c>
      <c r="F501" s="35">
        <f>INT($A$1-MAXIFS('📋 Транзакції'!$C$5:$C$3623,'📋 Транзакції'!$B$5:$B$3623,A501))</f>
        <v>24</v>
      </c>
      <c r="G501" s="37">
        <f>IF(COUNTIFS('📋 Транзакції'!$B$5:$B$3623,A501,'📋 Транзакції'!$C$5:$C$3623,"&gt;="&amp;EDATE(DATEVALUE(C501&amp;"-01"),0),'📋 Транзакції'!$C$5:$C$3623,"&lt;"&amp;EDATE(DATEVALUE(C501&amp;"-01"),1))&gt;0,1,0)</f>
        <v>1</v>
      </c>
      <c r="H501" s="37">
        <f>IF(COUNTIFS('📋 Транзакції'!$B$5:$B$3623,A501,'📋 Транзакції'!$C$5:$C$3623,"&gt;="&amp;EDATE(DATEVALUE(C501&amp;"-01"),1),'📋 Транзакції'!$C$5:$C$3623,"&lt;"&amp;EDATE(DATEVALUE(C501&amp;"-01"),2))&gt;0,1,0)</f>
        <v>1</v>
      </c>
      <c r="I501" s="37">
        <f>IF(COUNTIFS('📋 Транзакції'!$B$5:$B$3623,A501,'📋 Транзакції'!$C$5:$C$3623,"&gt;="&amp;EDATE(DATEVALUE(C501&amp;"-01"),2),'📋 Транзакції'!$C$5:$C$3623,"&lt;"&amp;EDATE(DATEVALUE(C501&amp;"-01"),3))&gt;0,1,0)</f>
        <v>1</v>
      </c>
      <c r="J501" s="37">
        <f>IF(COUNTIFS('📋 Транзакції'!$B$5:$B$3623,A501,'📋 Транзакції'!$C$5:$C$3623,"&gt;="&amp;EDATE(DATEVALUE(C501&amp;"-01"),3),'📋 Транзакції'!$C$5:$C$3623,"&lt;"&amp;EDATE(DATEVALUE(C501&amp;"-01"),4))&gt;0,1,0)</f>
        <v>0</v>
      </c>
      <c r="K501" s="37">
        <f>IF(COUNTIFS('📋 Транзакції'!$B$5:$B$3623,A501,'📋 Транзакції'!$C$5:$C$3623,"&gt;="&amp;EDATE(DATEVALUE(C501&amp;"-01"),4),'📋 Транзакції'!$C$5:$C$3623,"&lt;"&amp;EDATE(DATEVALUE(C501&amp;"-01"),5))&gt;0,1,0)</f>
        <v>0</v>
      </c>
      <c r="L501" s="37">
        <f>IF(COUNTIFS('📋 Транзакції'!$B$5:$B$3623,A501,'📋 Транзакції'!$C$5:$C$3623,"&gt;="&amp;EDATE(DATEVALUE(C501&amp;"-01"),5),'📋 Транзакції'!$C$5:$C$3623,"&lt;"&amp;EDATE(DATEVALUE(C501&amp;"-01"),6))&gt;0,1,0)</f>
        <v>0</v>
      </c>
      <c r="M501" s="37">
        <f>IF(COUNTIFS('📋 Транзакції'!$B$5:$B$3623,A501,'📋 Транзакції'!$C$5:$C$3623,"&gt;="&amp;EDATE(DATEVALUE(C501&amp;"-01"),6),'📋 Транзакції'!$C$5:$C$3623,"&lt;"&amp;EDATE(DATEVALUE(C501&amp;"-01"),7))&gt;0,1,0)</f>
        <v>0</v>
      </c>
      <c r="N501" s="37">
        <f>IF(COUNTIFS('📋 Транзакції'!$B$5:$B$3623,A501,'📋 Транзакції'!$C$5:$C$3623,"&gt;="&amp;EDATE(DATEVALUE(C501&amp;"-01"),7),'📋 Транзакції'!$C$5:$C$3623,"&lt;"&amp;EDATE(DATEVALUE(C501&amp;"-01"),8))&gt;0,1,0)</f>
        <v>0</v>
      </c>
      <c r="O501" s="37">
        <f>IF(COUNTIFS('📋 Транзакції'!$B$5:$B$3623,A501,'📋 Транзакції'!$C$5:$C$3623,"&gt;="&amp;EDATE(DATEVALUE(C501&amp;"-01"),8),'📋 Транзакції'!$C$5:$C$3623,"&lt;"&amp;EDATE(DATEVALUE(C501&amp;"-01"),9))&gt;0,1,0)</f>
        <v>0</v>
      </c>
      <c r="P501" s="37">
        <f>IF(COUNTIFS('📋 Транзакції'!$B$5:$B$3623,A501,'📋 Транзакції'!$C$5:$C$3623,"&gt;="&amp;EDATE(DATEVALUE(C501&amp;"-01"),9),'📋 Транзакції'!$C$5:$C$3623,"&lt;"&amp;EDATE(DATEVALUE(C501&amp;"-01"),10))&gt;0,1,0)</f>
        <v>0</v>
      </c>
      <c r="Q501" s="37">
        <f>IF(COUNTIFS('📋 Транзакції'!$B$5:$B$3623,A501,'📋 Транзакції'!$C$5:$C$3623,"&gt;="&amp;EDATE(DATEVALUE(C501&amp;"-01"),10),'📋 Транзакції'!$C$5:$C$3623,"&lt;"&amp;EDATE(DATEVALUE(C501&amp;"-01"),11))&gt;0,1,0)</f>
        <v>0</v>
      </c>
      <c r="R501" s="37">
        <f>IF(COUNTIFS('📋 Транзакції'!$B$5:$B$3623,A501,'📋 Транзакції'!$C$5:$C$3623,"&gt;="&amp;EDATE(DATEVALUE(C501&amp;"-01"),11),'📋 Транзакції'!$C$5:$C$3623,"&lt;"&amp;EDATE(DATEVALUE(C501&amp;"-01"),12))&gt;0,1,0)</f>
        <v>0</v>
      </c>
      <c r="S501" s="37">
        <f>SUMIFS('📋 Транзакції'!$F$5:$F$3623,'📋 Транзакції'!$B$5:$B$3623,A501,'📋 Транзакції'!$C$5:$C$3623,"&gt;="&amp;EDATE(DATEVALUE(C501&amp;"-01"),0),'📋 Транзакції'!$C$5:$C$3623,"&lt;"&amp;EDATE(DATEVALUE(C501&amp;"-01"),1))</f>
        <v>0</v>
      </c>
      <c r="T501" s="37">
        <f>SUMIFS('📋 Транзакції'!$F$5:$F$3623,'📋 Транзакції'!$B$5:$B$3623,A501,'📋 Транзакції'!$C$5:$C$3623,"&gt;="&amp;EDATE(DATEVALUE(C501&amp;"-01"),1),'📋 Транзакції'!$C$5:$C$3623,"&lt;"&amp;EDATE(DATEVALUE(C501&amp;"-01"),2))</f>
        <v>19.99</v>
      </c>
      <c r="U501" s="37">
        <f>SUMIFS('📋 Транзакції'!$F$5:$F$3623,'📋 Транзакції'!$B$5:$B$3623,A501,'📋 Транзакції'!$C$5:$C$3623,"&gt;="&amp;EDATE(DATEVALUE(C501&amp;"-01"),2),'📋 Транзакції'!$C$5:$C$3623,"&lt;"&amp;EDATE(DATEVALUE(C501&amp;"-01"),3))</f>
        <v>19.99</v>
      </c>
      <c r="V501" s="37">
        <f>SUMIFS('📋 Транзакції'!$F$5:$F$3623,'📋 Транзакції'!$B$5:$B$3623,A501,'📋 Транзакції'!$C$5:$C$3623,"&gt;="&amp;EDATE(DATEVALUE(C501&amp;"-01"),3),'📋 Транзакції'!$C$5:$C$3623,"&lt;"&amp;EDATE(DATEVALUE(C501&amp;"-01"),4))</f>
        <v>0</v>
      </c>
      <c r="W501" s="37">
        <f>SUMIFS('📋 Транзакції'!$F$5:$F$3623,'📋 Транзакції'!$B$5:$B$3623,A501,'📋 Транзакції'!$C$5:$C$3623,"&gt;="&amp;EDATE(DATEVALUE(C501&amp;"-01"),4),'📋 Транзакції'!$C$5:$C$3623,"&lt;"&amp;EDATE(DATEVALUE(C501&amp;"-01"),5))</f>
        <v>0</v>
      </c>
      <c r="X501" s="37">
        <f>SUMIFS('📋 Транзакції'!$F$5:$F$3623,'📋 Транзакції'!$B$5:$B$3623,A501,'📋 Транзакції'!$C$5:$C$3623,"&gt;="&amp;EDATE(DATEVALUE(C501&amp;"-01"),5),'📋 Транзакції'!$C$5:$C$3623,"&lt;"&amp;EDATE(DATEVALUE(C501&amp;"-01"),6))</f>
        <v>0</v>
      </c>
      <c r="Y501" s="37">
        <f>SUMIFS('📋 Транзакції'!$F$5:$F$3623,'📋 Транзакції'!$B$5:$B$3623,A501,'📋 Транзакції'!$C$5:$C$3623,"&gt;="&amp;EDATE(DATEVALUE(C501&amp;"-01"),6),'📋 Транзакції'!$C$5:$C$3623,"&lt;"&amp;EDATE(DATEVALUE(C501&amp;"-01"),7))</f>
        <v>0</v>
      </c>
      <c r="Z501" s="37">
        <f>SUMIFS('📋 Транзакції'!$F$5:$F$3623,'📋 Транзакції'!$B$5:$B$3623,A501,'📋 Транзакції'!$C$5:$C$3623,"&gt;="&amp;EDATE(DATEVALUE(C501&amp;"-01"),7),'📋 Транзакції'!$C$5:$C$3623,"&lt;"&amp;EDATE(DATEVALUE(C501&amp;"-01"),8))</f>
        <v>0</v>
      </c>
      <c r="AA501" s="37">
        <f>SUMIFS('📋 Транзакції'!$F$5:$F$3623,'📋 Транзакції'!$B$5:$B$3623,A501,'📋 Транзакції'!$C$5:$C$3623,"&gt;="&amp;EDATE(DATEVALUE(C501&amp;"-01"),8),'📋 Транзакції'!$C$5:$C$3623,"&lt;"&amp;EDATE(DATEVALUE(C501&amp;"-01"),9))</f>
        <v>0</v>
      </c>
      <c r="AB501" s="37">
        <f>SUMIFS('📋 Транзакції'!$F$5:$F$3623,'📋 Транзакції'!$B$5:$B$3623,A501,'📋 Транзакції'!$C$5:$C$3623,"&gt;="&amp;EDATE(DATEVALUE(C501&amp;"-01"),9),'📋 Транзакції'!$C$5:$C$3623,"&lt;"&amp;EDATE(DATEVALUE(C501&amp;"-01"),10))</f>
        <v>0</v>
      </c>
      <c r="AC501" s="37">
        <f>SUMIFS('📋 Транзакції'!$F$5:$F$3623,'📋 Транзакції'!$B$5:$B$3623,A501,'📋 Транзакції'!$C$5:$C$3623,"&gt;="&amp;EDATE(DATEVALUE(C501&amp;"-01"),10),'📋 Транзакції'!$C$5:$C$3623,"&lt;"&amp;EDATE(DATEVALUE(C501&amp;"-01"),11))</f>
        <v>0</v>
      </c>
      <c r="AD501" s="37">
        <f>SUMIFS('📋 Транзакції'!$F$5:$F$3623,'📋 Транзакції'!$B$5:$B$3623,A501,'📋 Транзакції'!$C$5:$C$3623,"&gt;="&amp;EDATE(DATEVALUE(C501&amp;"-01"),11),'📋 Транзакції'!$C$5:$C$3623,"&lt;"&amp;EDATE(DATEVALUE(C501&amp;"-01"),12))</f>
        <v>0</v>
      </c>
    </row>
    <row r="502" ht="15.75" customHeight="1">
      <c r="A502" s="33" t="str">
        <f>'📋 Реєстрації'!A502:A1103</f>
        <v>U0767</v>
      </c>
      <c r="B502" s="34">
        <f t="array" ref="B502">INDEX('📋 Транзакції'!$C$5:$C$3623,MATCH(A502,'📋 Транзакції'!$B$5:$B$3623,0))</f>
        <v>45687</v>
      </c>
      <c r="C502" s="35" t="str">
        <f t="shared" si="1"/>
        <v>2025-01</v>
      </c>
      <c r="D502" s="36">
        <f>COUNTIF('📋 Транзакції'!$B$5:$B$3623,A502)</f>
        <v>3</v>
      </c>
      <c r="E502" s="36">
        <f>SUMIF('📋 Транзакції'!$B$5:$B$3623,A502,'📋 Транзакції'!$F$5:$F$3623)</f>
        <v>39.98</v>
      </c>
      <c r="F502" s="35">
        <f>INT($A$1-MAXIFS('📋 Транзакції'!$C$5:$C$3623,'📋 Транзакції'!$B$5:$B$3623,A502))</f>
        <v>23</v>
      </c>
      <c r="G502" s="37">
        <f>IF(COUNTIFS('📋 Транзакції'!$B$5:$B$3623,A502,'📋 Транзакції'!$C$5:$C$3623,"&gt;="&amp;EDATE(DATEVALUE(C502&amp;"-01"),0),'📋 Транзакції'!$C$5:$C$3623,"&lt;"&amp;EDATE(DATEVALUE(C502&amp;"-01"),1))&gt;0,1,0)</f>
        <v>1</v>
      </c>
      <c r="H502" s="37">
        <f>IF(COUNTIFS('📋 Транзакції'!$B$5:$B$3623,A502,'📋 Транзакції'!$C$5:$C$3623,"&gt;="&amp;EDATE(DATEVALUE(C502&amp;"-01"),1),'📋 Транзакції'!$C$5:$C$3623,"&lt;"&amp;EDATE(DATEVALUE(C502&amp;"-01"),2))&gt;0,1,0)</f>
        <v>1</v>
      </c>
      <c r="I502" s="37">
        <f>IF(COUNTIFS('📋 Транзакції'!$B$5:$B$3623,A502,'📋 Транзакції'!$C$5:$C$3623,"&gt;="&amp;EDATE(DATEVALUE(C502&amp;"-01"),2),'📋 Транзакції'!$C$5:$C$3623,"&lt;"&amp;EDATE(DATEVALUE(C502&amp;"-01"),3))&gt;0,1,0)</f>
        <v>1</v>
      </c>
      <c r="J502" s="37">
        <f>IF(COUNTIFS('📋 Транзакції'!$B$5:$B$3623,A502,'📋 Транзакції'!$C$5:$C$3623,"&gt;="&amp;EDATE(DATEVALUE(C502&amp;"-01"),3),'📋 Транзакції'!$C$5:$C$3623,"&lt;"&amp;EDATE(DATEVALUE(C502&amp;"-01"),4))&gt;0,1,0)</f>
        <v>0</v>
      </c>
      <c r="K502" s="37">
        <f>IF(COUNTIFS('📋 Транзакції'!$B$5:$B$3623,A502,'📋 Транзакції'!$C$5:$C$3623,"&gt;="&amp;EDATE(DATEVALUE(C502&amp;"-01"),4),'📋 Транзакції'!$C$5:$C$3623,"&lt;"&amp;EDATE(DATEVALUE(C502&amp;"-01"),5))&gt;0,1,0)</f>
        <v>0</v>
      </c>
      <c r="L502" s="37">
        <f>IF(COUNTIFS('📋 Транзакції'!$B$5:$B$3623,A502,'📋 Транзакції'!$C$5:$C$3623,"&gt;="&amp;EDATE(DATEVALUE(C502&amp;"-01"),5),'📋 Транзакції'!$C$5:$C$3623,"&lt;"&amp;EDATE(DATEVALUE(C502&amp;"-01"),6))&gt;0,1,0)</f>
        <v>0</v>
      </c>
      <c r="M502" s="37">
        <f>IF(COUNTIFS('📋 Транзакції'!$B$5:$B$3623,A502,'📋 Транзакції'!$C$5:$C$3623,"&gt;="&amp;EDATE(DATEVALUE(C502&amp;"-01"),6),'📋 Транзакції'!$C$5:$C$3623,"&lt;"&amp;EDATE(DATEVALUE(C502&amp;"-01"),7))&gt;0,1,0)</f>
        <v>0</v>
      </c>
      <c r="N502" s="37">
        <f>IF(COUNTIFS('📋 Транзакції'!$B$5:$B$3623,A502,'📋 Транзакції'!$C$5:$C$3623,"&gt;="&amp;EDATE(DATEVALUE(C502&amp;"-01"),7),'📋 Транзакції'!$C$5:$C$3623,"&lt;"&amp;EDATE(DATEVALUE(C502&amp;"-01"),8))&gt;0,1,0)</f>
        <v>0</v>
      </c>
      <c r="O502" s="37">
        <f>IF(COUNTIFS('📋 Транзакції'!$B$5:$B$3623,A502,'📋 Транзакції'!$C$5:$C$3623,"&gt;="&amp;EDATE(DATEVALUE(C502&amp;"-01"),8),'📋 Транзакції'!$C$5:$C$3623,"&lt;"&amp;EDATE(DATEVALUE(C502&amp;"-01"),9))&gt;0,1,0)</f>
        <v>0</v>
      </c>
      <c r="P502" s="37">
        <f>IF(COUNTIFS('📋 Транзакції'!$B$5:$B$3623,A502,'📋 Транзакції'!$C$5:$C$3623,"&gt;="&amp;EDATE(DATEVALUE(C502&amp;"-01"),9),'📋 Транзакції'!$C$5:$C$3623,"&lt;"&amp;EDATE(DATEVALUE(C502&amp;"-01"),10))&gt;0,1,0)</f>
        <v>0</v>
      </c>
      <c r="Q502" s="37">
        <f>IF(COUNTIFS('📋 Транзакції'!$B$5:$B$3623,A502,'📋 Транзакції'!$C$5:$C$3623,"&gt;="&amp;EDATE(DATEVALUE(C502&amp;"-01"),10),'📋 Транзакції'!$C$5:$C$3623,"&lt;"&amp;EDATE(DATEVALUE(C502&amp;"-01"),11))&gt;0,1,0)</f>
        <v>0</v>
      </c>
      <c r="R502" s="37">
        <f>IF(COUNTIFS('📋 Транзакції'!$B$5:$B$3623,A502,'📋 Транзакції'!$C$5:$C$3623,"&gt;="&amp;EDATE(DATEVALUE(C502&amp;"-01"),11),'📋 Транзакції'!$C$5:$C$3623,"&lt;"&amp;EDATE(DATEVALUE(C502&amp;"-01"),12))&gt;0,1,0)</f>
        <v>0</v>
      </c>
      <c r="S502" s="37">
        <f>SUMIFS('📋 Транзакції'!$F$5:$F$3623,'📋 Транзакції'!$B$5:$B$3623,A502,'📋 Транзакції'!$C$5:$C$3623,"&gt;="&amp;EDATE(DATEVALUE(C502&amp;"-01"),0),'📋 Транзакції'!$C$5:$C$3623,"&lt;"&amp;EDATE(DATEVALUE(C502&amp;"-01"),1))</f>
        <v>0</v>
      </c>
      <c r="T502" s="37">
        <f>SUMIFS('📋 Транзакції'!$F$5:$F$3623,'📋 Транзакції'!$B$5:$B$3623,A502,'📋 Транзакції'!$C$5:$C$3623,"&gt;="&amp;EDATE(DATEVALUE(C502&amp;"-01"),1),'📋 Транзакції'!$C$5:$C$3623,"&lt;"&amp;EDATE(DATEVALUE(C502&amp;"-01"),2))</f>
        <v>19.99</v>
      </c>
      <c r="U502" s="37">
        <f>SUMIFS('📋 Транзакції'!$F$5:$F$3623,'📋 Транзакції'!$B$5:$B$3623,A502,'📋 Транзакції'!$C$5:$C$3623,"&gt;="&amp;EDATE(DATEVALUE(C502&amp;"-01"),2),'📋 Транзакції'!$C$5:$C$3623,"&lt;"&amp;EDATE(DATEVALUE(C502&amp;"-01"),3))</f>
        <v>19.99</v>
      </c>
      <c r="V502" s="37">
        <f>SUMIFS('📋 Транзакції'!$F$5:$F$3623,'📋 Транзакції'!$B$5:$B$3623,A502,'📋 Транзакції'!$C$5:$C$3623,"&gt;="&amp;EDATE(DATEVALUE(C502&amp;"-01"),3),'📋 Транзакції'!$C$5:$C$3623,"&lt;"&amp;EDATE(DATEVALUE(C502&amp;"-01"),4))</f>
        <v>0</v>
      </c>
      <c r="W502" s="37">
        <f>SUMIFS('📋 Транзакції'!$F$5:$F$3623,'📋 Транзакції'!$B$5:$B$3623,A502,'📋 Транзакції'!$C$5:$C$3623,"&gt;="&amp;EDATE(DATEVALUE(C502&amp;"-01"),4),'📋 Транзакції'!$C$5:$C$3623,"&lt;"&amp;EDATE(DATEVALUE(C502&amp;"-01"),5))</f>
        <v>0</v>
      </c>
      <c r="X502" s="37">
        <f>SUMIFS('📋 Транзакції'!$F$5:$F$3623,'📋 Транзакції'!$B$5:$B$3623,A502,'📋 Транзакції'!$C$5:$C$3623,"&gt;="&amp;EDATE(DATEVALUE(C502&amp;"-01"),5),'📋 Транзакції'!$C$5:$C$3623,"&lt;"&amp;EDATE(DATEVALUE(C502&amp;"-01"),6))</f>
        <v>0</v>
      </c>
      <c r="Y502" s="37">
        <f>SUMIFS('📋 Транзакції'!$F$5:$F$3623,'📋 Транзакції'!$B$5:$B$3623,A502,'📋 Транзакції'!$C$5:$C$3623,"&gt;="&amp;EDATE(DATEVALUE(C502&amp;"-01"),6),'📋 Транзакції'!$C$5:$C$3623,"&lt;"&amp;EDATE(DATEVALUE(C502&amp;"-01"),7))</f>
        <v>0</v>
      </c>
      <c r="Z502" s="37">
        <f>SUMIFS('📋 Транзакції'!$F$5:$F$3623,'📋 Транзакції'!$B$5:$B$3623,A502,'📋 Транзакції'!$C$5:$C$3623,"&gt;="&amp;EDATE(DATEVALUE(C502&amp;"-01"),7),'📋 Транзакції'!$C$5:$C$3623,"&lt;"&amp;EDATE(DATEVALUE(C502&amp;"-01"),8))</f>
        <v>0</v>
      </c>
      <c r="AA502" s="37">
        <f>SUMIFS('📋 Транзакції'!$F$5:$F$3623,'📋 Транзакції'!$B$5:$B$3623,A502,'📋 Транзакції'!$C$5:$C$3623,"&gt;="&amp;EDATE(DATEVALUE(C502&amp;"-01"),8),'📋 Транзакції'!$C$5:$C$3623,"&lt;"&amp;EDATE(DATEVALUE(C502&amp;"-01"),9))</f>
        <v>0</v>
      </c>
      <c r="AB502" s="37">
        <f>SUMIFS('📋 Транзакції'!$F$5:$F$3623,'📋 Транзакції'!$B$5:$B$3623,A502,'📋 Транзакції'!$C$5:$C$3623,"&gt;="&amp;EDATE(DATEVALUE(C502&amp;"-01"),9),'📋 Транзакції'!$C$5:$C$3623,"&lt;"&amp;EDATE(DATEVALUE(C502&amp;"-01"),10))</f>
        <v>0</v>
      </c>
      <c r="AC502" s="37">
        <f>SUMIFS('📋 Транзакції'!$F$5:$F$3623,'📋 Транзакції'!$B$5:$B$3623,A502,'📋 Транзакції'!$C$5:$C$3623,"&gt;="&amp;EDATE(DATEVALUE(C502&amp;"-01"),10),'📋 Транзакції'!$C$5:$C$3623,"&lt;"&amp;EDATE(DATEVALUE(C502&amp;"-01"),11))</f>
        <v>0</v>
      </c>
      <c r="AD502" s="37">
        <f>SUMIFS('📋 Транзакції'!$F$5:$F$3623,'📋 Транзакції'!$B$5:$B$3623,A502,'📋 Транзакції'!$C$5:$C$3623,"&gt;="&amp;EDATE(DATEVALUE(C502&amp;"-01"),11),'📋 Транзакції'!$C$5:$C$3623,"&lt;"&amp;EDATE(DATEVALUE(C502&amp;"-01"),12))</f>
        <v>0</v>
      </c>
    </row>
    <row r="503" ht="15.75" customHeight="1">
      <c r="A503" s="33" t="str">
        <f>'📋 Реєстрації'!A503:A1104</f>
        <v>U0121</v>
      </c>
      <c r="B503" s="34">
        <f t="array" ref="B503">INDEX('📋 Транзакції'!$C$5:$C$3623,MATCH(A503,'📋 Транзакції'!$B$5:$B$3623,0))</f>
        <v>45690</v>
      </c>
      <c r="C503" s="35" t="str">
        <f t="shared" si="1"/>
        <v>2025-02</v>
      </c>
      <c r="D503" s="36">
        <f>COUNTIF('📋 Транзакції'!$B$5:$B$3623,A503)</f>
        <v>3</v>
      </c>
      <c r="E503" s="36">
        <f>SUMIF('📋 Транзакції'!$B$5:$B$3623,A503,'📋 Транзакції'!$F$5:$F$3623)</f>
        <v>39.98</v>
      </c>
      <c r="F503" s="35">
        <f>INT($A$1-MAXIFS('📋 Транзакції'!$C$5:$C$3623,'📋 Транзакції'!$B$5:$B$3623,A503))</f>
        <v>20</v>
      </c>
      <c r="G503" s="37">
        <f>IF(COUNTIFS('📋 Транзакції'!$B$5:$B$3623,A503,'📋 Транзакції'!$C$5:$C$3623,"&gt;="&amp;EDATE(DATEVALUE(C503&amp;"-01"),0),'📋 Транзакції'!$C$5:$C$3623,"&lt;"&amp;EDATE(DATEVALUE(C503&amp;"-01"),1))&gt;0,1,0)</f>
        <v>1</v>
      </c>
      <c r="H503" s="37">
        <f>IF(COUNTIFS('📋 Транзакції'!$B$5:$B$3623,A503,'📋 Транзакції'!$C$5:$C$3623,"&gt;="&amp;EDATE(DATEVALUE(C503&amp;"-01"),1),'📋 Транзакції'!$C$5:$C$3623,"&lt;"&amp;EDATE(DATEVALUE(C503&amp;"-01"),2))&gt;0,1,0)</f>
        <v>1</v>
      </c>
      <c r="I503" s="37">
        <f>IF(COUNTIFS('📋 Транзакції'!$B$5:$B$3623,A503,'📋 Транзакції'!$C$5:$C$3623,"&gt;="&amp;EDATE(DATEVALUE(C503&amp;"-01"),2),'📋 Транзакції'!$C$5:$C$3623,"&lt;"&amp;EDATE(DATEVALUE(C503&amp;"-01"),3))&gt;0,1,0)</f>
        <v>0</v>
      </c>
      <c r="J503" s="37">
        <f>IF(COUNTIFS('📋 Транзакції'!$B$5:$B$3623,A503,'📋 Транзакції'!$C$5:$C$3623,"&gt;="&amp;EDATE(DATEVALUE(C503&amp;"-01"),3),'📋 Транзакції'!$C$5:$C$3623,"&lt;"&amp;EDATE(DATEVALUE(C503&amp;"-01"),4))&gt;0,1,0)</f>
        <v>0</v>
      </c>
      <c r="K503" s="37">
        <f>IF(COUNTIFS('📋 Транзакції'!$B$5:$B$3623,A503,'📋 Транзакції'!$C$5:$C$3623,"&gt;="&amp;EDATE(DATEVALUE(C503&amp;"-01"),4),'📋 Транзакції'!$C$5:$C$3623,"&lt;"&amp;EDATE(DATEVALUE(C503&amp;"-01"),5))&gt;0,1,0)</f>
        <v>0</v>
      </c>
      <c r="L503" s="37">
        <f>IF(COUNTIFS('📋 Транзакції'!$B$5:$B$3623,A503,'📋 Транзакції'!$C$5:$C$3623,"&gt;="&amp;EDATE(DATEVALUE(C503&amp;"-01"),5),'📋 Транзакції'!$C$5:$C$3623,"&lt;"&amp;EDATE(DATEVALUE(C503&amp;"-01"),6))&gt;0,1,0)</f>
        <v>0</v>
      </c>
      <c r="M503" s="37">
        <f>IF(COUNTIFS('📋 Транзакції'!$B$5:$B$3623,A503,'📋 Транзакції'!$C$5:$C$3623,"&gt;="&amp;EDATE(DATEVALUE(C503&amp;"-01"),6),'📋 Транзакції'!$C$5:$C$3623,"&lt;"&amp;EDATE(DATEVALUE(C503&amp;"-01"),7))&gt;0,1,0)</f>
        <v>0</v>
      </c>
      <c r="N503" s="37">
        <f>IF(COUNTIFS('📋 Транзакції'!$B$5:$B$3623,A503,'📋 Транзакції'!$C$5:$C$3623,"&gt;="&amp;EDATE(DATEVALUE(C503&amp;"-01"),7),'📋 Транзакції'!$C$5:$C$3623,"&lt;"&amp;EDATE(DATEVALUE(C503&amp;"-01"),8))&gt;0,1,0)</f>
        <v>0</v>
      </c>
      <c r="O503" s="37">
        <f>IF(COUNTIFS('📋 Транзакції'!$B$5:$B$3623,A503,'📋 Транзакції'!$C$5:$C$3623,"&gt;="&amp;EDATE(DATEVALUE(C503&amp;"-01"),8),'📋 Транзакції'!$C$5:$C$3623,"&lt;"&amp;EDATE(DATEVALUE(C503&amp;"-01"),9))&gt;0,1,0)</f>
        <v>0</v>
      </c>
      <c r="P503" s="37">
        <f>IF(COUNTIFS('📋 Транзакції'!$B$5:$B$3623,A503,'📋 Транзакції'!$C$5:$C$3623,"&gt;="&amp;EDATE(DATEVALUE(C503&amp;"-01"),9),'📋 Транзакції'!$C$5:$C$3623,"&lt;"&amp;EDATE(DATEVALUE(C503&amp;"-01"),10))&gt;0,1,0)</f>
        <v>0</v>
      </c>
      <c r="Q503" s="37">
        <f>IF(COUNTIFS('📋 Транзакції'!$B$5:$B$3623,A503,'📋 Транзакції'!$C$5:$C$3623,"&gt;="&amp;EDATE(DATEVALUE(C503&amp;"-01"),10),'📋 Транзакції'!$C$5:$C$3623,"&lt;"&amp;EDATE(DATEVALUE(C503&amp;"-01"),11))&gt;0,1,0)</f>
        <v>0</v>
      </c>
      <c r="R503" s="37">
        <f>IF(COUNTIFS('📋 Транзакції'!$B$5:$B$3623,A503,'📋 Транзакції'!$C$5:$C$3623,"&gt;="&amp;EDATE(DATEVALUE(C503&amp;"-01"),11),'📋 Транзакції'!$C$5:$C$3623,"&lt;"&amp;EDATE(DATEVALUE(C503&amp;"-01"),12))&gt;0,1,0)</f>
        <v>0</v>
      </c>
      <c r="S503" s="37">
        <f>SUMIFS('📋 Транзакції'!$F$5:$F$3623,'📋 Транзакції'!$B$5:$B$3623,A503,'📋 Транзакції'!$C$5:$C$3623,"&gt;="&amp;EDATE(DATEVALUE(C503&amp;"-01"),0),'📋 Транзакції'!$C$5:$C$3623,"&lt;"&amp;EDATE(DATEVALUE(C503&amp;"-01"),1))</f>
        <v>19.99</v>
      </c>
      <c r="T503" s="37">
        <f>SUMIFS('📋 Транзакції'!$F$5:$F$3623,'📋 Транзакції'!$B$5:$B$3623,A503,'📋 Транзакції'!$C$5:$C$3623,"&gt;="&amp;EDATE(DATEVALUE(C503&amp;"-01"),1),'📋 Транзакції'!$C$5:$C$3623,"&lt;"&amp;EDATE(DATEVALUE(C503&amp;"-01"),2))</f>
        <v>19.99</v>
      </c>
      <c r="U503" s="37">
        <f>SUMIFS('📋 Транзакції'!$F$5:$F$3623,'📋 Транзакції'!$B$5:$B$3623,A503,'📋 Транзакції'!$C$5:$C$3623,"&gt;="&amp;EDATE(DATEVALUE(C503&amp;"-01"),2),'📋 Транзакції'!$C$5:$C$3623,"&lt;"&amp;EDATE(DATEVALUE(C503&amp;"-01"),3))</f>
        <v>0</v>
      </c>
      <c r="V503" s="37">
        <f>SUMIFS('📋 Транзакції'!$F$5:$F$3623,'📋 Транзакції'!$B$5:$B$3623,A503,'📋 Транзакції'!$C$5:$C$3623,"&gt;="&amp;EDATE(DATEVALUE(C503&amp;"-01"),3),'📋 Транзакції'!$C$5:$C$3623,"&lt;"&amp;EDATE(DATEVALUE(C503&amp;"-01"),4))</f>
        <v>0</v>
      </c>
      <c r="W503" s="37">
        <f>SUMIFS('📋 Транзакції'!$F$5:$F$3623,'📋 Транзакції'!$B$5:$B$3623,A503,'📋 Транзакції'!$C$5:$C$3623,"&gt;="&amp;EDATE(DATEVALUE(C503&amp;"-01"),4),'📋 Транзакції'!$C$5:$C$3623,"&lt;"&amp;EDATE(DATEVALUE(C503&amp;"-01"),5))</f>
        <v>0</v>
      </c>
      <c r="X503" s="37">
        <f>SUMIFS('📋 Транзакції'!$F$5:$F$3623,'📋 Транзакції'!$B$5:$B$3623,A503,'📋 Транзакції'!$C$5:$C$3623,"&gt;="&amp;EDATE(DATEVALUE(C503&amp;"-01"),5),'📋 Транзакції'!$C$5:$C$3623,"&lt;"&amp;EDATE(DATEVALUE(C503&amp;"-01"),6))</f>
        <v>0</v>
      </c>
      <c r="Y503" s="37">
        <f>SUMIFS('📋 Транзакції'!$F$5:$F$3623,'📋 Транзакції'!$B$5:$B$3623,A503,'📋 Транзакції'!$C$5:$C$3623,"&gt;="&amp;EDATE(DATEVALUE(C503&amp;"-01"),6),'📋 Транзакції'!$C$5:$C$3623,"&lt;"&amp;EDATE(DATEVALUE(C503&amp;"-01"),7))</f>
        <v>0</v>
      </c>
      <c r="Z503" s="37">
        <f>SUMIFS('📋 Транзакції'!$F$5:$F$3623,'📋 Транзакції'!$B$5:$B$3623,A503,'📋 Транзакції'!$C$5:$C$3623,"&gt;="&amp;EDATE(DATEVALUE(C503&amp;"-01"),7),'📋 Транзакції'!$C$5:$C$3623,"&lt;"&amp;EDATE(DATEVALUE(C503&amp;"-01"),8))</f>
        <v>0</v>
      </c>
      <c r="AA503" s="37">
        <f>SUMIFS('📋 Транзакції'!$F$5:$F$3623,'📋 Транзакції'!$B$5:$B$3623,A503,'📋 Транзакції'!$C$5:$C$3623,"&gt;="&amp;EDATE(DATEVALUE(C503&amp;"-01"),8),'📋 Транзакції'!$C$5:$C$3623,"&lt;"&amp;EDATE(DATEVALUE(C503&amp;"-01"),9))</f>
        <v>0</v>
      </c>
      <c r="AB503" s="37">
        <f>SUMIFS('📋 Транзакції'!$F$5:$F$3623,'📋 Транзакції'!$B$5:$B$3623,A503,'📋 Транзакції'!$C$5:$C$3623,"&gt;="&amp;EDATE(DATEVALUE(C503&amp;"-01"),9),'📋 Транзакції'!$C$5:$C$3623,"&lt;"&amp;EDATE(DATEVALUE(C503&amp;"-01"),10))</f>
        <v>0</v>
      </c>
      <c r="AC503" s="37">
        <f>SUMIFS('📋 Транзакції'!$F$5:$F$3623,'📋 Транзакції'!$B$5:$B$3623,A503,'📋 Транзакції'!$C$5:$C$3623,"&gt;="&amp;EDATE(DATEVALUE(C503&amp;"-01"),10),'📋 Транзакції'!$C$5:$C$3623,"&lt;"&amp;EDATE(DATEVALUE(C503&amp;"-01"),11))</f>
        <v>0</v>
      </c>
      <c r="AD503" s="37">
        <f>SUMIFS('📋 Транзакції'!$F$5:$F$3623,'📋 Транзакції'!$B$5:$B$3623,A503,'📋 Транзакції'!$C$5:$C$3623,"&gt;="&amp;EDATE(DATEVALUE(C503&amp;"-01"),11),'📋 Транзакції'!$C$5:$C$3623,"&lt;"&amp;EDATE(DATEVALUE(C503&amp;"-01"),12))</f>
        <v>0</v>
      </c>
    </row>
    <row r="504" ht="15.75" customHeight="1">
      <c r="A504" s="33" t="str">
        <f>'📋 Реєстрації'!A504:A1105</f>
        <v>U0352</v>
      </c>
      <c r="B504" s="34">
        <f t="array" ref="B504">INDEX('📋 Транзакції'!$C$5:$C$3623,MATCH(A504,'📋 Транзакції'!$B$5:$B$3623,0))</f>
        <v>45690</v>
      </c>
      <c r="C504" s="35" t="str">
        <f t="shared" si="1"/>
        <v>2025-02</v>
      </c>
      <c r="D504" s="36">
        <f>COUNTIF('📋 Транзакції'!$B$5:$B$3623,A504)</f>
        <v>3</v>
      </c>
      <c r="E504" s="36">
        <f>SUMIF('📋 Транзакції'!$B$5:$B$3623,A504,'📋 Транзакції'!$F$5:$F$3623)</f>
        <v>39.98</v>
      </c>
      <c r="F504" s="35">
        <f>INT($A$1-MAXIFS('📋 Транзакції'!$C$5:$C$3623,'📋 Транзакції'!$B$5:$B$3623,A504))</f>
        <v>20</v>
      </c>
      <c r="G504" s="37">
        <f>IF(COUNTIFS('📋 Транзакції'!$B$5:$B$3623,A504,'📋 Транзакції'!$C$5:$C$3623,"&gt;="&amp;EDATE(DATEVALUE(C504&amp;"-01"),0),'📋 Транзакції'!$C$5:$C$3623,"&lt;"&amp;EDATE(DATEVALUE(C504&amp;"-01"),1))&gt;0,1,0)</f>
        <v>1</v>
      </c>
      <c r="H504" s="37">
        <f>IF(COUNTIFS('📋 Транзакції'!$B$5:$B$3623,A504,'📋 Транзакції'!$C$5:$C$3623,"&gt;="&amp;EDATE(DATEVALUE(C504&amp;"-01"),1),'📋 Транзакції'!$C$5:$C$3623,"&lt;"&amp;EDATE(DATEVALUE(C504&amp;"-01"),2))&gt;0,1,0)</f>
        <v>1</v>
      </c>
      <c r="I504" s="37">
        <f>IF(COUNTIFS('📋 Транзакції'!$B$5:$B$3623,A504,'📋 Транзакції'!$C$5:$C$3623,"&gt;="&amp;EDATE(DATEVALUE(C504&amp;"-01"),2),'📋 Транзакції'!$C$5:$C$3623,"&lt;"&amp;EDATE(DATEVALUE(C504&amp;"-01"),3))&gt;0,1,0)</f>
        <v>0</v>
      </c>
      <c r="J504" s="37">
        <f>IF(COUNTIFS('📋 Транзакції'!$B$5:$B$3623,A504,'📋 Транзакції'!$C$5:$C$3623,"&gt;="&amp;EDATE(DATEVALUE(C504&amp;"-01"),3),'📋 Транзакції'!$C$5:$C$3623,"&lt;"&amp;EDATE(DATEVALUE(C504&amp;"-01"),4))&gt;0,1,0)</f>
        <v>0</v>
      </c>
      <c r="K504" s="37">
        <f>IF(COUNTIFS('📋 Транзакції'!$B$5:$B$3623,A504,'📋 Транзакції'!$C$5:$C$3623,"&gt;="&amp;EDATE(DATEVALUE(C504&amp;"-01"),4),'📋 Транзакції'!$C$5:$C$3623,"&lt;"&amp;EDATE(DATEVALUE(C504&amp;"-01"),5))&gt;0,1,0)</f>
        <v>0</v>
      </c>
      <c r="L504" s="37">
        <f>IF(COUNTIFS('📋 Транзакції'!$B$5:$B$3623,A504,'📋 Транзакції'!$C$5:$C$3623,"&gt;="&amp;EDATE(DATEVALUE(C504&amp;"-01"),5),'📋 Транзакції'!$C$5:$C$3623,"&lt;"&amp;EDATE(DATEVALUE(C504&amp;"-01"),6))&gt;0,1,0)</f>
        <v>0</v>
      </c>
      <c r="M504" s="37">
        <f>IF(COUNTIFS('📋 Транзакції'!$B$5:$B$3623,A504,'📋 Транзакції'!$C$5:$C$3623,"&gt;="&amp;EDATE(DATEVALUE(C504&amp;"-01"),6),'📋 Транзакції'!$C$5:$C$3623,"&lt;"&amp;EDATE(DATEVALUE(C504&amp;"-01"),7))&gt;0,1,0)</f>
        <v>0</v>
      </c>
      <c r="N504" s="37">
        <f>IF(COUNTIFS('📋 Транзакції'!$B$5:$B$3623,A504,'📋 Транзакції'!$C$5:$C$3623,"&gt;="&amp;EDATE(DATEVALUE(C504&amp;"-01"),7),'📋 Транзакції'!$C$5:$C$3623,"&lt;"&amp;EDATE(DATEVALUE(C504&amp;"-01"),8))&gt;0,1,0)</f>
        <v>0</v>
      </c>
      <c r="O504" s="37">
        <f>IF(COUNTIFS('📋 Транзакції'!$B$5:$B$3623,A504,'📋 Транзакції'!$C$5:$C$3623,"&gt;="&amp;EDATE(DATEVALUE(C504&amp;"-01"),8),'📋 Транзакції'!$C$5:$C$3623,"&lt;"&amp;EDATE(DATEVALUE(C504&amp;"-01"),9))&gt;0,1,0)</f>
        <v>0</v>
      </c>
      <c r="P504" s="37">
        <f>IF(COUNTIFS('📋 Транзакції'!$B$5:$B$3623,A504,'📋 Транзакції'!$C$5:$C$3623,"&gt;="&amp;EDATE(DATEVALUE(C504&amp;"-01"),9),'📋 Транзакції'!$C$5:$C$3623,"&lt;"&amp;EDATE(DATEVALUE(C504&amp;"-01"),10))&gt;0,1,0)</f>
        <v>0</v>
      </c>
      <c r="Q504" s="37">
        <f>IF(COUNTIFS('📋 Транзакції'!$B$5:$B$3623,A504,'📋 Транзакції'!$C$5:$C$3623,"&gt;="&amp;EDATE(DATEVALUE(C504&amp;"-01"),10),'📋 Транзакції'!$C$5:$C$3623,"&lt;"&amp;EDATE(DATEVALUE(C504&amp;"-01"),11))&gt;0,1,0)</f>
        <v>0</v>
      </c>
      <c r="R504" s="37">
        <f>IF(COUNTIFS('📋 Транзакції'!$B$5:$B$3623,A504,'📋 Транзакції'!$C$5:$C$3623,"&gt;="&amp;EDATE(DATEVALUE(C504&amp;"-01"),11),'📋 Транзакції'!$C$5:$C$3623,"&lt;"&amp;EDATE(DATEVALUE(C504&amp;"-01"),12))&gt;0,1,0)</f>
        <v>0</v>
      </c>
      <c r="S504" s="37">
        <f>SUMIFS('📋 Транзакції'!$F$5:$F$3623,'📋 Транзакції'!$B$5:$B$3623,A504,'📋 Транзакції'!$C$5:$C$3623,"&gt;="&amp;EDATE(DATEVALUE(C504&amp;"-01"),0),'📋 Транзакції'!$C$5:$C$3623,"&lt;"&amp;EDATE(DATEVALUE(C504&amp;"-01"),1))</f>
        <v>19.99</v>
      </c>
      <c r="T504" s="37">
        <f>SUMIFS('📋 Транзакції'!$F$5:$F$3623,'📋 Транзакції'!$B$5:$B$3623,A504,'📋 Транзакції'!$C$5:$C$3623,"&gt;="&amp;EDATE(DATEVALUE(C504&amp;"-01"),1),'📋 Транзакції'!$C$5:$C$3623,"&lt;"&amp;EDATE(DATEVALUE(C504&amp;"-01"),2))</f>
        <v>19.99</v>
      </c>
      <c r="U504" s="37">
        <f>SUMIFS('📋 Транзакції'!$F$5:$F$3623,'📋 Транзакції'!$B$5:$B$3623,A504,'📋 Транзакції'!$C$5:$C$3623,"&gt;="&amp;EDATE(DATEVALUE(C504&amp;"-01"),2),'📋 Транзакції'!$C$5:$C$3623,"&lt;"&amp;EDATE(DATEVALUE(C504&amp;"-01"),3))</f>
        <v>0</v>
      </c>
      <c r="V504" s="37">
        <f>SUMIFS('📋 Транзакції'!$F$5:$F$3623,'📋 Транзакції'!$B$5:$B$3623,A504,'📋 Транзакції'!$C$5:$C$3623,"&gt;="&amp;EDATE(DATEVALUE(C504&amp;"-01"),3),'📋 Транзакції'!$C$5:$C$3623,"&lt;"&amp;EDATE(DATEVALUE(C504&amp;"-01"),4))</f>
        <v>0</v>
      </c>
      <c r="W504" s="37">
        <f>SUMIFS('📋 Транзакції'!$F$5:$F$3623,'📋 Транзакції'!$B$5:$B$3623,A504,'📋 Транзакції'!$C$5:$C$3623,"&gt;="&amp;EDATE(DATEVALUE(C504&amp;"-01"),4),'📋 Транзакції'!$C$5:$C$3623,"&lt;"&amp;EDATE(DATEVALUE(C504&amp;"-01"),5))</f>
        <v>0</v>
      </c>
      <c r="X504" s="37">
        <f>SUMIFS('📋 Транзакції'!$F$5:$F$3623,'📋 Транзакції'!$B$5:$B$3623,A504,'📋 Транзакції'!$C$5:$C$3623,"&gt;="&amp;EDATE(DATEVALUE(C504&amp;"-01"),5),'📋 Транзакції'!$C$5:$C$3623,"&lt;"&amp;EDATE(DATEVALUE(C504&amp;"-01"),6))</f>
        <v>0</v>
      </c>
      <c r="Y504" s="37">
        <f>SUMIFS('📋 Транзакції'!$F$5:$F$3623,'📋 Транзакції'!$B$5:$B$3623,A504,'📋 Транзакції'!$C$5:$C$3623,"&gt;="&amp;EDATE(DATEVALUE(C504&amp;"-01"),6),'📋 Транзакції'!$C$5:$C$3623,"&lt;"&amp;EDATE(DATEVALUE(C504&amp;"-01"),7))</f>
        <v>0</v>
      </c>
      <c r="Z504" s="37">
        <f>SUMIFS('📋 Транзакції'!$F$5:$F$3623,'📋 Транзакції'!$B$5:$B$3623,A504,'📋 Транзакції'!$C$5:$C$3623,"&gt;="&amp;EDATE(DATEVALUE(C504&amp;"-01"),7),'📋 Транзакції'!$C$5:$C$3623,"&lt;"&amp;EDATE(DATEVALUE(C504&amp;"-01"),8))</f>
        <v>0</v>
      </c>
      <c r="AA504" s="37">
        <f>SUMIFS('📋 Транзакції'!$F$5:$F$3623,'📋 Транзакції'!$B$5:$B$3623,A504,'📋 Транзакції'!$C$5:$C$3623,"&gt;="&amp;EDATE(DATEVALUE(C504&amp;"-01"),8),'📋 Транзакції'!$C$5:$C$3623,"&lt;"&amp;EDATE(DATEVALUE(C504&amp;"-01"),9))</f>
        <v>0</v>
      </c>
      <c r="AB504" s="37">
        <f>SUMIFS('📋 Транзакції'!$F$5:$F$3623,'📋 Транзакції'!$B$5:$B$3623,A504,'📋 Транзакції'!$C$5:$C$3623,"&gt;="&amp;EDATE(DATEVALUE(C504&amp;"-01"),9),'📋 Транзакції'!$C$5:$C$3623,"&lt;"&amp;EDATE(DATEVALUE(C504&amp;"-01"),10))</f>
        <v>0</v>
      </c>
      <c r="AC504" s="37">
        <f>SUMIFS('📋 Транзакції'!$F$5:$F$3623,'📋 Транзакції'!$B$5:$B$3623,A504,'📋 Транзакції'!$C$5:$C$3623,"&gt;="&amp;EDATE(DATEVALUE(C504&amp;"-01"),10),'📋 Транзакції'!$C$5:$C$3623,"&lt;"&amp;EDATE(DATEVALUE(C504&amp;"-01"),11))</f>
        <v>0</v>
      </c>
      <c r="AD504" s="37">
        <f>SUMIFS('📋 Транзакції'!$F$5:$F$3623,'📋 Транзакції'!$B$5:$B$3623,A504,'📋 Транзакції'!$C$5:$C$3623,"&gt;="&amp;EDATE(DATEVALUE(C504&amp;"-01"),11),'📋 Транзакції'!$C$5:$C$3623,"&lt;"&amp;EDATE(DATEVALUE(C504&amp;"-01"),12))</f>
        <v>0</v>
      </c>
    </row>
    <row r="505" ht="15.75" customHeight="1">
      <c r="A505" s="33" t="str">
        <f>'📋 Реєстрації'!A505:A1106</f>
        <v>U0315</v>
      </c>
      <c r="B505" s="34">
        <f t="array" ref="B505">INDEX('📋 Транзакції'!$C$5:$C$3623,MATCH(A505,'📋 Транзакції'!$B$5:$B$3623,0))</f>
        <v>45691</v>
      </c>
      <c r="C505" s="35" t="str">
        <f t="shared" si="1"/>
        <v>2025-02</v>
      </c>
      <c r="D505" s="36">
        <f>COUNTIF('📋 Транзакції'!$B$5:$B$3623,A505)</f>
        <v>3</v>
      </c>
      <c r="E505" s="36">
        <f>SUMIF('📋 Транзакції'!$B$5:$B$3623,A505,'📋 Транзакції'!$F$5:$F$3623)</f>
        <v>39.98</v>
      </c>
      <c r="F505" s="35">
        <f>INT($A$1-MAXIFS('📋 Транзакції'!$C$5:$C$3623,'📋 Транзакції'!$B$5:$B$3623,A505))</f>
        <v>19</v>
      </c>
      <c r="G505" s="37">
        <f>IF(COUNTIFS('📋 Транзакції'!$B$5:$B$3623,A505,'📋 Транзакції'!$C$5:$C$3623,"&gt;="&amp;EDATE(DATEVALUE(C505&amp;"-01"),0),'📋 Транзакції'!$C$5:$C$3623,"&lt;"&amp;EDATE(DATEVALUE(C505&amp;"-01"),1))&gt;0,1,0)</f>
        <v>1</v>
      </c>
      <c r="H505" s="37">
        <f>IF(COUNTIFS('📋 Транзакції'!$B$5:$B$3623,A505,'📋 Транзакції'!$C$5:$C$3623,"&gt;="&amp;EDATE(DATEVALUE(C505&amp;"-01"),1),'📋 Транзакції'!$C$5:$C$3623,"&lt;"&amp;EDATE(DATEVALUE(C505&amp;"-01"),2))&gt;0,1,0)</f>
        <v>1</v>
      </c>
      <c r="I505" s="37">
        <f>IF(COUNTIFS('📋 Транзакції'!$B$5:$B$3623,A505,'📋 Транзакції'!$C$5:$C$3623,"&gt;="&amp;EDATE(DATEVALUE(C505&amp;"-01"),2),'📋 Транзакції'!$C$5:$C$3623,"&lt;"&amp;EDATE(DATEVALUE(C505&amp;"-01"),3))&gt;0,1,0)</f>
        <v>0</v>
      </c>
      <c r="J505" s="37">
        <f>IF(COUNTIFS('📋 Транзакції'!$B$5:$B$3623,A505,'📋 Транзакції'!$C$5:$C$3623,"&gt;="&amp;EDATE(DATEVALUE(C505&amp;"-01"),3),'📋 Транзакції'!$C$5:$C$3623,"&lt;"&amp;EDATE(DATEVALUE(C505&amp;"-01"),4))&gt;0,1,0)</f>
        <v>0</v>
      </c>
      <c r="K505" s="37">
        <f>IF(COUNTIFS('📋 Транзакції'!$B$5:$B$3623,A505,'📋 Транзакції'!$C$5:$C$3623,"&gt;="&amp;EDATE(DATEVALUE(C505&amp;"-01"),4),'📋 Транзакції'!$C$5:$C$3623,"&lt;"&amp;EDATE(DATEVALUE(C505&amp;"-01"),5))&gt;0,1,0)</f>
        <v>0</v>
      </c>
      <c r="L505" s="37">
        <f>IF(COUNTIFS('📋 Транзакції'!$B$5:$B$3623,A505,'📋 Транзакції'!$C$5:$C$3623,"&gt;="&amp;EDATE(DATEVALUE(C505&amp;"-01"),5),'📋 Транзакції'!$C$5:$C$3623,"&lt;"&amp;EDATE(DATEVALUE(C505&amp;"-01"),6))&gt;0,1,0)</f>
        <v>0</v>
      </c>
      <c r="M505" s="37">
        <f>IF(COUNTIFS('📋 Транзакції'!$B$5:$B$3623,A505,'📋 Транзакції'!$C$5:$C$3623,"&gt;="&amp;EDATE(DATEVALUE(C505&amp;"-01"),6),'📋 Транзакції'!$C$5:$C$3623,"&lt;"&amp;EDATE(DATEVALUE(C505&amp;"-01"),7))&gt;0,1,0)</f>
        <v>0</v>
      </c>
      <c r="N505" s="37">
        <f>IF(COUNTIFS('📋 Транзакції'!$B$5:$B$3623,A505,'📋 Транзакції'!$C$5:$C$3623,"&gt;="&amp;EDATE(DATEVALUE(C505&amp;"-01"),7),'📋 Транзакції'!$C$5:$C$3623,"&lt;"&amp;EDATE(DATEVALUE(C505&amp;"-01"),8))&gt;0,1,0)</f>
        <v>0</v>
      </c>
      <c r="O505" s="37">
        <f>IF(COUNTIFS('📋 Транзакції'!$B$5:$B$3623,A505,'📋 Транзакції'!$C$5:$C$3623,"&gt;="&amp;EDATE(DATEVALUE(C505&amp;"-01"),8),'📋 Транзакції'!$C$5:$C$3623,"&lt;"&amp;EDATE(DATEVALUE(C505&amp;"-01"),9))&gt;0,1,0)</f>
        <v>0</v>
      </c>
      <c r="P505" s="37">
        <f>IF(COUNTIFS('📋 Транзакції'!$B$5:$B$3623,A505,'📋 Транзакції'!$C$5:$C$3623,"&gt;="&amp;EDATE(DATEVALUE(C505&amp;"-01"),9),'📋 Транзакції'!$C$5:$C$3623,"&lt;"&amp;EDATE(DATEVALUE(C505&amp;"-01"),10))&gt;0,1,0)</f>
        <v>0</v>
      </c>
      <c r="Q505" s="37">
        <f>IF(COUNTIFS('📋 Транзакції'!$B$5:$B$3623,A505,'📋 Транзакції'!$C$5:$C$3623,"&gt;="&amp;EDATE(DATEVALUE(C505&amp;"-01"),10),'📋 Транзакції'!$C$5:$C$3623,"&lt;"&amp;EDATE(DATEVALUE(C505&amp;"-01"),11))&gt;0,1,0)</f>
        <v>0</v>
      </c>
      <c r="R505" s="37">
        <f>IF(COUNTIFS('📋 Транзакції'!$B$5:$B$3623,A505,'📋 Транзакції'!$C$5:$C$3623,"&gt;="&amp;EDATE(DATEVALUE(C505&amp;"-01"),11),'📋 Транзакції'!$C$5:$C$3623,"&lt;"&amp;EDATE(DATEVALUE(C505&amp;"-01"),12))&gt;0,1,0)</f>
        <v>0</v>
      </c>
      <c r="S505" s="37">
        <f>SUMIFS('📋 Транзакції'!$F$5:$F$3623,'📋 Транзакції'!$B$5:$B$3623,A505,'📋 Транзакції'!$C$5:$C$3623,"&gt;="&amp;EDATE(DATEVALUE(C505&amp;"-01"),0),'📋 Транзакції'!$C$5:$C$3623,"&lt;"&amp;EDATE(DATEVALUE(C505&amp;"-01"),1))</f>
        <v>19.99</v>
      </c>
      <c r="T505" s="37">
        <f>SUMIFS('📋 Транзакції'!$F$5:$F$3623,'📋 Транзакції'!$B$5:$B$3623,A505,'📋 Транзакції'!$C$5:$C$3623,"&gt;="&amp;EDATE(DATEVALUE(C505&amp;"-01"),1),'📋 Транзакції'!$C$5:$C$3623,"&lt;"&amp;EDATE(DATEVALUE(C505&amp;"-01"),2))</f>
        <v>19.99</v>
      </c>
      <c r="U505" s="37">
        <f>SUMIFS('📋 Транзакції'!$F$5:$F$3623,'📋 Транзакції'!$B$5:$B$3623,A505,'📋 Транзакції'!$C$5:$C$3623,"&gt;="&amp;EDATE(DATEVALUE(C505&amp;"-01"),2),'📋 Транзакції'!$C$5:$C$3623,"&lt;"&amp;EDATE(DATEVALUE(C505&amp;"-01"),3))</f>
        <v>0</v>
      </c>
      <c r="V505" s="37">
        <f>SUMIFS('📋 Транзакції'!$F$5:$F$3623,'📋 Транзакції'!$B$5:$B$3623,A505,'📋 Транзакції'!$C$5:$C$3623,"&gt;="&amp;EDATE(DATEVALUE(C505&amp;"-01"),3),'📋 Транзакції'!$C$5:$C$3623,"&lt;"&amp;EDATE(DATEVALUE(C505&amp;"-01"),4))</f>
        <v>0</v>
      </c>
      <c r="W505" s="37">
        <f>SUMIFS('📋 Транзакції'!$F$5:$F$3623,'📋 Транзакції'!$B$5:$B$3623,A505,'📋 Транзакції'!$C$5:$C$3623,"&gt;="&amp;EDATE(DATEVALUE(C505&amp;"-01"),4),'📋 Транзакції'!$C$5:$C$3623,"&lt;"&amp;EDATE(DATEVALUE(C505&amp;"-01"),5))</f>
        <v>0</v>
      </c>
      <c r="X505" s="37">
        <f>SUMIFS('📋 Транзакції'!$F$5:$F$3623,'📋 Транзакції'!$B$5:$B$3623,A505,'📋 Транзакції'!$C$5:$C$3623,"&gt;="&amp;EDATE(DATEVALUE(C505&amp;"-01"),5),'📋 Транзакції'!$C$5:$C$3623,"&lt;"&amp;EDATE(DATEVALUE(C505&amp;"-01"),6))</f>
        <v>0</v>
      </c>
      <c r="Y505" s="37">
        <f>SUMIFS('📋 Транзакції'!$F$5:$F$3623,'📋 Транзакції'!$B$5:$B$3623,A505,'📋 Транзакції'!$C$5:$C$3623,"&gt;="&amp;EDATE(DATEVALUE(C505&amp;"-01"),6),'📋 Транзакції'!$C$5:$C$3623,"&lt;"&amp;EDATE(DATEVALUE(C505&amp;"-01"),7))</f>
        <v>0</v>
      </c>
      <c r="Z505" s="37">
        <f>SUMIFS('📋 Транзакції'!$F$5:$F$3623,'📋 Транзакції'!$B$5:$B$3623,A505,'📋 Транзакції'!$C$5:$C$3623,"&gt;="&amp;EDATE(DATEVALUE(C505&amp;"-01"),7),'📋 Транзакції'!$C$5:$C$3623,"&lt;"&amp;EDATE(DATEVALUE(C505&amp;"-01"),8))</f>
        <v>0</v>
      </c>
      <c r="AA505" s="37">
        <f>SUMIFS('📋 Транзакції'!$F$5:$F$3623,'📋 Транзакції'!$B$5:$B$3623,A505,'📋 Транзакції'!$C$5:$C$3623,"&gt;="&amp;EDATE(DATEVALUE(C505&amp;"-01"),8),'📋 Транзакції'!$C$5:$C$3623,"&lt;"&amp;EDATE(DATEVALUE(C505&amp;"-01"),9))</f>
        <v>0</v>
      </c>
      <c r="AB505" s="37">
        <f>SUMIFS('📋 Транзакції'!$F$5:$F$3623,'📋 Транзакції'!$B$5:$B$3623,A505,'📋 Транзакції'!$C$5:$C$3623,"&gt;="&amp;EDATE(DATEVALUE(C505&amp;"-01"),9),'📋 Транзакції'!$C$5:$C$3623,"&lt;"&amp;EDATE(DATEVALUE(C505&amp;"-01"),10))</f>
        <v>0</v>
      </c>
      <c r="AC505" s="37">
        <f>SUMIFS('📋 Транзакції'!$F$5:$F$3623,'📋 Транзакції'!$B$5:$B$3623,A505,'📋 Транзакції'!$C$5:$C$3623,"&gt;="&amp;EDATE(DATEVALUE(C505&amp;"-01"),10),'📋 Транзакції'!$C$5:$C$3623,"&lt;"&amp;EDATE(DATEVALUE(C505&amp;"-01"),11))</f>
        <v>0</v>
      </c>
      <c r="AD505" s="37">
        <f>SUMIFS('📋 Транзакції'!$F$5:$F$3623,'📋 Транзакції'!$B$5:$B$3623,A505,'📋 Транзакції'!$C$5:$C$3623,"&gt;="&amp;EDATE(DATEVALUE(C505&amp;"-01"),11),'📋 Транзакції'!$C$5:$C$3623,"&lt;"&amp;EDATE(DATEVALUE(C505&amp;"-01"),12))</f>
        <v>0</v>
      </c>
    </row>
    <row r="506" ht="15.75" customHeight="1">
      <c r="A506" s="33" t="str">
        <f>'📋 Реєстрації'!A506:A1107</f>
        <v>U0438</v>
      </c>
      <c r="B506" s="34">
        <f t="array" ref="B506">INDEX('📋 Транзакції'!$C$5:$C$3623,MATCH(A506,'📋 Транзакції'!$B$5:$B$3623,0))</f>
        <v>45691</v>
      </c>
      <c r="C506" s="35" t="str">
        <f t="shared" si="1"/>
        <v>2025-02</v>
      </c>
      <c r="D506" s="36">
        <f>COUNTIF('📋 Транзакції'!$B$5:$B$3623,A506)</f>
        <v>3</v>
      </c>
      <c r="E506" s="36">
        <f>SUMIF('📋 Транзакції'!$B$5:$B$3623,A506,'📋 Транзакції'!$F$5:$F$3623)</f>
        <v>39.98</v>
      </c>
      <c r="F506" s="35">
        <f>INT($A$1-MAXIFS('📋 Транзакції'!$C$5:$C$3623,'📋 Транзакції'!$B$5:$B$3623,A506))</f>
        <v>19</v>
      </c>
      <c r="G506" s="37">
        <f>IF(COUNTIFS('📋 Транзакції'!$B$5:$B$3623,A506,'📋 Транзакції'!$C$5:$C$3623,"&gt;="&amp;EDATE(DATEVALUE(C506&amp;"-01"),0),'📋 Транзакції'!$C$5:$C$3623,"&lt;"&amp;EDATE(DATEVALUE(C506&amp;"-01"),1))&gt;0,1,0)</f>
        <v>1</v>
      </c>
      <c r="H506" s="37">
        <f>IF(COUNTIFS('📋 Транзакції'!$B$5:$B$3623,A506,'📋 Транзакції'!$C$5:$C$3623,"&gt;="&amp;EDATE(DATEVALUE(C506&amp;"-01"),1),'📋 Транзакції'!$C$5:$C$3623,"&lt;"&amp;EDATE(DATEVALUE(C506&amp;"-01"),2))&gt;0,1,0)</f>
        <v>1</v>
      </c>
      <c r="I506" s="37">
        <f>IF(COUNTIFS('📋 Транзакції'!$B$5:$B$3623,A506,'📋 Транзакції'!$C$5:$C$3623,"&gt;="&amp;EDATE(DATEVALUE(C506&amp;"-01"),2),'📋 Транзакції'!$C$5:$C$3623,"&lt;"&amp;EDATE(DATEVALUE(C506&amp;"-01"),3))&gt;0,1,0)</f>
        <v>0</v>
      </c>
      <c r="J506" s="37">
        <f>IF(COUNTIFS('📋 Транзакції'!$B$5:$B$3623,A506,'📋 Транзакції'!$C$5:$C$3623,"&gt;="&amp;EDATE(DATEVALUE(C506&amp;"-01"),3),'📋 Транзакції'!$C$5:$C$3623,"&lt;"&amp;EDATE(DATEVALUE(C506&amp;"-01"),4))&gt;0,1,0)</f>
        <v>0</v>
      </c>
      <c r="K506" s="37">
        <f>IF(COUNTIFS('📋 Транзакції'!$B$5:$B$3623,A506,'📋 Транзакції'!$C$5:$C$3623,"&gt;="&amp;EDATE(DATEVALUE(C506&amp;"-01"),4),'📋 Транзакції'!$C$5:$C$3623,"&lt;"&amp;EDATE(DATEVALUE(C506&amp;"-01"),5))&gt;0,1,0)</f>
        <v>0</v>
      </c>
      <c r="L506" s="37">
        <f>IF(COUNTIFS('📋 Транзакції'!$B$5:$B$3623,A506,'📋 Транзакції'!$C$5:$C$3623,"&gt;="&amp;EDATE(DATEVALUE(C506&amp;"-01"),5),'📋 Транзакції'!$C$5:$C$3623,"&lt;"&amp;EDATE(DATEVALUE(C506&amp;"-01"),6))&gt;0,1,0)</f>
        <v>0</v>
      </c>
      <c r="M506" s="37">
        <f>IF(COUNTIFS('📋 Транзакції'!$B$5:$B$3623,A506,'📋 Транзакції'!$C$5:$C$3623,"&gt;="&amp;EDATE(DATEVALUE(C506&amp;"-01"),6),'📋 Транзакції'!$C$5:$C$3623,"&lt;"&amp;EDATE(DATEVALUE(C506&amp;"-01"),7))&gt;0,1,0)</f>
        <v>0</v>
      </c>
      <c r="N506" s="37">
        <f>IF(COUNTIFS('📋 Транзакції'!$B$5:$B$3623,A506,'📋 Транзакції'!$C$5:$C$3623,"&gt;="&amp;EDATE(DATEVALUE(C506&amp;"-01"),7),'📋 Транзакції'!$C$5:$C$3623,"&lt;"&amp;EDATE(DATEVALUE(C506&amp;"-01"),8))&gt;0,1,0)</f>
        <v>0</v>
      </c>
      <c r="O506" s="37">
        <f>IF(COUNTIFS('📋 Транзакції'!$B$5:$B$3623,A506,'📋 Транзакції'!$C$5:$C$3623,"&gt;="&amp;EDATE(DATEVALUE(C506&amp;"-01"),8),'📋 Транзакції'!$C$5:$C$3623,"&lt;"&amp;EDATE(DATEVALUE(C506&amp;"-01"),9))&gt;0,1,0)</f>
        <v>0</v>
      </c>
      <c r="P506" s="37">
        <f>IF(COUNTIFS('📋 Транзакції'!$B$5:$B$3623,A506,'📋 Транзакції'!$C$5:$C$3623,"&gt;="&amp;EDATE(DATEVALUE(C506&amp;"-01"),9),'📋 Транзакції'!$C$5:$C$3623,"&lt;"&amp;EDATE(DATEVALUE(C506&amp;"-01"),10))&gt;0,1,0)</f>
        <v>0</v>
      </c>
      <c r="Q506" s="37">
        <f>IF(COUNTIFS('📋 Транзакції'!$B$5:$B$3623,A506,'📋 Транзакції'!$C$5:$C$3623,"&gt;="&amp;EDATE(DATEVALUE(C506&amp;"-01"),10),'📋 Транзакції'!$C$5:$C$3623,"&lt;"&amp;EDATE(DATEVALUE(C506&amp;"-01"),11))&gt;0,1,0)</f>
        <v>0</v>
      </c>
      <c r="R506" s="37">
        <f>IF(COUNTIFS('📋 Транзакції'!$B$5:$B$3623,A506,'📋 Транзакції'!$C$5:$C$3623,"&gt;="&amp;EDATE(DATEVALUE(C506&amp;"-01"),11),'📋 Транзакції'!$C$5:$C$3623,"&lt;"&amp;EDATE(DATEVALUE(C506&amp;"-01"),12))&gt;0,1,0)</f>
        <v>0</v>
      </c>
      <c r="S506" s="37">
        <f>SUMIFS('📋 Транзакції'!$F$5:$F$3623,'📋 Транзакції'!$B$5:$B$3623,A506,'📋 Транзакції'!$C$5:$C$3623,"&gt;="&amp;EDATE(DATEVALUE(C506&amp;"-01"),0),'📋 Транзакції'!$C$5:$C$3623,"&lt;"&amp;EDATE(DATEVALUE(C506&amp;"-01"),1))</f>
        <v>19.99</v>
      </c>
      <c r="T506" s="37">
        <f>SUMIFS('📋 Транзакції'!$F$5:$F$3623,'📋 Транзакції'!$B$5:$B$3623,A506,'📋 Транзакції'!$C$5:$C$3623,"&gt;="&amp;EDATE(DATEVALUE(C506&amp;"-01"),1),'📋 Транзакції'!$C$5:$C$3623,"&lt;"&amp;EDATE(DATEVALUE(C506&amp;"-01"),2))</f>
        <v>19.99</v>
      </c>
      <c r="U506" s="37">
        <f>SUMIFS('📋 Транзакції'!$F$5:$F$3623,'📋 Транзакції'!$B$5:$B$3623,A506,'📋 Транзакції'!$C$5:$C$3623,"&gt;="&amp;EDATE(DATEVALUE(C506&amp;"-01"),2),'📋 Транзакції'!$C$5:$C$3623,"&lt;"&amp;EDATE(DATEVALUE(C506&amp;"-01"),3))</f>
        <v>0</v>
      </c>
      <c r="V506" s="37">
        <f>SUMIFS('📋 Транзакції'!$F$5:$F$3623,'📋 Транзакції'!$B$5:$B$3623,A506,'📋 Транзакції'!$C$5:$C$3623,"&gt;="&amp;EDATE(DATEVALUE(C506&amp;"-01"),3),'📋 Транзакції'!$C$5:$C$3623,"&lt;"&amp;EDATE(DATEVALUE(C506&amp;"-01"),4))</f>
        <v>0</v>
      </c>
      <c r="W506" s="37">
        <f>SUMIFS('📋 Транзакції'!$F$5:$F$3623,'📋 Транзакції'!$B$5:$B$3623,A506,'📋 Транзакції'!$C$5:$C$3623,"&gt;="&amp;EDATE(DATEVALUE(C506&amp;"-01"),4),'📋 Транзакції'!$C$5:$C$3623,"&lt;"&amp;EDATE(DATEVALUE(C506&amp;"-01"),5))</f>
        <v>0</v>
      </c>
      <c r="X506" s="37">
        <f>SUMIFS('📋 Транзакції'!$F$5:$F$3623,'📋 Транзакції'!$B$5:$B$3623,A506,'📋 Транзакції'!$C$5:$C$3623,"&gt;="&amp;EDATE(DATEVALUE(C506&amp;"-01"),5),'📋 Транзакції'!$C$5:$C$3623,"&lt;"&amp;EDATE(DATEVALUE(C506&amp;"-01"),6))</f>
        <v>0</v>
      </c>
      <c r="Y506" s="37">
        <f>SUMIFS('📋 Транзакції'!$F$5:$F$3623,'📋 Транзакції'!$B$5:$B$3623,A506,'📋 Транзакції'!$C$5:$C$3623,"&gt;="&amp;EDATE(DATEVALUE(C506&amp;"-01"),6),'📋 Транзакції'!$C$5:$C$3623,"&lt;"&amp;EDATE(DATEVALUE(C506&amp;"-01"),7))</f>
        <v>0</v>
      </c>
      <c r="Z506" s="37">
        <f>SUMIFS('📋 Транзакції'!$F$5:$F$3623,'📋 Транзакції'!$B$5:$B$3623,A506,'📋 Транзакції'!$C$5:$C$3623,"&gt;="&amp;EDATE(DATEVALUE(C506&amp;"-01"),7),'📋 Транзакції'!$C$5:$C$3623,"&lt;"&amp;EDATE(DATEVALUE(C506&amp;"-01"),8))</f>
        <v>0</v>
      </c>
      <c r="AA506" s="37">
        <f>SUMIFS('📋 Транзакції'!$F$5:$F$3623,'📋 Транзакції'!$B$5:$B$3623,A506,'📋 Транзакції'!$C$5:$C$3623,"&gt;="&amp;EDATE(DATEVALUE(C506&amp;"-01"),8),'📋 Транзакції'!$C$5:$C$3623,"&lt;"&amp;EDATE(DATEVALUE(C506&amp;"-01"),9))</f>
        <v>0</v>
      </c>
      <c r="AB506" s="37">
        <f>SUMIFS('📋 Транзакції'!$F$5:$F$3623,'📋 Транзакції'!$B$5:$B$3623,A506,'📋 Транзакції'!$C$5:$C$3623,"&gt;="&amp;EDATE(DATEVALUE(C506&amp;"-01"),9),'📋 Транзакції'!$C$5:$C$3623,"&lt;"&amp;EDATE(DATEVALUE(C506&amp;"-01"),10))</f>
        <v>0</v>
      </c>
      <c r="AC506" s="37">
        <f>SUMIFS('📋 Транзакції'!$F$5:$F$3623,'📋 Транзакції'!$B$5:$B$3623,A506,'📋 Транзакції'!$C$5:$C$3623,"&gt;="&amp;EDATE(DATEVALUE(C506&amp;"-01"),10),'📋 Транзакції'!$C$5:$C$3623,"&lt;"&amp;EDATE(DATEVALUE(C506&amp;"-01"),11))</f>
        <v>0</v>
      </c>
      <c r="AD506" s="37">
        <f>SUMIFS('📋 Транзакції'!$F$5:$F$3623,'📋 Транзакції'!$B$5:$B$3623,A506,'📋 Транзакції'!$C$5:$C$3623,"&gt;="&amp;EDATE(DATEVALUE(C506&amp;"-01"),11),'📋 Транзакції'!$C$5:$C$3623,"&lt;"&amp;EDATE(DATEVALUE(C506&amp;"-01"),12))</f>
        <v>0</v>
      </c>
    </row>
    <row r="507" ht="15.75" customHeight="1">
      <c r="A507" s="33" t="str">
        <f>'📋 Реєстрації'!A507:A1108</f>
        <v>U0615</v>
      </c>
      <c r="B507" s="34">
        <f t="array" ref="B507">INDEX('📋 Транзакції'!$C$5:$C$3623,MATCH(A507,'📋 Транзакції'!$B$5:$B$3623,0))</f>
        <v>45691</v>
      </c>
      <c r="C507" s="35" t="str">
        <f t="shared" si="1"/>
        <v>2025-02</v>
      </c>
      <c r="D507" s="36">
        <f>COUNTIF('📋 Транзакції'!$B$5:$B$3623,A507)</f>
        <v>3</v>
      </c>
      <c r="E507" s="36">
        <f>SUMIF('📋 Транзакції'!$B$5:$B$3623,A507,'📋 Транзакції'!$F$5:$F$3623)</f>
        <v>39.98</v>
      </c>
      <c r="F507" s="35">
        <f>INT($A$1-MAXIFS('📋 Транзакції'!$C$5:$C$3623,'📋 Транзакції'!$B$5:$B$3623,A507))</f>
        <v>19</v>
      </c>
      <c r="G507" s="37">
        <f>IF(COUNTIFS('📋 Транзакції'!$B$5:$B$3623,A507,'📋 Транзакції'!$C$5:$C$3623,"&gt;="&amp;EDATE(DATEVALUE(C507&amp;"-01"),0),'📋 Транзакції'!$C$5:$C$3623,"&lt;"&amp;EDATE(DATEVALUE(C507&amp;"-01"),1))&gt;0,1,0)</f>
        <v>1</v>
      </c>
      <c r="H507" s="37">
        <f>IF(COUNTIFS('📋 Транзакції'!$B$5:$B$3623,A507,'📋 Транзакції'!$C$5:$C$3623,"&gt;="&amp;EDATE(DATEVALUE(C507&amp;"-01"),1),'📋 Транзакції'!$C$5:$C$3623,"&lt;"&amp;EDATE(DATEVALUE(C507&amp;"-01"),2))&gt;0,1,0)</f>
        <v>1</v>
      </c>
      <c r="I507" s="37">
        <f>IF(COUNTIFS('📋 Транзакції'!$B$5:$B$3623,A507,'📋 Транзакції'!$C$5:$C$3623,"&gt;="&amp;EDATE(DATEVALUE(C507&amp;"-01"),2),'📋 Транзакції'!$C$5:$C$3623,"&lt;"&amp;EDATE(DATEVALUE(C507&amp;"-01"),3))&gt;0,1,0)</f>
        <v>0</v>
      </c>
      <c r="J507" s="37">
        <f>IF(COUNTIFS('📋 Транзакції'!$B$5:$B$3623,A507,'📋 Транзакції'!$C$5:$C$3623,"&gt;="&amp;EDATE(DATEVALUE(C507&amp;"-01"),3),'📋 Транзакції'!$C$5:$C$3623,"&lt;"&amp;EDATE(DATEVALUE(C507&amp;"-01"),4))&gt;0,1,0)</f>
        <v>0</v>
      </c>
      <c r="K507" s="37">
        <f>IF(COUNTIFS('📋 Транзакції'!$B$5:$B$3623,A507,'📋 Транзакції'!$C$5:$C$3623,"&gt;="&amp;EDATE(DATEVALUE(C507&amp;"-01"),4),'📋 Транзакції'!$C$5:$C$3623,"&lt;"&amp;EDATE(DATEVALUE(C507&amp;"-01"),5))&gt;0,1,0)</f>
        <v>0</v>
      </c>
      <c r="L507" s="37">
        <f>IF(COUNTIFS('📋 Транзакції'!$B$5:$B$3623,A507,'📋 Транзакції'!$C$5:$C$3623,"&gt;="&amp;EDATE(DATEVALUE(C507&amp;"-01"),5),'📋 Транзакції'!$C$5:$C$3623,"&lt;"&amp;EDATE(DATEVALUE(C507&amp;"-01"),6))&gt;0,1,0)</f>
        <v>0</v>
      </c>
      <c r="M507" s="37">
        <f>IF(COUNTIFS('📋 Транзакції'!$B$5:$B$3623,A507,'📋 Транзакції'!$C$5:$C$3623,"&gt;="&amp;EDATE(DATEVALUE(C507&amp;"-01"),6),'📋 Транзакції'!$C$5:$C$3623,"&lt;"&amp;EDATE(DATEVALUE(C507&amp;"-01"),7))&gt;0,1,0)</f>
        <v>0</v>
      </c>
      <c r="N507" s="37">
        <f>IF(COUNTIFS('📋 Транзакції'!$B$5:$B$3623,A507,'📋 Транзакції'!$C$5:$C$3623,"&gt;="&amp;EDATE(DATEVALUE(C507&amp;"-01"),7),'📋 Транзакції'!$C$5:$C$3623,"&lt;"&amp;EDATE(DATEVALUE(C507&amp;"-01"),8))&gt;0,1,0)</f>
        <v>0</v>
      </c>
      <c r="O507" s="37">
        <f>IF(COUNTIFS('📋 Транзакції'!$B$5:$B$3623,A507,'📋 Транзакції'!$C$5:$C$3623,"&gt;="&amp;EDATE(DATEVALUE(C507&amp;"-01"),8),'📋 Транзакції'!$C$5:$C$3623,"&lt;"&amp;EDATE(DATEVALUE(C507&amp;"-01"),9))&gt;0,1,0)</f>
        <v>0</v>
      </c>
      <c r="P507" s="37">
        <f>IF(COUNTIFS('📋 Транзакції'!$B$5:$B$3623,A507,'📋 Транзакції'!$C$5:$C$3623,"&gt;="&amp;EDATE(DATEVALUE(C507&amp;"-01"),9),'📋 Транзакції'!$C$5:$C$3623,"&lt;"&amp;EDATE(DATEVALUE(C507&amp;"-01"),10))&gt;0,1,0)</f>
        <v>0</v>
      </c>
      <c r="Q507" s="37">
        <f>IF(COUNTIFS('📋 Транзакції'!$B$5:$B$3623,A507,'📋 Транзакції'!$C$5:$C$3623,"&gt;="&amp;EDATE(DATEVALUE(C507&amp;"-01"),10),'📋 Транзакції'!$C$5:$C$3623,"&lt;"&amp;EDATE(DATEVALUE(C507&amp;"-01"),11))&gt;0,1,0)</f>
        <v>0</v>
      </c>
      <c r="R507" s="37">
        <f>IF(COUNTIFS('📋 Транзакції'!$B$5:$B$3623,A507,'📋 Транзакції'!$C$5:$C$3623,"&gt;="&amp;EDATE(DATEVALUE(C507&amp;"-01"),11),'📋 Транзакції'!$C$5:$C$3623,"&lt;"&amp;EDATE(DATEVALUE(C507&amp;"-01"),12))&gt;0,1,0)</f>
        <v>0</v>
      </c>
      <c r="S507" s="37">
        <f>SUMIFS('📋 Транзакції'!$F$5:$F$3623,'📋 Транзакції'!$B$5:$B$3623,A507,'📋 Транзакції'!$C$5:$C$3623,"&gt;="&amp;EDATE(DATEVALUE(C507&amp;"-01"),0),'📋 Транзакції'!$C$5:$C$3623,"&lt;"&amp;EDATE(DATEVALUE(C507&amp;"-01"),1))</f>
        <v>19.99</v>
      </c>
      <c r="T507" s="37">
        <f>SUMIFS('📋 Транзакції'!$F$5:$F$3623,'📋 Транзакції'!$B$5:$B$3623,A507,'📋 Транзакції'!$C$5:$C$3623,"&gt;="&amp;EDATE(DATEVALUE(C507&amp;"-01"),1),'📋 Транзакції'!$C$5:$C$3623,"&lt;"&amp;EDATE(DATEVALUE(C507&amp;"-01"),2))</f>
        <v>19.99</v>
      </c>
      <c r="U507" s="37">
        <f>SUMIFS('📋 Транзакції'!$F$5:$F$3623,'📋 Транзакції'!$B$5:$B$3623,A507,'📋 Транзакції'!$C$5:$C$3623,"&gt;="&amp;EDATE(DATEVALUE(C507&amp;"-01"),2),'📋 Транзакції'!$C$5:$C$3623,"&lt;"&amp;EDATE(DATEVALUE(C507&amp;"-01"),3))</f>
        <v>0</v>
      </c>
      <c r="V507" s="37">
        <f>SUMIFS('📋 Транзакції'!$F$5:$F$3623,'📋 Транзакції'!$B$5:$B$3623,A507,'📋 Транзакції'!$C$5:$C$3623,"&gt;="&amp;EDATE(DATEVALUE(C507&amp;"-01"),3),'📋 Транзакції'!$C$5:$C$3623,"&lt;"&amp;EDATE(DATEVALUE(C507&amp;"-01"),4))</f>
        <v>0</v>
      </c>
      <c r="W507" s="37">
        <f>SUMIFS('📋 Транзакції'!$F$5:$F$3623,'📋 Транзакції'!$B$5:$B$3623,A507,'📋 Транзакції'!$C$5:$C$3623,"&gt;="&amp;EDATE(DATEVALUE(C507&amp;"-01"),4),'📋 Транзакції'!$C$5:$C$3623,"&lt;"&amp;EDATE(DATEVALUE(C507&amp;"-01"),5))</f>
        <v>0</v>
      </c>
      <c r="X507" s="37">
        <f>SUMIFS('📋 Транзакції'!$F$5:$F$3623,'📋 Транзакції'!$B$5:$B$3623,A507,'📋 Транзакції'!$C$5:$C$3623,"&gt;="&amp;EDATE(DATEVALUE(C507&amp;"-01"),5),'📋 Транзакції'!$C$5:$C$3623,"&lt;"&amp;EDATE(DATEVALUE(C507&amp;"-01"),6))</f>
        <v>0</v>
      </c>
      <c r="Y507" s="37">
        <f>SUMIFS('📋 Транзакції'!$F$5:$F$3623,'📋 Транзакції'!$B$5:$B$3623,A507,'📋 Транзакції'!$C$5:$C$3623,"&gt;="&amp;EDATE(DATEVALUE(C507&amp;"-01"),6),'📋 Транзакції'!$C$5:$C$3623,"&lt;"&amp;EDATE(DATEVALUE(C507&amp;"-01"),7))</f>
        <v>0</v>
      </c>
      <c r="Z507" s="37">
        <f>SUMIFS('📋 Транзакції'!$F$5:$F$3623,'📋 Транзакції'!$B$5:$B$3623,A507,'📋 Транзакції'!$C$5:$C$3623,"&gt;="&amp;EDATE(DATEVALUE(C507&amp;"-01"),7),'📋 Транзакції'!$C$5:$C$3623,"&lt;"&amp;EDATE(DATEVALUE(C507&amp;"-01"),8))</f>
        <v>0</v>
      </c>
      <c r="AA507" s="37">
        <f>SUMIFS('📋 Транзакції'!$F$5:$F$3623,'📋 Транзакції'!$B$5:$B$3623,A507,'📋 Транзакції'!$C$5:$C$3623,"&gt;="&amp;EDATE(DATEVALUE(C507&amp;"-01"),8),'📋 Транзакції'!$C$5:$C$3623,"&lt;"&amp;EDATE(DATEVALUE(C507&amp;"-01"),9))</f>
        <v>0</v>
      </c>
      <c r="AB507" s="37">
        <f>SUMIFS('📋 Транзакції'!$F$5:$F$3623,'📋 Транзакції'!$B$5:$B$3623,A507,'📋 Транзакції'!$C$5:$C$3623,"&gt;="&amp;EDATE(DATEVALUE(C507&amp;"-01"),9),'📋 Транзакції'!$C$5:$C$3623,"&lt;"&amp;EDATE(DATEVALUE(C507&amp;"-01"),10))</f>
        <v>0</v>
      </c>
      <c r="AC507" s="37">
        <f>SUMIFS('📋 Транзакції'!$F$5:$F$3623,'📋 Транзакції'!$B$5:$B$3623,A507,'📋 Транзакції'!$C$5:$C$3623,"&gt;="&amp;EDATE(DATEVALUE(C507&amp;"-01"),10),'📋 Транзакції'!$C$5:$C$3623,"&lt;"&amp;EDATE(DATEVALUE(C507&amp;"-01"),11))</f>
        <v>0</v>
      </c>
      <c r="AD507" s="37">
        <f>SUMIFS('📋 Транзакції'!$F$5:$F$3623,'📋 Транзакції'!$B$5:$B$3623,A507,'📋 Транзакції'!$C$5:$C$3623,"&gt;="&amp;EDATE(DATEVALUE(C507&amp;"-01"),11),'📋 Транзакції'!$C$5:$C$3623,"&lt;"&amp;EDATE(DATEVALUE(C507&amp;"-01"),12))</f>
        <v>0</v>
      </c>
    </row>
    <row r="508" ht="15.75" customHeight="1">
      <c r="A508" s="33" t="str">
        <f>'📋 Реєстрації'!A508:A1109</f>
        <v>U0854</v>
      </c>
      <c r="B508" s="34">
        <f t="array" ref="B508">INDEX('📋 Транзакції'!$C$5:$C$3623,MATCH(A508,'📋 Транзакції'!$B$5:$B$3623,0))</f>
        <v>45691</v>
      </c>
      <c r="C508" s="35" t="str">
        <f t="shared" si="1"/>
        <v>2025-02</v>
      </c>
      <c r="D508" s="36">
        <f>COUNTIF('📋 Транзакції'!$B$5:$B$3623,A508)</f>
        <v>3</v>
      </c>
      <c r="E508" s="36">
        <f>SUMIF('📋 Транзакції'!$B$5:$B$3623,A508,'📋 Транзакції'!$F$5:$F$3623)</f>
        <v>39.98</v>
      </c>
      <c r="F508" s="35">
        <f>INT($A$1-MAXIFS('📋 Транзакції'!$C$5:$C$3623,'📋 Транзакції'!$B$5:$B$3623,A508))</f>
        <v>19</v>
      </c>
      <c r="G508" s="37">
        <f>IF(COUNTIFS('📋 Транзакції'!$B$5:$B$3623,A508,'📋 Транзакції'!$C$5:$C$3623,"&gt;="&amp;EDATE(DATEVALUE(C508&amp;"-01"),0),'📋 Транзакції'!$C$5:$C$3623,"&lt;"&amp;EDATE(DATEVALUE(C508&amp;"-01"),1))&gt;0,1,0)</f>
        <v>1</v>
      </c>
      <c r="H508" s="37">
        <f>IF(COUNTIFS('📋 Транзакції'!$B$5:$B$3623,A508,'📋 Транзакції'!$C$5:$C$3623,"&gt;="&amp;EDATE(DATEVALUE(C508&amp;"-01"),1),'📋 Транзакції'!$C$5:$C$3623,"&lt;"&amp;EDATE(DATEVALUE(C508&amp;"-01"),2))&gt;0,1,0)</f>
        <v>1</v>
      </c>
      <c r="I508" s="37">
        <f>IF(COUNTIFS('📋 Транзакції'!$B$5:$B$3623,A508,'📋 Транзакції'!$C$5:$C$3623,"&gt;="&amp;EDATE(DATEVALUE(C508&amp;"-01"),2),'📋 Транзакції'!$C$5:$C$3623,"&lt;"&amp;EDATE(DATEVALUE(C508&amp;"-01"),3))&gt;0,1,0)</f>
        <v>0</v>
      </c>
      <c r="J508" s="37">
        <f>IF(COUNTIFS('📋 Транзакції'!$B$5:$B$3623,A508,'📋 Транзакції'!$C$5:$C$3623,"&gt;="&amp;EDATE(DATEVALUE(C508&amp;"-01"),3),'📋 Транзакції'!$C$5:$C$3623,"&lt;"&amp;EDATE(DATEVALUE(C508&amp;"-01"),4))&gt;0,1,0)</f>
        <v>0</v>
      </c>
      <c r="K508" s="37">
        <f>IF(COUNTIFS('📋 Транзакції'!$B$5:$B$3623,A508,'📋 Транзакції'!$C$5:$C$3623,"&gt;="&amp;EDATE(DATEVALUE(C508&amp;"-01"),4),'📋 Транзакції'!$C$5:$C$3623,"&lt;"&amp;EDATE(DATEVALUE(C508&amp;"-01"),5))&gt;0,1,0)</f>
        <v>0</v>
      </c>
      <c r="L508" s="37">
        <f>IF(COUNTIFS('📋 Транзакції'!$B$5:$B$3623,A508,'📋 Транзакції'!$C$5:$C$3623,"&gt;="&amp;EDATE(DATEVALUE(C508&amp;"-01"),5),'📋 Транзакції'!$C$5:$C$3623,"&lt;"&amp;EDATE(DATEVALUE(C508&amp;"-01"),6))&gt;0,1,0)</f>
        <v>0</v>
      </c>
      <c r="M508" s="37">
        <f>IF(COUNTIFS('📋 Транзакції'!$B$5:$B$3623,A508,'📋 Транзакції'!$C$5:$C$3623,"&gt;="&amp;EDATE(DATEVALUE(C508&amp;"-01"),6),'📋 Транзакції'!$C$5:$C$3623,"&lt;"&amp;EDATE(DATEVALUE(C508&amp;"-01"),7))&gt;0,1,0)</f>
        <v>0</v>
      </c>
      <c r="N508" s="37">
        <f>IF(COUNTIFS('📋 Транзакції'!$B$5:$B$3623,A508,'📋 Транзакції'!$C$5:$C$3623,"&gt;="&amp;EDATE(DATEVALUE(C508&amp;"-01"),7),'📋 Транзакції'!$C$5:$C$3623,"&lt;"&amp;EDATE(DATEVALUE(C508&amp;"-01"),8))&gt;0,1,0)</f>
        <v>0</v>
      </c>
      <c r="O508" s="37">
        <f>IF(COUNTIFS('📋 Транзакції'!$B$5:$B$3623,A508,'📋 Транзакції'!$C$5:$C$3623,"&gt;="&amp;EDATE(DATEVALUE(C508&amp;"-01"),8),'📋 Транзакції'!$C$5:$C$3623,"&lt;"&amp;EDATE(DATEVALUE(C508&amp;"-01"),9))&gt;0,1,0)</f>
        <v>0</v>
      </c>
      <c r="P508" s="37">
        <f>IF(COUNTIFS('📋 Транзакції'!$B$5:$B$3623,A508,'📋 Транзакції'!$C$5:$C$3623,"&gt;="&amp;EDATE(DATEVALUE(C508&amp;"-01"),9),'📋 Транзакції'!$C$5:$C$3623,"&lt;"&amp;EDATE(DATEVALUE(C508&amp;"-01"),10))&gt;0,1,0)</f>
        <v>0</v>
      </c>
      <c r="Q508" s="37">
        <f>IF(COUNTIFS('📋 Транзакції'!$B$5:$B$3623,A508,'📋 Транзакції'!$C$5:$C$3623,"&gt;="&amp;EDATE(DATEVALUE(C508&amp;"-01"),10),'📋 Транзакції'!$C$5:$C$3623,"&lt;"&amp;EDATE(DATEVALUE(C508&amp;"-01"),11))&gt;0,1,0)</f>
        <v>0</v>
      </c>
      <c r="R508" s="37">
        <f>IF(COUNTIFS('📋 Транзакції'!$B$5:$B$3623,A508,'📋 Транзакції'!$C$5:$C$3623,"&gt;="&amp;EDATE(DATEVALUE(C508&amp;"-01"),11),'📋 Транзакції'!$C$5:$C$3623,"&lt;"&amp;EDATE(DATEVALUE(C508&amp;"-01"),12))&gt;0,1,0)</f>
        <v>0</v>
      </c>
      <c r="S508" s="37">
        <f>SUMIFS('📋 Транзакції'!$F$5:$F$3623,'📋 Транзакції'!$B$5:$B$3623,A508,'📋 Транзакції'!$C$5:$C$3623,"&gt;="&amp;EDATE(DATEVALUE(C508&amp;"-01"),0),'📋 Транзакції'!$C$5:$C$3623,"&lt;"&amp;EDATE(DATEVALUE(C508&amp;"-01"),1))</f>
        <v>19.99</v>
      </c>
      <c r="T508" s="37">
        <f>SUMIFS('📋 Транзакції'!$F$5:$F$3623,'📋 Транзакції'!$B$5:$B$3623,A508,'📋 Транзакції'!$C$5:$C$3623,"&gt;="&amp;EDATE(DATEVALUE(C508&amp;"-01"),1),'📋 Транзакції'!$C$5:$C$3623,"&lt;"&amp;EDATE(DATEVALUE(C508&amp;"-01"),2))</f>
        <v>19.99</v>
      </c>
      <c r="U508" s="37">
        <f>SUMIFS('📋 Транзакції'!$F$5:$F$3623,'📋 Транзакції'!$B$5:$B$3623,A508,'📋 Транзакції'!$C$5:$C$3623,"&gt;="&amp;EDATE(DATEVALUE(C508&amp;"-01"),2),'📋 Транзакції'!$C$5:$C$3623,"&lt;"&amp;EDATE(DATEVALUE(C508&amp;"-01"),3))</f>
        <v>0</v>
      </c>
      <c r="V508" s="37">
        <f>SUMIFS('📋 Транзакції'!$F$5:$F$3623,'📋 Транзакції'!$B$5:$B$3623,A508,'📋 Транзакції'!$C$5:$C$3623,"&gt;="&amp;EDATE(DATEVALUE(C508&amp;"-01"),3),'📋 Транзакції'!$C$5:$C$3623,"&lt;"&amp;EDATE(DATEVALUE(C508&amp;"-01"),4))</f>
        <v>0</v>
      </c>
      <c r="W508" s="37">
        <f>SUMIFS('📋 Транзакції'!$F$5:$F$3623,'📋 Транзакції'!$B$5:$B$3623,A508,'📋 Транзакції'!$C$5:$C$3623,"&gt;="&amp;EDATE(DATEVALUE(C508&amp;"-01"),4),'📋 Транзакції'!$C$5:$C$3623,"&lt;"&amp;EDATE(DATEVALUE(C508&amp;"-01"),5))</f>
        <v>0</v>
      </c>
      <c r="X508" s="37">
        <f>SUMIFS('📋 Транзакції'!$F$5:$F$3623,'📋 Транзакції'!$B$5:$B$3623,A508,'📋 Транзакції'!$C$5:$C$3623,"&gt;="&amp;EDATE(DATEVALUE(C508&amp;"-01"),5),'📋 Транзакції'!$C$5:$C$3623,"&lt;"&amp;EDATE(DATEVALUE(C508&amp;"-01"),6))</f>
        <v>0</v>
      </c>
      <c r="Y508" s="37">
        <f>SUMIFS('📋 Транзакції'!$F$5:$F$3623,'📋 Транзакції'!$B$5:$B$3623,A508,'📋 Транзакції'!$C$5:$C$3623,"&gt;="&amp;EDATE(DATEVALUE(C508&amp;"-01"),6),'📋 Транзакції'!$C$5:$C$3623,"&lt;"&amp;EDATE(DATEVALUE(C508&amp;"-01"),7))</f>
        <v>0</v>
      </c>
      <c r="Z508" s="37">
        <f>SUMIFS('📋 Транзакції'!$F$5:$F$3623,'📋 Транзакції'!$B$5:$B$3623,A508,'📋 Транзакції'!$C$5:$C$3623,"&gt;="&amp;EDATE(DATEVALUE(C508&amp;"-01"),7),'📋 Транзакції'!$C$5:$C$3623,"&lt;"&amp;EDATE(DATEVALUE(C508&amp;"-01"),8))</f>
        <v>0</v>
      </c>
      <c r="AA508" s="37">
        <f>SUMIFS('📋 Транзакції'!$F$5:$F$3623,'📋 Транзакції'!$B$5:$B$3623,A508,'📋 Транзакції'!$C$5:$C$3623,"&gt;="&amp;EDATE(DATEVALUE(C508&amp;"-01"),8),'📋 Транзакції'!$C$5:$C$3623,"&lt;"&amp;EDATE(DATEVALUE(C508&amp;"-01"),9))</f>
        <v>0</v>
      </c>
      <c r="AB508" s="37">
        <f>SUMIFS('📋 Транзакції'!$F$5:$F$3623,'📋 Транзакції'!$B$5:$B$3623,A508,'📋 Транзакції'!$C$5:$C$3623,"&gt;="&amp;EDATE(DATEVALUE(C508&amp;"-01"),9),'📋 Транзакції'!$C$5:$C$3623,"&lt;"&amp;EDATE(DATEVALUE(C508&amp;"-01"),10))</f>
        <v>0</v>
      </c>
      <c r="AC508" s="37">
        <f>SUMIFS('📋 Транзакції'!$F$5:$F$3623,'📋 Транзакції'!$B$5:$B$3623,A508,'📋 Транзакції'!$C$5:$C$3623,"&gt;="&amp;EDATE(DATEVALUE(C508&amp;"-01"),10),'📋 Транзакції'!$C$5:$C$3623,"&lt;"&amp;EDATE(DATEVALUE(C508&amp;"-01"),11))</f>
        <v>0</v>
      </c>
      <c r="AD508" s="37">
        <f>SUMIFS('📋 Транзакції'!$F$5:$F$3623,'📋 Транзакції'!$B$5:$B$3623,A508,'📋 Транзакції'!$C$5:$C$3623,"&gt;="&amp;EDATE(DATEVALUE(C508&amp;"-01"),11),'📋 Транзакції'!$C$5:$C$3623,"&lt;"&amp;EDATE(DATEVALUE(C508&amp;"-01"),12))</f>
        <v>0</v>
      </c>
    </row>
    <row r="509" ht="15.75" customHeight="1">
      <c r="A509" s="33" t="str">
        <f>'📋 Реєстрації'!A509:A1110</f>
        <v>U0531</v>
      </c>
      <c r="B509" s="34">
        <f t="array" ref="B509">INDEX('📋 Транзакції'!$C$5:$C$3623,MATCH(A509,'📋 Транзакції'!$B$5:$B$3623,0))</f>
        <v>45692</v>
      </c>
      <c r="C509" s="35" t="str">
        <f t="shared" si="1"/>
        <v>2025-02</v>
      </c>
      <c r="D509" s="36">
        <f>COUNTIF('📋 Транзакції'!$B$5:$B$3623,A509)</f>
        <v>3</v>
      </c>
      <c r="E509" s="36">
        <f>SUMIF('📋 Транзакції'!$B$5:$B$3623,A509,'📋 Транзакції'!$F$5:$F$3623)</f>
        <v>39.98</v>
      </c>
      <c r="F509" s="35">
        <f>INT($A$1-MAXIFS('📋 Транзакції'!$C$5:$C$3623,'📋 Транзакції'!$B$5:$B$3623,A509))</f>
        <v>18</v>
      </c>
      <c r="G509" s="37">
        <f>IF(COUNTIFS('📋 Транзакції'!$B$5:$B$3623,A509,'📋 Транзакції'!$C$5:$C$3623,"&gt;="&amp;EDATE(DATEVALUE(C509&amp;"-01"),0),'📋 Транзакції'!$C$5:$C$3623,"&lt;"&amp;EDATE(DATEVALUE(C509&amp;"-01"),1))&gt;0,1,0)</f>
        <v>1</v>
      </c>
      <c r="H509" s="37">
        <f>IF(COUNTIFS('📋 Транзакції'!$B$5:$B$3623,A509,'📋 Транзакції'!$C$5:$C$3623,"&gt;="&amp;EDATE(DATEVALUE(C509&amp;"-01"),1),'📋 Транзакції'!$C$5:$C$3623,"&lt;"&amp;EDATE(DATEVALUE(C509&amp;"-01"),2))&gt;0,1,0)</f>
        <v>1</v>
      </c>
      <c r="I509" s="37">
        <f>IF(COUNTIFS('📋 Транзакції'!$B$5:$B$3623,A509,'📋 Транзакції'!$C$5:$C$3623,"&gt;="&amp;EDATE(DATEVALUE(C509&amp;"-01"),2),'📋 Транзакції'!$C$5:$C$3623,"&lt;"&amp;EDATE(DATEVALUE(C509&amp;"-01"),3))&gt;0,1,0)</f>
        <v>0</v>
      </c>
      <c r="J509" s="37">
        <f>IF(COUNTIFS('📋 Транзакції'!$B$5:$B$3623,A509,'📋 Транзакції'!$C$5:$C$3623,"&gt;="&amp;EDATE(DATEVALUE(C509&amp;"-01"),3),'📋 Транзакції'!$C$5:$C$3623,"&lt;"&amp;EDATE(DATEVALUE(C509&amp;"-01"),4))&gt;0,1,0)</f>
        <v>0</v>
      </c>
      <c r="K509" s="37">
        <f>IF(COUNTIFS('📋 Транзакції'!$B$5:$B$3623,A509,'📋 Транзакції'!$C$5:$C$3623,"&gt;="&amp;EDATE(DATEVALUE(C509&amp;"-01"),4),'📋 Транзакції'!$C$5:$C$3623,"&lt;"&amp;EDATE(DATEVALUE(C509&amp;"-01"),5))&gt;0,1,0)</f>
        <v>0</v>
      </c>
      <c r="L509" s="37">
        <f>IF(COUNTIFS('📋 Транзакції'!$B$5:$B$3623,A509,'📋 Транзакції'!$C$5:$C$3623,"&gt;="&amp;EDATE(DATEVALUE(C509&amp;"-01"),5),'📋 Транзакції'!$C$5:$C$3623,"&lt;"&amp;EDATE(DATEVALUE(C509&amp;"-01"),6))&gt;0,1,0)</f>
        <v>0</v>
      </c>
      <c r="M509" s="37">
        <f>IF(COUNTIFS('📋 Транзакції'!$B$5:$B$3623,A509,'📋 Транзакції'!$C$5:$C$3623,"&gt;="&amp;EDATE(DATEVALUE(C509&amp;"-01"),6),'📋 Транзакції'!$C$5:$C$3623,"&lt;"&amp;EDATE(DATEVALUE(C509&amp;"-01"),7))&gt;0,1,0)</f>
        <v>0</v>
      </c>
      <c r="N509" s="37">
        <f>IF(COUNTIFS('📋 Транзакції'!$B$5:$B$3623,A509,'📋 Транзакції'!$C$5:$C$3623,"&gt;="&amp;EDATE(DATEVALUE(C509&amp;"-01"),7),'📋 Транзакції'!$C$5:$C$3623,"&lt;"&amp;EDATE(DATEVALUE(C509&amp;"-01"),8))&gt;0,1,0)</f>
        <v>0</v>
      </c>
      <c r="O509" s="37">
        <f>IF(COUNTIFS('📋 Транзакції'!$B$5:$B$3623,A509,'📋 Транзакції'!$C$5:$C$3623,"&gt;="&amp;EDATE(DATEVALUE(C509&amp;"-01"),8),'📋 Транзакції'!$C$5:$C$3623,"&lt;"&amp;EDATE(DATEVALUE(C509&amp;"-01"),9))&gt;0,1,0)</f>
        <v>0</v>
      </c>
      <c r="P509" s="37">
        <f>IF(COUNTIFS('📋 Транзакції'!$B$5:$B$3623,A509,'📋 Транзакції'!$C$5:$C$3623,"&gt;="&amp;EDATE(DATEVALUE(C509&amp;"-01"),9),'📋 Транзакції'!$C$5:$C$3623,"&lt;"&amp;EDATE(DATEVALUE(C509&amp;"-01"),10))&gt;0,1,0)</f>
        <v>0</v>
      </c>
      <c r="Q509" s="37">
        <f>IF(COUNTIFS('📋 Транзакції'!$B$5:$B$3623,A509,'📋 Транзакції'!$C$5:$C$3623,"&gt;="&amp;EDATE(DATEVALUE(C509&amp;"-01"),10),'📋 Транзакції'!$C$5:$C$3623,"&lt;"&amp;EDATE(DATEVALUE(C509&amp;"-01"),11))&gt;0,1,0)</f>
        <v>0</v>
      </c>
      <c r="R509" s="37">
        <f>IF(COUNTIFS('📋 Транзакції'!$B$5:$B$3623,A509,'📋 Транзакції'!$C$5:$C$3623,"&gt;="&amp;EDATE(DATEVALUE(C509&amp;"-01"),11),'📋 Транзакції'!$C$5:$C$3623,"&lt;"&amp;EDATE(DATEVALUE(C509&amp;"-01"),12))&gt;0,1,0)</f>
        <v>0</v>
      </c>
      <c r="S509" s="37">
        <f>SUMIFS('📋 Транзакції'!$F$5:$F$3623,'📋 Транзакції'!$B$5:$B$3623,A509,'📋 Транзакції'!$C$5:$C$3623,"&gt;="&amp;EDATE(DATEVALUE(C509&amp;"-01"),0),'📋 Транзакції'!$C$5:$C$3623,"&lt;"&amp;EDATE(DATEVALUE(C509&amp;"-01"),1))</f>
        <v>19.99</v>
      </c>
      <c r="T509" s="37">
        <f>SUMIFS('📋 Транзакції'!$F$5:$F$3623,'📋 Транзакції'!$B$5:$B$3623,A509,'📋 Транзакції'!$C$5:$C$3623,"&gt;="&amp;EDATE(DATEVALUE(C509&amp;"-01"),1),'📋 Транзакції'!$C$5:$C$3623,"&lt;"&amp;EDATE(DATEVALUE(C509&amp;"-01"),2))</f>
        <v>19.99</v>
      </c>
      <c r="U509" s="37">
        <f>SUMIFS('📋 Транзакції'!$F$5:$F$3623,'📋 Транзакції'!$B$5:$B$3623,A509,'📋 Транзакції'!$C$5:$C$3623,"&gt;="&amp;EDATE(DATEVALUE(C509&amp;"-01"),2),'📋 Транзакції'!$C$5:$C$3623,"&lt;"&amp;EDATE(DATEVALUE(C509&amp;"-01"),3))</f>
        <v>0</v>
      </c>
      <c r="V509" s="37">
        <f>SUMIFS('📋 Транзакції'!$F$5:$F$3623,'📋 Транзакції'!$B$5:$B$3623,A509,'📋 Транзакції'!$C$5:$C$3623,"&gt;="&amp;EDATE(DATEVALUE(C509&amp;"-01"),3),'📋 Транзакції'!$C$5:$C$3623,"&lt;"&amp;EDATE(DATEVALUE(C509&amp;"-01"),4))</f>
        <v>0</v>
      </c>
      <c r="W509" s="37">
        <f>SUMIFS('📋 Транзакції'!$F$5:$F$3623,'📋 Транзакції'!$B$5:$B$3623,A509,'📋 Транзакції'!$C$5:$C$3623,"&gt;="&amp;EDATE(DATEVALUE(C509&amp;"-01"),4),'📋 Транзакції'!$C$5:$C$3623,"&lt;"&amp;EDATE(DATEVALUE(C509&amp;"-01"),5))</f>
        <v>0</v>
      </c>
      <c r="X509" s="37">
        <f>SUMIFS('📋 Транзакції'!$F$5:$F$3623,'📋 Транзакції'!$B$5:$B$3623,A509,'📋 Транзакції'!$C$5:$C$3623,"&gt;="&amp;EDATE(DATEVALUE(C509&amp;"-01"),5),'📋 Транзакції'!$C$5:$C$3623,"&lt;"&amp;EDATE(DATEVALUE(C509&amp;"-01"),6))</f>
        <v>0</v>
      </c>
      <c r="Y509" s="37">
        <f>SUMIFS('📋 Транзакції'!$F$5:$F$3623,'📋 Транзакції'!$B$5:$B$3623,A509,'📋 Транзакції'!$C$5:$C$3623,"&gt;="&amp;EDATE(DATEVALUE(C509&amp;"-01"),6),'📋 Транзакції'!$C$5:$C$3623,"&lt;"&amp;EDATE(DATEVALUE(C509&amp;"-01"),7))</f>
        <v>0</v>
      </c>
      <c r="Z509" s="37">
        <f>SUMIFS('📋 Транзакції'!$F$5:$F$3623,'📋 Транзакції'!$B$5:$B$3623,A509,'📋 Транзакції'!$C$5:$C$3623,"&gt;="&amp;EDATE(DATEVALUE(C509&amp;"-01"),7),'📋 Транзакції'!$C$5:$C$3623,"&lt;"&amp;EDATE(DATEVALUE(C509&amp;"-01"),8))</f>
        <v>0</v>
      </c>
      <c r="AA509" s="37">
        <f>SUMIFS('📋 Транзакції'!$F$5:$F$3623,'📋 Транзакції'!$B$5:$B$3623,A509,'📋 Транзакції'!$C$5:$C$3623,"&gt;="&amp;EDATE(DATEVALUE(C509&amp;"-01"),8),'📋 Транзакції'!$C$5:$C$3623,"&lt;"&amp;EDATE(DATEVALUE(C509&amp;"-01"),9))</f>
        <v>0</v>
      </c>
      <c r="AB509" s="37">
        <f>SUMIFS('📋 Транзакції'!$F$5:$F$3623,'📋 Транзакції'!$B$5:$B$3623,A509,'📋 Транзакції'!$C$5:$C$3623,"&gt;="&amp;EDATE(DATEVALUE(C509&amp;"-01"),9),'📋 Транзакції'!$C$5:$C$3623,"&lt;"&amp;EDATE(DATEVALUE(C509&amp;"-01"),10))</f>
        <v>0</v>
      </c>
      <c r="AC509" s="37">
        <f>SUMIFS('📋 Транзакції'!$F$5:$F$3623,'📋 Транзакції'!$B$5:$B$3623,A509,'📋 Транзакції'!$C$5:$C$3623,"&gt;="&amp;EDATE(DATEVALUE(C509&amp;"-01"),10),'📋 Транзакції'!$C$5:$C$3623,"&lt;"&amp;EDATE(DATEVALUE(C509&amp;"-01"),11))</f>
        <v>0</v>
      </c>
      <c r="AD509" s="37">
        <f>SUMIFS('📋 Транзакції'!$F$5:$F$3623,'📋 Транзакції'!$B$5:$B$3623,A509,'📋 Транзакції'!$C$5:$C$3623,"&gt;="&amp;EDATE(DATEVALUE(C509&amp;"-01"),11),'📋 Транзакції'!$C$5:$C$3623,"&lt;"&amp;EDATE(DATEVALUE(C509&amp;"-01"),12))</f>
        <v>0</v>
      </c>
    </row>
    <row r="510" ht="15.75" customHeight="1">
      <c r="A510" s="33" t="str">
        <f>'📋 Реєстрації'!A510:A1111</f>
        <v>U0377</v>
      </c>
      <c r="B510" s="34">
        <f t="array" ref="B510">INDEX('📋 Транзакції'!$C$5:$C$3623,MATCH(A510,'📋 Транзакції'!$B$5:$B$3623,0))</f>
        <v>45693</v>
      </c>
      <c r="C510" s="35" t="str">
        <f t="shared" si="1"/>
        <v>2025-02</v>
      </c>
      <c r="D510" s="36">
        <f>COUNTIF('📋 Транзакції'!$B$5:$B$3623,A510)</f>
        <v>3</v>
      </c>
      <c r="E510" s="36">
        <f>SUMIF('📋 Транзакції'!$B$5:$B$3623,A510,'📋 Транзакції'!$F$5:$F$3623)</f>
        <v>39.98</v>
      </c>
      <c r="F510" s="35">
        <f>INT($A$1-MAXIFS('📋 Транзакції'!$C$5:$C$3623,'📋 Транзакції'!$B$5:$B$3623,A510))</f>
        <v>17</v>
      </c>
      <c r="G510" s="37">
        <f>IF(COUNTIFS('📋 Транзакції'!$B$5:$B$3623,A510,'📋 Транзакції'!$C$5:$C$3623,"&gt;="&amp;EDATE(DATEVALUE(C510&amp;"-01"),0),'📋 Транзакції'!$C$5:$C$3623,"&lt;"&amp;EDATE(DATEVALUE(C510&amp;"-01"),1))&gt;0,1,0)</f>
        <v>1</v>
      </c>
      <c r="H510" s="37">
        <f>IF(COUNTIFS('📋 Транзакції'!$B$5:$B$3623,A510,'📋 Транзакції'!$C$5:$C$3623,"&gt;="&amp;EDATE(DATEVALUE(C510&amp;"-01"),1),'📋 Транзакції'!$C$5:$C$3623,"&lt;"&amp;EDATE(DATEVALUE(C510&amp;"-01"),2))&gt;0,1,0)</f>
        <v>1</v>
      </c>
      <c r="I510" s="37">
        <f>IF(COUNTIFS('📋 Транзакції'!$B$5:$B$3623,A510,'📋 Транзакції'!$C$5:$C$3623,"&gt;="&amp;EDATE(DATEVALUE(C510&amp;"-01"),2),'📋 Транзакції'!$C$5:$C$3623,"&lt;"&amp;EDATE(DATEVALUE(C510&amp;"-01"),3))&gt;0,1,0)</f>
        <v>0</v>
      </c>
      <c r="J510" s="37">
        <f>IF(COUNTIFS('📋 Транзакції'!$B$5:$B$3623,A510,'📋 Транзакції'!$C$5:$C$3623,"&gt;="&amp;EDATE(DATEVALUE(C510&amp;"-01"),3),'📋 Транзакції'!$C$5:$C$3623,"&lt;"&amp;EDATE(DATEVALUE(C510&amp;"-01"),4))&gt;0,1,0)</f>
        <v>0</v>
      </c>
      <c r="K510" s="37">
        <f>IF(COUNTIFS('📋 Транзакції'!$B$5:$B$3623,A510,'📋 Транзакції'!$C$5:$C$3623,"&gt;="&amp;EDATE(DATEVALUE(C510&amp;"-01"),4),'📋 Транзакції'!$C$5:$C$3623,"&lt;"&amp;EDATE(DATEVALUE(C510&amp;"-01"),5))&gt;0,1,0)</f>
        <v>0</v>
      </c>
      <c r="L510" s="37">
        <f>IF(COUNTIFS('📋 Транзакції'!$B$5:$B$3623,A510,'📋 Транзакції'!$C$5:$C$3623,"&gt;="&amp;EDATE(DATEVALUE(C510&amp;"-01"),5),'📋 Транзакції'!$C$5:$C$3623,"&lt;"&amp;EDATE(DATEVALUE(C510&amp;"-01"),6))&gt;0,1,0)</f>
        <v>0</v>
      </c>
      <c r="M510" s="37">
        <f>IF(COUNTIFS('📋 Транзакції'!$B$5:$B$3623,A510,'📋 Транзакції'!$C$5:$C$3623,"&gt;="&amp;EDATE(DATEVALUE(C510&amp;"-01"),6),'📋 Транзакції'!$C$5:$C$3623,"&lt;"&amp;EDATE(DATEVALUE(C510&amp;"-01"),7))&gt;0,1,0)</f>
        <v>0</v>
      </c>
      <c r="N510" s="37">
        <f>IF(COUNTIFS('📋 Транзакції'!$B$5:$B$3623,A510,'📋 Транзакції'!$C$5:$C$3623,"&gt;="&amp;EDATE(DATEVALUE(C510&amp;"-01"),7),'📋 Транзакції'!$C$5:$C$3623,"&lt;"&amp;EDATE(DATEVALUE(C510&amp;"-01"),8))&gt;0,1,0)</f>
        <v>0</v>
      </c>
      <c r="O510" s="37">
        <f>IF(COUNTIFS('📋 Транзакції'!$B$5:$B$3623,A510,'📋 Транзакції'!$C$5:$C$3623,"&gt;="&amp;EDATE(DATEVALUE(C510&amp;"-01"),8),'📋 Транзакції'!$C$5:$C$3623,"&lt;"&amp;EDATE(DATEVALUE(C510&amp;"-01"),9))&gt;0,1,0)</f>
        <v>0</v>
      </c>
      <c r="P510" s="37">
        <f>IF(COUNTIFS('📋 Транзакції'!$B$5:$B$3623,A510,'📋 Транзакції'!$C$5:$C$3623,"&gt;="&amp;EDATE(DATEVALUE(C510&amp;"-01"),9),'📋 Транзакції'!$C$5:$C$3623,"&lt;"&amp;EDATE(DATEVALUE(C510&amp;"-01"),10))&gt;0,1,0)</f>
        <v>0</v>
      </c>
      <c r="Q510" s="37">
        <f>IF(COUNTIFS('📋 Транзакції'!$B$5:$B$3623,A510,'📋 Транзакції'!$C$5:$C$3623,"&gt;="&amp;EDATE(DATEVALUE(C510&amp;"-01"),10),'📋 Транзакції'!$C$5:$C$3623,"&lt;"&amp;EDATE(DATEVALUE(C510&amp;"-01"),11))&gt;0,1,0)</f>
        <v>0</v>
      </c>
      <c r="R510" s="37">
        <f>IF(COUNTIFS('📋 Транзакції'!$B$5:$B$3623,A510,'📋 Транзакції'!$C$5:$C$3623,"&gt;="&amp;EDATE(DATEVALUE(C510&amp;"-01"),11),'📋 Транзакції'!$C$5:$C$3623,"&lt;"&amp;EDATE(DATEVALUE(C510&amp;"-01"),12))&gt;0,1,0)</f>
        <v>0</v>
      </c>
      <c r="S510" s="37">
        <f>SUMIFS('📋 Транзакції'!$F$5:$F$3623,'📋 Транзакції'!$B$5:$B$3623,A510,'📋 Транзакції'!$C$5:$C$3623,"&gt;="&amp;EDATE(DATEVALUE(C510&amp;"-01"),0),'📋 Транзакції'!$C$5:$C$3623,"&lt;"&amp;EDATE(DATEVALUE(C510&amp;"-01"),1))</f>
        <v>19.99</v>
      </c>
      <c r="T510" s="37">
        <f>SUMIFS('📋 Транзакції'!$F$5:$F$3623,'📋 Транзакції'!$B$5:$B$3623,A510,'📋 Транзакції'!$C$5:$C$3623,"&gt;="&amp;EDATE(DATEVALUE(C510&amp;"-01"),1),'📋 Транзакції'!$C$5:$C$3623,"&lt;"&amp;EDATE(DATEVALUE(C510&amp;"-01"),2))</f>
        <v>19.99</v>
      </c>
      <c r="U510" s="37">
        <f>SUMIFS('📋 Транзакції'!$F$5:$F$3623,'📋 Транзакції'!$B$5:$B$3623,A510,'📋 Транзакції'!$C$5:$C$3623,"&gt;="&amp;EDATE(DATEVALUE(C510&amp;"-01"),2),'📋 Транзакції'!$C$5:$C$3623,"&lt;"&amp;EDATE(DATEVALUE(C510&amp;"-01"),3))</f>
        <v>0</v>
      </c>
      <c r="V510" s="37">
        <f>SUMIFS('📋 Транзакції'!$F$5:$F$3623,'📋 Транзакції'!$B$5:$B$3623,A510,'📋 Транзакції'!$C$5:$C$3623,"&gt;="&amp;EDATE(DATEVALUE(C510&amp;"-01"),3),'📋 Транзакції'!$C$5:$C$3623,"&lt;"&amp;EDATE(DATEVALUE(C510&amp;"-01"),4))</f>
        <v>0</v>
      </c>
      <c r="W510" s="37">
        <f>SUMIFS('📋 Транзакції'!$F$5:$F$3623,'📋 Транзакції'!$B$5:$B$3623,A510,'📋 Транзакції'!$C$5:$C$3623,"&gt;="&amp;EDATE(DATEVALUE(C510&amp;"-01"),4),'📋 Транзакції'!$C$5:$C$3623,"&lt;"&amp;EDATE(DATEVALUE(C510&amp;"-01"),5))</f>
        <v>0</v>
      </c>
      <c r="X510" s="37">
        <f>SUMIFS('📋 Транзакції'!$F$5:$F$3623,'📋 Транзакції'!$B$5:$B$3623,A510,'📋 Транзакції'!$C$5:$C$3623,"&gt;="&amp;EDATE(DATEVALUE(C510&amp;"-01"),5),'📋 Транзакції'!$C$5:$C$3623,"&lt;"&amp;EDATE(DATEVALUE(C510&amp;"-01"),6))</f>
        <v>0</v>
      </c>
      <c r="Y510" s="37">
        <f>SUMIFS('📋 Транзакції'!$F$5:$F$3623,'📋 Транзакції'!$B$5:$B$3623,A510,'📋 Транзакції'!$C$5:$C$3623,"&gt;="&amp;EDATE(DATEVALUE(C510&amp;"-01"),6),'📋 Транзакції'!$C$5:$C$3623,"&lt;"&amp;EDATE(DATEVALUE(C510&amp;"-01"),7))</f>
        <v>0</v>
      </c>
      <c r="Z510" s="37">
        <f>SUMIFS('📋 Транзакції'!$F$5:$F$3623,'📋 Транзакції'!$B$5:$B$3623,A510,'📋 Транзакції'!$C$5:$C$3623,"&gt;="&amp;EDATE(DATEVALUE(C510&amp;"-01"),7),'📋 Транзакції'!$C$5:$C$3623,"&lt;"&amp;EDATE(DATEVALUE(C510&amp;"-01"),8))</f>
        <v>0</v>
      </c>
      <c r="AA510" s="37">
        <f>SUMIFS('📋 Транзакції'!$F$5:$F$3623,'📋 Транзакції'!$B$5:$B$3623,A510,'📋 Транзакції'!$C$5:$C$3623,"&gt;="&amp;EDATE(DATEVALUE(C510&amp;"-01"),8),'📋 Транзакції'!$C$5:$C$3623,"&lt;"&amp;EDATE(DATEVALUE(C510&amp;"-01"),9))</f>
        <v>0</v>
      </c>
      <c r="AB510" s="37">
        <f>SUMIFS('📋 Транзакції'!$F$5:$F$3623,'📋 Транзакції'!$B$5:$B$3623,A510,'📋 Транзакції'!$C$5:$C$3623,"&gt;="&amp;EDATE(DATEVALUE(C510&amp;"-01"),9),'📋 Транзакції'!$C$5:$C$3623,"&lt;"&amp;EDATE(DATEVALUE(C510&amp;"-01"),10))</f>
        <v>0</v>
      </c>
      <c r="AC510" s="37">
        <f>SUMIFS('📋 Транзакції'!$F$5:$F$3623,'📋 Транзакції'!$B$5:$B$3623,A510,'📋 Транзакції'!$C$5:$C$3623,"&gt;="&amp;EDATE(DATEVALUE(C510&amp;"-01"),10),'📋 Транзакції'!$C$5:$C$3623,"&lt;"&amp;EDATE(DATEVALUE(C510&amp;"-01"),11))</f>
        <v>0</v>
      </c>
      <c r="AD510" s="37">
        <f>SUMIFS('📋 Транзакції'!$F$5:$F$3623,'📋 Транзакції'!$B$5:$B$3623,A510,'📋 Транзакції'!$C$5:$C$3623,"&gt;="&amp;EDATE(DATEVALUE(C510&amp;"-01"),11),'📋 Транзакції'!$C$5:$C$3623,"&lt;"&amp;EDATE(DATEVALUE(C510&amp;"-01"),12))</f>
        <v>0</v>
      </c>
    </row>
    <row r="511" ht="15.75" customHeight="1">
      <c r="A511" s="33" t="str">
        <f>'📋 Реєстрації'!A511:A1112</f>
        <v>U0524</v>
      </c>
      <c r="B511" s="34">
        <f t="array" ref="B511">INDEX('📋 Транзакції'!$C$5:$C$3623,MATCH(A511,'📋 Транзакції'!$B$5:$B$3623,0))</f>
        <v>45693</v>
      </c>
      <c r="C511" s="35" t="str">
        <f t="shared" si="1"/>
        <v>2025-02</v>
      </c>
      <c r="D511" s="36">
        <f>COUNTIF('📋 Транзакції'!$B$5:$B$3623,A511)</f>
        <v>3</v>
      </c>
      <c r="E511" s="36">
        <f>SUMIF('📋 Транзакції'!$B$5:$B$3623,A511,'📋 Транзакції'!$F$5:$F$3623)</f>
        <v>39.98</v>
      </c>
      <c r="F511" s="35">
        <f>INT($A$1-MAXIFS('📋 Транзакції'!$C$5:$C$3623,'📋 Транзакції'!$B$5:$B$3623,A511))</f>
        <v>17</v>
      </c>
      <c r="G511" s="37">
        <f>IF(COUNTIFS('📋 Транзакції'!$B$5:$B$3623,A511,'📋 Транзакції'!$C$5:$C$3623,"&gt;="&amp;EDATE(DATEVALUE(C511&amp;"-01"),0),'📋 Транзакції'!$C$5:$C$3623,"&lt;"&amp;EDATE(DATEVALUE(C511&amp;"-01"),1))&gt;0,1,0)</f>
        <v>1</v>
      </c>
      <c r="H511" s="37">
        <f>IF(COUNTIFS('📋 Транзакції'!$B$5:$B$3623,A511,'📋 Транзакції'!$C$5:$C$3623,"&gt;="&amp;EDATE(DATEVALUE(C511&amp;"-01"),1),'📋 Транзакції'!$C$5:$C$3623,"&lt;"&amp;EDATE(DATEVALUE(C511&amp;"-01"),2))&gt;0,1,0)</f>
        <v>1</v>
      </c>
      <c r="I511" s="37">
        <f>IF(COUNTIFS('📋 Транзакції'!$B$5:$B$3623,A511,'📋 Транзакції'!$C$5:$C$3623,"&gt;="&amp;EDATE(DATEVALUE(C511&amp;"-01"),2),'📋 Транзакції'!$C$5:$C$3623,"&lt;"&amp;EDATE(DATEVALUE(C511&amp;"-01"),3))&gt;0,1,0)</f>
        <v>0</v>
      </c>
      <c r="J511" s="37">
        <f>IF(COUNTIFS('📋 Транзакції'!$B$5:$B$3623,A511,'📋 Транзакції'!$C$5:$C$3623,"&gt;="&amp;EDATE(DATEVALUE(C511&amp;"-01"),3),'📋 Транзакції'!$C$5:$C$3623,"&lt;"&amp;EDATE(DATEVALUE(C511&amp;"-01"),4))&gt;0,1,0)</f>
        <v>0</v>
      </c>
      <c r="K511" s="37">
        <f>IF(COUNTIFS('📋 Транзакції'!$B$5:$B$3623,A511,'📋 Транзакції'!$C$5:$C$3623,"&gt;="&amp;EDATE(DATEVALUE(C511&amp;"-01"),4),'📋 Транзакції'!$C$5:$C$3623,"&lt;"&amp;EDATE(DATEVALUE(C511&amp;"-01"),5))&gt;0,1,0)</f>
        <v>0</v>
      </c>
      <c r="L511" s="37">
        <f>IF(COUNTIFS('📋 Транзакції'!$B$5:$B$3623,A511,'📋 Транзакції'!$C$5:$C$3623,"&gt;="&amp;EDATE(DATEVALUE(C511&amp;"-01"),5),'📋 Транзакції'!$C$5:$C$3623,"&lt;"&amp;EDATE(DATEVALUE(C511&amp;"-01"),6))&gt;0,1,0)</f>
        <v>0</v>
      </c>
      <c r="M511" s="37">
        <f>IF(COUNTIFS('📋 Транзакції'!$B$5:$B$3623,A511,'📋 Транзакції'!$C$5:$C$3623,"&gt;="&amp;EDATE(DATEVALUE(C511&amp;"-01"),6),'📋 Транзакції'!$C$5:$C$3623,"&lt;"&amp;EDATE(DATEVALUE(C511&amp;"-01"),7))&gt;0,1,0)</f>
        <v>0</v>
      </c>
      <c r="N511" s="37">
        <f>IF(COUNTIFS('📋 Транзакції'!$B$5:$B$3623,A511,'📋 Транзакції'!$C$5:$C$3623,"&gt;="&amp;EDATE(DATEVALUE(C511&amp;"-01"),7),'📋 Транзакції'!$C$5:$C$3623,"&lt;"&amp;EDATE(DATEVALUE(C511&amp;"-01"),8))&gt;0,1,0)</f>
        <v>0</v>
      </c>
      <c r="O511" s="37">
        <f>IF(COUNTIFS('📋 Транзакції'!$B$5:$B$3623,A511,'📋 Транзакції'!$C$5:$C$3623,"&gt;="&amp;EDATE(DATEVALUE(C511&amp;"-01"),8),'📋 Транзакції'!$C$5:$C$3623,"&lt;"&amp;EDATE(DATEVALUE(C511&amp;"-01"),9))&gt;0,1,0)</f>
        <v>0</v>
      </c>
      <c r="P511" s="37">
        <f>IF(COUNTIFS('📋 Транзакції'!$B$5:$B$3623,A511,'📋 Транзакції'!$C$5:$C$3623,"&gt;="&amp;EDATE(DATEVALUE(C511&amp;"-01"),9),'📋 Транзакції'!$C$5:$C$3623,"&lt;"&amp;EDATE(DATEVALUE(C511&amp;"-01"),10))&gt;0,1,0)</f>
        <v>0</v>
      </c>
      <c r="Q511" s="37">
        <f>IF(COUNTIFS('📋 Транзакції'!$B$5:$B$3623,A511,'📋 Транзакції'!$C$5:$C$3623,"&gt;="&amp;EDATE(DATEVALUE(C511&amp;"-01"),10),'📋 Транзакції'!$C$5:$C$3623,"&lt;"&amp;EDATE(DATEVALUE(C511&amp;"-01"),11))&gt;0,1,0)</f>
        <v>0</v>
      </c>
      <c r="R511" s="37">
        <f>IF(COUNTIFS('📋 Транзакції'!$B$5:$B$3623,A511,'📋 Транзакції'!$C$5:$C$3623,"&gt;="&amp;EDATE(DATEVALUE(C511&amp;"-01"),11),'📋 Транзакції'!$C$5:$C$3623,"&lt;"&amp;EDATE(DATEVALUE(C511&amp;"-01"),12))&gt;0,1,0)</f>
        <v>0</v>
      </c>
      <c r="S511" s="37">
        <f>SUMIFS('📋 Транзакції'!$F$5:$F$3623,'📋 Транзакції'!$B$5:$B$3623,A511,'📋 Транзакції'!$C$5:$C$3623,"&gt;="&amp;EDATE(DATEVALUE(C511&amp;"-01"),0),'📋 Транзакції'!$C$5:$C$3623,"&lt;"&amp;EDATE(DATEVALUE(C511&amp;"-01"),1))</f>
        <v>19.99</v>
      </c>
      <c r="T511" s="37">
        <f>SUMIFS('📋 Транзакції'!$F$5:$F$3623,'📋 Транзакції'!$B$5:$B$3623,A511,'📋 Транзакції'!$C$5:$C$3623,"&gt;="&amp;EDATE(DATEVALUE(C511&amp;"-01"),1),'📋 Транзакції'!$C$5:$C$3623,"&lt;"&amp;EDATE(DATEVALUE(C511&amp;"-01"),2))</f>
        <v>19.99</v>
      </c>
      <c r="U511" s="37">
        <f>SUMIFS('📋 Транзакції'!$F$5:$F$3623,'📋 Транзакції'!$B$5:$B$3623,A511,'📋 Транзакції'!$C$5:$C$3623,"&gt;="&amp;EDATE(DATEVALUE(C511&amp;"-01"),2),'📋 Транзакції'!$C$5:$C$3623,"&lt;"&amp;EDATE(DATEVALUE(C511&amp;"-01"),3))</f>
        <v>0</v>
      </c>
      <c r="V511" s="37">
        <f>SUMIFS('📋 Транзакції'!$F$5:$F$3623,'📋 Транзакції'!$B$5:$B$3623,A511,'📋 Транзакції'!$C$5:$C$3623,"&gt;="&amp;EDATE(DATEVALUE(C511&amp;"-01"),3),'📋 Транзакції'!$C$5:$C$3623,"&lt;"&amp;EDATE(DATEVALUE(C511&amp;"-01"),4))</f>
        <v>0</v>
      </c>
      <c r="W511" s="37">
        <f>SUMIFS('📋 Транзакції'!$F$5:$F$3623,'📋 Транзакції'!$B$5:$B$3623,A511,'📋 Транзакції'!$C$5:$C$3623,"&gt;="&amp;EDATE(DATEVALUE(C511&amp;"-01"),4),'📋 Транзакції'!$C$5:$C$3623,"&lt;"&amp;EDATE(DATEVALUE(C511&amp;"-01"),5))</f>
        <v>0</v>
      </c>
      <c r="X511" s="37">
        <f>SUMIFS('📋 Транзакції'!$F$5:$F$3623,'📋 Транзакції'!$B$5:$B$3623,A511,'📋 Транзакції'!$C$5:$C$3623,"&gt;="&amp;EDATE(DATEVALUE(C511&amp;"-01"),5),'📋 Транзакції'!$C$5:$C$3623,"&lt;"&amp;EDATE(DATEVALUE(C511&amp;"-01"),6))</f>
        <v>0</v>
      </c>
      <c r="Y511" s="37">
        <f>SUMIFS('📋 Транзакції'!$F$5:$F$3623,'📋 Транзакції'!$B$5:$B$3623,A511,'📋 Транзакції'!$C$5:$C$3623,"&gt;="&amp;EDATE(DATEVALUE(C511&amp;"-01"),6),'📋 Транзакції'!$C$5:$C$3623,"&lt;"&amp;EDATE(DATEVALUE(C511&amp;"-01"),7))</f>
        <v>0</v>
      </c>
      <c r="Z511" s="37">
        <f>SUMIFS('📋 Транзакції'!$F$5:$F$3623,'📋 Транзакції'!$B$5:$B$3623,A511,'📋 Транзакції'!$C$5:$C$3623,"&gt;="&amp;EDATE(DATEVALUE(C511&amp;"-01"),7),'📋 Транзакції'!$C$5:$C$3623,"&lt;"&amp;EDATE(DATEVALUE(C511&amp;"-01"),8))</f>
        <v>0</v>
      </c>
      <c r="AA511" s="37">
        <f>SUMIFS('📋 Транзакції'!$F$5:$F$3623,'📋 Транзакції'!$B$5:$B$3623,A511,'📋 Транзакції'!$C$5:$C$3623,"&gt;="&amp;EDATE(DATEVALUE(C511&amp;"-01"),8),'📋 Транзакції'!$C$5:$C$3623,"&lt;"&amp;EDATE(DATEVALUE(C511&amp;"-01"),9))</f>
        <v>0</v>
      </c>
      <c r="AB511" s="37">
        <f>SUMIFS('📋 Транзакції'!$F$5:$F$3623,'📋 Транзакції'!$B$5:$B$3623,A511,'📋 Транзакції'!$C$5:$C$3623,"&gt;="&amp;EDATE(DATEVALUE(C511&amp;"-01"),9),'📋 Транзакції'!$C$5:$C$3623,"&lt;"&amp;EDATE(DATEVALUE(C511&amp;"-01"),10))</f>
        <v>0</v>
      </c>
      <c r="AC511" s="37">
        <f>SUMIFS('📋 Транзакції'!$F$5:$F$3623,'📋 Транзакції'!$B$5:$B$3623,A511,'📋 Транзакції'!$C$5:$C$3623,"&gt;="&amp;EDATE(DATEVALUE(C511&amp;"-01"),10),'📋 Транзакції'!$C$5:$C$3623,"&lt;"&amp;EDATE(DATEVALUE(C511&amp;"-01"),11))</f>
        <v>0</v>
      </c>
      <c r="AD511" s="37">
        <f>SUMIFS('📋 Транзакції'!$F$5:$F$3623,'📋 Транзакції'!$B$5:$B$3623,A511,'📋 Транзакції'!$C$5:$C$3623,"&gt;="&amp;EDATE(DATEVALUE(C511&amp;"-01"),11),'📋 Транзакції'!$C$5:$C$3623,"&lt;"&amp;EDATE(DATEVALUE(C511&amp;"-01"),12))</f>
        <v>0</v>
      </c>
    </row>
    <row r="512" ht="15.75" customHeight="1">
      <c r="A512" s="33" t="str">
        <f>'📋 Реєстрації'!A512:A1113</f>
        <v>U0681</v>
      </c>
      <c r="B512" s="34">
        <f t="array" ref="B512">INDEX('📋 Транзакції'!$C$5:$C$3623,MATCH(A512,'📋 Транзакції'!$B$5:$B$3623,0))</f>
        <v>45693</v>
      </c>
      <c r="C512" s="35" t="str">
        <f t="shared" si="1"/>
        <v>2025-02</v>
      </c>
      <c r="D512" s="36">
        <f>COUNTIF('📋 Транзакції'!$B$5:$B$3623,A512)</f>
        <v>3</v>
      </c>
      <c r="E512" s="36">
        <f>SUMIF('📋 Транзакції'!$B$5:$B$3623,A512,'📋 Транзакції'!$F$5:$F$3623)</f>
        <v>39.98</v>
      </c>
      <c r="F512" s="35">
        <f>INT($A$1-MAXIFS('📋 Транзакції'!$C$5:$C$3623,'📋 Транзакції'!$B$5:$B$3623,A512))</f>
        <v>17</v>
      </c>
      <c r="G512" s="37">
        <f>IF(COUNTIFS('📋 Транзакції'!$B$5:$B$3623,A512,'📋 Транзакції'!$C$5:$C$3623,"&gt;="&amp;EDATE(DATEVALUE(C512&amp;"-01"),0),'📋 Транзакції'!$C$5:$C$3623,"&lt;"&amp;EDATE(DATEVALUE(C512&amp;"-01"),1))&gt;0,1,0)</f>
        <v>1</v>
      </c>
      <c r="H512" s="37">
        <f>IF(COUNTIFS('📋 Транзакції'!$B$5:$B$3623,A512,'📋 Транзакції'!$C$5:$C$3623,"&gt;="&amp;EDATE(DATEVALUE(C512&amp;"-01"),1),'📋 Транзакції'!$C$5:$C$3623,"&lt;"&amp;EDATE(DATEVALUE(C512&amp;"-01"),2))&gt;0,1,0)</f>
        <v>1</v>
      </c>
      <c r="I512" s="37">
        <f>IF(COUNTIFS('📋 Транзакції'!$B$5:$B$3623,A512,'📋 Транзакції'!$C$5:$C$3623,"&gt;="&amp;EDATE(DATEVALUE(C512&amp;"-01"),2),'📋 Транзакції'!$C$5:$C$3623,"&lt;"&amp;EDATE(DATEVALUE(C512&amp;"-01"),3))&gt;0,1,0)</f>
        <v>0</v>
      </c>
      <c r="J512" s="37">
        <f>IF(COUNTIFS('📋 Транзакції'!$B$5:$B$3623,A512,'📋 Транзакції'!$C$5:$C$3623,"&gt;="&amp;EDATE(DATEVALUE(C512&amp;"-01"),3),'📋 Транзакції'!$C$5:$C$3623,"&lt;"&amp;EDATE(DATEVALUE(C512&amp;"-01"),4))&gt;0,1,0)</f>
        <v>0</v>
      </c>
      <c r="K512" s="37">
        <f>IF(COUNTIFS('📋 Транзакції'!$B$5:$B$3623,A512,'📋 Транзакції'!$C$5:$C$3623,"&gt;="&amp;EDATE(DATEVALUE(C512&amp;"-01"),4),'📋 Транзакції'!$C$5:$C$3623,"&lt;"&amp;EDATE(DATEVALUE(C512&amp;"-01"),5))&gt;0,1,0)</f>
        <v>0</v>
      </c>
      <c r="L512" s="37">
        <f>IF(COUNTIFS('📋 Транзакції'!$B$5:$B$3623,A512,'📋 Транзакції'!$C$5:$C$3623,"&gt;="&amp;EDATE(DATEVALUE(C512&amp;"-01"),5),'📋 Транзакції'!$C$5:$C$3623,"&lt;"&amp;EDATE(DATEVALUE(C512&amp;"-01"),6))&gt;0,1,0)</f>
        <v>0</v>
      </c>
      <c r="M512" s="37">
        <f>IF(COUNTIFS('📋 Транзакції'!$B$5:$B$3623,A512,'📋 Транзакції'!$C$5:$C$3623,"&gt;="&amp;EDATE(DATEVALUE(C512&amp;"-01"),6),'📋 Транзакції'!$C$5:$C$3623,"&lt;"&amp;EDATE(DATEVALUE(C512&amp;"-01"),7))&gt;0,1,0)</f>
        <v>0</v>
      </c>
      <c r="N512" s="37">
        <f>IF(COUNTIFS('📋 Транзакції'!$B$5:$B$3623,A512,'📋 Транзакції'!$C$5:$C$3623,"&gt;="&amp;EDATE(DATEVALUE(C512&amp;"-01"),7),'📋 Транзакції'!$C$5:$C$3623,"&lt;"&amp;EDATE(DATEVALUE(C512&amp;"-01"),8))&gt;0,1,0)</f>
        <v>0</v>
      </c>
      <c r="O512" s="37">
        <f>IF(COUNTIFS('📋 Транзакції'!$B$5:$B$3623,A512,'📋 Транзакції'!$C$5:$C$3623,"&gt;="&amp;EDATE(DATEVALUE(C512&amp;"-01"),8),'📋 Транзакції'!$C$5:$C$3623,"&lt;"&amp;EDATE(DATEVALUE(C512&amp;"-01"),9))&gt;0,1,0)</f>
        <v>0</v>
      </c>
      <c r="P512" s="37">
        <f>IF(COUNTIFS('📋 Транзакції'!$B$5:$B$3623,A512,'📋 Транзакції'!$C$5:$C$3623,"&gt;="&amp;EDATE(DATEVALUE(C512&amp;"-01"),9),'📋 Транзакції'!$C$5:$C$3623,"&lt;"&amp;EDATE(DATEVALUE(C512&amp;"-01"),10))&gt;0,1,0)</f>
        <v>0</v>
      </c>
      <c r="Q512" s="37">
        <f>IF(COUNTIFS('📋 Транзакції'!$B$5:$B$3623,A512,'📋 Транзакції'!$C$5:$C$3623,"&gt;="&amp;EDATE(DATEVALUE(C512&amp;"-01"),10),'📋 Транзакції'!$C$5:$C$3623,"&lt;"&amp;EDATE(DATEVALUE(C512&amp;"-01"),11))&gt;0,1,0)</f>
        <v>0</v>
      </c>
      <c r="R512" s="37">
        <f>IF(COUNTIFS('📋 Транзакції'!$B$5:$B$3623,A512,'📋 Транзакції'!$C$5:$C$3623,"&gt;="&amp;EDATE(DATEVALUE(C512&amp;"-01"),11),'📋 Транзакції'!$C$5:$C$3623,"&lt;"&amp;EDATE(DATEVALUE(C512&amp;"-01"),12))&gt;0,1,0)</f>
        <v>0</v>
      </c>
      <c r="S512" s="37">
        <f>SUMIFS('📋 Транзакції'!$F$5:$F$3623,'📋 Транзакції'!$B$5:$B$3623,A512,'📋 Транзакції'!$C$5:$C$3623,"&gt;="&amp;EDATE(DATEVALUE(C512&amp;"-01"),0),'📋 Транзакції'!$C$5:$C$3623,"&lt;"&amp;EDATE(DATEVALUE(C512&amp;"-01"),1))</f>
        <v>19.99</v>
      </c>
      <c r="T512" s="37">
        <f>SUMIFS('📋 Транзакції'!$F$5:$F$3623,'📋 Транзакції'!$B$5:$B$3623,A512,'📋 Транзакції'!$C$5:$C$3623,"&gt;="&amp;EDATE(DATEVALUE(C512&amp;"-01"),1),'📋 Транзакції'!$C$5:$C$3623,"&lt;"&amp;EDATE(DATEVALUE(C512&amp;"-01"),2))</f>
        <v>19.99</v>
      </c>
      <c r="U512" s="37">
        <f>SUMIFS('📋 Транзакції'!$F$5:$F$3623,'📋 Транзакції'!$B$5:$B$3623,A512,'📋 Транзакції'!$C$5:$C$3623,"&gt;="&amp;EDATE(DATEVALUE(C512&amp;"-01"),2),'📋 Транзакції'!$C$5:$C$3623,"&lt;"&amp;EDATE(DATEVALUE(C512&amp;"-01"),3))</f>
        <v>0</v>
      </c>
      <c r="V512" s="37">
        <f>SUMIFS('📋 Транзакції'!$F$5:$F$3623,'📋 Транзакції'!$B$5:$B$3623,A512,'📋 Транзакції'!$C$5:$C$3623,"&gt;="&amp;EDATE(DATEVALUE(C512&amp;"-01"),3),'📋 Транзакції'!$C$5:$C$3623,"&lt;"&amp;EDATE(DATEVALUE(C512&amp;"-01"),4))</f>
        <v>0</v>
      </c>
      <c r="W512" s="37">
        <f>SUMIFS('📋 Транзакції'!$F$5:$F$3623,'📋 Транзакції'!$B$5:$B$3623,A512,'📋 Транзакції'!$C$5:$C$3623,"&gt;="&amp;EDATE(DATEVALUE(C512&amp;"-01"),4),'📋 Транзакції'!$C$5:$C$3623,"&lt;"&amp;EDATE(DATEVALUE(C512&amp;"-01"),5))</f>
        <v>0</v>
      </c>
      <c r="X512" s="37">
        <f>SUMIFS('📋 Транзакції'!$F$5:$F$3623,'📋 Транзакції'!$B$5:$B$3623,A512,'📋 Транзакції'!$C$5:$C$3623,"&gt;="&amp;EDATE(DATEVALUE(C512&amp;"-01"),5),'📋 Транзакції'!$C$5:$C$3623,"&lt;"&amp;EDATE(DATEVALUE(C512&amp;"-01"),6))</f>
        <v>0</v>
      </c>
      <c r="Y512" s="37">
        <f>SUMIFS('📋 Транзакції'!$F$5:$F$3623,'📋 Транзакції'!$B$5:$B$3623,A512,'📋 Транзакції'!$C$5:$C$3623,"&gt;="&amp;EDATE(DATEVALUE(C512&amp;"-01"),6),'📋 Транзакції'!$C$5:$C$3623,"&lt;"&amp;EDATE(DATEVALUE(C512&amp;"-01"),7))</f>
        <v>0</v>
      </c>
      <c r="Z512" s="37">
        <f>SUMIFS('📋 Транзакції'!$F$5:$F$3623,'📋 Транзакції'!$B$5:$B$3623,A512,'📋 Транзакції'!$C$5:$C$3623,"&gt;="&amp;EDATE(DATEVALUE(C512&amp;"-01"),7),'📋 Транзакції'!$C$5:$C$3623,"&lt;"&amp;EDATE(DATEVALUE(C512&amp;"-01"),8))</f>
        <v>0</v>
      </c>
      <c r="AA512" s="37">
        <f>SUMIFS('📋 Транзакції'!$F$5:$F$3623,'📋 Транзакції'!$B$5:$B$3623,A512,'📋 Транзакції'!$C$5:$C$3623,"&gt;="&amp;EDATE(DATEVALUE(C512&amp;"-01"),8),'📋 Транзакції'!$C$5:$C$3623,"&lt;"&amp;EDATE(DATEVALUE(C512&amp;"-01"),9))</f>
        <v>0</v>
      </c>
      <c r="AB512" s="37">
        <f>SUMIFS('📋 Транзакції'!$F$5:$F$3623,'📋 Транзакції'!$B$5:$B$3623,A512,'📋 Транзакції'!$C$5:$C$3623,"&gt;="&amp;EDATE(DATEVALUE(C512&amp;"-01"),9),'📋 Транзакції'!$C$5:$C$3623,"&lt;"&amp;EDATE(DATEVALUE(C512&amp;"-01"),10))</f>
        <v>0</v>
      </c>
      <c r="AC512" s="37">
        <f>SUMIFS('📋 Транзакції'!$F$5:$F$3623,'📋 Транзакції'!$B$5:$B$3623,A512,'📋 Транзакції'!$C$5:$C$3623,"&gt;="&amp;EDATE(DATEVALUE(C512&amp;"-01"),10),'📋 Транзакції'!$C$5:$C$3623,"&lt;"&amp;EDATE(DATEVALUE(C512&amp;"-01"),11))</f>
        <v>0</v>
      </c>
      <c r="AD512" s="37">
        <f>SUMIFS('📋 Транзакції'!$F$5:$F$3623,'📋 Транзакції'!$B$5:$B$3623,A512,'📋 Транзакції'!$C$5:$C$3623,"&gt;="&amp;EDATE(DATEVALUE(C512&amp;"-01"),11),'📋 Транзакції'!$C$5:$C$3623,"&lt;"&amp;EDATE(DATEVALUE(C512&amp;"-01"),12))</f>
        <v>0</v>
      </c>
    </row>
    <row r="513" ht="15.75" customHeight="1">
      <c r="A513" s="33" t="str">
        <f>'📋 Реєстрації'!A513:A1114</f>
        <v>U0445</v>
      </c>
      <c r="B513" s="34">
        <f t="array" ref="B513">INDEX('📋 Транзакції'!$C$5:$C$3623,MATCH(A513,'📋 Транзакції'!$B$5:$B$3623,0))</f>
        <v>45694</v>
      </c>
      <c r="C513" s="35" t="str">
        <f t="shared" si="1"/>
        <v>2025-02</v>
      </c>
      <c r="D513" s="36">
        <f>COUNTIF('📋 Транзакції'!$B$5:$B$3623,A513)</f>
        <v>3</v>
      </c>
      <c r="E513" s="36">
        <f>SUMIF('📋 Транзакції'!$B$5:$B$3623,A513,'📋 Транзакції'!$F$5:$F$3623)</f>
        <v>39.98</v>
      </c>
      <c r="F513" s="35">
        <f>INT($A$1-MAXIFS('📋 Транзакції'!$C$5:$C$3623,'📋 Транзакції'!$B$5:$B$3623,A513))</f>
        <v>16</v>
      </c>
      <c r="G513" s="37">
        <f>IF(COUNTIFS('📋 Транзакції'!$B$5:$B$3623,A513,'📋 Транзакції'!$C$5:$C$3623,"&gt;="&amp;EDATE(DATEVALUE(C513&amp;"-01"),0),'📋 Транзакції'!$C$5:$C$3623,"&lt;"&amp;EDATE(DATEVALUE(C513&amp;"-01"),1))&gt;0,1,0)</f>
        <v>1</v>
      </c>
      <c r="H513" s="37">
        <f>IF(COUNTIFS('📋 Транзакції'!$B$5:$B$3623,A513,'📋 Транзакції'!$C$5:$C$3623,"&gt;="&amp;EDATE(DATEVALUE(C513&amp;"-01"),1),'📋 Транзакції'!$C$5:$C$3623,"&lt;"&amp;EDATE(DATEVALUE(C513&amp;"-01"),2))&gt;0,1,0)</f>
        <v>1</v>
      </c>
      <c r="I513" s="37">
        <f>IF(COUNTIFS('📋 Транзакції'!$B$5:$B$3623,A513,'📋 Транзакції'!$C$5:$C$3623,"&gt;="&amp;EDATE(DATEVALUE(C513&amp;"-01"),2),'📋 Транзакції'!$C$5:$C$3623,"&lt;"&amp;EDATE(DATEVALUE(C513&amp;"-01"),3))&gt;0,1,0)</f>
        <v>0</v>
      </c>
      <c r="J513" s="37">
        <f>IF(COUNTIFS('📋 Транзакції'!$B$5:$B$3623,A513,'📋 Транзакції'!$C$5:$C$3623,"&gt;="&amp;EDATE(DATEVALUE(C513&amp;"-01"),3),'📋 Транзакції'!$C$5:$C$3623,"&lt;"&amp;EDATE(DATEVALUE(C513&amp;"-01"),4))&gt;0,1,0)</f>
        <v>0</v>
      </c>
      <c r="K513" s="37">
        <f>IF(COUNTIFS('📋 Транзакції'!$B$5:$B$3623,A513,'📋 Транзакції'!$C$5:$C$3623,"&gt;="&amp;EDATE(DATEVALUE(C513&amp;"-01"),4),'📋 Транзакції'!$C$5:$C$3623,"&lt;"&amp;EDATE(DATEVALUE(C513&amp;"-01"),5))&gt;0,1,0)</f>
        <v>0</v>
      </c>
      <c r="L513" s="37">
        <f>IF(COUNTIFS('📋 Транзакції'!$B$5:$B$3623,A513,'📋 Транзакції'!$C$5:$C$3623,"&gt;="&amp;EDATE(DATEVALUE(C513&amp;"-01"),5),'📋 Транзакції'!$C$5:$C$3623,"&lt;"&amp;EDATE(DATEVALUE(C513&amp;"-01"),6))&gt;0,1,0)</f>
        <v>0</v>
      </c>
      <c r="M513" s="37">
        <f>IF(COUNTIFS('📋 Транзакції'!$B$5:$B$3623,A513,'📋 Транзакції'!$C$5:$C$3623,"&gt;="&amp;EDATE(DATEVALUE(C513&amp;"-01"),6),'📋 Транзакції'!$C$5:$C$3623,"&lt;"&amp;EDATE(DATEVALUE(C513&amp;"-01"),7))&gt;0,1,0)</f>
        <v>0</v>
      </c>
      <c r="N513" s="37">
        <f>IF(COUNTIFS('📋 Транзакції'!$B$5:$B$3623,A513,'📋 Транзакції'!$C$5:$C$3623,"&gt;="&amp;EDATE(DATEVALUE(C513&amp;"-01"),7),'📋 Транзакції'!$C$5:$C$3623,"&lt;"&amp;EDATE(DATEVALUE(C513&amp;"-01"),8))&gt;0,1,0)</f>
        <v>0</v>
      </c>
      <c r="O513" s="37">
        <f>IF(COUNTIFS('📋 Транзакції'!$B$5:$B$3623,A513,'📋 Транзакції'!$C$5:$C$3623,"&gt;="&amp;EDATE(DATEVALUE(C513&amp;"-01"),8),'📋 Транзакції'!$C$5:$C$3623,"&lt;"&amp;EDATE(DATEVALUE(C513&amp;"-01"),9))&gt;0,1,0)</f>
        <v>0</v>
      </c>
      <c r="P513" s="37">
        <f>IF(COUNTIFS('📋 Транзакції'!$B$5:$B$3623,A513,'📋 Транзакції'!$C$5:$C$3623,"&gt;="&amp;EDATE(DATEVALUE(C513&amp;"-01"),9),'📋 Транзакції'!$C$5:$C$3623,"&lt;"&amp;EDATE(DATEVALUE(C513&amp;"-01"),10))&gt;0,1,0)</f>
        <v>0</v>
      </c>
      <c r="Q513" s="37">
        <f>IF(COUNTIFS('📋 Транзакції'!$B$5:$B$3623,A513,'📋 Транзакції'!$C$5:$C$3623,"&gt;="&amp;EDATE(DATEVALUE(C513&amp;"-01"),10),'📋 Транзакції'!$C$5:$C$3623,"&lt;"&amp;EDATE(DATEVALUE(C513&amp;"-01"),11))&gt;0,1,0)</f>
        <v>0</v>
      </c>
      <c r="R513" s="37">
        <f>IF(COUNTIFS('📋 Транзакції'!$B$5:$B$3623,A513,'📋 Транзакції'!$C$5:$C$3623,"&gt;="&amp;EDATE(DATEVALUE(C513&amp;"-01"),11),'📋 Транзакції'!$C$5:$C$3623,"&lt;"&amp;EDATE(DATEVALUE(C513&amp;"-01"),12))&gt;0,1,0)</f>
        <v>0</v>
      </c>
      <c r="S513" s="37">
        <f>SUMIFS('📋 Транзакції'!$F$5:$F$3623,'📋 Транзакції'!$B$5:$B$3623,A513,'📋 Транзакції'!$C$5:$C$3623,"&gt;="&amp;EDATE(DATEVALUE(C513&amp;"-01"),0),'📋 Транзакції'!$C$5:$C$3623,"&lt;"&amp;EDATE(DATEVALUE(C513&amp;"-01"),1))</f>
        <v>19.99</v>
      </c>
      <c r="T513" s="37">
        <f>SUMIFS('📋 Транзакції'!$F$5:$F$3623,'📋 Транзакції'!$B$5:$B$3623,A513,'📋 Транзакції'!$C$5:$C$3623,"&gt;="&amp;EDATE(DATEVALUE(C513&amp;"-01"),1),'📋 Транзакції'!$C$5:$C$3623,"&lt;"&amp;EDATE(DATEVALUE(C513&amp;"-01"),2))</f>
        <v>19.99</v>
      </c>
      <c r="U513" s="37">
        <f>SUMIFS('📋 Транзакції'!$F$5:$F$3623,'📋 Транзакції'!$B$5:$B$3623,A513,'📋 Транзакції'!$C$5:$C$3623,"&gt;="&amp;EDATE(DATEVALUE(C513&amp;"-01"),2),'📋 Транзакції'!$C$5:$C$3623,"&lt;"&amp;EDATE(DATEVALUE(C513&amp;"-01"),3))</f>
        <v>0</v>
      </c>
      <c r="V513" s="37">
        <f>SUMIFS('📋 Транзакції'!$F$5:$F$3623,'📋 Транзакції'!$B$5:$B$3623,A513,'📋 Транзакції'!$C$5:$C$3623,"&gt;="&amp;EDATE(DATEVALUE(C513&amp;"-01"),3),'📋 Транзакції'!$C$5:$C$3623,"&lt;"&amp;EDATE(DATEVALUE(C513&amp;"-01"),4))</f>
        <v>0</v>
      </c>
      <c r="W513" s="37">
        <f>SUMIFS('📋 Транзакції'!$F$5:$F$3623,'📋 Транзакції'!$B$5:$B$3623,A513,'📋 Транзакції'!$C$5:$C$3623,"&gt;="&amp;EDATE(DATEVALUE(C513&amp;"-01"),4),'📋 Транзакції'!$C$5:$C$3623,"&lt;"&amp;EDATE(DATEVALUE(C513&amp;"-01"),5))</f>
        <v>0</v>
      </c>
      <c r="X513" s="37">
        <f>SUMIFS('📋 Транзакції'!$F$5:$F$3623,'📋 Транзакції'!$B$5:$B$3623,A513,'📋 Транзакції'!$C$5:$C$3623,"&gt;="&amp;EDATE(DATEVALUE(C513&amp;"-01"),5),'📋 Транзакції'!$C$5:$C$3623,"&lt;"&amp;EDATE(DATEVALUE(C513&amp;"-01"),6))</f>
        <v>0</v>
      </c>
      <c r="Y513" s="37">
        <f>SUMIFS('📋 Транзакції'!$F$5:$F$3623,'📋 Транзакції'!$B$5:$B$3623,A513,'📋 Транзакції'!$C$5:$C$3623,"&gt;="&amp;EDATE(DATEVALUE(C513&amp;"-01"),6),'📋 Транзакції'!$C$5:$C$3623,"&lt;"&amp;EDATE(DATEVALUE(C513&amp;"-01"),7))</f>
        <v>0</v>
      </c>
      <c r="Z513" s="37">
        <f>SUMIFS('📋 Транзакції'!$F$5:$F$3623,'📋 Транзакції'!$B$5:$B$3623,A513,'📋 Транзакції'!$C$5:$C$3623,"&gt;="&amp;EDATE(DATEVALUE(C513&amp;"-01"),7),'📋 Транзакції'!$C$5:$C$3623,"&lt;"&amp;EDATE(DATEVALUE(C513&amp;"-01"),8))</f>
        <v>0</v>
      </c>
      <c r="AA513" s="37">
        <f>SUMIFS('📋 Транзакції'!$F$5:$F$3623,'📋 Транзакції'!$B$5:$B$3623,A513,'📋 Транзакції'!$C$5:$C$3623,"&gt;="&amp;EDATE(DATEVALUE(C513&amp;"-01"),8),'📋 Транзакції'!$C$5:$C$3623,"&lt;"&amp;EDATE(DATEVALUE(C513&amp;"-01"),9))</f>
        <v>0</v>
      </c>
      <c r="AB513" s="37">
        <f>SUMIFS('📋 Транзакції'!$F$5:$F$3623,'📋 Транзакції'!$B$5:$B$3623,A513,'📋 Транзакції'!$C$5:$C$3623,"&gt;="&amp;EDATE(DATEVALUE(C513&amp;"-01"),9),'📋 Транзакції'!$C$5:$C$3623,"&lt;"&amp;EDATE(DATEVALUE(C513&amp;"-01"),10))</f>
        <v>0</v>
      </c>
      <c r="AC513" s="37">
        <f>SUMIFS('📋 Транзакції'!$F$5:$F$3623,'📋 Транзакції'!$B$5:$B$3623,A513,'📋 Транзакції'!$C$5:$C$3623,"&gt;="&amp;EDATE(DATEVALUE(C513&amp;"-01"),10),'📋 Транзакції'!$C$5:$C$3623,"&lt;"&amp;EDATE(DATEVALUE(C513&amp;"-01"),11))</f>
        <v>0</v>
      </c>
      <c r="AD513" s="37">
        <f>SUMIFS('📋 Транзакції'!$F$5:$F$3623,'📋 Транзакції'!$B$5:$B$3623,A513,'📋 Транзакції'!$C$5:$C$3623,"&gt;="&amp;EDATE(DATEVALUE(C513&amp;"-01"),11),'📋 Транзакції'!$C$5:$C$3623,"&lt;"&amp;EDATE(DATEVALUE(C513&amp;"-01"),12))</f>
        <v>0</v>
      </c>
    </row>
    <row r="514" ht="15.75" customHeight="1">
      <c r="A514" s="33" t="str">
        <f>'📋 Реєстрації'!A514:A1115</f>
        <v>U0525</v>
      </c>
      <c r="B514" s="34">
        <f t="array" ref="B514">INDEX('📋 Транзакції'!$C$5:$C$3623,MATCH(A514,'📋 Транзакції'!$B$5:$B$3623,0))</f>
        <v>45694</v>
      </c>
      <c r="C514" s="35" t="str">
        <f t="shared" si="1"/>
        <v>2025-02</v>
      </c>
      <c r="D514" s="36">
        <f>COUNTIF('📋 Транзакції'!$B$5:$B$3623,A514)</f>
        <v>3</v>
      </c>
      <c r="E514" s="36">
        <f>SUMIF('📋 Транзакції'!$B$5:$B$3623,A514,'📋 Транзакції'!$F$5:$F$3623)</f>
        <v>39.98</v>
      </c>
      <c r="F514" s="35">
        <f>INT($A$1-MAXIFS('📋 Транзакції'!$C$5:$C$3623,'📋 Транзакції'!$B$5:$B$3623,A514))</f>
        <v>16</v>
      </c>
      <c r="G514" s="37">
        <f>IF(COUNTIFS('📋 Транзакції'!$B$5:$B$3623,A514,'📋 Транзакції'!$C$5:$C$3623,"&gt;="&amp;EDATE(DATEVALUE(C514&amp;"-01"),0),'📋 Транзакції'!$C$5:$C$3623,"&lt;"&amp;EDATE(DATEVALUE(C514&amp;"-01"),1))&gt;0,1,0)</f>
        <v>1</v>
      </c>
      <c r="H514" s="37">
        <f>IF(COUNTIFS('📋 Транзакції'!$B$5:$B$3623,A514,'📋 Транзакції'!$C$5:$C$3623,"&gt;="&amp;EDATE(DATEVALUE(C514&amp;"-01"),1),'📋 Транзакції'!$C$5:$C$3623,"&lt;"&amp;EDATE(DATEVALUE(C514&amp;"-01"),2))&gt;0,1,0)</f>
        <v>1</v>
      </c>
      <c r="I514" s="37">
        <f>IF(COUNTIFS('📋 Транзакції'!$B$5:$B$3623,A514,'📋 Транзакції'!$C$5:$C$3623,"&gt;="&amp;EDATE(DATEVALUE(C514&amp;"-01"),2),'📋 Транзакції'!$C$5:$C$3623,"&lt;"&amp;EDATE(DATEVALUE(C514&amp;"-01"),3))&gt;0,1,0)</f>
        <v>0</v>
      </c>
      <c r="J514" s="37">
        <f>IF(COUNTIFS('📋 Транзакції'!$B$5:$B$3623,A514,'📋 Транзакції'!$C$5:$C$3623,"&gt;="&amp;EDATE(DATEVALUE(C514&amp;"-01"),3),'📋 Транзакції'!$C$5:$C$3623,"&lt;"&amp;EDATE(DATEVALUE(C514&amp;"-01"),4))&gt;0,1,0)</f>
        <v>0</v>
      </c>
      <c r="K514" s="37">
        <f>IF(COUNTIFS('📋 Транзакції'!$B$5:$B$3623,A514,'📋 Транзакції'!$C$5:$C$3623,"&gt;="&amp;EDATE(DATEVALUE(C514&amp;"-01"),4),'📋 Транзакції'!$C$5:$C$3623,"&lt;"&amp;EDATE(DATEVALUE(C514&amp;"-01"),5))&gt;0,1,0)</f>
        <v>0</v>
      </c>
      <c r="L514" s="37">
        <f>IF(COUNTIFS('📋 Транзакції'!$B$5:$B$3623,A514,'📋 Транзакції'!$C$5:$C$3623,"&gt;="&amp;EDATE(DATEVALUE(C514&amp;"-01"),5),'📋 Транзакції'!$C$5:$C$3623,"&lt;"&amp;EDATE(DATEVALUE(C514&amp;"-01"),6))&gt;0,1,0)</f>
        <v>0</v>
      </c>
      <c r="M514" s="37">
        <f>IF(COUNTIFS('📋 Транзакції'!$B$5:$B$3623,A514,'📋 Транзакції'!$C$5:$C$3623,"&gt;="&amp;EDATE(DATEVALUE(C514&amp;"-01"),6),'📋 Транзакції'!$C$5:$C$3623,"&lt;"&amp;EDATE(DATEVALUE(C514&amp;"-01"),7))&gt;0,1,0)</f>
        <v>0</v>
      </c>
      <c r="N514" s="37">
        <f>IF(COUNTIFS('📋 Транзакції'!$B$5:$B$3623,A514,'📋 Транзакції'!$C$5:$C$3623,"&gt;="&amp;EDATE(DATEVALUE(C514&amp;"-01"),7),'📋 Транзакції'!$C$5:$C$3623,"&lt;"&amp;EDATE(DATEVALUE(C514&amp;"-01"),8))&gt;0,1,0)</f>
        <v>0</v>
      </c>
      <c r="O514" s="37">
        <f>IF(COUNTIFS('📋 Транзакції'!$B$5:$B$3623,A514,'📋 Транзакції'!$C$5:$C$3623,"&gt;="&amp;EDATE(DATEVALUE(C514&amp;"-01"),8),'📋 Транзакції'!$C$5:$C$3623,"&lt;"&amp;EDATE(DATEVALUE(C514&amp;"-01"),9))&gt;0,1,0)</f>
        <v>0</v>
      </c>
      <c r="P514" s="37">
        <f>IF(COUNTIFS('📋 Транзакції'!$B$5:$B$3623,A514,'📋 Транзакції'!$C$5:$C$3623,"&gt;="&amp;EDATE(DATEVALUE(C514&amp;"-01"),9),'📋 Транзакції'!$C$5:$C$3623,"&lt;"&amp;EDATE(DATEVALUE(C514&amp;"-01"),10))&gt;0,1,0)</f>
        <v>0</v>
      </c>
      <c r="Q514" s="37">
        <f>IF(COUNTIFS('📋 Транзакції'!$B$5:$B$3623,A514,'📋 Транзакції'!$C$5:$C$3623,"&gt;="&amp;EDATE(DATEVALUE(C514&amp;"-01"),10),'📋 Транзакції'!$C$5:$C$3623,"&lt;"&amp;EDATE(DATEVALUE(C514&amp;"-01"),11))&gt;0,1,0)</f>
        <v>0</v>
      </c>
      <c r="R514" s="37">
        <f>IF(COUNTIFS('📋 Транзакції'!$B$5:$B$3623,A514,'📋 Транзакції'!$C$5:$C$3623,"&gt;="&amp;EDATE(DATEVALUE(C514&amp;"-01"),11),'📋 Транзакції'!$C$5:$C$3623,"&lt;"&amp;EDATE(DATEVALUE(C514&amp;"-01"),12))&gt;0,1,0)</f>
        <v>0</v>
      </c>
      <c r="S514" s="37">
        <f>SUMIFS('📋 Транзакції'!$F$5:$F$3623,'📋 Транзакції'!$B$5:$B$3623,A514,'📋 Транзакції'!$C$5:$C$3623,"&gt;="&amp;EDATE(DATEVALUE(C514&amp;"-01"),0),'📋 Транзакції'!$C$5:$C$3623,"&lt;"&amp;EDATE(DATEVALUE(C514&amp;"-01"),1))</f>
        <v>19.99</v>
      </c>
      <c r="T514" s="37">
        <f>SUMIFS('📋 Транзакції'!$F$5:$F$3623,'📋 Транзакції'!$B$5:$B$3623,A514,'📋 Транзакції'!$C$5:$C$3623,"&gt;="&amp;EDATE(DATEVALUE(C514&amp;"-01"),1),'📋 Транзакції'!$C$5:$C$3623,"&lt;"&amp;EDATE(DATEVALUE(C514&amp;"-01"),2))</f>
        <v>19.99</v>
      </c>
      <c r="U514" s="37">
        <f>SUMIFS('📋 Транзакції'!$F$5:$F$3623,'📋 Транзакції'!$B$5:$B$3623,A514,'📋 Транзакції'!$C$5:$C$3623,"&gt;="&amp;EDATE(DATEVALUE(C514&amp;"-01"),2),'📋 Транзакції'!$C$5:$C$3623,"&lt;"&amp;EDATE(DATEVALUE(C514&amp;"-01"),3))</f>
        <v>0</v>
      </c>
      <c r="V514" s="37">
        <f>SUMIFS('📋 Транзакції'!$F$5:$F$3623,'📋 Транзакції'!$B$5:$B$3623,A514,'📋 Транзакції'!$C$5:$C$3623,"&gt;="&amp;EDATE(DATEVALUE(C514&amp;"-01"),3),'📋 Транзакції'!$C$5:$C$3623,"&lt;"&amp;EDATE(DATEVALUE(C514&amp;"-01"),4))</f>
        <v>0</v>
      </c>
      <c r="W514" s="37">
        <f>SUMIFS('📋 Транзакції'!$F$5:$F$3623,'📋 Транзакції'!$B$5:$B$3623,A514,'📋 Транзакції'!$C$5:$C$3623,"&gt;="&amp;EDATE(DATEVALUE(C514&amp;"-01"),4),'📋 Транзакції'!$C$5:$C$3623,"&lt;"&amp;EDATE(DATEVALUE(C514&amp;"-01"),5))</f>
        <v>0</v>
      </c>
      <c r="X514" s="37">
        <f>SUMIFS('📋 Транзакції'!$F$5:$F$3623,'📋 Транзакції'!$B$5:$B$3623,A514,'📋 Транзакції'!$C$5:$C$3623,"&gt;="&amp;EDATE(DATEVALUE(C514&amp;"-01"),5),'📋 Транзакції'!$C$5:$C$3623,"&lt;"&amp;EDATE(DATEVALUE(C514&amp;"-01"),6))</f>
        <v>0</v>
      </c>
      <c r="Y514" s="37">
        <f>SUMIFS('📋 Транзакції'!$F$5:$F$3623,'📋 Транзакції'!$B$5:$B$3623,A514,'📋 Транзакції'!$C$5:$C$3623,"&gt;="&amp;EDATE(DATEVALUE(C514&amp;"-01"),6),'📋 Транзакції'!$C$5:$C$3623,"&lt;"&amp;EDATE(DATEVALUE(C514&amp;"-01"),7))</f>
        <v>0</v>
      </c>
      <c r="Z514" s="37">
        <f>SUMIFS('📋 Транзакції'!$F$5:$F$3623,'📋 Транзакції'!$B$5:$B$3623,A514,'📋 Транзакції'!$C$5:$C$3623,"&gt;="&amp;EDATE(DATEVALUE(C514&amp;"-01"),7),'📋 Транзакції'!$C$5:$C$3623,"&lt;"&amp;EDATE(DATEVALUE(C514&amp;"-01"),8))</f>
        <v>0</v>
      </c>
      <c r="AA514" s="37">
        <f>SUMIFS('📋 Транзакції'!$F$5:$F$3623,'📋 Транзакції'!$B$5:$B$3623,A514,'📋 Транзакції'!$C$5:$C$3623,"&gt;="&amp;EDATE(DATEVALUE(C514&amp;"-01"),8),'📋 Транзакції'!$C$5:$C$3623,"&lt;"&amp;EDATE(DATEVALUE(C514&amp;"-01"),9))</f>
        <v>0</v>
      </c>
      <c r="AB514" s="37">
        <f>SUMIFS('📋 Транзакції'!$F$5:$F$3623,'📋 Транзакції'!$B$5:$B$3623,A514,'📋 Транзакції'!$C$5:$C$3623,"&gt;="&amp;EDATE(DATEVALUE(C514&amp;"-01"),9),'📋 Транзакції'!$C$5:$C$3623,"&lt;"&amp;EDATE(DATEVALUE(C514&amp;"-01"),10))</f>
        <v>0</v>
      </c>
      <c r="AC514" s="37">
        <f>SUMIFS('📋 Транзакції'!$F$5:$F$3623,'📋 Транзакції'!$B$5:$B$3623,A514,'📋 Транзакції'!$C$5:$C$3623,"&gt;="&amp;EDATE(DATEVALUE(C514&amp;"-01"),10),'📋 Транзакції'!$C$5:$C$3623,"&lt;"&amp;EDATE(DATEVALUE(C514&amp;"-01"),11))</f>
        <v>0</v>
      </c>
      <c r="AD514" s="37">
        <f>SUMIFS('📋 Транзакції'!$F$5:$F$3623,'📋 Транзакції'!$B$5:$B$3623,A514,'📋 Транзакції'!$C$5:$C$3623,"&gt;="&amp;EDATE(DATEVALUE(C514&amp;"-01"),11),'📋 Транзакції'!$C$5:$C$3623,"&lt;"&amp;EDATE(DATEVALUE(C514&amp;"-01"),12))</f>
        <v>0</v>
      </c>
    </row>
    <row r="515" ht="15.75" customHeight="1">
      <c r="A515" s="33" t="str">
        <f>'📋 Реєстрації'!A515:A1116</f>
        <v>U0815</v>
      </c>
      <c r="B515" s="34">
        <f t="array" ref="B515">INDEX('📋 Транзакції'!$C$5:$C$3623,MATCH(A515,'📋 Транзакції'!$B$5:$B$3623,0))</f>
        <v>45694</v>
      </c>
      <c r="C515" s="35" t="str">
        <f t="shared" si="1"/>
        <v>2025-02</v>
      </c>
      <c r="D515" s="36">
        <f>COUNTIF('📋 Транзакції'!$B$5:$B$3623,A515)</f>
        <v>3</v>
      </c>
      <c r="E515" s="36">
        <f>SUMIF('📋 Транзакції'!$B$5:$B$3623,A515,'📋 Транзакції'!$F$5:$F$3623)</f>
        <v>39.98</v>
      </c>
      <c r="F515" s="35">
        <f>INT($A$1-MAXIFS('📋 Транзакції'!$C$5:$C$3623,'📋 Транзакції'!$B$5:$B$3623,A515))</f>
        <v>16</v>
      </c>
      <c r="G515" s="37">
        <f>IF(COUNTIFS('📋 Транзакції'!$B$5:$B$3623,A515,'📋 Транзакції'!$C$5:$C$3623,"&gt;="&amp;EDATE(DATEVALUE(C515&amp;"-01"),0),'📋 Транзакції'!$C$5:$C$3623,"&lt;"&amp;EDATE(DATEVALUE(C515&amp;"-01"),1))&gt;0,1,0)</f>
        <v>1</v>
      </c>
      <c r="H515" s="37">
        <f>IF(COUNTIFS('📋 Транзакції'!$B$5:$B$3623,A515,'📋 Транзакції'!$C$5:$C$3623,"&gt;="&amp;EDATE(DATEVALUE(C515&amp;"-01"),1),'📋 Транзакції'!$C$5:$C$3623,"&lt;"&amp;EDATE(DATEVALUE(C515&amp;"-01"),2))&gt;0,1,0)</f>
        <v>1</v>
      </c>
      <c r="I515" s="37">
        <f>IF(COUNTIFS('📋 Транзакції'!$B$5:$B$3623,A515,'📋 Транзакції'!$C$5:$C$3623,"&gt;="&amp;EDATE(DATEVALUE(C515&amp;"-01"),2),'📋 Транзакції'!$C$5:$C$3623,"&lt;"&amp;EDATE(DATEVALUE(C515&amp;"-01"),3))&gt;0,1,0)</f>
        <v>0</v>
      </c>
      <c r="J515" s="37">
        <f>IF(COUNTIFS('📋 Транзакції'!$B$5:$B$3623,A515,'📋 Транзакції'!$C$5:$C$3623,"&gt;="&amp;EDATE(DATEVALUE(C515&amp;"-01"),3),'📋 Транзакції'!$C$5:$C$3623,"&lt;"&amp;EDATE(DATEVALUE(C515&amp;"-01"),4))&gt;0,1,0)</f>
        <v>0</v>
      </c>
      <c r="K515" s="37">
        <f>IF(COUNTIFS('📋 Транзакції'!$B$5:$B$3623,A515,'📋 Транзакції'!$C$5:$C$3623,"&gt;="&amp;EDATE(DATEVALUE(C515&amp;"-01"),4),'📋 Транзакції'!$C$5:$C$3623,"&lt;"&amp;EDATE(DATEVALUE(C515&amp;"-01"),5))&gt;0,1,0)</f>
        <v>0</v>
      </c>
      <c r="L515" s="37">
        <f>IF(COUNTIFS('📋 Транзакції'!$B$5:$B$3623,A515,'📋 Транзакції'!$C$5:$C$3623,"&gt;="&amp;EDATE(DATEVALUE(C515&amp;"-01"),5),'📋 Транзакції'!$C$5:$C$3623,"&lt;"&amp;EDATE(DATEVALUE(C515&amp;"-01"),6))&gt;0,1,0)</f>
        <v>0</v>
      </c>
      <c r="M515" s="37">
        <f>IF(COUNTIFS('📋 Транзакції'!$B$5:$B$3623,A515,'📋 Транзакції'!$C$5:$C$3623,"&gt;="&amp;EDATE(DATEVALUE(C515&amp;"-01"),6),'📋 Транзакції'!$C$5:$C$3623,"&lt;"&amp;EDATE(DATEVALUE(C515&amp;"-01"),7))&gt;0,1,0)</f>
        <v>0</v>
      </c>
      <c r="N515" s="37">
        <f>IF(COUNTIFS('📋 Транзакції'!$B$5:$B$3623,A515,'📋 Транзакції'!$C$5:$C$3623,"&gt;="&amp;EDATE(DATEVALUE(C515&amp;"-01"),7),'📋 Транзакції'!$C$5:$C$3623,"&lt;"&amp;EDATE(DATEVALUE(C515&amp;"-01"),8))&gt;0,1,0)</f>
        <v>0</v>
      </c>
      <c r="O515" s="37">
        <f>IF(COUNTIFS('📋 Транзакції'!$B$5:$B$3623,A515,'📋 Транзакції'!$C$5:$C$3623,"&gt;="&amp;EDATE(DATEVALUE(C515&amp;"-01"),8),'📋 Транзакції'!$C$5:$C$3623,"&lt;"&amp;EDATE(DATEVALUE(C515&amp;"-01"),9))&gt;0,1,0)</f>
        <v>0</v>
      </c>
      <c r="P515" s="37">
        <f>IF(COUNTIFS('📋 Транзакції'!$B$5:$B$3623,A515,'📋 Транзакції'!$C$5:$C$3623,"&gt;="&amp;EDATE(DATEVALUE(C515&amp;"-01"),9),'📋 Транзакції'!$C$5:$C$3623,"&lt;"&amp;EDATE(DATEVALUE(C515&amp;"-01"),10))&gt;0,1,0)</f>
        <v>0</v>
      </c>
      <c r="Q515" s="37">
        <f>IF(COUNTIFS('📋 Транзакції'!$B$5:$B$3623,A515,'📋 Транзакції'!$C$5:$C$3623,"&gt;="&amp;EDATE(DATEVALUE(C515&amp;"-01"),10),'📋 Транзакції'!$C$5:$C$3623,"&lt;"&amp;EDATE(DATEVALUE(C515&amp;"-01"),11))&gt;0,1,0)</f>
        <v>0</v>
      </c>
      <c r="R515" s="37">
        <f>IF(COUNTIFS('📋 Транзакції'!$B$5:$B$3623,A515,'📋 Транзакції'!$C$5:$C$3623,"&gt;="&amp;EDATE(DATEVALUE(C515&amp;"-01"),11),'📋 Транзакції'!$C$5:$C$3623,"&lt;"&amp;EDATE(DATEVALUE(C515&amp;"-01"),12))&gt;0,1,0)</f>
        <v>0</v>
      </c>
      <c r="S515" s="37">
        <f>SUMIFS('📋 Транзакції'!$F$5:$F$3623,'📋 Транзакції'!$B$5:$B$3623,A515,'📋 Транзакції'!$C$5:$C$3623,"&gt;="&amp;EDATE(DATEVALUE(C515&amp;"-01"),0),'📋 Транзакції'!$C$5:$C$3623,"&lt;"&amp;EDATE(DATEVALUE(C515&amp;"-01"),1))</f>
        <v>19.99</v>
      </c>
      <c r="T515" s="37">
        <f>SUMIFS('📋 Транзакції'!$F$5:$F$3623,'📋 Транзакції'!$B$5:$B$3623,A515,'📋 Транзакції'!$C$5:$C$3623,"&gt;="&amp;EDATE(DATEVALUE(C515&amp;"-01"),1),'📋 Транзакції'!$C$5:$C$3623,"&lt;"&amp;EDATE(DATEVALUE(C515&amp;"-01"),2))</f>
        <v>19.99</v>
      </c>
      <c r="U515" s="37">
        <f>SUMIFS('📋 Транзакції'!$F$5:$F$3623,'📋 Транзакції'!$B$5:$B$3623,A515,'📋 Транзакції'!$C$5:$C$3623,"&gt;="&amp;EDATE(DATEVALUE(C515&amp;"-01"),2),'📋 Транзакції'!$C$5:$C$3623,"&lt;"&amp;EDATE(DATEVALUE(C515&amp;"-01"),3))</f>
        <v>0</v>
      </c>
      <c r="V515" s="37">
        <f>SUMIFS('📋 Транзакції'!$F$5:$F$3623,'📋 Транзакції'!$B$5:$B$3623,A515,'📋 Транзакції'!$C$5:$C$3623,"&gt;="&amp;EDATE(DATEVALUE(C515&amp;"-01"),3),'📋 Транзакції'!$C$5:$C$3623,"&lt;"&amp;EDATE(DATEVALUE(C515&amp;"-01"),4))</f>
        <v>0</v>
      </c>
      <c r="W515" s="37">
        <f>SUMIFS('📋 Транзакції'!$F$5:$F$3623,'📋 Транзакції'!$B$5:$B$3623,A515,'📋 Транзакції'!$C$5:$C$3623,"&gt;="&amp;EDATE(DATEVALUE(C515&amp;"-01"),4),'📋 Транзакції'!$C$5:$C$3623,"&lt;"&amp;EDATE(DATEVALUE(C515&amp;"-01"),5))</f>
        <v>0</v>
      </c>
      <c r="X515" s="37">
        <f>SUMIFS('📋 Транзакції'!$F$5:$F$3623,'📋 Транзакції'!$B$5:$B$3623,A515,'📋 Транзакції'!$C$5:$C$3623,"&gt;="&amp;EDATE(DATEVALUE(C515&amp;"-01"),5),'📋 Транзакції'!$C$5:$C$3623,"&lt;"&amp;EDATE(DATEVALUE(C515&amp;"-01"),6))</f>
        <v>0</v>
      </c>
      <c r="Y515" s="37">
        <f>SUMIFS('📋 Транзакції'!$F$5:$F$3623,'📋 Транзакції'!$B$5:$B$3623,A515,'📋 Транзакції'!$C$5:$C$3623,"&gt;="&amp;EDATE(DATEVALUE(C515&amp;"-01"),6),'📋 Транзакції'!$C$5:$C$3623,"&lt;"&amp;EDATE(DATEVALUE(C515&amp;"-01"),7))</f>
        <v>0</v>
      </c>
      <c r="Z515" s="37">
        <f>SUMIFS('📋 Транзакції'!$F$5:$F$3623,'📋 Транзакції'!$B$5:$B$3623,A515,'📋 Транзакції'!$C$5:$C$3623,"&gt;="&amp;EDATE(DATEVALUE(C515&amp;"-01"),7),'📋 Транзакції'!$C$5:$C$3623,"&lt;"&amp;EDATE(DATEVALUE(C515&amp;"-01"),8))</f>
        <v>0</v>
      </c>
      <c r="AA515" s="37">
        <f>SUMIFS('📋 Транзакції'!$F$5:$F$3623,'📋 Транзакції'!$B$5:$B$3623,A515,'📋 Транзакції'!$C$5:$C$3623,"&gt;="&amp;EDATE(DATEVALUE(C515&amp;"-01"),8),'📋 Транзакції'!$C$5:$C$3623,"&lt;"&amp;EDATE(DATEVALUE(C515&amp;"-01"),9))</f>
        <v>0</v>
      </c>
      <c r="AB515" s="37">
        <f>SUMIFS('📋 Транзакції'!$F$5:$F$3623,'📋 Транзакції'!$B$5:$B$3623,A515,'📋 Транзакції'!$C$5:$C$3623,"&gt;="&amp;EDATE(DATEVALUE(C515&amp;"-01"),9),'📋 Транзакції'!$C$5:$C$3623,"&lt;"&amp;EDATE(DATEVALUE(C515&amp;"-01"),10))</f>
        <v>0</v>
      </c>
      <c r="AC515" s="37">
        <f>SUMIFS('📋 Транзакції'!$F$5:$F$3623,'📋 Транзакції'!$B$5:$B$3623,A515,'📋 Транзакції'!$C$5:$C$3623,"&gt;="&amp;EDATE(DATEVALUE(C515&amp;"-01"),10),'📋 Транзакції'!$C$5:$C$3623,"&lt;"&amp;EDATE(DATEVALUE(C515&amp;"-01"),11))</f>
        <v>0</v>
      </c>
      <c r="AD515" s="37">
        <f>SUMIFS('📋 Транзакції'!$F$5:$F$3623,'📋 Транзакції'!$B$5:$B$3623,A515,'📋 Транзакції'!$C$5:$C$3623,"&gt;="&amp;EDATE(DATEVALUE(C515&amp;"-01"),11),'📋 Транзакції'!$C$5:$C$3623,"&lt;"&amp;EDATE(DATEVALUE(C515&amp;"-01"),12))</f>
        <v>0</v>
      </c>
    </row>
    <row r="516" ht="15.75" customHeight="1">
      <c r="A516" s="33" t="str">
        <f>'📋 Реєстрації'!A516:A1117</f>
        <v>U0736</v>
      </c>
      <c r="B516" s="34">
        <f t="array" ref="B516">INDEX('📋 Транзакції'!$C$5:$C$3623,MATCH(A516,'📋 Транзакції'!$B$5:$B$3623,0))</f>
        <v>45695</v>
      </c>
      <c r="C516" s="35" t="str">
        <f t="shared" si="1"/>
        <v>2025-02</v>
      </c>
      <c r="D516" s="36">
        <f>COUNTIF('📋 Транзакції'!$B$5:$B$3623,A516)</f>
        <v>3</v>
      </c>
      <c r="E516" s="36">
        <f>SUMIF('📋 Транзакції'!$B$5:$B$3623,A516,'📋 Транзакції'!$F$5:$F$3623)</f>
        <v>39.98</v>
      </c>
      <c r="F516" s="35">
        <f>INT($A$1-MAXIFS('📋 Транзакції'!$C$5:$C$3623,'📋 Транзакції'!$B$5:$B$3623,A516))</f>
        <v>15</v>
      </c>
      <c r="G516" s="37">
        <f>IF(COUNTIFS('📋 Транзакції'!$B$5:$B$3623,A516,'📋 Транзакції'!$C$5:$C$3623,"&gt;="&amp;EDATE(DATEVALUE(C516&amp;"-01"),0),'📋 Транзакції'!$C$5:$C$3623,"&lt;"&amp;EDATE(DATEVALUE(C516&amp;"-01"),1))&gt;0,1,0)</f>
        <v>1</v>
      </c>
      <c r="H516" s="37">
        <f>IF(COUNTIFS('📋 Транзакції'!$B$5:$B$3623,A516,'📋 Транзакції'!$C$5:$C$3623,"&gt;="&amp;EDATE(DATEVALUE(C516&amp;"-01"),1),'📋 Транзакції'!$C$5:$C$3623,"&lt;"&amp;EDATE(DATEVALUE(C516&amp;"-01"),2))&gt;0,1,0)</f>
        <v>1</v>
      </c>
      <c r="I516" s="37">
        <f>IF(COUNTIFS('📋 Транзакції'!$B$5:$B$3623,A516,'📋 Транзакції'!$C$5:$C$3623,"&gt;="&amp;EDATE(DATEVALUE(C516&amp;"-01"),2),'📋 Транзакції'!$C$5:$C$3623,"&lt;"&amp;EDATE(DATEVALUE(C516&amp;"-01"),3))&gt;0,1,0)</f>
        <v>0</v>
      </c>
      <c r="J516" s="37">
        <f>IF(COUNTIFS('📋 Транзакції'!$B$5:$B$3623,A516,'📋 Транзакції'!$C$5:$C$3623,"&gt;="&amp;EDATE(DATEVALUE(C516&amp;"-01"),3),'📋 Транзакції'!$C$5:$C$3623,"&lt;"&amp;EDATE(DATEVALUE(C516&amp;"-01"),4))&gt;0,1,0)</f>
        <v>0</v>
      </c>
      <c r="K516" s="37">
        <f>IF(COUNTIFS('📋 Транзакції'!$B$5:$B$3623,A516,'📋 Транзакції'!$C$5:$C$3623,"&gt;="&amp;EDATE(DATEVALUE(C516&amp;"-01"),4),'📋 Транзакції'!$C$5:$C$3623,"&lt;"&amp;EDATE(DATEVALUE(C516&amp;"-01"),5))&gt;0,1,0)</f>
        <v>0</v>
      </c>
      <c r="L516" s="37">
        <f>IF(COUNTIFS('📋 Транзакції'!$B$5:$B$3623,A516,'📋 Транзакції'!$C$5:$C$3623,"&gt;="&amp;EDATE(DATEVALUE(C516&amp;"-01"),5),'📋 Транзакції'!$C$5:$C$3623,"&lt;"&amp;EDATE(DATEVALUE(C516&amp;"-01"),6))&gt;0,1,0)</f>
        <v>0</v>
      </c>
      <c r="M516" s="37">
        <f>IF(COUNTIFS('📋 Транзакції'!$B$5:$B$3623,A516,'📋 Транзакції'!$C$5:$C$3623,"&gt;="&amp;EDATE(DATEVALUE(C516&amp;"-01"),6),'📋 Транзакції'!$C$5:$C$3623,"&lt;"&amp;EDATE(DATEVALUE(C516&amp;"-01"),7))&gt;0,1,0)</f>
        <v>0</v>
      </c>
      <c r="N516" s="37">
        <f>IF(COUNTIFS('📋 Транзакції'!$B$5:$B$3623,A516,'📋 Транзакції'!$C$5:$C$3623,"&gt;="&amp;EDATE(DATEVALUE(C516&amp;"-01"),7),'📋 Транзакції'!$C$5:$C$3623,"&lt;"&amp;EDATE(DATEVALUE(C516&amp;"-01"),8))&gt;0,1,0)</f>
        <v>0</v>
      </c>
      <c r="O516" s="37">
        <f>IF(COUNTIFS('📋 Транзакції'!$B$5:$B$3623,A516,'📋 Транзакції'!$C$5:$C$3623,"&gt;="&amp;EDATE(DATEVALUE(C516&amp;"-01"),8),'📋 Транзакції'!$C$5:$C$3623,"&lt;"&amp;EDATE(DATEVALUE(C516&amp;"-01"),9))&gt;0,1,0)</f>
        <v>0</v>
      </c>
      <c r="P516" s="37">
        <f>IF(COUNTIFS('📋 Транзакції'!$B$5:$B$3623,A516,'📋 Транзакції'!$C$5:$C$3623,"&gt;="&amp;EDATE(DATEVALUE(C516&amp;"-01"),9),'📋 Транзакції'!$C$5:$C$3623,"&lt;"&amp;EDATE(DATEVALUE(C516&amp;"-01"),10))&gt;0,1,0)</f>
        <v>0</v>
      </c>
      <c r="Q516" s="37">
        <f>IF(COUNTIFS('📋 Транзакції'!$B$5:$B$3623,A516,'📋 Транзакції'!$C$5:$C$3623,"&gt;="&amp;EDATE(DATEVALUE(C516&amp;"-01"),10),'📋 Транзакції'!$C$5:$C$3623,"&lt;"&amp;EDATE(DATEVALUE(C516&amp;"-01"),11))&gt;0,1,0)</f>
        <v>0</v>
      </c>
      <c r="R516" s="37">
        <f>IF(COUNTIFS('📋 Транзакції'!$B$5:$B$3623,A516,'📋 Транзакції'!$C$5:$C$3623,"&gt;="&amp;EDATE(DATEVALUE(C516&amp;"-01"),11),'📋 Транзакції'!$C$5:$C$3623,"&lt;"&amp;EDATE(DATEVALUE(C516&amp;"-01"),12))&gt;0,1,0)</f>
        <v>0</v>
      </c>
      <c r="S516" s="37">
        <f>SUMIFS('📋 Транзакції'!$F$5:$F$3623,'📋 Транзакції'!$B$5:$B$3623,A516,'📋 Транзакції'!$C$5:$C$3623,"&gt;="&amp;EDATE(DATEVALUE(C516&amp;"-01"),0),'📋 Транзакції'!$C$5:$C$3623,"&lt;"&amp;EDATE(DATEVALUE(C516&amp;"-01"),1))</f>
        <v>19.99</v>
      </c>
      <c r="T516" s="37">
        <f>SUMIFS('📋 Транзакції'!$F$5:$F$3623,'📋 Транзакції'!$B$5:$B$3623,A516,'📋 Транзакції'!$C$5:$C$3623,"&gt;="&amp;EDATE(DATEVALUE(C516&amp;"-01"),1),'📋 Транзакції'!$C$5:$C$3623,"&lt;"&amp;EDATE(DATEVALUE(C516&amp;"-01"),2))</f>
        <v>19.99</v>
      </c>
      <c r="U516" s="37">
        <f>SUMIFS('📋 Транзакції'!$F$5:$F$3623,'📋 Транзакції'!$B$5:$B$3623,A516,'📋 Транзакції'!$C$5:$C$3623,"&gt;="&amp;EDATE(DATEVALUE(C516&amp;"-01"),2),'📋 Транзакції'!$C$5:$C$3623,"&lt;"&amp;EDATE(DATEVALUE(C516&amp;"-01"),3))</f>
        <v>0</v>
      </c>
      <c r="V516" s="37">
        <f>SUMIFS('📋 Транзакції'!$F$5:$F$3623,'📋 Транзакції'!$B$5:$B$3623,A516,'📋 Транзакції'!$C$5:$C$3623,"&gt;="&amp;EDATE(DATEVALUE(C516&amp;"-01"),3),'📋 Транзакції'!$C$5:$C$3623,"&lt;"&amp;EDATE(DATEVALUE(C516&amp;"-01"),4))</f>
        <v>0</v>
      </c>
      <c r="W516" s="37">
        <f>SUMIFS('📋 Транзакції'!$F$5:$F$3623,'📋 Транзакції'!$B$5:$B$3623,A516,'📋 Транзакції'!$C$5:$C$3623,"&gt;="&amp;EDATE(DATEVALUE(C516&amp;"-01"),4),'📋 Транзакції'!$C$5:$C$3623,"&lt;"&amp;EDATE(DATEVALUE(C516&amp;"-01"),5))</f>
        <v>0</v>
      </c>
      <c r="X516" s="37">
        <f>SUMIFS('📋 Транзакції'!$F$5:$F$3623,'📋 Транзакції'!$B$5:$B$3623,A516,'📋 Транзакції'!$C$5:$C$3623,"&gt;="&amp;EDATE(DATEVALUE(C516&amp;"-01"),5),'📋 Транзакції'!$C$5:$C$3623,"&lt;"&amp;EDATE(DATEVALUE(C516&amp;"-01"),6))</f>
        <v>0</v>
      </c>
      <c r="Y516" s="37">
        <f>SUMIFS('📋 Транзакції'!$F$5:$F$3623,'📋 Транзакції'!$B$5:$B$3623,A516,'📋 Транзакції'!$C$5:$C$3623,"&gt;="&amp;EDATE(DATEVALUE(C516&amp;"-01"),6),'📋 Транзакції'!$C$5:$C$3623,"&lt;"&amp;EDATE(DATEVALUE(C516&amp;"-01"),7))</f>
        <v>0</v>
      </c>
      <c r="Z516" s="37">
        <f>SUMIFS('📋 Транзакції'!$F$5:$F$3623,'📋 Транзакції'!$B$5:$B$3623,A516,'📋 Транзакції'!$C$5:$C$3623,"&gt;="&amp;EDATE(DATEVALUE(C516&amp;"-01"),7),'📋 Транзакції'!$C$5:$C$3623,"&lt;"&amp;EDATE(DATEVALUE(C516&amp;"-01"),8))</f>
        <v>0</v>
      </c>
      <c r="AA516" s="37">
        <f>SUMIFS('📋 Транзакції'!$F$5:$F$3623,'📋 Транзакції'!$B$5:$B$3623,A516,'📋 Транзакції'!$C$5:$C$3623,"&gt;="&amp;EDATE(DATEVALUE(C516&amp;"-01"),8),'📋 Транзакції'!$C$5:$C$3623,"&lt;"&amp;EDATE(DATEVALUE(C516&amp;"-01"),9))</f>
        <v>0</v>
      </c>
      <c r="AB516" s="37">
        <f>SUMIFS('📋 Транзакції'!$F$5:$F$3623,'📋 Транзакції'!$B$5:$B$3623,A516,'📋 Транзакції'!$C$5:$C$3623,"&gt;="&amp;EDATE(DATEVALUE(C516&amp;"-01"),9),'📋 Транзакції'!$C$5:$C$3623,"&lt;"&amp;EDATE(DATEVALUE(C516&amp;"-01"),10))</f>
        <v>0</v>
      </c>
      <c r="AC516" s="37">
        <f>SUMIFS('📋 Транзакції'!$F$5:$F$3623,'📋 Транзакції'!$B$5:$B$3623,A516,'📋 Транзакції'!$C$5:$C$3623,"&gt;="&amp;EDATE(DATEVALUE(C516&amp;"-01"),10),'📋 Транзакції'!$C$5:$C$3623,"&lt;"&amp;EDATE(DATEVALUE(C516&amp;"-01"),11))</f>
        <v>0</v>
      </c>
      <c r="AD516" s="37">
        <f>SUMIFS('📋 Транзакції'!$F$5:$F$3623,'📋 Транзакції'!$B$5:$B$3623,A516,'📋 Транзакції'!$C$5:$C$3623,"&gt;="&amp;EDATE(DATEVALUE(C516&amp;"-01"),11),'📋 Транзакції'!$C$5:$C$3623,"&lt;"&amp;EDATE(DATEVALUE(C516&amp;"-01"),12))</f>
        <v>0</v>
      </c>
    </row>
    <row r="517" ht="15.75" customHeight="1">
      <c r="A517" s="33" t="str">
        <f>'📋 Реєстрації'!A517:A1118</f>
        <v>U0063</v>
      </c>
      <c r="B517" s="34">
        <f t="array" ref="B517">INDEX('📋 Транзакції'!$C$5:$C$3623,MATCH(A517,'📋 Транзакції'!$B$5:$B$3623,0))</f>
        <v>45696</v>
      </c>
      <c r="C517" s="35" t="str">
        <f t="shared" si="1"/>
        <v>2025-02</v>
      </c>
      <c r="D517" s="36">
        <f>COUNTIF('📋 Транзакції'!$B$5:$B$3623,A517)</f>
        <v>3</v>
      </c>
      <c r="E517" s="36">
        <f>SUMIF('📋 Транзакції'!$B$5:$B$3623,A517,'📋 Транзакції'!$F$5:$F$3623)</f>
        <v>39.98</v>
      </c>
      <c r="F517" s="35">
        <f>INT($A$1-MAXIFS('📋 Транзакції'!$C$5:$C$3623,'📋 Транзакції'!$B$5:$B$3623,A517))</f>
        <v>14</v>
      </c>
      <c r="G517" s="37">
        <f>IF(COUNTIFS('📋 Транзакції'!$B$5:$B$3623,A517,'📋 Транзакції'!$C$5:$C$3623,"&gt;="&amp;EDATE(DATEVALUE(C517&amp;"-01"),0),'📋 Транзакції'!$C$5:$C$3623,"&lt;"&amp;EDATE(DATEVALUE(C517&amp;"-01"),1))&gt;0,1,0)</f>
        <v>1</v>
      </c>
      <c r="H517" s="37">
        <f>IF(COUNTIFS('📋 Транзакції'!$B$5:$B$3623,A517,'📋 Транзакції'!$C$5:$C$3623,"&gt;="&amp;EDATE(DATEVALUE(C517&amp;"-01"),1),'📋 Транзакції'!$C$5:$C$3623,"&lt;"&amp;EDATE(DATEVALUE(C517&amp;"-01"),2))&gt;0,1,0)</f>
        <v>1</v>
      </c>
      <c r="I517" s="37">
        <f>IF(COUNTIFS('📋 Транзакції'!$B$5:$B$3623,A517,'📋 Транзакції'!$C$5:$C$3623,"&gt;="&amp;EDATE(DATEVALUE(C517&amp;"-01"),2),'📋 Транзакції'!$C$5:$C$3623,"&lt;"&amp;EDATE(DATEVALUE(C517&amp;"-01"),3))&gt;0,1,0)</f>
        <v>0</v>
      </c>
      <c r="J517" s="37">
        <f>IF(COUNTIFS('📋 Транзакції'!$B$5:$B$3623,A517,'📋 Транзакції'!$C$5:$C$3623,"&gt;="&amp;EDATE(DATEVALUE(C517&amp;"-01"),3),'📋 Транзакції'!$C$5:$C$3623,"&lt;"&amp;EDATE(DATEVALUE(C517&amp;"-01"),4))&gt;0,1,0)</f>
        <v>0</v>
      </c>
      <c r="K517" s="37">
        <f>IF(COUNTIFS('📋 Транзакції'!$B$5:$B$3623,A517,'📋 Транзакції'!$C$5:$C$3623,"&gt;="&amp;EDATE(DATEVALUE(C517&amp;"-01"),4),'📋 Транзакції'!$C$5:$C$3623,"&lt;"&amp;EDATE(DATEVALUE(C517&amp;"-01"),5))&gt;0,1,0)</f>
        <v>0</v>
      </c>
      <c r="L517" s="37">
        <f>IF(COUNTIFS('📋 Транзакції'!$B$5:$B$3623,A517,'📋 Транзакції'!$C$5:$C$3623,"&gt;="&amp;EDATE(DATEVALUE(C517&amp;"-01"),5),'📋 Транзакції'!$C$5:$C$3623,"&lt;"&amp;EDATE(DATEVALUE(C517&amp;"-01"),6))&gt;0,1,0)</f>
        <v>0</v>
      </c>
      <c r="M517" s="37">
        <f>IF(COUNTIFS('📋 Транзакції'!$B$5:$B$3623,A517,'📋 Транзакції'!$C$5:$C$3623,"&gt;="&amp;EDATE(DATEVALUE(C517&amp;"-01"),6),'📋 Транзакції'!$C$5:$C$3623,"&lt;"&amp;EDATE(DATEVALUE(C517&amp;"-01"),7))&gt;0,1,0)</f>
        <v>0</v>
      </c>
      <c r="N517" s="37">
        <f>IF(COUNTIFS('📋 Транзакції'!$B$5:$B$3623,A517,'📋 Транзакції'!$C$5:$C$3623,"&gt;="&amp;EDATE(DATEVALUE(C517&amp;"-01"),7),'📋 Транзакції'!$C$5:$C$3623,"&lt;"&amp;EDATE(DATEVALUE(C517&amp;"-01"),8))&gt;0,1,0)</f>
        <v>0</v>
      </c>
      <c r="O517" s="37">
        <f>IF(COUNTIFS('📋 Транзакції'!$B$5:$B$3623,A517,'📋 Транзакції'!$C$5:$C$3623,"&gt;="&amp;EDATE(DATEVALUE(C517&amp;"-01"),8),'📋 Транзакції'!$C$5:$C$3623,"&lt;"&amp;EDATE(DATEVALUE(C517&amp;"-01"),9))&gt;0,1,0)</f>
        <v>0</v>
      </c>
      <c r="P517" s="37">
        <f>IF(COUNTIFS('📋 Транзакції'!$B$5:$B$3623,A517,'📋 Транзакції'!$C$5:$C$3623,"&gt;="&amp;EDATE(DATEVALUE(C517&amp;"-01"),9),'📋 Транзакції'!$C$5:$C$3623,"&lt;"&amp;EDATE(DATEVALUE(C517&amp;"-01"),10))&gt;0,1,0)</f>
        <v>0</v>
      </c>
      <c r="Q517" s="37">
        <f>IF(COUNTIFS('📋 Транзакції'!$B$5:$B$3623,A517,'📋 Транзакції'!$C$5:$C$3623,"&gt;="&amp;EDATE(DATEVALUE(C517&amp;"-01"),10),'📋 Транзакції'!$C$5:$C$3623,"&lt;"&amp;EDATE(DATEVALUE(C517&amp;"-01"),11))&gt;0,1,0)</f>
        <v>0</v>
      </c>
      <c r="R517" s="37">
        <f>IF(COUNTIFS('📋 Транзакції'!$B$5:$B$3623,A517,'📋 Транзакції'!$C$5:$C$3623,"&gt;="&amp;EDATE(DATEVALUE(C517&amp;"-01"),11),'📋 Транзакції'!$C$5:$C$3623,"&lt;"&amp;EDATE(DATEVALUE(C517&amp;"-01"),12))&gt;0,1,0)</f>
        <v>0</v>
      </c>
      <c r="S517" s="37">
        <f>SUMIFS('📋 Транзакції'!$F$5:$F$3623,'📋 Транзакції'!$B$5:$B$3623,A517,'📋 Транзакції'!$C$5:$C$3623,"&gt;="&amp;EDATE(DATEVALUE(C517&amp;"-01"),0),'📋 Транзакції'!$C$5:$C$3623,"&lt;"&amp;EDATE(DATEVALUE(C517&amp;"-01"),1))</f>
        <v>19.99</v>
      </c>
      <c r="T517" s="37">
        <f>SUMIFS('📋 Транзакції'!$F$5:$F$3623,'📋 Транзакції'!$B$5:$B$3623,A517,'📋 Транзакції'!$C$5:$C$3623,"&gt;="&amp;EDATE(DATEVALUE(C517&amp;"-01"),1),'📋 Транзакції'!$C$5:$C$3623,"&lt;"&amp;EDATE(DATEVALUE(C517&amp;"-01"),2))</f>
        <v>19.99</v>
      </c>
      <c r="U517" s="37">
        <f>SUMIFS('📋 Транзакції'!$F$5:$F$3623,'📋 Транзакції'!$B$5:$B$3623,A517,'📋 Транзакції'!$C$5:$C$3623,"&gt;="&amp;EDATE(DATEVALUE(C517&amp;"-01"),2),'📋 Транзакції'!$C$5:$C$3623,"&lt;"&amp;EDATE(DATEVALUE(C517&amp;"-01"),3))</f>
        <v>0</v>
      </c>
      <c r="V517" s="37">
        <f>SUMIFS('📋 Транзакції'!$F$5:$F$3623,'📋 Транзакції'!$B$5:$B$3623,A517,'📋 Транзакції'!$C$5:$C$3623,"&gt;="&amp;EDATE(DATEVALUE(C517&amp;"-01"),3),'📋 Транзакції'!$C$5:$C$3623,"&lt;"&amp;EDATE(DATEVALUE(C517&amp;"-01"),4))</f>
        <v>0</v>
      </c>
      <c r="W517" s="37">
        <f>SUMIFS('📋 Транзакції'!$F$5:$F$3623,'📋 Транзакції'!$B$5:$B$3623,A517,'📋 Транзакції'!$C$5:$C$3623,"&gt;="&amp;EDATE(DATEVALUE(C517&amp;"-01"),4),'📋 Транзакції'!$C$5:$C$3623,"&lt;"&amp;EDATE(DATEVALUE(C517&amp;"-01"),5))</f>
        <v>0</v>
      </c>
      <c r="X517" s="37">
        <f>SUMIFS('📋 Транзакції'!$F$5:$F$3623,'📋 Транзакції'!$B$5:$B$3623,A517,'📋 Транзакції'!$C$5:$C$3623,"&gt;="&amp;EDATE(DATEVALUE(C517&amp;"-01"),5),'📋 Транзакції'!$C$5:$C$3623,"&lt;"&amp;EDATE(DATEVALUE(C517&amp;"-01"),6))</f>
        <v>0</v>
      </c>
      <c r="Y517" s="37">
        <f>SUMIFS('📋 Транзакції'!$F$5:$F$3623,'📋 Транзакції'!$B$5:$B$3623,A517,'📋 Транзакції'!$C$5:$C$3623,"&gt;="&amp;EDATE(DATEVALUE(C517&amp;"-01"),6),'📋 Транзакції'!$C$5:$C$3623,"&lt;"&amp;EDATE(DATEVALUE(C517&amp;"-01"),7))</f>
        <v>0</v>
      </c>
      <c r="Z517" s="37">
        <f>SUMIFS('📋 Транзакції'!$F$5:$F$3623,'📋 Транзакції'!$B$5:$B$3623,A517,'📋 Транзакції'!$C$5:$C$3623,"&gt;="&amp;EDATE(DATEVALUE(C517&amp;"-01"),7),'📋 Транзакції'!$C$5:$C$3623,"&lt;"&amp;EDATE(DATEVALUE(C517&amp;"-01"),8))</f>
        <v>0</v>
      </c>
      <c r="AA517" s="37">
        <f>SUMIFS('📋 Транзакції'!$F$5:$F$3623,'📋 Транзакції'!$B$5:$B$3623,A517,'📋 Транзакції'!$C$5:$C$3623,"&gt;="&amp;EDATE(DATEVALUE(C517&amp;"-01"),8),'📋 Транзакції'!$C$5:$C$3623,"&lt;"&amp;EDATE(DATEVALUE(C517&amp;"-01"),9))</f>
        <v>0</v>
      </c>
      <c r="AB517" s="37">
        <f>SUMIFS('📋 Транзакції'!$F$5:$F$3623,'📋 Транзакції'!$B$5:$B$3623,A517,'📋 Транзакції'!$C$5:$C$3623,"&gt;="&amp;EDATE(DATEVALUE(C517&amp;"-01"),9),'📋 Транзакції'!$C$5:$C$3623,"&lt;"&amp;EDATE(DATEVALUE(C517&amp;"-01"),10))</f>
        <v>0</v>
      </c>
      <c r="AC517" s="37">
        <f>SUMIFS('📋 Транзакції'!$F$5:$F$3623,'📋 Транзакції'!$B$5:$B$3623,A517,'📋 Транзакції'!$C$5:$C$3623,"&gt;="&amp;EDATE(DATEVALUE(C517&amp;"-01"),10),'📋 Транзакції'!$C$5:$C$3623,"&lt;"&amp;EDATE(DATEVALUE(C517&amp;"-01"),11))</f>
        <v>0</v>
      </c>
      <c r="AD517" s="37">
        <f>SUMIFS('📋 Транзакції'!$F$5:$F$3623,'📋 Транзакції'!$B$5:$B$3623,A517,'📋 Транзакції'!$C$5:$C$3623,"&gt;="&amp;EDATE(DATEVALUE(C517&amp;"-01"),11),'📋 Транзакції'!$C$5:$C$3623,"&lt;"&amp;EDATE(DATEVALUE(C517&amp;"-01"),12))</f>
        <v>0</v>
      </c>
    </row>
    <row r="518" ht="15.75" customHeight="1">
      <c r="A518" s="33" t="str">
        <f>'📋 Реєстрації'!A518:A1119</f>
        <v>U0406</v>
      </c>
      <c r="B518" s="34">
        <f t="array" ref="B518">INDEX('📋 Транзакції'!$C$5:$C$3623,MATCH(A518,'📋 Транзакції'!$B$5:$B$3623,0))</f>
        <v>45696</v>
      </c>
      <c r="C518" s="35" t="str">
        <f t="shared" si="1"/>
        <v>2025-02</v>
      </c>
      <c r="D518" s="36">
        <f>COUNTIF('📋 Транзакції'!$B$5:$B$3623,A518)</f>
        <v>3</v>
      </c>
      <c r="E518" s="36">
        <f>SUMIF('📋 Транзакції'!$B$5:$B$3623,A518,'📋 Транзакції'!$F$5:$F$3623)</f>
        <v>39.98</v>
      </c>
      <c r="F518" s="35">
        <f>INT($A$1-MAXIFS('📋 Транзакції'!$C$5:$C$3623,'📋 Транзакції'!$B$5:$B$3623,A518))</f>
        <v>14</v>
      </c>
      <c r="G518" s="37">
        <f>IF(COUNTIFS('📋 Транзакції'!$B$5:$B$3623,A518,'📋 Транзакції'!$C$5:$C$3623,"&gt;="&amp;EDATE(DATEVALUE(C518&amp;"-01"),0),'📋 Транзакції'!$C$5:$C$3623,"&lt;"&amp;EDATE(DATEVALUE(C518&amp;"-01"),1))&gt;0,1,0)</f>
        <v>1</v>
      </c>
      <c r="H518" s="37">
        <f>IF(COUNTIFS('📋 Транзакції'!$B$5:$B$3623,A518,'📋 Транзакції'!$C$5:$C$3623,"&gt;="&amp;EDATE(DATEVALUE(C518&amp;"-01"),1),'📋 Транзакції'!$C$5:$C$3623,"&lt;"&amp;EDATE(DATEVALUE(C518&amp;"-01"),2))&gt;0,1,0)</f>
        <v>1</v>
      </c>
      <c r="I518" s="37">
        <f>IF(COUNTIFS('📋 Транзакції'!$B$5:$B$3623,A518,'📋 Транзакції'!$C$5:$C$3623,"&gt;="&amp;EDATE(DATEVALUE(C518&amp;"-01"),2),'📋 Транзакції'!$C$5:$C$3623,"&lt;"&amp;EDATE(DATEVALUE(C518&amp;"-01"),3))&gt;0,1,0)</f>
        <v>0</v>
      </c>
      <c r="J518" s="37">
        <f>IF(COUNTIFS('📋 Транзакції'!$B$5:$B$3623,A518,'📋 Транзакції'!$C$5:$C$3623,"&gt;="&amp;EDATE(DATEVALUE(C518&amp;"-01"),3),'📋 Транзакції'!$C$5:$C$3623,"&lt;"&amp;EDATE(DATEVALUE(C518&amp;"-01"),4))&gt;0,1,0)</f>
        <v>0</v>
      </c>
      <c r="K518" s="37">
        <f>IF(COUNTIFS('📋 Транзакції'!$B$5:$B$3623,A518,'📋 Транзакції'!$C$5:$C$3623,"&gt;="&amp;EDATE(DATEVALUE(C518&amp;"-01"),4),'📋 Транзакції'!$C$5:$C$3623,"&lt;"&amp;EDATE(DATEVALUE(C518&amp;"-01"),5))&gt;0,1,0)</f>
        <v>0</v>
      </c>
      <c r="L518" s="37">
        <f>IF(COUNTIFS('📋 Транзакції'!$B$5:$B$3623,A518,'📋 Транзакції'!$C$5:$C$3623,"&gt;="&amp;EDATE(DATEVALUE(C518&amp;"-01"),5),'📋 Транзакції'!$C$5:$C$3623,"&lt;"&amp;EDATE(DATEVALUE(C518&amp;"-01"),6))&gt;0,1,0)</f>
        <v>0</v>
      </c>
      <c r="M518" s="37">
        <f>IF(COUNTIFS('📋 Транзакції'!$B$5:$B$3623,A518,'📋 Транзакції'!$C$5:$C$3623,"&gt;="&amp;EDATE(DATEVALUE(C518&amp;"-01"),6),'📋 Транзакції'!$C$5:$C$3623,"&lt;"&amp;EDATE(DATEVALUE(C518&amp;"-01"),7))&gt;0,1,0)</f>
        <v>0</v>
      </c>
      <c r="N518" s="37">
        <f>IF(COUNTIFS('📋 Транзакції'!$B$5:$B$3623,A518,'📋 Транзакції'!$C$5:$C$3623,"&gt;="&amp;EDATE(DATEVALUE(C518&amp;"-01"),7),'📋 Транзакції'!$C$5:$C$3623,"&lt;"&amp;EDATE(DATEVALUE(C518&amp;"-01"),8))&gt;0,1,0)</f>
        <v>0</v>
      </c>
      <c r="O518" s="37">
        <f>IF(COUNTIFS('📋 Транзакції'!$B$5:$B$3623,A518,'📋 Транзакції'!$C$5:$C$3623,"&gt;="&amp;EDATE(DATEVALUE(C518&amp;"-01"),8),'📋 Транзакції'!$C$5:$C$3623,"&lt;"&amp;EDATE(DATEVALUE(C518&amp;"-01"),9))&gt;0,1,0)</f>
        <v>0</v>
      </c>
      <c r="P518" s="37">
        <f>IF(COUNTIFS('📋 Транзакції'!$B$5:$B$3623,A518,'📋 Транзакції'!$C$5:$C$3623,"&gt;="&amp;EDATE(DATEVALUE(C518&amp;"-01"),9),'📋 Транзакції'!$C$5:$C$3623,"&lt;"&amp;EDATE(DATEVALUE(C518&amp;"-01"),10))&gt;0,1,0)</f>
        <v>0</v>
      </c>
      <c r="Q518" s="37">
        <f>IF(COUNTIFS('📋 Транзакції'!$B$5:$B$3623,A518,'📋 Транзакції'!$C$5:$C$3623,"&gt;="&amp;EDATE(DATEVALUE(C518&amp;"-01"),10),'📋 Транзакції'!$C$5:$C$3623,"&lt;"&amp;EDATE(DATEVALUE(C518&amp;"-01"),11))&gt;0,1,0)</f>
        <v>0</v>
      </c>
      <c r="R518" s="37">
        <f>IF(COUNTIFS('📋 Транзакції'!$B$5:$B$3623,A518,'📋 Транзакції'!$C$5:$C$3623,"&gt;="&amp;EDATE(DATEVALUE(C518&amp;"-01"),11),'📋 Транзакції'!$C$5:$C$3623,"&lt;"&amp;EDATE(DATEVALUE(C518&amp;"-01"),12))&gt;0,1,0)</f>
        <v>0</v>
      </c>
      <c r="S518" s="37">
        <f>SUMIFS('📋 Транзакції'!$F$5:$F$3623,'📋 Транзакції'!$B$5:$B$3623,A518,'📋 Транзакції'!$C$5:$C$3623,"&gt;="&amp;EDATE(DATEVALUE(C518&amp;"-01"),0),'📋 Транзакції'!$C$5:$C$3623,"&lt;"&amp;EDATE(DATEVALUE(C518&amp;"-01"),1))</f>
        <v>19.99</v>
      </c>
      <c r="T518" s="37">
        <f>SUMIFS('📋 Транзакції'!$F$5:$F$3623,'📋 Транзакції'!$B$5:$B$3623,A518,'📋 Транзакції'!$C$5:$C$3623,"&gt;="&amp;EDATE(DATEVALUE(C518&amp;"-01"),1),'📋 Транзакції'!$C$5:$C$3623,"&lt;"&amp;EDATE(DATEVALUE(C518&amp;"-01"),2))</f>
        <v>19.99</v>
      </c>
      <c r="U518" s="37">
        <f>SUMIFS('📋 Транзакції'!$F$5:$F$3623,'📋 Транзакції'!$B$5:$B$3623,A518,'📋 Транзакції'!$C$5:$C$3623,"&gt;="&amp;EDATE(DATEVALUE(C518&amp;"-01"),2),'📋 Транзакції'!$C$5:$C$3623,"&lt;"&amp;EDATE(DATEVALUE(C518&amp;"-01"),3))</f>
        <v>0</v>
      </c>
      <c r="V518" s="37">
        <f>SUMIFS('📋 Транзакції'!$F$5:$F$3623,'📋 Транзакції'!$B$5:$B$3623,A518,'📋 Транзакції'!$C$5:$C$3623,"&gt;="&amp;EDATE(DATEVALUE(C518&amp;"-01"),3),'📋 Транзакції'!$C$5:$C$3623,"&lt;"&amp;EDATE(DATEVALUE(C518&amp;"-01"),4))</f>
        <v>0</v>
      </c>
      <c r="W518" s="37">
        <f>SUMIFS('📋 Транзакції'!$F$5:$F$3623,'📋 Транзакції'!$B$5:$B$3623,A518,'📋 Транзакції'!$C$5:$C$3623,"&gt;="&amp;EDATE(DATEVALUE(C518&amp;"-01"),4),'📋 Транзакції'!$C$5:$C$3623,"&lt;"&amp;EDATE(DATEVALUE(C518&amp;"-01"),5))</f>
        <v>0</v>
      </c>
      <c r="X518" s="37">
        <f>SUMIFS('📋 Транзакції'!$F$5:$F$3623,'📋 Транзакції'!$B$5:$B$3623,A518,'📋 Транзакції'!$C$5:$C$3623,"&gt;="&amp;EDATE(DATEVALUE(C518&amp;"-01"),5),'📋 Транзакції'!$C$5:$C$3623,"&lt;"&amp;EDATE(DATEVALUE(C518&amp;"-01"),6))</f>
        <v>0</v>
      </c>
      <c r="Y518" s="37">
        <f>SUMIFS('📋 Транзакції'!$F$5:$F$3623,'📋 Транзакції'!$B$5:$B$3623,A518,'📋 Транзакції'!$C$5:$C$3623,"&gt;="&amp;EDATE(DATEVALUE(C518&amp;"-01"),6),'📋 Транзакції'!$C$5:$C$3623,"&lt;"&amp;EDATE(DATEVALUE(C518&amp;"-01"),7))</f>
        <v>0</v>
      </c>
      <c r="Z518" s="37">
        <f>SUMIFS('📋 Транзакції'!$F$5:$F$3623,'📋 Транзакції'!$B$5:$B$3623,A518,'📋 Транзакції'!$C$5:$C$3623,"&gt;="&amp;EDATE(DATEVALUE(C518&amp;"-01"),7),'📋 Транзакції'!$C$5:$C$3623,"&lt;"&amp;EDATE(DATEVALUE(C518&amp;"-01"),8))</f>
        <v>0</v>
      </c>
      <c r="AA518" s="37">
        <f>SUMIFS('📋 Транзакції'!$F$5:$F$3623,'📋 Транзакції'!$B$5:$B$3623,A518,'📋 Транзакції'!$C$5:$C$3623,"&gt;="&amp;EDATE(DATEVALUE(C518&amp;"-01"),8),'📋 Транзакції'!$C$5:$C$3623,"&lt;"&amp;EDATE(DATEVALUE(C518&amp;"-01"),9))</f>
        <v>0</v>
      </c>
      <c r="AB518" s="37">
        <f>SUMIFS('📋 Транзакції'!$F$5:$F$3623,'📋 Транзакції'!$B$5:$B$3623,A518,'📋 Транзакції'!$C$5:$C$3623,"&gt;="&amp;EDATE(DATEVALUE(C518&amp;"-01"),9),'📋 Транзакції'!$C$5:$C$3623,"&lt;"&amp;EDATE(DATEVALUE(C518&amp;"-01"),10))</f>
        <v>0</v>
      </c>
      <c r="AC518" s="37">
        <f>SUMIFS('📋 Транзакції'!$F$5:$F$3623,'📋 Транзакції'!$B$5:$B$3623,A518,'📋 Транзакції'!$C$5:$C$3623,"&gt;="&amp;EDATE(DATEVALUE(C518&amp;"-01"),10),'📋 Транзакції'!$C$5:$C$3623,"&lt;"&amp;EDATE(DATEVALUE(C518&amp;"-01"),11))</f>
        <v>0</v>
      </c>
      <c r="AD518" s="37">
        <f>SUMIFS('📋 Транзакції'!$F$5:$F$3623,'📋 Транзакції'!$B$5:$B$3623,A518,'📋 Транзакції'!$C$5:$C$3623,"&gt;="&amp;EDATE(DATEVALUE(C518&amp;"-01"),11),'📋 Транзакції'!$C$5:$C$3623,"&lt;"&amp;EDATE(DATEVALUE(C518&amp;"-01"),12))</f>
        <v>0</v>
      </c>
    </row>
    <row r="519" ht="15.75" customHeight="1">
      <c r="A519" s="33" t="str">
        <f>'📋 Реєстрації'!A519:A1120</f>
        <v>U0119</v>
      </c>
      <c r="B519" s="34">
        <f t="array" ref="B519">INDEX('📋 Транзакції'!$C$5:$C$3623,MATCH(A519,'📋 Транзакції'!$B$5:$B$3623,0))</f>
        <v>45698</v>
      </c>
      <c r="C519" s="35" t="str">
        <f t="shared" si="1"/>
        <v>2025-02</v>
      </c>
      <c r="D519" s="36">
        <f>COUNTIF('📋 Транзакції'!$B$5:$B$3623,A519)</f>
        <v>3</v>
      </c>
      <c r="E519" s="36">
        <f>SUMIF('📋 Транзакції'!$B$5:$B$3623,A519,'📋 Транзакції'!$F$5:$F$3623)</f>
        <v>39.98</v>
      </c>
      <c r="F519" s="35">
        <f>INT($A$1-MAXIFS('📋 Транзакції'!$C$5:$C$3623,'📋 Транзакції'!$B$5:$B$3623,A519))</f>
        <v>12</v>
      </c>
      <c r="G519" s="37">
        <f>IF(COUNTIFS('📋 Транзакції'!$B$5:$B$3623,A519,'📋 Транзакції'!$C$5:$C$3623,"&gt;="&amp;EDATE(DATEVALUE(C519&amp;"-01"),0),'📋 Транзакції'!$C$5:$C$3623,"&lt;"&amp;EDATE(DATEVALUE(C519&amp;"-01"),1))&gt;0,1,0)</f>
        <v>1</v>
      </c>
      <c r="H519" s="37">
        <f>IF(COUNTIFS('📋 Транзакції'!$B$5:$B$3623,A519,'📋 Транзакції'!$C$5:$C$3623,"&gt;="&amp;EDATE(DATEVALUE(C519&amp;"-01"),1),'📋 Транзакції'!$C$5:$C$3623,"&lt;"&amp;EDATE(DATEVALUE(C519&amp;"-01"),2))&gt;0,1,0)</f>
        <v>1</v>
      </c>
      <c r="I519" s="37">
        <f>IF(COUNTIFS('📋 Транзакції'!$B$5:$B$3623,A519,'📋 Транзакції'!$C$5:$C$3623,"&gt;="&amp;EDATE(DATEVALUE(C519&amp;"-01"),2),'📋 Транзакції'!$C$5:$C$3623,"&lt;"&amp;EDATE(DATEVALUE(C519&amp;"-01"),3))&gt;0,1,0)</f>
        <v>0</v>
      </c>
      <c r="J519" s="37">
        <f>IF(COUNTIFS('📋 Транзакції'!$B$5:$B$3623,A519,'📋 Транзакції'!$C$5:$C$3623,"&gt;="&amp;EDATE(DATEVALUE(C519&amp;"-01"),3),'📋 Транзакції'!$C$5:$C$3623,"&lt;"&amp;EDATE(DATEVALUE(C519&amp;"-01"),4))&gt;0,1,0)</f>
        <v>0</v>
      </c>
      <c r="K519" s="37">
        <f>IF(COUNTIFS('📋 Транзакції'!$B$5:$B$3623,A519,'📋 Транзакції'!$C$5:$C$3623,"&gt;="&amp;EDATE(DATEVALUE(C519&amp;"-01"),4),'📋 Транзакції'!$C$5:$C$3623,"&lt;"&amp;EDATE(DATEVALUE(C519&amp;"-01"),5))&gt;0,1,0)</f>
        <v>0</v>
      </c>
      <c r="L519" s="37">
        <f>IF(COUNTIFS('📋 Транзакції'!$B$5:$B$3623,A519,'📋 Транзакції'!$C$5:$C$3623,"&gt;="&amp;EDATE(DATEVALUE(C519&amp;"-01"),5),'📋 Транзакції'!$C$5:$C$3623,"&lt;"&amp;EDATE(DATEVALUE(C519&amp;"-01"),6))&gt;0,1,0)</f>
        <v>0</v>
      </c>
      <c r="M519" s="37">
        <f>IF(COUNTIFS('📋 Транзакції'!$B$5:$B$3623,A519,'📋 Транзакції'!$C$5:$C$3623,"&gt;="&amp;EDATE(DATEVALUE(C519&amp;"-01"),6),'📋 Транзакції'!$C$5:$C$3623,"&lt;"&amp;EDATE(DATEVALUE(C519&amp;"-01"),7))&gt;0,1,0)</f>
        <v>0</v>
      </c>
      <c r="N519" s="37">
        <f>IF(COUNTIFS('📋 Транзакції'!$B$5:$B$3623,A519,'📋 Транзакції'!$C$5:$C$3623,"&gt;="&amp;EDATE(DATEVALUE(C519&amp;"-01"),7),'📋 Транзакції'!$C$5:$C$3623,"&lt;"&amp;EDATE(DATEVALUE(C519&amp;"-01"),8))&gt;0,1,0)</f>
        <v>0</v>
      </c>
      <c r="O519" s="37">
        <f>IF(COUNTIFS('📋 Транзакції'!$B$5:$B$3623,A519,'📋 Транзакції'!$C$5:$C$3623,"&gt;="&amp;EDATE(DATEVALUE(C519&amp;"-01"),8),'📋 Транзакції'!$C$5:$C$3623,"&lt;"&amp;EDATE(DATEVALUE(C519&amp;"-01"),9))&gt;0,1,0)</f>
        <v>0</v>
      </c>
      <c r="P519" s="37">
        <f>IF(COUNTIFS('📋 Транзакції'!$B$5:$B$3623,A519,'📋 Транзакції'!$C$5:$C$3623,"&gt;="&amp;EDATE(DATEVALUE(C519&amp;"-01"),9),'📋 Транзакції'!$C$5:$C$3623,"&lt;"&amp;EDATE(DATEVALUE(C519&amp;"-01"),10))&gt;0,1,0)</f>
        <v>0</v>
      </c>
      <c r="Q519" s="37">
        <f>IF(COUNTIFS('📋 Транзакції'!$B$5:$B$3623,A519,'📋 Транзакції'!$C$5:$C$3623,"&gt;="&amp;EDATE(DATEVALUE(C519&amp;"-01"),10),'📋 Транзакції'!$C$5:$C$3623,"&lt;"&amp;EDATE(DATEVALUE(C519&amp;"-01"),11))&gt;0,1,0)</f>
        <v>0</v>
      </c>
      <c r="R519" s="37">
        <f>IF(COUNTIFS('📋 Транзакції'!$B$5:$B$3623,A519,'📋 Транзакції'!$C$5:$C$3623,"&gt;="&amp;EDATE(DATEVALUE(C519&amp;"-01"),11),'📋 Транзакції'!$C$5:$C$3623,"&lt;"&amp;EDATE(DATEVALUE(C519&amp;"-01"),12))&gt;0,1,0)</f>
        <v>0</v>
      </c>
      <c r="S519" s="37">
        <f>SUMIFS('📋 Транзакції'!$F$5:$F$3623,'📋 Транзакції'!$B$5:$B$3623,A519,'📋 Транзакції'!$C$5:$C$3623,"&gt;="&amp;EDATE(DATEVALUE(C519&amp;"-01"),0),'📋 Транзакції'!$C$5:$C$3623,"&lt;"&amp;EDATE(DATEVALUE(C519&amp;"-01"),1))</f>
        <v>19.99</v>
      </c>
      <c r="T519" s="37">
        <f>SUMIFS('📋 Транзакції'!$F$5:$F$3623,'📋 Транзакції'!$B$5:$B$3623,A519,'📋 Транзакції'!$C$5:$C$3623,"&gt;="&amp;EDATE(DATEVALUE(C519&amp;"-01"),1),'📋 Транзакції'!$C$5:$C$3623,"&lt;"&amp;EDATE(DATEVALUE(C519&amp;"-01"),2))</f>
        <v>19.99</v>
      </c>
      <c r="U519" s="37">
        <f>SUMIFS('📋 Транзакції'!$F$5:$F$3623,'📋 Транзакції'!$B$5:$B$3623,A519,'📋 Транзакції'!$C$5:$C$3623,"&gt;="&amp;EDATE(DATEVALUE(C519&amp;"-01"),2),'📋 Транзакції'!$C$5:$C$3623,"&lt;"&amp;EDATE(DATEVALUE(C519&amp;"-01"),3))</f>
        <v>0</v>
      </c>
      <c r="V519" s="37">
        <f>SUMIFS('📋 Транзакції'!$F$5:$F$3623,'📋 Транзакції'!$B$5:$B$3623,A519,'📋 Транзакції'!$C$5:$C$3623,"&gt;="&amp;EDATE(DATEVALUE(C519&amp;"-01"),3),'📋 Транзакції'!$C$5:$C$3623,"&lt;"&amp;EDATE(DATEVALUE(C519&amp;"-01"),4))</f>
        <v>0</v>
      </c>
      <c r="W519" s="37">
        <f>SUMIFS('📋 Транзакції'!$F$5:$F$3623,'📋 Транзакції'!$B$5:$B$3623,A519,'📋 Транзакції'!$C$5:$C$3623,"&gt;="&amp;EDATE(DATEVALUE(C519&amp;"-01"),4),'📋 Транзакції'!$C$5:$C$3623,"&lt;"&amp;EDATE(DATEVALUE(C519&amp;"-01"),5))</f>
        <v>0</v>
      </c>
      <c r="X519" s="37">
        <f>SUMIFS('📋 Транзакції'!$F$5:$F$3623,'📋 Транзакції'!$B$5:$B$3623,A519,'📋 Транзакції'!$C$5:$C$3623,"&gt;="&amp;EDATE(DATEVALUE(C519&amp;"-01"),5),'📋 Транзакції'!$C$5:$C$3623,"&lt;"&amp;EDATE(DATEVALUE(C519&amp;"-01"),6))</f>
        <v>0</v>
      </c>
      <c r="Y519" s="37">
        <f>SUMIFS('📋 Транзакції'!$F$5:$F$3623,'📋 Транзакції'!$B$5:$B$3623,A519,'📋 Транзакції'!$C$5:$C$3623,"&gt;="&amp;EDATE(DATEVALUE(C519&amp;"-01"),6),'📋 Транзакції'!$C$5:$C$3623,"&lt;"&amp;EDATE(DATEVALUE(C519&amp;"-01"),7))</f>
        <v>0</v>
      </c>
      <c r="Z519" s="37">
        <f>SUMIFS('📋 Транзакції'!$F$5:$F$3623,'📋 Транзакції'!$B$5:$B$3623,A519,'📋 Транзакції'!$C$5:$C$3623,"&gt;="&amp;EDATE(DATEVALUE(C519&amp;"-01"),7),'📋 Транзакції'!$C$5:$C$3623,"&lt;"&amp;EDATE(DATEVALUE(C519&amp;"-01"),8))</f>
        <v>0</v>
      </c>
      <c r="AA519" s="37">
        <f>SUMIFS('📋 Транзакції'!$F$5:$F$3623,'📋 Транзакції'!$B$5:$B$3623,A519,'📋 Транзакції'!$C$5:$C$3623,"&gt;="&amp;EDATE(DATEVALUE(C519&amp;"-01"),8),'📋 Транзакції'!$C$5:$C$3623,"&lt;"&amp;EDATE(DATEVALUE(C519&amp;"-01"),9))</f>
        <v>0</v>
      </c>
      <c r="AB519" s="37">
        <f>SUMIFS('📋 Транзакції'!$F$5:$F$3623,'📋 Транзакції'!$B$5:$B$3623,A519,'📋 Транзакції'!$C$5:$C$3623,"&gt;="&amp;EDATE(DATEVALUE(C519&amp;"-01"),9),'📋 Транзакції'!$C$5:$C$3623,"&lt;"&amp;EDATE(DATEVALUE(C519&amp;"-01"),10))</f>
        <v>0</v>
      </c>
      <c r="AC519" s="37">
        <f>SUMIFS('📋 Транзакції'!$F$5:$F$3623,'📋 Транзакції'!$B$5:$B$3623,A519,'📋 Транзакції'!$C$5:$C$3623,"&gt;="&amp;EDATE(DATEVALUE(C519&amp;"-01"),10),'📋 Транзакції'!$C$5:$C$3623,"&lt;"&amp;EDATE(DATEVALUE(C519&amp;"-01"),11))</f>
        <v>0</v>
      </c>
      <c r="AD519" s="37">
        <f>SUMIFS('📋 Транзакції'!$F$5:$F$3623,'📋 Транзакції'!$B$5:$B$3623,A519,'📋 Транзакції'!$C$5:$C$3623,"&gt;="&amp;EDATE(DATEVALUE(C519&amp;"-01"),11),'📋 Транзакції'!$C$5:$C$3623,"&lt;"&amp;EDATE(DATEVALUE(C519&amp;"-01"),12))</f>
        <v>0</v>
      </c>
    </row>
    <row r="520" ht="15.75" customHeight="1">
      <c r="A520" s="33" t="str">
        <f>'📋 Реєстрації'!A520:A1121</f>
        <v>U0293</v>
      </c>
      <c r="B520" s="34">
        <f t="array" ref="B520">INDEX('📋 Транзакції'!$C$5:$C$3623,MATCH(A520,'📋 Транзакції'!$B$5:$B$3623,0))</f>
        <v>45698</v>
      </c>
      <c r="C520" s="35" t="str">
        <f t="shared" si="1"/>
        <v>2025-02</v>
      </c>
      <c r="D520" s="36">
        <f>COUNTIF('📋 Транзакції'!$B$5:$B$3623,A520)</f>
        <v>3</v>
      </c>
      <c r="E520" s="36">
        <f>SUMIF('📋 Транзакції'!$B$5:$B$3623,A520,'📋 Транзакції'!$F$5:$F$3623)</f>
        <v>39.98</v>
      </c>
      <c r="F520" s="35">
        <f>INT($A$1-MAXIFS('📋 Транзакції'!$C$5:$C$3623,'📋 Транзакції'!$B$5:$B$3623,A520))</f>
        <v>12</v>
      </c>
      <c r="G520" s="37">
        <f>IF(COUNTIFS('📋 Транзакції'!$B$5:$B$3623,A520,'📋 Транзакції'!$C$5:$C$3623,"&gt;="&amp;EDATE(DATEVALUE(C520&amp;"-01"),0),'📋 Транзакції'!$C$5:$C$3623,"&lt;"&amp;EDATE(DATEVALUE(C520&amp;"-01"),1))&gt;0,1,0)</f>
        <v>1</v>
      </c>
      <c r="H520" s="37">
        <f>IF(COUNTIFS('📋 Транзакції'!$B$5:$B$3623,A520,'📋 Транзакції'!$C$5:$C$3623,"&gt;="&amp;EDATE(DATEVALUE(C520&amp;"-01"),1),'📋 Транзакції'!$C$5:$C$3623,"&lt;"&amp;EDATE(DATEVALUE(C520&amp;"-01"),2))&gt;0,1,0)</f>
        <v>1</v>
      </c>
      <c r="I520" s="37">
        <f>IF(COUNTIFS('📋 Транзакції'!$B$5:$B$3623,A520,'📋 Транзакції'!$C$5:$C$3623,"&gt;="&amp;EDATE(DATEVALUE(C520&amp;"-01"),2),'📋 Транзакції'!$C$5:$C$3623,"&lt;"&amp;EDATE(DATEVALUE(C520&amp;"-01"),3))&gt;0,1,0)</f>
        <v>0</v>
      </c>
      <c r="J520" s="37">
        <f>IF(COUNTIFS('📋 Транзакції'!$B$5:$B$3623,A520,'📋 Транзакції'!$C$5:$C$3623,"&gt;="&amp;EDATE(DATEVALUE(C520&amp;"-01"),3),'📋 Транзакції'!$C$5:$C$3623,"&lt;"&amp;EDATE(DATEVALUE(C520&amp;"-01"),4))&gt;0,1,0)</f>
        <v>0</v>
      </c>
      <c r="K520" s="37">
        <f>IF(COUNTIFS('📋 Транзакції'!$B$5:$B$3623,A520,'📋 Транзакції'!$C$5:$C$3623,"&gt;="&amp;EDATE(DATEVALUE(C520&amp;"-01"),4),'📋 Транзакції'!$C$5:$C$3623,"&lt;"&amp;EDATE(DATEVALUE(C520&amp;"-01"),5))&gt;0,1,0)</f>
        <v>0</v>
      </c>
      <c r="L520" s="37">
        <f>IF(COUNTIFS('📋 Транзакції'!$B$5:$B$3623,A520,'📋 Транзакції'!$C$5:$C$3623,"&gt;="&amp;EDATE(DATEVALUE(C520&amp;"-01"),5),'📋 Транзакції'!$C$5:$C$3623,"&lt;"&amp;EDATE(DATEVALUE(C520&amp;"-01"),6))&gt;0,1,0)</f>
        <v>0</v>
      </c>
      <c r="M520" s="37">
        <f>IF(COUNTIFS('📋 Транзакції'!$B$5:$B$3623,A520,'📋 Транзакції'!$C$5:$C$3623,"&gt;="&amp;EDATE(DATEVALUE(C520&amp;"-01"),6),'📋 Транзакції'!$C$5:$C$3623,"&lt;"&amp;EDATE(DATEVALUE(C520&amp;"-01"),7))&gt;0,1,0)</f>
        <v>0</v>
      </c>
      <c r="N520" s="37">
        <f>IF(COUNTIFS('📋 Транзакції'!$B$5:$B$3623,A520,'📋 Транзакції'!$C$5:$C$3623,"&gt;="&amp;EDATE(DATEVALUE(C520&amp;"-01"),7),'📋 Транзакції'!$C$5:$C$3623,"&lt;"&amp;EDATE(DATEVALUE(C520&amp;"-01"),8))&gt;0,1,0)</f>
        <v>0</v>
      </c>
      <c r="O520" s="37">
        <f>IF(COUNTIFS('📋 Транзакції'!$B$5:$B$3623,A520,'📋 Транзакції'!$C$5:$C$3623,"&gt;="&amp;EDATE(DATEVALUE(C520&amp;"-01"),8),'📋 Транзакції'!$C$5:$C$3623,"&lt;"&amp;EDATE(DATEVALUE(C520&amp;"-01"),9))&gt;0,1,0)</f>
        <v>0</v>
      </c>
      <c r="P520" s="37">
        <f>IF(COUNTIFS('📋 Транзакції'!$B$5:$B$3623,A520,'📋 Транзакції'!$C$5:$C$3623,"&gt;="&amp;EDATE(DATEVALUE(C520&amp;"-01"),9),'📋 Транзакції'!$C$5:$C$3623,"&lt;"&amp;EDATE(DATEVALUE(C520&amp;"-01"),10))&gt;0,1,0)</f>
        <v>0</v>
      </c>
      <c r="Q520" s="37">
        <f>IF(COUNTIFS('📋 Транзакції'!$B$5:$B$3623,A520,'📋 Транзакції'!$C$5:$C$3623,"&gt;="&amp;EDATE(DATEVALUE(C520&amp;"-01"),10),'📋 Транзакції'!$C$5:$C$3623,"&lt;"&amp;EDATE(DATEVALUE(C520&amp;"-01"),11))&gt;0,1,0)</f>
        <v>0</v>
      </c>
      <c r="R520" s="37">
        <f>IF(COUNTIFS('📋 Транзакції'!$B$5:$B$3623,A520,'📋 Транзакції'!$C$5:$C$3623,"&gt;="&amp;EDATE(DATEVALUE(C520&amp;"-01"),11),'📋 Транзакції'!$C$5:$C$3623,"&lt;"&amp;EDATE(DATEVALUE(C520&amp;"-01"),12))&gt;0,1,0)</f>
        <v>0</v>
      </c>
      <c r="S520" s="37">
        <f>SUMIFS('📋 Транзакції'!$F$5:$F$3623,'📋 Транзакції'!$B$5:$B$3623,A520,'📋 Транзакції'!$C$5:$C$3623,"&gt;="&amp;EDATE(DATEVALUE(C520&amp;"-01"),0),'📋 Транзакції'!$C$5:$C$3623,"&lt;"&amp;EDATE(DATEVALUE(C520&amp;"-01"),1))</f>
        <v>19.99</v>
      </c>
      <c r="T520" s="37">
        <f>SUMIFS('📋 Транзакції'!$F$5:$F$3623,'📋 Транзакції'!$B$5:$B$3623,A520,'📋 Транзакції'!$C$5:$C$3623,"&gt;="&amp;EDATE(DATEVALUE(C520&amp;"-01"),1),'📋 Транзакції'!$C$5:$C$3623,"&lt;"&amp;EDATE(DATEVALUE(C520&amp;"-01"),2))</f>
        <v>19.99</v>
      </c>
      <c r="U520" s="37">
        <f>SUMIFS('📋 Транзакції'!$F$5:$F$3623,'📋 Транзакції'!$B$5:$B$3623,A520,'📋 Транзакції'!$C$5:$C$3623,"&gt;="&amp;EDATE(DATEVALUE(C520&amp;"-01"),2),'📋 Транзакції'!$C$5:$C$3623,"&lt;"&amp;EDATE(DATEVALUE(C520&amp;"-01"),3))</f>
        <v>0</v>
      </c>
      <c r="V520" s="37">
        <f>SUMIFS('📋 Транзакції'!$F$5:$F$3623,'📋 Транзакції'!$B$5:$B$3623,A520,'📋 Транзакції'!$C$5:$C$3623,"&gt;="&amp;EDATE(DATEVALUE(C520&amp;"-01"),3),'📋 Транзакції'!$C$5:$C$3623,"&lt;"&amp;EDATE(DATEVALUE(C520&amp;"-01"),4))</f>
        <v>0</v>
      </c>
      <c r="W520" s="37">
        <f>SUMIFS('📋 Транзакції'!$F$5:$F$3623,'📋 Транзакції'!$B$5:$B$3623,A520,'📋 Транзакції'!$C$5:$C$3623,"&gt;="&amp;EDATE(DATEVALUE(C520&amp;"-01"),4),'📋 Транзакції'!$C$5:$C$3623,"&lt;"&amp;EDATE(DATEVALUE(C520&amp;"-01"),5))</f>
        <v>0</v>
      </c>
      <c r="X520" s="37">
        <f>SUMIFS('📋 Транзакції'!$F$5:$F$3623,'📋 Транзакції'!$B$5:$B$3623,A520,'📋 Транзакції'!$C$5:$C$3623,"&gt;="&amp;EDATE(DATEVALUE(C520&amp;"-01"),5),'📋 Транзакції'!$C$5:$C$3623,"&lt;"&amp;EDATE(DATEVALUE(C520&amp;"-01"),6))</f>
        <v>0</v>
      </c>
      <c r="Y520" s="37">
        <f>SUMIFS('📋 Транзакції'!$F$5:$F$3623,'📋 Транзакції'!$B$5:$B$3623,A520,'📋 Транзакції'!$C$5:$C$3623,"&gt;="&amp;EDATE(DATEVALUE(C520&amp;"-01"),6),'📋 Транзакції'!$C$5:$C$3623,"&lt;"&amp;EDATE(DATEVALUE(C520&amp;"-01"),7))</f>
        <v>0</v>
      </c>
      <c r="Z520" s="37">
        <f>SUMIFS('📋 Транзакції'!$F$5:$F$3623,'📋 Транзакції'!$B$5:$B$3623,A520,'📋 Транзакції'!$C$5:$C$3623,"&gt;="&amp;EDATE(DATEVALUE(C520&amp;"-01"),7),'📋 Транзакції'!$C$5:$C$3623,"&lt;"&amp;EDATE(DATEVALUE(C520&amp;"-01"),8))</f>
        <v>0</v>
      </c>
      <c r="AA520" s="37">
        <f>SUMIFS('📋 Транзакції'!$F$5:$F$3623,'📋 Транзакції'!$B$5:$B$3623,A520,'📋 Транзакції'!$C$5:$C$3623,"&gt;="&amp;EDATE(DATEVALUE(C520&amp;"-01"),8),'📋 Транзакції'!$C$5:$C$3623,"&lt;"&amp;EDATE(DATEVALUE(C520&amp;"-01"),9))</f>
        <v>0</v>
      </c>
      <c r="AB520" s="37">
        <f>SUMIFS('📋 Транзакції'!$F$5:$F$3623,'📋 Транзакції'!$B$5:$B$3623,A520,'📋 Транзакції'!$C$5:$C$3623,"&gt;="&amp;EDATE(DATEVALUE(C520&amp;"-01"),9),'📋 Транзакції'!$C$5:$C$3623,"&lt;"&amp;EDATE(DATEVALUE(C520&amp;"-01"),10))</f>
        <v>0</v>
      </c>
      <c r="AC520" s="37">
        <f>SUMIFS('📋 Транзакції'!$F$5:$F$3623,'📋 Транзакції'!$B$5:$B$3623,A520,'📋 Транзакції'!$C$5:$C$3623,"&gt;="&amp;EDATE(DATEVALUE(C520&amp;"-01"),10),'📋 Транзакції'!$C$5:$C$3623,"&lt;"&amp;EDATE(DATEVALUE(C520&amp;"-01"),11))</f>
        <v>0</v>
      </c>
      <c r="AD520" s="37">
        <f>SUMIFS('📋 Транзакції'!$F$5:$F$3623,'📋 Транзакції'!$B$5:$B$3623,A520,'📋 Транзакції'!$C$5:$C$3623,"&gt;="&amp;EDATE(DATEVALUE(C520&amp;"-01"),11),'📋 Транзакції'!$C$5:$C$3623,"&lt;"&amp;EDATE(DATEVALUE(C520&amp;"-01"),12))</f>
        <v>0</v>
      </c>
    </row>
    <row r="521" ht="15.75" customHeight="1">
      <c r="A521" s="33" t="str">
        <f>'📋 Реєстрації'!A521:A1122</f>
        <v>U0759</v>
      </c>
      <c r="B521" s="34">
        <f t="array" ref="B521">INDEX('📋 Транзакції'!$C$5:$C$3623,MATCH(A521,'📋 Транзакції'!$B$5:$B$3623,0))</f>
        <v>45698</v>
      </c>
      <c r="C521" s="35" t="str">
        <f t="shared" si="1"/>
        <v>2025-02</v>
      </c>
      <c r="D521" s="36">
        <f>COUNTIF('📋 Транзакції'!$B$5:$B$3623,A521)</f>
        <v>3</v>
      </c>
      <c r="E521" s="36">
        <f>SUMIF('📋 Транзакції'!$B$5:$B$3623,A521,'📋 Транзакції'!$F$5:$F$3623)</f>
        <v>39.98</v>
      </c>
      <c r="F521" s="35">
        <f>INT($A$1-MAXIFS('📋 Транзакції'!$C$5:$C$3623,'📋 Транзакції'!$B$5:$B$3623,A521))</f>
        <v>12</v>
      </c>
      <c r="G521" s="37">
        <f>IF(COUNTIFS('📋 Транзакції'!$B$5:$B$3623,A521,'📋 Транзакції'!$C$5:$C$3623,"&gt;="&amp;EDATE(DATEVALUE(C521&amp;"-01"),0),'📋 Транзакції'!$C$5:$C$3623,"&lt;"&amp;EDATE(DATEVALUE(C521&amp;"-01"),1))&gt;0,1,0)</f>
        <v>1</v>
      </c>
      <c r="H521" s="37">
        <f>IF(COUNTIFS('📋 Транзакції'!$B$5:$B$3623,A521,'📋 Транзакції'!$C$5:$C$3623,"&gt;="&amp;EDATE(DATEVALUE(C521&amp;"-01"),1),'📋 Транзакції'!$C$5:$C$3623,"&lt;"&amp;EDATE(DATEVALUE(C521&amp;"-01"),2))&gt;0,1,0)</f>
        <v>1</v>
      </c>
      <c r="I521" s="37">
        <f>IF(COUNTIFS('📋 Транзакції'!$B$5:$B$3623,A521,'📋 Транзакції'!$C$5:$C$3623,"&gt;="&amp;EDATE(DATEVALUE(C521&amp;"-01"),2),'📋 Транзакції'!$C$5:$C$3623,"&lt;"&amp;EDATE(DATEVALUE(C521&amp;"-01"),3))&gt;0,1,0)</f>
        <v>0</v>
      </c>
      <c r="J521" s="37">
        <f>IF(COUNTIFS('📋 Транзакції'!$B$5:$B$3623,A521,'📋 Транзакції'!$C$5:$C$3623,"&gt;="&amp;EDATE(DATEVALUE(C521&amp;"-01"),3),'📋 Транзакції'!$C$5:$C$3623,"&lt;"&amp;EDATE(DATEVALUE(C521&amp;"-01"),4))&gt;0,1,0)</f>
        <v>0</v>
      </c>
      <c r="K521" s="37">
        <f>IF(COUNTIFS('📋 Транзакції'!$B$5:$B$3623,A521,'📋 Транзакції'!$C$5:$C$3623,"&gt;="&amp;EDATE(DATEVALUE(C521&amp;"-01"),4),'📋 Транзакції'!$C$5:$C$3623,"&lt;"&amp;EDATE(DATEVALUE(C521&amp;"-01"),5))&gt;0,1,0)</f>
        <v>0</v>
      </c>
      <c r="L521" s="37">
        <f>IF(COUNTIFS('📋 Транзакції'!$B$5:$B$3623,A521,'📋 Транзакції'!$C$5:$C$3623,"&gt;="&amp;EDATE(DATEVALUE(C521&amp;"-01"),5),'📋 Транзакції'!$C$5:$C$3623,"&lt;"&amp;EDATE(DATEVALUE(C521&amp;"-01"),6))&gt;0,1,0)</f>
        <v>0</v>
      </c>
      <c r="M521" s="37">
        <f>IF(COUNTIFS('📋 Транзакції'!$B$5:$B$3623,A521,'📋 Транзакції'!$C$5:$C$3623,"&gt;="&amp;EDATE(DATEVALUE(C521&amp;"-01"),6),'📋 Транзакції'!$C$5:$C$3623,"&lt;"&amp;EDATE(DATEVALUE(C521&amp;"-01"),7))&gt;0,1,0)</f>
        <v>0</v>
      </c>
      <c r="N521" s="37">
        <f>IF(COUNTIFS('📋 Транзакції'!$B$5:$B$3623,A521,'📋 Транзакції'!$C$5:$C$3623,"&gt;="&amp;EDATE(DATEVALUE(C521&amp;"-01"),7),'📋 Транзакції'!$C$5:$C$3623,"&lt;"&amp;EDATE(DATEVALUE(C521&amp;"-01"),8))&gt;0,1,0)</f>
        <v>0</v>
      </c>
      <c r="O521" s="37">
        <f>IF(COUNTIFS('📋 Транзакції'!$B$5:$B$3623,A521,'📋 Транзакції'!$C$5:$C$3623,"&gt;="&amp;EDATE(DATEVALUE(C521&amp;"-01"),8),'📋 Транзакції'!$C$5:$C$3623,"&lt;"&amp;EDATE(DATEVALUE(C521&amp;"-01"),9))&gt;0,1,0)</f>
        <v>0</v>
      </c>
      <c r="P521" s="37">
        <f>IF(COUNTIFS('📋 Транзакції'!$B$5:$B$3623,A521,'📋 Транзакції'!$C$5:$C$3623,"&gt;="&amp;EDATE(DATEVALUE(C521&amp;"-01"),9),'📋 Транзакції'!$C$5:$C$3623,"&lt;"&amp;EDATE(DATEVALUE(C521&amp;"-01"),10))&gt;0,1,0)</f>
        <v>0</v>
      </c>
      <c r="Q521" s="37">
        <f>IF(COUNTIFS('📋 Транзакції'!$B$5:$B$3623,A521,'📋 Транзакції'!$C$5:$C$3623,"&gt;="&amp;EDATE(DATEVALUE(C521&amp;"-01"),10),'📋 Транзакції'!$C$5:$C$3623,"&lt;"&amp;EDATE(DATEVALUE(C521&amp;"-01"),11))&gt;0,1,0)</f>
        <v>0</v>
      </c>
      <c r="R521" s="37">
        <f>IF(COUNTIFS('📋 Транзакції'!$B$5:$B$3623,A521,'📋 Транзакції'!$C$5:$C$3623,"&gt;="&amp;EDATE(DATEVALUE(C521&amp;"-01"),11),'📋 Транзакції'!$C$5:$C$3623,"&lt;"&amp;EDATE(DATEVALUE(C521&amp;"-01"),12))&gt;0,1,0)</f>
        <v>0</v>
      </c>
      <c r="S521" s="37">
        <f>SUMIFS('📋 Транзакції'!$F$5:$F$3623,'📋 Транзакції'!$B$5:$B$3623,A521,'📋 Транзакції'!$C$5:$C$3623,"&gt;="&amp;EDATE(DATEVALUE(C521&amp;"-01"),0),'📋 Транзакції'!$C$5:$C$3623,"&lt;"&amp;EDATE(DATEVALUE(C521&amp;"-01"),1))</f>
        <v>19.99</v>
      </c>
      <c r="T521" s="37">
        <f>SUMIFS('📋 Транзакції'!$F$5:$F$3623,'📋 Транзакції'!$B$5:$B$3623,A521,'📋 Транзакції'!$C$5:$C$3623,"&gt;="&amp;EDATE(DATEVALUE(C521&amp;"-01"),1),'📋 Транзакції'!$C$5:$C$3623,"&lt;"&amp;EDATE(DATEVALUE(C521&amp;"-01"),2))</f>
        <v>19.99</v>
      </c>
      <c r="U521" s="37">
        <f>SUMIFS('📋 Транзакції'!$F$5:$F$3623,'📋 Транзакції'!$B$5:$B$3623,A521,'📋 Транзакції'!$C$5:$C$3623,"&gt;="&amp;EDATE(DATEVALUE(C521&amp;"-01"),2),'📋 Транзакції'!$C$5:$C$3623,"&lt;"&amp;EDATE(DATEVALUE(C521&amp;"-01"),3))</f>
        <v>0</v>
      </c>
      <c r="V521" s="37">
        <f>SUMIFS('📋 Транзакції'!$F$5:$F$3623,'📋 Транзакції'!$B$5:$B$3623,A521,'📋 Транзакції'!$C$5:$C$3623,"&gt;="&amp;EDATE(DATEVALUE(C521&amp;"-01"),3),'📋 Транзакції'!$C$5:$C$3623,"&lt;"&amp;EDATE(DATEVALUE(C521&amp;"-01"),4))</f>
        <v>0</v>
      </c>
      <c r="W521" s="37">
        <f>SUMIFS('📋 Транзакції'!$F$5:$F$3623,'📋 Транзакції'!$B$5:$B$3623,A521,'📋 Транзакції'!$C$5:$C$3623,"&gt;="&amp;EDATE(DATEVALUE(C521&amp;"-01"),4),'📋 Транзакції'!$C$5:$C$3623,"&lt;"&amp;EDATE(DATEVALUE(C521&amp;"-01"),5))</f>
        <v>0</v>
      </c>
      <c r="X521" s="37">
        <f>SUMIFS('📋 Транзакції'!$F$5:$F$3623,'📋 Транзакції'!$B$5:$B$3623,A521,'📋 Транзакції'!$C$5:$C$3623,"&gt;="&amp;EDATE(DATEVALUE(C521&amp;"-01"),5),'📋 Транзакції'!$C$5:$C$3623,"&lt;"&amp;EDATE(DATEVALUE(C521&amp;"-01"),6))</f>
        <v>0</v>
      </c>
      <c r="Y521" s="37">
        <f>SUMIFS('📋 Транзакції'!$F$5:$F$3623,'📋 Транзакції'!$B$5:$B$3623,A521,'📋 Транзакції'!$C$5:$C$3623,"&gt;="&amp;EDATE(DATEVALUE(C521&amp;"-01"),6),'📋 Транзакції'!$C$5:$C$3623,"&lt;"&amp;EDATE(DATEVALUE(C521&amp;"-01"),7))</f>
        <v>0</v>
      </c>
      <c r="Z521" s="37">
        <f>SUMIFS('📋 Транзакції'!$F$5:$F$3623,'📋 Транзакції'!$B$5:$B$3623,A521,'📋 Транзакції'!$C$5:$C$3623,"&gt;="&amp;EDATE(DATEVALUE(C521&amp;"-01"),7),'📋 Транзакції'!$C$5:$C$3623,"&lt;"&amp;EDATE(DATEVALUE(C521&amp;"-01"),8))</f>
        <v>0</v>
      </c>
      <c r="AA521" s="37">
        <f>SUMIFS('📋 Транзакції'!$F$5:$F$3623,'📋 Транзакції'!$B$5:$B$3623,A521,'📋 Транзакції'!$C$5:$C$3623,"&gt;="&amp;EDATE(DATEVALUE(C521&amp;"-01"),8),'📋 Транзакції'!$C$5:$C$3623,"&lt;"&amp;EDATE(DATEVALUE(C521&amp;"-01"),9))</f>
        <v>0</v>
      </c>
      <c r="AB521" s="37">
        <f>SUMIFS('📋 Транзакції'!$F$5:$F$3623,'📋 Транзакції'!$B$5:$B$3623,A521,'📋 Транзакції'!$C$5:$C$3623,"&gt;="&amp;EDATE(DATEVALUE(C521&amp;"-01"),9),'📋 Транзакції'!$C$5:$C$3623,"&lt;"&amp;EDATE(DATEVALUE(C521&amp;"-01"),10))</f>
        <v>0</v>
      </c>
      <c r="AC521" s="37">
        <f>SUMIFS('📋 Транзакції'!$F$5:$F$3623,'📋 Транзакції'!$B$5:$B$3623,A521,'📋 Транзакції'!$C$5:$C$3623,"&gt;="&amp;EDATE(DATEVALUE(C521&amp;"-01"),10),'📋 Транзакції'!$C$5:$C$3623,"&lt;"&amp;EDATE(DATEVALUE(C521&amp;"-01"),11))</f>
        <v>0</v>
      </c>
      <c r="AD521" s="37">
        <f>SUMIFS('📋 Транзакції'!$F$5:$F$3623,'📋 Транзакції'!$B$5:$B$3623,A521,'📋 Транзакції'!$C$5:$C$3623,"&gt;="&amp;EDATE(DATEVALUE(C521&amp;"-01"),11),'📋 Транзакції'!$C$5:$C$3623,"&lt;"&amp;EDATE(DATEVALUE(C521&amp;"-01"),12))</f>
        <v>0</v>
      </c>
    </row>
    <row r="522" ht="15.75" customHeight="1">
      <c r="A522" s="33" t="str">
        <f>'📋 Реєстрації'!A522:A1123</f>
        <v>U0474</v>
      </c>
      <c r="B522" s="34">
        <f t="array" ref="B522">INDEX('📋 Транзакції'!$C$5:$C$3623,MATCH(A522,'📋 Транзакції'!$B$5:$B$3623,0))</f>
        <v>45699</v>
      </c>
      <c r="C522" s="35" t="str">
        <f t="shared" si="1"/>
        <v>2025-02</v>
      </c>
      <c r="D522" s="36">
        <f>COUNTIF('📋 Транзакції'!$B$5:$B$3623,A522)</f>
        <v>3</v>
      </c>
      <c r="E522" s="36">
        <f>SUMIF('📋 Транзакції'!$B$5:$B$3623,A522,'📋 Транзакції'!$F$5:$F$3623)</f>
        <v>39.98</v>
      </c>
      <c r="F522" s="35">
        <f>INT($A$1-MAXIFS('📋 Транзакції'!$C$5:$C$3623,'📋 Транзакції'!$B$5:$B$3623,A522))</f>
        <v>11</v>
      </c>
      <c r="G522" s="37">
        <f>IF(COUNTIFS('📋 Транзакції'!$B$5:$B$3623,A522,'📋 Транзакції'!$C$5:$C$3623,"&gt;="&amp;EDATE(DATEVALUE(C522&amp;"-01"),0),'📋 Транзакції'!$C$5:$C$3623,"&lt;"&amp;EDATE(DATEVALUE(C522&amp;"-01"),1))&gt;0,1,0)</f>
        <v>1</v>
      </c>
      <c r="H522" s="37">
        <f>IF(COUNTIFS('📋 Транзакції'!$B$5:$B$3623,A522,'📋 Транзакції'!$C$5:$C$3623,"&gt;="&amp;EDATE(DATEVALUE(C522&amp;"-01"),1),'📋 Транзакції'!$C$5:$C$3623,"&lt;"&amp;EDATE(DATEVALUE(C522&amp;"-01"),2))&gt;0,1,0)</f>
        <v>1</v>
      </c>
      <c r="I522" s="37">
        <f>IF(COUNTIFS('📋 Транзакції'!$B$5:$B$3623,A522,'📋 Транзакції'!$C$5:$C$3623,"&gt;="&amp;EDATE(DATEVALUE(C522&amp;"-01"),2),'📋 Транзакції'!$C$5:$C$3623,"&lt;"&amp;EDATE(DATEVALUE(C522&amp;"-01"),3))&gt;0,1,0)</f>
        <v>0</v>
      </c>
      <c r="J522" s="37">
        <f>IF(COUNTIFS('📋 Транзакції'!$B$5:$B$3623,A522,'📋 Транзакції'!$C$5:$C$3623,"&gt;="&amp;EDATE(DATEVALUE(C522&amp;"-01"),3),'📋 Транзакції'!$C$5:$C$3623,"&lt;"&amp;EDATE(DATEVALUE(C522&amp;"-01"),4))&gt;0,1,0)</f>
        <v>0</v>
      </c>
      <c r="K522" s="37">
        <f>IF(COUNTIFS('📋 Транзакції'!$B$5:$B$3623,A522,'📋 Транзакції'!$C$5:$C$3623,"&gt;="&amp;EDATE(DATEVALUE(C522&amp;"-01"),4),'📋 Транзакції'!$C$5:$C$3623,"&lt;"&amp;EDATE(DATEVALUE(C522&amp;"-01"),5))&gt;0,1,0)</f>
        <v>0</v>
      </c>
      <c r="L522" s="37">
        <f>IF(COUNTIFS('📋 Транзакції'!$B$5:$B$3623,A522,'📋 Транзакції'!$C$5:$C$3623,"&gt;="&amp;EDATE(DATEVALUE(C522&amp;"-01"),5),'📋 Транзакції'!$C$5:$C$3623,"&lt;"&amp;EDATE(DATEVALUE(C522&amp;"-01"),6))&gt;0,1,0)</f>
        <v>0</v>
      </c>
      <c r="M522" s="37">
        <f>IF(COUNTIFS('📋 Транзакції'!$B$5:$B$3623,A522,'📋 Транзакції'!$C$5:$C$3623,"&gt;="&amp;EDATE(DATEVALUE(C522&amp;"-01"),6),'📋 Транзакції'!$C$5:$C$3623,"&lt;"&amp;EDATE(DATEVALUE(C522&amp;"-01"),7))&gt;0,1,0)</f>
        <v>0</v>
      </c>
      <c r="N522" s="37">
        <f>IF(COUNTIFS('📋 Транзакції'!$B$5:$B$3623,A522,'📋 Транзакції'!$C$5:$C$3623,"&gt;="&amp;EDATE(DATEVALUE(C522&amp;"-01"),7),'📋 Транзакції'!$C$5:$C$3623,"&lt;"&amp;EDATE(DATEVALUE(C522&amp;"-01"),8))&gt;0,1,0)</f>
        <v>0</v>
      </c>
      <c r="O522" s="37">
        <f>IF(COUNTIFS('📋 Транзакції'!$B$5:$B$3623,A522,'📋 Транзакції'!$C$5:$C$3623,"&gt;="&amp;EDATE(DATEVALUE(C522&amp;"-01"),8),'📋 Транзакції'!$C$5:$C$3623,"&lt;"&amp;EDATE(DATEVALUE(C522&amp;"-01"),9))&gt;0,1,0)</f>
        <v>0</v>
      </c>
      <c r="P522" s="37">
        <f>IF(COUNTIFS('📋 Транзакції'!$B$5:$B$3623,A522,'📋 Транзакції'!$C$5:$C$3623,"&gt;="&amp;EDATE(DATEVALUE(C522&amp;"-01"),9),'📋 Транзакції'!$C$5:$C$3623,"&lt;"&amp;EDATE(DATEVALUE(C522&amp;"-01"),10))&gt;0,1,0)</f>
        <v>0</v>
      </c>
      <c r="Q522" s="37">
        <f>IF(COUNTIFS('📋 Транзакції'!$B$5:$B$3623,A522,'📋 Транзакції'!$C$5:$C$3623,"&gt;="&amp;EDATE(DATEVALUE(C522&amp;"-01"),10),'📋 Транзакції'!$C$5:$C$3623,"&lt;"&amp;EDATE(DATEVALUE(C522&amp;"-01"),11))&gt;0,1,0)</f>
        <v>0</v>
      </c>
      <c r="R522" s="37">
        <f>IF(COUNTIFS('📋 Транзакції'!$B$5:$B$3623,A522,'📋 Транзакції'!$C$5:$C$3623,"&gt;="&amp;EDATE(DATEVALUE(C522&amp;"-01"),11),'📋 Транзакції'!$C$5:$C$3623,"&lt;"&amp;EDATE(DATEVALUE(C522&amp;"-01"),12))&gt;0,1,0)</f>
        <v>0</v>
      </c>
      <c r="S522" s="37">
        <f>SUMIFS('📋 Транзакції'!$F$5:$F$3623,'📋 Транзакції'!$B$5:$B$3623,A522,'📋 Транзакції'!$C$5:$C$3623,"&gt;="&amp;EDATE(DATEVALUE(C522&amp;"-01"),0),'📋 Транзакції'!$C$5:$C$3623,"&lt;"&amp;EDATE(DATEVALUE(C522&amp;"-01"),1))</f>
        <v>19.99</v>
      </c>
      <c r="T522" s="37">
        <f>SUMIFS('📋 Транзакції'!$F$5:$F$3623,'📋 Транзакції'!$B$5:$B$3623,A522,'📋 Транзакції'!$C$5:$C$3623,"&gt;="&amp;EDATE(DATEVALUE(C522&amp;"-01"),1),'📋 Транзакції'!$C$5:$C$3623,"&lt;"&amp;EDATE(DATEVALUE(C522&amp;"-01"),2))</f>
        <v>19.99</v>
      </c>
      <c r="U522" s="37">
        <f>SUMIFS('📋 Транзакції'!$F$5:$F$3623,'📋 Транзакції'!$B$5:$B$3623,A522,'📋 Транзакції'!$C$5:$C$3623,"&gt;="&amp;EDATE(DATEVALUE(C522&amp;"-01"),2),'📋 Транзакції'!$C$5:$C$3623,"&lt;"&amp;EDATE(DATEVALUE(C522&amp;"-01"),3))</f>
        <v>0</v>
      </c>
      <c r="V522" s="37">
        <f>SUMIFS('📋 Транзакції'!$F$5:$F$3623,'📋 Транзакції'!$B$5:$B$3623,A522,'📋 Транзакції'!$C$5:$C$3623,"&gt;="&amp;EDATE(DATEVALUE(C522&amp;"-01"),3),'📋 Транзакції'!$C$5:$C$3623,"&lt;"&amp;EDATE(DATEVALUE(C522&amp;"-01"),4))</f>
        <v>0</v>
      </c>
      <c r="W522" s="37">
        <f>SUMIFS('📋 Транзакції'!$F$5:$F$3623,'📋 Транзакції'!$B$5:$B$3623,A522,'📋 Транзакції'!$C$5:$C$3623,"&gt;="&amp;EDATE(DATEVALUE(C522&amp;"-01"),4),'📋 Транзакції'!$C$5:$C$3623,"&lt;"&amp;EDATE(DATEVALUE(C522&amp;"-01"),5))</f>
        <v>0</v>
      </c>
      <c r="X522" s="37">
        <f>SUMIFS('📋 Транзакції'!$F$5:$F$3623,'📋 Транзакції'!$B$5:$B$3623,A522,'📋 Транзакції'!$C$5:$C$3623,"&gt;="&amp;EDATE(DATEVALUE(C522&amp;"-01"),5),'📋 Транзакції'!$C$5:$C$3623,"&lt;"&amp;EDATE(DATEVALUE(C522&amp;"-01"),6))</f>
        <v>0</v>
      </c>
      <c r="Y522" s="37">
        <f>SUMIFS('📋 Транзакції'!$F$5:$F$3623,'📋 Транзакції'!$B$5:$B$3623,A522,'📋 Транзакції'!$C$5:$C$3623,"&gt;="&amp;EDATE(DATEVALUE(C522&amp;"-01"),6),'📋 Транзакції'!$C$5:$C$3623,"&lt;"&amp;EDATE(DATEVALUE(C522&amp;"-01"),7))</f>
        <v>0</v>
      </c>
      <c r="Z522" s="37">
        <f>SUMIFS('📋 Транзакції'!$F$5:$F$3623,'📋 Транзакції'!$B$5:$B$3623,A522,'📋 Транзакції'!$C$5:$C$3623,"&gt;="&amp;EDATE(DATEVALUE(C522&amp;"-01"),7),'📋 Транзакції'!$C$5:$C$3623,"&lt;"&amp;EDATE(DATEVALUE(C522&amp;"-01"),8))</f>
        <v>0</v>
      </c>
      <c r="AA522" s="37">
        <f>SUMIFS('📋 Транзакції'!$F$5:$F$3623,'📋 Транзакції'!$B$5:$B$3623,A522,'📋 Транзакції'!$C$5:$C$3623,"&gt;="&amp;EDATE(DATEVALUE(C522&amp;"-01"),8),'📋 Транзакції'!$C$5:$C$3623,"&lt;"&amp;EDATE(DATEVALUE(C522&amp;"-01"),9))</f>
        <v>0</v>
      </c>
      <c r="AB522" s="37">
        <f>SUMIFS('📋 Транзакції'!$F$5:$F$3623,'📋 Транзакції'!$B$5:$B$3623,A522,'📋 Транзакції'!$C$5:$C$3623,"&gt;="&amp;EDATE(DATEVALUE(C522&amp;"-01"),9),'📋 Транзакції'!$C$5:$C$3623,"&lt;"&amp;EDATE(DATEVALUE(C522&amp;"-01"),10))</f>
        <v>0</v>
      </c>
      <c r="AC522" s="37">
        <f>SUMIFS('📋 Транзакції'!$F$5:$F$3623,'📋 Транзакції'!$B$5:$B$3623,A522,'📋 Транзакції'!$C$5:$C$3623,"&gt;="&amp;EDATE(DATEVALUE(C522&amp;"-01"),10),'📋 Транзакції'!$C$5:$C$3623,"&lt;"&amp;EDATE(DATEVALUE(C522&amp;"-01"),11))</f>
        <v>0</v>
      </c>
      <c r="AD522" s="37">
        <f>SUMIFS('📋 Транзакції'!$F$5:$F$3623,'📋 Транзакції'!$B$5:$B$3623,A522,'📋 Транзакції'!$C$5:$C$3623,"&gt;="&amp;EDATE(DATEVALUE(C522&amp;"-01"),11),'📋 Транзакції'!$C$5:$C$3623,"&lt;"&amp;EDATE(DATEVALUE(C522&amp;"-01"),12))</f>
        <v>0</v>
      </c>
    </row>
    <row r="523" ht="15.75" customHeight="1">
      <c r="A523" s="33" t="str">
        <f>'📋 Реєстрації'!A523:A1124</f>
        <v>U0271</v>
      </c>
      <c r="B523" s="34">
        <f t="array" ref="B523">INDEX('📋 Транзакції'!$C$5:$C$3623,MATCH(A523,'📋 Транзакції'!$B$5:$B$3623,0))</f>
        <v>45700</v>
      </c>
      <c r="C523" s="35" t="str">
        <f t="shared" si="1"/>
        <v>2025-02</v>
      </c>
      <c r="D523" s="36">
        <f>COUNTIF('📋 Транзакції'!$B$5:$B$3623,A523)</f>
        <v>3</v>
      </c>
      <c r="E523" s="36">
        <f>SUMIF('📋 Транзакції'!$B$5:$B$3623,A523,'📋 Транзакції'!$F$5:$F$3623)</f>
        <v>39.98</v>
      </c>
      <c r="F523" s="35">
        <f>INT($A$1-MAXIFS('📋 Транзакції'!$C$5:$C$3623,'📋 Транзакції'!$B$5:$B$3623,A523))</f>
        <v>10</v>
      </c>
      <c r="G523" s="37">
        <f>IF(COUNTIFS('📋 Транзакції'!$B$5:$B$3623,A523,'📋 Транзакції'!$C$5:$C$3623,"&gt;="&amp;EDATE(DATEVALUE(C523&amp;"-01"),0),'📋 Транзакції'!$C$5:$C$3623,"&lt;"&amp;EDATE(DATEVALUE(C523&amp;"-01"),1))&gt;0,1,0)</f>
        <v>1</v>
      </c>
      <c r="H523" s="37">
        <f>IF(COUNTIFS('📋 Транзакції'!$B$5:$B$3623,A523,'📋 Транзакції'!$C$5:$C$3623,"&gt;="&amp;EDATE(DATEVALUE(C523&amp;"-01"),1),'📋 Транзакції'!$C$5:$C$3623,"&lt;"&amp;EDATE(DATEVALUE(C523&amp;"-01"),2))&gt;0,1,0)</f>
        <v>1</v>
      </c>
      <c r="I523" s="37">
        <f>IF(COUNTIFS('📋 Транзакції'!$B$5:$B$3623,A523,'📋 Транзакції'!$C$5:$C$3623,"&gt;="&amp;EDATE(DATEVALUE(C523&amp;"-01"),2),'📋 Транзакції'!$C$5:$C$3623,"&lt;"&amp;EDATE(DATEVALUE(C523&amp;"-01"),3))&gt;0,1,0)</f>
        <v>0</v>
      </c>
      <c r="J523" s="37">
        <f>IF(COUNTIFS('📋 Транзакції'!$B$5:$B$3623,A523,'📋 Транзакції'!$C$5:$C$3623,"&gt;="&amp;EDATE(DATEVALUE(C523&amp;"-01"),3),'📋 Транзакції'!$C$5:$C$3623,"&lt;"&amp;EDATE(DATEVALUE(C523&amp;"-01"),4))&gt;0,1,0)</f>
        <v>0</v>
      </c>
      <c r="K523" s="37">
        <f>IF(COUNTIFS('📋 Транзакції'!$B$5:$B$3623,A523,'📋 Транзакції'!$C$5:$C$3623,"&gt;="&amp;EDATE(DATEVALUE(C523&amp;"-01"),4),'📋 Транзакції'!$C$5:$C$3623,"&lt;"&amp;EDATE(DATEVALUE(C523&amp;"-01"),5))&gt;0,1,0)</f>
        <v>0</v>
      </c>
      <c r="L523" s="37">
        <f>IF(COUNTIFS('📋 Транзакції'!$B$5:$B$3623,A523,'📋 Транзакції'!$C$5:$C$3623,"&gt;="&amp;EDATE(DATEVALUE(C523&amp;"-01"),5),'📋 Транзакції'!$C$5:$C$3623,"&lt;"&amp;EDATE(DATEVALUE(C523&amp;"-01"),6))&gt;0,1,0)</f>
        <v>0</v>
      </c>
      <c r="M523" s="37">
        <f>IF(COUNTIFS('📋 Транзакції'!$B$5:$B$3623,A523,'📋 Транзакції'!$C$5:$C$3623,"&gt;="&amp;EDATE(DATEVALUE(C523&amp;"-01"),6),'📋 Транзакції'!$C$5:$C$3623,"&lt;"&amp;EDATE(DATEVALUE(C523&amp;"-01"),7))&gt;0,1,0)</f>
        <v>0</v>
      </c>
      <c r="N523" s="37">
        <f>IF(COUNTIFS('📋 Транзакції'!$B$5:$B$3623,A523,'📋 Транзакції'!$C$5:$C$3623,"&gt;="&amp;EDATE(DATEVALUE(C523&amp;"-01"),7),'📋 Транзакції'!$C$5:$C$3623,"&lt;"&amp;EDATE(DATEVALUE(C523&amp;"-01"),8))&gt;0,1,0)</f>
        <v>0</v>
      </c>
      <c r="O523" s="37">
        <f>IF(COUNTIFS('📋 Транзакції'!$B$5:$B$3623,A523,'📋 Транзакції'!$C$5:$C$3623,"&gt;="&amp;EDATE(DATEVALUE(C523&amp;"-01"),8),'📋 Транзакції'!$C$5:$C$3623,"&lt;"&amp;EDATE(DATEVALUE(C523&amp;"-01"),9))&gt;0,1,0)</f>
        <v>0</v>
      </c>
      <c r="P523" s="37">
        <f>IF(COUNTIFS('📋 Транзакції'!$B$5:$B$3623,A523,'📋 Транзакції'!$C$5:$C$3623,"&gt;="&amp;EDATE(DATEVALUE(C523&amp;"-01"),9),'📋 Транзакції'!$C$5:$C$3623,"&lt;"&amp;EDATE(DATEVALUE(C523&amp;"-01"),10))&gt;0,1,0)</f>
        <v>0</v>
      </c>
      <c r="Q523" s="37">
        <f>IF(COUNTIFS('📋 Транзакції'!$B$5:$B$3623,A523,'📋 Транзакції'!$C$5:$C$3623,"&gt;="&amp;EDATE(DATEVALUE(C523&amp;"-01"),10),'📋 Транзакції'!$C$5:$C$3623,"&lt;"&amp;EDATE(DATEVALUE(C523&amp;"-01"),11))&gt;0,1,0)</f>
        <v>0</v>
      </c>
      <c r="R523" s="37">
        <f>IF(COUNTIFS('📋 Транзакції'!$B$5:$B$3623,A523,'📋 Транзакції'!$C$5:$C$3623,"&gt;="&amp;EDATE(DATEVALUE(C523&amp;"-01"),11),'📋 Транзакції'!$C$5:$C$3623,"&lt;"&amp;EDATE(DATEVALUE(C523&amp;"-01"),12))&gt;0,1,0)</f>
        <v>0</v>
      </c>
      <c r="S523" s="37">
        <f>SUMIFS('📋 Транзакції'!$F$5:$F$3623,'📋 Транзакції'!$B$5:$B$3623,A523,'📋 Транзакції'!$C$5:$C$3623,"&gt;="&amp;EDATE(DATEVALUE(C523&amp;"-01"),0),'📋 Транзакції'!$C$5:$C$3623,"&lt;"&amp;EDATE(DATEVALUE(C523&amp;"-01"),1))</f>
        <v>19.99</v>
      </c>
      <c r="T523" s="37">
        <f>SUMIFS('📋 Транзакції'!$F$5:$F$3623,'📋 Транзакції'!$B$5:$B$3623,A523,'📋 Транзакції'!$C$5:$C$3623,"&gt;="&amp;EDATE(DATEVALUE(C523&amp;"-01"),1),'📋 Транзакції'!$C$5:$C$3623,"&lt;"&amp;EDATE(DATEVALUE(C523&amp;"-01"),2))</f>
        <v>19.99</v>
      </c>
      <c r="U523" s="37">
        <f>SUMIFS('📋 Транзакції'!$F$5:$F$3623,'📋 Транзакції'!$B$5:$B$3623,A523,'📋 Транзакції'!$C$5:$C$3623,"&gt;="&amp;EDATE(DATEVALUE(C523&amp;"-01"),2),'📋 Транзакції'!$C$5:$C$3623,"&lt;"&amp;EDATE(DATEVALUE(C523&amp;"-01"),3))</f>
        <v>0</v>
      </c>
      <c r="V523" s="37">
        <f>SUMIFS('📋 Транзакції'!$F$5:$F$3623,'📋 Транзакції'!$B$5:$B$3623,A523,'📋 Транзакції'!$C$5:$C$3623,"&gt;="&amp;EDATE(DATEVALUE(C523&amp;"-01"),3),'📋 Транзакції'!$C$5:$C$3623,"&lt;"&amp;EDATE(DATEVALUE(C523&amp;"-01"),4))</f>
        <v>0</v>
      </c>
      <c r="W523" s="37">
        <f>SUMIFS('📋 Транзакції'!$F$5:$F$3623,'📋 Транзакції'!$B$5:$B$3623,A523,'📋 Транзакції'!$C$5:$C$3623,"&gt;="&amp;EDATE(DATEVALUE(C523&amp;"-01"),4),'📋 Транзакції'!$C$5:$C$3623,"&lt;"&amp;EDATE(DATEVALUE(C523&amp;"-01"),5))</f>
        <v>0</v>
      </c>
      <c r="X523" s="37">
        <f>SUMIFS('📋 Транзакції'!$F$5:$F$3623,'📋 Транзакції'!$B$5:$B$3623,A523,'📋 Транзакції'!$C$5:$C$3623,"&gt;="&amp;EDATE(DATEVALUE(C523&amp;"-01"),5),'📋 Транзакції'!$C$5:$C$3623,"&lt;"&amp;EDATE(DATEVALUE(C523&amp;"-01"),6))</f>
        <v>0</v>
      </c>
      <c r="Y523" s="37">
        <f>SUMIFS('📋 Транзакції'!$F$5:$F$3623,'📋 Транзакції'!$B$5:$B$3623,A523,'📋 Транзакції'!$C$5:$C$3623,"&gt;="&amp;EDATE(DATEVALUE(C523&amp;"-01"),6),'📋 Транзакції'!$C$5:$C$3623,"&lt;"&amp;EDATE(DATEVALUE(C523&amp;"-01"),7))</f>
        <v>0</v>
      </c>
      <c r="Z523" s="37">
        <f>SUMIFS('📋 Транзакції'!$F$5:$F$3623,'📋 Транзакції'!$B$5:$B$3623,A523,'📋 Транзакції'!$C$5:$C$3623,"&gt;="&amp;EDATE(DATEVALUE(C523&amp;"-01"),7),'📋 Транзакції'!$C$5:$C$3623,"&lt;"&amp;EDATE(DATEVALUE(C523&amp;"-01"),8))</f>
        <v>0</v>
      </c>
      <c r="AA523" s="37">
        <f>SUMIFS('📋 Транзакції'!$F$5:$F$3623,'📋 Транзакції'!$B$5:$B$3623,A523,'📋 Транзакції'!$C$5:$C$3623,"&gt;="&amp;EDATE(DATEVALUE(C523&amp;"-01"),8),'📋 Транзакції'!$C$5:$C$3623,"&lt;"&amp;EDATE(DATEVALUE(C523&amp;"-01"),9))</f>
        <v>0</v>
      </c>
      <c r="AB523" s="37">
        <f>SUMIFS('📋 Транзакції'!$F$5:$F$3623,'📋 Транзакції'!$B$5:$B$3623,A523,'📋 Транзакції'!$C$5:$C$3623,"&gt;="&amp;EDATE(DATEVALUE(C523&amp;"-01"),9),'📋 Транзакції'!$C$5:$C$3623,"&lt;"&amp;EDATE(DATEVALUE(C523&amp;"-01"),10))</f>
        <v>0</v>
      </c>
      <c r="AC523" s="37">
        <f>SUMIFS('📋 Транзакції'!$F$5:$F$3623,'📋 Транзакції'!$B$5:$B$3623,A523,'📋 Транзакції'!$C$5:$C$3623,"&gt;="&amp;EDATE(DATEVALUE(C523&amp;"-01"),10),'📋 Транзакції'!$C$5:$C$3623,"&lt;"&amp;EDATE(DATEVALUE(C523&amp;"-01"),11))</f>
        <v>0</v>
      </c>
      <c r="AD523" s="37">
        <f>SUMIFS('📋 Транзакції'!$F$5:$F$3623,'📋 Транзакції'!$B$5:$B$3623,A523,'📋 Транзакції'!$C$5:$C$3623,"&gt;="&amp;EDATE(DATEVALUE(C523&amp;"-01"),11),'📋 Транзакції'!$C$5:$C$3623,"&lt;"&amp;EDATE(DATEVALUE(C523&amp;"-01"),12))</f>
        <v>0</v>
      </c>
    </row>
    <row r="524" ht="15.75" customHeight="1">
      <c r="A524" s="33" t="str">
        <f>'📋 Реєстрації'!A524:A1125</f>
        <v>U0893</v>
      </c>
      <c r="B524" s="34">
        <f t="array" ref="B524">INDEX('📋 Транзакції'!$C$5:$C$3623,MATCH(A524,'📋 Транзакції'!$B$5:$B$3623,0))</f>
        <v>45700</v>
      </c>
      <c r="C524" s="35" t="str">
        <f t="shared" si="1"/>
        <v>2025-02</v>
      </c>
      <c r="D524" s="36">
        <f>COUNTIF('📋 Транзакції'!$B$5:$B$3623,A524)</f>
        <v>3</v>
      </c>
      <c r="E524" s="36">
        <f>SUMIF('📋 Транзакції'!$B$5:$B$3623,A524,'📋 Транзакції'!$F$5:$F$3623)</f>
        <v>39.98</v>
      </c>
      <c r="F524" s="35">
        <f>INT($A$1-MAXIFS('📋 Транзакції'!$C$5:$C$3623,'📋 Транзакції'!$B$5:$B$3623,A524))</f>
        <v>10</v>
      </c>
      <c r="G524" s="37">
        <f>IF(COUNTIFS('📋 Транзакції'!$B$5:$B$3623,A524,'📋 Транзакції'!$C$5:$C$3623,"&gt;="&amp;EDATE(DATEVALUE(C524&amp;"-01"),0),'📋 Транзакції'!$C$5:$C$3623,"&lt;"&amp;EDATE(DATEVALUE(C524&amp;"-01"),1))&gt;0,1,0)</f>
        <v>1</v>
      </c>
      <c r="H524" s="37">
        <f>IF(COUNTIFS('📋 Транзакції'!$B$5:$B$3623,A524,'📋 Транзакції'!$C$5:$C$3623,"&gt;="&amp;EDATE(DATEVALUE(C524&amp;"-01"),1),'📋 Транзакції'!$C$5:$C$3623,"&lt;"&amp;EDATE(DATEVALUE(C524&amp;"-01"),2))&gt;0,1,0)</f>
        <v>1</v>
      </c>
      <c r="I524" s="37">
        <f>IF(COUNTIFS('📋 Транзакції'!$B$5:$B$3623,A524,'📋 Транзакції'!$C$5:$C$3623,"&gt;="&amp;EDATE(DATEVALUE(C524&amp;"-01"),2),'📋 Транзакції'!$C$5:$C$3623,"&lt;"&amp;EDATE(DATEVALUE(C524&amp;"-01"),3))&gt;0,1,0)</f>
        <v>0</v>
      </c>
      <c r="J524" s="37">
        <f>IF(COUNTIFS('📋 Транзакції'!$B$5:$B$3623,A524,'📋 Транзакції'!$C$5:$C$3623,"&gt;="&amp;EDATE(DATEVALUE(C524&amp;"-01"),3),'📋 Транзакції'!$C$5:$C$3623,"&lt;"&amp;EDATE(DATEVALUE(C524&amp;"-01"),4))&gt;0,1,0)</f>
        <v>0</v>
      </c>
      <c r="K524" s="37">
        <f>IF(COUNTIFS('📋 Транзакції'!$B$5:$B$3623,A524,'📋 Транзакції'!$C$5:$C$3623,"&gt;="&amp;EDATE(DATEVALUE(C524&amp;"-01"),4),'📋 Транзакції'!$C$5:$C$3623,"&lt;"&amp;EDATE(DATEVALUE(C524&amp;"-01"),5))&gt;0,1,0)</f>
        <v>0</v>
      </c>
      <c r="L524" s="37">
        <f>IF(COUNTIFS('📋 Транзакції'!$B$5:$B$3623,A524,'📋 Транзакції'!$C$5:$C$3623,"&gt;="&amp;EDATE(DATEVALUE(C524&amp;"-01"),5),'📋 Транзакції'!$C$5:$C$3623,"&lt;"&amp;EDATE(DATEVALUE(C524&amp;"-01"),6))&gt;0,1,0)</f>
        <v>0</v>
      </c>
      <c r="M524" s="37">
        <f>IF(COUNTIFS('📋 Транзакції'!$B$5:$B$3623,A524,'📋 Транзакції'!$C$5:$C$3623,"&gt;="&amp;EDATE(DATEVALUE(C524&amp;"-01"),6),'📋 Транзакції'!$C$5:$C$3623,"&lt;"&amp;EDATE(DATEVALUE(C524&amp;"-01"),7))&gt;0,1,0)</f>
        <v>0</v>
      </c>
      <c r="N524" s="37">
        <f>IF(COUNTIFS('📋 Транзакції'!$B$5:$B$3623,A524,'📋 Транзакції'!$C$5:$C$3623,"&gt;="&amp;EDATE(DATEVALUE(C524&amp;"-01"),7),'📋 Транзакції'!$C$5:$C$3623,"&lt;"&amp;EDATE(DATEVALUE(C524&amp;"-01"),8))&gt;0,1,0)</f>
        <v>0</v>
      </c>
      <c r="O524" s="37">
        <f>IF(COUNTIFS('📋 Транзакції'!$B$5:$B$3623,A524,'📋 Транзакції'!$C$5:$C$3623,"&gt;="&amp;EDATE(DATEVALUE(C524&amp;"-01"),8),'📋 Транзакції'!$C$5:$C$3623,"&lt;"&amp;EDATE(DATEVALUE(C524&amp;"-01"),9))&gt;0,1,0)</f>
        <v>0</v>
      </c>
      <c r="P524" s="37">
        <f>IF(COUNTIFS('📋 Транзакції'!$B$5:$B$3623,A524,'📋 Транзакції'!$C$5:$C$3623,"&gt;="&amp;EDATE(DATEVALUE(C524&amp;"-01"),9),'📋 Транзакції'!$C$5:$C$3623,"&lt;"&amp;EDATE(DATEVALUE(C524&amp;"-01"),10))&gt;0,1,0)</f>
        <v>0</v>
      </c>
      <c r="Q524" s="37">
        <f>IF(COUNTIFS('📋 Транзакції'!$B$5:$B$3623,A524,'📋 Транзакції'!$C$5:$C$3623,"&gt;="&amp;EDATE(DATEVALUE(C524&amp;"-01"),10),'📋 Транзакції'!$C$5:$C$3623,"&lt;"&amp;EDATE(DATEVALUE(C524&amp;"-01"),11))&gt;0,1,0)</f>
        <v>0</v>
      </c>
      <c r="R524" s="37">
        <f>IF(COUNTIFS('📋 Транзакції'!$B$5:$B$3623,A524,'📋 Транзакції'!$C$5:$C$3623,"&gt;="&amp;EDATE(DATEVALUE(C524&amp;"-01"),11),'📋 Транзакції'!$C$5:$C$3623,"&lt;"&amp;EDATE(DATEVALUE(C524&amp;"-01"),12))&gt;0,1,0)</f>
        <v>0</v>
      </c>
      <c r="S524" s="37">
        <f>SUMIFS('📋 Транзакції'!$F$5:$F$3623,'📋 Транзакції'!$B$5:$B$3623,A524,'📋 Транзакції'!$C$5:$C$3623,"&gt;="&amp;EDATE(DATEVALUE(C524&amp;"-01"),0),'📋 Транзакції'!$C$5:$C$3623,"&lt;"&amp;EDATE(DATEVALUE(C524&amp;"-01"),1))</f>
        <v>19.99</v>
      </c>
      <c r="T524" s="37">
        <f>SUMIFS('📋 Транзакції'!$F$5:$F$3623,'📋 Транзакції'!$B$5:$B$3623,A524,'📋 Транзакції'!$C$5:$C$3623,"&gt;="&amp;EDATE(DATEVALUE(C524&amp;"-01"),1),'📋 Транзакції'!$C$5:$C$3623,"&lt;"&amp;EDATE(DATEVALUE(C524&amp;"-01"),2))</f>
        <v>19.99</v>
      </c>
      <c r="U524" s="37">
        <f>SUMIFS('📋 Транзакції'!$F$5:$F$3623,'📋 Транзакції'!$B$5:$B$3623,A524,'📋 Транзакції'!$C$5:$C$3623,"&gt;="&amp;EDATE(DATEVALUE(C524&amp;"-01"),2),'📋 Транзакції'!$C$5:$C$3623,"&lt;"&amp;EDATE(DATEVALUE(C524&amp;"-01"),3))</f>
        <v>0</v>
      </c>
      <c r="V524" s="37">
        <f>SUMIFS('📋 Транзакції'!$F$5:$F$3623,'📋 Транзакції'!$B$5:$B$3623,A524,'📋 Транзакції'!$C$5:$C$3623,"&gt;="&amp;EDATE(DATEVALUE(C524&amp;"-01"),3),'📋 Транзакції'!$C$5:$C$3623,"&lt;"&amp;EDATE(DATEVALUE(C524&amp;"-01"),4))</f>
        <v>0</v>
      </c>
      <c r="W524" s="37">
        <f>SUMIFS('📋 Транзакції'!$F$5:$F$3623,'📋 Транзакції'!$B$5:$B$3623,A524,'📋 Транзакції'!$C$5:$C$3623,"&gt;="&amp;EDATE(DATEVALUE(C524&amp;"-01"),4),'📋 Транзакції'!$C$5:$C$3623,"&lt;"&amp;EDATE(DATEVALUE(C524&amp;"-01"),5))</f>
        <v>0</v>
      </c>
      <c r="X524" s="37">
        <f>SUMIFS('📋 Транзакції'!$F$5:$F$3623,'📋 Транзакції'!$B$5:$B$3623,A524,'📋 Транзакції'!$C$5:$C$3623,"&gt;="&amp;EDATE(DATEVALUE(C524&amp;"-01"),5),'📋 Транзакції'!$C$5:$C$3623,"&lt;"&amp;EDATE(DATEVALUE(C524&amp;"-01"),6))</f>
        <v>0</v>
      </c>
      <c r="Y524" s="37">
        <f>SUMIFS('📋 Транзакції'!$F$5:$F$3623,'📋 Транзакції'!$B$5:$B$3623,A524,'📋 Транзакції'!$C$5:$C$3623,"&gt;="&amp;EDATE(DATEVALUE(C524&amp;"-01"),6),'📋 Транзакції'!$C$5:$C$3623,"&lt;"&amp;EDATE(DATEVALUE(C524&amp;"-01"),7))</f>
        <v>0</v>
      </c>
      <c r="Z524" s="37">
        <f>SUMIFS('📋 Транзакції'!$F$5:$F$3623,'📋 Транзакції'!$B$5:$B$3623,A524,'📋 Транзакції'!$C$5:$C$3623,"&gt;="&amp;EDATE(DATEVALUE(C524&amp;"-01"),7),'📋 Транзакції'!$C$5:$C$3623,"&lt;"&amp;EDATE(DATEVALUE(C524&amp;"-01"),8))</f>
        <v>0</v>
      </c>
      <c r="AA524" s="37">
        <f>SUMIFS('📋 Транзакції'!$F$5:$F$3623,'📋 Транзакції'!$B$5:$B$3623,A524,'📋 Транзакції'!$C$5:$C$3623,"&gt;="&amp;EDATE(DATEVALUE(C524&amp;"-01"),8),'📋 Транзакції'!$C$5:$C$3623,"&lt;"&amp;EDATE(DATEVALUE(C524&amp;"-01"),9))</f>
        <v>0</v>
      </c>
      <c r="AB524" s="37">
        <f>SUMIFS('📋 Транзакції'!$F$5:$F$3623,'📋 Транзакції'!$B$5:$B$3623,A524,'📋 Транзакції'!$C$5:$C$3623,"&gt;="&amp;EDATE(DATEVALUE(C524&amp;"-01"),9),'📋 Транзакції'!$C$5:$C$3623,"&lt;"&amp;EDATE(DATEVALUE(C524&amp;"-01"),10))</f>
        <v>0</v>
      </c>
      <c r="AC524" s="37">
        <f>SUMIFS('📋 Транзакції'!$F$5:$F$3623,'📋 Транзакції'!$B$5:$B$3623,A524,'📋 Транзакції'!$C$5:$C$3623,"&gt;="&amp;EDATE(DATEVALUE(C524&amp;"-01"),10),'📋 Транзакції'!$C$5:$C$3623,"&lt;"&amp;EDATE(DATEVALUE(C524&amp;"-01"),11))</f>
        <v>0</v>
      </c>
      <c r="AD524" s="37">
        <f>SUMIFS('📋 Транзакції'!$F$5:$F$3623,'📋 Транзакції'!$B$5:$B$3623,A524,'📋 Транзакції'!$C$5:$C$3623,"&gt;="&amp;EDATE(DATEVALUE(C524&amp;"-01"),11),'📋 Транзакції'!$C$5:$C$3623,"&lt;"&amp;EDATE(DATEVALUE(C524&amp;"-01"),12))</f>
        <v>0</v>
      </c>
    </row>
    <row r="525" ht="15.75" customHeight="1">
      <c r="A525" s="33" t="str">
        <f>'📋 Реєстрації'!A525:A1126</f>
        <v>U0504</v>
      </c>
      <c r="B525" s="34">
        <f t="array" ref="B525">INDEX('📋 Транзакції'!$C$5:$C$3623,MATCH(A525,'📋 Транзакції'!$B$5:$B$3623,0))</f>
        <v>45701</v>
      </c>
      <c r="C525" s="35" t="str">
        <f t="shared" si="1"/>
        <v>2025-02</v>
      </c>
      <c r="D525" s="36">
        <f>COUNTIF('📋 Транзакції'!$B$5:$B$3623,A525)</f>
        <v>3</v>
      </c>
      <c r="E525" s="36">
        <f>SUMIF('📋 Транзакції'!$B$5:$B$3623,A525,'📋 Транзакції'!$F$5:$F$3623)</f>
        <v>39.98</v>
      </c>
      <c r="F525" s="35">
        <f>INT($A$1-MAXIFS('📋 Транзакції'!$C$5:$C$3623,'📋 Транзакції'!$B$5:$B$3623,A525))</f>
        <v>9</v>
      </c>
      <c r="G525" s="37">
        <f>IF(COUNTIFS('📋 Транзакції'!$B$5:$B$3623,A525,'📋 Транзакції'!$C$5:$C$3623,"&gt;="&amp;EDATE(DATEVALUE(C525&amp;"-01"),0),'📋 Транзакції'!$C$5:$C$3623,"&lt;"&amp;EDATE(DATEVALUE(C525&amp;"-01"),1))&gt;0,1,0)</f>
        <v>1</v>
      </c>
      <c r="H525" s="37">
        <f>IF(COUNTIFS('📋 Транзакції'!$B$5:$B$3623,A525,'📋 Транзакції'!$C$5:$C$3623,"&gt;="&amp;EDATE(DATEVALUE(C525&amp;"-01"),1),'📋 Транзакції'!$C$5:$C$3623,"&lt;"&amp;EDATE(DATEVALUE(C525&amp;"-01"),2))&gt;0,1,0)</f>
        <v>1</v>
      </c>
      <c r="I525" s="37">
        <f>IF(COUNTIFS('📋 Транзакції'!$B$5:$B$3623,A525,'📋 Транзакції'!$C$5:$C$3623,"&gt;="&amp;EDATE(DATEVALUE(C525&amp;"-01"),2),'📋 Транзакції'!$C$5:$C$3623,"&lt;"&amp;EDATE(DATEVALUE(C525&amp;"-01"),3))&gt;0,1,0)</f>
        <v>0</v>
      </c>
      <c r="J525" s="37">
        <f>IF(COUNTIFS('📋 Транзакції'!$B$5:$B$3623,A525,'📋 Транзакції'!$C$5:$C$3623,"&gt;="&amp;EDATE(DATEVALUE(C525&amp;"-01"),3),'📋 Транзакції'!$C$5:$C$3623,"&lt;"&amp;EDATE(DATEVALUE(C525&amp;"-01"),4))&gt;0,1,0)</f>
        <v>0</v>
      </c>
      <c r="K525" s="37">
        <f>IF(COUNTIFS('📋 Транзакції'!$B$5:$B$3623,A525,'📋 Транзакції'!$C$5:$C$3623,"&gt;="&amp;EDATE(DATEVALUE(C525&amp;"-01"),4),'📋 Транзакції'!$C$5:$C$3623,"&lt;"&amp;EDATE(DATEVALUE(C525&amp;"-01"),5))&gt;0,1,0)</f>
        <v>0</v>
      </c>
      <c r="L525" s="37">
        <f>IF(COUNTIFS('📋 Транзакції'!$B$5:$B$3623,A525,'📋 Транзакції'!$C$5:$C$3623,"&gt;="&amp;EDATE(DATEVALUE(C525&amp;"-01"),5),'📋 Транзакції'!$C$5:$C$3623,"&lt;"&amp;EDATE(DATEVALUE(C525&amp;"-01"),6))&gt;0,1,0)</f>
        <v>0</v>
      </c>
      <c r="M525" s="37">
        <f>IF(COUNTIFS('📋 Транзакції'!$B$5:$B$3623,A525,'📋 Транзакції'!$C$5:$C$3623,"&gt;="&amp;EDATE(DATEVALUE(C525&amp;"-01"),6),'📋 Транзакції'!$C$5:$C$3623,"&lt;"&amp;EDATE(DATEVALUE(C525&amp;"-01"),7))&gt;0,1,0)</f>
        <v>0</v>
      </c>
      <c r="N525" s="37">
        <f>IF(COUNTIFS('📋 Транзакції'!$B$5:$B$3623,A525,'📋 Транзакції'!$C$5:$C$3623,"&gt;="&amp;EDATE(DATEVALUE(C525&amp;"-01"),7),'📋 Транзакції'!$C$5:$C$3623,"&lt;"&amp;EDATE(DATEVALUE(C525&amp;"-01"),8))&gt;0,1,0)</f>
        <v>0</v>
      </c>
      <c r="O525" s="37">
        <f>IF(COUNTIFS('📋 Транзакції'!$B$5:$B$3623,A525,'📋 Транзакції'!$C$5:$C$3623,"&gt;="&amp;EDATE(DATEVALUE(C525&amp;"-01"),8),'📋 Транзакції'!$C$5:$C$3623,"&lt;"&amp;EDATE(DATEVALUE(C525&amp;"-01"),9))&gt;0,1,0)</f>
        <v>0</v>
      </c>
      <c r="P525" s="37">
        <f>IF(COUNTIFS('📋 Транзакції'!$B$5:$B$3623,A525,'📋 Транзакції'!$C$5:$C$3623,"&gt;="&amp;EDATE(DATEVALUE(C525&amp;"-01"),9),'📋 Транзакції'!$C$5:$C$3623,"&lt;"&amp;EDATE(DATEVALUE(C525&amp;"-01"),10))&gt;0,1,0)</f>
        <v>0</v>
      </c>
      <c r="Q525" s="37">
        <f>IF(COUNTIFS('📋 Транзакції'!$B$5:$B$3623,A525,'📋 Транзакції'!$C$5:$C$3623,"&gt;="&amp;EDATE(DATEVALUE(C525&amp;"-01"),10),'📋 Транзакції'!$C$5:$C$3623,"&lt;"&amp;EDATE(DATEVALUE(C525&amp;"-01"),11))&gt;0,1,0)</f>
        <v>0</v>
      </c>
      <c r="R525" s="37">
        <f>IF(COUNTIFS('📋 Транзакції'!$B$5:$B$3623,A525,'📋 Транзакції'!$C$5:$C$3623,"&gt;="&amp;EDATE(DATEVALUE(C525&amp;"-01"),11),'📋 Транзакції'!$C$5:$C$3623,"&lt;"&amp;EDATE(DATEVALUE(C525&amp;"-01"),12))&gt;0,1,0)</f>
        <v>0</v>
      </c>
      <c r="S525" s="37">
        <f>SUMIFS('📋 Транзакції'!$F$5:$F$3623,'📋 Транзакції'!$B$5:$B$3623,A525,'📋 Транзакції'!$C$5:$C$3623,"&gt;="&amp;EDATE(DATEVALUE(C525&amp;"-01"),0),'📋 Транзакції'!$C$5:$C$3623,"&lt;"&amp;EDATE(DATEVALUE(C525&amp;"-01"),1))</f>
        <v>19.99</v>
      </c>
      <c r="T525" s="37">
        <f>SUMIFS('📋 Транзакції'!$F$5:$F$3623,'📋 Транзакції'!$B$5:$B$3623,A525,'📋 Транзакції'!$C$5:$C$3623,"&gt;="&amp;EDATE(DATEVALUE(C525&amp;"-01"),1),'📋 Транзакції'!$C$5:$C$3623,"&lt;"&amp;EDATE(DATEVALUE(C525&amp;"-01"),2))</f>
        <v>19.99</v>
      </c>
      <c r="U525" s="37">
        <f>SUMIFS('📋 Транзакції'!$F$5:$F$3623,'📋 Транзакції'!$B$5:$B$3623,A525,'📋 Транзакції'!$C$5:$C$3623,"&gt;="&amp;EDATE(DATEVALUE(C525&amp;"-01"),2),'📋 Транзакції'!$C$5:$C$3623,"&lt;"&amp;EDATE(DATEVALUE(C525&amp;"-01"),3))</f>
        <v>0</v>
      </c>
      <c r="V525" s="37">
        <f>SUMIFS('📋 Транзакції'!$F$5:$F$3623,'📋 Транзакції'!$B$5:$B$3623,A525,'📋 Транзакції'!$C$5:$C$3623,"&gt;="&amp;EDATE(DATEVALUE(C525&amp;"-01"),3),'📋 Транзакції'!$C$5:$C$3623,"&lt;"&amp;EDATE(DATEVALUE(C525&amp;"-01"),4))</f>
        <v>0</v>
      </c>
      <c r="W525" s="37">
        <f>SUMIFS('📋 Транзакції'!$F$5:$F$3623,'📋 Транзакції'!$B$5:$B$3623,A525,'📋 Транзакції'!$C$5:$C$3623,"&gt;="&amp;EDATE(DATEVALUE(C525&amp;"-01"),4),'📋 Транзакції'!$C$5:$C$3623,"&lt;"&amp;EDATE(DATEVALUE(C525&amp;"-01"),5))</f>
        <v>0</v>
      </c>
      <c r="X525" s="37">
        <f>SUMIFS('📋 Транзакції'!$F$5:$F$3623,'📋 Транзакції'!$B$5:$B$3623,A525,'📋 Транзакції'!$C$5:$C$3623,"&gt;="&amp;EDATE(DATEVALUE(C525&amp;"-01"),5),'📋 Транзакції'!$C$5:$C$3623,"&lt;"&amp;EDATE(DATEVALUE(C525&amp;"-01"),6))</f>
        <v>0</v>
      </c>
      <c r="Y525" s="37">
        <f>SUMIFS('📋 Транзакції'!$F$5:$F$3623,'📋 Транзакції'!$B$5:$B$3623,A525,'📋 Транзакції'!$C$5:$C$3623,"&gt;="&amp;EDATE(DATEVALUE(C525&amp;"-01"),6),'📋 Транзакції'!$C$5:$C$3623,"&lt;"&amp;EDATE(DATEVALUE(C525&amp;"-01"),7))</f>
        <v>0</v>
      </c>
      <c r="Z525" s="37">
        <f>SUMIFS('📋 Транзакції'!$F$5:$F$3623,'📋 Транзакції'!$B$5:$B$3623,A525,'📋 Транзакції'!$C$5:$C$3623,"&gt;="&amp;EDATE(DATEVALUE(C525&amp;"-01"),7),'📋 Транзакції'!$C$5:$C$3623,"&lt;"&amp;EDATE(DATEVALUE(C525&amp;"-01"),8))</f>
        <v>0</v>
      </c>
      <c r="AA525" s="37">
        <f>SUMIFS('📋 Транзакції'!$F$5:$F$3623,'📋 Транзакції'!$B$5:$B$3623,A525,'📋 Транзакції'!$C$5:$C$3623,"&gt;="&amp;EDATE(DATEVALUE(C525&amp;"-01"),8),'📋 Транзакції'!$C$5:$C$3623,"&lt;"&amp;EDATE(DATEVALUE(C525&amp;"-01"),9))</f>
        <v>0</v>
      </c>
      <c r="AB525" s="37">
        <f>SUMIFS('📋 Транзакції'!$F$5:$F$3623,'📋 Транзакції'!$B$5:$B$3623,A525,'📋 Транзакції'!$C$5:$C$3623,"&gt;="&amp;EDATE(DATEVALUE(C525&amp;"-01"),9),'📋 Транзакції'!$C$5:$C$3623,"&lt;"&amp;EDATE(DATEVALUE(C525&amp;"-01"),10))</f>
        <v>0</v>
      </c>
      <c r="AC525" s="37">
        <f>SUMIFS('📋 Транзакції'!$F$5:$F$3623,'📋 Транзакції'!$B$5:$B$3623,A525,'📋 Транзакції'!$C$5:$C$3623,"&gt;="&amp;EDATE(DATEVALUE(C525&amp;"-01"),10),'📋 Транзакції'!$C$5:$C$3623,"&lt;"&amp;EDATE(DATEVALUE(C525&amp;"-01"),11))</f>
        <v>0</v>
      </c>
      <c r="AD525" s="37">
        <f>SUMIFS('📋 Транзакції'!$F$5:$F$3623,'📋 Транзакції'!$B$5:$B$3623,A525,'📋 Транзакції'!$C$5:$C$3623,"&gt;="&amp;EDATE(DATEVALUE(C525&amp;"-01"),11),'📋 Транзакції'!$C$5:$C$3623,"&lt;"&amp;EDATE(DATEVALUE(C525&amp;"-01"),12))</f>
        <v>0</v>
      </c>
    </row>
    <row r="526" ht="15.75" customHeight="1">
      <c r="A526" s="33" t="str">
        <f>'📋 Реєстрації'!A526:A1127</f>
        <v>U0812</v>
      </c>
      <c r="B526" s="34">
        <f t="array" ref="B526">INDEX('📋 Транзакції'!$C$5:$C$3623,MATCH(A526,'📋 Транзакції'!$B$5:$B$3623,0))</f>
        <v>45701</v>
      </c>
      <c r="C526" s="35" t="str">
        <f t="shared" si="1"/>
        <v>2025-02</v>
      </c>
      <c r="D526" s="36">
        <f>COUNTIF('📋 Транзакції'!$B$5:$B$3623,A526)</f>
        <v>3</v>
      </c>
      <c r="E526" s="36">
        <f>SUMIF('📋 Транзакції'!$B$5:$B$3623,A526,'📋 Транзакції'!$F$5:$F$3623)</f>
        <v>39.98</v>
      </c>
      <c r="F526" s="35">
        <f>INT($A$1-MAXIFS('📋 Транзакції'!$C$5:$C$3623,'📋 Транзакції'!$B$5:$B$3623,A526))</f>
        <v>9</v>
      </c>
      <c r="G526" s="37">
        <f>IF(COUNTIFS('📋 Транзакції'!$B$5:$B$3623,A526,'📋 Транзакції'!$C$5:$C$3623,"&gt;="&amp;EDATE(DATEVALUE(C526&amp;"-01"),0),'📋 Транзакції'!$C$5:$C$3623,"&lt;"&amp;EDATE(DATEVALUE(C526&amp;"-01"),1))&gt;0,1,0)</f>
        <v>1</v>
      </c>
      <c r="H526" s="37">
        <f>IF(COUNTIFS('📋 Транзакції'!$B$5:$B$3623,A526,'📋 Транзакції'!$C$5:$C$3623,"&gt;="&amp;EDATE(DATEVALUE(C526&amp;"-01"),1),'📋 Транзакції'!$C$5:$C$3623,"&lt;"&amp;EDATE(DATEVALUE(C526&amp;"-01"),2))&gt;0,1,0)</f>
        <v>1</v>
      </c>
      <c r="I526" s="37">
        <f>IF(COUNTIFS('📋 Транзакції'!$B$5:$B$3623,A526,'📋 Транзакції'!$C$5:$C$3623,"&gt;="&amp;EDATE(DATEVALUE(C526&amp;"-01"),2),'📋 Транзакції'!$C$5:$C$3623,"&lt;"&amp;EDATE(DATEVALUE(C526&amp;"-01"),3))&gt;0,1,0)</f>
        <v>0</v>
      </c>
      <c r="J526" s="37">
        <f>IF(COUNTIFS('📋 Транзакції'!$B$5:$B$3623,A526,'📋 Транзакції'!$C$5:$C$3623,"&gt;="&amp;EDATE(DATEVALUE(C526&amp;"-01"),3),'📋 Транзакції'!$C$5:$C$3623,"&lt;"&amp;EDATE(DATEVALUE(C526&amp;"-01"),4))&gt;0,1,0)</f>
        <v>0</v>
      </c>
      <c r="K526" s="37">
        <f>IF(COUNTIFS('📋 Транзакції'!$B$5:$B$3623,A526,'📋 Транзакції'!$C$5:$C$3623,"&gt;="&amp;EDATE(DATEVALUE(C526&amp;"-01"),4),'📋 Транзакції'!$C$5:$C$3623,"&lt;"&amp;EDATE(DATEVALUE(C526&amp;"-01"),5))&gt;0,1,0)</f>
        <v>0</v>
      </c>
      <c r="L526" s="37">
        <f>IF(COUNTIFS('📋 Транзакції'!$B$5:$B$3623,A526,'📋 Транзакції'!$C$5:$C$3623,"&gt;="&amp;EDATE(DATEVALUE(C526&amp;"-01"),5),'📋 Транзакції'!$C$5:$C$3623,"&lt;"&amp;EDATE(DATEVALUE(C526&amp;"-01"),6))&gt;0,1,0)</f>
        <v>0</v>
      </c>
      <c r="M526" s="37">
        <f>IF(COUNTIFS('📋 Транзакції'!$B$5:$B$3623,A526,'📋 Транзакції'!$C$5:$C$3623,"&gt;="&amp;EDATE(DATEVALUE(C526&amp;"-01"),6),'📋 Транзакції'!$C$5:$C$3623,"&lt;"&amp;EDATE(DATEVALUE(C526&amp;"-01"),7))&gt;0,1,0)</f>
        <v>0</v>
      </c>
      <c r="N526" s="37">
        <f>IF(COUNTIFS('📋 Транзакції'!$B$5:$B$3623,A526,'📋 Транзакції'!$C$5:$C$3623,"&gt;="&amp;EDATE(DATEVALUE(C526&amp;"-01"),7),'📋 Транзакції'!$C$5:$C$3623,"&lt;"&amp;EDATE(DATEVALUE(C526&amp;"-01"),8))&gt;0,1,0)</f>
        <v>0</v>
      </c>
      <c r="O526" s="37">
        <f>IF(COUNTIFS('📋 Транзакції'!$B$5:$B$3623,A526,'📋 Транзакції'!$C$5:$C$3623,"&gt;="&amp;EDATE(DATEVALUE(C526&amp;"-01"),8),'📋 Транзакції'!$C$5:$C$3623,"&lt;"&amp;EDATE(DATEVALUE(C526&amp;"-01"),9))&gt;0,1,0)</f>
        <v>0</v>
      </c>
      <c r="P526" s="37">
        <f>IF(COUNTIFS('📋 Транзакції'!$B$5:$B$3623,A526,'📋 Транзакції'!$C$5:$C$3623,"&gt;="&amp;EDATE(DATEVALUE(C526&amp;"-01"),9),'📋 Транзакції'!$C$5:$C$3623,"&lt;"&amp;EDATE(DATEVALUE(C526&amp;"-01"),10))&gt;0,1,0)</f>
        <v>0</v>
      </c>
      <c r="Q526" s="37">
        <f>IF(COUNTIFS('📋 Транзакції'!$B$5:$B$3623,A526,'📋 Транзакції'!$C$5:$C$3623,"&gt;="&amp;EDATE(DATEVALUE(C526&amp;"-01"),10),'📋 Транзакції'!$C$5:$C$3623,"&lt;"&amp;EDATE(DATEVALUE(C526&amp;"-01"),11))&gt;0,1,0)</f>
        <v>0</v>
      </c>
      <c r="R526" s="37">
        <f>IF(COUNTIFS('📋 Транзакції'!$B$5:$B$3623,A526,'📋 Транзакції'!$C$5:$C$3623,"&gt;="&amp;EDATE(DATEVALUE(C526&amp;"-01"),11),'📋 Транзакції'!$C$5:$C$3623,"&lt;"&amp;EDATE(DATEVALUE(C526&amp;"-01"),12))&gt;0,1,0)</f>
        <v>0</v>
      </c>
      <c r="S526" s="37">
        <f>SUMIFS('📋 Транзакції'!$F$5:$F$3623,'📋 Транзакції'!$B$5:$B$3623,A526,'📋 Транзакції'!$C$5:$C$3623,"&gt;="&amp;EDATE(DATEVALUE(C526&amp;"-01"),0),'📋 Транзакції'!$C$5:$C$3623,"&lt;"&amp;EDATE(DATEVALUE(C526&amp;"-01"),1))</f>
        <v>19.99</v>
      </c>
      <c r="T526" s="37">
        <f>SUMIFS('📋 Транзакції'!$F$5:$F$3623,'📋 Транзакції'!$B$5:$B$3623,A526,'📋 Транзакції'!$C$5:$C$3623,"&gt;="&amp;EDATE(DATEVALUE(C526&amp;"-01"),1),'📋 Транзакції'!$C$5:$C$3623,"&lt;"&amp;EDATE(DATEVALUE(C526&amp;"-01"),2))</f>
        <v>19.99</v>
      </c>
      <c r="U526" s="37">
        <f>SUMIFS('📋 Транзакції'!$F$5:$F$3623,'📋 Транзакції'!$B$5:$B$3623,A526,'📋 Транзакції'!$C$5:$C$3623,"&gt;="&amp;EDATE(DATEVALUE(C526&amp;"-01"),2),'📋 Транзакції'!$C$5:$C$3623,"&lt;"&amp;EDATE(DATEVALUE(C526&amp;"-01"),3))</f>
        <v>0</v>
      </c>
      <c r="V526" s="37">
        <f>SUMIFS('📋 Транзакції'!$F$5:$F$3623,'📋 Транзакції'!$B$5:$B$3623,A526,'📋 Транзакції'!$C$5:$C$3623,"&gt;="&amp;EDATE(DATEVALUE(C526&amp;"-01"),3),'📋 Транзакції'!$C$5:$C$3623,"&lt;"&amp;EDATE(DATEVALUE(C526&amp;"-01"),4))</f>
        <v>0</v>
      </c>
      <c r="W526" s="37">
        <f>SUMIFS('📋 Транзакції'!$F$5:$F$3623,'📋 Транзакції'!$B$5:$B$3623,A526,'📋 Транзакції'!$C$5:$C$3623,"&gt;="&amp;EDATE(DATEVALUE(C526&amp;"-01"),4),'📋 Транзакції'!$C$5:$C$3623,"&lt;"&amp;EDATE(DATEVALUE(C526&amp;"-01"),5))</f>
        <v>0</v>
      </c>
      <c r="X526" s="37">
        <f>SUMIFS('📋 Транзакції'!$F$5:$F$3623,'📋 Транзакції'!$B$5:$B$3623,A526,'📋 Транзакції'!$C$5:$C$3623,"&gt;="&amp;EDATE(DATEVALUE(C526&amp;"-01"),5),'📋 Транзакції'!$C$5:$C$3623,"&lt;"&amp;EDATE(DATEVALUE(C526&amp;"-01"),6))</f>
        <v>0</v>
      </c>
      <c r="Y526" s="37">
        <f>SUMIFS('📋 Транзакції'!$F$5:$F$3623,'📋 Транзакції'!$B$5:$B$3623,A526,'📋 Транзакції'!$C$5:$C$3623,"&gt;="&amp;EDATE(DATEVALUE(C526&amp;"-01"),6),'📋 Транзакції'!$C$5:$C$3623,"&lt;"&amp;EDATE(DATEVALUE(C526&amp;"-01"),7))</f>
        <v>0</v>
      </c>
      <c r="Z526" s="37">
        <f>SUMIFS('📋 Транзакції'!$F$5:$F$3623,'📋 Транзакції'!$B$5:$B$3623,A526,'📋 Транзакції'!$C$5:$C$3623,"&gt;="&amp;EDATE(DATEVALUE(C526&amp;"-01"),7),'📋 Транзакції'!$C$5:$C$3623,"&lt;"&amp;EDATE(DATEVALUE(C526&amp;"-01"),8))</f>
        <v>0</v>
      </c>
      <c r="AA526" s="37">
        <f>SUMIFS('📋 Транзакції'!$F$5:$F$3623,'📋 Транзакції'!$B$5:$B$3623,A526,'📋 Транзакції'!$C$5:$C$3623,"&gt;="&amp;EDATE(DATEVALUE(C526&amp;"-01"),8),'📋 Транзакції'!$C$5:$C$3623,"&lt;"&amp;EDATE(DATEVALUE(C526&amp;"-01"),9))</f>
        <v>0</v>
      </c>
      <c r="AB526" s="37">
        <f>SUMIFS('📋 Транзакції'!$F$5:$F$3623,'📋 Транзакції'!$B$5:$B$3623,A526,'📋 Транзакції'!$C$5:$C$3623,"&gt;="&amp;EDATE(DATEVALUE(C526&amp;"-01"),9),'📋 Транзакції'!$C$5:$C$3623,"&lt;"&amp;EDATE(DATEVALUE(C526&amp;"-01"),10))</f>
        <v>0</v>
      </c>
      <c r="AC526" s="37">
        <f>SUMIFS('📋 Транзакції'!$F$5:$F$3623,'📋 Транзакції'!$B$5:$B$3623,A526,'📋 Транзакції'!$C$5:$C$3623,"&gt;="&amp;EDATE(DATEVALUE(C526&amp;"-01"),10),'📋 Транзакції'!$C$5:$C$3623,"&lt;"&amp;EDATE(DATEVALUE(C526&amp;"-01"),11))</f>
        <v>0</v>
      </c>
      <c r="AD526" s="37">
        <f>SUMIFS('📋 Транзакції'!$F$5:$F$3623,'📋 Транзакції'!$B$5:$B$3623,A526,'📋 Транзакції'!$C$5:$C$3623,"&gt;="&amp;EDATE(DATEVALUE(C526&amp;"-01"),11),'📋 Транзакції'!$C$5:$C$3623,"&lt;"&amp;EDATE(DATEVALUE(C526&amp;"-01"),12))</f>
        <v>0</v>
      </c>
    </row>
    <row r="527" ht="15.75" customHeight="1">
      <c r="A527" s="33" t="str">
        <f>'📋 Реєстрації'!A527:A1128</f>
        <v>U0869</v>
      </c>
      <c r="B527" s="34">
        <f t="array" ref="B527">INDEX('📋 Транзакції'!$C$5:$C$3623,MATCH(A527,'📋 Транзакції'!$B$5:$B$3623,0))</f>
        <v>45701</v>
      </c>
      <c r="C527" s="35" t="str">
        <f t="shared" si="1"/>
        <v>2025-02</v>
      </c>
      <c r="D527" s="36">
        <f>COUNTIF('📋 Транзакції'!$B$5:$B$3623,A527)</f>
        <v>3</v>
      </c>
      <c r="E527" s="36">
        <f>SUMIF('📋 Транзакції'!$B$5:$B$3623,A527,'📋 Транзакції'!$F$5:$F$3623)</f>
        <v>39.98</v>
      </c>
      <c r="F527" s="35">
        <f>INT($A$1-MAXIFS('📋 Транзакції'!$C$5:$C$3623,'📋 Транзакції'!$B$5:$B$3623,A527))</f>
        <v>9</v>
      </c>
      <c r="G527" s="37">
        <f>IF(COUNTIFS('📋 Транзакції'!$B$5:$B$3623,A527,'📋 Транзакції'!$C$5:$C$3623,"&gt;="&amp;EDATE(DATEVALUE(C527&amp;"-01"),0),'📋 Транзакції'!$C$5:$C$3623,"&lt;"&amp;EDATE(DATEVALUE(C527&amp;"-01"),1))&gt;0,1,0)</f>
        <v>1</v>
      </c>
      <c r="H527" s="37">
        <f>IF(COUNTIFS('📋 Транзакції'!$B$5:$B$3623,A527,'📋 Транзакції'!$C$5:$C$3623,"&gt;="&amp;EDATE(DATEVALUE(C527&amp;"-01"),1),'📋 Транзакції'!$C$5:$C$3623,"&lt;"&amp;EDATE(DATEVALUE(C527&amp;"-01"),2))&gt;0,1,0)</f>
        <v>1</v>
      </c>
      <c r="I527" s="37">
        <f>IF(COUNTIFS('📋 Транзакції'!$B$5:$B$3623,A527,'📋 Транзакції'!$C$5:$C$3623,"&gt;="&amp;EDATE(DATEVALUE(C527&amp;"-01"),2),'📋 Транзакції'!$C$5:$C$3623,"&lt;"&amp;EDATE(DATEVALUE(C527&amp;"-01"),3))&gt;0,1,0)</f>
        <v>0</v>
      </c>
      <c r="J527" s="37">
        <f>IF(COUNTIFS('📋 Транзакції'!$B$5:$B$3623,A527,'📋 Транзакції'!$C$5:$C$3623,"&gt;="&amp;EDATE(DATEVALUE(C527&amp;"-01"),3),'📋 Транзакції'!$C$5:$C$3623,"&lt;"&amp;EDATE(DATEVALUE(C527&amp;"-01"),4))&gt;0,1,0)</f>
        <v>0</v>
      </c>
      <c r="K527" s="37">
        <f>IF(COUNTIFS('📋 Транзакції'!$B$5:$B$3623,A527,'📋 Транзакції'!$C$5:$C$3623,"&gt;="&amp;EDATE(DATEVALUE(C527&amp;"-01"),4),'📋 Транзакції'!$C$5:$C$3623,"&lt;"&amp;EDATE(DATEVALUE(C527&amp;"-01"),5))&gt;0,1,0)</f>
        <v>0</v>
      </c>
      <c r="L527" s="37">
        <f>IF(COUNTIFS('📋 Транзакції'!$B$5:$B$3623,A527,'📋 Транзакції'!$C$5:$C$3623,"&gt;="&amp;EDATE(DATEVALUE(C527&amp;"-01"),5),'📋 Транзакції'!$C$5:$C$3623,"&lt;"&amp;EDATE(DATEVALUE(C527&amp;"-01"),6))&gt;0,1,0)</f>
        <v>0</v>
      </c>
      <c r="M527" s="37">
        <f>IF(COUNTIFS('📋 Транзакції'!$B$5:$B$3623,A527,'📋 Транзакції'!$C$5:$C$3623,"&gt;="&amp;EDATE(DATEVALUE(C527&amp;"-01"),6),'📋 Транзакції'!$C$5:$C$3623,"&lt;"&amp;EDATE(DATEVALUE(C527&amp;"-01"),7))&gt;0,1,0)</f>
        <v>0</v>
      </c>
      <c r="N527" s="37">
        <f>IF(COUNTIFS('📋 Транзакції'!$B$5:$B$3623,A527,'📋 Транзакції'!$C$5:$C$3623,"&gt;="&amp;EDATE(DATEVALUE(C527&amp;"-01"),7),'📋 Транзакції'!$C$5:$C$3623,"&lt;"&amp;EDATE(DATEVALUE(C527&amp;"-01"),8))&gt;0,1,0)</f>
        <v>0</v>
      </c>
      <c r="O527" s="37">
        <f>IF(COUNTIFS('📋 Транзакції'!$B$5:$B$3623,A527,'📋 Транзакції'!$C$5:$C$3623,"&gt;="&amp;EDATE(DATEVALUE(C527&amp;"-01"),8),'📋 Транзакції'!$C$5:$C$3623,"&lt;"&amp;EDATE(DATEVALUE(C527&amp;"-01"),9))&gt;0,1,0)</f>
        <v>0</v>
      </c>
      <c r="P527" s="37">
        <f>IF(COUNTIFS('📋 Транзакції'!$B$5:$B$3623,A527,'📋 Транзакції'!$C$5:$C$3623,"&gt;="&amp;EDATE(DATEVALUE(C527&amp;"-01"),9),'📋 Транзакції'!$C$5:$C$3623,"&lt;"&amp;EDATE(DATEVALUE(C527&amp;"-01"),10))&gt;0,1,0)</f>
        <v>0</v>
      </c>
      <c r="Q527" s="37">
        <f>IF(COUNTIFS('📋 Транзакції'!$B$5:$B$3623,A527,'📋 Транзакції'!$C$5:$C$3623,"&gt;="&amp;EDATE(DATEVALUE(C527&amp;"-01"),10),'📋 Транзакції'!$C$5:$C$3623,"&lt;"&amp;EDATE(DATEVALUE(C527&amp;"-01"),11))&gt;0,1,0)</f>
        <v>0</v>
      </c>
      <c r="R527" s="37">
        <f>IF(COUNTIFS('📋 Транзакції'!$B$5:$B$3623,A527,'📋 Транзакції'!$C$5:$C$3623,"&gt;="&amp;EDATE(DATEVALUE(C527&amp;"-01"),11),'📋 Транзакції'!$C$5:$C$3623,"&lt;"&amp;EDATE(DATEVALUE(C527&amp;"-01"),12))&gt;0,1,0)</f>
        <v>0</v>
      </c>
      <c r="S527" s="37">
        <f>SUMIFS('📋 Транзакції'!$F$5:$F$3623,'📋 Транзакції'!$B$5:$B$3623,A527,'📋 Транзакції'!$C$5:$C$3623,"&gt;="&amp;EDATE(DATEVALUE(C527&amp;"-01"),0),'📋 Транзакції'!$C$5:$C$3623,"&lt;"&amp;EDATE(DATEVALUE(C527&amp;"-01"),1))</f>
        <v>19.99</v>
      </c>
      <c r="T527" s="37">
        <f>SUMIFS('📋 Транзакції'!$F$5:$F$3623,'📋 Транзакції'!$B$5:$B$3623,A527,'📋 Транзакції'!$C$5:$C$3623,"&gt;="&amp;EDATE(DATEVALUE(C527&amp;"-01"),1),'📋 Транзакції'!$C$5:$C$3623,"&lt;"&amp;EDATE(DATEVALUE(C527&amp;"-01"),2))</f>
        <v>19.99</v>
      </c>
      <c r="U527" s="37">
        <f>SUMIFS('📋 Транзакції'!$F$5:$F$3623,'📋 Транзакції'!$B$5:$B$3623,A527,'📋 Транзакції'!$C$5:$C$3623,"&gt;="&amp;EDATE(DATEVALUE(C527&amp;"-01"),2),'📋 Транзакції'!$C$5:$C$3623,"&lt;"&amp;EDATE(DATEVALUE(C527&amp;"-01"),3))</f>
        <v>0</v>
      </c>
      <c r="V527" s="37">
        <f>SUMIFS('📋 Транзакції'!$F$5:$F$3623,'📋 Транзакції'!$B$5:$B$3623,A527,'📋 Транзакції'!$C$5:$C$3623,"&gt;="&amp;EDATE(DATEVALUE(C527&amp;"-01"),3),'📋 Транзакції'!$C$5:$C$3623,"&lt;"&amp;EDATE(DATEVALUE(C527&amp;"-01"),4))</f>
        <v>0</v>
      </c>
      <c r="W527" s="37">
        <f>SUMIFS('📋 Транзакції'!$F$5:$F$3623,'📋 Транзакції'!$B$5:$B$3623,A527,'📋 Транзакції'!$C$5:$C$3623,"&gt;="&amp;EDATE(DATEVALUE(C527&amp;"-01"),4),'📋 Транзакції'!$C$5:$C$3623,"&lt;"&amp;EDATE(DATEVALUE(C527&amp;"-01"),5))</f>
        <v>0</v>
      </c>
      <c r="X527" s="37">
        <f>SUMIFS('📋 Транзакції'!$F$5:$F$3623,'📋 Транзакції'!$B$5:$B$3623,A527,'📋 Транзакції'!$C$5:$C$3623,"&gt;="&amp;EDATE(DATEVALUE(C527&amp;"-01"),5),'📋 Транзакції'!$C$5:$C$3623,"&lt;"&amp;EDATE(DATEVALUE(C527&amp;"-01"),6))</f>
        <v>0</v>
      </c>
      <c r="Y527" s="37">
        <f>SUMIFS('📋 Транзакції'!$F$5:$F$3623,'📋 Транзакції'!$B$5:$B$3623,A527,'📋 Транзакції'!$C$5:$C$3623,"&gt;="&amp;EDATE(DATEVALUE(C527&amp;"-01"),6),'📋 Транзакції'!$C$5:$C$3623,"&lt;"&amp;EDATE(DATEVALUE(C527&amp;"-01"),7))</f>
        <v>0</v>
      </c>
      <c r="Z527" s="37">
        <f>SUMIFS('📋 Транзакції'!$F$5:$F$3623,'📋 Транзакції'!$B$5:$B$3623,A527,'📋 Транзакції'!$C$5:$C$3623,"&gt;="&amp;EDATE(DATEVALUE(C527&amp;"-01"),7),'📋 Транзакції'!$C$5:$C$3623,"&lt;"&amp;EDATE(DATEVALUE(C527&amp;"-01"),8))</f>
        <v>0</v>
      </c>
      <c r="AA527" s="37">
        <f>SUMIFS('📋 Транзакції'!$F$5:$F$3623,'📋 Транзакції'!$B$5:$B$3623,A527,'📋 Транзакції'!$C$5:$C$3623,"&gt;="&amp;EDATE(DATEVALUE(C527&amp;"-01"),8),'📋 Транзакції'!$C$5:$C$3623,"&lt;"&amp;EDATE(DATEVALUE(C527&amp;"-01"),9))</f>
        <v>0</v>
      </c>
      <c r="AB527" s="37">
        <f>SUMIFS('📋 Транзакції'!$F$5:$F$3623,'📋 Транзакції'!$B$5:$B$3623,A527,'📋 Транзакції'!$C$5:$C$3623,"&gt;="&amp;EDATE(DATEVALUE(C527&amp;"-01"),9),'📋 Транзакції'!$C$5:$C$3623,"&lt;"&amp;EDATE(DATEVALUE(C527&amp;"-01"),10))</f>
        <v>0</v>
      </c>
      <c r="AC527" s="37">
        <f>SUMIFS('📋 Транзакції'!$F$5:$F$3623,'📋 Транзакції'!$B$5:$B$3623,A527,'📋 Транзакції'!$C$5:$C$3623,"&gt;="&amp;EDATE(DATEVALUE(C527&amp;"-01"),10),'📋 Транзакції'!$C$5:$C$3623,"&lt;"&amp;EDATE(DATEVALUE(C527&amp;"-01"),11))</f>
        <v>0</v>
      </c>
      <c r="AD527" s="37">
        <f>SUMIFS('📋 Транзакції'!$F$5:$F$3623,'📋 Транзакції'!$B$5:$B$3623,A527,'📋 Транзакції'!$C$5:$C$3623,"&gt;="&amp;EDATE(DATEVALUE(C527&amp;"-01"),11),'📋 Транзакції'!$C$5:$C$3623,"&lt;"&amp;EDATE(DATEVALUE(C527&amp;"-01"),12))</f>
        <v>0</v>
      </c>
    </row>
    <row r="528" ht="15.75" customHeight="1">
      <c r="A528" s="33" t="str">
        <f>'📋 Реєстрації'!A528:A1129</f>
        <v>U0404</v>
      </c>
      <c r="B528" s="34">
        <f t="array" ref="B528">INDEX('📋 Транзакції'!$C$5:$C$3623,MATCH(A528,'📋 Транзакції'!$B$5:$B$3623,0))</f>
        <v>45702</v>
      </c>
      <c r="C528" s="35" t="str">
        <f t="shared" si="1"/>
        <v>2025-02</v>
      </c>
      <c r="D528" s="36">
        <f>COUNTIF('📋 Транзакції'!$B$5:$B$3623,A528)</f>
        <v>3</v>
      </c>
      <c r="E528" s="36">
        <f>SUMIF('📋 Транзакції'!$B$5:$B$3623,A528,'📋 Транзакції'!$F$5:$F$3623)</f>
        <v>39.98</v>
      </c>
      <c r="F528" s="35">
        <f>INT($A$1-MAXIFS('📋 Транзакції'!$C$5:$C$3623,'📋 Транзакції'!$B$5:$B$3623,A528))</f>
        <v>8</v>
      </c>
      <c r="G528" s="37">
        <f>IF(COUNTIFS('📋 Транзакції'!$B$5:$B$3623,A528,'📋 Транзакції'!$C$5:$C$3623,"&gt;="&amp;EDATE(DATEVALUE(C528&amp;"-01"),0),'📋 Транзакції'!$C$5:$C$3623,"&lt;"&amp;EDATE(DATEVALUE(C528&amp;"-01"),1))&gt;0,1,0)</f>
        <v>1</v>
      </c>
      <c r="H528" s="37">
        <f>IF(COUNTIFS('📋 Транзакції'!$B$5:$B$3623,A528,'📋 Транзакції'!$C$5:$C$3623,"&gt;="&amp;EDATE(DATEVALUE(C528&amp;"-01"),1),'📋 Транзакції'!$C$5:$C$3623,"&lt;"&amp;EDATE(DATEVALUE(C528&amp;"-01"),2))&gt;0,1,0)</f>
        <v>1</v>
      </c>
      <c r="I528" s="37">
        <f>IF(COUNTIFS('📋 Транзакції'!$B$5:$B$3623,A528,'📋 Транзакції'!$C$5:$C$3623,"&gt;="&amp;EDATE(DATEVALUE(C528&amp;"-01"),2),'📋 Транзакції'!$C$5:$C$3623,"&lt;"&amp;EDATE(DATEVALUE(C528&amp;"-01"),3))&gt;0,1,0)</f>
        <v>0</v>
      </c>
      <c r="J528" s="37">
        <f>IF(COUNTIFS('📋 Транзакції'!$B$5:$B$3623,A528,'📋 Транзакції'!$C$5:$C$3623,"&gt;="&amp;EDATE(DATEVALUE(C528&amp;"-01"),3),'📋 Транзакції'!$C$5:$C$3623,"&lt;"&amp;EDATE(DATEVALUE(C528&amp;"-01"),4))&gt;0,1,0)</f>
        <v>0</v>
      </c>
      <c r="K528" s="37">
        <f>IF(COUNTIFS('📋 Транзакції'!$B$5:$B$3623,A528,'📋 Транзакції'!$C$5:$C$3623,"&gt;="&amp;EDATE(DATEVALUE(C528&amp;"-01"),4),'📋 Транзакції'!$C$5:$C$3623,"&lt;"&amp;EDATE(DATEVALUE(C528&amp;"-01"),5))&gt;0,1,0)</f>
        <v>0</v>
      </c>
      <c r="L528" s="37">
        <f>IF(COUNTIFS('📋 Транзакції'!$B$5:$B$3623,A528,'📋 Транзакції'!$C$5:$C$3623,"&gt;="&amp;EDATE(DATEVALUE(C528&amp;"-01"),5),'📋 Транзакції'!$C$5:$C$3623,"&lt;"&amp;EDATE(DATEVALUE(C528&amp;"-01"),6))&gt;0,1,0)</f>
        <v>0</v>
      </c>
      <c r="M528" s="37">
        <f>IF(COUNTIFS('📋 Транзакції'!$B$5:$B$3623,A528,'📋 Транзакції'!$C$5:$C$3623,"&gt;="&amp;EDATE(DATEVALUE(C528&amp;"-01"),6),'📋 Транзакції'!$C$5:$C$3623,"&lt;"&amp;EDATE(DATEVALUE(C528&amp;"-01"),7))&gt;0,1,0)</f>
        <v>0</v>
      </c>
      <c r="N528" s="37">
        <f>IF(COUNTIFS('📋 Транзакції'!$B$5:$B$3623,A528,'📋 Транзакції'!$C$5:$C$3623,"&gt;="&amp;EDATE(DATEVALUE(C528&amp;"-01"),7),'📋 Транзакції'!$C$5:$C$3623,"&lt;"&amp;EDATE(DATEVALUE(C528&amp;"-01"),8))&gt;0,1,0)</f>
        <v>0</v>
      </c>
      <c r="O528" s="37">
        <f>IF(COUNTIFS('📋 Транзакції'!$B$5:$B$3623,A528,'📋 Транзакції'!$C$5:$C$3623,"&gt;="&amp;EDATE(DATEVALUE(C528&amp;"-01"),8),'📋 Транзакції'!$C$5:$C$3623,"&lt;"&amp;EDATE(DATEVALUE(C528&amp;"-01"),9))&gt;0,1,0)</f>
        <v>0</v>
      </c>
      <c r="P528" s="37">
        <f>IF(COUNTIFS('📋 Транзакції'!$B$5:$B$3623,A528,'📋 Транзакції'!$C$5:$C$3623,"&gt;="&amp;EDATE(DATEVALUE(C528&amp;"-01"),9),'📋 Транзакції'!$C$5:$C$3623,"&lt;"&amp;EDATE(DATEVALUE(C528&amp;"-01"),10))&gt;0,1,0)</f>
        <v>0</v>
      </c>
      <c r="Q528" s="37">
        <f>IF(COUNTIFS('📋 Транзакції'!$B$5:$B$3623,A528,'📋 Транзакції'!$C$5:$C$3623,"&gt;="&amp;EDATE(DATEVALUE(C528&amp;"-01"),10),'📋 Транзакції'!$C$5:$C$3623,"&lt;"&amp;EDATE(DATEVALUE(C528&amp;"-01"),11))&gt;0,1,0)</f>
        <v>0</v>
      </c>
      <c r="R528" s="37">
        <f>IF(COUNTIFS('📋 Транзакції'!$B$5:$B$3623,A528,'📋 Транзакції'!$C$5:$C$3623,"&gt;="&amp;EDATE(DATEVALUE(C528&amp;"-01"),11),'📋 Транзакції'!$C$5:$C$3623,"&lt;"&amp;EDATE(DATEVALUE(C528&amp;"-01"),12))&gt;0,1,0)</f>
        <v>0</v>
      </c>
      <c r="S528" s="37">
        <f>SUMIFS('📋 Транзакції'!$F$5:$F$3623,'📋 Транзакції'!$B$5:$B$3623,A528,'📋 Транзакції'!$C$5:$C$3623,"&gt;="&amp;EDATE(DATEVALUE(C528&amp;"-01"),0),'📋 Транзакції'!$C$5:$C$3623,"&lt;"&amp;EDATE(DATEVALUE(C528&amp;"-01"),1))</f>
        <v>19.99</v>
      </c>
      <c r="T528" s="37">
        <f>SUMIFS('📋 Транзакції'!$F$5:$F$3623,'📋 Транзакції'!$B$5:$B$3623,A528,'📋 Транзакції'!$C$5:$C$3623,"&gt;="&amp;EDATE(DATEVALUE(C528&amp;"-01"),1),'📋 Транзакції'!$C$5:$C$3623,"&lt;"&amp;EDATE(DATEVALUE(C528&amp;"-01"),2))</f>
        <v>19.99</v>
      </c>
      <c r="U528" s="37">
        <f>SUMIFS('📋 Транзакції'!$F$5:$F$3623,'📋 Транзакції'!$B$5:$B$3623,A528,'📋 Транзакції'!$C$5:$C$3623,"&gt;="&amp;EDATE(DATEVALUE(C528&amp;"-01"),2),'📋 Транзакції'!$C$5:$C$3623,"&lt;"&amp;EDATE(DATEVALUE(C528&amp;"-01"),3))</f>
        <v>0</v>
      </c>
      <c r="V528" s="37">
        <f>SUMIFS('📋 Транзакції'!$F$5:$F$3623,'📋 Транзакції'!$B$5:$B$3623,A528,'📋 Транзакції'!$C$5:$C$3623,"&gt;="&amp;EDATE(DATEVALUE(C528&amp;"-01"),3),'📋 Транзакції'!$C$5:$C$3623,"&lt;"&amp;EDATE(DATEVALUE(C528&amp;"-01"),4))</f>
        <v>0</v>
      </c>
      <c r="W528" s="37">
        <f>SUMIFS('📋 Транзакції'!$F$5:$F$3623,'📋 Транзакції'!$B$5:$B$3623,A528,'📋 Транзакції'!$C$5:$C$3623,"&gt;="&amp;EDATE(DATEVALUE(C528&amp;"-01"),4),'📋 Транзакції'!$C$5:$C$3623,"&lt;"&amp;EDATE(DATEVALUE(C528&amp;"-01"),5))</f>
        <v>0</v>
      </c>
      <c r="X528" s="37">
        <f>SUMIFS('📋 Транзакції'!$F$5:$F$3623,'📋 Транзакції'!$B$5:$B$3623,A528,'📋 Транзакції'!$C$5:$C$3623,"&gt;="&amp;EDATE(DATEVALUE(C528&amp;"-01"),5),'📋 Транзакції'!$C$5:$C$3623,"&lt;"&amp;EDATE(DATEVALUE(C528&amp;"-01"),6))</f>
        <v>0</v>
      </c>
      <c r="Y528" s="37">
        <f>SUMIFS('📋 Транзакції'!$F$5:$F$3623,'📋 Транзакції'!$B$5:$B$3623,A528,'📋 Транзакції'!$C$5:$C$3623,"&gt;="&amp;EDATE(DATEVALUE(C528&amp;"-01"),6),'📋 Транзакції'!$C$5:$C$3623,"&lt;"&amp;EDATE(DATEVALUE(C528&amp;"-01"),7))</f>
        <v>0</v>
      </c>
      <c r="Z528" s="37">
        <f>SUMIFS('📋 Транзакції'!$F$5:$F$3623,'📋 Транзакції'!$B$5:$B$3623,A528,'📋 Транзакції'!$C$5:$C$3623,"&gt;="&amp;EDATE(DATEVALUE(C528&amp;"-01"),7),'📋 Транзакції'!$C$5:$C$3623,"&lt;"&amp;EDATE(DATEVALUE(C528&amp;"-01"),8))</f>
        <v>0</v>
      </c>
      <c r="AA528" s="37">
        <f>SUMIFS('📋 Транзакції'!$F$5:$F$3623,'📋 Транзакції'!$B$5:$B$3623,A528,'📋 Транзакції'!$C$5:$C$3623,"&gt;="&amp;EDATE(DATEVALUE(C528&amp;"-01"),8),'📋 Транзакції'!$C$5:$C$3623,"&lt;"&amp;EDATE(DATEVALUE(C528&amp;"-01"),9))</f>
        <v>0</v>
      </c>
      <c r="AB528" s="37">
        <f>SUMIFS('📋 Транзакції'!$F$5:$F$3623,'📋 Транзакції'!$B$5:$B$3623,A528,'📋 Транзакції'!$C$5:$C$3623,"&gt;="&amp;EDATE(DATEVALUE(C528&amp;"-01"),9),'📋 Транзакції'!$C$5:$C$3623,"&lt;"&amp;EDATE(DATEVALUE(C528&amp;"-01"),10))</f>
        <v>0</v>
      </c>
      <c r="AC528" s="37">
        <f>SUMIFS('📋 Транзакції'!$F$5:$F$3623,'📋 Транзакції'!$B$5:$B$3623,A528,'📋 Транзакції'!$C$5:$C$3623,"&gt;="&amp;EDATE(DATEVALUE(C528&amp;"-01"),10),'📋 Транзакції'!$C$5:$C$3623,"&lt;"&amp;EDATE(DATEVALUE(C528&amp;"-01"),11))</f>
        <v>0</v>
      </c>
      <c r="AD528" s="37">
        <f>SUMIFS('📋 Транзакції'!$F$5:$F$3623,'📋 Транзакції'!$B$5:$B$3623,A528,'📋 Транзакції'!$C$5:$C$3623,"&gt;="&amp;EDATE(DATEVALUE(C528&amp;"-01"),11),'📋 Транзакції'!$C$5:$C$3623,"&lt;"&amp;EDATE(DATEVALUE(C528&amp;"-01"),12))</f>
        <v>0</v>
      </c>
    </row>
    <row r="529" ht="15.75" customHeight="1">
      <c r="A529" s="33" t="str">
        <f>'📋 Реєстрації'!A529:A1130</f>
        <v>U0768</v>
      </c>
      <c r="B529" s="34">
        <f t="array" ref="B529">INDEX('📋 Транзакції'!$C$5:$C$3623,MATCH(A529,'📋 Транзакції'!$B$5:$B$3623,0))</f>
        <v>45702</v>
      </c>
      <c r="C529" s="35" t="str">
        <f t="shared" si="1"/>
        <v>2025-02</v>
      </c>
      <c r="D529" s="36">
        <f>COUNTIF('📋 Транзакції'!$B$5:$B$3623,A529)</f>
        <v>3</v>
      </c>
      <c r="E529" s="36">
        <f>SUMIF('📋 Транзакції'!$B$5:$B$3623,A529,'📋 Транзакції'!$F$5:$F$3623)</f>
        <v>39.98</v>
      </c>
      <c r="F529" s="35">
        <f>INT($A$1-MAXIFS('📋 Транзакції'!$C$5:$C$3623,'📋 Транзакції'!$B$5:$B$3623,A529))</f>
        <v>8</v>
      </c>
      <c r="G529" s="37">
        <f>IF(COUNTIFS('📋 Транзакції'!$B$5:$B$3623,A529,'📋 Транзакції'!$C$5:$C$3623,"&gt;="&amp;EDATE(DATEVALUE(C529&amp;"-01"),0),'📋 Транзакції'!$C$5:$C$3623,"&lt;"&amp;EDATE(DATEVALUE(C529&amp;"-01"),1))&gt;0,1,0)</f>
        <v>1</v>
      </c>
      <c r="H529" s="37">
        <f>IF(COUNTIFS('📋 Транзакції'!$B$5:$B$3623,A529,'📋 Транзакції'!$C$5:$C$3623,"&gt;="&amp;EDATE(DATEVALUE(C529&amp;"-01"),1),'📋 Транзакції'!$C$5:$C$3623,"&lt;"&amp;EDATE(DATEVALUE(C529&amp;"-01"),2))&gt;0,1,0)</f>
        <v>1</v>
      </c>
      <c r="I529" s="37">
        <f>IF(COUNTIFS('📋 Транзакції'!$B$5:$B$3623,A529,'📋 Транзакції'!$C$5:$C$3623,"&gt;="&amp;EDATE(DATEVALUE(C529&amp;"-01"),2),'📋 Транзакції'!$C$5:$C$3623,"&lt;"&amp;EDATE(DATEVALUE(C529&amp;"-01"),3))&gt;0,1,0)</f>
        <v>0</v>
      </c>
      <c r="J529" s="37">
        <f>IF(COUNTIFS('📋 Транзакції'!$B$5:$B$3623,A529,'📋 Транзакції'!$C$5:$C$3623,"&gt;="&amp;EDATE(DATEVALUE(C529&amp;"-01"),3),'📋 Транзакції'!$C$5:$C$3623,"&lt;"&amp;EDATE(DATEVALUE(C529&amp;"-01"),4))&gt;0,1,0)</f>
        <v>0</v>
      </c>
      <c r="K529" s="37">
        <f>IF(COUNTIFS('📋 Транзакції'!$B$5:$B$3623,A529,'📋 Транзакції'!$C$5:$C$3623,"&gt;="&amp;EDATE(DATEVALUE(C529&amp;"-01"),4),'📋 Транзакції'!$C$5:$C$3623,"&lt;"&amp;EDATE(DATEVALUE(C529&amp;"-01"),5))&gt;0,1,0)</f>
        <v>0</v>
      </c>
      <c r="L529" s="37">
        <f>IF(COUNTIFS('📋 Транзакції'!$B$5:$B$3623,A529,'📋 Транзакції'!$C$5:$C$3623,"&gt;="&amp;EDATE(DATEVALUE(C529&amp;"-01"),5),'📋 Транзакції'!$C$5:$C$3623,"&lt;"&amp;EDATE(DATEVALUE(C529&amp;"-01"),6))&gt;0,1,0)</f>
        <v>0</v>
      </c>
      <c r="M529" s="37">
        <f>IF(COUNTIFS('📋 Транзакції'!$B$5:$B$3623,A529,'📋 Транзакції'!$C$5:$C$3623,"&gt;="&amp;EDATE(DATEVALUE(C529&amp;"-01"),6),'📋 Транзакції'!$C$5:$C$3623,"&lt;"&amp;EDATE(DATEVALUE(C529&amp;"-01"),7))&gt;0,1,0)</f>
        <v>0</v>
      </c>
      <c r="N529" s="37">
        <f>IF(COUNTIFS('📋 Транзакції'!$B$5:$B$3623,A529,'📋 Транзакції'!$C$5:$C$3623,"&gt;="&amp;EDATE(DATEVALUE(C529&amp;"-01"),7),'📋 Транзакції'!$C$5:$C$3623,"&lt;"&amp;EDATE(DATEVALUE(C529&amp;"-01"),8))&gt;0,1,0)</f>
        <v>0</v>
      </c>
      <c r="O529" s="37">
        <f>IF(COUNTIFS('📋 Транзакції'!$B$5:$B$3623,A529,'📋 Транзакції'!$C$5:$C$3623,"&gt;="&amp;EDATE(DATEVALUE(C529&amp;"-01"),8),'📋 Транзакції'!$C$5:$C$3623,"&lt;"&amp;EDATE(DATEVALUE(C529&amp;"-01"),9))&gt;0,1,0)</f>
        <v>0</v>
      </c>
      <c r="P529" s="37">
        <f>IF(COUNTIFS('📋 Транзакції'!$B$5:$B$3623,A529,'📋 Транзакції'!$C$5:$C$3623,"&gt;="&amp;EDATE(DATEVALUE(C529&amp;"-01"),9),'📋 Транзакції'!$C$5:$C$3623,"&lt;"&amp;EDATE(DATEVALUE(C529&amp;"-01"),10))&gt;0,1,0)</f>
        <v>0</v>
      </c>
      <c r="Q529" s="37">
        <f>IF(COUNTIFS('📋 Транзакції'!$B$5:$B$3623,A529,'📋 Транзакції'!$C$5:$C$3623,"&gt;="&amp;EDATE(DATEVALUE(C529&amp;"-01"),10),'📋 Транзакції'!$C$5:$C$3623,"&lt;"&amp;EDATE(DATEVALUE(C529&amp;"-01"),11))&gt;0,1,0)</f>
        <v>0</v>
      </c>
      <c r="R529" s="37">
        <f>IF(COUNTIFS('📋 Транзакції'!$B$5:$B$3623,A529,'📋 Транзакції'!$C$5:$C$3623,"&gt;="&amp;EDATE(DATEVALUE(C529&amp;"-01"),11),'📋 Транзакції'!$C$5:$C$3623,"&lt;"&amp;EDATE(DATEVALUE(C529&amp;"-01"),12))&gt;0,1,0)</f>
        <v>0</v>
      </c>
      <c r="S529" s="37">
        <f>SUMIFS('📋 Транзакції'!$F$5:$F$3623,'📋 Транзакції'!$B$5:$B$3623,A529,'📋 Транзакції'!$C$5:$C$3623,"&gt;="&amp;EDATE(DATEVALUE(C529&amp;"-01"),0),'📋 Транзакції'!$C$5:$C$3623,"&lt;"&amp;EDATE(DATEVALUE(C529&amp;"-01"),1))</f>
        <v>19.99</v>
      </c>
      <c r="T529" s="37">
        <f>SUMIFS('📋 Транзакції'!$F$5:$F$3623,'📋 Транзакції'!$B$5:$B$3623,A529,'📋 Транзакції'!$C$5:$C$3623,"&gt;="&amp;EDATE(DATEVALUE(C529&amp;"-01"),1),'📋 Транзакції'!$C$5:$C$3623,"&lt;"&amp;EDATE(DATEVALUE(C529&amp;"-01"),2))</f>
        <v>19.99</v>
      </c>
      <c r="U529" s="37">
        <f>SUMIFS('📋 Транзакції'!$F$5:$F$3623,'📋 Транзакції'!$B$5:$B$3623,A529,'📋 Транзакції'!$C$5:$C$3623,"&gt;="&amp;EDATE(DATEVALUE(C529&amp;"-01"),2),'📋 Транзакції'!$C$5:$C$3623,"&lt;"&amp;EDATE(DATEVALUE(C529&amp;"-01"),3))</f>
        <v>0</v>
      </c>
      <c r="V529" s="37">
        <f>SUMIFS('📋 Транзакції'!$F$5:$F$3623,'📋 Транзакції'!$B$5:$B$3623,A529,'📋 Транзакції'!$C$5:$C$3623,"&gt;="&amp;EDATE(DATEVALUE(C529&amp;"-01"),3),'📋 Транзакції'!$C$5:$C$3623,"&lt;"&amp;EDATE(DATEVALUE(C529&amp;"-01"),4))</f>
        <v>0</v>
      </c>
      <c r="W529" s="37">
        <f>SUMIFS('📋 Транзакції'!$F$5:$F$3623,'📋 Транзакції'!$B$5:$B$3623,A529,'📋 Транзакції'!$C$5:$C$3623,"&gt;="&amp;EDATE(DATEVALUE(C529&amp;"-01"),4),'📋 Транзакції'!$C$5:$C$3623,"&lt;"&amp;EDATE(DATEVALUE(C529&amp;"-01"),5))</f>
        <v>0</v>
      </c>
      <c r="X529" s="37">
        <f>SUMIFS('📋 Транзакції'!$F$5:$F$3623,'📋 Транзакції'!$B$5:$B$3623,A529,'📋 Транзакції'!$C$5:$C$3623,"&gt;="&amp;EDATE(DATEVALUE(C529&amp;"-01"),5),'📋 Транзакції'!$C$5:$C$3623,"&lt;"&amp;EDATE(DATEVALUE(C529&amp;"-01"),6))</f>
        <v>0</v>
      </c>
      <c r="Y529" s="37">
        <f>SUMIFS('📋 Транзакції'!$F$5:$F$3623,'📋 Транзакції'!$B$5:$B$3623,A529,'📋 Транзакції'!$C$5:$C$3623,"&gt;="&amp;EDATE(DATEVALUE(C529&amp;"-01"),6),'📋 Транзакції'!$C$5:$C$3623,"&lt;"&amp;EDATE(DATEVALUE(C529&amp;"-01"),7))</f>
        <v>0</v>
      </c>
      <c r="Z529" s="37">
        <f>SUMIFS('📋 Транзакції'!$F$5:$F$3623,'📋 Транзакції'!$B$5:$B$3623,A529,'📋 Транзакції'!$C$5:$C$3623,"&gt;="&amp;EDATE(DATEVALUE(C529&amp;"-01"),7),'📋 Транзакції'!$C$5:$C$3623,"&lt;"&amp;EDATE(DATEVALUE(C529&amp;"-01"),8))</f>
        <v>0</v>
      </c>
      <c r="AA529" s="37">
        <f>SUMIFS('📋 Транзакції'!$F$5:$F$3623,'📋 Транзакції'!$B$5:$B$3623,A529,'📋 Транзакції'!$C$5:$C$3623,"&gt;="&amp;EDATE(DATEVALUE(C529&amp;"-01"),8),'📋 Транзакції'!$C$5:$C$3623,"&lt;"&amp;EDATE(DATEVALUE(C529&amp;"-01"),9))</f>
        <v>0</v>
      </c>
      <c r="AB529" s="37">
        <f>SUMIFS('📋 Транзакції'!$F$5:$F$3623,'📋 Транзакції'!$B$5:$B$3623,A529,'📋 Транзакції'!$C$5:$C$3623,"&gt;="&amp;EDATE(DATEVALUE(C529&amp;"-01"),9),'📋 Транзакції'!$C$5:$C$3623,"&lt;"&amp;EDATE(DATEVALUE(C529&amp;"-01"),10))</f>
        <v>0</v>
      </c>
      <c r="AC529" s="37">
        <f>SUMIFS('📋 Транзакції'!$F$5:$F$3623,'📋 Транзакції'!$B$5:$B$3623,A529,'📋 Транзакції'!$C$5:$C$3623,"&gt;="&amp;EDATE(DATEVALUE(C529&amp;"-01"),10),'📋 Транзакції'!$C$5:$C$3623,"&lt;"&amp;EDATE(DATEVALUE(C529&amp;"-01"),11))</f>
        <v>0</v>
      </c>
      <c r="AD529" s="37">
        <f>SUMIFS('📋 Транзакції'!$F$5:$F$3623,'📋 Транзакції'!$B$5:$B$3623,A529,'📋 Транзакції'!$C$5:$C$3623,"&gt;="&amp;EDATE(DATEVALUE(C529&amp;"-01"),11),'📋 Транзакції'!$C$5:$C$3623,"&lt;"&amp;EDATE(DATEVALUE(C529&amp;"-01"),12))</f>
        <v>0</v>
      </c>
    </row>
    <row r="530" ht="15.75" customHeight="1">
      <c r="A530" s="33" t="str">
        <f>'📋 Реєстрації'!A530:A1131</f>
        <v>U0892</v>
      </c>
      <c r="B530" s="34">
        <f t="array" ref="B530">INDEX('📋 Транзакції'!$C$5:$C$3623,MATCH(A530,'📋 Транзакції'!$B$5:$B$3623,0))</f>
        <v>45702</v>
      </c>
      <c r="C530" s="35" t="str">
        <f t="shared" si="1"/>
        <v>2025-02</v>
      </c>
      <c r="D530" s="36">
        <f>COUNTIF('📋 Транзакції'!$B$5:$B$3623,A530)</f>
        <v>3</v>
      </c>
      <c r="E530" s="36">
        <f>SUMIF('📋 Транзакції'!$B$5:$B$3623,A530,'📋 Транзакції'!$F$5:$F$3623)</f>
        <v>39.98</v>
      </c>
      <c r="F530" s="35">
        <f>INT($A$1-MAXIFS('📋 Транзакції'!$C$5:$C$3623,'📋 Транзакції'!$B$5:$B$3623,A530))</f>
        <v>8</v>
      </c>
      <c r="G530" s="37">
        <f>IF(COUNTIFS('📋 Транзакції'!$B$5:$B$3623,A530,'📋 Транзакції'!$C$5:$C$3623,"&gt;="&amp;EDATE(DATEVALUE(C530&amp;"-01"),0),'📋 Транзакції'!$C$5:$C$3623,"&lt;"&amp;EDATE(DATEVALUE(C530&amp;"-01"),1))&gt;0,1,0)</f>
        <v>1</v>
      </c>
      <c r="H530" s="37">
        <f>IF(COUNTIFS('📋 Транзакції'!$B$5:$B$3623,A530,'📋 Транзакції'!$C$5:$C$3623,"&gt;="&amp;EDATE(DATEVALUE(C530&amp;"-01"),1),'📋 Транзакції'!$C$5:$C$3623,"&lt;"&amp;EDATE(DATEVALUE(C530&amp;"-01"),2))&gt;0,1,0)</f>
        <v>1</v>
      </c>
      <c r="I530" s="37">
        <f>IF(COUNTIFS('📋 Транзакції'!$B$5:$B$3623,A530,'📋 Транзакції'!$C$5:$C$3623,"&gt;="&amp;EDATE(DATEVALUE(C530&amp;"-01"),2),'📋 Транзакції'!$C$5:$C$3623,"&lt;"&amp;EDATE(DATEVALUE(C530&amp;"-01"),3))&gt;0,1,0)</f>
        <v>0</v>
      </c>
      <c r="J530" s="37">
        <f>IF(COUNTIFS('📋 Транзакції'!$B$5:$B$3623,A530,'📋 Транзакції'!$C$5:$C$3623,"&gt;="&amp;EDATE(DATEVALUE(C530&amp;"-01"),3),'📋 Транзакції'!$C$5:$C$3623,"&lt;"&amp;EDATE(DATEVALUE(C530&amp;"-01"),4))&gt;0,1,0)</f>
        <v>0</v>
      </c>
      <c r="K530" s="37">
        <f>IF(COUNTIFS('📋 Транзакції'!$B$5:$B$3623,A530,'📋 Транзакції'!$C$5:$C$3623,"&gt;="&amp;EDATE(DATEVALUE(C530&amp;"-01"),4),'📋 Транзакції'!$C$5:$C$3623,"&lt;"&amp;EDATE(DATEVALUE(C530&amp;"-01"),5))&gt;0,1,0)</f>
        <v>0</v>
      </c>
      <c r="L530" s="37">
        <f>IF(COUNTIFS('📋 Транзакції'!$B$5:$B$3623,A530,'📋 Транзакції'!$C$5:$C$3623,"&gt;="&amp;EDATE(DATEVALUE(C530&amp;"-01"),5),'📋 Транзакції'!$C$5:$C$3623,"&lt;"&amp;EDATE(DATEVALUE(C530&amp;"-01"),6))&gt;0,1,0)</f>
        <v>0</v>
      </c>
      <c r="M530" s="37">
        <f>IF(COUNTIFS('📋 Транзакції'!$B$5:$B$3623,A530,'📋 Транзакції'!$C$5:$C$3623,"&gt;="&amp;EDATE(DATEVALUE(C530&amp;"-01"),6),'📋 Транзакції'!$C$5:$C$3623,"&lt;"&amp;EDATE(DATEVALUE(C530&amp;"-01"),7))&gt;0,1,0)</f>
        <v>0</v>
      </c>
      <c r="N530" s="37">
        <f>IF(COUNTIFS('📋 Транзакції'!$B$5:$B$3623,A530,'📋 Транзакції'!$C$5:$C$3623,"&gt;="&amp;EDATE(DATEVALUE(C530&amp;"-01"),7),'📋 Транзакції'!$C$5:$C$3623,"&lt;"&amp;EDATE(DATEVALUE(C530&amp;"-01"),8))&gt;0,1,0)</f>
        <v>0</v>
      </c>
      <c r="O530" s="37">
        <f>IF(COUNTIFS('📋 Транзакції'!$B$5:$B$3623,A530,'📋 Транзакції'!$C$5:$C$3623,"&gt;="&amp;EDATE(DATEVALUE(C530&amp;"-01"),8),'📋 Транзакції'!$C$5:$C$3623,"&lt;"&amp;EDATE(DATEVALUE(C530&amp;"-01"),9))&gt;0,1,0)</f>
        <v>0</v>
      </c>
      <c r="P530" s="37">
        <f>IF(COUNTIFS('📋 Транзакції'!$B$5:$B$3623,A530,'📋 Транзакції'!$C$5:$C$3623,"&gt;="&amp;EDATE(DATEVALUE(C530&amp;"-01"),9),'📋 Транзакції'!$C$5:$C$3623,"&lt;"&amp;EDATE(DATEVALUE(C530&amp;"-01"),10))&gt;0,1,0)</f>
        <v>0</v>
      </c>
      <c r="Q530" s="37">
        <f>IF(COUNTIFS('📋 Транзакції'!$B$5:$B$3623,A530,'📋 Транзакції'!$C$5:$C$3623,"&gt;="&amp;EDATE(DATEVALUE(C530&amp;"-01"),10),'📋 Транзакції'!$C$5:$C$3623,"&lt;"&amp;EDATE(DATEVALUE(C530&amp;"-01"),11))&gt;0,1,0)</f>
        <v>0</v>
      </c>
      <c r="R530" s="37">
        <f>IF(COUNTIFS('📋 Транзакції'!$B$5:$B$3623,A530,'📋 Транзакції'!$C$5:$C$3623,"&gt;="&amp;EDATE(DATEVALUE(C530&amp;"-01"),11),'📋 Транзакції'!$C$5:$C$3623,"&lt;"&amp;EDATE(DATEVALUE(C530&amp;"-01"),12))&gt;0,1,0)</f>
        <v>0</v>
      </c>
      <c r="S530" s="37">
        <f>SUMIFS('📋 Транзакції'!$F$5:$F$3623,'📋 Транзакції'!$B$5:$B$3623,A530,'📋 Транзакції'!$C$5:$C$3623,"&gt;="&amp;EDATE(DATEVALUE(C530&amp;"-01"),0),'📋 Транзакції'!$C$5:$C$3623,"&lt;"&amp;EDATE(DATEVALUE(C530&amp;"-01"),1))</f>
        <v>19.99</v>
      </c>
      <c r="T530" s="37">
        <f>SUMIFS('📋 Транзакції'!$F$5:$F$3623,'📋 Транзакції'!$B$5:$B$3623,A530,'📋 Транзакції'!$C$5:$C$3623,"&gt;="&amp;EDATE(DATEVALUE(C530&amp;"-01"),1),'📋 Транзакції'!$C$5:$C$3623,"&lt;"&amp;EDATE(DATEVALUE(C530&amp;"-01"),2))</f>
        <v>19.99</v>
      </c>
      <c r="U530" s="37">
        <f>SUMIFS('📋 Транзакції'!$F$5:$F$3623,'📋 Транзакції'!$B$5:$B$3623,A530,'📋 Транзакції'!$C$5:$C$3623,"&gt;="&amp;EDATE(DATEVALUE(C530&amp;"-01"),2),'📋 Транзакції'!$C$5:$C$3623,"&lt;"&amp;EDATE(DATEVALUE(C530&amp;"-01"),3))</f>
        <v>0</v>
      </c>
      <c r="V530" s="37">
        <f>SUMIFS('📋 Транзакції'!$F$5:$F$3623,'📋 Транзакції'!$B$5:$B$3623,A530,'📋 Транзакції'!$C$5:$C$3623,"&gt;="&amp;EDATE(DATEVALUE(C530&amp;"-01"),3),'📋 Транзакції'!$C$5:$C$3623,"&lt;"&amp;EDATE(DATEVALUE(C530&amp;"-01"),4))</f>
        <v>0</v>
      </c>
      <c r="W530" s="37">
        <f>SUMIFS('📋 Транзакції'!$F$5:$F$3623,'📋 Транзакції'!$B$5:$B$3623,A530,'📋 Транзакції'!$C$5:$C$3623,"&gt;="&amp;EDATE(DATEVALUE(C530&amp;"-01"),4),'📋 Транзакції'!$C$5:$C$3623,"&lt;"&amp;EDATE(DATEVALUE(C530&amp;"-01"),5))</f>
        <v>0</v>
      </c>
      <c r="X530" s="37">
        <f>SUMIFS('📋 Транзакції'!$F$5:$F$3623,'📋 Транзакції'!$B$5:$B$3623,A530,'📋 Транзакції'!$C$5:$C$3623,"&gt;="&amp;EDATE(DATEVALUE(C530&amp;"-01"),5),'📋 Транзакції'!$C$5:$C$3623,"&lt;"&amp;EDATE(DATEVALUE(C530&amp;"-01"),6))</f>
        <v>0</v>
      </c>
      <c r="Y530" s="37">
        <f>SUMIFS('📋 Транзакції'!$F$5:$F$3623,'📋 Транзакції'!$B$5:$B$3623,A530,'📋 Транзакції'!$C$5:$C$3623,"&gt;="&amp;EDATE(DATEVALUE(C530&amp;"-01"),6),'📋 Транзакції'!$C$5:$C$3623,"&lt;"&amp;EDATE(DATEVALUE(C530&amp;"-01"),7))</f>
        <v>0</v>
      </c>
      <c r="Z530" s="37">
        <f>SUMIFS('📋 Транзакції'!$F$5:$F$3623,'📋 Транзакції'!$B$5:$B$3623,A530,'📋 Транзакції'!$C$5:$C$3623,"&gt;="&amp;EDATE(DATEVALUE(C530&amp;"-01"),7),'📋 Транзакції'!$C$5:$C$3623,"&lt;"&amp;EDATE(DATEVALUE(C530&amp;"-01"),8))</f>
        <v>0</v>
      </c>
      <c r="AA530" s="37">
        <f>SUMIFS('📋 Транзакції'!$F$5:$F$3623,'📋 Транзакції'!$B$5:$B$3623,A530,'📋 Транзакції'!$C$5:$C$3623,"&gt;="&amp;EDATE(DATEVALUE(C530&amp;"-01"),8),'📋 Транзакції'!$C$5:$C$3623,"&lt;"&amp;EDATE(DATEVALUE(C530&amp;"-01"),9))</f>
        <v>0</v>
      </c>
      <c r="AB530" s="37">
        <f>SUMIFS('📋 Транзакції'!$F$5:$F$3623,'📋 Транзакції'!$B$5:$B$3623,A530,'📋 Транзакції'!$C$5:$C$3623,"&gt;="&amp;EDATE(DATEVALUE(C530&amp;"-01"),9),'📋 Транзакції'!$C$5:$C$3623,"&lt;"&amp;EDATE(DATEVALUE(C530&amp;"-01"),10))</f>
        <v>0</v>
      </c>
      <c r="AC530" s="37">
        <f>SUMIFS('📋 Транзакції'!$F$5:$F$3623,'📋 Транзакції'!$B$5:$B$3623,A530,'📋 Транзакції'!$C$5:$C$3623,"&gt;="&amp;EDATE(DATEVALUE(C530&amp;"-01"),10),'📋 Транзакції'!$C$5:$C$3623,"&lt;"&amp;EDATE(DATEVALUE(C530&amp;"-01"),11))</f>
        <v>0</v>
      </c>
      <c r="AD530" s="37">
        <f>SUMIFS('📋 Транзакції'!$F$5:$F$3623,'📋 Транзакції'!$B$5:$B$3623,A530,'📋 Транзакції'!$C$5:$C$3623,"&gt;="&amp;EDATE(DATEVALUE(C530&amp;"-01"),11),'📋 Транзакції'!$C$5:$C$3623,"&lt;"&amp;EDATE(DATEVALUE(C530&amp;"-01"),12))</f>
        <v>0</v>
      </c>
    </row>
    <row r="531" ht="15.75" customHeight="1">
      <c r="A531" s="33" t="str">
        <f>'📋 Реєстрації'!A531:A1132</f>
        <v>U0390</v>
      </c>
      <c r="B531" s="34">
        <f t="array" ref="B531">INDEX('📋 Транзакції'!$C$5:$C$3623,MATCH(A531,'📋 Транзакції'!$B$5:$B$3623,0))</f>
        <v>45703</v>
      </c>
      <c r="C531" s="35" t="str">
        <f t="shared" si="1"/>
        <v>2025-02</v>
      </c>
      <c r="D531" s="36">
        <f>COUNTIF('📋 Транзакції'!$B$5:$B$3623,A531)</f>
        <v>3</v>
      </c>
      <c r="E531" s="36">
        <f>SUMIF('📋 Транзакції'!$B$5:$B$3623,A531,'📋 Транзакції'!$F$5:$F$3623)</f>
        <v>39.98</v>
      </c>
      <c r="F531" s="35">
        <f>INT($A$1-MAXIFS('📋 Транзакції'!$C$5:$C$3623,'📋 Транзакції'!$B$5:$B$3623,A531))</f>
        <v>7</v>
      </c>
      <c r="G531" s="37">
        <f>IF(COUNTIFS('📋 Транзакції'!$B$5:$B$3623,A531,'📋 Транзакції'!$C$5:$C$3623,"&gt;="&amp;EDATE(DATEVALUE(C531&amp;"-01"),0),'📋 Транзакції'!$C$5:$C$3623,"&lt;"&amp;EDATE(DATEVALUE(C531&amp;"-01"),1))&gt;0,1,0)</f>
        <v>1</v>
      </c>
      <c r="H531" s="37">
        <f>IF(COUNTIFS('📋 Транзакції'!$B$5:$B$3623,A531,'📋 Транзакції'!$C$5:$C$3623,"&gt;="&amp;EDATE(DATEVALUE(C531&amp;"-01"),1),'📋 Транзакції'!$C$5:$C$3623,"&lt;"&amp;EDATE(DATEVALUE(C531&amp;"-01"),2))&gt;0,1,0)</f>
        <v>1</v>
      </c>
      <c r="I531" s="37">
        <f>IF(COUNTIFS('📋 Транзакції'!$B$5:$B$3623,A531,'📋 Транзакції'!$C$5:$C$3623,"&gt;="&amp;EDATE(DATEVALUE(C531&amp;"-01"),2),'📋 Транзакції'!$C$5:$C$3623,"&lt;"&amp;EDATE(DATEVALUE(C531&amp;"-01"),3))&gt;0,1,0)</f>
        <v>0</v>
      </c>
      <c r="J531" s="37">
        <f>IF(COUNTIFS('📋 Транзакції'!$B$5:$B$3623,A531,'📋 Транзакції'!$C$5:$C$3623,"&gt;="&amp;EDATE(DATEVALUE(C531&amp;"-01"),3),'📋 Транзакції'!$C$5:$C$3623,"&lt;"&amp;EDATE(DATEVALUE(C531&amp;"-01"),4))&gt;0,1,0)</f>
        <v>0</v>
      </c>
      <c r="K531" s="37">
        <f>IF(COUNTIFS('📋 Транзакції'!$B$5:$B$3623,A531,'📋 Транзакції'!$C$5:$C$3623,"&gt;="&amp;EDATE(DATEVALUE(C531&amp;"-01"),4),'📋 Транзакції'!$C$5:$C$3623,"&lt;"&amp;EDATE(DATEVALUE(C531&amp;"-01"),5))&gt;0,1,0)</f>
        <v>0</v>
      </c>
      <c r="L531" s="37">
        <f>IF(COUNTIFS('📋 Транзакції'!$B$5:$B$3623,A531,'📋 Транзакції'!$C$5:$C$3623,"&gt;="&amp;EDATE(DATEVALUE(C531&amp;"-01"),5),'📋 Транзакції'!$C$5:$C$3623,"&lt;"&amp;EDATE(DATEVALUE(C531&amp;"-01"),6))&gt;0,1,0)</f>
        <v>0</v>
      </c>
      <c r="M531" s="37">
        <f>IF(COUNTIFS('📋 Транзакції'!$B$5:$B$3623,A531,'📋 Транзакції'!$C$5:$C$3623,"&gt;="&amp;EDATE(DATEVALUE(C531&amp;"-01"),6),'📋 Транзакції'!$C$5:$C$3623,"&lt;"&amp;EDATE(DATEVALUE(C531&amp;"-01"),7))&gt;0,1,0)</f>
        <v>0</v>
      </c>
      <c r="N531" s="37">
        <f>IF(COUNTIFS('📋 Транзакції'!$B$5:$B$3623,A531,'📋 Транзакції'!$C$5:$C$3623,"&gt;="&amp;EDATE(DATEVALUE(C531&amp;"-01"),7),'📋 Транзакції'!$C$5:$C$3623,"&lt;"&amp;EDATE(DATEVALUE(C531&amp;"-01"),8))&gt;0,1,0)</f>
        <v>0</v>
      </c>
      <c r="O531" s="37">
        <f>IF(COUNTIFS('📋 Транзакції'!$B$5:$B$3623,A531,'📋 Транзакції'!$C$5:$C$3623,"&gt;="&amp;EDATE(DATEVALUE(C531&amp;"-01"),8),'📋 Транзакції'!$C$5:$C$3623,"&lt;"&amp;EDATE(DATEVALUE(C531&amp;"-01"),9))&gt;0,1,0)</f>
        <v>0</v>
      </c>
      <c r="P531" s="37">
        <f>IF(COUNTIFS('📋 Транзакції'!$B$5:$B$3623,A531,'📋 Транзакції'!$C$5:$C$3623,"&gt;="&amp;EDATE(DATEVALUE(C531&amp;"-01"),9),'📋 Транзакції'!$C$5:$C$3623,"&lt;"&amp;EDATE(DATEVALUE(C531&amp;"-01"),10))&gt;0,1,0)</f>
        <v>0</v>
      </c>
      <c r="Q531" s="37">
        <f>IF(COUNTIFS('📋 Транзакції'!$B$5:$B$3623,A531,'📋 Транзакції'!$C$5:$C$3623,"&gt;="&amp;EDATE(DATEVALUE(C531&amp;"-01"),10),'📋 Транзакції'!$C$5:$C$3623,"&lt;"&amp;EDATE(DATEVALUE(C531&amp;"-01"),11))&gt;0,1,0)</f>
        <v>0</v>
      </c>
      <c r="R531" s="37">
        <f>IF(COUNTIFS('📋 Транзакції'!$B$5:$B$3623,A531,'📋 Транзакції'!$C$5:$C$3623,"&gt;="&amp;EDATE(DATEVALUE(C531&amp;"-01"),11),'📋 Транзакції'!$C$5:$C$3623,"&lt;"&amp;EDATE(DATEVALUE(C531&amp;"-01"),12))&gt;0,1,0)</f>
        <v>0</v>
      </c>
      <c r="S531" s="37">
        <f>SUMIFS('📋 Транзакції'!$F$5:$F$3623,'📋 Транзакції'!$B$5:$B$3623,A531,'📋 Транзакції'!$C$5:$C$3623,"&gt;="&amp;EDATE(DATEVALUE(C531&amp;"-01"),0),'📋 Транзакції'!$C$5:$C$3623,"&lt;"&amp;EDATE(DATEVALUE(C531&amp;"-01"),1))</f>
        <v>19.99</v>
      </c>
      <c r="T531" s="37">
        <f>SUMIFS('📋 Транзакції'!$F$5:$F$3623,'📋 Транзакції'!$B$5:$B$3623,A531,'📋 Транзакції'!$C$5:$C$3623,"&gt;="&amp;EDATE(DATEVALUE(C531&amp;"-01"),1),'📋 Транзакції'!$C$5:$C$3623,"&lt;"&amp;EDATE(DATEVALUE(C531&amp;"-01"),2))</f>
        <v>19.99</v>
      </c>
      <c r="U531" s="37">
        <f>SUMIFS('📋 Транзакції'!$F$5:$F$3623,'📋 Транзакції'!$B$5:$B$3623,A531,'📋 Транзакції'!$C$5:$C$3623,"&gt;="&amp;EDATE(DATEVALUE(C531&amp;"-01"),2),'📋 Транзакції'!$C$5:$C$3623,"&lt;"&amp;EDATE(DATEVALUE(C531&amp;"-01"),3))</f>
        <v>0</v>
      </c>
      <c r="V531" s="37">
        <f>SUMIFS('📋 Транзакції'!$F$5:$F$3623,'📋 Транзакції'!$B$5:$B$3623,A531,'📋 Транзакції'!$C$5:$C$3623,"&gt;="&amp;EDATE(DATEVALUE(C531&amp;"-01"),3),'📋 Транзакції'!$C$5:$C$3623,"&lt;"&amp;EDATE(DATEVALUE(C531&amp;"-01"),4))</f>
        <v>0</v>
      </c>
      <c r="W531" s="37">
        <f>SUMIFS('📋 Транзакції'!$F$5:$F$3623,'📋 Транзакції'!$B$5:$B$3623,A531,'📋 Транзакції'!$C$5:$C$3623,"&gt;="&amp;EDATE(DATEVALUE(C531&amp;"-01"),4),'📋 Транзакції'!$C$5:$C$3623,"&lt;"&amp;EDATE(DATEVALUE(C531&amp;"-01"),5))</f>
        <v>0</v>
      </c>
      <c r="X531" s="37">
        <f>SUMIFS('📋 Транзакції'!$F$5:$F$3623,'📋 Транзакції'!$B$5:$B$3623,A531,'📋 Транзакції'!$C$5:$C$3623,"&gt;="&amp;EDATE(DATEVALUE(C531&amp;"-01"),5),'📋 Транзакції'!$C$5:$C$3623,"&lt;"&amp;EDATE(DATEVALUE(C531&amp;"-01"),6))</f>
        <v>0</v>
      </c>
      <c r="Y531" s="37">
        <f>SUMIFS('📋 Транзакції'!$F$5:$F$3623,'📋 Транзакції'!$B$5:$B$3623,A531,'📋 Транзакції'!$C$5:$C$3623,"&gt;="&amp;EDATE(DATEVALUE(C531&amp;"-01"),6),'📋 Транзакції'!$C$5:$C$3623,"&lt;"&amp;EDATE(DATEVALUE(C531&amp;"-01"),7))</f>
        <v>0</v>
      </c>
      <c r="Z531" s="37">
        <f>SUMIFS('📋 Транзакції'!$F$5:$F$3623,'📋 Транзакції'!$B$5:$B$3623,A531,'📋 Транзакції'!$C$5:$C$3623,"&gt;="&amp;EDATE(DATEVALUE(C531&amp;"-01"),7),'📋 Транзакції'!$C$5:$C$3623,"&lt;"&amp;EDATE(DATEVALUE(C531&amp;"-01"),8))</f>
        <v>0</v>
      </c>
      <c r="AA531" s="37">
        <f>SUMIFS('📋 Транзакції'!$F$5:$F$3623,'📋 Транзакції'!$B$5:$B$3623,A531,'📋 Транзакції'!$C$5:$C$3623,"&gt;="&amp;EDATE(DATEVALUE(C531&amp;"-01"),8),'📋 Транзакції'!$C$5:$C$3623,"&lt;"&amp;EDATE(DATEVALUE(C531&amp;"-01"),9))</f>
        <v>0</v>
      </c>
      <c r="AB531" s="37">
        <f>SUMIFS('📋 Транзакції'!$F$5:$F$3623,'📋 Транзакції'!$B$5:$B$3623,A531,'📋 Транзакції'!$C$5:$C$3623,"&gt;="&amp;EDATE(DATEVALUE(C531&amp;"-01"),9),'📋 Транзакції'!$C$5:$C$3623,"&lt;"&amp;EDATE(DATEVALUE(C531&amp;"-01"),10))</f>
        <v>0</v>
      </c>
      <c r="AC531" s="37">
        <f>SUMIFS('📋 Транзакції'!$F$5:$F$3623,'📋 Транзакції'!$B$5:$B$3623,A531,'📋 Транзакції'!$C$5:$C$3623,"&gt;="&amp;EDATE(DATEVALUE(C531&amp;"-01"),10),'📋 Транзакції'!$C$5:$C$3623,"&lt;"&amp;EDATE(DATEVALUE(C531&amp;"-01"),11))</f>
        <v>0</v>
      </c>
      <c r="AD531" s="37">
        <f>SUMIFS('📋 Транзакції'!$F$5:$F$3623,'📋 Транзакції'!$B$5:$B$3623,A531,'📋 Транзакції'!$C$5:$C$3623,"&gt;="&amp;EDATE(DATEVALUE(C531&amp;"-01"),11),'📋 Транзакції'!$C$5:$C$3623,"&lt;"&amp;EDATE(DATEVALUE(C531&amp;"-01"),12))</f>
        <v>0</v>
      </c>
    </row>
    <row r="532" ht="15.75" customHeight="1">
      <c r="A532" s="33" t="str">
        <f>'📋 Реєстрації'!A532:A1133</f>
        <v>U0265</v>
      </c>
      <c r="B532" s="34">
        <f t="array" ref="B532">INDEX('📋 Транзакції'!$C$5:$C$3623,MATCH(A532,'📋 Транзакції'!$B$5:$B$3623,0))</f>
        <v>45704</v>
      </c>
      <c r="C532" s="35" t="str">
        <f t="shared" si="1"/>
        <v>2025-02</v>
      </c>
      <c r="D532" s="36">
        <f>COUNTIF('📋 Транзакції'!$B$5:$B$3623,A532)</f>
        <v>3</v>
      </c>
      <c r="E532" s="36">
        <f>SUMIF('📋 Транзакції'!$B$5:$B$3623,A532,'📋 Транзакції'!$F$5:$F$3623)</f>
        <v>39.98</v>
      </c>
      <c r="F532" s="35">
        <f>INT($A$1-MAXIFS('📋 Транзакції'!$C$5:$C$3623,'📋 Транзакції'!$B$5:$B$3623,A532))</f>
        <v>6</v>
      </c>
      <c r="G532" s="37">
        <f>IF(COUNTIFS('📋 Транзакції'!$B$5:$B$3623,A532,'📋 Транзакції'!$C$5:$C$3623,"&gt;="&amp;EDATE(DATEVALUE(C532&amp;"-01"),0),'📋 Транзакції'!$C$5:$C$3623,"&lt;"&amp;EDATE(DATEVALUE(C532&amp;"-01"),1))&gt;0,1,0)</f>
        <v>1</v>
      </c>
      <c r="H532" s="37">
        <f>IF(COUNTIFS('📋 Транзакції'!$B$5:$B$3623,A532,'📋 Транзакції'!$C$5:$C$3623,"&gt;="&amp;EDATE(DATEVALUE(C532&amp;"-01"),1),'📋 Транзакції'!$C$5:$C$3623,"&lt;"&amp;EDATE(DATEVALUE(C532&amp;"-01"),2))&gt;0,1,0)</f>
        <v>1</v>
      </c>
      <c r="I532" s="37">
        <f>IF(COUNTIFS('📋 Транзакції'!$B$5:$B$3623,A532,'📋 Транзакції'!$C$5:$C$3623,"&gt;="&amp;EDATE(DATEVALUE(C532&amp;"-01"),2),'📋 Транзакції'!$C$5:$C$3623,"&lt;"&amp;EDATE(DATEVALUE(C532&amp;"-01"),3))&gt;0,1,0)</f>
        <v>0</v>
      </c>
      <c r="J532" s="37">
        <f>IF(COUNTIFS('📋 Транзакції'!$B$5:$B$3623,A532,'📋 Транзакції'!$C$5:$C$3623,"&gt;="&amp;EDATE(DATEVALUE(C532&amp;"-01"),3),'📋 Транзакції'!$C$5:$C$3623,"&lt;"&amp;EDATE(DATEVALUE(C532&amp;"-01"),4))&gt;0,1,0)</f>
        <v>0</v>
      </c>
      <c r="K532" s="37">
        <f>IF(COUNTIFS('📋 Транзакції'!$B$5:$B$3623,A532,'📋 Транзакції'!$C$5:$C$3623,"&gt;="&amp;EDATE(DATEVALUE(C532&amp;"-01"),4),'📋 Транзакції'!$C$5:$C$3623,"&lt;"&amp;EDATE(DATEVALUE(C532&amp;"-01"),5))&gt;0,1,0)</f>
        <v>0</v>
      </c>
      <c r="L532" s="37">
        <f>IF(COUNTIFS('📋 Транзакції'!$B$5:$B$3623,A532,'📋 Транзакції'!$C$5:$C$3623,"&gt;="&amp;EDATE(DATEVALUE(C532&amp;"-01"),5),'📋 Транзакції'!$C$5:$C$3623,"&lt;"&amp;EDATE(DATEVALUE(C532&amp;"-01"),6))&gt;0,1,0)</f>
        <v>0</v>
      </c>
      <c r="M532" s="37">
        <f>IF(COUNTIFS('📋 Транзакції'!$B$5:$B$3623,A532,'📋 Транзакції'!$C$5:$C$3623,"&gt;="&amp;EDATE(DATEVALUE(C532&amp;"-01"),6),'📋 Транзакції'!$C$5:$C$3623,"&lt;"&amp;EDATE(DATEVALUE(C532&amp;"-01"),7))&gt;0,1,0)</f>
        <v>0</v>
      </c>
      <c r="N532" s="37">
        <f>IF(COUNTIFS('📋 Транзакції'!$B$5:$B$3623,A532,'📋 Транзакції'!$C$5:$C$3623,"&gt;="&amp;EDATE(DATEVALUE(C532&amp;"-01"),7),'📋 Транзакції'!$C$5:$C$3623,"&lt;"&amp;EDATE(DATEVALUE(C532&amp;"-01"),8))&gt;0,1,0)</f>
        <v>0</v>
      </c>
      <c r="O532" s="37">
        <f>IF(COUNTIFS('📋 Транзакції'!$B$5:$B$3623,A532,'📋 Транзакції'!$C$5:$C$3623,"&gt;="&amp;EDATE(DATEVALUE(C532&amp;"-01"),8),'📋 Транзакції'!$C$5:$C$3623,"&lt;"&amp;EDATE(DATEVALUE(C532&amp;"-01"),9))&gt;0,1,0)</f>
        <v>0</v>
      </c>
      <c r="P532" s="37">
        <f>IF(COUNTIFS('📋 Транзакції'!$B$5:$B$3623,A532,'📋 Транзакції'!$C$5:$C$3623,"&gt;="&amp;EDATE(DATEVALUE(C532&amp;"-01"),9),'📋 Транзакції'!$C$5:$C$3623,"&lt;"&amp;EDATE(DATEVALUE(C532&amp;"-01"),10))&gt;0,1,0)</f>
        <v>0</v>
      </c>
      <c r="Q532" s="37">
        <f>IF(COUNTIFS('📋 Транзакції'!$B$5:$B$3623,A532,'📋 Транзакції'!$C$5:$C$3623,"&gt;="&amp;EDATE(DATEVALUE(C532&amp;"-01"),10),'📋 Транзакції'!$C$5:$C$3623,"&lt;"&amp;EDATE(DATEVALUE(C532&amp;"-01"),11))&gt;0,1,0)</f>
        <v>0</v>
      </c>
      <c r="R532" s="37">
        <f>IF(COUNTIFS('📋 Транзакції'!$B$5:$B$3623,A532,'📋 Транзакції'!$C$5:$C$3623,"&gt;="&amp;EDATE(DATEVALUE(C532&amp;"-01"),11),'📋 Транзакції'!$C$5:$C$3623,"&lt;"&amp;EDATE(DATEVALUE(C532&amp;"-01"),12))&gt;0,1,0)</f>
        <v>0</v>
      </c>
      <c r="S532" s="37">
        <f>SUMIFS('📋 Транзакції'!$F$5:$F$3623,'📋 Транзакції'!$B$5:$B$3623,A532,'📋 Транзакції'!$C$5:$C$3623,"&gt;="&amp;EDATE(DATEVALUE(C532&amp;"-01"),0),'📋 Транзакції'!$C$5:$C$3623,"&lt;"&amp;EDATE(DATEVALUE(C532&amp;"-01"),1))</f>
        <v>19.99</v>
      </c>
      <c r="T532" s="37">
        <f>SUMIFS('📋 Транзакції'!$F$5:$F$3623,'📋 Транзакції'!$B$5:$B$3623,A532,'📋 Транзакції'!$C$5:$C$3623,"&gt;="&amp;EDATE(DATEVALUE(C532&amp;"-01"),1),'📋 Транзакції'!$C$5:$C$3623,"&lt;"&amp;EDATE(DATEVALUE(C532&amp;"-01"),2))</f>
        <v>19.99</v>
      </c>
      <c r="U532" s="37">
        <f>SUMIFS('📋 Транзакції'!$F$5:$F$3623,'📋 Транзакції'!$B$5:$B$3623,A532,'📋 Транзакції'!$C$5:$C$3623,"&gt;="&amp;EDATE(DATEVALUE(C532&amp;"-01"),2),'📋 Транзакції'!$C$5:$C$3623,"&lt;"&amp;EDATE(DATEVALUE(C532&amp;"-01"),3))</f>
        <v>0</v>
      </c>
      <c r="V532" s="37">
        <f>SUMIFS('📋 Транзакції'!$F$5:$F$3623,'📋 Транзакції'!$B$5:$B$3623,A532,'📋 Транзакції'!$C$5:$C$3623,"&gt;="&amp;EDATE(DATEVALUE(C532&amp;"-01"),3),'📋 Транзакції'!$C$5:$C$3623,"&lt;"&amp;EDATE(DATEVALUE(C532&amp;"-01"),4))</f>
        <v>0</v>
      </c>
      <c r="W532" s="37">
        <f>SUMIFS('📋 Транзакції'!$F$5:$F$3623,'📋 Транзакції'!$B$5:$B$3623,A532,'📋 Транзакції'!$C$5:$C$3623,"&gt;="&amp;EDATE(DATEVALUE(C532&amp;"-01"),4),'📋 Транзакції'!$C$5:$C$3623,"&lt;"&amp;EDATE(DATEVALUE(C532&amp;"-01"),5))</f>
        <v>0</v>
      </c>
      <c r="X532" s="37">
        <f>SUMIFS('📋 Транзакції'!$F$5:$F$3623,'📋 Транзакції'!$B$5:$B$3623,A532,'📋 Транзакції'!$C$5:$C$3623,"&gt;="&amp;EDATE(DATEVALUE(C532&amp;"-01"),5),'📋 Транзакції'!$C$5:$C$3623,"&lt;"&amp;EDATE(DATEVALUE(C532&amp;"-01"),6))</f>
        <v>0</v>
      </c>
      <c r="Y532" s="37">
        <f>SUMIFS('📋 Транзакції'!$F$5:$F$3623,'📋 Транзакції'!$B$5:$B$3623,A532,'📋 Транзакції'!$C$5:$C$3623,"&gt;="&amp;EDATE(DATEVALUE(C532&amp;"-01"),6),'📋 Транзакції'!$C$5:$C$3623,"&lt;"&amp;EDATE(DATEVALUE(C532&amp;"-01"),7))</f>
        <v>0</v>
      </c>
      <c r="Z532" s="37">
        <f>SUMIFS('📋 Транзакції'!$F$5:$F$3623,'📋 Транзакції'!$B$5:$B$3623,A532,'📋 Транзакції'!$C$5:$C$3623,"&gt;="&amp;EDATE(DATEVALUE(C532&amp;"-01"),7),'📋 Транзакції'!$C$5:$C$3623,"&lt;"&amp;EDATE(DATEVALUE(C532&amp;"-01"),8))</f>
        <v>0</v>
      </c>
      <c r="AA532" s="37">
        <f>SUMIFS('📋 Транзакції'!$F$5:$F$3623,'📋 Транзакції'!$B$5:$B$3623,A532,'📋 Транзакції'!$C$5:$C$3623,"&gt;="&amp;EDATE(DATEVALUE(C532&amp;"-01"),8),'📋 Транзакції'!$C$5:$C$3623,"&lt;"&amp;EDATE(DATEVALUE(C532&amp;"-01"),9))</f>
        <v>0</v>
      </c>
      <c r="AB532" s="37">
        <f>SUMIFS('📋 Транзакції'!$F$5:$F$3623,'📋 Транзакції'!$B$5:$B$3623,A532,'📋 Транзакції'!$C$5:$C$3623,"&gt;="&amp;EDATE(DATEVALUE(C532&amp;"-01"),9),'📋 Транзакції'!$C$5:$C$3623,"&lt;"&amp;EDATE(DATEVALUE(C532&amp;"-01"),10))</f>
        <v>0</v>
      </c>
      <c r="AC532" s="37">
        <f>SUMIFS('📋 Транзакції'!$F$5:$F$3623,'📋 Транзакції'!$B$5:$B$3623,A532,'📋 Транзакції'!$C$5:$C$3623,"&gt;="&amp;EDATE(DATEVALUE(C532&amp;"-01"),10),'📋 Транзакції'!$C$5:$C$3623,"&lt;"&amp;EDATE(DATEVALUE(C532&amp;"-01"),11))</f>
        <v>0</v>
      </c>
      <c r="AD532" s="37">
        <f>SUMIFS('📋 Транзакції'!$F$5:$F$3623,'📋 Транзакції'!$B$5:$B$3623,A532,'📋 Транзакції'!$C$5:$C$3623,"&gt;="&amp;EDATE(DATEVALUE(C532&amp;"-01"),11),'📋 Транзакції'!$C$5:$C$3623,"&lt;"&amp;EDATE(DATEVALUE(C532&amp;"-01"),12))</f>
        <v>0</v>
      </c>
    </row>
    <row r="533" ht="15.75" customHeight="1">
      <c r="A533" s="33" t="str">
        <f>'📋 Реєстрації'!A533:A1134</f>
        <v>U0384</v>
      </c>
      <c r="B533" s="34">
        <f t="array" ref="B533">INDEX('📋 Транзакції'!$C$5:$C$3623,MATCH(A533,'📋 Транзакції'!$B$5:$B$3623,0))</f>
        <v>45704</v>
      </c>
      <c r="C533" s="35" t="str">
        <f t="shared" si="1"/>
        <v>2025-02</v>
      </c>
      <c r="D533" s="36">
        <f>COUNTIF('📋 Транзакції'!$B$5:$B$3623,A533)</f>
        <v>3</v>
      </c>
      <c r="E533" s="36">
        <f>SUMIF('📋 Транзакції'!$B$5:$B$3623,A533,'📋 Транзакції'!$F$5:$F$3623)</f>
        <v>39.98</v>
      </c>
      <c r="F533" s="35">
        <f>INT($A$1-MAXIFS('📋 Транзакції'!$C$5:$C$3623,'📋 Транзакції'!$B$5:$B$3623,A533))</f>
        <v>6</v>
      </c>
      <c r="G533" s="37">
        <f>IF(COUNTIFS('📋 Транзакції'!$B$5:$B$3623,A533,'📋 Транзакції'!$C$5:$C$3623,"&gt;="&amp;EDATE(DATEVALUE(C533&amp;"-01"),0),'📋 Транзакції'!$C$5:$C$3623,"&lt;"&amp;EDATE(DATEVALUE(C533&amp;"-01"),1))&gt;0,1,0)</f>
        <v>1</v>
      </c>
      <c r="H533" s="37">
        <f>IF(COUNTIFS('📋 Транзакції'!$B$5:$B$3623,A533,'📋 Транзакції'!$C$5:$C$3623,"&gt;="&amp;EDATE(DATEVALUE(C533&amp;"-01"),1),'📋 Транзакції'!$C$5:$C$3623,"&lt;"&amp;EDATE(DATEVALUE(C533&amp;"-01"),2))&gt;0,1,0)</f>
        <v>1</v>
      </c>
      <c r="I533" s="37">
        <f>IF(COUNTIFS('📋 Транзакції'!$B$5:$B$3623,A533,'📋 Транзакції'!$C$5:$C$3623,"&gt;="&amp;EDATE(DATEVALUE(C533&amp;"-01"),2),'📋 Транзакції'!$C$5:$C$3623,"&lt;"&amp;EDATE(DATEVALUE(C533&amp;"-01"),3))&gt;0,1,0)</f>
        <v>0</v>
      </c>
      <c r="J533" s="37">
        <f>IF(COUNTIFS('📋 Транзакції'!$B$5:$B$3623,A533,'📋 Транзакції'!$C$5:$C$3623,"&gt;="&amp;EDATE(DATEVALUE(C533&amp;"-01"),3),'📋 Транзакції'!$C$5:$C$3623,"&lt;"&amp;EDATE(DATEVALUE(C533&amp;"-01"),4))&gt;0,1,0)</f>
        <v>0</v>
      </c>
      <c r="K533" s="37">
        <f>IF(COUNTIFS('📋 Транзакції'!$B$5:$B$3623,A533,'📋 Транзакції'!$C$5:$C$3623,"&gt;="&amp;EDATE(DATEVALUE(C533&amp;"-01"),4),'📋 Транзакції'!$C$5:$C$3623,"&lt;"&amp;EDATE(DATEVALUE(C533&amp;"-01"),5))&gt;0,1,0)</f>
        <v>0</v>
      </c>
      <c r="L533" s="37">
        <f>IF(COUNTIFS('📋 Транзакції'!$B$5:$B$3623,A533,'📋 Транзакції'!$C$5:$C$3623,"&gt;="&amp;EDATE(DATEVALUE(C533&amp;"-01"),5),'📋 Транзакції'!$C$5:$C$3623,"&lt;"&amp;EDATE(DATEVALUE(C533&amp;"-01"),6))&gt;0,1,0)</f>
        <v>0</v>
      </c>
      <c r="M533" s="37">
        <f>IF(COUNTIFS('📋 Транзакції'!$B$5:$B$3623,A533,'📋 Транзакції'!$C$5:$C$3623,"&gt;="&amp;EDATE(DATEVALUE(C533&amp;"-01"),6),'📋 Транзакції'!$C$5:$C$3623,"&lt;"&amp;EDATE(DATEVALUE(C533&amp;"-01"),7))&gt;0,1,0)</f>
        <v>0</v>
      </c>
      <c r="N533" s="37">
        <f>IF(COUNTIFS('📋 Транзакції'!$B$5:$B$3623,A533,'📋 Транзакції'!$C$5:$C$3623,"&gt;="&amp;EDATE(DATEVALUE(C533&amp;"-01"),7),'📋 Транзакції'!$C$5:$C$3623,"&lt;"&amp;EDATE(DATEVALUE(C533&amp;"-01"),8))&gt;0,1,0)</f>
        <v>0</v>
      </c>
      <c r="O533" s="37">
        <f>IF(COUNTIFS('📋 Транзакції'!$B$5:$B$3623,A533,'📋 Транзакції'!$C$5:$C$3623,"&gt;="&amp;EDATE(DATEVALUE(C533&amp;"-01"),8),'📋 Транзакції'!$C$5:$C$3623,"&lt;"&amp;EDATE(DATEVALUE(C533&amp;"-01"),9))&gt;0,1,0)</f>
        <v>0</v>
      </c>
      <c r="P533" s="37">
        <f>IF(COUNTIFS('📋 Транзакції'!$B$5:$B$3623,A533,'📋 Транзакції'!$C$5:$C$3623,"&gt;="&amp;EDATE(DATEVALUE(C533&amp;"-01"),9),'📋 Транзакції'!$C$5:$C$3623,"&lt;"&amp;EDATE(DATEVALUE(C533&amp;"-01"),10))&gt;0,1,0)</f>
        <v>0</v>
      </c>
      <c r="Q533" s="37">
        <f>IF(COUNTIFS('📋 Транзакції'!$B$5:$B$3623,A533,'📋 Транзакції'!$C$5:$C$3623,"&gt;="&amp;EDATE(DATEVALUE(C533&amp;"-01"),10),'📋 Транзакції'!$C$5:$C$3623,"&lt;"&amp;EDATE(DATEVALUE(C533&amp;"-01"),11))&gt;0,1,0)</f>
        <v>0</v>
      </c>
      <c r="R533" s="37">
        <f>IF(COUNTIFS('📋 Транзакції'!$B$5:$B$3623,A533,'📋 Транзакції'!$C$5:$C$3623,"&gt;="&amp;EDATE(DATEVALUE(C533&amp;"-01"),11),'📋 Транзакції'!$C$5:$C$3623,"&lt;"&amp;EDATE(DATEVALUE(C533&amp;"-01"),12))&gt;0,1,0)</f>
        <v>0</v>
      </c>
      <c r="S533" s="37">
        <f>SUMIFS('📋 Транзакції'!$F$5:$F$3623,'📋 Транзакції'!$B$5:$B$3623,A533,'📋 Транзакції'!$C$5:$C$3623,"&gt;="&amp;EDATE(DATEVALUE(C533&amp;"-01"),0),'📋 Транзакції'!$C$5:$C$3623,"&lt;"&amp;EDATE(DATEVALUE(C533&amp;"-01"),1))</f>
        <v>19.99</v>
      </c>
      <c r="T533" s="37">
        <f>SUMIFS('📋 Транзакції'!$F$5:$F$3623,'📋 Транзакції'!$B$5:$B$3623,A533,'📋 Транзакції'!$C$5:$C$3623,"&gt;="&amp;EDATE(DATEVALUE(C533&amp;"-01"),1),'📋 Транзакції'!$C$5:$C$3623,"&lt;"&amp;EDATE(DATEVALUE(C533&amp;"-01"),2))</f>
        <v>19.99</v>
      </c>
      <c r="U533" s="37">
        <f>SUMIFS('📋 Транзакції'!$F$5:$F$3623,'📋 Транзакції'!$B$5:$B$3623,A533,'📋 Транзакції'!$C$5:$C$3623,"&gt;="&amp;EDATE(DATEVALUE(C533&amp;"-01"),2),'📋 Транзакції'!$C$5:$C$3623,"&lt;"&amp;EDATE(DATEVALUE(C533&amp;"-01"),3))</f>
        <v>0</v>
      </c>
      <c r="V533" s="37">
        <f>SUMIFS('📋 Транзакції'!$F$5:$F$3623,'📋 Транзакції'!$B$5:$B$3623,A533,'📋 Транзакції'!$C$5:$C$3623,"&gt;="&amp;EDATE(DATEVALUE(C533&amp;"-01"),3),'📋 Транзакції'!$C$5:$C$3623,"&lt;"&amp;EDATE(DATEVALUE(C533&amp;"-01"),4))</f>
        <v>0</v>
      </c>
      <c r="W533" s="37">
        <f>SUMIFS('📋 Транзакції'!$F$5:$F$3623,'📋 Транзакції'!$B$5:$B$3623,A533,'📋 Транзакції'!$C$5:$C$3623,"&gt;="&amp;EDATE(DATEVALUE(C533&amp;"-01"),4),'📋 Транзакції'!$C$5:$C$3623,"&lt;"&amp;EDATE(DATEVALUE(C533&amp;"-01"),5))</f>
        <v>0</v>
      </c>
      <c r="X533" s="37">
        <f>SUMIFS('📋 Транзакції'!$F$5:$F$3623,'📋 Транзакції'!$B$5:$B$3623,A533,'📋 Транзакції'!$C$5:$C$3623,"&gt;="&amp;EDATE(DATEVALUE(C533&amp;"-01"),5),'📋 Транзакції'!$C$5:$C$3623,"&lt;"&amp;EDATE(DATEVALUE(C533&amp;"-01"),6))</f>
        <v>0</v>
      </c>
      <c r="Y533" s="37">
        <f>SUMIFS('📋 Транзакції'!$F$5:$F$3623,'📋 Транзакції'!$B$5:$B$3623,A533,'📋 Транзакції'!$C$5:$C$3623,"&gt;="&amp;EDATE(DATEVALUE(C533&amp;"-01"),6),'📋 Транзакції'!$C$5:$C$3623,"&lt;"&amp;EDATE(DATEVALUE(C533&amp;"-01"),7))</f>
        <v>0</v>
      </c>
      <c r="Z533" s="37">
        <f>SUMIFS('📋 Транзакції'!$F$5:$F$3623,'📋 Транзакції'!$B$5:$B$3623,A533,'📋 Транзакції'!$C$5:$C$3623,"&gt;="&amp;EDATE(DATEVALUE(C533&amp;"-01"),7),'📋 Транзакції'!$C$5:$C$3623,"&lt;"&amp;EDATE(DATEVALUE(C533&amp;"-01"),8))</f>
        <v>0</v>
      </c>
      <c r="AA533" s="37">
        <f>SUMIFS('📋 Транзакції'!$F$5:$F$3623,'📋 Транзакції'!$B$5:$B$3623,A533,'📋 Транзакції'!$C$5:$C$3623,"&gt;="&amp;EDATE(DATEVALUE(C533&amp;"-01"),8),'📋 Транзакції'!$C$5:$C$3623,"&lt;"&amp;EDATE(DATEVALUE(C533&amp;"-01"),9))</f>
        <v>0</v>
      </c>
      <c r="AB533" s="37">
        <f>SUMIFS('📋 Транзакції'!$F$5:$F$3623,'📋 Транзакції'!$B$5:$B$3623,A533,'📋 Транзакції'!$C$5:$C$3623,"&gt;="&amp;EDATE(DATEVALUE(C533&amp;"-01"),9),'📋 Транзакції'!$C$5:$C$3623,"&lt;"&amp;EDATE(DATEVALUE(C533&amp;"-01"),10))</f>
        <v>0</v>
      </c>
      <c r="AC533" s="37">
        <f>SUMIFS('📋 Транзакції'!$F$5:$F$3623,'📋 Транзакції'!$B$5:$B$3623,A533,'📋 Транзакції'!$C$5:$C$3623,"&gt;="&amp;EDATE(DATEVALUE(C533&amp;"-01"),10),'📋 Транзакції'!$C$5:$C$3623,"&lt;"&amp;EDATE(DATEVALUE(C533&amp;"-01"),11))</f>
        <v>0</v>
      </c>
      <c r="AD533" s="37">
        <f>SUMIFS('📋 Транзакції'!$F$5:$F$3623,'📋 Транзакції'!$B$5:$B$3623,A533,'📋 Транзакції'!$C$5:$C$3623,"&gt;="&amp;EDATE(DATEVALUE(C533&amp;"-01"),11),'📋 Транзакції'!$C$5:$C$3623,"&lt;"&amp;EDATE(DATEVALUE(C533&amp;"-01"),12))</f>
        <v>0</v>
      </c>
    </row>
    <row r="534" ht="15.75" customHeight="1">
      <c r="A534" s="33" t="str">
        <f>'📋 Реєстрації'!A534:A1135</f>
        <v>U0632</v>
      </c>
      <c r="B534" s="34">
        <f t="array" ref="B534">INDEX('📋 Транзакції'!$C$5:$C$3623,MATCH(A534,'📋 Транзакції'!$B$5:$B$3623,0))</f>
        <v>45704</v>
      </c>
      <c r="C534" s="35" t="str">
        <f t="shared" si="1"/>
        <v>2025-02</v>
      </c>
      <c r="D534" s="36">
        <f>COUNTIF('📋 Транзакції'!$B$5:$B$3623,A534)</f>
        <v>3</v>
      </c>
      <c r="E534" s="36">
        <f>SUMIF('📋 Транзакції'!$B$5:$B$3623,A534,'📋 Транзакції'!$F$5:$F$3623)</f>
        <v>39.98</v>
      </c>
      <c r="F534" s="35">
        <f>INT($A$1-MAXIFS('📋 Транзакції'!$C$5:$C$3623,'📋 Транзакції'!$B$5:$B$3623,A534))</f>
        <v>6</v>
      </c>
      <c r="G534" s="37">
        <f>IF(COUNTIFS('📋 Транзакції'!$B$5:$B$3623,A534,'📋 Транзакції'!$C$5:$C$3623,"&gt;="&amp;EDATE(DATEVALUE(C534&amp;"-01"),0),'📋 Транзакції'!$C$5:$C$3623,"&lt;"&amp;EDATE(DATEVALUE(C534&amp;"-01"),1))&gt;0,1,0)</f>
        <v>1</v>
      </c>
      <c r="H534" s="37">
        <f>IF(COUNTIFS('📋 Транзакції'!$B$5:$B$3623,A534,'📋 Транзакції'!$C$5:$C$3623,"&gt;="&amp;EDATE(DATEVALUE(C534&amp;"-01"),1),'📋 Транзакції'!$C$5:$C$3623,"&lt;"&amp;EDATE(DATEVALUE(C534&amp;"-01"),2))&gt;0,1,0)</f>
        <v>1</v>
      </c>
      <c r="I534" s="37">
        <f>IF(COUNTIFS('📋 Транзакції'!$B$5:$B$3623,A534,'📋 Транзакції'!$C$5:$C$3623,"&gt;="&amp;EDATE(DATEVALUE(C534&amp;"-01"),2),'📋 Транзакції'!$C$5:$C$3623,"&lt;"&amp;EDATE(DATEVALUE(C534&amp;"-01"),3))&gt;0,1,0)</f>
        <v>0</v>
      </c>
      <c r="J534" s="37">
        <f>IF(COUNTIFS('📋 Транзакції'!$B$5:$B$3623,A534,'📋 Транзакції'!$C$5:$C$3623,"&gt;="&amp;EDATE(DATEVALUE(C534&amp;"-01"),3),'📋 Транзакції'!$C$5:$C$3623,"&lt;"&amp;EDATE(DATEVALUE(C534&amp;"-01"),4))&gt;0,1,0)</f>
        <v>0</v>
      </c>
      <c r="K534" s="37">
        <f>IF(COUNTIFS('📋 Транзакції'!$B$5:$B$3623,A534,'📋 Транзакції'!$C$5:$C$3623,"&gt;="&amp;EDATE(DATEVALUE(C534&amp;"-01"),4),'📋 Транзакції'!$C$5:$C$3623,"&lt;"&amp;EDATE(DATEVALUE(C534&amp;"-01"),5))&gt;0,1,0)</f>
        <v>0</v>
      </c>
      <c r="L534" s="37">
        <f>IF(COUNTIFS('📋 Транзакції'!$B$5:$B$3623,A534,'📋 Транзакції'!$C$5:$C$3623,"&gt;="&amp;EDATE(DATEVALUE(C534&amp;"-01"),5),'📋 Транзакції'!$C$5:$C$3623,"&lt;"&amp;EDATE(DATEVALUE(C534&amp;"-01"),6))&gt;0,1,0)</f>
        <v>0</v>
      </c>
      <c r="M534" s="37">
        <f>IF(COUNTIFS('📋 Транзакції'!$B$5:$B$3623,A534,'📋 Транзакції'!$C$5:$C$3623,"&gt;="&amp;EDATE(DATEVALUE(C534&amp;"-01"),6),'📋 Транзакції'!$C$5:$C$3623,"&lt;"&amp;EDATE(DATEVALUE(C534&amp;"-01"),7))&gt;0,1,0)</f>
        <v>0</v>
      </c>
      <c r="N534" s="37">
        <f>IF(COUNTIFS('📋 Транзакції'!$B$5:$B$3623,A534,'📋 Транзакції'!$C$5:$C$3623,"&gt;="&amp;EDATE(DATEVALUE(C534&amp;"-01"),7),'📋 Транзакції'!$C$5:$C$3623,"&lt;"&amp;EDATE(DATEVALUE(C534&amp;"-01"),8))&gt;0,1,0)</f>
        <v>0</v>
      </c>
      <c r="O534" s="37">
        <f>IF(COUNTIFS('📋 Транзакції'!$B$5:$B$3623,A534,'📋 Транзакції'!$C$5:$C$3623,"&gt;="&amp;EDATE(DATEVALUE(C534&amp;"-01"),8),'📋 Транзакції'!$C$5:$C$3623,"&lt;"&amp;EDATE(DATEVALUE(C534&amp;"-01"),9))&gt;0,1,0)</f>
        <v>0</v>
      </c>
      <c r="P534" s="37">
        <f>IF(COUNTIFS('📋 Транзакції'!$B$5:$B$3623,A534,'📋 Транзакції'!$C$5:$C$3623,"&gt;="&amp;EDATE(DATEVALUE(C534&amp;"-01"),9),'📋 Транзакції'!$C$5:$C$3623,"&lt;"&amp;EDATE(DATEVALUE(C534&amp;"-01"),10))&gt;0,1,0)</f>
        <v>0</v>
      </c>
      <c r="Q534" s="37">
        <f>IF(COUNTIFS('📋 Транзакції'!$B$5:$B$3623,A534,'📋 Транзакції'!$C$5:$C$3623,"&gt;="&amp;EDATE(DATEVALUE(C534&amp;"-01"),10),'📋 Транзакції'!$C$5:$C$3623,"&lt;"&amp;EDATE(DATEVALUE(C534&amp;"-01"),11))&gt;0,1,0)</f>
        <v>0</v>
      </c>
      <c r="R534" s="37">
        <f>IF(COUNTIFS('📋 Транзакції'!$B$5:$B$3623,A534,'📋 Транзакції'!$C$5:$C$3623,"&gt;="&amp;EDATE(DATEVALUE(C534&amp;"-01"),11),'📋 Транзакції'!$C$5:$C$3623,"&lt;"&amp;EDATE(DATEVALUE(C534&amp;"-01"),12))&gt;0,1,0)</f>
        <v>0</v>
      </c>
      <c r="S534" s="37">
        <f>SUMIFS('📋 Транзакції'!$F$5:$F$3623,'📋 Транзакції'!$B$5:$B$3623,A534,'📋 Транзакції'!$C$5:$C$3623,"&gt;="&amp;EDATE(DATEVALUE(C534&amp;"-01"),0),'📋 Транзакції'!$C$5:$C$3623,"&lt;"&amp;EDATE(DATEVALUE(C534&amp;"-01"),1))</f>
        <v>19.99</v>
      </c>
      <c r="T534" s="37">
        <f>SUMIFS('📋 Транзакції'!$F$5:$F$3623,'📋 Транзакції'!$B$5:$B$3623,A534,'📋 Транзакції'!$C$5:$C$3623,"&gt;="&amp;EDATE(DATEVALUE(C534&amp;"-01"),1),'📋 Транзакції'!$C$5:$C$3623,"&lt;"&amp;EDATE(DATEVALUE(C534&amp;"-01"),2))</f>
        <v>19.99</v>
      </c>
      <c r="U534" s="37">
        <f>SUMIFS('📋 Транзакції'!$F$5:$F$3623,'📋 Транзакції'!$B$5:$B$3623,A534,'📋 Транзакції'!$C$5:$C$3623,"&gt;="&amp;EDATE(DATEVALUE(C534&amp;"-01"),2),'📋 Транзакції'!$C$5:$C$3623,"&lt;"&amp;EDATE(DATEVALUE(C534&amp;"-01"),3))</f>
        <v>0</v>
      </c>
      <c r="V534" s="37">
        <f>SUMIFS('📋 Транзакції'!$F$5:$F$3623,'📋 Транзакції'!$B$5:$B$3623,A534,'📋 Транзакції'!$C$5:$C$3623,"&gt;="&amp;EDATE(DATEVALUE(C534&amp;"-01"),3),'📋 Транзакції'!$C$5:$C$3623,"&lt;"&amp;EDATE(DATEVALUE(C534&amp;"-01"),4))</f>
        <v>0</v>
      </c>
      <c r="W534" s="37">
        <f>SUMIFS('📋 Транзакції'!$F$5:$F$3623,'📋 Транзакції'!$B$5:$B$3623,A534,'📋 Транзакції'!$C$5:$C$3623,"&gt;="&amp;EDATE(DATEVALUE(C534&amp;"-01"),4),'📋 Транзакції'!$C$5:$C$3623,"&lt;"&amp;EDATE(DATEVALUE(C534&amp;"-01"),5))</f>
        <v>0</v>
      </c>
      <c r="X534" s="37">
        <f>SUMIFS('📋 Транзакції'!$F$5:$F$3623,'📋 Транзакції'!$B$5:$B$3623,A534,'📋 Транзакції'!$C$5:$C$3623,"&gt;="&amp;EDATE(DATEVALUE(C534&amp;"-01"),5),'📋 Транзакції'!$C$5:$C$3623,"&lt;"&amp;EDATE(DATEVALUE(C534&amp;"-01"),6))</f>
        <v>0</v>
      </c>
      <c r="Y534" s="37">
        <f>SUMIFS('📋 Транзакції'!$F$5:$F$3623,'📋 Транзакції'!$B$5:$B$3623,A534,'📋 Транзакції'!$C$5:$C$3623,"&gt;="&amp;EDATE(DATEVALUE(C534&amp;"-01"),6),'📋 Транзакції'!$C$5:$C$3623,"&lt;"&amp;EDATE(DATEVALUE(C534&amp;"-01"),7))</f>
        <v>0</v>
      </c>
      <c r="Z534" s="37">
        <f>SUMIFS('📋 Транзакції'!$F$5:$F$3623,'📋 Транзакції'!$B$5:$B$3623,A534,'📋 Транзакції'!$C$5:$C$3623,"&gt;="&amp;EDATE(DATEVALUE(C534&amp;"-01"),7),'📋 Транзакції'!$C$5:$C$3623,"&lt;"&amp;EDATE(DATEVALUE(C534&amp;"-01"),8))</f>
        <v>0</v>
      </c>
      <c r="AA534" s="37">
        <f>SUMIFS('📋 Транзакції'!$F$5:$F$3623,'📋 Транзакції'!$B$5:$B$3623,A534,'📋 Транзакції'!$C$5:$C$3623,"&gt;="&amp;EDATE(DATEVALUE(C534&amp;"-01"),8),'📋 Транзакції'!$C$5:$C$3623,"&lt;"&amp;EDATE(DATEVALUE(C534&amp;"-01"),9))</f>
        <v>0</v>
      </c>
      <c r="AB534" s="37">
        <f>SUMIFS('📋 Транзакції'!$F$5:$F$3623,'📋 Транзакції'!$B$5:$B$3623,A534,'📋 Транзакції'!$C$5:$C$3623,"&gt;="&amp;EDATE(DATEVALUE(C534&amp;"-01"),9),'📋 Транзакції'!$C$5:$C$3623,"&lt;"&amp;EDATE(DATEVALUE(C534&amp;"-01"),10))</f>
        <v>0</v>
      </c>
      <c r="AC534" s="37">
        <f>SUMIFS('📋 Транзакції'!$F$5:$F$3623,'📋 Транзакції'!$B$5:$B$3623,A534,'📋 Транзакції'!$C$5:$C$3623,"&gt;="&amp;EDATE(DATEVALUE(C534&amp;"-01"),10),'📋 Транзакції'!$C$5:$C$3623,"&lt;"&amp;EDATE(DATEVALUE(C534&amp;"-01"),11))</f>
        <v>0</v>
      </c>
      <c r="AD534" s="37">
        <f>SUMIFS('📋 Транзакції'!$F$5:$F$3623,'📋 Транзакції'!$B$5:$B$3623,A534,'📋 Транзакції'!$C$5:$C$3623,"&gt;="&amp;EDATE(DATEVALUE(C534&amp;"-01"),11),'📋 Транзакції'!$C$5:$C$3623,"&lt;"&amp;EDATE(DATEVALUE(C534&amp;"-01"),12))</f>
        <v>0</v>
      </c>
    </row>
    <row r="535" ht="15.75" customHeight="1">
      <c r="A535" s="33" t="str">
        <f>'📋 Реєстрації'!A535:A1136</f>
        <v>U0116</v>
      </c>
      <c r="B535" s="34">
        <f t="array" ref="B535">INDEX('📋 Транзакції'!$C$5:$C$3623,MATCH(A535,'📋 Транзакції'!$B$5:$B$3623,0))</f>
        <v>45705</v>
      </c>
      <c r="C535" s="35" t="str">
        <f t="shared" si="1"/>
        <v>2025-02</v>
      </c>
      <c r="D535" s="36">
        <f>COUNTIF('📋 Транзакції'!$B$5:$B$3623,A535)</f>
        <v>3</v>
      </c>
      <c r="E535" s="36">
        <f>SUMIF('📋 Транзакції'!$B$5:$B$3623,A535,'📋 Транзакції'!$F$5:$F$3623)</f>
        <v>39.98</v>
      </c>
      <c r="F535" s="35">
        <f>INT($A$1-MAXIFS('📋 Транзакції'!$C$5:$C$3623,'📋 Транзакції'!$B$5:$B$3623,A535))</f>
        <v>5</v>
      </c>
      <c r="G535" s="37">
        <f>IF(COUNTIFS('📋 Транзакції'!$B$5:$B$3623,A535,'📋 Транзакції'!$C$5:$C$3623,"&gt;="&amp;EDATE(DATEVALUE(C535&amp;"-01"),0),'📋 Транзакції'!$C$5:$C$3623,"&lt;"&amp;EDATE(DATEVALUE(C535&amp;"-01"),1))&gt;0,1,0)</f>
        <v>1</v>
      </c>
      <c r="H535" s="37">
        <f>IF(COUNTIFS('📋 Транзакції'!$B$5:$B$3623,A535,'📋 Транзакції'!$C$5:$C$3623,"&gt;="&amp;EDATE(DATEVALUE(C535&amp;"-01"),1),'📋 Транзакції'!$C$5:$C$3623,"&lt;"&amp;EDATE(DATEVALUE(C535&amp;"-01"),2))&gt;0,1,0)</f>
        <v>1</v>
      </c>
      <c r="I535" s="37">
        <f>IF(COUNTIFS('📋 Транзакції'!$B$5:$B$3623,A535,'📋 Транзакції'!$C$5:$C$3623,"&gt;="&amp;EDATE(DATEVALUE(C535&amp;"-01"),2),'📋 Транзакції'!$C$5:$C$3623,"&lt;"&amp;EDATE(DATEVALUE(C535&amp;"-01"),3))&gt;0,1,0)</f>
        <v>0</v>
      </c>
      <c r="J535" s="37">
        <f>IF(COUNTIFS('📋 Транзакції'!$B$5:$B$3623,A535,'📋 Транзакції'!$C$5:$C$3623,"&gt;="&amp;EDATE(DATEVALUE(C535&amp;"-01"),3),'📋 Транзакції'!$C$5:$C$3623,"&lt;"&amp;EDATE(DATEVALUE(C535&amp;"-01"),4))&gt;0,1,0)</f>
        <v>0</v>
      </c>
      <c r="K535" s="37">
        <f>IF(COUNTIFS('📋 Транзакції'!$B$5:$B$3623,A535,'📋 Транзакції'!$C$5:$C$3623,"&gt;="&amp;EDATE(DATEVALUE(C535&amp;"-01"),4),'📋 Транзакції'!$C$5:$C$3623,"&lt;"&amp;EDATE(DATEVALUE(C535&amp;"-01"),5))&gt;0,1,0)</f>
        <v>0</v>
      </c>
      <c r="L535" s="37">
        <f>IF(COUNTIFS('📋 Транзакції'!$B$5:$B$3623,A535,'📋 Транзакції'!$C$5:$C$3623,"&gt;="&amp;EDATE(DATEVALUE(C535&amp;"-01"),5),'📋 Транзакції'!$C$5:$C$3623,"&lt;"&amp;EDATE(DATEVALUE(C535&amp;"-01"),6))&gt;0,1,0)</f>
        <v>0</v>
      </c>
      <c r="M535" s="37">
        <f>IF(COUNTIFS('📋 Транзакції'!$B$5:$B$3623,A535,'📋 Транзакції'!$C$5:$C$3623,"&gt;="&amp;EDATE(DATEVALUE(C535&amp;"-01"),6),'📋 Транзакції'!$C$5:$C$3623,"&lt;"&amp;EDATE(DATEVALUE(C535&amp;"-01"),7))&gt;0,1,0)</f>
        <v>0</v>
      </c>
      <c r="N535" s="37">
        <f>IF(COUNTIFS('📋 Транзакції'!$B$5:$B$3623,A535,'📋 Транзакції'!$C$5:$C$3623,"&gt;="&amp;EDATE(DATEVALUE(C535&amp;"-01"),7),'📋 Транзакції'!$C$5:$C$3623,"&lt;"&amp;EDATE(DATEVALUE(C535&amp;"-01"),8))&gt;0,1,0)</f>
        <v>0</v>
      </c>
      <c r="O535" s="37">
        <f>IF(COUNTIFS('📋 Транзакції'!$B$5:$B$3623,A535,'📋 Транзакції'!$C$5:$C$3623,"&gt;="&amp;EDATE(DATEVALUE(C535&amp;"-01"),8),'📋 Транзакції'!$C$5:$C$3623,"&lt;"&amp;EDATE(DATEVALUE(C535&amp;"-01"),9))&gt;0,1,0)</f>
        <v>0</v>
      </c>
      <c r="P535" s="37">
        <f>IF(COUNTIFS('📋 Транзакції'!$B$5:$B$3623,A535,'📋 Транзакції'!$C$5:$C$3623,"&gt;="&amp;EDATE(DATEVALUE(C535&amp;"-01"),9),'📋 Транзакції'!$C$5:$C$3623,"&lt;"&amp;EDATE(DATEVALUE(C535&amp;"-01"),10))&gt;0,1,0)</f>
        <v>0</v>
      </c>
      <c r="Q535" s="37">
        <f>IF(COUNTIFS('📋 Транзакції'!$B$5:$B$3623,A535,'📋 Транзакції'!$C$5:$C$3623,"&gt;="&amp;EDATE(DATEVALUE(C535&amp;"-01"),10),'📋 Транзакції'!$C$5:$C$3623,"&lt;"&amp;EDATE(DATEVALUE(C535&amp;"-01"),11))&gt;0,1,0)</f>
        <v>0</v>
      </c>
      <c r="R535" s="37">
        <f>IF(COUNTIFS('📋 Транзакції'!$B$5:$B$3623,A535,'📋 Транзакції'!$C$5:$C$3623,"&gt;="&amp;EDATE(DATEVALUE(C535&amp;"-01"),11),'📋 Транзакції'!$C$5:$C$3623,"&lt;"&amp;EDATE(DATEVALUE(C535&amp;"-01"),12))&gt;0,1,0)</f>
        <v>0</v>
      </c>
      <c r="S535" s="37">
        <f>SUMIFS('📋 Транзакції'!$F$5:$F$3623,'📋 Транзакції'!$B$5:$B$3623,A535,'📋 Транзакції'!$C$5:$C$3623,"&gt;="&amp;EDATE(DATEVALUE(C535&amp;"-01"),0),'📋 Транзакції'!$C$5:$C$3623,"&lt;"&amp;EDATE(DATEVALUE(C535&amp;"-01"),1))</f>
        <v>19.99</v>
      </c>
      <c r="T535" s="37">
        <f>SUMIFS('📋 Транзакції'!$F$5:$F$3623,'📋 Транзакції'!$B$5:$B$3623,A535,'📋 Транзакції'!$C$5:$C$3623,"&gt;="&amp;EDATE(DATEVALUE(C535&amp;"-01"),1),'📋 Транзакції'!$C$5:$C$3623,"&lt;"&amp;EDATE(DATEVALUE(C535&amp;"-01"),2))</f>
        <v>19.99</v>
      </c>
      <c r="U535" s="37">
        <f>SUMIFS('📋 Транзакції'!$F$5:$F$3623,'📋 Транзакції'!$B$5:$B$3623,A535,'📋 Транзакції'!$C$5:$C$3623,"&gt;="&amp;EDATE(DATEVALUE(C535&amp;"-01"),2),'📋 Транзакції'!$C$5:$C$3623,"&lt;"&amp;EDATE(DATEVALUE(C535&amp;"-01"),3))</f>
        <v>0</v>
      </c>
      <c r="V535" s="37">
        <f>SUMIFS('📋 Транзакції'!$F$5:$F$3623,'📋 Транзакції'!$B$5:$B$3623,A535,'📋 Транзакції'!$C$5:$C$3623,"&gt;="&amp;EDATE(DATEVALUE(C535&amp;"-01"),3),'📋 Транзакції'!$C$5:$C$3623,"&lt;"&amp;EDATE(DATEVALUE(C535&amp;"-01"),4))</f>
        <v>0</v>
      </c>
      <c r="W535" s="37">
        <f>SUMIFS('📋 Транзакції'!$F$5:$F$3623,'📋 Транзакції'!$B$5:$B$3623,A535,'📋 Транзакції'!$C$5:$C$3623,"&gt;="&amp;EDATE(DATEVALUE(C535&amp;"-01"),4),'📋 Транзакції'!$C$5:$C$3623,"&lt;"&amp;EDATE(DATEVALUE(C535&amp;"-01"),5))</f>
        <v>0</v>
      </c>
      <c r="X535" s="37">
        <f>SUMIFS('📋 Транзакції'!$F$5:$F$3623,'📋 Транзакції'!$B$5:$B$3623,A535,'📋 Транзакції'!$C$5:$C$3623,"&gt;="&amp;EDATE(DATEVALUE(C535&amp;"-01"),5),'📋 Транзакції'!$C$5:$C$3623,"&lt;"&amp;EDATE(DATEVALUE(C535&amp;"-01"),6))</f>
        <v>0</v>
      </c>
      <c r="Y535" s="37">
        <f>SUMIFS('📋 Транзакції'!$F$5:$F$3623,'📋 Транзакції'!$B$5:$B$3623,A535,'📋 Транзакції'!$C$5:$C$3623,"&gt;="&amp;EDATE(DATEVALUE(C535&amp;"-01"),6),'📋 Транзакції'!$C$5:$C$3623,"&lt;"&amp;EDATE(DATEVALUE(C535&amp;"-01"),7))</f>
        <v>0</v>
      </c>
      <c r="Z535" s="37">
        <f>SUMIFS('📋 Транзакції'!$F$5:$F$3623,'📋 Транзакції'!$B$5:$B$3623,A535,'📋 Транзакції'!$C$5:$C$3623,"&gt;="&amp;EDATE(DATEVALUE(C535&amp;"-01"),7),'📋 Транзакції'!$C$5:$C$3623,"&lt;"&amp;EDATE(DATEVALUE(C535&amp;"-01"),8))</f>
        <v>0</v>
      </c>
      <c r="AA535" s="37">
        <f>SUMIFS('📋 Транзакції'!$F$5:$F$3623,'📋 Транзакції'!$B$5:$B$3623,A535,'📋 Транзакції'!$C$5:$C$3623,"&gt;="&amp;EDATE(DATEVALUE(C535&amp;"-01"),8),'📋 Транзакції'!$C$5:$C$3623,"&lt;"&amp;EDATE(DATEVALUE(C535&amp;"-01"),9))</f>
        <v>0</v>
      </c>
      <c r="AB535" s="37">
        <f>SUMIFS('📋 Транзакції'!$F$5:$F$3623,'📋 Транзакції'!$B$5:$B$3623,A535,'📋 Транзакції'!$C$5:$C$3623,"&gt;="&amp;EDATE(DATEVALUE(C535&amp;"-01"),9),'📋 Транзакції'!$C$5:$C$3623,"&lt;"&amp;EDATE(DATEVALUE(C535&amp;"-01"),10))</f>
        <v>0</v>
      </c>
      <c r="AC535" s="37">
        <f>SUMIFS('📋 Транзакції'!$F$5:$F$3623,'📋 Транзакції'!$B$5:$B$3623,A535,'📋 Транзакції'!$C$5:$C$3623,"&gt;="&amp;EDATE(DATEVALUE(C535&amp;"-01"),10),'📋 Транзакції'!$C$5:$C$3623,"&lt;"&amp;EDATE(DATEVALUE(C535&amp;"-01"),11))</f>
        <v>0</v>
      </c>
      <c r="AD535" s="37">
        <f>SUMIFS('📋 Транзакції'!$F$5:$F$3623,'📋 Транзакції'!$B$5:$B$3623,A535,'📋 Транзакції'!$C$5:$C$3623,"&gt;="&amp;EDATE(DATEVALUE(C535&amp;"-01"),11),'📋 Транзакції'!$C$5:$C$3623,"&lt;"&amp;EDATE(DATEVALUE(C535&amp;"-01"),12))</f>
        <v>0</v>
      </c>
    </row>
    <row r="536" ht="15.75" customHeight="1">
      <c r="A536" s="33" t="str">
        <f>'📋 Реєстрації'!A536:A1137</f>
        <v>U0273</v>
      </c>
      <c r="B536" s="34">
        <f t="array" ref="B536">INDEX('📋 Транзакції'!$C$5:$C$3623,MATCH(A536,'📋 Транзакції'!$B$5:$B$3623,0))</f>
        <v>45705</v>
      </c>
      <c r="C536" s="35" t="str">
        <f t="shared" si="1"/>
        <v>2025-02</v>
      </c>
      <c r="D536" s="36">
        <f>COUNTIF('📋 Транзакції'!$B$5:$B$3623,A536)</f>
        <v>3</v>
      </c>
      <c r="E536" s="36">
        <f>SUMIF('📋 Транзакції'!$B$5:$B$3623,A536,'📋 Транзакції'!$F$5:$F$3623)</f>
        <v>39.98</v>
      </c>
      <c r="F536" s="35">
        <f>INT($A$1-MAXIFS('📋 Транзакції'!$C$5:$C$3623,'📋 Транзакції'!$B$5:$B$3623,A536))</f>
        <v>5</v>
      </c>
      <c r="G536" s="37">
        <f>IF(COUNTIFS('📋 Транзакції'!$B$5:$B$3623,A536,'📋 Транзакції'!$C$5:$C$3623,"&gt;="&amp;EDATE(DATEVALUE(C536&amp;"-01"),0),'📋 Транзакції'!$C$5:$C$3623,"&lt;"&amp;EDATE(DATEVALUE(C536&amp;"-01"),1))&gt;0,1,0)</f>
        <v>1</v>
      </c>
      <c r="H536" s="37">
        <f>IF(COUNTIFS('📋 Транзакції'!$B$5:$B$3623,A536,'📋 Транзакції'!$C$5:$C$3623,"&gt;="&amp;EDATE(DATEVALUE(C536&amp;"-01"),1),'📋 Транзакції'!$C$5:$C$3623,"&lt;"&amp;EDATE(DATEVALUE(C536&amp;"-01"),2))&gt;0,1,0)</f>
        <v>1</v>
      </c>
      <c r="I536" s="37">
        <f>IF(COUNTIFS('📋 Транзакції'!$B$5:$B$3623,A536,'📋 Транзакції'!$C$5:$C$3623,"&gt;="&amp;EDATE(DATEVALUE(C536&amp;"-01"),2),'📋 Транзакції'!$C$5:$C$3623,"&lt;"&amp;EDATE(DATEVALUE(C536&amp;"-01"),3))&gt;0,1,0)</f>
        <v>0</v>
      </c>
      <c r="J536" s="37">
        <f>IF(COUNTIFS('📋 Транзакції'!$B$5:$B$3623,A536,'📋 Транзакції'!$C$5:$C$3623,"&gt;="&amp;EDATE(DATEVALUE(C536&amp;"-01"),3),'📋 Транзакції'!$C$5:$C$3623,"&lt;"&amp;EDATE(DATEVALUE(C536&amp;"-01"),4))&gt;0,1,0)</f>
        <v>0</v>
      </c>
      <c r="K536" s="37">
        <f>IF(COUNTIFS('📋 Транзакції'!$B$5:$B$3623,A536,'📋 Транзакції'!$C$5:$C$3623,"&gt;="&amp;EDATE(DATEVALUE(C536&amp;"-01"),4),'📋 Транзакції'!$C$5:$C$3623,"&lt;"&amp;EDATE(DATEVALUE(C536&amp;"-01"),5))&gt;0,1,0)</f>
        <v>0</v>
      </c>
      <c r="L536" s="37">
        <f>IF(COUNTIFS('📋 Транзакції'!$B$5:$B$3623,A536,'📋 Транзакції'!$C$5:$C$3623,"&gt;="&amp;EDATE(DATEVALUE(C536&amp;"-01"),5),'📋 Транзакції'!$C$5:$C$3623,"&lt;"&amp;EDATE(DATEVALUE(C536&amp;"-01"),6))&gt;0,1,0)</f>
        <v>0</v>
      </c>
      <c r="M536" s="37">
        <f>IF(COUNTIFS('📋 Транзакції'!$B$5:$B$3623,A536,'📋 Транзакції'!$C$5:$C$3623,"&gt;="&amp;EDATE(DATEVALUE(C536&amp;"-01"),6),'📋 Транзакції'!$C$5:$C$3623,"&lt;"&amp;EDATE(DATEVALUE(C536&amp;"-01"),7))&gt;0,1,0)</f>
        <v>0</v>
      </c>
      <c r="N536" s="37">
        <f>IF(COUNTIFS('📋 Транзакції'!$B$5:$B$3623,A536,'📋 Транзакції'!$C$5:$C$3623,"&gt;="&amp;EDATE(DATEVALUE(C536&amp;"-01"),7),'📋 Транзакції'!$C$5:$C$3623,"&lt;"&amp;EDATE(DATEVALUE(C536&amp;"-01"),8))&gt;0,1,0)</f>
        <v>0</v>
      </c>
      <c r="O536" s="37">
        <f>IF(COUNTIFS('📋 Транзакції'!$B$5:$B$3623,A536,'📋 Транзакції'!$C$5:$C$3623,"&gt;="&amp;EDATE(DATEVALUE(C536&amp;"-01"),8),'📋 Транзакції'!$C$5:$C$3623,"&lt;"&amp;EDATE(DATEVALUE(C536&amp;"-01"),9))&gt;0,1,0)</f>
        <v>0</v>
      </c>
      <c r="P536" s="37">
        <f>IF(COUNTIFS('📋 Транзакції'!$B$5:$B$3623,A536,'📋 Транзакції'!$C$5:$C$3623,"&gt;="&amp;EDATE(DATEVALUE(C536&amp;"-01"),9),'📋 Транзакції'!$C$5:$C$3623,"&lt;"&amp;EDATE(DATEVALUE(C536&amp;"-01"),10))&gt;0,1,0)</f>
        <v>0</v>
      </c>
      <c r="Q536" s="37">
        <f>IF(COUNTIFS('📋 Транзакції'!$B$5:$B$3623,A536,'📋 Транзакції'!$C$5:$C$3623,"&gt;="&amp;EDATE(DATEVALUE(C536&amp;"-01"),10),'📋 Транзакції'!$C$5:$C$3623,"&lt;"&amp;EDATE(DATEVALUE(C536&amp;"-01"),11))&gt;0,1,0)</f>
        <v>0</v>
      </c>
      <c r="R536" s="37">
        <f>IF(COUNTIFS('📋 Транзакції'!$B$5:$B$3623,A536,'📋 Транзакції'!$C$5:$C$3623,"&gt;="&amp;EDATE(DATEVALUE(C536&amp;"-01"),11),'📋 Транзакції'!$C$5:$C$3623,"&lt;"&amp;EDATE(DATEVALUE(C536&amp;"-01"),12))&gt;0,1,0)</f>
        <v>0</v>
      </c>
      <c r="S536" s="37">
        <f>SUMIFS('📋 Транзакції'!$F$5:$F$3623,'📋 Транзакції'!$B$5:$B$3623,A536,'📋 Транзакції'!$C$5:$C$3623,"&gt;="&amp;EDATE(DATEVALUE(C536&amp;"-01"),0),'📋 Транзакції'!$C$5:$C$3623,"&lt;"&amp;EDATE(DATEVALUE(C536&amp;"-01"),1))</f>
        <v>19.99</v>
      </c>
      <c r="T536" s="37">
        <f>SUMIFS('📋 Транзакції'!$F$5:$F$3623,'📋 Транзакції'!$B$5:$B$3623,A536,'📋 Транзакції'!$C$5:$C$3623,"&gt;="&amp;EDATE(DATEVALUE(C536&amp;"-01"),1),'📋 Транзакції'!$C$5:$C$3623,"&lt;"&amp;EDATE(DATEVALUE(C536&amp;"-01"),2))</f>
        <v>19.99</v>
      </c>
      <c r="U536" s="37">
        <f>SUMIFS('📋 Транзакції'!$F$5:$F$3623,'📋 Транзакції'!$B$5:$B$3623,A536,'📋 Транзакції'!$C$5:$C$3623,"&gt;="&amp;EDATE(DATEVALUE(C536&amp;"-01"),2),'📋 Транзакції'!$C$5:$C$3623,"&lt;"&amp;EDATE(DATEVALUE(C536&amp;"-01"),3))</f>
        <v>0</v>
      </c>
      <c r="V536" s="37">
        <f>SUMIFS('📋 Транзакції'!$F$5:$F$3623,'📋 Транзакції'!$B$5:$B$3623,A536,'📋 Транзакції'!$C$5:$C$3623,"&gt;="&amp;EDATE(DATEVALUE(C536&amp;"-01"),3),'📋 Транзакції'!$C$5:$C$3623,"&lt;"&amp;EDATE(DATEVALUE(C536&amp;"-01"),4))</f>
        <v>0</v>
      </c>
      <c r="W536" s="37">
        <f>SUMIFS('📋 Транзакції'!$F$5:$F$3623,'📋 Транзакції'!$B$5:$B$3623,A536,'📋 Транзакції'!$C$5:$C$3623,"&gt;="&amp;EDATE(DATEVALUE(C536&amp;"-01"),4),'📋 Транзакції'!$C$5:$C$3623,"&lt;"&amp;EDATE(DATEVALUE(C536&amp;"-01"),5))</f>
        <v>0</v>
      </c>
      <c r="X536" s="37">
        <f>SUMIFS('📋 Транзакції'!$F$5:$F$3623,'📋 Транзакції'!$B$5:$B$3623,A536,'📋 Транзакції'!$C$5:$C$3623,"&gt;="&amp;EDATE(DATEVALUE(C536&amp;"-01"),5),'📋 Транзакції'!$C$5:$C$3623,"&lt;"&amp;EDATE(DATEVALUE(C536&amp;"-01"),6))</f>
        <v>0</v>
      </c>
      <c r="Y536" s="37">
        <f>SUMIFS('📋 Транзакції'!$F$5:$F$3623,'📋 Транзакції'!$B$5:$B$3623,A536,'📋 Транзакції'!$C$5:$C$3623,"&gt;="&amp;EDATE(DATEVALUE(C536&amp;"-01"),6),'📋 Транзакції'!$C$5:$C$3623,"&lt;"&amp;EDATE(DATEVALUE(C536&amp;"-01"),7))</f>
        <v>0</v>
      </c>
      <c r="Z536" s="37">
        <f>SUMIFS('📋 Транзакції'!$F$5:$F$3623,'📋 Транзакції'!$B$5:$B$3623,A536,'📋 Транзакції'!$C$5:$C$3623,"&gt;="&amp;EDATE(DATEVALUE(C536&amp;"-01"),7),'📋 Транзакції'!$C$5:$C$3623,"&lt;"&amp;EDATE(DATEVALUE(C536&amp;"-01"),8))</f>
        <v>0</v>
      </c>
      <c r="AA536" s="37">
        <f>SUMIFS('📋 Транзакції'!$F$5:$F$3623,'📋 Транзакції'!$B$5:$B$3623,A536,'📋 Транзакції'!$C$5:$C$3623,"&gt;="&amp;EDATE(DATEVALUE(C536&amp;"-01"),8),'📋 Транзакції'!$C$5:$C$3623,"&lt;"&amp;EDATE(DATEVALUE(C536&amp;"-01"),9))</f>
        <v>0</v>
      </c>
      <c r="AB536" s="37">
        <f>SUMIFS('📋 Транзакції'!$F$5:$F$3623,'📋 Транзакції'!$B$5:$B$3623,A536,'📋 Транзакції'!$C$5:$C$3623,"&gt;="&amp;EDATE(DATEVALUE(C536&amp;"-01"),9),'📋 Транзакції'!$C$5:$C$3623,"&lt;"&amp;EDATE(DATEVALUE(C536&amp;"-01"),10))</f>
        <v>0</v>
      </c>
      <c r="AC536" s="37">
        <f>SUMIFS('📋 Транзакції'!$F$5:$F$3623,'📋 Транзакції'!$B$5:$B$3623,A536,'📋 Транзакції'!$C$5:$C$3623,"&gt;="&amp;EDATE(DATEVALUE(C536&amp;"-01"),10),'📋 Транзакції'!$C$5:$C$3623,"&lt;"&amp;EDATE(DATEVALUE(C536&amp;"-01"),11))</f>
        <v>0</v>
      </c>
      <c r="AD536" s="37">
        <f>SUMIFS('📋 Транзакції'!$F$5:$F$3623,'📋 Транзакції'!$B$5:$B$3623,A536,'📋 Транзакції'!$C$5:$C$3623,"&gt;="&amp;EDATE(DATEVALUE(C536&amp;"-01"),11),'📋 Транзакції'!$C$5:$C$3623,"&lt;"&amp;EDATE(DATEVALUE(C536&amp;"-01"),12))</f>
        <v>0</v>
      </c>
    </row>
    <row r="537" ht="15.75" customHeight="1">
      <c r="A537" s="33" t="str">
        <f>'📋 Реєстрації'!A537:A1138</f>
        <v>U0428</v>
      </c>
      <c r="B537" s="34">
        <f t="array" ref="B537">INDEX('📋 Транзакції'!$C$5:$C$3623,MATCH(A537,'📋 Транзакції'!$B$5:$B$3623,0))</f>
        <v>45706</v>
      </c>
      <c r="C537" s="35" t="str">
        <f t="shared" si="1"/>
        <v>2025-02</v>
      </c>
      <c r="D537" s="36">
        <f>COUNTIF('📋 Транзакції'!$B$5:$B$3623,A537)</f>
        <v>2</v>
      </c>
      <c r="E537" s="36">
        <f>SUMIF('📋 Транзакції'!$B$5:$B$3623,A537,'📋 Транзакції'!$F$5:$F$3623)</f>
        <v>19.99</v>
      </c>
      <c r="F537" s="35">
        <f>INT($A$1-MAXIFS('📋 Транзакції'!$C$5:$C$3623,'📋 Транзакції'!$B$5:$B$3623,A537))</f>
        <v>34</v>
      </c>
      <c r="G537" s="37">
        <f>IF(COUNTIFS('📋 Транзакції'!$B$5:$B$3623,A537,'📋 Транзакції'!$C$5:$C$3623,"&gt;="&amp;EDATE(DATEVALUE(C537&amp;"-01"),0),'📋 Транзакції'!$C$5:$C$3623,"&lt;"&amp;EDATE(DATEVALUE(C537&amp;"-01"),1))&gt;0,1,0)</f>
        <v>1</v>
      </c>
      <c r="H537" s="37">
        <f>IF(COUNTIFS('📋 Транзакції'!$B$5:$B$3623,A537,'📋 Транзакції'!$C$5:$C$3623,"&gt;="&amp;EDATE(DATEVALUE(C537&amp;"-01"),1),'📋 Транзакції'!$C$5:$C$3623,"&lt;"&amp;EDATE(DATEVALUE(C537&amp;"-01"),2))&gt;0,1,0)</f>
        <v>0</v>
      </c>
      <c r="I537" s="37">
        <f>IF(COUNTIFS('📋 Транзакції'!$B$5:$B$3623,A537,'📋 Транзакції'!$C$5:$C$3623,"&gt;="&amp;EDATE(DATEVALUE(C537&amp;"-01"),2),'📋 Транзакції'!$C$5:$C$3623,"&lt;"&amp;EDATE(DATEVALUE(C537&amp;"-01"),3))&gt;0,1,0)</f>
        <v>0</v>
      </c>
      <c r="J537" s="37">
        <f>IF(COUNTIFS('📋 Транзакції'!$B$5:$B$3623,A537,'📋 Транзакції'!$C$5:$C$3623,"&gt;="&amp;EDATE(DATEVALUE(C537&amp;"-01"),3),'📋 Транзакції'!$C$5:$C$3623,"&lt;"&amp;EDATE(DATEVALUE(C537&amp;"-01"),4))&gt;0,1,0)</f>
        <v>0</v>
      </c>
      <c r="K537" s="37">
        <f>IF(COUNTIFS('📋 Транзакції'!$B$5:$B$3623,A537,'📋 Транзакції'!$C$5:$C$3623,"&gt;="&amp;EDATE(DATEVALUE(C537&amp;"-01"),4),'📋 Транзакції'!$C$5:$C$3623,"&lt;"&amp;EDATE(DATEVALUE(C537&amp;"-01"),5))&gt;0,1,0)</f>
        <v>0</v>
      </c>
      <c r="L537" s="37">
        <f>IF(COUNTIFS('📋 Транзакції'!$B$5:$B$3623,A537,'📋 Транзакції'!$C$5:$C$3623,"&gt;="&amp;EDATE(DATEVALUE(C537&amp;"-01"),5),'📋 Транзакції'!$C$5:$C$3623,"&lt;"&amp;EDATE(DATEVALUE(C537&amp;"-01"),6))&gt;0,1,0)</f>
        <v>0</v>
      </c>
      <c r="M537" s="37">
        <f>IF(COUNTIFS('📋 Транзакції'!$B$5:$B$3623,A537,'📋 Транзакції'!$C$5:$C$3623,"&gt;="&amp;EDATE(DATEVALUE(C537&amp;"-01"),6),'📋 Транзакції'!$C$5:$C$3623,"&lt;"&amp;EDATE(DATEVALUE(C537&amp;"-01"),7))&gt;0,1,0)</f>
        <v>0</v>
      </c>
      <c r="N537" s="37">
        <f>IF(COUNTIFS('📋 Транзакції'!$B$5:$B$3623,A537,'📋 Транзакції'!$C$5:$C$3623,"&gt;="&amp;EDATE(DATEVALUE(C537&amp;"-01"),7),'📋 Транзакції'!$C$5:$C$3623,"&lt;"&amp;EDATE(DATEVALUE(C537&amp;"-01"),8))&gt;0,1,0)</f>
        <v>0</v>
      </c>
      <c r="O537" s="37">
        <f>IF(COUNTIFS('📋 Транзакції'!$B$5:$B$3623,A537,'📋 Транзакції'!$C$5:$C$3623,"&gt;="&amp;EDATE(DATEVALUE(C537&amp;"-01"),8),'📋 Транзакції'!$C$5:$C$3623,"&lt;"&amp;EDATE(DATEVALUE(C537&amp;"-01"),9))&gt;0,1,0)</f>
        <v>0</v>
      </c>
      <c r="P537" s="37">
        <f>IF(COUNTIFS('📋 Транзакції'!$B$5:$B$3623,A537,'📋 Транзакції'!$C$5:$C$3623,"&gt;="&amp;EDATE(DATEVALUE(C537&amp;"-01"),9),'📋 Транзакції'!$C$5:$C$3623,"&lt;"&amp;EDATE(DATEVALUE(C537&amp;"-01"),10))&gt;0,1,0)</f>
        <v>0</v>
      </c>
      <c r="Q537" s="37">
        <f>IF(COUNTIFS('📋 Транзакції'!$B$5:$B$3623,A537,'📋 Транзакції'!$C$5:$C$3623,"&gt;="&amp;EDATE(DATEVALUE(C537&amp;"-01"),10),'📋 Транзакції'!$C$5:$C$3623,"&lt;"&amp;EDATE(DATEVALUE(C537&amp;"-01"),11))&gt;0,1,0)</f>
        <v>0</v>
      </c>
      <c r="R537" s="37">
        <f>IF(COUNTIFS('📋 Транзакції'!$B$5:$B$3623,A537,'📋 Транзакції'!$C$5:$C$3623,"&gt;="&amp;EDATE(DATEVALUE(C537&amp;"-01"),11),'📋 Транзакції'!$C$5:$C$3623,"&lt;"&amp;EDATE(DATEVALUE(C537&amp;"-01"),12))&gt;0,1,0)</f>
        <v>0</v>
      </c>
      <c r="S537" s="37">
        <f>SUMIFS('📋 Транзакції'!$F$5:$F$3623,'📋 Транзакції'!$B$5:$B$3623,A537,'📋 Транзакції'!$C$5:$C$3623,"&gt;="&amp;EDATE(DATEVALUE(C537&amp;"-01"),0),'📋 Транзакції'!$C$5:$C$3623,"&lt;"&amp;EDATE(DATEVALUE(C537&amp;"-01"),1))</f>
        <v>19.99</v>
      </c>
      <c r="T537" s="37">
        <f>SUMIFS('📋 Транзакції'!$F$5:$F$3623,'📋 Транзакції'!$B$5:$B$3623,A537,'📋 Транзакції'!$C$5:$C$3623,"&gt;="&amp;EDATE(DATEVALUE(C537&amp;"-01"),1),'📋 Транзакції'!$C$5:$C$3623,"&lt;"&amp;EDATE(DATEVALUE(C537&amp;"-01"),2))</f>
        <v>0</v>
      </c>
      <c r="U537" s="37">
        <f>SUMIFS('📋 Транзакції'!$F$5:$F$3623,'📋 Транзакції'!$B$5:$B$3623,A537,'📋 Транзакції'!$C$5:$C$3623,"&gt;="&amp;EDATE(DATEVALUE(C537&amp;"-01"),2),'📋 Транзакції'!$C$5:$C$3623,"&lt;"&amp;EDATE(DATEVALUE(C537&amp;"-01"),3))</f>
        <v>0</v>
      </c>
      <c r="V537" s="37">
        <f>SUMIFS('📋 Транзакції'!$F$5:$F$3623,'📋 Транзакції'!$B$5:$B$3623,A537,'📋 Транзакції'!$C$5:$C$3623,"&gt;="&amp;EDATE(DATEVALUE(C537&amp;"-01"),3),'📋 Транзакції'!$C$5:$C$3623,"&lt;"&amp;EDATE(DATEVALUE(C537&amp;"-01"),4))</f>
        <v>0</v>
      </c>
      <c r="W537" s="37">
        <f>SUMIFS('📋 Транзакції'!$F$5:$F$3623,'📋 Транзакції'!$B$5:$B$3623,A537,'📋 Транзакції'!$C$5:$C$3623,"&gt;="&amp;EDATE(DATEVALUE(C537&amp;"-01"),4),'📋 Транзакції'!$C$5:$C$3623,"&lt;"&amp;EDATE(DATEVALUE(C537&amp;"-01"),5))</f>
        <v>0</v>
      </c>
      <c r="X537" s="37">
        <f>SUMIFS('📋 Транзакції'!$F$5:$F$3623,'📋 Транзакції'!$B$5:$B$3623,A537,'📋 Транзакції'!$C$5:$C$3623,"&gt;="&amp;EDATE(DATEVALUE(C537&amp;"-01"),5),'📋 Транзакції'!$C$5:$C$3623,"&lt;"&amp;EDATE(DATEVALUE(C537&amp;"-01"),6))</f>
        <v>0</v>
      </c>
      <c r="Y537" s="37">
        <f>SUMIFS('📋 Транзакції'!$F$5:$F$3623,'📋 Транзакції'!$B$5:$B$3623,A537,'📋 Транзакції'!$C$5:$C$3623,"&gt;="&amp;EDATE(DATEVALUE(C537&amp;"-01"),6),'📋 Транзакції'!$C$5:$C$3623,"&lt;"&amp;EDATE(DATEVALUE(C537&amp;"-01"),7))</f>
        <v>0</v>
      </c>
      <c r="Z537" s="37">
        <f>SUMIFS('📋 Транзакції'!$F$5:$F$3623,'📋 Транзакції'!$B$5:$B$3623,A537,'📋 Транзакції'!$C$5:$C$3623,"&gt;="&amp;EDATE(DATEVALUE(C537&amp;"-01"),7),'📋 Транзакції'!$C$5:$C$3623,"&lt;"&amp;EDATE(DATEVALUE(C537&amp;"-01"),8))</f>
        <v>0</v>
      </c>
      <c r="AA537" s="37">
        <f>SUMIFS('📋 Транзакції'!$F$5:$F$3623,'📋 Транзакції'!$B$5:$B$3623,A537,'📋 Транзакції'!$C$5:$C$3623,"&gt;="&amp;EDATE(DATEVALUE(C537&amp;"-01"),8),'📋 Транзакції'!$C$5:$C$3623,"&lt;"&amp;EDATE(DATEVALUE(C537&amp;"-01"),9))</f>
        <v>0</v>
      </c>
      <c r="AB537" s="37">
        <f>SUMIFS('📋 Транзакції'!$F$5:$F$3623,'📋 Транзакції'!$B$5:$B$3623,A537,'📋 Транзакції'!$C$5:$C$3623,"&gt;="&amp;EDATE(DATEVALUE(C537&amp;"-01"),9),'📋 Транзакції'!$C$5:$C$3623,"&lt;"&amp;EDATE(DATEVALUE(C537&amp;"-01"),10))</f>
        <v>0</v>
      </c>
      <c r="AC537" s="37">
        <f>SUMIFS('📋 Транзакції'!$F$5:$F$3623,'📋 Транзакції'!$B$5:$B$3623,A537,'📋 Транзакції'!$C$5:$C$3623,"&gt;="&amp;EDATE(DATEVALUE(C537&amp;"-01"),10),'📋 Транзакції'!$C$5:$C$3623,"&lt;"&amp;EDATE(DATEVALUE(C537&amp;"-01"),11))</f>
        <v>0</v>
      </c>
      <c r="AD537" s="37">
        <f>SUMIFS('📋 Транзакції'!$F$5:$F$3623,'📋 Транзакції'!$B$5:$B$3623,A537,'📋 Транзакції'!$C$5:$C$3623,"&gt;="&amp;EDATE(DATEVALUE(C537&amp;"-01"),11),'📋 Транзакції'!$C$5:$C$3623,"&lt;"&amp;EDATE(DATEVALUE(C537&amp;"-01"),12))</f>
        <v>0</v>
      </c>
    </row>
    <row r="538" ht="15.75" customHeight="1">
      <c r="A538" s="33" t="str">
        <f>'📋 Реєстрації'!A538:A1139</f>
        <v>U0898</v>
      </c>
      <c r="B538" s="34">
        <f t="array" ref="B538">INDEX('📋 Транзакції'!$C$5:$C$3623,MATCH(A538,'📋 Транзакції'!$B$5:$B$3623,0))</f>
        <v>45706</v>
      </c>
      <c r="C538" s="35" t="str">
        <f t="shared" si="1"/>
        <v>2025-02</v>
      </c>
      <c r="D538" s="36">
        <f>COUNTIF('📋 Транзакції'!$B$5:$B$3623,A538)</f>
        <v>3</v>
      </c>
      <c r="E538" s="36">
        <f>SUMIF('📋 Транзакції'!$B$5:$B$3623,A538,'📋 Транзакції'!$F$5:$F$3623)</f>
        <v>39.98</v>
      </c>
      <c r="F538" s="35">
        <f>INT($A$1-MAXIFS('📋 Транзакції'!$C$5:$C$3623,'📋 Транзакції'!$B$5:$B$3623,A538))</f>
        <v>4</v>
      </c>
      <c r="G538" s="37">
        <f>IF(COUNTIFS('📋 Транзакції'!$B$5:$B$3623,A538,'📋 Транзакції'!$C$5:$C$3623,"&gt;="&amp;EDATE(DATEVALUE(C538&amp;"-01"),0),'📋 Транзакції'!$C$5:$C$3623,"&lt;"&amp;EDATE(DATEVALUE(C538&amp;"-01"),1))&gt;0,1,0)</f>
        <v>1</v>
      </c>
      <c r="H538" s="37">
        <f>IF(COUNTIFS('📋 Транзакції'!$B$5:$B$3623,A538,'📋 Транзакції'!$C$5:$C$3623,"&gt;="&amp;EDATE(DATEVALUE(C538&amp;"-01"),1),'📋 Транзакції'!$C$5:$C$3623,"&lt;"&amp;EDATE(DATEVALUE(C538&amp;"-01"),2))&gt;0,1,0)</f>
        <v>1</v>
      </c>
      <c r="I538" s="37">
        <f>IF(COUNTIFS('📋 Транзакції'!$B$5:$B$3623,A538,'📋 Транзакції'!$C$5:$C$3623,"&gt;="&amp;EDATE(DATEVALUE(C538&amp;"-01"),2),'📋 Транзакції'!$C$5:$C$3623,"&lt;"&amp;EDATE(DATEVALUE(C538&amp;"-01"),3))&gt;0,1,0)</f>
        <v>0</v>
      </c>
      <c r="J538" s="37">
        <f>IF(COUNTIFS('📋 Транзакції'!$B$5:$B$3623,A538,'📋 Транзакції'!$C$5:$C$3623,"&gt;="&amp;EDATE(DATEVALUE(C538&amp;"-01"),3),'📋 Транзакції'!$C$5:$C$3623,"&lt;"&amp;EDATE(DATEVALUE(C538&amp;"-01"),4))&gt;0,1,0)</f>
        <v>0</v>
      </c>
      <c r="K538" s="37">
        <f>IF(COUNTIFS('📋 Транзакції'!$B$5:$B$3623,A538,'📋 Транзакції'!$C$5:$C$3623,"&gt;="&amp;EDATE(DATEVALUE(C538&amp;"-01"),4),'📋 Транзакції'!$C$5:$C$3623,"&lt;"&amp;EDATE(DATEVALUE(C538&amp;"-01"),5))&gt;0,1,0)</f>
        <v>0</v>
      </c>
      <c r="L538" s="37">
        <f>IF(COUNTIFS('📋 Транзакції'!$B$5:$B$3623,A538,'📋 Транзакції'!$C$5:$C$3623,"&gt;="&amp;EDATE(DATEVALUE(C538&amp;"-01"),5),'📋 Транзакції'!$C$5:$C$3623,"&lt;"&amp;EDATE(DATEVALUE(C538&amp;"-01"),6))&gt;0,1,0)</f>
        <v>0</v>
      </c>
      <c r="M538" s="37">
        <f>IF(COUNTIFS('📋 Транзакції'!$B$5:$B$3623,A538,'📋 Транзакції'!$C$5:$C$3623,"&gt;="&amp;EDATE(DATEVALUE(C538&amp;"-01"),6),'📋 Транзакції'!$C$5:$C$3623,"&lt;"&amp;EDATE(DATEVALUE(C538&amp;"-01"),7))&gt;0,1,0)</f>
        <v>0</v>
      </c>
      <c r="N538" s="37">
        <f>IF(COUNTIFS('📋 Транзакції'!$B$5:$B$3623,A538,'📋 Транзакції'!$C$5:$C$3623,"&gt;="&amp;EDATE(DATEVALUE(C538&amp;"-01"),7),'📋 Транзакції'!$C$5:$C$3623,"&lt;"&amp;EDATE(DATEVALUE(C538&amp;"-01"),8))&gt;0,1,0)</f>
        <v>0</v>
      </c>
      <c r="O538" s="37">
        <f>IF(COUNTIFS('📋 Транзакції'!$B$5:$B$3623,A538,'📋 Транзакції'!$C$5:$C$3623,"&gt;="&amp;EDATE(DATEVALUE(C538&amp;"-01"),8),'📋 Транзакції'!$C$5:$C$3623,"&lt;"&amp;EDATE(DATEVALUE(C538&amp;"-01"),9))&gt;0,1,0)</f>
        <v>0</v>
      </c>
      <c r="P538" s="37">
        <f>IF(COUNTIFS('📋 Транзакції'!$B$5:$B$3623,A538,'📋 Транзакції'!$C$5:$C$3623,"&gt;="&amp;EDATE(DATEVALUE(C538&amp;"-01"),9),'📋 Транзакції'!$C$5:$C$3623,"&lt;"&amp;EDATE(DATEVALUE(C538&amp;"-01"),10))&gt;0,1,0)</f>
        <v>0</v>
      </c>
      <c r="Q538" s="37">
        <f>IF(COUNTIFS('📋 Транзакції'!$B$5:$B$3623,A538,'📋 Транзакції'!$C$5:$C$3623,"&gt;="&amp;EDATE(DATEVALUE(C538&amp;"-01"),10),'📋 Транзакції'!$C$5:$C$3623,"&lt;"&amp;EDATE(DATEVALUE(C538&amp;"-01"),11))&gt;0,1,0)</f>
        <v>0</v>
      </c>
      <c r="R538" s="37">
        <f>IF(COUNTIFS('📋 Транзакції'!$B$5:$B$3623,A538,'📋 Транзакції'!$C$5:$C$3623,"&gt;="&amp;EDATE(DATEVALUE(C538&amp;"-01"),11),'📋 Транзакції'!$C$5:$C$3623,"&lt;"&amp;EDATE(DATEVALUE(C538&amp;"-01"),12))&gt;0,1,0)</f>
        <v>0</v>
      </c>
      <c r="S538" s="37">
        <f>SUMIFS('📋 Транзакції'!$F$5:$F$3623,'📋 Транзакції'!$B$5:$B$3623,A538,'📋 Транзакції'!$C$5:$C$3623,"&gt;="&amp;EDATE(DATEVALUE(C538&amp;"-01"),0),'📋 Транзакції'!$C$5:$C$3623,"&lt;"&amp;EDATE(DATEVALUE(C538&amp;"-01"),1))</f>
        <v>19.99</v>
      </c>
      <c r="T538" s="37">
        <f>SUMIFS('📋 Транзакції'!$F$5:$F$3623,'📋 Транзакції'!$B$5:$B$3623,A538,'📋 Транзакції'!$C$5:$C$3623,"&gt;="&amp;EDATE(DATEVALUE(C538&amp;"-01"),1),'📋 Транзакції'!$C$5:$C$3623,"&lt;"&amp;EDATE(DATEVALUE(C538&amp;"-01"),2))</f>
        <v>19.99</v>
      </c>
      <c r="U538" s="37">
        <f>SUMIFS('📋 Транзакції'!$F$5:$F$3623,'📋 Транзакції'!$B$5:$B$3623,A538,'📋 Транзакції'!$C$5:$C$3623,"&gt;="&amp;EDATE(DATEVALUE(C538&amp;"-01"),2),'📋 Транзакції'!$C$5:$C$3623,"&lt;"&amp;EDATE(DATEVALUE(C538&amp;"-01"),3))</f>
        <v>0</v>
      </c>
      <c r="V538" s="37">
        <f>SUMIFS('📋 Транзакції'!$F$5:$F$3623,'📋 Транзакції'!$B$5:$B$3623,A538,'📋 Транзакції'!$C$5:$C$3623,"&gt;="&amp;EDATE(DATEVALUE(C538&amp;"-01"),3),'📋 Транзакції'!$C$5:$C$3623,"&lt;"&amp;EDATE(DATEVALUE(C538&amp;"-01"),4))</f>
        <v>0</v>
      </c>
      <c r="W538" s="37">
        <f>SUMIFS('📋 Транзакції'!$F$5:$F$3623,'📋 Транзакції'!$B$5:$B$3623,A538,'📋 Транзакції'!$C$5:$C$3623,"&gt;="&amp;EDATE(DATEVALUE(C538&amp;"-01"),4),'📋 Транзакції'!$C$5:$C$3623,"&lt;"&amp;EDATE(DATEVALUE(C538&amp;"-01"),5))</f>
        <v>0</v>
      </c>
      <c r="X538" s="37">
        <f>SUMIFS('📋 Транзакції'!$F$5:$F$3623,'📋 Транзакції'!$B$5:$B$3623,A538,'📋 Транзакції'!$C$5:$C$3623,"&gt;="&amp;EDATE(DATEVALUE(C538&amp;"-01"),5),'📋 Транзакції'!$C$5:$C$3623,"&lt;"&amp;EDATE(DATEVALUE(C538&amp;"-01"),6))</f>
        <v>0</v>
      </c>
      <c r="Y538" s="37">
        <f>SUMIFS('📋 Транзакції'!$F$5:$F$3623,'📋 Транзакції'!$B$5:$B$3623,A538,'📋 Транзакції'!$C$5:$C$3623,"&gt;="&amp;EDATE(DATEVALUE(C538&amp;"-01"),6),'📋 Транзакції'!$C$5:$C$3623,"&lt;"&amp;EDATE(DATEVALUE(C538&amp;"-01"),7))</f>
        <v>0</v>
      </c>
      <c r="Z538" s="37">
        <f>SUMIFS('📋 Транзакції'!$F$5:$F$3623,'📋 Транзакції'!$B$5:$B$3623,A538,'📋 Транзакції'!$C$5:$C$3623,"&gt;="&amp;EDATE(DATEVALUE(C538&amp;"-01"),7),'📋 Транзакції'!$C$5:$C$3623,"&lt;"&amp;EDATE(DATEVALUE(C538&amp;"-01"),8))</f>
        <v>0</v>
      </c>
      <c r="AA538" s="37">
        <f>SUMIFS('📋 Транзакції'!$F$5:$F$3623,'📋 Транзакції'!$B$5:$B$3623,A538,'📋 Транзакції'!$C$5:$C$3623,"&gt;="&amp;EDATE(DATEVALUE(C538&amp;"-01"),8),'📋 Транзакції'!$C$5:$C$3623,"&lt;"&amp;EDATE(DATEVALUE(C538&amp;"-01"),9))</f>
        <v>0</v>
      </c>
      <c r="AB538" s="37">
        <f>SUMIFS('📋 Транзакції'!$F$5:$F$3623,'📋 Транзакції'!$B$5:$B$3623,A538,'📋 Транзакції'!$C$5:$C$3623,"&gt;="&amp;EDATE(DATEVALUE(C538&amp;"-01"),9),'📋 Транзакції'!$C$5:$C$3623,"&lt;"&amp;EDATE(DATEVALUE(C538&amp;"-01"),10))</f>
        <v>0</v>
      </c>
      <c r="AC538" s="37">
        <f>SUMIFS('📋 Транзакції'!$F$5:$F$3623,'📋 Транзакції'!$B$5:$B$3623,A538,'📋 Транзакції'!$C$5:$C$3623,"&gt;="&amp;EDATE(DATEVALUE(C538&amp;"-01"),10),'📋 Транзакції'!$C$5:$C$3623,"&lt;"&amp;EDATE(DATEVALUE(C538&amp;"-01"),11))</f>
        <v>0</v>
      </c>
      <c r="AD538" s="37">
        <f>SUMIFS('📋 Транзакції'!$F$5:$F$3623,'📋 Транзакції'!$B$5:$B$3623,A538,'📋 Транзакції'!$C$5:$C$3623,"&gt;="&amp;EDATE(DATEVALUE(C538&amp;"-01"),11),'📋 Транзакції'!$C$5:$C$3623,"&lt;"&amp;EDATE(DATEVALUE(C538&amp;"-01"),12))</f>
        <v>0</v>
      </c>
    </row>
    <row r="539" ht="15.75" customHeight="1">
      <c r="A539" s="33" t="str">
        <f>'📋 Реєстрації'!A539:A1140</f>
        <v>U0595</v>
      </c>
      <c r="B539" s="34">
        <f t="array" ref="B539">INDEX('📋 Транзакції'!$C$5:$C$3623,MATCH(A539,'📋 Транзакції'!$B$5:$B$3623,0))</f>
        <v>45708</v>
      </c>
      <c r="C539" s="35" t="str">
        <f t="shared" si="1"/>
        <v>2025-02</v>
      </c>
      <c r="D539" s="36">
        <f>COUNTIF('📋 Транзакції'!$B$5:$B$3623,A539)</f>
        <v>3</v>
      </c>
      <c r="E539" s="36">
        <f>SUMIF('📋 Транзакції'!$B$5:$B$3623,A539,'📋 Транзакції'!$F$5:$F$3623)</f>
        <v>39.98</v>
      </c>
      <c r="F539" s="35">
        <f>INT($A$1-MAXIFS('📋 Транзакції'!$C$5:$C$3623,'📋 Транзакції'!$B$5:$B$3623,A539))</f>
        <v>2</v>
      </c>
      <c r="G539" s="37">
        <f>IF(COUNTIFS('📋 Транзакції'!$B$5:$B$3623,A539,'📋 Транзакції'!$C$5:$C$3623,"&gt;="&amp;EDATE(DATEVALUE(C539&amp;"-01"),0),'📋 Транзакції'!$C$5:$C$3623,"&lt;"&amp;EDATE(DATEVALUE(C539&amp;"-01"),1))&gt;0,1,0)</f>
        <v>1</v>
      </c>
      <c r="H539" s="37">
        <f>IF(COUNTIFS('📋 Транзакції'!$B$5:$B$3623,A539,'📋 Транзакції'!$C$5:$C$3623,"&gt;="&amp;EDATE(DATEVALUE(C539&amp;"-01"),1),'📋 Транзакції'!$C$5:$C$3623,"&lt;"&amp;EDATE(DATEVALUE(C539&amp;"-01"),2))&gt;0,1,0)</f>
        <v>1</v>
      </c>
      <c r="I539" s="37">
        <f>IF(COUNTIFS('📋 Транзакції'!$B$5:$B$3623,A539,'📋 Транзакції'!$C$5:$C$3623,"&gt;="&amp;EDATE(DATEVALUE(C539&amp;"-01"),2),'📋 Транзакції'!$C$5:$C$3623,"&lt;"&amp;EDATE(DATEVALUE(C539&amp;"-01"),3))&gt;0,1,0)</f>
        <v>0</v>
      </c>
      <c r="J539" s="37">
        <f>IF(COUNTIFS('📋 Транзакції'!$B$5:$B$3623,A539,'📋 Транзакції'!$C$5:$C$3623,"&gt;="&amp;EDATE(DATEVALUE(C539&amp;"-01"),3),'📋 Транзакції'!$C$5:$C$3623,"&lt;"&amp;EDATE(DATEVALUE(C539&amp;"-01"),4))&gt;0,1,0)</f>
        <v>0</v>
      </c>
      <c r="K539" s="37">
        <f>IF(COUNTIFS('📋 Транзакції'!$B$5:$B$3623,A539,'📋 Транзакції'!$C$5:$C$3623,"&gt;="&amp;EDATE(DATEVALUE(C539&amp;"-01"),4),'📋 Транзакції'!$C$5:$C$3623,"&lt;"&amp;EDATE(DATEVALUE(C539&amp;"-01"),5))&gt;0,1,0)</f>
        <v>0</v>
      </c>
      <c r="L539" s="37">
        <f>IF(COUNTIFS('📋 Транзакції'!$B$5:$B$3623,A539,'📋 Транзакції'!$C$5:$C$3623,"&gt;="&amp;EDATE(DATEVALUE(C539&amp;"-01"),5),'📋 Транзакції'!$C$5:$C$3623,"&lt;"&amp;EDATE(DATEVALUE(C539&amp;"-01"),6))&gt;0,1,0)</f>
        <v>0</v>
      </c>
      <c r="M539" s="37">
        <f>IF(COUNTIFS('📋 Транзакції'!$B$5:$B$3623,A539,'📋 Транзакції'!$C$5:$C$3623,"&gt;="&amp;EDATE(DATEVALUE(C539&amp;"-01"),6),'📋 Транзакції'!$C$5:$C$3623,"&lt;"&amp;EDATE(DATEVALUE(C539&amp;"-01"),7))&gt;0,1,0)</f>
        <v>0</v>
      </c>
      <c r="N539" s="37">
        <f>IF(COUNTIFS('📋 Транзакції'!$B$5:$B$3623,A539,'📋 Транзакції'!$C$5:$C$3623,"&gt;="&amp;EDATE(DATEVALUE(C539&amp;"-01"),7),'📋 Транзакції'!$C$5:$C$3623,"&lt;"&amp;EDATE(DATEVALUE(C539&amp;"-01"),8))&gt;0,1,0)</f>
        <v>0</v>
      </c>
      <c r="O539" s="37">
        <f>IF(COUNTIFS('📋 Транзакції'!$B$5:$B$3623,A539,'📋 Транзакції'!$C$5:$C$3623,"&gt;="&amp;EDATE(DATEVALUE(C539&amp;"-01"),8),'📋 Транзакції'!$C$5:$C$3623,"&lt;"&amp;EDATE(DATEVALUE(C539&amp;"-01"),9))&gt;0,1,0)</f>
        <v>0</v>
      </c>
      <c r="P539" s="37">
        <f>IF(COUNTIFS('📋 Транзакції'!$B$5:$B$3623,A539,'📋 Транзакції'!$C$5:$C$3623,"&gt;="&amp;EDATE(DATEVALUE(C539&amp;"-01"),9),'📋 Транзакції'!$C$5:$C$3623,"&lt;"&amp;EDATE(DATEVALUE(C539&amp;"-01"),10))&gt;0,1,0)</f>
        <v>0</v>
      </c>
      <c r="Q539" s="37">
        <f>IF(COUNTIFS('📋 Транзакції'!$B$5:$B$3623,A539,'📋 Транзакції'!$C$5:$C$3623,"&gt;="&amp;EDATE(DATEVALUE(C539&amp;"-01"),10),'📋 Транзакції'!$C$5:$C$3623,"&lt;"&amp;EDATE(DATEVALUE(C539&amp;"-01"),11))&gt;0,1,0)</f>
        <v>0</v>
      </c>
      <c r="R539" s="37">
        <f>IF(COUNTIFS('📋 Транзакції'!$B$5:$B$3623,A539,'📋 Транзакції'!$C$5:$C$3623,"&gt;="&amp;EDATE(DATEVALUE(C539&amp;"-01"),11),'📋 Транзакції'!$C$5:$C$3623,"&lt;"&amp;EDATE(DATEVALUE(C539&amp;"-01"),12))&gt;0,1,0)</f>
        <v>0</v>
      </c>
      <c r="S539" s="37">
        <f>SUMIFS('📋 Транзакції'!$F$5:$F$3623,'📋 Транзакції'!$B$5:$B$3623,A539,'📋 Транзакції'!$C$5:$C$3623,"&gt;="&amp;EDATE(DATEVALUE(C539&amp;"-01"),0),'📋 Транзакції'!$C$5:$C$3623,"&lt;"&amp;EDATE(DATEVALUE(C539&amp;"-01"),1))</f>
        <v>19.99</v>
      </c>
      <c r="T539" s="37">
        <f>SUMIFS('📋 Транзакції'!$F$5:$F$3623,'📋 Транзакції'!$B$5:$B$3623,A539,'📋 Транзакції'!$C$5:$C$3623,"&gt;="&amp;EDATE(DATEVALUE(C539&amp;"-01"),1),'📋 Транзакції'!$C$5:$C$3623,"&lt;"&amp;EDATE(DATEVALUE(C539&amp;"-01"),2))</f>
        <v>19.99</v>
      </c>
      <c r="U539" s="37">
        <f>SUMIFS('📋 Транзакції'!$F$5:$F$3623,'📋 Транзакції'!$B$5:$B$3623,A539,'📋 Транзакції'!$C$5:$C$3623,"&gt;="&amp;EDATE(DATEVALUE(C539&amp;"-01"),2),'📋 Транзакції'!$C$5:$C$3623,"&lt;"&amp;EDATE(DATEVALUE(C539&amp;"-01"),3))</f>
        <v>0</v>
      </c>
      <c r="V539" s="37">
        <f>SUMIFS('📋 Транзакції'!$F$5:$F$3623,'📋 Транзакції'!$B$5:$B$3623,A539,'📋 Транзакції'!$C$5:$C$3623,"&gt;="&amp;EDATE(DATEVALUE(C539&amp;"-01"),3),'📋 Транзакції'!$C$5:$C$3623,"&lt;"&amp;EDATE(DATEVALUE(C539&amp;"-01"),4))</f>
        <v>0</v>
      </c>
      <c r="W539" s="37">
        <f>SUMIFS('📋 Транзакції'!$F$5:$F$3623,'📋 Транзакції'!$B$5:$B$3623,A539,'📋 Транзакції'!$C$5:$C$3623,"&gt;="&amp;EDATE(DATEVALUE(C539&amp;"-01"),4),'📋 Транзакції'!$C$5:$C$3623,"&lt;"&amp;EDATE(DATEVALUE(C539&amp;"-01"),5))</f>
        <v>0</v>
      </c>
      <c r="X539" s="37">
        <f>SUMIFS('📋 Транзакції'!$F$5:$F$3623,'📋 Транзакції'!$B$5:$B$3623,A539,'📋 Транзакції'!$C$5:$C$3623,"&gt;="&amp;EDATE(DATEVALUE(C539&amp;"-01"),5),'📋 Транзакції'!$C$5:$C$3623,"&lt;"&amp;EDATE(DATEVALUE(C539&amp;"-01"),6))</f>
        <v>0</v>
      </c>
      <c r="Y539" s="37">
        <f>SUMIFS('📋 Транзакції'!$F$5:$F$3623,'📋 Транзакції'!$B$5:$B$3623,A539,'📋 Транзакції'!$C$5:$C$3623,"&gt;="&amp;EDATE(DATEVALUE(C539&amp;"-01"),6),'📋 Транзакції'!$C$5:$C$3623,"&lt;"&amp;EDATE(DATEVALUE(C539&amp;"-01"),7))</f>
        <v>0</v>
      </c>
      <c r="Z539" s="37">
        <f>SUMIFS('📋 Транзакції'!$F$5:$F$3623,'📋 Транзакції'!$B$5:$B$3623,A539,'📋 Транзакції'!$C$5:$C$3623,"&gt;="&amp;EDATE(DATEVALUE(C539&amp;"-01"),7),'📋 Транзакції'!$C$5:$C$3623,"&lt;"&amp;EDATE(DATEVALUE(C539&amp;"-01"),8))</f>
        <v>0</v>
      </c>
      <c r="AA539" s="37">
        <f>SUMIFS('📋 Транзакції'!$F$5:$F$3623,'📋 Транзакції'!$B$5:$B$3623,A539,'📋 Транзакції'!$C$5:$C$3623,"&gt;="&amp;EDATE(DATEVALUE(C539&amp;"-01"),8),'📋 Транзакції'!$C$5:$C$3623,"&lt;"&amp;EDATE(DATEVALUE(C539&amp;"-01"),9))</f>
        <v>0</v>
      </c>
      <c r="AB539" s="37">
        <f>SUMIFS('📋 Транзакції'!$F$5:$F$3623,'📋 Транзакції'!$B$5:$B$3623,A539,'📋 Транзакції'!$C$5:$C$3623,"&gt;="&amp;EDATE(DATEVALUE(C539&amp;"-01"),9),'📋 Транзакції'!$C$5:$C$3623,"&lt;"&amp;EDATE(DATEVALUE(C539&amp;"-01"),10))</f>
        <v>0</v>
      </c>
      <c r="AC539" s="37">
        <f>SUMIFS('📋 Транзакції'!$F$5:$F$3623,'📋 Транзакції'!$B$5:$B$3623,A539,'📋 Транзакції'!$C$5:$C$3623,"&gt;="&amp;EDATE(DATEVALUE(C539&amp;"-01"),10),'📋 Транзакції'!$C$5:$C$3623,"&lt;"&amp;EDATE(DATEVALUE(C539&amp;"-01"),11))</f>
        <v>0</v>
      </c>
      <c r="AD539" s="37">
        <f>SUMIFS('📋 Транзакції'!$F$5:$F$3623,'📋 Транзакції'!$B$5:$B$3623,A539,'📋 Транзакції'!$C$5:$C$3623,"&gt;="&amp;EDATE(DATEVALUE(C539&amp;"-01"),11),'📋 Транзакції'!$C$5:$C$3623,"&lt;"&amp;EDATE(DATEVALUE(C539&amp;"-01"),12))</f>
        <v>0</v>
      </c>
    </row>
    <row r="540" ht="15.75" customHeight="1">
      <c r="A540" s="33" t="str">
        <f>'📋 Реєстрації'!A540:A1141</f>
        <v>U0770</v>
      </c>
      <c r="B540" s="34">
        <f t="array" ref="B540">INDEX('📋 Транзакції'!$C$5:$C$3623,MATCH(A540,'📋 Транзакції'!$B$5:$B$3623,0))</f>
        <v>45708</v>
      </c>
      <c r="C540" s="35" t="str">
        <f t="shared" si="1"/>
        <v>2025-02</v>
      </c>
      <c r="D540" s="36">
        <f>COUNTIF('📋 Транзакції'!$B$5:$B$3623,A540)</f>
        <v>3</v>
      </c>
      <c r="E540" s="36">
        <f>SUMIF('📋 Транзакції'!$B$5:$B$3623,A540,'📋 Транзакції'!$F$5:$F$3623)</f>
        <v>39.98</v>
      </c>
      <c r="F540" s="35">
        <f>INT($A$1-MAXIFS('📋 Транзакції'!$C$5:$C$3623,'📋 Транзакції'!$B$5:$B$3623,A540))</f>
        <v>2</v>
      </c>
      <c r="G540" s="37">
        <f>IF(COUNTIFS('📋 Транзакції'!$B$5:$B$3623,A540,'📋 Транзакції'!$C$5:$C$3623,"&gt;="&amp;EDATE(DATEVALUE(C540&amp;"-01"),0),'📋 Транзакції'!$C$5:$C$3623,"&lt;"&amp;EDATE(DATEVALUE(C540&amp;"-01"),1))&gt;0,1,0)</f>
        <v>1</v>
      </c>
      <c r="H540" s="37">
        <f>IF(COUNTIFS('📋 Транзакції'!$B$5:$B$3623,A540,'📋 Транзакції'!$C$5:$C$3623,"&gt;="&amp;EDATE(DATEVALUE(C540&amp;"-01"),1),'📋 Транзакції'!$C$5:$C$3623,"&lt;"&amp;EDATE(DATEVALUE(C540&amp;"-01"),2))&gt;0,1,0)</f>
        <v>1</v>
      </c>
      <c r="I540" s="37">
        <f>IF(COUNTIFS('📋 Транзакції'!$B$5:$B$3623,A540,'📋 Транзакції'!$C$5:$C$3623,"&gt;="&amp;EDATE(DATEVALUE(C540&amp;"-01"),2),'📋 Транзакції'!$C$5:$C$3623,"&lt;"&amp;EDATE(DATEVALUE(C540&amp;"-01"),3))&gt;0,1,0)</f>
        <v>0</v>
      </c>
      <c r="J540" s="37">
        <f>IF(COUNTIFS('📋 Транзакції'!$B$5:$B$3623,A540,'📋 Транзакції'!$C$5:$C$3623,"&gt;="&amp;EDATE(DATEVALUE(C540&amp;"-01"),3),'📋 Транзакції'!$C$5:$C$3623,"&lt;"&amp;EDATE(DATEVALUE(C540&amp;"-01"),4))&gt;0,1,0)</f>
        <v>0</v>
      </c>
      <c r="K540" s="37">
        <f>IF(COUNTIFS('📋 Транзакції'!$B$5:$B$3623,A540,'📋 Транзакції'!$C$5:$C$3623,"&gt;="&amp;EDATE(DATEVALUE(C540&amp;"-01"),4),'📋 Транзакції'!$C$5:$C$3623,"&lt;"&amp;EDATE(DATEVALUE(C540&amp;"-01"),5))&gt;0,1,0)</f>
        <v>0</v>
      </c>
      <c r="L540" s="37">
        <f>IF(COUNTIFS('📋 Транзакції'!$B$5:$B$3623,A540,'📋 Транзакції'!$C$5:$C$3623,"&gt;="&amp;EDATE(DATEVALUE(C540&amp;"-01"),5),'📋 Транзакції'!$C$5:$C$3623,"&lt;"&amp;EDATE(DATEVALUE(C540&amp;"-01"),6))&gt;0,1,0)</f>
        <v>0</v>
      </c>
      <c r="M540" s="37">
        <f>IF(COUNTIFS('📋 Транзакції'!$B$5:$B$3623,A540,'📋 Транзакції'!$C$5:$C$3623,"&gt;="&amp;EDATE(DATEVALUE(C540&amp;"-01"),6),'📋 Транзакції'!$C$5:$C$3623,"&lt;"&amp;EDATE(DATEVALUE(C540&amp;"-01"),7))&gt;0,1,0)</f>
        <v>0</v>
      </c>
      <c r="N540" s="37">
        <f>IF(COUNTIFS('📋 Транзакції'!$B$5:$B$3623,A540,'📋 Транзакції'!$C$5:$C$3623,"&gt;="&amp;EDATE(DATEVALUE(C540&amp;"-01"),7),'📋 Транзакції'!$C$5:$C$3623,"&lt;"&amp;EDATE(DATEVALUE(C540&amp;"-01"),8))&gt;0,1,0)</f>
        <v>0</v>
      </c>
      <c r="O540" s="37">
        <f>IF(COUNTIFS('📋 Транзакції'!$B$5:$B$3623,A540,'📋 Транзакції'!$C$5:$C$3623,"&gt;="&amp;EDATE(DATEVALUE(C540&amp;"-01"),8),'📋 Транзакції'!$C$5:$C$3623,"&lt;"&amp;EDATE(DATEVALUE(C540&amp;"-01"),9))&gt;0,1,0)</f>
        <v>0</v>
      </c>
      <c r="P540" s="37">
        <f>IF(COUNTIFS('📋 Транзакції'!$B$5:$B$3623,A540,'📋 Транзакції'!$C$5:$C$3623,"&gt;="&amp;EDATE(DATEVALUE(C540&amp;"-01"),9),'📋 Транзакції'!$C$5:$C$3623,"&lt;"&amp;EDATE(DATEVALUE(C540&amp;"-01"),10))&gt;0,1,0)</f>
        <v>0</v>
      </c>
      <c r="Q540" s="37">
        <f>IF(COUNTIFS('📋 Транзакції'!$B$5:$B$3623,A540,'📋 Транзакції'!$C$5:$C$3623,"&gt;="&amp;EDATE(DATEVALUE(C540&amp;"-01"),10),'📋 Транзакції'!$C$5:$C$3623,"&lt;"&amp;EDATE(DATEVALUE(C540&amp;"-01"),11))&gt;0,1,0)</f>
        <v>0</v>
      </c>
      <c r="R540" s="37">
        <f>IF(COUNTIFS('📋 Транзакції'!$B$5:$B$3623,A540,'📋 Транзакції'!$C$5:$C$3623,"&gt;="&amp;EDATE(DATEVALUE(C540&amp;"-01"),11),'📋 Транзакції'!$C$5:$C$3623,"&lt;"&amp;EDATE(DATEVALUE(C540&amp;"-01"),12))&gt;0,1,0)</f>
        <v>0</v>
      </c>
      <c r="S540" s="37">
        <f>SUMIFS('📋 Транзакції'!$F$5:$F$3623,'📋 Транзакції'!$B$5:$B$3623,A540,'📋 Транзакції'!$C$5:$C$3623,"&gt;="&amp;EDATE(DATEVALUE(C540&amp;"-01"),0),'📋 Транзакції'!$C$5:$C$3623,"&lt;"&amp;EDATE(DATEVALUE(C540&amp;"-01"),1))</f>
        <v>19.99</v>
      </c>
      <c r="T540" s="37">
        <f>SUMIFS('📋 Транзакції'!$F$5:$F$3623,'📋 Транзакції'!$B$5:$B$3623,A540,'📋 Транзакції'!$C$5:$C$3623,"&gt;="&amp;EDATE(DATEVALUE(C540&amp;"-01"),1),'📋 Транзакції'!$C$5:$C$3623,"&lt;"&amp;EDATE(DATEVALUE(C540&amp;"-01"),2))</f>
        <v>19.99</v>
      </c>
      <c r="U540" s="37">
        <f>SUMIFS('📋 Транзакції'!$F$5:$F$3623,'📋 Транзакції'!$B$5:$B$3623,A540,'📋 Транзакції'!$C$5:$C$3623,"&gt;="&amp;EDATE(DATEVALUE(C540&amp;"-01"),2),'📋 Транзакції'!$C$5:$C$3623,"&lt;"&amp;EDATE(DATEVALUE(C540&amp;"-01"),3))</f>
        <v>0</v>
      </c>
      <c r="V540" s="37">
        <f>SUMIFS('📋 Транзакції'!$F$5:$F$3623,'📋 Транзакції'!$B$5:$B$3623,A540,'📋 Транзакції'!$C$5:$C$3623,"&gt;="&amp;EDATE(DATEVALUE(C540&amp;"-01"),3),'📋 Транзакції'!$C$5:$C$3623,"&lt;"&amp;EDATE(DATEVALUE(C540&amp;"-01"),4))</f>
        <v>0</v>
      </c>
      <c r="W540" s="37">
        <f>SUMIFS('📋 Транзакції'!$F$5:$F$3623,'📋 Транзакції'!$B$5:$B$3623,A540,'📋 Транзакції'!$C$5:$C$3623,"&gt;="&amp;EDATE(DATEVALUE(C540&amp;"-01"),4),'📋 Транзакції'!$C$5:$C$3623,"&lt;"&amp;EDATE(DATEVALUE(C540&amp;"-01"),5))</f>
        <v>0</v>
      </c>
      <c r="X540" s="37">
        <f>SUMIFS('📋 Транзакції'!$F$5:$F$3623,'📋 Транзакції'!$B$5:$B$3623,A540,'📋 Транзакції'!$C$5:$C$3623,"&gt;="&amp;EDATE(DATEVALUE(C540&amp;"-01"),5),'📋 Транзакції'!$C$5:$C$3623,"&lt;"&amp;EDATE(DATEVALUE(C540&amp;"-01"),6))</f>
        <v>0</v>
      </c>
      <c r="Y540" s="37">
        <f>SUMIFS('📋 Транзакції'!$F$5:$F$3623,'📋 Транзакції'!$B$5:$B$3623,A540,'📋 Транзакції'!$C$5:$C$3623,"&gt;="&amp;EDATE(DATEVALUE(C540&amp;"-01"),6),'📋 Транзакції'!$C$5:$C$3623,"&lt;"&amp;EDATE(DATEVALUE(C540&amp;"-01"),7))</f>
        <v>0</v>
      </c>
      <c r="Z540" s="37">
        <f>SUMIFS('📋 Транзакції'!$F$5:$F$3623,'📋 Транзакції'!$B$5:$B$3623,A540,'📋 Транзакції'!$C$5:$C$3623,"&gt;="&amp;EDATE(DATEVALUE(C540&amp;"-01"),7),'📋 Транзакції'!$C$5:$C$3623,"&lt;"&amp;EDATE(DATEVALUE(C540&amp;"-01"),8))</f>
        <v>0</v>
      </c>
      <c r="AA540" s="37">
        <f>SUMIFS('📋 Транзакції'!$F$5:$F$3623,'📋 Транзакції'!$B$5:$B$3623,A540,'📋 Транзакції'!$C$5:$C$3623,"&gt;="&amp;EDATE(DATEVALUE(C540&amp;"-01"),8),'📋 Транзакції'!$C$5:$C$3623,"&lt;"&amp;EDATE(DATEVALUE(C540&amp;"-01"),9))</f>
        <v>0</v>
      </c>
      <c r="AB540" s="37">
        <f>SUMIFS('📋 Транзакції'!$F$5:$F$3623,'📋 Транзакції'!$B$5:$B$3623,A540,'📋 Транзакції'!$C$5:$C$3623,"&gt;="&amp;EDATE(DATEVALUE(C540&amp;"-01"),9),'📋 Транзакції'!$C$5:$C$3623,"&lt;"&amp;EDATE(DATEVALUE(C540&amp;"-01"),10))</f>
        <v>0</v>
      </c>
      <c r="AC540" s="37">
        <f>SUMIFS('📋 Транзакції'!$F$5:$F$3623,'📋 Транзакції'!$B$5:$B$3623,A540,'📋 Транзакції'!$C$5:$C$3623,"&gt;="&amp;EDATE(DATEVALUE(C540&amp;"-01"),10),'📋 Транзакції'!$C$5:$C$3623,"&lt;"&amp;EDATE(DATEVALUE(C540&amp;"-01"),11))</f>
        <v>0</v>
      </c>
      <c r="AD540" s="37">
        <f>SUMIFS('📋 Транзакції'!$F$5:$F$3623,'📋 Транзакції'!$B$5:$B$3623,A540,'📋 Транзакції'!$C$5:$C$3623,"&gt;="&amp;EDATE(DATEVALUE(C540&amp;"-01"),11),'📋 Транзакції'!$C$5:$C$3623,"&lt;"&amp;EDATE(DATEVALUE(C540&amp;"-01"),12))</f>
        <v>0</v>
      </c>
    </row>
    <row r="541" ht="15.75" customHeight="1">
      <c r="A541" s="33" t="str">
        <f>'📋 Реєстрації'!A541:A1142</f>
        <v>U0013</v>
      </c>
      <c r="B541" s="34">
        <f t="array" ref="B541">INDEX('📋 Транзакції'!$C$5:$C$3623,MATCH(A541,'📋 Транзакції'!$B$5:$B$3623,0))</f>
        <v>45709</v>
      </c>
      <c r="C541" s="35" t="str">
        <f t="shared" si="1"/>
        <v>2025-02</v>
      </c>
      <c r="D541" s="36">
        <f>COUNTIF('📋 Транзакції'!$B$5:$B$3623,A541)</f>
        <v>3</v>
      </c>
      <c r="E541" s="36">
        <f>SUMIF('📋 Транзакції'!$B$5:$B$3623,A541,'📋 Транзакції'!$F$5:$F$3623)</f>
        <v>39.98</v>
      </c>
      <c r="F541" s="35">
        <f>INT($A$1-MAXIFS('📋 Транзакції'!$C$5:$C$3623,'📋 Транзакції'!$B$5:$B$3623,A541))</f>
        <v>1</v>
      </c>
      <c r="G541" s="37">
        <f>IF(COUNTIFS('📋 Транзакції'!$B$5:$B$3623,A541,'📋 Транзакції'!$C$5:$C$3623,"&gt;="&amp;EDATE(DATEVALUE(C541&amp;"-01"),0),'📋 Транзакції'!$C$5:$C$3623,"&lt;"&amp;EDATE(DATEVALUE(C541&amp;"-01"),1))&gt;0,1,0)</f>
        <v>1</v>
      </c>
      <c r="H541" s="37">
        <f>IF(COUNTIFS('📋 Транзакції'!$B$5:$B$3623,A541,'📋 Транзакції'!$C$5:$C$3623,"&gt;="&amp;EDATE(DATEVALUE(C541&amp;"-01"),1),'📋 Транзакції'!$C$5:$C$3623,"&lt;"&amp;EDATE(DATEVALUE(C541&amp;"-01"),2))&gt;0,1,0)</f>
        <v>1</v>
      </c>
      <c r="I541" s="37">
        <f>IF(COUNTIFS('📋 Транзакції'!$B$5:$B$3623,A541,'📋 Транзакції'!$C$5:$C$3623,"&gt;="&amp;EDATE(DATEVALUE(C541&amp;"-01"),2),'📋 Транзакції'!$C$5:$C$3623,"&lt;"&amp;EDATE(DATEVALUE(C541&amp;"-01"),3))&gt;0,1,0)</f>
        <v>0</v>
      </c>
      <c r="J541" s="37">
        <f>IF(COUNTIFS('📋 Транзакції'!$B$5:$B$3623,A541,'📋 Транзакції'!$C$5:$C$3623,"&gt;="&amp;EDATE(DATEVALUE(C541&amp;"-01"),3),'📋 Транзакції'!$C$5:$C$3623,"&lt;"&amp;EDATE(DATEVALUE(C541&amp;"-01"),4))&gt;0,1,0)</f>
        <v>0</v>
      </c>
      <c r="K541" s="37">
        <f>IF(COUNTIFS('📋 Транзакції'!$B$5:$B$3623,A541,'📋 Транзакції'!$C$5:$C$3623,"&gt;="&amp;EDATE(DATEVALUE(C541&amp;"-01"),4),'📋 Транзакції'!$C$5:$C$3623,"&lt;"&amp;EDATE(DATEVALUE(C541&amp;"-01"),5))&gt;0,1,0)</f>
        <v>0</v>
      </c>
      <c r="L541" s="37">
        <f>IF(COUNTIFS('📋 Транзакції'!$B$5:$B$3623,A541,'📋 Транзакції'!$C$5:$C$3623,"&gt;="&amp;EDATE(DATEVALUE(C541&amp;"-01"),5),'📋 Транзакції'!$C$5:$C$3623,"&lt;"&amp;EDATE(DATEVALUE(C541&amp;"-01"),6))&gt;0,1,0)</f>
        <v>0</v>
      </c>
      <c r="M541" s="37">
        <f>IF(COUNTIFS('📋 Транзакції'!$B$5:$B$3623,A541,'📋 Транзакції'!$C$5:$C$3623,"&gt;="&amp;EDATE(DATEVALUE(C541&amp;"-01"),6),'📋 Транзакції'!$C$5:$C$3623,"&lt;"&amp;EDATE(DATEVALUE(C541&amp;"-01"),7))&gt;0,1,0)</f>
        <v>0</v>
      </c>
      <c r="N541" s="37">
        <f>IF(COUNTIFS('📋 Транзакції'!$B$5:$B$3623,A541,'📋 Транзакції'!$C$5:$C$3623,"&gt;="&amp;EDATE(DATEVALUE(C541&amp;"-01"),7),'📋 Транзакції'!$C$5:$C$3623,"&lt;"&amp;EDATE(DATEVALUE(C541&amp;"-01"),8))&gt;0,1,0)</f>
        <v>0</v>
      </c>
      <c r="O541" s="37">
        <f>IF(COUNTIFS('📋 Транзакції'!$B$5:$B$3623,A541,'📋 Транзакції'!$C$5:$C$3623,"&gt;="&amp;EDATE(DATEVALUE(C541&amp;"-01"),8),'📋 Транзакції'!$C$5:$C$3623,"&lt;"&amp;EDATE(DATEVALUE(C541&amp;"-01"),9))&gt;0,1,0)</f>
        <v>0</v>
      </c>
      <c r="P541" s="37">
        <f>IF(COUNTIFS('📋 Транзакції'!$B$5:$B$3623,A541,'📋 Транзакції'!$C$5:$C$3623,"&gt;="&amp;EDATE(DATEVALUE(C541&amp;"-01"),9),'📋 Транзакції'!$C$5:$C$3623,"&lt;"&amp;EDATE(DATEVALUE(C541&amp;"-01"),10))&gt;0,1,0)</f>
        <v>0</v>
      </c>
      <c r="Q541" s="37">
        <f>IF(COUNTIFS('📋 Транзакції'!$B$5:$B$3623,A541,'📋 Транзакції'!$C$5:$C$3623,"&gt;="&amp;EDATE(DATEVALUE(C541&amp;"-01"),10),'📋 Транзакції'!$C$5:$C$3623,"&lt;"&amp;EDATE(DATEVALUE(C541&amp;"-01"),11))&gt;0,1,0)</f>
        <v>0</v>
      </c>
      <c r="R541" s="37">
        <f>IF(COUNTIFS('📋 Транзакції'!$B$5:$B$3623,A541,'📋 Транзакції'!$C$5:$C$3623,"&gt;="&amp;EDATE(DATEVALUE(C541&amp;"-01"),11),'📋 Транзакції'!$C$5:$C$3623,"&lt;"&amp;EDATE(DATEVALUE(C541&amp;"-01"),12))&gt;0,1,0)</f>
        <v>0</v>
      </c>
      <c r="S541" s="37">
        <f>SUMIFS('📋 Транзакції'!$F$5:$F$3623,'📋 Транзакції'!$B$5:$B$3623,A541,'📋 Транзакції'!$C$5:$C$3623,"&gt;="&amp;EDATE(DATEVALUE(C541&amp;"-01"),0),'📋 Транзакції'!$C$5:$C$3623,"&lt;"&amp;EDATE(DATEVALUE(C541&amp;"-01"),1))</f>
        <v>19.99</v>
      </c>
      <c r="T541" s="37">
        <f>SUMIFS('📋 Транзакції'!$F$5:$F$3623,'📋 Транзакції'!$B$5:$B$3623,A541,'📋 Транзакції'!$C$5:$C$3623,"&gt;="&amp;EDATE(DATEVALUE(C541&amp;"-01"),1),'📋 Транзакції'!$C$5:$C$3623,"&lt;"&amp;EDATE(DATEVALUE(C541&amp;"-01"),2))</f>
        <v>19.99</v>
      </c>
      <c r="U541" s="37">
        <f>SUMIFS('📋 Транзакції'!$F$5:$F$3623,'📋 Транзакції'!$B$5:$B$3623,A541,'📋 Транзакції'!$C$5:$C$3623,"&gt;="&amp;EDATE(DATEVALUE(C541&amp;"-01"),2),'📋 Транзакції'!$C$5:$C$3623,"&lt;"&amp;EDATE(DATEVALUE(C541&amp;"-01"),3))</f>
        <v>0</v>
      </c>
      <c r="V541" s="37">
        <f>SUMIFS('📋 Транзакції'!$F$5:$F$3623,'📋 Транзакції'!$B$5:$B$3623,A541,'📋 Транзакції'!$C$5:$C$3623,"&gt;="&amp;EDATE(DATEVALUE(C541&amp;"-01"),3),'📋 Транзакції'!$C$5:$C$3623,"&lt;"&amp;EDATE(DATEVALUE(C541&amp;"-01"),4))</f>
        <v>0</v>
      </c>
      <c r="W541" s="37">
        <f>SUMIFS('📋 Транзакції'!$F$5:$F$3623,'📋 Транзакції'!$B$5:$B$3623,A541,'📋 Транзакції'!$C$5:$C$3623,"&gt;="&amp;EDATE(DATEVALUE(C541&amp;"-01"),4),'📋 Транзакції'!$C$5:$C$3623,"&lt;"&amp;EDATE(DATEVALUE(C541&amp;"-01"),5))</f>
        <v>0</v>
      </c>
      <c r="X541" s="37">
        <f>SUMIFS('📋 Транзакції'!$F$5:$F$3623,'📋 Транзакції'!$B$5:$B$3623,A541,'📋 Транзакції'!$C$5:$C$3623,"&gt;="&amp;EDATE(DATEVALUE(C541&amp;"-01"),5),'📋 Транзакції'!$C$5:$C$3623,"&lt;"&amp;EDATE(DATEVALUE(C541&amp;"-01"),6))</f>
        <v>0</v>
      </c>
      <c r="Y541" s="37">
        <f>SUMIFS('📋 Транзакції'!$F$5:$F$3623,'📋 Транзакції'!$B$5:$B$3623,A541,'📋 Транзакції'!$C$5:$C$3623,"&gt;="&amp;EDATE(DATEVALUE(C541&amp;"-01"),6),'📋 Транзакції'!$C$5:$C$3623,"&lt;"&amp;EDATE(DATEVALUE(C541&amp;"-01"),7))</f>
        <v>0</v>
      </c>
      <c r="Z541" s="37">
        <f>SUMIFS('📋 Транзакції'!$F$5:$F$3623,'📋 Транзакції'!$B$5:$B$3623,A541,'📋 Транзакції'!$C$5:$C$3623,"&gt;="&amp;EDATE(DATEVALUE(C541&amp;"-01"),7),'📋 Транзакції'!$C$5:$C$3623,"&lt;"&amp;EDATE(DATEVALUE(C541&amp;"-01"),8))</f>
        <v>0</v>
      </c>
      <c r="AA541" s="37">
        <f>SUMIFS('📋 Транзакції'!$F$5:$F$3623,'📋 Транзакції'!$B$5:$B$3623,A541,'📋 Транзакції'!$C$5:$C$3623,"&gt;="&amp;EDATE(DATEVALUE(C541&amp;"-01"),8),'📋 Транзакції'!$C$5:$C$3623,"&lt;"&amp;EDATE(DATEVALUE(C541&amp;"-01"),9))</f>
        <v>0</v>
      </c>
      <c r="AB541" s="37">
        <f>SUMIFS('📋 Транзакції'!$F$5:$F$3623,'📋 Транзакції'!$B$5:$B$3623,A541,'📋 Транзакції'!$C$5:$C$3623,"&gt;="&amp;EDATE(DATEVALUE(C541&amp;"-01"),9),'📋 Транзакції'!$C$5:$C$3623,"&lt;"&amp;EDATE(DATEVALUE(C541&amp;"-01"),10))</f>
        <v>0</v>
      </c>
      <c r="AC541" s="37">
        <f>SUMIFS('📋 Транзакції'!$F$5:$F$3623,'📋 Транзакції'!$B$5:$B$3623,A541,'📋 Транзакції'!$C$5:$C$3623,"&gt;="&amp;EDATE(DATEVALUE(C541&amp;"-01"),10),'📋 Транзакції'!$C$5:$C$3623,"&lt;"&amp;EDATE(DATEVALUE(C541&amp;"-01"),11))</f>
        <v>0</v>
      </c>
      <c r="AD541" s="37">
        <f>SUMIFS('📋 Транзакції'!$F$5:$F$3623,'📋 Транзакції'!$B$5:$B$3623,A541,'📋 Транзакції'!$C$5:$C$3623,"&gt;="&amp;EDATE(DATEVALUE(C541&amp;"-01"),11),'📋 Транзакції'!$C$5:$C$3623,"&lt;"&amp;EDATE(DATEVALUE(C541&amp;"-01"),12))</f>
        <v>0</v>
      </c>
    </row>
    <row r="542" ht="15.75" customHeight="1">
      <c r="A542" s="33" t="str">
        <f>'📋 Реєстрації'!A542:A1143</f>
        <v>U0114</v>
      </c>
      <c r="B542" s="34">
        <f t="array" ref="B542">INDEX('📋 Транзакції'!$C$5:$C$3623,MATCH(A542,'📋 Транзакції'!$B$5:$B$3623,0))</f>
        <v>45709</v>
      </c>
      <c r="C542" s="35" t="str">
        <f t="shared" si="1"/>
        <v>2025-02</v>
      </c>
      <c r="D542" s="36">
        <f>COUNTIF('📋 Транзакції'!$B$5:$B$3623,A542)</f>
        <v>3</v>
      </c>
      <c r="E542" s="36">
        <f>SUMIF('📋 Транзакції'!$B$5:$B$3623,A542,'📋 Транзакції'!$F$5:$F$3623)</f>
        <v>39.98</v>
      </c>
      <c r="F542" s="35">
        <f>INT($A$1-MAXIFS('📋 Транзакції'!$C$5:$C$3623,'📋 Транзакції'!$B$5:$B$3623,A542))</f>
        <v>1</v>
      </c>
      <c r="G542" s="37">
        <f>IF(COUNTIFS('📋 Транзакції'!$B$5:$B$3623,A542,'📋 Транзакції'!$C$5:$C$3623,"&gt;="&amp;EDATE(DATEVALUE(C542&amp;"-01"),0),'📋 Транзакції'!$C$5:$C$3623,"&lt;"&amp;EDATE(DATEVALUE(C542&amp;"-01"),1))&gt;0,1,0)</f>
        <v>1</v>
      </c>
      <c r="H542" s="37">
        <f>IF(COUNTIFS('📋 Транзакції'!$B$5:$B$3623,A542,'📋 Транзакції'!$C$5:$C$3623,"&gt;="&amp;EDATE(DATEVALUE(C542&amp;"-01"),1),'📋 Транзакції'!$C$5:$C$3623,"&lt;"&amp;EDATE(DATEVALUE(C542&amp;"-01"),2))&gt;0,1,0)</f>
        <v>1</v>
      </c>
      <c r="I542" s="37">
        <f>IF(COUNTIFS('📋 Транзакції'!$B$5:$B$3623,A542,'📋 Транзакції'!$C$5:$C$3623,"&gt;="&amp;EDATE(DATEVALUE(C542&amp;"-01"),2),'📋 Транзакції'!$C$5:$C$3623,"&lt;"&amp;EDATE(DATEVALUE(C542&amp;"-01"),3))&gt;0,1,0)</f>
        <v>0</v>
      </c>
      <c r="J542" s="37">
        <f>IF(COUNTIFS('📋 Транзакції'!$B$5:$B$3623,A542,'📋 Транзакції'!$C$5:$C$3623,"&gt;="&amp;EDATE(DATEVALUE(C542&amp;"-01"),3),'📋 Транзакції'!$C$5:$C$3623,"&lt;"&amp;EDATE(DATEVALUE(C542&amp;"-01"),4))&gt;0,1,0)</f>
        <v>0</v>
      </c>
      <c r="K542" s="37">
        <f>IF(COUNTIFS('📋 Транзакції'!$B$5:$B$3623,A542,'📋 Транзакції'!$C$5:$C$3623,"&gt;="&amp;EDATE(DATEVALUE(C542&amp;"-01"),4),'📋 Транзакції'!$C$5:$C$3623,"&lt;"&amp;EDATE(DATEVALUE(C542&amp;"-01"),5))&gt;0,1,0)</f>
        <v>0</v>
      </c>
      <c r="L542" s="37">
        <f>IF(COUNTIFS('📋 Транзакції'!$B$5:$B$3623,A542,'📋 Транзакції'!$C$5:$C$3623,"&gt;="&amp;EDATE(DATEVALUE(C542&amp;"-01"),5),'📋 Транзакції'!$C$5:$C$3623,"&lt;"&amp;EDATE(DATEVALUE(C542&amp;"-01"),6))&gt;0,1,0)</f>
        <v>0</v>
      </c>
      <c r="M542" s="37">
        <f>IF(COUNTIFS('📋 Транзакції'!$B$5:$B$3623,A542,'📋 Транзакції'!$C$5:$C$3623,"&gt;="&amp;EDATE(DATEVALUE(C542&amp;"-01"),6),'📋 Транзакції'!$C$5:$C$3623,"&lt;"&amp;EDATE(DATEVALUE(C542&amp;"-01"),7))&gt;0,1,0)</f>
        <v>0</v>
      </c>
      <c r="N542" s="37">
        <f>IF(COUNTIFS('📋 Транзакції'!$B$5:$B$3623,A542,'📋 Транзакції'!$C$5:$C$3623,"&gt;="&amp;EDATE(DATEVALUE(C542&amp;"-01"),7),'📋 Транзакції'!$C$5:$C$3623,"&lt;"&amp;EDATE(DATEVALUE(C542&amp;"-01"),8))&gt;0,1,0)</f>
        <v>0</v>
      </c>
      <c r="O542" s="37">
        <f>IF(COUNTIFS('📋 Транзакції'!$B$5:$B$3623,A542,'📋 Транзакції'!$C$5:$C$3623,"&gt;="&amp;EDATE(DATEVALUE(C542&amp;"-01"),8),'📋 Транзакції'!$C$5:$C$3623,"&lt;"&amp;EDATE(DATEVALUE(C542&amp;"-01"),9))&gt;0,1,0)</f>
        <v>0</v>
      </c>
      <c r="P542" s="37">
        <f>IF(COUNTIFS('📋 Транзакції'!$B$5:$B$3623,A542,'📋 Транзакції'!$C$5:$C$3623,"&gt;="&amp;EDATE(DATEVALUE(C542&amp;"-01"),9),'📋 Транзакції'!$C$5:$C$3623,"&lt;"&amp;EDATE(DATEVALUE(C542&amp;"-01"),10))&gt;0,1,0)</f>
        <v>0</v>
      </c>
      <c r="Q542" s="37">
        <f>IF(COUNTIFS('📋 Транзакції'!$B$5:$B$3623,A542,'📋 Транзакції'!$C$5:$C$3623,"&gt;="&amp;EDATE(DATEVALUE(C542&amp;"-01"),10),'📋 Транзакції'!$C$5:$C$3623,"&lt;"&amp;EDATE(DATEVALUE(C542&amp;"-01"),11))&gt;0,1,0)</f>
        <v>0</v>
      </c>
      <c r="R542" s="37">
        <f>IF(COUNTIFS('📋 Транзакції'!$B$5:$B$3623,A542,'📋 Транзакції'!$C$5:$C$3623,"&gt;="&amp;EDATE(DATEVALUE(C542&amp;"-01"),11),'📋 Транзакції'!$C$5:$C$3623,"&lt;"&amp;EDATE(DATEVALUE(C542&amp;"-01"),12))&gt;0,1,0)</f>
        <v>0</v>
      </c>
      <c r="S542" s="37">
        <f>SUMIFS('📋 Транзакції'!$F$5:$F$3623,'📋 Транзакції'!$B$5:$B$3623,A542,'📋 Транзакції'!$C$5:$C$3623,"&gt;="&amp;EDATE(DATEVALUE(C542&amp;"-01"),0),'📋 Транзакції'!$C$5:$C$3623,"&lt;"&amp;EDATE(DATEVALUE(C542&amp;"-01"),1))</f>
        <v>19.99</v>
      </c>
      <c r="T542" s="37">
        <f>SUMIFS('📋 Транзакції'!$F$5:$F$3623,'📋 Транзакції'!$B$5:$B$3623,A542,'📋 Транзакції'!$C$5:$C$3623,"&gt;="&amp;EDATE(DATEVALUE(C542&amp;"-01"),1),'📋 Транзакції'!$C$5:$C$3623,"&lt;"&amp;EDATE(DATEVALUE(C542&amp;"-01"),2))</f>
        <v>19.99</v>
      </c>
      <c r="U542" s="37">
        <f>SUMIFS('📋 Транзакції'!$F$5:$F$3623,'📋 Транзакції'!$B$5:$B$3623,A542,'📋 Транзакції'!$C$5:$C$3623,"&gt;="&amp;EDATE(DATEVALUE(C542&amp;"-01"),2),'📋 Транзакції'!$C$5:$C$3623,"&lt;"&amp;EDATE(DATEVALUE(C542&amp;"-01"),3))</f>
        <v>0</v>
      </c>
      <c r="V542" s="37">
        <f>SUMIFS('📋 Транзакції'!$F$5:$F$3623,'📋 Транзакції'!$B$5:$B$3623,A542,'📋 Транзакції'!$C$5:$C$3623,"&gt;="&amp;EDATE(DATEVALUE(C542&amp;"-01"),3),'📋 Транзакції'!$C$5:$C$3623,"&lt;"&amp;EDATE(DATEVALUE(C542&amp;"-01"),4))</f>
        <v>0</v>
      </c>
      <c r="W542" s="37">
        <f>SUMIFS('📋 Транзакції'!$F$5:$F$3623,'📋 Транзакції'!$B$5:$B$3623,A542,'📋 Транзакції'!$C$5:$C$3623,"&gt;="&amp;EDATE(DATEVALUE(C542&amp;"-01"),4),'📋 Транзакції'!$C$5:$C$3623,"&lt;"&amp;EDATE(DATEVALUE(C542&amp;"-01"),5))</f>
        <v>0</v>
      </c>
      <c r="X542" s="37">
        <f>SUMIFS('📋 Транзакції'!$F$5:$F$3623,'📋 Транзакції'!$B$5:$B$3623,A542,'📋 Транзакції'!$C$5:$C$3623,"&gt;="&amp;EDATE(DATEVALUE(C542&amp;"-01"),5),'📋 Транзакції'!$C$5:$C$3623,"&lt;"&amp;EDATE(DATEVALUE(C542&amp;"-01"),6))</f>
        <v>0</v>
      </c>
      <c r="Y542" s="37">
        <f>SUMIFS('📋 Транзакції'!$F$5:$F$3623,'📋 Транзакції'!$B$5:$B$3623,A542,'📋 Транзакції'!$C$5:$C$3623,"&gt;="&amp;EDATE(DATEVALUE(C542&amp;"-01"),6),'📋 Транзакції'!$C$5:$C$3623,"&lt;"&amp;EDATE(DATEVALUE(C542&amp;"-01"),7))</f>
        <v>0</v>
      </c>
      <c r="Z542" s="37">
        <f>SUMIFS('📋 Транзакції'!$F$5:$F$3623,'📋 Транзакції'!$B$5:$B$3623,A542,'📋 Транзакції'!$C$5:$C$3623,"&gt;="&amp;EDATE(DATEVALUE(C542&amp;"-01"),7),'📋 Транзакції'!$C$5:$C$3623,"&lt;"&amp;EDATE(DATEVALUE(C542&amp;"-01"),8))</f>
        <v>0</v>
      </c>
      <c r="AA542" s="37">
        <f>SUMIFS('📋 Транзакції'!$F$5:$F$3623,'📋 Транзакції'!$B$5:$B$3623,A542,'📋 Транзакції'!$C$5:$C$3623,"&gt;="&amp;EDATE(DATEVALUE(C542&amp;"-01"),8),'📋 Транзакції'!$C$5:$C$3623,"&lt;"&amp;EDATE(DATEVALUE(C542&amp;"-01"),9))</f>
        <v>0</v>
      </c>
      <c r="AB542" s="37">
        <f>SUMIFS('📋 Транзакції'!$F$5:$F$3623,'📋 Транзакції'!$B$5:$B$3623,A542,'📋 Транзакції'!$C$5:$C$3623,"&gt;="&amp;EDATE(DATEVALUE(C542&amp;"-01"),9),'📋 Транзакції'!$C$5:$C$3623,"&lt;"&amp;EDATE(DATEVALUE(C542&amp;"-01"),10))</f>
        <v>0</v>
      </c>
      <c r="AC542" s="37">
        <f>SUMIFS('📋 Транзакції'!$F$5:$F$3623,'📋 Транзакції'!$B$5:$B$3623,A542,'📋 Транзакції'!$C$5:$C$3623,"&gt;="&amp;EDATE(DATEVALUE(C542&amp;"-01"),10),'📋 Транзакції'!$C$5:$C$3623,"&lt;"&amp;EDATE(DATEVALUE(C542&amp;"-01"),11))</f>
        <v>0</v>
      </c>
      <c r="AD542" s="37">
        <f>SUMIFS('📋 Транзакції'!$F$5:$F$3623,'📋 Транзакції'!$B$5:$B$3623,A542,'📋 Транзакції'!$C$5:$C$3623,"&gt;="&amp;EDATE(DATEVALUE(C542&amp;"-01"),11),'📋 Транзакції'!$C$5:$C$3623,"&lt;"&amp;EDATE(DATEVALUE(C542&amp;"-01"),12))</f>
        <v>0</v>
      </c>
    </row>
    <row r="543" ht="15.75" customHeight="1">
      <c r="A543" s="33" t="str">
        <f>'📋 Реєстрації'!A543:A1144</f>
        <v>U0796</v>
      </c>
      <c r="B543" s="34">
        <f t="array" ref="B543">INDEX('📋 Транзакції'!$C$5:$C$3623,MATCH(A543,'📋 Транзакції'!$B$5:$B$3623,0))</f>
        <v>45709</v>
      </c>
      <c r="C543" s="35" t="str">
        <f t="shared" si="1"/>
        <v>2025-02</v>
      </c>
      <c r="D543" s="36">
        <f>COUNTIF('📋 Транзакції'!$B$5:$B$3623,A543)</f>
        <v>3</v>
      </c>
      <c r="E543" s="36">
        <f>SUMIF('📋 Транзакції'!$B$5:$B$3623,A543,'📋 Транзакції'!$F$5:$F$3623)</f>
        <v>39.98</v>
      </c>
      <c r="F543" s="35">
        <f>INT($A$1-MAXIFS('📋 Транзакції'!$C$5:$C$3623,'📋 Транзакції'!$B$5:$B$3623,A543))</f>
        <v>1</v>
      </c>
      <c r="G543" s="37">
        <f>IF(COUNTIFS('📋 Транзакції'!$B$5:$B$3623,A543,'📋 Транзакції'!$C$5:$C$3623,"&gt;="&amp;EDATE(DATEVALUE(C543&amp;"-01"),0),'📋 Транзакції'!$C$5:$C$3623,"&lt;"&amp;EDATE(DATEVALUE(C543&amp;"-01"),1))&gt;0,1,0)</f>
        <v>1</v>
      </c>
      <c r="H543" s="37">
        <f>IF(COUNTIFS('📋 Транзакції'!$B$5:$B$3623,A543,'📋 Транзакції'!$C$5:$C$3623,"&gt;="&amp;EDATE(DATEVALUE(C543&amp;"-01"),1),'📋 Транзакції'!$C$5:$C$3623,"&lt;"&amp;EDATE(DATEVALUE(C543&amp;"-01"),2))&gt;0,1,0)</f>
        <v>1</v>
      </c>
      <c r="I543" s="37">
        <f>IF(COUNTIFS('📋 Транзакції'!$B$5:$B$3623,A543,'📋 Транзакції'!$C$5:$C$3623,"&gt;="&amp;EDATE(DATEVALUE(C543&amp;"-01"),2),'📋 Транзакції'!$C$5:$C$3623,"&lt;"&amp;EDATE(DATEVALUE(C543&amp;"-01"),3))&gt;0,1,0)</f>
        <v>0</v>
      </c>
      <c r="J543" s="37">
        <f>IF(COUNTIFS('📋 Транзакції'!$B$5:$B$3623,A543,'📋 Транзакції'!$C$5:$C$3623,"&gt;="&amp;EDATE(DATEVALUE(C543&amp;"-01"),3),'📋 Транзакції'!$C$5:$C$3623,"&lt;"&amp;EDATE(DATEVALUE(C543&amp;"-01"),4))&gt;0,1,0)</f>
        <v>0</v>
      </c>
      <c r="K543" s="37">
        <f>IF(COUNTIFS('📋 Транзакції'!$B$5:$B$3623,A543,'📋 Транзакції'!$C$5:$C$3623,"&gt;="&amp;EDATE(DATEVALUE(C543&amp;"-01"),4),'📋 Транзакції'!$C$5:$C$3623,"&lt;"&amp;EDATE(DATEVALUE(C543&amp;"-01"),5))&gt;0,1,0)</f>
        <v>0</v>
      </c>
      <c r="L543" s="37">
        <f>IF(COUNTIFS('📋 Транзакції'!$B$5:$B$3623,A543,'📋 Транзакції'!$C$5:$C$3623,"&gt;="&amp;EDATE(DATEVALUE(C543&amp;"-01"),5),'📋 Транзакції'!$C$5:$C$3623,"&lt;"&amp;EDATE(DATEVALUE(C543&amp;"-01"),6))&gt;0,1,0)</f>
        <v>0</v>
      </c>
      <c r="M543" s="37">
        <f>IF(COUNTIFS('📋 Транзакції'!$B$5:$B$3623,A543,'📋 Транзакції'!$C$5:$C$3623,"&gt;="&amp;EDATE(DATEVALUE(C543&amp;"-01"),6),'📋 Транзакції'!$C$5:$C$3623,"&lt;"&amp;EDATE(DATEVALUE(C543&amp;"-01"),7))&gt;0,1,0)</f>
        <v>0</v>
      </c>
      <c r="N543" s="37">
        <f>IF(COUNTIFS('📋 Транзакції'!$B$5:$B$3623,A543,'📋 Транзакції'!$C$5:$C$3623,"&gt;="&amp;EDATE(DATEVALUE(C543&amp;"-01"),7),'📋 Транзакції'!$C$5:$C$3623,"&lt;"&amp;EDATE(DATEVALUE(C543&amp;"-01"),8))&gt;0,1,0)</f>
        <v>0</v>
      </c>
      <c r="O543" s="37">
        <f>IF(COUNTIFS('📋 Транзакції'!$B$5:$B$3623,A543,'📋 Транзакції'!$C$5:$C$3623,"&gt;="&amp;EDATE(DATEVALUE(C543&amp;"-01"),8),'📋 Транзакції'!$C$5:$C$3623,"&lt;"&amp;EDATE(DATEVALUE(C543&amp;"-01"),9))&gt;0,1,0)</f>
        <v>0</v>
      </c>
      <c r="P543" s="37">
        <f>IF(COUNTIFS('📋 Транзакції'!$B$5:$B$3623,A543,'📋 Транзакції'!$C$5:$C$3623,"&gt;="&amp;EDATE(DATEVALUE(C543&amp;"-01"),9),'📋 Транзакції'!$C$5:$C$3623,"&lt;"&amp;EDATE(DATEVALUE(C543&amp;"-01"),10))&gt;0,1,0)</f>
        <v>0</v>
      </c>
      <c r="Q543" s="37">
        <f>IF(COUNTIFS('📋 Транзакції'!$B$5:$B$3623,A543,'📋 Транзакції'!$C$5:$C$3623,"&gt;="&amp;EDATE(DATEVALUE(C543&amp;"-01"),10),'📋 Транзакції'!$C$5:$C$3623,"&lt;"&amp;EDATE(DATEVALUE(C543&amp;"-01"),11))&gt;0,1,0)</f>
        <v>0</v>
      </c>
      <c r="R543" s="37">
        <f>IF(COUNTIFS('📋 Транзакції'!$B$5:$B$3623,A543,'📋 Транзакції'!$C$5:$C$3623,"&gt;="&amp;EDATE(DATEVALUE(C543&amp;"-01"),11),'📋 Транзакції'!$C$5:$C$3623,"&lt;"&amp;EDATE(DATEVALUE(C543&amp;"-01"),12))&gt;0,1,0)</f>
        <v>0</v>
      </c>
      <c r="S543" s="37">
        <f>SUMIFS('📋 Транзакції'!$F$5:$F$3623,'📋 Транзакції'!$B$5:$B$3623,A543,'📋 Транзакції'!$C$5:$C$3623,"&gt;="&amp;EDATE(DATEVALUE(C543&amp;"-01"),0),'📋 Транзакції'!$C$5:$C$3623,"&lt;"&amp;EDATE(DATEVALUE(C543&amp;"-01"),1))</f>
        <v>19.99</v>
      </c>
      <c r="T543" s="37">
        <f>SUMIFS('📋 Транзакції'!$F$5:$F$3623,'📋 Транзакції'!$B$5:$B$3623,A543,'📋 Транзакції'!$C$5:$C$3623,"&gt;="&amp;EDATE(DATEVALUE(C543&amp;"-01"),1),'📋 Транзакції'!$C$5:$C$3623,"&lt;"&amp;EDATE(DATEVALUE(C543&amp;"-01"),2))</f>
        <v>19.99</v>
      </c>
      <c r="U543" s="37">
        <f>SUMIFS('📋 Транзакції'!$F$5:$F$3623,'📋 Транзакції'!$B$5:$B$3623,A543,'📋 Транзакції'!$C$5:$C$3623,"&gt;="&amp;EDATE(DATEVALUE(C543&amp;"-01"),2),'📋 Транзакції'!$C$5:$C$3623,"&lt;"&amp;EDATE(DATEVALUE(C543&amp;"-01"),3))</f>
        <v>0</v>
      </c>
      <c r="V543" s="37">
        <f>SUMIFS('📋 Транзакції'!$F$5:$F$3623,'📋 Транзакції'!$B$5:$B$3623,A543,'📋 Транзакції'!$C$5:$C$3623,"&gt;="&amp;EDATE(DATEVALUE(C543&amp;"-01"),3),'📋 Транзакції'!$C$5:$C$3623,"&lt;"&amp;EDATE(DATEVALUE(C543&amp;"-01"),4))</f>
        <v>0</v>
      </c>
      <c r="W543" s="37">
        <f>SUMIFS('📋 Транзакції'!$F$5:$F$3623,'📋 Транзакції'!$B$5:$B$3623,A543,'📋 Транзакції'!$C$5:$C$3623,"&gt;="&amp;EDATE(DATEVALUE(C543&amp;"-01"),4),'📋 Транзакції'!$C$5:$C$3623,"&lt;"&amp;EDATE(DATEVALUE(C543&amp;"-01"),5))</f>
        <v>0</v>
      </c>
      <c r="X543" s="37">
        <f>SUMIFS('📋 Транзакції'!$F$5:$F$3623,'📋 Транзакції'!$B$5:$B$3623,A543,'📋 Транзакції'!$C$5:$C$3623,"&gt;="&amp;EDATE(DATEVALUE(C543&amp;"-01"),5),'📋 Транзакції'!$C$5:$C$3623,"&lt;"&amp;EDATE(DATEVALUE(C543&amp;"-01"),6))</f>
        <v>0</v>
      </c>
      <c r="Y543" s="37">
        <f>SUMIFS('📋 Транзакції'!$F$5:$F$3623,'📋 Транзакції'!$B$5:$B$3623,A543,'📋 Транзакції'!$C$5:$C$3623,"&gt;="&amp;EDATE(DATEVALUE(C543&amp;"-01"),6),'📋 Транзакції'!$C$5:$C$3623,"&lt;"&amp;EDATE(DATEVALUE(C543&amp;"-01"),7))</f>
        <v>0</v>
      </c>
      <c r="Z543" s="37">
        <f>SUMIFS('📋 Транзакції'!$F$5:$F$3623,'📋 Транзакції'!$B$5:$B$3623,A543,'📋 Транзакції'!$C$5:$C$3623,"&gt;="&amp;EDATE(DATEVALUE(C543&amp;"-01"),7),'📋 Транзакції'!$C$5:$C$3623,"&lt;"&amp;EDATE(DATEVALUE(C543&amp;"-01"),8))</f>
        <v>0</v>
      </c>
      <c r="AA543" s="37">
        <f>SUMIFS('📋 Транзакції'!$F$5:$F$3623,'📋 Транзакції'!$B$5:$B$3623,A543,'📋 Транзакції'!$C$5:$C$3623,"&gt;="&amp;EDATE(DATEVALUE(C543&amp;"-01"),8),'📋 Транзакції'!$C$5:$C$3623,"&lt;"&amp;EDATE(DATEVALUE(C543&amp;"-01"),9))</f>
        <v>0</v>
      </c>
      <c r="AB543" s="37">
        <f>SUMIFS('📋 Транзакції'!$F$5:$F$3623,'📋 Транзакції'!$B$5:$B$3623,A543,'📋 Транзакції'!$C$5:$C$3623,"&gt;="&amp;EDATE(DATEVALUE(C543&amp;"-01"),9),'📋 Транзакції'!$C$5:$C$3623,"&lt;"&amp;EDATE(DATEVALUE(C543&amp;"-01"),10))</f>
        <v>0</v>
      </c>
      <c r="AC543" s="37">
        <f>SUMIFS('📋 Транзакції'!$F$5:$F$3623,'📋 Транзакції'!$B$5:$B$3623,A543,'📋 Транзакції'!$C$5:$C$3623,"&gt;="&amp;EDATE(DATEVALUE(C543&amp;"-01"),10),'📋 Транзакції'!$C$5:$C$3623,"&lt;"&amp;EDATE(DATEVALUE(C543&amp;"-01"),11))</f>
        <v>0</v>
      </c>
      <c r="AD543" s="37">
        <f>SUMIFS('📋 Транзакції'!$F$5:$F$3623,'📋 Транзакції'!$B$5:$B$3623,A543,'📋 Транзакції'!$C$5:$C$3623,"&gt;="&amp;EDATE(DATEVALUE(C543&amp;"-01"),11),'📋 Транзакції'!$C$5:$C$3623,"&lt;"&amp;EDATE(DATEVALUE(C543&amp;"-01"),12))</f>
        <v>0</v>
      </c>
    </row>
    <row r="544" ht="15.75" customHeight="1">
      <c r="A544" s="33" t="str">
        <f>'📋 Реєстрації'!A544:A1145</f>
        <v>U0552</v>
      </c>
      <c r="B544" s="34">
        <f t="array" ref="B544">INDEX('📋 Транзакції'!$C$5:$C$3623,MATCH(A544,'📋 Транзакції'!$B$5:$B$3623,0))</f>
        <v>45710</v>
      </c>
      <c r="C544" s="35" t="str">
        <f t="shared" si="1"/>
        <v>2025-02</v>
      </c>
      <c r="D544" s="36">
        <f>COUNTIF('📋 Транзакції'!$B$5:$B$3623,A544)</f>
        <v>3</v>
      </c>
      <c r="E544" s="36">
        <f>SUMIF('📋 Транзакції'!$B$5:$B$3623,A544,'📋 Транзакції'!$F$5:$F$3623)</f>
        <v>39.98</v>
      </c>
      <c r="F544" s="35">
        <f>INT($A$1-MAXIFS('📋 Транзакції'!$C$5:$C$3623,'📋 Транзакції'!$B$5:$B$3623,A544))</f>
        <v>0</v>
      </c>
      <c r="G544" s="37">
        <f>IF(COUNTIFS('📋 Транзакції'!$B$5:$B$3623,A544,'📋 Транзакції'!$C$5:$C$3623,"&gt;="&amp;EDATE(DATEVALUE(C544&amp;"-01"),0),'📋 Транзакції'!$C$5:$C$3623,"&lt;"&amp;EDATE(DATEVALUE(C544&amp;"-01"),1))&gt;0,1,0)</f>
        <v>1</v>
      </c>
      <c r="H544" s="37">
        <f>IF(COUNTIFS('📋 Транзакції'!$B$5:$B$3623,A544,'📋 Транзакції'!$C$5:$C$3623,"&gt;="&amp;EDATE(DATEVALUE(C544&amp;"-01"),1),'📋 Транзакції'!$C$5:$C$3623,"&lt;"&amp;EDATE(DATEVALUE(C544&amp;"-01"),2))&gt;0,1,0)</f>
        <v>1</v>
      </c>
      <c r="I544" s="37">
        <f>IF(COUNTIFS('📋 Транзакції'!$B$5:$B$3623,A544,'📋 Транзакції'!$C$5:$C$3623,"&gt;="&amp;EDATE(DATEVALUE(C544&amp;"-01"),2),'📋 Транзакції'!$C$5:$C$3623,"&lt;"&amp;EDATE(DATEVALUE(C544&amp;"-01"),3))&gt;0,1,0)</f>
        <v>0</v>
      </c>
      <c r="J544" s="37">
        <f>IF(COUNTIFS('📋 Транзакції'!$B$5:$B$3623,A544,'📋 Транзакції'!$C$5:$C$3623,"&gt;="&amp;EDATE(DATEVALUE(C544&amp;"-01"),3),'📋 Транзакції'!$C$5:$C$3623,"&lt;"&amp;EDATE(DATEVALUE(C544&amp;"-01"),4))&gt;0,1,0)</f>
        <v>0</v>
      </c>
      <c r="K544" s="37">
        <f>IF(COUNTIFS('📋 Транзакції'!$B$5:$B$3623,A544,'📋 Транзакції'!$C$5:$C$3623,"&gt;="&amp;EDATE(DATEVALUE(C544&amp;"-01"),4),'📋 Транзакції'!$C$5:$C$3623,"&lt;"&amp;EDATE(DATEVALUE(C544&amp;"-01"),5))&gt;0,1,0)</f>
        <v>0</v>
      </c>
      <c r="L544" s="37">
        <f>IF(COUNTIFS('📋 Транзакції'!$B$5:$B$3623,A544,'📋 Транзакції'!$C$5:$C$3623,"&gt;="&amp;EDATE(DATEVALUE(C544&amp;"-01"),5),'📋 Транзакції'!$C$5:$C$3623,"&lt;"&amp;EDATE(DATEVALUE(C544&amp;"-01"),6))&gt;0,1,0)</f>
        <v>0</v>
      </c>
      <c r="M544" s="37">
        <f>IF(COUNTIFS('📋 Транзакції'!$B$5:$B$3623,A544,'📋 Транзакції'!$C$5:$C$3623,"&gt;="&amp;EDATE(DATEVALUE(C544&amp;"-01"),6),'📋 Транзакції'!$C$5:$C$3623,"&lt;"&amp;EDATE(DATEVALUE(C544&amp;"-01"),7))&gt;0,1,0)</f>
        <v>0</v>
      </c>
      <c r="N544" s="37">
        <f>IF(COUNTIFS('📋 Транзакції'!$B$5:$B$3623,A544,'📋 Транзакції'!$C$5:$C$3623,"&gt;="&amp;EDATE(DATEVALUE(C544&amp;"-01"),7),'📋 Транзакції'!$C$5:$C$3623,"&lt;"&amp;EDATE(DATEVALUE(C544&amp;"-01"),8))&gt;0,1,0)</f>
        <v>0</v>
      </c>
      <c r="O544" s="37">
        <f>IF(COUNTIFS('📋 Транзакції'!$B$5:$B$3623,A544,'📋 Транзакції'!$C$5:$C$3623,"&gt;="&amp;EDATE(DATEVALUE(C544&amp;"-01"),8),'📋 Транзакції'!$C$5:$C$3623,"&lt;"&amp;EDATE(DATEVALUE(C544&amp;"-01"),9))&gt;0,1,0)</f>
        <v>0</v>
      </c>
      <c r="P544" s="37">
        <f>IF(COUNTIFS('📋 Транзакції'!$B$5:$B$3623,A544,'📋 Транзакції'!$C$5:$C$3623,"&gt;="&amp;EDATE(DATEVALUE(C544&amp;"-01"),9),'📋 Транзакції'!$C$5:$C$3623,"&lt;"&amp;EDATE(DATEVALUE(C544&amp;"-01"),10))&gt;0,1,0)</f>
        <v>0</v>
      </c>
      <c r="Q544" s="37">
        <f>IF(COUNTIFS('📋 Транзакції'!$B$5:$B$3623,A544,'📋 Транзакції'!$C$5:$C$3623,"&gt;="&amp;EDATE(DATEVALUE(C544&amp;"-01"),10),'📋 Транзакції'!$C$5:$C$3623,"&lt;"&amp;EDATE(DATEVALUE(C544&amp;"-01"),11))&gt;0,1,0)</f>
        <v>0</v>
      </c>
      <c r="R544" s="37">
        <f>IF(COUNTIFS('📋 Транзакції'!$B$5:$B$3623,A544,'📋 Транзакції'!$C$5:$C$3623,"&gt;="&amp;EDATE(DATEVALUE(C544&amp;"-01"),11),'📋 Транзакції'!$C$5:$C$3623,"&lt;"&amp;EDATE(DATEVALUE(C544&amp;"-01"),12))&gt;0,1,0)</f>
        <v>0</v>
      </c>
      <c r="S544" s="37">
        <f>SUMIFS('📋 Транзакції'!$F$5:$F$3623,'📋 Транзакції'!$B$5:$B$3623,A544,'📋 Транзакції'!$C$5:$C$3623,"&gt;="&amp;EDATE(DATEVALUE(C544&amp;"-01"),0),'📋 Транзакції'!$C$5:$C$3623,"&lt;"&amp;EDATE(DATEVALUE(C544&amp;"-01"),1))</f>
        <v>0</v>
      </c>
      <c r="T544" s="37">
        <f>SUMIFS('📋 Транзакції'!$F$5:$F$3623,'📋 Транзакції'!$B$5:$B$3623,A544,'📋 Транзакції'!$C$5:$C$3623,"&gt;="&amp;EDATE(DATEVALUE(C544&amp;"-01"),1),'📋 Транзакції'!$C$5:$C$3623,"&lt;"&amp;EDATE(DATEVALUE(C544&amp;"-01"),2))</f>
        <v>39.98</v>
      </c>
      <c r="U544" s="37">
        <f>SUMIFS('📋 Транзакції'!$F$5:$F$3623,'📋 Транзакції'!$B$5:$B$3623,A544,'📋 Транзакції'!$C$5:$C$3623,"&gt;="&amp;EDATE(DATEVALUE(C544&amp;"-01"),2),'📋 Транзакції'!$C$5:$C$3623,"&lt;"&amp;EDATE(DATEVALUE(C544&amp;"-01"),3))</f>
        <v>0</v>
      </c>
      <c r="V544" s="37">
        <f>SUMIFS('📋 Транзакції'!$F$5:$F$3623,'📋 Транзакції'!$B$5:$B$3623,A544,'📋 Транзакції'!$C$5:$C$3623,"&gt;="&amp;EDATE(DATEVALUE(C544&amp;"-01"),3),'📋 Транзакції'!$C$5:$C$3623,"&lt;"&amp;EDATE(DATEVALUE(C544&amp;"-01"),4))</f>
        <v>0</v>
      </c>
      <c r="W544" s="37">
        <f>SUMIFS('📋 Транзакції'!$F$5:$F$3623,'📋 Транзакції'!$B$5:$B$3623,A544,'📋 Транзакції'!$C$5:$C$3623,"&gt;="&amp;EDATE(DATEVALUE(C544&amp;"-01"),4),'📋 Транзакції'!$C$5:$C$3623,"&lt;"&amp;EDATE(DATEVALUE(C544&amp;"-01"),5))</f>
        <v>0</v>
      </c>
      <c r="X544" s="37">
        <f>SUMIFS('📋 Транзакції'!$F$5:$F$3623,'📋 Транзакції'!$B$5:$B$3623,A544,'📋 Транзакції'!$C$5:$C$3623,"&gt;="&amp;EDATE(DATEVALUE(C544&amp;"-01"),5),'📋 Транзакції'!$C$5:$C$3623,"&lt;"&amp;EDATE(DATEVALUE(C544&amp;"-01"),6))</f>
        <v>0</v>
      </c>
      <c r="Y544" s="37">
        <f>SUMIFS('📋 Транзакції'!$F$5:$F$3623,'📋 Транзакції'!$B$5:$B$3623,A544,'📋 Транзакції'!$C$5:$C$3623,"&gt;="&amp;EDATE(DATEVALUE(C544&amp;"-01"),6),'📋 Транзакції'!$C$5:$C$3623,"&lt;"&amp;EDATE(DATEVALUE(C544&amp;"-01"),7))</f>
        <v>0</v>
      </c>
      <c r="Z544" s="37">
        <f>SUMIFS('📋 Транзакції'!$F$5:$F$3623,'📋 Транзакції'!$B$5:$B$3623,A544,'📋 Транзакції'!$C$5:$C$3623,"&gt;="&amp;EDATE(DATEVALUE(C544&amp;"-01"),7),'📋 Транзакції'!$C$5:$C$3623,"&lt;"&amp;EDATE(DATEVALUE(C544&amp;"-01"),8))</f>
        <v>0</v>
      </c>
      <c r="AA544" s="37">
        <f>SUMIFS('📋 Транзакції'!$F$5:$F$3623,'📋 Транзакції'!$B$5:$B$3623,A544,'📋 Транзакції'!$C$5:$C$3623,"&gt;="&amp;EDATE(DATEVALUE(C544&amp;"-01"),8),'📋 Транзакції'!$C$5:$C$3623,"&lt;"&amp;EDATE(DATEVALUE(C544&amp;"-01"),9))</f>
        <v>0</v>
      </c>
      <c r="AB544" s="37">
        <f>SUMIFS('📋 Транзакції'!$F$5:$F$3623,'📋 Транзакції'!$B$5:$B$3623,A544,'📋 Транзакції'!$C$5:$C$3623,"&gt;="&amp;EDATE(DATEVALUE(C544&amp;"-01"),9),'📋 Транзакції'!$C$5:$C$3623,"&lt;"&amp;EDATE(DATEVALUE(C544&amp;"-01"),10))</f>
        <v>0</v>
      </c>
      <c r="AC544" s="37">
        <f>SUMIFS('📋 Транзакції'!$F$5:$F$3623,'📋 Транзакції'!$B$5:$B$3623,A544,'📋 Транзакції'!$C$5:$C$3623,"&gt;="&amp;EDATE(DATEVALUE(C544&amp;"-01"),10),'📋 Транзакції'!$C$5:$C$3623,"&lt;"&amp;EDATE(DATEVALUE(C544&amp;"-01"),11))</f>
        <v>0</v>
      </c>
      <c r="AD544" s="37">
        <f>SUMIFS('📋 Транзакції'!$F$5:$F$3623,'📋 Транзакції'!$B$5:$B$3623,A544,'📋 Транзакції'!$C$5:$C$3623,"&gt;="&amp;EDATE(DATEVALUE(C544&amp;"-01"),11),'📋 Транзакції'!$C$5:$C$3623,"&lt;"&amp;EDATE(DATEVALUE(C544&amp;"-01"),12))</f>
        <v>0</v>
      </c>
    </row>
    <row r="545" ht="15.75" customHeight="1">
      <c r="A545" s="33" t="str">
        <f>'📋 Реєстрації'!A545:A1146</f>
        <v>U0198</v>
      </c>
      <c r="B545" s="34">
        <f t="array" ref="B545">INDEX('📋 Транзакції'!$C$5:$C$3623,MATCH(A545,'📋 Транзакції'!$B$5:$B$3623,0))</f>
        <v>45712</v>
      </c>
      <c r="C545" s="35" t="str">
        <f t="shared" si="1"/>
        <v>2025-02</v>
      </c>
      <c r="D545" s="36">
        <f>COUNTIF('📋 Транзакції'!$B$5:$B$3623,A545)</f>
        <v>2</v>
      </c>
      <c r="E545" s="36">
        <f>SUMIF('📋 Транзакції'!$B$5:$B$3623,A545,'📋 Транзакції'!$F$5:$F$3623)</f>
        <v>19.99</v>
      </c>
      <c r="F545" s="35">
        <f>INT($A$1-MAXIFS('📋 Транзакції'!$C$5:$C$3623,'📋 Транзакції'!$B$5:$B$3623,A545))</f>
        <v>28</v>
      </c>
      <c r="G545" s="37">
        <f>IF(COUNTIFS('📋 Транзакції'!$B$5:$B$3623,A545,'📋 Транзакції'!$C$5:$C$3623,"&gt;="&amp;EDATE(DATEVALUE(C545&amp;"-01"),0),'📋 Транзакції'!$C$5:$C$3623,"&lt;"&amp;EDATE(DATEVALUE(C545&amp;"-01"),1))&gt;0,1,0)</f>
        <v>1</v>
      </c>
      <c r="H545" s="37">
        <f>IF(COUNTIFS('📋 Транзакції'!$B$5:$B$3623,A545,'📋 Транзакції'!$C$5:$C$3623,"&gt;="&amp;EDATE(DATEVALUE(C545&amp;"-01"),1),'📋 Транзакції'!$C$5:$C$3623,"&lt;"&amp;EDATE(DATEVALUE(C545&amp;"-01"),2))&gt;0,1,0)</f>
        <v>1</v>
      </c>
      <c r="I545" s="37">
        <f>IF(COUNTIFS('📋 Транзакції'!$B$5:$B$3623,A545,'📋 Транзакції'!$C$5:$C$3623,"&gt;="&amp;EDATE(DATEVALUE(C545&amp;"-01"),2),'📋 Транзакції'!$C$5:$C$3623,"&lt;"&amp;EDATE(DATEVALUE(C545&amp;"-01"),3))&gt;0,1,0)</f>
        <v>0</v>
      </c>
      <c r="J545" s="37">
        <f>IF(COUNTIFS('📋 Транзакції'!$B$5:$B$3623,A545,'📋 Транзакції'!$C$5:$C$3623,"&gt;="&amp;EDATE(DATEVALUE(C545&amp;"-01"),3),'📋 Транзакції'!$C$5:$C$3623,"&lt;"&amp;EDATE(DATEVALUE(C545&amp;"-01"),4))&gt;0,1,0)</f>
        <v>0</v>
      </c>
      <c r="K545" s="37">
        <f>IF(COUNTIFS('📋 Транзакції'!$B$5:$B$3623,A545,'📋 Транзакції'!$C$5:$C$3623,"&gt;="&amp;EDATE(DATEVALUE(C545&amp;"-01"),4),'📋 Транзакції'!$C$5:$C$3623,"&lt;"&amp;EDATE(DATEVALUE(C545&amp;"-01"),5))&gt;0,1,0)</f>
        <v>0</v>
      </c>
      <c r="L545" s="37">
        <f>IF(COUNTIFS('📋 Транзакції'!$B$5:$B$3623,A545,'📋 Транзакції'!$C$5:$C$3623,"&gt;="&amp;EDATE(DATEVALUE(C545&amp;"-01"),5),'📋 Транзакції'!$C$5:$C$3623,"&lt;"&amp;EDATE(DATEVALUE(C545&amp;"-01"),6))&gt;0,1,0)</f>
        <v>0</v>
      </c>
      <c r="M545" s="37">
        <f>IF(COUNTIFS('📋 Транзакції'!$B$5:$B$3623,A545,'📋 Транзакції'!$C$5:$C$3623,"&gt;="&amp;EDATE(DATEVALUE(C545&amp;"-01"),6),'📋 Транзакції'!$C$5:$C$3623,"&lt;"&amp;EDATE(DATEVALUE(C545&amp;"-01"),7))&gt;0,1,0)</f>
        <v>0</v>
      </c>
      <c r="N545" s="37">
        <f>IF(COUNTIFS('📋 Транзакції'!$B$5:$B$3623,A545,'📋 Транзакції'!$C$5:$C$3623,"&gt;="&amp;EDATE(DATEVALUE(C545&amp;"-01"),7),'📋 Транзакції'!$C$5:$C$3623,"&lt;"&amp;EDATE(DATEVALUE(C545&amp;"-01"),8))&gt;0,1,0)</f>
        <v>0</v>
      </c>
      <c r="O545" s="37">
        <f>IF(COUNTIFS('📋 Транзакції'!$B$5:$B$3623,A545,'📋 Транзакції'!$C$5:$C$3623,"&gt;="&amp;EDATE(DATEVALUE(C545&amp;"-01"),8),'📋 Транзакції'!$C$5:$C$3623,"&lt;"&amp;EDATE(DATEVALUE(C545&amp;"-01"),9))&gt;0,1,0)</f>
        <v>0</v>
      </c>
      <c r="P545" s="37">
        <f>IF(COUNTIFS('📋 Транзакції'!$B$5:$B$3623,A545,'📋 Транзакції'!$C$5:$C$3623,"&gt;="&amp;EDATE(DATEVALUE(C545&amp;"-01"),9),'📋 Транзакції'!$C$5:$C$3623,"&lt;"&amp;EDATE(DATEVALUE(C545&amp;"-01"),10))&gt;0,1,0)</f>
        <v>0</v>
      </c>
      <c r="Q545" s="37">
        <f>IF(COUNTIFS('📋 Транзакції'!$B$5:$B$3623,A545,'📋 Транзакції'!$C$5:$C$3623,"&gt;="&amp;EDATE(DATEVALUE(C545&amp;"-01"),10),'📋 Транзакції'!$C$5:$C$3623,"&lt;"&amp;EDATE(DATEVALUE(C545&amp;"-01"),11))&gt;0,1,0)</f>
        <v>0</v>
      </c>
      <c r="R545" s="37">
        <f>IF(COUNTIFS('📋 Транзакції'!$B$5:$B$3623,A545,'📋 Транзакції'!$C$5:$C$3623,"&gt;="&amp;EDATE(DATEVALUE(C545&amp;"-01"),11),'📋 Транзакції'!$C$5:$C$3623,"&lt;"&amp;EDATE(DATEVALUE(C545&amp;"-01"),12))&gt;0,1,0)</f>
        <v>0</v>
      </c>
      <c r="S545" s="37">
        <f>SUMIFS('📋 Транзакції'!$F$5:$F$3623,'📋 Транзакції'!$B$5:$B$3623,A545,'📋 Транзакції'!$C$5:$C$3623,"&gt;="&amp;EDATE(DATEVALUE(C545&amp;"-01"),0),'📋 Транзакції'!$C$5:$C$3623,"&lt;"&amp;EDATE(DATEVALUE(C545&amp;"-01"),1))</f>
        <v>0</v>
      </c>
      <c r="T545" s="37">
        <f>SUMIFS('📋 Транзакції'!$F$5:$F$3623,'📋 Транзакції'!$B$5:$B$3623,A545,'📋 Транзакції'!$C$5:$C$3623,"&gt;="&amp;EDATE(DATEVALUE(C545&amp;"-01"),1),'📋 Транзакції'!$C$5:$C$3623,"&lt;"&amp;EDATE(DATEVALUE(C545&amp;"-01"),2))</f>
        <v>19.99</v>
      </c>
      <c r="U545" s="37">
        <f>SUMIFS('📋 Транзакції'!$F$5:$F$3623,'📋 Транзакції'!$B$5:$B$3623,A545,'📋 Транзакції'!$C$5:$C$3623,"&gt;="&amp;EDATE(DATEVALUE(C545&amp;"-01"),2),'📋 Транзакції'!$C$5:$C$3623,"&lt;"&amp;EDATE(DATEVALUE(C545&amp;"-01"),3))</f>
        <v>0</v>
      </c>
      <c r="V545" s="37">
        <f>SUMIFS('📋 Транзакції'!$F$5:$F$3623,'📋 Транзакції'!$B$5:$B$3623,A545,'📋 Транзакції'!$C$5:$C$3623,"&gt;="&amp;EDATE(DATEVALUE(C545&amp;"-01"),3),'📋 Транзакції'!$C$5:$C$3623,"&lt;"&amp;EDATE(DATEVALUE(C545&amp;"-01"),4))</f>
        <v>0</v>
      </c>
      <c r="W545" s="37">
        <f>SUMIFS('📋 Транзакції'!$F$5:$F$3623,'📋 Транзакції'!$B$5:$B$3623,A545,'📋 Транзакції'!$C$5:$C$3623,"&gt;="&amp;EDATE(DATEVALUE(C545&amp;"-01"),4),'📋 Транзакції'!$C$5:$C$3623,"&lt;"&amp;EDATE(DATEVALUE(C545&amp;"-01"),5))</f>
        <v>0</v>
      </c>
      <c r="X545" s="37">
        <f>SUMIFS('📋 Транзакції'!$F$5:$F$3623,'📋 Транзакції'!$B$5:$B$3623,A545,'📋 Транзакції'!$C$5:$C$3623,"&gt;="&amp;EDATE(DATEVALUE(C545&amp;"-01"),5),'📋 Транзакції'!$C$5:$C$3623,"&lt;"&amp;EDATE(DATEVALUE(C545&amp;"-01"),6))</f>
        <v>0</v>
      </c>
      <c r="Y545" s="37">
        <f>SUMIFS('📋 Транзакції'!$F$5:$F$3623,'📋 Транзакції'!$B$5:$B$3623,A545,'📋 Транзакції'!$C$5:$C$3623,"&gt;="&amp;EDATE(DATEVALUE(C545&amp;"-01"),6),'📋 Транзакції'!$C$5:$C$3623,"&lt;"&amp;EDATE(DATEVALUE(C545&amp;"-01"),7))</f>
        <v>0</v>
      </c>
      <c r="Z545" s="37">
        <f>SUMIFS('📋 Транзакції'!$F$5:$F$3623,'📋 Транзакції'!$B$5:$B$3623,A545,'📋 Транзакції'!$C$5:$C$3623,"&gt;="&amp;EDATE(DATEVALUE(C545&amp;"-01"),7),'📋 Транзакції'!$C$5:$C$3623,"&lt;"&amp;EDATE(DATEVALUE(C545&amp;"-01"),8))</f>
        <v>0</v>
      </c>
      <c r="AA545" s="37">
        <f>SUMIFS('📋 Транзакції'!$F$5:$F$3623,'📋 Транзакції'!$B$5:$B$3623,A545,'📋 Транзакції'!$C$5:$C$3623,"&gt;="&amp;EDATE(DATEVALUE(C545&amp;"-01"),8),'📋 Транзакції'!$C$5:$C$3623,"&lt;"&amp;EDATE(DATEVALUE(C545&amp;"-01"),9))</f>
        <v>0</v>
      </c>
      <c r="AB545" s="37">
        <f>SUMIFS('📋 Транзакції'!$F$5:$F$3623,'📋 Транзакції'!$B$5:$B$3623,A545,'📋 Транзакції'!$C$5:$C$3623,"&gt;="&amp;EDATE(DATEVALUE(C545&amp;"-01"),9),'📋 Транзакції'!$C$5:$C$3623,"&lt;"&amp;EDATE(DATEVALUE(C545&amp;"-01"),10))</f>
        <v>0</v>
      </c>
      <c r="AC545" s="37">
        <f>SUMIFS('📋 Транзакції'!$F$5:$F$3623,'📋 Транзакції'!$B$5:$B$3623,A545,'📋 Транзакції'!$C$5:$C$3623,"&gt;="&amp;EDATE(DATEVALUE(C545&amp;"-01"),10),'📋 Транзакції'!$C$5:$C$3623,"&lt;"&amp;EDATE(DATEVALUE(C545&amp;"-01"),11))</f>
        <v>0</v>
      </c>
      <c r="AD545" s="37">
        <f>SUMIFS('📋 Транзакції'!$F$5:$F$3623,'📋 Транзакції'!$B$5:$B$3623,A545,'📋 Транзакції'!$C$5:$C$3623,"&gt;="&amp;EDATE(DATEVALUE(C545&amp;"-01"),11),'📋 Транзакції'!$C$5:$C$3623,"&lt;"&amp;EDATE(DATEVALUE(C545&amp;"-01"),12))</f>
        <v>0</v>
      </c>
    </row>
    <row r="546" ht="15.75" customHeight="1">
      <c r="A546" s="33" t="str">
        <f>'📋 Реєстрації'!A546:A1147</f>
        <v>U0468</v>
      </c>
      <c r="B546" s="34">
        <f t="array" ref="B546">INDEX('📋 Транзакції'!$C$5:$C$3623,MATCH(A546,'📋 Транзакції'!$B$5:$B$3623,0))</f>
        <v>45712</v>
      </c>
      <c r="C546" s="35" t="str">
        <f t="shared" si="1"/>
        <v>2025-02</v>
      </c>
      <c r="D546" s="36">
        <f>COUNTIF('📋 Транзакції'!$B$5:$B$3623,A546)</f>
        <v>2</v>
      </c>
      <c r="E546" s="36">
        <f>SUMIF('📋 Транзакції'!$B$5:$B$3623,A546,'📋 Транзакції'!$F$5:$F$3623)</f>
        <v>19.99</v>
      </c>
      <c r="F546" s="35">
        <f>INT($A$1-MAXIFS('📋 Транзакції'!$C$5:$C$3623,'📋 Транзакції'!$B$5:$B$3623,A546))</f>
        <v>28</v>
      </c>
      <c r="G546" s="37">
        <f>IF(COUNTIFS('📋 Транзакції'!$B$5:$B$3623,A546,'📋 Транзакції'!$C$5:$C$3623,"&gt;="&amp;EDATE(DATEVALUE(C546&amp;"-01"),0),'📋 Транзакції'!$C$5:$C$3623,"&lt;"&amp;EDATE(DATEVALUE(C546&amp;"-01"),1))&gt;0,1,0)</f>
        <v>1</v>
      </c>
      <c r="H546" s="37">
        <f>IF(COUNTIFS('📋 Транзакції'!$B$5:$B$3623,A546,'📋 Транзакції'!$C$5:$C$3623,"&gt;="&amp;EDATE(DATEVALUE(C546&amp;"-01"),1),'📋 Транзакції'!$C$5:$C$3623,"&lt;"&amp;EDATE(DATEVALUE(C546&amp;"-01"),2))&gt;0,1,0)</f>
        <v>1</v>
      </c>
      <c r="I546" s="37">
        <f>IF(COUNTIFS('📋 Транзакції'!$B$5:$B$3623,A546,'📋 Транзакції'!$C$5:$C$3623,"&gt;="&amp;EDATE(DATEVALUE(C546&amp;"-01"),2),'📋 Транзакції'!$C$5:$C$3623,"&lt;"&amp;EDATE(DATEVALUE(C546&amp;"-01"),3))&gt;0,1,0)</f>
        <v>0</v>
      </c>
      <c r="J546" s="37">
        <f>IF(COUNTIFS('📋 Транзакції'!$B$5:$B$3623,A546,'📋 Транзакції'!$C$5:$C$3623,"&gt;="&amp;EDATE(DATEVALUE(C546&amp;"-01"),3),'📋 Транзакції'!$C$5:$C$3623,"&lt;"&amp;EDATE(DATEVALUE(C546&amp;"-01"),4))&gt;0,1,0)</f>
        <v>0</v>
      </c>
      <c r="K546" s="37">
        <f>IF(COUNTIFS('📋 Транзакції'!$B$5:$B$3623,A546,'📋 Транзакції'!$C$5:$C$3623,"&gt;="&amp;EDATE(DATEVALUE(C546&amp;"-01"),4),'📋 Транзакції'!$C$5:$C$3623,"&lt;"&amp;EDATE(DATEVALUE(C546&amp;"-01"),5))&gt;0,1,0)</f>
        <v>0</v>
      </c>
      <c r="L546" s="37">
        <f>IF(COUNTIFS('📋 Транзакції'!$B$5:$B$3623,A546,'📋 Транзакції'!$C$5:$C$3623,"&gt;="&amp;EDATE(DATEVALUE(C546&amp;"-01"),5),'📋 Транзакції'!$C$5:$C$3623,"&lt;"&amp;EDATE(DATEVALUE(C546&amp;"-01"),6))&gt;0,1,0)</f>
        <v>0</v>
      </c>
      <c r="M546" s="37">
        <f>IF(COUNTIFS('📋 Транзакції'!$B$5:$B$3623,A546,'📋 Транзакції'!$C$5:$C$3623,"&gt;="&amp;EDATE(DATEVALUE(C546&amp;"-01"),6),'📋 Транзакції'!$C$5:$C$3623,"&lt;"&amp;EDATE(DATEVALUE(C546&amp;"-01"),7))&gt;0,1,0)</f>
        <v>0</v>
      </c>
      <c r="N546" s="37">
        <f>IF(COUNTIFS('📋 Транзакції'!$B$5:$B$3623,A546,'📋 Транзакції'!$C$5:$C$3623,"&gt;="&amp;EDATE(DATEVALUE(C546&amp;"-01"),7),'📋 Транзакції'!$C$5:$C$3623,"&lt;"&amp;EDATE(DATEVALUE(C546&amp;"-01"),8))&gt;0,1,0)</f>
        <v>0</v>
      </c>
      <c r="O546" s="37">
        <f>IF(COUNTIFS('📋 Транзакції'!$B$5:$B$3623,A546,'📋 Транзакції'!$C$5:$C$3623,"&gt;="&amp;EDATE(DATEVALUE(C546&amp;"-01"),8),'📋 Транзакції'!$C$5:$C$3623,"&lt;"&amp;EDATE(DATEVALUE(C546&amp;"-01"),9))&gt;0,1,0)</f>
        <v>0</v>
      </c>
      <c r="P546" s="37">
        <f>IF(COUNTIFS('📋 Транзакції'!$B$5:$B$3623,A546,'📋 Транзакції'!$C$5:$C$3623,"&gt;="&amp;EDATE(DATEVALUE(C546&amp;"-01"),9),'📋 Транзакції'!$C$5:$C$3623,"&lt;"&amp;EDATE(DATEVALUE(C546&amp;"-01"),10))&gt;0,1,0)</f>
        <v>0</v>
      </c>
      <c r="Q546" s="37">
        <f>IF(COUNTIFS('📋 Транзакції'!$B$5:$B$3623,A546,'📋 Транзакції'!$C$5:$C$3623,"&gt;="&amp;EDATE(DATEVALUE(C546&amp;"-01"),10),'📋 Транзакції'!$C$5:$C$3623,"&lt;"&amp;EDATE(DATEVALUE(C546&amp;"-01"),11))&gt;0,1,0)</f>
        <v>0</v>
      </c>
      <c r="R546" s="37">
        <f>IF(COUNTIFS('📋 Транзакції'!$B$5:$B$3623,A546,'📋 Транзакції'!$C$5:$C$3623,"&gt;="&amp;EDATE(DATEVALUE(C546&amp;"-01"),11),'📋 Транзакції'!$C$5:$C$3623,"&lt;"&amp;EDATE(DATEVALUE(C546&amp;"-01"),12))&gt;0,1,0)</f>
        <v>0</v>
      </c>
      <c r="S546" s="37">
        <f>SUMIFS('📋 Транзакції'!$F$5:$F$3623,'📋 Транзакції'!$B$5:$B$3623,A546,'📋 Транзакції'!$C$5:$C$3623,"&gt;="&amp;EDATE(DATEVALUE(C546&amp;"-01"),0),'📋 Транзакції'!$C$5:$C$3623,"&lt;"&amp;EDATE(DATEVALUE(C546&amp;"-01"),1))</f>
        <v>0</v>
      </c>
      <c r="T546" s="37">
        <f>SUMIFS('📋 Транзакції'!$F$5:$F$3623,'📋 Транзакції'!$B$5:$B$3623,A546,'📋 Транзакції'!$C$5:$C$3623,"&gt;="&amp;EDATE(DATEVALUE(C546&amp;"-01"),1),'📋 Транзакції'!$C$5:$C$3623,"&lt;"&amp;EDATE(DATEVALUE(C546&amp;"-01"),2))</f>
        <v>19.99</v>
      </c>
      <c r="U546" s="37">
        <f>SUMIFS('📋 Транзакції'!$F$5:$F$3623,'📋 Транзакції'!$B$5:$B$3623,A546,'📋 Транзакції'!$C$5:$C$3623,"&gt;="&amp;EDATE(DATEVALUE(C546&amp;"-01"),2),'📋 Транзакції'!$C$5:$C$3623,"&lt;"&amp;EDATE(DATEVALUE(C546&amp;"-01"),3))</f>
        <v>0</v>
      </c>
      <c r="V546" s="37">
        <f>SUMIFS('📋 Транзакції'!$F$5:$F$3623,'📋 Транзакції'!$B$5:$B$3623,A546,'📋 Транзакції'!$C$5:$C$3623,"&gt;="&amp;EDATE(DATEVALUE(C546&amp;"-01"),3),'📋 Транзакції'!$C$5:$C$3623,"&lt;"&amp;EDATE(DATEVALUE(C546&amp;"-01"),4))</f>
        <v>0</v>
      </c>
      <c r="W546" s="37">
        <f>SUMIFS('📋 Транзакції'!$F$5:$F$3623,'📋 Транзакції'!$B$5:$B$3623,A546,'📋 Транзакції'!$C$5:$C$3623,"&gt;="&amp;EDATE(DATEVALUE(C546&amp;"-01"),4),'📋 Транзакції'!$C$5:$C$3623,"&lt;"&amp;EDATE(DATEVALUE(C546&amp;"-01"),5))</f>
        <v>0</v>
      </c>
      <c r="X546" s="37">
        <f>SUMIFS('📋 Транзакції'!$F$5:$F$3623,'📋 Транзакції'!$B$5:$B$3623,A546,'📋 Транзакції'!$C$5:$C$3623,"&gt;="&amp;EDATE(DATEVALUE(C546&amp;"-01"),5),'📋 Транзакції'!$C$5:$C$3623,"&lt;"&amp;EDATE(DATEVALUE(C546&amp;"-01"),6))</f>
        <v>0</v>
      </c>
      <c r="Y546" s="37">
        <f>SUMIFS('📋 Транзакції'!$F$5:$F$3623,'📋 Транзакції'!$B$5:$B$3623,A546,'📋 Транзакції'!$C$5:$C$3623,"&gt;="&amp;EDATE(DATEVALUE(C546&amp;"-01"),6),'📋 Транзакції'!$C$5:$C$3623,"&lt;"&amp;EDATE(DATEVALUE(C546&amp;"-01"),7))</f>
        <v>0</v>
      </c>
      <c r="Z546" s="37">
        <f>SUMIFS('📋 Транзакції'!$F$5:$F$3623,'📋 Транзакції'!$B$5:$B$3623,A546,'📋 Транзакції'!$C$5:$C$3623,"&gt;="&amp;EDATE(DATEVALUE(C546&amp;"-01"),7),'📋 Транзакції'!$C$5:$C$3623,"&lt;"&amp;EDATE(DATEVALUE(C546&amp;"-01"),8))</f>
        <v>0</v>
      </c>
      <c r="AA546" s="37">
        <f>SUMIFS('📋 Транзакції'!$F$5:$F$3623,'📋 Транзакції'!$B$5:$B$3623,A546,'📋 Транзакції'!$C$5:$C$3623,"&gt;="&amp;EDATE(DATEVALUE(C546&amp;"-01"),8),'📋 Транзакції'!$C$5:$C$3623,"&lt;"&amp;EDATE(DATEVALUE(C546&amp;"-01"),9))</f>
        <v>0</v>
      </c>
      <c r="AB546" s="37">
        <f>SUMIFS('📋 Транзакції'!$F$5:$F$3623,'📋 Транзакції'!$B$5:$B$3623,A546,'📋 Транзакції'!$C$5:$C$3623,"&gt;="&amp;EDATE(DATEVALUE(C546&amp;"-01"),9),'📋 Транзакції'!$C$5:$C$3623,"&lt;"&amp;EDATE(DATEVALUE(C546&amp;"-01"),10))</f>
        <v>0</v>
      </c>
      <c r="AC546" s="37">
        <f>SUMIFS('📋 Транзакції'!$F$5:$F$3623,'📋 Транзакції'!$B$5:$B$3623,A546,'📋 Транзакції'!$C$5:$C$3623,"&gt;="&amp;EDATE(DATEVALUE(C546&amp;"-01"),10),'📋 Транзакції'!$C$5:$C$3623,"&lt;"&amp;EDATE(DATEVALUE(C546&amp;"-01"),11))</f>
        <v>0</v>
      </c>
      <c r="AD546" s="37">
        <f>SUMIFS('📋 Транзакції'!$F$5:$F$3623,'📋 Транзакції'!$B$5:$B$3623,A546,'📋 Транзакції'!$C$5:$C$3623,"&gt;="&amp;EDATE(DATEVALUE(C546&amp;"-01"),11),'📋 Транзакції'!$C$5:$C$3623,"&lt;"&amp;EDATE(DATEVALUE(C546&amp;"-01"),12))</f>
        <v>0</v>
      </c>
    </row>
    <row r="547" ht="15.75" customHeight="1">
      <c r="A547" s="33" t="str">
        <f>'📋 Реєстрації'!A547:A1148</f>
        <v>U0708</v>
      </c>
      <c r="B547" s="34">
        <f t="array" ref="B547">INDEX('📋 Транзакції'!$C$5:$C$3623,MATCH(A547,'📋 Транзакції'!$B$5:$B$3623,0))</f>
        <v>45712</v>
      </c>
      <c r="C547" s="35" t="str">
        <f t="shared" si="1"/>
        <v>2025-02</v>
      </c>
      <c r="D547" s="36">
        <f>COUNTIF('📋 Транзакції'!$B$5:$B$3623,A547)</f>
        <v>2</v>
      </c>
      <c r="E547" s="36">
        <f>SUMIF('📋 Транзакції'!$B$5:$B$3623,A547,'📋 Транзакції'!$F$5:$F$3623)</f>
        <v>19.99</v>
      </c>
      <c r="F547" s="35">
        <f>INT($A$1-MAXIFS('📋 Транзакції'!$C$5:$C$3623,'📋 Транзакції'!$B$5:$B$3623,A547))</f>
        <v>28</v>
      </c>
      <c r="G547" s="37">
        <f>IF(COUNTIFS('📋 Транзакції'!$B$5:$B$3623,A547,'📋 Транзакції'!$C$5:$C$3623,"&gt;="&amp;EDATE(DATEVALUE(C547&amp;"-01"),0),'📋 Транзакції'!$C$5:$C$3623,"&lt;"&amp;EDATE(DATEVALUE(C547&amp;"-01"),1))&gt;0,1,0)</f>
        <v>1</v>
      </c>
      <c r="H547" s="37">
        <f>IF(COUNTIFS('📋 Транзакції'!$B$5:$B$3623,A547,'📋 Транзакції'!$C$5:$C$3623,"&gt;="&amp;EDATE(DATEVALUE(C547&amp;"-01"),1),'📋 Транзакції'!$C$5:$C$3623,"&lt;"&amp;EDATE(DATEVALUE(C547&amp;"-01"),2))&gt;0,1,0)</f>
        <v>1</v>
      </c>
      <c r="I547" s="37">
        <f>IF(COUNTIFS('📋 Транзакції'!$B$5:$B$3623,A547,'📋 Транзакції'!$C$5:$C$3623,"&gt;="&amp;EDATE(DATEVALUE(C547&amp;"-01"),2),'📋 Транзакції'!$C$5:$C$3623,"&lt;"&amp;EDATE(DATEVALUE(C547&amp;"-01"),3))&gt;0,1,0)</f>
        <v>0</v>
      </c>
      <c r="J547" s="37">
        <f>IF(COUNTIFS('📋 Транзакції'!$B$5:$B$3623,A547,'📋 Транзакції'!$C$5:$C$3623,"&gt;="&amp;EDATE(DATEVALUE(C547&amp;"-01"),3),'📋 Транзакції'!$C$5:$C$3623,"&lt;"&amp;EDATE(DATEVALUE(C547&amp;"-01"),4))&gt;0,1,0)</f>
        <v>0</v>
      </c>
      <c r="K547" s="37">
        <f>IF(COUNTIFS('📋 Транзакції'!$B$5:$B$3623,A547,'📋 Транзакції'!$C$5:$C$3623,"&gt;="&amp;EDATE(DATEVALUE(C547&amp;"-01"),4),'📋 Транзакції'!$C$5:$C$3623,"&lt;"&amp;EDATE(DATEVALUE(C547&amp;"-01"),5))&gt;0,1,0)</f>
        <v>0</v>
      </c>
      <c r="L547" s="37">
        <f>IF(COUNTIFS('📋 Транзакції'!$B$5:$B$3623,A547,'📋 Транзакції'!$C$5:$C$3623,"&gt;="&amp;EDATE(DATEVALUE(C547&amp;"-01"),5),'📋 Транзакції'!$C$5:$C$3623,"&lt;"&amp;EDATE(DATEVALUE(C547&amp;"-01"),6))&gt;0,1,0)</f>
        <v>0</v>
      </c>
      <c r="M547" s="37">
        <f>IF(COUNTIFS('📋 Транзакції'!$B$5:$B$3623,A547,'📋 Транзакції'!$C$5:$C$3623,"&gt;="&amp;EDATE(DATEVALUE(C547&amp;"-01"),6),'📋 Транзакції'!$C$5:$C$3623,"&lt;"&amp;EDATE(DATEVALUE(C547&amp;"-01"),7))&gt;0,1,0)</f>
        <v>0</v>
      </c>
      <c r="N547" s="37">
        <f>IF(COUNTIFS('📋 Транзакції'!$B$5:$B$3623,A547,'📋 Транзакції'!$C$5:$C$3623,"&gt;="&amp;EDATE(DATEVALUE(C547&amp;"-01"),7),'📋 Транзакції'!$C$5:$C$3623,"&lt;"&amp;EDATE(DATEVALUE(C547&amp;"-01"),8))&gt;0,1,0)</f>
        <v>0</v>
      </c>
      <c r="O547" s="37">
        <f>IF(COUNTIFS('📋 Транзакції'!$B$5:$B$3623,A547,'📋 Транзакції'!$C$5:$C$3623,"&gt;="&amp;EDATE(DATEVALUE(C547&amp;"-01"),8),'📋 Транзакції'!$C$5:$C$3623,"&lt;"&amp;EDATE(DATEVALUE(C547&amp;"-01"),9))&gt;0,1,0)</f>
        <v>0</v>
      </c>
      <c r="P547" s="37">
        <f>IF(COUNTIFS('📋 Транзакції'!$B$5:$B$3623,A547,'📋 Транзакції'!$C$5:$C$3623,"&gt;="&amp;EDATE(DATEVALUE(C547&amp;"-01"),9),'📋 Транзакції'!$C$5:$C$3623,"&lt;"&amp;EDATE(DATEVALUE(C547&amp;"-01"),10))&gt;0,1,0)</f>
        <v>0</v>
      </c>
      <c r="Q547" s="37">
        <f>IF(COUNTIFS('📋 Транзакції'!$B$5:$B$3623,A547,'📋 Транзакції'!$C$5:$C$3623,"&gt;="&amp;EDATE(DATEVALUE(C547&amp;"-01"),10),'📋 Транзакції'!$C$5:$C$3623,"&lt;"&amp;EDATE(DATEVALUE(C547&amp;"-01"),11))&gt;0,1,0)</f>
        <v>0</v>
      </c>
      <c r="R547" s="37">
        <f>IF(COUNTIFS('📋 Транзакції'!$B$5:$B$3623,A547,'📋 Транзакції'!$C$5:$C$3623,"&gt;="&amp;EDATE(DATEVALUE(C547&amp;"-01"),11),'📋 Транзакції'!$C$5:$C$3623,"&lt;"&amp;EDATE(DATEVALUE(C547&amp;"-01"),12))&gt;0,1,0)</f>
        <v>0</v>
      </c>
      <c r="S547" s="37">
        <f>SUMIFS('📋 Транзакції'!$F$5:$F$3623,'📋 Транзакції'!$B$5:$B$3623,A547,'📋 Транзакції'!$C$5:$C$3623,"&gt;="&amp;EDATE(DATEVALUE(C547&amp;"-01"),0),'📋 Транзакції'!$C$5:$C$3623,"&lt;"&amp;EDATE(DATEVALUE(C547&amp;"-01"),1))</f>
        <v>0</v>
      </c>
      <c r="T547" s="37">
        <f>SUMIFS('📋 Транзакції'!$F$5:$F$3623,'📋 Транзакції'!$B$5:$B$3623,A547,'📋 Транзакції'!$C$5:$C$3623,"&gt;="&amp;EDATE(DATEVALUE(C547&amp;"-01"),1),'📋 Транзакції'!$C$5:$C$3623,"&lt;"&amp;EDATE(DATEVALUE(C547&amp;"-01"),2))</f>
        <v>19.99</v>
      </c>
      <c r="U547" s="37">
        <f>SUMIFS('📋 Транзакції'!$F$5:$F$3623,'📋 Транзакції'!$B$5:$B$3623,A547,'📋 Транзакції'!$C$5:$C$3623,"&gt;="&amp;EDATE(DATEVALUE(C547&amp;"-01"),2),'📋 Транзакції'!$C$5:$C$3623,"&lt;"&amp;EDATE(DATEVALUE(C547&amp;"-01"),3))</f>
        <v>0</v>
      </c>
      <c r="V547" s="37">
        <f>SUMIFS('📋 Транзакції'!$F$5:$F$3623,'📋 Транзакції'!$B$5:$B$3623,A547,'📋 Транзакції'!$C$5:$C$3623,"&gt;="&amp;EDATE(DATEVALUE(C547&amp;"-01"),3),'📋 Транзакції'!$C$5:$C$3623,"&lt;"&amp;EDATE(DATEVALUE(C547&amp;"-01"),4))</f>
        <v>0</v>
      </c>
      <c r="W547" s="37">
        <f>SUMIFS('📋 Транзакції'!$F$5:$F$3623,'📋 Транзакції'!$B$5:$B$3623,A547,'📋 Транзакції'!$C$5:$C$3623,"&gt;="&amp;EDATE(DATEVALUE(C547&amp;"-01"),4),'📋 Транзакції'!$C$5:$C$3623,"&lt;"&amp;EDATE(DATEVALUE(C547&amp;"-01"),5))</f>
        <v>0</v>
      </c>
      <c r="X547" s="37">
        <f>SUMIFS('📋 Транзакції'!$F$5:$F$3623,'📋 Транзакції'!$B$5:$B$3623,A547,'📋 Транзакції'!$C$5:$C$3623,"&gt;="&amp;EDATE(DATEVALUE(C547&amp;"-01"),5),'📋 Транзакції'!$C$5:$C$3623,"&lt;"&amp;EDATE(DATEVALUE(C547&amp;"-01"),6))</f>
        <v>0</v>
      </c>
      <c r="Y547" s="37">
        <f>SUMIFS('📋 Транзакції'!$F$5:$F$3623,'📋 Транзакції'!$B$5:$B$3623,A547,'📋 Транзакції'!$C$5:$C$3623,"&gt;="&amp;EDATE(DATEVALUE(C547&amp;"-01"),6),'📋 Транзакції'!$C$5:$C$3623,"&lt;"&amp;EDATE(DATEVALUE(C547&amp;"-01"),7))</f>
        <v>0</v>
      </c>
      <c r="Z547" s="37">
        <f>SUMIFS('📋 Транзакції'!$F$5:$F$3623,'📋 Транзакції'!$B$5:$B$3623,A547,'📋 Транзакції'!$C$5:$C$3623,"&gt;="&amp;EDATE(DATEVALUE(C547&amp;"-01"),7),'📋 Транзакції'!$C$5:$C$3623,"&lt;"&amp;EDATE(DATEVALUE(C547&amp;"-01"),8))</f>
        <v>0</v>
      </c>
      <c r="AA547" s="37">
        <f>SUMIFS('📋 Транзакції'!$F$5:$F$3623,'📋 Транзакції'!$B$5:$B$3623,A547,'📋 Транзакції'!$C$5:$C$3623,"&gt;="&amp;EDATE(DATEVALUE(C547&amp;"-01"),8),'📋 Транзакції'!$C$5:$C$3623,"&lt;"&amp;EDATE(DATEVALUE(C547&amp;"-01"),9))</f>
        <v>0</v>
      </c>
      <c r="AB547" s="37">
        <f>SUMIFS('📋 Транзакції'!$F$5:$F$3623,'📋 Транзакції'!$B$5:$B$3623,A547,'📋 Транзакції'!$C$5:$C$3623,"&gt;="&amp;EDATE(DATEVALUE(C547&amp;"-01"),9),'📋 Транзакції'!$C$5:$C$3623,"&lt;"&amp;EDATE(DATEVALUE(C547&amp;"-01"),10))</f>
        <v>0</v>
      </c>
      <c r="AC547" s="37">
        <f>SUMIFS('📋 Транзакції'!$F$5:$F$3623,'📋 Транзакції'!$B$5:$B$3623,A547,'📋 Транзакції'!$C$5:$C$3623,"&gt;="&amp;EDATE(DATEVALUE(C547&amp;"-01"),10),'📋 Транзакції'!$C$5:$C$3623,"&lt;"&amp;EDATE(DATEVALUE(C547&amp;"-01"),11))</f>
        <v>0</v>
      </c>
      <c r="AD547" s="37">
        <f>SUMIFS('📋 Транзакції'!$F$5:$F$3623,'📋 Транзакції'!$B$5:$B$3623,A547,'📋 Транзакції'!$C$5:$C$3623,"&gt;="&amp;EDATE(DATEVALUE(C547&amp;"-01"),11),'📋 Транзакції'!$C$5:$C$3623,"&lt;"&amp;EDATE(DATEVALUE(C547&amp;"-01"),12))</f>
        <v>0</v>
      </c>
    </row>
    <row r="548" ht="15.75" customHeight="1">
      <c r="A548" s="33" t="str">
        <f>'📋 Реєстрації'!A548:A1149</f>
        <v>U0081</v>
      </c>
      <c r="B548" s="34">
        <f t="array" ref="B548">INDEX('📋 Транзакції'!$C$5:$C$3623,MATCH(A548,'📋 Транзакції'!$B$5:$B$3623,0))</f>
        <v>45713</v>
      </c>
      <c r="C548" s="35" t="str">
        <f t="shared" si="1"/>
        <v>2025-02</v>
      </c>
      <c r="D548" s="36">
        <f>COUNTIF('📋 Транзакції'!$B$5:$B$3623,A548)</f>
        <v>2</v>
      </c>
      <c r="E548" s="36">
        <f>SUMIF('📋 Транзакції'!$B$5:$B$3623,A548,'📋 Транзакції'!$F$5:$F$3623)</f>
        <v>19.99</v>
      </c>
      <c r="F548" s="35">
        <f>INT($A$1-MAXIFS('📋 Транзакції'!$C$5:$C$3623,'📋 Транзакції'!$B$5:$B$3623,A548))</f>
        <v>27</v>
      </c>
      <c r="G548" s="37">
        <f>IF(COUNTIFS('📋 Транзакції'!$B$5:$B$3623,A548,'📋 Транзакції'!$C$5:$C$3623,"&gt;="&amp;EDATE(DATEVALUE(C548&amp;"-01"),0),'📋 Транзакції'!$C$5:$C$3623,"&lt;"&amp;EDATE(DATEVALUE(C548&amp;"-01"),1))&gt;0,1,0)</f>
        <v>1</v>
      </c>
      <c r="H548" s="37">
        <f>IF(COUNTIFS('📋 Транзакції'!$B$5:$B$3623,A548,'📋 Транзакції'!$C$5:$C$3623,"&gt;="&amp;EDATE(DATEVALUE(C548&amp;"-01"),1),'📋 Транзакції'!$C$5:$C$3623,"&lt;"&amp;EDATE(DATEVALUE(C548&amp;"-01"),2))&gt;0,1,0)</f>
        <v>1</v>
      </c>
      <c r="I548" s="37">
        <f>IF(COUNTIFS('📋 Транзакції'!$B$5:$B$3623,A548,'📋 Транзакції'!$C$5:$C$3623,"&gt;="&amp;EDATE(DATEVALUE(C548&amp;"-01"),2),'📋 Транзакції'!$C$5:$C$3623,"&lt;"&amp;EDATE(DATEVALUE(C548&amp;"-01"),3))&gt;0,1,0)</f>
        <v>0</v>
      </c>
      <c r="J548" s="37">
        <f>IF(COUNTIFS('📋 Транзакції'!$B$5:$B$3623,A548,'📋 Транзакції'!$C$5:$C$3623,"&gt;="&amp;EDATE(DATEVALUE(C548&amp;"-01"),3),'📋 Транзакції'!$C$5:$C$3623,"&lt;"&amp;EDATE(DATEVALUE(C548&amp;"-01"),4))&gt;0,1,0)</f>
        <v>0</v>
      </c>
      <c r="K548" s="37">
        <f>IF(COUNTIFS('📋 Транзакції'!$B$5:$B$3623,A548,'📋 Транзакції'!$C$5:$C$3623,"&gt;="&amp;EDATE(DATEVALUE(C548&amp;"-01"),4),'📋 Транзакції'!$C$5:$C$3623,"&lt;"&amp;EDATE(DATEVALUE(C548&amp;"-01"),5))&gt;0,1,0)</f>
        <v>0</v>
      </c>
      <c r="L548" s="37">
        <f>IF(COUNTIFS('📋 Транзакції'!$B$5:$B$3623,A548,'📋 Транзакції'!$C$5:$C$3623,"&gt;="&amp;EDATE(DATEVALUE(C548&amp;"-01"),5),'📋 Транзакції'!$C$5:$C$3623,"&lt;"&amp;EDATE(DATEVALUE(C548&amp;"-01"),6))&gt;0,1,0)</f>
        <v>0</v>
      </c>
      <c r="M548" s="37">
        <f>IF(COUNTIFS('📋 Транзакції'!$B$5:$B$3623,A548,'📋 Транзакції'!$C$5:$C$3623,"&gt;="&amp;EDATE(DATEVALUE(C548&amp;"-01"),6),'📋 Транзакції'!$C$5:$C$3623,"&lt;"&amp;EDATE(DATEVALUE(C548&amp;"-01"),7))&gt;0,1,0)</f>
        <v>0</v>
      </c>
      <c r="N548" s="37">
        <f>IF(COUNTIFS('📋 Транзакції'!$B$5:$B$3623,A548,'📋 Транзакції'!$C$5:$C$3623,"&gt;="&amp;EDATE(DATEVALUE(C548&amp;"-01"),7),'📋 Транзакції'!$C$5:$C$3623,"&lt;"&amp;EDATE(DATEVALUE(C548&amp;"-01"),8))&gt;0,1,0)</f>
        <v>0</v>
      </c>
      <c r="O548" s="37">
        <f>IF(COUNTIFS('📋 Транзакції'!$B$5:$B$3623,A548,'📋 Транзакції'!$C$5:$C$3623,"&gt;="&amp;EDATE(DATEVALUE(C548&amp;"-01"),8),'📋 Транзакції'!$C$5:$C$3623,"&lt;"&amp;EDATE(DATEVALUE(C548&amp;"-01"),9))&gt;0,1,0)</f>
        <v>0</v>
      </c>
      <c r="P548" s="37">
        <f>IF(COUNTIFS('📋 Транзакції'!$B$5:$B$3623,A548,'📋 Транзакції'!$C$5:$C$3623,"&gt;="&amp;EDATE(DATEVALUE(C548&amp;"-01"),9),'📋 Транзакції'!$C$5:$C$3623,"&lt;"&amp;EDATE(DATEVALUE(C548&amp;"-01"),10))&gt;0,1,0)</f>
        <v>0</v>
      </c>
      <c r="Q548" s="37">
        <f>IF(COUNTIFS('📋 Транзакції'!$B$5:$B$3623,A548,'📋 Транзакції'!$C$5:$C$3623,"&gt;="&amp;EDATE(DATEVALUE(C548&amp;"-01"),10),'📋 Транзакції'!$C$5:$C$3623,"&lt;"&amp;EDATE(DATEVALUE(C548&amp;"-01"),11))&gt;0,1,0)</f>
        <v>0</v>
      </c>
      <c r="R548" s="37">
        <f>IF(COUNTIFS('📋 Транзакції'!$B$5:$B$3623,A548,'📋 Транзакції'!$C$5:$C$3623,"&gt;="&amp;EDATE(DATEVALUE(C548&amp;"-01"),11),'📋 Транзакції'!$C$5:$C$3623,"&lt;"&amp;EDATE(DATEVALUE(C548&amp;"-01"),12))&gt;0,1,0)</f>
        <v>0</v>
      </c>
      <c r="S548" s="37">
        <f>SUMIFS('📋 Транзакції'!$F$5:$F$3623,'📋 Транзакції'!$B$5:$B$3623,A548,'📋 Транзакції'!$C$5:$C$3623,"&gt;="&amp;EDATE(DATEVALUE(C548&amp;"-01"),0),'📋 Транзакції'!$C$5:$C$3623,"&lt;"&amp;EDATE(DATEVALUE(C548&amp;"-01"),1))</f>
        <v>0</v>
      </c>
      <c r="T548" s="37">
        <f>SUMIFS('📋 Транзакції'!$F$5:$F$3623,'📋 Транзакції'!$B$5:$B$3623,A548,'📋 Транзакції'!$C$5:$C$3623,"&gt;="&amp;EDATE(DATEVALUE(C548&amp;"-01"),1),'📋 Транзакції'!$C$5:$C$3623,"&lt;"&amp;EDATE(DATEVALUE(C548&amp;"-01"),2))</f>
        <v>19.99</v>
      </c>
      <c r="U548" s="37">
        <f>SUMIFS('📋 Транзакції'!$F$5:$F$3623,'📋 Транзакції'!$B$5:$B$3623,A548,'📋 Транзакції'!$C$5:$C$3623,"&gt;="&amp;EDATE(DATEVALUE(C548&amp;"-01"),2),'📋 Транзакції'!$C$5:$C$3623,"&lt;"&amp;EDATE(DATEVALUE(C548&amp;"-01"),3))</f>
        <v>0</v>
      </c>
      <c r="V548" s="37">
        <f>SUMIFS('📋 Транзакції'!$F$5:$F$3623,'📋 Транзакції'!$B$5:$B$3623,A548,'📋 Транзакції'!$C$5:$C$3623,"&gt;="&amp;EDATE(DATEVALUE(C548&amp;"-01"),3),'📋 Транзакції'!$C$5:$C$3623,"&lt;"&amp;EDATE(DATEVALUE(C548&amp;"-01"),4))</f>
        <v>0</v>
      </c>
      <c r="W548" s="37">
        <f>SUMIFS('📋 Транзакції'!$F$5:$F$3623,'📋 Транзакції'!$B$5:$B$3623,A548,'📋 Транзакції'!$C$5:$C$3623,"&gt;="&amp;EDATE(DATEVALUE(C548&amp;"-01"),4),'📋 Транзакції'!$C$5:$C$3623,"&lt;"&amp;EDATE(DATEVALUE(C548&amp;"-01"),5))</f>
        <v>0</v>
      </c>
      <c r="X548" s="37">
        <f>SUMIFS('📋 Транзакції'!$F$5:$F$3623,'📋 Транзакції'!$B$5:$B$3623,A548,'📋 Транзакції'!$C$5:$C$3623,"&gt;="&amp;EDATE(DATEVALUE(C548&amp;"-01"),5),'📋 Транзакції'!$C$5:$C$3623,"&lt;"&amp;EDATE(DATEVALUE(C548&amp;"-01"),6))</f>
        <v>0</v>
      </c>
      <c r="Y548" s="37">
        <f>SUMIFS('📋 Транзакції'!$F$5:$F$3623,'📋 Транзакції'!$B$5:$B$3623,A548,'📋 Транзакції'!$C$5:$C$3623,"&gt;="&amp;EDATE(DATEVALUE(C548&amp;"-01"),6),'📋 Транзакції'!$C$5:$C$3623,"&lt;"&amp;EDATE(DATEVALUE(C548&amp;"-01"),7))</f>
        <v>0</v>
      </c>
      <c r="Z548" s="37">
        <f>SUMIFS('📋 Транзакції'!$F$5:$F$3623,'📋 Транзакції'!$B$5:$B$3623,A548,'📋 Транзакції'!$C$5:$C$3623,"&gt;="&amp;EDATE(DATEVALUE(C548&amp;"-01"),7),'📋 Транзакції'!$C$5:$C$3623,"&lt;"&amp;EDATE(DATEVALUE(C548&amp;"-01"),8))</f>
        <v>0</v>
      </c>
      <c r="AA548" s="37">
        <f>SUMIFS('📋 Транзакції'!$F$5:$F$3623,'📋 Транзакції'!$B$5:$B$3623,A548,'📋 Транзакції'!$C$5:$C$3623,"&gt;="&amp;EDATE(DATEVALUE(C548&amp;"-01"),8),'📋 Транзакції'!$C$5:$C$3623,"&lt;"&amp;EDATE(DATEVALUE(C548&amp;"-01"),9))</f>
        <v>0</v>
      </c>
      <c r="AB548" s="37">
        <f>SUMIFS('📋 Транзакції'!$F$5:$F$3623,'📋 Транзакції'!$B$5:$B$3623,A548,'📋 Транзакції'!$C$5:$C$3623,"&gt;="&amp;EDATE(DATEVALUE(C548&amp;"-01"),9),'📋 Транзакції'!$C$5:$C$3623,"&lt;"&amp;EDATE(DATEVALUE(C548&amp;"-01"),10))</f>
        <v>0</v>
      </c>
      <c r="AC548" s="37">
        <f>SUMIFS('📋 Транзакції'!$F$5:$F$3623,'📋 Транзакції'!$B$5:$B$3623,A548,'📋 Транзакції'!$C$5:$C$3623,"&gt;="&amp;EDATE(DATEVALUE(C548&amp;"-01"),10),'📋 Транзакції'!$C$5:$C$3623,"&lt;"&amp;EDATE(DATEVALUE(C548&amp;"-01"),11))</f>
        <v>0</v>
      </c>
      <c r="AD548" s="37">
        <f>SUMIFS('📋 Транзакції'!$F$5:$F$3623,'📋 Транзакції'!$B$5:$B$3623,A548,'📋 Транзакції'!$C$5:$C$3623,"&gt;="&amp;EDATE(DATEVALUE(C548&amp;"-01"),11),'📋 Транзакції'!$C$5:$C$3623,"&lt;"&amp;EDATE(DATEVALUE(C548&amp;"-01"),12))</f>
        <v>0</v>
      </c>
    </row>
    <row r="549" ht="15.75" customHeight="1">
      <c r="A549" s="33" t="str">
        <f>'📋 Реєстрації'!A549:A1150</f>
        <v>U0272</v>
      </c>
      <c r="B549" s="34">
        <f t="array" ref="B549">INDEX('📋 Транзакції'!$C$5:$C$3623,MATCH(A549,'📋 Транзакції'!$B$5:$B$3623,0))</f>
        <v>45713</v>
      </c>
      <c r="C549" s="35" t="str">
        <f t="shared" si="1"/>
        <v>2025-02</v>
      </c>
      <c r="D549" s="36">
        <f>COUNTIF('📋 Транзакції'!$B$5:$B$3623,A549)</f>
        <v>2</v>
      </c>
      <c r="E549" s="36">
        <f>SUMIF('📋 Транзакції'!$B$5:$B$3623,A549,'📋 Транзакції'!$F$5:$F$3623)</f>
        <v>19.99</v>
      </c>
      <c r="F549" s="35">
        <f>INT($A$1-MAXIFS('📋 Транзакції'!$C$5:$C$3623,'📋 Транзакції'!$B$5:$B$3623,A549))</f>
        <v>27</v>
      </c>
      <c r="G549" s="37">
        <f>IF(COUNTIFS('📋 Транзакції'!$B$5:$B$3623,A549,'📋 Транзакції'!$C$5:$C$3623,"&gt;="&amp;EDATE(DATEVALUE(C549&amp;"-01"),0),'📋 Транзакції'!$C$5:$C$3623,"&lt;"&amp;EDATE(DATEVALUE(C549&amp;"-01"),1))&gt;0,1,0)</f>
        <v>1</v>
      </c>
      <c r="H549" s="37">
        <f>IF(COUNTIFS('📋 Транзакції'!$B$5:$B$3623,A549,'📋 Транзакції'!$C$5:$C$3623,"&gt;="&amp;EDATE(DATEVALUE(C549&amp;"-01"),1),'📋 Транзакції'!$C$5:$C$3623,"&lt;"&amp;EDATE(DATEVALUE(C549&amp;"-01"),2))&gt;0,1,0)</f>
        <v>1</v>
      </c>
      <c r="I549" s="37">
        <f>IF(COUNTIFS('📋 Транзакції'!$B$5:$B$3623,A549,'📋 Транзакції'!$C$5:$C$3623,"&gt;="&amp;EDATE(DATEVALUE(C549&amp;"-01"),2),'📋 Транзакції'!$C$5:$C$3623,"&lt;"&amp;EDATE(DATEVALUE(C549&amp;"-01"),3))&gt;0,1,0)</f>
        <v>0</v>
      </c>
      <c r="J549" s="37">
        <f>IF(COUNTIFS('📋 Транзакції'!$B$5:$B$3623,A549,'📋 Транзакції'!$C$5:$C$3623,"&gt;="&amp;EDATE(DATEVALUE(C549&amp;"-01"),3),'📋 Транзакції'!$C$5:$C$3623,"&lt;"&amp;EDATE(DATEVALUE(C549&amp;"-01"),4))&gt;0,1,0)</f>
        <v>0</v>
      </c>
      <c r="K549" s="37">
        <f>IF(COUNTIFS('📋 Транзакції'!$B$5:$B$3623,A549,'📋 Транзакції'!$C$5:$C$3623,"&gt;="&amp;EDATE(DATEVALUE(C549&amp;"-01"),4),'📋 Транзакції'!$C$5:$C$3623,"&lt;"&amp;EDATE(DATEVALUE(C549&amp;"-01"),5))&gt;0,1,0)</f>
        <v>0</v>
      </c>
      <c r="L549" s="37">
        <f>IF(COUNTIFS('📋 Транзакції'!$B$5:$B$3623,A549,'📋 Транзакції'!$C$5:$C$3623,"&gt;="&amp;EDATE(DATEVALUE(C549&amp;"-01"),5),'📋 Транзакції'!$C$5:$C$3623,"&lt;"&amp;EDATE(DATEVALUE(C549&amp;"-01"),6))&gt;0,1,0)</f>
        <v>0</v>
      </c>
      <c r="M549" s="37">
        <f>IF(COUNTIFS('📋 Транзакції'!$B$5:$B$3623,A549,'📋 Транзакції'!$C$5:$C$3623,"&gt;="&amp;EDATE(DATEVALUE(C549&amp;"-01"),6),'📋 Транзакції'!$C$5:$C$3623,"&lt;"&amp;EDATE(DATEVALUE(C549&amp;"-01"),7))&gt;0,1,0)</f>
        <v>0</v>
      </c>
      <c r="N549" s="37">
        <f>IF(COUNTIFS('📋 Транзакції'!$B$5:$B$3623,A549,'📋 Транзакції'!$C$5:$C$3623,"&gt;="&amp;EDATE(DATEVALUE(C549&amp;"-01"),7),'📋 Транзакції'!$C$5:$C$3623,"&lt;"&amp;EDATE(DATEVALUE(C549&amp;"-01"),8))&gt;0,1,0)</f>
        <v>0</v>
      </c>
      <c r="O549" s="37">
        <f>IF(COUNTIFS('📋 Транзакції'!$B$5:$B$3623,A549,'📋 Транзакції'!$C$5:$C$3623,"&gt;="&amp;EDATE(DATEVALUE(C549&amp;"-01"),8),'📋 Транзакції'!$C$5:$C$3623,"&lt;"&amp;EDATE(DATEVALUE(C549&amp;"-01"),9))&gt;0,1,0)</f>
        <v>0</v>
      </c>
      <c r="P549" s="37">
        <f>IF(COUNTIFS('📋 Транзакції'!$B$5:$B$3623,A549,'📋 Транзакції'!$C$5:$C$3623,"&gt;="&amp;EDATE(DATEVALUE(C549&amp;"-01"),9),'📋 Транзакції'!$C$5:$C$3623,"&lt;"&amp;EDATE(DATEVALUE(C549&amp;"-01"),10))&gt;0,1,0)</f>
        <v>0</v>
      </c>
      <c r="Q549" s="37">
        <f>IF(COUNTIFS('📋 Транзакції'!$B$5:$B$3623,A549,'📋 Транзакції'!$C$5:$C$3623,"&gt;="&amp;EDATE(DATEVALUE(C549&amp;"-01"),10),'📋 Транзакції'!$C$5:$C$3623,"&lt;"&amp;EDATE(DATEVALUE(C549&amp;"-01"),11))&gt;0,1,0)</f>
        <v>0</v>
      </c>
      <c r="R549" s="37">
        <f>IF(COUNTIFS('📋 Транзакції'!$B$5:$B$3623,A549,'📋 Транзакції'!$C$5:$C$3623,"&gt;="&amp;EDATE(DATEVALUE(C549&amp;"-01"),11),'📋 Транзакції'!$C$5:$C$3623,"&lt;"&amp;EDATE(DATEVALUE(C549&amp;"-01"),12))&gt;0,1,0)</f>
        <v>0</v>
      </c>
      <c r="S549" s="37">
        <f>SUMIFS('📋 Транзакції'!$F$5:$F$3623,'📋 Транзакції'!$B$5:$B$3623,A549,'📋 Транзакції'!$C$5:$C$3623,"&gt;="&amp;EDATE(DATEVALUE(C549&amp;"-01"),0),'📋 Транзакції'!$C$5:$C$3623,"&lt;"&amp;EDATE(DATEVALUE(C549&amp;"-01"),1))</f>
        <v>0</v>
      </c>
      <c r="T549" s="37">
        <f>SUMIFS('📋 Транзакції'!$F$5:$F$3623,'📋 Транзакції'!$B$5:$B$3623,A549,'📋 Транзакції'!$C$5:$C$3623,"&gt;="&amp;EDATE(DATEVALUE(C549&amp;"-01"),1),'📋 Транзакції'!$C$5:$C$3623,"&lt;"&amp;EDATE(DATEVALUE(C549&amp;"-01"),2))</f>
        <v>19.99</v>
      </c>
      <c r="U549" s="37">
        <f>SUMIFS('📋 Транзакції'!$F$5:$F$3623,'📋 Транзакції'!$B$5:$B$3623,A549,'📋 Транзакції'!$C$5:$C$3623,"&gt;="&amp;EDATE(DATEVALUE(C549&amp;"-01"),2),'📋 Транзакції'!$C$5:$C$3623,"&lt;"&amp;EDATE(DATEVALUE(C549&amp;"-01"),3))</f>
        <v>0</v>
      </c>
      <c r="V549" s="37">
        <f>SUMIFS('📋 Транзакції'!$F$5:$F$3623,'📋 Транзакції'!$B$5:$B$3623,A549,'📋 Транзакції'!$C$5:$C$3623,"&gt;="&amp;EDATE(DATEVALUE(C549&amp;"-01"),3),'📋 Транзакції'!$C$5:$C$3623,"&lt;"&amp;EDATE(DATEVALUE(C549&amp;"-01"),4))</f>
        <v>0</v>
      </c>
      <c r="W549" s="37">
        <f>SUMIFS('📋 Транзакції'!$F$5:$F$3623,'📋 Транзакції'!$B$5:$B$3623,A549,'📋 Транзакції'!$C$5:$C$3623,"&gt;="&amp;EDATE(DATEVALUE(C549&amp;"-01"),4),'📋 Транзакції'!$C$5:$C$3623,"&lt;"&amp;EDATE(DATEVALUE(C549&amp;"-01"),5))</f>
        <v>0</v>
      </c>
      <c r="X549" s="37">
        <f>SUMIFS('📋 Транзакції'!$F$5:$F$3623,'📋 Транзакції'!$B$5:$B$3623,A549,'📋 Транзакції'!$C$5:$C$3623,"&gt;="&amp;EDATE(DATEVALUE(C549&amp;"-01"),5),'📋 Транзакції'!$C$5:$C$3623,"&lt;"&amp;EDATE(DATEVALUE(C549&amp;"-01"),6))</f>
        <v>0</v>
      </c>
      <c r="Y549" s="37">
        <f>SUMIFS('📋 Транзакції'!$F$5:$F$3623,'📋 Транзакції'!$B$5:$B$3623,A549,'📋 Транзакції'!$C$5:$C$3623,"&gt;="&amp;EDATE(DATEVALUE(C549&amp;"-01"),6),'📋 Транзакції'!$C$5:$C$3623,"&lt;"&amp;EDATE(DATEVALUE(C549&amp;"-01"),7))</f>
        <v>0</v>
      </c>
      <c r="Z549" s="37">
        <f>SUMIFS('📋 Транзакції'!$F$5:$F$3623,'📋 Транзакції'!$B$5:$B$3623,A549,'📋 Транзакції'!$C$5:$C$3623,"&gt;="&amp;EDATE(DATEVALUE(C549&amp;"-01"),7),'📋 Транзакції'!$C$5:$C$3623,"&lt;"&amp;EDATE(DATEVALUE(C549&amp;"-01"),8))</f>
        <v>0</v>
      </c>
      <c r="AA549" s="37">
        <f>SUMIFS('📋 Транзакції'!$F$5:$F$3623,'📋 Транзакції'!$B$5:$B$3623,A549,'📋 Транзакції'!$C$5:$C$3623,"&gt;="&amp;EDATE(DATEVALUE(C549&amp;"-01"),8),'📋 Транзакції'!$C$5:$C$3623,"&lt;"&amp;EDATE(DATEVALUE(C549&amp;"-01"),9))</f>
        <v>0</v>
      </c>
      <c r="AB549" s="37">
        <f>SUMIFS('📋 Транзакції'!$F$5:$F$3623,'📋 Транзакції'!$B$5:$B$3623,A549,'📋 Транзакції'!$C$5:$C$3623,"&gt;="&amp;EDATE(DATEVALUE(C549&amp;"-01"),9),'📋 Транзакції'!$C$5:$C$3623,"&lt;"&amp;EDATE(DATEVALUE(C549&amp;"-01"),10))</f>
        <v>0</v>
      </c>
      <c r="AC549" s="37">
        <f>SUMIFS('📋 Транзакції'!$F$5:$F$3623,'📋 Транзакції'!$B$5:$B$3623,A549,'📋 Транзакції'!$C$5:$C$3623,"&gt;="&amp;EDATE(DATEVALUE(C549&amp;"-01"),10),'📋 Транзакції'!$C$5:$C$3623,"&lt;"&amp;EDATE(DATEVALUE(C549&amp;"-01"),11))</f>
        <v>0</v>
      </c>
      <c r="AD549" s="37">
        <f>SUMIFS('📋 Транзакції'!$F$5:$F$3623,'📋 Транзакції'!$B$5:$B$3623,A549,'📋 Транзакції'!$C$5:$C$3623,"&gt;="&amp;EDATE(DATEVALUE(C549&amp;"-01"),11),'📋 Транзакції'!$C$5:$C$3623,"&lt;"&amp;EDATE(DATEVALUE(C549&amp;"-01"),12))</f>
        <v>0</v>
      </c>
    </row>
    <row r="550" ht="15.75" customHeight="1">
      <c r="A550" s="33" t="str">
        <f>'📋 Реєстрації'!A550:A1151</f>
        <v>U0537</v>
      </c>
      <c r="B550" s="34">
        <f t="array" ref="B550">INDEX('📋 Транзакції'!$C$5:$C$3623,MATCH(A550,'📋 Транзакції'!$B$5:$B$3623,0))</f>
        <v>45714</v>
      </c>
      <c r="C550" s="35" t="str">
        <f t="shared" si="1"/>
        <v>2025-02</v>
      </c>
      <c r="D550" s="36">
        <f>COUNTIF('📋 Транзакції'!$B$5:$B$3623,A550)</f>
        <v>2</v>
      </c>
      <c r="E550" s="36">
        <f>SUMIF('📋 Транзакції'!$B$5:$B$3623,A550,'📋 Транзакції'!$F$5:$F$3623)</f>
        <v>19.99</v>
      </c>
      <c r="F550" s="35">
        <f>INT($A$1-MAXIFS('📋 Транзакції'!$C$5:$C$3623,'📋 Транзакції'!$B$5:$B$3623,A550))</f>
        <v>26</v>
      </c>
      <c r="G550" s="37">
        <f>IF(COUNTIFS('📋 Транзакції'!$B$5:$B$3623,A550,'📋 Транзакції'!$C$5:$C$3623,"&gt;="&amp;EDATE(DATEVALUE(C550&amp;"-01"),0),'📋 Транзакції'!$C$5:$C$3623,"&lt;"&amp;EDATE(DATEVALUE(C550&amp;"-01"),1))&gt;0,1,0)</f>
        <v>1</v>
      </c>
      <c r="H550" s="37">
        <f>IF(COUNTIFS('📋 Транзакції'!$B$5:$B$3623,A550,'📋 Транзакції'!$C$5:$C$3623,"&gt;="&amp;EDATE(DATEVALUE(C550&amp;"-01"),1),'📋 Транзакції'!$C$5:$C$3623,"&lt;"&amp;EDATE(DATEVALUE(C550&amp;"-01"),2))&gt;0,1,0)</f>
        <v>1</v>
      </c>
      <c r="I550" s="37">
        <f>IF(COUNTIFS('📋 Транзакції'!$B$5:$B$3623,A550,'📋 Транзакції'!$C$5:$C$3623,"&gt;="&amp;EDATE(DATEVALUE(C550&amp;"-01"),2),'📋 Транзакції'!$C$5:$C$3623,"&lt;"&amp;EDATE(DATEVALUE(C550&amp;"-01"),3))&gt;0,1,0)</f>
        <v>0</v>
      </c>
      <c r="J550" s="37">
        <f>IF(COUNTIFS('📋 Транзакції'!$B$5:$B$3623,A550,'📋 Транзакції'!$C$5:$C$3623,"&gt;="&amp;EDATE(DATEVALUE(C550&amp;"-01"),3),'📋 Транзакції'!$C$5:$C$3623,"&lt;"&amp;EDATE(DATEVALUE(C550&amp;"-01"),4))&gt;0,1,0)</f>
        <v>0</v>
      </c>
      <c r="K550" s="37">
        <f>IF(COUNTIFS('📋 Транзакції'!$B$5:$B$3623,A550,'📋 Транзакції'!$C$5:$C$3623,"&gt;="&amp;EDATE(DATEVALUE(C550&amp;"-01"),4),'📋 Транзакції'!$C$5:$C$3623,"&lt;"&amp;EDATE(DATEVALUE(C550&amp;"-01"),5))&gt;0,1,0)</f>
        <v>0</v>
      </c>
      <c r="L550" s="37">
        <f>IF(COUNTIFS('📋 Транзакції'!$B$5:$B$3623,A550,'📋 Транзакції'!$C$5:$C$3623,"&gt;="&amp;EDATE(DATEVALUE(C550&amp;"-01"),5),'📋 Транзакції'!$C$5:$C$3623,"&lt;"&amp;EDATE(DATEVALUE(C550&amp;"-01"),6))&gt;0,1,0)</f>
        <v>0</v>
      </c>
      <c r="M550" s="37">
        <f>IF(COUNTIFS('📋 Транзакції'!$B$5:$B$3623,A550,'📋 Транзакції'!$C$5:$C$3623,"&gt;="&amp;EDATE(DATEVALUE(C550&amp;"-01"),6),'📋 Транзакції'!$C$5:$C$3623,"&lt;"&amp;EDATE(DATEVALUE(C550&amp;"-01"),7))&gt;0,1,0)</f>
        <v>0</v>
      </c>
      <c r="N550" s="37">
        <f>IF(COUNTIFS('📋 Транзакції'!$B$5:$B$3623,A550,'📋 Транзакції'!$C$5:$C$3623,"&gt;="&amp;EDATE(DATEVALUE(C550&amp;"-01"),7),'📋 Транзакції'!$C$5:$C$3623,"&lt;"&amp;EDATE(DATEVALUE(C550&amp;"-01"),8))&gt;0,1,0)</f>
        <v>0</v>
      </c>
      <c r="O550" s="37">
        <f>IF(COUNTIFS('📋 Транзакції'!$B$5:$B$3623,A550,'📋 Транзакції'!$C$5:$C$3623,"&gt;="&amp;EDATE(DATEVALUE(C550&amp;"-01"),8),'📋 Транзакції'!$C$5:$C$3623,"&lt;"&amp;EDATE(DATEVALUE(C550&amp;"-01"),9))&gt;0,1,0)</f>
        <v>0</v>
      </c>
      <c r="P550" s="37">
        <f>IF(COUNTIFS('📋 Транзакції'!$B$5:$B$3623,A550,'📋 Транзакції'!$C$5:$C$3623,"&gt;="&amp;EDATE(DATEVALUE(C550&amp;"-01"),9),'📋 Транзакції'!$C$5:$C$3623,"&lt;"&amp;EDATE(DATEVALUE(C550&amp;"-01"),10))&gt;0,1,0)</f>
        <v>0</v>
      </c>
      <c r="Q550" s="37">
        <f>IF(COUNTIFS('📋 Транзакції'!$B$5:$B$3623,A550,'📋 Транзакції'!$C$5:$C$3623,"&gt;="&amp;EDATE(DATEVALUE(C550&amp;"-01"),10),'📋 Транзакції'!$C$5:$C$3623,"&lt;"&amp;EDATE(DATEVALUE(C550&amp;"-01"),11))&gt;0,1,0)</f>
        <v>0</v>
      </c>
      <c r="R550" s="37">
        <f>IF(COUNTIFS('📋 Транзакції'!$B$5:$B$3623,A550,'📋 Транзакції'!$C$5:$C$3623,"&gt;="&amp;EDATE(DATEVALUE(C550&amp;"-01"),11),'📋 Транзакції'!$C$5:$C$3623,"&lt;"&amp;EDATE(DATEVALUE(C550&amp;"-01"),12))&gt;0,1,0)</f>
        <v>0</v>
      </c>
      <c r="S550" s="37">
        <f>SUMIFS('📋 Транзакції'!$F$5:$F$3623,'📋 Транзакції'!$B$5:$B$3623,A550,'📋 Транзакції'!$C$5:$C$3623,"&gt;="&amp;EDATE(DATEVALUE(C550&amp;"-01"),0),'📋 Транзакції'!$C$5:$C$3623,"&lt;"&amp;EDATE(DATEVALUE(C550&amp;"-01"),1))</f>
        <v>0</v>
      </c>
      <c r="T550" s="37">
        <f>SUMIFS('📋 Транзакції'!$F$5:$F$3623,'📋 Транзакції'!$B$5:$B$3623,A550,'📋 Транзакції'!$C$5:$C$3623,"&gt;="&amp;EDATE(DATEVALUE(C550&amp;"-01"),1),'📋 Транзакції'!$C$5:$C$3623,"&lt;"&amp;EDATE(DATEVALUE(C550&amp;"-01"),2))</f>
        <v>19.99</v>
      </c>
      <c r="U550" s="37">
        <f>SUMIFS('📋 Транзакції'!$F$5:$F$3623,'📋 Транзакції'!$B$5:$B$3623,A550,'📋 Транзакції'!$C$5:$C$3623,"&gt;="&amp;EDATE(DATEVALUE(C550&amp;"-01"),2),'📋 Транзакції'!$C$5:$C$3623,"&lt;"&amp;EDATE(DATEVALUE(C550&amp;"-01"),3))</f>
        <v>0</v>
      </c>
      <c r="V550" s="37">
        <f>SUMIFS('📋 Транзакції'!$F$5:$F$3623,'📋 Транзакції'!$B$5:$B$3623,A550,'📋 Транзакції'!$C$5:$C$3623,"&gt;="&amp;EDATE(DATEVALUE(C550&amp;"-01"),3),'📋 Транзакції'!$C$5:$C$3623,"&lt;"&amp;EDATE(DATEVALUE(C550&amp;"-01"),4))</f>
        <v>0</v>
      </c>
      <c r="W550" s="37">
        <f>SUMIFS('📋 Транзакції'!$F$5:$F$3623,'📋 Транзакції'!$B$5:$B$3623,A550,'📋 Транзакції'!$C$5:$C$3623,"&gt;="&amp;EDATE(DATEVALUE(C550&amp;"-01"),4),'📋 Транзакції'!$C$5:$C$3623,"&lt;"&amp;EDATE(DATEVALUE(C550&amp;"-01"),5))</f>
        <v>0</v>
      </c>
      <c r="X550" s="37">
        <f>SUMIFS('📋 Транзакції'!$F$5:$F$3623,'📋 Транзакції'!$B$5:$B$3623,A550,'📋 Транзакції'!$C$5:$C$3623,"&gt;="&amp;EDATE(DATEVALUE(C550&amp;"-01"),5),'📋 Транзакції'!$C$5:$C$3623,"&lt;"&amp;EDATE(DATEVALUE(C550&amp;"-01"),6))</f>
        <v>0</v>
      </c>
      <c r="Y550" s="37">
        <f>SUMIFS('📋 Транзакції'!$F$5:$F$3623,'📋 Транзакції'!$B$5:$B$3623,A550,'📋 Транзакції'!$C$5:$C$3623,"&gt;="&amp;EDATE(DATEVALUE(C550&amp;"-01"),6),'📋 Транзакції'!$C$5:$C$3623,"&lt;"&amp;EDATE(DATEVALUE(C550&amp;"-01"),7))</f>
        <v>0</v>
      </c>
      <c r="Z550" s="37">
        <f>SUMIFS('📋 Транзакції'!$F$5:$F$3623,'📋 Транзакції'!$B$5:$B$3623,A550,'📋 Транзакції'!$C$5:$C$3623,"&gt;="&amp;EDATE(DATEVALUE(C550&amp;"-01"),7),'📋 Транзакції'!$C$5:$C$3623,"&lt;"&amp;EDATE(DATEVALUE(C550&amp;"-01"),8))</f>
        <v>0</v>
      </c>
      <c r="AA550" s="37">
        <f>SUMIFS('📋 Транзакції'!$F$5:$F$3623,'📋 Транзакції'!$B$5:$B$3623,A550,'📋 Транзакції'!$C$5:$C$3623,"&gt;="&amp;EDATE(DATEVALUE(C550&amp;"-01"),8),'📋 Транзакції'!$C$5:$C$3623,"&lt;"&amp;EDATE(DATEVALUE(C550&amp;"-01"),9))</f>
        <v>0</v>
      </c>
      <c r="AB550" s="37">
        <f>SUMIFS('📋 Транзакції'!$F$5:$F$3623,'📋 Транзакції'!$B$5:$B$3623,A550,'📋 Транзакції'!$C$5:$C$3623,"&gt;="&amp;EDATE(DATEVALUE(C550&amp;"-01"),9),'📋 Транзакції'!$C$5:$C$3623,"&lt;"&amp;EDATE(DATEVALUE(C550&amp;"-01"),10))</f>
        <v>0</v>
      </c>
      <c r="AC550" s="37">
        <f>SUMIFS('📋 Транзакції'!$F$5:$F$3623,'📋 Транзакції'!$B$5:$B$3623,A550,'📋 Транзакції'!$C$5:$C$3623,"&gt;="&amp;EDATE(DATEVALUE(C550&amp;"-01"),10),'📋 Транзакції'!$C$5:$C$3623,"&lt;"&amp;EDATE(DATEVALUE(C550&amp;"-01"),11))</f>
        <v>0</v>
      </c>
      <c r="AD550" s="37">
        <f>SUMIFS('📋 Транзакції'!$F$5:$F$3623,'📋 Транзакції'!$B$5:$B$3623,A550,'📋 Транзакції'!$C$5:$C$3623,"&gt;="&amp;EDATE(DATEVALUE(C550&amp;"-01"),11),'📋 Транзакції'!$C$5:$C$3623,"&lt;"&amp;EDATE(DATEVALUE(C550&amp;"-01"),12))</f>
        <v>0</v>
      </c>
    </row>
    <row r="551" ht="15.75" customHeight="1">
      <c r="A551" s="33" t="str">
        <f>'📋 Реєстрації'!A551:A1152</f>
        <v>U0772</v>
      </c>
      <c r="B551" s="34">
        <f t="array" ref="B551">INDEX('📋 Транзакції'!$C$5:$C$3623,MATCH(A551,'📋 Транзакції'!$B$5:$B$3623,0))</f>
        <v>45714</v>
      </c>
      <c r="C551" s="35" t="str">
        <f t="shared" si="1"/>
        <v>2025-02</v>
      </c>
      <c r="D551" s="36">
        <f>COUNTIF('📋 Транзакції'!$B$5:$B$3623,A551)</f>
        <v>2</v>
      </c>
      <c r="E551" s="36">
        <f>SUMIF('📋 Транзакції'!$B$5:$B$3623,A551,'📋 Транзакції'!$F$5:$F$3623)</f>
        <v>19.99</v>
      </c>
      <c r="F551" s="35">
        <f>INT($A$1-MAXIFS('📋 Транзакції'!$C$5:$C$3623,'📋 Транзакції'!$B$5:$B$3623,A551))</f>
        <v>26</v>
      </c>
      <c r="G551" s="37">
        <f>IF(COUNTIFS('📋 Транзакції'!$B$5:$B$3623,A551,'📋 Транзакції'!$C$5:$C$3623,"&gt;="&amp;EDATE(DATEVALUE(C551&amp;"-01"),0),'📋 Транзакції'!$C$5:$C$3623,"&lt;"&amp;EDATE(DATEVALUE(C551&amp;"-01"),1))&gt;0,1,0)</f>
        <v>1</v>
      </c>
      <c r="H551" s="37">
        <f>IF(COUNTIFS('📋 Транзакції'!$B$5:$B$3623,A551,'📋 Транзакції'!$C$5:$C$3623,"&gt;="&amp;EDATE(DATEVALUE(C551&amp;"-01"),1),'📋 Транзакції'!$C$5:$C$3623,"&lt;"&amp;EDATE(DATEVALUE(C551&amp;"-01"),2))&gt;0,1,0)</f>
        <v>1</v>
      </c>
      <c r="I551" s="37">
        <f>IF(COUNTIFS('📋 Транзакції'!$B$5:$B$3623,A551,'📋 Транзакції'!$C$5:$C$3623,"&gt;="&amp;EDATE(DATEVALUE(C551&amp;"-01"),2),'📋 Транзакції'!$C$5:$C$3623,"&lt;"&amp;EDATE(DATEVALUE(C551&amp;"-01"),3))&gt;0,1,0)</f>
        <v>0</v>
      </c>
      <c r="J551" s="37">
        <f>IF(COUNTIFS('📋 Транзакції'!$B$5:$B$3623,A551,'📋 Транзакції'!$C$5:$C$3623,"&gt;="&amp;EDATE(DATEVALUE(C551&amp;"-01"),3),'📋 Транзакції'!$C$5:$C$3623,"&lt;"&amp;EDATE(DATEVALUE(C551&amp;"-01"),4))&gt;0,1,0)</f>
        <v>0</v>
      </c>
      <c r="K551" s="37">
        <f>IF(COUNTIFS('📋 Транзакції'!$B$5:$B$3623,A551,'📋 Транзакції'!$C$5:$C$3623,"&gt;="&amp;EDATE(DATEVALUE(C551&amp;"-01"),4),'📋 Транзакції'!$C$5:$C$3623,"&lt;"&amp;EDATE(DATEVALUE(C551&amp;"-01"),5))&gt;0,1,0)</f>
        <v>0</v>
      </c>
      <c r="L551" s="37">
        <f>IF(COUNTIFS('📋 Транзакції'!$B$5:$B$3623,A551,'📋 Транзакції'!$C$5:$C$3623,"&gt;="&amp;EDATE(DATEVALUE(C551&amp;"-01"),5),'📋 Транзакції'!$C$5:$C$3623,"&lt;"&amp;EDATE(DATEVALUE(C551&amp;"-01"),6))&gt;0,1,0)</f>
        <v>0</v>
      </c>
      <c r="M551" s="37">
        <f>IF(COUNTIFS('📋 Транзакції'!$B$5:$B$3623,A551,'📋 Транзакції'!$C$5:$C$3623,"&gt;="&amp;EDATE(DATEVALUE(C551&amp;"-01"),6),'📋 Транзакції'!$C$5:$C$3623,"&lt;"&amp;EDATE(DATEVALUE(C551&amp;"-01"),7))&gt;0,1,0)</f>
        <v>0</v>
      </c>
      <c r="N551" s="37">
        <f>IF(COUNTIFS('📋 Транзакції'!$B$5:$B$3623,A551,'📋 Транзакції'!$C$5:$C$3623,"&gt;="&amp;EDATE(DATEVALUE(C551&amp;"-01"),7),'📋 Транзакції'!$C$5:$C$3623,"&lt;"&amp;EDATE(DATEVALUE(C551&amp;"-01"),8))&gt;0,1,0)</f>
        <v>0</v>
      </c>
      <c r="O551" s="37">
        <f>IF(COUNTIFS('📋 Транзакції'!$B$5:$B$3623,A551,'📋 Транзакції'!$C$5:$C$3623,"&gt;="&amp;EDATE(DATEVALUE(C551&amp;"-01"),8),'📋 Транзакції'!$C$5:$C$3623,"&lt;"&amp;EDATE(DATEVALUE(C551&amp;"-01"),9))&gt;0,1,0)</f>
        <v>0</v>
      </c>
      <c r="P551" s="37">
        <f>IF(COUNTIFS('📋 Транзакції'!$B$5:$B$3623,A551,'📋 Транзакції'!$C$5:$C$3623,"&gt;="&amp;EDATE(DATEVALUE(C551&amp;"-01"),9),'📋 Транзакції'!$C$5:$C$3623,"&lt;"&amp;EDATE(DATEVALUE(C551&amp;"-01"),10))&gt;0,1,0)</f>
        <v>0</v>
      </c>
      <c r="Q551" s="37">
        <f>IF(COUNTIFS('📋 Транзакції'!$B$5:$B$3623,A551,'📋 Транзакції'!$C$5:$C$3623,"&gt;="&amp;EDATE(DATEVALUE(C551&amp;"-01"),10),'📋 Транзакції'!$C$5:$C$3623,"&lt;"&amp;EDATE(DATEVALUE(C551&amp;"-01"),11))&gt;0,1,0)</f>
        <v>0</v>
      </c>
      <c r="R551" s="37">
        <f>IF(COUNTIFS('📋 Транзакції'!$B$5:$B$3623,A551,'📋 Транзакції'!$C$5:$C$3623,"&gt;="&amp;EDATE(DATEVALUE(C551&amp;"-01"),11),'📋 Транзакції'!$C$5:$C$3623,"&lt;"&amp;EDATE(DATEVALUE(C551&amp;"-01"),12))&gt;0,1,0)</f>
        <v>0</v>
      </c>
      <c r="S551" s="37">
        <f>SUMIFS('📋 Транзакції'!$F$5:$F$3623,'📋 Транзакції'!$B$5:$B$3623,A551,'📋 Транзакції'!$C$5:$C$3623,"&gt;="&amp;EDATE(DATEVALUE(C551&amp;"-01"),0),'📋 Транзакції'!$C$5:$C$3623,"&lt;"&amp;EDATE(DATEVALUE(C551&amp;"-01"),1))</f>
        <v>0</v>
      </c>
      <c r="T551" s="37">
        <f>SUMIFS('📋 Транзакції'!$F$5:$F$3623,'📋 Транзакції'!$B$5:$B$3623,A551,'📋 Транзакції'!$C$5:$C$3623,"&gt;="&amp;EDATE(DATEVALUE(C551&amp;"-01"),1),'📋 Транзакції'!$C$5:$C$3623,"&lt;"&amp;EDATE(DATEVALUE(C551&amp;"-01"),2))</f>
        <v>19.99</v>
      </c>
      <c r="U551" s="37">
        <f>SUMIFS('📋 Транзакції'!$F$5:$F$3623,'📋 Транзакції'!$B$5:$B$3623,A551,'📋 Транзакції'!$C$5:$C$3623,"&gt;="&amp;EDATE(DATEVALUE(C551&amp;"-01"),2),'📋 Транзакції'!$C$5:$C$3623,"&lt;"&amp;EDATE(DATEVALUE(C551&amp;"-01"),3))</f>
        <v>0</v>
      </c>
      <c r="V551" s="37">
        <f>SUMIFS('📋 Транзакції'!$F$5:$F$3623,'📋 Транзакції'!$B$5:$B$3623,A551,'📋 Транзакції'!$C$5:$C$3623,"&gt;="&amp;EDATE(DATEVALUE(C551&amp;"-01"),3),'📋 Транзакції'!$C$5:$C$3623,"&lt;"&amp;EDATE(DATEVALUE(C551&amp;"-01"),4))</f>
        <v>0</v>
      </c>
      <c r="W551" s="37">
        <f>SUMIFS('📋 Транзакції'!$F$5:$F$3623,'📋 Транзакції'!$B$5:$B$3623,A551,'📋 Транзакції'!$C$5:$C$3623,"&gt;="&amp;EDATE(DATEVALUE(C551&amp;"-01"),4),'📋 Транзакції'!$C$5:$C$3623,"&lt;"&amp;EDATE(DATEVALUE(C551&amp;"-01"),5))</f>
        <v>0</v>
      </c>
      <c r="X551" s="37">
        <f>SUMIFS('📋 Транзакції'!$F$5:$F$3623,'📋 Транзакції'!$B$5:$B$3623,A551,'📋 Транзакції'!$C$5:$C$3623,"&gt;="&amp;EDATE(DATEVALUE(C551&amp;"-01"),5),'📋 Транзакції'!$C$5:$C$3623,"&lt;"&amp;EDATE(DATEVALUE(C551&amp;"-01"),6))</f>
        <v>0</v>
      </c>
      <c r="Y551" s="37">
        <f>SUMIFS('📋 Транзакції'!$F$5:$F$3623,'📋 Транзакції'!$B$5:$B$3623,A551,'📋 Транзакції'!$C$5:$C$3623,"&gt;="&amp;EDATE(DATEVALUE(C551&amp;"-01"),6),'📋 Транзакції'!$C$5:$C$3623,"&lt;"&amp;EDATE(DATEVALUE(C551&amp;"-01"),7))</f>
        <v>0</v>
      </c>
      <c r="Z551" s="37">
        <f>SUMIFS('📋 Транзакції'!$F$5:$F$3623,'📋 Транзакції'!$B$5:$B$3623,A551,'📋 Транзакції'!$C$5:$C$3623,"&gt;="&amp;EDATE(DATEVALUE(C551&amp;"-01"),7),'📋 Транзакції'!$C$5:$C$3623,"&lt;"&amp;EDATE(DATEVALUE(C551&amp;"-01"),8))</f>
        <v>0</v>
      </c>
      <c r="AA551" s="37">
        <f>SUMIFS('📋 Транзакції'!$F$5:$F$3623,'📋 Транзакції'!$B$5:$B$3623,A551,'📋 Транзакції'!$C$5:$C$3623,"&gt;="&amp;EDATE(DATEVALUE(C551&amp;"-01"),8),'📋 Транзакції'!$C$5:$C$3623,"&lt;"&amp;EDATE(DATEVALUE(C551&amp;"-01"),9))</f>
        <v>0</v>
      </c>
      <c r="AB551" s="37">
        <f>SUMIFS('📋 Транзакції'!$F$5:$F$3623,'📋 Транзакції'!$B$5:$B$3623,A551,'📋 Транзакції'!$C$5:$C$3623,"&gt;="&amp;EDATE(DATEVALUE(C551&amp;"-01"),9),'📋 Транзакції'!$C$5:$C$3623,"&lt;"&amp;EDATE(DATEVALUE(C551&amp;"-01"),10))</f>
        <v>0</v>
      </c>
      <c r="AC551" s="37">
        <f>SUMIFS('📋 Транзакції'!$F$5:$F$3623,'📋 Транзакції'!$B$5:$B$3623,A551,'📋 Транзакції'!$C$5:$C$3623,"&gt;="&amp;EDATE(DATEVALUE(C551&amp;"-01"),10),'📋 Транзакції'!$C$5:$C$3623,"&lt;"&amp;EDATE(DATEVALUE(C551&amp;"-01"),11))</f>
        <v>0</v>
      </c>
      <c r="AD551" s="37">
        <f>SUMIFS('📋 Транзакції'!$F$5:$F$3623,'📋 Транзакції'!$B$5:$B$3623,A551,'📋 Транзакції'!$C$5:$C$3623,"&gt;="&amp;EDATE(DATEVALUE(C551&amp;"-01"),11),'📋 Транзакції'!$C$5:$C$3623,"&lt;"&amp;EDATE(DATEVALUE(C551&amp;"-01"),12))</f>
        <v>0</v>
      </c>
    </row>
    <row r="552" ht="15.75" customHeight="1">
      <c r="A552" s="33" t="str">
        <f>'📋 Реєстрації'!A552:A1153</f>
        <v>U0281</v>
      </c>
      <c r="B552" s="34">
        <f t="array" ref="B552">INDEX('📋 Транзакції'!$C$5:$C$3623,MATCH(A552,'📋 Транзакції'!$B$5:$B$3623,0))</f>
        <v>45715</v>
      </c>
      <c r="C552" s="35" t="str">
        <f t="shared" si="1"/>
        <v>2025-02</v>
      </c>
      <c r="D552" s="36">
        <f>COUNTIF('📋 Транзакції'!$B$5:$B$3623,A552)</f>
        <v>2</v>
      </c>
      <c r="E552" s="36">
        <f>SUMIF('📋 Транзакції'!$B$5:$B$3623,A552,'📋 Транзакції'!$F$5:$F$3623)</f>
        <v>19.99</v>
      </c>
      <c r="F552" s="35">
        <f>INT($A$1-MAXIFS('📋 Транзакції'!$C$5:$C$3623,'📋 Транзакції'!$B$5:$B$3623,A552))</f>
        <v>25</v>
      </c>
      <c r="G552" s="37">
        <f>IF(COUNTIFS('📋 Транзакції'!$B$5:$B$3623,A552,'📋 Транзакції'!$C$5:$C$3623,"&gt;="&amp;EDATE(DATEVALUE(C552&amp;"-01"),0),'📋 Транзакції'!$C$5:$C$3623,"&lt;"&amp;EDATE(DATEVALUE(C552&amp;"-01"),1))&gt;0,1,0)</f>
        <v>1</v>
      </c>
      <c r="H552" s="37">
        <f>IF(COUNTIFS('📋 Транзакції'!$B$5:$B$3623,A552,'📋 Транзакції'!$C$5:$C$3623,"&gt;="&amp;EDATE(DATEVALUE(C552&amp;"-01"),1),'📋 Транзакції'!$C$5:$C$3623,"&lt;"&amp;EDATE(DATEVALUE(C552&amp;"-01"),2))&gt;0,1,0)</f>
        <v>1</v>
      </c>
      <c r="I552" s="37">
        <f>IF(COUNTIFS('📋 Транзакції'!$B$5:$B$3623,A552,'📋 Транзакції'!$C$5:$C$3623,"&gt;="&amp;EDATE(DATEVALUE(C552&amp;"-01"),2),'📋 Транзакції'!$C$5:$C$3623,"&lt;"&amp;EDATE(DATEVALUE(C552&amp;"-01"),3))&gt;0,1,0)</f>
        <v>0</v>
      </c>
      <c r="J552" s="37">
        <f>IF(COUNTIFS('📋 Транзакції'!$B$5:$B$3623,A552,'📋 Транзакції'!$C$5:$C$3623,"&gt;="&amp;EDATE(DATEVALUE(C552&amp;"-01"),3),'📋 Транзакції'!$C$5:$C$3623,"&lt;"&amp;EDATE(DATEVALUE(C552&amp;"-01"),4))&gt;0,1,0)</f>
        <v>0</v>
      </c>
      <c r="K552" s="37">
        <f>IF(COUNTIFS('📋 Транзакції'!$B$5:$B$3623,A552,'📋 Транзакції'!$C$5:$C$3623,"&gt;="&amp;EDATE(DATEVALUE(C552&amp;"-01"),4),'📋 Транзакції'!$C$5:$C$3623,"&lt;"&amp;EDATE(DATEVALUE(C552&amp;"-01"),5))&gt;0,1,0)</f>
        <v>0</v>
      </c>
      <c r="L552" s="37">
        <f>IF(COUNTIFS('📋 Транзакції'!$B$5:$B$3623,A552,'📋 Транзакції'!$C$5:$C$3623,"&gt;="&amp;EDATE(DATEVALUE(C552&amp;"-01"),5),'📋 Транзакції'!$C$5:$C$3623,"&lt;"&amp;EDATE(DATEVALUE(C552&amp;"-01"),6))&gt;0,1,0)</f>
        <v>0</v>
      </c>
      <c r="M552" s="37">
        <f>IF(COUNTIFS('📋 Транзакції'!$B$5:$B$3623,A552,'📋 Транзакції'!$C$5:$C$3623,"&gt;="&amp;EDATE(DATEVALUE(C552&amp;"-01"),6),'📋 Транзакції'!$C$5:$C$3623,"&lt;"&amp;EDATE(DATEVALUE(C552&amp;"-01"),7))&gt;0,1,0)</f>
        <v>0</v>
      </c>
      <c r="N552" s="37">
        <f>IF(COUNTIFS('📋 Транзакції'!$B$5:$B$3623,A552,'📋 Транзакції'!$C$5:$C$3623,"&gt;="&amp;EDATE(DATEVALUE(C552&amp;"-01"),7),'📋 Транзакції'!$C$5:$C$3623,"&lt;"&amp;EDATE(DATEVALUE(C552&amp;"-01"),8))&gt;0,1,0)</f>
        <v>0</v>
      </c>
      <c r="O552" s="37">
        <f>IF(COUNTIFS('📋 Транзакції'!$B$5:$B$3623,A552,'📋 Транзакції'!$C$5:$C$3623,"&gt;="&amp;EDATE(DATEVALUE(C552&amp;"-01"),8),'📋 Транзакції'!$C$5:$C$3623,"&lt;"&amp;EDATE(DATEVALUE(C552&amp;"-01"),9))&gt;0,1,0)</f>
        <v>0</v>
      </c>
      <c r="P552" s="37">
        <f>IF(COUNTIFS('📋 Транзакції'!$B$5:$B$3623,A552,'📋 Транзакції'!$C$5:$C$3623,"&gt;="&amp;EDATE(DATEVALUE(C552&amp;"-01"),9),'📋 Транзакції'!$C$5:$C$3623,"&lt;"&amp;EDATE(DATEVALUE(C552&amp;"-01"),10))&gt;0,1,0)</f>
        <v>0</v>
      </c>
      <c r="Q552" s="37">
        <f>IF(COUNTIFS('📋 Транзакції'!$B$5:$B$3623,A552,'📋 Транзакції'!$C$5:$C$3623,"&gt;="&amp;EDATE(DATEVALUE(C552&amp;"-01"),10),'📋 Транзакції'!$C$5:$C$3623,"&lt;"&amp;EDATE(DATEVALUE(C552&amp;"-01"),11))&gt;0,1,0)</f>
        <v>0</v>
      </c>
      <c r="R552" s="37">
        <f>IF(COUNTIFS('📋 Транзакції'!$B$5:$B$3623,A552,'📋 Транзакції'!$C$5:$C$3623,"&gt;="&amp;EDATE(DATEVALUE(C552&amp;"-01"),11),'📋 Транзакції'!$C$5:$C$3623,"&lt;"&amp;EDATE(DATEVALUE(C552&amp;"-01"),12))&gt;0,1,0)</f>
        <v>0</v>
      </c>
      <c r="S552" s="37">
        <f>SUMIFS('📋 Транзакції'!$F$5:$F$3623,'📋 Транзакції'!$B$5:$B$3623,A552,'📋 Транзакції'!$C$5:$C$3623,"&gt;="&amp;EDATE(DATEVALUE(C552&amp;"-01"),0),'📋 Транзакції'!$C$5:$C$3623,"&lt;"&amp;EDATE(DATEVALUE(C552&amp;"-01"),1))</f>
        <v>0</v>
      </c>
      <c r="T552" s="37">
        <f>SUMIFS('📋 Транзакції'!$F$5:$F$3623,'📋 Транзакції'!$B$5:$B$3623,A552,'📋 Транзакції'!$C$5:$C$3623,"&gt;="&amp;EDATE(DATEVALUE(C552&amp;"-01"),1),'📋 Транзакції'!$C$5:$C$3623,"&lt;"&amp;EDATE(DATEVALUE(C552&amp;"-01"),2))</f>
        <v>19.99</v>
      </c>
      <c r="U552" s="37">
        <f>SUMIFS('📋 Транзакції'!$F$5:$F$3623,'📋 Транзакції'!$B$5:$B$3623,A552,'📋 Транзакції'!$C$5:$C$3623,"&gt;="&amp;EDATE(DATEVALUE(C552&amp;"-01"),2),'📋 Транзакції'!$C$5:$C$3623,"&lt;"&amp;EDATE(DATEVALUE(C552&amp;"-01"),3))</f>
        <v>0</v>
      </c>
      <c r="V552" s="37">
        <f>SUMIFS('📋 Транзакції'!$F$5:$F$3623,'📋 Транзакції'!$B$5:$B$3623,A552,'📋 Транзакції'!$C$5:$C$3623,"&gt;="&amp;EDATE(DATEVALUE(C552&amp;"-01"),3),'📋 Транзакції'!$C$5:$C$3623,"&lt;"&amp;EDATE(DATEVALUE(C552&amp;"-01"),4))</f>
        <v>0</v>
      </c>
      <c r="W552" s="37">
        <f>SUMIFS('📋 Транзакції'!$F$5:$F$3623,'📋 Транзакції'!$B$5:$B$3623,A552,'📋 Транзакції'!$C$5:$C$3623,"&gt;="&amp;EDATE(DATEVALUE(C552&amp;"-01"),4),'📋 Транзакції'!$C$5:$C$3623,"&lt;"&amp;EDATE(DATEVALUE(C552&amp;"-01"),5))</f>
        <v>0</v>
      </c>
      <c r="X552" s="37">
        <f>SUMIFS('📋 Транзакції'!$F$5:$F$3623,'📋 Транзакції'!$B$5:$B$3623,A552,'📋 Транзакції'!$C$5:$C$3623,"&gt;="&amp;EDATE(DATEVALUE(C552&amp;"-01"),5),'📋 Транзакції'!$C$5:$C$3623,"&lt;"&amp;EDATE(DATEVALUE(C552&amp;"-01"),6))</f>
        <v>0</v>
      </c>
      <c r="Y552" s="37">
        <f>SUMIFS('📋 Транзакції'!$F$5:$F$3623,'📋 Транзакції'!$B$5:$B$3623,A552,'📋 Транзакції'!$C$5:$C$3623,"&gt;="&amp;EDATE(DATEVALUE(C552&amp;"-01"),6),'📋 Транзакції'!$C$5:$C$3623,"&lt;"&amp;EDATE(DATEVALUE(C552&amp;"-01"),7))</f>
        <v>0</v>
      </c>
      <c r="Z552" s="37">
        <f>SUMIFS('📋 Транзакції'!$F$5:$F$3623,'📋 Транзакції'!$B$5:$B$3623,A552,'📋 Транзакції'!$C$5:$C$3623,"&gt;="&amp;EDATE(DATEVALUE(C552&amp;"-01"),7),'📋 Транзакції'!$C$5:$C$3623,"&lt;"&amp;EDATE(DATEVALUE(C552&amp;"-01"),8))</f>
        <v>0</v>
      </c>
      <c r="AA552" s="37">
        <f>SUMIFS('📋 Транзакції'!$F$5:$F$3623,'📋 Транзакції'!$B$5:$B$3623,A552,'📋 Транзакції'!$C$5:$C$3623,"&gt;="&amp;EDATE(DATEVALUE(C552&amp;"-01"),8),'📋 Транзакції'!$C$5:$C$3623,"&lt;"&amp;EDATE(DATEVALUE(C552&amp;"-01"),9))</f>
        <v>0</v>
      </c>
      <c r="AB552" s="37">
        <f>SUMIFS('📋 Транзакції'!$F$5:$F$3623,'📋 Транзакції'!$B$5:$B$3623,A552,'📋 Транзакції'!$C$5:$C$3623,"&gt;="&amp;EDATE(DATEVALUE(C552&amp;"-01"),9),'📋 Транзакції'!$C$5:$C$3623,"&lt;"&amp;EDATE(DATEVALUE(C552&amp;"-01"),10))</f>
        <v>0</v>
      </c>
      <c r="AC552" s="37">
        <f>SUMIFS('📋 Транзакції'!$F$5:$F$3623,'📋 Транзакції'!$B$5:$B$3623,A552,'📋 Транзакції'!$C$5:$C$3623,"&gt;="&amp;EDATE(DATEVALUE(C552&amp;"-01"),10),'📋 Транзакції'!$C$5:$C$3623,"&lt;"&amp;EDATE(DATEVALUE(C552&amp;"-01"),11))</f>
        <v>0</v>
      </c>
      <c r="AD552" s="37">
        <f>SUMIFS('📋 Транзакції'!$F$5:$F$3623,'📋 Транзакції'!$B$5:$B$3623,A552,'📋 Транзакції'!$C$5:$C$3623,"&gt;="&amp;EDATE(DATEVALUE(C552&amp;"-01"),11),'📋 Транзакції'!$C$5:$C$3623,"&lt;"&amp;EDATE(DATEVALUE(C552&amp;"-01"),12))</f>
        <v>0</v>
      </c>
    </row>
    <row r="553" ht="15.75" customHeight="1">
      <c r="A553" s="33" t="str">
        <f>'📋 Реєстрації'!A553:A1154</f>
        <v>U0337</v>
      </c>
      <c r="B553" s="34">
        <f t="array" ref="B553">INDEX('📋 Транзакції'!$C$5:$C$3623,MATCH(A553,'📋 Транзакції'!$B$5:$B$3623,0))</f>
        <v>45715</v>
      </c>
      <c r="C553" s="35" t="str">
        <f t="shared" si="1"/>
        <v>2025-02</v>
      </c>
      <c r="D553" s="36">
        <f>COUNTIF('📋 Транзакції'!$B$5:$B$3623,A553)</f>
        <v>2</v>
      </c>
      <c r="E553" s="36">
        <f>SUMIF('📋 Транзакції'!$B$5:$B$3623,A553,'📋 Транзакції'!$F$5:$F$3623)</f>
        <v>19.99</v>
      </c>
      <c r="F553" s="35">
        <f>INT($A$1-MAXIFS('📋 Транзакції'!$C$5:$C$3623,'📋 Транзакції'!$B$5:$B$3623,A553))</f>
        <v>25</v>
      </c>
      <c r="G553" s="37">
        <f>IF(COUNTIFS('📋 Транзакції'!$B$5:$B$3623,A553,'📋 Транзакції'!$C$5:$C$3623,"&gt;="&amp;EDATE(DATEVALUE(C553&amp;"-01"),0),'📋 Транзакції'!$C$5:$C$3623,"&lt;"&amp;EDATE(DATEVALUE(C553&amp;"-01"),1))&gt;0,1,0)</f>
        <v>1</v>
      </c>
      <c r="H553" s="37">
        <f>IF(COUNTIFS('📋 Транзакції'!$B$5:$B$3623,A553,'📋 Транзакції'!$C$5:$C$3623,"&gt;="&amp;EDATE(DATEVALUE(C553&amp;"-01"),1),'📋 Транзакції'!$C$5:$C$3623,"&lt;"&amp;EDATE(DATEVALUE(C553&amp;"-01"),2))&gt;0,1,0)</f>
        <v>1</v>
      </c>
      <c r="I553" s="37">
        <f>IF(COUNTIFS('📋 Транзакції'!$B$5:$B$3623,A553,'📋 Транзакції'!$C$5:$C$3623,"&gt;="&amp;EDATE(DATEVALUE(C553&amp;"-01"),2),'📋 Транзакції'!$C$5:$C$3623,"&lt;"&amp;EDATE(DATEVALUE(C553&amp;"-01"),3))&gt;0,1,0)</f>
        <v>0</v>
      </c>
      <c r="J553" s="37">
        <f>IF(COUNTIFS('📋 Транзакції'!$B$5:$B$3623,A553,'📋 Транзакції'!$C$5:$C$3623,"&gt;="&amp;EDATE(DATEVALUE(C553&amp;"-01"),3),'📋 Транзакції'!$C$5:$C$3623,"&lt;"&amp;EDATE(DATEVALUE(C553&amp;"-01"),4))&gt;0,1,0)</f>
        <v>0</v>
      </c>
      <c r="K553" s="37">
        <f>IF(COUNTIFS('📋 Транзакції'!$B$5:$B$3623,A553,'📋 Транзакції'!$C$5:$C$3623,"&gt;="&amp;EDATE(DATEVALUE(C553&amp;"-01"),4),'📋 Транзакції'!$C$5:$C$3623,"&lt;"&amp;EDATE(DATEVALUE(C553&amp;"-01"),5))&gt;0,1,0)</f>
        <v>0</v>
      </c>
      <c r="L553" s="37">
        <f>IF(COUNTIFS('📋 Транзакції'!$B$5:$B$3623,A553,'📋 Транзакції'!$C$5:$C$3623,"&gt;="&amp;EDATE(DATEVALUE(C553&amp;"-01"),5),'📋 Транзакції'!$C$5:$C$3623,"&lt;"&amp;EDATE(DATEVALUE(C553&amp;"-01"),6))&gt;0,1,0)</f>
        <v>0</v>
      </c>
      <c r="M553" s="37">
        <f>IF(COUNTIFS('📋 Транзакції'!$B$5:$B$3623,A553,'📋 Транзакції'!$C$5:$C$3623,"&gt;="&amp;EDATE(DATEVALUE(C553&amp;"-01"),6),'📋 Транзакції'!$C$5:$C$3623,"&lt;"&amp;EDATE(DATEVALUE(C553&amp;"-01"),7))&gt;0,1,0)</f>
        <v>0</v>
      </c>
      <c r="N553" s="37">
        <f>IF(COUNTIFS('📋 Транзакції'!$B$5:$B$3623,A553,'📋 Транзакції'!$C$5:$C$3623,"&gt;="&amp;EDATE(DATEVALUE(C553&amp;"-01"),7),'📋 Транзакції'!$C$5:$C$3623,"&lt;"&amp;EDATE(DATEVALUE(C553&amp;"-01"),8))&gt;0,1,0)</f>
        <v>0</v>
      </c>
      <c r="O553" s="37">
        <f>IF(COUNTIFS('📋 Транзакції'!$B$5:$B$3623,A553,'📋 Транзакції'!$C$5:$C$3623,"&gt;="&amp;EDATE(DATEVALUE(C553&amp;"-01"),8),'📋 Транзакції'!$C$5:$C$3623,"&lt;"&amp;EDATE(DATEVALUE(C553&amp;"-01"),9))&gt;0,1,0)</f>
        <v>0</v>
      </c>
      <c r="P553" s="37">
        <f>IF(COUNTIFS('📋 Транзакції'!$B$5:$B$3623,A553,'📋 Транзакції'!$C$5:$C$3623,"&gt;="&amp;EDATE(DATEVALUE(C553&amp;"-01"),9),'📋 Транзакції'!$C$5:$C$3623,"&lt;"&amp;EDATE(DATEVALUE(C553&amp;"-01"),10))&gt;0,1,0)</f>
        <v>0</v>
      </c>
      <c r="Q553" s="37">
        <f>IF(COUNTIFS('📋 Транзакції'!$B$5:$B$3623,A553,'📋 Транзакції'!$C$5:$C$3623,"&gt;="&amp;EDATE(DATEVALUE(C553&amp;"-01"),10),'📋 Транзакції'!$C$5:$C$3623,"&lt;"&amp;EDATE(DATEVALUE(C553&amp;"-01"),11))&gt;0,1,0)</f>
        <v>0</v>
      </c>
      <c r="R553" s="37">
        <f>IF(COUNTIFS('📋 Транзакції'!$B$5:$B$3623,A553,'📋 Транзакції'!$C$5:$C$3623,"&gt;="&amp;EDATE(DATEVALUE(C553&amp;"-01"),11),'📋 Транзакції'!$C$5:$C$3623,"&lt;"&amp;EDATE(DATEVALUE(C553&amp;"-01"),12))&gt;0,1,0)</f>
        <v>0</v>
      </c>
      <c r="S553" s="37">
        <f>SUMIFS('📋 Транзакції'!$F$5:$F$3623,'📋 Транзакції'!$B$5:$B$3623,A553,'📋 Транзакції'!$C$5:$C$3623,"&gt;="&amp;EDATE(DATEVALUE(C553&amp;"-01"),0),'📋 Транзакції'!$C$5:$C$3623,"&lt;"&amp;EDATE(DATEVALUE(C553&amp;"-01"),1))</f>
        <v>0</v>
      </c>
      <c r="T553" s="37">
        <f>SUMIFS('📋 Транзакції'!$F$5:$F$3623,'📋 Транзакції'!$B$5:$B$3623,A553,'📋 Транзакції'!$C$5:$C$3623,"&gt;="&amp;EDATE(DATEVALUE(C553&amp;"-01"),1),'📋 Транзакції'!$C$5:$C$3623,"&lt;"&amp;EDATE(DATEVALUE(C553&amp;"-01"),2))</f>
        <v>19.99</v>
      </c>
      <c r="U553" s="37">
        <f>SUMIFS('📋 Транзакції'!$F$5:$F$3623,'📋 Транзакції'!$B$5:$B$3623,A553,'📋 Транзакції'!$C$5:$C$3623,"&gt;="&amp;EDATE(DATEVALUE(C553&amp;"-01"),2),'📋 Транзакції'!$C$5:$C$3623,"&lt;"&amp;EDATE(DATEVALUE(C553&amp;"-01"),3))</f>
        <v>0</v>
      </c>
      <c r="V553" s="37">
        <f>SUMIFS('📋 Транзакції'!$F$5:$F$3623,'📋 Транзакції'!$B$5:$B$3623,A553,'📋 Транзакції'!$C$5:$C$3623,"&gt;="&amp;EDATE(DATEVALUE(C553&amp;"-01"),3),'📋 Транзакції'!$C$5:$C$3623,"&lt;"&amp;EDATE(DATEVALUE(C553&amp;"-01"),4))</f>
        <v>0</v>
      </c>
      <c r="W553" s="37">
        <f>SUMIFS('📋 Транзакції'!$F$5:$F$3623,'📋 Транзакції'!$B$5:$B$3623,A553,'📋 Транзакції'!$C$5:$C$3623,"&gt;="&amp;EDATE(DATEVALUE(C553&amp;"-01"),4),'📋 Транзакції'!$C$5:$C$3623,"&lt;"&amp;EDATE(DATEVALUE(C553&amp;"-01"),5))</f>
        <v>0</v>
      </c>
      <c r="X553" s="37">
        <f>SUMIFS('📋 Транзакції'!$F$5:$F$3623,'📋 Транзакції'!$B$5:$B$3623,A553,'📋 Транзакції'!$C$5:$C$3623,"&gt;="&amp;EDATE(DATEVALUE(C553&amp;"-01"),5),'📋 Транзакції'!$C$5:$C$3623,"&lt;"&amp;EDATE(DATEVALUE(C553&amp;"-01"),6))</f>
        <v>0</v>
      </c>
      <c r="Y553" s="37">
        <f>SUMIFS('📋 Транзакції'!$F$5:$F$3623,'📋 Транзакції'!$B$5:$B$3623,A553,'📋 Транзакції'!$C$5:$C$3623,"&gt;="&amp;EDATE(DATEVALUE(C553&amp;"-01"),6),'📋 Транзакції'!$C$5:$C$3623,"&lt;"&amp;EDATE(DATEVALUE(C553&amp;"-01"),7))</f>
        <v>0</v>
      </c>
      <c r="Z553" s="37">
        <f>SUMIFS('📋 Транзакції'!$F$5:$F$3623,'📋 Транзакції'!$B$5:$B$3623,A553,'📋 Транзакції'!$C$5:$C$3623,"&gt;="&amp;EDATE(DATEVALUE(C553&amp;"-01"),7),'📋 Транзакції'!$C$5:$C$3623,"&lt;"&amp;EDATE(DATEVALUE(C553&amp;"-01"),8))</f>
        <v>0</v>
      </c>
      <c r="AA553" s="37">
        <f>SUMIFS('📋 Транзакції'!$F$5:$F$3623,'📋 Транзакції'!$B$5:$B$3623,A553,'📋 Транзакції'!$C$5:$C$3623,"&gt;="&amp;EDATE(DATEVALUE(C553&amp;"-01"),8),'📋 Транзакції'!$C$5:$C$3623,"&lt;"&amp;EDATE(DATEVALUE(C553&amp;"-01"),9))</f>
        <v>0</v>
      </c>
      <c r="AB553" s="37">
        <f>SUMIFS('📋 Транзакції'!$F$5:$F$3623,'📋 Транзакції'!$B$5:$B$3623,A553,'📋 Транзакції'!$C$5:$C$3623,"&gt;="&amp;EDATE(DATEVALUE(C553&amp;"-01"),9),'📋 Транзакції'!$C$5:$C$3623,"&lt;"&amp;EDATE(DATEVALUE(C553&amp;"-01"),10))</f>
        <v>0</v>
      </c>
      <c r="AC553" s="37">
        <f>SUMIFS('📋 Транзакції'!$F$5:$F$3623,'📋 Транзакції'!$B$5:$B$3623,A553,'📋 Транзакції'!$C$5:$C$3623,"&gt;="&amp;EDATE(DATEVALUE(C553&amp;"-01"),10),'📋 Транзакції'!$C$5:$C$3623,"&lt;"&amp;EDATE(DATEVALUE(C553&amp;"-01"),11))</f>
        <v>0</v>
      </c>
      <c r="AD553" s="37">
        <f>SUMIFS('📋 Транзакції'!$F$5:$F$3623,'📋 Транзакції'!$B$5:$B$3623,A553,'📋 Транзакції'!$C$5:$C$3623,"&gt;="&amp;EDATE(DATEVALUE(C553&amp;"-01"),11),'📋 Транзакції'!$C$5:$C$3623,"&lt;"&amp;EDATE(DATEVALUE(C553&amp;"-01"),12))</f>
        <v>0</v>
      </c>
    </row>
    <row r="554" ht="15.75" customHeight="1">
      <c r="A554" s="33" t="str">
        <f>'📋 Реєстрації'!A554:A1155</f>
        <v>U0514</v>
      </c>
      <c r="B554" s="34">
        <f t="array" ref="B554">INDEX('📋 Транзакції'!$C$5:$C$3623,MATCH(A554,'📋 Транзакції'!$B$5:$B$3623,0))</f>
        <v>45715</v>
      </c>
      <c r="C554" s="35" t="str">
        <f t="shared" si="1"/>
        <v>2025-02</v>
      </c>
      <c r="D554" s="36">
        <f>COUNTIF('📋 Транзакції'!$B$5:$B$3623,A554)</f>
        <v>2</v>
      </c>
      <c r="E554" s="36">
        <f>SUMIF('📋 Транзакції'!$B$5:$B$3623,A554,'📋 Транзакції'!$F$5:$F$3623)</f>
        <v>19.99</v>
      </c>
      <c r="F554" s="35">
        <f>INT($A$1-MAXIFS('📋 Транзакції'!$C$5:$C$3623,'📋 Транзакції'!$B$5:$B$3623,A554))</f>
        <v>25</v>
      </c>
      <c r="G554" s="37">
        <f>IF(COUNTIFS('📋 Транзакції'!$B$5:$B$3623,A554,'📋 Транзакції'!$C$5:$C$3623,"&gt;="&amp;EDATE(DATEVALUE(C554&amp;"-01"),0),'📋 Транзакції'!$C$5:$C$3623,"&lt;"&amp;EDATE(DATEVALUE(C554&amp;"-01"),1))&gt;0,1,0)</f>
        <v>1</v>
      </c>
      <c r="H554" s="37">
        <f>IF(COUNTIFS('📋 Транзакції'!$B$5:$B$3623,A554,'📋 Транзакції'!$C$5:$C$3623,"&gt;="&amp;EDATE(DATEVALUE(C554&amp;"-01"),1),'📋 Транзакції'!$C$5:$C$3623,"&lt;"&amp;EDATE(DATEVALUE(C554&amp;"-01"),2))&gt;0,1,0)</f>
        <v>1</v>
      </c>
      <c r="I554" s="37">
        <f>IF(COUNTIFS('📋 Транзакції'!$B$5:$B$3623,A554,'📋 Транзакції'!$C$5:$C$3623,"&gt;="&amp;EDATE(DATEVALUE(C554&amp;"-01"),2),'📋 Транзакції'!$C$5:$C$3623,"&lt;"&amp;EDATE(DATEVALUE(C554&amp;"-01"),3))&gt;0,1,0)</f>
        <v>0</v>
      </c>
      <c r="J554" s="37">
        <f>IF(COUNTIFS('📋 Транзакції'!$B$5:$B$3623,A554,'📋 Транзакції'!$C$5:$C$3623,"&gt;="&amp;EDATE(DATEVALUE(C554&amp;"-01"),3),'📋 Транзакції'!$C$5:$C$3623,"&lt;"&amp;EDATE(DATEVALUE(C554&amp;"-01"),4))&gt;0,1,0)</f>
        <v>0</v>
      </c>
      <c r="K554" s="37">
        <f>IF(COUNTIFS('📋 Транзакції'!$B$5:$B$3623,A554,'📋 Транзакції'!$C$5:$C$3623,"&gt;="&amp;EDATE(DATEVALUE(C554&amp;"-01"),4),'📋 Транзакції'!$C$5:$C$3623,"&lt;"&amp;EDATE(DATEVALUE(C554&amp;"-01"),5))&gt;0,1,0)</f>
        <v>0</v>
      </c>
      <c r="L554" s="37">
        <f>IF(COUNTIFS('📋 Транзакції'!$B$5:$B$3623,A554,'📋 Транзакції'!$C$5:$C$3623,"&gt;="&amp;EDATE(DATEVALUE(C554&amp;"-01"),5),'📋 Транзакції'!$C$5:$C$3623,"&lt;"&amp;EDATE(DATEVALUE(C554&amp;"-01"),6))&gt;0,1,0)</f>
        <v>0</v>
      </c>
      <c r="M554" s="37">
        <f>IF(COUNTIFS('📋 Транзакції'!$B$5:$B$3623,A554,'📋 Транзакції'!$C$5:$C$3623,"&gt;="&amp;EDATE(DATEVALUE(C554&amp;"-01"),6),'📋 Транзакції'!$C$5:$C$3623,"&lt;"&amp;EDATE(DATEVALUE(C554&amp;"-01"),7))&gt;0,1,0)</f>
        <v>0</v>
      </c>
      <c r="N554" s="37">
        <f>IF(COUNTIFS('📋 Транзакції'!$B$5:$B$3623,A554,'📋 Транзакції'!$C$5:$C$3623,"&gt;="&amp;EDATE(DATEVALUE(C554&amp;"-01"),7),'📋 Транзакції'!$C$5:$C$3623,"&lt;"&amp;EDATE(DATEVALUE(C554&amp;"-01"),8))&gt;0,1,0)</f>
        <v>0</v>
      </c>
      <c r="O554" s="37">
        <f>IF(COUNTIFS('📋 Транзакції'!$B$5:$B$3623,A554,'📋 Транзакції'!$C$5:$C$3623,"&gt;="&amp;EDATE(DATEVALUE(C554&amp;"-01"),8),'📋 Транзакції'!$C$5:$C$3623,"&lt;"&amp;EDATE(DATEVALUE(C554&amp;"-01"),9))&gt;0,1,0)</f>
        <v>0</v>
      </c>
      <c r="P554" s="37">
        <f>IF(COUNTIFS('📋 Транзакції'!$B$5:$B$3623,A554,'📋 Транзакції'!$C$5:$C$3623,"&gt;="&amp;EDATE(DATEVALUE(C554&amp;"-01"),9),'📋 Транзакції'!$C$5:$C$3623,"&lt;"&amp;EDATE(DATEVALUE(C554&amp;"-01"),10))&gt;0,1,0)</f>
        <v>0</v>
      </c>
      <c r="Q554" s="37">
        <f>IF(COUNTIFS('📋 Транзакції'!$B$5:$B$3623,A554,'📋 Транзакції'!$C$5:$C$3623,"&gt;="&amp;EDATE(DATEVALUE(C554&amp;"-01"),10),'📋 Транзакції'!$C$5:$C$3623,"&lt;"&amp;EDATE(DATEVALUE(C554&amp;"-01"),11))&gt;0,1,0)</f>
        <v>0</v>
      </c>
      <c r="R554" s="37">
        <f>IF(COUNTIFS('📋 Транзакції'!$B$5:$B$3623,A554,'📋 Транзакції'!$C$5:$C$3623,"&gt;="&amp;EDATE(DATEVALUE(C554&amp;"-01"),11),'📋 Транзакції'!$C$5:$C$3623,"&lt;"&amp;EDATE(DATEVALUE(C554&amp;"-01"),12))&gt;0,1,0)</f>
        <v>0</v>
      </c>
      <c r="S554" s="37">
        <f>SUMIFS('📋 Транзакції'!$F$5:$F$3623,'📋 Транзакції'!$B$5:$B$3623,A554,'📋 Транзакції'!$C$5:$C$3623,"&gt;="&amp;EDATE(DATEVALUE(C554&amp;"-01"),0),'📋 Транзакції'!$C$5:$C$3623,"&lt;"&amp;EDATE(DATEVALUE(C554&amp;"-01"),1))</f>
        <v>0</v>
      </c>
      <c r="T554" s="37">
        <f>SUMIFS('📋 Транзакції'!$F$5:$F$3623,'📋 Транзакції'!$B$5:$B$3623,A554,'📋 Транзакції'!$C$5:$C$3623,"&gt;="&amp;EDATE(DATEVALUE(C554&amp;"-01"),1),'📋 Транзакції'!$C$5:$C$3623,"&lt;"&amp;EDATE(DATEVALUE(C554&amp;"-01"),2))</f>
        <v>19.99</v>
      </c>
      <c r="U554" s="37">
        <f>SUMIFS('📋 Транзакції'!$F$5:$F$3623,'📋 Транзакції'!$B$5:$B$3623,A554,'📋 Транзакції'!$C$5:$C$3623,"&gt;="&amp;EDATE(DATEVALUE(C554&amp;"-01"),2),'📋 Транзакції'!$C$5:$C$3623,"&lt;"&amp;EDATE(DATEVALUE(C554&amp;"-01"),3))</f>
        <v>0</v>
      </c>
      <c r="V554" s="37">
        <f>SUMIFS('📋 Транзакції'!$F$5:$F$3623,'📋 Транзакції'!$B$5:$B$3623,A554,'📋 Транзакції'!$C$5:$C$3623,"&gt;="&amp;EDATE(DATEVALUE(C554&amp;"-01"),3),'📋 Транзакції'!$C$5:$C$3623,"&lt;"&amp;EDATE(DATEVALUE(C554&amp;"-01"),4))</f>
        <v>0</v>
      </c>
      <c r="W554" s="37">
        <f>SUMIFS('📋 Транзакції'!$F$5:$F$3623,'📋 Транзакції'!$B$5:$B$3623,A554,'📋 Транзакції'!$C$5:$C$3623,"&gt;="&amp;EDATE(DATEVALUE(C554&amp;"-01"),4),'📋 Транзакції'!$C$5:$C$3623,"&lt;"&amp;EDATE(DATEVALUE(C554&amp;"-01"),5))</f>
        <v>0</v>
      </c>
      <c r="X554" s="37">
        <f>SUMIFS('📋 Транзакції'!$F$5:$F$3623,'📋 Транзакції'!$B$5:$B$3623,A554,'📋 Транзакції'!$C$5:$C$3623,"&gt;="&amp;EDATE(DATEVALUE(C554&amp;"-01"),5),'📋 Транзакції'!$C$5:$C$3623,"&lt;"&amp;EDATE(DATEVALUE(C554&amp;"-01"),6))</f>
        <v>0</v>
      </c>
      <c r="Y554" s="37">
        <f>SUMIFS('📋 Транзакції'!$F$5:$F$3623,'📋 Транзакції'!$B$5:$B$3623,A554,'📋 Транзакції'!$C$5:$C$3623,"&gt;="&amp;EDATE(DATEVALUE(C554&amp;"-01"),6),'📋 Транзакції'!$C$5:$C$3623,"&lt;"&amp;EDATE(DATEVALUE(C554&amp;"-01"),7))</f>
        <v>0</v>
      </c>
      <c r="Z554" s="37">
        <f>SUMIFS('📋 Транзакції'!$F$5:$F$3623,'📋 Транзакції'!$B$5:$B$3623,A554,'📋 Транзакції'!$C$5:$C$3623,"&gt;="&amp;EDATE(DATEVALUE(C554&amp;"-01"),7),'📋 Транзакції'!$C$5:$C$3623,"&lt;"&amp;EDATE(DATEVALUE(C554&amp;"-01"),8))</f>
        <v>0</v>
      </c>
      <c r="AA554" s="37">
        <f>SUMIFS('📋 Транзакції'!$F$5:$F$3623,'📋 Транзакції'!$B$5:$B$3623,A554,'📋 Транзакції'!$C$5:$C$3623,"&gt;="&amp;EDATE(DATEVALUE(C554&amp;"-01"),8),'📋 Транзакції'!$C$5:$C$3623,"&lt;"&amp;EDATE(DATEVALUE(C554&amp;"-01"),9))</f>
        <v>0</v>
      </c>
      <c r="AB554" s="37">
        <f>SUMIFS('📋 Транзакції'!$F$5:$F$3623,'📋 Транзакції'!$B$5:$B$3623,A554,'📋 Транзакції'!$C$5:$C$3623,"&gt;="&amp;EDATE(DATEVALUE(C554&amp;"-01"),9),'📋 Транзакції'!$C$5:$C$3623,"&lt;"&amp;EDATE(DATEVALUE(C554&amp;"-01"),10))</f>
        <v>0</v>
      </c>
      <c r="AC554" s="37">
        <f>SUMIFS('📋 Транзакції'!$F$5:$F$3623,'📋 Транзакції'!$B$5:$B$3623,A554,'📋 Транзакції'!$C$5:$C$3623,"&gt;="&amp;EDATE(DATEVALUE(C554&amp;"-01"),10),'📋 Транзакції'!$C$5:$C$3623,"&lt;"&amp;EDATE(DATEVALUE(C554&amp;"-01"),11))</f>
        <v>0</v>
      </c>
      <c r="AD554" s="37">
        <f>SUMIFS('📋 Транзакції'!$F$5:$F$3623,'📋 Транзакції'!$B$5:$B$3623,A554,'📋 Транзакції'!$C$5:$C$3623,"&gt;="&amp;EDATE(DATEVALUE(C554&amp;"-01"),11),'📋 Транзакції'!$C$5:$C$3623,"&lt;"&amp;EDATE(DATEVALUE(C554&amp;"-01"),12))</f>
        <v>0</v>
      </c>
    </row>
    <row r="555" ht="15.75" customHeight="1">
      <c r="A555" s="33" t="str">
        <f>'📋 Реєстрації'!A555:A1156</f>
        <v>U0746</v>
      </c>
      <c r="B555" s="34">
        <f t="array" ref="B555">INDEX('📋 Транзакції'!$C$5:$C$3623,MATCH(A555,'📋 Транзакції'!$B$5:$B$3623,0))</f>
        <v>45715</v>
      </c>
      <c r="C555" s="35" t="str">
        <f t="shared" si="1"/>
        <v>2025-02</v>
      </c>
      <c r="D555" s="36">
        <f>COUNTIF('📋 Транзакції'!$B$5:$B$3623,A555)</f>
        <v>2</v>
      </c>
      <c r="E555" s="36">
        <f>SUMIF('📋 Транзакції'!$B$5:$B$3623,A555,'📋 Транзакції'!$F$5:$F$3623)</f>
        <v>19.99</v>
      </c>
      <c r="F555" s="35">
        <f>INT($A$1-MAXIFS('📋 Транзакції'!$C$5:$C$3623,'📋 Транзакції'!$B$5:$B$3623,A555))</f>
        <v>25</v>
      </c>
      <c r="G555" s="37">
        <f>IF(COUNTIFS('📋 Транзакції'!$B$5:$B$3623,A555,'📋 Транзакції'!$C$5:$C$3623,"&gt;="&amp;EDATE(DATEVALUE(C555&amp;"-01"),0),'📋 Транзакції'!$C$5:$C$3623,"&lt;"&amp;EDATE(DATEVALUE(C555&amp;"-01"),1))&gt;0,1,0)</f>
        <v>1</v>
      </c>
      <c r="H555" s="37">
        <f>IF(COUNTIFS('📋 Транзакції'!$B$5:$B$3623,A555,'📋 Транзакції'!$C$5:$C$3623,"&gt;="&amp;EDATE(DATEVALUE(C555&amp;"-01"),1),'📋 Транзакції'!$C$5:$C$3623,"&lt;"&amp;EDATE(DATEVALUE(C555&amp;"-01"),2))&gt;0,1,0)</f>
        <v>1</v>
      </c>
      <c r="I555" s="37">
        <f>IF(COUNTIFS('📋 Транзакції'!$B$5:$B$3623,A555,'📋 Транзакції'!$C$5:$C$3623,"&gt;="&amp;EDATE(DATEVALUE(C555&amp;"-01"),2),'📋 Транзакції'!$C$5:$C$3623,"&lt;"&amp;EDATE(DATEVALUE(C555&amp;"-01"),3))&gt;0,1,0)</f>
        <v>0</v>
      </c>
      <c r="J555" s="37">
        <f>IF(COUNTIFS('📋 Транзакції'!$B$5:$B$3623,A555,'📋 Транзакції'!$C$5:$C$3623,"&gt;="&amp;EDATE(DATEVALUE(C555&amp;"-01"),3),'📋 Транзакції'!$C$5:$C$3623,"&lt;"&amp;EDATE(DATEVALUE(C555&amp;"-01"),4))&gt;0,1,0)</f>
        <v>0</v>
      </c>
      <c r="K555" s="37">
        <f>IF(COUNTIFS('📋 Транзакції'!$B$5:$B$3623,A555,'📋 Транзакції'!$C$5:$C$3623,"&gt;="&amp;EDATE(DATEVALUE(C555&amp;"-01"),4),'📋 Транзакції'!$C$5:$C$3623,"&lt;"&amp;EDATE(DATEVALUE(C555&amp;"-01"),5))&gt;0,1,0)</f>
        <v>0</v>
      </c>
      <c r="L555" s="37">
        <f>IF(COUNTIFS('📋 Транзакції'!$B$5:$B$3623,A555,'📋 Транзакції'!$C$5:$C$3623,"&gt;="&amp;EDATE(DATEVALUE(C555&amp;"-01"),5),'📋 Транзакції'!$C$5:$C$3623,"&lt;"&amp;EDATE(DATEVALUE(C555&amp;"-01"),6))&gt;0,1,0)</f>
        <v>0</v>
      </c>
      <c r="M555" s="37">
        <f>IF(COUNTIFS('📋 Транзакції'!$B$5:$B$3623,A555,'📋 Транзакції'!$C$5:$C$3623,"&gt;="&amp;EDATE(DATEVALUE(C555&amp;"-01"),6),'📋 Транзакції'!$C$5:$C$3623,"&lt;"&amp;EDATE(DATEVALUE(C555&amp;"-01"),7))&gt;0,1,0)</f>
        <v>0</v>
      </c>
      <c r="N555" s="37">
        <f>IF(COUNTIFS('📋 Транзакції'!$B$5:$B$3623,A555,'📋 Транзакції'!$C$5:$C$3623,"&gt;="&amp;EDATE(DATEVALUE(C555&amp;"-01"),7),'📋 Транзакції'!$C$5:$C$3623,"&lt;"&amp;EDATE(DATEVALUE(C555&amp;"-01"),8))&gt;0,1,0)</f>
        <v>0</v>
      </c>
      <c r="O555" s="37">
        <f>IF(COUNTIFS('📋 Транзакції'!$B$5:$B$3623,A555,'📋 Транзакції'!$C$5:$C$3623,"&gt;="&amp;EDATE(DATEVALUE(C555&amp;"-01"),8),'📋 Транзакції'!$C$5:$C$3623,"&lt;"&amp;EDATE(DATEVALUE(C555&amp;"-01"),9))&gt;0,1,0)</f>
        <v>0</v>
      </c>
      <c r="P555" s="37">
        <f>IF(COUNTIFS('📋 Транзакції'!$B$5:$B$3623,A555,'📋 Транзакції'!$C$5:$C$3623,"&gt;="&amp;EDATE(DATEVALUE(C555&amp;"-01"),9),'📋 Транзакції'!$C$5:$C$3623,"&lt;"&amp;EDATE(DATEVALUE(C555&amp;"-01"),10))&gt;0,1,0)</f>
        <v>0</v>
      </c>
      <c r="Q555" s="37">
        <f>IF(COUNTIFS('📋 Транзакції'!$B$5:$B$3623,A555,'📋 Транзакції'!$C$5:$C$3623,"&gt;="&amp;EDATE(DATEVALUE(C555&amp;"-01"),10),'📋 Транзакції'!$C$5:$C$3623,"&lt;"&amp;EDATE(DATEVALUE(C555&amp;"-01"),11))&gt;0,1,0)</f>
        <v>0</v>
      </c>
      <c r="R555" s="37">
        <f>IF(COUNTIFS('📋 Транзакції'!$B$5:$B$3623,A555,'📋 Транзакції'!$C$5:$C$3623,"&gt;="&amp;EDATE(DATEVALUE(C555&amp;"-01"),11),'📋 Транзакції'!$C$5:$C$3623,"&lt;"&amp;EDATE(DATEVALUE(C555&amp;"-01"),12))&gt;0,1,0)</f>
        <v>0</v>
      </c>
      <c r="S555" s="37">
        <f>SUMIFS('📋 Транзакції'!$F$5:$F$3623,'📋 Транзакції'!$B$5:$B$3623,A555,'📋 Транзакції'!$C$5:$C$3623,"&gt;="&amp;EDATE(DATEVALUE(C555&amp;"-01"),0),'📋 Транзакції'!$C$5:$C$3623,"&lt;"&amp;EDATE(DATEVALUE(C555&amp;"-01"),1))</f>
        <v>0</v>
      </c>
      <c r="T555" s="37">
        <f>SUMIFS('📋 Транзакції'!$F$5:$F$3623,'📋 Транзакції'!$B$5:$B$3623,A555,'📋 Транзакції'!$C$5:$C$3623,"&gt;="&amp;EDATE(DATEVALUE(C555&amp;"-01"),1),'📋 Транзакції'!$C$5:$C$3623,"&lt;"&amp;EDATE(DATEVALUE(C555&amp;"-01"),2))</f>
        <v>19.99</v>
      </c>
      <c r="U555" s="37">
        <f>SUMIFS('📋 Транзакції'!$F$5:$F$3623,'📋 Транзакції'!$B$5:$B$3623,A555,'📋 Транзакції'!$C$5:$C$3623,"&gt;="&amp;EDATE(DATEVALUE(C555&amp;"-01"),2),'📋 Транзакції'!$C$5:$C$3623,"&lt;"&amp;EDATE(DATEVALUE(C555&amp;"-01"),3))</f>
        <v>0</v>
      </c>
      <c r="V555" s="37">
        <f>SUMIFS('📋 Транзакції'!$F$5:$F$3623,'📋 Транзакції'!$B$5:$B$3623,A555,'📋 Транзакції'!$C$5:$C$3623,"&gt;="&amp;EDATE(DATEVALUE(C555&amp;"-01"),3),'📋 Транзакції'!$C$5:$C$3623,"&lt;"&amp;EDATE(DATEVALUE(C555&amp;"-01"),4))</f>
        <v>0</v>
      </c>
      <c r="W555" s="37">
        <f>SUMIFS('📋 Транзакції'!$F$5:$F$3623,'📋 Транзакції'!$B$5:$B$3623,A555,'📋 Транзакції'!$C$5:$C$3623,"&gt;="&amp;EDATE(DATEVALUE(C555&amp;"-01"),4),'📋 Транзакції'!$C$5:$C$3623,"&lt;"&amp;EDATE(DATEVALUE(C555&amp;"-01"),5))</f>
        <v>0</v>
      </c>
      <c r="X555" s="37">
        <f>SUMIFS('📋 Транзакції'!$F$5:$F$3623,'📋 Транзакції'!$B$5:$B$3623,A555,'📋 Транзакції'!$C$5:$C$3623,"&gt;="&amp;EDATE(DATEVALUE(C555&amp;"-01"),5),'📋 Транзакції'!$C$5:$C$3623,"&lt;"&amp;EDATE(DATEVALUE(C555&amp;"-01"),6))</f>
        <v>0</v>
      </c>
      <c r="Y555" s="37">
        <f>SUMIFS('📋 Транзакції'!$F$5:$F$3623,'📋 Транзакції'!$B$5:$B$3623,A555,'📋 Транзакції'!$C$5:$C$3623,"&gt;="&amp;EDATE(DATEVALUE(C555&amp;"-01"),6),'📋 Транзакції'!$C$5:$C$3623,"&lt;"&amp;EDATE(DATEVALUE(C555&amp;"-01"),7))</f>
        <v>0</v>
      </c>
      <c r="Z555" s="37">
        <f>SUMIFS('📋 Транзакції'!$F$5:$F$3623,'📋 Транзакції'!$B$5:$B$3623,A555,'📋 Транзакції'!$C$5:$C$3623,"&gt;="&amp;EDATE(DATEVALUE(C555&amp;"-01"),7),'📋 Транзакції'!$C$5:$C$3623,"&lt;"&amp;EDATE(DATEVALUE(C555&amp;"-01"),8))</f>
        <v>0</v>
      </c>
      <c r="AA555" s="37">
        <f>SUMIFS('📋 Транзакції'!$F$5:$F$3623,'📋 Транзакції'!$B$5:$B$3623,A555,'📋 Транзакції'!$C$5:$C$3623,"&gt;="&amp;EDATE(DATEVALUE(C555&amp;"-01"),8),'📋 Транзакції'!$C$5:$C$3623,"&lt;"&amp;EDATE(DATEVALUE(C555&amp;"-01"),9))</f>
        <v>0</v>
      </c>
      <c r="AB555" s="37">
        <f>SUMIFS('📋 Транзакції'!$F$5:$F$3623,'📋 Транзакції'!$B$5:$B$3623,A555,'📋 Транзакції'!$C$5:$C$3623,"&gt;="&amp;EDATE(DATEVALUE(C555&amp;"-01"),9),'📋 Транзакції'!$C$5:$C$3623,"&lt;"&amp;EDATE(DATEVALUE(C555&amp;"-01"),10))</f>
        <v>0</v>
      </c>
      <c r="AC555" s="37">
        <f>SUMIFS('📋 Транзакції'!$F$5:$F$3623,'📋 Транзакції'!$B$5:$B$3623,A555,'📋 Транзакції'!$C$5:$C$3623,"&gt;="&amp;EDATE(DATEVALUE(C555&amp;"-01"),10),'📋 Транзакції'!$C$5:$C$3623,"&lt;"&amp;EDATE(DATEVALUE(C555&amp;"-01"),11))</f>
        <v>0</v>
      </c>
      <c r="AD555" s="37">
        <f>SUMIFS('📋 Транзакції'!$F$5:$F$3623,'📋 Транзакції'!$B$5:$B$3623,A555,'📋 Транзакції'!$C$5:$C$3623,"&gt;="&amp;EDATE(DATEVALUE(C555&amp;"-01"),11),'📋 Транзакції'!$C$5:$C$3623,"&lt;"&amp;EDATE(DATEVALUE(C555&amp;"-01"),12))</f>
        <v>0</v>
      </c>
    </row>
    <row r="556" ht="15.75" customHeight="1">
      <c r="A556" s="33" t="str">
        <f>'📋 Реєстрації'!A556:A1157</f>
        <v>U0814</v>
      </c>
      <c r="B556" s="34">
        <f t="array" ref="B556">INDEX('📋 Транзакції'!$C$5:$C$3623,MATCH(A556,'📋 Транзакції'!$B$5:$B$3623,0))</f>
        <v>45717</v>
      </c>
      <c r="C556" s="35" t="str">
        <f t="shared" si="1"/>
        <v>2025-03</v>
      </c>
      <c r="D556" s="36">
        <f>COUNTIF('📋 Транзакції'!$B$5:$B$3623,A556)</f>
        <v>2</v>
      </c>
      <c r="E556" s="36">
        <f>SUMIF('📋 Транзакції'!$B$5:$B$3623,A556,'📋 Транзакції'!$F$5:$F$3623)</f>
        <v>19.99</v>
      </c>
      <c r="F556" s="35">
        <f>INT($A$1-MAXIFS('📋 Транзакції'!$C$5:$C$3623,'📋 Транзакції'!$B$5:$B$3623,A556))</f>
        <v>23</v>
      </c>
      <c r="G556" s="37">
        <f>IF(COUNTIFS('📋 Транзакції'!$B$5:$B$3623,A556,'📋 Транзакції'!$C$5:$C$3623,"&gt;="&amp;EDATE(DATEVALUE(C556&amp;"-01"),0),'📋 Транзакції'!$C$5:$C$3623,"&lt;"&amp;EDATE(DATEVALUE(C556&amp;"-01"),1))&gt;0,1,0)</f>
        <v>1</v>
      </c>
      <c r="H556" s="37">
        <f>IF(COUNTIFS('📋 Транзакції'!$B$5:$B$3623,A556,'📋 Транзакції'!$C$5:$C$3623,"&gt;="&amp;EDATE(DATEVALUE(C556&amp;"-01"),1),'📋 Транзакції'!$C$5:$C$3623,"&lt;"&amp;EDATE(DATEVALUE(C556&amp;"-01"),2))&gt;0,1,0)</f>
        <v>0</v>
      </c>
      <c r="I556" s="37">
        <f>IF(COUNTIFS('📋 Транзакції'!$B$5:$B$3623,A556,'📋 Транзакції'!$C$5:$C$3623,"&gt;="&amp;EDATE(DATEVALUE(C556&amp;"-01"),2),'📋 Транзакції'!$C$5:$C$3623,"&lt;"&amp;EDATE(DATEVALUE(C556&amp;"-01"),3))&gt;0,1,0)</f>
        <v>0</v>
      </c>
      <c r="J556" s="37">
        <f>IF(COUNTIFS('📋 Транзакції'!$B$5:$B$3623,A556,'📋 Транзакції'!$C$5:$C$3623,"&gt;="&amp;EDATE(DATEVALUE(C556&amp;"-01"),3),'📋 Транзакції'!$C$5:$C$3623,"&lt;"&amp;EDATE(DATEVALUE(C556&amp;"-01"),4))&gt;0,1,0)</f>
        <v>0</v>
      </c>
      <c r="K556" s="37">
        <f>IF(COUNTIFS('📋 Транзакції'!$B$5:$B$3623,A556,'📋 Транзакції'!$C$5:$C$3623,"&gt;="&amp;EDATE(DATEVALUE(C556&amp;"-01"),4),'📋 Транзакції'!$C$5:$C$3623,"&lt;"&amp;EDATE(DATEVALUE(C556&amp;"-01"),5))&gt;0,1,0)</f>
        <v>0</v>
      </c>
      <c r="L556" s="37">
        <f>IF(COUNTIFS('📋 Транзакції'!$B$5:$B$3623,A556,'📋 Транзакції'!$C$5:$C$3623,"&gt;="&amp;EDATE(DATEVALUE(C556&amp;"-01"),5),'📋 Транзакції'!$C$5:$C$3623,"&lt;"&amp;EDATE(DATEVALUE(C556&amp;"-01"),6))&gt;0,1,0)</f>
        <v>0</v>
      </c>
      <c r="M556" s="37">
        <f>IF(COUNTIFS('📋 Транзакції'!$B$5:$B$3623,A556,'📋 Транзакції'!$C$5:$C$3623,"&gt;="&amp;EDATE(DATEVALUE(C556&amp;"-01"),6),'📋 Транзакції'!$C$5:$C$3623,"&lt;"&amp;EDATE(DATEVALUE(C556&amp;"-01"),7))&gt;0,1,0)</f>
        <v>0</v>
      </c>
      <c r="N556" s="37">
        <f>IF(COUNTIFS('📋 Транзакції'!$B$5:$B$3623,A556,'📋 Транзакції'!$C$5:$C$3623,"&gt;="&amp;EDATE(DATEVALUE(C556&amp;"-01"),7),'📋 Транзакції'!$C$5:$C$3623,"&lt;"&amp;EDATE(DATEVALUE(C556&amp;"-01"),8))&gt;0,1,0)</f>
        <v>0</v>
      </c>
      <c r="O556" s="37">
        <f>IF(COUNTIFS('📋 Транзакції'!$B$5:$B$3623,A556,'📋 Транзакції'!$C$5:$C$3623,"&gt;="&amp;EDATE(DATEVALUE(C556&amp;"-01"),8),'📋 Транзакції'!$C$5:$C$3623,"&lt;"&amp;EDATE(DATEVALUE(C556&amp;"-01"),9))&gt;0,1,0)</f>
        <v>0</v>
      </c>
      <c r="P556" s="37">
        <f>IF(COUNTIFS('📋 Транзакції'!$B$5:$B$3623,A556,'📋 Транзакції'!$C$5:$C$3623,"&gt;="&amp;EDATE(DATEVALUE(C556&amp;"-01"),9),'📋 Транзакції'!$C$5:$C$3623,"&lt;"&amp;EDATE(DATEVALUE(C556&amp;"-01"),10))&gt;0,1,0)</f>
        <v>0</v>
      </c>
      <c r="Q556" s="37">
        <f>IF(COUNTIFS('📋 Транзакції'!$B$5:$B$3623,A556,'📋 Транзакції'!$C$5:$C$3623,"&gt;="&amp;EDATE(DATEVALUE(C556&amp;"-01"),10),'📋 Транзакції'!$C$5:$C$3623,"&lt;"&amp;EDATE(DATEVALUE(C556&amp;"-01"),11))&gt;0,1,0)</f>
        <v>0</v>
      </c>
      <c r="R556" s="37">
        <f>IF(COUNTIFS('📋 Транзакції'!$B$5:$B$3623,A556,'📋 Транзакції'!$C$5:$C$3623,"&gt;="&amp;EDATE(DATEVALUE(C556&amp;"-01"),11),'📋 Транзакції'!$C$5:$C$3623,"&lt;"&amp;EDATE(DATEVALUE(C556&amp;"-01"),12))&gt;0,1,0)</f>
        <v>0</v>
      </c>
      <c r="S556" s="37">
        <f>SUMIFS('📋 Транзакції'!$F$5:$F$3623,'📋 Транзакції'!$B$5:$B$3623,A556,'📋 Транзакції'!$C$5:$C$3623,"&gt;="&amp;EDATE(DATEVALUE(C556&amp;"-01"),0),'📋 Транзакції'!$C$5:$C$3623,"&lt;"&amp;EDATE(DATEVALUE(C556&amp;"-01"),1))</f>
        <v>19.99</v>
      </c>
      <c r="T556" s="37">
        <f>SUMIFS('📋 Транзакції'!$F$5:$F$3623,'📋 Транзакції'!$B$5:$B$3623,A556,'📋 Транзакції'!$C$5:$C$3623,"&gt;="&amp;EDATE(DATEVALUE(C556&amp;"-01"),1),'📋 Транзакції'!$C$5:$C$3623,"&lt;"&amp;EDATE(DATEVALUE(C556&amp;"-01"),2))</f>
        <v>0</v>
      </c>
      <c r="U556" s="37">
        <f>SUMIFS('📋 Транзакції'!$F$5:$F$3623,'📋 Транзакції'!$B$5:$B$3623,A556,'📋 Транзакції'!$C$5:$C$3623,"&gt;="&amp;EDATE(DATEVALUE(C556&amp;"-01"),2),'📋 Транзакції'!$C$5:$C$3623,"&lt;"&amp;EDATE(DATEVALUE(C556&amp;"-01"),3))</f>
        <v>0</v>
      </c>
      <c r="V556" s="37">
        <f>SUMIFS('📋 Транзакції'!$F$5:$F$3623,'📋 Транзакції'!$B$5:$B$3623,A556,'📋 Транзакції'!$C$5:$C$3623,"&gt;="&amp;EDATE(DATEVALUE(C556&amp;"-01"),3),'📋 Транзакції'!$C$5:$C$3623,"&lt;"&amp;EDATE(DATEVALUE(C556&amp;"-01"),4))</f>
        <v>0</v>
      </c>
      <c r="W556" s="37">
        <f>SUMIFS('📋 Транзакції'!$F$5:$F$3623,'📋 Транзакції'!$B$5:$B$3623,A556,'📋 Транзакції'!$C$5:$C$3623,"&gt;="&amp;EDATE(DATEVALUE(C556&amp;"-01"),4),'📋 Транзакції'!$C$5:$C$3623,"&lt;"&amp;EDATE(DATEVALUE(C556&amp;"-01"),5))</f>
        <v>0</v>
      </c>
      <c r="X556" s="37">
        <f>SUMIFS('📋 Транзакції'!$F$5:$F$3623,'📋 Транзакції'!$B$5:$B$3623,A556,'📋 Транзакції'!$C$5:$C$3623,"&gt;="&amp;EDATE(DATEVALUE(C556&amp;"-01"),5),'📋 Транзакції'!$C$5:$C$3623,"&lt;"&amp;EDATE(DATEVALUE(C556&amp;"-01"),6))</f>
        <v>0</v>
      </c>
      <c r="Y556" s="37">
        <f>SUMIFS('📋 Транзакції'!$F$5:$F$3623,'📋 Транзакції'!$B$5:$B$3623,A556,'📋 Транзакції'!$C$5:$C$3623,"&gt;="&amp;EDATE(DATEVALUE(C556&amp;"-01"),6),'📋 Транзакції'!$C$5:$C$3623,"&lt;"&amp;EDATE(DATEVALUE(C556&amp;"-01"),7))</f>
        <v>0</v>
      </c>
      <c r="Z556" s="37">
        <f>SUMIFS('📋 Транзакції'!$F$5:$F$3623,'📋 Транзакції'!$B$5:$B$3623,A556,'📋 Транзакції'!$C$5:$C$3623,"&gt;="&amp;EDATE(DATEVALUE(C556&amp;"-01"),7),'📋 Транзакції'!$C$5:$C$3623,"&lt;"&amp;EDATE(DATEVALUE(C556&amp;"-01"),8))</f>
        <v>0</v>
      </c>
      <c r="AA556" s="37">
        <f>SUMIFS('📋 Транзакції'!$F$5:$F$3623,'📋 Транзакції'!$B$5:$B$3623,A556,'📋 Транзакції'!$C$5:$C$3623,"&gt;="&amp;EDATE(DATEVALUE(C556&amp;"-01"),8),'📋 Транзакції'!$C$5:$C$3623,"&lt;"&amp;EDATE(DATEVALUE(C556&amp;"-01"),9))</f>
        <v>0</v>
      </c>
      <c r="AB556" s="37">
        <f>SUMIFS('📋 Транзакції'!$F$5:$F$3623,'📋 Транзакції'!$B$5:$B$3623,A556,'📋 Транзакції'!$C$5:$C$3623,"&gt;="&amp;EDATE(DATEVALUE(C556&amp;"-01"),9),'📋 Транзакції'!$C$5:$C$3623,"&lt;"&amp;EDATE(DATEVALUE(C556&amp;"-01"),10))</f>
        <v>0</v>
      </c>
      <c r="AC556" s="37">
        <f>SUMIFS('📋 Транзакції'!$F$5:$F$3623,'📋 Транзакції'!$B$5:$B$3623,A556,'📋 Транзакції'!$C$5:$C$3623,"&gt;="&amp;EDATE(DATEVALUE(C556&amp;"-01"),10),'📋 Транзакції'!$C$5:$C$3623,"&lt;"&amp;EDATE(DATEVALUE(C556&amp;"-01"),11))</f>
        <v>0</v>
      </c>
      <c r="AD556" s="37">
        <f>SUMIFS('📋 Транзакції'!$F$5:$F$3623,'📋 Транзакції'!$B$5:$B$3623,A556,'📋 Транзакції'!$C$5:$C$3623,"&gt;="&amp;EDATE(DATEVALUE(C556&amp;"-01"),11),'📋 Транзакції'!$C$5:$C$3623,"&lt;"&amp;EDATE(DATEVALUE(C556&amp;"-01"),12))</f>
        <v>0</v>
      </c>
    </row>
    <row r="557" ht="15.75" customHeight="1">
      <c r="A557" s="33" t="str">
        <f>'📋 Реєстрації'!A557:A1158</f>
        <v>U0513</v>
      </c>
      <c r="B557" s="34">
        <f t="array" ref="B557">INDEX('📋 Транзакції'!$C$5:$C$3623,MATCH(A557,'📋 Транзакції'!$B$5:$B$3623,0))</f>
        <v>45718</v>
      </c>
      <c r="C557" s="35" t="str">
        <f t="shared" si="1"/>
        <v>2025-03</v>
      </c>
      <c r="D557" s="36">
        <f>COUNTIF('📋 Транзакції'!$B$5:$B$3623,A557)</f>
        <v>2</v>
      </c>
      <c r="E557" s="36">
        <f>SUMIF('📋 Транзакції'!$B$5:$B$3623,A557,'📋 Транзакції'!$F$5:$F$3623)</f>
        <v>19.99</v>
      </c>
      <c r="F557" s="35">
        <f>INT($A$1-MAXIFS('📋 Транзакції'!$C$5:$C$3623,'📋 Транзакції'!$B$5:$B$3623,A557))</f>
        <v>22</v>
      </c>
      <c r="G557" s="37">
        <f>IF(COUNTIFS('📋 Транзакції'!$B$5:$B$3623,A557,'📋 Транзакції'!$C$5:$C$3623,"&gt;="&amp;EDATE(DATEVALUE(C557&amp;"-01"),0),'📋 Транзакції'!$C$5:$C$3623,"&lt;"&amp;EDATE(DATEVALUE(C557&amp;"-01"),1))&gt;0,1,0)</f>
        <v>1</v>
      </c>
      <c r="H557" s="37">
        <f>IF(COUNTIFS('📋 Транзакції'!$B$5:$B$3623,A557,'📋 Транзакції'!$C$5:$C$3623,"&gt;="&amp;EDATE(DATEVALUE(C557&amp;"-01"),1),'📋 Транзакції'!$C$5:$C$3623,"&lt;"&amp;EDATE(DATEVALUE(C557&amp;"-01"),2))&gt;0,1,0)</f>
        <v>0</v>
      </c>
      <c r="I557" s="37">
        <f>IF(COUNTIFS('📋 Транзакції'!$B$5:$B$3623,A557,'📋 Транзакції'!$C$5:$C$3623,"&gt;="&amp;EDATE(DATEVALUE(C557&amp;"-01"),2),'📋 Транзакції'!$C$5:$C$3623,"&lt;"&amp;EDATE(DATEVALUE(C557&amp;"-01"),3))&gt;0,1,0)</f>
        <v>0</v>
      </c>
      <c r="J557" s="37">
        <f>IF(COUNTIFS('📋 Транзакції'!$B$5:$B$3623,A557,'📋 Транзакції'!$C$5:$C$3623,"&gt;="&amp;EDATE(DATEVALUE(C557&amp;"-01"),3),'📋 Транзакції'!$C$5:$C$3623,"&lt;"&amp;EDATE(DATEVALUE(C557&amp;"-01"),4))&gt;0,1,0)</f>
        <v>0</v>
      </c>
      <c r="K557" s="37">
        <f>IF(COUNTIFS('📋 Транзакції'!$B$5:$B$3623,A557,'📋 Транзакції'!$C$5:$C$3623,"&gt;="&amp;EDATE(DATEVALUE(C557&amp;"-01"),4),'📋 Транзакції'!$C$5:$C$3623,"&lt;"&amp;EDATE(DATEVALUE(C557&amp;"-01"),5))&gt;0,1,0)</f>
        <v>0</v>
      </c>
      <c r="L557" s="37">
        <f>IF(COUNTIFS('📋 Транзакції'!$B$5:$B$3623,A557,'📋 Транзакції'!$C$5:$C$3623,"&gt;="&amp;EDATE(DATEVALUE(C557&amp;"-01"),5),'📋 Транзакції'!$C$5:$C$3623,"&lt;"&amp;EDATE(DATEVALUE(C557&amp;"-01"),6))&gt;0,1,0)</f>
        <v>0</v>
      </c>
      <c r="M557" s="37">
        <f>IF(COUNTIFS('📋 Транзакції'!$B$5:$B$3623,A557,'📋 Транзакції'!$C$5:$C$3623,"&gt;="&amp;EDATE(DATEVALUE(C557&amp;"-01"),6),'📋 Транзакції'!$C$5:$C$3623,"&lt;"&amp;EDATE(DATEVALUE(C557&amp;"-01"),7))&gt;0,1,0)</f>
        <v>0</v>
      </c>
      <c r="N557" s="37">
        <f>IF(COUNTIFS('📋 Транзакції'!$B$5:$B$3623,A557,'📋 Транзакції'!$C$5:$C$3623,"&gt;="&amp;EDATE(DATEVALUE(C557&amp;"-01"),7),'📋 Транзакції'!$C$5:$C$3623,"&lt;"&amp;EDATE(DATEVALUE(C557&amp;"-01"),8))&gt;0,1,0)</f>
        <v>0</v>
      </c>
      <c r="O557" s="37">
        <f>IF(COUNTIFS('📋 Транзакції'!$B$5:$B$3623,A557,'📋 Транзакції'!$C$5:$C$3623,"&gt;="&amp;EDATE(DATEVALUE(C557&amp;"-01"),8),'📋 Транзакції'!$C$5:$C$3623,"&lt;"&amp;EDATE(DATEVALUE(C557&amp;"-01"),9))&gt;0,1,0)</f>
        <v>0</v>
      </c>
      <c r="P557" s="37">
        <f>IF(COUNTIFS('📋 Транзакції'!$B$5:$B$3623,A557,'📋 Транзакції'!$C$5:$C$3623,"&gt;="&amp;EDATE(DATEVALUE(C557&amp;"-01"),9),'📋 Транзакції'!$C$5:$C$3623,"&lt;"&amp;EDATE(DATEVALUE(C557&amp;"-01"),10))&gt;0,1,0)</f>
        <v>0</v>
      </c>
      <c r="Q557" s="37">
        <f>IF(COUNTIFS('📋 Транзакції'!$B$5:$B$3623,A557,'📋 Транзакції'!$C$5:$C$3623,"&gt;="&amp;EDATE(DATEVALUE(C557&amp;"-01"),10),'📋 Транзакції'!$C$5:$C$3623,"&lt;"&amp;EDATE(DATEVALUE(C557&amp;"-01"),11))&gt;0,1,0)</f>
        <v>0</v>
      </c>
      <c r="R557" s="37">
        <f>IF(COUNTIFS('📋 Транзакції'!$B$5:$B$3623,A557,'📋 Транзакції'!$C$5:$C$3623,"&gt;="&amp;EDATE(DATEVALUE(C557&amp;"-01"),11),'📋 Транзакції'!$C$5:$C$3623,"&lt;"&amp;EDATE(DATEVALUE(C557&amp;"-01"),12))&gt;0,1,0)</f>
        <v>0</v>
      </c>
      <c r="S557" s="37">
        <f>SUMIFS('📋 Транзакції'!$F$5:$F$3623,'📋 Транзакції'!$B$5:$B$3623,A557,'📋 Транзакції'!$C$5:$C$3623,"&gt;="&amp;EDATE(DATEVALUE(C557&amp;"-01"),0),'📋 Транзакції'!$C$5:$C$3623,"&lt;"&amp;EDATE(DATEVALUE(C557&amp;"-01"),1))</f>
        <v>19.99</v>
      </c>
      <c r="T557" s="37">
        <f>SUMIFS('📋 Транзакції'!$F$5:$F$3623,'📋 Транзакції'!$B$5:$B$3623,A557,'📋 Транзакції'!$C$5:$C$3623,"&gt;="&amp;EDATE(DATEVALUE(C557&amp;"-01"),1),'📋 Транзакції'!$C$5:$C$3623,"&lt;"&amp;EDATE(DATEVALUE(C557&amp;"-01"),2))</f>
        <v>0</v>
      </c>
      <c r="U557" s="37">
        <f>SUMIFS('📋 Транзакції'!$F$5:$F$3623,'📋 Транзакції'!$B$5:$B$3623,A557,'📋 Транзакції'!$C$5:$C$3623,"&gt;="&amp;EDATE(DATEVALUE(C557&amp;"-01"),2),'📋 Транзакції'!$C$5:$C$3623,"&lt;"&amp;EDATE(DATEVALUE(C557&amp;"-01"),3))</f>
        <v>0</v>
      </c>
      <c r="V557" s="37">
        <f>SUMIFS('📋 Транзакції'!$F$5:$F$3623,'📋 Транзакції'!$B$5:$B$3623,A557,'📋 Транзакції'!$C$5:$C$3623,"&gt;="&amp;EDATE(DATEVALUE(C557&amp;"-01"),3),'📋 Транзакції'!$C$5:$C$3623,"&lt;"&amp;EDATE(DATEVALUE(C557&amp;"-01"),4))</f>
        <v>0</v>
      </c>
      <c r="W557" s="37">
        <f>SUMIFS('📋 Транзакції'!$F$5:$F$3623,'📋 Транзакції'!$B$5:$B$3623,A557,'📋 Транзакції'!$C$5:$C$3623,"&gt;="&amp;EDATE(DATEVALUE(C557&amp;"-01"),4),'📋 Транзакції'!$C$5:$C$3623,"&lt;"&amp;EDATE(DATEVALUE(C557&amp;"-01"),5))</f>
        <v>0</v>
      </c>
      <c r="X557" s="37">
        <f>SUMIFS('📋 Транзакції'!$F$5:$F$3623,'📋 Транзакції'!$B$5:$B$3623,A557,'📋 Транзакції'!$C$5:$C$3623,"&gt;="&amp;EDATE(DATEVALUE(C557&amp;"-01"),5),'📋 Транзакції'!$C$5:$C$3623,"&lt;"&amp;EDATE(DATEVALUE(C557&amp;"-01"),6))</f>
        <v>0</v>
      </c>
      <c r="Y557" s="37">
        <f>SUMIFS('📋 Транзакції'!$F$5:$F$3623,'📋 Транзакції'!$B$5:$B$3623,A557,'📋 Транзакції'!$C$5:$C$3623,"&gt;="&amp;EDATE(DATEVALUE(C557&amp;"-01"),6),'📋 Транзакції'!$C$5:$C$3623,"&lt;"&amp;EDATE(DATEVALUE(C557&amp;"-01"),7))</f>
        <v>0</v>
      </c>
      <c r="Z557" s="37">
        <f>SUMIFS('📋 Транзакції'!$F$5:$F$3623,'📋 Транзакції'!$B$5:$B$3623,A557,'📋 Транзакції'!$C$5:$C$3623,"&gt;="&amp;EDATE(DATEVALUE(C557&amp;"-01"),7),'📋 Транзакції'!$C$5:$C$3623,"&lt;"&amp;EDATE(DATEVALUE(C557&amp;"-01"),8))</f>
        <v>0</v>
      </c>
      <c r="AA557" s="37">
        <f>SUMIFS('📋 Транзакції'!$F$5:$F$3623,'📋 Транзакції'!$B$5:$B$3623,A557,'📋 Транзакції'!$C$5:$C$3623,"&gt;="&amp;EDATE(DATEVALUE(C557&amp;"-01"),8),'📋 Транзакції'!$C$5:$C$3623,"&lt;"&amp;EDATE(DATEVALUE(C557&amp;"-01"),9))</f>
        <v>0</v>
      </c>
      <c r="AB557" s="37">
        <f>SUMIFS('📋 Транзакції'!$F$5:$F$3623,'📋 Транзакції'!$B$5:$B$3623,A557,'📋 Транзакції'!$C$5:$C$3623,"&gt;="&amp;EDATE(DATEVALUE(C557&amp;"-01"),9),'📋 Транзакції'!$C$5:$C$3623,"&lt;"&amp;EDATE(DATEVALUE(C557&amp;"-01"),10))</f>
        <v>0</v>
      </c>
      <c r="AC557" s="37">
        <f>SUMIFS('📋 Транзакції'!$F$5:$F$3623,'📋 Транзакції'!$B$5:$B$3623,A557,'📋 Транзакції'!$C$5:$C$3623,"&gt;="&amp;EDATE(DATEVALUE(C557&amp;"-01"),10),'📋 Транзакції'!$C$5:$C$3623,"&lt;"&amp;EDATE(DATEVALUE(C557&amp;"-01"),11))</f>
        <v>0</v>
      </c>
      <c r="AD557" s="37">
        <f>SUMIFS('📋 Транзакції'!$F$5:$F$3623,'📋 Транзакції'!$B$5:$B$3623,A557,'📋 Транзакції'!$C$5:$C$3623,"&gt;="&amp;EDATE(DATEVALUE(C557&amp;"-01"),11),'📋 Транзакції'!$C$5:$C$3623,"&lt;"&amp;EDATE(DATEVALUE(C557&amp;"-01"),12))</f>
        <v>0</v>
      </c>
    </row>
    <row r="558" ht="15.75" customHeight="1">
      <c r="A558" s="33" t="str">
        <f>'📋 Реєстрації'!A558:A1159</f>
        <v>U0002</v>
      </c>
      <c r="B558" s="34">
        <f t="array" ref="B558">INDEX('📋 Транзакції'!$C$5:$C$3623,MATCH(A558,'📋 Транзакції'!$B$5:$B$3623,0))</f>
        <v>45719</v>
      </c>
      <c r="C558" s="35" t="str">
        <f t="shared" si="1"/>
        <v>2025-03</v>
      </c>
      <c r="D558" s="36">
        <f>COUNTIF('📋 Транзакції'!$B$5:$B$3623,A558)</f>
        <v>2</v>
      </c>
      <c r="E558" s="36">
        <f>SUMIF('📋 Транзакції'!$B$5:$B$3623,A558,'📋 Транзакції'!$F$5:$F$3623)</f>
        <v>19.99</v>
      </c>
      <c r="F558" s="35">
        <f>INT($A$1-MAXIFS('📋 Транзакції'!$C$5:$C$3623,'📋 Транзакції'!$B$5:$B$3623,A558))</f>
        <v>21</v>
      </c>
      <c r="G558" s="37">
        <f>IF(COUNTIFS('📋 Транзакції'!$B$5:$B$3623,A558,'📋 Транзакції'!$C$5:$C$3623,"&gt;="&amp;EDATE(DATEVALUE(C558&amp;"-01"),0),'📋 Транзакції'!$C$5:$C$3623,"&lt;"&amp;EDATE(DATEVALUE(C558&amp;"-01"),1))&gt;0,1,0)</f>
        <v>1</v>
      </c>
      <c r="H558" s="37">
        <f>IF(COUNTIFS('📋 Транзакції'!$B$5:$B$3623,A558,'📋 Транзакції'!$C$5:$C$3623,"&gt;="&amp;EDATE(DATEVALUE(C558&amp;"-01"),1),'📋 Транзакції'!$C$5:$C$3623,"&lt;"&amp;EDATE(DATEVALUE(C558&amp;"-01"),2))&gt;0,1,0)</f>
        <v>0</v>
      </c>
      <c r="I558" s="37">
        <f>IF(COUNTIFS('📋 Транзакції'!$B$5:$B$3623,A558,'📋 Транзакції'!$C$5:$C$3623,"&gt;="&amp;EDATE(DATEVALUE(C558&amp;"-01"),2),'📋 Транзакції'!$C$5:$C$3623,"&lt;"&amp;EDATE(DATEVALUE(C558&amp;"-01"),3))&gt;0,1,0)</f>
        <v>0</v>
      </c>
      <c r="J558" s="37">
        <f>IF(COUNTIFS('📋 Транзакції'!$B$5:$B$3623,A558,'📋 Транзакції'!$C$5:$C$3623,"&gt;="&amp;EDATE(DATEVALUE(C558&amp;"-01"),3),'📋 Транзакції'!$C$5:$C$3623,"&lt;"&amp;EDATE(DATEVALUE(C558&amp;"-01"),4))&gt;0,1,0)</f>
        <v>0</v>
      </c>
      <c r="K558" s="37">
        <f>IF(COUNTIFS('📋 Транзакції'!$B$5:$B$3623,A558,'📋 Транзакції'!$C$5:$C$3623,"&gt;="&amp;EDATE(DATEVALUE(C558&amp;"-01"),4),'📋 Транзакції'!$C$5:$C$3623,"&lt;"&amp;EDATE(DATEVALUE(C558&amp;"-01"),5))&gt;0,1,0)</f>
        <v>0</v>
      </c>
      <c r="L558" s="37">
        <f>IF(COUNTIFS('📋 Транзакції'!$B$5:$B$3623,A558,'📋 Транзакції'!$C$5:$C$3623,"&gt;="&amp;EDATE(DATEVALUE(C558&amp;"-01"),5),'📋 Транзакції'!$C$5:$C$3623,"&lt;"&amp;EDATE(DATEVALUE(C558&amp;"-01"),6))&gt;0,1,0)</f>
        <v>0</v>
      </c>
      <c r="M558" s="37">
        <f>IF(COUNTIFS('📋 Транзакції'!$B$5:$B$3623,A558,'📋 Транзакції'!$C$5:$C$3623,"&gt;="&amp;EDATE(DATEVALUE(C558&amp;"-01"),6),'📋 Транзакції'!$C$5:$C$3623,"&lt;"&amp;EDATE(DATEVALUE(C558&amp;"-01"),7))&gt;0,1,0)</f>
        <v>0</v>
      </c>
      <c r="N558" s="37">
        <f>IF(COUNTIFS('📋 Транзакції'!$B$5:$B$3623,A558,'📋 Транзакції'!$C$5:$C$3623,"&gt;="&amp;EDATE(DATEVALUE(C558&amp;"-01"),7),'📋 Транзакції'!$C$5:$C$3623,"&lt;"&amp;EDATE(DATEVALUE(C558&amp;"-01"),8))&gt;0,1,0)</f>
        <v>0</v>
      </c>
      <c r="O558" s="37">
        <f>IF(COUNTIFS('📋 Транзакції'!$B$5:$B$3623,A558,'📋 Транзакції'!$C$5:$C$3623,"&gt;="&amp;EDATE(DATEVALUE(C558&amp;"-01"),8),'📋 Транзакції'!$C$5:$C$3623,"&lt;"&amp;EDATE(DATEVALUE(C558&amp;"-01"),9))&gt;0,1,0)</f>
        <v>0</v>
      </c>
      <c r="P558" s="37">
        <f>IF(COUNTIFS('📋 Транзакції'!$B$5:$B$3623,A558,'📋 Транзакції'!$C$5:$C$3623,"&gt;="&amp;EDATE(DATEVALUE(C558&amp;"-01"),9),'📋 Транзакції'!$C$5:$C$3623,"&lt;"&amp;EDATE(DATEVALUE(C558&amp;"-01"),10))&gt;0,1,0)</f>
        <v>0</v>
      </c>
      <c r="Q558" s="37">
        <f>IF(COUNTIFS('📋 Транзакції'!$B$5:$B$3623,A558,'📋 Транзакції'!$C$5:$C$3623,"&gt;="&amp;EDATE(DATEVALUE(C558&amp;"-01"),10),'📋 Транзакції'!$C$5:$C$3623,"&lt;"&amp;EDATE(DATEVALUE(C558&amp;"-01"),11))&gt;0,1,0)</f>
        <v>0</v>
      </c>
      <c r="R558" s="37">
        <f>IF(COUNTIFS('📋 Транзакції'!$B$5:$B$3623,A558,'📋 Транзакції'!$C$5:$C$3623,"&gt;="&amp;EDATE(DATEVALUE(C558&amp;"-01"),11),'📋 Транзакції'!$C$5:$C$3623,"&lt;"&amp;EDATE(DATEVALUE(C558&amp;"-01"),12))&gt;0,1,0)</f>
        <v>0</v>
      </c>
      <c r="S558" s="37">
        <f>SUMIFS('📋 Транзакції'!$F$5:$F$3623,'📋 Транзакції'!$B$5:$B$3623,A558,'📋 Транзакції'!$C$5:$C$3623,"&gt;="&amp;EDATE(DATEVALUE(C558&amp;"-01"),0),'📋 Транзакції'!$C$5:$C$3623,"&lt;"&amp;EDATE(DATEVALUE(C558&amp;"-01"),1))</f>
        <v>19.99</v>
      </c>
      <c r="T558" s="37">
        <f>SUMIFS('📋 Транзакції'!$F$5:$F$3623,'📋 Транзакції'!$B$5:$B$3623,A558,'📋 Транзакції'!$C$5:$C$3623,"&gt;="&amp;EDATE(DATEVALUE(C558&amp;"-01"),1),'📋 Транзакції'!$C$5:$C$3623,"&lt;"&amp;EDATE(DATEVALUE(C558&amp;"-01"),2))</f>
        <v>0</v>
      </c>
      <c r="U558" s="37">
        <f>SUMIFS('📋 Транзакції'!$F$5:$F$3623,'📋 Транзакції'!$B$5:$B$3623,A558,'📋 Транзакції'!$C$5:$C$3623,"&gt;="&amp;EDATE(DATEVALUE(C558&amp;"-01"),2),'📋 Транзакції'!$C$5:$C$3623,"&lt;"&amp;EDATE(DATEVALUE(C558&amp;"-01"),3))</f>
        <v>0</v>
      </c>
      <c r="V558" s="37">
        <f>SUMIFS('📋 Транзакції'!$F$5:$F$3623,'📋 Транзакції'!$B$5:$B$3623,A558,'📋 Транзакції'!$C$5:$C$3623,"&gt;="&amp;EDATE(DATEVALUE(C558&amp;"-01"),3),'📋 Транзакції'!$C$5:$C$3623,"&lt;"&amp;EDATE(DATEVALUE(C558&amp;"-01"),4))</f>
        <v>0</v>
      </c>
      <c r="W558" s="37">
        <f>SUMIFS('📋 Транзакції'!$F$5:$F$3623,'📋 Транзакції'!$B$5:$B$3623,A558,'📋 Транзакції'!$C$5:$C$3623,"&gt;="&amp;EDATE(DATEVALUE(C558&amp;"-01"),4),'📋 Транзакції'!$C$5:$C$3623,"&lt;"&amp;EDATE(DATEVALUE(C558&amp;"-01"),5))</f>
        <v>0</v>
      </c>
      <c r="X558" s="37">
        <f>SUMIFS('📋 Транзакції'!$F$5:$F$3623,'📋 Транзакції'!$B$5:$B$3623,A558,'📋 Транзакції'!$C$5:$C$3623,"&gt;="&amp;EDATE(DATEVALUE(C558&amp;"-01"),5),'📋 Транзакції'!$C$5:$C$3623,"&lt;"&amp;EDATE(DATEVALUE(C558&amp;"-01"),6))</f>
        <v>0</v>
      </c>
      <c r="Y558" s="37">
        <f>SUMIFS('📋 Транзакції'!$F$5:$F$3623,'📋 Транзакції'!$B$5:$B$3623,A558,'📋 Транзакції'!$C$5:$C$3623,"&gt;="&amp;EDATE(DATEVALUE(C558&amp;"-01"),6),'📋 Транзакції'!$C$5:$C$3623,"&lt;"&amp;EDATE(DATEVALUE(C558&amp;"-01"),7))</f>
        <v>0</v>
      </c>
      <c r="Z558" s="37">
        <f>SUMIFS('📋 Транзакції'!$F$5:$F$3623,'📋 Транзакції'!$B$5:$B$3623,A558,'📋 Транзакції'!$C$5:$C$3623,"&gt;="&amp;EDATE(DATEVALUE(C558&amp;"-01"),7),'📋 Транзакції'!$C$5:$C$3623,"&lt;"&amp;EDATE(DATEVALUE(C558&amp;"-01"),8))</f>
        <v>0</v>
      </c>
      <c r="AA558" s="37">
        <f>SUMIFS('📋 Транзакції'!$F$5:$F$3623,'📋 Транзакції'!$B$5:$B$3623,A558,'📋 Транзакції'!$C$5:$C$3623,"&gt;="&amp;EDATE(DATEVALUE(C558&amp;"-01"),8),'📋 Транзакції'!$C$5:$C$3623,"&lt;"&amp;EDATE(DATEVALUE(C558&amp;"-01"),9))</f>
        <v>0</v>
      </c>
      <c r="AB558" s="37">
        <f>SUMIFS('📋 Транзакції'!$F$5:$F$3623,'📋 Транзакції'!$B$5:$B$3623,A558,'📋 Транзакції'!$C$5:$C$3623,"&gt;="&amp;EDATE(DATEVALUE(C558&amp;"-01"),9),'📋 Транзакції'!$C$5:$C$3623,"&lt;"&amp;EDATE(DATEVALUE(C558&amp;"-01"),10))</f>
        <v>0</v>
      </c>
      <c r="AC558" s="37">
        <f>SUMIFS('📋 Транзакції'!$F$5:$F$3623,'📋 Транзакції'!$B$5:$B$3623,A558,'📋 Транзакції'!$C$5:$C$3623,"&gt;="&amp;EDATE(DATEVALUE(C558&amp;"-01"),10),'📋 Транзакції'!$C$5:$C$3623,"&lt;"&amp;EDATE(DATEVALUE(C558&amp;"-01"),11))</f>
        <v>0</v>
      </c>
      <c r="AD558" s="37">
        <f>SUMIFS('📋 Транзакції'!$F$5:$F$3623,'📋 Транзакції'!$B$5:$B$3623,A558,'📋 Транзакції'!$C$5:$C$3623,"&gt;="&amp;EDATE(DATEVALUE(C558&amp;"-01"),11),'📋 Транзакції'!$C$5:$C$3623,"&lt;"&amp;EDATE(DATEVALUE(C558&amp;"-01"),12))</f>
        <v>0</v>
      </c>
    </row>
    <row r="559" ht="15.75" customHeight="1">
      <c r="A559" s="33" t="str">
        <f>'📋 Реєстрації'!A559:A1160</f>
        <v>U0053</v>
      </c>
      <c r="B559" s="34">
        <f t="array" ref="B559">INDEX('📋 Транзакції'!$C$5:$C$3623,MATCH(A559,'📋 Транзакції'!$B$5:$B$3623,0))</f>
        <v>45720</v>
      </c>
      <c r="C559" s="35" t="str">
        <f t="shared" si="1"/>
        <v>2025-03</v>
      </c>
      <c r="D559" s="36">
        <f>COUNTIF('📋 Транзакції'!$B$5:$B$3623,A559)</f>
        <v>2</v>
      </c>
      <c r="E559" s="36">
        <f>SUMIF('📋 Транзакції'!$B$5:$B$3623,A559,'📋 Транзакції'!$F$5:$F$3623)</f>
        <v>19.99</v>
      </c>
      <c r="F559" s="35">
        <f>INT($A$1-MAXIFS('📋 Транзакції'!$C$5:$C$3623,'📋 Транзакції'!$B$5:$B$3623,A559))</f>
        <v>20</v>
      </c>
      <c r="G559" s="37">
        <f>IF(COUNTIFS('📋 Транзакції'!$B$5:$B$3623,A559,'📋 Транзакції'!$C$5:$C$3623,"&gt;="&amp;EDATE(DATEVALUE(C559&amp;"-01"),0),'📋 Транзакції'!$C$5:$C$3623,"&lt;"&amp;EDATE(DATEVALUE(C559&amp;"-01"),1))&gt;0,1,0)</f>
        <v>1</v>
      </c>
      <c r="H559" s="37">
        <f>IF(COUNTIFS('📋 Транзакції'!$B$5:$B$3623,A559,'📋 Транзакції'!$C$5:$C$3623,"&gt;="&amp;EDATE(DATEVALUE(C559&amp;"-01"),1),'📋 Транзакції'!$C$5:$C$3623,"&lt;"&amp;EDATE(DATEVALUE(C559&amp;"-01"),2))&gt;0,1,0)</f>
        <v>0</v>
      </c>
      <c r="I559" s="37">
        <f>IF(COUNTIFS('📋 Транзакції'!$B$5:$B$3623,A559,'📋 Транзакції'!$C$5:$C$3623,"&gt;="&amp;EDATE(DATEVALUE(C559&amp;"-01"),2),'📋 Транзакції'!$C$5:$C$3623,"&lt;"&amp;EDATE(DATEVALUE(C559&amp;"-01"),3))&gt;0,1,0)</f>
        <v>0</v>
      </c>
      <c r="J559" s="37">
        <f>IF(COUNTIFS('📋 Транзакції'!$B$5:$B$3623,A559,'📋 Транзакції'!$C$5:$C$3623,"&gt;="&amp;EDATE(DATEVALUE(C559&amp;"-01"),3),'📋 Транзакції'!$C$5:$C$3623,"&lt;"&amp;EDATE(DATEVALUE(C559&amp;"-01"),4))&gt;0,1,0)</f>
        <v>0</v>
      </c>
      <c r="K559" s="37">
        <f>IF(COUNTIFS('📋 Транзакції'!$B$5:$B$3623,A559,'📋 Транзакції'!$C$5:$C$3623,"&gt;="&amp;EDATE(DATEVALUE(C559&amp;"-01"),4),'📋 Транзакції'!$C$5:$C$3623,"&lt;"&amp;EDATE(DATEVALUE(C559&amp;"-01"),5))&gt;0,1,0)</f>
        <v>0</v>
      </c>
      <c r="L559" s="37">
        <f>IF(COUNTIFS('📋 Транзакції'!$B$5:$B$3623,A559,'📋 Транзакції'!$C$5:$C$3623,"&gt;="&amp;EDATE(DATEVALUE(C559&amp;"-01"),5),'📋 Транзакції'!$C$5:$C$3623,"&lt;"&amp;EDATE(DATEVALUE(C559&amp;"-01"),6))&gt;0,1,0)</f>
        <v>0</v>
      </c>
      <c r="M559" s="37">
        <f>IF(COUNTIFS('📋 Транзакції'!$B$5:$B$3623,A559,'📋 Транзакції'!$C$5:$C$3623,"&gt;="&amp;EDATE(DATEVALUE(C559&amp;"-01"),6),'📋 Транзакції'!$C$5:$C$3623,"&lt;"&amp;EDATE(DATEVALUE(C559&amp;"-01"),7))&gt;0,1,0)</f>
        <v>0</v>
      </c>
      <c r="N559" s="37">
        <f>IF(COUNTIFS('📋 Транзакції'!$B$5:$B$3623,A559,'📋 Транзакції'!$C$5:$C$3623,"&gt;="&amp;EDATE(DATEVALUE(C559&amp;"-01"),7),'📋 Транзакції'!$C$5:$C$3623,"&lt;"&amp;EDATE(DATEVALUE(C559&amp;"-01"),8))&gt;0,1,0)</f>
        <v>0</v>
      </c>
      <c r="O559" s="37">
        <f>IF(COUNTIFS('📋 Транзакції'!$B$5:$B$3623,A559,'📋 Транзакції'!$C$5:$C$3623,"&gt;="&amp;EDATE(DATEVALUE(C559&amp;"-01"),8),'📋 Транзакції'!$C$5:$C$3623,"&lt;"&amp;EDATE(DATEVALUE(C559&amp;"-01"),9))&gt;0,1,0)</f>
        <v>0</v>
      </c>
      <c r="P559" s="37">
        <f>IF(COUNTIFS('📋 Транзакції'!$B$5:$B$3623,A559,'📋 Транзакції'!$C$5:$C$3623,"&gt;="&amp;EDATE(DATEVALUE(C559&amp;"-01"),9),'📋 Транзакції'!$C$5:$C$3623,"&lt;"&amp;EDATE(DATEVALUE(C559&amp;"-01"),10))&gt;0,1,0)</f>
        <v>0</v>
      </c>
      <c r="Q559" s="37">
        <f>IF(COUNTIFS('📋 Транзакції'!$B$5:$B$3623,A559,'📋 Транзакції'!$C$5:$C$3623,"&gt;="&amp;EDATE(DATEVALUE(C559&amp;"-01"),10),'📋 Транзакції'!$C$5:$C$3623,"&lt;"&amp;EDATE(DATEVALUE(C559&amp;"-01"),11))&gt;0,1,0)</f>
        <v>0</v>
      </c>
      <c r="R559" s="37">
        <f>IF(COUNTIFS('📋 Транзакції'!$B$5:$B$3623,A559,'📋 Транзакції'!$C$5:$C$3623,"&gt;="&amp;EDATE(DATEVALUE(C559&amp;"-01"),11),'📋 Транзакції'!$C$5:$C$3623,"&lt;"&amp;EDATE(DATEVALUE(C559&amp;"-01"),12))&gt;0,1,0)</f>
        <v>0</v>
      </c>
      <c r="S559" s="37">
        <f>SUMIFS('📋 Транзакції'!$F$5:$F$3623,'📋 Транзакції'!$B$5:$B$3623,A559,'📋 Транзакції'!$C$5:$C$3623,"&gt;="&amp;EDATE(DATEVALUE(C559&amp;"-01"),0),'📋 Транзакції'!$C$5:$C$3623,"&lt;"&amp;EDATE(DATEVALUE(C559&amp;"-01"),1))</f>
        <v>19.99</v>
      </c>
      <c r="T559" s="37">
        <f>SUMIFS('📋 Транзакції'!$F$5:$F$3623,'📋 Транзакції'!$B$5:$B$3623,A559,'📋 Транзакції'!$C$5:$C$3623,"&gt;="&amp;EDATE(DATEVALUE(C559&amp;"-01"),1),'📋 Транзакції'!$C$5:$C$3623,"&lt;"&amp;EDATE(DATEVALUE(C559&amp;"-01"),2))</f>
        <v>0</v>
      </c>
      <c r="U559" s="37">
        <f>SUMIFS('📋 Транзакції'!$F$5:$F$3623,'📋 Транзакції'!$B$5:$B$3623,A559,'📋 Транзакції'!$C$5:$C$3623,"&gt;="&amp;EDATE(DATEVALUE(C559&amp;"-01"),2),'📋 Транзакції'!$C$5:$C$3623,"&lt;"&amp;EDATE(DATEVALUE(C559&amp;"-01"),3))</f>
        <v>0</v>
      </c>
      <c r="V559" s="37">
        <f>SUMIFS('📋 Транзакції'!$F$5:$F$3623,'📋 Транзакції'!$B$5:$B$3623,A559,'📋 Транзакції'!$C$5:$C$3623,"&gt;="&amp;EDATE(DATEVALUE(C559&amp;"-01"),3),'📋 Транзакції'!$C$5:$C$3623,"&lt;"&amp;EDATE(DATEVALUE(C559&amp;"-01"),4))</f>
        <v>0</v>
      </c>
      <c r="W559" s="37">
        <f>SUMIFS('📋 Транзакції'!$F$5:$F$3623,'📋 Транзакції'!$B$5:$B$3623,A559,'📋 Транзакції'!$C$5:$C$3623,"&gt;="&amp;EDATE(DATEVALUE(C559&amp;"-01"),4),'📋 Транзакції'!$C$5:$C$3623,"&lt;"&amp;EDATE(DATEVALUE(C559&amp;"-01"),5))</f>
        <v>0</v>
      </c>
      <c r="X559" s="37">
        <f>SUMIFS('📋 Транзакції'!$F$5:$F$3623,'📋 Транзакції'!$B$5:$B$3623,A559,'📋 Транзакції'!$C$5:$C$3623,"&gt;="&amp;EDATE(DATEVALUE(C559&amp;"-01"),5),'📋 Транзакції'!$C$5:$C$3623,"&lt;"&amp;EDATE(DATEVALUE(C559&amp;"-01"),6))</f>
        <v>0</v>
      </c>
      <c r="Y559" s="37">
        <f>SUMIFS('📋 Транзакції'!$F$5:$F$3623,'📋 Транзакції'!$B$5:$B$3623,A559,'📋 Транзакції'!$C$5:$C$3623,"&gt;="&amp;EDATE(DATEVALUE(C559&amp;"-01"),6),'📋 Транзакції'!$C$5:$C$3623,"&lt;"&amp;EDATE(DATEVALUE(C559&amp;"-01"),7))</f>
        <v>0</v>
      </c>
      <c r="Z559" s="37">
        <f>SUMIFS('📋 Транзакції'!$F$5:$F$3623,'📋 Транзакції'!$B$5:$B$3623,A559,'📋 Транзакції'!$C$5:$C$3623,"&gt;="&amp;EDATE(DATEVALUE(C559&amp;"-01"),7),'📋 Транзакції'!$C$5:$C$3623,"&lt;"&amp;EDATE(DATEVALUE(C559&amp;"-01"),8))</f>
        <v>0</v>
      </c>
      <c r="AA559" s="37">
        <f>SUMIFS('📋 Транзакції'!$F$5:$F$3623,'📋 Транзакції'!$B$5:$B$3623,A559,'📋 Транзакції'!$C$5:$C$3623,"&gt;="&amp;EDATE(DATEVALUE(C559&amp;"-01"),8),'📋 Транзакції'!$C$5:$C$3623,"&lt;"&amp;EDATE(DATEVALUE(C559&amp;"-01"),9))</f>
        <v>0</v>
      </c>
      <c r="AB559" s="37">
        <f>SUMIFS('📋 Транзакції'!$F$5:$F$3623,'📋 Транзакції'!$B$5:$B$3623,A559,'📋 Транзакції'!$C$5:$C$3623,"&gt;="&amp;EDATE(DATEVALUE(C559&amp;"-01"),9),'📋 Транзакції'!$C$5:$C$3623,"&lt;"&amp;EDATE(DATEVALUE(C559&amp;"-01"),10))</f>
        <v>0</v>
      </c>
      <c r="AC559" s="37">
        <f>SUMIFS('📋 Транзакції'!$F$5:$F$3623,'📋 Транзакції'!$B$5:$B$3623,A559,'📋 Транзакції'!$C$5:$C$3623,"&gt;="&amp;EDATE(DATEVALUE(C559&amp;"-01"),10),'📋 Транзакції'!$C$5:$C$3623,"&lt;"&amp;EDATE(DATEVALUE(C559&amp;"-01"),11))</f>
        <v>0</v>
      </c>
      <c r="AD559" s="37">
        <f>SUMIFS('📋 Транзакції'!$F$5:$F$3623,'📋 Транзакції'!$B$5:$B$3623,A559,'📋 Транзакції'!$C$5:$C$3623,"&gt;="&amp;EDATE(DATEVALUE(C559&amp;"-01"),11),'📋 Транзакції'!$C$5:$C$3623,"&lt;"&amp;EDATE(DATEVALUE(C559&amp;"-01"),12))</f>
        <v>0</v>
      </c>
    </row>
    <row r="560" ht="15.75" customHeight="1">
      <c r="A560" s="33" t="str">
        <f>'📋 Реєстрації'!A560:A1161</f>
        <v>U0442</v>
      </c>
      <c r="B560" s="34">
        <f t="array" ref="B560">INDEX('📋 Транзакції'!$C$5:$C$3623,MATCH(A560,'📋 Транзакції'!$B$5:$B$3623,0))</f>
        <v>45720</v>
      </c>
      <c r="C560" s="35" t="str">
        <f t="shared" si="1"/>
        <v>2025-03</v>
      </c>
      <c r="D560" s="36">
        <f>COUNTIF('📋 Транзакції'!$B$5:$B$3623,A560)</f>
        <v>2</v>
      </c>
      <c r="E560" s="36">
        <f>SUMIF('📋 Транзакції'!$B$5:$B$3623,A560,'📋 Транзакції'!$F$5:$F$3623)</f>
        <v>19.99</v>
      </c>
      <c r="F560" s="35">
        <f>INT($A$1-MAXIFS('📋 Транзакції'!$C$5:$C$3623,'📋 Транзакції'!$B$5:$B$3623,A560))</f>
        <v>20</v>
      </c>
      <c r="G560" s="37">
        <f>IF(COUNTIFS('📋 Транзакції'!$B$5:$B$3623,A560,'📋 Транзакції'!$C$5:$C$3623,"&gt;="&amp;EDATE(DATEVALUE(C560&amp;"-01"),0),'📋 Транзакції'!$C$5:$C$3623,"&lt;"&amp;EDATE(DATEVALUE(C560&amp;"-01"),1))&gt;0,1,0)</f>
        <v>1</v>
      </c>
      <c r="H560" s="37">
        <f>IF(COUNTIFS('📋 Транзакції'!$B$5:$B$3623,A560,'📋 Транзакції'!$C$5:$C$3623,"&gt;="&amp;EDATE(DATEVALUE(C560&amp;"-01"),1),'📋 Транзакції'!$C$5:$C$3623,"&lt;"&amp;EDATE(DATEVALUE(C560&amp;"-01"),2))&gt;0,1,0)</f>
        <v>0</v>
      </c>
      <c r="I560" s="37">
        <f>IF(COUNTIFS('📋 Транзакції'!$B$5:$B$3623,A560,'📋 Транзакції'!$C$5:$C$3623,"&gt;="&amp;EDATE(DATEVALUE(C560&amp;"-01"),2),'📋 Транзакції'!$C$5:$C$3623,"&lt;"&amp;EDATE(DATEVALUE(C560&amp;"-01"),3))&gt;0,1,0)</f>
        <v>0</v>
      </c>
      <c r="J560" s="37">
        <f>IF(COUNTIFS('📋 Транзакції'!$B$5:$B$3623,A560,'📋 Транзакції'!$C$5:$C$3623,"&gt;="&amp;EDATE(DATEVALUE(C560&amp;"-01"),3),'📋 Транзакції'!$C$5:$C$3623,"&lt;"&amp;EDATE(DATEVALUE(C560&amp;"-01"),4))&gt;0,1,0)</f>
        <v>0</v>
      </c>
      <c r="K560" s="37">
        <f>IF(COUNTIFS('📋 Транзакції'!$B$5:$B$3623,A560,'📋 Транзакції'!$C$5:$C$3623,"&gt;="&amp;EDATE(DATEVALUE(C560&amp;"-01"),4),'📋 Транзакції'!$C$5:$C$3623,"&lt;"&amp;EDATE(DATEVALUE(C560&amp;"-01"),5))&gt;0,1,0)</f>
        <v>0</v>
      </c>
      <c r="L560" s="37">
        <f>IF(COUNTIFS('📋 Транзакції'!$B$5:$B$3623,A560,'📋 Транзакції'!$C$5:$C$3623,"&gt;="&amp;EDATE(DATEVALUE(C560&amp;"-01"),5),'📋 Транзакції'!$C$5:$C$3623,"&lt;"&amp;EDATE(DATEVALUE(C560&amp;"-01"),6))&gt;0,1,0)</f>
        <v>0</v>
      </c>
      <c r="M560" s="37">
        <f>IF(COUNTIFS('📋 Транзакції'!$B$5:$B$3623,A560,'📋 Транзакції'!$C$5:$C$3623,"&gt;="&amp;EDATE(DATEVALUE(C560&amp;"-01"),6),'📋 Транзакції'!$C$5:$C$3623,"&lt;"&amp;EDATE(DATEVALUE(C560&amp;"-01"),7))&gt;0,1,0)</f>
        <v>0</v>
      </c>
      <c r="N560" s="37">
        <f>IF(COUNTIFS('📋 Транзакції'!$B$5:$B$3623,A560,'📋 Транзакції'!$C$5:$C$3623,"&gt;="&amp;EDATE(DATEVALUE(C560&amp;"-01"),7),'📋 Транзакції'!$C$5:$C$3623,"&lt;"&amp;EDATE(DATEVALUE(C560&amp;"-01"),8))&gt;0,1,0)</f>
        <v>0</v>
      </c>
      <c r="O560" s="37">
        <f>IF(COUNTIFS('📋 Транзакції'!$B$5:$B$3623,A560,'📋 Транзакції'!$C$5:$C$3623,"&gt;="&amp;EDATE(DATEVALUE(C560&amp;"-01"),8),'📋 Транзакції'!$C$5:$C$3623,"&lt;"&amp;EDATE(DATEVALUE(C560&amp;"-01"),9))&gt;0,1,0)</f>
        <v>0</v>
      </c>
      <c r="P560" s="37">
        <f>IF(COUNTIFS('📋 Транзакції'!$B$5:$B$3623,A560,'📋 Транзакції'!$C$5:$C$3623,"&gt;="&amp;EDATE(DATEVALUE(C560&amp;"-01"),9),'📋 Транзакції'!$C$5:$C$3623,"&lt;"&amp;EDATE(DATEVALUE(C560&amp;"-01"),10))&gt;0,1,0)</f>
        <v>0</v>
      </c>
      <c r="Q560" s="37">
        <f>IF(COUNTIFS('📋 Транзакції'!$B$5:$B$3623,A560,'📋 Транзакції'!$C$5:$C$3623,"&gt;="&amp;EDATE(DATEVALUE(C560&amp;"-01"),10),'📋 Транзакції'!$C$5:$C$3623,"&lt;"&amp;EDATE(DATEVALUE(C560&amp;"-01"),11))&gt;0,1,0)</f>
        <v>0</v>
      </c>
      <c r="R560" s="37">
        <f>IF(COUNTIFS('📋 Транзакції'!$B$5:$B$3623,A560,'📋 Транзакції'!$C$5:$C$3623,"&gt;="&amp;EDATE(DATEVALUE(C560&amp;"-01"),11),'📋 Транзакції'!$C$5:$C$3623,"&lt;"&amp;EDATE(DATEVALUE(C560&amp;"-01"),12))&gt;0,1,0)</f>
        <v>0</v>
      </c>
      <c r="S560" s="37">
        <f>SUMIFS('📋 Транзакції'!$F$5:$F$3623,'📋 Транзакції'!$B$5:$B$3623,A560,'📋 Транзакції'!$C$5:$C$3623,"&gt;="&amp;EDATE(DATEVALUE(C560&amp;"-01"),0),'📋 Транзакції'!$C$5:$C$3623,"&lt;"&amp;EDATE(DATEVALUE(C560&amp;"-01"),1))</f>
        <v>19.99</v>
      </c>
      <c r="T560" s="37">
        <f>SUMIFS('📋 Транзакції'!$F$5:$F$3623,'📋 Транзакції'!$B$5:$B$3623,A560,'📋 Транзакції'!$C$5:$C$3623,"&gt;="&amp;EDATE(DATEVALUE(C560&amp;"-01"),1),'📋 Транзакції'!$C$5:$C$3623,"&lt;"&amp;EDATE(DATEVALUE(C560&amp;"-01"),2))</f>
        <v>0</v>
      </c>
      <c r="U560" s="37">
        <f>SUMIFS('📋 Транзакції'!$F$5:$F$3623,'📋 Транзакції'!$B$5:$B$3623,A560,'📋 Транзакції'!$C$5:$C$3623,"&gt;="&amp;EDATE(DATEVALUE(C560&amp;"-01"),2),'📋 Транзакції'!$C$5:$C$3623,"&lt;"&amp;EDATE(DATEVALUE(C560&amp;"-01"),3))</f>
        <v>0</v>
      </c>
      <c r="V560" s="37">
        <f>SUMIFS('📋 Транзакції'!$F$5:$F$3623,'📋 Транзакції'!$B$5:$B$3623,A560,'📋 Транзакції'!$C$5:$C$3623,"&gt;="&amp;EDATE(DATEVALUE(C560&amp;"-01"),3),'📋 Транзакції'!$C$5:$C$3623,"&lt;"&amp;EDATE(DATEVALUE(C560&amp;"-01"),4))</f>
        <v>0</v>
      </c>
      <c r="W560" s="37">
        <f>SUMIFS('📋 Транзакції'!$F$5:$F$3623,'📋 Транзакції'!$B$5:$B$3623,A560,'📋 Транзакції'!$C$5:$C$3623,"&gt;="&amp;EDATE(DATEVALUE(C560&amp;"-01"),4),'📋 Транзакції'!$C$5:$C$3623,"&lt;"&amp;EDATE(DATEVALUE(C560&amp;"-01"),5))</f>
        <v>0</v>
      </c>
      <c r="X560" s="37">
        <f>SUMIFS('📋 Транзакції'!$F$5:$F$3623,'📋 Транзакції'!$B$5:$B$3623,A560,'📋 Транзакції'!$C$5:$C$3623,"&gt;="&amp;EDATE(DATEVALUE(C560&amp;"-01"),5),'📋 Транзакції'!$C$5:$C$3623,"&lt;"&amp;EDATE(DATEVALUE(C560&amp;"-01"),6))</f>
        <v>0</v>
      </c>
      <c r="Y560" s="37">
        <f>SUMIFS('📋 Транзакції'!$F$5:$F$3623,'📋 Транзакції'!$B$5:$B$3623,A560,'📋 Транзакції'!$C$5:$C$3623,"&gt;="&amp;EDATE(DATEVALUE(C560&amp;"-01"),6),'📋 Транзакції'!$C$5:$C$3623,"&lt;"&amp;EDATE(DATEVALUE(C560&amp;"-01"),7))</f>
        <v>0</v>
      </c>
      <c r="Z560" s="37">
        <f>SUMIFS('📋 Транзакції'!$F$5:$F$3623,'📋 Транзакції'!$B$5:$B$3623,A560,'📋 Транзакції'!$C$5:$C$3623,"&gt;="&amp;EDATE(DATEVALUE(C560&amp;"-01"),7),'📋 Транзакції'!$C$5:$C$3623,"&lt;"&amp;EDATE(DATEVALUE(C560&amp;"-01"),8))</f>
        <v>0</v>
      </c>
      <c r="AA560" s="37">
        <f>SUMIFS('📋 Транзакції'!$F$5:$F$3623,'📋 Транзакції'!$B$5:$B$3623,A560,'📋 Транзакції'!$C$5:$C$3623,"&gt;="&amp;EDATE(DATEVALUE(C560&amp;"-01"),8),'📋 Транзакції'!$C$5:$C$3623,"&lt;"&amp;EDATE(DATEVALUE(C560&amp;"-01"),9))</f>
        <v>0</v>
      </c>
      <c r="AB560" s="37">
        <f>SUMIFS('📋 Транзакції'!$F$5:$F$3623,'📋 Транзакції'!$B$5:$B$3623,A560,'📋 Транзакції'!$C$5:$C$3623,"&gt;="&amp;EDATE(DATEVALUE(C560&amp;"-01"),9),'📋 Транзакції'!$C$5:$C$3623,"&lt;"&amp;EDATE(DATEVALUE(C560&amp;"-01"),10))</f>
        <v>0</v>
      </c>
      <c r="AC560" s="37">
        <f>SUMIFS('📋 Транзакції'!$F$5:$F$3623,'📋 Транзакції'!$B$5:$B$3623,A560,'📋 Транзакції'!$C$5:$C$3623,"&gt;="&amp;EDATE(DATEVALUE(C560&amp;"-01"),10),'📋 Транзакції'!$C$5:$C$3623,"&lt;"&amp;EDATE(DATEVALUE(C560&amp;"-01"),11))</f>
        <v>0</v>
      </c>
      <c r="AD560" s="37">
        <f>SUMIFS('📋 Транзакції'!$F$5:$F$3623,'📋 Транзакції'!$B$5:$B$3623,A560,'📋 Транзакції'!$C$5:$C$3623,"&gt;="&amp;EDATE(DATEVALUE(C560&amp;"-01"),11),'📋 Транзакції'!$C$5:$C$3623,"&lt;"&amp;EDATE(DATEVALUE(C560&amp;"-01"),12))</f>
        <v>0</v>
      </c>
    </row>
    <row r="561" ht="15.75" customHeight="1">
      <c r="A561" s="33" t="str">
        <f>'📋 Реєстрації'!A561:A1162</f>
        <v>U0257</v>
      </c>
      <c r="B561" s="34">
        <f t="array" ref="B561">INDEX('📋 Транзакції'!$C$5:$C$3623,MATCH(A561,'📋 Транзакції'!$B$5:$B$3623,0))</f>
        <v>45721</v>
      </c>
      <c r="C561" s="35" t="str">
        <f t="shared" si="1"/>
        <v>2025-03</v>
      </c>
      <c r="D561" s="36">
        <f>COUNTIF('📋 Транзакції'!$B$5:$B$3623,A561)</f>
        <v>2</v>
      </c>
      <c r="E561" s="36">
        <f>SUMIF('📋 Транзакції'!$B$5:$B$3623,A561,'📋 Транзакції'!$F$5:$F$3623)</f>
        <v>19.99</v>
      </c>
      <c r="F561" s="35">
        <f>INT($A$1-MAXIFS('📋 Транзакції'!$C$5:$C$3623,'📋 Транзакції'!$B$5:$B$3623,A561))</f>
        <v>19</v>
      </c>
      <c r="G561" s="37">
        <f>IF(COUNTIFS('📋 Транзакції'!$B$5:$B$3623,A561,'📋 Транзакції'!$C$5:$C$3623,"&gt;="&amp;EDATE(DATEVALUE(C561&amp;"-01"),0),'📋 Транзакції'!$C$5:$C$3623,"&lt;"&amp;EDATE(DATEVALUE(C561&amp;"-01"),1))&gt;0,1,0)</f>
        <v>1</v>
      </c>
      <c r="H561" s="37">
        <f>IF(COUNTIFS('📋 Транзакції'!$B$5:$B$3623,A561,'📋 Транзакції'!$C$5:$C$3623,"&gt;="&amp;EDATE(DATEVALUE(C561&amp;"-01"),1),'📋 Транзакції'!$C$5:$C$3623,"&lt;"&amp;EDATE(DATEVALUE(C561&amp;"-01"),2))&gt;0,1,0)</f>
        <v>0</v>
      </c>
      <c r="I561" s="37">
        <f>IF(COUNTIFS('📋 Транзакції'!$B$5:$B$3623,A561,'📋 Транзакції'!$C$5:$C$3623,"&gt;="&amp;EDATE(DATEVALUE(C561&amp;"-01"),2),'📋 Транзакції'!$C$5:$C$3623,"&lt;"&amp;EDATE(DATEVALUE(C561&amp;"-01"),3))&gt;0,1,0)</f>
        <v>0</v>
      </c>
      <c r="J561" s="37">
        <f>IF(COUNTIFS('📋 Транзакції'!$B$5:$B$3623,A561,'📋 Транзакції'!$C$5:$C$3623,"&gt;="&amp;EDATE(DATEVALUE(C561&amp;"-01"),3),'📋 Транзакції'!$C$5:$C$3623,"&lt;"&amp;EDATE(DATEVALUE(C561&amp;"-01"),4))&gt;0,1,0)</f>
        <v>0</v>
      </c>
      <c r="K561" s="37">
        <f>IF(COUNTIFS('📋 Транзакції'!$B$5:$B$3623,A561,'📋 Транзакції'!$C$5:$C$3623,"&gt;="&amp;EDATE(DATEVALUE(C561&amp;"-01"),4),'📋 Транзакції'!$C$5:$C$3623,"&lt;"&amp;EDATE(DATEVALUE(C561&amp;"-01"),5))&gt;0,1,0)</f>
        <v>0</v>
      </c>
      <c r="L561" s="37">
        <f>IF(COUNTIFS('📋 Транзакції'!$B$5:$B$3623,A561,'📋 Транзакції'!$C$5:$C$3623,"&gt;="&amp;EDATE(DATEVALUE(C561&amp;"-01"),5),'📋 Транзакції'!$C$5:$C$3623,"&lt;"&amp;EDATE(DATEVALUE(C561&amp;"-01"),6))&gt;0,1,0)</f>
        <v>0</v>
      </c>
      <c r="M561" s="37">
        <f>IF(COUNTIFS('📋 Транзакції'!$B$5:$B$3623,A561,'📋 Транзакції'!$C$5:$C$3623,"&gt;="&amp;EDATE(DATEVALUE(C561&amp;"-01"),6),'📋 Транзакції'!$C$5:$C$3623,"&lt;"&amp;EDATE(DATEVALUE(C561&amp;"-01"),7))&gt;0,1,0)</f>
        <v>0</v>
      </c>
      <c r="N561" s="37">
        <f>IF(COUNTIFS('📋 Транзакції'!$B$5:$B$3623,A561,'📋 Транзакції'!$C$5:$C$3623,"&gt;="&amp;EDATE(DATEVALUE(C561&amp;"-01"),7),'📋 Транзакції'!$C$5:$C$3623,"&lt;"&amp;EDATE(DATEVALUE(C561&amp;"-01"),8))&gt;0,1,0)</f>
        <v>0</v>
      </c>
      <c r="O561" s="37">
        <f>IF(COUNTIFS('📋 Транзакції'!$B$5:$B$3623,A561,'📋 Транзакції'!$C$5:$C$3623,"&gt;="&amp;EDATE(DATEVALUE(C561&amp;"-01"),8),'📋 Транзакції'!$C$5:$C$3623,"&lt;"&amp;EDATE(DATEVALUE(C561&amp;"-01"),9))&gt;0,1,0)</f>
        <v>0</v>
      </c>
      <c r="P561" s="37">
        <f>IF(COUNTIFS('📋 Транзакції'!$B$5:$B$3623,A561,'📋 Транзакції'!$C$5:$C$3623,"&gt;="&amp;EDATE(DATEVALUE(C561&amp;"-01"),9),'📋 Транзакції'!$C$5:$C$3623,"&lt;"&amp;EDATE(DATEVALUE(C561&amp;"-01"),10))&gt;0,1,0)</f>
        <v>0</v>
      </c>
      <c r="Q561" s="37">
        <f>IF(COUNTIFS('📋 Транзакції'!$B$5:$B$3623,A561,'📋 Транзакції'!$C$5:$C$3623,"&gt;="&amp;EDATE(DATEVALUE(C561&amp;"-01"),10),'📋 Транзакції'!$C$5:$C$3623,"&lt;"&amp;EDATE(DATEVALUE(C561&amp;"-01"),11))&gt;0,1,0)</f>
        <v>0</v>
      </c>
      <c r="R561" s="37">
        <f>IF(COUNTIFS('📋 Транзакції'!$B$5:$B$3623,A561,'📋 Транзакції'!$C$5:$C$3623,"&gt;="&amp;EDATE(DATEVALUE(C561&amp;"-01"),11),'📋 Транзакції'!$C$5:$C$3623,"&lt;"&amp;EDATE(DATEVALUE(C561&amp;"-01"),12))&gt;0,1,0)</f>
        <v>0</v>
      </c>
      <c r="S561" s="37">
        <f>SUMIFS('📋 Транзакції'!$F$5:$F$3623,'📋 Транзакції'!$B$5:$B$3623,A561,'📋 Транзакції'!$C$5:$C$3623,"&gt;="&amp;EDATE(DATEVALUE(C561&amp;"-01"),0),'📋 Транзакції'!$C$5:$C$3623,"&lt;"&amp;EDATE(DATEVALUE(C561&amp;"-01"),1))</f>
        <v>19.99</v>
      </c>
      <c r="T561" s="37">
        <f>SUMIFS('📋 Транзакції'!$F$5:$F$3623,'📋 Транзакції'!$B$5:$B$3623,A561,'📋 Транзакції'!$C$5:$C$3623,"&gt;="&amp;EDATE(DATEVALUE(C561&amp;"-01"),1),'📋 Транзакції'!$C$5:$C$3623,"&lt;"&amp;EDATE(DATEVALUE(C561&amp;"-01"),2))</f>
        <v>0</v>
      </c>
      <c r="U561" s="37">
        <f>SUMIFS('📋 Транзакції'!$F$5:$F$3623,'📋 Транзакції'!$B$5:$B$3623,A561,'📋 Транзакції'!$C$5:$C$3623,"&gt;="&amp;EDATE(DATEVALUE(C561&amp;"-01"),2),'📋 Транзакції'!$C$5:$C$3623,"&lt;"&amp;EDATE(DATEVALUE(C561&amp;"-01"),3))</f>
        <v>0</v>
      </c>
      <c r="V561" s="37">
        <f>SUMIFS('📋 Транзакції'!$F$5:$F$3623,'📋 Транзакції'!$B$5:$B$3623,A561,'📋 Транзакції'!$C$5:$C$3623,"&gt;="&amp;EDATE(DATEVALUE(C561&amp;"-01"),3),'📋 Транзакції'!$C$5:$C$3623,"&lt;"&amp;EDATE(DATEVALUE(C561&amp;"-01"),4))</f>
        <v>0</v>
      </c>
      <c r="W561" s="37">
        <f>SUMIFS('📋 Транзакції'!$F$5:$F$3623,'📋 Транзакції'!$B$5:$B$3623,A561,'📋 Транзакції'!$C$5:$C$3623,"&gt;="&amp;EDATE(DATEVALUE(C561&amp;"-01"),4),'📋 Транзакції'!$C$5:$C$3623,"&lt;"&amp;EDATE(DATEVALUE(C561&amp;"-01"),5))</f>
        <v>0</v>
      </c>
      <c r="X561" s="37">
        <f>SUMIFS('📋 Транзакції'!$F$5:$F$3623,'📋 Транзакції'!$B$5:$B$3623,A561,'📋 Транзакції'!$C$5:$C$3623,"&gt;="&amp;EDATE(DATEVALUE(C561&amp;"-01"),5),'📋 Транзакції'!$C$5:$C$3623,"&lt;"&amp;EDATE(DATEVALUE(C561&amp;"-01"),6))</f>
        <v>0</v>
      </c>
      <c r="Y561" s="37">
        <f>SUMIFS('📋 Транзакції'!$F$5:$F$3623,'📋 Транзакції'!$B$5:$B$3623,A561,'📋 Транзакції'!$C$5:$C$3623,"&gt;="&amp;EDATE(DATEVALUE(C561&amp;"-01"),6),'📋 Транзакції'!$C$5:$C$3623,"&lt;"&amp;EDATE(DATEVALUE(C561&amp;"-01"),7))</f>
        <v>0</v>
      </c>
      <c r="Z561" s="37">
        <f>SUMIFS('📋 Транзакції'!$F$5:$F$3623,'📋 Транзакції'!$B$5:$B$3623,A561,'📋 Транзакції'!$C$5:$C$3623,"&gt;="&amp;EDATE(DATEVALUE(C561&amp;"-01"),7),'📋 Транзакції'!$C$5:$C$3623,"&lt;"&amp;EDATE(DATEVALUE(C561&amp;"-01"),8))</f>
        <v>0</v>
      </c>
      <c r="AA561" s="37">
        <f>SUMIFS('📋 Транзакції'!$F$5:$F$3623,'📋 Транзакції'!$B$5:$B$3623,A561,'📋 Транзакції'!$C$5:$C$3623,"&gt;="&amp;EDATE(DATEVALUE(C561&amp;"-01"),8),'📋 Транзакції'!$C$5:$C$3623,"&lt;"&amp;EDATE(DATEVALUE(C561&amp;"-01"),9))</f>
        <v>0</v>
      </c>
      <c r="AB561" s="37">
        <f>SUMIFS('📋 Транзакції'!$F$5:$F$3623,'📋 Транзакції'!$B$5:$B$3623,A561,'📋 Транзакції'!$C$5:$C$3623,"&gt;="&amp;EDATE(DATEVALUE(C561&amp;"-01"),9),'📋 Транзакції'!$C$5:$C$3623,"&lt;"&amp;EDATE(DATEVALUE(C561&amp;"-01"),10))</f>
        <v>0</v>
      </c>
      <c r="AC561" s="37">
        <f>SUMIFS('📋 Транзакції'!$F$5:$F$3623,'📋 Транзакції'!$B$5:$B$3623,A561,'📋 Транзакції'!$C$5:$C$3623,"&gt;="&amp;EDATE(DATEVALUE(C561&amp;"-01"),10),'📋 Транзакції'!$C$5:$C$3623,"&lt;"&amp;EDATE(DATEVALUE(C561&amp;"-01"),11))</f>
        <v>0</v>
      </c>
      <c r="AD561" s="37">
        <f>SUMIFS('📋 Транзакції'!$F$5:$F$3623,'📋 Транзакції'!$B$5:$B$3623,A561,'📋 Транзакції'!$C$5:$C$3623,"&gt;="&amp;EDATE(DATEVALUE(C561&amp;"-01"),11),'📋 Транзакції'!$C$5:$C$3623,"&lt;"&amp;EDATE(DATEVALUE(C561&amp;"-01"),12))</f>
        <v>0</v>
      </c>
    </row>
    <row r="562" ht="15.75" customHeight="1">
      <c r="A562" s="33" t="str">
        <f>'📋 Реєстрації'!A562:A1163</f>
        <v>U0476</v>
      </c>
      <c r="B562" s="34">
        <f t="array" ref="B562">INDEX('📋 Транзакції'!$C$5:$C$3623,MATCH(A562,'📋 Транзакції'!$B$5:$B$3623,0))</f>
        <v>45722</v>
      </c>
      <c r="C562" s="35" t="str">
        <f t="shared" si="1"/>
        <v>2025-03</v>
      </c>
      <c r="D562" s="36">
        <f>COUNTIF('📋 Транзакції'!$B$5:$B$3623,A562)</f>
        <v>2</v>
      </c>
      <c r="E562" s="36">
        <f>SUMIF('📋 Транзакції'!$B$5:$B$3623,A562,'📋 Транзакції'!$F$5:$F$3623)</f>
        <v>19.99</v>
      </c>
      <c r="F562" s="35">
        <f>INT($A$1-MAXIFS('📋 Транзакції'!$C$5:$C$3623,'📋 Транзакції'!$B$5:$B$3623,A562))</f>
        <v>18</v>
      </c>
      <c r="G562" s="37">
        <f>IF(COUNTIFS('📋 Транзакції'!$B$5:$B$3623,A562,'📋 Транзакції'!$C$5:$C$3623,"&gt;="&amp;EDATE(DATEVALUE(C562&amp;"-01"),0),'📋 Транзакції'!$C$5:$C$3623,"&lt;"&amp;EDATE(DATEVALUE(C562&amp;"-01"),1))&gt;0,1,0)</f>
        <v>1</v>
      </c>
      <c r="H562" s="37">
        <f>IF(COUNTIFS('📋 Транзакції'!$B$5:$B$3623,A562,'📋 Транзакції'!$C$5:$C$3623,"&gt;="&amp;EDATE(DATEVALUE(C562&amp;"-01"),1),'📋 Транзакції'!$C$5:$C$3623,"&lt;"&amp;EDATE(DATEVALUE(C562&amp;"-01"),2))&gt;0,1,0)</f>
        <v>0</v>
      </c>
      <c r="I562" s="37">
        <f>IF(COUNTIFS('📋 Транзакції'!$B$5:$B$3623,A562,'📋 Транзакції'!$C$5:$C$3623,"&gt;="&amp;EDATE(DATEVALUE(C562&amp;"-01"),2),'📋 Транзакції'!$C$5:$C$3623,"&lt;"&amp;EDATE(DATEVALUE(C562&amp;"-01"),3))&gt;0,1,0)</f>
        <v>0</v>
      </c>
      <c r="J562" s="37">
        <f>IF(COUNTIFS('📋 Транзакції'!$B$5:$B$3623,A562,'📋 Транзакції'!$C$5:$C$3623,"&gt;="&amp;EDATE(DATEVALUE(C562&amp;"-01"),3),'📋 Транзакції'!$C$5:$C$3623,"&lt;"&amp;EDATE(DATEVALUE(C562&amp;"-01"),4))&gt;0,1,0)</f>
        <v>0</v>
      </c>
      <c r="K562" s="37">
        <f>IF(COUNTIFS('📋 Транзакції'!$B$5:$B$3623,A562,'📋 Транзакції'!$C$5:$C$3623,"&gt;="&amp;EDATE(DATEVALUE(C562&amp;"-01"),4),'📋 Транзакції'!$C$5:$C$3623,"&lt;"&amp;EDATE(DATEVALUE(C562&amp;"-01"),5))&gt;0,1,0)</f>
        <v>0</v>
      </c>
      <c r="L562" s="37">
        <f>IF(COUNTIFS('📋 Транзакції'!$B$5:$B$3623,A562,'📋 Транзакції'!$C$5:$C$3623,"&gt;="&amp;EDATE(DATEVALUE(C562&amp;"-01"),5),'📋 Транзакції'!$C$5:$C$3623,"&lt;"&amp;EDATE(DATEVALUE(C562&amp;"-01"),6))&gt;0,1,0)</f>
        <v>0</v>
      </c>
      <c r="M562" s="37">
        <f>IF(COUNTIFS('📋 Транзакції'!$B$5:$B$3623,A562,'📋 Транзакції'!$C$5:$C$3623,"&gt;="&amp;EDATE(DATEVALUE(C562&amp;"-01"),6),'📋 Транзакції'!$C$5:$C$3623,"&lt;"&amp;EDATE(DATEVALUE(C562&amp;"-01"),7))&gt;0,1,0)</f>
        <v>0</v>
      </c>
      <c r="N562" s="37">
        <f>IF(COUNTIFS('📋 Транзакції'!$B$5:$B$3623,A562,'📋 Транзакції'!$C$5:$C$3623,"&gt;="&amp;EDATE(DATEVALUE(C562&amp;"-01"),7),'📋 Транзакції'!$C$5:$C$3623,"&lt;"&amp;EDATE(DATEVALUE(C562&amp;"-01"),8))&gt;0,1,0)</f>
        <v>0</v>
      </c>
      <c r="O562" s="37">
        <f>IF(COUNTIFS('📋 Транзакції'!$B$5:$B$3623,A562,'📋 Транзакції'!$C$5:$C$3623,"&gt;="&amp;EDATE(DATEVALUE(C562&amp;"-01"),8),'📋 Транзакції'!$C$5:$C$3623,"&lt;"&amp;EDATE(DATEVALUE(C562&amp;"-01"),9))&gt;0,1,0)</f>
        <v>0</v>
      </c>
      <c r="P562" s="37">
        <f>IF(COUNTIFS('📋 Транзакції'!$B$5:$B$3623,A562,'📋 Транзакції'!$C$5:$C$3623,"&gt;="&amp;EDATE(DATEVALUE(C562&amp;"-01"),9),'📋 Транзакції'!$C$5:$C$3623,"&lt;"&amp;EDATE(DATEVALUE(C562&amp;"-01"),10))&gt;0,1,0)</f>
        <v>0</v>
      </c>
      <c r="Q562" s="37">
        <f>IF(COUNTIFS('📋 Транзакції'!$B$5:$B$3623,A562,'📋 Транзакції'!$C$5:$C$3623,"&gt;="&amp;EDATE(DATEVALUE(C562&amp;"-01"),10),'📋 Транзакції'!$C$5:$C$3623,"&lt;"&amp;EDATE(DATEVALUE(C562&amp;"-01"),11))&gt;0,1,0)</f>
        <v>0</v>
      </c>
      <c r="R562" s="37">
        <f>IF(COUNTIFS('📋 Транзакції'!$B$5:$B$3623,A562,'📋 Транзакції'!$C$5:$C$3623,"&gt;="&amp;EDATE(DATEVALUE(C562&amp;"-01"),11),'📋 Транзакції'!$C$5:$C$3623,"&lt;"&amp;EDATE(DATEVALUE(C562&amp;"-01"),12))&gt;0,1,0)</f>
        <v>0</v>
      </c>
      <c r="S562" s="37">
        <f>SUMIFS('📋 Транзакції'!$F$5:$F$3623,'📋 Транзакції'!$B$5:$B$3623,A562,'📋 Транзакції'!$C$5:$C$3623,"&gt;="&amp;EDATE(DATEVALUE(C562&amp;"-01"),0),'📋 Транзакції'!$C$5:$C$3623,"&lt;"&amp;EDATE(DATEVALUE(C562&amp;"-01"),1))</f>
        <v>19.99</v>
      </c>
      <c r="T562" s="37">
        <f>SUMIFS('📋 Транзакції'!$F$5:$F$3623,'📋 Транзакції'!$B$5:$B$3623,A562,'📋 Транзакції'!$C$5:$C$3623,"&gt;="&amp;EDATE(DATEVALUE(C562&amp;"-01"),1),'📋 Транзакції'!$C$5:$C$3623,"&lt;"&amp;EDATE(DATEVALUE(C562&amp;"-01"),2))</f>
        <v>0</v>
      </c>
      <c r="U562" s="37">
        <f>SUMIFS('📋 Транзакції'!$F$5:$F$3623,'📋 Транзакції'!$B$5:$B$3623,A562,'📋 Транзакції'!$C$5:$C$3623,"&gt;="&amp;EDATE(DATEVALUE(C562&amp;"-01"),2),'📋 Транзакції'!$C$5:$C$3623,"&lt;"&amp;EDATE(DATEVALUE(C562&amp;"-01"),3))</f>
        <v>0</v>
      </c>
      <c r="V562" s="37">
        <f>SUMIFS('📋 Транзакції'!$F$5:$F$3623,'📋 Транзакції'!$B$5:$B$3623,A562,'📋 Транзакції'!$C$5:$C$3623,"&gt;="&amp;EDATE(DATEVALUE(C562&amp;"-01"),3),'📋 Транзакції'!$C$5:$C$3623,"&lt;"&amp;EDATE(DATEVALUE(C562&amp;"-01"),4))</f>
        <v>0</v>
      </c>
      <c r="W562" s="37">
        <f>SUMIFS('📋 Транзакції'!$F$5:$F$3623,'📋 Транзакції'!$B$5:$B$3623,A562,'📋 Транзакції'!$C$5:$C$3623,"&gt;="&amp;EDATE(DATEVALUE(C562&amp;"-01"),4),'📋 Транзакції'!$C$5:$C$3623,"&lt;"&amp;EDATE(DATEVALUE(C562&amp;"-01"),5))</f>
        <v>0</v>
      </c>
      <c r="X562" s="37">
        <f>SUMIFS('📋 Транзакції'!$F$5:$F$3623,'📋 Транзакції'!$B$5:$B$3623,A562,'📋 Транзакції'!$C$5:$C$3623,"&gt;="&amp;EDATE(DATEVALUE(C562&amp;"-01"),5),'📋 Транзакції'!$C$5:$C$3623,"&lt;"&amp;EDATE(DATEVALUE(C562&amp;"-01"),6))</f>
        <v>0</v>
      </c>
      <c r="Y562" s="37">
        <f>SUMIFS('📋 Транзакції'!$F$5:$F$3623,'📋 Транзакції'!$B$5:$B$3623,A562,'📋 Транзакції'!$C$5:$C$3623,"&gt;="&amp;EDATE(DATEVALUE(C562&amp;"-01"),6),'📋 Транзакції'!$C$5:$C$3623,"&lt;"&amp;EDATE(DATEVALUE(C562&amp;"-01"),7))</f>
        <v>0</v>
      </c>
      <c r="Z562" s="37">
        <f>SUMIFS('📋 Транзакції'!$F$5:$F$3623,'📋 Транзакції'!$B$5:$B$3623,A562,'📋 Транзакції'!$C$5:$C$3623,"&gt;="&amp;EDATE(DATEVALUE(C562&amp;"-01"),7),'📋 Транзакції'!$C$5:$C$3623,"&lt;"&amp;EDATE(DATEVALUE(C562&amp;"-01"),8))</f>
        <v>0</v>
      </c>
      <c r="AA562" s="37">
        <f>SUMIFS('📋 Транзакції'!$F$5:$F$3623,'📋 Транзакції'!$B$5:$B$3623,A562,'📋 Транзакції'!$C$5:$C$3623,"&gt;="&amp;EDATE(DATEVALUE(C562&amp;"-01"),8),'📋 Транзакції'!$C$5:$C$3623,"&lt;"&amp;EDATE(DATEVALUE(C562&amp;"-01"),9))</f>
        <v>0</v>
      </c>
      <c r="AB562" s="37">
        <f>SUMIFS('📋 Транзакції'!$F$5:$F$3623,'📋 Транзакції'!$B$5:$B$3623,A562,'📋 Транзакції'!$C$5:$C$3623,"&gt;="&amp;EDATE(DATEVALUE(C562&amp;"-01"),9),'📋 Транзакції'!$C$5:$C$3623,"&lt;"&amp;EDATE(DATEVALUE(C562&amp;"-01"),10))</f>
        <v>0</v>
      </c>
      <c r="AC562" s="37">
        <f>SUMIFS('📋 Транзакції'!$F$5:$F$3623,'📋 Транзакції'!$B$5:$B$3623,A562,'📋 Транзакції'!$C$5:$C$3623,"&gt;="&amp;EDATE(DATEVALUE(C562&amp;"-01"),10),'📋 Транзакції'!$C$5:$C$3623,"&lt;"&amp;EDATE(DATEVALUE(C562&amp;"-01"),11))</f>
        <v>0</v>
      </c>
      <c r="AD562" s="37">
        <f>SUMIFS('📋 Транзакції'!$F$5:$F$3623,'📋 Транзакції'!$B$5:$B$3623,A562,'📋 Транзакції'!$C$5:$C$3623,"&gt;="&amp;EDATE(DATEVALUE(C562&amp;"-01"),11),'📋 Транзакції'!$C$5:$C$3623,"&lt;"&amp;EDATE(DATEVALUE(C562&amp;"-01"),12))</f>
        <v>0</v>
      </c>
    </row>
    <row r="563" ht="15.75" customHeight="1">
      <c r="A563" s="33" t="str">
        <f>'📋 Реєстрації'!A563:A1164</f>
        <v>U0536</v>
      </c>
      <c r="B563" s="34">
        <f t="array" ref="B563">INDEX('📋 Транзакції'!$C$5:$C$3623,MATCH(A563,'📋 Транзакції'!$B$5:$B$3623,0))</f>
        <v>45723</v>
      </c>
      <c r="C563" s="35" t="str">
        <f t="shared" si="1"/>
        <v>2025-03</v>
      </c>
      <c r="D563" s="36">
        <f>COUNTIF('📋 Транзакції'!$B$5:$B$3623,A563)</f>
        <v>2</v>
      </c>
      <c r="E563" s="36">
        <f>SUMIF('📋 Транзакції'!$B$5:$B$3623,A563,'📋 Транзакції'!$F$5:$F$3623)</f>
        <v>19.99</v>
      </c>
      <c r="F563" s="35">
        <f>INT($A$1-MAXIFS('📋 Транзакції'!$C$5:$C$3623,'📋 Транзакції'!$B$5:$B$3623,A563))</f>
        <v>17</v>
      </c>
      <c r="G563" s="37">
        <f>IF(COUNTIFS('📋 Транзакції'!$B$5:$B$3623,A563,'📋 Транзакції'!$C$5:$C$3623,"&gt;="&amp;EDATE(DATEVALUE(C563&amp;"-01"),0),'📋 Транзакції'!$C$5:$C$3623,"&lt;"&amp;EDATE(DATEVALUE(C563&amp;"-01"),1))&gt;0,1,0)</f>
        <v>1</v>
      </c>
      <c r="H563" s="37">
        <f>IF(COUNTIFS('📋 Транзакції'!$B$5:$B$3623,A563,'📋 Транзакції'!$C$5:$C$3623,"&gt;="&amp;EDATE(DATEVALUE(C563&amp;"-01"),1),'📋 Транзакції'!$C$5:$C$3623,"&lt;"&amp;EDATE(DATEVALUE(C563&amp;"-01"),2))&gt;0,1,0)</f>
        <v>0</v>
      </c>
      <c r="I563" s="37">
        <f>IF(COUNTIFS('📋 Транзакції'!$B$5:$B$3623,A563,'📋 Транзакції'!$C$5:$C$3623,"&gt;="&amp;EDATE(DATEVALUE(C563&amp;"-01"),2),'📋 Транзакції'!$C$5:$C$3623,"&lt;"&amp;EDATE(DATEVALUE(C563&amp;"-01"),3))&gt;0,1,0)</f>
        <v>0</v>
      </c>
      <c r="J563" s="37">
        <f>IF(COUNTIFS('📋 Транзакції'!$B$5:$B$3623,A563,'📋 Транзакції'!$C$5:$C$3623,"&gt;="&amp;EDATE(DATEVALUE(C563&amp;"-01"),3),'📋 Транзакції'!$C$5:$C$3623,"&lt;"&amp;EDATE(DATEVALUE(C563&amp;"-01"),4))&gt;0,1,0)</f>
        <v>0</v>
      </c>
      <c r="K563" s="37">
        <f>IF(COUNTIFS('📋 Транзакції'!$B$5:$B$3623,A563,'📋 Транзакції'!$C$5:$C$3623,"&gt;="&amp;EDATE(DATEVALUE(C563&amp;"-01"),4),'📋 Транзакції'!$C$5:$C$3623,"&lt;"&amp;EDATE(DATEVALUE(C563&amp;"-01"),5))&gt;0,1,0)</f>
        <v>0</v>
      </c>
      <c r="L563" s="37">
        <f>IF(COUNTIFS('📋 Транзакції'!$B$5:$B$3623,A563,'📋 Транзакції'!$C$5:$C$3623,"&gt;="&amp;EDATE(DATEVALUE(C563&amp;"-01"),5),'📋 Транзакції'!$C$5:$C$3623,"&lt;"&amp;EDATE(DATEVALUE(C563&amp;"-01"),6))&gt;0,1,0)</f>
        <v>0</v>
      </c>
      <c r="M563" s="37">
        <f>IF(COUNTIFS('📋 Транзакції'!$B$5:$B$3623,A563,'📋 Транзакції'!$C$5:$C$3623,"&gt;="&amp;EDATE(DATEVALUE(C563&amp;"-01"),6),'📋 Транзакції'!$C$5:$C$3623,"&lt;"&amp;EDATE(DATEVALUE(C563&amp;"-01"),7))&gt;0,1,0)</f>
        <v>0</v>
      </c>
      <c r="N563" s="37">
        <f>IF(COUNTIFS('📋 Транзакції'!$B$5:$B$3623,A563,'📋 Транзакції'!$C$5:$C$3623,"&gt;="&amp;EDATE(DATEVALUE(C563&amp;"-01"),7),'📋 Транзакції'!$C$5:$C$3623,"&lt;"&amp;EDATE(DATEVALUE(C563&amp;"-01"),8))&gt;0,1,0)</f>
        <v>0</v>
      </c>
      <c r="O563" s="37">
        <f>IF(COUNTIFS('📋 Транзакції'!$B$5:$B$3623,A563,'📋 Транзакції'!$C$5:$C$3623,"&gt;="&amp;EDATE(DATEVALUE(C563&amp;"-01"),8),'📋 Транзакції'!$C$5:$C$3623,"&lt;"&amp;EDATE(DATEVALUE(C563&amp;"-01"),9))&gt;0,1,0)</f>
        <v>0</v>
      </c>
      <c r="P563" s="37">
        <f>IF(COUNTIFS('📋 Транзакції'!$B$5:$B$3623,A563,'📋 Транзакції'!$C$5:$C$3623,"&gt;="&amp;EDATE(DATEVALUE(C563&amp;"-01"),9),'📋 Транзакції'!$C$5:$C$3623,"&lt;"&amp;EDATE(DATEVALUE(C563&amp;"-01"),10))&gt;0,1,0)</f>
        <v>0</v>
      </c>
      <c r="Q563" s="37">
        <f>IF(COUNTIFS('📋 Транзакції'!$B$5:$B$3623,A563,'📋 Транзакції'!$C$5:$C$3623,"&gt;="&amp;EDATE(DATEVALUE(C563&amp;"-01"),10),'📋 Транзакції'!$C$5:$C$3623,"&lt;"&amp;EDATE(DATEVALUE(C563&amp;"-01"),11))&gt;0,1,0)</f>
        <v>0</v>
      </c>
      <c r="R563" s="37">
        <f>IF(COUNTIFS('📋 Транзакції'!$B$5:$B$3623,A563,'📋 Транзакції'!$C$5:$C$3623,"&gt;="&amp;EDATE(DATEVALUE(C563&amp;"-01"),11),'📋 Транзакції'!$C$5:$C$3623,"&lt;"&amp;EDATE(DATEVALUE(C563&amp;"-01"),12))&gt;0,1,0)</f>
        <v>0</v>
      </c>
      <c r="S563" s="37">
        <f>SUMIFS('📋 Транзакції'!$F$5:$F$3623,'📋 Транзакції'!$B$5:$B$3623,A563,'📋 Транзакції'!$C$5:$C$3623,"&gt;="&amp;EDATE(DATEVALUE(C563&amp;"-01"),0),'📋 Транзакції'!$C$5:$C$3623,"&lt;"&amp;EDATE(DATEVALUE(C563&amp;"-01"),1))</f>
        <v>19.99</v>
      </c>
      <c r="T563" s="37">
        <f>SUMIFS('📋 Транзакції'!$F$5:$F$3623,'📋 Транзакції'!$B$5:$B$3623,A563,'📋 Транзакції'!$C$5:$C$3623,"&gt;="&amp;EDATE(DATEVALUE(C563&amp;"-01"),1),'📋 Транзакції'!$C$5:$C$3623,"&lt;"&amp;EDATE(DATEVALUE(C563&amp;"-01"),2))</f>
        <v>0</v>
      </c>
      <c r="U563" s="37">
        <f>SUMIFS('📋 Транзакції'!$F$5:$F$3623,'📋 Транзакції'!$B$5:$B$3623,A563,'📋 Транзакції'!$C$5:$C$3623,"&gt;="&amp;EDATE(DATEVALUE(C563&amp;"-01"),2),'📋 Транзакції'!$C$5:$C$3623,"&lt;"&amp;EDATE(DATEVALUE(C563&amp;"-01"),3))</f>
        <v>0</v>
      </c>
      <c r="V563" s="37">
        <f>SUMIFS('📋 Транзакції'!$F$5:$F$3623,'📋 Транзакції'!$B$5:$B$3623,A563,'📋 Транзакції'!$C$5:$C$3623,"&gt;="&amp;EDATE(DATEVALUE(C563&amp;"-01"),3),'📋 Транзакції'!$C$5:$C$3623,"&lt;"&amp;EDATE(DATEVALUE(C563&amp;"-01"),4))</f>
        <v>0</v>
      </c>
      <c r="W563" s="37">
        <f>SUMIFS('📋 Транзакції'!$F$5:$F$3623,'📋 Транзакції'!$B$5:$B$3623,A563,'📋 Транзакції'!$C$5:$C$3623,"&gt;="&amp;EDATE(DATEVALUE(C563&amp;"-01"),4),'📋 Транзакції'!$C$5:$C$3623,"&lt;"&amp;EDATE(DATEVALUE(C563&amp;"-01"),5))</f>
        <v>0</v>
      </c>
      <c r="X563" s="37">
        <f>SUMIFS('📋 Транзакції'!$F$5:$F$3623,'📋 Транзакції'!$B$5:$B$3623,A563,'📋 Транзакції'!$C$5:$C$3623,"&gt;="&amp;EDATE(DATEVALUE(C563&amp;"-01"),5),'📋 Транзакції'!$C$5:$C$3623,"&lt;"&amp;EDATE(DATEVALUE(C563&amp;"-01"),6))</f>
        <v>0</v>
      </c>
      <c r="Y563" s="37">
        <f>SUMIFS('📋 Транзакції'!$F$5:$F$3623,'📋 Транзакції'!$B$5:$B$3623,A563,'📋 Транзакції'!$C$5:$C$3623,"&gt;="&amp;EDATE(DATEVALUE(C563&amp;"-01"),6),'📋 Транзакції'!$C$5:$C$3623,"&lt;"&amp;EDATE(DATEVALUE(C563&amp;"-01"),7))</f>
        <v>0</v>
      </c>
      <c r="Z563" s="37">
        <f>SUMIFS('📋 Транзакції'!$F$5:$F$3623,'📋 Транзакції'!$B$5:$B$3623,A563,'📋 Транзакції'!$C$5:$C$3623,"&gt;="&amp;EDATE(DATEVALUE(C563&amp;"-01"),7),'📋 Транзакції'!$C$5:$C$3623,"&lt;"&amp;EDATE(DATEVALUE(C563&amp;"-01"),8))</f>
        <v>0</v>
      </c>
      <c r="AA563" s="37">
        <f>SUMIFS('📋 Транзакції'!$F$5:$F$3623,'📋 Транзакції'!$B$5:$B$3623,A563,'📋 Транзакції'!$C$5:$C$3623,"&gt;="&amp;EDATE(DATEVALUE(C563&amp;"-01"),8),'📋 Транзакції'!$C$5:$C$3623,"&lt;"&amp;EDATE(DATEVALUE(C563&amp;"-01"),9))</f>
        <v>0</v>
      </c>
      <c r="AB563" s="37">
        <f>SUMIFS('📋 Транзакції'!$F$5:$F$3623,'📋 Транзакції'!$B$5:$B$3623,A563,'📋 Транзакції'!$C$5:$C$3623,"&gt;="&amp;EDATE(DATEVALUE(C563&amp;"-01"),9),'📋 Транзакції'!$C$5:$C$3623,"&lt;"&amp;EDATE(DATEVALUE(C563&amp;"-01"),10))</f>
        <v>0</v>
      </c>
      <c r="AC563" s="37">
        <f>SUMIFS('📋 Транзакції'!$F$5:$F$3623,'📋 Транзакції'!$B$5:$B$3623,A563,'📋 Транзакції'!$C$5:$C$3623,"&gt;="&amp;EDATE(DATEVALUE(C563&amp;"-01"),10),'📋 Транзакції'!$C$5:$C$3623,"&lt;"&amp;EDATE(DATEVALUE(C563&amp;"-01"),11))</f>
        <v>0</v>
      </c>
      <c r="AD563" s="37">
        <f>SUMIFS('📋 Транзакції'!$F$5:$F$3623,'📋 Транзакції'!$B$5:$B$3623,A563,'📋 Транзакції'!$C$5:$C$3623,"&gt;="&amp;EDATE(DATEVALUE(C563&amp;"-01"),11),'📋 Транзакції'!$C$5:$C$3623,"&lt;"&amp;EDATE(DATEVALUE(C563&amp;"-01"),12))</f>
        <v>0</v>
      </c>
    </row>
    <row r="564" ht="15.75" customHeight="1">
      <c r="A564" s="33" t="str">
        <f>'📋 Реєстрації'!A564:A1165</f>
        <v>U0465</v>
      </c>
      <c r="B564" s="34">
        <f t="array" ref="B564">INDEX('📋 Транзакції'!$C$5:$C$3623,MATCH(A564,'📋 Транзакції'!$B$5:$B$3623,0))</f>
        <v>45724</v>
      </c>
      <c r="C564" s="35" t="str">
        <f t="shared" si="1"/>
        <v>2025-03</v>
      </c>
      <c r="D564" s="36">
        <f>COUNTIF('📋 Транзакції'!$B$5:$B$3623,A564)</f>
        <v>2</v>
      </c>
      <c r="E564" s="36">
        <f>SUMIF('📋 Транзакції'!$B$5:$B$3623,A564,'📋 Транзакції'!$F$5:$F$3623)</f>
        <v>19.99</v>
      </c>
      <c r="F564" s="35">
        <f>INT($A$1-MAXIFS('📋 Транзакції'!$C$5:$C$3623,'📋 Транзакції'!$B$5:$B$3623,A564))</f>
        <v>16</v>
      </c>
      <c r="G564" s="37">
        <f>IF(COUNTIFS('📋 Транзакції'!$B$5:$B$3623,A564,'📋 Транзакції'!$C$5:$C$3623,"&gt;="&amp;EDATE(DATEVALUE(C564&amp;"-01"),0),'📋 Транзакції'!$C$5:$C$3623,"&lt;"&amp;EDATE(DATEVALUE(C564&amp;"-01"),1))&gt;0,1,0)</f>
        <v>1</v>
      </c>
      <c r="H564" s="37">
        <f>IF(COUNTIFS('📋 Транзакції'!$B$5:$B$3623,A564,'📋 Транзакції'!$C$5:$C$3623,"&gt;="&amp;EDATE(DATEVALUE(C564&amp;"-01"),1),'📋 Транзакції'!$C$5:$C$3623,"&lt;"&amp;EDATE(DATEVALUE(C564&amp;"-01"),2))&gt;0,1,0)</f>
        <v>0</v>
      </c>
      <c r="I564" s="37">
        <f>IF(COUNTIFS('📋 Транзакції'!$B$5:$B$3623,A564,'📋 Транзакції'!$C$5:$C$3623,"&gt;="&amp;EDATE(DATEVALUE(C564&amp;"-01"),2),'📋 Транзакції'!$C$5:$C$3623,"&lt;"&amp;EDATE(DATEVALUE(C564&amp;"-01"),3))&gt;0,1,0)</f>
        <v>0</v>
      </c>
      <c r="J564" s="37">
        <f>IF(COUNTIFS('📋 Транзакції'!$B$5:$B$3623,A564,'📋 Транзакції'!$C$5:$C$3623,"&gt;="&amp;EDATE(DATEVALUE(C564&amp;"-01"),3),'📋 Транзакції'!$C$5:$C$3623,"&lt;"&amp;EDATE(DATEVALUE(C564&amp;"-01"),4))&gt;0,1,0)</f>
        <v>0</v>
      </c>
      <c r="K564" s="37">
        <f>IF(COUNTIFS('📋 Транзакції'!$B$5:$B$3623,A564,'📋 Транзакції'!$C$5:$C$3623,"&gt;="&amp;EDATE(DATEVALUE(C564&amp;"-01"),4),'📋 Транзакції'!$C$5:$C$3623,"&lt;"&amp;EDATE(DATEVALUE(C564&amp;"-01"),5))&gt;0,1,0)</f>
        <v>0</v>
      </c>
      <c r="L564" s="37">
        <f>IF(COUNTIFS('📋 Транзакції'!$B$5:$B$3623,A564,'📋 Транзакції'!$C$5:$C$3623,"&gt;="&amp;EDATE(DATEVALUE(C564&amp;"-01"),5),'📋 Транзакції'!$C$5:$C$3623,"&lt;"&amp;EDATE(DATEVALUE(C564&amp;"-01"),6))&gt;0,1,0)</f>
        <v>0</v>
      </c>
      <c r="M564" s="37">
        <f>IF(COUNTIFS('📋 Транзакції'!$B$5:$B$3623,A564,'📋 Транзакції'!$C$5:$C$3623,"&gt;="&amp;EDATE(DATEVALUE(C564&amp;"-01"),6),'📋 Транзакції'!$C$5:$C$3623,"&lt;"&amp;EDATE(DATEVALUE(C564&amp;"-01"),7))&gt;0,1,0)</f>
        <v>0</v>
      </c>
      <c r="N564" s="37">
        <f>IF(COUNTIFS('📋 Транзакції'!$B$5:$B$3623,A564,'📋 Транзакції'!$C$5:$C$3623,"&gt;="&amp;EDATE(DATEVALUE(C564&amp;"-01"),7),'📋 Транзакції'!$C$5:$C$3623,"&lt;"&amp;EDATE(DATEVALUE(C564&amp;"-01"),8))&gt;0,1,0)</f>
        <v>0</v>
      </c>
      <c r="O564" s="37">
        <f>IF(COUNTIFS('📋 Транзакції'!$B$5:$B$3623,A564,'📋 Транзакції'!$C$5:$C$3623,"&gt;="&amp;EDATE(DATEVALUE(C564&amp;"-01"),8),'📋 Транзакції'!$C$5:$C$3623,"&lt;"&amp;EDATE(DATEVALUE(C564&amp;"-01"),9))&gt;0,1,0)</f>
        <v>0</v>
      </c>
      <c r="P564" s="37">
        <f>IF(COUNTIFS('📋 Транзакції'!$B$5:$B$3623,A564,'📋 Транзакції'!$C$5:$C$3623,"&gt;="&amp;EDATE(DATEVALUE(C564&amp;"-01"),9),'📋 Транзакції'!$C$5:$C$3623,"&lt;"&amp;EDATE(DATEVALUE(C564&amp;"-01"),10))&gt;0,1,0)</f>
        <v>0</v>
      </c>
      <c r="Q564" s="37">
        <f>IF(COUNTIFS('📋 Транзакції'!$B$5:$B$3623,A564,'📋 Транзакції'!$C$5:$C$3623,"&gt;="&amp;EDATE(DATEVALUE(C564&amp;"-01"),10),'📋 Транзакції'!$C$5:$C$3623,"&lt;"&amp;EDATE(DATEVALUE(C564&amp;"-01"),11))&gt;0,1,0)</f>
        <v>0</v>
      </c>
      <c r="R564" s="37">
        <f>IF(COUNTIFS('📋 Транзакції'!$B$5:$B$3623,A564,'📋 Транзакції'!$C$5:$C$3623,"&gt;="&amp;EDATE(DATEVALUE(C564&amp;"-01"),11),'📋 Транзакції'!$C$5:$C$3623,"&lt;"&amp;EDATE(DATEVALUE(C564&amp;"-01"),12))&gt;0,1,0)</f>
        <v>0</v>
      </c>
      <c r="S564" s="37">
        <f>SUMIFS('📋 Транзакції'!$F$5:$F$3623,'📋 Транзакції'!$B$5:$B$3623,A564,'📋 Транзакції'!$C$5:$C$3623,"&gt;="&amp;EDATE(DATEVALUE(C564&amp;"-01"),0),'📋 Транзакції'!$C$5:$C$3623,"&lt;"&amp;EDATE(DATEVALUE(C564&amp;"-01"),1))</f>
        <v>19.99</v>
      </c>
      <c r="T564" s="37">
        <f>SUMIFS('📋 Транзакції'!$F$5:$F$3623,'📋 Транзакції'!$B$5:$B$3623,A564,'📋 Транзакції'!$C$5:$C$3623,"&gt;="&amp;EDATE(DATEVALUE(C564&amp;"-01"),1),'📋 Транзакції'!$C$5:$C$3623,"&lt;"&amp;EDATE(DATEVALUE(C564&amp;"-01"),2))</f>
        <v>0</v>
      </c>
      <c r="U564" s="37">
        <f>SUMIFS('📋 Транзакції'!$F$5:$F$3623,'📋 Транзакції'!$B$5:$B$3623,A564,'📋 Транзакції'!$C$5:$C$3623,"&gt;="&amp;EDATE(DATEVALUE(C564&amp;"-01"),2),'📋 Транзакції'!$C$5:$C$3623,"&lt;"&amp;EDATE(DATEVALUE(C564&amp;"-01"),3))</f>
        <v>0</v>
      </c>
      <c r="V564" s="37">
        <f>SUMIFS('📋 Транзакції'!$F$5:$F$3623,'📋 Транзакції'!$B$5:$B$3623,A564,'📋 Транзакції'!$C$5:$C$3623,"&gt;="&amp;EDATE(DATEVALUE(C564&amp;"-01"),3),'📋 Транзакції'!$C$5:$C$3623,"&lt;"&amp;EDATE(DATEVALUE(C564&amp;"-01"),4))</f>
        <v>0</v>
      </c>
      <c r="W564" s="37">
        <f>SUMIFS('📋 Транзакції'!$F$5:$F$3623,'📋 Транзакції'!$B$5:$B$3623,A564,'📋 Транзакції'!$C$5:$C$3623,"&gt;="&amp;EDATE(DATEVALUE(C564&amp;"-01"),4),'📋 Транзакції'!$C$5:$C$3623,"&lt;"&amp;EDATE(DATEVALUE(C564&amp;"-01"),5))</f>
        <v>0</v>
      </c>
      <c r="X564" s="37">
        <f>SUMIFS('📋 Транзакції'!$F$5:$F$3623,'📋 Транзакції'!$B$5:$B$3623,A564,'📋 Транзакції'!$C$5:$C$3623,"&gt;="&amp;EDATE(DATEVALUE(C564&amp;"-01"),5),'📋 Транзакції'!$C$5:$C$3623,"&lt;"&amp;EDATE(DATEVALUE(C564&amp;"-01"),6))</f>
        <v>0</v>
      </c>
      <c r="Y564" s="37">
        <f>SUMIFS('📋 Транзакції'!$F$5:$F$3623,'📋 Транзакції'!$B$5:$B$3623,A564,'📋 Транзакції'!$C$5:$C$3623,"&gt;="&amp;EDATE(DATEVALUE(C564&amp;"-01"),6),'📋 Транзакції'!$C$5:$C$3623,"&lt;"&amp;EDATE(DATEVALUE(C564&amp;"-01"),7))</f>
        <v>0</v>
      </c>
      <c r="Z564" s="37">
        <f>SUMIFS('📋 Транзакції'!$F$5:$F$3623,'📋 Транзакції'!$B$5:$B$3623,A564,'📋 Транзакції'!$C$5:$C$3623,"&gt;="&amp;EDATE(DATEVALUE(C564&amp;"-01"),7),'📋 Транзакції'!$C$5:$C$3623,"&lt;"&amp;EDATE(DATEVALUE(C564&amp;"-01"),8))</f>
        <v>0</v>
      </c>
      <c r="AA564" s="37">
        <f>SUMIFS('📋 Транзакції'!$F$5:$F$3623,'📋 Транзакції'!$B$5:$B$3623,A564,'📋 Транзакції'!$C$5:$C$3623,"&gt;="&amp;EDATE(DATEVALUE(C564&amp;"-01"),8),'📋 Транзакції'!$C$5:$C$3623,"&lt;"&amp;EDATE(DATEVALUE(C564&amp;"-01"),9))</f>
        <v>0</v>
      </c>
      <c r="AB564" s="37">
        <f>SUMIFS('📋 Транзакції'!$F$5:$F$3623,'📋 Транзакції'!$B$5:$B$3623,A564,'📋 Транзакції'!$C$5:$C$3623,"&gt;="&amp;EDATE(DATEVALUE(C564&amp;"-01"),9),'📋 Транзакції'!$C$5:$C$3623,"&lt;"&amp;EDATE(DATEVALUE(C564&amp;"-01"),10))</f>
        <v>0</v>
      </c>
      <c r="AC564" s="37">
        <f>SUMIFS('📋 Транзакції'!$F$5:$F$3623,'📋 Транзакції'!$B$5:$B$3623,A564,'📋 Транзакції'!$C$5:$C$3623,"&gt;="&amp;EDATE(DATEVALUE(C564&amp;"-01"),10),'📋 Транзакції'!$C$5:$C$3623,"&lt;"&amp;EDATE(DATEVALUE(C564&amp;"-01"),11))</f>
        <v>0</v>
      </c>
      <c r="AD564" s="37">
        <f>SUMIFS('📋 Транзакції'!$F$5:$F$3623,'📋 Транзакції'!$B$5:$B$3623,A564,'📋 Транзакції'!$C$5:$C$3623,"&gt;="&amp;EDATE(DATEVALUE(C564&amp;"-01"),11),'📋 Транзакції'!$C$5:$C$3623,"&lt;"&amp;EDATE(DATEVALUE(C564&amp;"-01"),12))</f>
        <v>0</v>
      </c>
    </row>
    <row r="565" ht="15.75" customHeight="1">
      <c r="A565" s="33" t="str">
        <f>'📋 Реєстрації'!A565:A1166</f>
        <v>U0576</v>
      </c>
      <c r="B565" s="34">
        <f t="array" ref="B565">INDEX('📋 Транзакції'!$C$5:$C$3623,MATCH(A565,'📋 Транзакції'!$B$5:$B$3623,0))</f>
        <v>45724</v>
      </c>
      <c r="C565" s="35" t="str">
        <f t="shared" si="1"/>
        <v>2025-03</v>
      </c>
      <c r="D565" s="36">
        <f>COUNTIF('📋 Транзакції'!$B$5:$B$3623,A565)</f>
        <v>2</v>
      </c>
      <c r="E565" s="36">
        <f>SUMIF('📋 Транзакції'!$B$5:$B$3623,A565,'📋 Транзакції'!$F$5:$F$3623)</f>
        <v>19.99</v>
      </c>
      <c r="F565" s="35">
        <f>INT($A$1-MAXIFS('📋 Транзакції'!$C$5:$C$3623,'📋 Транзакції'!$B$5:$B$3623,A565))</f>
        <v>16</v>
      </c>
      <c r="G565" s="37">
        <f>IF(COUNTIFS('📋 Транзакції'!$B$5:$B$3623,A565,'📋 Транзакції'!$C$5:$C$3623,"&gt;="&amp;EDATE(DATEVALUE(C565&amp;"-01"),0),'📋 Транзакції'!$C$5:$C$3623,"&lt;"&amp;EDATE(DATEVALUE(C565&amp;"-01"),1))&gt;0,1,0)</f>
        <v>1</v>
      </c>
      <c r="H565" s="37">
        <f>IF(COUNTIFS('📋 Транзакції'!$B$5:$B$3623,A565,'📋 Транзакції'!$C$5:$C$3623,"&gt;="&amp;EDATE(DATEVALUE(C565&amp;"-01"),1),'📋 Транзакції'!$C$5:$C$3623,"&lt;"&amp;EDATE(DATEVALUE(C565&amp;"-01"),2))&gt;0,1,0)</f>
        <v>0</v>
      </c>
      <c r="I565" s="37">
        <f>IF(COUNTIFS('📋 Транзакції'!$B$5:$B$3623,A565,'📋 Транзакції'!$C$5:$C$3623,"&gt;="&amp;EDATE(DATEVALUE(C565&amp;"-01"),2),'📋 Транзакції'!$C$5:$C$3623,"&lt;"&amp;EDATE(DATEVALUE(C565&amp;"-01"),3))&gt;0,1,0)</f>
        <v>0</v>
      </c>
      <c r="J565" s="37">
        <f>IF(COUNTIFS('📋 Транзакції'!$B$5:$B$3623,A565,'📋 Транзакції'!$C$5:$C$3623,"&gt;="&amp;EDATE(DATEVALUE(C565&amp;"-01"),3),'📋 Транзакції'!$C$5:$C$3623,"&lt;"&amp;EDATE(DATEVALUE(C565&amp;"-01"),4))&gt;0,1,0)</f>
        <v>0</v>
      </c>
      <c r="K565" s="37">
        <f>IF(COUNTIFS('📋 Транзакції'!$B$5:$B$3623,A565,'📋 Транзакції'!$C$5:$C$3623,"&gt;="&amp;EDATE(DATEVALUE(C565&amp;"-01"),4),'📋 Транзакції'!$C$5:$C$3623,"&lt;"&amp;EDATE(DATEVALUE(C565&amp;"-01"),5))&gt;0,1,0)</f>
        <v>0</v>
      </c>
      <c r="L565" s="37">
        <f>IF(COUNTIFS('📋 Транзакції'!$B$5:$B$3623,A565,'📋 Транзакції'!$C$5:$C$3623,"&gt;="&amp;EDATE(DATEVALUE(C565&amp;"-01"),5),'📋 Транзакції'!$C$5:$C$3623,"&lt;"&amp;EDATE(DATEVALUE(C565&amp;"-01"),6))&gt;0,1,0)</f>
        <v>0</v>
      </c>
      <c r="M565" s="37">
        <f>IF(COUNTIFS('📋 Транзакції'!$B$5:$B$3623,A565,'📋 Транзакції'!$C$5:$C$3623,"&gt;="&amp;EDATE(DATEVALUE(C565&amp;"-01"),6),'📋 Транзакції'!$C$5:$C$3623,"&lt;"&amp;EDATE(DATEVALUE(C565&amp;"-01"),7))&gt;0,1,0)</f>
        <v>0</v>
      </c>
      <c r="N565" s="37">
        <f>IF(COUNTIFS('📋 Транзакції'!$B$5:$B$3623,A565,'📋 Транзакції'!$C$5:$C$3623,"&gt;="&amp;EDATE(DATEVALUE(C565&amp;"-01"),7),'📋 Транзакції'!$C$5:$C$3623,"&lt;"&amp;EDATE(DATEVALUE(C565&amp;"-01"),8))&gt;0,1,0)</f>
        <v>0</v>
      </c>
      <c r="O565" s="37">
        <f>IF(COUNTIFS('📋 Транзакції'!$B$5:$B$3623,A565,'📋 Транзакції'!$C$5:$C$3623,"&gt;="&amp;EDATE(DATEVALUE(C565&amp;"-01"),8),'📋 Транзакції'!$C$5:$C$3623,"&lt;"&amp;EDATE(DATEVALUE(C565&amp;"-01"),9))&gt;0,1,0)</f>
        <v>0</v>
      </c>
      <c r="P565" s="37">
        <f>IF(COUNTIFS('📋 Транзакції'!$B$5:$B$3623,A565,'📋 Транзакції'!$C$5:$C$3623,"&gt;="&amp;EDATE(DATEVALUE(C565&amp;"-01"),9),'📋 Транзакції'!$C$5:$C$3623,"&lt;"&amp;EDATE(DATEVALUE(C565&amp;"-01"),10))&gt;0,1,0)</f>
        <v>0</v>
      </c>
      <c r="Q565" s="37">
        <f>IF(COUNTIFS('📋 Транзакції'!$B$5:$B$3623,A565,'📋 Транзакції'!$C$5:$C$3623,"&gt;="&amp;EDATE(DATEVALUE(C565&amp;"-01"),10),'📋 Транзакції'!$C$5:$C$3623,"&lt;"&amp;EDATE(DATEVALUE(C565&amp;"-01"),11))&gt;0,1,0)</f>
        <v>0</v>
      </c>
      <c r="R565" s="37">
        <f>IF(COUNTIFS('📋 Транзакції'!$B$5:$B$3623,A565,'📋 Транзакції'!$C$5:$C$3623,"&gt;="&amp;EDATE(DATEVALUE(C565&amp;"-01"),11),'📋 Транзакції'!$C$5:$C$3623,"&lt;"&amp;EDATE(DATEVALUE(C565&amp;"-01"),12))&gt;0,1,0)</f>
        <v>0</v>
      </c>
      <c r="S565" s="37">
        <f>SUMIFS('📋 Транзакції'!$F$5:$F$3623,'📋 Транзакції'!$B$5:$B$3623,A565,'📋 Транзакції'!$C$5:$C$3623,"&gt;="&amp;EDATE(DATEVALUE(C565&amp;"-01"),0),'📋 Транзакції'!$C$5:$C$3623,"&lt;"&amp;EDATE(DATEVALUE(C565&amp;"-01"),1))</f>
        <v>19.99</v>
      </c>
      <c r="T565" s="37">
        <f>SUMIFS('📋 Транзакції'!$F$5:$F$3623,'📋 Транзакції'!$B$5:$B$3623,A565,'📋 Транзакції'!$C$5:$C$3623,"&gt;="&amp;EDATE(DATEVALUE(C565&amp;"-01"),1),'📋 Транзакції'!$C$5:$C$3623,"&lt;"&amp;EDATE(DATEVALUE(C565&amp;"-01"),2))</f>
        <v>0</v>
      </c>
      <c r="U565" s="37">
        <f>SUMIFS('📋 Транзакції'!$F$5:$F$3623,'📋 Транзакції'!$B$5:$B$3623,A565,'📋 Транзакції'!$C$5:$C$3623,"&gt;="&amp;EDATE(DATEVALUE(C565&amp;"-01"),2),'📋 Транзакції'!$C$5:$C$3623,"&lt;"&amp;EDATE(DATEVALUE(C565&amp;"-01"),3))</f>
        <v>0</v>
      </c>
      <c r="V565" s="37">
        <f>SUMIFS('📋 Транзакції'!$F$5:$F$3623,'📋 Транзакції'!$B$5:$B$3623,A565,'📋 Транзакції'!$C$5:$C$3623,"&gt;="&amp;EDATE(DATEVALUE(C565&amp;"-01"),3),'📋 Транзакції'!$C$5:$C$3623,"&lt;"&amp;EDATE(DATEVALUE(C565&amp;"-01"),4))</f>
        <v>0</v>
      </c>
      <c r="W565" s="37">
        <f>SUMIFS('📋 Транзакції'!$F$5:$F$3623,'📋 Транзакції'!$B$5:$B$3623,A565,'📋 Транзакції'!$C$5:$C$3623,"&gt;="&amp;EDATE(DATEVALUE(C565&amp;"-01"),4),'📋 Транзакції'!$C$5:$C$3623,"&lt;"&amp;EDATE(DATEVALUE(C565&amp;"-01"),5))</f>
        <v>0</v>
      </c>
      <c r="X565" s="37">
        <f>SUMIFS('📋 Транзакції'!$F$5:$F$3623,'📋 Транзакції'!$B$5:$B$3623,A565,'📋 Транзакції'!$C$5:$C$3623,"&gt;="&amp;EDATE(DATEVALUE(C565&amp;"-01"),5),'📋 Транзакції'!$C$5:$C$3623,"&lt;"&amp;EDATE(DATEVALUE(C565&amp;"-01"),6))</f>
        <v>0</v>
      </c>
      <c r="Y565" s="37">
        <f>SUMIFS('📋 Транзакції'!$F$5:$F$3623,'📋 Транзакції'!$B$5:$B$3623,A565,'📋 Транзакції'!$C$5:$C$3623,"&gt;="&amp;EDATE(DATEVALUE(C565&amp;"-01"),6),'📋 Транзакції'!$C$5:$C$3623,"&lt;"&amp;EDATE(DATEVALUE(C565&amp;"-01"),7))</f>
        <v>0</v>
      </c>
      <c r="Z565" s="37">
        <f>SUMIFS('📋 Транзакції'!$F$5:$F$3623,'📋 Транзакції'!$B$5:$B$3623,A565,'📋 Транзакції'!$C$5:$C$3623,"&gt;="&amp;EDATE(DATEVALUE(C565&amp;"-01"),7),'📋 Транзакції'!$C$5:$C$3623,"&lt;"&amp;EDATE(DATEVALUE(C565&amp;"-01"),8))</f>
        <v>0</v>
      </c>
      <c r="AA565" s="37">
        <f>SUMIFS('📋 Транзакції'!$F$5:$F$3623,'📋 Транзакції'!$B$5:$B$3623,A565,'📋 Транзакції'!$C$5:$C$3623,"&gt;="&amp;EDATE(DATEVALUE(C565&amp;"-01"),8),'📋 Транзакції'!$C$5:$C$3623,"&lt;"&amp;EDATE(DATEVALUE(C565&amp;"-01"),9))</f>
        <v>0</v>
      </c>
      <c r="AB565" s="37">
        <f>SUMIFS('📋 Транзакції'!$F$5:$F$3623,'📋 Транзакції'!$B$5:$B$3623,A565,'📋 Транзакції'!$C$5:$C$3623,"&gt;="&amp;EDATE(DATEVALUE(C565&amp;"-01"),9),'📋 Транзакції'!$C$5:$C$3623,"&lt;"&amp;EDATE(DATEVALUE(C565&amp;"-01"),10))</f>
        <v>0</v>
      </c>
      <c r="AC565" s="37">
        <f>SUMIFS('📋 Транзакції'!$F$5:$F$3623,'📋 Транзакції'!$B$5:$B$3623,A565,'📋 Транзакції'!$C$5:$C$3623,"&gt;="&amp;EDATE(DATEVALUE(C565&amp;"-01"),10),'📋 Транзакції'!$C$5:$C$3623,"&lt;"&amp;EDATE(DATEVALUE(C565&amp;"-01"),11))</f>
        <v>0</v>
      </c>
      <c r="AD565" s="37">
        <f>SUMIFS('📋 Транзакції'!$F$5:$F$3623,'📋 Транзакції'!$B$5:$B$3623,A565,'📋 Транзакції'!$C$5:$C$3623,"&gt;="&amp;EDATE(DATEVALUE(C565&amp;"-01"),11),'📋 Транзакції'!$C$5:$C$3623,"&lt;"&amp;EDATE(DATEVALUE(C565&amp;"-01"),12))</f>
        <v>0</v>
      </c>
    </row>
    <row r="566" ht="15.75" customHeight="1">
      <c r="A566" s="33" t="str">
        <f>'📋 Реєстрації'!A566:A1167</f>
        <v>U0412</v>
      </c>
      <c r="B566" s="34">
        <f t="array" ref="B566">INDEX('📋 Транзакції'!$C$5:$C$3623,MATCH(A566,'📋 Транзакції'!$B$5:$B$3623,0))</f>
        <v>45725</v>
      </c>
      <c r="C566" s="35" t="str">
        <f t="shared" si="1"/>
        <v>2025-03</v>
      </c>
      <c r="D566" s="36">
        <f>COUNTIF('📋 Транзакції'!$B$5:$B$3623,A566)</f>
        <v>2</v>
      </c>
      <c r="E566" s="36">
        <f>SUMIF('📋 Транзакції'!$B$5:$B$3623,A566,'📋 Транзакції'!$F$5:$F$3623)</f>
        <v>19.99</v>
      </c>
      <c r="F566" s="35">
        <f>INT($A$1-MAXIFS('📋 Транзакції'!$C$5:$C$3623,'📋 Транзакції'!$B$5:$B$3623,A566))</f>
        <v>15</v>
      </c>
      <c r="G566" s="37">
        <f>IF(COUNTIFS('📋 Транзакції'!$B$5:$B$3623,A566,'📋 Транзакції'!$C$5:$C$3623,"&gt;="&amp;EDATE(DATEVALUE(C566&amp;"-01"),0),'📋 Транзакції'!$C$5:$C$3623,"&lt;"&amp;EDATE(DATEVALUE(C566&amp;"-01"),1))&gt;0,1,0)</f>
        <v>1</v>
      </c>
      <c r="H566" s="37">
        <f>IF(COUNTIFS('📋 Транзакції'!$B$5:$B$3623,A566,'📋 Транзакції'!$C$5:$C$3623,"&gt;="&amp;EDATE(DATEVALUE(C566&amp;"-01"),1),'📋 Транзакції'!$C$5:$C$3623,"&lt;"&amp;EDATE(DATEVALUE(C566&amp;"-01"),2))&gt;0,1,0)</f>
        <v>0</v>
      </c>
      <c r="I566" s="37">
        <f>IF(COUNTIFS('📋 Транзакції'!$B$5:$B$3623,A566,'📋 Транзакції'!$C$5:$C$3623,"&gt;="&amp;EDATE(DATEVALUE(C566&amp;"-01"),2),'📋 Транзакції'!$C$5:$C$3623,"&lt;"&amp;EDATE(DATEVALUE(C566&amp;"-01"),3))&gt;0,1,0)</f>
        <v>0</v>
      </c>
      <c r="J566" s="37">
        <f>IF(COUNTIFS('📋 Транзакції'!$B$5:$B$3623,A566,'📋 Транзакції'!$C$5:$C$3623,"&gt;="&amp;EDATE(DATEVALUE(C566&amp;"-01"),3),'📋 Транзакції'!$C$5:$C$3623,"&lt;"&amp;EDATE(DATEVALUE(C566&amp;"-01"),4))&gt;0,1,0)</f>
        <v>0</v>
      </c>
      <c r="K566" s="37">
        <f>IF(COUNTIFS('📋 Транзакції'!$B$5:$B$3623,A566,'📋 Транзакції'!$C$5:$C$3623,"&gt;="&amp;EDATE(DATEVALUE(C566&amp;"-01"),4),'📋 Транзакції'!$C$5:$C$3623,"&lt;"&amp;EDATE(DATEVALUE(C566&amp;"-01"),5))&gt;0,1,0)</f>
        <v>0</v>
      </c>
      <c r="L566" s="37">
        <f>IF(COUNTIFS('📋 Транзакції'!$B$5:$B$3623,A566,'📋 Транзакції'!$C$5:$C$3623,"&gt;="&amp;EDATE(DATEVALUE(C566&amp;"-01"),5),'📋 Транзакції'!$C$5:$C$3623,"&lt;"&amp;EDATE(DATEVALUE(C566&amp;"-01"),6))&gt;0,1,0)</f>
        <v>0</v>
      </c>
      <c r="M566" s="37">
        <f>IF(COUNTIFS('📋 Транзакції'!$B$5:$B$3623,A566,'📋 Транзакції'!$C$5:$C$3623,"&gt;="&amp;EDATE(DATEVALUE(C566&amp;"-01"),6),'📋 Транзакції'!$C$5:$C$3623,"&lt;"&amp;EDATE(DATEVALUE(C566&amp;"-01"),7))&gt;0,1,0)</f>
        <v>0</v>
      </c>
      <c r="N566" s="37">
        <f>IF(COUNTIFS('📋 Транзакції'!$B$5:$B$3623,A566,'📋 Транзакції'!$C$5:$C$3623,"&gt;="&amp;EDATE(DATEVALUE(C566&amp;"-01"),7),'📋 Транзакції'!$C$5:$C$3623,"&lt;"&amp;EDATE(DATEVALUE(C566&amp;"-01"),8))&gt;0,1,0)</f>
        <v>0</v>
      </c>
      <c r="O566" s="37">
        <f>IF(COUNTIFS('📋 Транзакції'!$B$5:$B$3623,A566,'📋 Транзакції'!$C$5:$C$3623,"&gt;="&amp;EDATE(DATEVALUE(C566&amp;"-01"),8),'📋 Транзакції'!$C$5:$C$3623,"&lt;"&amp;EDATE(DATEVALUE(C566&amp;"-01"),9))&gt;0,1,0)</f>
        <v>0</v>
      </c>
      <c r="P566" s="37">
        <f>IF(COUNTIFS('📋 Транзакції'!$B$5:$B$3623,A566,'📋 Транзакції'!$C$5:$C$3623,"&gt;="&amp;EDATE(DATEVALUE(C566&amp;"-01"),9),'📋 Транзакції'!$C$5:$C$3623,"&lt;"&amp;EDATE(DATEVALUE(C566&amp;"-01"),10))&gt;0,1,0)</f>
        <v>0</v>
      </c>
      <c r="Q566" s="37">
        <f>IF(COUNTIFS('📋 Транзакції'!$B$5:$B$3623,A566,'📋 Транзакції'!$C$5:$C$3623,"&gt;="&amp;EDATE(DATEVALUE(C566&amp;"-01"),10),'📋 Транзакції'!$C$5:$C$3623,"&lt;"&amp;EDATE(DATEVALUE(C566&amp;"-01"),11))&gt;0,1,0)</f>
        <v>0</v>
      </c>
      <c r="R566" s="37">
        <f>IF(COUNTIFS('📋 Транзакції'!$B$5:$B$3623,A566,'📋 Транзакції'!$C$5:$C$3623,"&gt;="&amp;EDATE(DATEVALUE(C566&amp;"-01"),11),'📋 Транзакції'!$C$5:$C$3623,"&lt;"&amp;EDATE(DATEVALUE(C566&amp;"-01"),12))&gt;0,1,0)</f>
        <v>0</v>
      </c>
      <c r="S566" s="37">
        <f>SUMIFS('📋 Транзакції'!$F$5:$F$3623,'📋 Транзакції'!$B$5:$B$3623,A566,'📋 Транзакції'!$C$5:$C$3623,"&gt;="&amp;EDATE(DATEVALUE(C566&amp;"-01"),0),'📋 Транзакції'!$C$5:$C$3623,"&lt;"&amp;EDATE(DATEVALUE(C566&amp;"-01"),1))</f>
        <v>19.99</v>
      </c>
      <c r="T566" s="37">
        <f>SUMIFS('📋 Транзакції'!$F$5:$F$3623,'📋 Транзакції'!$B$5:$B$3623,A566,'📋 Транзакції'!$C$5:$C$3623,"&gt;="&amp;EDATE(DATEVALUE(C566&amp;"-01"),1),'📋 Транзакції'!$C$5:$C$3623,"&lt;"&amp;EDATE(DATEVALUE(C566&amp;"-01"),2))</f>
        <v>0</v>
      </c>
      <c r="U566" s="37">
        <f>SUMIFS('📋 Транзакції'!$F$5:$F$3623,'📋 Транзакції'!$B$5:$B$3623,A566,'📋 Транзакції'!$C$5:$C$3623,"&gt;="&amp;EDATE(DATEVALUE(C566&amp;"-01"),2),'📋 Транзакції'!$C$5:$C$3623,"&lt;"&amp;EDATE(DATEVALUE(C566&amp;"-01"),3))</f>
        <v>0</v>
      </c>
      <c r="V566" s="37">
        <f>SUMIFS('📋 Транзакції'!$F$5:$F$3623,'📋 Транзакції'!$B$5:$B$3623,A566,'📋 Транзакції'!$C$5:$C$3623,"&gt;="&amp;EDATE(DATEVALUE(C566&amp;"-01"),3),'📋 Транзакції'!$C$5:$C$3623,"&lt;"&amp;EDATE(DATEVALUE(C566&amp;"-01"),4))</f>
        <v>0</v>
      </c>
      <c r="W566" s="37">
        <f>SUMIFS('📋 Транзакції'!$F$5:$F$3623,'📋 Транзакції'!$B$5:$B$3623,A566,'📋 Транзакції'!$C$5:$C$3623,"&gt;="&amp;EDATE(DATEVALUE(C566&amp;"-01"),4),'📋 Транзакції'!$C$5:$C$3623,"&lt;"&amp;EDATE(DATEVALUE(C566&amp;"-01"),5))</f>
        <v>0</v>
      </c>
      <c r="X566" s="37">
        <f>SUMIFS('📋 Транзакції'!$F$5:$F$3623,'📋 Транзакції'!$B$5:$B$3623,A566,'📋 Транзакції'!$C$5:$C$3623,"&gt;="&amp;EDATE(DATEVALUE(C566&amp;"-01"),5),'📋 Транзакції'!$C$5:$C$3623,"&lt;"&amp;EDATE(DATEVALUE(C566&amp;"-01"),6))</f>
        <v>0</v>
      </c>
      <c r="Y566" s="37">
        <f>SUMIFS('📋 Транзакції'!$F$5:$F$3623,'📋 Транзакції'!$B$5:$B$3623,A566,'📋 Транзакції'!$C$5:$C$3623,"&gt;="&amp;EDATE(DATEVALUE(C566&amp;"-01"),6),'📋 Транзакції'!$C$5:$C$3623,"&lt;"&amp;EDATE(DATEVALUE(C566&amp;"-01"),7))</f>
        <v>0</v>
      </c>
      <c r="Z566" s="37">
        <f>SUMIFS('📋 Транзакції'!$F$5:$F$3623,'📋 Транзакції'!$B$5:$B$3623,A566,'📋 Транзакції'!$C$5:$C$3623,"&gt;="&amp;EDATE(DATEVALUE(C566&amp;"-01"),7),'📋 Транзакції'!$C$5:$C$3623,"&lt;"&amp;EDATE(DATEVALUE(C566&amp;"-01"),8))</f>
        <v>0</v>
      </c>
      <c r="AA566" s="37">
        <f>SUMIFS('📋 Транзакції'!$F$5:$F$3623,'📋 Транзакції'!$B$5:$B$3623,A566,'📋 Транзакції'!$C$5:$C$3623,"&gt;="&amp;EDATE(DATEVALUE(C566&amp;"-01"),8),'📋 Транзакції'!$C$5:$C$3623,"&lt;"&amp;EDATE(DATEVALUE(C566&amp;"-01"),9))</f>
        <v>0</v>
      </c>
      <c r="AB566" s="37">
        <f>SUMIFS('📋 Транзакції'!$F$5:$F$3623,'📋 Транзакції'!$B$5:$B$3623,A566,'📋 Транзакції'!$C$5:$C$3623,"&gt;="&amp;EDATE(DATEVALUE(C566&amp;"-01"),9),'📋 Транзакції'!$C$5:$C$3623,"&lt;"&amp;EDATE(DATEVALUE(C566&amp;"-01"),10))</f>
        <v>0</v>
      </c>
      <c r="AC566" s="37">
        <f>SUMIFS('📋 Транзакції'!$F$5:$F$3623,'📋 Транзакції'!$B$5:$B$3623,A566,'📋 Транзакції'!$C$5:$C$3623,"&gt;="&amp;EDATE(DATEVALUE(C566&amp;"-01"),10),'📋 Транзакції'!$C$5:$C$3623,"&lt;"&amp;EDATE(DATEVALUE(C566&amp;"-01"),11))</f>
        <v>0</v>
      </c>
      <c r="AD566" s="37">
        <f>SUMIFS('📋 Транзакції'!$F$5:$F$3623,'📋 Транзакції'!$B$5:$B$3623,A566,'📋 Транзакції'!$C$5:$C$3623,"&gt;="&amp;EDATE(DATEVALUE(C566&amp;"-01"),11),'📋 Транзакції'!$C$5:$C$3623,"&lt;"&amp;EDATE(DATEVALUE(C566&amp;"-01"),12))</f>
        <v>0</v>
      </c>
    </row>
    <row r="567" ht="15.75" customHeight="1">
      <c r="A567" s="33" t="str">
        <f>'📋 Реєстрації'!A567:A1168</f>
        <v>U0446</v>
      </c>
      <c r="B567" s="34">
        <f t="array" ref="B567">INDEX('📋 Транзакції'!$C$5:$C$3623,MATCH(A567,'📋 Транзакції'!$B$5:$B$3623,0))</f>
        <v>45725</v>
      </c>
      <c r="C567" s="35" t="str">
        <f t="shared" si="1"/>
        <v>2025-03</v>
      </c>
      <c r="D567" s="36">
        <f>COUNTIF('📋 Транзакції'!$B$5:$B$3623,A567)</f>
        <v>2</v>
      </c>
      <c r="E567" s="36">
        <f>SUMIF('📋 Транзакції'!$B$5:$B$3623,A567,'📋 Транзакції'!$F$5:$F$3623)</f>
        <v>19.99</v>
      </c>
      <c r="F567" s="35">
        <f>INT($A$1-MAXIFS('📋 Транзакції'!$C$5:$C$3623,'📋 Транзакції'!$B$5:$B$3623,A567))</f>
        <v>15</v>
      </c>
      <c r="G567" s="37">
        <f>IF(COUNTIFS('📋 Транзакції'!$B$5:$B$3623,A567,'📋 Транзакції'!$C$5:$C$3623,"&gt;="&amp;EDATE(DATEVALUE(C567&amp;"-01"),0),'📋 Транзакції'!$C$5:$C$3623,"&lt;"&amp;EDATE(DATEVALUE(C567&amp;"-01"),1))&gt;0,1,0)</f>
        <v>1</v>
      </c>
      <c r="H567" s="37">
        <f>IF(COUNTIFS('📋 Транзакції'!$B$5:$B$3623,A567,'📋 Транзакції'!$C$5:$C$3623,"&gt;="&amp;EDATE(DATEVALUE(C567&amp;"-01"),1),'📋 Транзакції'!$C$5:$C$3623,"&lt;"&amp;EDATE(DATEVALUE(C567&amp;"-01"),2))&gt;0,1,0)</f>
        <v>0</v>
      </c>
      <c r="I567" s="37">
        <f>IF(COUNTIFS('📋 Транзакції'!$B$5:$B$3623,A567,'📋 Транзакції'!$C$5:$C$3623,"&gt;="&amp;EDATE(DATEVALUE(C567&amp;"-01"),2),'📋 Транзакції'!$C$5:$C$3623,"&lt;"&amp;EDATE(DATEVALUE(C567&amp;"-01"),3))&gt;0,1,0)</f>
        <v>0</v>
      </c>
      <c r="J567" s="37">
        <f>IF(COUNTIFS('📋 Транзакції'!$B$5:$B$3623,A567,'📋 Транзакції'!$C$5:$C$3623,"&gt;="&amp;EDATE(DATEVALUE(C567&amp;"-01"),3),'📋 Транзакції'!$C$5:$C$3623,"&lt;"&amp;EDATE(DATEVALUE(C567&amp;"-01"),4))&gt;0,1,0)</f>
        <v>0</v>
      </c>
      <c r="K567" s="37">
        <f>IF(COUNTIFS('📋 Транзакції'!$B$5:$B$3623,A567,'📋 Транзакції'!$C$5:$C$3623,"&gt;="&amp;EDATE(DATEVALUE(C567&amp;"-01"),4),'📋 Транзакції'!$C$5:$C$3623,"&lt;"&amp;EDATE(DATEVALUE(C567&amp;"-01"),5))&gt;0,1,0)</f>
        <v>0</v>
      </c>
      <c r="L567" s="37">
        <f>IF(COUNTIFS('📋 Транзакції'!$B$5:$B$3623,A567,'📋 Транзакції'!$C$5:$C$3623,"&gt;="&amp;EDATE(DATEVALUE(C567&amp;"-01"),5),'📋 Транзакції'!$C$5:$C$3623,"&lt;"&amp;EDATE(DATEVALUE(C567&amp;"-01"),6))&gt;0,1,0)</f>
        <v>0</v>
      </c>
      <c r="M567" s="37">
        <f>IF(COUNTIFS('📋 Транзакції'!$B$5:$B$3623,A567,'📋 Транзакції'!$C$5:$C$3623,"&gt;="&amp;EDATE(DATEVALUE(C567&amp;"-01"),6),'📋 Транзакції'!$C$5:$C$3623,"&lt;"&amp;EDATE(DATEVALUE(C567&amp;"-01"),7))&gt;0,1,0)</f>
        <v>0</v>
      </c>
      <c r="N567" s="37">
        <f>IF(COUNTIFS('📋 Транзакції'!$B$5:$B$3623,A567,'📋 Транзакції'!$C$5:$C$3623,"&gt;="&amp;EDATE(DATEVALUE(C567&amp;"-01"),7),'📋 Транзакції'!$C$5:$C$3623,"&lt;"&amp;EDATE(DATEVALUE(C567&amp;"-01"),8))&gt;0,1,0)</f>
        <v>0</v>
      </c>
      <c r="O567" s="37">
        <f>IF(COUNTIFS('📋 Транзакції'!$B$5:$B$3623,A567,'📋 Транзакції'!$C$5:$C$3623,"&gt;="&amp;EDATE(DATEVALUE(C567&amp;"-01"),8),'📋 Транзакції'!$C$5:$C$3623,"&lt;"&amp;EDATE(DATEVALUE(C567&amp;"-01"),9))&gt;0,1,0)</f>
        <v>0</v>
      </c>
      <c r="P567" s="37">
        <f>IF(COUNTIFS('📋 Транзакції'!$B$5:$B$3623,A567,'📋 Транзакції'!$C$5:$C$3623,"&gt;="&amp;EDATE(DATEVALUE(C567&amp;"-01"),9),'📋 Транзакції'!$C$5:$C$3623,"&lt;"&amp;EDATE(DATEVALUE(C567&amp;"-01"),10))&gt;0,1,0)</f>
        <v>0</v>
      </c>
      <c r="Q567" s="37">
        <f>IF(COUNTIFS('📋 Транзакції'!$B$5:$B$3623,A567,'📋 Транзакції'!$C$5:$C$3623,"&gt;="&amp;EDATE(DATEVALUE(C567&amp;"-01"),10),'📋 Транзакції'!$C$5:$C$3623,"&lt;"&amp;EDATE(DATEVALUE(C567&amp;"-01"),11))&gt;0,1,0)</f>
        <v>0</v>
      </c>
      <c r="R567" s="37">
        <f>IF(COUNTIFS('📋 Транзакції'!$B$5:$B$3623,A567,'📋 Транзакції'!$C$5:$C$3623,"&gt;="&amp;EDATE(DATEVALUE(C567&amp;"-01"),11),'📋 Транзакції'!$C$5:$C$3623,"&lt;"&amp;EDATE(DATEVALUE(C567&amp;"-01"),12))&gt;0,1,0)</f>
        <v>0</v>
      </c>
      <c r="S567" s="37">
        <f>SUMIFS('📋 Транзакції'!$F$5:$F$3623,'📋 Транзакції'!$B$5:$B$3623,A567,'📋 Транзакції'!$C$5:$C$3623,"&gt;="&amp;EDATE(DATEVALUE(C567&amp;"-01"),0),'📋 Транзакції'!$C$5:$C$3623,"&lt;"&amp;EDATE(DATEVALUE(C567&amp;"-01"),1))</f>
        <v>19.99</v>
      </c>
      <c r="T567" s="37">
        <f>SUMIFS('📋 Транзакції'!$F$5:$F$3623,'📋 Транзакції'!$B$5:$B$3623,A567,'📋 Транзакції'!$C$5:$C$3623,"&gt;="&amp;EDATE(DATEVALUE(C567&amp;"-01"),1),'📋 Транзакції'!$C$5:$C$3623,"&lt;"&amp;EDATE(DATEVALUE(C567&amp;"-01"),2))</f>
        <v>0</v>
      </c>
      <c r="U567" s="37">
        <f>SUMIFS('📋 Транзакції'!$F$5:$F$3623,'📋 Транзакції'!$B$5:$B$3623,A567,'📋 Транзакції'!$C$5:$C$3623,"&gt;="&amp;EDATE(DATEVALUE(C567&amp;"-01"),2),'📋 Транзакції'!$C$5:$C$3623,"&lt;"&amp;EDATE(DATEVALUE(C567&amp;"-01"),3))</f>
        <v>0</v>
      </c>
      <c r="V567" s="37">
        <f>SUMIFS('📋 Транзакції'!$F$5:$F$3623,'📋 Транзакції'!$B$5:$B$3623,A567,'📋 Транзакції'!$C$5:$C$3623,"&gt;="&amp;EDATE(DATEVALUE(C567&amp;"-01"),3),'📋 Транзакції'!$C$5:$C$3623,"&lt;"&amp;EDATE(DATEVALUE(C567&amp;"-01"),4))</f>
        <v>0</v>
      </c>
      <c r="W567" s="37">
        <f>SUMIFS('📋 Транзакції'!$F$5:$F$3623,'📋 Транзакції'!$B$5:$B$3623,A567,'📋 Транзакції'!$C$5:$C$3623,"&gt;="&amp;EDATE(DATEVALUE(C567&amp;"-01"),4),'📋 Транзакції'!$C$5:$C$3623,"&lt;"&amp;EDATE(DATEVALUE(C567&amp;"-01"),5))</f>
        <v>0</v>
      </c>
      <c r="X567" s="37">
        <f>SUMIFS('📋 Транзакції'!$F$5:$F$3623,'📋 Транзакції'!$B$5:$B$3623,A567,'📋 Транзакції'!$C$5:$C$3623,"&gt;="&amp;EDATE(DATEVALUE(C567&amp;"-01"),5),'📋 Транзакції'!$C$5:$C$3623,"&lt;"&amp;EDATE(DATEVALUE(C567&amp;"-01"),6))</f>
        <v>0</v>
      </c>
      <c r="Y567" s="37">
        <f>SUMIFS('📋 Транзакції'!$F$5:$F$3623,'📋 Транзакції'!$B$5:$B$3623,A567,'📋 Транзакції'!$C$5:$C$3623,"&gt;="&amp;EDATE(DATEVALUE(C567&amp;"-01"),6),'📋 Транзакції'!$C$5:$C$3623,"&lt;"&amp;EDATE(DATEVALUE(C567&amp;"-01"),7))</f>
        <v>0</v>
      </c>
      <c r="Z567" s="37">
        <f>SUMIFS('📋 Транзакції'!$F$5:$F$3623,'📋 Транзакції'!$B$5:$B$3623,A567,'📋 Транзакції'!$C$5:$C$3623,"&gt;="&amp;EDATE(DATEVALUE(C567&amp;"-01"),7),'📋 Транзакції'!$C$5:$C$3623,"&lt;"&amp;EDATE(DATEVALUE(C567&amp;"-01"),8))</f>
        <v>0</v>
      </c>
      <c r="AA567" s="37">
        <f>SUMIFS('📋 Транзакції'!$F$5:$F$3623,'📋 Транзакції'!$B$5:$B$3623,A567,'📋 Транзакції'!$C$5:$C$3623,"&gt;="&amp;EDATE(DATEVALUE(C567&amp;"-01"),8),'📋 Транзакції'!$C$5:$C$3623,"&lt;"&amp;EDATE(DATEVALUE(C567&amp;"-01"),9))</f>
        <v>0</v>
      </c>
      <c r="AB567" s="37">
        <f>SUMIFS('📋 Транзакції'!$F$5:$F$3623,'📋 Транзакції'!$B$5:$B$3623,A567,'📋 Транзакції'!$C$5:$C$3623,"&gt;="&amp;EDATE(DATEVALUE(C567&amp;"-01"),9),'📋 Транзакції'!$C$5:$C$3623,"&lt;"&amp;EDATE(DATEVALUE(C567&amp;"-01"),10))</f>
        <v>0</v>
      </c>
      <c r="AC567" s="37">
        <f>SUMIFS('📋 Транзакції'!$F$5:$F$3623,'📋 Транзакції'!$B$5:$B$3623,A567,'📋 Транзакції'!$C$5:$C$3623,"&gt;="&amp;EDATE(DATEVALUE(C567&amp;"-01"),10),'📋 Транзакції'!$C$5:$C$3623,"&lt;"&amp;EDATE(DATEVALUE(C567&amp;"-01"),11))</f>
        <v>0</v>
      </c>
      <c r="AD567" s="37">
        <f>SUMIFS('📋 Транзакції'!$F$5:$F$3623,'📋 Транзакції'!$B$5:$B$3623,A567,'📋 Транзакції'!$C$5:$C$3623,"&gt;="&amp;EDATE(DATEVALUE(C567&amp;"-01"),11),'📋 Транзакції'!$C$5:$C$3623,"&lt;"&amp;EDATE(DATEVALUE(C567&amp;"-01"),12))</f>
        <v>0</v>
      </c>
    </row>
    <row r="568" ht="15.75" customHeight="1">
      <c r="A568" s="33" t="str">
        <f>'📋 Реєстрації'!A568:A1169</f>
        <v>U0752</v>
      </c>
      <c r="B568" s="34">
        <f t="array" ref="B568">INDEX('📋 Транзакції'!$C$5:$C$3623,MATCH(A568,'📋 Транзакції'!$B$5:$B$3623,0))</f>
        <v>45726</v>
      </c>
      <c r="C568" s="35" t="str">
        <f t="shared" si="1"/>
        <v>2025-03</v>
      </c>
      <c r="D568" s="36">
        <f>COUNTIF('📋 Транзакції'!$B$5:$B$3623,A568)</f>
        <v>2</v>
      </c>
      <c r="E568" s="36">
        <f>SUMIF('📋 Транзакції'!$B$5:$B$3623,A568,'📋 Транзакції'!$F$5:$F$3623)</f>
        <v>19.99</v>
      </c>
      <c r="F568" s="35">
        <f>INT($A$1-MAXIFS('📋 Транзакції'!$C$5:$C$3623,'📋 Транзакції'!$B$5:$B$3623,A568))</f>
        <v>14</v>
      </c>
      <c r="G568" s="37">
        <f>IF(COUNTIFS('📋 Транзакції'!$B$5:$B$3623,A568,'📋 Транзакції'!$C$5:$C$3623,"&gt;="&amp;EDATE(DATEVALUE(C568&amp;"-01"),0),'📋 Транзакції'!$C$5:$C$3623,"&lt;"&amp;EDATE(DATEVALUE(C568&amp;"-01"),1))&gt;0,1,0)</f>
        <v>1</v>
      </c>
      <c r="H568" s="37">
        <f>IF(COUNTIFS('📋 Транзакції'!$B$5:$B$3623,A568,'📋 Транзакції'!$C$5:$C$3623,"&gt;="&amp;EDATE(DATEVALUE(C568&amp;"-01"),1),'📋 Транзакції'!$C$5:$C$3623,"&lt;"&amp;EDATE(DATEVALUE(C568&amp;"-01"),2))&gt;0,1,0)</f>
        <v>0</v>
      </c>
      <c r="I568" s="37">
        <f>IF(COUNTIFS('📋 Транзакції'!$B$5:$B$3623,A568,'📋 Транзакції'!$C$5:$C$3623,"&gt;="&amp;EDATE(DATEVALUE(C568&amp;"-01"),2),'📋 Транзакції'!$C$5:$C$3623,"&lt;"&amp;EDATE(DATEVALUE(C568&amp;"-01"),3))&gt;0,1,0)</f>
        <v>0</v>
      </c>
      <c r="J568" s="37">
        <f>IF(COUNTIFS('📋 Транзакції'!$B$5:$B$3623,A568,'📋 Транзакції'!$C$5:$C$3623,"&gt;="&amp;EDATE(DATEVALUE(C568&amp;"-01"),3),'📋 Транзакції'!$C$5:$C$3623,"&lt;"&amp;EDATE(DATEVALUE(C568&amp;"-01"),4))&gt;0,1,0)</f>
        <v>0</v>
      </c>
      <c r="K568" s="37">
        <f>IF(COUNTIFS('📋 Транзакції'!$B$5:$B$3623,A568,'📋 Транзакції'!$C$5:$C$3623,"&gt;="&amp;EDATE(DATEVALUE(C568&amp;"-01"),4),'📋 Транзакції'!$C$5:$C$3623,"&lt;"&amp;EDATE(DATEVALUE(C568&amp;"-01"),5))&gt;0,1,0)</f>
        <v>0</v>
      </c>
      <c r="L568" s="37">
        <f>IF(COUNTIFS('📋 Транзакції'!$B$5:$B$3623,A568,'📋 Транзакції'!$C$5:$C$3623,"&gt;="&amp;EDATE(DATEVALUE(C568&amp;"-01"),5),'📋 Транзакції'!$C$5:$C$3623,"&lt;"&amp;EDATE(DATEVALUE(C568&amp;"-01"),6))&gt;0,1,0)</f>
        <v>0</v>
      </c>
      <c r="M568" s="37">
        <f>IF(COUNTIFS('📋 Транзакції'!$B$5:$B$3623,A568,'📋 Транзакції'!$C$5:$C$3623,"&gt;="&amp;EDATE(DATEVALUE(C568&amp;"-01"),6),'📋 Транзакції'!$C$5:$C$3623,"&lt;"&amp;EDATE(DATEVALUE(C568&amp;"-01"),7))&gt;0,1,0)</f>
        <v>0</v>
      </c>
      <c r="N568" s="37">
        <f>IF(COUNTIFS('📋 Транзакції'!$B$5:$B$3623,A568,'📋 Транзакції'!$C$5:$C$3623,"&gt;="&amp;EDATE(DATEVALUE(C568&amp;"-01"),7),'📋 Транзакції'!$C$5:$C$3623,"&lt;"&amp;EDATE(DATEVALUE(C568&amp;"-01"),8))&gt;0,1,0)</f>
        <v>0</v>
      </c>
      <c r="O568" s="37">
        <f>IF(COUNTIFS('📋 Транзакції'!$B$5:$B$3623,A568,'📋 Транзакції'!$C$5:$C$3623,"&gt;="&amp;EDATE(DATEVALUE(C568&amp;"-01"),8),'📋 Транзакції'!$C$5:$C$3623,"&lt;"&amp;EDATE(DATEVALUE(C568&amp;"-01"),9))&gt;0,1,0)</f>
        <v>0</v>
      </c>
      <c r="P568" s="37">
        <f>IF(COUNTIFS('📋 Транзакції'!$B$5:$B$3623,A568,'📋 Транзакції'!$C$5:$C$3623,"&gt;="&amp;EDATE(DATEVALUE(C568&amp;"-01"),9),'📋 Транзакції'!$C$5:$C$3623,"&lt;"&amp;EDATE(DATEVALUE(C568&amp;"-01"),10))&gt;0,1,0)</f>
        <v>0</v>
      </c>
      <c r="Q568" s="37">
        <f>IF(COUNTIFS('📋 Транзакції'!$B$5:$B$3623,A568,'📋 Транзакції'!$C$5:$C$3623,"&gt;="&amp;EDATE(DATEVALUE(C568&amp;"-01"),10),'📋 Транзакції'!$C$5:$C$3623,"&lt;"&amp;EDATE(DATEVALUE(C568&amp;"-01"),11))&gt;0,1,0)</f>
        <v>0</v>
      </c>
      <c r="R568" s="37">
        <f>IF(COUNTIFS('📋 Транзакції'!$B$5:$B$3623,A568,'📋 Транзакції'!$C$5:$C$3623,"&gt;="&amp;EDATE(DATEVALUE(C568&amp;"-01"),11),'📋 Транзакції'!$C$5:$C$3623,"&lt;"&amp;EDATE(DATEVALUE(C568&amp;"-01"),12))&gt;0,1,0)</f>
        <v>0</v>
      </c>
      <c r="S568" s="37">
        <f>SUMIFS('📋 Транзакції'!$F$5:$F$3623,'📋 Транзакції'!$B$5:$B$3623,A568,'📋 Транзакції'!$C$5:$C$3623,"&gt;="&amp;EDATE(DATEVALUE(C568&amp;"-01"),0),'📋 Транзакції'!$C$5:$C$3623,"&lt;"&amp;EDATE(DATEVALUE(C568&amp;"-01"),1))</f>
        <v>19.99</v>
      </c>
      <c r="T568" s="37">
        <f>SUMIFS('📋 Транзакції'!$F$5:$F$3623,'📋 Транзакції'!$B$5:$B$3623,A568,'📋 Транзакції'!$C$5:$C$3623,"&gt;="&amp;EDATE(DATEVALUE(C568&amp;"-01"),1),'📋 Транзакції'!$C$5:$C$3623,"&lt;"&amp;EDATE(DATEVALUE(C568&amp;"-01"),2))</f>
        <v>0</v>
      </c>
      <c r="U568" s="37">
        <f>SUMIFS('📋 Транзакції'!$F$5:$F$3623,'📋 Транзакції'!$B$5:$B$3623,A568,'📋 Транзакції'!$C$5:$C$3623,"&gt;="&amp;EDATE(DATEVALUE(C568&amp;"-01"),2),'📋 Транзакції'!$C$5:$C$3623,"&lt;"&amp;EDATE(DATEVALUE(C568&amp;"-01"),3))</f>
        <v>0</v>
      </c>
      <c r="V568" s="37">
        <f>SUMIFS('📋 Транзакції'!$F$5:$F$3623,'📋 Транзакції'!$B$5:$B$3623,A568,'📋 Транзакції'!$C$5:$C$3623,"&gt;="&amp;EDATE(DATEVALUE(C568&amp;"-01"),3),'📋 Транзакції'!$C$5:$C$3623,"&lt;"&amp;EDATE(DATEVALUE(C568&amp;"-01"),4))</f>
        <v>0</v>
      </c>
      <c r="W568" s="37">
        <f>SUMIFS('📋 Транзакції'!$F$5:$F$3623,'📋 Транзакції'!$B$5:$B$3623,A568,'📋 Транзакції'!$C$5:$C$3623,"&gt;="&amp;EDATE(DATEVALUE(C568&amp;"-01"),4),'📋 Транзакції'!$C$5:$C$3623,"&lt;"&amp;EDATE(DATEVALUE(C568&amp;"-01"),5))</f>
        <v>0</v>
      </c>
      <c r="X568" s="37">
        <f>SUMIFS('📋 Транзакції'!$F$5:$F$3623,'📋 Транзакції'!$B$5:$B$3623,A568,'📋 Транзакції'!$C$5:$C$3623,"&gt;="&amp;EDATE(DATEVALUE(C568&amp;"-01"),5),'📋 Транзакції'!$C$5:$C$3623,"&lt;"&amp;EDATE(DATEVALUE(C568&amp;"-01"),6))</f>
        <v>0</v>
      </c>
      <c r="Y568" s="37">
        <f>SUMIFS('📋 Транзакції'!$F$5:$F$3623,'📋 Транзакції'!$B$5:$B$3623,A568,'📋 Транзакції'!$C$5:$C$3623,"&gt;="&amp;EDATE(DATEVALUE(C568&amp;"-01"),6),'📋 Транзакції'!$C$5:$C$3623,"&lt;"&amp;EDATE(DATEVALUE(C568&amp;"-01"),7))</f>
        <v>0</v>
      </c>
      <c r="Z568" s="37">
        <f>SUMIFS('📋 Транзакції'!$F$5:$F$3623,'📋 Транзакції'!$B$5:$B$3623,A568,'📋 Транзакції'!$C$5:$C$3623,"&gt;="&amp;EDATE(DATEVALUE(C568&amp;"-01"),7),'📋 Транзакції'!$C$5:$C$3623,"&lt;"&amp;EDATE(DATEVALUE(C568&amp;"-01"),8))</f>
        <v>0</v>
      </c>
      <c r="AA568" s="37">
        <f>SUMIFS('📋 Транзакції'!$F$5:$F$3623,'📋 Транзакції'!$B$5:$B$3623,A568,'📋 Транзакції'!$C$5:$C$3623,"&gt;="&amp;EDATE(DATEVALUE(C568&amp;"-01"),8),'📋 Транзакції'!$C$5:$C$3623,"&lt;"&amp;EDATE(DATEVALUE(C568&amp;"-01"),9))</f>
        <v>0</v>
      </c>
      <c r="AB568" s="37">
        <f>SUMIFS('📋 Транзакції'!$F$5:$F$3623,'📋 Транзакції'!$B$5:$B$3623,A568,'📋 Транзакції'!$C$5:$C$3623,"&gt;="&amp;EDATE(DATEVALUE(C568&amp;"-01"),9),'📋 Транзакції'!$C$5:$C$3623,"&lt;"&amp;EDATE(DATEVALUE(C568&amp;"-01"),10))</f>
        <v>0</v>
      </c>
      <c r="AC568" s="37">
        <f>SUMIFS('📋 Транзакції'!$F$5:$F$3623,'📋 Транзакції'!$B$5:$B$3623,A568,'📋 Транзакції'!$C$5:$C$3623,"&gt;="&amp;EDATE(DATEVALUE(C568&amp;"-01"),10),'📋 Транзакції'!$C$5:$C$3623,"&lt;"&amp;EDATE(DATEVALUE(C568&amp;"-01"),11))</f>
        <v>0</v>
      </c>
      <c r="AD568" s="37">
        <f>SUMIFS('📋 Транзакції'!$F$5:$F$3623,'📋 Транзакції'!$B$5:$B$3623,A568,'📋 Транзакції'!$C$5:$C$3623,"&gt;="&amp;EDATE(DATEVALUE(C568&amp;"-01"),11),'📋 Транзакції'!$C$5:$C$3623,"&lt;"&amp;EDATE(DATEVALUE(C568&amp;"-01"),12))</f>
        <v>0</v>
      </c>
    </row>
    <row r="569" ht="15.75" customHeight="1">
      <c r="A569" s="33" t="str">
        <f>'📋 Реєстрації'!A569:A1170</f>
        <v>U0012</v>
      </c>
      <c r="B569" s="34">
        <f t="array" ref="B569">INDEX('📋 Транзакції'!$C$5:$C$3623,MATCH(A569,'📋 Транзакції'!$B$5:$B$3623,0))</f>
        <v>45727</v>
      </c>
      <c r="C569" s="35" t="str">
        <f t="shared" si="1"/>
        <v>2025-03</v>
      </c>
      <c r="D569" s="36">
        <f>COUNTIF('📋 Транзакції'!$B$5:$B$3623,A569)</f>
        <v>2</v>
      </c>
      <c r="E569" s="36">
        <f>SUMIF('📋 Транзакції'!$B$5:$B$3623,A569,'📋 Транзакції'!$F$5:$F$3623)</f>
        <v>19.99</v>
      </c>
      <c r="F569" s="35">
        <f>INT($A$1-MAXIFS('📋 Транзакції'!$C$5:$C$3623,'📋 Транзакції'!$B$5:$B$3623,A569))</f>
        <v>13</v>
      </c>
      <c r="G569" s="37">
        <f>IF(COUNTIFS('📋 Транзакції'!$B$5:$B$3623,A569,'📋 Транзакції'!$C$5:$C$3623,"&gt;="&amp;EDATE(DATEVALUE(C569&amp;"-01"),0),'📋 Транзакції'!$C$5:$C$3623,"&lt;"&amp;EDATE(DATEVALUE(C569&amp;"-01"),1))&gt;0,1,0)</f>
        <v>1</v>
      </c>
      <c r="H569" s="37">
        <f>IF(COUNTIFS('📋 Транзакції'!$B$5:$B$3623,A569,'📋 Транзакції'!$C$5:$C$3623,"&gt;="&amp;EDATE(DATEVALUE(C569&amp;"-01"),1),'📋 Транзакції'!$C$5:$C$3623,"&lt;"&amp;EDATE(DATEVALUE(C569&amp;"-01"),2))&gt;0,1,0)</f>
        <v>0</v>
      </c>
      <c r="I569" s="37">
        <f>IF(COUNTIFS('📋 Транзакції'!$B$5:$B$3623,A569,'📋 Транзакції'!$C$5:$C$3623,"&gt;="&amp;EDATE(DATEVALUE(C569&amp;"-01"),2),'📋 Транзакції'!$C$5:$C$3623,"&lt;"&amp;EDATE(DATEVALUE(C569&amp;"-01"),3))&gt;0,1,0)</f>
        <v>0</v>
      </c>
      <c r="J569" s="37">
        <f>IF(COUNTIFS('📋 Транзакції'!$B$5:$B$3623,A569,'📋 Транзакції'!$C$5:$C$3623,"&gt;="&amp;EDATE(DATEVALUE(C569&amp;"-01"),3),'📋 Транзакції'!$C$5:$C$3623,"&lt;"&amp;EDATE(DATEVALUE(C569&amp;"-01"),4))&gt;0,1,0)</f>
        <v>0</v>
      </c>
      <c r="K569" s="37">
        <f>IF(COUNTIFS('📋 Транзакції'!$B$5:$B$3623,A569,'📋 Транзакції'!$C$5:$C$3623,"&gt;="&amp;EDATE(DATEVALUE(C569&amp;"-01"),4),'📋 Транзакції'!$C$5:$C$3623,"&lt;"&amp;EDATE(DATEVALUE(C569&amp;"-01"),5))&gt;0,1,0)</f>
        <v>0</v>
      </c>
      <c r="L569" s="37">
        <f>IF(COUNTIFS('📋 Транзакції'!$B$5:$B$3623,A569,'📋 Транзакції'!$C$5:$C$3623,"&gt;="&amp;EDATE(DATEVALUE(C569&amp;"-01"),5),'📋 Транзакції'!$C$5:$C$3623,"&lt;"&amp;EDATE(DATEVALUE(C569&amp;"-01"),6))&gt;0,1,0)</f>
        <v>0</v>
      </c>
      <c r="M569" s="37">
        <f>IF(COUNTIFS('📋 Транзакції'!$B$5:$B$3623,A569,'📋 Транзакції'!$C$5:$C$3623,"&gt;="&amp;EDATE(DATEVALUE(C569&amp;"-01"),6),'📋 Транзакції'!$C$5:$C$3623,"&lt;"&amp;EDATE(DATEVALUE(C569&amp;"-01"),7))&gt;0,1,0)</f>
        <v>0</v>
      </c>
      <c r="N569" s="37">
        <f>IF(COUNTIFS('📋 Транзакції'!$B$5:$B$3623,A569,'📋 Транзакції'!$C$5:$C$3623,"&gt;="&amp;EDATE(DATEVALUE(C569&amp;"-01"),7),'📋 Транзакції'!$C$5:$C$3623,"&lt;"&amp;EDATE(DATEVALUE(C569&amp;"-01"),8))&gt;0,1,0)</f>
        <v>0</v>
      </c>
      <c r="O569" s="37">
        <f>IF(COUNTIFS('📋 Транзакції'!$B$5:$B$3623,A569,'📋 Транзакції'!$C$5:$C$3623,"&gt;="&amp;EDATE(DATEVALUE(C569&amp;"-01"),8),'📋 Транзакції'!$C$5:$C$3623,"&lt;"&amp;EDATE(DATEVALUE(C569&amp;"-01"),9))&gt;0,1,0)</f>
        <v>0</v>
      </c>
      <c r="P569" s="37">
        <f>IF(COUNTIFS('📋 Транзакції'!$B$5:$B$3623,A569,'📋 Транзакції'!$C$5:$C$3623,"&gt;="&amp;EDATE(DATEVALUE(C569&amp;"-01"),9),'📋 Транзакції'!$C$5:$C$3623,"&lt;"&amp;EDATE(DATEVALUE(C569&amp;"-01"),10))&gt;0,1,0)</f>
        <v>0</v>
      </c>
      <c r="Q569" s="37">
        <f>IF(COUNTIFS('📋 Транзакції'!$B$5:$B$3623,A569,'📋 Транзакції'!$C$5:$C$3623,"&gt;="&amp;EDATE(DATEVALUE(C569&amp;"-01"),10),'📋 Транзакції'!$C$5:$C$3623,"&lt;"&amp;EDATE(DATEVALUE(C569&amp;"-01"),11))&gt;0,1,0)</f>
        <v>0</v>
      </c>
      <c r="R569" s="37">
        <f>IF(COUNTIFS('📋 Транзакції'!$B$5:$B$3623,A569,'📋 Транзакції'!$C$5:$C$3623,"&gt;="&amp;EDATE(DATEVALUE(C569&amp;"-01"),11),'📋 Транзакції'!$C$5:$C$3623,"&lt;"&amp;EDATE(DATEVALUE(C569&amp;"-01"),12))&gt;0,1,0)</f>
        <v>0</v>
      </c>
      <c r="S569" s="37">
        <f>SUMIFS('📋 Транзакції'!$F$5:$F$3623,'📋 Транзакції'!$B$5:$B$3623,A569,'📋 Транзакції'!$C$5:$C$3623,"&gt;="&amp;EDATE(DATEVALUE(C569&amp;"-01"),0),'📋 Транзакції'!$C$5:$C$3623,"&lt;"&amp;EDATE(DATEVALUE(C569&amp;"-01"),1))</f>
        <v>19.99</v>
      </c>
      <c r="T569" s="37">
        <f>SUMIFS('📋 Транзакції'!$F$5:$F$3623,'📋 Транзакції'!$B$5:$B$3623,A569,'📋 Транзакції'!$C$5:$C$3623,"&gt;="&amp;EDATE(DATEVALUE(C569&amp;"-01"),1),'📋 Транзакції'!$C$5:$C$3623,"&lt;"&amp;EDATE(DATEVALUE(C569&amp;"-01"),2))</f>
        <v>0</v>
      </c>
      <c r="U569" s="37">
        <f>SUMIFS('📋 Транзакції'!$F$5:$F$3623,'📋 Транзакції'!$B$5:$B$3623,A569,'📋 Транзакції'!$C$5:$C$3623,"&gt;="&amp;EDATE(DATEVALUE(C569&amp;"-01"),2),'📋 Транзакції'!$C$5:$C$3623,"&lt;"&amp;EDATE(DATEVALUE(C569&amp;"-01"),3))</f>
        <v>0</v>
      </c>
      <c r="V569" s="37">
        <f>SUMIFS('📋 Транзакції'!$F$5:$F$3623,'📋 Транзакції'!$B$5:$B$3623,A569,'📋 Транзакції'!$C$5:$C$3623,"&gt;="&amp;EDATE(DATEVALUE(C569&amp;"-01"),3),'📋 Транзакції'!$C$5:$C$3623,"&lt;"&amp;EDATE(DATEVALUE(C569&amp;"-01"),4))</f>
        <v>0</v>
      </c>
      <c r="W569" s="37">
        <f>SUMIFS('📋 Транзакції'!$F$5:$F$3623,'📋 Транзакції'!$B$5:$B$3623,A569,'📋 Транзакції'!$C$5:$C$3623,"&gt;="&amp;EDATE(DATEVALUE(C569&amp;"-01"),4),'📋 Транзакції'!$C$5:$C$3623,"&lt;"&amp;EDATE(DATEVALUE(C569&amp;"-01"),5))</f>
        <v>0</v>
      </c>
      <c r="X569" s="37">
        <f>SUMIFS('📋 Транзакції'!$F$5:$F$3623,'📋 Транзакції'!$B$5:$B$3623,A569,'📋 Транзакції'!$C$5:$C$3623,"&gt;="&amp;EDATE(DATEVALUE(C569&amp;"-01"),5),'📋 Транзакції'!$C$5:$C$3623,"&lt;"&amp;EDATE(DATEVALUE(C569&amp;"-01"),6))</f>
        <v>0</v>
      </c>
      <c r="Y569" s="37">
        <f>SUMIFS('📋 Транзакції'!$F$5:$F$3623,'📋 Транзакції'!$B$5:$B$3623,A569,'📋 Транзакції'!$C$5:$C$3623,"&gt;="&amp;EDATE(DATEVALUE(C569&amp;"-01"),6),'📋 Транзакції'!$C$5:$C$3623,"&lt;"&amp;EDATE(DATEVALUE(C569&amp;"-01"),7))</f>
        <v>0</v>
      </c>
      <c r="Z569" s="37">
        <f>SUMIFS('📋 Транзакції'!$F$5:$F$3623,'📋 Транзакції'!$B$5:$B$3623,A569,'📋 Транзакції'!$C$5:$C$3623,"&gt;="&amp;EDATE(DATEVALUE(C569&amp;"-01"),7),'📋 Транзакції'!$C$5:$C$3623,"&lt;"&amp;EDATE(DATEVALUE(C569&amp;"-01"),8))</f>
        <v>0</v>
      </c>
      <c r="AA569" s="37">
        <f>SUMIFS('📋 Транзакції'!$F$5:$F$3623,'📋 Транзакції'!$B$5:$B$3623,A569,'📋 Транзакції'!$C$5:$C$3623,"&gt;="&amp;EDATE(DATEVALUE(C569&amp;"-01"),8),'📋 Транзакції'!$C$5:$C$3623,"&lt;"&amp;EDATE(DATEVALUE(C569&amp;"-01"),9))</f>
        <v>0</v>
      </c>
      <c r="AB569" s="37">
        <f>SUMIFS('📋 Транзакції'!$F$5:$F$3623,'📋 Транзакції'!$B$5:$B$3623,A569,'📋 Транзакції'!$C$5:$C$3623,"&gt;="&amp;EDATE(DATEVALUE(C569&amp;"-01"),9),'📋 Транзакції'!$C$5:$C$3623,"&lt;"&amp;EDATE(DATEVALUE(C569&amp;"-01"),10))</f>
        <v>0</v>
      </c>
      <c r="AC569" s="37">
        <f>SUMIFS('📋 Транзакції'!$F$5:$F$3623,'📋 Транзакції'!$B$5:$B$3623,A569,'📋 Транзакції'!$C$5:$C$3623,"&gt;="&amp;EDATE(DATEVALUE(C569&amp;"-01"),10),'📋 Транзакції'!$C$5:$C$3623,"&lt;"&amp;EDATE(DATEVALUE(C569&amp;"-01"),11))</f>
        <v>0</v>
      </c>
      <c r="AD569" s="37">
        <f>SUMIFS('📋 Транзакції'!$F$5:$F$3623,'📋 Транзакції'!$B$5:$B$3623,A569,'📋 Транзакції'!$C$5:$C$3623,"&gt;="&amp;EDATE(DATEVALUE(C569&amp;"-01"),11),'📋 Транзакції'!$C$5:$C$3623,"&lt;"&amp;EDATE(DATEVALUE(C569&amp;"-01"),12))</f>
        <v>0</v>
      </c>
    </row>
    <row r="570" ht="15.75" customHeight="1">
      <c r="A570" s="33" t="str">
        <f>'📋 Реєстрації'!A570:A1171</f>
        <v>U0807</v>
      </c>
      <c r="B570" s="34">
        <f t="array" ref="B570">INDEX('📋 Транзакції'!$C$5:$C$3623,MATCH(A570,'📋 Транзакції'!$B$5:$B$3623,0))</f>
        <v>45728</v>
      </c>
      <c r="C570" s="35" t="str">
        <f t="shared" si="1"/>
        <v>2025-03</v>
      </c>
      <c r="D570" s="36">
        <f>COUNTIF('📋 Транзакції'!$B$5:$B$3623,A570)</f>
        <v>2</v>
      </c>
      <c r="E570" s="36">
        <f>SUMIF('📋 Транзакції'!$B$5:$B$3623,A570,'📋 Транзакції'!$F$5:$F$3623)</f>
        <v>19.99</v>
      </c>
      <c r="F570" s="35">
        <f>INT($A$1-MAXIFS('📋 Транзакції'!$C$5:$C$3623,'📋 Транзакції'!$B$5:$B$3623,A570))</f>
        <v>12</v>
      </c>
      <c r="G570" s="37">
        <f>IF(COUNTIFS('📋 Транзакції'!$B$5:$B$3623,A570,'📋 Транзакції'!$C$5:$C$3623,"&gt;="&amp;EDATE(DATEVALUE(C570&amp;"-01"),0),'📋 Транзакції'!$C$5:$C$3623,"&lt;"&amp;EDATE(DATEVALUE(C570&amp;"-01"),1))&gt;0,1,0)</f>
        <v>1</v>
      </c>
      <c r="H570" s="37">
        <f>IF(COUNTIFS('📋 Транзакції'!$B$5:$B$3623,A570,'📋 Транзакції'!$C$5:$C$3623,"&gt;="&amp;EDATE(DATEVALUE(C570&amp;"-01"),1),'📋 Транзакції'!$C$5:$C$3623,"&lt;"&amp;EDATE(DATEVALUE(C570&amp;"-01"),2))&gt;0,1,0)</f>
        <v>0</v>
      </c>
      <c r="I570" s="37">
        <f>IF(COUNTIFS('📋 Транзакції'!$B$5:$B$3623,A570,'📋 Транзакції'!$C$5:$C$3623,"&gt;="&amp;EDATE(DATEVALUE(C570&amp;"-01"),2),'📋 Транзакції'!$C$5:$C$3623,"&lt;"&amp;EDATE(DATEVALUE(C570&amp;"-01"),3))&gt;0,1,0)</f>
        <v>0</v>
      </c>
      <c r="J570" s="37">
        <f>IF(COUNTIFS('📋 Транзакції'!$B$5:$B$3623,A570,'📋 Транзакції'!$C$5:$C$3623,"&gt;="&amp;EDATE(DATEVALUE(C570&amp;"-01"),3),'📋 Транзакції'!$C$5:$C$3623,"&lt;"&amp;EDATE(DATEVALUE(C570&amp;"-01"),4))&gt;0,1,0)</f>
        <v>0</v>
      </c>
      <c r="K570" s="37">
        <f>IF(COUNTIFS('📋 Транзакції'!$B$5:$B$3623,A570,'📋 Транзакції'!$C$5:$C$3623,"&gt;="&amp;EDATE(DATEVALUE(C570&amp;"-01"),4),'📋 Транзакції'!$C$5:$C$3623,"&lt;"&amp;EDATE(DATEVALUE(C570&amp;"-01"),5))&gt;0,1,0)</f>
        <v>0</v>
      </c>
      <c r="L570" s="37">
        <f>IF(COUNTIFS('📋 Транзакції'!$B$5:$B$3623,A570,'📋 Транзакції'!$C$5:$C$3623,"&gt;="&amp;EDATE(DATEVALUE(C570&amp;"-01"),5),'📋 Транзакції'!$C$5:$C$3623,"&lt;"&amp;EDATE(DATEVALUE(C570&amp;"-01"),6))&gt;0,1,0)</f>
        <v>0</v>
      </c>
      <c r="M570" s="37">
        <f>IF(COUNTIFS('📋 Транзакції'!$B$5:$B$3623,A570,'📋 Транзакції'!$C$5:$C$3623,"&gt;="&amp;EDATE(DATEVALUE(C570&amp;"-01"),6),'📋 Транзакції'!$C$5:$C$3623,"&lt;"&amp;EDATE(DATEVALUE(C570&amp;"-01"),7))&gt;0,1,0)</f>
        <v>0</v>
      </c>
      <c r="N570" s="37">
        <f>IF(COUNTIFS('📋 Транзакції'!$B$5:$B$3623,A570,'📋 Транзакції'!$C$5:$C$3623,"&gt;="&amp;EDATE(DATEVALUE(C570&amp;"-01"),7),'📋 Транзакції'!$C$5:$C$3623,"&lt;"&amp;EDATE(DATEVALUE(C570&amp;"-01"),8))&gt;0,1,0)</f>
        <v>0</v>
      </c>
      <c r="O570" s="37">
        <f>IF(COUNTIFS('📋 Транзакції'!$B$5:$B$3623,A570,'📋 Транзакції'!$C$5:$C$3623,"&gt;="&amp;EDATE(DATEVALUE(C570&amp;"-01"),8),'📋 Транзакції'!$C$5:$C$3623,"&lt;"&amp;EDATE(DATEVALUE(C570&amp;"-01"),9))&gt;0,1,0)</f>
        <v>0</v>
      </c>
      <c r="P570" s="37">
        <f>IF(COUNTIFS('📋 Транзакції'!$B$5:$B$3623,A570,'📋 Транзакції'!$C$5:$C$3623,"&gt;="&amp;EDATE(DATEVALUE(C570&amp;"-01"),9),'📋 Транзакції'!$C$5:$C$3623,"&lt;"&amp;EDATE(DATEVALUE(C570&amp;"-01"),10))&gt;0,1,0)</f>
        <v>0</v>
      </c>
      <c r="Q570" s="37">
        <f>IF(COUNTIFS('📋 Транзакції'!$B$5:$B$3623,A570,'📋 Транзакції'!$C$5:$C$3623,"&gt;="&amp;EDATE(DATEVALUE(C570&amp;"-01"),10),'📋 Транзакції'!$C$5:$C$3623,"&lt;"&amp;EDATE(DATEVALUE(C570&amp;"-01"),11))&gt;0,1,0)</f>
        <v>0</v>
      </c>
      <c r="R570" s="37">
        <f>IF(COUNTIFS('📋 Транзакції'!$B$5:$B$3623,A570,'📋 Транзакції'!$C$5:$C$3623,"&gt;="&amp;EDATE(DATEVALUE(C570&amp;"-01"),11),'📋 Транзакції'!$C$5:$C$3623,"&lt;"&amp;EDATE(DATEVALUE(C570&amp;"-01"),12))&gt;0,1,0)</f>
        <v>0</v>
      </c>
      <c r="S570" s="37">
        <f>SUMIFS('📋 Транзакції'!$F$5:$F$3623,'📋 Транзакції'!$B$5:$B$3623,A570,'📋 Транзакції'!$C$5:$C$3623,"&gt;="&amp;EDATE(DATEVALUE(C570&amp;"-01"),0),'📋 Транзакції'!$C$5:$C$3623,"&lt;"&amp;EDATE(DATEVALUE(C570&amp;"-01"),1))</f>
        <v>19.99</v>
      </c>
      <c r="T570" s="37">
        <f>SUMIFS('📋 Транзакції'!$F$5:$F$3623,'📋 Транзакції'!$B$5:$B$3623,A570,'📋 Транзакції'!$C$5:$C$3623,"&gt;="&amp;EDATE(DATEVALUE(C570&amp;"-01"),1),'📋 Транзакції'!$C$5:$C$3623,"&lt;"&amp;EDATE(DATEVALUE(C570&amp;"-01"),2))</f>
        <v>0</v>
      </c>
      <c r="U570" s="37">
        <f>SUMIFS('📋 Транзакції'!$F$5:$F$3623,'📋 Транзакції'!$B$5:$B$3623,A570,'📋 Транзакції'!$C$5:$C$3623,"&gt;="&amp;EDATE(DATEVALUE(C570&amp;"-01"),2),'📋 Транзакції'!$C$5:$C$3623,"&lt;"&amp;EDATE(DATEVALUE(C570&amp;"-01"),3))</f>
        <v>0</v>
      </c>
      <c r="V570" s="37">
        <f>SUMIFS('📋 Транзакції'!$F$5:$F$3623,'📋 Транзакції'!$B$5:$B$3623,A570,'📋 Транзакції'!$C$5:$C$3623,"&gt;="&amp;EDATE(DATEVALUE(C570&amp;"-01"),3),'📋 Транзакції'!$C$5:$C$3623,"&lt;"&amp;EDATE(DATEVALUE(C570&amp;"-01"),4))</f>
        <v>0</v>
      </c>
      <c r="W570" s="37">
        <f>SUMIFS('📋 Транзакції'!$F$5:$F$3623,'📋 Транзакції'!$B$5:$B$3623,A570,'📋 Транзакції'!$C$5:$C$3623,"&gt;="&amp;EDATE(DATEVALUE(C570&amp;"-01"),4),'📋 Транзакції'!$C$5:$C$3623,"&lt;"&amp;EDATE(DATEVALUE(C570&amp;"-01"),5))</f>
        <v>0</v>
      </c>
      <c r="X570" s="37">
        <f>SUMIFS('📋 Транзакції'!$F$5:$F$3623,'📋 Транзакції'!$B$5:$B$3623,A570,'📋 Транзакції'!$C$5:$C$3623,"&gt;="&amp;EDATE(DATEVALUE(C570&amp;"-01"),5),'📋 Транзакції'!$C$5:$C$3623,"&lt;"&amp;EDATE(DATEVALUE(C570&amp;"-01"),6))</f>
        <v>0</v>
      </c>
      <c r="Y570" s="37">
        <f>SUMIFS('📋 Транзакції'!$F$5:$F$3623,'📋 Транзакції'!$B$5:$B$3623,A570,'📋 Транзакції'!$C$5:$C$3623,"&gt;="&amp;EDATE(DATEVALUE(C570&amp;"-01"),6),'📋 Транзакції'!$C$5:$C$3623,"&lt;"&amp;EDATE(DATEVALUE(C570&amp;"-01"),7))</f>
        <v>0</v>
      </c>
      <c r="Z570" s="37">
        <f>SUMIFS('📋 Транзакції'!$F$5:$F$3623,'📋 Транзакції'!$B$5:$B$3623,A570,'📋 Транзакції'!$C$5:$C$3623,"&gt;="&amp;EDATE(DATEVALUE(C570&amp;"-01"),7),'📋 Транзакції'!$C$5:$C$3623,"&lt;"&amp;EDATE(DATEVALUE(C570&amp;"-01"),8))</f>
        <v>0</v>
      </c>
      <c r="AA570" s="37">
        <f>SUMIFS('📋 Транзакції'!$F$5:$F$3623,'📋 Транзакції'!$B$5:$B$3623,A570,'📋 Транзакції'!$C$5:$C$3623,"&gt;="&amp;EDATE(DATEVALUE(C570&amp;"-01"),8),'📋 Транзакції'!$C$5:$C$3623,"&lt;"&amp;EDATE(DATEVALUE(C570&amp;"-01"),9))</f>
        <v>0</v>
      </c>
      <c r="AB570" s="37">
        <f>SUMIFS('📋 Транзакції'!$F$5:$F$3623,'📋 Транзакції'!$B$5:$B$3623,A570,'📋 Транзакції'!$C$5:$C$3623,"&gt;="&amp;EDATE(DATEVALUE(C570&amp;"-01"),9),'📋 Транзакції'!$C$5:$C$3623,"&lt;"&amp;EDATE(DATEVALUE(C570&amp;"-01"),10))</f>
        <v>0</v>
      </c>
      <c r="AC570" s="37">
        <f>SUMIFS('📋 Транзакції'!$F$5:$F$3623,'📋 Транзакції'!$B$5:$B$3623,A570,'📋 Транзакції'!$C$5:$C$3623,"&gt;="&amp;EDATE(DATEVALUE(C570&amp;"-01"),10),'📋 Транзакції'!$C$5:$C$3623,"&lt;"&amp;EDATE(DATEVALUE(C570&amp;"-01"),11))</f>
        <v>0</v>
      </c>
      <c r="AD570" s="37">
        <f>SUMIFS('📋 Транзакції'!$F$5:$F$3623,'📋 Транзакції'!$B$5:$B$3623,A570,'📋 Транзакції'!$C$5:$C$3623,"&gt;="&amp;EDATE(DATEVALUE(C570&amp;"-01"),11),'📋 Транзакції'!$C$5:$C$3623,"&lt;"&amp;EDATE(DATEVALUE(C570&amp;"-01"),12))</f>
        <v>0</v>
      </c>
    </row>
    <row r="571" ht="15.75" customHeight="1">
      <c r="A571" s="33" t="str">
        <f>'📋 Реєстрації'!A571:A1172</f>
        <v>U0034</v>
      </c>
      <c r="B571" s="34">
        <f t="array" ref="B571">INDEX('📋 Транзакції'!$C$5:$C$3623,MATCH(A571,'📋 Транзакції'!$B$5:$B$3623,0))</f>
        <v>45729</v>
      </c>
      <c r="C571" s="35" t="str">
        <f t="shared" si="1"/>
        <v>2025-03</v>
      </c>
      <c r="D571" s="36">
        <f>COUNTIF('📋 Транзакції'!$B$5:$B$3623,A571)</f>
        <v>2</v>
      </c>
      <c r="E571" s="36">
        <f>SUMIF('📋 Транзакції'!$B$5:$B$3623,A571,'📋 Транзакції'!$F$5:$F$3623)</f>
        <v>19.99</v>
      </c>
      <c r="F571" s="35">
        <f>INT($A$1-MAXIFS('📋 Транзакції'!$C$5:$C$3623,'📋 Транзакції'!$B$5:$B$3623,A571))</f>
        <v>11</v>
      </c>
      <c r="G571" s="37">
        <f>IF(COUNTIFS('📋 Транзакції'!$B$5:$B$3623,A571,'📋 Транзакції'!$C$5:$C$3623,"&gt;="&amp;EDATE(DATEVALUE(C571&amp;"-01"),0),'📋 Транзакції'!$C$5:$C$3623,"&lt;"&amp;EDATE(DATEVALUE(C571&amp;"-01"),1))&gt;0,1,0)</f>
        <v>1</v>
      </c>
      <c r="H571" s="37">
        <f>IF(COUNTIFS('📋 Транзакції'!$B$5:$B$3623,A571,'📋 Транзакції'!$C$5:$C$3623,"&gt;="&amp;EDATE(DATEVALUE(C571&amp;"-01"),1),'📋 Транзакції'!$C$5:$C$3623,"&lt;"&amp;EDATE(DATEVALUE(C571&amp;"-01"),2))&gt;0,1,0)</f>
        <v>0</v>
      </c>
      <c r="I571" s="37">
        <f>IF(COUNTIFS('📋 Транзакції'!$B$5:$B$3623,A571,'📋 Транзакції'!$C$5:$C$3623,"&gt;="&amp;EDATE(DATEVALUE(C571&amp;"-01"),2),'📋 Транзакції'!$C$5:$C$3623,"&lt;"&amp;EDATE(DATEVALUE(C571&amp;"-01"),3))&gt;0,1,0)</f>
        <v>0</v>
      </c>
      <c r="J571" s="37">
        <f>IF(COUNTIFS('📋 Транзакції'!$B$5:$B$3623,A571,'📋 Транзакції'!$C$5:$C$3623,"&gt;="&amp;EDATE(DATEVALUE(C571&amp;"-01"),3),'📋 Транзакції'!$C$5:$C$3623,"&lt;"&amp;EDATE(DATEVALUE(C571&amp;"-01"),4))&gt;0,1,0)</f>
        <v>0</v>
      </c>
      <c r="K571" s="37">
        <f>IF(COUNTIFS('📋 Транзакції'!$B$5:$B$3623,A571,'📋 Транзакції'!$C$5:$C$3623,"&gt;="&amp;EDATE(DATEVALUE(C571&amp;"-01"),4),'📋 Транзакції'!$C$5:$C$3623,"&lt;"&amp;EDATE(DATEVALUE(C571&amp;"-01"),5))&gt;0,1,0)</f>
        <v>0</v>
      </c>
      <c r="L571" s="37">
        <f>IF(COUNTIFS('📋 Транзакції'!$B$5:$B$3623,A571,'📋 Транзакції'!$C$5:$C$3623,"&gt;="&amp;EDATE(DATEVALUE(C571&amp;"-01"),5),'📋 Транзакції'!$C$5:$C$3623,"&lt;"&amp;EDATE(DATEVALUE(C571&amp;"-01"),6))&gt;0,1,0)</f>
        <v>0</v>
      </c>
      <c r="M571" s="37">
        <f>IF(COUNTIFS('📋 Транзакції'!$B$5:$B$3623,A571,'📋 Транзакції'!$C$5:$C$3623,"&gt;="&amp;EDATE(DATEVALUE(C571&amp;"-01"),6),'📋 Транзакції'!$C$5:$C$3623,"&lt;"&amp;EDATE(DATEVALUE(C571&amp;"-01"),7))&gt;0,1,0)</f>
        <v>0</v>
      </c>
      <c r="N571" s="37">
        <f>IF(COUNTIFS('📋 Транзакції'!$B$5:$B$3623,A571,'📋 Транзакції'!$C$5:$C$3623,"&gt;="&amp;EDATE(DATEVALUE(C571&amp;"-01"),7),'📋 Транзакції'!$C$5:$C$3623,"&lt;"&amp;EDATE(DATEVALUE(C571&amp;"-01"),8))&gt;0,1,0)</f>
        <v>0</v>
      </c>
      <c r="O571" s="37">
        <f>IF(COUNTIFS('📋 Транзакції'!$B$5:$B$3623,A571,'📋 Транзакції'!$C$5:$C$3623,"&gt;="&amp;EDATE(DATEVALUE(C571&amp;"-01"),8),'📋 Транзакції'!$C$5:$C$3623,"&lt;"&amp;EDATE(DATEVALUE(C571&amp;"-01"),9))&gt;0,1,0)</f>
        <v>0</v>
      </c>
      <c r="P571" s="37">
        <f>IF(COUNTIFS('📋 Транзакції'!$B$5:$B$3623,A571,'📋 Транзакції'!$C$5:$C$3623,"&gt;="&amp;EDATE(DATEVALUE(C571&amp;"-01"),9),'📋 Транзакції'!$C$5:$C$3623,"&lt;"&amp;EDATE(DATEVALUE(C571&amp;"-01"),10))&gt;0,1,0)</f>
        <v>0</v>
      </c>
      <c r="Q571" s="37">
        <f>IF(COUNTIFS('📋 Транзакції'!$B$5:$B$3623,A571,'📋 Транзакції'!$C$5:$C$3623,"&gt;="&amp;EDATE(DATEVALUE(C571&amp;"-01"),10),'📋 Транзакції'!$C$5:$C$3623,"&lt;"&amp;EDATE(DATEVALUE(C571&amp;"-01"),11))&gt;0,1,0)</f>
        <v>0</v>
      </c>
      <c r="R571" s="37">
        <f>IF(COUNTIFS('📋 Транзакції'!$B$5:$B$3623,A571,'📋 Транзакції'!$C$5:$C$3623,"&gt;="&amp;EDATE(DATEVALUE(C571&amp;"-01"),11),'📋 Транзакції'!$C$5:$C$3623,"&lt;"&amp;EDATE(DATEVALUE(C571&amp;"-01"),12))&gt;0,1,0)</f>
        <v>0</v>
      </c>
      <c r="S571" s="37">
        <f>SUMIFS('📋 Транзакції'!$F$5:$F$3623,'📋 Транзакції'!$B$5:$B$3623,A571,'📋 Транзакції'!$C$5:$C$3623,"&gt;="&amp;EDATE(DATEVALUE(C571&amp;"-01"),0),'📋 Транзакції'!$C$5:$C$3623,"&lt;"&amp;EDATE(DATEVALUE(C571&amp;"-01"),1))</f>
        <v>19.99</v>
      </c>
      <c r="T571" s="37">
        <f>SUMIFS('📋 Транзакції'!$F$5:$F$3623,'📋 Транзакції'!$B$5:$B$3623,A571,'📋 Транзакції'!$C$5:$C$3623,"&gt;="&amp;EDATE(DATEVALUE(C571&amp;"-01"),1),'📋 Транзакції'!$C$5:$C$3623,"&lt;"&amp;EDATE(DATEVALUE(C571&amp;"-01"),2))</f>
        <v>0</v>
      </c>
      <c r="U571" s="37">
        <f>SUMIFS('📋 Транзакції'!$F$5:$F$3623,'📋 Транзакції'!$B$5:$B$3623,A571,'📋 Транзакції'!$C$5:$C$3623,"&gt;="&amp;EDATE(DATEVALUE(C571&amp;"-01"),2),'📋 Транзакції'!$C$5:$C$3623,"&lt;"&amp;EDATE(DATEVALUE(C571&amp;"-01"),3))</f>
        <v>0</v>
      </c>
      <c r="V571" s="37">
        <f>SUMIFS('📋 Транзакції'!$F$5:$F$3623,'📋 Транзакції'!$B$5:$B$3623,A571,'📋 Транзакції'!$C$5:$C$3623,"&gt;="&amp;EDATE(DATEVALUE(C571&amp;"-01"),3),'📋 Транзакції'!$C$5:$C$3623,"&lt;"&amp;EDATE(DATEVALUE(C571&amp;"-01"),4))</f>
        <v>0</v>
      </c>
      <c r="W571" s="37">
        <f>SUMIFS('📋 Транзакції'!$F$5:$F$3623,'📋 Транзакції'!$B$5:$B$3623,A571,'📋 Транзакції'!$C$5:$C$3623,"&gt;="&amp;EDATE(DATEVALUE(C571&amp;"-01"),4),'📋 Транзакції'!$C$5:$C$3623,"&lt;"&amp;EDATE(DATEVALUE(C571&amp;"-01"),5))</f>
        <v>0</v>
      </c>
      <c r="X571" s="37">
        <f>SUMIFS('📋 Транзакції'!$F$5:$F$3623,'📋 Транзакції'!$B$5:$B$3623,A571,'📋 Транзакції'!$C$5:$C$3623,"&gt;="&amp;EDATE(DATEVALUE(C571&amp;"-01"),5),'📋 Транзакції'!$C$5:$C$3623,"&lt;"&amp;EDATE(DATEVALUE(C571&amp;"-01"),6))</f>
        <v>0</v>
      </c>
      <c r="Y571" s="37">
        <f>SUMIFS('📋 Транзакції'!$F$5:$F$3623,'📋 Транзакції'!$B$5:$B$3623,A571,'📋 Транзакції'!$C$5:$C$3623,"&gt;="&amp;EDATE(DATEVALUE(C571&amp;"-01"),6),'📋 Транзакції'!$C$5:$C$3623,"&lt;"&amp;EDATE(DATEVALUE(C571&amp;"-01"),7))</f>
        <v>0</v>
      </c>
      <c r="Z571" s="37">
        <f>SUMIFS('📋 Транзакції'!$F$5:$F$3623,'📋 Транзакції'!$B$5:$B$3623,A571,'📋 Транзакції'!$C$5:$C$3623,"&gt;="&amp;EDATE(DATEVALUE(C571&amp;"-01"),7),'📋 Транзакції'!$C$5:$C$3623,"&lt;"&amp;EDATE(DATEVALUE(C571&amp;"-01"),8))</f>
        <v>0</v>
      </c>
      <c r="AA571" s="37">
        <f>SUMIFS('📋 Транзакції'!$F$5:$F$3623,'📋 Транзакції'!$B$5:$B$3623,A571,'📋 Транзакції'!$C$5:$C$3623,"&gt;="&amp;EDATE(DATEVALUE(C571&amp;"-01"),8),'📋 Транзакції'!$C$5:$C$3623,"&lt;"&amp;EDATE(DATEVALUE(C571&amp;"-01"),9))</f>
        <v>0</v>
      </c>
      <c r="AB571" s="37">
        <f>SUMIFS('📋 Транзакції'!$F$5:$F$3623,'📋 Транзакції'!$B$5:$B$3623,A571,'📋 Транзакції'!$C$5:$C$3623,"&gt;="&amp;EDATE(DATEVALUE(C571&amp;"-01"),9),'📋 Транзакції'!$C$5:$C$3623,"&lt;"&amp;EDATE(DATEVALUE(C571&amp;"-01"),10))</f>
        <v>0</v>
      </c>
      <c r="AC571" s="37">
        <f>SUMIFS('📋 Транзакції'!$F$5:$F$3623,'📋 Транзакції'!$B$5:$B$3623,A571,'📋 Транзакції'!$C$5:$C$3623,"&gt;="&amp;EDATE(DATEVALUE(C571&amp;"-01"),10),'📋 Транзакції'!$C$5:$C$3623,"&lt;"&amp;EDATE(DATEVALUE(C571&amp;"-01"),11))</f>
        <v>0</v>
      </c>
      <c r="AD571" s="37">
        <f>SUMIFS('📋 Транзакції'!$F$5:$F$3623,'📋 Транзакції'!$B$5:$B$3623,A571,'📋 Транзакції'!$C$5:$C$3623,"&gt;="&amp;EDATE(DATEVALUE(C571&amp;"-01"),11),'📋 Транзакції'!$C$5:$C$3623,"&lt;"&amp;EDATE(DATEVALUE(C571&amp;"-01"),12))</f>
        <v>0</v>
      </c>
    </row>
    <row r="572" ht="15.75" customHeight="1">
      <c r="A572" s="33" t="str">
        <f>'📋 Реєстрації'!A572:A1173</f>
        <v>U0306</v>
      </c>
      <c r="B572" s="34">
        <f t="array" ref="B572">INDEX('📋 Транзакції'!$C$5:$C$3623,MATCH(A572,'📋 Транзакції'!$B$5:$B$3623,0))</f>
        <v>45729</v>
      </c>
      <c r="C572" s="35" t="str">
        <f t="shared" si="1"/>
        <v>2025-03</v>
      </c>
      <c r="D572" s="36">
        <f>COUNTIF('📋 Транзакції'!$B$5:$B$3623,A572)</f>
        <v>2</v>
      </c>
      <c r="E572" s="36">
        <f>SUMIF('📋 Транзакції'!$B$5:$B$3623,A572,'📋 Транзакції'!$F$5:$F$3623)</f>
        <v>19.99</v>
      </c>
      <c r="F572" s="35">
        <f>INT($A$1-MAXIFS('📋 Транзакції'!$C$5:$C$3623,'📋 Транзакції'!$B$5:$B$3623,A572))</f>
        <v>11</v>
      </c>
      <c r="G572" s="37">
        <f>IF(COUNTIFS('📋 Транзакції'!$B$5:$B$3623,A572,'📋 Транзакції'!$C$5:$C$3623,"&gt;="&amp;EDATE(DATEVALUE(C572&amp;"-01"),0),'📋 Транзакції'!$C$5:$C$3623,"&lt;"&amp;EDATE(DATEVALUE(C572&amp;"-01"),1))&gt;0,1,0)</f>
        <v>1</v>
      </c>
      <c r="H572" s="37">
        <f>IF(COUNTIFS('📋 Транзакції'!$B$5:$B$3623,A572,'📋 Транзакції'!$C$5:$C$3623,"&gt;="&amp;EDATE(DATEVALUE(C572&amp;"-01"),1),'📋 Транзакції'!$C$5:$C$3623,"&lt;"&amp;EDATE(DATEVALUE(C572&amp;"-01"),2))&gt;0,1,0)</f>
        <v>0</v>
      </c>
      <c r="I572" s="37">
        <f>IF(COUNTIFS('📋 Транзакції'!$B$5:$B$3623,A572,'📋 Транзакції'!$C$5:$C$3623,"&gt;="&amp;EDATE(DATEVALUE(C572&amp;"-01"),2),'📋 Транзакції'!$C$5:$C$3623,"&lt;"&amp;EDATE(DATEVALUE(C572&amp;"-01"),3))&gt;0,1,0)</f>
        <v>0</v>
      </c>
      <c r="J572" s="37">
        <f>IF(COUNTIFS('📋 Транзакції'!$B$5:$B$3623,A572,'📋 Транзакції'!$C$5:$C$3623,"&gt;="&amp;EDATE(DATEVALUE(C572&amp;"-01"),3),'📋 Транзакції'!$C$5:$C$3623,"&lt;"&amp;EDATE(DATEVALUE(C572&amp;"-01"),4))&gt;0,1,0)</f>
        <v>0</v>
      </c>
      <c r="K572" s="37">
        <f>IF(COUNTIFS('📋 Транзакції'!$B$5:$B$3623,A572,'📋 Транзакції'!$C$5:$C$3623,"&gt;="&amp;EDATE(DATEVALUE(C572&amp;"-01"),4),'📋 Транзакції'!$C$5:$C$3623,"&lt;"&amp;EDATE(DATEVALUE(C572&amp;"-01"),5))&gt;0,1,0)</f>
        <v>0</v>
      </c>
      <c r="L572" s="37">
        <f>IF(COUNTIFS('📋 Транзакції'!$B$5:$B$3623,A572,'📋 Транзакції'!$C$5:$C$3623,"&gt;="&amp;EDATE(DATEVALUE(C572&amp;"-01"),5),'📋 Транзакції'!$C$5:$C$3623,"&lt;"&amp;EDATE(DATEVALUE(C572&amp;"-01"),6))&gt;0,1,0)</f>
        <v>0</v>
      </c>
      <c r="M572" s="37">
        <f>IF(COUNTIFS('📋 Транзакції'!$B$5:$B$3623,A572,'📋 Транзакції'!$C$5:$C$3623,"&gt;="&amp;EDATE(DATEVALUE(C572&amp;"-01"),6),'📋 Транзакції'!$C$5:$C$3623,"&lt;"&amp;EDATE(DATEVALUE(C572&amp;"-01"),7))&gt;0,1,0)</f>
        <v>0</v>
      </c>
      <c r="N572" s="37">
        <f>IF(COUNTIFS('📋 Транзакції'!$B$5:$B$3623,A572,'📋 Транзакції'!$C$5:$C$3623,"&gt;="&amp;EDATE(DATEVALUE(C572&amp;"-01"),7),'📋 Транзакції'!$C$5:$C$3623,"&lt;"&amp;EDATE(DATEVALUE(C572&amp;"-01"),8))&gt;0,1,0)</f>
        <v>0</v>
      </c>
      <c r="O572" s="37">
        <f>IF(COUNTIFS('📋 Транзакції'!$B$5:$B$3623,A572,'📋 Транзакції'!$C$5:$C$3623,"&gt;="&amp;EDATE(DATEVALUE(C572&amp;"-01"),8),'📋 Транзакції'!$C$5:$C$3623,"&lt;"&amp;EDATE(DATEVALUE(C572&amp;"-01"),9))&gt;0,1,0)</f>
        <v>0</v>
      </c>
      <c r="P572" s="37">
        <f>IF(COUNTIFS('📋 Транзакції'!$B$5:$B$3623,A572,'📋 Транзакції'!$C$5:$C$3623,"&gt;="&amp;EDATE(DATEVALUE(C572&amp;"-01"),9),'📋 Транзакції'!$C$5:$C$3623,"&lt;"&amp;EDATE(DATEVALUE(C572&amp;"-01"),10))&gt;0,1,0)</f>
        <v>0</v>
      </c>
      <c r="Q572" s="37">
        <f>IF(COUNTIFS('📋 Транзакції'!$B$5:$B$3623,A572,'📋 Транзакції'!$C$5:$C$3623,"&gt;="&amp;EDATE(DATEVALUE(C572&amp;"-01"),10),'📋 Транзакції'!$C$5:$C$3623,"&lt;"&amp;EDATE(DATEVALUE(C572&amp;"-01"),11))&gt;0,1,0)</f>
        <v>0</v>
      </c>
      <c r="R572" s="37">
        <f>IF(COUNTIFS('📋 Транзакції'!$B$5:$B$3623,A572,'📋 Транзакції'!$C$5:$C$3623,"&gt;="&amp;EDATE(DATEVALUE(C572&amp;"-01"),11),'📋 Транзакції'!$C$5:$C$3623,"&lt;"&amp;EDATE(DATEVALUE(C572&amp;"-01"),12))&gt;0,1,0)</f>
        <v>0</v>
      </c>
      <c r="S572" s="37">
        <f>SUMIFS('📋 Транзакції'!$F$5:$F$3623,'📋 Транзакції'!$B$5:$B$3623,A572,'📋 Транзакції'!$C$5:$C$3623,"&gt;="&amp;EDATE(DATEVALUE(C572&amp;"-01"),0),'📋 Транзакції'!$C$5:$C$3623,"&lt;"&amp;EDATE(DATEVALUE(C572&amp;"-01"),1))</f>
        <v>19.99</v>
      </c>
      <c r="T572" s="37">
        <f>SUMIFS('📋 Транзакції'!$F$5:$F$3623,'📋 Транзакції'!$B$5:$B$3623,A572,'📋 Транзакції'!$C$5:$C$3623,"&gt;="&amp;EDATE(DATEVALUE(C572&amp;"-01"),1),'📋 Транзакції'!$C$5:$C$3623,"&lt;"&amp;EDATE(DATEVALUE(C572&amp;"-01"),2))</f>
        <v>0</v>
      </c>
      <c r="U572" s="37">
        <f>SUMIFS('📋 Транзакції'!$F$5:$F$3623,'📋 Транзакції'!$B$5:$B$3623,A572,'📋 Транзакції'!$C$5:$C$3623,"&gt;="&amp;EDATE(DATEVALUE(C572&amp;"-01"),2),'📋 Транзакції'!$C$5:$C$3623,"&lt;"&amp;EDATE(DATEVALUE(C572&amp;"-01"),3))</f>
        <v>0</v>
      </c>
      <c r="V572" s="37">
        <f>SUMIFS('📋 Транзакції'!$F$5:$F$3623,'📋 Транзакції'!$B$5:$B$3623,A572,'📋 Транзакції'!$C$5:$C$3623,"&gt;="&amp;EDATE(DATEVALUE(C572&amp;"-01"),3),'📋 Транзакції'!$C$5:$C$3623,"&lt;"&amp;EDATE(DATEVALUE(C572&amp;"-01"),4))</f>
        <v>0</v>
      </c>
      <c r="W572" s="37">
        <f>SUMIFS('📋 Транзакції'!$F$5:$F$3623,'📋 Транзакції'!$B$5:$B$3623,A572,'📋 Транзакції'!$C$5:$C$3623,"&gt;="&amp;EDATE(DATEVALUE(C572&amp;"-01"),4),'📋 Транзакції'!$C$5:$C$3623,"&lt;"&amp;EDATE(DATEVALUE(C572&amp;"-01"),5))</f>
        <v>0</v>
      </c>
      <c r="X572" s="37">
        <f>SUMIFS('📋 Транзакції'!$F$5:$F$3623,'📋 Транзакції'!$B$5:$B$3623,A572,'📋 Транзакції'!$C$5:$C$3623,"&gt;="&amp;EDATE(DATEVALUE(C572&amp;"-01"),5),'📋 Транзакції'!$C$5:$C$3623,"&lt;"&amp;EDATE(DATEVALUE(C572&amp;"-01"),6))</f>
        <v>0</v>
      </c>
      <c r="Y572" s="37">
        <f>SUMIFS('📋 Транзакції'!$F$5:$F$3623,'📋 Транзакції'!$B$5:$B$3623,A572,'📋 Транзакції'!$C$5:$C$3623,"&gt;="&amp;EDATE(DATEVALUE(C572&amp;"-01"),6),'📋 Транзакції'!$C$5:$C$3623,"&lt;"&amp;EDATE(DATEVALUE(C572&amp;"-01"),7))</f>
        <v>0</v>
      </c>
      <c r="Z572" s="37">
        <f>SUMIFS('📋 Транзакції'!$F$5:$F$3623,'📋 Транзакції'!$B$5:$B$3623,A572,'📋 Транзакції'!$C$5:$C$3623,"&gt;="&amp;EDATE(DATEVALUE(C572&amp;"-01"),7),'📋 Транзакції'!$C$5:$C$3623,"&lt;"&amp;EDATE(DATEVALUE(C572&amp;"-01"),8))</f>
        <v>0</v>
      </c>
      <c r="AA572" s="37">
        <f>SUMIFS('📋 Транзакції'!$F$5:$F$3623,'📋 Транзакції'!$B$5:$B$3623,A572,'📋 Транзакції'!$C$5:$C$3623,"&gt;="&amp;EDATE(DATEVALUE(C572&amp;"-01"),8),'📋 Транзакції'!$C$5:$C$3623,"&lt;"&amp;EDATE(DATEVALUE(C572&amp;"-01"),9))</f>
        <v>0</v>
      </c>
      <c r="AB572" s="37">
        <f>SUMIFS('📋 Транзакції'!$F$5:$F$3623,'📋 Транзакції'!$B$5:$B$3623,A572,'📋 Транзакції'!$C$5:$C$3623,"&gt;="&amp;EDATE(DATEVALUE(C572&amp;"-01"),9),'📋 Транзакції'!$C$5:$C$3623,"&lt;"&amp;EDATE(DATEVALUE(C572&amp;"-01"),10))</f>
        <v>0</v>
      </c>
      <c r="AC572" s="37">
        <f>SUMIFS('📋 Транзакції'!$F$5:$F$3623,'📋 Транзакції'!$B$5:$B$3623,A572,'📋 Транзакції'!$C$5:$C$3623,"&gt;="&amp;EDATE(DATEVALUE(C572&amp;"-01"),10),'📋 Транзакції'!$C$5:$C$3623,"&lt;"&amp;EDATE(DATEVALUE(C572&amp;"-01"),11))</f>
        <v>0</v>
      </c>
      <c r="AD572" s="37">
        <f>SUMIFS('📋 Транзакції'!$F$5:$F$3623,'📋 Транзакції'!$B$5:$B$3623,A572,'📋 Транзакції'!$C$5:$C$3623,"&gt;="&amp;EDATE(DATEVALUE(C572&amp;"-01"),11),'📋 Транзакції'!$C$5:$C$3623,"&lt;"&amp;EDATE(DATEVALUE(C572&amp;"-01"),12))</f>
        <v>0</v>
      </c>
    </row>
    <row r="573" ht="15.75" customHeight="1">
      <c r="A573" s="33" t="str">
        <f>'📋 Реєстрації'!A573:A1174</f>
        <v>U0409</v>
      </c>
      <c r="B573" s="34">
        <f t="array" ref="B573">INDEX('📋 Транзакції'!$C$5:$C$3623,MATCH(A573,'📋 Транзакції'!$B$5:$B$3623,0))</f>
        <v>45729</v>
      </c>
      <c r="C573" s="35" t="str">
        <f t="shared" si="1"/>
        <v>2025-03</v>
      </c>
      <c r="D573" s="36">
        <f>COUNTIF('📋 Транзакції'!$B$5:$B$3623,A573)</f>
        <v>2</v>
      </c>
      <c r="E573" s="36">
        <f>SUMIF('📋 Транзакції'!$B$5:$B$3623,A573,'📋 Транзакції'!$F$5:$F$3623)</f>
        <v>19.99</v>
      </c>
      <c r="F573" s="35">
        <f>INT($A$1-MAXIFS('📋 Транзакції'!$C$5:$C$3623,'📋 Транзакції'!$B$5:$B$3623,A573))</f>
        <v>11</v>
      </c>
      <c r="G573" s="37">
        <f>IF(COUNTIFS('📋 Транзакції'!$B$5:$B$3623,A573,'📋 Транзакції'!$C$5:$C$3623,"&gt;="&amp;EDATE(DATEVALUE(C573&amp;"-01"),0),'📋 Транзакції'!$C$5:$C$3623,"&lt;"&amp;EDATE(DATEVALUE(C573&amp;"-01"),1))&gt;0,1,0)</f>
        <v>1</v>
      </c>
      <c r="H573" s="37">
        <f>IF(COUNTIFS('📋 Транзакції'!$B$5:$B$3623,A573,'📋 Транзакції'!$C$5:$C$3623,"&gt;="&amp;EDATE(DATEVALUE(C573&amp;"-01"),1),'📋 Транзакції'!$C$5:$C$3623,"&lt;"&amp;EDATE(DATEVALUE(C573&amp;"-01"),2))&gt;0,1,0)</f>
        <v>0</v>
      </c>
      <c r="I573" s="37">
        <f>IF(COUNTIFS('📋 Транзакції'!$B$5:$B$3623,A573,'📋 Транзакції'!$C$5:$C$3623,"&gt;="&amp;EDATE(DATEVALUE(C573&amp;"-01"),2),'📋 Транзакції'!$C$5:$C$3623,"&lt;"&amp;EDATE(DATEVALUE(C573&amp;"-01"),3))&gt;0,1,0)</f>
        <v>0</v>
      </c>
      <c r="J573" s="37">
        <f>IF(COUNTIFS('📋 Транзакції'!$B$5:$B$3623,A573,'📋 Транзакції'!$C$5:$C$3623,"&gt;="&amp;EDATE(DATEVALUE(C573&amp;"-01"),3),'📋 Транзакції'!$C$5:$C$3623,"&lt;"&amp;EDATE(DATEVALUE(C573&amp;"-01"),4))&gt;0,1,0)</f>
        <v>0</v>
      </c>
      <c r="K573" s="37">
        <f>IF(COUNTIFS('📋 Транзакції'!$B$5:$B$3623,A573,'📋 Транзакції'!$C$5:$C$3623,"&gt;="&amp;EDATE(DATEVALUE(C573&amp;"-01"),4),'📋 Транзакції'!$C$5:$C$3623,"&lt;"&amp;EDATE(DATEVALUE(C573&amp;"-01"),5))&gt;0,1,0)</f>
        <v>0</v>
      </c>
      <c r="L573" s="37">
        <f>IF(COUNTIFS('📋 Транзакції'!$B$5:$B$3623,A573,'📋 Транзакції'!$C$5:$C$3623,"&gt;="&amp;EDATE(DATEVALUE(C573&amp;"-01"),5),'📋 Транзакції'!$C$5:$C$3623,"&lt;"&amp;EDATE(DATEVALUE(C573&amp;"-01"),6))&gt;0,1,0)</f>
        <v>0</v>
      </c>
      <c r="M573" s="37">
        <f>IF(COUNTIFS('📋 Транзакції'!$B$5:$B$3623,A573,'📋 Транзакції'!$C$5:$C$3623,"&gt;="&amp;EDATE(DATEVALUE(C573&amp;"-01"),6),'📋 Транзакції'!$C$5:$C$3623,"&lt;"&amp;EDATE(DATEVALUE(C573&amp;"-01"),7))&gt;0,1,0)</f>
        <v>0</v>
      </c>
      <c r="N573" s="37">
        <f>IF(COUNTIFS('📋 Транзакції'!$B$5:$B$3623,A573,'📋 Транзакції'!$C$5:$C$3623,"&gt;="&amp;EDATE(DATEVALUE(C573&amp;"-01"),7),'📋 Транзакції'!$C$5:$C$3623,"&lt;"&amp;EDATE(DATEVALUE(C573&amp;"-01"),8))&gt;0,1,0)</f>
        <v>0</v>
      </c>
      <c r="O573" s="37">
        <f>IF(COUNTIFS('📋 Транзакції'!$B$5:$B$3623,A573,'📋 Транзакції'!$C$5:$C$3623,"&gt;="&amp;EDATE(DATEVALUE(C573&amp;"-01"),8),'📋 Транзакції'!$C$5:$C$3623,"&lt;"&amp;EDATE(DATEVALUE(C573&amp;"-01"),9))&gt;0,1,0)</f>
        <v>0</v>
      </c>
      <c r="P573" s="37">
        <f>IF(COUNTIFS('📋 Транзакції'!$B$5:$B$3623,A573,'📋 Транзакції'!$C$5:$C$3623,"&gt;="&amp;EDATE(DATEVALUE(C573&amp;"-01"),9),'📋 Транзакції'!$C$5:$C$3623,"&lt;"&amp;EDATE(DATEVALUE(C573&amp;"-01"),10))&gt;0,1,0)</f>
        <v>0</v>
      </c>
      <c r="Q573" s="37">
        <f>IF(COUNTIFS('📋 Транзакції'!$B$5:$B$3623,A573,'📋 Транзакції'!$C$5:$C$3623,"&gt;="&amp;EDATE(DATEVALUE(C573&amp;"-01"),10),'📋 Транзакції'!$C$5:$C$3623,"&lt;"&amp;EDATE(DATEVALUE(C573&amp;"-01"),11))&gt;0,1,0)</f>
        <v>0</v>
      </c>
      <c r="R573" s="37">
        <f>IF(COUNTIFS('📋 Транзакції'!$B$5:$B$3623,A573,'📋 Транзакції'!$C$5:$C$3623,"&gt;="&amp;EDATE(DATEVALUE(C573&amp;"-01"),11),'📋 Транзакції'!$C$5:$C$3623,"&lt;"&amp;EDATE(DATEVALUE(C573&amp;"-01"),12))&gt;0,1,0)</f>
        <v>0</v>
      </c>
      <c r="S573" s="37">
        <f>SUMIFS('📋 Транзакції'!$F$5:$F$3623,'📋 Транзакції'!$B$5:$B$3623,A573,'📋 Транзакції'!$C$5:$C$3623,"&gt;="&amp;EDATE(DATEVALUE(C573&amp;"-01"),0),'📋 Транзакції'!$C$5:$C$3623,"&lt;"&amp;EDATE(DATEVALUE(C573&amp;"-01"),1))</f>
        <v>19.99</v>
      </c>
      <c r="T573" s="37">
        <f>SUMIFS('📋 Транзакції'!$F$5:$F$3623,'📋 Транзакції'!$B$5:$B$3623,A573,'📋 Транзакції'!$C$5:$C$3623,"&gt;="&amp;EDATE(DATEVALUE(C573&amp;"-01"),1),'📋 Транзакції'!$C$5:$C$3623,"&lt;"&amp;EDATE(DATEVALUE(C573&amp;"-01"),2))</f>
        <v>0</v>
      </c>
      <c r="U573" s="37">
        <f>SUMIFS('📋 Транзакції'!$F$5:$F$3623,'📋 Транзакції'!$B$5:$B$3623,A573,'📋 Транзакції'!$C$5:$C$3623,"&gt;="&amp;EDATE(DATEVALUE(C573&amp;"-01"),2),'📋 Транзакції'!$C$5:$C$3623,"&lt;"&amp;EDATE(DATEVALUE(C573&amp;"-01"),3))</f>
        <v>0</v>
      </c>
      <c r="V573" s="37">
        <f>SUMIFS('📋 Транзакції'!$F$5:$F$3623,'📋 Транзакції'!$B$5:$B$3623,A573,'📋 Транзакції'!$C$5:$C$3623,"&gt;="&amp;EDATE(DATEVALUE(C573&amp;"-01"),3),'📋 Транзакції'!$C$5:$C$3623,"&lt;"&amp;EDATE(DATEVALUE(C573&amp;"-01"),4))</f>
        <v>0</v>
      </c>
      <c r="W573" s="37">
        <f>SUMIFS('📋 Транзакції'!$F$5:$F$3623,'📋 Транзакції'!$B$5:$B$3623,A573,'📋 Транзакції'!$C$5:$C$3623,"&gt;="&amp;EDATE(DATEVALUE(C573&amp;"-01"),4),'📋 Транзакції'!$C$5:$C$3623,"&lt;"&amp;EDATE(DATEVALUE(C573&amp;"-01"),5))</f>
        <v>0</v>
      </c>
      <c r="X573" s="37">
        <f>SUMIFS('📋 Транзакції'!$F$5:$F$3623,'📋 Транзакції'!$B$5:$B$3623,A573,'📋 Транзакції'!$C$5:$C$3623,"&gt;="&amp;EDATE(DATEVALUE(C573&amp;"-01"),5),'📋 Транзакції'!$C$5:$C$3623,"&lt;"&amp;EDATE(DATEVALUE(C573&amp;"-01"),6))</f>
        <v>0</v>
      </c>
      <c r="Y573" s="37">
        <f>SUMIFS('📋 Транзакції'!$F$5:$F$3623,'📋 Транзакції'!$B$5:$B$3623,A573,'📋 Транзакції'!$C$5:$C$3623,"&gt;="&amp;EDATE(DATEVALUE(C573&amp;"-01"),6),'📋 Транзакції'!$C$5:$C$3623,"&lt;"&amp;EDATE(DATEVALUE(C573&amp;"-01"),7))</f>
        <v>0</v>
      </c>
      <c r="Z573" s="37">
        <f>SUMIFS('📋 Транзакції'!$F$5:$F$3623,'📋 Транзакції'!$B$5:$B$3623,A573,'📋 Транзакції'!$C$5:$C$3623,"&gt;="&amp;EDATE(DATEVALUE(C573&amp;"-01"),7),'📋 Транзакції'!$C$5:$C$3623,"&lt;"&amp;EDATE(DATEVALUE(C573&amp;"-01"),8))</f>
        <v>0</v>
      </c>
      <c r="AA573" s="37">
        <f>SUMIFS('📋 Транзакції'!$F$5:$F$3623,'📋 Транзакції'!$B$5:$B$3623,A573,'📋 Транзакції'!$C$5:$C$3623,"&gt;="&amp;EDATE(DATEVALUE(C573&amp;"-01"),8),'📋 Транзакції'!$C$5:$C$3623,"&lt;"&amp;EDATE(DATEVALUE(C573&amp;"-01"),9))</f>
        <v>0</v>
      </c>
      <c r="AB573" s="37">
        <f>SUMIFS('📋 Транзакції'!$F$5:$F$3623,'📋 Транзакції'!$B$5:$B$3623,A573,'📋 Транзакції'!$C$5:$C$3623,"&gt;="&amp;EDATE(DATEVALUE(C573&amp;"-01"),9),'📋 Транзакції'!$C$5:$C$3623,"&lt;"&amp;EDATE(DATEVALUE(C573&amp;"-01"),10))</f>
        <v>0</v>
      </c>
      <c r="AC573" s="37">
        <f>SUMIFS('📋 Транзакції'!$F$5:$F$3623,'📋 Транзакції'!$B$5:$B$3623,A573,'📋 Транзакції'!$C$5:$C$3623,"&gt;="&amp;EDATE(DATEVALUE(C573&amp;"-01"),10),'📋 Транзакції'!$C$5:$C$3623,"&lt;"&amp;EDATE(DATEVALUE(C573&amp;"-01"),11))</f>
        <v>0</v>
      </c>
      <c r="AD573" s="37">
        <f>SUMIFS('📋 Транзакції'!$F$5:$F$3623,'📋 Транзакції'!$B$5:$B$3623,A573,'📋 Транзакції'!$C$5:$C$3623,"&gt;="&amp;EDATE(DATEVALUE(C573&amp;"-01"),11),'📋 Транзакції'!$C$5:$C$3623,"&lt;"&amp;EDATE(DATEVALUE(C573&amp;"-01"),12))</f>
        <v>0</v>
      </c>
    </row>
    <row r="574" ht="15.75" customHeight="1">
      <c r="A574" s="33" t="str">
        <f>'📋 Реєстрації'!A574:A1175</f>
        <v>U0479</v>
      </c>
      <c r="B574" s="34">
        <f t="array" ref="B574">INDEX('📋 Транзакції'!$C$5:$C$3623,MATCH(A574,'📋 Транзакції'!$B$5:$B$3623,0))</f>
        <v>45729</v>
      </c>
      <c r="C574" s="35" t="str">
        <f t="shared" si="1"/>
        <v>2025-03</v>
      </c>
      <c r="D574" s="36">
        <f>COUNTIF('📋 Транзакції'!$B$5:$B$3623,A574)</f>
        <v>2</v>
      </c>
      <c r="E574" s="36">
        <f>SUMIF('📋 Транзакції'!$B$5:$B$3623,A574,'📋 Транзакції'!$F$5:$F$3623)</f>
        <v>19.99</v>
      </c>
      <c r="F574" s="35">
        <f>INT($A$1-MAXIFS('📋 Транзакції'!$C$5:$C$3623,'📋 Транзакції'!$B$5:$B$3623,A574))</f>
        <v>11</v>
      </c>
      <c r="G574" s="37">
        <f>IF(COUNTIFS('📋 Транзакції'!$B$5:$B$3623,A574,'📋 Транзакції'!$C$5:$C$3623,"&gt;="&amp;EDATE(DATEVALUE(C574&amp;"-01"),0),'📋 Транзакції'!$C$5:$C$3623,"&lt;"&amp;EDATE(DATEVALUE(C574&amp;"-01"),1))&gt;0,1,0)</f>
        <v>1</v>
      </c>
      <c r="H574" s="37">
        <f>IF(COUNTIFS('📋 Транзакції'!$B$5:$B$3623,A574,'📋 Транзакції'!$C$5:$C$3623,"&gt;="&amp;EDATE(DATEVALUE(C574&amp;"-01"),1),'📋 Транзакції'!$C$5:$C$3623,"&lt;"&amp;EDATE(DATEVALUE(C574&amp;"-01"),2))&gt;0,1,0)</f>
        <v>0</v>
      </c>
      <c r="I574" s="37">
        <f>IF(COUNTIFS('📋 Транзакції'!$B$5:$B$3623,A574,'📋 Транзакції'!$C$5:$C$3623,"&gt;="&amp;EDATE(DATEVALUE(C574&amp;"-01"),2),'📋 Транзакції'!$C$5:$C$3623,"&lt;"&amp;EDATE(DATEVALUE(C574&amp;"-01"),3))&gt;0,1,0)</f>
        <v>0</v>
      </c>
      <c r="J574" s="37">
        <f>IF(COUNTIFS('📋 Транзакції'!$B$5:$B$3623,A574,'📋 Транзакції'!$C$5:$C$3623,"&gt;="&amp;EDATE(DATEVALUE(C574&amp;"-01"),3),'📋 Транзакції'!$C$5:$C$3623,"&lt;"&amp;EDATE(DATEVALUE(C574&amp;"-01"),4))&gt;0,1,0)</f>
        <v>0</v>
      </c>
      <c r="K574" s="37">
        <f>IF(COUNTIFS('📋 Транзакції'!$B$5:$B$3623,A574,'📋 Транзакції'!$C$5:$C$3623,"&gt;="&amp;EDATE(DATEVALUE(C574&amp;"-01"),4),'📋 Транзакції'!$C$5:$C$3623,"&lt;"&amp;EDATE(DATEVALUE(C574&amp;"-01"),5))&gt;0,1,0)</f>
        <v>0</v>
      </c>
      <c r="L574" s="37">
        <f>IF(COUNTIFS('📋 Транзакції'!$B$5:$B$3623,A574,'📋 Транзакції'!$C$5:$C$3623,"&gt;="&amp;EDATE(DATEVALUE(C574&amp;"-01"),5),'📋 Транзакції'!$C$5:$C$3623,"&lt;"&amp;EDATE(DATEVALUE(C574&amp;"-01"),6))&gt;0,1,0)</f>
        <v>0</v>
      </c>
      <c r="M574" s="37">
        <f>IF(COUNTIFS('📋 Транзакції'!$B$5:$B$3623,A574,'📋 Транзакції'!$C$5:$C$3623,"&gt;="&amp;EDATE(DATEVALUE(C574&amp;"-01"),6),'📋 Транзакції'!$C$5:$C$3623,"&lt;"&amp;EDATE(DATEVALUE(C574&amp;"-01"),7))&gt;0,1,0)</f>
        <v>0</v>
      </c>
      <c r="N574" s="37">
        <f>IF(COUNTIFS('📋 Транзакції'!$B$5:$B$3623,A574,'📋 Транзакції'!$C$5:$C$3623,"&gt;="&amp;EDATE(DATEVALUE(C574&amp;"-01"),7),'📋 Транзакції'!$C$5:$C$3623,"&lt;"&amp;EDATE(DATEVALUE(C574&amp;"-01"),8))&gt;0,1,0)</f>
        <v>0</v>
      </c>
      <c r="O574" s="37">
        <f>IF(COUNTIFS('📋 Транзакції'!$B$5:$B$3623,A574,'📋 Транзакції'!$C$5:$C$3623,"&gt;="&amp;EDATE(DATEVALUE(C574&amp;"-01"),8),'📋 Транзакції'!$C$5:$C$3623,"&lt;"&amp;EDATE(DATEVALUE(C574&amp;"-01"),9))&gt;0,1,0)</f>
        <v>0</v>
      </c>
      <c r="P574" s="37">
        <f>IF(COUNTIFS('📋 Транзакції'!$B$5:$B$3623,A574,'📋 Транзакції'!$C$5:$C$3623,"&gt;="&amp;EDATE(DATEVALUE(C574&amp;"-01"),9),'📋 Транзакції'!$C$5:$C$3623,"&lt;"&amp;EDATE(DATEVALUE(C574&amp;"-01"),10))&gt;0,1,0)</f>
        <v>0</v>
      </c>
      <c r="Q574" s="37">
        <f>IF(COUNTIFS('📋 Транзакції'!$B$5:$B$3623,A574,'📋 Транзакції'!$C$5:$C$3623,"&gt;="&amp;EDATE(DATEVALUE(C574&amp;"-01"),10),'📋 Транзакції'!$C$5:$C$3623,"&lt;"&amp;EDATE(DATEVALUE(C574&amp;"-01"),11))&gt;0,1,0)</f>
        <v>0</v>
      </c>
      <c r="R574" s="37">
        <f>IF(COUNTIFS('📋 Транзакції'!$B$5:$B$3623,A574,'📋 Транзакції'!$C$5:$C$3623,"&gt;="&amp;EDATE(DATEVALUE(C574&amp;"-01"),11),'📋 Транзакції'!$C$5:$C$3623,"&lt;"&amp;EDATE(DATEVALUE(C574&amp;"-01"),12))&gt;0,1,0)</f>
        <v>0</v>
      </c>
      <c r="S574" s="37">
        <f>SUMIFS('📋 Транзакції'!$F$5:$F$3623,'📋 Транзакції'!$B$5:$B$3623,A574,'📋 Транзакції'!$C$5:$C$3623,"&gt;="&amp;EDATE(DATEVALUE(C574&amp;"-01"),0),'📋 Транзакції'!$C$5:$C$3623,"&lt;"&amp;EDATE(DATEVALUE(C574&amp;"-01"),1))</f>
        <v>19.99</v>
      </c>
      <c r="T574" s="37">
        <f>SUMIFS('📋 Транзакції'!$F$5:$F$3623,'📋 Транзакції'!$B$5:$B$3623,A574,'📋 Транзакції'!$C$5:$C$3623,"&gt;="&amp;EDATE(DATEVALUE(C574&amp;"-01"),1),'📋 Транзакції'!$C$5:$C$3623,"&lt;"&amp;EDATE(DATEVALUE(C574&amp;"-01"),2))</f>
        <v>0</v>
      </c>
      <c r="U574" s="37">
        <f>SUMIFS('📋 Транзакції'!$F$5:$F$3623,'📋 Транзакції'!$B$5:$B$3623,A574,'📋 Транзакції'!$C$5:$C$3623,"&gt;="&amp;EDATE(DATEVALUE(C574&amp;"-01"),2),'📋 Транзакції'!$C$5:$C$3623,"&lt;"&amp;EDATE(DATEVALUE(C574&amp;"-01"),3))</f>
        <v>0</v>
      </c>
      <c r="V574" s="37">
        <f>SUMIFS('📋 Транзакції'!$F$5:$F$3623,'📋 Транзакції'!$B$5:$B$3623,A574,'📋 Транзакції'!$C$5:$C$3623,"&gt;="&amp;EDATE(DATEVALUE(C574&amp;"-01"),3),'📋 Транзакції'!$C$5:$C$3623,"&lt;"&amp;EDATE(DATEVALUE(C574&amp;"-01"),4))</f>
        <v>0</v>
      </c>
      <c r="W574" s="37">
        <f>SUMIFS('📋 Транзакції'!$F$5:$F$3623,'📋 Транзакції'!$B$5:$B$3623,A574,'📋 Транзакції'!$C$5:$C$3623,"&gt;="&amp;EDATE(DATEVALUE(C574&amp;"-01"),4),'📋 Транзакції'!$C$5:$C$3623,"&lt;"&amp;EDATE(DATEVALUE(C574&amp;"-01"),5))</f>
        <v>0</v>
      </c>
      <c r="X574" s="37">
        <f>SUMIFS('📋 Транзакції'!$F$5:$F$3623,'📋 Транзакції'!$B$5:$B$3623,A574,'📋 Транзакції'!$C$5:$C$3623,"&gt;="&amp;EDATE(DATEVALUE(C574&amp;"-01"),5),'📋 Транзакції'!$C$5:$C$3623,"&lt;"&amp;EDATE(DATEVALUE(C574&amp;"-01"),6))</f>
        <v>0</v>
      </c>
      <c r="Y574" s="37">
        <f>SUMIFS('📋 Транзакції'!$F$5:$F$3623,'📋 Транзакції'!$B$5:$B$3623,A574,'📋 Транзакції'!$C$5:$C$3623,"&gt;="&amp;EDATE(DATEVALUE(C574&amp;"-01"),6),'📋 Транзакції'!$C$5:$C$3623,"&lt;"&amp;EDATE(DATEVALUE(C574&amp;"-01"),7))</f>
        <v>0</v>
      </c>
      <c r="Z574" s="37">
        <f>SUMIFS('📋 Транзакції'!$F$5:$F$3623,'📋 Транзакції'!$B$5:$B$3623,A574,'📋 Транзакції'!$C$5:$C$3623,"&gt;="&amp;EDATE(DATEVALUE(C574&amp;"-01"),7),'📋 Транзакції'!$C$5:$C$3623,"&lt;"&amp;EDATE(DATEVALUE(C574&amp;"-01"),8))</f>
        <v>0</v>
      </c>
      <c r="AA574" s="37">
        <f>SUMIFS('📋 Транзакції'!$F$5:$F$3623,'📋 Транзакції'!$B$5:$B$3623,A574,'📋 Транзакції'!$C$5:$C$3623,"&gt;="&amp;EDATE(DATEVALUE(C574&amp;"-01"),8),'📋 Транзакції'!$C$5:$C$3623,"&lt;"&amp;EDATE(DATEVALUE(C574&amp;"-01"),9))</f>
        <v>0</v>
      </c>
      <c r="AB574" s="37">
        <f>SUMIFS('📋 Транзакції'!$F$5:$F$3623,'📋 Транзакції'!$B$5:$B$3623,A574,'📋 Транзакції'!$C$5:$C$3623,"&gt;="&amp;EDATE(DATEVALUE(C574&amp;"-01"),9),'📋 Транзакції'!$C$5:$C$3623,"&lt;"&amp;EDATE(DATEVALUE(C574&amp;"-01"),10))</f>
        <v>0</v>
      </c>
      <c r="AC574" s="37">
        <f>SUMIFS('📋 Транзакції'!$F$5:$F$3623,'📋 Транзакції'!$B$5:$B$3623,A574,'📋 Транзакції'!$C$5:$C$3623,"&gt;="&amp;EDATE(DATEVALUE(C574&amp;"-01"),10),'📋 Транзакції'!$C$5:$C$3623,"&lt;"&amp;EDATE(DATEVALUE(C574&amp;"-01"),11))</f>
        <v>0</v>
      </c>
      <c r="AD574" s="37">
        <f>SUMIFS('📋 Транзакції'!$F$5:$F$3623,'📋 Транзакції'!$B$5:$B$3623,A574,'📋 Транзакції'!$C$5:$C$3623,"&gt;="&amp;EDATE(DATEVALUE(C574&amp;"-01"),11),'📋 Транзакції'!$C$5:$C$3623,"&lt;"&amp;EDATE(DATEVALUE(C574&amp;"-01"),12))</f>
        <v>0</v>
      </c>
    </row>
    <row r="575" ht="15.75" customHeight="1">
      <c r="A575" s="33" t="str">
        <f>'📋 Реєстрації'!A575:A1176</f>
        <v>U0716</v>
      </c>
      <c r="B575" s="34">
        <f t="array" ref="B575">INDEX('📋 Транзакції'!$C$5:$C$3623,MATCH(A575,'📋 Транзакції'!$B$5:$B$3623,0))</f>
        <v>45729</v>
      </c>
      <c r="C575" s="35" t="str">
        <f t="shared" si="1"/>
        <v>2025-03</v>
      </c>
      <c r="D575" s="36">
        <f>COUNTIF('📋 Транзакції'!$B$5:$B$3623,A575)</f>
        <v>2</v>
      </c>
      <c r="E575" s="36">
        <f>SUMIF('📋 Транзакції'!$B$5:$B$3623,A575,'📋 Транзакції'!$F$5:$F$3623)</f>
        <v>19.99</v>
      </c>
      <c r="F575" s="35">
        <f>INT($A$1-MAXIFS('📋 Транзакції'!$C$5:$C$3623,'📋 Транзакції'!$B$5:$B$3623,A575))</f>
        <v>11</v>
      </c>
      <c r="G575" s="37">
        <f>IF(COUNTIFS('📋 Транзакції'!$B$5:$B$3623,A575,'📋 Транзакції'!$C$5:$C$3623,"&gt;="&amp;EDATE(DATEVALUE(C575&amp;"-01"),0),'📋 Транзакції'!$C$5:$C$3623,"&lt;"&amp;EDATE(DATEVALUE(C575&amp;"-01"),1))&gt;0,1,0)</f>
        <v>1</v>
      </c>
      <c r="H575" s="37">
        <f>IF(COUNTIFS('📋 Транзакції'!$B$5:$B$3623,A575,'📋 Транзакції'!$C$5:$C$3623,"&gt;="&amp;EDATE(DATEVALUE(C575&amp;"-01"),1),'📋 Транзакції'!$C$5:$C$3623,"&lt;"&amp;EDATE(DATEVALUE(C575&amp;"-01"),2))&gt;0,1,0)</f>
        <v>0</v>
      </c>
      <c r="I575" s="37">
        <f>IF(COUNTIFS('📋 Транзакції'!$B$5:$B$3623,A575,'📋 Транзакції'!$C$5:$C$3623,"&gt;="&amp;EDATE(DATEVALUE(C575&amp;"-01"),2),'📋 Транзакції'!$C$5:$C$3623,"&lt;"&amp;EDATE(DATEVALUE(C575&amp;"-01"),3))&gt;0,1,0)</f>
        <v>0</v>
      </c>
      <c r="J575" s="37">
        <f>IF(COUNTIFS('📋 Транзакції'!$B$5:$B$3623,A575,'📋 Транзакції'!$C$5:$C$3623,"&gt;="&amp;EDATE(DATEVALUE(C575&amp;"-01"),3),'📋 Транзакції'!$C$5:$C$3623,"&lt;"&amp;EDATE(DATEVALUE(C575&amp;"-01"),4))&gt;0,1,0)</f>
        <v>0</v>
      </c>
      <c r="K575" s="37">
        <f>IF(COUNTIFS('📋 Транзакції'!$B$5:$B$3623,A575,'📋 Транзакції'!$C$5:$C$3623,"&gt;="&amp;EDATE(DATEVALUE(C575&amp;"-01"),4),'📋 Транзакції'!$C$5:$C$3623,"&lt;"&amp;EDATE(DATEVALUE(C575&amp;"-01"),5))&gt;0,1,0)</f>
        <v>0</v>
      </c>
      <c r="L575" s="37">
        <f>IF(COUNTIFS('📋 Транзакції'!$B$5:$B$3623,A575,'📋 Транзакції'!$C$5:$C$3623,"&gt;="&amp;EDATE(DATEVALUE(C575&amp;"-01"),5),'📋 Транзакції'!$C$5:$C$3623,"&lt;"&amp;EDATE(DATEVALUE(C575&amp;"-01"),6))&gt;0,1,0)</f>
        <v>0</v>
      </c>
      <c r="M575" s="37">
        <f>IF(COUNTIFS('📋 Транзакції'!$B$5:$B$3623,A575,'📋 Транзакції'!$C$5:$C$3623,"&gt;="&amp;EDATE(DATEVALUE(C575&amp;"-01"),6),'📋 Транзакції'!$C$5:$C$3623,"&lt;"&amp;EDATE(DATEVALUE(C575&amp;"-01"),7))&gt;0,1,0)</f>
        <v>0</v>
      </c>
      <c r="N575" s="37">
        <f>IF(COUNTIFS('📋 Транзакції'!$B$5:$B$3623,A575,'📋 Транзакції'!$C$5:$C$3623,"&gt;="&amp;EDATE(DATEVALUE(C575&amp;"-01"),7),'📋 Транзакції'!$C$5:$C$3623,"&lt;"&amp;EDATE(DATEVALUE(C575&amp;"-01"),8))&gt;0,1,0)</f>
        <v>0</v>
      </c>
      <c r="O575" s="37">
        <f>IF(COUNTIFS('📋 Транзакції'!$B$5:$B$3623,A575,'📋 Транзакції'!$C$5:$C$3623,"&gt;="&amp;EDATE(DATEVALUE(C575&amp;"-01"),8),'📋 Транзакції'!$C$5:$C$3623,"&lt;"&amp;EDATE(DATEVALUE(C575&amp;"-01"),9))&gt;0,1,0)</f>
        <v>0</v>
      </c>
      <c r="P575" s="37">
        <f>IF(COUNTIFS('📋 Транзакції'!$B$5:$B$3623,A575,'📋 Транзакції'!$C$5:$C$3623,"&gt;="&amp;EDATE(DATEVALUE(C575&amp;"-01"),9),'📋 Транзакції'!$C$5:$C$3623,"&lt;"&amp;EDATE(DATEVALUE(C575&amp;"-01"),10))&gt;0,1,0)</f>
        <v>0</v>
      </c>
      <c r="Q575" s="37">
        <f>IF(COUNTIFS('📋 Транзакції'!$B$5:$B$3623,A575,'📋 Транзакції'!$C$5:$C$3623,"&gt;="&amp;EDATE(DATEVALUE(C575&amp;"-01"),10),'📋 Транзакції'!$C$5:$C$3623,"&lt;"&amp;EDATE(DATEVALUE(C575&amp;"-01"),11))&gt;0,1,0)</f>
        <v>0</v>
      </c>
      <c r="R575" s="37">
        <f>IF(COUNTIFS('📋 Транзакції'!$B$5:$B$3623,A575,'📋 Транзакції'!$C$5:$C$3623,"&gt;="&amp;EDATE(DATEVALUE(C575&amp;"-01"),11),'📋 Транзакції'!$C$5:$C$3623,"&lt;"&amp;EDATE(DATEVALUE(C575&amp;"-01"),12))&gt;0,1,0)</f>
        <v>0</v>
      </c>
      <c r="S575" s="37">
        <f>SUMIFS('📋 Транзакції'!$F$5:$F$3623,'📋 Транзакції'!$B$5:$B$3623,A575,'📋 Транзакції'!$C$5:$C$3623,"&gt;="&amp;EDATE(DATEVALUE(C575&amp;"-01"),0),'📋 Транзакції'!$C$5:$C$3623,"&lt;"&amp;EDATE(DATEVALUE(C575&amp;"-01"),1))</f>
        <v>19.99</v>
      </c>
      <c r="T575" s="37">
        <f>SUMIFS('📋 Транзакції'!$F$5:$F$3623,'📋 Транзакції'!$B$5:$B$3623,A575,'📋 Транзакції'!$C$5:$C$3623,"&gt;="&amp;EDATE(DATEVALUE(C575&amp;"-01"),1),'📋 Транзакції'!$C$5:$C$3623,"&lt;"&amp;EDATE(DATEVALUE(C575&amp;"-01"),2))</f>
        <v>0</v>
      </c>
      <c r="U575" s="37">
        <f>SUMIFS('📋 Транзакції'!$F$5:$F$3623,'📋 Транзакції'!$B$5:$B$3623,A575,'📋 Транзакції'!$C$5:$C$3623,"&gt;="&amp;EDATE(DATEVALUE(C575&amp;"-01"),2),'📋 Транзакції'!$C$5:$C$3623,"&lt;"&amp;EDATE(DATEVALUE(C575&amp;"-01"),3))</f>
        <v>0</v>
      </c>
      <c r="V575" s="37">
        <f>SUMIFS('📋 Транзакції'!$F$5:$F$3623,'📋 Транзакції'!$B$5:$B$3623,A575,'📋 Транзакції'!$C$5:$C$3623,"&gt;="&amp;EDATE(DATEVALUE(C575&amp;"-01"),3),'📋 Транзакції'!$C$5:$C$3623,"&lt;"&amp;EDATE(DATEVALUE(C575&amp;"-01"),4))</f>
        <v>0</v>
      </c>
      <c r="W575" s="37">
        <f>SUMIFS('📋 Транзакції'!$F$5:$F$3623,'📋 Транзакції'!$B$5:$B$3623,A575,'📋 Транзакції'!$C$5:$C$3623,"&gt;="&amp;EDATE(DATEVALUE(C575&amp;"-01"),4),'📋 Транзакції'!$C$5:$C$3623,"&lt;"&amp;EDATE(DATEVALUE(C575&amp;"-01"),5))</f>
        <v>0</v>
      </c>
      <c r="X575" s="37">
        <f>SUMIFS('📋 Транзакції'!$F$5:$F$3623,'📋 Транзакції'!$B$5:$B$3623,A575,'📋 Транзакції'!$C$5:$C$3623,"&gt;="&amp;EDATE(DATEVALUE(C575&amp;"-01"),5),'📋 Транзакції'!$C$5:$C$3623,"&lt;"&amp;EDATE(DATEVALUE(C575&amp;"-01"),6))</f>
        <v>0</v>
      </c>
      <c r="Y575" s="37">
        <f>SUMIFS('📋 Транзакції'!$F$5:$F$3623,'📋 Транзакції'!$B$5:$B$3623,A575,'📋 Транзакції'!$C$5:$C$3623,"&gt;="&amp;EDATE(DATEVALUE(C575&amp;"-01"),6),'📋 Транзакції'!$C$5:$C$3623,"&lt;"&amp;EDATE(DATEVALUE(C575&amp;"-01"),7))</f>
        <v>0</v>
      </c>
      <c r="Z575" s="37">
        <f>SUMIFS('📋 Транзакції'!$F$5:$F$3623,'📋 Транзакції'!$B$5:$B$3623,A575,'📋 Транзакції'!$C$5:$C$3623,"&gt;="&amp;EDATE(DATEVALUE(C575&amp;"-01"),7),'📋 Транзакції'!$C$5:$C$3623,"&lt;"&amp;EDATE(DATEVALUE(C575&amp;"-01"),8))</f>
        <v>0</v>
      </c>
      <c r="AA575" s="37">
        <f>SUMIFS('📋 Транзакції'!$F$5:$F$3623,'📋 Транзакції'!$B$5:$B$3623,A575,'📋 Транзакції'!$C$5:$C$3623,"&gt;="&amp;EDATE(DATEVALUE(C575&amp;"-01"),8),'📋 Транзакції'!$C$5:$C$3623,"&lt;"&amp;EDATE(DATEVALUE(C575&amp;"-01"),9))</f>
        <v>0</v>
      </c>
      <c r="AB575" s="37">
        <f>SUMIFS('📋 Транзакції'!$F$5:$F$3623,'📋 Транзакції'!$B$5:$B$3623,A575,'📋 Транзакції'!$C$5:$C$3623,"&gt;="&amp;EDATE(DATEVALUE(C575&amp;"-01"),9),'📋 Транзакції'!$C$5:$C$3623,"&lt;"&amp;EDATE(DATEVALUE(C575&amp;"-01"),10))</f>
        <v>0</v>
      </c>
      <c r="AC575" s="37">
        <f>SUMIFS('📋 Транзакції'!$F$5:$F$3623,'📋 Транзакції'!$B$5:$B$3623,A575,'📋 Транзакції'!$C$5:$C$3623,"&gt;="&amp;EDATE(DATEVALUE(C575&amp;"-01"),10),'📋 Транзакції'!$C$5:$C$3623,"&lt;"&amp;EDATE(DATEVALUE(C575&amp;"-01"),11))</f>
        <v>0</v>
      </c>
      <c r="AD575" s="37">
        <f>SUMIFS('📋 Транзакції'!$F$5:$F$3623,'📋 Транзакції'!$B$5:$B$3623,A575,'📋 Транзакції'!$C$5:$C$3623,"&gt;="&amp;EDATE(DATEVALUE(C575&amp;"-01"),11),'📋 Транзакції'!$C$5:$C$3623,"&lt;"&amp;EDATE(DATEVALUE(C575&amp;"-01"),12))</f>
        <v>0</v>
      </c>
    </row>
    <row r="576" ht="15.75" customHeight="1">
      <c r="A576" s="33" t="str">
        <f>'📋 Реєстрації'!A576:A1177</f>
        <v>U0070</v>
      </c>
      <c r="B576" s="34">
        <f t="array" ref="B576">INDEX('📋 Транзакції'!$C$5:$C$3623,MATCH(A576,'📋 Транзакції'!$B$5:$B$3623,0))</f>
        <v>45730</v>
      </c>
      <c r="C576" s="35" t="str">
        <f t="shared" si="1"/>
        <v>2025-03</v>
      </c>
      <c r="D576" s="36">
        <f>COUNTIF('📋 Транзакції'!$B$5:$B$3623,A576)</f>
        <v>2</v>
      </c>
      <c r="E576" s="36">
        <f>SUMIF('📋 Транзакції'!$B$5:$B$3623,A576,'📋 Транзакції'!$F$5:$F$3623)</f>
        <v>19.99</v>
      </c>
      <c r="F576" s="35">
        <f>INT($A$1-MAXIFS('📋 Транзакції'!$C$5:$C$3623,'📋 Транзакції'!$B$5:$B$3623,A576))</f>
        <v>10</v>
      </c>
      <c r="G576" s="37">
        <f>IF(COUNTIFS('📋 Транзакції'!$B$5:$B$3623,A576,'📋 Транзакції'!$C$5:$C$3623,"&gt;="&amp;EDATE(DATEVALUE(C576&amp;"-01"),0),'📋 Транзакції'!$C$5:$C$3623,"&lt;"&amp;EDATE(DATEVALUE(C576&amp;"-01"),1))&gt;0,1,0)</f>
        <v>1</v>
      </c>
      <c r="H576" s="37">
        <f>IF(COUNTIFS('📋 Транзакції'!$B$5:$B$3623,A576,'📋 Транзакції'!$C$5:$C$3623,"&gt;="&amp;EDATE(DATEVALUE(C576&amp;"-01"),1),'📋 Транзакції'!$C$5:$C$3623,"&lt;"&amp;EDATE(DATEVALUE(C576&amp;"-01"),2))&gt;0,1,0)</f>
        <v>0</v>
      </c>
      <c r="I576" s="37">
        <f>IF(COUNTIFS('📋 Транзакції'!$B$5:$B$3623,A576,'📋 Транзакції'!$C$5:$C$3623,"&gt;="&amp;EDATE(DATEVALUE(C576&amp;"-01"),2),'📋 Транзакції'!$C$5:$C$3623,"&lt;"&amp;EDATE(DATEVALUE(C576&amp;"-01"),3))&gt;0,1,0)</f>
        <v>0</v>
      </c>
      <c r="J576" s="37">
        <f>IF(COUNTIFS('📋 Транзакції'!$B$5:$B$3623,A576,'📋 Транзакції'!$C$5:$C$3623,"&gt;="&amp;EDATE(DATEVALUE(C576&amp;"-01"),3),'📋 Транзакції'!$C$5:$C$3623,"&lt;"&amp;EDATE(DATEVALUE(C576&amp;"-01"),4))&gt;0,1,0)</f>
        <v>0</v>
      </c>
      <c r="K576" s="37">
        <f>IF(COUNTIFS('📋 Транзакції'!$B$5:$B$3623,A576,'📋 Транзакції'!$C$5:$C$3623,"&gt;="&amp;EDATE(DATEVALUE(C576&amp;"-01"),4),'📋 Транзакції'!$C$5:$C$3623,"&lt;"&amp;EDATE(DATEVALUE(C576&amp;"-01"),5))&gt;0,1,0)</f>
        <v>0</v>
      </c>
      <c r="L576" s="37">
        <f>IF(COUNTIFS('📋 Транзакції'!$B$5:$B$3623,A576,'📋 Транзакції'!$C$5:$C$3623,"&gt;="&amp;EDATE(DATEVALUE(C576&amp;"-01"),5),'📋 Транзакції'!$C$5:$C$3623,"&lt;"&amp;EDATE(DATEVALUE(C576&amp;"-01"),6))&gt;0,1,0)</f>
        <v>0</v>
      </c>
      <c r="M576" s="37">
        <f>IF(COUNTIFS('📋 Транзакції'!$B$5:$B$3623,A576,'📋 Транзакції'!$C$5:$C$3623,"&gt;="&amp;EDATE(DATEVALUE(C576&amp;"-01"),6),'📋 Транзакції'!$C$5:$C$3623,"&lt;"&amp;EDATE(DATEVALUE(C576&amp;"-01"),7))&gt;0,1,0)</f>
        <v>0</v>
      </c>
      <c r="N576" s="37">
        <f>IF(COUNTIFS('📋 Транзакції'!$B$5:$B$3623,A576,'📋 Транзакції'!$C$5:$C$3623,"&gt;="&amp;EDATE(DATEVALUE(C576&amp;"-01"),7),'📋 Транзакції'!$C$5:$C$3623,"&lt;"&amp;EDATE(DATEVALUE(C576&amp;"-01"),8))&gt;0,1,0)</f>
        <v>0</v>
      </c>
      <c r="O576" s="37">
        <f>IF(COUNTIFS('📋 Транзакції'!$B$5:$B$3623,A576,'📋 Транзакції'!$C$5:$C$3623,"&gt;="&amp;EDATE(DATEVALUE(C576&amp;"-01"),8),'📋 Транзакції'!$C$5:$C$3623,"&lt;"&amp;EDATE(DATEVALUE(C576&amp;"-01"),9))&gt;0,1,0)</f>
        <v>0</v>
      </c>
      <c r="P576" s="37">
        <f>IF(COUNTIFS('📋 Транзакції'!$B$5:$B$3623,A576,'📋 Транзакції'!$C$5:$C$3623,"&gt;="&amp;EDATE(DATEVALUE(C576&amp;"-01"),9),'📋 Транзакції'!$C$5:$C$3623,"&lt;"&amp;EDATE(DATEVALUE(C576&amp;"-01"),10))&gt;0,1,0)</f>
        <v>0</v>
      </c>
      <c r="Q576" s="37">
        <f>IF(COUNTIFS('📋 Транзакції'!$B$5:$B$3623,A576,'📋 Транзакції'!$C$5:$C$3623,"&gt;="&amp;EDATE(DATEVALUE(C576&amp;"-01"),10),'📋 Транзакції'!$C$5:$C$3623,"&lt;"&amp;EDATE(DATEVALUE(C576&amp;"-01"),11))&gt;0,1,0)</f>
        <v>0</v>
      </c>
      <c r="R576" s="37">
        <f>IF(COUNTIFS('📋 Транзакції'!$B$5:$B$3623,A576,'📋 Транзакції'!$C$5:$C$3623,"&gt;="&amp;EDATE(DATEVALUE(C576&amp;"-01"),11),'📋 Транзакції'!$C$5:$C$3623,"&lt;"&amp;EDATE(DATEVALUE(C576&amp;"-01"),12))&gt;0,1,0)</f>
        <v>0</v>
      </c>
      <c r="S576" s="37">
        <f>SUMIFS('📋 Транзакції'!$F$5:$F$3623,'📋 Транзакції'!$B$5:$B$3623,A576,'📋 Транзакції'!$C$5:$C$3623,"&gt;="&amp;EDATE(DATEVALUE(C576&amp;"-01"),0),'📋 Транзакції'!$C$5:$C$3623,"&lt;"&amp;EDATE(DATEVALUE(C576&amp;"-01"),1))</f>
        <v>19.99</v>
      </c>
      <c r="T576" s="37">
        <f>SUMIFS('📋 Транзакції'!$F$5:$F$3623,'📋 Транзакції'!$B$5:$B$3623,A576,'📋 Транзакції'!$C$5:$C$3623,"&gt;="&amp;EDATE(DATEVALUE(C576&amp;"-01"),1),'📋 Транзакції'!$C$5:$C$3623,"&lt;"&amp;EDATE(DATEVALUE(C576&amp;"-01"),2))</f>
        <v>0</v>
      </c>
      <c r="U576" s="37">
        <f>SUMIFS('📋 Транзакції'!$F$5:$F$3623,'📋 Транзакції'!$B$5:$B$3623,A576,'📋 Транзакції'!$C$5:$C$3623,"&gt;="&amp;EDATE(DATEVALUE(C576&amp;"-01"),2),'📋 Транзакції'!$C$5:$C$3623,"&lt;"&amp;EDATE(DATEVALUE(C576&amp;"-01"),3))</f>
        <v>0</v>
      </c>
      <c r="V576" s="37">
        <f>SUMIFS('📋 Транзакції'!$F$5:$F$3623,'📋 Транзакції'!$B$5:$B$3623,A576,'📋 Транзакції'!$C$5:$C$3623,"&gt;="&amp;EDATE(DATEVALUE(C576&amp;"-01"),3),'📋 Транзакції'!$C$5:$C$3623,"&lt;"&amp;EDATE(DATEVALUE(C576&amp;"-01"),4))</f>
        <v>0</v>
      </c>
      <c r="W576" s="37">
        <f>SUMIFS('📋 Транзакції'!$F$5:$F$3623,'📋 Транзакції'!$B$5:$B$3623,A576,'📋 Транзакції'!$C$5:$C$3623,"&gt;="&amp;EDATE(DATEVALUE(C576&amp;"-01"),4),'📋 Транзакції'!$C$5:$C$3623,"&lt;"&amp;EDATE(DATEVALUE(C576&amp;"-01"),5))</f>
        <v>0</v>
      </c>
      <c r="X576" s="37">
        <f>SUMIFS('📋 Транзакції'!$F$5:$F$3623,'📋 Транзакції'!$B$5:$B$3623,A576,'📋 Транзакції'!$C$5:$C$3623,"&gt;="&amp;EDATE(DATEVALUE(C576&amp;"-01"),5),'📋 Транзакції'!$C$5:$C$3623,"&lt;"&amp;EDATE(DATEVALUE(C576&amp;"-01"),6))</f>
        <v>0</v>
      </c>
      <c r="Y576" s="37">
        <f>SUMIFS('📋 Транзакції'!$F$5:$F$3623,'📋 Транзакції'!$B$5:$B$3623,A576,'📋 Транзакції'!$C$5:$C$3623,"&gt;="&amp;EDATE(DATEVALUE(C576&amp;"-01"),6),'📋 Транзакції'!$C$5:$C$3623,"&lt;"&amp;EDATE(DATEVALUE(C576&amp;"-01"),7))</f>
        <v>0</v>
      </c>
      <c r="Z576" s="37">
        <f>SUMIFS('📋 Транзакції'!$F$5:$F$3623,'📋 Транзакції'!$B$5:$B$3623,A576,'📋 Транзакції'!$C$5:$C$3623,"&gt;="&amp;EDATE(DATEVALUE(C576&amp;"-01"),7),'📋 Транзакції'!$C$5:$C$3623,"&lt;"&amp;EDATE(DATEVALUE(C576&amp;"-01"),8))</f>
        <v>0</v>
      </c>
      <c r="AA576" s="37">
        <f>SUMIFS('📋 Транзакції'!$F$5:$F$3623,'📋 Транзакції'!$B$5:$B$3623,A576,'📋 Транзакції'!$C$5:$C$3623,"&gt;="&amp;EDATE(DATEVALUE(C576&amp;"-01"),8),'📋 Транзакції'!$C$5:$C$3623,"&lt;"&amp;EDATE(DATEVALUE(C576&amp;"-01"),9))</f>
        <v>0</v>
      </c>
      <c r="AB576" s="37">
        <f>SUMIFS('📋 Транзакції'!$F$5:$F$3623,'📋 Транзакції'!$B$5:$B$3623,A576,'📋 Транзакції'!$C$5:$C$3623,"&gt;="&amp;EDATE(DATEVALUE(C576&amp;"-01"),9),'📋 Транзакції'!$C$5:$C$3623,"&lt;"&amp;EDATE(DATEVALUE(C576&amp;"-01"),10))</f>
        <v>0</v>
      </c>
      <c r="AC576" s="37">
        <f>SUMIFS('📋 Транзакції'!$F$5:$F$3623,'📋 Транзакції'!$B$5:$B$3623,A576,'📋 Транзакції'!$C$5:$C$3623,"&gt;="&amp;EDATE(DATEVALUE(C576&amp;"-01"),10),'📋 Транзакції'!$C$5:$C$3623,"&lt;"&amp;EDATE(DATEVALUE(C576&amp;"-01"),11))</f>
        <v>0</v>
      </c>
      <c r="AD576" s="37">
        <f>SUMIFS('📋 Транзакції'!$F$5:$F$3623,'📋 Транзакції'!$B$5:$B$3623,A576,'📋 Транзакції'!$C$5:$C$3623,"&gt;="&amp;EDATE(DATEVALUE(C576&amp;"-01"),11),'📋 Транзакції'!$C$5:$C$3623,"&lt;"&amp;EDATE(DATEVALUE(C576&amp;"-01"),12))</f>
        <v>0</v>
      </c>
    </row>
    <row r="577" ht="15.75" customHeight="1">
      <c r="A577" s="33" t="str">
        <f>'📋 Реєстрації'!A577:A1178</f>
        <v>U0447</v>
      </c>
      <c r="B577" s="34">
        <f t="array" ref="B577">INDEX('📋 Транзакції'!$C$5:$C$3623,MATCH(A577,'📋 Транзакції'!$B$5:$B$3623,0))</f>
        <v>45730</v>
      </c>
      <c r="C577" s="35" t="str">
        <f t="shared" si="1"/>
        <v>2025-03</v>
      </c>
      <c r="D577" s="36">
        <f>COUNTIF('📋 Транзакції'!$B$5:$B$3623,A577)</f>
        <v>2</v>
      </c>
      <c r="E577" s="36">
        <f>SUMIF('📋 Транзакції'!$B$5:$B$3623,A577,'📋 Транзакції'!$F$5:$F$3623)</f>
        <v>19.99</v>
      </c>
      <c r="F577" s="35">
        <f>INT($A$1-MAXIFS('📋 Транзакції'!$C$5:$C$3623,'📋 Транзакції'!$B$5:$B$3623,A577))</f>
        <v>10</v>
      </c>
      <c r="G577" s="37">
        <f>IF(COUNTIFS('📋 Транзакції'!$B$5:$B$3623,A577,'📋 Транзакції'!$C$5:$C$3623,"&gt;="&amp;EDATE(DATEVALUE(C577&amp;"-01"),0),'📋 Транзакції'!$C$5:$C$3623,"&lt;"&amp;EDATE(DATEVALUE(C577&amp;"-01"),1))&gt;0,1,0)</f>
        <v>1</v>
      </c>
      <c r="H577" s="37">
        <f>IF(COUNTIFS('📋 Транзакції'!$B$5:$B$3623,A577,'📋 Транзакції'!$C$5:$C$3623,"&gt;="&amp;EDATE(DATEVALUE(C577&amp;"-01"),1),'📋 Транзакції'!$C$5:$C$3623,"&lt;"&amp;EDATE(DATEVALUE(C577&amp;"-01"),2))&gt;0,1,0)</f>
        <v>0</v>
      </c>
      <c r="I577" s="37">
        <f>IF(COUNTIFS('📋 Транзакції'!$B$5:$B$3623,A577,'📋 Транзакції'!$C$5:$C$3623,"&gt;="&amp;EDATE(DATEVALUE(C577&amp;"-01"),2),'📋 Транзакції'!$C$5:$C$3623,"&lt;"&amp;EDATE(DATEVALUE(C577&amp;"-01"),3))&gt;0,1,0)</f>
        <v>0</v>
      </c>
      <c r="J577" s="37">
        <f>IF(COUNTIFS('📋 Транзакції'!$B$5:$B$3623,A577,'📋 Транзакції'!$C$5:$C$3623,"&gt;="&amp;EDATE(DATEVALUE(C577&amp;"-01"),3),'📋 Транзакції'!$C$5:$C$3623,"&lt;"&amp;EDATE(DATEVALUE(C577&amp;"-01"),4))&gt;0,1,0)</f>
        <v>0</v>
      </c>
      <c r="K577" s="37">
        <f>IF(COUNTIFS('📋 Транзакції'!$B$5:$B$3623,A577,'📋 Транзакції'!$C$5:$C$3623,"&gt;="&amp;EDATE(DATEVALUE(C577&amp;"-01"),4),'📋 Транзакції'!$C$5:$C$3623,"&lt;"&amp;EDATE(DATEVALUE(C577&amp;"-01"),5))&gt;0,1,0)</f>
        <v>0</v>
      </c>
      <c r="L577" s="37">
        <f>IF(COUNTIFS('📋 Транзакції'!$B$5:$B$3623,A577,'📋 Транзакції'!$C$5:$C$3623,"&gt;="&amp;EDATE(DATEVALUE(C577&amp;"-01"),5),'📋 Транзакції'!$C$5:$C$3623,"&lt;"&amp;EDATE(DATEVALUE(C577&amp;"-01"),6))&gt;0,1,0)</f>
        <v>0</v>
      </c>
      <c r="M577" s="37">
        <f>IF(COUNTIFS('📋 Транзакції'!$B$5:$B$3623,A577,'📋 Транзакції'!$C$5:$C$3623,"&gt;="&amp;EDATE(DATEVALUE(C577&amp;"-01"),6),'📋 Транзакції'!$C$5:$C$3623,"&lt;"&amp;EDATE(DATEVALUE(C577&amp;"-01"),7))&gt;0,1,0)</f>
        <v>0</v>
      </c>
      <c r="N577" s="37">
        <f>IF(COUNTIFS('📋 Транзакції'!$B$5:$B$3623,A577,'📋 Транзакції'!$C$5:$C$3623,"&gt;="&amp;EDATE(DATEVALUE(C577&amp;"-01"),7),'📋 Транзакції'!$C$5:$C$3623,"&lt;"&amp;EDATE(DATEVALUE(C577&amp;"-01"),8))&gt;0,1,0)</f>
        <v>0</v>
      </c>
      <c r="O577" s="37">
        <f>IF(COUNTIFS('📋 Транзакції'!$B$5:$B$3623,A577,'📋 Транзакції'!$C$5:$C$3623,"&gt;="&amp;EDATE(DATEVALUE(C577&amp;"-01"),8),'📋 Транзакції'!$C$5:$C$3623,"&lt;"&amp;EDATE(DATEVALUE(C577&amp;"-01"),9))&gt;0,1,0)</f>
        <v>0</v>
      </c>
      <c r="P577" s="37">
        <f>IF(COUNTIFS('📋 Транзакції'!$B$5:$B$3623,A577,'📋 Транзакції'!$C$5:$C$3623,"&gt;="&amp;EDATE(DATEVALUE(C577&amp;"-01"),9),'📋 Транзакції'!$C$5:$C$3623,"&lt;"&amp;EDATE(DATEVALUE(C577&amp;"-01"),10))&gt;0,1,0)</f>
        <v>0</v>
      </c>
      <c r="Q577" s="37">
        <f>IF(COUNTIFS('📋 Транзакції'!$B$5:$B$3623,A577,'📋 Транзакції'!$C$5:$C$3623,"&gt;="&amp;EDATE(DATEVALUE(C577&amp;"-01"),10),'📋 Транзакції'!$C$5:$C$3623,"&lt;"&amp;EDATE(DATEVALUE(C577&amp;"-01"),11))&gt;0,1,0)</f>
        <v>0</v>
      </c>
      <c r="R577" s="37">
        <f>IF(COUNTIFS('📋 Транзакції'!$B$5:$B$3623,A577,'📋 Транзакції'!$C$5:$C$3623,"&gt;="&amp;EDATE(DATEVALUE(C577&amp;"-01"),11),'📋 Транзакції'!$C$5:$C$3623,"&lt;"&amp;EDATE(DATEVALUE(C577&amp;"-01"),12))&gt;0,1,0)</f>
        <v>0</v>
      </c>
      <c r="S577" s="37">
        <f>SUMIFS('📋 Транзакції'!$F$5:$F$3623,'📋 Транзакції'!$B$5:$B$3623,A577,'📋 Транзакції'!$C$5:$C$3623,"&gt;="&amp;EDATE(DATEVALUE(C577&amp;"-01"),0),'📋 Транзакції'!$C$5:$C$3623,"&lt;"&amp;EDATE(DATEVALUE(C577&amp;"-01"),1))</f>
        <v>19.99</v>
      </c>
      <c r="T577" s="37">
        <f>SUMIFS('📋 Транзакції'!$F$5:$F$3623,'📋 Транзакції'!$B$5:$B$3623,A577,'📋 Транзакції'!$C$5:$C$3623,"&gt;="&amp;EDATE(DATEVALUE(C577&amp;"-01"),1),'📋 Транзакції'!$C$5:$C$3623,"&lt;"&amp;EDATE(DATEVALUE(C577&amp;"-01"),2))</f>
        <v>0</v>
      </c>
      <c r="U577" s="37">
        <f>SUMIFS('📋 Транзакції'!$F$5:$F$3623,'📋 Транзакції'!$B$5:$B$3623,A577,'📋 Транзакції'!$C$5:$C$3623,"&gt;="&amp;EDATE(DATEVALUE(C577&amp;"-01"),2),'📋 Транзакції'!$C$5:$C$3623,"&lt;"&amp;EDATE(DATEVALUE(C577&amp;"-01"),3))</f>
        <v>0</v>
      </c>
      <c r="V577" s="37">
        <f>SUMIFS('📋 Транзакції'!$F$5:$F$3623,'📋 Транзакції'!$B$5:$B$3623,A577,'📋 Транзакції'!$C$5:$C$3623,"&gt;="&amp;EDATE(DATEVALUE(C577&amp;"-01"),3),'📋 Транзакції'!$C$5:$C$3623,"&lt;"&amp;EDATE(DATEVALUE(C577&amp;"-01"),4))</f>
        <v>0</v>
      </c>
      <c r="W577" s="37">
        <f>SUMIFS('📋 Транзакції'!$F$5:$F$3623,'📋 Транзакції'!$B$5:$B$3623,A577,'📋 Транзакції'!$C$5:$C$3623,"&gt;="&amp;EDATE(DATEVALUE(C577&amp;"-01"),4),'📋 Транзакції'!$C$5:$C$3623,"&lt;"&amp;EDATE(DATEVALUE(C577&amp;"-01"),5))</f>
        <v>0</v>
      </c>
      <c r="X577" s="37">
        <f>SUMIFS('📋 Транзакції'!$F$5:$F$3623,'📋 Транзакції'!$B$5:$B$3623,A577,'📋 Транзакції'!$C$5:$C$3623,"&gt;="&amp;EDATE(DATEVALUE(C577&amp;"-01"),5),'📋 Транзакції'!$C$5:$C$3623,"&lt;"&amp;EDATE(DATEVALUE(C577&amp;"-01"),6))</f>
        <v>0</v>
      </c>
      <c r="Y577" s="37">
        <f>SUMIFS('📋 Транзакції'!$F$5:$F$3623,'📋 Транзакції'!$B$5:$B$3623,A577,'📋 Транзакції'!$C$5:$C$3623,"&gt;="&amp;EDATE(DATEVALUE(C577&amp;"-01"),6),'📋 Транзакції'!$C$5:$C$3623,"&lt;"&amp;EDATE(DATEVALUE(C577&amp;"-01"),7))</f>
        <v>0</v>
      </c>
      <c r="Z577" s="37">
        <f>SUMIFS('📋 Транзакції'!$F$5:$F$3623,'📋 Транзакції'!$B$5:$B$3623,A577,'📋 Транзакції'!$C$5:$C$3623,"&gt;="&amp;EDATE(DATEVALUE(C577&amp;"-01"),7),'📋 Транзакції'!$C$5:$C$3623,"&lt;"&amp;EDATE(DATEVALUE(C577&amp;"-01"),8))</f>
        <v>0</v>
      </c>
      <c r="AA577" s="37">
        <f>SUMIFS('📋 Транзакції'!$F$5:$F$3623,'📋 Транзакції'!$B$5:$B$3623,A577,'📋 Транзакції'!$C$5:$C$3623,"&gt;="&amp;EDATE(DATEVALUE(C577&amp;"-01"),8),'📋 Транзакції'!$C$5:$C$3623,"&lt;"&amp;EDATE(DATEVALUE(C577&amp;"-01"),9))</f>
        <v>0</v>
      </c>
      <c r="AB577" s="37">
        <f>SUMIFS('📋 Транзакції'!$F$5:$F$3623,'📋 Транзакції'!$B$5:$B$3623,A577,'📋 Транзакції'!$C$5:$C$3623,"&gt;="&amp;EDATE(DATEVALUE(C577&amp;"-01"),9),'📋 Транзакції'!$C$5:$C$3623,"&lt;"&amp;EDATE(DATEVALUE(C577&amp;"-01"),10))</f>
        <v>0</v>
      </c>
      <c r="AC577" s="37">
        <f>SUMIFS('📋 Транзакції'!$F$5:$F$3623,'📋 Транзакції'!$B$5:$B$3623,A577,'📋 Транзакції'!$C$5:$C$3623,"&gt;="&amp;EDATE(DATEVALUE(C577&amp;"-01"),10),'📋 Транзакції'!$C$5:$C$3623,"&lt;"&amp;EDATE(DATEVALUE(C577&amp;"-01"),11))</f>
        <v>0</v>
      </c>
      <c r="AD577" s="37">
        <f>SUMIFS('📋 Транзакції'!$F$5:$F$3623,'📋 Транзакції'!$B$5:$B$3623,A577,'📋 Транзакції'!$C$5:$C$3623,"&gt;="&amp;EDATE(DATEVALUE(C577&amp;"-01"),11),'📋 Транзакції'!$C$5:$C$3623,"&lt;"&amp;EDATE(DATEVALUE(C577&amp;"-01"),12))</f>
        <v>0</v>
      </c>
    </row>
    <row r="578" ht="15.75" customHeight="1">
      <c r="A578" s="33" t="str">
        <f>'📋 Реєстрації'!A578:A1179</f>
        <v>U0035</v>
      </c>
      <c r="B578" s="34">
        <f t="array" ref="B578">INDEX('📋 Транзакції'!$C$5:$C$3623,MATCH(A578,'📋 Транзакції'!$B$5:$B$3623,0))</f>
        <v>45731</v>
      </c>
      <c r="C578" s="35" t="str">
        <f t="shared" si="1"/>
        <v>2025-03</v>
      </c>
      <c r="D578" s="36">
        <f>COUNTIF('📋 Транзакції'!$B$5:$B$3623,A578)</f>
        <v>2</v>
      </c>
      <c r="E578" s="36">
        <f>SUMIF('📋 Транзакції'!$B$5:$B$3623,A578,'📋 Транзакції'!$F$5:$F$3623)</f>
        <v>19.99</v>
      </c>
      <c r="F578" s="35">
        <f>INT($A$1-MAXIFS('📋 Транзакції'!$C$5:$C$3623,'📋 Транзакції'!$B$5:$B$3623,A578))</f>
        <v>9</v>
      </c>
      <c r="G578" s="37">
        <f>IF(COUNTIFS('📋 Транзакції'!$B$5:$B$3623,A578,'📋 Транзакції'!$C$5:$C$3623,"&gt;="&amp;EDATE(DATEVALUE(C578&amp;"-01"),0),'📋 Транзакції'!$C$5:$C$3623,"&lt;"&amp;EDATE(DATEVALUE(C578&amp;"-01"),1))&gt;0,1,0)</f>
        <v>1</v>
      </c>
      <c r="H578" s="37">
        <f>IF(COUNTIFS('📋 Транзакції'!$B$5:$B$3623,A578,'📋 Транзакції'!$C$5:$C$3623,"&gt;="&amp;EDATE(DATEVALUE(C578&amp;"-01"),1),'📋 Транзакції'!$C$5:$C$3623,"&lt;"&amp;EDATE(DATEVALUE(C578&amp;"-01"),2))&gt;0,1,0)</f>
        <v>0</v>
      </c>
      <c r="I578" s="37">
        <f>IF(COUNTIFS('📋 Транзакції'!$B$5:$B$3623,A578,'📋 Транзакції'!$C$5:$C$3623,"&gt;="&amp;EDATE(DATEVALUE(C578&amp;"-01"),2),'📋 Транзакції'!$C$5:$C$3623,"&lt;"&amp;EDATE(DATEVALUE(C578&amp;"-01"),3))&gt;0,1,0)</f>
        <v>0</v>
      </c>
      <c r="J578" s="37">
        <f>IF(COUNTIFS('📋 Транзакції'!$B$5:$B$3623,A578,'📋 Транзакції'!$C$5:$C$3623,"&gt;="&amp;EDATE(DATEVALUE(C578&amp;"-01"),3),'📋 Транзакції'!$C$5:$C$3623,"&lt;"&amp;EDATE(DATEVALUE(C578&amp;"-01"),4))&gt;0,1,0)</f>
        <v>0</v>
      </c>
      <c r="K578" s="37">
        <f>IF(COUNTIFS('📋 Транзакції'!$B$5:$B$3623,A578,'📋 Транзакції'!$C$5:$C$3623,"&gt;="&amp;EDATE(DATEVALUE(C578&amp;"-01"),4),'📋 Транзакції'!$C$5:$C$3623,"&lt;"&amp;EDATE(DATEVALUE(C578&amp;"-01"),5))&gt;0,1,0)</f>
        <v>0</v>
      </c>
      <c r="L578" s="37">
        <f>IF(COUNTIFS('📋 Транзакції'!$B$5:$B$3623,A578,'📋 Транзакції'!$C$5:$C$3623,"&gt;="&amp;EDATE(DATEVALUE(C578&amp;"-01"),5),'📋 Транзакції'!$C$5:$C$3623,"&lt;"&amp;EDATE(DATEVALUE(C578&amp;"-01"),6))&gt;0,1,0)</f>
        <v>0</v>
      </c>
      <c r="M578" s="37">
        <f>IF(COUNTIFS('📋 Транзакції'!$B$5:$B$3623,A578,'📋 Транзакції'!$C$5:$C$3623,"&gt;="&amp;EDATE(DATEVALUE(C578&amp;"-01"),6),'📋 Транзакції'!$C$5:$C$3623,"&lt;"&amp;EDATE(DATEVALUE(C578&amp;"-01"),7))&gt;0,1,0)</f>
        <v>0</v>
      </c>
      <c r="N578" s="37">
        <f>IF(COUNTIFS('📋 Транзакції'!$B$5:$B$3623,A578,'📋 Транзакції'!$C$5:$C$3623,"&gt;="&amp;EDATE(DATEVALUE(C578&amp;"-01"),7),'📋 Транзакції'!$C$5:$C$3623,"&lt;"&amp;EDATE(DATEVALUE(C578&amp;"-01"),8))&gt;0,1,0)</f>
        <v>0</v>
      </c>
      <c r="O578" s="37">
        <f>IF(COUNTIFS('📋 Транзакції'!$B$5:$B$3623,A578,'📋 Транзакції'!$C$5:$C$3623,"&gt;="&amp;EDATE(DATEVALUE(C578&amp;"-01"),8),'📋 Транзакції'!$C$5:$C$3623,"&lt;"&amp;EDATE(DATEVALUE(C578&amp;"-01"),9))&gt;0,1,0)</f>
        <v>0</v>
      </c>
      <c r="P578" s="37">
        <f>IF(COUNTIFS('📋 Транзакції'!$B$5:$B$3623,A578,'📋 Транзакції'!$C$5:$C$3623,"&gt;="&amp;EDATE(DATEVALUE(C578&amp;"-01"),9),'📋 Транзакції'!$C$5:$C$3623,"&lt;"&amp;EDATE(DATEVALUE(C578&amp;"-01"),10))&gt;0,1,0)</f>
        <v>0</v>
      </c>
      <c r="Q578" s="37">
        <f>IF(COUNTIFS('📋 Транзакції'!$B$5:$B$3623,A578,'📋 Транзакції'!$C$5:$C$3623,"&gt;="&amp;EDATE(DATEVALUE(C578&amp;"-01"),10),'📋 Транзакції'!$C$5:$C$3623,"&lt;"&amp;EDATE(DATEVALUE(C578&amp;"-01"),11))&gt;0,1,0)</f>
        <v>0</v>
      </c>
      <c r="R578" s="37">
        <f>IF(COUNTIFS('📋 Транзакції'!$B$5:$B$3623,A578,'📋 Транзакції'!$C$5:$C$3623,"&gt;="&amp;EDATE(DATEVALUE(C578&amp;"-01"),11),'📋 Транзакції'!$C$5:$C$3623,"&lt;"&amp;EDATE(DATEVALUE(C578&amp;"-01"),12))&gt;0,1,0)</f>
        <v>0</v>
      </c>
      <c r="S578" s="37">
        <f>SUMIFS('📋 Транзакції'!$F$5:$F$3623,'📋 Транзакції'!$B$5:$B$3623,A578,'📋 Транзакції'!$C$5:$C$3623,"&gt;="&amp;EDATE(DATEVALUE(C578&amp;"-01"),0),'📋 Транзакції'!$C$5:$C$3623,"&lt;"&amp;EDATE(DATEVALUE(C578&amp;"-01"),1))</f>
        <v>19.99</v>
      </c>
      <c r="T578" s="37">
        <f>SUMIFS('📋 Транзакції'!$F$5:$F$3623,'📋 Транзакції'!$B$5:$B$3623,A578,'📋 Транзакції'!$C$5:$C$3623,"&gt;="&amp;EDATE(DATEVALUE(C578&amp;"-01"),1),'📋 Транзакції'!$C$5:$C$3623,"&lt;"&amp;EDATE(DATEVALUE(C578&amp;"-01"),2))</f>
        <v>0</v>
      </c>
      <c r="U578" s="37">
        <f>SUMIFS('📋 Транзакції'!$F$5:$F$3623,'📋 Транзакції'!$B$5:$B$3623,A578,'📋 Транзакції'!$C$5:$C$3623,"&gt;="&amp;EDATE(DATEVALUE(C578&amp;"-01"),2),'📋 Транзакції'!$C$5:$C$3623,"&lt;"&amp;EDATE(DATEVALUE(C578&amp;"-01"),3))</f>
        <v>0</v>
      </c>
      <c r="V578" s="37">
        <f>SUMIFS('📋 Транзакції'!$F$5:$F$3623,'📋 Транзакції'!$B$5:$B$3623,A578,'📋 Транзакції'!$C$5:$C$3623,"&gt;="&amp;EDATE(DATEVALUE(C578&amp;"-01"),3),'📋 Транзакції'!$C$5:$C$3623,"&lt;"&amp;EDATE(DATEVALUE(C578&amp;"-01"),4))</f>
        <v>0</v>
      </c>
      <c r="W578" s="37">
        <f>SUMIFS('📋 Транзакції'!$F$5:$F$3623,'📋 Транзакції'!$B$5:$B$3623,A578,'📋 Транзакції'!$C$5:$C$3623,"&gt;="&amp;EDATE(DATEVALUE(C578&amp;"-01"),4),'📋 Транзакції'!$C$5:$C$3623,"&lt;"&amp;EDATE(DATEVALUE(C578&amp;"-01"),5))</f>
        <v>0</v>
      </c>
      <c r="X578" s="37">
        <f>SUMIFS('📋 Транзакції'!$F$5:$F$3623,'📋 Транзакції'!$B$5:$B$3623,A578,'📋 Транзакції'!$C$5:$C$3623,"&gt;="&amp;EDATE(DATEVALUE(C578&amp;"-01"),5),'📋 Транзакції'!$C$5:$C$3623,"&lt;"&amp;EDATE(DATEVALUE(C578&amp;"-01"),6))</f>
        <v>0</v>
      </c>
      <c r="Y578" s="37">
        <f>SUMIFS('📋 Транзакції'!$F$5:$F$3623,'📋 Транзакції'!$B$5:$B$3623,A578,'📋 Транзакції'!$C$5:$C$3623,"&gt;="&amp;EDATE(DATEVALUE(C578&amp;"-01"),6),'📋 Транзакції'!$C$5:$C$3623,"&lt;"&amp;EDATE(DATEVALUE(C578&amp;"-01"),7))</f>
        <v>0</v>
      </c>
      <c r="Z578" s="37">
        <f>SUMIFS('📋 Транзакції'!$F$5:$F$3623,'📋 Транзакції'!$B$5:$B$3623,A578,'📋 Транзакції'!$C$5:$C$3623,"&gt;="&amp;EDATE(DATEVALUE(C578&amp;"-01"),7),'📋 Транзакції'!$C$5:$C$3623,"&lt;"&amp;EDATE(DATEVALUE(C578&amp;"-01"),8))</f>
        <v>0</v>
      </c>
      <c r="AA578" s="37">
        <f>SUMIFS('📋 Транзакції'!$F$5:$F$3623,'📋 Транзакції'!$B$5:$B$3623,A578,'📋 Транзакції'!$C$5:$C$3623,"&gt;="&amp;EDATE(DATEVALUE(C578&amp;"-01"),8),'📋 Транзакції'!$C$5:$C$3623,"&lt;"&amp;EDATE(DATEVALUE(C578&amp;"-01"),9))</f>
        <v>0</v>
      </c>
      <c r="AB578" s="37">
        <f>SUMIFS('📋 Транзакції'!$F$5:$F$3623,'📋 Транзакції'!$B$5:$B$3623,A578,'📋 Транзакції'!$C$5:$C$3623,"&gt;="&amp;EDATE(DATEVALUE(C578&amp;"-01"),9),'📋 Транзакції'!$C$5:$C$3623,"&lt;"&amp;EDATE(DATEVALUE(C578&amp;"-01"),10))</f>
        <v>0</v>
      </c>
      <c r="AC578" s="37">
        <f>SUMIFS('📋 Транзакції'!$F$5:$F$3623,'📋 Транзакції'!$B$5:$B$3623,A578,'📋 Транзакції'!$C$5:$C$3623,"&gt;="&amp;EDATE(DATEVALUE(C578&amp;"-01"),10),'📋 Транзакції'!$C$5:$C$3623,"&lt;"&amp;EDATE(DATEVALUE(C578&amp;"-01"),11))</f>
        <v>0</v>
      </c>
      <c r="AD578" s="37">
        <f>SUMIFS('📋 Транзакції'!$F$5:$F$3623,'📋 Транзакції'!$B$5:$B$3623,A578,'📋 Транзакції'!$C$5:$C$3623,"&gt;="&amp;EDATE(DATEVALUE(C578&amp;"-01"),11),'📋 Транзакції'!$C$5:$C$3623,"&lt;"&amp;EDATE(DATEVALUE(C578&amp;"-01"),12))</f>
        <v>0</v>
      </c>
    </row>
    <row r="579" ht="15.75" customHeight="1">
      <c r="A579" s="33" t="str">
        <f>'📋 Реєстрації'!A579:A1180</f>
        <v>U0044</v>
      </c>
      <c r="B579" s="34">
        <f t="array" ref="B579">INDEX('📋 Транзакції'!$C$5:$C$3623,MATCH(A579,'📋 Транзакції'!$B$5:$B$3623,0))</f>
        <v>45731</v>
      </c>
      <c r="C579" s="35" t="str">
        <f t="shared" si="1"/>
        <v>2025-03</v>
      </c>
      <c r="D579" s="36">
        <f>COUNTIF('📋 Транзакції'!$B$5:$B$3623,A579)</f>
        <v>2</v>
      </c>
      <c r="E579" s="36">
        <f>SUMIF('📋 Транзакції'!$B$5:$B$3623,A579,'📋 Транзакції'!$F$5:$F$3623)</f>
        <v>19.99</v>
      </c>
      <c r="F579" s="35">
        <f>INT($A$1-MAXIFS('📋 Транзакції'!$C$5:$C$3623,'📋 Транзакції'!$B$5:$B$3623,A579))</f>
        <v>9</v>
      </c>
      <c r="G579" s="37">
        <f>IF(COUNTIFS('📋 Транзакції'!$B$5:$B$3623,A579,'📋 Транзакції'!$C$5:$C$3623,"&gt;="&amp;EDATE(DATEVALUE(C579&amp;"-01"),0),'📋 Транзакції'!$C$5:$C$3623,"&lt;"&amp;EDATE(DATEVALUE(C579&amp;"-01"),1))&gt;0,1,0)</f>
        <v>1</v>
      </c>
      <c r="H579" s="37">
        <f>IF(COUNTIFS('📋 Транзакції'!$B$5:$B$3623,A579,'📋 Транзакції'!$C$5:$C$3623,"&gt;="&amp;EDATE(DATEVALUE(C579&amp;"-01"),1),'📋 Транзакції'!$C$5:$C$3623,"&lt;"&amp;EDATE(DATEVALUE(C579&amp;"-01"),2))&gt;0,1,0)</f>
        <v>0</v>
      </c>
      <c r="I579" s="37">
        <f>IF(COUNTIFS('📋 Транзакції'!$B$5:$B$3623,A579,'📋 Транзакції'!$C$5:$C$3623,"&gt;="&amp;EDATE(DATEVALUE(C579&amp;"-01"),2),'📋 Транзакції'!$C$5:$C$3623,"&lt;"&amp;EDATE(DATEVALUE(C579&amp;"-01"),3))&gt;0,1,0)</f>
        <v>0</v>
      </c>
      <c r="J579" s="37">
        <f>IF(COUNTIFS('📋 Транзакції'!$B$5:$B$3623,A579,'📋 Транзакції'!$C$5:$C$3623,"&gt;="&amp;EDATE(DATEVALUE(C579&amp;"-01"),3),'📋 Транзакції'!$C$5:$C$3623,"&lt;"&amp;EDATE(DATEVALUE(C579&amp;"-01"),4))&gt;0,1,0)</f>
        <v>0</v>
      </c>
      <c r="K579" s="37">
        <f>IF(COUNTIFS('📋 Транзакції'!$B$5:$B$3623,A579,'📋 Транзакції'!$C$5:$C$3623,"&gt;="&amp;EDATE(DATEVALUE(C579&amp;"-01"),4),'📋 Транзакції'!$C$5:$C$3623,"&lt;"&amp;EDATE(DATEVALUE(C579&amp;"-01"),5))&gt;0,1,0)</f>
        <v>0</v>
      </c>
      <c r="L579" s="37">
        <f>IF(COUNTIFS('📋 Транзакції'!$B$5:$B$3623,A579,'📋 Транзакції'!$C$5:$C$3623,"&gt;="&amp;EDATE(DATEVALUE(C579&amp;"-01"),5),'📋 Транзакції'!$C$5:$C$3623,"&lt;"&amp;EDATE(DATEVALUE(C579&amp;"-01"),6))&gt;0,1,0)</f>
        <v>0</v>
      </c>
      <c r="M579" s="37">
        <f>IF(COUNTIFS('📋 Транзакції'!$B$5:$B$3623,A579,'📋 Транзакції'!$C$5:$C$3623,"&gt;="&amp;EDATE(DATEVALUE(C579&amp;"-01"),6),'📋 Транзакції'!$C$5:$C$3623,"&lt;"&amp;EDATE(DATEVALUE(C579&amp;"-01"),7))&gt;0,1,0)</f>
        <v>0</v>
      </c>
      <c r="N579" s="37">
        <f>IF(COUNTIFS('📋 Транзакції'!$B$5:$B$3623,A579,'📋 Транзакції'!$C$5:$C$3623,"&gt;="&amp;EDATE(DATEVALUE(C579&amp;"-01"),7),'📋 Транзакції'!$C$5:$C$3623,"&lt;"&amp;EDATE(DATEVALUE(C579&amp;"-01"),8))&gt;0,1,0)</f>
        <v>0</v>
      </c>
      <c r="O579" s="37">
        <f>IF(COUNTIFS('📋 Транзакції'!$B$5:$B$3623,A579,'📋 Транзакції'!$C$5:$C$3623,"&gt;="&amp;EDATE(DATEVALUE(C579&amp;"-01"),8),'📋 Транзакції'!$C$5:$C$3623,"&lt;"&amp;EDATE(DATEVALUE(C579&amp;"-01"),9))&gt;0,1,0)</f>
        <v>0</v>
      </c>
      <c r="P579" s="37">
        <f>IF(COUNTIFS('📋 Транзакції'!$B$5:$B$3623,A579,'📋 Транзакції'!$C$5:$C$3623,"&gt;="&amp;EDATE(DATEVALUE(C579&amp;"-01"),9),'📋 Транзакції'!$C$5:$C$3623,"&lt;"&amp;EDATE(DATEVALUE(C579&amp;"-01"),10))&gt;0,1,0)</f>
        <v>0</v>
      </c>
      <c r="Q579" s="37">
        <f>IF(COUNTIFS('📋 Транзакції'!$B$5:$B$3623,A579,'📋 Транзакції'!$C$5:$C$3623,"&gt;="&amp;EDATE(DATEVALUE(C579&amp;"-01"),10),'📋 Транзакції'!$C$5:$C$3623,"&lt;"&amp;EDATE(DATEVALUE(C579&amp;"-01"),11))&gt;0,1,0)</f>
        <v>0</v>
      </c>
      <c r="R579" s="37">
        <f>IF(COUNTIFS('📋 Транзакції'!$B$5:$B$3623,A579,'📋 Транзакції'!$C$5:$C$3623,"&gt;="&amp;EDATE(DATEVALUE(C579&amp;"-01"),11),'📋 Транзакції'!$C$5:$C$3623,"&lt;"&amp;EDATE(DATEVALUE(C579&amp;"-01"),12))&gt;0,1,0)</f>
        <v>0</v>
      </c>
      <c r="S579" s="37">
        <f>SUMIFS('📋 Транзакції'!$F$5:$F$3623,'📋 Транзакції'!$B$5:$B$3623,A579,'📋 Транзакції'!$C$5:$C$3623,"&gt;="&amp;EDATE(DATEVALUE(C579&amp;"-01"),0),'📋 Транзакції'!$C$5:$C$3623,"&lt;"&amp;EDATE(DATEVALUE(C579&amp;"-01"),1))</f>
        <v>19.99</v>
      </c>
      <c r="T579" s="37">
        <f>SUMIFS('📋 Транзакції'!$F$5:$F$3623,'📋 Транзакції'!$B$5:$B$3623,A579,'📋 Транзакції'!$C$5:$C$3623,"&gt;="&amp;EDATE(DATEVALUE(C579&amp;"-01"),1),'📋 Транзакції'!$C$5:$C$3623,"&lt;"&amp;EDATE(DATEVALUE(C579&amp;"-01"),2))</f>
        <v>0</v>
      </c>
      <c r="U579" s="37">
        <f>SUMIFS('📋 Транзакції'!$F$5:$F$3623,'📋 Транзакції'!$B$5:$B$3623,A579,'📋 Транзакції'!$C$5:$C$3623,"&gt;="&amp;EDATE(DATEVALUE(C579&amp;"-01"),2),'📋 Транзакції'!$C$5:$C$3623,"&lt;"&amp;EDATE(DATEVALUE(C579&amp;"-01"),3))</f>
        <v>0</v>
      </c>
      <c r="V579" s="37">
        <f>SUMIFS('📋 Транзакції'!$F$5:$F$3623,'📋 Транзакції'!$B$5:$B$3623,A579,'📋 Транзакції'!$C$5:$C$3623,"&gt;="&amp;EDATE(DATEVALUE(C579&amp;"-01"),3),'📋 Транзакції'!$C$5:$C$3623,"&lt;"&amp;EDATE(DATEVALUE(C579&amp;"-01"),4))</f>
        <v>0</v>
      </c>
      <c r="W579" s="37">
        <f>SUMIFS('📋 Транзакції'!$F$5:$F$3623,'📋 Транзакції'!$B$5:$B$3623,A579,'📋 Транзакції'!$C$5:$C$3623,"&gt;="&amp;EDATE(DATEVALUE(C579&amp;"-01"),4),'📋 Транзакції'!$C$5:$C$3623,"&lt;"&amp;EDATE(DATEVALUE(C579&amp;"-01"),5))</f>
        <v>0</v>
      </c>
      <c r="X579" s="37">
        <f>SUMIFS('📋 Транзакції'!$F$5:$F$3623,'📋 Транзакції'!$B$5:$B$3623,A579,'📋 Транзакції'!$C$5:$C$3623,"&gt;="&amp;EDATE(DATEVALUE(C579&amp;"-01"),5),'📋 Транзакції'!$C$5:$C$3623,"&lt;"&amp;EDATE(DATEVALUE(C579&amp;"-01"),6))</f>
        <v>0</v>
      </c>
      <c r="Y579" s="37">
        <f>SUMIFS('📋 Транзакції'!$F$5:$F$3623,'📋 Транзакції'!$B$5:$B$3623,A579,'📋 Транзакції'!$C$5:$C$3623,"&gt;="&amp;EDATE(DATEVALUE(C579&amp;"-01"),6),'📋 Транзакції'!$C$5:$C$3623,"&lt;"&amp;EDATE(DATEVALUE(C579&amp;"-01"),7))</f>
        <v>0</v>
      </c>
      <c r="Z579" s="37">
        <f>SUMIFS('📋 Транзакції'!$F$5:$F$3623,'📋 Транзакції'!$B$5:$B$3623,A579,'📋 Транзакції'!$C$5:$C$3623,"&gt;="&amp;EDATE(DATEVALUE(C579&amp;"-01"),7),'📋 Транзакції'!$C$5:$C$3623,"&lt;"&amp;EDATE(DATEVALUE(C579&amp;"-01"),8))</f>
        <v>0</v>
      </c>
      <c r="AA579" s="37">
        <f>SUMIFS('📋 Транзакції'!$F$5:$F$3623,'📋 Транзакції'!$B$5:$B$3623,A579,'📋 Транзакції'!$C$5:$C$3623,"&gt;="&amp;EDATE(DATEVALUE(C579&amp;"-01"),8),'📋 Транзакції'!$C$5:$C$3623,"&lt;"&amp;EDATE(DATEVALUE(C579&amp;"-01"),9))</f>
        <v>0</v>
      </c>
      <c r="AB579" s="37">
        <f>SUMIFS('📋 Транзакції'!$F$5:$F$3623,'📋 Транзакції'!$B$5:$B$3623,A579,'📋 Транзакції'!$C$5:$C$3623,"&gt;="&amp;EDATE(DATEVALUE(C579&amp;"-01"),9),'📋 Транзакції'!$C$5:$C$3623,"&lt;"&amp;EDATE(DATEVALUE(C579&amp;"-01"),10))</f>
        <v>0</v>
      </c>
      <c r="AC579" s="37">
        <f>SUMIFS('📋 Транзакції'!$F$5:$F$3623,'📋 Транзакції'!$B$5:$B$3623,A579,'📋 Транзакції'!$C$5:$C$3623,"&gt;="&amp;EDATE(DATEVALUE(C579&amp;"-01"),10),'📋 Транзакції'!$C$5:$C$3623,"&lt;"&amp;EDATE(DATEVALUE(C579&amp;"-01"),11))</f>
        <v>0</v>
      </c>
      <c r="AD579" s="37">
        <f>SUMIFS('📋 Транзакції'!$F$5:$F$3623,'📋 Транзакції'!$B$5:$B$3623,A579,'📋 Транзакції'!$C$5:$C$3623,"&gt;="&amp;EDATE(DATEVALUE(C579&amp;"-01"),11),'📋 Транзакції'!$C$5:$C$3623,"&lt;"&amp;EDATE(DATEVALUE(C579&amp;"-01"),12))</f>
        <v>0</v>
      </c>
    </row>
    <row r="580" ht="15.75" customHeight="1">
      <c r="A580" s="33" t="str">
        <f>'📋 Реєстрації'!A580:A1181</f>
        <v>U0325</v>
      </c>
      <c r="B580" s="34">
        <f t="array" ref="B580">INDEX('📋 Транзакції'!$C$5:$C$3623,MATCH(A580,'📋 Транзакції'!$B$5:$B$3623,0))</f>
        <v>45731</v>
      </c>
      <c r="C580" s="35" t="str">
        <f t="shared" si="1"/>
        <v>2025-03</v>
      </c>
      <c r="D580" s="36">
        <f>COUNTIF('📋 Транзакції'!$B$5:$B$3623,A580)</f>
        <v>2</v>
      </c>
      <c r="E580" s="36">
        <f>SUMIF('📋 Транзакції'!$B$5:$B$3623,A580,'📋 Транзакції'!$F$5:$F$3623)</f>
        <v>19.99</v>
      </c>
      <c r="F580" s="35">
        <f>INT($A$1-MAXIFS('📋 Транзакції'!$C$5:$C$3623,'📋 Транзакції'!$B$5:$B$3623,A580))</f>
        <v>9</v>
      </c>
      <c r="G580" s="37">
        <f>IF(COUNTIFS('📋 Транзакції'!$B$5:$B$3623,A580,'📋 Транзакції'!$C$5:$C$3623,"&gt;="&amp;EDATE(DATEVALUE(C580&amp;"-01"),0),'📋 Транзакції'!$C$5:$C$3623,"&lt;"&amp;EDATE(DATEVALUE(C580&amp;"-01"),1))&gt;0,1,0)</f>
        <v>1</v>
      </c>
      <c r="H580" s="37">
        <f>IF(COUNTIFS('📋 Транзакції'!$B$5:$B$3623,A580,'📋 Транзакції'!$C$5:$C$3623,"&gt;="&amp;EDATE(DATEVALUE(C580&amp;"-01"),1),'📋 Транзакції'!$C$5:$C$3623,"&lt;"&amp;EDATE(DATEVALUE(C580&amp;"-01"),2))&gt;0,1,0)</f>
        <v>0</v>
      </c>
      <c r="I580" s="37">
        <f>IF(COUNTIFS('📋 Транзакції'!$B$5:$B$3623,A580,'📋 Транзакції'!$C$5:$C$3623,"&gt;="&amp;EDATE(DATEVALUE(C580&amp;"-01"),2),'📋 Транзакції'!$C$5:$C$3623,"&lt;"&amp;EDATE(DATEVALUE(C580&amp;"-01"),3))&gt;0,1,0)</f>
        <v>0</v>
      </c>
      <c r="J580" s="37">
        <f>IF(COUNTIFS('📋 Транзакції'!$B$5:$B$3623,A580,'📋 Транзакції'!$C$5:$C$3623,"&gt;="&amp;EDATE(DATEVALUE(C580&amp;"-01"),3),'📋 Транзакції'!$C$5:$C$3623,"&lt;"&amp;EDATE(DATEVALUE(C580&amp;"-01"),4))&gt;0,1,0)</f>
        <v>0</v>
      </c>
      <c r="K580" s="37">
        <f>IF(COUNTIFS('📋 Транзакції'!$B$5:$B$3623,A580,'📋 Транзакції'!$C$5:$C$3623,"&gt;="&amp;EDATE(DATEVALUE(C580&amp;"-01"),4),'📋 Транзакції'!$C$5:$C$3623,"&lt;"&amp;EDATE(DATEVALUE(C580&amp;"-01"),5))&gt;0,1,0)</f>
        <v>0</v>
      </c>
      <c r="L580" s="37">
        <f>IF(COUNTIFS('📋 Транзакції'!$B$5:$B$3623,A580,'📋 Транзакції'!$C$5:$C$3623,"&gt;="&amp;EDATE(DATEVALUE(C580&amp;"-01"),5),'📋 Транзакції'!$C$5:$C$3623,"&lt;"&amp;EDATE(DATEVALUE(C580&amp;"-01"),6))&gt;0,1,0)</f>
        <v>0</v>
      </c>
      <c r="M580" s="37">
        <f>IF(COUNTIFS('📋 Транзакції'!$B$5:$B$3623,A580,'📋 Транзакції'!$C$5:$C$3623,"&gt;="&amp;EDATE(DATEVALUE(C580&amp;"-01"),6),'📋 Транзакції'!$C$5:$C$3623,"&lt;"&amp;EDATE(DATEVALUE(C580&amp;"-01"),7))&gt;0,1,0)</f>
        <v>0</v>
      </c>
      <c r="N580" s="37">
        <f>IF(COUNTIFS('📋 Транзакції'!$B$5:$B$3623,A580,'📋 Транзакції'!$C$5:$C$3623,"&gt;="&amp;EDATE(DATEVALUE(C580&amp;"-01"),7),'📋 Транзакції'!$C$5:$C$3623,"&lt;"&amp;EDATE(DATEVALUE(C580&amp;"-01"),8))&gt;0,1,0)</f>
        <v>0</v>
      </c>
      <c r="O580" s="37">
        <f>IF(COUNTIFS('📋 Транзакції'!$B$5:$B$3623,A580,'📋 Транзакції'!$C$5:$C$3623,"&gt;="&amp;EDATE(DATEVALUE(C580&amp;"-01"),8),'📋 Транзакції'!$C$5:$C$3623,"&lt;"&amp;EDATE(DATEVALUE(C580&amp;"-01"),9))&gt;0,1,0)</f>
        <v>0</v>
      </c>
      <c r="P580" s="37">
        <f>IF(COUNTIFS('📋 Транзакції'!$B$5:$B$3623,A580,'📋 Транзакції'!$C$5:$C$3623,"&gt;="&amp;EDATE(DATEVALUE(C580&amp;"-01"),9),'📋 Транзакції'!$C$5:$C$3623,"&lt;"&amp;EDATE(DATEVALUE(C580&amp;"-01"),10))&gt;0,1,0)</f>
        <v>0</v>
      </c>
      <c r="Q580" s="37">
        <f>IF(COUNTIFS('📋 Транзакції'!$B$5:$B$3623,A580,'📋 Транзакції'!$C$5:$C$3623,"&gt;="&amp;EDATE(DATEVALUE(C580&amp;"-01"),10),'📋 Транзакції'!$C$5:$C$3623,"&lt;"&amp;EDATE(DATEVALUE(C580&amp;"-01"),11))&gt;0,1,0)</f>
        <v>0</v>
      </c>
      <c r="R580" s="37">
        <f>IF(COUNTIFS('📋 Транзакції'!$B$5:$B$3623,A580,'📋 Транзакції'!$C$5:$C$3623,"&gt;="&amp;EDATE(DATEVALUE(C580&amp;"-01"),11),'📋 Транзакції'!$C$5:$C$3623,"&lt;"&amp;EDATE(DATEVALUE(C580&amp;"-01"),12))&gt;0,1,0)</f>
        <v>0</v>
      </c>
      <c r="S580" s="37">
        <f>SUMIFS('📋 Транзакції'!$F$5:$F$3623,'📋 Транзакції'!$B$5:$B$3623,A580,'📋 Транзакції'!$C$5:$C$3623,"&gt;="&amp;EDATE(DATEVALUE(C580&amp;"-01"),0),'📋 Транзакції'!$C$5:$C$3623,"&lt;"&amp;EDATE(DATEVALUE(C580&amp;"-01"),1))</f>
        <v>19.99</v>
      </c>
      <c r="T580" s="37">
        <f>SUMIFS('📋 Транзакції'!$F$5:$F$3623,'📋 Транзакції'!$B$5:$B$3623,A580,'📋 Транзакції'!$C$5:$C$3623,"&gt;="&amp;EDATE(DATEVALUE(C580&amp;"-01"),1),'📋 Транзакції'!$C$5:$C$3623,"&lt;"&amp;EDATE(DATEVALUE(C580&amp;"-01"),2))</f>
        <v>0</v>
      </c>
      <c r="U580" s="37">
        <f>SUMIFS('📋 Транзакції'!$F$5:$F$3623,'📋 Транзакції'!$B$5:$B$3623,A580,'📋 Транзакції'!$C$5:$C$3623,"&gt;="&amp;EDATE(DATEVALUE(C580&amp;"-01"),2),'📋 Транзакції'!$C$5:$C$3623,"&lt;"&amp;EDATE(DATEVALUE(C580&amp;"-01"),3))</f>
        <v>0</v>
      </c>
      <c r="V580" s="37">
        <f>SUMIFS('📋 Транзакції'!$F$5:$F$3623,'📋 Транзакції'!$B$5:$B$3623,A580,'📋 Транзакції'!$C$5:$C$3623,"&gt;="&amp;EDATE(DATEVALUE(C580&amp;"-01"),3),'📋 Транзакції'!$C$5:$C$3623,"&lt;"&amp;EDATE(DATEVALUE(C580&amp;"-01"),4))</f>
        <v>0</v>
      </c>
      <c r="W580" s="37">
        <f>SUMIFS('📋 Транзакції'!$F$5:$F$3623,'📋 Транзакції'!$B$5:$B$3623,A580,'📋 Транзакції'!$C$5:$C$3623,"&gt;="&amp;EDATE(DATEVALUE(C580&amp;"-01"),4),'📋 Транзакції'!$C$5:$C$3623,"&lt;"&amp;EDATE(DATEVALUE(C580&amp;"-01"),5))</f>
        <v>0</v>
      </c>
      <c r="X580" s="37">
        <f>SUMIFS('📋 Транзакції'!$F$5:$F$3623,'📋 Транзакції'!$B$5:$B$3623,A580,'📋 Транзакції'!$C$5:$C$3623,"&gt;="&amp;EDATE(DATEVALUE(C580&amp;"-01"),5),'📋 Транзакції'!$C$5:$C$3623,"&lt;"&amp;EDATE(DATEVALUE(C580&amp;"-01"),6))</f>
        <v>0</v>
      </c>
      <c r="Y580" s="37">
        <f>SUMIFS('📋 Транзакції'!$F$5:$F$3623,'📋 Транзакції'!$B$5:$B$3623,A580,'📋 Транзакції'!$C$5:$C$3623,"&gt;="&amp;EDATE(DATEVALUE(C580&amp;"-01"),6),'📋 Транзакції'!$C$5:$C$3623,"&lt;"&amp;EDATE(DATEVALUE(C580&amp;"-01"),7))</f>
        <v>0</v>
      </c>
      <c r="Z580" s="37">
        <f>SUMIFS('📋 Транзакції'!$F$5:$F$3623,'📋 Транзакції'!$B$5:$B$3623,A580,'📋 Транзакції'!$C$5:$C$3623,"&gt;="&amp;EDATE(DATEVALUE(C580&amp;"-01"),7),'📋 Транзакції'!$C$5:$C$3623,"&lt;"&amp;EDATE(DATEVALUE(C580&amp;"-01"),8))</f>
        <v>0</v>
      </c>
      <c r="AA580" s="37">
        <f>SUMIFS('📋 Транзакції'!$F$5:$F$3623,'📋 Транзакції'!$B$5:$B$3623,A580,'📋 Транзакції'!$C$5:$C$3623,"&gt;="&amp;EDATE(DATEVALUE(C580&amp;"-01"),8),'📋 Транзакції'!$C$5:$C$3623,"&lt;"&amp;EDATE(DATEVALUE(C580&amp;"-01"),9))</f>
        <v>0</v>
      </c>
      <c r="AB580" s="37">
        <f>SUMIFS('📋 Транзакції'!$F$5:$F$3623,'📋 Транзакції'!$B$5:$B$3623,A580,'📋 Транзакції'!$C$5:$C$3623,"&gt;="&amp;EDATE(DATEVALUE(C580&amp;"-01"),9),'📋 Транзакції'!$C$5:$C$3623,"&lt;"&amp;EDATE(DATEVALUE(C580&amp;"-01"),10))</f>
        <v>0</v>
      </c>
      <c r="AC580" s="37">
        <f>SUMIFS('📋 Транзакції'!$F$5:$F$3623,'📋 Транзакції'!$B$5:$B$3623,A580,'📋 Транзакції'!$C$5:$C$3623,"&gt;="&amp;EDATE(DATEVALUE(C580&amp;"-01"),10),'📋 Транзакції'!$C$5:$C$3623,"&lt;"&amp;EDATE(DATEVALUE(C580&amp;"-01"),11))</f>
        <v>0</v>
      </c>
      <c r="AD580" s="37">
        <f>SUMIFS('📋 Транзакції'!$F$5:$F$3623,'📋 Транзакції'!$B$5:$B$3623,A580,'📋 Транзакції'!$C$5:$C$3623,"&gt;="&amp;EDATE(DATEVALUE(C580&amp;"-01"),11),'📋 Транзакції'!$C$5:$C$3623,"&lt;"&amp;EDATE(DATEVALUE(C580&amp;"-01"),12))</f>
        <v>0</v>
      </c>
    </row>
    <row r="581" ht="15.75" customHeight="1">
      <c r="A581" s="33" t="str">
        <f>'📋 Реєстрації'!A581:A1182</f>
        <v>U0396</v>
      </c>
      <c r="B581" s="34">
        <f t="array" ref="B581">INDEX('📋 Транзакції'!$C$5:$C$3623,MATCH(A581,'📋 Транзакції'!$B$5:$B$3623,0))</f>
        <v>45731</v>
      </c>
      <c r="C581" s="35" t="str">
        <f t="shared" si="1"/>
        <v>2025-03</v>
      </c>
      <c r="D581" s="36">
        <f>COUNTIF('📋 Транзакції'!$B$5:$B$3623,A581)</f>
        <v>2</v>
      </c>
      <c r="E581" s="36">
        <f>SUMIF('📋 Транзакції'!$B$5:$B$3623,A581,'📋 Транзакції'!$F$5:$F$3623)</f>
        <v>19.99</v>
      </c>
      <c r="F581" s="35">
        <f>INT($A$1-MAXIFS('📋 Транзакції'!$C$5:$C$3623,'📋 Транзакції'!$B$5:$B$3623,A581))</f>
        <v>9</v>
      </c>
      <c r="G581" s="37">
        <f>IF(COUNTIFS('📋 Транзакції'!$B$5:$B$3623,A581,'📋 Транзакції'!$C$5:$C$3623,"&gt;="&amp;EDATE(DATEVALUE(C581&amp;"-01"),0),'📋 Транзакції'!$C$5:$C$3623,"&lt;"&amp;EDATE(DATEVALUE(C581&amp;"-01"),1))&gt;0,1,0)</f>
        <v>1</v>
      </c>
      <c r="H581" s="37">
        <f>IF(COUNTIFS('📋 Транзакції'!$B$5:$B$3623,A581,'📋 Транзакції'!$C$5:$C$3623,"&gt;="&amp;EDATE(DATEVALUE(C581&amp;"-01"),1),'📋 Транзакції'!$C$5:$C$3623,"&lt;"&amp;EDATE(DATEVALUE(C581&amp;"-01"),2))&gt;0,1,0)</f>
        <v>0</v>
      </c>
      <c r="I581" s="37">
        <f>IF(COUNTIFS('📋 Транзакції'!$B$5:$B$3623,A581,'📋 Транзакції'!$C$5:$C$3623,"&gt;="&amp;EDATE(DATEVALUE(C581&amp;"-01"),2),'📋 Транзакції'!$C$5:$C$3623,"&lt;"&amp;EDATE(DATEVALUE(C581&amp;"-01"),3))&gt;0,1,0)</f>
        <v>0</v>
      </c>
      <c r="J581" s="37">
        <f>IF(COUNTIFS('📋 Транзакції'!$B$5:$B$3623,A581,'📋 Транзакції'!$C$5:$C$3623,"&gt;="&amp;EDATE(DATEVALUE(C581&amp;"-01"),3),'📋 Транзакції'!$C$5:$C$3623,"&lt;"&amp;EDATE(DATEVALUE(C581&amp;"-01"),4))&gt;0,1,0)</f>
        <v>0</v>
      </c>
      <c r="K581" s="37">
        <f>IF(COUNTIFS('📋 Транзакції'!$B$5:$B$3623,A581,'📋 Транзакції'!$C$5:$C$3623,"&gt;="&amp;EDATE(DATEVALUE(C581&amp;"-01"),4),'📋 Транзакції'!$C$5:$C$3623,"&lt;"&amp;EDATE(DATEVALUE(C581&amp;"-01"),5))&gt;0,1,0)</f>
        <v>0</v>
      </c>
      <c r="L581" s="37">
        <f>IF(COUNTIFS('📋 Транзакції'!$B$5:$B$3623,A581,'📋 Транзакції'!$C$5:$C$3623,"&gt;="&amp;EDATE(DATEVALUE(C581&amp;"-01"),5),'📋 Транзакції'!$C$5:$C$3623,"&lt;"&amp;EDATE(DATEVALUE(C581&amp;"-01"),6))&gt;0,1,0)</f>
        <v>0</v>
      </c>
      <c r="M581" s="37">
        <f>IF(COUNTIFS('📋 Транзакції'!$B$5:$B$3623,A581,'📋 Транзакції'!$C$5:$C$3623,"&gt;="&amp;EDATE(DATEVALUE(C581&amp;"-01"),6),'📋 Транзакції'!$C$5:$C$3623,"&lt;"&amp;EDATE(DATEVALUE(C581&amp;"-01"),7))&gt;0,1,0)</f>
        <v>0</v>
      </c>
      <c r="N581" s="37">
        <f>IF(COUNTIFS('📋 Транзакції'!$B$5:$B$3623,A581,'📋 Транзакції'!$C$5:$C$3623,"&gt;="&amp;EDATE(DATEVALUE(C581&amp;"-01"),7),'📋 Транзакції'!$C$5:$C$3623,"&lt;"&amp;EDATE(DATEVALUE(C581&amp;"-01"),8))&gt;0,1,0)</f>
        <v>0</v>
      </c>
      <c r="O581" s="37">
        <f>IF(COUNTIFS('📋 Транзакції'!$B$5:$B$3623,A581,'📋 Транзакції'!$C$5:$C$3623,"&gt;="&amp;EDATE(DATEVALUE(C581&amp;"-01"),8),'📋 Транзакції'!$C$5:$C$3623,"&lt;"&amp;EDATE(DATEVALUE(C581&amp;"-01"),9))&gt;0,1,0)</f>
        <v>0</v>
      </c>
      <c r="P581" s="37">
        <f>IF(COUNTIFS('📋 Транзакції'!$B$5:$B$3623,A581,'📋 Транзакції'!$C$5:$C$3623,"&gt;="&amp;EDATE(DATEVALUE(C581&amp;"-01"),9),'📋 Транзакції'!$C$5:$C$3623,"&lt;"&amp;EDATE(DATEVALUE(C581&amp;"-01"),10))&gt;0,1,0)</f>
        <v>0</v>
      </c>
      <c r="Q581" s="37">
        <f>IF(COUNTIFS('📋 Транзакції'!$B$5:$B$3623,A581,'📋 Транзакції'!$C$5:$C$3623,"&gt;="&amp;EDATE(DATEVALUE(C581&amp;"-01"),10),'📋 Транзакції'!$C$5:$C$3623,"&lt;"&amp;EDATE(DATEVALUE(C581&amp;"-01"),11))&gt;0,1,0)</f>
        <v>0</v>
      </c>
      <c r="R581" s="37">
        <f>IF(COUNTIFS('📋 Транзакції'!$B$5:$B$3623,A581,'📋 Транзакції'!$C$5:$C$3623,"&gt;="&amp;EDATE(DATEVALUE(C581&amp;"-01"),11),'📋 Транзакції'!$C$5:$C$3623,"&lt;"&amp;EDATE(DATEVALUE(C581&amp;"-01"),12))&gt;0,1,0)</f>
        <v>0</v>
      </c>
      <c r="S581" s="37">
        <f>SUMIFS('📋 Транзакції'!$F$5:$F$3623,'📋 Транзакції'!$B$5:$B$3623,A581,'📋 Транзакції'!$C$5:$C$3623,"&gt;="&amp;EDATE(DATEVALUE(C581&amp;"-01"),0),'📋 Транзакції'!$C$5:$C$3623,"&lt;"&amp;EDATE(DATEVALUE(C581&amp;"-01"),1))</f>
        <v>19.99</v>
      </c>
      <c r="T581" s="37">
        <f>SUMIFS('📋 Транзакції'!$F$5:$F$3623,'📋 Транзакції'!$B$5:$B$3623,A581,'📋 Транзакції'!$C$5:$C$3623,"&gt;="&amp;EDATE(DATEVALUE(C581&amp;"-01"),1),'📋 Транзакції'!$C$5:$C$3623,"&lt;"&amp;EDATE(DATEVALUE(C581&amp;"-01"),2))</f>
        <v>0</v>
      </c>
      <c r="U581" s="37">
        <f>SUMIFS('📋 Транзакції'!$F$5:$F$3623,'📋 Транзакції'!$B$5:$B$3623,A581,'📋 Транзакції'!$C$5:$C$3623,"&gt;="&amp;EDATE(DATEVALUE(C581&amp;"-01"),2),'📋 Транзакції'!$C$5:$C$3623,"&lt;"&amp;EDATE(DATEVALUE(C581&amp;"-01"),3))</f>
        <v>0</v>
      </c>
      <c r="V581" s="37">
        <f>SUMIFS('📋 Транзакції'!$F$5:$F$3623,'📋 Транзакції'!$B$5:$B$3623,A581,'📋 Транзакції'!$C$5:$C$3623,"&gt;="&amp;EDATE(DATEVALUE(C581&amp;"-01"),3),'📋 Транзакції'!$C$5:$C$3623,"&lt;"&amp;EDATE(DATEVALUE(C581&amp;"-01"),4))</f>
        <v>0</v>
      </c>
      <c r="W581" s="37">
        <f>SUMIFS('📋 Транзакції'!$F$5:$F$3623,'📋 Транзакції'!$B$5:$B$3623,A581,'📋 Транзакції'!$C$5:$C$3623,"&gt;="&amp;EDATE(DATEVALUE(C581&amp;"-01"),4),'📋 Транзакції'!$C$5:$C$3623,"&lt;"&amp;EDATE(DATEVALUE(C581&amp;"-01"),5))</f>
        <v>0</v>
      </c>
      <c r="X581" s="37">
        <f>SUMIFS('📋 Транзакції'!$F$5:$F$3623,'📋 Транзакції'!$B$5:$B$3623,A581,'📋 Транзакції'!$C$5:$C$3623,"&gt;="&amp;EDATE(DATEVALUE(C581&amp;"-01"),5),'📋 Транзакції'!$C$5:$C$3623,"&lt;"&amp;EDATE(DATEVALUE(C581&amp;"-01"),6))</f>
        <v>0</v>
      </c>
      <c r="Y581" s="37">
        <f>SUMIFS('📋 Транзакції'!$F$5:$F$3623,'📋 Транзакції'!$B$5:$B$3623,A581,'📋 Транзакції'!$C$5:$C$3623,"&gt;="&amp;EDATE(DATEVALUE(C581&amp;"-01"),6),'📋 Транзакції'!$C$5:$C$3623,"&lt;"&amp;EDATE(DATEVALUE(C581&amp;"-01"),7))</f>
        <v>0</v>
      </c>
      <c r="Z581" s="37">
        <f>SUMIFS('📋 Транзакції'!$F$5:$F$3623,'📋 Транзакції'!$B$5:$B$3623,A581,'📋 Транзакції'!$C$5:$C$3623,"&gt;="&amp;EDATE(DATEVALUE(C581&amp;"-01"),7),'📋 Транзакції'!$C$5:$C$3623,"&lt;"&amp;EDATE(DATEVALUE(C581&amp;"-01"),8))</f>
        <v>0</v>
      </c>
      <c r="AA581" s="37">
        <f>SUMIFS('📋 Транзакції'!$F$5:$F$3623,'📋 Транзакції'!$B$5:$B$3623,A581,'📋 Транзакції'!$C$5:$C$3623,"&gt;="&amp;EDATE(DATEVALUE(C581&amp;"-01"),8),'📋 Транзакції'!$C$5:$C$3623,"&lt;"&amp;EDATE(DATEVALUE(C581&amp;"-01"),9))</f>
        <v>0</v>
      </c>
      <c r="AB581" s="37">
        <f>SUMIFS('📋 Транзакції'!$F$5:$F$3623,'📋 Транзакції'!$B$5:$B$3623,A581,'📋 Транзакції'!$C$5:$C$3623,"&gt;="&amp;EDATE(DATEVALUE(C581&amp;"-01"),9),'📋 Транзакції'!$C$5:$C$3623,"&lt;"&amp;EDATE(DATEVALUE(C581&amp;"-01"),10))</f>
        <v>0</v>
      </c>
      <c r="AC581" s="37">
        <f>SUMIFS('📋 Транзакції'!$F$5:$F$3623,'📋 Транзакції'!$B$5:$B$3623,A581,'📋 Транзакції'!$C$5:$C$3623,"&gt;="&amp;EDATE(DATEVALUE(C581&amp;"-01"),10),'📋 Транзакції'!$C$5:$C$3623,"&lt;"&amp;EDATE(DATEVALUE(C581&amp;"-01"),11))</f>
        <v>0</v>
      </c>
      <c r="AD581" s="37">
        <f>SUMIFS('📋 Транзакції'!$F$5:$F$3623,'📋 Транзакції'!$B$5:$B$3623,A581,'📋 Транзакції'!$C$5:$C$3623,"&gt;="&amp;EDATE(DATEVALUE(C581&amp;"-01"),11),'📋 Транзакції'!$C$5:$C$3623,"&lt;"&amp;EDATE(DATEVALUE(C581&amp;"-01"),12))</f>
        <v>0</v>
      </c>
    </row>
    <row r="582" ht="15.75" customHeight="1">
      <c r="A582" s="33" t="str">
        <f>'📋 Реєстрації'!A582:A1183</f>
        <v>U0413</v>
      </c>
      <c r="B582" s="34">
        <f t="array" ref="B582">INDEX('📋 Транзакції'!$C$5:$C$3623,MATCH(A582,'📋 Транзакції'!$B$5:$B$3623,0))</f>
        <v>45731</v>
      </c>
      <c r="C582" s="35" t="str">
        <f t="shared" si="1"/>
        <v>2025-03</v>
      </c>
      <c r="D582" s="36">
        <f>COUNTIF('📋 Транзакції'!$B$5:$B$3623,A582)</f>
        <v>2</v>
      </c>
      <c r="E582" s="36">
        <f>SUMIF('📋 Транзакції'!$B$5:$B$3623,A582,'📋 Транзакції'!$F$5:$F$3623)</f>
        <v>19.99</v>
      </c>
      <c r="F582" s="35">
        <f>INT($A$1-MAXIFS('📋 Транзакції'!$C$5:$C$3623,'📋 Транзакції'!$B$5:$B$3623,A582))</f>
        <v>9</v>
      </c>
      <c r="G582" s="37">
        <f>IF(COUNTIFS('📋 Транзакції'!$B$5:$B$3623,A582,'📋 Транзакції'!$C$5:$C$3623,"&gt;="&amp;EDATE(DATEVALUE(C582&amp;"-01"),0),'📋 Транзакції'!$C$5:$C$3623,"&lt;"&amp;EDATE(DATEVALUE(C582&amp;"-01"),1))&gt;0,1,0)</f>
        <v>1</v>
      </c>
      <c r="H582" s="37">
        <f>IF(COUNTIFS('📋 Транзакції'!$B$5:$B$3623,A582,'📋 Транзакції'!$C$5:$C$3623,"&gt;="&amp;EDATE(DATEVALUE(C582&amp;"-01"),1),'📋 Транзакції'!$C$5:$C$3623,"&lt;"&amp;EDATE(DATEVALUE(C582&amp;"-01"),2))&gt;0,1,0)</f>
        <v>0</v>
      </c>
      <c r="I582" s="37">
        <f>IF(COUNTIFS('📋 Транзакції'!$B$5:$B$3623,A582,'📋 Транзакції'!$C$5:$C$3623,"&gt;="&amp;EDATE(DATEVALUE(C582&amp;"-01"),2),'📋 Транзакції'!$C$5:$C$3623,"&lt;"&amp;EDATE(DATEVALUE(C582&amp;"-01"),3))&gt;0,1,0)</f>
        <v>0</v>
      </c>
      <c r="J582" s="37">
        <f>IF(COUNTIFS('📋 Транзакції'!$B$5:$B$3623,A582,'📋 Транзакції'!$C$5:$C$3623,"&gt;="&amp;EDATE(DATEVALUE(C582&amp;"-01"),3),'📋 Транзакції'!$C$5:$C$3623,"&lt;"&amp;EDATE(DATEVALUE(C582&amp;"-01"),4))&gt;0,1,0)</f>
        <v>0</v>
      </c>
      <c r="K582" s="37">
        <f>IF(COUNTIFS('📋 Транзакції'!$B$5:$B$3623,A582,'📋 Транзакції'!$C$5:$C$3623,"&gt;="&amp;EDATE(DATEVALUE(C582&amp;"-01"),4),'📋 Транзакції'!$C$5:$C$3623,"&lt;"&amp;EDATE(DATEVALUE(C582&amp;"-01"),5))&gt;0,1,0)</f>
        <v>0</v>
      </c>
      <c r="L582" s="37">
        <f>IF(COUNTIFS('📋 Транзакції'!$B$5:$B$3623,A582,'📋 Транзакції'!$C$5:$C$3623,"&gt;="&amp;EDATE(DATEVALUE(C582&amp;"-01"),5),'📋 Транзакції'!$C$5:$C$3623,"&lt;"&amp;EDATE(DATEVALUE(C582&amp;"-01"),6))&gt;0,1,0)</f>
        <v>0</v>
      </c>
      <c r="M582" s="37">
        <f>IF(COUNTIFS('📋 Транзакції'!$B$5:$B$3623,A582,'📋 Транзакції'!$C$5:$C$3623,"&gt;="&amp;EDATE(DATEVALUE(C582&amp;"-01"),6),'📋 Транзакції'!$C$5:$C$3623,"&lt;"&amp;EDATE(DATEVALUE(C582&amp;"-01"),7))&gt;0,1,0)</f>
        <v>0</v>
      </c>
      <c r="N582" s="37">
        <f>IF(COUNTIFS('📋 Транзакції'!$B$5:$B$3623,A582,'📋 Транзакції'!$C$5:$C$3623,"&gt;="&amp;EDATE(DATEVALUE(C582&amp;"-01"),7),'📋 Транзакції'!$C$5:$C$3623,"&lt;"&amp;EDATE(DATEVALUE(C582&amp;"-01"),8))&gt;0,1,0)</f>
        <v>0</v>
      </c>
      <c r="O582" s="37">
        <f>IF(COUNTIFS('📋 Транзакції'!$B$5:$B$3623,A582,'📋 Транзакції'!$C$5:$C$3623,"&gt;="&amp;EDATE(DATEVALUE(C582&amp;"-01"),8),'📋 Транзакції'!$C$5:$C$3623,"&lt;"&amp;EDATE(DATEVALUE(C582&amp;"-01"),9))&gt;0,1,0)</f>
        <v>0</v>
      </c>
      <c r="P582" s="37">
        <f>IF(COUNTIFS('📋 Транзакції'!$B$5:$B$3623,A582,'📋 Транзакції'!$C$5:$C$3623,"&gt;="&amp;EDATE(DATEVALUE(C582&amp;"-01"),9),'📋 Транзакції'!$C$5:$C$3623,"&lt;"&amp;EDATE(DATEVALUE(C582&amp;"-01"),10))&gt;0,1,0)</f>
        <v>0</v>
      </c>
      <c r="Q582" s="37">
        <f>IF(COUNTIFS('📋 Транзакції'!$B$5:$B$3623,A582,'📋 Транзакції'!$C$5:$C$3623,"&gt;="&amp;EDATE(DATEVALUE(C582&amp;"-01"),10),'📋 Транзакції'!$C$5:$C$3623,"&lt;"&amp;EDATE(DATEVALUE(C582&amp;"-01"),11))&gt;0,1,0)</f>
        <v>0</v>
      </c>
      <c r="R582" s="37">
        <f>IF(COUNTIFS('📋 Транзакції'!$B$5:$B$3623,A582,'📋 Транзакції'!$C$5:$C$3623,"&gt;="&amp;EDATE(DATEVALUE(C582&amp;"-01"),11),'📋 Транзакції'!$C$5:$C$3623,"&lt;"&amp;EDATE(DATEVALUE(C582&amp;"-01"),12))&gt;0,1,0)</f>
        <v>0</v>
      </c>
      <c r="S582" s="37">
        <f>SUMIFS('📋 Транзакції'!$F$5:$F$3623,'📋 Транзакції'!$B$5:$B$3623,A582,'📋 Транзакції'!$C$5:$C$3623,"&gt;="&amp;EDATE(DATEVALUE(C582&amp;"-01"),0),'📋 Транзакції'!$C$5:$C$3623,"&lt;"&amp;EDATE(DATEVALUE(C582&amp;"-01"),1))</f>
        <v>19.99</v>
      </c>
      <c r="T582" s="37">
        <f>SUMIFS('📋 Транзакції'!$F$5:$F$3623,'📋 Транзакції'!$B$5:$B$3623,A582,'📋 Транзакції'!$C$5:$C$3623,"&gt;="&amp;EDATE(DATEVALUE(C582&amp;"-01"),1),'📋 Транзакції'!$C$5:$C$3623,"&lt;"&amp;EDATE(DATEVALUE(C582&amp;"-01"),2))</f>
        <v>0</v>
      </c>
      <c r="U582" s="37">
        <f>SUMIFS('📋 Транзакції'!$F$5:$F$3623,'📋 Транзакції'!$B$5:$B$3623,A582,'📋 Транзакції'!$C$5:$C$3623,"&gt;="&amp;EDATE(DATEVALUE(C582&amp;"-01"),2),'📋 Транзакції'!$C$5:$C$3623,"&lt;"&amp;EDATE(DATEVALUE(C582&amp;"-01"),3))</f>
        <v>0</v>
      </c>
      <c r="V582" s="37">
        <f>SUMIFS('📋 Транзакції'!$F$5:$F$3623,'📋 Транзакції'!$B$5:$B$3623,A582,'📋 Транзакції'!$C$5:$C$3623,"&gt;="&amp;EDATE(DATEVALUE(C582&amp;"-01"),3),'📋 Транзакції'!$C$5:$C$3623,"&lt;"&amp;EDATE(DATEVALUE(C582&amp;"-01"),4))</f>
        <v>0</v>
      </c>
      <c r="W582" s="37">
        <f>SUMIFS('📋 Транзакції'!$F$5:$F$3623,'📋 Транзакції'!$B$5:$B$3623,A582,'📋 Транзакції'!$C$5:$C$3623,"&gt;="&amp;EDATE(DATEVALUE(C582&amp;"-01"),4),'📋 Транзакції'!$C$5:$C$3623,"&lt;"&amp;EDATE(DATEVALUE(C582&amp;"-01"),5))</f>
        <v>0</v>
      </c>
      <c r="X582" s="37">
        <f>SUMIFS('📋 Транзакції'!$F$5:$F$3623,'📋 Транзакції'!$B$5:$B$3623,A582,'📋 Транзакції'!$C$5:$C$3623,"&gt;="&amp;EDATE(DATEVALUE(C582&amp;"-01"),5),'📋 Транзакції'!$C$5:$C$3623,"&lt;"&amp;EDATE(DATEVALUE(C582&amp;"-01"),6))</f>
        <v>0</v>
      </c>
      <c r="Y582" s="37">
        <f>SUMIFS('📋 Транзакції'!$F$5:$F$3623,'📋 Транзакції'!$B$5:$B$3623,A582,'📋 Транзакції'!$C$5:$C$3623,"&gt;="&amp;EDATE(DATEVALUE(C582&amp;"-01"),6),'📋 Транзакції'!$C$5:$C$3623,"&lt;"&amp;EDATE(DATEVALUE(C582&amp;"-01"),7))</f>
        <v>0</v>
      </c>
      <c r="Z582" s="37">
        <f>SUMIFS('📋 Транзакції'!$F$5:$F$3623,'📋 Транзакції'!$B$5:$B$3623,A582,'📋 Транзакції'!$C$5:$C$3623,"&gt;="&amp;EDATE(DATEVALUE(C582&amp;"-01"),7),'📋 Транзакції'!$C$5:$C$3623,"&lt;"&amp;EDATE(DATEVALUE(C582&amp;"-01"),8))</f>
        <v>0</v>
      </c>
      <c r="AA582" s="37">
        <f>SUMIFS('📋 Транзакції'!$F$5:$F$3623,'📋 Транзакції'!$B$5:$B$3623,A582,'📋 Транзакції'!$C$5:$C$3623,"&gt;="&amp;EDATE(DATEVALUE(C582&amp;"-01"),8),'📋 Транзакції'!$C$5:$C$3623,"&lt;"&amp;EDATE(DATEVALUE(C582&amp;"-01"),9))</f>
        <v>0</v>
      </c>
      <c r="AB582" s="37">
        <f>SUMIFS('📋 Транзакції'!$F$5:$F$3623,'📋 Транзакції'!$B$5:$B$3623,A582,'📋 Транзакції'!$C$5:$C$3623,"&gt;="&amp;EDATE(DATEVALUE(C582&amp;"-01"),9),'📋 Транзакції'!$C$5:$C$3623,"&lt;"&amp;EDATE(DATEVALUE(C582&amp;"-01"),10))</f>
        <v>0</v>
      </c>
      <c r="AC582" s="37">
        <f>SUMIFS('📋 Транзакції'!$F$5:$F$3623,'📋 Транзакції'!$B$5:$B$3623,A582,'📋 Транзакції'!$C$5:$C$3623,"&gt;="&amp;EDATE(DATEVALUE(C582&amp;"-01"),10),'📋 Транзакції'!$C$5:$C$3623,"&lt;"&amp;EDATE(DATEVALUE(C582&amp;"-01"),11))</f>
        <v>0</v>
      </c>
      <c r="AD582" s="37">
        <f>SUMIFS('📋 Транзакції'!$F$5:$F$3623,'📋 Транзакції'!$B$5:$B$3623,A582,'📋 Транзакції'!$C$5:$C$3623,"&gt;="&amp;EDATE(DATEVALUE(C582&amp;"-01"),11),'📋 Транзакції'!$C$5:$C$3623,"&lt;"&amp;EDATE(DATEVALUE(C582&amp;"-01"),12))</f>
        <v>0</v>
      </c>
    </row>
    <row r="583" ht="15.75" customHeight="1">
      <c r="A583" s="33" t="str">
        <f>'📋 Реєстрації'!A583:A1184</f>
        <v>U0472</v>
      </c>
      <c r="B583" s="34">
        <f t="array" ref="B583">INDEX('📋 Транзакції'!$C$5:$C$3623,MATCH(A583,'📋 Транзакції'!$B$5:$B$3623,0))</f>
        <v>45731</v>
      </c>
      <c r="C583" s="35" t="str">
        <f t="shared" si="1"/>
        <v>2025-03</v>
      </c>
      <c r="D583" s="36">
        <f>COUNTIF('📋 Транзакції'!$B$5:$B$3623,A583)</f>
        <v>2</v>
      </c>
      <c r="E583" s="36">
        <f>SUMIF('📋 Транзакції'!$B$5:$B$3623,A583,'📋 Транзакції'!$F$5:$F$3623)</f>
        <v>19.99</v>
      </c>
      <c r="F583" s="35">
        <f>INT($A$1-MAXIFS('📋 Транзакції'!$C$5:$C$3623,'📋 Транзакції'!$B$5:$B$3623,A583))</f>
        <v>9</v>
      </c>
      <c r="G583" s="37">
        <f>IF(COUNTIFS('📋 Транзакції'!$B$5:$B$3623,A583,'📋 Транзакції'!$C$5:$C$3623,"&gt;="&amp;EDATE(DATEVALUE(C583&amp;"-01"),0),'📋 Транзакції'!$C$5:$C$3623,"&lt;"&amp;EDATE(DATEVALUE(C583&amp;"-01"),1))&gt;0,1,0)</f>
        <v>1</v>
      </c>
      <c r="H583" s="37">
        <f>IF(COUNTIFS('📋 Транзакції'!$B$5:$B$3623,A583,'📋 Транзакції'!$C$5:$C$3623,"&gt;="&amp;EDATE(DATEVALUE(C583&amp;"-01"),1),'📋 Транзакції'!$C$5:$C$3623,"&lt;"&amp;EDATE(DATEVALUE(C583&amp;"-01"),2))&gt;0,1,0)</f>
        <v>0</v>
      </c>
      <c r="I583" s="37">
        <f>IF(COUNTIFS('📋 Транзакції'!$B$5:$B$3623,A583,'📋 Транзакції'!$C$5:$C$3623,"&gt;="&amp;EDATE(DATEVALUE(C583&amp;"-01"),2),'📋 Транзакції'!$C$5:$C$3623,"&lt;"&amp;EDATE(DATEVALUE(C583&amp;"-01"),3))&gt;0,1,0)</f>
        <v>0</v>
      </c>
      <c r="J583" s="37">
        <f>IF(COUNTIFS('📋 Транзакції'!$B$5:$B$3623,A583,'📋 Транзакції'!$C$5:$C$3623,"&gt;="&amp;EDATE(DATEVALUE(C583&amp;"-01"),3),'📋 Транзакції'!$C$5:$C$3623,"&lt;"&amp;EDATE(DATEVALUE(C583&amp;"-01"),4))&gt;0,1,0)</f>
        <v>0</v>
      </c>
      <c r="K583" s="37">
        <f>IF(COUNTIFS('📋 Транзакції'!$B$5:$B$3623,A583,'📋 Транзакції'!$C$5:$C$3623,"&gt;="&amp;EDATE(DATEVALUE(C583&amp;"-01"),4),'📋 Транзакції'!$C$5:$C$3623,"&lt;"&amp;EDATE(DATEVALUE(C583&amp;"-01"),5))&gt;0,1,0)</f>
        <v>0</v>
      </c>
      <c r="L583" s="37">
        <f>IF(COUNTIFS('📋 Транзакції'!$B$5:$B$3623,A583,'📋 Транзакції'!$C$5:$C$3623,"&gt;="&amp;EDATE(DATEVALUE(C583&amp;"-01"),5),'📋 Транзакції'!$C$5:$C$3623,"&lt;"&amp;EDATE(DATEVALUE(C583&amp;"-01"),6))&gt;0,1,0)</f>
        <v>0</v>
      </c>
      <c r="M583" s="37">
        <f>IF(COUNTIFS('📋 Транзакції'!$B$5:$B$3623,A583,'📋 Транзакції'!$C$5:$C$3623,"&gt;="&amp;EDATE(DATEVALUE(C583&amp;"-01"),6),'📋 Транзакції'!$C$5:$C$3623,"&lt;"&amp;EDATE(DATEVALUE(C583&amp;"-01"),7))&gt;0,1,0)</f>
        <v>0</v>
      </c>
      <c r="N583" s="37">
        <f>IF(COUNTIFS('📋 Транзакції'!$B$5:$B$3623,A583,'📋 Транзакції'!$C$5:$C$3623,"&gt;="&amp;EDATE(DATEVALUE(C583&amp;"-01"),7),'📋 Транзакції'!$C$5:$C$3623,"&lt;"&amp;EDATE(DATEVALUE(C583&amp;"-01"),8))&gt;0,1,0)</f>
        <v>0</v>
      </c>
      <c r="O583" s="37">
        <f>IF(COUNTIFS('📋 Транзакції'!$B$5:$B$3623,A583,'📋 Транзакції'!$C$5:$C$3623,"&gt;="&amp;EDATE(DATEVALUE(C583&amp;"-01"),8),'📋 Транзакції'!$C$5:$C$3623,"&lt;"&amp;EDATE(DATEVALUE(C583&amp;"-01"),9))&gt;0,1,0)</f>
        <v>0</v>
      </c>
      <c r="P583" s="37">
        <f>IF(COUNTIFS('📋 Транзакції'!$B$5:$B$3623,A583,'📋 Транзакції'!$C$5:$C$3623,"&gt;="&amp;EDATE(DATEVALUE(C583&amp;"-01"),9),'📋 Транзакції'!$C$5:$C$3623,"&lt;"&amp;EDATE(DATEVALUE(C583&amp;"-01"),10))&gt;0,1,0)</f>
        <v>0</v>
      </c>
      <c r="Q583" s="37">
        <f>IF(COUNTIFS('📋 Транзакції'!$B$5:$B$3623,A583,'📋 Транзакції'!$C$5:$C$3623,"&gt;="&amp;EDATE(DATEVALUE(C583&amp;"-01"),10),'📋 Транзакції'!$C$5:$C$3623,"&lt;"&amp;EDATE(DATEVALUE(C583&amp;"-01"),11))&gt;0,1,0)</f>
        <v>0</v>
      </c>
      <c r="R583" s="37">
        <f>IF(COUNTIFS('📋 Транзакції'!$B$5:$B$3623,A583,'📋 Транзакції'!$C$5:$C$3623,"&gt;="&amp;EDATE(DATEVALUE(C583&amp;"-01"),11),'📋 Транзакції'!$C$5:$C$3623,"&lt;"&amp;EDATE(DATEVALUE(C583&amp;"-01"),12))&gt;0,1,0)</f>
        <v>0</v>
      </c>
      <c r="S583" s="37">
        <f>SUMIFS('📋 Транзакції'!$F$5:$F$3623,'📋 Транзакції'!$B$5:$B$3623,A583,'📋 Транзакції'!$C$5:$C$3623,"&gt;="&amp;EDATE(DATEVALUE(C583&amp;"-01"),0),'📋 Транзакції'!$C$5:$C$3623,"&lt;"&amp;EDATE(DATEVALUE(C583&amp;"-01"),1))</f>
        <v>19.99</v>
      </c>
      <c r="T583" s="37">
        <f>SUMIFS('📋 Транзакції'!$F$5:$F$3623,'📋 Транзакції'!$B$5:$B$3623,A583,'📋 Транзакції'!$C$5:$C$3623,"&gt;="&amp;EDATE(DATEVALUE(C583&amp;"-01"),1),'📋 Транзакції'!$C$5:$C$3623,"&lt;"&amp;EDATE(DATEVALUE(C583&amp;"-01"),2))</f>
        <v>0</v>
      </c>
      <c r="U583" s="37">
        <f>SUMIFS('📋 Транзакції'!$F$5:$F$3623,'📋 Транзакції'!$B$5:$B$3623,A583,'📋 Транзакції'!$C$5:$C$3623,"&gt;="&amp;EDATE(DATEVALUE(C583&amp;"-01"),2),'📋 Транзакції'!$C$5:$C$3623,"&lt;"&amp;EDATE(DATEVALUE(C583&amp;"-01"),3))</f>
        <v>0</v>
      </c>
      <c r="V583" s="37">
        <f>SUMIFS('📋 Транзакції'!$F$5:$F$3623,'📋 Транзакції'!$B$5:$B$3623,A583,'📋 Транзакції'!$C$5:$C$3623,"&gt;="&amp;EDATE(DATEVALUE(C583&amp;"-01"),3),'📋 Транзакції'!$C$5:$C$3623,"&lt;"&amp;EDATE(DATEVALUE(C583&amp;"-01"),4))</f>
        <v>0</v>
      </c>
      <c r="W583" s="37">
        <f>SUMIFS('📋 Транзакції'!$F$5:$F$3623,'📋 Транзакції'!$B$5:$B$3623,A583,'📋 Транзакції'!$C$5:$C$3623,"&gt;="&amp;EDATE(DATEVALUE(C583&amp;"-01"),4),'📋 Транзакції'!$C$5:$C$3623,"&lt;"&amp;EDATE(DATEVALUE(C583&amp;"-01"),5))</f>
        <v>0</v>
      </c>
      <c r="X583" s="37">
        <f>SUMIFS('📋 Транзакції'!$F$5:$F$3623,'📋 Транзакції'!$B$5:$B$3623,A583,'📋 Транзакції'!$C$5:$C$3623,"&gt;="&amp;EDATE(DATEVALUE(C583&amp;"-01"),5),'📋 Транзакції'!$C$5:$C$3623,"&lt;"&amp;EDATE(DATEVALUE(C583&amp;"-01"),6))</f>
        <v>0</v>
      </c>
      <c r="Y583" s="37">
        <f>SUMIFS('📋 Транзакції'!$F$5:$F$3623,'📋 Транзакції'!$B$5:$B$3623,A583,'📋 Транзакції'!$C$5:$C$3623,"&gt;="&amp;EDATE(DATEVALUE(C583&amp;"-01"),6),'📋 Транзакції'!$C$5:$C$3623,"&lt;"&amp;EDATE(DATEVALUE(C583&amp;"-01"),7))</f>
        <v>0</v>
      </c>
      <c r="Z583" s="37">
        <f>SUMIFS('📋 Транзакції'!$F$5:$F$3623,'📋 Транзакції'!$B$5:$B$3623,A583,'📋 Транзакції'!$C$5:$C$3623,"&gt;="&amp;EDATE(DATEVALUE(C583&amp;"-01"),7),'📋 Транзакції'!$C$5:$C$3623,"&lt;"&amp;EDATE(DATEVALUE(C583&amp;"-01"),8))</f>
        <v>0</v>
      </c>
      <c r="AA583" s="37">
        <f>SUMIFS('📋 Транзакції'!$F$5:$F$3623,'📋 Транзакції'!$B$5:$B$3623,A583,'📋 Транзакції'!$C$5:$C$3623,"&gt;="&amp;EDATE(DATEVALUE(C583&amp;"-01"),8),'📋 Транзакції'!$C$5:$C$3623,"&lt;"&amp;EDATE(DATEVALUE(C583&amp;"-01"),9))</f>
        <v>0</v>
      </c>
      <c r="AB583" s="37">
        <f>SUMIFS('📋 Транзакції'!$F$5:$F$3623,'📋 Транзакції'!$B$5:$B$3623,A583,'📋 Транзакції'!$C$5:$C$3623,"&gt;="&amp;EDATE(DATEVALUE(C583&amp;"-01"),9),'📋 Транзакції'!$C$5:$C$3623,"&lt;"&amp;EDATE(DATEVALUE(C583&amp;"-01"),10))</f>
        <v>0</v>
      </c>
      <c r="AC583" s="37">
        <f>SUMIFS('📋 Транзакції'!$F$5:$F$3623,'📋 Транзакції'!$B$5:$B$3623,A583,'📋 Транзакції'!$C$5:$C$3623,"&gt;="&amp;EDATE(DATEVALUE(C583&amp;"-01"),10),'📋 Транзакції'!$C$5:$C$3623,"&lt;"&amp;EDATE(DATEVALUE(C583&amp;"-01"),11))</f>
        <v>0</v>
      </c>
      <c r="AD583" s="37">
        <f>SUMIFS('📋 Транзакції'!$F$5:$F$3623,'📋 Транзакції'!$B$5:$B$3623,A583,'📋 Транзакції'!$C$5:$C$3623,"&gt;="&amp;EDATE(DATEVALUE(C583&amp;"-01"),11),'📋 Транзакції'!$C$5:$C$3623,"&lt;"&amp;EDATE(DATEVALUE(C583&amp;"-01"),12))</f>
        <v>0</v>
      </c>
    </row>
    <row r="584" ht="15.75" customHeight="1">
      <c r="A584" s="33" t="str">
        <f>'📋 Реєстрації'!A584:A1185</f>
        <v>U0509</v>
      </c>
      <c r="B584" s="34">
        <f t="array" ref="B584">INDEX('📋 Транзакції'!$C$5:$C$3623,MATCH(A584,'📋 Транзакції'!$B$5:$B$3623,0))</f>
        <v>45731</v>
      </c>
      <c r="C584" s="35" t="str">
        <f t="shared" si="1"/>
        <v>2025-03</v>
      </c>
      <c r="D584" s="36">
        <f>COUNTIF('📋 Транзакції'!$B$5:$B$3623,A584)</f>
        <v>2</v>
      </c>
      <c r="E584" s="36">
        <f>SUMIF('📋 Транзакції'!$B$5:$B$3623,A584,'📋 Транзакції'!$F$5:$F$3623)</f>
        <v>19.99</v>
      </c>
      <c r="F584" s="35">
        <f>INT($A$1-MAXIFS('📋 Транзакції'!$C$5:$C$3623,'📋 Транзакції'!$B$5:$B$3623,A584))</f>
        <v>9</v>
      </c>
      <c r="G584" s="37">
        <f>IF(COUNTIFS('📋 Транзакції'!$B$5:$B$3623,A584,'📋 Транзакції'!$C$5:$C$3623,"&gt;="&amp;EDATE(DATEVALUE(C584&amp;"-01"),0),'📋 Транзакції'!$C$5:$C$3623,"&lt;"&amp;EDATE(DATEVALUE(C584&amp;"-01"),1))&gt;0,1,0)</f>
        <v>1</v>
      </c>
      <c r="H584" s="37">
        <f>IF(COUNTIFS('📋 Транзакції'!$B$5:$B$3623,A584,'📋 Транзакції'!$C$5:$C$3623,"&gt;="&amp;EDATE(DATEVALUE(C584&amp;"-01"),1),'📋 Транзакції'!$C$5:$C$3623,"&lt;"&amp;EDATE(DATEVALUE(C584&amp;"-01"),2))&gt;0,1,0)</f>
        <v>0</v>
      </c>
      <c r="I584" s="37">
        <f>IF(COUNTIFS('📋 Транзакції'!$B$5:$B$3623,A584,'📋 Транзакції'!$C$5:$C$3623,"&gt;="&amp;EDATE(DATEVALUE(C584&amp;"-01"),2),'📋 Транзакції'!$C$5:$C$3623,"&lt;"&amp;EDATE(DATEVALUE(C584&amp;"-01"),3))&gt;0,1,0)</f>
        <v>0</v>
      </c>
      <c r="J584" s="37">
        <f>IF(COUNTIFS('📋 Транзакції'!$B$5:$B$3623,A584,'📋 Транзакції'!$C$5:$C$3623,"&gt;="&amp;EDATE(DATEVALUE(C584&amp;"-01"),3),'📋 Транзакції'!$C$5:$C$3623,"&lt;"&amp;EDATE(DATEVALUE(C584&amp;"-01"),4))&gt;0,1,0)</f>
        <v>0</v>
      </c>
      <c r="K584" s="37">
        <f>IF(COUNTIFS('📋 Транзакції'!$B$5:$B$3623,A584,'📋 Транзакції'!$C$5:$C$3623,"&gt;="&amp;EDATE(DATEVALUE(C584&amp;"-01"),4),'📋 Транзакції'!$C$5:$C$3623,"&lt;"&amp;EDATE(DATEVALUE(C584&amp;"-01"),5))&gt;0,1,0)</f>
        <v>0</v>
      </c>
      <c r="L584" s="37">
        <f>IF(COUNTIFS('📋 Транзакції'!$B$5:$B$3623,A584,'📋 Транзакції'!$C$5:$C$3623,"&gt;="&amp;EDATE(DATEVALUE(C584&amp;"-01"),5),'📋 Транзакції'!$C$5:$C$3623,"&lt;"&amp;EDATE(DATEVALUE(C584&amp;"-01"),6))&gt;0,1,0)</f>
        <v>0</v>
      </c>
      <c r="M584" s="37">
        <f>IF(COUNTIFS('📋 Транзакції'!$B$5:$B$3623,A584,'📋 Транзакції'!$C$5:$C$3623,"&gt;="&amp;EDATE(DATEVALUE(C584&amp;"-01"),6),'📋 Транзакції'!$C$5:$C$3623,"&lt;"&amp;EDATE(DATEVALUE(C584&amp;"-01"),7))&gt;0,1,0)</f>
        <v>0</v>
      </c>
      <c r="N584" s="37">
        <f>IF(COUNTIFS('📋 Транзакції'!$B$5:$B$3623,A584,'📋 Транзакції'!$C$5:$C$3623,"&gt;="&amp;EDATE(DATEVALUE(C584&amp;"-01"),7),'📋 Транзакції'!$C$5:$C$3623,"&lt;"&amp;EDATE(DATEVALUE(C584&amp;"-01"),8))&gt;0,1,0)</f>
        <v>0</v>
      </c>
      <c r="O584" s="37">
        <f>IF(COUNTIFS('📋 Транзакції'!$B$5:$B$3623,A584,'📋 Транзакції'!$C$5:$C$3623,"&gt;="&amp;EDATE(DATEVALUE(C584&amp;"-01"),8),'📋 Транзакції'!$C$5:$C$3623,"&lt;"&amp;EDATE(DATEVALUE(C584&amp;"-01"),9))&gt;0,1,0)</f>
        <v>0</v>
      </c>
      <c r="P584" s="37">
        <f>IF(COUNTIFS('📋 Транзакції'!$B$5:$B$3623,A584,'📋 Транзакції'!$C$5:$C$3623,"&gt;="&amp;EDATE(DATEVALUE(C584&amp;"-01"),9),'📋 Транзакції'!$C$5:$C$3623,"&lt;"&amp;EDATE(DATEVALUE(C584&amp;"-01"),10))&gt;0,1,0)</f>
        <v>0</v>
      </c>
      <c r="Q584" s="37">
        <f>IF(COUNTIFS('📋 Транзакції'!$B$5:$B$3623,A584,'📋 Транзакції'!$C$5:$C$3623,"&gt;="&amp;EDATE(DATEVALUE(C584&amp;"-01"),10),'📋 Транзакції'!$C$5:$C$3623,"&lt;"&amp;EDATE(DATEVALUE(C584&amp;"-01"),11))&gt;0,1,0)</f>
        <v>0</v>
      </c>
      <c r="R584" s="37">
        <f>IF(COUNTIFS('📋 Транзакції'!$B$5:$B$3623,A584,'📋 Транзакції'!$C$5:$C$3623,"&gt;="&amp;EDATE(DATEVALUE(C584&amp;"-01"),11),'📋 Транзакції'!$C$5:$C$3623,"&lt;"&amp;EDATE(DATEVALUE(C584&amp;"-01"),12))&gt;0,1,0)</f>
        <v>0</v>
      </c>
      <c r="S584" s="37">
        <f>SUMIFS('📋 Транзакції'!$F$5:$F$3623,'📋 Транзакції'!$B$5:$B$3623,A584,'📋 Транзакції'!$C$5:$C$3623,"&gt;="&amp;EDATE(DATEVALUE(C584&amp;"-01"),0),'📋 Транзакції'!$C$5:$C$3623,"&lt;"&amp;EDATE(DATEVALUE(C584&amp;"-01"),1))</f>
        <v>19.99</v>
      </c>
      <c r="T584" s="37">
        <f>SUMIFS('📋 Транзакції'!$F$5:$F$3623,'📋 Транзакції'!$B$5:$B$3623,A584,'📋 Транзакції'!$C$5:$C$3623,"&gt;="&amp;EDATE(DATEVALUE(C584&amp;"-01"),1),'📋 Транзакції'!$C$5:$C$3623,"&lt;"&amp;EDATE(DATEVALUE(C584&amp;"-01"),2))</f>
        <v>0</v>
      </c>
      <c r="U584" s="37">
        <f>SUMIFS('📋 Транзакції'!$F$5:$F$3623,'📋 Транзакції'!$B$5:$B$3623,A584,'📋 Транзакції'!$C$5:$C$3623,"&gt;="&amp;EDATE(DATEVALUE(C584&amp;"-01"),2),'📋 Транзакції'!$C$5:$C$3623,"&lt;"&amp;EDATE(DATEVALUE(C584&amp;"-01"),3))</f>
        <v>0</v>
      </c>
      <c r="V584" s="37">
        <f>SUMIFS('📋 Транзакції'!$F$5:$F$3623,'📋 Транзакції'!$B$5:$B$3623,A584,'📋 Транзакції'!$C$5:$C$3623,"&gt;="&amp;EDATE(DATEVALUE(C584&amp;"-01"),3),'📋 Транзакції'!$C$5:$C$3623,"&lt;"&amp;EDATE(DATEVALUE(C584&amp;"-01"),4))</f>
        <v>0</v>
      </c>
      <c r="W584" s="37">
        <f>SUMIFS('📋 Транзакції'!$F$5:$F$3623,'📋 Транзакції'!$B$5:$B$3623,A584,'📋 Транзакції'!$C$5:$C$3623,"&gt;="&amp;EDATE(DATEVALUE(C584&amp;"-01"),4),'📋 Транзакції'!$C$5:$C$3623,"&lt;"&amp;EDATE(DATEVALUE(C584&amp;"-01"),5))</f>
        <v>0</v>
      </c>
      <c r="X584" s="37">
        <f>SUMIFS('📋 Транзакції'!$F$5:$F$3623,'📋 Транзакції'!$B$5:$B$3623,A584,'📋 Транзакції'!$C$5:$C$3623,"&gt;="&amp;EDATE(DATEVALUE(C584&amp;"-01"),5),'📋 Транзакції'!$C$5:$C$3623,"&lt;"&amp;EDATE(DATEVALUE(C584&amp;"-01"),6))</f>
        <v>0</v>
      </c>
      <c r="Y584" s="37">
        <f>SUMIFS('📋 Транзакції'!$F$5:$F$3623,'📋 Транзакції'!$B$5:$B$3623,A584,'📋 Транзакції'!$C$5:$C$3623,"&gt;="&amp;EDATE(DATEVALUE(C584&amp;"-01"),6),'📋 Транзакції'!$C$5:$C$3623,"&lt;"&amp;EDATE(DATEVALUE(C584&amp;"-01"),7))</f>
        <v>0</v>
      </c>
      <c r="Z584" s="37">
        <f>SUMIFS('📋 Транзакції'!$F$5:$F$3623,'📋 Транзакції'!$B$5:$B$3623,A584,'📋 Транзакції'!$C$5:$C$3623,"&gt;="&amp;EDATE(DATEVALUE(C584&amp;"-01"),7),'📋 Транзакції'!$C$5:$C$3623,"&lt;"&amp;EDATE(DATEVALUE(C584&amp;"-01"),8))</f>
        <v>0</v>
      </c>
      <c r="AA584" s="37">
        <f>SUMIFS('📋 Транзакції'!$F$5:$F$3623,'📋 Транзакції'!$B$5:$B$3623,A584,'📋 Транзакції'!$C$5:$C$3623,"&gt;="&amp;EDATE(DATEVALUE(C584&amp;"-01"),8),'📋 Транзакції'!$C$5:$C$3623,"&lt;"&amp;EDATE(DATEVALUE(C584&amp;"-01"),9))</f>
        <v>0</v>
      </c>
      <c r="AB584" s="37">
        <f>SUMIFS('📋 Транзакції'!$F$5:$F$3623,'📋 Транзакції'!$B$5:$B$3623,A584,'📋 Транзакції'!$C$5:$C$3623,"&gt;="&amp;EDATE(DATEVALUE(C584&amp;"-01"),9),'📋 Транзакції'!$C$5:$C$3623,"&lt;"&amp;EDATE(DATEVALUE(C584&amp;"-01"),10))</f>
        <v>0</v>
      </c>
      <c r="AC584" s="37">
        <f>SUMIFS('📋 Транзакції'!$F$5:$F$3623,'📋 Транзакції'!$B$5:$B$3623,A584,'📋 Транзакції'!$C$5:$C$3623,"&gt;="&amp;EDATE(DATEVALUE(C584&amp;"-01"),10),'📋 Транзакції'!$C$5:$C$3623,"&lt;"&amp;EDATE(DATEVALUE(C584&amp;"-01"),11))</f>
        <v>0</v>
      </c>
      <c r="AD584" s="37">
        <f>SUMIFS('📋 Транзакції'!$F$5:$F$3623,'📋 Транзакції'!$B$5:$B$3623,A584,'📋 Транзакції'!$C$5:$C$3623,"&gt;="&amp;EDATE(DATEVALUE(C584&amp;"-01"),11),'📋 Транзакції'!$C$5:$C$3623,"&lt;"&amp;EDATE(DATEVALUE(C584&amp;"-01"),12))</f>
        <v>0</v>
      </c>
    </row>
    <row r="585" ht="15.75" customHeight="1">
      <c r="A585" s="33" t="str">
        <f>'📋 Реєстрації'!A585:A1186</f>
        <v>U0227</v>
      </c>
      <c r="B585" s="34">
        <f t="array" ref="B585">INDEX('📋 Транзакції'!$C$5:$C$3623,MATCH(A585,'📋 Транзакції'!$B$5:$B$3623,0))</f>
        <v>45732</v>
      </c>
      <c r="C585" s="35" t="str">
        <f t="shared" si="1"/>
        <v>2025-03</v>
      </c>
      <c r="D585" s="36">
        <f>COUNTIF('📋 Транзакції'!$B$5:$B$3623,A585)</f>
        <v>2</v>
      </c>
      <c r="E585" s="36">
        <f>SUMIF('📋 Транзакції'!$B$5:$B$3623,A585,'📋 Транзакції'!$F$5:$F$3623)</f>
        <v>19.99</v>
      </c>
      <c r="F585" s="35">
        <f>INT($A$1-MAXIFS('📋 Транзакції'!$C$5:$C$3623,'📋 Транзакції'!$B$5:$B$3623,A585))</f>
        <v>8</v>
      </c>
      <c r="G585" s="37">
        <f>IF(COUNTIFS('📋 Транзакції'!$B$5:$B$3623,A585,'📋 Транзакції'!$C$5:$C$3623,"&gt;="&amp;EDATE(DATEVALUE(C585&amp;"-01"),0),'📋 Транзакції'!$C$5:$C$3623,"&lt;"&amp;EDATE(DATEVALUE(C585&amp;"-01"),1))&gt;0,1,0)</f>
        <v>1</v>
      </c>
      <c r="H585" s="37">
        <f>IF(COUNTIFS('📋 Транзакції'!$B$5:$B$3623,A585,'📋 Транзакції'!$C$5:$C$3623,"&gt;="&amp;EDATE(DATEVALUE(C585&amp;"-01"),1),'📋 Транзакції'!$C$5:$C$3623,"&lt;"&amp;EDATE(DATEVALUE(C585&amp;"-01"),2))&gt;0,1,0)</f>
        <v>0</v>
      </c>
      <c r="I585" s="37">
        <f>IF(COUNTIFS('📋 Транзакції'!$B$5:$B$3623,A585,'📋 Транзакції'!$C$5:$C$3623,"&gt;="&amp;EDATE(DATEVALUE(C585&amp;"-01"),2),'📋 Транзакції'!$C$5:$C$3623,"&lt;"&amp;EDATE(DATEVALUE(C585&amp;"-01"),3))&gt;0,1,0)</f>
        <v>0</v>
      </c>
      <c r="J585" s="37">
        <f>IF(COUNTIFS('📋 Транзакції'!$B$5:$B$3623,A585,'📋 Транзакції'!$C$5:$C$3623,"&gt;="&amp;EDATE(DATEVALUE(C585&amp;"-01"),3),'📋 Транзакції'!$C$5:$C$3623,"&lt;"&amp;EDATE(DATEVALUE(C585&amp;"-01"),4))&gt;0,1,0)</f>
        <v>0</v>
      </c>
      <c r="K585" s="37">
        <f>IF(COUNTIFS('📋 Транзакції'!$B$5:$B$3623,A585,'📋 Транзакції'!$C$5:$C$3623,"&gt;="&amp;EDATE(DATEVALUE(C585&amp;"-01"),4),'📋 Транзакції'!$C$5:$C$3623,"&lt;"&amp;EDATE(DATEVALUE(C585&amp;"-01"),5))&gt;0,1,0)</f>
        <v>0</v>
      </c>
      <c r="L585" s="37">
        <f>IF(COUNTIFS('📋 Транзакції'!$B$5:$B$3623,A585,'📋 Транзакції'!$C$5:$C$3623,"&gt;="&amp;EDATE(DATEVALUE(C585&amp;"-01"),5),'📋 Транзакції'!$C$5:$C$3623,"&lt;"&amp;EDATE(DATEVALUE(C585&amp;"-01"),6))&gt;0,1,0)</f>
        <v>0</v>
      </c>
      <c r="M585" s="37">
        <f>IF(COUNTIFS('📋 Транзакції'!$B$5:$B$3623,A585,'📋 Транзакції'!$C$5:$C$3623,"&gt;="&amp;EDATE(DATEVALUE(C585&amp;"-01"),6),'📋 Транзакції'!$C$5:$C$3623,"&lt;"&amp;EDATE(DATEVALUE(C585&amp;"-01"),7))&gt;0,1,0)</f>
        <v>0</v>
      </c>
      <c r="N585" s="37">
        <f>IF(COUNTIFS('📋 Транзакції'!$B$5:$B$3623,A585,'📋 Транзакції'!$C$5:$C$3623,"&gt;="&amp;EDATE(DATEVALUE(C585&amp;"-01"),7),'📋 Транзакції'!$C$5:$C$3623,"&lt;"&amp;EDATE(DATEVALUE(C585&amp;"-01"),8))&gt;0,1,0)</f>
        <v>0</v>
      </c>
      <c r="O585" s="37">
        <f>IF(COUNTIFS('📋 Транзакції'!$B$5:$B$3623,A585,'📋 Транзакції'!$C$5:$C$3623,"&gt;="&amp;EDATE(DATEVALUE(C585&amp;"-01"),8),'📋 Транзакції'!$C$5:$C$3623,"&lt;"&amp;EDATE(DATEVALUE(C585&amp;"-01"),9))&gt;0,1,0)</f>
        <v>0</v>
      </c>
      <c r="P585" s="37">
        <f>IF(COUNTIFS('📋 Транзакції'!$B$5:$B$3623,A585,'📋 Транзакції'!$C$5:$C$3623,"&gt;="&amp;EDATE(DATEVALUE(C585&amp;"-01"),9),'📋 Транзакції'!$C$5:$C$3623,"&lt;"&amp;EDATE(DATEVALUE(C585&amp;"-01"),10))&gt;0,1,0)</f>
        <v>0</v>
      </c>
      <c r="Q585" s="37">
        <f>IF(COUNTIFS('📋 Транзакції'!$B$5:$B$3623,A585,'📋 Транзакції'!$C$5:$C$3623,"&gt;="&amp;EDATE(DATEVALUE(C585&amp;"-01"),10),'📋 Транзакції'!$C$5:$C$3623,"&lt;"&amp;EDATE(DATEVALUE(C585&amp;"-01"),11))&gt;0,1,0)</f>
        <v>0</v>
      </c>
      <c r="R585" s="37">
        <f>IF(COUNTIFS('📋 Транзакції'!$B$5:$B$3623,A585,'📋 Транзакції'!$C$5:$C$3623,"&gt;="&amp;EDATE(DATEVALUE(C585&amp;"-01"),11),'📋 Транзакції'!$C$5:$C$3623,"&lt;"&amp;EDATE(DATEVALUE(C585&amp;"-01"),12))&gt;0,1,0)</f>
        <v>0</v>
      </c>
      <c r="S585" s="37">
        <f>SUMIFS('📋 Транзакції'!$F$5:$F$3623,'📋 Транзакції'!$B$5:$B$3623,A585,'📋 Транзакції'!$C$5:$C$3623,"&gt;="&amp;EDATE(DATEVALUE(C585&amp;"-01"),0),'📋 Транзакції'!$C$5:$C$3623,"&lt;"&amp;EDATE(DATEVALUE(C585&amp;"-01"),1))</f>
        <v>19.99</v>
      </c>
      <c r="T585" s="37">
        <f>SUMIFS('📋 Транзакції'!$F$5:$F$3623,'📋 Транзакції'!$B$5:$B$3623,A585,'📋 Транзакції'!$C$5:$C$3623,"&gt;="&amp;EDATE(DATEVALUE(C585&amp;"-01"),1),'📋 Транзакції'!$C$5:$C$3623,"&lt;"&amp;EDATE(DATEVALUE(C585&amp;"-01"),2))</f>
        <v>0</v>
      </c>
      <c r="U585" s="37">
        <f>SUMIFS('📋 Транзакції'!$F$5:$F$3623,'📋 Транзакції'!$B$5:$B$3623,A585,'📋 Транзакції'!$C$5:$C$3623,"&gt;="&amp;EDATE(DATEVALUE(C585&amp;"-01"),2),'📋 Транзакції'!$C$5:$C$3623,"&lt;"&amp;EDATE(DATEVALUE(C585&amp;"-01"),3))</f>
        <v>0</v>
      </c>
      <c r="V585" s="37">
        <f>SUMIFS('📋 Транзакції'!$F$5:$F$3623,'📋 Транзакції'!$B$5:$B$3623,A585,'📋 Транзакції'!$C$5:$C$3623,"&gt;="&amp;EDATE(DATEVALUE(C585&amp;"-01"),3),'📋 Транзакції'!$C$5:$C$3623,"&lt;"&amp;EDATE(DATEVALUE(C585&amp;"-01"),4))</f>
        <v>0</v>
      </c>
      <c r="W585" s="37">
        <f>SUMIFS('📋 Транзакції'!$F$5:$F$3623,'📋 Транзакції'!$B$5:$B$3623,A585,'📋 Транзакції'!$C$5:$C$3623,"&gt;="&amp;EDATE(DATEVALUE(C585&amp;"-01"),4),'📋 Транзакції'!$C$5:$C$3623,"&lt;"&amp;EDATE(DATEVALUE(C585&amp;"-01"),5))</f>
        <v>0</v>
      </c>
      <c r="X585" s="37">
        <f>SUMIFS('📋 Транзакції'!$F$5:$F$3623,'📋 Транзакції'!$B$5:$B$3623,A585,'📋 Транзакції'!$C$5:$C$3623,"&gt;="&amp;EDATE(DATEVALUE(C585&amp;"-01"),5),'📋 Транзакції'!$C$5:$C$3623,"&lt;"&amp;EDATE(DATEVALUE(C585&amp;"-01"),6))</f>
        <v>0</v>
      </c>
      <c r="Y585" s="37">
        <f>SUMIFS('📋 Транзакції'!$F$5:$F$3623,'📋 Транзакції'!$B$5:$B$3623,A585,'📋 Транзакції'!$C$5:$C$3623,"&gt;="&amp;EDATE(DATEVALUE(C585&amp;"-01"),6),'📋 Транзакції'!$C$5:$C$3623,"&lt;"&amp;EDATE(DATEVALUE(C585&amp;"-01"),7))</f>
        <v>0</v>
      </c>
      <c r="Z585" s="37">
        <f>SUMIFS('📋 Транзакції'!$F$5:$F$3623,'📋 Транзакції'!$B$5:$B$3623,A585,'📋 Транзакції'!$C$5:$C$3623,"&gt;="&amp;EDATE(DATEVALUE(C585&amp;"-01"),7),'📋 Транзакції'!$C$5:$C$3623,"&lt;"&amp;EDATE(DATEVALUE(C585&amp;"-01"),8))</f>
        <v>0</v>
      </c>
      <c r="AA585" s="37">
        <f>SUMIFS('📋 Транзакції'!$F$5:$F$3623,'📋 Транзакції'!$B$5:$B$3623,A585,'📋 Транзакції'!$C$5:$C$3623,"&gt;="&amp;EDATE(DATEVALUE(C585&amp;"-01"),8),'📋 Транзакції'!$C$5:$C$3623,"&lt;"&amp;EDATE(DATEVALUE(C585&amp;"-01"),9))</f>
        <v>0</v>
      </c>
      <c r="AB585" s="37">
        <f>SUMIFS('📋 Транзакції'!$F$5:$F$3623,'📋 Транзакції'!$B$5:$B$3623,A585,'📋 Транзакції'!$C$5:$C$3623,"&gt;="&amp;EDATE(DATEVALUE(C585&amp;"-01"),9),'📋 Транзакції'!$C$5:$C$3623,"&lt;"&amp;EDATE(DATEVALUE(C585&amp;"-01"),10))</f>
        <v>0</v>
      </c>
      <c r="AC585" s="37">
        <f>SUMIFS('📋 Транзакції'!$F$5:$F$3623,'📋 Транзакції'!$B$5:$B$3623,A585,'📋 Транзакції'!$C$5:$C$3623,"&gt;="&amp;EDATE(DATEVALUE(C585&amp;"-01"),10),'📋 Транзакції'!$C$5:$C$3623,"&lt;"&amp;EDATE(DATEVALUE(C585&amp;"-01"),11))</f>
        <v>0</v>
      </c>
      <c r="AD585" s="37">
        <f>SUMIFS('📋 Транзакції'!$F$5:$F$3623,'📋 Транзакції'!$B$5:$B$3623,A585,'📋 Транзакції'!$C$5:$C$3623,"&gt;="&amp;EDATE(DATEVALUE(C585&amp;"-01"),11),'📋 Транзакції'!$C$5:$C$3623,"&lt;"&amp;EDATE(DATEVALUE(C585&amp;"-01"),12))</f>
        <v>0</v>
      </c>
    </row>
    <row r="586" ht="15.75" customHeight="1">
      <c r="A586" s="33" t="str">
        <f>'📋 Реєстрації'!A586:A1187</f>
        <v>U0241</v>
      </c>
      <c r="B586" s="34">
        <f t="array" ref="B586">INDEX('📋 Транзакції'!$C$5:$C$3623,MATCH(A586,'📋 Транзакції'!$B$5:$B$3623,0))</f>
        <v>45732</v>
      </c>
      <c r="C586" s="35" t="str">
        <f t="shared" si="1"/>
        <v>2025-03</v>
      </c>
      <c r="D586" s="36">
        <f>COUNTIF('📋 Транзакції'!$B$5:$B$3623,A586)</f>
        <v>2</v>
      </c>
      <c r="E586" s="36">
        <f>SUMIF('📋 Транзакції'!$B$5:$B$3623,A586,'📋 Транзакції'!$F$5:$F$3623)</f>
        <v>19.99</v>
      </c>
      <c r="F586" s="35">
        <f>INT($A$1-MAXIFS('📋 Транзакції'!$C$5:$C$3623,'📋 Транзакції'!$B$5:$B$3623,A586))</f>
        <v>8</v>
      </c>
      <c r="G586" s="37">
        <f>IF(COUNTIFS('📋 Транзакції'!$B$5:$B$3623,A586,'📋 Транзакції'!$C$5:$C$3623,"&gt;="&amp;EDATE(DATEVALUE(C586&amp;"-01"),0),'📋 Транзакції'!$C$5:$C$3623,"&lt;"&amp;EDATE(DATEVALUE(C586&amp;"-01"),1))&gt;0,1,0)</f>
        <v>1</v>
      </c>
      <c r="H586" s="37">
        <f>IF(COUNTIFS('📋 Транзакції'!$B$5:$B$3623,A586,'📋 Транзакції'!$C$5:$C$3623,"&gt;="&amp;EDATE(DATEVALUE(C586&amp;"-01"),1),'📋 Транзакції'!$C$5:$C$3623,"&lt;"&amp;EDATE(DATEVALUE(C586&amp;"-01"),2))&gt;0,1,0)</f>
        <v>0</v>
      </c>
      <c r="I586" s="37">
        <f>IF(COUNTIFS('📋 Транзакції'!$B$5:$B$3623,A586,'📋 Транзакції'!$C$5:$C$3623,"&gt;="&amp;EDATE(DATEVALUE(C586&amp;"-01"),2),'📋 Транзакції'!$C$5:$C$3623,"&lt;"&amp;EDATE(DATEVALUE(C586&amp;"-01"),3))&gt;0,1,0)</f>
        <v>0</v>
      </c>
      <c r="J586" s="37">
        <f>IF(COUNTIFS('📋 Транзакції'!$B$5:$B$3623,A586,'📋 Транзакції'!$C$5:$C$3623,"&gt;="&amp;EDATE(DATEVALUE(C586&amp;"-01"),3),'📋 Транзакції'!$C$5:$C$3623,"&lt;"&amp;EDATE(DATEVALUE(C586&amp;"-01"),4))&gt;0,1,0)</f>
        <v>0</v>
      </c>
      <c r="K586" s="37">
        <f>IF(COUNTIFS('📋 Транзакції'!$B$5:$B$3623,A586,'📋 Транзакції'!$C$5:$C$3623,"&gt;="&amp;EDATE(DATEVALUE(C586&amp;"-01"),4),'📋 Транзакції'!$C$5:$C$3623,"&lt;"&amp;EDATE(DATEVALUE(C586&amp;"-01"),5))&gt;0,1,0)</f>
        <v>0</v>
      </c>
      <c r="L586" s="37">
        <f>IF(COUNTIFS('📋 Транзакції'!$B$5:$B$3623,A586,'📋 Транзакції'!$C$5:$C$3623,"&gt;="&amp;EDATE(DATEVALUE(C586&amp;"-01"),5),'📋 Транзакції'!$C$5:$C$3623,"&lt;"&amp;EDATE(DATEVALUE(C586&amp;"-01"),6))&gt;0,1,0)</f>
        <v>0</v>
      </c>
      <c r="M586" s="37">
        <f>IF(COUNTIFS('📋 Транзакції'!$B$5:$B$3623,A586,'📋 Транзакції'!$C$5:$C$3623,"&gt;="&amp;EDATE(DATEVALUE(C586&amp;"-01"),6),'📋 Транзакції'!$C$5:$C$3623,"&lt;"&amp;EDATE(DATEVALUE(C586&amp;"-01"),7))&gt;0,1,0)</f>
        <v>0</v>
      </c>
      <c r="N586" s="37">
        <f>IF(COUNTIFS('📋 Транзакції'!$B$5:$B$3623,A586,'📋 Транзакції'!$C$5:$C$3623,"&gt;="&amp;EDATE(DATEVALUE(C586&amp;"-01"),7),'📋 Транзакції'!$C$5:$C$3623,"&lt;"&amp;EDATE(DATEVALUE(C586&amp;"-01"),8))&gt;0,1,0)</f>
        <v>0</v>
      </c>
      <c r="O586" s="37">
        <f>IF(COUNTIFS('📋 Транзакції'!$B$5:$B$3623,A586,'📋 Транзакції'!$C$5:$C$3623,"&gt;="&amp;EDATE(DATEVALUE(C586&amp;"-01"),8),'📋 Транзакції'!$C$5:$C$3623,"&lt;"&amp;EDATE(DATEVALUE(C586&amp;"-01"),9))&gt;0,1,0)</f>
        <v>0</v>
      </c>
      <c r="P586" s="37">
        <f>IF(COUNTIFS('📋 Транзакції'!$B$5:$B$3623,A586,'📋 Транзакції'!$C$5:$C$3623,"&gt;="&amp;EDATE(DATEVALUE(C586&amp;"-01"),9),'📋 Транзакції'!$C$5:$C$3623,"&lt;"&amp;EDATE(DATEVALUE(C586&amp;"-01"),10))&gt;0,1,0)</f>
        <v>0</v>
      </c>
      <c r="Q586" s="37">
        <f>IF(COUNTIFS('📋 Транзакції'!$B$5:$B$3623,A586,'📋 Транзакції'!$C$5:$C$3623,"&gt;="&amp;EDATE(DATEVALUE(C586&amp;"-01"),10),'📋 Транзакції'!$C$5:$C$3623,"&lt;"&amp;EDATE(DATEVALUE(C586&amp;"-01"),11))&gt;0,1,0)</f>
        <v>0</v>
      </c>
      <c r="R586" s="37">
        <f>IF(COUNTIFS('📋 Транзакції'!$B$5:$B$3623,A586,'📋 Транзакції'!$C$5:$C$3623,"&gt;="&amp;EDATE(DATEVALUE(C586&amp;"-01"),11),'📋 Транзакції'!$C$5:$C$3623,"&lt;"&amp;EDATE(DATEVALUE(C586&amp;"-01"),12))&gt;0,1,0)</f>
        <v>0</v>
      </c>
      <c r="S586" s="37">
        <f>SUMIFS('📋 Транзакції'!$F$5:$F$3623,'📋 Транзакції'!$B$5:$B$3623,A586,'📋 Транзакції'!$C$5:$C$3623,"&gt;="&amp;EDATE(DATEVALUE(C586&amp;"-01"),0),'📋 Транзакції'!$C$5:$C$3623,"&lt;"&amp;EDATE(DATEVALUE(C586&amp;"-01"),1))</f>
        <v>19.99</v>
      </c>
      <c r="T586" s="37">
        <f>SUMIFS('📋 Транзакції'!$F$5:$F$3623,'📋 Транзакції'!$B$5:$B$3623,A586,'📋 Транзакції'!$C$5:$C$3623,"&gt;="&amp;EDATE(DATEVALUE(C586&amp;"-01"),1),'📋 Транзакції'!$C$5:$C$3623,"&lt;"&amp;EDATE(DATEVALUE(C586&amp;"-01"),2))</f>
        <v>0</v>
      </c>
      <c r="U586" s="37">
        <f>SUMIFS('📋 Транзакції'!$F$5:$F$3623,'📋 Транзакції'!$B$5:$B$3623,A586,'📋 Транзакції'!$C$5:$C$3623,"&gt;="&amp;EDATE(DATEVALUE(C586&amp;"-01"),2),'📋 Транзакції'!$C$5:$C$3623,"&lt;"&amp;EDATE(DATEVALUE(C586&amp;"-01"),3))</f>
        <v>0</v>
      </c>
      <c r="V586" s="37">
        <f>SUMIFS('📋 Транзакції'!$F$5:$F$3623,'📋 Транзакції'!$B$5:$B$3623,A586,'📋 Транзакції'!$C$5:$C$3623,"&gt;="&amp;EDATE(DATEVALUE(C586&amp;"-01"),3),'📋 Транзакції'!$C$5:$C$3623,"&lt;"&amp;EDATE(DATEVALUE(C586&amp;"-01"),4))</f>
        <v>0</v>
      </c>
      <c r="W586" s="37">
        <f>SUMIFS('📋 Транзакції'!$F$5:$F$3623,'📋 Транзакції'!$B$5:$B$3623,A586,'📋 Транзакції'!$C$5:$C$3623,"&gt;="&amp;EDATE(DATEVALUE(C586&amp;"-01"),4),'📋 Транзакції'!$C$5:$C$3623,"&lt;"&amp;EDATE(DATEVALUE(C586&amp;"-01"),5))</f>
        <v>0</v>
      </c>
      <c r="X586" s="37">
        <f>SUMIFS('📋 Транзакції'!$F$5:$F$3623,'📋 Транзакції'!$B$5:$B$3623,A586,'📋 Транзакції'!$C$5:$C$3623,"&gt;="&amp;EDATE(DATEVALUE(C586&amp;"-01"),5),'📋 Транзакції'!$C$5:$C$3623,"&lt;"&amp;EDATE(DATEVALUE(C586&amp;"-01"),6))</f>
        <v>0</v>
      </c>
      <c r="Y586" s="37">
        <f>SUMIFS('📋 Транзакції'!$F$5:$F$3623,'📋 Транзакції'!$B$5:$B$3623,A586,'📋 Транзакції'!$C$5:$C$3623,"&gt;="&amp;EDATE(DATEVALUE(C586&amp;"-01"),6),'📋 Транзакції'!$C$5:$C$3623,"&lt;"&amp;EDATE(DATEVALUE(C586&amp;"-01"),7))</f>
        <v>0</v>
      </c>
      <c r="Z586" s="37">
        <f>SUMIFS('📋 Транзакції'!$F$5:$F$3623,'📋 Транзакції'!$B$5:$B$3623,A586,'📋 Транзакції'!$C$5:$C$3623,"&gt;="&amp;EDATE(DATEVALUE(C586&amp;"-01"),7),'📋 Транзакції'!$C$5:$C$3623,"&lt;"&amp;EDATE(DATEVALUE(C586&amp;"-01"),8))</f>
        <v>0</v>
      </c>
      <c r="AA586" s="37">
        <f>SUMIFS('📋 Транзакції'!$F$5:$F$3623,'📋 Транзакції'!$B$5:$B$3623,A586,'📋 Транзакції'!$C$5:$C$3623,"&gt;="&amp;EDATE(DATEVALUE(C586&amp;"-01"),8),'📋 Транзакції'!$C$5:$C$3623,"&lt;"&amp;EDATE(DATEVALUE(C586&amp;"-01"),9))</f>
        <v>0</v>
      </c>
      <c r="AB586" s="37">
        <f>SUMIFS('📋 Транзакції'!$F$5:$F$3623,'📋 Транзакції'!$B$5:$B$3623,A586,'📋 Транзакції'!$C$5:$C$3623,"&gt;="&amp;EDATE(DATEVALUE(C586&amp;"-01"),9),'📋 Транзакції'!$C$5:$C$3623,"&lt;"&amp;EDATE(DATEVALUE(C586&amp;"-01"),10))</f>
        <v>0</v>
      </c>
      <c r="AC586" s="37">
        <f>SUMIFS('📋 Транзакції'!$F$5:$F$3623,'📋 Транзакції'!$B$5:$B$3623,A586,'📋 Транзакції'!$C$5:$C$3623,"&gt;="&amp;EDATE(DATEVALUE(C586&amp;"-01"),10),'📋 Транзакції'!$C$5:$C$3623,"&lt;"&amp;EDATE(DATEVALUE(C586&amp;"-01"),11))</f>
        <v>0</v>
      </c>
      <c r="AD586" s="37">
        <f>SUMIFS('📋 Транзакції'!$F$5:$F$3623,'📋 Транзакції'!$B$5:$B$3623,A586,'📋 Транзакції'!$C$5:$C$3623,"&gt;="&amp;EDATE(DATEVALUE(C586&amp;"-01"),11),'📋 Транзакції'!$C$5:$C$3623,"&lt;"&amp;EDATE(DATEVALUE(C586&amp;"-01"),12))</f>
        <v>0</v>
      </c>
    </row>
    <row r="587" ht="15.75" customHeight="1">
      <c r="A587" s="33" t="str">
        <f>'📋 Реєстрації'!A587:A1188</f>
        <v>U0486</v>
      </c>
      <c r="B587" s="34">
        <f t="array" ref="B587">INDEX('📋 Транзакції'!$C$5:$C$3623,MATCH(A587,'📋 Транзакції'!$B$5:$B$3623,0))</f>
        <v>45732</v>
      </c>
      <c r="C587" s="35" t="str">
        <f t="shared" si="1"/>
        <v>2025-03</v>
      </c>
      <c r="D587" s="36">
        <f>COUNTIF('📋 Транзакції'!$B$5:$B$3623,A587)</f>
        <v>2</v>
      </c>
      <c r="E587" s="36">
        <f>SUMIF('📋 Транзакції'!$B$5:$B$3623,A587,'📋 Транзакції'!$F$5:$F$3623)</f>
        <v>19.99</v>
      </c>
      <c r="F587" s="35">
        <f>INT($A$1-MAXIFS('📋 Транзакції'!$C$5:$C$3623,'📋 Транзакції'!$B$5:$B$3623,A587))</f>
        <v>8</v>
      </c>
      <c r="G587" s="37">
        <f>IF(COUNTIFS('📋 Транзакції'!$B$5:$B$3623,A587,'📋 Транзакції'!$C$5:$C$3623,"&gt;="&amp;EDATE(DATEVALUE(C587&amp;"-01"),0),'📋 Транзакції'!$C$5:$C$3623,"&lt;"&amp;EDATE(DATEVALUE(C587&amp;"-01"),1))&gt;0,1,0)</f>
        <v>1</v>
      </c>
      <c r="H587" s="37">
        <f>IF(COUNTIFS('📋 Транзакції'!$B$5:$B$3623,A587,'📋 Транзакції'!$C$5:$C$3623,"&gt;="&amp;EDATE(DATEVALUE(C587&amp;"-01"),1),'📋 Транзакції'!$C$5:$C$3623,"&lt;"&amp;EDATE(DATEVALUE(C587&amp;"-01"),2))&gt;0,1,0)</f>
        <v>0</v>
      </c>
      <c r="I587" s="37">
        <f>IF(COUNTIFS('📋 Транзакції'!$B$5:$B$3623,A587,'📋 Транзакції'!$C$5:$C$3623,"&gt;="&amp;EDATE(DATEVALUE(C587&amp;"-01"),2),'📋 Транзакції'!$C$5:$C$3623,"&lt;"&amp;EDATE(DATEVALUE(C587&amp;"-01"),3))&gt;0,1,0)</f>
        <v>0</v>
      </c>
      <c r="J587" s="37">
        <f>IF(COUNTIFS('📋 Транзакції'!$B$5:$B$3623,A587,'📋 Транзакції'!$C$5:$C$3623,"&gt;="&amp;EDATE(DATEVALUE(C587&amp;"-01"),3),'📋 Транзакції'!$C$5:$C$3623,"&lt;"&amp;EDATE(DATEVALUE(C587&amp;"-01"),4))&gt;0,1,0)</f>
        <v>0</v>
      </c>
      <c r="K587" s="37">
        <f>IF(COUNTIFS('📋 Транзакції'!$B$5:$B$3623,A587,'📋 Транзакції'!$C$5:$C$3623,"&gt;="&amp;EDATE(DATEVALUE(C587&amp;"-01"),4),'📋 Транзакції'!$C$5:$C$3623,"&lt;"&amp;EDATE(DATEVALUE(C587&amp;"-01"),5))&gt;0,1,0)</f>
        <v>0</v>
      </c>
      <c r="L587" s="37">
        <f>IF(COUNTIFS('📋 Транзакції'!$B$5:$B$3623,A587,'📋 Транзакції'!$C$5:$C$3623,"&gt;="&amp;EDATE(DATEVALUE(C587&amp;"-01"),5),'📋 Транзакції'!$C$5:$C$3623,"&lt;"&amp;EDATE(DATEVALUE(C587&amp;"-01"),6))&gt;0,1,0)</f>
        <v>0</v>
      </c>
      <c r="M587" s="37">
        <f>IF(COUNTIFS('📋 Транзакції'!$B$5:$B$3623,A587,'📋 Транзакції'!$C$5:$C$3623,"&gt;="&amp;EDATE(DATEVALUE(C587&amp;"-01"),6),'📋 Транзакції'!$C$5:$C$3623,"&lt;"&amp;EDATE(DATEVALUE(C587&amp;"-01"),7))&gt;0,1,0)</f>
        <v>0</v>
      </c>
      <c r="N587" s="37">
        <f>IF(COUNTIFS('📋 Транзакції'!$B$5:$B$3623,A587,'📋 Транзакції'!$C$5:$C$3623,"&gt;="&amp;EDATE(DATEVALUE(C587&amp;"-01"),7),'📋 Транзакції'!$C$5:$C$3623,"&lt;"&amp;EDATE(DATEVALUE(C587&amp;"-01"),8))&gt;0,1,0)</f>
        <v>0</v>
      </c>
      <c r="O587" s="37">
        <f>IF(COUNTIFS('📋 Транзакції'!$B$5:$B$3623,A587,'📋 Транзакції'!$C$5:$C$3623,"&gt;="&amp;EDATE(DATEVALUE(C587&amp;"-01"),8),'📋 Транзакції'!$C$5:$C$3623,"&lt;"&amp;EDATE(DATEVALUE(C587&amp;"-01"),9))&gt;0,1,0)</f>
        <v>0</v>
      </c>
      <c r="P587" s="37">
        <f>IF(COUNTIFS('📋 Транзакції'!$B$5:$B$3623,A587,'📋 Транзакції'!$C$5:$C$3623,"&gt;="&amp;EDATE(DATEVALUE(C587&amp;"-01"),9),'📋 Транзакції'!$C$5:$C$3623,"&lt;"&amp;EDATE(DATEVALUE(C587&amp;"-01"),10))&gt;0,1,0)</f>
        <v>0</v>
      </c>
      <c r="Q587" s="37">
        <f>IF(COUNTIFS('📋 Транзакції'!$B$5:$B$3623,A587,'📋 Транзакції'!$C$5:$C$3623,"&gt;="&amp;EDATE(DATEVALUE(C587&amp;"-01"),10),'📋 Транзакції'!$C$5:$C$3623,"&lt;"&amp;EDATE(DATEVALUE(C587&amp;"-01"),11))&gt;0,1,0)</f>
        <v>0</v>
      </c>
      <c r="R587" s="37">
        <f>IF(COUNTIFS('📋 Транзакції'!$B$5:$B$3623,A587,'📋 Транзакції'!$C$5:$C$3623,"&gt;="&amp;EDATE(DATEVALUE(C587&amp;"-01"),11),'📋 Транзакції'!$C$5:$C$3623,"&lt;"&amp;EDATE(DATEVALUE(C587&amp;"-01"),12))&gt;0,1,0)</f>
        <v>0</v>
      </c>
      <c r="S587" s="37">
        <f>SUMIFS('📋 Транзакції'!$F$5:$F$3623,'📋 Транзакції'!$B$5:$B$3623,A587,'📋 Транзакції'!$C$5:$C$3623,"&gt;="&amp;EDATE(DATEVALUE(C587&amp;"-01"),0),'📋 Транзакції'!$C$5:$C$3623,"&lt;"&amp;EDATE(DATEVALUE(C587&amp;"-01"),1))</f>
        <v>19.99</v>
      </c>
      <c r="T587" s="37">
        <f>SUMIFS('📋 Транзакції'!$F$5:$F$3623,'📋 Транзакції'!$B$5:$B$3623,A587,'📋 Транзакції'!$C$5:$C$3623,"&gt;="&amp;EDATE(DATEVALUE(C587&amp;"-01"),1),'📋 Транзакції'!$C$5:$C$3623,"&lt;"&amp;EDATE(DATEVALUE(C587&amp;"-01"),2))</f>
        <v>0</v>
      </c>
      <c r="U587" s="37">
        <f>SUMIFS('📋 Транзакції'!$F$5:$F$3623,'📋 Транзакції'!$B$5:$B$3623,A587,'📋 Транзакції'!$C$5:$C$3623,"&gt;="&amp;EDATE(DATEVALUE(C587&amp;"-01"),2),'📋 Транзакції'!$C$5:$C$3623,"&lt;"&amp;EDATE(DATEVALUE(C587&amp;"-01"),3))</f>
        <v>0</v>
      </c>
      <c r="V587" s="37">
        <f>SUMIFS('📋 Транзакції'!$F$5:$F$3623,'📋 Транзакції'!$B$5:$B$3623,A587,'📋 Транзакції'!$C$5:$C$3623,"&gt;="&amp;EDATE(DATEVALUE(C587&amp;"-01"),3),'📋 Транзакції'!$C$5:$C$3623,"&lt;"&amp;EDATE(DATEVALUE(C587&amp;"-01"),4))</f>
        <v>0</v>
      </c>
      <c r="W587" s="37">
        <f>SUMIFS('📋 Транзакції'!$F$5:$F$3623,'📋 Транзакції'!$B$5:$B$3623,A587,'📋 Транзакції'!$C$5:$C$3623,"&gt;="&amp;EDATE(DATEVALUE(C587&amp;"-01"),4),'📋 Транзакції'!$C$5:$C$3623,"&lt;"&amp;EDATE(DATEVALUE(C587&amp;"-01"),5))</f>
        <v>0</v>
      </c>
      <c r="X587" s="37">
        <f>SUMIFS('📋 Транзакції'!$F$5:$F$3623,'📋 Транзакції'!$B$5:$B$3623,A587,'📋 Транзакції'!$C$5:$C$3623,"&gt;="&amp;EDATE(DATEVALUE(C587&amp;"-01"),5),'📋 Транзакції'!$C$5:$C$3623,"&lt;"&amp;EDATE(DATEVALUE(C587&amp;"-01"),6))</f>
        <v>0</v>
      </c>
      <c r="Y587" s="37">
        <f>SUMIFS('📋 Транзакції'!$F$5:$F$3623,'📋 Транзакції'!$B$5:$B$3623,A587,'📋 Транзакції'!$C$5:$C$3623,"&gt;="&amp;EDATE(DATEVALUE(C587&amp;"-01"),6),'📋 Транзакції'!$C$5:$C$3623,"&lt;"&amp;EDATE(DATEVALUE(C587&amp;"-01"),7))</f>
        <v>0</v>
      </c>
      <c r="Z587" s="37">
        <f>SUMIFS('📋 Транзакції'!$F$5:$F$3623,'📋 Транзакції'!$B$5:$B$3623,A587,'📋 Транзакції'!$C$5:$C$3623,"&gt;="&amp;EDATE(DATEVALUE(C587&amp;"-01"),7),'📋 Транзакції'!$C$5:$C$3623,"&lt;"&amp;EDATE(DATEVALUE(C587&amp;"-01"),8))</f>
        <v>0</v>
      </c>
      <c r="AA587" s="37">
        <f>SUMIFS('📋 Транзакції'!$F$5:$F$3623,'📋 Транзакції'!$B$5:$B$3623,A587,'📋 Транзакції'!$C$5:$C$3623,"&gt;="&amp;EDATE(DATEVALUE(C587&amp;"-01"),8),'📋 Транзакції'!$C$5:$C$3623,"&lt;"&amp;EDATE(DATEVALUE(C587&amp;"-01"),9))</f>
        <v>0</v>
      </c>
      <c r="AB587" s="37">
        <f>SUMIFS('📋 Транзакції'!$F$5:$F$3623,'📋 Транзакції'!$B$5:$B$3623,A587,'📋 Транзакції'!$C$5:$C$3623,"&gt;="&amp;EDATE(DATEVALUE(C587&amp;"-01"),9),'📋 Транзакції'!$C$5:$C$3623,"&lt;"&amp;EDATE(DATEVALUE(C587&amp;"-01"),10))</f>
        <v>0</v>
      </c>
      <c r="AC587" s="37">
        <f>SUMIFS('📋 Транзакції'!$F$5:$F$3623,'📋 Транзакції'!$B$5:$B$3623,A587,'📋 Транзакції'!$C$5:$C$3623,"&gt;="&amp;EDATE(DATEVALUE(C587&amp;"-01"),10),'📋 Транзакції'!$C$5:$C$3623,"&lt;"&amp;EDATE(DATEVALUE(C587&amp;"-01"),11))</f>
        <v>0</v>
      </c>
      <c r="AD587" s="37">
        <f>SUMIFS('📋 Транзакції'!$F$5:$F$3623,'📋 Транзакції'!$B$5:$B$3623,A587,'📋 Транзакції'!$C$5:$C$3623,"&gt;="&amp;EDATE(DATEVALUE(C587&amp;"-01"),11),'📋 Транзакції'!$C$5:$C$3623,"&lt;"&amp;EDATE(DATEVALUE(C587&amp;"-01"),12))</f>
        <v>0</v>
      </c>
    </row>
    <row r="588" ht="15.75" customHeight="1">
      <c r="A588" s="33" t="str">
        <f>'📋 Реєстрації'!A588:A1189</f>
        <v>U0141</v>
      </c>
      <c r="B588" s="34">
        <f t="array" ref="B588">INDEX('📋 Транзакції'!$C$5:$C$3623,MATCH(A588,'📋 Транзакції'!$B$5:$B$3623,0))</f>
        <v>45733</v>
      </c>
      <c r="C588" s="35" t="str">
        <f t="shared" si="1"/>
        <v>2025-03</v>
      </c>
      <c r="D588" s="36">
        <f>COUNTIF('📋 Транзакції'!$B$5:$B$3623,A588)</f>
        <v>2</v>
      </c>
      <c r="E588" s="36">
        <f>SUMIF('📋 Транзакції'!$B$5:$B$3623,A588,'📋 Транзакції'!$F$5:$F$3623)</f>
        <v>19.99</v>
      </c>
      <c r="F588" s="35">
        <f>INT($A$1-MAXIFS('📋 Транзакції'!$C$5:$C$3623,'📋 Транзакції'!$B$5:$B$3623,A588))</f>
        <v>7</v>
      </c>
      <c r="G588" s="37">
        <f>IF(COUNTIFS('📋 Транзакції'!$B$5:$B$3623,A588,'📋 Транзакції'!$C$5:$C$3623,"&gt;="&amp;EDATE(DATEVALUE(C588&amp;"-01"),0),'📋 Транзакції'!$C$5:$C$3623,"&lt;"&amp;EDATE(DATEVALUE(C588&amp;"-01"),1))&gt;0,1,0)</f>
        <v>1</v>
      </c>
      <c r="H588" s="37">
        <f>IF(COUNTIFS('📋 Транзакції'!$B$5:$B$3623,A588,'📋 Транзакції'!$C$5:$C$3623,"&gt;="&amp;EDATE(DATEVALUE(C588&amp;"-01"),1),'📋 Транзакції'!$C$5:$C$3623,"&lt;"&amp;EDATE(DATEVALUE(C588&amp;"-01"),2))&gt;0,1,0)</f>
        <v>0</v>
      </c>
      <c r="I588" s="37">
        <f>IF(COUNTIFS('📋 Транзакції'!$B$5:$B$3623,A588,'📋 Транзакції'!$C$5:$C$3623,"&gt;="&amp;EDATE(DATEVALUE(C588&amp;"-01"),2),'📋 Транзакції'!$C$5:$C$3623,"&lt;"&amp;EDATE(DATEVALUE(C588&amp;"-01"),3))&gt;0,1,0)</f>
        <v>0</v>
      </c>
      <c r="J588" s="37">
        <f>IF(COUNTIFS('📋 Транзакції'!$B$5:$B$3623,A588,'📋 Транзакції'!$C$5:$C$3623,"&gt;="&amp;EDATE(DATEVALUE(C588&amp;"-01"),3),'📋 Транзакції'!$C$5:$C$3623,"&lt;"&amp;EDATE(DATEVALUE(C588&amp;"-01"),4))&gt;0,1,0)</f>
        <v>0</v>
      </c>
      <c r="K588" s="37">
        <f>IF(COUNTIFS('📋 Транзакції'!$B$5:$B$3623,A588,'📋 Транзакції'!$C$5:$C$3623,"&gt;="&amp;EDATE(DATEVALUE(C588&amp;"-01"),4),'📋 Транзакції'!$C$5:$C$3623,"&lt;"&amp;EDATE(DATEVALUE(C588&amp;"-01"),5))&gt;0,1,0)</f>
        <v>0</v>
      </c>
      <c r="L588" s="37">
        <f>IF(COUNTIFS('📋 Транзакції'!$B$5:$B$3623,A588,'📋 Транзакції'!$C$5:$C$3623,"&gt;="&amp;EDATE(DATEVALUE(C588&amp;"-01"),5),'📋 Транзакції'!$C$5:$C$3623,"&lt;"&amp;EDATE(DATEVALUE(C588&amp;"-01"),6))&gt;0,1,0)</f>
        <v>0</v>
      </c>
      <c r="M588" s="37">
        <f>IF(COUNTIFS('📋 Транзакції'!$B$5:$B$3623,A588,'📋 Транзакції'!$C$5:$C$3623,"&gt;="&amp;EDATE(DATEVALUE(C588&amp;"-01"),6),'📋 Транзакції'!$C$5:$C$3623,"&lt;"&amp;EDATE(DATEVALUE(C588&amp;"-01"),7))&gt;0,1,0)</f>
        <v>0</v>
      </c>
      <c r="N588" s="37">
        <f>IF(COUNTIFS('📋 Транзакції'!$B$5:$B$3623,A588,'📋 Транзакції'!$C$5:$C$3623,"&gt;="&amp;EDATE(DATEVALUE(C588&amp;"-01"),7),'📋 Транзакції'!$C$5:$C$3623,"&lt;"&amp;EDATE(DATEVALUE(C588&amp;"-01"),8))&gt;0,1,0)</f>
        <v>0</v>
      </c>
      <c r="O588" s="37">
        <f>IF(COUNTIFS('📋 Транзакції'!$B$5:$B$3623,A588,'📋 Транзакції'!$C$5:$C$3623,"&gt;="&amp;EDATE(DATEVALUE(C588&amp;"-01"),8),'📋 Транзакції'!$C$5:$C$3623,"&lt;"&amp;EDATE(DATEVALUE(C588&amp;"-01"),9))&gt;0,1,0)</f>
        <v>0</v>
      </c>
      <c r="P588" s="37">
        <f>IF(COUNTIFS('📋 Транзакції'!$B$5:$B$3623,A588,'📋 Транзакції'!$C$5:$C$3623,"&gt;="&amp;EDATE(DATEVALUE(C588&amp;"-01"),9),'📋 Транзакції'!$C$5:$C$3623,"&lt;"&amp;EDATE(DATEVALUE(C588&amp;"-01"),10))&gt;0,1,0)</f>
        <v>0</v>
      </c>
      <c r="Q588" s="37">
        <f>IF(COUNTIFS('📋 Транзакції'!$B$5:$B$3623,A588,'📋 Транзакції'!$C$5:$C$3623,"&gt;="&amp;EDATE(DATEVALUE(C588&amp;"-01"),10),'📋 Транзакції'!$C$5:$C$3623,"&lt;"&amp;EDATE(DATEVALUE(C588&amp;"-01"),11))&gt;0,1,0)</f>
        <v>0</v>
      </c>
      <c r="R588" s="37">
        <f>IF(COUNTIFS('📋 Транзакції'!$B$5:$B$3623,A588,'📋 Транзакції'!$C$5:$C$3623,"&gt;="&amp;EDATE(DATEVALUE(C588&amp;"-01"),11),'📋 Транзакції'!$C$5:$C$3623,"&lt;"&amp;EDATE(DATEVALUE(C588&amp;"-01"),12))&gt;0,1,0)</f>
        <v>0</v>
      </c>
      <c r="S588" s="37">
        <f>SUMIFS('📋 Транзакції'!$F$5:$F$3623,'📋 Транзакції'!$B$5:$B$3623,A588,'📋 Транзакції'!$C$5:$C$3623,"&gt;="&amp;EDATE(DATEVALUE(C588&amp;"-01"),0),'📋 Транзакції'!$C$5:$C$3623,"&lt;"&amp;EDATE(DATEVALUE(C588&amp;"-01"),1))</f>
        <v>19.99</v>
      </c>
      <c r="T588" s="37">
        <f>SUMIFS('📋 Транзакції'!$F$5:$F$3623,'📋 Транзакції'!$B$5:$B$3623,A588,'📋 Транзакції'!$C$5:$C$3623,"&gt;="&amp;EDATE(DATEVALUE(C588&amp;"-01"),1),'📋 Транзакції'!$C$5:$C$3623,"&lt;"&amp;EDATE(DATEVALUE(C588&amp;"-01"),2))</f>
        <v>0</v>
      </c>
      <c r="U588" s="37">
        <f>SUMIFS('📋 Транзакції'!$F$5:$F$3623,'📋 Транзакції'!$B$5:$B$3623,A588,'📋 Транзакції'!$C$5:$C$3623,"&gt;="&amp;EDATE(DATEVALUE(C588&amp;"-01"),2),'📋 Транзакції'!$C$5:$C$3623,"&lt;"&amp;EDATE(DATEVALUE(C588&amp;"-01"),3))</f>
        <v>0</v>
      </c>
      <c r="V588" s="37">
        <f>SUMIFS('📋 Транзакції'!$F$5:$F$3623,'📋 Транзакції'!$B$5:$B$3623,A588,'📋 Транзакції'!$C$5:$C$3623,"&gt;="&amp;EDATE(DATEVALUE(C588&amp;"-01"),3),'📋 Транзакції'!$C$5:$C$3623,"&lt;"&amp;EDATE(DATEVALUE(C588&amp;"-01"),4))</f>
        <v>0</v>
      </c>
      <c r="W588" s="37">
        <f>SUMIFS('📋 Транзакції'!$F$5:$F$3623,'📋 Транзакції'!$B$5:$B$3623,A588,'📋 Транзакції'!$C$5:$C$3623,"&gt;="&amp;EDATE(DATEVALUE(C588&amp;"-01"),4),'📋 Транзакції'!$C$5:$C$3623,"&lt;"&amp;EDATE(DATEVALUE(C588&amp;"-01"),5))</f>
        <v>0</v>
      </c>
      <c r="X588" s="37">
        <f>SUMIFS('📋 Транзакції'!$F$5:$F$3623,'📋 Транзакції'!$B$5:$B$3623,A588,'📋 Транзакції'!$C$5:$C$3623,"&gt;="&amp;EDATE(DATEVALUE(C588&amp;"-01"),5),'📋 Транзакції'!$C$5:$C$3623,"&lt;"&amp;EDATE(DATEVALUE(C588&amp;"-01"),6))</f>
        <v>0</v>
      </c>
      <c r="Y588" s="37">
        <f>SUMIFS('📋 Транзакції'!$F$5:$F$3623,'📋 Транзакції'!$B$5:$B$3623,A588,'📋 Транзакції'!$C$5:$C$3623,"&gt;="&amp;EDATE(DATEVALUE(C588&amp;"-01"),6),'📋 Транзакції'!$C$5:$C$3623,"&lt;"&amp;EDATE(DATEVALUE(C588&amp;"-01"),7))</f>
        <v>0</v>
      </c>
      <c r="Z588" s="37">
        <f>SUMIFS('📋 Транзакції'!$F$5:$F$3623,'📋 Транзакції'!$B$5:$B$3623,A588,'📋 Транзакції'!$C$5:$C$3623,"&gt;="&amp;EDATE(DATEVALUE(C588&amp;"-01"),7),'📋 Транзакції'!$C$5:$C$3623,"&lt;"&amp;EDATE(DATEVALUE(C588&amp;"-01"),8))</f>
        <v>0</v>
      </c>
      <c r="AA588" s="37">
        <f>SUMIFS('📋 Транзакції'!$F$5:$F$3623,'📋 Транзакції'!$B$5:$B$3623,A588,'📋 Транзакції'!$C$5:$C$3623,"&gt;="&amp;EDATE(DATEVALUE(C588&amp;"-01"),8),'📋 Транзакції'!$C$5:$C$3623,"&lt;"&amp;EDATE(DATEVALUE(C588&amp;"-01"),9))</f>
        <v>0</v>
      </c>
      <c r="AB588" s="37">
        <f>SUMIFS('📋 Транзакції'!$F$5:$F$3623,'📋 Транзакції'!$B$5:$B$3623,A588,'📋 Транзакції'!$C$5:$C$3623,"&gt;="&amp;EDATE(DATEVALUE(C588&amp;"-01"),9),'📋 Транзакції'!$C$5:$C$3623,"&lt;"&amp;EDATE(DATEVALUE(C588&amp;"-01"),10))</f>
        <v>0</v>
      </c>
      <c r="AC588" s="37">
        <f>SUMIFS('📋 Транзакції'!$F$5:$F$3623,'📋 Транзакції'!$B$5:$B$3623,A588,'📋 Транзакції'!$C$5:$C$3623,"&gt;="&amp;EDATE(DATEVALUE(C588&amp;"-01"),10),'📋 Транзакції'!$C$5:$C$3623,"&lt;"&amp;EDATE(DATEVALUE(C588&amp;"-01"),11))</f>
        <v>0</v>
      </c>
      <c r="AD588" s="37">
        <f>SUMIFS('📋 Транзакції'!$F$5:$F$3623,'📋 Транзакції'!$B$5:$B$3623,A588,'📋 Транзакції'!$C$5:$C$3623,"&gt;="&amp;EDATE(DATEVALUE(C588&amp;"-01"),11),'📋 Транзакції'!$C$5:$C$3623,"&lt;"&amp;EDATE(DATEVALUE(C588&amp;"-01"),12))</f>
        <v>0</v>
      </c>
    </row>
    <row r="589" ht="15.75" customHeight="1">
      <c r="A589" s="33" t="str">
        <f>'📋 Реєстрації'!A589:A1190</f>
        <v>U0470</v>
      </c>
      <c r="B589" s="34">
        <f t="array" ref="B589">INDEX('📋 Транзакції'!$C$5:$C$3623,MATCH(A589,'📋 Транзакції'!$B$5:$B$3623,0))</f>
        <v>45733</v>
      </c>
      <c r="C589" s="35" t="str">
        <f t="shared" si="1"/>
        <v>2025-03</v>
      </c>
      <c r="D589" s="36">
        <f>COUNTIF('📋 Транзакції'!$B$5:$B$3623,A589)</f>
        <v>2</v>
      </c>
      <c r="E589" s="36">
        <f>SUMIF('📋 Транзакції'!$B$5:$B$3623,A589,'📋 Транзакції'!$F$5:$F$3623)</f>
        <v>19.99</v>
      </c>
      <c r="F589" s="35">
        <f>INT($A$1-MAXIFS('📋 Транзакції'!$C$5:$C$3623,'📋 Транзакції'!$B$5:$B$3623,A589))</f>
        <v>7</v>
      </c>
      <c r="G589" s="37">
        <f>IF(COUNTIFS('📋 Транзакції'!$B$5:$B$3623,A589,'📋 Транзакції'!$C$5:$C$3623,"&gt;="&amp;EDATE(DATEVALUE(C589&amp;"-01"),0),'📋 Транзакції'!$C$5:$C$3623,"&lt;"&amp;EDATE(DATEVALUE(C589&amp;"-01"),1))&gt;0,1,0)</f>
        <v>1</v>
      </c>
      <c r="H589" s="37">
        <f>IF(COUNTIFS('📋 Транзакції'!$B$5:$B$3623,A589,'📋 Транзакції'!$C$5:$C$3623,"&gt;="&amp;EDATE(DATEVALUE(C589&amp;"-01"),1),'📋 Транзакції'!$C$5:$C$3623,"&lt;"&amp;EDATE(DATEVALUE(C589&amp;"-01"),2))&gt;0,1,0)</f>
        <v>0</v>
      </c>
      <c r="I589" s="37">
        <f>IF(COUNTIFS('📋 Транзакції'!$B$5:$B$3623,A589,'📋 Транзакції'!$C$5:$C$3623,"&gt;="&amp;EDATE(DATEVALUE(C589&amp;"-01"),2),'📋 Транзакції'!$C$5:$C$3623,"&lt;"&amp;EDATE(DATEVALUE(C589&amp;"-01"),3))&gt;0,1,0)</f>
        <v>0</v>
      </c>
      <c r="J589" s="37">
        <f>IF(COUNTIFS('📋 Транзакції'!$B$5:$B$3623,A589,'📋 Транзакції'!$C$5:$C$3623,"&gt;="&amp;EDATE(DATEVALUE(C589&amp;"-01"),3),'📋 Транзакції'!$C$5:$C$3623,"&lt;"&amp;EDATE(DATEVALUE(C589&amp;"-01"),4))&gt;0,1,0)</f>
        <v>0</v>
      </c>
      <c r="K589" s="37">
        <f>IF(COUNTIFS('📋 Транзакції'!$B$5:$B$3623,A589,'📋 Транзакції'!$C$5:$C$3623,"&gt;="&amp;EDATE(DATEVALUE(C589&amp;"-01"),4),'📋 Транзакції'!$C$5:$C$3623,"&lt;"&amp;EDATE(DATEVALUE(C589&amp;"-01"),5))&gt;0,1,0)</f>
        <v>0</v>
      </c>
      <c r="L589" s="37">
        <f>IF(COUNTIFS('📋 Транзакції'!$B$5:$B$3623,A589,'📋 Транзакції'!$C$5:$C$3623,"&gt;="&amp;EDATE(DATEVALUE(C589&amp;"-01"),5),'📋 Транзакції'!$C$5:$C$3623,"&lt;"&amp;EDATE(DATEVALUE(C589&amp;"-01"),6))&gt;0,1,0)</f>
        <v>0</v>
      </c>
      <c r="M589" s="37">
        <f>IF(COUNTIFS('📋 Транзакції'!$B$5:$B$3623,A589,'📋 Транзакції'!$C$5:$C$3623,"&gt;="&amp;EDATE(DATEVALUE(C589&amp;"-01"),6),'📋 Транзакції'!$C$5:$C$3623,"&lt;"&amp;EDATE(DATEVALUE(C589&amp;"-01"),7))&gt;0,1,0)</f>
        <v>0</v>
      </c>
      <c r="N589" s="37">
        <f>IF(COUNTIFS('📋 Транзакції'!$B$5:$B$3623,A589,'📋 Транзакції'!$C$5:$C$3623,"&gt;="&amp;EDATE(DATEVALUE(C589&amp;"-01"),7),'📋 Транзакції'!$C$5:$C$3623,"&lt;"&amp;EDATE(DATEVALUE(C589&amp;"-01"),8))&gt;0,1,0)</f>
        <v>0</v>
      </c>
      <c r="O589" s="37">
        <f>IF(COUNTIFS('📋 Транзакції'!$B$5:$B$3623,A589,'📋 Транзакції'!$C$5:$C$3623,"&gt;="&amp;EDATE(DATEVALUE(C589&amp;"-01"),8),'📋 Транзакції'!$C$5:$C$3623,"&lt;"&amp;EDATE(DATEVALUE(C589&amp;"-01"),9))&gt;0,1,0)</f>
        <v>0</v>
      </c>
      <c r="P589" s="37">
        <f>IF(COUNTIFS('📋 Транзакції'!$B$5:$B$3623,A589,'📋 Транзакції'!$C$5:$C$3623,"&gt;="&amp;EDATE(DATEVALUE(C589&amp;"-01"),9),'📋 Транзакції'!$C$5:$C$3623,"&lt;"&amp;EDATE(DATEVALUE(C589&amp;"-01"),10))&gt;0,1,0)</f>
        <v>0</v>
      </c>
      <c r="Q589" s="37">
        <f>IF(COUNTIFS('📋 Транзакції'!$B$5:$B$3623,A589,'📋 Транзакції'!$C$5:$C$3623,"&gt;="&amp;EDATE(DATEVALUE(C589&amp;"-01"),10),'📋 Транзакції'!$C$5:$C$3623,"&lt;"&amp;EDATE(DATEVALUE(C589&amp;"-01"),11))&gt;0,1,0)</f>
        <v>0</v>
      </c>
      <c r="R589" s="37">
        <f>IF(COUNTIFS('📋 Транзакції'!$B$5:$B$3623,A589,'📋 Транзакції'!$C$5:$C$3623,"&gt;="&amp;EDATE(DATEVALUE(C589&amp;"-01"),11),'📋 Транзакції'!$C$5:$C$3623,"&lt;"&amp;EDATE(DATEVALUE(C589&amp;"-01"),12))&gt;0,1,0)</f>
        <v>0</v>
      </c>
      <c r="S589" s="37">
        <f>SUMIFS('📋 Транзакції'!$F$5:$F$3623,'📋 Транзакції'!$B$5:$B$3623,A589,'📋 Транзакції'!$C$5:$C$3623,"&gt;="&amp;EDATE(DATEVALUE(C589&amp;"-01"),0),'📋 Транзакції'!$C$5:$C$3623,"&lt;"&amp;EDATE(DATEVALUE(C589&amp;"-01"),1))</f>
        <v>19.99</v>
      </c>
      <c r="T589" s="37">
        <f>SUMIFS('📋 Транзакції'!$F$5:$F$3623,'📋 Транзакції'!$B$5:$B$3623,A589,'📋 Транзакції'!$C$5:$C$3623,"&gt;="&amp;EDATE(DATEVALUE(C589&amp;"-01"),1),'📋 Транзакції'!$C$5:$C$3623,"&lt;"&amp;EDATE(DATEVALUE(C589&amp;"-01"),2))</f>
        <v>0</v>
      </c>
      <c r="U589" s="37">
        <f>SUMIFS('📋 Транзакції'!$F$5:$F$3623,'📋 Транзакції'!$B$5:$B$3623,A589,'📋 Транзакції'!$C$5:$C$3623,"&gt;="&amp;EDATE(DATEVALUE(C589&amp;"-01"),2),'📋 Транзакції'!$C$5:$C$3623,"&lt;"&amp;EDATE(DATEVALUE(C589&amp;"-01"),3))</f>
        <v>0</v>
      </c>
      <c r="V589" s="37">
        <f>SUMIFS('📋 Транзакції'!$F$5:$F$3623,'📋 Транзакції'!$B$5:$B$3623,A589,'📋 Транзакції'!$C$5:$C$3623,"&gt;="&amp;EDATE(DATEVALUE(C589&amp;"-01"),3),'📋 Транзакції'!$C$5:$C$3623,"&lt;"&amp;EDATE(DATEVALUE(C589&amp;"-01"),4))</f>
        <v>0</v>
      </c>
      <c r="W589" s="37">
        <f>SUMIFS('📋 Транзакції'!$F$5:$F$3623,'📋 Транзакції'!$B$5:$B$3623,A589,'📋 Транзакції'!$C$5:$C$3623,"&gt;="&amp;EDATE(DATEVALUE(C589&amp;"-01"),4),'📋 Транзакції'!$C$5:$C$3623,"&lt;"&amp;EDATE(DATEVALUE(C589&amp;"-01"),5))</f>
        <v>0</v>
      </c>
      <c r="X589" s="37">
        <f>SUMIFS('📋 Транзакції'!$F$5:$F$3623,'📋 Транзакції'!$B$5:$B$3623,A589,'📋 Транзакції'!$C$5:$C$3623,"&gt;="&amp;EDATE(DATEVALUE(C589&amp;"-01"),5),'📋 Транзакції'!$C$5:$C$3623,"&lt;"&amp;EDATE(DATEVALUE(C589&amp;"-01"),6))</f>
        <v>0</v>
      </c>
      <c r="Y589" s="37">
        <f>SUMIFS('📋 Транзакції'!$F$5:$F$3623,'📋 Транзакції'!$B$5:$B$3623,A589,'📋 Транзакції'!$C$5:$C$3623,"&gt;="&amp;EDATE(DATEVALUE(C589&amp;"-01"),6),'📋 Транзакції'!$C$5:$C$3623,"&lt;"&amp;EDATE(DATEVALUE(C589&amp;"-01"),7))</f>
        <v>0</v>
      </c>
      <c r="Z589" s="37">
        <f>SUMIFS('📋 Транзакції'!$F$5:$F$3623,'📋 Транзакції'!$B$5:$B$3623,A589,'📋 Транзакції'!$C$5:$C$3623,"&gt;="&amp;EDATE(DATEVALUE(C589&amp;"-01"),7),'📋 Транзакції'!$C$5:$C$3623,"&lt;"&amp;EDATE(DATEVALUE(C589&amp;"-01"),8))</f>
        <v>0</v>
      </c>
      <c r="AA589" s="37">
        <f>SUMIFS('📋 Транзакції'!$F$5:$F$3623,'📋 Транзакції'!$B$5:$B$3623,A589,'📋 Транзакції'!$C$5:$C$3623,"&gt;="&amp;EDATE(DATEVALUE(C589&amp;"-01"),8),'📋 Транзакції'!$C$5:$C$3623,"&lt;"&amp;EDATE(DATEVALUE(C589&amp;"-01"),9))</f>
        <v>0</v>
      </c>
      <c r="AB589" s="37">
        <f>SUMIFS('📋 Транзакції'!$F$5:$F$3623,'📋 Транзакції'!$B$5:$B$3623,A589,'📋 Транзакції'!$C$5:$C$3623,"&gt;="&amp;EDATE(DATEVALUE(C589&amp;"-01"),9),'📋 Транзакції'!$C$5:$C$3623,"&lt;"&amp;EDATE(DATEVALUE(C589&amp;"-01"),10))</f>
        <v>0</v>
      </c>
      <c r="AC589" s="37">
        <f>SUMIFS('📋 Транзакції'!$F$5:$F$3623,'📋 Транзакції'!$B$5:$B$3623,A589,'📋 Транзакції'!$C$5:$C$3623,"&gt;="&amp;EDATE(DATEVALUE(C589&amp;"-01"),10),'📋 Транзакції'!$C$5:$C$3623,"&lt;"&amp;EDATE(DATEVALUE(C589&amp;"-01"),11))</f>
        <v>0</v>
      </c>
      <c r="AD589" s="37">
        <f>SUMIFS('📋 Транзакції'!$F$5:$F$3623,'📋 Транзакції'!$B$5:$B$3623,A589,'📋 Транзакції'!$C$5:$C$3623,"&gt;="&amp;EDATE(DATEVALUE(C589&amp;"-01"),11),'📋 Транзакції'!$C$5:$C$3623,"&lt;"&amp;EDATE(DATEVALUE(C589&amp;"-01"),12))</f>
        <v>0</v>
      </c>
    </row>
    <row r="590" ht="15.75" customHeight="1">
      <c r="A590" s="33" t="str">
        <f>'📋 Реєстрації'!A590:A1191</f>
        <v>U0676</v>
      </c>
      <c r="B590" s="34">
        <f t="array" ref="B590">INDEX('📋 Транзакції'!$C$5:$C$3623,MATCH(A590,'📋 Транзакції'!$B$5:$B$3623,0))</f>
        <v>45733</v>
      </c>
      <c r="C590" s="35" t="str">
        <f t="shared" si="1"/>
        <v>2025-03</v>
      </c>
      <c r="D590" s="36">
        <f>COUNTIF('📋 Транзакції'!$B$5:$B$3623,A590)</f>
        <v>2</v>
      </c>
      <c r="E590" s="36">
        <f>SUMIF('📋 Транзакції'!$B$5:$B$3623,A590,'📋 Транзакції'!$F$5:$F$3623)</f>
        <v>19.99</v>
      </c>
      <c r="F590" s="35">
        <f>INT($A$1-MAXIFS('📋 Транзакції'!$C$5:$C$3623,'📋 Транзакції'!$B$5:$B$3623,A590))</f>
        <v>7</v>
      </c>
      <c r="G590" s="37">
        <f>IF(COUNTIFS('📋 Транзакції'!$B$5:$B$3623,A590,'📋 Транзакції'!$C$5:$C$3623,"&gt;="&amp;EDATE(DATEVALUE(C590&amp;"-01"),0),'📋 Транзакції'!$C$5:$C$3623,"&lt;"&amp;EDATE(DATEVALUE(C590&amp;"-01"),1))&gt;0,1,0)</f>
        <v>1</v>
      </c>
      <c r="H590" s="37">
        <f>IF(COUNTIFS('📋 Транзакції'!$B$5:$B$3623,A590,'📋 Транзакції'!$C$5:$C$3623,"&gt;="&amp;EDATE(DATEVALUE(C590&amp;"-01"),1),'📋 Транзакції'!$C$5:$C$3623,"&lt;"&amp;EDATE(DATEVALUE(C590&amp;"-01"),2))&gt;0,1,0)</f>
        <v>0</v>
      </c>
      <c r="I590" s="37">
        <f>IF(COUNTIFS('📋 Транзакції'!$B$5:$B$3623,A590,'📋 Транзакції'!$C$5:$C$3623,"&gt;="&amp;EDATE(DATEVALUE(C590&amp;"-01"),2),'📋 Транзакції'!$C$5:$C$3623,"&lt;"&amp;EDATE(DATEVALUE(C590&amp;"-01"),3))&gt;0,1,0)</f>
        <v>0</v>
      </c>
      <c r="J590" s="37">
        <f>IF(COUNTIFS('📋 Транзакції'!$B$5:$B$3623,A590,'📋 Транзакції'!$C$5:$C$3623,"&gt;="&amp;EDATE(DATEVALUE(C590&amp;"-01"),3),'📋 Транзакції'!$C$5:$C$3623,"&lt;"&amp;EDATE(DATEVALUE(C590&amp;"-01"),4))&gt;0,1,0)</f>
        <v>0</v>
      </c>
      <c r="K590" s="37">
        <f>IF(COUNTIFS('📋 Транзакції'!$B$5:$B$3623,A590,'📋 Транзакції'!$C$5:$C$3623,"&gt;="&amp;EDATE(DATEVALUE(C590&amp;"-01"),4),'📋 Транзакції'!$C$5:$C$3623,"&lt;"&amp;EDATE(DATEVALUE(C590&amp;"-01"),5))&gt;0,1,0)</f>
        <v>0</v>
      </c>
      <c r="L590" s="37">
        <f>IF(COUNTIFS('📋 Транзакції'!$B$5:$B$3623,A590,'📋 Транзакції'!$C$5:$C$3623,"&gt;="&amp;EDATE(DATEVALUE(C590&amp;"-01"),5),'📋 Транзакції'!$C$5:$C$3623,"&lt;"&amp;EDATE(DATEVALUE(C590&amp;"-01"),6))&gt;0,1,0)</f>
        <v>0</v>
      </c>
      <c r="M590" s="37">
        <f>IF(COUNTIFS('📋 Транзакції'!$B$5:$B$3623,A590,'📋 Транзакції'!$C$5:$C$3623,"&gt;="&amp;EDATE(DATEVALUE(C590&amp;"-01"),6),'📋 Транзакції'!$C$5:$C$3623,"&lt;"&amp;EDATE(DATEVALUE(C590&amp;"-01"),7))&gt;0,1,0)</f>
        <v>0</v>
      </c>
      <c r="N590" s="37">
        <f>IF(COUNTIFS('📋 Транзакції'!$B$5:$B$3623,A590,'📋 Транзакції'!$C$5:$C$3623,"&gt;="&amp;EDATE(DATEVALUE(C590&amp;"-01"),7),'📋 Транзакції'!$C$5:$C$3623,"&lt;"&amp;EDATE(DATEVALUE(C590&amp;"-01"),8))&gt;0,1,0)</f>
        <v>0</v>
      </c>
      <c r="O590" s="37">
        <f>IF(COUNTIFS('📋 Транзакції'!$B$5:$B$3623,A590,'📋 Транзакції'!$C$5:$C$3623,"&gt;="&amp;EDATE(DATEVALUE(C590&amp;"-01"),8),'📋 Транзакції'!$C$5:$C$3623,"&lt;"&amp;EDATE(DATEVALUE(C590&amp;"-01"),9))&gt;0,1,0)</f>
        <v>0</v>
      </c>
      <c r="P590" s="37">
        <f>IF(COUNTIFS('📋 Транзакції'!$B$5:$B$3623,A590,'📋 Транзакції'!$C$5:$C$3623,"&gt;="&amp;EDATE(DATEVALUE(C590&amp;"-01"),9),'📋 Транзакції'!$C$5:$C$3623,"&lt;"&amp;EDATE(DATEVALUE(C590&amp;"-01"),10))&gt;0,1,0)</f>
        <v>0</v>
      </c>
      <c r="Q590" s="37">
        <f>IF(COUNTIFS('📋 Транзакції'!$B$5:$B$3623,A590,'📋 Транзакції'!$C$5:$C$3623,"&gt;="&amp;EDATE(DATEVALUE(C590&amp;"-01"),10),'📋 Транзакції'!$C$5:$C$3623,"&lt;"&amp;EDATE(DATEVALUE(C590&amp;"-01"),11))&gt;0,1,0)</f>
        <v>0</v>
      </c>
      <c r="R590" s="37">
        <f>IF(COUNTIFS('📋 Транзакції'!$B$5:$B$3623,A590,'📋 Транзакції'!$C$5:$C$3623,"&gt;="&amp;EDATE(DATEVALUE(C590&amp;"-01"),11),'📋 Транзакції'!$C$5:$C$3623,"&lt;"&amp;EDATE(DATEVALUE(C590&amp;"-01"),12))&gt;0,1,0)</f>
        <v>0</v>
      </c>
      <c r="S590" s="37">
        <f>SUMIFS('📋 Транзакції'!$F$5:$F$3623,'📋 Транзакції'!$B$5:$B$3623,A590,'📋 Транзакції'!$C$5:$C$3623,"&gt;="&amp;EDATE(DATEVALUE(C590&amp;"-01"),0),'📋 Транзакції'!$C$5:$C$3623,"&lt;"&amp;EDATE(DATEVALUE(C590&amp;"-01"),1))</f>
        <v>19.99</v>
      </c>
      <c r="T590" s="37">
        <f>SUMIFS('📋 Транзакції'!$F$5:$F$3623,'📋 Транзакції'!$B$5:$B$3623,A590,'📋 Транзакції'!$C$5:$C$3623,"&gt;="&amp;EDATE(DATEVALUE(C590&amp;"-01"),1),'📋 Транзакції'!$C$5:$C$3623,"&lt;"&amp;EDATE(DATEVALUE(C590&amp;"-01"),2))</f>
        <v>0</v>
      </c>
      <c r="U590" s="37">
        <f>SUMIFS('📋 Транзакції'!$F$5:$F$3623,'📋 Транзакції'!$B$5:$B$3623,A590,'📋 Транзакції'!$C$5:$C$3623,"&gt;="&amp;EDATE(DATEVALUE(C590&amp;"-01"),2),'📋 Транзакції'!$C$5:$C$3623,"&lt;"&amp;EDATE(DATEVALUE(C590&amp;"-01"),3))</f>
        <v>0</v>
      </c>
      <c r="V590" s="37">
        <f>SUMIFS('📋 Транзакції'!$F$5:$F$3623,'📋 Транзакції'!$B$5:$B$3623,A590,'📋 Транзакції'!$C$5:$C$3623,"&gt;="&amp;EDATE(DATEVALUE(C590&amp;"-01"),3),'📋 Транзакції'!$C$5:$C$3623,"&lt;"&amp;EDATE(DATEVALUE(C590&amp;"-01"),4))</f>
        <v>0</v>
      </c>
      <c r="W590" s="37">
        <f>SUMIFS('📋 Транзакції'!$F$5:$F$3623,'📋 Транзакції'!$B$5:$B$3623,A590,'📋 Транзакції'!$C$5:$C$3623,"&gt;="&amp;EDATE(DATEVALUE(C590&amp;"-01"),4),'📋 Транзакції'!$C$5:$C$3623,"&lt;"&amp;EDATE(DATEVALUE(C590&amp;"-01"),5))</f>
        <v>0</v>
      </c>
      <c r="X590" s="37">
        <f>SUMIFS('📋 Транзакції'!$F$5:$F$3623,'📋 Транзакції'!$B$5:$B$3623,A590,'📋 Транзакції'!$C$5:$C$3623,"&gt;="&amp;EDATE(DATEVALUE(C590&amp;"-01"),5),'📋 Транзакції'!$C$5:$C$3623,"&lt;"&amp;EDATE(DATEVALUE(C590&amp;"-01"),6))</f>
        <v>0</v>
      </c>
      <c r="Y590" s="37">
        <f>SUMIFS('📋 Транзакції'!$F$5:$F$3623,'📋 Транзакції'!$B$5:$B$3623,A590,'📋 Транзакції'!$C$5:$C$3623,"&gt;="&amp;EDATE(DATEVALUE(C590&amp;"-01"),6),'📋 Транзакції'!$C$5:$C$3623,"&lt;"&amp;EDATE(DATEVALUE(C590&amp;"-01"),7))</f>
        <v>0</v>
      </c>
      <c r="Z590" s="37">
        <f>SUMIFS('📋 Транзакції'!$F$5:$F$3623,'📋 Транзакції'!$B$5:$B$3623,A590,'📋 Транзакції'!$C$5:$C$3623,"&gt;="&amp;EDATE(DATEVALUE(C590&amp;"-01"),7),'📋 Транзакції'!$C$5:$C$3623,"&lt;"&amp;EDATE(DATEVALUE(C590&amp;"-01"),8))</f>
        <v>0</v>
      </c>
      <c r="AA590" s="37">
        <f>SUMIFS('📋 Транзакції'!$F$5:$F$3623,'📋 Транзакції'!$B$5:$B$3623,A590,'📋 Транзакції'!$C$5:$C$3623,"&gt;="&amp;EDATE(DATEVALUE(C590&amp;"-01"),8),'📋 Транзакції'!$C$5:$C$3623,"&lt;"&amp;EDATE(DATEVALUE(C590&amp;"-01"),9))</f>
        <v>0</v>
      </c>
      <c r="AB590" s="37">
        <f>SUMIFS('📋 Транзакції'!$F$5:$F$3623,'📋 Транзакції'!$B$5:$B$3623,A590,'📋 Транзакції'!$C$5:$C$3623,"&gt;="&amp;EDATE(DATEVALUE(C590&amp;"-01"),9),'📋 Транзакції'!$C$5:$C$3623,"&lt;"&amp;EDATE(DATEVALUE(C590&amp;"-01"),10))</f>
        <v>0</v>
      </c>
      <c r="AC590" s="37">
        <f>SUMIFS('📋 Транзакції'!$F$5:$F$3623,'📋 Транзакції'!$B$5:$B$3623,A590,'📋 Транзакції'!$C$5:$C$3623,"&gt;="&amp;EDATE(DATEVALUE(C590&amp;"-01"),10),'📋 Транзакції'!$C$5:$C$3623,"&lt;"&amp;EDATE(DATEVALUE(C590&amp;"-01"),11))</f>
        <v>0</v>
      </c>
      <c r="AD590" s="37">
        <f>SUMIFS('📋 Транзакції'!$F$5:$F$3623,'📋 Транзакції'!$B$5:$B$3623,A590,'📋 Транзакції'!$C$5:$C$3623,"&gt;="&amp;EDATE(DATEVALUE(C590&amp;"-01"),11),'📋 Транзакції'!$C$5:$C$3623,"&lt;"&amp;EDATE(DATEVALUE(C590&amp;"-01"),12))</f>
        <v>0</v>
      </c>
    </row>
    <row r="591" ht="15.75" customHeight="1">
      <c r="A591" s="33" t="str">
        <f>'📋 Реєстрації'!A591:A1192</f>
        <v>U0685</v>
      </c>
      <c r="B591" s="34">
        <f t="array" ref="B591">INDEX('📋 Транзакції'!$C$5:$C$3623,MATCH(A591,'📋 Транзакції'!$B$5:$B$3623,0))</f>
        <v>45733</v>
      </c>
      <c r="C591" s="35" t="str">
        <f t="shared" si="1"/>
        <v>2025-03</v>
      </c>
      <c r="D591" s="36">
        <f>COUNTIF('📋 Транзакції'!$B$5:$B$3623,A591)</f>
        <v>2</v>
      </c>
      <c r="E591" s="36">
        <f>SUMIF('📋 Транзакції'!$B$5:$B$3623,A591,'📋 Транзакції'!$F$5:$F$3623)</f>
        <v>19.99</v>
      </c>
      <c r="F591" s="35">
        <f>INT($A$1-MAXIFS('📋 Транзакції'!$C$5:$C$3623,'📋 Транзакції'!$B$5:$B$3623,A591))</f>
        <v>7</v>
      </c>
      <c r="G591" s="37">
        <f>IF(COUNTIFS('📋 Транзакції'!$B$5:$B$3623,A591,'📋 Транзакції'!$C$5:$C$3623,"&gt;="&amp;EDATE(DATEVALUE(C591&amp;"-01"),0),'📋 Транзакції'!$C$5:$C$3623,"&lt;"&amp;EDATE(DATEVALUE(C591&amp;"-01"),1))&gt;0,1,0)</f>
        <v>1</v>
      </c>
      <c r="H591" s="37">
        <f>IF(COUNTIFS('📋 Транзакції'!$B$5:$B$3623,A591,'📋 Транзакції'!$C$5:$C$3623,"&gt;="&amp;EDATE(DATEVALUE(C591&amp;"-01"),1),'📋 Транзакції'!$C$5:$C$3623,"&lt;"&amp;EDATE(DATEVALUE(C591&amp;"-01"),2))&gt;0,1,0)</f>
        <v>0</v>
      </c>
      <c r="I591" s="37">
        <f>IF(COUNTIFS('📋 Транзакції'!$B$5:$B$3623,A591,'📋 Транзакції'!$C$5:$C$3623,"&gt;="&amp;EDATE(DATEVALUE(C591&amp;"-01"),2),'📋 Транзакції'!$C$5:$C$3623,"&lt;"&amp;EDATE(DATEVALUE(C591&amp;"-01"),3))&gt;0,1,0)</f>
        <v>0</v>
      </c>
      <c r="J591" s="37">
        <f>IF(COUNTIFS('📋 Транзакції'!$B$5:$B$3623,A591,'📋 Транзакції'!$C$5:$C$3623,"&gt;="&amp;EDATE(DATEVALUE(C591&amp;"-01"),3),'📋 Транзакції'!$C$5:$C$3623,"&lt;"&amp;EDATE(DATEVALUE(C591&amp;"-01"),4))&gt;0,1,0)</f>
        <v>0</v>
      </c>
      <c r="K591" s="37">
        <f>IF(COUNTIFS('📋 Транзакції'!$B$5:$B$3623,A591,'📋 Транзакції'!$C$5:$C$3623,"&gt;="&amp;EDATE(DATEVALUE(C591&amp;"-01"),4),'📋 Транзакції'!$C$5:$C$3623,"&lt;"&amp;EDATE(DATEVALUE(C591&amp;"-01"),5))&gt;0,1,0)</f>
        <v>0</v>
      </c>
      <c r="L591" s="37">
        <f>IF(COUNTIFS('📋 Транзакції'!$B$5:$B$3623,A591,'📋 Транзакції'!$C$5:$C$3623,"&gt;="&amp;EDATE(DATEVALUE(C591&amp;"-01"),5),'📋 Транзакції'!$C$5:$C$3623,"&lt;"&amp;EDATE(DATEVALUE(C591&amp;"-01"),6))&gt;0,1,0)</f>
        <v>0</v>
      </c>
      <c r="M591" s="37">
        <f>IF(COUNTIFS('📋 Транзакції'!$B$5:$B$3623,A591,'📋 Транзакції'!$C$5:$C$3623,"&gt;="&amp;EDATE(DATEVALUE(C591&amp;"-01"),6),'📋 Транзакції'!$C$5:$C$3623,"&lt;"&amp;EDATE(DATEVALUE(C591&amp;"-01"),7))&gt;0,1,0)</f>
        <v>0</v>
      </c>
      <c r="N591" s="37">
        <f>IF(COUNTIFS('📋 Транзакції'!$B$5:$B$3623,A591,'📋 Транзакції'!$C$5:$C$3623,"&gt;="&amp;EDATE(DATEVALUE(C591&amp;"-01"),7),'📋 Транзакції'!$C$5:$C$3623,"&lt;"&amp;EDATE(DATEVALUE(C591&amp;"-01"),8))&gt;0,1,0)</f>
        <v>0</v>
      </c>
      <c r="O591" s="37">
        <f>IF(COUNTIFS('📋 Транзакції'!$B$5:$B$3623,A591,'📋 Транзакції'!$C$5:$C$3623,"&gt;="&amp;EDATE(DATEVALUE(C591&amp;"-01"),8),'📋 Транзакції'!$C$5:$C$3623,"&lt;"&amp;EDATE(DATEVALUE(C591&amp;"-01"),9))&gt;0,1,0)</f>
        <v>0</v>
      </c>
      <c r="P591" s="37">
        <f>IF(COUNTIFS('📋 Транзакції'!$B$5:$B$3623,A591,'📋 Транзакції'!$C$5:$C$3623,"&gt;="&amp;EDATE(DATEVALUE(C591&amp;"-01"),9),'📋 Транзакції'!$C$5:$C$3623,"&lt;"&amp;EDATE(DATEVALUE(C591&amp;"-01"),10))&gt;0,1,0)</f>
        <v>0</v>
      </c>
      <c r="Q591" s="37">
        <f>IF(COUNTIFS('📋 Транзакції'!$B$5:$B$3623,A591,'📋 Транзакції'!$C$5:$C$3623,"&gt;="&amp;EDATE(DATEVALUE(C591&amp;"-01"),10),'📋 Транзакції'!$C$5:$C$3623,"&lt;"&amp;EDATE(DATEVALUE(C591&amp;"-01"),11))&gt;0,1,0)</f>
        <v>0</v>
      </c>
      <c r="R591" s="37">
        <f>IF(COUNTIFS('📋 Транзакції'!$B$5:$B$3623,A591,'📋 Транзакції'!$C$5:$C$3623,"&gt;="&amp;EDATE(DATEVALUE(C591&amp;"-01"),11),'📋 Транзакції'!$C$5:$C$3623,"&lt;"&amp;EDATE(DATEVALUE(C591&amp;"-01"),12))&gt;0,1,0)</f>
        <v>0</v>
      </c>
      <c r="S591" s="37">
        <f>SUMIFS('📋 Транзакції'!$F$5:$F$3623,'📋 Транзакції'!$B$5:$B$3623,A591,'📋 Транзакції'!$C$5:$C$3623,"&gt;="&amp;EDATE(DATEVALUE(C591&amp;"-01"),0),'📋 Транзакції'!$C$5:$C$3623,"&lt;"&amp;EDATE(DATEVALUE(C591&amp;"-01"),1))</f>
        <v>19.99</v>
      </c>
      <c r="T591" s="37">
        <f>SUMIFS('📋 Транзакції'!$F$5:$F$3623,'📋 Транзакції'!$B$5:$B$3623,A591,'📋 Транзакції'!$C$5:$C$3623,"&gt;="&amp;EDATE(DATEVALUE(C591&amp;"-01"),1),'📋 Транзакції'!$C$5:$C$3623,"&lt;"&amp;EDATE(DATEVALUE(C591&amp;"-01"),2))</f>
        <v>0</v>
      </c>
      <c r="U591" s="37">
        <f>SUMIFS('📋 Транзакції'!$F$5:$F$3623,'📋 Транзакції'!$B$5:$B$3623,A591,'📋 Транзакції'!$C$5:$C$3623,"&gt;="&amp;EDATE(DATEVALUE(C591&amp;"-01"),2),'📋 Транзакції'!$C$5:$C$3623,"&lt;"&amp;EDATE(DATEVALUE(C591&amp;"-01"),3))</f>
        <v>0</v>
      </c>
      <c r="V591" s="37">
        <f>SUMIFS('📋 Транзакції'!$F$5:$F$3623,'📋 Транзакції'!$B$5:$B$3623,A591,'📋 Транзакції'!$C$5:$C$3623,"&gt;="&amp;EDATE(DATEVALUE(C591&amp;"-01"),3),'📋 Транзакції'!$C$5:$C$3623,"&lt;"&amp;EDATE(DATEVALUE(C591&amp;"-01"),4))</f>
        <v>0</v>
      </c>
      <c r="W591" s="37">
        <f>SUMIFS('📋 Транзакції'!$F$5:$F$3623,'📋 Транзакції'!$B$5:$B$3623,A591,'📋 Транзакції'!$C$5:$C$3623,"&gt;="&amp;EDATE(DATEVALUE(C591&amp;"-01"),4),'📋 Транзакції'!$C$5:$C$3623,"&lt;"&amp;EDATE(DATEVALUE(C591&amp;"-01"),5))</f>
        <v>0</v>
      </c>
      <c r="X591" s="37">
        <f>SUMIFS('📋 Транзакції'!$F$5:$F$3623,'📋 Транзакції'!$B$5:$B$3623,A591,'📋 Транзакції'!$C$5:$C$3623,"&gt;="&amp;EDATE(DATEVALUE(C591&amp;"-01"),5),'📋 Транзакції'!$C$5:$C$3623,"&lt;"&amp;EDATE(DATEVALUE(C591&amp;"-01"),6))</f>
        <v>0</v>
      </c>
      <c r="Y591" s="37">
        <f>SUMIFS('📋 Транзакції'!$F$5:$F$3623,'📋 Транзакції'!$B$5:$B$3623,A591,'📋 Транзакції'!$C$5:$C$3623,"&gt;="&amp;EDATE(DATEVALUE(C591&amp;"-01"),6),'📋 Транзакції'!$C$5:$C$3623,"&lt;"&amp;EDATE(DATEVALUE(C591&amp;"-01"),7))</f>
        <v>0</v>
      </c>
      <c r="Z591" s="37">
        <f>SUMIFS('📋 Транзакції'!$F$5:$F$3623,'📋 Транзакції'!$B$5:$B$3623,A591,'📋 Транзакції'!$C$5:$C$3623,"&gt;="&amp;EDATE(DATEVALUE(C591&amp;"-01"),7),'📋 Транзакції'!$C$5:$C$3623,"&lt;"&amp;EDATE(DATEVALUE(C591&amp;"-01"),8))</f>
        <v>0</v>
      </c>
      <c r="AA591" s="37">
        <f>SUMIFS('📋 Транзакції'!$F$5:$F$3623,'📋 Транзакції'!$B$5:$B$3623,A591,'📋 Транзакції'!$C$5:$C$3623,"&gt;="&amp;EDATE(DATEVALUE(C591&amp;"-01"),8),'📋 Транзакції'!$C$5:$C$3623,"&lt;"&amp;EDATE(DATEVALUE(C591&amp;"-01"),9))</f>
        <v>0</v>
      </c>
      <c r="AB591" s="37">
        <f>SUMIFS('📋 Транзакції'!$F$5:$F$3623,'📋 Транзакції'!$B$5:$B$3623,A591,'📋 Транзакції'!$C$5:$C$3623,"&gt;="&amp;EDATE(DATEVALUE(C591&amp;"-01"),9),'📋 Транзакції'!$C$5:$C$3623,"&lt;"&amp;EDATE(DATEVALUE(C591&amp;"-01"),10))</f>
        <v>0</v>
      </c>
      <c r="AC591" s="37">
        <f>SUMIFS('📋 Транзакції'!$F$5:$F$3623,'📋 Транзакції'!$B$5:$B$3623,A591,'📋 Транзакції'!$C$5:$C$3623,"&gt;="&amp;EDATE(DATEVALUE(C591&amp;"-01"),10),'📋 Транзакції'!$C$5:$C$3623,"&lt;"&amp;EDATE(DATEVALUE(C591&amp;"-01"),11))</f>
        <v>0</v>
      </c>
      <c r="AD591" s="37">
        <f>SUMIFS('📋 Транзакції'!$F$5:$F$3623,'📋 Транзакції'!$B$5:$B$3623,A591,'📋 Транзакції'!$C$5:$C$3623,"&gt;="&amp;EDATE(DATEVALUE(C591&amp;"-01"),11),'📋 Транзакції'!$C$5:$C$3623,"&lt;"&amp;EDATE(DATEVALUE(C591&amp;"-01"),12))</f>
        <v>0</v>
      </c>
    </row>
    <row r="592" ht="15.75" customHeight="1">
      <c r="A592" s="33" t="str">
        <f>'📋 Реєстрації'!A592:A1193</f>
        <v>U0135</v>
      </c>
      <c r="B592" s="34">
        <f t="array" ref="B592">INDEX('📋 Транзакції'!$C$5:$C$3623,MATCH(A592,'📋 Транзакції'!$B$5:$B$3623,0))</f>
        <v>45734</v>
      </c>
      <c r="C592" s="35" t="str">
        <f t="shared" si="1"/>
        <v>2025-03</v>
      </c>
      <c r="D592" s="36">
        <f>COUNTIF('📋 Транзакції'!$B$5:$B$3623,A592)</f>
        <v>2</v>
      </c>
      <c r="E592" s="36">
        <f>SUMIF('📋 Транзакції'!$B$5:$B$3623,A592,'📋 Транзакції'!$F$5:$F$3623)</f>
        <v>19.99</v>
      </c>
      <c r="F592" s="35">
        <f>INT($A$1-MAXIFS('📋 Транзакції'!$C$5:$C$3623,'📋 Транзакції'!$B$5:$B$3623,A592))</f>
        <v>6</v>
      </c>
      <c r="G592" s="37">
        <f>IF(COUNTIFS('📋 Транзакції'!$B$5:$B$3623,A592,'📋 Транзакції'!$C$5:$C$3623,"&gt;="&amp;EDATE(DATEVALUE(C592&amp;"-01"),0),'📋 Транзакції'!$C$5:$C$3623,"&lt;"&amp;EDATE(DATEVALUE(C592&amp;"-01"),1))&gt;0,1,0)</f>
        <v>1</v>
      </c>
      <c r="H592" s="37">
        <f>IF(COUNTIFS('📋 Транзакції'!$B$5:$B$3623,A592,'📋 Транзакції'!$C$5:$C$3623,"&gt;="&amp;EDATE(DATEVALUE(C592&amp;"-01"),1),'📋 Транзакції'!$C$5:$C$3623,"&lt;"&amp;EDATE(DATEVALUE(C592&amp;"-01"),2))&gt;0,1,0)</f>
        <v>0</v>
      </c>
      <c r="I592" s="37">
        <f>IF(COUNTIFS('📋 Транзакції'!$B$5:$B$3623,A592,'📋 Транзакції'!$C$5:$C$3623,"&gt;="&amp;EDATE(DATEVALUE(C592&amp;"-01"),2),'📋 Транзакції'!$C$5:$C$3623,"&lt;"&amp;EDATE(DATEVALUE(C592&amp;"-01"),3))&gt;0,1,0)</f>
        <v>0</v>
      </c>
      <c r="J592" s="37">
        <f>IF(COUNTIFS('📋 Транзакції'!$B$5:$B$3623,A592,'📋 Транзакції'!$C$5:$C$3623,"&gt;="&amp;EDATE(DATEVALUE(C592&amp;"-01"),3),'📋 Транзакції'!$C$5:$C$3623,"&lt;"&amp;EDATE(DATEVALUE(C592&amp;"-01"),4))&gt;0,1,0)</f>
        <v>0</v>
      </c>
      <c r="K592" s="37">
        <f>IF(COUNTIFS('📋 Транзакції'!$B$5:$B$3623,A592,'📋 Транзакції'!$C$5:$C$3623,"&gt;="&amp;EDATE(DATEVALUE(C592&amp;"-01"),4),'📋 Транзакції'!$C$5:$C$3623,"&lt;"&amp;EDATE(DATEVALUE(C592&amp;"-01"),5))&gt;0,1,0)</f>
        <v>0</v>
      </c>
      <c r="L592" s="37">
        <f>IF(COUNTIFS('📋 Транзакції'!$B$5:$B$3623,A592,'📋 Транзакції'!$C$5:$C$3623,"&gt;="&amp;EDATE(DATEVALUE(C592&amp;"-01"),5),'📋 Транзакції'!$C$5:$C$3623,"&lt;"&amp;EDATE(DATEVALUE(C592&amp;"-01"),6))&gt;0,1,0)</f>
        <v>0</v>
      </c>
      <c r="M592" s="37">
        <f>IF(COUNTIFS('📋 Транзакції'!$B$5:$B$3623,A592,'📋 Транзакції'!$C$5:$C$3623,"&gt;="&amp;EDATE(DATEVALUE(C592&amp;"-01"),6),'📋 Транзакції'!$C$5:$C$3623,"&lt;"&amp;EDATE(DATEVALUE(C592&amp;"-01"),7))&gt;0,1,0)</f>
        <v>0</v>
      </c>
      <c r="N592" s="37">
        <f>IF(COUNTIFS('📋 Транзакції'!$B$5:$B$3623,A592,'📋 Транзакції'!$C$5:$C$3623,"&gt;="&amp;EDATE(DATEVALUE(C592&amp;"-01"),7),'📋 Транзакції'!$C$5:$C$3623,"&lt;"&amp;EDATE(DATEVALUE(C592&amp;"-01"),8))&gt;0,1,0)</f>
        <v>0</v>
      </c>
      <c r="O592" s="37">
        <f>IF(COUNTIFS('📋 Транзакції'!$B$5:$B$3623,A592,'📋 Транзакції'!$C$5:$C$3623,"&gt;="&amp;EDATE(DATEVALUE(C592&amp;"-01"),8),'📋 Транзакції'!$C$5:$C$3623,"&lt;"&amp;EDATE(DATEVALUE(C592&amp;"-01"),9))&gt;0,1,0)</f>
        <v>0</v>
      </c>
      <c r="P592" s="37">
        <f>IF(COUNTIFS('📋 Транзакції'!$B$5:$B$3623,A592,'📋 Транзакції'!$C$5:$C$3623,"&gt;="&amp;EDATE(DATEVALUE(C592&amp;"-01"),9),'📋 Транзакції'!$C$5:$C$3623,"&lt;"&amp;EDATE(DATEVALUE(C592&amp;"-01"),10))&gt;0,1,0)</f>
        <v>0</v>
      </c>
      <c r="Q592" s="37">
        <f>IF(COUNTIFS('📋 Транзакції'!$B$5:$B$3623,A592,'📋 Транзакції'!$C$5:$C$3623,"&gt;="&amp;EDATE(DATEVALUE(C592&amp;"-01"),10),'📋 Транзакції'!$C$5:$C$3623,"&lt;"&amp;EDATE(DATEVALUE(C592&amp;"-01"),11))&gt;0,1,0)</f>
        <v>0</v>
      </c>
      <c r="R592" s="37">
        <f>IF(COUNTIFS('📋 Транзакції'!$B$5:$B$3623,A592,'📋 Транзакції'!$C$5:$C$3623,"&gt;="&amp;EDATE(DATEVALUE(C592&amp;"-01"),11),'📋 Транзакції'!$C$5:$C$3623,"&lt;"&amp;EDATE(DATEVALUE(C592&amp;"-01"),12))&gt;0,1,0)</f>
        <v>0</v>
      </c>
      <c r="S592" s="37">
        <f>SUMIFS('📋 Транзакції'!$F$5:$F$3623,'📋 Транзакції'!$B$5:$B$3623,A592,'📋 Транзакції'!$C$5:$C$3623,"&gt;="&amp;EDATE(DATEVALUE(C592&amp;"-01"),0),'📋 Транзакції'!$C$5:$C$3623,"&lt;"&amp;EDATE(DATEVALUE(C592&amp;"-01"),1))</f>
        <v>19.99</v>
      </c>
      <c r="T592" s="37">
        <f>SUMIFS('📋 Транзакції'!$F$5:$F$3623,'📋 Транзакції'!$B$5:$B$3623,A592,'📋 Транзакції'!$C$5:$C$3623,"&gt;="&amp;EDATE(DATEVALUE(C592&amp;"-01"),1),'📋 Транзакції'!$C$5:$C$3623,"&lt;"&amp;EDATE(DATEVALUE(C592&amp;"-01"),2))</f>
        <v>0</v>
      </c>
      <c r="U592" s="37">
        <f>SUMIFS('📋 Транзакції'!$F$5:$F$3623,'📋 Транзакції'!$B$5:$B$3623,A592,'📋 Транзакції'!$C$5:$C$3623,"&gt;="&amp;EDATE(DATEVALUE(C592&amp;"-01"),2),'📋 Транзакції'!$C$5:$C$3623,"&lt;"&amp;EDATE(DATEVALUE(C592&amp;"-01"),3))</f>
        <v>0</v>
      </c>
      <c r="V592" s="37">
        <f>SUMIFS('📋 Транзакції'!$F$5:$F$3623,'📋 Транзакції'!$B$5:$B$3623,A592,'📋 Транзакції'!$C$5:$C$3623,"&gt;="&amp;EDATE(DATEVALUE(C592&amp;"-01"),3),'📋 Транзакції'!$C$5:$C$3623,"&lt;"&amp;EDATE(DATEVALUE(C592&amp;"-01"),4))</f>
        <v>0</v>
      </c>
      <c r="W592" s="37">
        <f>SUMIFS('📋 Транзакції'!$F$5:$F$3623,'📋 Транзакції'!$B$5:$B$3623,A592,'📋 Транзакції'!$C$5:$C$3623,"&gt;="&amp;EDATE(DATEVALUE(C592&amp;"-01"),4),'📋 Транзакції'!$C$5:$C$3623,"&lt;"&amp;EDATE(DATEVALUE(C592&amp;"-01"),5))</f>
        <v>0</v>
      </c>
      <c r="X592" s="37">
        <f>SUMIFS('📋 Транзакції'!$F$5:$F$3623,'📋 Транзакції'!$B$5:$B$3623,A592,'📋 Транзакції'!$C$5:$C$3623,"&gt;="&amp;EDATE(DATEVALUE(C592&amp;"-01"),5),'📋 Транзакції'!$C$5:$C$3623,"&lt;"&amp;EDATE(DATEVALUE(C592&amp;"-01"),6))</f>
        <v>0</v>
      </c>
      <c r="Y592" s="37">
        <f>SUMIFS('📋 Транзакції'!$F$5:$F$3623,'📋 Транзакції'!$B$5:$B$3623,A592,'📋 Транзакції'!$C$5:$C$3623,"&gt;="&amp;EDATE(DATEVALUE(C592&amp;"-01"),6),'📋 Транзакції'!$C$5:$C$3623,"&lt;"&amp;EDATE(DATEVALUE(C592&amp;"-01"),7))</f>
        <v>0</v>
      </c>
      <c r="Z592" s="37">
        <f>SUMIFS('📋 Транзакції'!$F$5:$F$3623,'📋 Транзакції'!$B$5:$B$3623,A592,'📋 Транзакції'!$C$5:$C$3623,"&gt;="&amp;EDATE(DATEVALUE(C592&amp;"-01"),7),'📋 Транзакції'!$C$5:$C$3623,"&lt;"&amp;EDATE(DATEVALUE(C592&amp;"-01"),8))</f>
        <v>0</v>
      </c>
      <c r="AA592" s="37">
        <f>SUMIFS('📋 Транзакції'!$F$5:$F$3623,'📋 Транзакції'!$B$5:$B$3623,A592,'📋 Транзакції'!$C$5:$C$3623,"&gt;="&amp;EDATE(DATEVALUE(C592&amp;"-01"),8),'📋 Транзакції'!$C$5:$C$3623,"&lt;"&amp;EDATE(DATEVALUE(C592&amp;"-01"),9))</f>
        <v>0</v>
      </c>
      <c r="AB592" s="37">
        <f>SUMIFS('📋 Транзакції'!$F$5:$F$3623,'📋 Транзакції'!$B$5:$B$3623,A592,'📋 Транзакції'!$C$5:$C$3623,"&gt;="&amp;EDATE(DATEVALUE(C592&amp;"-01"),9),'📋 Транзакції'!$C$5:$C$3623,"&lt;"&amp;EDATE(DATEVALUE(C592&amp;"-01"),10))</f>
        <v>0</v>
      </c>
      <c r="AC592" s="37">
        <f>SUMIFS('📋 Транзакції'!$F$5:$F$3623,'📋 Транзакції'!$B$5:$B$3623,A592,'📋 Транзакції'!$C$5:$C$3623,"&gt;="&amp;EDATE(DATEVALUE(C592&amp;"-01"),10),'📋 Транзакції'!$C$5:$C$3623,"&lt;"&amp;EDATE(DATEVALUE(C592&amp;"-01"),11))</f>
        <v>0</v>
      </c>
      <c r="AD592" s="37">
        <f>SUMIFS('📋 Транзакції'!$F$5:$F$3623,'📋 Транзакції'!$B$5:$B$3623,A592,'📋 Транзакції'!$C$5:$C$3623,"&gt;="&amp;EDATE(DATEVALUE(C592&amp;"-01"),11),'📋 Транзакції'!$C$5:$C$3623,"&lt;"&amp;EDATE(DATEVALUE(C592&amp;"-01"),12))</f>
        <v>0</v>
      </c>
    </row>
    <row r="593" ht="15.75" customHeight="1">
      <c r="A593" s="33" t="str">
        <f>'📋 Реєстрації'!A593:A1194</f>
        <v>U0314</v>
      </c>
      <c r="B593" s="34">
        <f t="array" ref="B593">INDEX('📋 Транзакції'!$C$5:$C$3623,MATCH(A593,'📋 Транзакції'!$B$5:$B$3623,0))</f>
        <v>45734</v>
      </c>
      <c r="C593" s="35" t="str">
        <f t="shared" si="1"/>
        <v>2025-03</v>
      </c>
      <c r="D593" s="36">
        <f>COUNTIF('📋 Транзакції'!$B$5:$B$3623,A593)</f>
        <v>2</v>
      </c>
      <c r="E593" s="36">
        <f>SUMIF('📋 Транзакції'!$B$5:$B$3623,A593,'📋 Транзакції'!$F$5:$F$3623)</f>
        <v>19.99</v>
      </c>
      <c r="F593" s="35">
        <f>INT($A$1-MAXIFS('📋 Транзакції'!$C$5:$C$3623,'📋 Транзакції'!$B$5:$B$3623,A593))</f>
        <v>6</v>
      </c>
      <c r="G593" s="37">
        <f>IF(COUNTIFS('📋 Транзакції'!$B$5:$B$3623,A593,'📋 Транзакції'!$C$5:$C$3623,"&gt;="&amp;EDATE(DATEVALUE(C593&amp;"-01"),0),'📋 Транзакції'!$C$5:$C$3623,"&lt;"&amp;EDATE(DATEVALUE(C593&amp;"-01"),1))&gt;0,1,0)</f>
        <v>1</v>
      </c>
      <c r="H593" s="37">
        <f>IF(COUNTIFS('📋 Транзакції'!$B$5:$B$3623,A593,'📋 Транзакції'!$C$5:$C$3623,"&gt;="&amp;EDATE(DATEVALUE(C593&amp;"-01"),1),'📋 Транзакції'!$C$5:$C$3623,"&lt;"&amp;EDATE(DATEVALUE(C593&amp;"-01"),2))&gt;0,1,0)</f>
        <v>0</v>
      </c>
      <c r="I593" s="37">
        <f>IF(COUNTIFS('📋 Транзакції'!$B$5:$B$3623,A593,'📋 Транзакції'!$C$5:$C$3623,"&gt;="&amp;EDATE(DATEVALUE(C593&amp;"-01"),2),'📋 Транзакції'!$C$5:$C$3623,"&lt;"&amp;EDATE(DATEVALUE(C593&amp;"-01"),3))&gt;0,1,0)</f>
        <v>0</v>
      </c>
      <c r="J593" s="37">
        <f>IF(COUNTIFS('📋 Транзакції'!$B$5:$B$3623,A593,'📋 Транзакції'!$C$5:$C$3623,"&gt;="&amp;EDATE(DATEVALUE(C593&amp;"-01"),3),'📋 Транзакції'!$C$5:$C$3623,"&lt;"&amp;EDATE(DATEVALUE(C593&amp;"-01"),4))&gt;0,1,0)</f>
        <v>0</v>
      </c>
      <c r="K593" s="37">
        <f>IF(COUNTIFS('📋 Транзакції'!$B$5:$B$3623,A593,'📋 Транзакції'!$C$5:$C$3623,"&gt;="&amp;EDATE(DATEVALUE(C593&amp;"-01"),4),'📋 Транзакції'!$C$5:$C$3623,"&lt;"&amp;EDATE(DATEVALUE(C593&amp;"-01"),5))&gt;0,1,0)</f>
        <v>0</v>
      </c>
      <c r="L593" s="37">
        <f>IF(COUNTIFS('📋 Транзакції'!$B$5:$B$3623,A593,'📋 Транзакції'!$C$5:$C$3623,"&gt;="&amp;EDATE(DATEVALUE(C593&amp;"-01"),5),'📋 Транзакції'!$C$5:$C$3623,"&lt;"&amp;EDATE(DATEVALUE(C593&amp;"-01"),6))&gt;0,1,0)</f>
        <v>0</v>
      </c>
      <c r="M593" s="37">
        <f>IF(COUNTIFS('📋 Транзакції'!$B$5:$B$3623,A593,'📋 Транзакції'!$C$5:$C$3623,"&gt;="&amp;EDATE(DATEVALUE(C593&amp;"-01"),6),'📋 Транзакції'!$C$5:$C$3623,"&lt;"&amp;EDATE(DATEVALUE(C593&amp;"-01"),7))&gt;0,1,0)</f>
        <v>0</v>
      </c>
      <c r="N593" s="37">
        <f>IF(COUNTIFS('📋 Транзакції'!$B$5:$B$3623,A593,'📋 Транзакції'!$C$5:$C$3623,"&gt;="&amp;EDATE(DATEVALUE(C593&amp;"-01"),7),'📋 Транзакції'!$C$5:$C$3623,"&lt;"&amp;EDATE(DATEVALUE(C593&amp;"-01"),8))&gt;0,1,0)</f>
        <v>0</v>
      </c>
      <c r="O593" s="37">
        <f>IF(COUNTIFS('📋 Транзакції'!$B$5:$B$3623,A593,'📋 Транзакції'!$C$5:$C$3623,"&gt;="&amp;EDATE(DATEVALUE(C593&amp;"-01"),8),'📋 Транзакції'!$C$5:$C$3623,"&lt;"&amp;EDATE(DATEVALUE(C593&amp;"-01"),9))&gt;0,1,0)</f>
        <v>0</v>
      </c>
      <c r="P593" s="37">
        <f>IF(COUNTIFS('📋 Транзакції'!$B$5:$B$3623,A593,'📋 Транзакції'!$C$5:$C$3623,"&gt;="&amp;EDATE(DATEVALUE(C593&amp;"-01"),9),'📋 Транзакції'!$C$5:$C$3623,"&lt;"&amp;EDATE(DATEVALUE(C593&amp;"-01"),10))&gt;0,1,0)</f>
        <v>0</v>
      </c>
      <c r="Q593" s="37">
        <f>IF(COUNTIFS('📋 Транзакції'!$B$5:$B$3623,A593,'📋 Транзакції'!$C$5:$C$3623,"&gt;="&amp;EDATE(DATEVALUE(C593&amp;"-01"),10),'📋 Транзакції'!$C$5:$C$3623,"&lt;"&amp;EDATE(DATEVALUE(C593&amp;"-01"),11))&gt;0,1,0)</f>
        <v>0</v>
      </c>
      <c r="R593" s="37">
        <f>IF(COUNTIFS('📋 Транзакції'!$B$5:$B$3623,A593,'📋 Транзакції'!$C$5:$C$3623,"&gt;="&amp;EDATE(DATEVALUE(C593&amp;"-01"),11),'📋 Транзакції'!$C$5:$C$3623,"&lt;"&amp;EDATE(DATEVALUE(C593&amp;"-01"),12))&gt;0,1,0)</f>
        <v>0</v>
      </c>
      <c r="S593" s="37">
        <f>SUMIFS('📋 Транзакції'!$F$5:$F$3623,'📋 Транзакції'!$B$5:$B$3623,A593,'📋 Транзакції'!$C$5:$C$3623,"&gt;="&amp;EDATE(DATEVALUE(C593&amp;"-01"),0),'📋 Транзакції'!$C$5:$C$3623,"&lt;"&amp;EDATE(DATEVALUE(C593&amp;"-01"),1))</f>
        <v>19.99</v>
      </c>
      <c r="T593" s="37">
        <f>SUMIFS('📋 Транзакції'!$F$5:$F$3623,'📋 Транзакції'!$B$5:$B$3623,A593,'📋 Транзакції'!$C$5:$C$3623,"&gt;="&amp;EDATE(DATEVALUE(C593&amp;"-01"),1),'📋 Транзакції'!$C$5:$C$3623,"&lt;"&amp;EDATE(DATEVALUE(C593&amp;"-01"),2))</f>
        <v>0</v>
      </c>
      <c r="U593" s="37">
        <f>SUMIFS('📋 Транзакції'!$F$5:$F$3623,'📋 Транзакції'!$B$5:$B$3623,A593,'📋 Транзакції'!$C$5:$C$3623,"&gt;="&amp;EDATE(DATEVALUE(C593&amp;"-01"),2),'📋 Транзакції'!$C$5:$C$3623,"&lt;"&amp;EDATE(DATEVALUE(C593&amp;"-01"),3))</f>
        <v>0</v>
      </c>
      <c r="V593" s="37">
        <f>SUMIFS('📋 Транзакції'!$F$5:$F$3623,'📋 Транзакції'!$B$5:$B$3623,A593,'📋 Транзакції'!$C$5:$C$3623,"&gt;="&amp;EDATE(DATEVALUE(C593&amp;"-01"),3),'📋 Транзакції'!$C$5:$C$3623,"&lt;"&amp;EDATE(DATEVALUE(C593&amp;"-01"),4))</f>
        <v>0</v>
      </c>
      <c r="W593" s="37">
        <f>SUMIFS('📋 Транзакції'!$F$5:$F$3623,'📋 Транзакції'!$B$5:$B$3623,A593,'📋 Транзакції'!$C$5:$C$3623,"&gt;="&amp;EDATE(DATEVALUE(C593&amp;"-01"),4),'📋 Транзакції'!$C$5:$C$3623,"&lt;"&amp;EDATE(DATEVALUE(C593&amp;"-01"),5))</f>
        <v>0</v>
      </c>
      <c r="X593" s="37">
        <f>SUMIFS('📋 Транзакції'!$F$5:$F$3623,'📋 Транзакції'!$B$5:$B$3623,A593,'📋 Транзакції'!$C$5:$C$3623,"&gt;="&amp;EDATE(DATEVALUE(C593&amp;"-01"),5),'📋 Транзакції'!$C$5:$C$3623,"&lt;"&amp;EDATE(DATEVALUE(C593&amp;"-01"),6))</f>
        <v>0</v>
      </c>
      <c r="Y593" s="37">
        <f>SUMIFS('📋 Транзакції'!$F$5:$F$3623,'📋 Транзакції'!$B$5:$B$3623,A593,'📋 Транзакції'!$C$5:$C$3623,"&gt;="&amp;EDATE(DATEVALUE(C593&amp;"-01"),6),'📋 Транзакції'!$C$5:$C$3623,"&lt;"&amp;EDATE(DATEVALUE(C593&amp;"-01"),7))</f>
        <v>0</v>
      </c>
      <c r="Z593" s="37">
        <f>SUMIFS('📋 Транзакції'!$F$5:$F$3623,'📋 Транзакції'!$B$5:$B$3623,A593,'📋 Транзакції'!$C$5:$C$3623,"&gt;="&amp;EDATE(DATEVALUE(C593&amp;"-01"),7),'📋 Транзакції'!$C$5:$C$3623,"&lt;"&amp;EDATE(DATEVALUE(C593&amp;"-01"),8))</f>
        <v>0</v>
      </c>
      <c r="AA593" s="37">
        <f>SUMIFS('📋 Транзакції'!$F$5:$F$3623,'📋 Транзакції'!$B$5:$B$3623,A593,'📋 Транзакції'!$C$5:$C$3623,"&gt;="&amp;EDATE(DATEVALUE(C593&amp;"-01"),8),'📋 Транзакції'!$C$5:$C$3623,"&lt;"&amp;EDATE(DATEVALUE(C593&amp;"-01"),9))</f>
        <v>0</v>
      </c>
      <c r="AB593" s="37">
        <f>SUMIFS('📋 Транзакції'!$F$5:$F$3623,'📋 Транзакції'!$B$5:$B$3623,A593,'📋 Транзакції'!$C$5:$C$3623,"&gt;="&amp;EDATE(DATEVALUE(C593&amp;"-01"),9),'📋 Транзакції'!$C$5:$C$3623,"&lt;"&amp;EDATE(DATEVALUE(C593&amp;"-01"),10))</f>
        <v>0</v>
      </c>
      <c r="AC593" s="37">
        <f>SUMIFS('📋 Транзакції'!$F$5:$F$3623,'📋 Транзакції'!$B$5:$B$3623,A593,'📋 Транзакції'!$C$5:$C$3623,"&gt;="&amp;EDATE(DATEVALUE(C593&amp;"-01"),10),'📋 Транзакції'!$C$5:$C$3623,"&lt;"&amp;EDATE(DATEVALUE(C593&amp;"-01"),11))</f>
        <v>0</v>
      </c>
      <c r="AD593" s="37">
        <f>SUMIFS('📋 Транзакції'!$F$5:$F$3623,'📋 Транзакції'!$B$5:$B$3623,A593,'📋 Транзакції'!$C$5:$C$3623,"&gt;="&amp;EDATE(DATEVALUE(C593&amp;"-01"),11),'📋 Транзакції'!$C$5:$C$3623,"&lt;"&amp;EDATE(DATEVALUE(C593&amp;"-01"),12))</f>
        <v>0</v>
      </c>
    </row>
    <row r="594" ht="15.75" customHeight="1">
      <c r="A594" s="33" t="str">
        <f>'📋 Реєстрації'!A594:A1195</f>
        <v>U0790</v>
      </c>
      <c r="B594" s="34">
        <f t="array" ref="B594">INDEX('📋 Транзакції'!$C$5:$C$3623,MATCH(A594,'📋 Транзакції'!$B$5:$B$3623,0))</f>
        <v>45734</v>
      </c>
      <c r="C594" s="35" t="str">
        <f t="shared" si="1"/>
        <v>2025-03</v>
      </c>
      <c r="D594" s="36">
        <f>COUNTIF('📋 Транзакції'!$B$5:$B$3623,A594)</f>
        <v>2</v>
      </c>
      <c r="E594" s="36">
        <f>SUMIF('📋 Транзакції'!$B$5:$B$3623,A594,'📋 Транзакції'!$F$5:$F$3623)</f>
        <v>19.99</v>
      </c>
      <c r="F594" s="35">
        <f>INT($A$1-MAXIFS('📋 Транзакції'!$C$5:$C$3623,'📋 Транзакції'!$B$5:$B$3623,A594))</f>
        <v>6</v>
      </c>
      <c r="G594" s="37">
        <f>IF(COUNTIFS('📋 Транзакції'!$B$5:$B$3623,A594,'📋 Транзакції'!$C$5:$C$3623,"&gt;="&amp;EDATE(DATEVALUE(C594&amp;"-01"),0),'📋 Транзакції'!$C$5:$C$3623,"&lt;"&amp;EDATE(DATEVALUE(C594&amp;"-01"),1))&gt;0,1,0)</f>
        <v>1</v>
      </c>
      <c r="H594" s="37">
        <f>IF(COUNTIFS('📋 Транзакції'!$B$5:$B$3623,A594,'📋 Транзакції'!$C$5:$C$3623,"&gt;="&amp;EDATE(DATEVALUE(C594&amp;"-01"),1),'📋 Транзакції'!$C$5:$C$3623,"&lt;"&amp;EDATE(DATEVALUE(C594&amp;"-01"),2))&gt;0,1,0)</f>
        <v>0</v>
      </c>
      <c r="I594" s="37">
        <f>IF(COUNTIFS('📋 Транзакції'!$B$5:$B$3623,A594,'📋 Транзакції'!$C$5:$C$3623,"&gt;="&amp;EDATE(DATEVALUE(C594&amp;"-01"),2),'📋 Транзакції'!$C$5:$C$3623,"&lt;"&amp;EDATE(DATEVALUE(C594&amp;"-01"),3))&gt;0,1,0)</f>
        <v>0</v>
      </c>
      <c r="J594" s="37">
        <f>IF(COUNTIFS('📋 Транзакції'!$B$5:$B$3623,A594,'📋 Транзакції'!$C$5:$C$3623,"&gt;="&amp;EDATE(DATEVALUE(C594&amp;"-01"),3),'📋 Транзакції'!$C$5:$C$3623,"&lt;"&amp;EDATE(DATEVALUE(C594&amp;"-01"),4))&gt;0,1,0)</f>
        <v>0</v>
      </c>
      <c r="K594" s="37">
        <f>IF(COUNTIFS('📋 Транзакції'!$B$5:$B$3623,A594,'📋 Транзакції'!$C$5:$C$3623,"&gt;="&amp;EDATE(DATEVALUE(C594&amp;"-01"),4),'📋 Транзакції'!$C$5:$C$3623,"&lt;"&amp;EDATE(DATEVALUE(C594&amp;"-01"),5))&gt;0,1,0)</f>
        <v>0</v>
      </c>
      <c r="L594" s="37">
        <f>IF(COUNTIFS('📋 Транзакції'!$B$5:$B$3623,A594,'📋 Транзакції'!$C$5:$C$3623,"&gt;="&amp;EDATE(DATEVALUE(C594&amp;"-01"),5),'📋 Транзакції'!$C$5:$C$3623,"&lt;"&amp;EDATE(DATEVALUE(C594&amp;"-01"),6))&gt;0,1,0)</f>
        <v>0</v>
      </c>
      <c r="M594" s="37">
        <f>IF(COUNTIFS('📋 Транзакції'!$B$5:$B$3623,A594,'📋 Транзакції'!$C$5:$C$3623,"&gt;="&amp;EDATE(DATEVALUE(C594&amp;"-01"),6),'📋 Транзакції'!$C$5:$C$3623,"&lt;"&amp;EDATE(DATEVALUE(C594&amp;"-01"),7))&gt;0,1,0)</f>
        <v>0</v>
      </c>
      <c r="N594" s="37">
        <f>IF(COUNTIFS('📋 Транзакції'!$B$5:$B$3623,A594,'📋 Транзакції'!$C$5:$C$3623,"&gt;="&amp;EDATE(DATEVALUE(C594&amp;"-01"),7),'📋 Транзакції'!$C$5:$C$3623,"&lt;"&amp;EDATE(DATEVALUE(C594&amp;"-01"),8))&gt;0,1,0)</f>
        <v>0</v>
      </c>
      <c r="O594" s="37">
        <f>IF(COUNTIFS('📋 Транзакції'!$B$5:$B$3623,A594,'📋 Транзакції'!$C$5:$C$3623,"&gt;="&amp;EDATE(DATEVALUE(C594&amp;"-01"),8),'📋 Транзакції'!$C$5:$C$3623,"&lt;"&amp;EDATE(DATEVALUE(C594&amp;"-01"),9))&gt;0,1,0)</f>
        <v>0</v>
      </c>
      <c r="P594" s="37">
        <f>IF(COUNTIFS('📋 Транзакції'!$B$5:$B$3623,A594,'📋 Транзакції'!$C$5:$C$3623,"&gt;="&amp;EDATE(DATEVALUE(C594&amp;"-01"),9),'📋 Транзакції'!$C$5:$C$3623,"&lt;"&amp;EDATE(DATEVALUE(C594&amp;"-01"),10))&gt;0,1,0)</f>
        <v>0</v>
      </c>
      <c r="Q594" s="37">
        <f>IF(COUNTIFS('📋 Транзакції'!$B$5:$B$3623,A594,'📋 Транзакції'!$C$5:$C$3623,"&gt;="&amp;EDATE(DATEVALUE(C594&amp;"-01"),10),'📋 Транзакції'!$C$5:$C$3623,"&lt;"&amp;EDATE(DATEVALUE(C594&amp;"-01"),11))&gt;0,1,0)</f>
        <v>0</v>
      </c>
      <c r="R594" s="37">
        <f>IF(COUNTIFS('📋 Транзакції'!$B$5:$B$3623,A594,'📋 Транзакції'!$C$5:$C$3623,"&gt;="&amp;EDATE(DATEVALUE(C594&amp;"-01"),11),'📋 Транзакції'!$C$5:$C$3623,"&lt;"&amp;EDATE(DATEVALUE(C594&amp;"-01"),12))&gt;0,1,0)</f>
        <v>0</v>
      </c>
      <c r="S594" s="37">
        <f>SUMIFS('📋 Транзакції'!$F$5:$F$3623,'📋 Транзакції'!$B$5:$B$3623,A594,'📋 Транзакції'!$C$5:$C$3623,"&gt;="&amp;EDATE(DATEVALUE(C594&amp;"-01"),0),'📋 Транзакції'!$C$5:$C$3623,"&lt;"&amp;EDATE(DATEVALUE(C594&amp;"-01"),1))</f>
        <v>19.99</v>
      </c>
      <c r="T594" s="37">
        <f>SUMIFS('📋 Транзакції'!$F$5:$F$3623,'📋 Транзакції'!$B$5:$B$3623,A594,'📋 Транзакції'!$C$5:$C$3623,"&gt;="&amp;EDATE(DATEVALUE(C594&amp;"-01"),1),'📋 Транзакції'!$C$5:$C$3623,"&lt;"&amp;EDATE(DATEVALUE(C594&amp;"-01"),2))</f>
        <v>0</v>
      </c>
      <c r="U594" s="37">
        <f>SUMIFS('📋 Транзакції'!$F$5:$F$3623,'📋 Транзакції'!$B$5:$B$3623,A594,'📋 Транзакції'!$C$5:$C$3623,"&gt;="&amp;EDATE(DATEVALUE(C594&amp;"-01"),2),'📋 Транзакції'!$C$5:$C$3623,"&lt;"&amp;EDATE(DATEVALUE(C594&amp;"-01"),3))</f>
        <v>0</v>
      </c>
      <c r="V594" s="37">
        <f>SUMIFS('📋 Транзакції'!$F$5:$F$3623,'📋 Транзакції'!$B$5:$B$3623,A594,'📋 Транзакції'!$C$5:$C$3623,"&gt;="&amp;EDATE(DATEVALUE(C594&amp;"-01"),3),'📋 Транзакції'!$C$5:$C$3623,"&lt;"&amp;EDATE(DATEVALUE(C594&amp;"-01"),4))</f>
        <v>0</v>
      </c>
      <c r="W594" s="37">
        <f>SUMIFS('📋 Транзакції'!$F$5:$F$3623,'📋 Транзакції'!$B$5:$B$3623,A594,'📋 Транзакції'!$C$5:$C$3623,"&gt;="&amp;EDATE(DATEVALUE(C594&amp;"-01"),4),'📋 Транзакції'!$C$5:$C$3623,"&lt;"&amp;EDATE(DATEVALUE(C594&amp;"-01"),5))</f>
        <v>0</v>
      </c>
      <c r="X594" s="37">
        <f>SUMIFS('📋 Транзакції'!$F$5:$F$3623,'📋 Транзакції'!$B$5:$B$3623,A594,'📋 Транзакції'!$C$5:$C$3623,"&gt;="&amp;EDATE(DATEVALUE(C594&amp;"-01"),5),'📋 Транзакції'!$C$5:$C$3623,"&lt;"&amp;EDATE(DATEVALUE(C594&amp;"-01"),6))</f>
        <v>0</v>
      </c>
      <c r="Y594" s="37">
        <f>SUMIFS('📋 Транзакції'!$F$5:$F$3623,'📋 Транзакції'!$B$5:$B$3623,A594,'📋 Транзакції'!$C$5:$C$3623,"&gt;="&amp;EDATE(DATEVALUE(C594&amp;"-01"),6),'📋 Транзакції'!$C$5:$C$3623,"&lt;"&amp;EDATE(DATEVALUE(C594&amp;"-01"),7))</f>
        <v>0</v>
      </c>
      <c r="Z594" s="37">
        <f>SUMIFS('📋 Транзакції'!$F$5:$F$3623,'📋 Транзакції'!$B$5:$B$3623,A594,'📋 Транзакції'!$C$5:$C$3623,"&gt;="&amp;EDATE(DATEVALUE(C594&amp;"-01"),7),'📋 Транзакції'!$C$5:$C$3623,"&lt;"&amp;EDATE(DATEVALUE(C594&amp;"-01"),8))</f>
        <v>0</v>
      </c>
      <c r="AA594" s="37">
        <f>SUMIFS('📋 Транзакції'!$F$5:$F$3623,'📋 Транзакції'!$B$5:$B$3623,A594,'📋 Транзакції'!$C$5:$C$3623,"&gt;="&amp;EDATE(DATEVALUE(C594&amp;"-01"),8),'📋 Транзакції'!$C$5:$C$3623,"&lt;"&amp;EDATE(DATEVALUE(C594&amp;"-01"),9))</f>
        <v>0</v>
      </c>
      <c r="AB594" s="37">
        <f>SUMIFS('📋 Транзакції'!$F$5:$F$3623,'📋 Транзакції'!$B$5:$B$3623,A594,'📋 Транзакції'!$C$5:$C$3623,"&gt;="&amp;EDATE(DATEVALUE(C594&amp;"-01"),9),'📋 Транзакції'!$C$5:$C$3623,"&lt;"&amp;EDATE(DATEVALUE(C594&amp;"-01"),10))</f>
        <v>0</v>
      </c>
      <c r="AC594" s="37">
        <f>SUMIFS('📋 Транзакції'!$F$5:$F$3623,'📋 Транзакції'!$B$5:$B$3623,A594,'📋 Транзакції'!$C$5:$C$3623,"&gt;="&amp;EDATE(DATEVALUE(C594&amp;"-01"),10),'📋 Транзакції'!$C$5:$C$3623,"&lt;"&amp;EDATE(DATEVALUE(C594&amp;"-01"),11))</f>
        <v>0</v>
      </c>
      <c r="AD594" s="37">
        <f>SUMIFS('📋 Транзакції'!$F$5:$F$3623,'📋 Транзакції'!$B$5:$B$3623,A594,'📋 Транзакції'!$C$5:$C$3623,"&gt;="&amp;EDATE(DATEVALUE(C594&amp;"-01"),11),'📋 Транзакції'!$C$5:$C$3623,"&lt;"&amp;EDATE(DATEVALUE(C594&amp;"-01"),12))</f>
        <v>0</v>
      </c>
    </row>
    <row r="595" ht="15.75" customHeight="1">
      <c r="A595" s="33" t="str">
        <f>'📋 Реєстрації'!A595:A1196</f>
        <v>U0242</v>
      </c>
      <c r="B595" s="34">
        <f t="array" ref="B595">INDEX('📋 Транзакції'!$C$5:$C$3623,MATCH(A595,'📋 Транзакції'!$B$5:$B$3623,0))</f>
        <v>45735</v>
      </c>
      <c r="C595" s="35" t="str">
        <f t="shared" si="1"/>
        <v>2025-03</v>
      </c>
      <c r="D595" s="36">
        <f>COUNTIF('📋 Транзакції'!$B$5:$B$3623,A595)</f>
        <v>2</v>
      </c>
      <c r="E595" s="36">
        <f>SUMIF('📋 Транзакції'!$B$5:$B$3623,A595,'📋 Транзакції'!$F$5:$F$3623)</f>
        <v>19.99</v>
      </c>
      <c r="F595" s="35">
        <f>INT($A$1-MAXIFS('📋 Транзакції'!$C$5:$C$3623,'📋 Транзакції'!$B$5:$B$3623,A595))</f>
        <v>5</v>
      </c>
      <c r="G595" s="37">
        <f>IF(COUNTIFS('📋 Транзакції'!$B$5:$B$3623,A595,'📋 Транзакції'!$C$5:$C$3623,"&gt;="&amp;EDATE(DATEVALUE(C595&amp;"-01"),0),'📋 Транзакції'!$C$5:$C$3623,"&lt;"&amp;EDATE(DATEVALUE(C595&amp;"-01"),1))&gt;0,1,0)</f>
        <v>1</v>
      </c>
      <c r="H595" s="37">
        <f>IF(COUNTIFS('📋 Транзакції'!$B$5:$B$3623,A595,'📋 Транзакції'!$C$5:$C$3623,"&gt;="&amp;EDATE(DATEVALUE(C595&amp;"-01"),1),'📋 Транзакції'!$C$5:$C$3623,"&lt;"&amp;EDATE(DATEVALUE(C595&amp;"-01"),2))&gt;0,1,0)</f>
        <v>0</v>
      </c>
      <c r="I595" s="37">
        <f>IF(COUNTIFS('📋 Транзакції'!$B$5:$B$3623,A595,'📋 Транзакції'!$C$5:$C$3623,"&gt;="&amp;EDATE(DATEVALUE(C595&amp;"-01"),2),'📋 Транзакції'!$C$5:$C$3623,"&lt;"&amp;EDATE(DATEVALUE(C595&amp;"-01"),3))&gt;0,1,0)</f>
        <v>0</v>
      </c>
      <c r="J595" s="37">
        <f>IF(COUNTIFS('📋 Транзакції'!$B$5:$B$3623,A595,'📋 Транзакції'!$C$5:$C$3623,"&gt;="&amp;EDATE(DATEVALUE(C595&amp;"-01"),3),'📋 Транзакції'!$C$5:$C$3623,"&lt;"&amp;EDATE(DATEVALUE(C595&amp;"-01"),4))&gt;0,1,0)</f>
        <v>0</v>
      </c>
      <c r="K595" s="37">
        <f>IF(COUNTIFS('📋 Транзакції'!$B$5:$B$3623,A595,'📋 Транзакції'!$C$5:$C$3623,"&gt;="&amp;EDATE(DATEVALUE(C595&amp;"-01"),4),'📋 Транзакції'!$C$5:$C$3623,"&lt;"&amp;EDATE(DATEVALUE(C595&amp;"-01"),5))&gt;0,1,0)</f>
        <v>0</v>
      </c>
      <c r="L595" s="37">
        <f>IF(COUNTIFS('📋 Транзакції'!$B$5:$B$3623,A595,'📋 Транзакції'!$C$5:$C$3623,"&gt;="&amp;EDATE(DATEVALUE(C595&amp;"-01"),5),'📋 Транзакції'!$C$5:$C$3623,"&lt;"&amp;EDATE(DATEVALUE(C595&amp;"-01"),6))&gt;0,1,0)</f>
        <v>0</v>
      </c>
      <c r="M595" s="37">
        <f>IF(COUNTIFS('📋 Транзакції'!$B$5:$B$3623,A595,'📋 Транзакції'!$C$5:$C$3623,"&gt;="&amp;EDATE(DATEVALUE(C595&amp;"-01"),6),'📋 Транзакції'!$C$5:$C$3623,"&lt;"&amp;EDATE(DATEVALUE(C595&amp;"-01"),7))&gt;0,1,0)</f>
        <v>0</v>
      </c>
      <c r="N595" s="37">
        <f>IF(COUNTIFS('📋 Транзакції'!$B$5:$B$3623,A595,'📋 Транзакції'!$C$5:$C$3623,"&gt;="&amp;EDATE(DATEVALUE(C595&amp;"-01"),7),'📋 Транзакції'!$C$5:$C$3623,"&lt;"&amp;EDATE(DATEVALUE(C595&amp;"-01"),8))&gt;0,1,0)</f>
        <v>0</v>
      </c>
      <c r="O595" s="37">
        <f>IF(COUNTIFS('📋 Транзакції'!$B$5:$B$3623,A595,'📋 Транзакції'!$C$5:$C$3623,"&gt;="&amp;EDATE(DATEVALUE(C595&amp;"-01"),8),'📋 Транзакції'!$C$5:$C$3623,"&lt;"&amp;EDATE(DATEVALUE(C595&amp;"-01"),9))&gt;0,1,0)</f>
        <v>0</v>
      </c>
      <c r="P595" s="37">
        <f>IF(COUNTIFS('📋 Транзакції'!$B$5:$B$3623,A595,'📋 Транзакції'!$C$5:$C$3623,"&gt;="&amp;EDATE(DATEVALUE(C595&amp;"-01"),9),'📋 Транзакції'!$C$5:$C$3623,"&lt;"&amp;EDATE(DATEVALUE(C595&amp;"-01"),10))&gt;0,1,0)</f>
        <v>0</v>
      </c>
      <c r="Q595" s="37">
        <f>IF(COUNTIFS('📋 Транзакції'!$B$5:$B$3623,A595,'📋 Транзакції'!$C$5:$C$3623,"&gt;="&amp;EDATE(DATEVALUE(C595&amp;"-01"),10),'📋 Транзакції'!$C$5:$C$3623,"&lt;"&amp;EDATE(DATEVALUE(C595&amp;"-01"),11))&gt;0,1,0)</f>
        <v>0</v>
      </c>
      <c r="R595" s="37">
        <f>IF(COUNTIFS('📋 Транзакції'!$B$5:$B$3623,A595,'📋 Транзакції'!$C$5:$C$3623,"&gt;="&amp;EDATE(DATEVALUE(C595&amp;"-01"),11),'📋 Транзакції'!$C$5:$C$3623,"&lt;"&amp;EDATE(DATEVALUE(C595&amp;"-01"),12))&gt;0,1,0)</f>
        <v>0</v>
      </c>
      <c r="S595" s="37">
        <f>SUMIFS('📋 Транзакції'!$F$5:$F$3623,'📋 Транзакції'!$B$5:$B$3623,A595,'📋 Транзакції'!$C$5:$C$3623,"&gt;="&amp;EDATE(DATEVALUE(C595&amp;"-01"),0),'📋 Транзакції'!$C$5:$C$3623,"&lt;"&amp;EDATE(DATEVALUE(C595&amp;"-01"),1))</f>
        <v>19.99</v>
      </c>
      <c r="T595" s="37">
        <f>SUMIFS('📋 Транзакції'!$F$5:$F$3623,'📋 Транзакції'!$B$5:$B$3623,A595,'📋 Транзакції'!$C$5:$C$3623,"&gt;="&amp;EDATE(DATEVALUE(C595&amp;"-01"),1),'📋 Транзакції'!$C$5:$C$3623,"&lt;"&amp;EDATE(DATEVALUE(C595&amp;"-01"),2))</f>
        <v>0</v>
      </c>
      <c r="U595" s="37">
        <f>SUMIFS('📋 Транзакції'!$F$5:$F$3623,'📋 Транзакції'!$B$5:$B$3623,A595,'📋 Транзакції'!$C$5:$C$3623,"&gt;="&amp;EDATE(DATEVALUE(C595&amp;"-01"),2),'📋 Транзакції'!$C$5:$C$3623,"&lt;"&amp;EDATE(DATEVALUE(C595&amp;"-01"),3))</f>
        <v>0</v>
      </c>
      <c r="V595" s="37">
        <f>SUMIFS('📋 Транзакції'!$F$5:$F$3623,'📋 Транзакції'!$B$5:$B$3623,A595,'📋 Транзакції'!$C$5:$C$3623,"&gt;="&amp;EDATE(DATEVALUE(C595&amp;"-01"),3),'📋 Транзакції'!$C$5:$C$3623,"&lt;"&amp;EDATE(DATEVALUE(C595&amp;"-01"),4))</f>
        <v>0</v>
      </c>
      <c r="W595" s="37">
        <f>SUMIFS('📋 Транзакції'!$F$5:$F$3623,'📋 Транзакції'!$B$5:$B$3623,A595,'📋 Транзакції'!$C$5:$C$3623,"&gt;="&amp;EDATE(DATEVALUE(C595&amp;"-01"),4),'📋 Транзакції'!$C$5:$C$3623,"&lt;"&amp;EDATE(DATEVALUE(C595&amp;"-01"),5))</f>
        <v>0</v>
      </c>
      <c r="X595" s="37">
        <f>SUMIFS('📋 Транзакції'!$F$5:$F$3623,'📋 Транзакції'!$B$5:$B$3623,A595,'📋 Транзакції'!$C$5:$C$3623,"&gt;="&amp;EDATE(DATEVALUE(C595&amp;"-01"),5),'📋 Транзакції'!$C$5:$C$3623,"&lt;"&amp;EDATE(DATEVALUE(C595&amp;"-01"),6))</f>
        <v>0</v>
      </c>
      <c r="Y595" s="37">
        <f>SUMIFS('📋 Транзакції'!$F$5:$F$3623,'📋 Транзакції'!$B$5:$B$3623,A595,'📋 Транзакції'!$C$5:$C$3623,"&gt;="&amp;EDATE(DATEVALUE(C595&amp;"-01"),6),'📋 Транзакції'!$C$5:$C$3623,"&lt;"&amp;EDATE(DATEVALUE(C595&amp;"-01"),7))</f>
        <v>0</v>
      </c>
      <c r="Z595" s="37">
        <f>SUMIFS('📋 Транзакції'!$F$5:$F$3623,'📋 Транзакції'!$B$5:$B$3623,A595,'📋 Транзакції'!$C$5:$C$3623,"&gt;="&amp;EDATE(DATEVALUE(C595&amp;"-01"),7),'📋 Транзакції'!$C$5:$C$3623,"&lt;"&amp;EDATE(DATEVALUE(C595&amp;"-01"),8))</f>
        <v>0</v>
      </c>
      <c r="AA595" s="37">
        <f>SUMIFS('📋 Транзакції'!$F$5:$F$3623,'📋 Транзакції'!$B$5:$B$3623,A595,'📋 Транзакції'!$C$5:$C$3623,"&gt;="&amp;EDATE(DATEVALUE(C595&amp;"-01"),8),'📋 Транзакції'!$C$5:$C$3623,"&lt;"&amp;EDATE(DATEVALUE(C595&amp;"-01"),9))</f>
        <v>0</v>
      </c>
      <c r="AB595" s="37">
        <f>SUMIFS('📋 Транзакції'!$F$5:$F$3623,'📋 Транзакції'!$B$5:$B$3623,A595,'📋 Транзакції'!$C$5:$C$3623,"&gt;="&amp;EDATE(DATEVALUE(C595&amp;"-01"),9),'📋 Транзакції'!$C$5:$C$3623,"&lt;"&amp;EDATE(DATEVALUE(C595&amp;"-01"),10))</f>
        <v>0</v>
      </c>
      <c r="AC595" s="37">
        <f>SUMIFS('📋 Транзакції'!$F$5:$F$3623,'📋 Транзакції'!$B$5:$B$3623,A595,'📋 Транзакції'!$C$5:$C$3623,"&gt;="&amp;EDATE(DATEVALUE(C595&amp;"-01"),10),'📋 Транзакції'!$C$5:$C$3623,"&lt;"&amp;EDATE(DATEVALUE(C595&amp;"-01"),11))</f>
        <v>0</v>
      </c>
      <c r="AD595" s="37">
        <f>SUMIFS('📋 Транзакції'!$F$5:$F$3623,'📋 Транзакції'!$B$5:$B$3623,A595,'📋 Транзакції'!$C$5:$C$3623,"&gt;="&amp;EDATE(DATEVALUE(C595&amp;"-01"),11),'📋 Транзакції'!$C$5:$C$3623,"&lt;"&amp;EDATE(DATEVALUE(C595&amp;"-01"),12))</f>
        <v>0</v>
      </c>
    </row>
    <row r="596" ht="15.75" customHeight="1">
      <c r="A596" s="33" t="str">
        <f>'📋 Реєстрації'!A596:A1197</f>
        <v>U0368</v>
      </c>
      <c r="B596" s="34">
        <f t="array" ref="B596">INDEX('📋 Транзакції'!$C$5:$C$3623,MATCH(A596,'📋 Транзакції'!$B$5:$B$3623,0))</f>
        <v>45735</v>
      </c>
      <c r="C596" s="35" t="str">
        <f t="shared" si="1"/>
        <v>2025-03</v>
      </c>
      <c r="D596" s="36">
        <f>COUNTIF('📋 Транзакції'!$B$5:$B$3623,A596)</f>
        <v>2</v>
      </c>
      <c r="E596" s="36">
        <f>SUMIF('📋 Транзакції'!$B$5:$B$3623,A596,'📋 Транзакції'!$F$5:$F$3623)</f>
        <v>19.99</v>
      </c>
      <c r="F596" s="35">
        <f>INT($A$1-MAXIFS('📋 Транзакції'!$C$5:$C$3623,'📋 Транзакції'!$B$5:$B$3623,A596))</f>
        <v>5</v>
      </c>
      <c r="G596" s="37">
        <f>IF(COUNTIFS('📋 Транзакції'!$B$5:$B$3623,A596,'📋 Транзакції'!$C$5:$C$3623,"&gt;="&amp;EDATE(DATEVALUE(C596&amp;"-01"),0),'📋 Транзакції'!$C$5:$C$3623,"&lt;"&amp;EDATE(DATEVALUE(C596&amp;"-01"),1))&gt;0,1,0)</f>
        <v>1</v>
      </c>
      <c r="H596" s="37">
        <f>IF(COUNTIFS('📋 Транзакції'!$B$5:$B$3623,A596,'📋 Транзакції'!$C$5:$C$3623,"&gt;="&amp;EDATE(DATEVALUE(C596&amp;"-01"),1),'📋 Транзакції'!$C$5:$C$3623,"&lt;"&amp;EDATE(DATEVALUE(C596&amp;"-01"),2))&gt;0,1,0)</f>
        <v>0</v>
      </c>
      <c r="I596" s="37">
        <f>IF(COUNTIFS('📋 Транзакції'!$B$5:$B$3623,A596,'📋 Транзакції'!$C$5:$C$3623,"&gt;="&amp;EDATE(DATEVALUE(C596&amp;"-01"),2),'📋 Транзакції'!$C$5:$C$3623,"&lt;"&amp;EDATE(DATEVALUE(C596&amp;"-01"),3))&gt;0,1,0)</f>
        <v>0</v>
      </c>
      <c r="J596" s="37">
        <f>IF(COUNTIFS('📋 Транзакції'!$B$5:$B$3623,A596,'📋 Транзакції'!$C$5:$C$3623,"&gt;="&amp;EDATE(DATEVALUE(C596&amp;"-01"),3),'📋 Транзакції'!$C$5:$C$3623,"&lt;"&amp;EDATE(DATEVALUE(C596&amp;"-01"),4))&gt;0,1,0)</f>
        <v>0</v>
      </c>
      <c r="K596" s="37">
        <f>IF(COUNTIFS('📋 Транзакції'!$B$5:$B$3623,A596,'📋 Транзакції'!$C$5:$C$3623,"&gt;="&amp;EDATE(DATEVALUE(C596&amp;"-01"),4),'📋 Транзакції'!$C$5:$C$3623,"&lt;"&amp;EDATE(DATEVALUE(C596&amp;"-01"),5))&gt;0,1,0)</f>
        <v>0</v>
      </c>
      <c r="L596" s="37">
        <f>IF(COUNTIFS('📋 Транзакції'!$B$5:$B$3623,A596,'📋 Транзакції'!$C$5:$C$3623,"&gt;="&amp;EDATE(DATEVALUE(C596&amp;"-01"),5),'📋 Транзакції'!$C$5:$C$3623,"&lt;"&amp;EDATE(DATEVALUE(C596&amp;"-01"),6))&gt;0,1,0)</f>
        <v>0</v>
      </c>
      <c r="M596" s="37">
        <f>IF(COUNTIFS('📋 Транзакції'!$B$5:$B$3623,A596,'📋 Транзакції'!$C$5:$C$3623,"&gt;="&amp;EDATE(DATEVALUE(C596&amp;"-01"),6),'📋 Транзакції'!$C$5:$C$3623,"&lt;"&amp;EDATE(DATEVALUE(C596&amp;"-01"),7))&gt;0,1,0)</f>
        <v>0</v>
      </c>
      <c r="N596" s="37">
        <f>IF(COUNTIFS('📋 Транзакції'!$B$5:$B$3623,A596,'📋 Транзакції'!$C$5:$C$3623,"&gt;="&amp;EDATE(DATEVALUE(C596&amp;"-01"),7),'📋 Транзакції'!$C$5:$C$3623,"&lt;"&amp;EDATE(DATEVALUE(C596&amp;"-01"),8))&gt;0,1,0)</f>
        <v>0</v>
      </c>
      <c r="O596" s="37">
        <f>IF(COUNTIFS('📋 Транзакції'!$B$5:$B$3623,A596,'📋 Транзакції'!$C$5:$C$3623,"&gt;="&amp;EDATE(DATEVALUE(C596&amp;"-01"),8),'📋 Транзакції'!$C$5:$C$3623,"&lt;"&amp;EDATE(DATEVALUE(C596&amp;"-01"),9))&gt;0,1,0)</f>
        <v>0</v>
      </c>
      <c r="P596" s="37">
        <f>IF(COUNTIFS('📋 Транзакції'!$B$5:$B$3623,A596,'📋 Транзакції'!$C$5:$C$3623,"&gt;="&amp;EDATE(DATEVALUE(C596&amp;"-01"),9),'📋 Транзакції'!$C$5:$C$3623,"&lt;"&amp;EDATE(DATEVALUE(C596&amp;"-01"),10))&gt;0,1,0)</f>
        <v>0</v>
      </c>
      <c r="Q596" s="37">
        <f>IF(COUNTIFS('📋 Транзакції'!$B$5:$B$3623,A596,'📋 Транзакції'!$C$5:$C$3623,"&gt;="&amp;EDATE(DATEVALUE(C596&amp;"-01"),10),'📋 Транзакції'!$C$5:$C$3623,"&lt;"&amp;EDATE(DATEVALUE(C596&amp;"-01"),11))&gt;0,1,0)</f>
        <v>0</v>
      </c>
      <c r="R596" s="37">
        <f>IF(COUNTIFS('📋 Транзакції'!$B$5:$B$3623,A596,'📋 Транзакції'!$C$5:$C$3623,"&gt;="&amp;EDATE(DATEVALUE(C596&amp;"-01"),11),'📋 Транзакції'!$C$5:$C$3623,"&lt;"&amp;EDATE(DATEVALUE(C596&amp;"-01"),12))&gt;0,1,0)</f>
        <v>0</v>
      </c>
      <c r="S596" s="37">
        <f>SUMIFS('📋 Транзакції'!$F$5:$F$3623,'📋 Транзакції'!$B$5:$B$3623,A596,'📋 Транзакції'!$C$5:$C$3623,"&gt;="&amp;EDATE(DATEVALUE(C596&amp;"-01"),0),'📋 Транзакції'!$C$5:$C$3623,"&lt;"&amp;EDATE(DATEVALUE(C596&amp;"-01"),1))</f>
        <v>19.99</v>
      </c>
      <c r="T596" s="37">
        <f>SUMIFS('📋 Транзакції'!$F$5:$F$3623,'📋 Транзакції'!$B$5:$B$3623,A596,'📋 Транзакції'!$C$5:$C$3623,"&gt;="&amp;EDATE(DATEVALUE(C596&amp;"-01"),1),'📋 Транзакції'!$C$5:$C$3623,"&lt;"&amp;EDATE(DATEVALUE(C596&amp;"-01"),2))</f>
        <v>0</v>
      </c>
      <c r="U596" s="37">
        <f>SUMIFS('📋 Транзакції'!$F$5:$F$3623,'📋 Транзакції'!$B$5:$B$3623,A596,'📋 Транзакції'!$C$5:$C$3623,"&gt;="&amp;EDATE(DATEVALUE(C596&amp;"-01"),2),'📋 Транзакції'!$C$5:$C$3623,"&lt;"&amp;EDATE(DATEVALUE(C596&amp;"-01"),3))</f>
        <v>0</v>
      </c>
      <c r="V596" s="37">
        <f>SUMIFS('📋 Транзакції'!$F$5:$F$3623,'📋 Транзакції'!$B$5:$B$3623,A596,'📋 Транзакції'!$C$5:$C$3623,"&gt;="&amp;EDATE(DATEVALUE(C596&amp;"-01"),3),'📋 Транзакції'!$C$5:$C$3623,"&lt;"&amp;EDATE(DATEVALUE(C596&amp;"-01"),4))</f>
        <v>0</v>
      </c>
      <c r="W596" s="37">
        <f>SUMIFS('📋 Транзакції'!$F$5:$F$3623,'📋 Транзакції'!$B$5:$B$3623,A596,'📋 Транзакції'!$C$5:$C$3623,"&gt;="&amp;EDATE(DATEVALUE(C596&amp;"-01"),4),'📋 Транзакції'!$C$5:$C$3623,"&lt;"&amp;EDATE(DATEVALUE(C596&amp;"-01"),5))</f>
        <v>0</v>
      </c>
      <c r="X596" s="37">
        <f>SUMIFS('📋 Транзакції'!$F$5:$F$3623,'📋 Транзакції'!$B$5:$B$3623,A596,'📋 Транзакції'!$C$5:$C$3623,"&gt;="&amp;EDATE(DATEVALUE(C596&amp;"-01"),5),'📋 Транзакції'!$C$5:$C$3623,"&lt;"&amp;EDATE(DATEVALUE(C596&amp;"-01"),6))</f>
        <v>0</v>
      </c>
      <c r="Y596" s="37">
        <f>SUMIFS('📋 Транзакції'!$F$5:$F$3623,'📋 Транзакції'!$B$5:$B$3623,A596,'📋 Транзакції'!$C$5:$C$3623,"&gt;="&amp;EDATE(DATEVALUE(C596&amp;"-01"),6),'📋 Транзакції'!$C$5:$C$3623,"&lt;"&amp;EDATE(DATEVALUE(C596&amp;"-01"),7))</f>
        <v>0</v>
      </c>
      <c r="Z596" s="37">
        <f>SUMIFS('📋 Транзакції'!$F$5:$F$3623,'📋 Транзакції'!$B$5:$B$3623,A596,'📋 Транзакції'!$C$5:$C$3623,"&gt;="&amp;EDATE(DATEVALUE(C596&amp;"-01"),7),'📋 Транзакції'!$C$5:$C$3623,"&lt;"&amp;EDATE(DATEVALUE(C596&amp;"-01"),8))</f>
        <v>0</v>
      </c>
      <c r="AA596" s="37">
        <f>SUMIFS('📋 Транзакції'!$F$5:$F$3623,'📋 Транзакції'!$B$5:$B$3623,A596,'📋 Транзакції'!$C$5:$C$3623,"&gt;="&amp;EDATE(DATEVALUE(C596&amp;"-01"),8),'📋 Транзакції'!$C$5:$C$3623,"&lt;"&amp;EDATE(DATEVALUE(C596&amp;"-01"),9))</f>
        <v>0</v>
      </c>
      <c r="AB596" s="37">
        <f>SUMIFS('📋 Транзакції'!$F$5:$F$3623,'📋 Транзакції'!$B$5:$B$3623,A596,'📋 Транзакції'!$C$5:$C$3623,"&gt;="&amp;EDATE(DATEVALUE(C596&amp;"-01"),9),'📋 Транзакції'!$C$5:$C$3623,"&lt;"&amp;EDATE(DATEVALUE(C596&amp;"-01"),10))</f>
        <v>0</v>
      </c>
      <c r="AC596" s="37">
        <f>SUMIFS('📋 Транзакції'!$F$5:$F$3623,'📋 Транзакції'!$B$5:$B$3623,A596,'📋 Транзакції'!$C$5:$C$3623,"&gt;="&amp;EDATE(DATEVALUE(C596&amp;"-01"),10),'📋 Транзакції'!$C$5:$C$3623,"&lt;"&amp;EDATE(DATEVALUE(C596&amp;"-01"),11))</f>
        <v>0</v>
      </c>
      <c r="AD596" s="37">
        <f>SUMIFS('📋 Транзакції'!$F$5:$F$3623,'📋 Транзакції'!$B$5:$B$3623,A596,'📋 Транзакції'!$C$5:$C$3623,"&gt;="&amp;EDATE(DATEVALUE(C596&amp;"-01"),11),'📋 Транзакції'!$C$5:$C$3623,"&lt;"&amp;EDATE(DATEVALUE(C596&amp;"-01"),12))</f>
        <v>0</v>
      </c>
    </row>
    <row r="597" ht="15.75" customHeight="1">
      <c r="A597" s="33" t="str">
        <f>'📋 Реєстрації'!A597:A1198</f>
        <v>U0578</v>
      </c>
      <c r="B597" s="34">
        <f t="array" ref="B597">INDEX('📋 Транзакції'!$C$5:$C$3623,MATCH(A597,'📋 Транзакції'!$B$5:$B$3623,0))</f>
        <v>45735</v>
      </c>
      <c r="C597" s="35" t="str">
        <f t="shared" si="1"/>
        <v>2025-03</v>
      </c>
      <c r="D597" s="36">
        <f>COUNTIF('📋 Транзакції'!$B$5:$B$3623,A597)</f>
        <v>2</v>
      </c>
      <c r="E597" s="36">
        <f>SUMIF('📋 Транзакції'!$B$5:$B$3623,A597,'📋 Транзакції'!$F$5:$F$3623)</f>
        <v>19.99</v>
      </c>
      <c r="F597" s="35">
        <f>INT($A$1-MAXIFS('📋 Транзакції'!$C$5:$C$3623,'📋 Транзакції'!$B$5:$B$3623,A597))</f>
        <v>5</v>
      </c>
      <c r="G597" s="37">
        <f>IF(COUNTIFS('📋 Транзакції'!$B$5:$B$3623,A597,'📋 Транзакції'!$C$5:$C$3623,"&gt;="&amp;EDATE(DATEVALUE(C597&amp;"-01"),0),'📋 Транзакції'!$C$5:$C$3623,"&lt;"&amp;EDATE(DATEVALUE(C597&amp;"-01"),1))&gt;0,1,0)</f>
        <v>1</v>
      </c>
      <c r="H597" s="37">
        <f>IF(COUNTIFS('📋 Транзакції'!$B$5:$B$3623,A597,'📋 Транзакції'!$C$5:$C$3623,"&gt;="&amp;EDATE(DATEVALUE(C597&amp;"-01"),1),'📋 Транзакції'!$C$5:$C$3623,"&lt;"&amp;EDATE(DATEVALUE(C597&amp;"-01"),2))&gt;0,1,0)</f>
        <v>0</v>
      </c>
      <c r="I597" s="37">
        <f>IF(COUNTIFS('📋 Транзакції'!$B$5:$B$3623,A597,'📋 Транзакції'!$C$5:$C$3623,"&gt;="&amp;EDATE(DATEVALUE(C597&amp;"-01"),2),'📋 Транзакції'!$C$5:$C$3623,"&lt;"&amp;EDATE(DATEVALUE(C597&amp;"-01"),3))&gt;0,1,0)</f>
        <v>0</v>
      </c>
      <c r="J597" s="37">
        <f>IF(COUNTIFS('📋 Транзакції'!$B$5:$B$3623,A597,'📋 Транзакції'!$C$5:$C$3623,"&gt;="&amp;EDATE(DATEVALUE(C597&amp;"-01"),3),'📋 Транзакції'!$C$5:$C$3623,"&lt;"&amp;EDATE(DATEVALUE(C597&amp;"-01"),4))&gt;0,1,0)</f>
        <v>0</v>
      </c>
      <c r="K597" s="37">
        <f>IF(COUNTIFS('📋 Транзакції'!$B$5:$B$3623,A597,'📋 Транзакції'!$C$5:$C$3623,"&gt;="&amp;EDATE(DATEVALUE(C597&amp;"-01"),4),'📋 Транзакції'!$C$5:$C$3623,"&lt;"&amp;EDATE(DATEVALUE(C597&amp;"-01"),5))&gt;0,1,0)</f>
        <v>0</v>
      </c>
      <c r="L597" s="37">
        <f>IF(COUNTIFS('📋 Транзакції'!$B$5:$B$3623,A597,'📋 Транзакції'!$C$5:$C$3623,"&gt;="&amp;EDATE(DATEVALUE(C597&amp;"-01"),5),'📋 Транзакції'!$C$5:$C$3623,"&lt;"&amp;EDATE(DATEVALUE(C597&amp;"-01"),6))&gt;0,1,0)</f>
        <v>0</v>
      </c>
      <c r="M597" s="37">
        <f>IF(COUNTIFS('📋 Транзакції'!$B$5:$B$3623,A597,'📋 Транзакції'!$C$5:$C$3623,"&gt;="&amp;EDATE(DATEVALUE(C597&amp;"-01"),6),'📋 Транзакції'!$C$5:$C$3623,"&lt;"&amp;EDATE(DATEVALUE(C597&amp;"-01"),7))&gt;0,1,0)</f>
        <v>0</v>
      </c>
      <c r="N597" s="37">
        <f>IF(COUNTIFS('📋 Транзакції'!$B$5:$B$3623,A597,'📋 Транзакції'!$C$5:$C$3623,"&gt;="&amp;EDATE(DATEVALUE(C597&amp;"-01"),7),'📋 Транзакції'!$C$5:$C$3623,"&lt;"&amp;EDATE(DATEVALUE(C597&amp;"-01"),8))&gt;0,1,0)</f>
        <v>0</v>
      </c>
      <c r="O597" s="37">
        <f>IF(COUNTIFS('📋 Транзакції'!$B$5:$B$3623,A597,'📋 Транзакції'!$C$5:$C$3623,"&gt;="&amp;EDATE(DATEVALUE(C597&amp;"-01"),8),'📋 Транзакції'!$C$5:$C$3623,"&lt;"&amp;EDATE(DATEVALUE(C597&amp;"-01"),9))&gt;0,1,0)</f>
        <v>0</v>
      </c>
      <c r="P597" s="37">
        <f>IF(COUNTIFS('📋 Транзакції'!$B$5:$B$3623,A597,'📋 Транзакції'!$C$5:$C$3623,"&gt;="&amp;EDATE(DATEVALUE(C597&amp;"-01"),9),'📋 Транзакції'!$C$5:$C$3623,"&lt;"&amp;EDATE(DATEVALUE(C597&amp;"-01"),10))&gt;0,1,0)</f>
        <v>0</v>
      </c>
      <c r="Q597" s="37">
        <f>IF(COUNTIFS('📋 Транзакції'!$B$5:$B$3623,A597,'📋 Транзакції'!$C$5:$C$3623,"&gt;="&amp;EDATE(DATEVALUE(C597&amp;"-01"),10),'📋 Транзакції'!$C$5:$C$3623,"&lt;"&amp;EDATE(DATEVALUE(C597&amp;"-01"),11))&gt;0,1,0)</f>
        <v>0</v>
      </c>
      <c r="R597" s="37">
        <f>IF(COUNTIFS('📋 Транзакції'!$B$5:$B$3623,A597,'📋 Транзакції'!$C$5:$C$3623,"&gt;="&amp;EDATE(DATEVALUE(C597&amp;"-01"),11),'📋 Транзакції'!$C$5:$C$3623,"&lt;"&amp;EDATE(DATEVALUE(C597&amp;"-01"),12))&gt;0,1,0)</f>
        <v>0</v>
      </c>
      <c r="S597" s="37">
        <f>SUMIFS('📋 Транзакції'!$F$5:$F$3623,'📋 Транзакції'!$B$5:$B$3623,A597,'📋 Транзакції'!$C$5:$C$3623,"&gt;="&amp;EDATE(DATEVALUE(C597&amp;"-01"),0),'📋 Транзакції'!$C$5:$C$3623,"&lt;"&amp;EDATE(DATEVALUE(C597&amp;"-01"),1))</f>
        <v>19.99</v>
      </c>
      <c r="T597" s="37">
        <f>SUMIFS('📋 Транзакції'!$F$5:$F$3623,'📋 Транзакції'!$B$5:$B$3623,A597,'📋 Транзакції'!$C$5:$C$3623,"&gt;="&amp;EDATE(DATEVALUE(C597&amp;"-01"),1),'📋 Транзакції'!$C$5:$C$3623,"&lt;"&amp;EDATE(DATEVALUE(C597&amp;"-01"),2))</f>
        <v>0</v>
      </c>
      <c r="U597" s="37">
        <f>SUMIFS('📋 Транзакції'!$F$5:$F$3623,'📋 Транзакції'!$B$5:$B$3623,A597,'📋 Транзакції'!$C$5:$C$3623,"&gt;="&amp;EDATE(DATEVALUE(C597&amp;"-01"),2),'📋 Транзакції'!$C$5:$C$3623,"&lt;"&amp;EDATE(DATEVALUE(C597&amp;"-01"),3))</f>
        <v>0</v>
      </c>
      <c r="V597" s="37">
        <f>SUMIFS('📋 Транзакції'!$F$5:$F$3623,'📋 Транзакції'!$B$5:$B$3623,A597,'📋 Транзакції'!$C$5:$C$3623,"&gt;="&amp;EDATE(DATEVALUE(C597&amp;"-01"),3),'📋 Транзакції'!$C$5:$C$3623,"&lt;"&amp;EDATE(DATEVALUE(C597&amp;"-01"),4))</f>
        <v>0</v>
      </c>
      <c r="W597" s="37">
        <f>SUMIFS('📋 Транзакції'!$F$5:$F$3623,'📋 Транзакції'!$B$5:$B$3623,A597,'📋 Транзакції'!$C$5:$C$3623,"&gt;="&amp;EDATE(DATEVALUE(C597&amp;"-01"),4),'📋 Транзакції'!$C$5:$C$3623,"&lt;"&amp;EDATE(DATEVALUE(C597&amp;"-01"),5))</f>
        <v>0</v>
      </c>
      <c r="X597" s="37">
        <f>SUMIFS('📋 Транзакції'!$F$5:$F$3623,'📋 Транзакції'!$B$5:$B$3623,A597,'📋 Транзакції'!$C$5:$C$3623,"&gt;="&amp;EDATE(DATEVALUE(C597&amp;"-01"),5),'📋 Транзакції'!$C$5:$C$3623,"&lt;"&amp;EDATE(DATEVALUE(C597&amp;"-01"),6))</f>
        <v>0</v>
      </c>
      <c r="Y597" s="37">
        <f>SUMIFS('📋 Транзакції'!$F$5:$F$3623,'📋 Транзакції'!$B$5:$B$3623,A597,'📋 Транзакції'!$C$5:$C$3623,"&gt;="&amp;EDATE(DATEVALUE(C597&amp;"-01"),6),'📋 Транзакції'!$C$5:$C$3623,"&lt;"&amp;EDATE(DATEVALUE(C597&amp;"-01"),7))</f>
        <v>0</v>
      </c>
      <c r="Z597" s="37">
        <f>SUMIFS('📋 Транзакції'!$F$5:$F$3623,'📋 Транзакції'!$B$5:$B$3623,A597,'📋 Транзакції'!$C$5:$C$3623,"&gt;="&amp;EDATE(DATEVALUE(C597&amp;"-01"),7),'📋 Транзакції'!$C$5:$C$3623,"&lt;"&amp;EDATE(DATEVALUE(C597&amp;"-01"),8))</f>
        <v>0</v>
      </c>
      <c r="AA597" s="37">
        <f>SUMIFS('📋 Транзакції'!$F$5:$F$3623,'📋 Транзакції'!$B$5:$B$3623,A597,'📋 Транзакції'!$C$5:$C$3623,"&gt;="&amp;EDATE(DATEVALUE(C597&amp;"-01"),8),'📋 Транзакції'!$C$5:$C$3623,"&lt;"&amp;EDATE(DATEVALUE(C597&amp;"-01"),9))</f>
        <v>0</v>
      </c>
      <c r="AB597" s="37">
        <f>SUMIFS('📋 Транзакції'!$F$5:$F$3623,'📋 Транзакції'!$B$5:$B$3623,A597,'📋 Транзакції'!$C$5:$C$3623,"&gt;="&amp;EDATE(DATEVALUE(C597&amp;"-01"),9),'📋 Транзакції'!$C$5:$C$3623,"&lt;"&amp;EDATE(DATEVALUE(C597&amp;"-01"),10))</f>
        <v>0</v>
      </c>
      <c r="AC597" s="37">
        <f>SUMIFS('📋 Транзакції'!$F$5:$F$3623,'📋 Транзакції'!$B$5:$B$3623,A597,'📋 Транзакції'!$C$5:$C$3623,"&gt;="&amp;EDATE(DATEVALUE(C597&amp;"-01"),10),'📋 Транзакції'!$C$5:$C$3623,"&lt;"&amp;EDATE(DATEVALUE(C597&amp;"-01"),11))</f>
        <v>0</v>
      </c>
      <c r="AD597" s="37">
        <f>SUMIFS('📋 Транзакції'!$F$5:$F$3623,'📋 Транзакції'!$B$5:$B$3623,A597,'📋 Транзакції'!$C$5:$C$3623,"&gt;="&amp;EDATE(DATEVALUE(C597&amp;"-01"),11),'📋 Транзакції'!$C$5:$C$3623,"&lt;"&amp;EDATE(DATEVALUE(C597&amp;"-01"),12))</f>
        <v>0</v>
      </c>
    </row>
    <row r="598" ht="15.75" customHeight="1">
      <c r="A598" s="33" t="str">
        <f>'📋 Реєстрації'!A598:A1199</f>
        <v>U0249</v>
      </c>
      <c r="B598" s="34">
        <f t="array" ref="B598">INDEX('📋 Транзакції'!$C$5:$C$3623,MATCH(A598,'📋 Транзакції'!$B$5:$B$3623,0))</f>
        <v>45736</v>
      </c>
      <c r="C598" s="35" t="str">
        <f t="shared" si="1"/>
        <v>2025-03</v>
      </c>
      <c r="D598" s="36">
        <f>COUNTIF('📋 Транзакції'!$B$5:$B$3623,A598)</f>
        <v>2</v>
      </c>
      <c r="E598" s="36">
        <f>SUMIF('📋 Транзакції'!$B$5:$B$3623,A598,'📋 Транзакції'!$F$5:$F$3623)</f>
        <v>19.99</v>
      </c>
      <c r="F598" s="35">
        <f>INT($A$1-MAXIFS('📋 Транзакції'!$C$5:$C$3623,'📋 Транзакції'!$B$5:$B$3623,A598))</f>
        <v>4</v>
      </c>
      <c r="G598" s="37">
        <f>IF(COUNTIFS('📋 Транзакції'!$B$5:$B$3623,A598,'📋 Транзакції'!$C$5:$C$3623,"&gt;="&amp;EDATE(DATEVALUE(C598&amp;"-01"),0),'📋 Транзакції'!$C$5:$C$3623,"&lt;"&amp;EDATE(DATEVALUE(C598&amp;"-01"),1))&gt;0,1,0)</f>
        <v>1</v>
      </c>
      <c r="H598" s="37">
        <f>IF(COUNTIFS('📋 Транзакції'!$B$5:$B$3623,A598,'📋 Транзакції'!$C$5:$C$3623,"&gt;="&amp;EDATE(DATEVALUE(C598&amp;"-01"),1),'📋 Транзакції'!$C$5:$C$3623,"&lt;"&amp;EDATE(DATEVALUE(C598&amp;"-01"),2))&gt;0,1,0)</f>
        <v>0</v>
      </c>
      <c r="I598" s="37">
        <f>IF(COUNTIFS('📋 Транзакції'!$B$5:$B$3623,A598,'📋 Транзакції'!$C$5:$C$3623,"&gt;="&amp;EDATE(DATEVALUE(C598&amp;"-01"),2),'📋 Транзакції'!$C$5:$C$3623,"&lt;"&amp;EDATE(DATEVALUE(C598&amp;"-01"),3))&gt;0,1,0)</f>
        <v>0</v>
      </c>
      <c r="J598" s="37">
        <f>IF(COUNTIFS('📋 Транзакції'!$B$5:$B$3623,A598,'📋 Транзакції'!$C$5:$C$3623,"&gt;="&amp;EDATE(DATEVALUE(C598&amp;"-01"),3),'📋 Транзакції'!$C$5:$C$3623,"&lt;"&amp;EDATE(DATEVALUE(C598&amp;"-01"),4))&gt;0,1,0)</f>
        <v>0</v>
      </c>
      <c r="K598" s="37">
        <f>IF(COUNTIFS('📋 Транзакції'!$B$5:$B$3623,A598,'📋 Транзакції'!$C$5:$C$3623,"&gt;="&amp;EDATE(DATEVALUE(C598&amp;"-01"),4),'📋 Транзакції'!$C$5:$C$3623,"&lt;"&amp;EDATE(DATEVALUE(C598&amp;"-01"),5))&gt;0,1,0)</f>
        <v>0</v>
      </c>
      <c r="L598" s="37">
        <f>IF(COUNTIFS('📋 Транзакції'!$B$5:$B$3623,A598,'📋 Транзакції'!$C$5:$C$3623,"&gt;="&amp;EDATE(DATEVALUE(C598&amp;"-01"),5),'📋 Транзакції'!$C$5:$C$3623,"&lt;"&amp;EDATE(DATEVALUE(C598&amp;"-01"),6))&gt;0,1,0)</f>
        <v>0</v>
      </c>
      <c r="M598" s="37">
        <f>IF(COUNTIFS('📋 Транзакції'!$B$5:$B$3623,A598,'📋 Транзакції'!$C$5:$C$3623,"&gt;="&amp;EDATE(DATEVALUE(C598&amp;"-01"),6),'📋 Транзакції'!$C$5:$C$3623,"&lt;"&amp;EDATE(DATEVALUE(C598&amp;"-01"),7))&gt;0,1,0)</f>
        <v>0</v>
      </c>
      <c r="N598" s="37">
        <f>IF(COUNTIFS('📋 Транзакції'!$B$5:$B$3623,A598,'📋 Транзакції'!$C$5:$C$3623,"&gt;="&amp;EDATE(DATEVALUE(C598&amp;"-01"),7),'📋 Транзакції'!$C$5:$C$3623,"&lt;"&amp;EDATE(DATEVALUE(C598&amp;"-01"),8))&gt;0,1,0)</f>
        <v>0</v>
      </c>
      <c r="O598" s="37">
        <f>IF(COUNTIFS('📋 Транзакції'!$B$5:$B$3623,A598,'📋 Транзакції'!$C$5:$C$3623,"&gt;="&amp;EDATE(DATEVALUE(C598&amp;"-01"),8),'📋 Транзакції'!$C$5:$C$3623,"&lt;"&amp;EDATE(DATEVALUE(C598&amp;"-01"),9))&gt;0,1,0)</f>
        <v>0</v>
      </c>
      <c r="P598" s="37">
        <f>IF(COUNTIFS('📋 Транзакції'!$B$5:$B$3623,A598,'📋 Транзакції'!$C$5:$C$3623,"&gt;="&amp;EDATE(DATEVALUE(C598&amp;"-01"),9),'📋 Транзакції'!$C$5:$C$3623,"&lt;"&amp;EDATE(DATEVALUE(C598&amp;"-01"),10))&gt;0,1,0)</f>
        <v>0</v>
      </c>
      <c r="Q598" s="37">
        <f>IF(COUNTIFS('📋 Транзакції'!$B$5:$B$3623,A598,'📋 Транзакції'!$C$5:$C$3623,"&gt;="&amp;EDATE(DATEVALUE(C598&amp;"-01"),10),'📋 Транзакції'!$C$5:$C$3623,"&lt;"&amp;EDATE(DATEVALUE(C598&amp;"-01"),11))&gt;0,1,0)</f>
        <v>0</v>
      </c>
      <c r="R598" s="37">
        <f>IF(COUNTIFS('📋 Транзакції'!$B$5:$B$3623,A598,'📋 Транзакції'!$C$5:$C$3623,"&gt;="&amp;EDATE(DATEVALUE(C598&amp;"-01"),11),'📋 Транзакції'!$C$5:$C$3623,"&lt;"&amp;EDATE(DATEVALUE(C598&amp;"-01"),12))&gt;0,1,0)</f>
        <v>0</v>
      </c>
      <c r="S598" s="37">
        <f>SUMIFS('📋 Транзакції'!$F$5:$F$3623,'📋 Транзакції'!$B$5:$B$3623,A598,'📋 Транзакції'!$C$5:$C$3623,"&gt;="&amp;EDATE(DATEVALUE(C598&amp;"-01"),0),'📋 Транзакції'!$C$5:$C$3623,"&lt;"&amp;EDATE(DATEVALUE(C598&amp;"-01"),1))</f>
        <v>19.99</v>
      </c>
      <c r="T598" s="37">
        <f>SUMIFS('📋 Транзакції'!$F$5:$F$3623,'📋 Транзакції'!$B$5:$B$3623,A598,'📋 Транзакції'!$C$5:$C$3623,"&gt;="&amp;EDATE(DATEVALUE(C598&amp;"-01"),1),'📋 Транзакції'!$C$5:$C$3623,"&lt;"&amp;EDATE(DATEVALUE(C598&amp;"-01"),2))</f>
        <v>0</v>
      </c>
      <c r="U598" s="37">
        <f>SUMIFS('📋 Транзакції'!$F$5:$F$3623,'📋 Транзакції'!$B$5:$B$3623,A598,'📋 Транзакції'!$C$5:$C$3623,"&gt;="&amp;EDATE(DATEVALUE(C598&amp;"-01"),2),'📋 Транзакції'!$C$5:$C$3623,"&lt;"&amp;EDATE(DATEVALUE(C598&amp;"-01"),3))</f>
        <v>0</v>
      </c>
      <c r="V598" s="37">
        <f>SUMIFS('📋 Транзакції'!$F$5:$F$3623,'📋 Транзакції'!$B$5:$B$3623,A598,'📋 Транзакції'!$C$5:$C$3623,"&gt;="&amp;EDATE(DATEVALUE(C598&amp;"-01"),3),'📋 Транзакції'!$C$5:$C$3623,"&lt;"&amp;EDATE(DATEVALUE(C598&amp;"-01"),4))</f>
        <v>0</v>
      </c>
      <c r="W598" s="37">
        <f>SUMIFS('📋 Транзакції'!$F$5:$F$3623,'📋 Транзакції'!$B$5:$B$3623,A598,'📋 Транзакції'!$C$5:$C$3623,"&gt;="&amp;EDATE(DATEVALUE(C598&amp;"-01"),4),'📋 Транзакції'!$C$5:$C$3623,"&lt;"&amp;EDATE(DATEVALUE(C598&amp;"-01"),5))</f>
        <v>0</v>
      </c>
      <c r="X598" s="37">
        <f>SUMIFS('📋 Транзакції'!$F$5:$F$3623,'📋 Транзакції'!$B$5:$B$3623,A598,'📋 Транзакції'!$C$5:$C$3623,"&gt;="&amp;EDATE(DATEVALUE(C598&amp;"-01"),5),'📋 Транзакції'!$C$5:$C$3623,"&lt;"&amp;EDATE(DATEVALUE(C598&amp;"-01"),6))</f>
        <v>0</v>
      </c>
      <c r="Y598" s="37">
        <f>SUMIFS('📋 Транзакції'!$F$5:$F$3623,'📋 Транзакції'!$B$5:$B$3623,A598,'📋 Транзакції'!$C$5:$C$3623,"&gt;="&amp;EDATE(DATEVALUE(C598&amp;"-01"),6),'📋 Транзакції'!$C$5:$C$3623,"&lt;"&amp;EDATE(DATEVALUE(C598&amp;"-01"),7))</f>
        <v>0</v>
      </c>
      <c r="Z598" s="37">
        <f>SUMIFS('📋 Транзакції'!$F$5:$F$3623,'📋 Транзакції'!$B$5:$B$3623,A598,'📋 Транзакції'!$C$5:$C$3623,"&gt;="&amp;EDATE(DATEVALUE(C598&amp;"-01"),7),'📋 Транзакції'!$C$5:$C$3623,"&lt;"&amp;EDATE(DATEVALUE(C598&amp;"-01"),8))</f>
        <v>0</v>
      </c>
      <c r="AA598" s="37">
        <f>SUMIFS('📋 Транзакції'!$F$5:$F$3623,'📋 Транзакції'!$B$5:$B$3623,A598,'📋 Транзакції'!$C$5:$C$3623,"&gt;="&amp;EDATE(DATEVALUE(C598&amp;"-01"),8),'📋 Транзакції'!$C$5:$C$3623,"&lt;"&amp;EDATE(DATEVALUE(C598&amp;"-01"),9))</f>
        <v>0</v>
      </c>
      <c r="AB598" s="37">
        <f>SUMIFS('📋 Транзакції'!$F$5:$F$3623,'📋 Транзакції'!$B$5:$B$3623,A598,'📋 Транзакції'!$C$5:$C$3623,"&gt;="&amp;EDATE(DATEVALUE(C598&amp;"-01"),9),'📋 Транзакції'!$C$5:$C$3623,"&lt;"&amp;EDATE(DATEVALUE(C598&amp;"-01"),10))</f>
        <v>0</v>
      </c>
      <c r="AC598" s="37">
        <f>SUMIFS('📋 Транзакції'!$F$5:$F$3623,'📋 Транзакції'!$B$5:$B$3623,A598,'📋 Транзакції'!$C$5:$C$3623,"&gt;="&amp;EDATE(DATEVALUE(C598&amp;"-01"),10),'📋 Транзакції'!$C$5:$C$3623,"&lt;"&amp;EDATE(DATEVALUE(C598&amp;"-01"),11))</f>
        <v>0</v>
      </c>
      <c r="AD598" s="37">
        <f>SUMIFS('📋 Транзакції'!$F$5:$F$3623,'📋 Транзакції'!$B$5:$B$3623,A598,'📋 Транзакції'!$C$5:$C$3623,"&gt;="&amp;EDATE(DATEVALUE(C598&amp;"-01"),11),'📋 Транзакції'!$C$5:$C$3623,"&lt;"&amp;EDATE(DATEVALUE(C598&amp;"-01"),12))</f>
        <v>0</v>
      </c>
    </row>
    <row r="599" ht="15.75" customHeight="1">
      <c r="A599" s="33" t="str">
        <f>'📋 Реєстрації'!A599:A1200</f>
        <v>U0274</v>
      </c>
      <c r="B599" s="34">
        <f t="array" ref="B599">INDEX('📋 Транзакції'!$C$5:$C$3623,MATCH(A599,'📋 Транзакції'!$B$5:$B$3623,0))</f>
        <v>45736</v>
      </c>
      <c r="C599" s="35" t="str">
        <f t="shared" si="1"/>
        <v>2025-03</v>
      </c>
      <c r="D599" s="36">
        <f>COUNTIF('📋 Транзакції'!$B$5:$B$3623,A599)</f>
        <v>2</v>
      </c>
      <c r="E599" s="36">
        <f>SUMIF('📋 Транзакції'!$B$5:$B$3623,A599,'📋 Транзакції'!$F$5:$F$3623)</f>
        <v>19.99</v>
      </c>
      <c r="F599" s="35">
        <f>INT($A$1-MAXIFS('📋 Транзакції'!$C$5:$C$3623,'📋 Транзакції'!$B$5:$B$3623,A599))</f>
        <v>4</v>
      </c>
      <c r="G599" s="37">
        <f>IF(COUNTIFS('📋 Транзакції'!$B$5:$B$3623,A599,'📋 Транзакції'!$C$5:$C$3623,"&gt;="&amp;EDATE(DATEVALUE(C599&amp;"-01"),0),'📋 Транзакції'!$C$5:$C$3623,"&lt;"&amp;EDATE(DATEVALUE(C599&amp;"-01"),1))&gt;0,1,0)</f>
        <v>1</v>
      </c>
      <c r="H599" s="37">
        <f>IF(COUNTIFS('📋 Транзакції'!$B$5:$B$3623,A599,'📋 Транзакції'!$C$5:$C$3623,"&gt;="&amp;EDATE(DATEVALUE(C599&amp;"-01"),1),'📋 Транзакції'!$C$5:$C$3623,"&lt;"&amp;EDATE(DATEVALUE(C599&amp;"-01"),2))&gt;0,1,0)</f>
        <v>0</v>
      </c>
      <c r="I599" s="37">
        <f>IF(COUNTIFS('📋 Транзакції'!$B$5:$B$3623,A599,'📋 Транзакції'!$C$5:$C$3623,"&gt;="&amp;EDATE(DATEVALUE(C599&amp;"-01"),2),'📋 Транзакції'!$C$5:$C$3623,"&lt;"&amp;EDATE(DATEVALUE(C599&amp;"-01"),3))&gt;0,1,0)</f>
        <v>0</v>
      </c>
      <c r="J599" s="37">
        <f>IF(COUNTIFS('📋 Транзакції'!$B$5:$B$3623,A599,'📋 Транзакції'!$C$5:$C$3623,"&gt;="&amp;EDATE(DATEVALUE(C599&amp;"-01"),3),'📋 Транзакції'!$C$5:$C$3623,"&lt;"&amp;EDATE(DATEVALUE(C599&amp;"-01"),4))&gt;0,1,0)</f>
        <v>0</v>
      </c>
      <c r="K599" s="37">
        <f>IF(COUNTIFS('📋 Транзакції'!$B$5:$B$3623,A599,'📋 Транзакції'!$C$5:$C$3623,"&gt;="&amp;EDATE(DATEVALUE(C599&amp;"-01"),4),'📋 Транзакції'!$C$5:$C$3623,"&lt;"&amp;EDATE(DATEVALUE(C599&amp;"-01"),5))&gt;0,1,0)</f>
        <v>0</v>
      </c>
      <c r="L599" s="37">
        <f>IF(COUNTIFS('📋 Транзакції'!$B$5:$B$3623,A599,'📋 Транзакції'!$C$5:$C$3623,"&gt;="&amp;EDATE(DATEVALUE(C599&amp;"-01"),5),'📋 Транзакції'!$C$5:$C$3623,"&lt;"&amp;EDATE(DATEVALUE(C599&amp;"-01"),6))&gt;0,1,0)</f>
        <v>0</v>
      </c>
      <c r="M599" s="37">
        <f>IF(COUNTIFS('📋 Транзакції'!$B$5:$B$3623,A599,'📋 Транзакції'!$C$5:$C$3623,"&gt;="&amp;EDATE(DATEVALUE(C599&amp;"-01"),6),'📋 Транзакції'!$C$5:$C$3623,"&lt;"&amp;EDATE(DATEVALUE(C599&amp;"-01"),7))&gt;0,1,0)</f>
        <v>0</v>
      </c>
      <c r="N599" s="37">
        <f>IF(COUNTIFS('📋 Транзакції'!$B$5:$B$3623,A599,'📋 Транзакції'!$C$5:$C$3623,"&gt;="&amp;EDATE(DATEVALUE(C599&amp;"-01"),7),'📋 Транзакції'!$C$5:$C$3623,"&lt;"&amp;EDATE(DATEVALUE(C599&amp;"-01"),8))&gt;0,1,0)</f>
        <v>0</v>
      </c>
      <c r="O599" s="37">
        <f>IF(COUNTIFS('📋 Транзакції'!$B$5:$B$3623,A599,'📋 Транзакції'!$C$5:$C$3623,"&gt;="&amp;EDATE(DATEVALUE(C599&amp;"-01"),8),'📋 Транзакції'!$C$5:$C$3623,"&lt;"&amp;EDATE(DATEVALUE(C599&amp;"-01"),9))&gt;0,1,0)</f>
        <v>0</v>
      </c>
      <c r="P599" s="37">
        <f>IF(COUNTIFS('📋 Транзакції'!$B$5:$B$3623,A599,'📋 Транзакції'!$C$5:$C$3623,"&gt;="&amp;EDATE(DATEVALUE(C599&amp;"-01"),9),'📋 Транзакції'!$C$5:$C$3623,"&lt;"&amp;EDATE(DATEVALUE(C599&amp;"-01"),10))&gt;0,1,0)</f>
        <v>0</v>
      </c>
      <c r="Q599" s="37">
        <f>IF(COUNTIFS('📋 Транзакції'!$B$5:$B$3623,A599,'📋 Транзакції'!$C$5:$C$3623,"&gt;="&amp;EDATE(DATEVALUE(C599&amp;"-01"),10),'📋 Транзакції'!$C$5:$C$3623,"&lt;"&amp;EDATE(DATEVALUE(C599&amp;"-01"),11))&gt;0,1,0)</f>
        <v>0</v>
      </c>
      <c r="R599" s="37">
        <f>IF(COUNTIFS('📋 Транзакції'!$B$5:$B$3623,A599,'📋 Транзакції'!$C$5:$C$3623,"&gt;="&amp;EDATE(DATEVALUE(C599&amp;"-01"),11),'📋 Транзакції'!$C$5:$C$3623,"&lt;"&amp;EDATE(DATEVALUE(C599&amp;"-01"),12))&gt;0,1,0)</f>
        <v>0</v>
      </c>
      <c r="S599" s="37">
        <f>SUMIFS('📋 Транзакції'!$F$5:$F$3623,'📋 Транзакції'!$B$5:$B$3623,A599,'📋 Транзакції'!$C$5:$C$3623,"&gt;="&amp;EDATE(DATEVALUE(C599&amp;"-01"),0),'📋 Транзакції'!$C$5:$C$3623,"&lt;"&amp;EDATE(DATEVALUE(C599&amp;"-01"),1))</f>
        <v>19.99</v>
      </c>
      <c r="T599" s="37">
        <f>SUMIFS('📋 Транзакції'!$F$5:$F$3623,'📋 Транзакції'!$B$5:$B$3623,A599,'📋 Транзакції'!$C$5:$C$3623,"&gt;="&amp;EDATE(DATEVALUE(C599&amp;"-01"),1),'📋 Транзакції'!$C$5:$C$3623,"&lt;"&amp;EDATE(DATEVALUE(C599&amp;"-01"),2))</f>
        <v>0</v>
      </c>
      <c r="U599" s="37">
        <f>SUMIFS('📋 Транзакції'!$F$5:$F$3623,'📋 Транзакції'!$B$5:$B$3623,A599,'📋 Транзакції'!$C$5:$C$3623,"&gt;="&amp;EDATE(DATEVALUE(C599&amp;"-01"),2),'📋 Транзакції'!$C$5:$C$3623,"&lt;"&amp;EDATE(DATEVALUE(C599&amp;"-01"),3))</f>
        <v>0</v>
      </c>
      <c r="V599" s="37">
        <f>SUMIFS('📋 Транзакції'!$F$5:$F$3623,'📋 Транзакції'!$B$5:$B$3623,A599,'📋 Транзакції'!$C$5:$C$3623,"&gt;="&amp;EDATE(DATEVALUE(C599&amp;"-01"),3),'📋 Транзакції'!$C$5:$C$3623,"&lt;"&amp;EDATE(DATEVALUE(C599&amp;"-01"),4))</f>
        <v>0</v>
      </c>
      <c r="W599" s="37">
        <f>SUMIFS('📋 Транзакції'!$F$5:$F$3623,'📋 Транзакції'!$B$5:$B$3623,A599,'📋 Транзакції'!$C$5:$C$3623,"&gt;="&amp;EDATE(DATEVALUE(C599&amp;"-01"),4),'📋 Транзакції'!$C$5:$C$3623,"&lt;"&amp;EDATE(DATEVALUE(C599&amp;"-01"),5))</f>
        <v>0</v>
      </c>
      <c r="X599" s="37">
        <f>SUMIFS('📋 Транзакції'!$F$5:$F$3623,'📋 Транзакції'!$B$5:$B$3623,A599,'📋 Транзакції'!$C$5:$C$3623,"&gt;="&amp;EDATE(DATEVALUE(C599&amp;"-01"),5),'📋 Транзакції'!$C$5:$C$3623,"&lt;"&amp;EDATE(DATEVALUE(C599&amp;"-01"),6))</f>
        <v>0</v>
      </c>
      <c r="Y599" s="37">
        <f>SUMIFS('📋 Транзакції'!$F$5:$F$3623,'📋 Транзакції'!$B$5:$B$3623,A599,'📋 Транзакції'!$C$5:$C$3623,"&gt;="&amp;EDATE(DATEVALUE(C599&amp;"-01"),6),'📋 Транзакції'!$C$5:$C$3623,"&lt;"&amp;EDATE(DATEVALUE(C599&amp;"-01"),7))</f>
        <v>0</v>
      </c>
      <c r="Z599" s="37">
        <f>SUMIFS('📋 Транзакції'!$F$5:$F$3623,'📋 Транзакції'!$B$5:$B$3623,A599,'📋 Транзакції'!$C$5:$C$3623,"&gt;="&amp;EDATE(DATEVALUE(C599&amp;"-01"),7),'📋 Транзакції'!$C$5:$C$3623,"&lt;"&amp;EDATE(DATEVALUE(C599&amp;"-01"),8))</f>
        <v>0</v>
      </c>
      <c r="AA599" s="37">
        <f>SUMIFS('📋 Транзакції'!$F$5:$F$3623,'📋 Транзакції'!$B$5:$B$3623,A599,'📋 Транзакції'!$C$5:$C$3623,"&gt;="&amp;EDATE(DATEVALUE(C599&amp;"-01"),8),'📋 Транзакції'!$C$5:$C$3623,"&lt;"&amp;EDATE(DATEVALUE(C599&amp;"-01"),9))</f>
        <v>0</v>
      </c>
      <c r="AB599" s="37">
        <f>SUMIFS('📋 Транзакції'!$F$5:$F$3623,'📋 Транзакції'!$B$5:$B$3623,A599,'📋 Транзакції'!$C$5:$C$3623,"&gt;="&amp;EDATE(DATEVALUE(C599&amp;"-01"),9),'📋 Транзакції'!$C$5:$C$3623,"&lt;"&amp;EDATE(DATEVALUE(C599&amp;"-01"),10))</f>
        <v>0</v>
      </c>
      <c r="AC599" s="37">
        <f>SUMIFS('📋 Транзакції'!$F$5:$F$3623,'📋 Транзакції'!$B$5:$B$3623,A599,'📋 Транзакції'!$C$5:$C$3623,"&gt;="&amp;EDATE(DATEVALUE(C599&amp;"-01"),10),'📋 Транзакції'!$C$5:$C$3623,"&lt;"&amp;EDATE(DATEVALUE(C599&amp;"-01"),11))</f>
        <v>0</v>
      </c>
      <c r="AD599" s="37">
        <f>SUMIFS('📋 Транзакції'!$F$5:$F$3623,'📋 Транзакції'!$B$5:$B$3623,A599,'📋 Транзакції'!$C$5:$C$3623,"&gt;="&amp;EDATE(DATEVALUE(C599&amp;"-01"),11),'📋 Транзакції'!$C$5:$C$3623,"&lt;"&amp;EDATE(DATEVALUE(C599&amp;"-01"),12))</f>
        <v>0</v>
      </c>
    </row>
    <row r="600" ht="15.75" customHeight="1">
      <c r="A600" s="33" t="str">
        <f>'📋 Реєстрації'!A600:A1201</f>
        <v>U0826</v>
      </c>
      <c r="B600" s="34">
        <f t="array" ref="B600">INDEX('📋 Транзакції'!$C$5:$C$3623,MATCH(A600,'📋 Транзакції'!$B$5:$B$3623,0))</f>
        <v>45736</v>
      </c>
      <c r="C600" s="35" t="str">
        <f t="shared" si="1"/>
        <v>2025-03</v>
      </c>
      <c r="D600" s="36">
        <f>COUNTIF('📋 Транзакції'!$B$5:$B$3623,A600)</f>
        <v>2</v>
      </c>
      <c r="E600" s="36">
        <f>SUMIF('📋 Транзакції'!$B$5:$B$3623,A600,'📋 Транзакції'!$F$5:$F$3623)</f>
        <v>19.99</v>
      </c>
      <c r="F600" s="35">
        <f>INT($A$1-MAXIFS('📋 Транзакції'!$C$5:$C$3623,'📋 Транзакції'!$B$5:$B$3623,A600))</f>
        <v>4</v>
      </c>
      <c r="G600" s="37">
        <f>IF(COUNTIFS('📋 Транзакції'!$B$5:$B$3623,A600,'📋 Транзакції'!$C$5:$C$3623,"&gt;="&amp;EDATE(DATEVALUE(C600&amp;"-01"),0),'📋 Транзакції'!$C$5:$C$3623,"&lt;"&amp;EDATE(DATEVALUE(C600&amp;"-01"),1))&gt;0,1,0)</f>
        <v>1</v>
      </c>
      <c r="H600" s="37">
        <f>IF(COUNTIFS('📋 Транзакції'!$B$5:$B$3623,A600,'📋 Транзакції'!$C$5:$C$3623,"&gt;="&amp;EDATE(DATEVALUE(C600&amp;"-01"),1),'📋 Транзакції'!$C$5:$C$3623,"&lt;"&amp;EDATE(DATEVALUE(C600&amp;"-01"),2))&gt;0,1,0)</f>
        <v>0</v>
      </c>
      <c r="I600" s="37">
        <f>IF(COUNTIFS('📋 Транзакції'!$B$5:$B$3623,A600,'📋 Транзакції'!$C$5:$C$3623,"&gt;="&amp;EDATE(DATEVALUE(C600&amp;"-01"),2),'📋 Транзакції'!$C$5:$C$3623,"&lt;"&amp;EDATE(DATEVALUE(C600&amp;"-01"),3))&gt;0,1,0)</f>
        <v>0</v>
      </c>
      <c r="J600" s="37">
        <f>IF(COUNTIFS('📋 Транзакції'!$B$5:$B$3623,A600,'📋 Транзакції'!$C$5:$C$3623,"&gt;="&amp;EDATE(DATEVALUE(C600&amp;"-01"),3),'📋 Транзакції'!$C$5:$C$3623,"&lt;"&amp;EDATE(DATEVALUE(C600&amp;"-01"),4))&gt;0,1,0)</f>
        <v>0</v>
      </c>
      <c r="K600" s="37">
        <f>IF(COUNTIFS('📋 Транзакції'!$B$5:$B$3623,A600,'📋 Транзакції'!$C$5:$C$3623,"&gt;="&amp;EDATE(DATEVALUE(C600&amp;"-01"),4),'📋 Транзакції'!$C$5:$C$3623,"&lt;"&amp;EDATE(DATEVALUE(C600&amp;"-01"),5))&gt;0,1,0)</f>
        <v>0</v>
      </c>
      <c r="L600" s="37">
        <f>IF(COUNTIFS('📋 Транзакції'!$B$5:$B$3623,A600,'📋 Транзакції'!$C$5:$C$3623,"&gt;="&amp;EDATE(DATEVALUE(C600&amp;"-01"),5),'📋 Транзакції'!$C$5:$C$3623,"&lt;"&amp;EDATE(DATEVALUE(C600&amp;"-01"),6))&gt;0,1,0)</f>
        <v>0</v>
      </c>
      <c r="M600" s="37">
        <f>IF(COUNTIFS('📋 Транзакції'!$B$5:$B$3623,A600,'📋 Транзакції'!$C$5:$C$3623,"&gt;="&amp;EDATE(DATEVALUE(C600&amp;"-01"),6),'📋 Транзакції'!$C$5:$C$3623,"&lt;"&amp;EDATE(DATEVALUE(C600&amp;"-01"),7))&gt;0,1,0)</f>
        <v>0</v>
      </c>
      <c r="N600" s="37">
        <f>IF(COUNTIFS('📋 Транзакції'!$B$5:$B$3623,A600,'📋 Транзакції'!$C$5:$C$3623,"&gt;="&amp;EDATE(DATEVALUE(C600&amp;"-01"),7),'📋 Транзакції'!$C$5:$C$3623,"&lt;"&amp;EDATE(DATEVALUE(C600&amp;"-01"),8))&gt;0,1,0)</f>
        <v>0</v>
      </c>
      <c r="O600" s="37">
        <f>IF(COUNTIFS('📋 Транзакції'!$B$5:$B$3623,A600,'📋 Транзакції'!$C$5:$C$3623,"&gt;="&amp;EDATE(DATEVALUE(C600&amp;"-01"),8),'📋 Транзакції'!$C$5:$C$3623,"&lt;"&amp;EDATE(DATEVALUE(C600&amp;"-01"),9))&gt;0,1,0)</f>
        <v>0</v>
      </c>
      <c r="P600" s="37">
        <f>IF(COUNTIFS('📋 Транзакції'!$B$5:$B$3623,A600,'📋 Транзакції'!$C$5:$C$3623,"&gt;="&amp;EDATE(DATEVALUE(C600&amp;"-01"),9),'📋 Транзакції'!$C$5:$C$3623,"&lt;"&amp;EDATE(DATEVALUE(C600&amp;"-01"),10))&gt;0,1,0)</f>
        <v>0</v>
      </c>
      <c r="Q600" s="37">
        <f>IF(COUNTIFS('📋 Транзакції'!$B$5:$B$3623,A600,'📋 Транзакції'!$C$5:$C$3623,"&gt;="&amp;EDATE(DATEVALUE(C600&amp;"-01"),10),'📋 Транзакції'!$C$5:$C$3623,"&lt;"&amp;EDATE(DATEVALUE(C600&amp;"-01"),11))&gt;0,1,0)</f>
        <v>0</v>
      </c>
      <c r="R600" s="37">
        <f>IF(COUNTIFS('📋 Транзакції'!$B$5:$B$3623,A600,'📋 Транзакції'!$C$5:$C$3623,"&gt;="&amp;EDATE(DATEVALUE(C600&amp;"-01"),11),'📋 Транзакції'!$C$5:$C$3623,"&lt;"&amp;EDATE(DATEVALUE(C600&amp;"-01"),12))&gt;0,1,0)</f>
        <v>0</v>
      </c>
      <c r="S600" s="37">
        <f>SUMIFS('📋 Транзакції'!$F$5:$F$3623,'📋 Транзакції'!$B$5:$B$3623,A600,'📋 Транзакції'!$C$5:$C$3623,"&gt;="&amp;EDATE(DATEVALUE(C600&amp;"-01"),0),'📋 Транзакції'!$C$5:$C$3623,"&lt;"&amp;EDATE(DATEVALUE(C600&amp;"-01"),1))</f>
        <v>19.99</v>
      </c>
      <c r="T600" s="37">
        <f>SUMIFS('📋 Транзакції'!$F$5:$F$3623,'📋 Транзакції'!$B$5:$B$3623,A600,'📋 Транзакції'!$C$5:$C$3623,"&gt;="&amp;EDATE(DATEVALUE(C600&amp;"-01"),1),'📋 Транзакції'!$C$5:$C$3623,"&lt;"&amp;EDATE(DATEVALUE(C600&amp;"-01"),2))</f>
        <v>0</v>
      </c>
      <c r="U600" s="37">
        <f>SUMIFS('📋 Транзакції'!$F$5:$F$3623,'📋 Транзакції'!$B$5:$B$3623,A600,'📋 Транзакції'!$C$5:$C$3623,"&gt;="&amp;EDATE(DATEVALUE(C600&amp;"-01"),2),'📋 Транзакції'!$C$5:$C$3623,"&lt;"&amp;EDATE(DATEVALUE(C600&amp;"-01"),3))</f>
        <v>0</v>
      </c>
      <c r="V600" s="37">
        <f>SUMIFS('📋 Транзакції'!$F$5:$F$3623,'📋 Транзакції'!$B$5:$B$3623,A600,'📋 Транзакції'!$C$5:$C$3623,"&gt;="&amp;EDATE(DATEVALUE(C600&amp;"-01"),3),'📋 Транзакції'!$C$5:$C$3623,"&lt;"&amp;EDATE(DATEVALUE(C600&amp;"-01"),4))</f>
        <v>0</v>
      </c>
      <c r="W600" s="37">
        <f>SUMIFS('📋 Транзакції'!$F$5:$F$3623,'📋 Транзакції'!$B$5:$B$3623,A600,'📋 Транзакції'!$C$5:$C$3623,"&gt;="&amp;EDATE(DATEVALUE(C600&amp;"-01"),4),'📋 Транзакції'!$C$5:$C$3623,"&lt;"&amp;EDATE(DATEVALUE(C600&amp;"-01"),5))</f>
        <v>0</v>
      </c>
      <c r="X600" s="37">
        <f>SUMIFS('📋 Транзакції'!$F$5:$F$3623,'📋 Транзакції'!$B$5:$B$3623,A600,'📋 Транзакції'!$C$5:$C$3623,"&gt;="&amp;EDATE(DATEVALUE(C600&amp;"-01"),5),'📋 Транзакції'!$C$5:$C$3623,"&lt;"&amp;EDATE(DATEVALUE(C600&amp;"-01"),6))</f>
        <v>0</v>
      </c>
      <c r="Y600" s="37">
        <f>SUMIFS('📋 Транзакції'!$F$5:$F$3623,'📋 Транзакції'!$B$5:$B$3623,A600,'📋 Транзакції'!$C$5:$C$3623,"&gt;="&amp;EDATE(DATEVALUE(C600&amp;"-01"),6),'📋 Транзакції'!$C$5:$C$3623,"&lt;"&amp;EDATE(DATEVALUE(C600&amp;"-01"),7))</f>
        <v>0</v>
      </c>
      <c r="Z600" s="37">
        <f>SUMIFS('📋 Транзакції'!$F$5:$F$3623,'📋 Транзакції'!$B$5:$B$3623,A600,'📋 Транзакції'!$C$5:$C$3623,"&gt;="&amp;EDATE(DATEVALUE(C600&amp;"-01"),7),'📋 Транзакції'!$C$5:$C$3623,"&lt;"&amp;EDATE(DATEVALUE(C600&amp;"-01"),8))</f>
        <v>0</v>
      </c>
      <c r="AA600" s="37">
        <f>SUMIFS('📋 Транзакції'!$F$5:$F$3623,'📋 Транзакції'!$B$5:$B$3623,A600,'📋 Транзакції'!$C$5:$C$3623,"&gt;="&amp;EDATE(DATEVALUE(C600&amp;"-01"),8),'📋 Транзакції'!$C$5:$C$3623,"&lt;"&amp;EDATE(DATEVALUE(C600&amp;"-01"),9))</f>
        <v>0</v>
      </c>
      <c r="AB600" s="37">
        <f>SUMIFS('📋 Транзакції'!$F$5:$F$3623,'📋 Транзакції'!$B$5:$B$3623,A600,'📋 Транзакції'!$C$5:$C$3623,"&gt;="&amp;EDATE(DATEVALUE(C600&amp;"-01"),9),'📋 Транзакції'!$C$5:$C$3623,"&lt;"&amp;EDATE(DATEVALUE(C600&amp;"-01"),10))</f>
        <v>0</v>
      </c>
      <c r="AC600" s="37">
        <f>SUMIFS('📋 Транзакції'!$F$5:$F$3623,'📋 Транзакції'!$B$5:$B$3623,A600,'📋 Транзакції'!$C$5:$C$3623,"&gt;="&amp;EDATE(DATEVALUE(C600&amp;"-01"),10),'📋 Транзакції'!$C$5:$C$3623,"&lt;"&amp;EDATE(DATEVALUE(C600&amp;"-01"),11))</f>
        <v>0</v>
      </c>
      <c r="AD600" s="37">
        <f>SUMIFS('📋 Транзакції'!$F$5:$F$3623,'📋 Транзакції'!$B$5:$B$3623,A600,'📋 Транзакції'!$C$5:$C$3623,"&gt;="&amp;EDATE(DATEVALUE(C600&amp;"-01"),11),'📋 Транзакції'!$C$5:$C$3623,"&lt;"&amp;EDATE(DATEVALUE(C600&amp;"-01"),12))</f>
        <v>0</v>
      </c>
    </row>
    <row r="601" ht="15.75" customHeight="1">
      <c r="A601" s="33" t="str">
        <f>'📋 Реєстрації'!A601:A1202</f>
        <v>U0706</v>
      </c>
      <c r="B601" s="34">
        <f t="array" ref="B601">INDEX('📋 Транзакції'!$C$5:$C$3623,MATCH(A601,'📋 Транзакції'!$B$5:$B$3623,0))</f>
        <v>45737</v>
      </c>
      <c r="C601" s="35" t="str">
        <f t="shared" si="1"/>
        <v>2025-03</v>
      </c>
      <c r="D601" s="36">
        <f>COUNTIF('📋 Транзакції'!$B$5:$B$3623,A601)</f>
        <v>2</v>
      </c>
      <c r="E601" s="36">
        <f>SUMIF('📋 Транзакції'!$B$5:$B$3623,A601,'📋 Транзакції'!$F$5:$F$3623)</f>
        <v>19.99</v>
      </c>
      <c r="F601" s="35">
        <f>INT($A$1-MAXIFS('📋 Транзакції'!$C$5:$C$3623,'📋 Транзакції'!$B$5:$B$3623,A601))</f>
        <v>3</v>
      </c>
      <c r="G601" s="37">
        <f>IF(COUNTIFS('📋 Транзакції'!$B$5:$B$3623,A601,'📋 Транзакції'!$C$5:$C$3623,"&gt;="&amp;EDATE(DATEVALUE(C601&amp;"-01"),0),'📋 Транзакції'!$C$5:$C$3623,"&lt;"&amp;EDATE(DATEVALUE(C601&amp;"-01"),1))&gt;0,1,0)</f>
        <v>1</v>
      </c>
      <c r="H601" s="37">
        <f>IF(COUNTIFS('📋 Транзакції'!$B$5:$B$3623,A601,'📋 Транзакції'!$C$5:$C$3623,"&gt;="&amp;EDATE(DATEVALUE(C601&amp;"-01"),1),'📋 Транзакції'!$C$5:$C$3623,"&lt;"&amp;EDATE(DATEVALUE(C601&amp;"-01"),2))&gt;0,1,0)</f>
        <v>0</v>
      </c>
      <c r="I601" s="37">
        <f>IF(COUNTIFS('📋 Транзакції'!$B$5:$B$3623,A601,'📋 Транзакції'!$C$5:$C$3623,"&gt;="&amp;EDATE(DATEVALUE(C601&amp;"-01"),2),'📋 Транзакції'!$C$5:$C$3623,"&lt;"&amp;EDATE(DATEVALUE(C601&amp;"-01"),3))&gt;0,1,0)</f>
        <v>0</v>
      </c>
      <c r="J601" s="37">
        <f>IF(COUNTIFS('📋 Транзакції'!$B$5:$B$3623,A601,'📋 Транзакції'!$C$5:$C$3623,"&gt;="&amp;EDATE(DATEVALUE(C601&amp;"-01"),3),'📋 Транзакції'!$C$5:$C$3623,"&lt;"&amp;EDATE(DATEVALUE(C601&amp;"-01"),4))&gt;0,1,0)</f>
        <v>0</v>
      </c>
      <c r="K601" s="37">
        <f>IF(COUNTIFS('📋 Транзакції'!$B$5:$B$3623,A601,'📋 Транзакції'!$C$5:$C$3623,"&gt;="&amp;EDATE(DATEVALUE(C601&amp;"-01"),4),'📋 Транзакції'!$C$5:$C$3623,"&lt;"&amp;EDATE(DATEVALUE(C601&amp;"-01"),5))&gt;0,1,0)</f>
        <v>0</v>
      </c>
      <c r="L601" s="37">
        <f>IF(COUNTIFS('📋 Транзакції'!$B$5:$B$3623,A601,'📋 Транзакції'!$C$5:$C$3623,"&gt;="&amp;EDATE(DATEVALUE(C601&amp;"-01"),5),'📋 Транзакції'!$C$5:$C$3623,"&lt;"&amp;EDATE(DATEVALUE(C601&amp;"-01"),6))&gt;0,1,0)</f>
        <v>0</v>
      </c>
      <c r="M601" s="37">
        <f>IF(COUNTIFS('📋 Транзакції'!$B$5:$B$3623,A601,'📋 Транзакції'!$C$5:$C$3623,"&gt;="&amp;EDATE(DATEVALUE(C601&amp;"-01"),6),'📋 Транзакції'!$C$5:$C$3623,"&lt;"&amp;EDATE(DATEVALUE(C601&amp;"-01"),7))&gt;0,1,0)</f>
        <v>0</v>
      </c>
      <c r="N601" s="37">
        <f>IF(COUNTIFS('📋 Транзакції'!$B$5:$B$3623,A601,'📋 Транзакції'!$C$5:$C$3623,"&gt;="&amp;EDATE(DATEVALUE(C601&amp;"-01"),7),'📋 Транзакції'!$C$5:$C$3623,"&lt;"&amp;EDATE(DATEVALUE(C601&amp;"-01"),8))&gt;0,1,0)</f>
        <v>0</v>
      </c>
      <c r="O601" s="37">
        <f>IF(COUNTIFS('📋 Транзакції'!$B$5:$B$3623,A601,'📋 Транзакції'!$C$5:$C$3623,"&gt;="&amp;EDATE(DATEVALUE(C601&amp;"-01"),8),'📋 Транзакції'!$C$5:$C$3623,"&lt;"&amp;EDATE(DATEVALUE(C601&amp;"-01"),9))&gt;0,1,0)</f>
        <v>0</v>
      </c>
      <c r="P601" s="37">
        <f>IF(COUNTIFS('📋 Транзакції'!$B$5:$B$3623,A601,'📋 Транзакції'!$C$5:$C$3623,"&gt;="&amp;EDATE(DATEVALUE(C601&amp;"-01"),9),'📋 Транзакції'!$C$5:$C$3623,"&lt;"&amp;EDATE(DATEVALUE(C601&amp;"-01"),10))&gt;0,1,0)</f>
        <v>0</v>
      </c>
      <c r="Q601" s="37">
        <f>IF(COUNTIFS('📋 Транзакції'!$B$5:$B$3623,A601,'📋 Транзакції'!$C$5:$C$3623,"&gt;="&amp;EDATE(DATEVALUE(C601&amp;"-01"),10),'📋 Транзакції'!$C$5:$C$3623,"&lt;"&amp;EDATE(DATEVALUE(C601&amp;"-01"),11))&gt;0,1,0)</f>
        <v>0</v>
      </c>
      <c r="R601" s="37">
        <f>IF(COUNTIFS('📋 Транзакції'!$B$5:$B$3623,A601,'📋 Транзакції'!$C$5:$C$3623,"&gt;="&amp;EDATE(DATEVALUE(C601&amp;"-01"),11),'📋 Транзакції'!$C$5:$C$3623,"&lt;"&amp;EDATE(DATEVALUE(C601&amp;"-01"),12))&gt;0,1,0)</f>
        <v>0</v>
      </c>
      <c r="S601" s="37">
        <f>SUMIFS('📋 Транзакції'!$F$5:$F$3623,'📋 Транзакції'!$B$5:$B$3623,A601,'📋 Транзакції'!$C$5:$C$3623,"&gt;="&amp;EDATE(DATEVALUE(C601&amp;"-01"),0),'📋 Транзакції'!$C$5:$C$3623,"&lt;"&amp;EDATE(DATEVALUE(C601&amp;"-01"),1))</f>
        <v>19.99</v>
      </c>
      <c r="T601" s="37">
        <f>SUMIFS('📋 Транзакції'!$F$5:$F$3623,'📋 Транзакції'!$B$5:$B$3623,A601,'📋 Транзакції'!$C$5:$C$3623,"&gt;="&amp;EDATE(DATEVALUE(C601&amp;"-01"),1),'📋 Транзакції'!$C$5:$C$3623,"&lt;"&amp;EDATE(DATEVALUE(C601&amp;"-01"),2))</f>
        <v>0</v>
      </c>
      <c r="U601" s="37">
        <f>SUMIFS('📋 Транзакції'!$F$5:$F$3623,'📋 Транзакції'!$B$5:$B$3623,A601,'📋 Транзакції'!$C$5:$C$3623,"&gt;="&amp;EDATE(DATEVALUE(C601&amp;"-01"),2),'📋 Транзакції'!$C$5:$C$3623,"&lt;"&amp;EDATE(DATEVALUE(C601&amp;"-01"),3))</f>
        <v>0</v>
      </c>
      <c r="V601" s="37">
        <f>SUMIFS('📋 Транзакції'!$F$5:$F$3623,'📋 Транзакції'!$B$5:$B$3623,A601,'📋 Транзакції'!$C$5:$C$3623,"&gt;="&amp;EDATE(DATEVALUE(C601&amp;"-01"),3),'📋 Транзакції'!$C$5:$C$3623,"&lt;"&amp;EDATE(DATEVALUE(C601&amp;"-01"),4))</f>
        <v>0</v>
      </c>
      <c r="W601" s="37">
        <f>SUMIFS('📋 Транзакції'!$F$5:$F$3623,'📋 Транзакції'!$B$5:$B$3623,A601,'📋 Транзакції'!$C$5:$C$3623,"&gt;="&amp;EDATE(DATEVALUE(C601&amp;"-01"),4),'📋 Транзакції'!$C$5:$C$3623,"&lt;"&amp;EDATE(DATEVALUE(C601&amp;"-01"),5))</f>
        <v>0</v>
      </c>
      <c r="X601" s="37">
        <f>SUMIFS('📋 Транзакції'!$F$5:$F$3623,'📋 Транзакції'!$B$5:$B$3623,A601,'📋 Транзакції'!$C$5:$C$3623,"&gt;="&amp;EDATE(DATEVALUE(C601&amp;"-01"),5),'📋 Транзакції'!$C$5:$C$3623,"&lt;"&amp;EDATE(DATEVALUE(C601&amp;"-01"),6))</f>
        <v>0</v>
      </c>
      <c r="Y601" s="37">
        <f>SUMIFS('📋 Транзакції'!$F$5:$F$3623,'📋 Транзакції'!$B$5:$B$3623,A601,'📋 Транзакції'!$C$5:$C$3623,"&gt;="&amp;EDATE(DATEVALUE(C601&amp;"-01"),6),'📋 Транзакції'!$C$5:$C$3623,"&lt;"&amp;EDATE(DATEVALUE(C601&amp;"-01"),7))</f>
        <v>0</v>
      </c>
      <c r="Z601" s="37">
        <f>SUMIFS('📋 Транзакції'!$F$5:$F$3623,'📋 Транзакції'!$B$5:$B$3623,A601,'📋 Транзакції'!$C$5:$C$3623,"&gt;="&amp;EDATE(DATEVALUE(C601&amp;"-01"),7),'📋 Транзакції'!$C$5:$C$3623,"&lt;"&amp;EDATE(DATEVALUE(C601&amp;"-01"),8))</f>
        <v>0</v>
      </c>
      <c r="AA601" s="37">
        <f>SUMIFS('📋 Транзакції'!$F$5:$F$3623,'📋 Транзакції'!$B$5:$B$3623,A601,'📋 Транзакції'!$C$5:$C$3623,"&gt;="&amp;EDATE(DATEVALUE(C601&amp;"-01"),8),'📋 Транзакції'!$C$5:$C$3623,"&lt;"&amp;EDATE(DATEVALUE(C601&amp;"-01"),9))</f>
        <v>0</v>
      </c>
      <c r="AB601" s="37">
        <f>SUMIFS('📋 Транзакції'!$F$5:$F$3623,'📋 Транзакції'!$B$5:$B$3623,A601,'📋 Транзакції'!$C$5:$C$3623,"&gt;="&amp;EDATE(DATEVALUE(C601&amp;"-01"),9),'📋 Транзакції'!$C$5:$C$3623,"&lt;"&amp;EDATE(DATEVALUE(C601&amp;"-01"),10))</f>
        <v>0</v>
      </c>
      <c r="AC601" s="37">
        <f>SUMIFS('📋 Транзакції'!$F$5:$F$3623,'📋 Транзакції'!$B$5:$B$3623,A601,'📋 Транзакції'!$C$5:$C$3623,"&gt;="&amp;EDATE(DATEVALUE(C601&amp;"-01"),10),'📋 Транзакції'!$C$5:$C$3623,"&lt;"&amp;EDATE(DATEVALUE(C601&amp;"-01"),11))</f>
        <v>0</v>
      </c>
      <c r="AD601" s="37">
        <f>SUMIFS('📋 Транзакції'!$F$5:$F$3623,'📋 Транзакції'!$B$5:$B$3623,A601,'📋 Транзакції'!$C$5:$C$3623,"&gt;="&amp;EDATE(DATEVALUE(C601&amp;"-01"),11),'📋 Транзакції'!$C$5:$C$3623,"&lt;"&amp;EDATE(DATEVALUE(C601&amp;"-01"),12))</f>
        <v>0</v>
      </c>
    </row>
    <row r="602" ht="15.75" customHeight="1">
      <c r="A602" s="33" t="str">
        <f>'📋 Реєстрації'!A602:A1203</f>
        <v>U0262</v>
      </c>
      <c r="B602" s="34">
        <f t="array" ref="B602">INDEX('📋 Транзакції'!$C$5:$C$3623,MATCH(A602,'📋 Транзакції'!$B$5:$B$3623,0))</f>
        <v>45738</v>
      </c>
      <c r="C602" s="35" t="str">
        <f t="shared" si="1"/>
        <v>2025-03</v>
      </c>
      <c r="D602" s="36">
        <f>COUNTIF('📋 Транзакції'!$B$5:$B$3623,A602)</f>
        <v>2</v>
      </c>
      <c r="E602" s="36">
        <f>SUMIF('📋 Транзакції'!$B$5:$B$3623,A602,'📋 Транзакції'!$F$5:$F$3623)</f>
        <v>19.99</v>
      </c>
      <c r="F602" s="35">
        <f>INT($A$1-MAXIFS('📋 Транзакції'!$C$5:$C$3623,'📋 Транзакції'!$B$5:$B$3623,A602))</f>
        <v>2</v>
      </c>
      <c r="G602" s="37">
        <f>IF(COUNTIFS('📋 Транзакції'!$B$5:$B$3623,A602,'📋 Транзакції'!$C$5:$C$3623,"&gt;="&amp;EDATE(DATEVALUE(C602&amp;"-01"),0),'📋 Транзакції'!$C$5:$C$3623,"&lt;"&amp;EDATE(DATEVALUE(C602&amp;"-01"),1))&gt;0,1,0)</f>
        <v>1</v>
      </c>
      <c r="H602" s="37">
        <f>IF(COUNTIFS('📋 Транзакції'!$B$5:$B$3623,A602,'📋 Транзакції'!$C$5:$C$3623,"&gt;="&amp;EDATE(DATEVALUE(C602&amp;"-01"),1),'📋 Транзакції'!$C$5:$C$3623,"&lt;"&amp;EDATE(DATEVALUE(C602&amp;"-01"),2))&gt;0,1,0)</f>
        <v>0</v>
      </c>
      <c r="I602" s="37">
        <f>IF(COUNTIFS('📋 Транзакції'!$B$5:$B$3623,A602,'📋 Транзакції'!$C$5:$C$3623,"&gt;="&amp;EDATE(DATEVALUE(C602&amp;"-01"),2),'📋 Транзакції'!$C$5:$C$3623,"&lt;"&amp;EDATE(DATEVALUE(C602&amp;"-01"),3))&gt;0,1,0)</f>
        <v>0</v>
      </c>
      <c r="J602" s="37">
        <f>IF(COUNTIFS('📋 Транзакції'!$B$5:$B$3623,A602,'📋 Транзакції'!$C$5:$C$3623,"&gt;="&amp;EDATE(DATEVALUE(C602&amp;"-01"),3),'📋 Транзакції'!$C$5:$C$3623,"&lt;"&amp;EDATE(DATEVALUE(C602&amp;"-01"),4))&gt;0,1,0)</f>
        <v>0</v>
      </c>
      <c r="K602" s="37">
        <f>IF(COUNTIFS('📋 Транзакції'!$B$5:$B$3623,A602,'📋 Транзакції'!$C$5:$C$3623,"&gt;="&amp;EDATE(DATEVALUE(C602&amp;"-01"),4),'📋 Транзакції'!$C$5:$C$3623,"&lt;"&amp;EDATE(DATEVALUE(C602&amp;"-01"),5))&gt;0,1,0)</f>
        <v>0</v>
      </c>
      <c r="L602" s="37">
        <f>IF(COUNTIFS('📋 Транзакції'!$B$5:$B$3623,A602,'📋 Транзакції'!$C$5:$C$3623,"&gt;="&amp;EDATE(DATEVALUE(C602&amp;"-01"),5),'📋 Транзакції'!$C$5:$C$3623,"&lt;"&amp;EDATE(DATEVALUE(C602&amp;"-01"),6))&gt;0,1,0)</f>
        <v>0</v>
      </c>
      <c r="M602" s="37">
        <f>IF(COUNTIFS('📋 Транзакції'!$B$5:$B$3623,A602,'📋 Транзакції'!$C$5:$C$3623,"&gt;="&amp;EDATE(DATEVALUE(C602&amp;"-01"),6),'📋 Транзакції'!$C$5:$C$3623,"&lt;"&amp;EDATE(DATEVALUE(C602&amp;"-01"),7))&gt;0,1,0)</f>
        <v>0</v>
      </c>
      <c r="N602" s="37">
        <f>IF(COUNTIFS('📋 Транзакції'!$B$5:$B$3623,A602,'📋 Транзакції'!$C$5:$C$3623,"&gt;="&amp;EDATE(DATEVALUE(C602&amp;"-01"),7),'📋 Транзакції'!$C$5:$C$3623,"&lt;"&amp;EDATE(DATEVALUE(C602&amp;"-01"),8))&gt;0,1,0)</f>
        <v>0</v>
      </c>
      <c r="O602" s="37">
        <f>IF(COUNTIFS('📋 Транзакції'!$B$5:$B$3623,A602,'📋 Транзакції'!$C$5:$C$3623,"&gt;="&amp;EDATE(DATEVALUE(C602&amp;"-01"),8),'📋 Транзакції'!$C$5:$C$3623,"&lt;"&amp;EDATE(DATEVALUE(C602&amp;"-01"),9))&gt;0,1,0)</f>
        <v>0</v>
      </c>
      <c r="P602" s="37">
        <f>IF(COUNTIFS('📋 Транзакції'!$B$5:$B$3623,A602,'📋 Транзакції'!$C$5:$C$3623,"&gt;="&amp;EDATE(DATEVALUE(C602&amp;"-01"),9),'📋 Транзакції'!$C$5:$C$3623,"&lt;"&amp;EDATE(DATEVALUE(C602&amp;"-01"),10))&gt;0,1,0)</f>
        <v>0</v>
      </c>
      <c r="Q602" s="37">
        <f>IF(COUNTIFS('📋 Транзакції'!$B$5:$B$3623,A602,'📋 Транзакції'!$C$5:$C$3623,"&gt;="&amp;EDATE(DATEVALUE(C602&amp;"-01"),10),'📋 Транзакції'!$C$5:$C$3623,"&lt;"&amp;EDATE(DATEVALUE(C602&amp;"-01"),11))&gt;0,1,0)</f>
        <v>0</v>
      </c>
      <c r="R602" s="37">
        <f>IF(COUNTIFS('📋 Транзакції'!$B$5:$B$3623,A602,'📋 Транзакції'!$C$5:$C$3623,"&gt;="&amp;EDATE(DATEVALUE(C602&amp;"-01"),11),'📋 Транзакції'!$C$5:$C$3623,"&lt;"&amp;EDATE(DATEVALUE(C602&amp;"-01"),12))&gt;0,1,0)</f>
        <v>0</v>
      </c>
      <c r="S602" s="37">
        <f>SUMIFS('📋 Транзакції'!$F$5:$F$3623,'📋 Транзакції'!$B$5:$B$3623,A602,'📋 Транзакції'!$C$5:$C$3623,"&gt;="&amp;EDATE(DATEVALUE(C602&amp;"-01"),0),'📋 Транзакції'!$C$5:$C$3623,"&lt;"&amp;EDATE(DATEVALUE(C602&amp;"-01"),1))</f>
        <v>19.99</v>
      </c>
      <c r="T602" s="37">
        <f>SUMIFS('📋 Транзакції'!$F$5:$F$3623,'📋 Транзакції'!$B$5:$B$3623,A602,'📋 Транзакції'!$C$5:$C$3623,"&gt;="&amp;EDATE(DATEVALUE(C602&amp;"-01"),1),'📋 Транзакції'!$C$5:$C$3623,"&lt;"&amp;EDATE(DATEVALUE(C602&amp;"-01"),2))</f>
        <v>0</v>
      </c>
      <c r="U602" s="37">
        <f>SUMIFS('📋 Транзакції'!$F$5:$F$3623,'📋 Транзакції'!$B$5:$B$3623,A602,'📋 Транзакції'!$C$5:$C$3623,"&gt;="&amp;EDATE(DATEVALUE(C602&amp;"-01"),2),'📋 Транзакції'!$C$5:$C$3623,"&lt;"&amp;EDATE(DATEVALUE(C602&amp;"-01"),3))</f>
        <v>0</v>
      </c>
      <c r="V602" s="37">
        <f>SUMIFS('📋 Транзакції'!$F$5:$F$3623,'📋 Транзакції'!$B$5:$B$3623,A602,'📋 Транзакції'!$C$5:$C$3623,"&gt;="&amp;EDATE(DATEVALUE(C602&amp;"-01"),3),'📋 Транзакції'!$C$5:$C$3623,"&lt;"&amp;EDATE(DATEVALUE(C602&amp;"-01"),4))</f>
        <v>0</v>
      </c>
      <c r="W602" s="37">
        <f>SUMIFS('📋 Транзакції'!$F$5:$F$3623,'📋 Транзакції'!$B$5:$B$3623,A602,'📋 Транзакції'!$C$5:$C$3623,"&gt;="&amp;EDATE(DATEVALUE(C602&amp;"-01"),4),'📋 Транзакції'!$C$5:$C$3623,"&lt;"&amp;EDATE(DATEVALUE(C602&amp;"-01"),5))</f>
        <v>0</v>
      </c>
      <c r="X602" s="37">
        <f>SUMIFS('📋 Транзакції'!$F$5:$F$3623,'📋 Транзакції'!$B$5:$B$3623,A602,'📋 Транзакції'!$C$5:$C$3623,"&gt;="&amp;EDATE(DATEVALUE(C602&amp;"-01"),5),'📋 Транзакції'!$C$5:$C$3623,"&lt;"&amp;EDATE(DATEVALUE(C602&amp;"-01"),6))</f>
        <v>0</v>
      </c>
      <c r="Y602" s="37">
        <f>SUMIFS('📋 Транзакції'!$F$5:$F$3623,'📋 Транзакції'!$B$5:$B$3623,A602,'📋 Транзакції'!$C$5:$C$3623,"&gt;="&amp;EDATE(DATEVALUE(C602&amp;"-01"),6),'📋 Транзакції'!$C$5:$C$3623,"&lt;"&amp;EDATE(DATEVALUE(C602&amp;"-01"),7))</f>
        <v>0</v>
      </c>
      <c r="Z602" s="37">
        <f>SUMIFS('📋 Транзакції'!$F$5:$F$3623,'📋 Транзакції'!$B$5:$B$3623,A602,'📋 Транзакції'!$C$5:$C$3623,"&gt;="&amp;EDATE(DATEVALUE(C602&amp;"-01"),7),'📋 Транзакції'!$C$5:$C$3623,"&lt;"&amp;EDATE(DATEVALUE(C602&amp;"-01"),8))</f>
        <v>0</v>
      </c>
      <c r="AA602" s="37">
        <f>SUMIFS('📋 Транзакції'!$F$5:$F$3623,'📋 Транзакції'!$B$5:$B$3623,A602,'📋 Транзакції'!$C$5:$C$3623,"&gt;="&amp;EDATE(DATEVALUE(C602&amp;"-01"),8),'📋 Транзакції'!$C$5:$C$3623,"&lt;"&amp;EDATE(DATEVALUE(C602&amp;"-01"),9))</f>
        <v>0</v>
      </c>
      <c r="AB602" s="37">
        <f>SUMIFS('📋 Транзакції'!$F$5:$F$3623,'📋 Транзакції'!$B$5:$B$3623,A602,'📋 Транзакції'!$C$5:$C$3623,"&gt;="&amp;EDATE(DATEVALUE(C602&amp;"-01"),9),'📋 Транзакції'!$C$5:$C$3623,"&lt;"&amp;EDATE(DATEVALUE(C602&amp;"-01"),10))</f>
        <v>0</v>
      </c>
      <c r="AC602" s="37">
        <f>SUMIFS('📋 Транзакції'!$F$5:$F$3623,'📋 Транзакції'!$B$5:$B$3623,A602,'📋 Транзакції'!$C$5:$C$3623,"&gt;="&amp;EDATE(DATEVALUE(C602&amp;"-01"),10),'📋 Транзакції'!$C$5:$C$3623,"&lt;"&amp;EDATE(DATEVALUE(C602&amp;"-01"),11))</f>
        <v>0</v>
      </c>
      <c r="AD602" s="37">
        <f>SUMIFS('📋 Транзакції'!$F$5:$F$3623,'📋 Транзакції'!$B$5:$B$3623,A602,'📋 Транзакції'!$C$5:$C$3623,"&gt;="&amp;EDATE(DATEVALUE(C602&amp;"-01"),11),'📋 Транзакції'!$C$5:$C$3623,"&lt;"&amp;EDATE(DATEVALUE(C602&amp;"-01"),12))</f>
        <v>0</v>
      </c>
    </row>
    <row r="603" ht="15.75" customHeight="1">
      <c r="A603" s="33" t="str">
        <f>'📋 Реєстрації'!A603:A1204</f>
        <v>U0662</v>
      </c>
      <c r="B603" s="34">
        <f t="array" ref="B603">INDEX('📋 Транзакції'!$C$5:$C$3623,MATCH(A603,'📋 Транзакції'!$B$5:$B$3623,0))</f>
        <v>45738</v>
      </c>
      <c r="C603" s="35" t="str">
        <f t="shared" si="1"/>
        <v>2025-03</v>
      </c>
      <c r="D603" s="36">
        <f>COUNTIF('📋 Транзакції'!$B$5:$B$3623,A603)</f>
        <v>2</v>
      </c>
      <c r="E603" s="36">
        <f>SUMIF('📋 Транзакції'!$B$5:$B$3623,A603,'📋 Транзакції'!$F$5:$F$3623)</f>
        <v>19.99</v>
      </c>
      <c r="F603" s="35">
        <f>INT($A$1-MAXIFS('📋 Транзакції'!$C$5:$C$3623,'📋 Транзакції'!$B$5:$B$3623,A603))</f>
        <v>2</v>
      </c>
      <c r="G603" s="37">
        <f>IF(COUNTIFS('📋 Транзакції'!$B$5:$B$3623,A603,'📋 Транзакції'!$C$5:$C$3623,"&gt;="&amp;EDATE(DATEVALUE(C603&amp;"-01"),0),'📋 Транзакції'!$C$5:$C$3623,"&lt;"&amp;EDATE(DATEVALUE(C603&amp;"-01"),1))&gt;0,1,0)</f>
        <v>1</v>
      </c>
      <c r="H603" s="37">
        <f>IF(COUNTIFS('📋 Транзакції'!$B$5:$B$3623,A603,'📋 Транзакції'!$C$5:$C$3623,"&gt;="&amp;EDATE(DATEVALUE(C603&amp;"-01"),1),'📋 Транзакції'!$C$5:$C$3623,"&lt;"&amp;EDATE(DATEVALUE(C603&amp;"-01"),2))&gt;0,1,0)</f>
        <v>0</v>
      </c>
      <c r="I603" s="37">
        <f>IF(COUNTIFS('📋 Транзакції'!$B$5:$B$3623,A603,'📋 Транзакції'!$C$5:$C$3623,"&gt;="&amp;EDATE(DATEVALUE(C603&amp;"-01"),2),'📋 Транзакції'!$C$5:$C$3623,"&lt;"&amp;EDATE(DATEVALUE(C603&amp;"-01"),3))&gt;0,1,0)</f>
        <v>0</v>
      </c>
      <c r="J603" s="37">
        <f>IF(COUNTIFS('📋 Транзакції'!$B$5:$B$3623,A603,'📋 Транзакції'!$C$5:$C$3623,"&gt;="&amp;EDATE(DATEVALUE(C603&amp;"-01"),3),'📋 Транзакції'!$C$5:$C$3623,"&lt;"&amp;EDATE(DATEVALUE(C603&amp;"-01"),4))&gt;0,1,0)</f>
        <v>0</v>
      </c>
      <c r="K603" s="37">
        <f>IF(COUNTIFS('📋 Транзакції'!$B$5:$B$3623,A603,'📋 Транзакції'!$C$5:$C$3623,"&gt;="&amp;EDATE(DATEVALUE(C603&amp;"-01"),4),'📋 Транзакції'!$C$5:$C$3623,"&lt;"&amp;EDATE(DATEVALUE(C603&amp;"-01"),5))&gt;0,1,0)</f>
        <v>0</v>
      </c>
      <c r="L603" s="37">
        <f>IF(COUNTIFS('📋 Транзакції'!$B$5:$B$3623,A603,'📋 Транзакції'!$C$5:$C$3623,"&gt;="&amp;EDATE(DATEVALUE(C603&amp;"-01"),5),'📋 Транзакції'!$C$5:$C$3623,"&lt;"&amp;EDATE(DATEVALUE(C603&amp;"-01"),6))&gt;0,1,0)</f>
        <v>0</v>
      </c>
      <c r="M603" s="37">
        <f>IF(COUNTIFS('📋 Транзакції'!$B$5:$B$3623,A603,'📋 Транзакції'!$C$5:$C$3623,"&gt;="&amp;EDATE(DATEVALUE(C603&amp;"-01"),6),'📋 Транзакції'!$C$5:$C$3623,"&lt;"&amp;EDATE(DATEVALUE(C603&amp;"-01"),7))&gt;0,1,0)</f>
        <v>0</v>
      </c>
      <c r="N603" s="37">
        <f>IF(COUNTIFS('📋 Транзакції'!$B$5:$B$3623,A603,'📋 Транзакції'!$C$5:$C$3623,"&gt;="&amp;EDATE(DATEVALUE(C603&amp;"-01"),7),'📋 Транзакції'!$C$5:$C$3623,"&lt;"&amp;EDATE(DATEVALUE(C603&amp;"-01"),8))&gt;0,1,0)</f>
        <v>0</v>
      </c>
      <c r="O603" s="37">
        <f>IF(COUNTIFS('📋 Транзакції'!$B$5:$B$3623,A603,'📋 Транзакції'!$C$5:$C$3623,"&gt;="&amp;EDATE(DATEVALUE(C603&amp;"-01"),8),'📋 Транзакції'!$C$5:$C$3623,"&lt;"&amp;EDATE(DATEVALUE(C603&amp;"-01"),9))&gt;0,1,0)</f>
        <v>0</v>
      </c>
      <c r="P603" s="37">
        <f>IF(COUNTIFS('📋 Транзакції'!$B$5:$B$3623,A603,'📋 Транзакції'!$C$5:$C$3623,"&gt;="&amp;EDATE(DATEVALUE(C603&amp;"-01"),9),'📋 Транзакції'!$C$5:$C$3623,"&lt;"&amp;EDATE(DATEVALUE(C603&amp;"-01"),10))&gt;0,1,0)</f>
        <v>0</v>
      </c>
      <c r="Q603" s="37">
        <f>IF(COUNTIFS('📋 Транзакції'!$B$5:$B$3623,A603,'📋 Транзакції'!$C$5:$C$3623,"&gt;="&amp;EDATE(DATEVALUE(C603&amp;"-01"),10),'📋 Транзакції'!$C$5:$C$3623,"&lt;"&amp;EDATE(DATEVALUE(C603&amp;"-01"),11))&gt;0,1,0)</f>
        <v>0</v>
      </c>
      <c r="R603" s="37">
        <f>IF(COUNTIFS('📋 Транзакції'!$B$5:$B$3623,A603,'📋 Транзакції'!$C$5:$C$3623,"&gt;="&amp;EDATE(DATEVALUE(C603&amp;"-01"),11),'📋 Транзакції'!$C$5:$C$3623,"&lt;"&amp;EDATE(DATEVALUE(C603&amp;"-01"),12))&gt;0,1,0)</f>
        <v>0</v>
      </c>
      <c r="S603" s="37">
        <f>SUMIFS('📋 Транзакції'!$F$5:$F$3623,'📋 Транзакції'!$B$5:$B$3623,A603,'📋 Транзакції'!$C$5:$C$3623,"&gt;="&amp;EDATE(DATEVALUE(C603&amp;"-01"),0),'📋 Транзакції'!$C$5:$C$3623,"&lt;"&amp;EDATE(DATEVALUE(C603&amp;"-01"),1))</f>
        <v>19.99</v>
      </c>
      <c r="T603" s="37">
        <f>SUMIFS('📋 Транзакції'!$F$5:$F$3623,'📋 Транзакції'!$B$5:$B$3623,A603,'📋 Транзакції'!$C$5:$C$3623,"&gt;="&amp;EDATE(DATEVALUE(C603&amp;"-01"),1),'📋 Транзакції'!$C$5:$C$3623,"&lt;"&amp;EDATE(DATEVALUE(C603&amp;"-01"),2))</f>
        <v>0</v>
      </c>
      <c r="U603" s="37">
        <f>SUMIFS('📋 Транзакції'!$F$5:$F$3623,'📋 Транзакції'!$B$5:$B$3623,A603,'📋 Транзакції'!$C$5:$C$3623,"&gt;="&amp;EDATE(DATEVALUE(C603&amp;"-01"),2),'📋 Транзакції'!$C$5:$C$3623,"&lt;"&amp;EDATE(DATEVALUE(C603&amp;"-01"),3))</f>
        <v>0</v>
      </c>
      <c r="V603" s="37">
        <f>SUMIFS('📋 Транзакції'!$F$5:$F$3623,'📋 Транзакції'!$B$5:$B$3623,A603,'📋 Транзакції'!$C$5:$C$3623,"&gt;="&amp;EDATE(DATEVALUE(C603&amp;"-01"),3),'📋 Транзакції'!$C$5:$C$3623,"&lt;"&amp;EDATE(DATEVALUE(C603&amp;"-01"),4))</f>
        <v>0</v>
      </c>
      <c r="W603" s="37">
        <f>SUMIFS('📋 Транзакції'!$F$5:$F$3623,'📋 Транзакції'!$B$5:$B$3623,A603,'📋 Транзакції'!$C$5:$C$3623,"&gt;="&amp;EDATE(DATEVALUE(C603&amp;"-01"),4),'📋 Транзакції'!$C$5:$C$3623,"&lt;"&amp;EDATE(DATEVALUE(C603&amp;"-01"),5))</f>
        <v>0</v>
      </c>
      <c r="X603" s="37">
        <f>SUMIFS('📋 Транзакції'!$F$5:$F$3623,'📋 Транзакції'!$B$5:$B$3623,A603,'📋 Транзакції'!$C$5:$C$3623,"&gt;="&amp;EDATE(DATEVALUE(C603&amp;"-01"),5),'📋 Транзакції'!$C$5:$C$3623,"&lt;"&amp;EDATE(DATEVALUE(C603&amp;"-01"),6))</f>
        <v>0</v>
      </c>
      <c r="Y603" s="37">
        <f>SUMIFS('📋 Транзакції'!$F$5:$F$3623,'📋 Транзакції'!$B$5:$B$3623,A603,'📋 Транзакції'!$C$5:$C$3623,"&gt;="&amp;EDATE(DATEVALUE(C603&amp;"-01"),6),'📋 Транзакції'!$C$5:$C$3623,"&lt;"&amp;EDATE(DATEVALUE(C603&amp;"-01"),7))</f>
        <v>0</v>
      </c>
      <c r="Z603" s="37">
        <f>SUMIFS('📋 Транзакції'!$F$5:$F$3623,'📋 Транзакції'!$B$5:$B$3623,A603,'📋 Транзакції'!$C$5:$C$3623,"&gt;="&amp;EDATE(DATEVALUE(C603&amp;"-01"),7),'📋 Транзакції'!$C$5:$C$3623,"&lt;"&amp;EDATE(DATEVALUE(C603&amp;"-01"),8))</f>
        <v>0</v>
      </c>
      <c r="AA603" s="37">
        <f>SUMIFS('📋 Транзакції'!$F$5:$F$3623,'📋 Транзакції'!$B$5:$B$3623,A603,'📋 Транзакції'!$C$5:$C$3623,"&gt;="&amp;EDATE(DATEVALUE(C603&amp;"-01"),8),'📋 Транзакції'!$C$5:$C$3623,"&lt;"&amp;EDATE(DATEVALUE(C603&amp;"-01"),9))</f>
        <v>0</v>
      </c>
      <c r="AB603" s="37">
        <f>SUMIFS('📋 Транзакції'!$F$5:$F$3623,'📋 Транзакції'!$B$5:$B$3623,A603,'📋 Транзакції'!$C$5:$C$3623,"&gt;="&amp;EDATE(DATEVALUE(C603&amp;"-01"),9),'📋 Транзакції'!$C$5:$C$3623,"&lt;"&amp;EDATE(DATEVALUE(C603&amp;"-01"),10))</f>
        <v>0</v>
      </c>
      <c r="AC603" s="37">
        <f>SUMIFS('📋 Транзакції'!$F$5:$F$3623,'📋 Транзакції'!$B$5:$B$3623,A603,'📋 Транзакції'!$C$5:$C$3623,"&gt;="&amp;EDATE(DATEVALUE(C603&amp;"-01"),10),'📋 Транзакції'!$C$5:$C$3623,"&lt;"&amp;EDATE(DATEVALUE(C603&amp;"-01"),11))</f>
        <v>0</v>
      </c>
      <c r="AD603" s="37">
        <f>SUMIFS('📋 Транзакції'!$F$5:$F$3623,'📋 Транзакції'!$B$5:$B$3623,A603,'📋 Транзакції'!$C$5:$C$3623,"&gt;="&amp;EDATE(DATEVALUE(C603&amp;"-01"),11),'📋 Транзакції'!$C$5:$C$3623,"&lt;"&amp;EDATE(DATEVALUE(C603&amp;"-01"),12))</f>
        <v>0</v>
      </c>
    </row>
    <row r="604" ht="15.75" customHeight="1">
      <c r="A604" s="33" t="str">
        <f>'📋 Реєстрації'!A604:A1205</f>
        <v>U0616</v>
      </c>
      <c r="B604" s="34">
        <f t="array" ref="B604">INDEX('📋 Транзакції'!$C$5:$C$3623,MATCH(A604,'📋 Транзакції'!$B$5:$B$3623,0))</f>
        <v>45739</v>
      </c>
      <c r="C604" s="35" t="str">
        <f t="shared" si="1"/>
        <v>2025-03</v>
      </c>
      <c r="D604" s="36">
        <f>COUNTIF('📋 Транзакції'!$B$5:$B$3623,A604)</f>
        <v>2</v>
      </c>
      <c r="E604" s="36">
        <f>SUMIF('📋 Транзакції'!$B$5:$B$3623,A604,'📋 Транзакції'!$F$5:$F$3623)</f>
        <v>19.99</v>
      </c>
      <c r="F604" s="35">
        <f>INT($A$1-MAXIFS('📋 Транзакції'!$C$5:$C$3623,'📋 Транзакції'!$B$5:$B$3623,A604))</f>
        <v>1</v>
      </c>
      <c r="G604" s="37">
        <f>IF(COUNTIFS('📋 Транзакції'!$B$5:$B$3623,A604,'📋 Транзакції'!$C$5:$C$3623,"&gt;="&amp;EDATE(DATEVALUE(C604&amp;"-01"),0),'📋 Транзакції'!$C$5:$C$3623,"&lt;"&amp;EDATE(DATEVALUE(C604&amp;"-01"),1))&gt;0,1,0)</f>
        <v>1</v>
      </c>
      <c r="H604" s="37">
        <f>IF(COUNTIFS('📋 Транзакції'!$B$5:$B$3623,A604,'📋 Транзакції'!$C$5:$C$3623,"&gt;="&amp;EDATE(DATEVALUE(C604&amp;"-01"),1),'📋 Транзакції'!$C$5:$C$3623,"&lt;"&amp;EDATE(DATEVALUE(C604&amp;"-01"),2))&gt;0,1,0)</f>
        <v>0</v>
      </c>
      <c r="I604" s="37">
        <f>IF(COUNTIFS('📋 Транзакції'!$B$5:$B$3623,A604,'📋 Транзакції'!$C$5:$C$3623,"&gt;="&amp;EDATE(DATEVALUE(C604&amp;"-01"),2),'📋 Транзакції'!$C$5:$C$3623,"&lt;"&amp;EDATE(DATEVALUE(C604&amp;"-01"),3))&gt;0,1,0)</f>
        <v>0</v>
      </c>
      <c r="J604" s="37">
        <f>IF(COUNTIFS('📋 Транзакції'!$B$5:$B$3623,A604,'📋 Транзакції'!$C$5:$C$3623,"&gt;="&amp;EDATE(DATEVALUE(C604&amp;"-01"),3),'📋 Транзакції'!$C$5:$C$3623,"&lt;"&amp;EDATE(DATEVALUE(C604&amp;"-01"),4))&gt;0,1,0)</f>
        <v>0</v>
      </c>
      <c r="K604" s="37">
        <f>IF(COUNTIFS('📋 Транзакції'!$B$5:$B$3623,A604,'📋 Транзакції'!$C$5:$C$3623,"&gt;="&amp;EDATE(DATEVALUE(C604&amp;"-01"),4),'📋 Транзакції'!$C$5:$C$3623,"&lt;"&amp;EDATE(DATEVALUE(C604&amp;"-01"),5))&gt;0,1,0)</f>
        <v>0</v>
      </c>
      <c r="L604" s="37">
        <f>IF(COUNTIFS('📋 Транзакції'!$B$5:$B$3623,A604,'📋 Транзакції'!$C$5:$C$3623,"&gt;="&amp;EDATE(DATEVALUE(C604&amp;"-01"),5),'📋 Транзакції'!$C$5:$C$3623,"&lt;"&amp;EDATE(DATEVALUE(C604&amp;"-01"),6))&gt;0,1,0)</f>
        <v>0</v>
      </c>
      <c r="M604" s="37">
        <f>IF(COUNTIFS('📋 Транзакції'!$B$5:$B$3623,A604,'📋 Транзакції'!$C$5:$C$3623,"&gt;="&amp;EDATE(DATEVALUE(C604&amp;"-01"),6),'📋 Транзакції'!$C$5:$C$3623,"&lt;"&amp;EDATE(DATEVALUE(C604&amp;"-01"),7))&gt;0,1,0)</f>
        <v>0</v>
      </c>
      <c r="N604" s="37">
        <f>IF(COUNTIFS('📋 Транзакції'!$B$5:$B$3623,A604,'📋 Транзакції'!$C$5:$C$3623,"&gt;="&amp;EDATE(DATEVALUE(C604&amp;"-01"),7),'📋 Транзакції'!$C$5:$C$3623,"&lt;"&amp;EDATE(DATEVALUE(C604&amp;"-01"),8))&gt;0,1,0)</f>
        <v>0</v>
      </c>
      <c r="O604" s="37">
        <f>IF(COUNTIFS('📋 Транзакції'!$B$5:$B$3623,A604,'📋 Транзакції'!$C$5:$C$3623,"&gt;="&amp;EDATE(DATEVALUE(C604&amp;"-01"),8),'📋 Транзакції'!$C$5:$C$3623,"&lt;"&amp;EDATE(DATEVALUE(C604&amp;"-01"),9))&gt;0,1,0)</f>
        <v>0</v>
      </c>
      <c r="P604" s="37">
        <f>IF(COUNTIFS('📋 Транзакції'!$B$5:$B$3623,A604,'📋 Транзакції'!$C$5:$C$3623,"&gt;="&amp;EDATE(DATEVALUE(C604&amp;"-01"),9),'📋 Транзакції'!$C$5:$C$3623,"&lt;"&amp;EDATE(DATEVALUE(C604&amp;"-01"),10))&gt;0,1,0)</f>
        <v>0</v>
      </c>
      <c r="Q604" s="37">
        <f>IF(COUNTIFS('📋 Транзакції'!$B$5:$B$3623,A604,'📋 Транзакції'!$C$5:$C$3623,"&gt;="&amp;EDATE(DATEVALUE(C604&amp;"-01"),10),'📋 Транзакції'!$C$5:$C$3623,"&lt;"&amp;EDATE(DATEVALUE(C604&amp;"-01"),11))&gt;0,1,0)</f>
        <v>0</v>
      </c>
      <c r="R604" s="37">
        <f>IF(COUNTIFS('📋 Транзакції'!$B$5:$B$3623,A604,'📋 Транзакції'!$C$5:$C$3623,"&gt;="&amp;EDATE(DATEVALUE(C604&amp;"-01"),11),'📋 Транзакції'!$C$5:$C$3623,"&lt;"&amp;EDATE(DATEVALUE(C604&amp;"-01"),12))&gt;0,1,0)</f>
        <v>0</v>
      </c>
      <c r="S604" s="37">
        <f>SUMIFS('📋 Транзакції'!$F$5:$F$3623,'📋 Транзакції'!$B$5:$B$3623,A604,'📋 Транзакції'!$C$5:$C$3623,"&gt;="&amp;EDATE(DATEVALUE(C604&amp;"-01"),0),'📋 Транзакції'!$C$5:$C$3623,"&lt;"&amp;EDATE(DATEVALUE(C604&amp;"-01"),1))</f>
        <v>19.99</v>
      </c>
      <c r="T604" s="37">
        <f>SUMIFS('📋 Транзакції'!$F$5:$F$3623,'📋 Транзакції'!$B$5:$B$3623,A604,'📋 Транзакції'!$C$5:$C$3623,"&gt;="&amp;EDATE(DATEVALUE(C604&amp;"-01"),1),'📋 Транзакції'!$C$5:$C$3623,"&lt;"&amp;EDATE(DATEVALUE(C604&amp;"-01"),2))</f>
        <v>0</v>
      </c>
      <c r="U604" s="37">
        <f>SUMIFS('📋 Транзакції'!$F$5:$F$3623,'📋 Транзакції'!$B$5:$B$3623,A604,'📋 Транзакції'!$C$5:$C$3623,"&gt;="&amp;EDATE(DATEVALUE(C604&amp;"-01"),2),'📋 Транзакції'!$C$5:$C$3623,"&lt;"&amp;EDATE(DATEVALUE(C604&amp;"-01"),3))</f>
        <v>0</v>
      </c>
      <c r="V604" s="37">
        <f>SUMIFS('📋 Транзакції'!$F$5:$F$3623,'📋 Транзакції'!$B$5:$B$3623,A604,'📋 Транзакції'!$C$5:$C$3623,"&gt;="&amp;EDATE(DATEVALUE(C604&amp;"-01"),3),'📋 Транзакції'!$C$5:$C$3623,"&lt;"&amp;EDATE(DATEVALUE(C604&amp;"-01"),4))</f>
        <v>0</v>
      </c>
      <c r="W604" s="37">
        <f>SUMIFS('📋 Транзакції'!$F$5:$F$3623,'📋 Транзакції'!$B$5:$B$3623,A604,'📋 Транзакції'!$C$5:$C$3623,"&gt;="&amp;EDATE(DATEVALUE(C604&amp;"-01"),4),'📋 Транзакції'!$C$5:$C$3623,"&lt;"&amp;EDATE(DATEVALUE(C604&amp;"-01"),5))</f>
        <v>0</v>
      </c>
      <c r="X604" s="37">
        <f>SUMIFS('📋 Транзакції'!$F$5:$F$3623,'📋 Транзакції'!$B$5:$B$3623,A604,'📋 Транзакції'!$C$5:$C$3623,"&gt;="&amp;EDATE(DATEVALUE(C604&amp;"-01"),5),'📋 Транзакції'!$C$5:$C$3623,"&lt;"&amp;EDATE(DATEVALUE(C604&amp;"-01"),6))</f>
        <v>0</v>
      </c>
      <c r="Y604" s="37">
        <f>SUMIFS('📋 Транзакції'!$F$5:$F$3623,'📋 Транзакції'!$B$5:$B$3623,A604,'📋 Транзакції'!$C$5:$C$3623,"&gt;="&amp;EDATE(DATEVALUE(C604&amp;"-01"),6),'📋 Транзакції'!$C$5:$C$3623,"&lt;"&amp;EDATE(DATEVALUE(C604&amp;"-01"),7))</f>
        <v>0</v>
      </c>
      <c r="Z604" s="37">
        <f>SUMIFS('📋 Транзакції'!$F$5:$F$3623,'📋 Транзакції'!$B$5:$B$3623,A604,'📋 Транзакції'!$C$5:$C$3623,"&gt;="&amp;EDATE(DATEVALUE(C604&amp;"-01"),7),'📋 Транзакції'!$C$5:$C$3623,"&lt;"&amp;EDATE(DATEVALUE(C604&amp;"-01"),8))</f>
        <v>0</v>
      </c>
      <c r="AA604" s="37">
        <f>SUMIFS('📋 Транзакції'!$F$5:$F$3623,'📋 Транзакції'!$B$5:$B$3623,A604,'📋 Транзакції'!$C$5:$C$3623,"&gt;="&amp;EDATE(DATEVALUE(C604&amp;"-01"),8),'📋 Транзакції'!$C$5:$C$3623,"&lt;"&amp;EDATE(DATEVALUE(C604&amp;"-01"),9))</f>
        <v>0</v>
      </c>
      <c r="AB604" s="37">
        <f>SUMIFS('📋 Транзакції'!$F$5:$F$3623,'📋 Транзакції'!$B$5:$B$3623,A604,'📋 Транзакції'!$C$5:$C$3623,"&gt;="&amp;EDATE(DATEVALUE(C604&amp;"-01"),9),'📋 Транзакції'!$C$5:$C$3623,"&lt;"&amp;EDATE(DATEVALUE(C604&amp;"-01"),10))</f>
        <v>0</v>
      </c>
      <c r="AC604" s="37">
        <f>SUMIFS('📋 Транзакції'!$F$5:$F$3623,'📋 Транзакції'!$B$5:$B$3623,A604,'📋 Транзакції'!$C$5:$C$3623,"&gt;="&amp;EDATE(DATEVALUE(C604&amp;"-01"),10),'📋 Транзакції'!$C$5:$C$3623,"&lt;"&amp;EDATE(DATEVALUE(C604&amp;"-01"),11))</f>
        <v>0</v>
      </c>
      <c r="AD604" s="37">
        <f>SUMIFS('📋 Транзакції'!$F$5:$F$3623,'📋 Транзакції'!$B$5:$B$3623,A604,'📋 Транзакції'!$C$5:$C$3623,"&gt;="&amp;EDATE(DATEVALUE(C604&amp;"-01"),11),'📋 Транзакції'!$C$5:$C$3623,"&lt;"&amp;EDATE(DATEVALUE(C604&amp;"-01"),12))</f>
        <v>0</v>
      </c>
    </row>
    <row r="605" ht="15.75" customHeight="1">
      <c r="A605" s="33" t="str">
        <f>'📋 Реєстрації'!A605:A1206</f>
        <v>U0749</v>
      </c>
      <c r="B605" s="34">
        <f t="array" ref="B605">INDEX('📋 Транзакції'!$C$5:$C$3623,MATCH(A605,'📋 Транзакції'!$B$5:$B$3623,0))</f>
        <v>45739</v>
      </c>
      <c r="C605" s="35" t="str">
        <f t="shared" si="1"/>
        <v>2025-03</v>
      </c>
      <c r="D605" s="36">
        <f>COUNTIF('📋 Транзакції'!$B$5:$B$3623,A605)</f>
        <v>2</v>
      </c>
      <c r="E605" s="36">
        <f>SUMIF('📋 Транзакції'!$B$5:$B$3623,A605,'📋 Транзакції'!$F$5:$F$3623)</f>
        <v>19.99</v>
      </c>
      <c r="F605" s="35">
        <f>INT($A$1-MAXIFS('📋 Транзакції'!$C$5:$C$3623,'📋 Транзакції'!$B$5:$B$3623,A605))</f>
        <v>1</v>
      </c>
      <c r="G605" s="37">
        <f>IF(COUNTIFS('📋 Транзакції'!$B$5:$B$3623,A605,'📋 Транзакції'!$C$5:$C$3623,"&gt;="&amp;EDATE(DATEVALUE(C605&amp;"-01"),0),'📋 Транзакції'!$C$5:$C$3623,"&lt;"&amp;EDATE(DATEVALUE(C605&amp;"-01"),1))&gt;0,1,0)</f>
        <v>1</v>
      </c>
      <c r="H605" s="37">
        <f>IF(COUNTIFS('📋 Транзакції'!$B$5:$B$3623,A605,'📋 Транзакції'!$C$5:$C$3623,"&gt;="&amp;EDATE(DATEVALUE(C605&amp;"-01"),1),'📋 Транзакції'!$C$5:$C$3623,"&lt;"&amp;EDATE(DATEVALUE(C605&amp;"-01"),2))&gt;0,1,0)</f>
        <v>0</v>
      </c>
      <c r="I605" s="37">
        <f>IF(COUNTIFS('📋 Транзакції'!$B$5:$B$3623,A605,'📋 Транзакції'!$C$5:$C$3623,"&gt;="&amp;EDATE(DATEVALUE(C605&amp;"-01"),2),'📋 Транзакції'!$C$5:$C$3623,"&lt;"&amp;EDATE(DATEVALUE(C605&amp;"-01"),3))&gt;0,1,0)</f>
        <v>0</v>
      </c>
      <c r="J605" s="37">
        <f>IF(COUNTIFS('📋 Транзакції'!$B$5:$B$3623,A605,'📋 Транзакції'!$C$5:$C$3623,"&gt;="&amp;EDATE(DATEVALUE(C605&amp;"-01"),3),'📋 Транзакції'!$C$5:$C$3623,"&lt;"&amp;EDATE(DATEVALUE(C605&amp;"-01"),4))&gt;0,1,0)</f>
        <v>0</v>
      </c>
      <c r="K605" s="37">
        <f>IF(COUNTIFS('📋 Транзакції'!$B$5:$B$3623,A605,'📋 Транзакції'!$C$5:$C$3623,"&gt;="&amp;EDATE(DATEVALUE(C605&amp;"-01"),4),'📋 Транзакції'!$C$5:$C$3623,"&lt;"&amp;EDATE(DATEVALUE(C605&amp;"-01"),5))&gt;0,1,0)</f>
        <v>0</v>
      </c>
      <c r="L605" s="37">
        <f>IF(COUNTIFS('📋 Транзакції'!$B$5:$B$3623,A605,'📋 Транзакції'!$C$5:$C$3623,"&gt;="&amp;EDATE(DATEVALUE(C605&amp;"-01"),5),'📋 Транзакції'!$C$5:$C$3623,"&lt;"&amp;EDATE(DATEVALUE(C605&amp;"-01"),6))&gt;0,1,0)</f>
        <v>0</v>
      </c>
      <c r="M605" s="37">
        <f>IF(COUNTIFS('📋 Транзакції'!$B$5:$B$3623,A605,'📋 Транзакції'!$C$5:$C$3623,"&gt;="&amp;EDATE(DATEVALUE(C605&amp;"-01"),6),'📋 Транзакції'!$C$5:$C$3623,"&lt;"&amp;EDATE(DATEVALUE(C605&amp;"-01"),7))&gt;0,1,0)</f>
        <v>0</v>
      </c>
      <c r="N605" s="37">
        <f>IF(COUNTIFS('📋 Транзакції'!$B$5:$B$3623,A605,'📋 Транзакції'!$C$5:$C$3623,"&gt;="&amp;EDATE(DATEVALUE(C605&amp;"-01"),7),'📋 Транзакції'!$C$5:$C$3623,"&lt;"&amp;EDATE(DATEVALUE(C605&amp;"-01"),8))&gt;0,1,0)</f>
        <v>0</v>
      </c>
      <c r="O605" s="37">
        <f>IF(COUNTIFS('📋 Транзакції'!$B$5:$B$3623,A605,'📋 Транзакції'!$C$5:$C$3623,"&gt;="&amp;EDATE(DATEVALUE(C605&amp;"-01"),8),'📋 Транзакції'!$C$5:$C$3623,"&lt;"&amp;EDATE(DATEVALUE(C605&amp;"-01"),9))&gt;0,1,0)</f>
        <v>0</v>
      </c>
      <c r="P605" s="37">
        <f>IF(COUNTIFS('📋 Транзакції'!$B$5:$B$3623,A605,'📋 Транзакції'!$C$5:$C$3623,"&gt;="&amp;EDATE(DATEVALUE(C605&amp;"-01"),9),'📋 Транзакції'!$C$5:$C$3623,"&lt;"&amp;EDATE(DATEVALUE(C605&amp;"-01"),10))&gt;0,1,0)</f>
        <v>0</v>
      </c>
      <c r="Q605" s="37">
        <f>IF(COUNTIFS('📋 Транзакції'!$B$5:$B$3623,A605,'📋 Транзакції'!$C$5:$C$3623,"&gt;="&amp;EDATE(DATEVALUE(C605&amp;"-01"),10),'📋 Транзакції'!$C$5:$C$3623,"&lt;"&amp;EDATE(DATEVALUE(C605&amp;"-01"),11))&gt;0,1,0)</f>
        <v>0</v>
      </c>
      <c r="R605" s="37">
        <f>IF(COUNTIFS('📋 Транзакції'!$B$5:$B$3623,A605,'📋 Транзакції'!$C$5:$C$3623,"&gt;="&amp;EDATE(DATEVALUE(C605&amp;"-01"),11),'📋 Транзакції'!$C$5:$C$3623,"&lt;"&amp;EDATE(DATEVALUE(C605&amp;"-01"),12))&gt;0,1,0)</f>
        <v>0</v>
      </c>
      <c r="S605" s="37">
        <f>SUMIFS('📋 Транзакції'!$F$5:$F$3623,'📋 Транзакції'!$B$5:$B$3623,A605,'📋 Транзакції'!$C$5:$C$3623,"&gt;="&amp;EDATE(DATEVALUE(C605&amp;"-01"),0),'📋 Транзакції'!$C$5:$C$3623,"&lt;"&amp;EDATE(DATEVALUE(C605&amp;"-01"),1))</f>
        <v>19.99</v>
      </c>
      <c r="T605" s="37">
        <f>SUMIFS('📋 Транзакції'!$F$5:$F$3623,'📋 Транзакції'!$B$5:$B$3623,A605,'📋 Транзакції'!$C$5:$C$3623,"&gt;="&amp;EDATE(DATEVALUE(C605&amp;"-01"),1),'📋 Транзакції'!$C$5:$C$3623,"&lt;"&amp;EDATE(DATEVALUE(C605&amp;"-01"),2))</f>
        <v>0</v>
      </c>
      <c r="U605" s="37">
        <f>SUMIFS('📋 Транзакції'!$F$5:$F$3623,'📋 Транзакції'!$B$5:$B$3623,A605,'📋 Транзакції'!$C$5:$C$3623,"&gt;="&amp;EDATE(DATEVALUE(C605&amp;"-01"),2),'📋 Транзакції'!$C$5:$C$3623,"&lt;"&amp;EDATE(DATEVALUE(C605&amp;"-01"),3))</f>
        <v>0</v>
      </c>
      <c r="V605" s="37">
        <f>SUMIFS('📋 Транзакції'!$F$5:$F$3623,'📋 Транзакції'!$B$5:$B$3623,A605,'📋 Транзакції'!$C$5:$C$3623,"&gt;="&amp;EDATE(DATEVALUE(C605&amp;"-01"),3),'📋 Транзакції'!$C$5:$C$3623,"&lt;"&amp;EDATE(DATEVALUE(C605&amp;"-01"),4))</f>
        <v>0</v>
      </c>
      <c r="W605" s="37">
        <f>SUMIFS('📋 Транзакції'!$F$5:$F$3623,'📋 Транзакції'!$B$5:$B$3623,A605,'📋 Транзакції'!$C$5:$C$3623,"&gt;="&amp;EDATE(DATEVALUE(C605&amp;"-01"),4),'📋 Транзакції'!$C$5:$C$3623,"&lt;"&amp;EDATE(DATEVALUE(C605&amp;"-01"),5))</f>
        <v>0</v>
      </c>
      <c r="X605" s="37">
        <f>SUMIFS('📋 Транзакції'!$F$5:$F$3623,'📋 Транзакції'!$B$5:$B$3623,A605,'📋 Транзакції'!$C$5:$C$3623,"&gt;="&amp;EDATE(DATEVALUE(C605&amp;"-01"),5),'📋 Транзакції'!$C$5:$C$3623,"&lt;"&amp;EDATE(DATEVALUE(C605&amp;"-01"),6))</f>
        <v>0</v>
      </c>
      <c r="Y605" s="37">
        <f>SUMIFS('📋 Транзакції'!$F$5:$F$3623,'📋 Транзакції'!$B$5:$B$3623,A605,'📋 Транзакції'!$C$5:$C$3623,"&gt;="&amp;EDATE(DATEVALUE(C605&amp;"-01"),6),'📋 Транзакції'!$C$5:$C$3623,"&lt;"&amp;EDATE(DATEVALUE(C605&amp;"-01"),7))</f>
        <v>0</v>
      </c>
      <c r="Z605" s="37">
        <f>SUMIFS('📋 Транзакції'!$F$5:$F$3623,'📋 Транзакції'!$B$5:$B$3623,A605,'📋 Транзакції'!$C$5:$C$3623,"&gt;="&amp;EDATE(DATEVALUE(C605&amp;"-01"),7),'📋 Транзакції'!$C$5:$C$3623,"&lt;"&amp;EDATE(DATEVALUE(C605&amp;"-01"),8))</f>
        <v>0</v>
      </c>
      <c r="AA605" s="37">
        <f>SUMIFS('📋 Транзакції'!$F$5:$F$3623,'📋 Транзакції'!$B$5:$B$3623,A605,'📋 Транзакції'!$C$5:$C$3623,"&gt;="&amp;EDATE(DATEVALUE(C605&amp;"-01"),8),'📋 Транзакції'!$C$5:$C$3623,"&lt;"&amp;EDATE(DATEVALUE(C605&amp;"-01"),9))</f>
        <v>0</v>
      </c>
      <c r="AB605" s="37">
        <f>SUMIFS('📋 Транзакції'!$F$5:$F$3623,'📋 Транзакції'!$B$5:$B$3623,A605,'📋 Транзакції'!$C$5:$C$3623,"&gt;="&amp;EDATE(DATEVALUE(C605&amp;"-01"),9),'📋 Транзакції'!$C$5:$C$3623,"&lt;"&amp;EDATE(DATEVALUE(C605&amp;"-01"),10))</f>
        <v>0</v>
      </c>
      <c r="AC605" s="37">
        <f>SUMIFS('📋 Транзакції'!$F$5:$F$3623,'📋 Транзакції'!$B$5:$B$3623,A605,'📋 Транзакції'!$C$5:$C$3623,"&gt;="&amp;EDATE(DATEVALUE(C605&amp;"-01"),10),'📋 Транзакції'!$C$5:$C$3623,"&lt;"&amp;EDATE(DATEVALUE(C605&amp;"-01"),11))</f>
        <v>0</v>
      </c>
      <c r="AD605" s="37">
        <f>SUMIFS('📋 Транзакції'!$F$5:$F$3623,'📋 Транзакції'!$B$5:$B$3623,A605,'📋 Транзакції'!$C$5:$C$3623,"&gt;="&amp;EDATE(DATEVALUE(C605&amp;"-01"),11),'📋 Транзакції'!$C$5:$C$3623,"&lt;"&amp;EDATE(DATEVALUE(C605&amp;"-01"),12))</f>
        <v>0</v>
      </c>
    </row>
    <row r="606" ht="15.75" customHeight="1">
      <c r="A606" s="33" t="str">
        <f>'📋 Реєстрації'!A606:A1207</f>
        <v>U0679</v>
      </c>
      <c r="B606" s="34">
        <f t="array" ref="B606">INDEX('📋 Транзакції'!$C$5:$C$3623,MATCH(A606,'📋 Транзакції'!$B$5:$B$3623,0))</f>
        <v>45740</v>
      </c>
      <c r="C606" s="35" t="str">
        <f t="shared" si="1"/>
        <v>2025-03</v>
      </c>
      <c r="D606" s="36">
        <f>COUNTIF('📋 Транзакції'!$B$5:$B$3623,A606)</f>
        <v>2</v>
      </c>
      <c r="E606" s="36">
        <f>SUMIF('📋 Транзакції'!$B$5:$B$3623,A606,'📋 Транзакції'!$F$5:$F$3623)</f>
        <v>19.99</v>
      </c>
      <c r="F606" s="35">
        <f>INT($A$1-MAXIFS('📋 Транзакції'!$C$5:$C$3623,'📋 Транзакції'!$B$5:$B$3623,A606))</f>
        <v>0</v>
      </c>
      <c r="G606" s="37">
        <f>IF(COUNTIFS('📋 Транзакції'!$B$5:$B$3623,A606,'📋 Транзакції'!$C$5:$C$3623,"&gt;="&amp;EDATE(DATEVALUE(C606&amp;"-01"),0),'📋 Транзакції'!$C$5:$C$3623,"&lt;"&amp;EDATE(DATEVALUE(C606&amp;"-01"),1))&gt;0,1,0)</f>
        <v>1</v>
      </c>
      <c r="H606" s="37">
        <f>IF(COUNTIFS('📋 Транзакції'!$B$5:$B$3623,A606,'📋 Транзакції'!$C$5:$C$3623,"&gt;="&amp;EDATE(DATEVALUE(C606&amp;"-01"),1),'📋 Транзакції'!$C$5:$C$3623,"&lt;"&amp;EDATE(DATEVALUE(C606&amp;"-01"),2))&gt;0,1,0)</f>
        <v>0</v>
      </c>
      <c r="I606" s="37">
        <f>IF(COUNTIFS('📋 Транзакції'!$B$5:$B$3623,A606,'📋 Транзакції'!$C$5:$C$3623,"&gt;="&amp;EDATE(DATEVALUE(C606&amp;"-01"),2),'📋 Транзакції'!$C$5:$C$3623,"&lt;"&amp;EDATE(DATEVALUE(C606&amp;"-01"),3))&gt;0,1,0)</f>
        <v>0</v>
      </c>
      <c r="J606" s="37">
        <f>IF(COUNTIFS('📋 Транзакції'!$B$5:$B$3623,A606,'📋 Транзакції'!$C$5:$C$3623,"&gt;="&amp;EDATE(DATEVALUE(C606&amp;"-01"),3),'📋 Транзакції'!$C$5:$C$3623,"&lt;"&amp;EDATE(DATEVALUE(C606&amp;"-01"),4))&gt;0,1,0)</f>
        <v>0</v>
      </c>
      <c r="K606" s="37">
        <f>IF(COUNTIFS('📋 Транзакції'!$B$5:$B$3623,A606,'📋 Транзакції'!$C$5:$C$3623,"&gt;="&amp;EDATE(DATEVALUE(C606&amp;"-01"),4),'📋 Транзакції'!$C$5:$C$3623,"&lt;"&amp;EDATE(DATEVALUE(C606&amp;"-01"),5))&gt;0,1,0)</f>
        <v>0</v>
      </c>
      <c r="L606" s="37">
        <f>IF(COUNTIFS('📋 Транзакції'!$B$5:$B$3623,A606,'📋 Транзакції'!$C$5:$C$3623,"&gt;="&amp;EDATE(DATEVALUE(C606&amp;"-01"),5),'📋 Транзакції'!$C$5:$C$3623,"&lt;"&amp;EDATE(DATEVALUE(C606&amp;"-01"),6))&gt;0,1,0)</f>
        <v>0</v>
      </c>
      <c r="M606" s="37">
        <f>IF(COUNTIFS('📋 Транзакції'!$B$5:$B$3623,A606,'📋 Транзакції'!$C$5:$C$3623,"&gt;="&amp;EDATE(DATEVALUE(C606&amp;"-01"),6),'📋 Транзакції'!$C$5:$C$3623,"&lt;"&amp;EDATE(DATEVALUE(C606&amp;"-01"),7))&gt;0,1,0)</f>
        <v>0</v>
      </c>
      <c r="N606" s="37">
        <f>IF(COUNTIFS('📋 Транзакції'!$B$5:$B$3623,A606,'📋 Транзакції'!$C$5:$C$3623,"&gt;="&amp;EDATE(DATEVALUE(C606&amp;"-01"),7),'📋 Транзакції'!$C$5:$C$3623,"&lt;"&amp;EDATE(DATEVALUE(C606&amp;"-01"),8))&gt;0,1,0)</f>
        <v>0</v>
      </c>
      <c r="O606" s="37">
        <f>IF(COUNTIFS('📋 Транзакції'!$B$5:$B$3623,A606,'📋 Транзакції'!$C$5:$C$3623,"&gt;="&amp;EDATE(DATEVALUE(C606&amp;"-01"),8),'📋 Транзакції'!$C$5:$C$3623,"&lt;"&amp;EDATE(DATEVALUE(C606&amp;"-01"),9))&gt;0,1,0)</f>
        <v>0</v>
      </c>
      <c r="P606" s="37">
        <f>IF(COUNTIFS('📋 Транзакції'!$B$5:$B$3623,A606,'📋 Транзакції'!$C$5:$C$3623,"&gt;="&amp;EDATE(DATEVALUE(C606&amp;"-01"),9),'📋 Транзакції'!$C$5:$C$3623,"&lt;"&amp;EDATE(DATEVALUE(C606&amp;"-01"),10))&gt;0,1,0)</f>
        <v>0</v>
      </c>
      <c r="Q606" s="37">
        <f>IF(COUNTIFS('📋 Транзакції'!$B$5:$B$3623,A606,'📋 Транзакції'!$C$5:$C$3623,"&gt;="&amp;EDATE(DATEVALUE(C606&amp;"-01"),10),'📋 Транзакції'!$C$5:$C$3623,"&lt;"&amp;EDATE(DATEVALUE(C606&amp;"-01"),11))&gt;0,1,0)</f>
        <v>0</v>
      </c>
      <c r="R606" s="37">
        <f>IF(COUNTIFS('📋 Транзакції'!$B$5:$B$3623,A606,'📋 Транзакції'!$C$5:$C$3623,"&gt;="&amp;EDATE(DATEVALUE(C606&amp;"-01"),11),'📋 Транзакції'!$C$5:$C$3623,"&lt;"&amp;EDATE(DATEVALUE(C606&amp;"-01"),12))&gt;0,1,0)</f>
        <v>0</v>
      </c>
      <c r="S606" s="37">
        <f>SUMIFS('📋 Транзакції'!$F$5:$F$3623,'📋 Транзакції'!$B$5:$B$3623,A606,'📋 Транзакції'!$C$5:$C$3623,"&gt;="&amp;EDATE(DATEVALUE(C606&amp;"-01"),0),'📋 Транзакції'!$C$5:$C$3623,"&lt;"&amp;EDATE(DATEVALUE(C606&amp;"-01"),1))</f>
        <v>19.99</v>
      </c>
      <c r="T606" s="37">
        <f>SUMIFS('📋 Транзакції'!$F$5:$F$3623,'📋 Транзакції'!$B$5:$B$3623,A606,'📋 Транзакції'!$C$5:$C$3623,"&gt;="&amp;EDATE(DATEVALUE(C606&amp;"-01"),1),'📋 Транзакції'!$C$5:$C$3623,"&lt;"&amp;EDATE(DATEVALUE(C606&amp;"-01"),2))</f>
        <v>0</v>
      </c>
      <c r="U606" s="37">
        <f>SUMIFS('📋 Транзакції'!$F$5:$F$3623,'📋 Транзакції'!$B$5:$B$3623,A606,'📋 Транзакції'!$C$5:$C$3623,"&gt;="&amp;EDATE(DATEVALUE(C606&amp;"-01"),2),'📋 Транзакції'!$C$5:$C$3623,"&lt;"&amp;EDATE(DATEVALUE(C606&amp;"-01"),3))</f>
        <v>0</v>
      </c>
      <c r="V606" s="37">
        <f>SUMIFS('📋 Транзакції'!$F$5:$F$3623,'📋 Транзакції'!$B$5:$B$3623,A606,'📋 Транзакції'!$C$5:$C$3623,"&gt;="&amp;EDATE(DATEVALUE(C606&amp;"-01"),3),'📋 Транзакції'!$C$5:$C$3623,"&lt;"&amp;EDATE(DATEVALUE(C606&amp;"-01"),4))</f>
        <v>0</v>
      </c>
      <c r="W606" s="37">
        <f>SUMIFS('📋 Транзакції'!$F$5:$F$3623,'📋 Транзакції'!$B$5:$B$3623,A606,'📋 Транзакції'!$C$5:$C$3623,"&gt;="&amp;EDATE(DATEVALUE(C606&amp;"-01"),4),'📋 Транзакції'!$C$5:$C$3623,"&lt;"&amp;EDATE(DATEVALUE(C606&amp;"-01"),5))</f>
        <v>0</v>
      </c>
      <c r="X606" s="37">
        <f>SUMIFS('📋 Транзакції'!$F$5:$F$3623,'📋 Транзакції'!$B$5:$B$3623,A606,'📋 Транзакції'!$C$5:$C$3623,"&gt;="&amp;EDATE(DATEVALUE(C606&amp;"-01"),5),'📋 Транзакції'!$C$5:$C$3623,"&lt;"&amp;EDATE(DATEVALUE(C606&amp;"-01"),6))</f>
        <v>0</v>
      </c>
      <c r="Y606" s="37">
        <f>SUMIFS('📋 Транзакції'!$F$5:$F$3623,'📋 Транзакції'!$B$5:$B$3623,A606,'📋 Транзакції'!$C$5:$C$3623,"&gt;="&amp;EDATE(DATEVALUE(C606&amp;"-01"),6),'📋 Транзакції'!$C$5:$C$3623,"&lt;"&amp;EDATE(DATEVALUE(C606&amp;"-01"),7))</f>
        <v>0</v>
      </c>
      <c r="Z606" s="37">
        <f>SUMIFS('📋 Транзакції'!$F$5:$F$3623,'📋 Транзакції'!$B$5:$B$3623,A606,'📋 Транзакції'!$C$5:$C$3623,"&gt;="&amp;EDATE(DATEVALUE(C606&amp;"-01"),7),'📋 Транзакції'!$C$5:$C$3623,"&lt;"&amp;EDATE(DATEVALUE(C606&amp;"-01"),8))</f>
        <v>0</v>
      </c>
      <c r="AA606" s="37">
        <f>SUMIFS('📋 Транзакції'!$F$5:$F$3623,'📋 Транзакції'!$B$5:$B$3623,A606,'📋 Транзакції'!$C$5:$C$3623,"&gt;="&amp;EDATE(DATEVALUE(C606&amp;"-01"),8),'📋 Транзакції'!$C$5:$C$3623,"&lt;"&amp;EDATE(DATEVALUE(C606&amp;"-01"),9))</f>
        <v>0</v>
      </c>
      <c r="AB606" s="37">
        <f>SUMIFS('📋 Транзакції'!$F$5:$F$3623,'📋 Транзакції'!$B$5:$B$3623,A606,'📋 Транзакції'!$C$5:$C$3623,"&gt;="&amp;EDATE(DATEVALUE(C606&amp;"-01"),9),'📋 Транзакції'!$C$5:$C$3623,"&lt;"&amp;EDATE(DATEVALUE(C606&amp;"-01"),10))</f>
        <v>0</v>
      </c>
      <c r="AC606" s="37">
        <f>SUMIFS('📋 Транзакції'!$F$5:$F$3623,'📋 Транзакції'!$B$5:$B$3623,A606,'📋 Транзакції'!$C$5:$C$3623,"&gt;="&amp;EDATE(DATEVALUE(C606&amp;"-01"),10),'📋 Транзакції'!$C$5:$C$3623,"&lt;"&amp;EDATE(DATEVALUE(C606&amp;"-01"),11))</f>
        <v>0</v>
      </c>
      <c r="AD606" s="37">
        <f>SUMIFS('📋 Транзакції'!$F$5:$F$3623,'📋 Транзакції'!$B$5:$B$3623,A606,'📋 Транзакції'!$C$5:$C$3623,"&gt;="&amp;EDATE(DATEVALUE(C606&amp;"-01"),11),'📋 Транзакції'!$C$5:$C$3623,"&lt;"&amp;EDATE(DATEVALUE(C606&amp;"-01"),12))</f>
        <v>0</v>
      </c>
    </row>
    <row r="607" ht="15.75" customHeight="1">
      <c r="A607" s="33" t="str">
        <f>'📋 Реєстрації'!A607:A1208</f>
        <v/>
      </c>
    </row>
    <row r="608" ht="15.75" customHeight="1">
      <c r="A608" s="33" t="str">
        <f>'📋 Реєстрації'!A608:A1209</f>
        <v/>
      </c>
    </row>
    <row r="609" ht="15.75" customHeight="1">
      <c r="A609" s="33" t="str">
        <f>'📋 Реєстрації'!A609:A1210</f>
        <v/>
      </c>
    </row>
    <row r="610" ht="15.75" customHeight="1">
      <c r="A610" s="33" t="str">
        <f>'📋 Реєстрації'!A610:A1211</f>
        <v/>
      </c>
    </row>
    <row r="611" ht="15.75" customHeight="1">
      <c r="A611" s="33" t="str">
        <f>'📋 Реєстрації'!A611:A1212</f>
        <v/>
      </c>
    </row>
    <row r="612" ht="15.75" customHeight="1">
      <c r="A612" s="33" t="str">
        <f>'📋 Реєстрації'!A612:A1213</f>
        <v/>
      </c>
    </row>
    <row r="613" ht="15.75" customHeight="1">
      <c r="A613" s="33" t="str">
        <f>'📋 Реєстрації'!A613:A1214</f>
        <v/>
      </c>
    </row>
    <row r="614" ht="15.75" customHeight="1">
      <c r="A614" s="33" t="str">
        <f>'📋 Реєстрації'!A614:A1215</f>
        <v/>
      </c>
    </row>
    <row r="615" ht="15.75" customHeight="1">
      <c r="A615" s="33" t="str">
        <f>'📋 Реєстрації'!A615:A1216</f>
        <v/>
      </c>
    </row>
    <row r="616" ht="15.75" customHeight="1">
      <c r="A616" s="33" t="str">
        <f>'📋 Реєстрації'!A616:A1217</f>
        <v/>
      </c>
    </row>
    <row r="617" ht="15.75" customHeight="1">
      <c r="A617" s="33" t="str">
        <f>'📋 Реєстрації'!A617:A1218</f>
        <v/>
      </c>
    </row>
    <row r="618" ht="15.75" customHeight="1">
      <c r="A618" s="33" t="str">
        <f>'📋 Реєстрації'!A618:A1219</f>
        <v/>
      </c>
    </row>
    <row r="619" ht="15.75" customHeight="1">
      <c r="A619" s="33" t="str">
        <f>'📋 Реєстрації'!A619:A1220</f>
        <v/>
      </c>
    </row>
    <row r="620" ht="15.75" customHeight="1">
      <c r="A620" s="33" t="str">
        <f>'📋 Реєстрації'!A620:A1221</f>
        <v/>
      </c>
    </row>
    <row r="621" ht="15.75" customHeight="1">
      <c r="A621" s="33" t="str">
        <f>'📋 Реєстрації'!A621:A1222</f>
        <v/>
      </c>
    </row>
    <row r="622" ht="15.75" customHeight="1">
      <c r="A622" s="33" t="str">
        <f>'📋 Реєстрації'!A622:A1223</f>
        <v/>
      </c>
    </row>
    <row r="623" ht="15.75" customHeight="1">
      <c r="A623" s="33" t="str">
        <f>'📋 Реєстрації'!A623:A1224</f>
        <v/>
      </c>
    </row>
    <row r="624" ht="15.75" customHeight="1">
      <c r="A624" s="33" t="str">
        <f>'📋 Реєстрації'!A624:A1225</f>
        <v/>
      </c>
    </row>
    <row r="625" ht="15.75" customHeight="1">
      <c r="A625" s="33" t="str">
        <f>'📋 Реєстрації'!A625:A1226</f>
        <v/>
      </c>
    </row>
    <row r="626" ht="15.75" customHeight="1">
      <c r="A626" s="33" t="str">
        <f>'📋 Реєстрації'!A626:A1227</f>
        <v/>
      </c>
    </row>
    <row r="627" ht="15.75" customHeight="1">
      <c r="A627" s="33" t="str">
        <f>'📋 Реєстрації'!A627:A1228</f>
        <v/>
      </c>
    </row>
    <row r="628" ht="15.75" customHeight="1">
      <c r="A628" s="33" t="str">
        <f>'📋 Реєстрації'!A628:A1229</f>
        <v/>
      </c>
    </row>
    <row r="629" ht="15.75" customHeight="1">
      <c r="A629" s="33" t="str">
        <f>'📋 Реєстрації'!A629:A1230</f>
        <v/>
      </c>
    </row>
    <row r="630" ht="15.75" customHeight="1">
      <c r="A630" s="33" t="str">
        <f>'📋 Реєстрації'!A630:A1231</f>
        <v/>
      </c>
    </row>
    <row r="631" ht="15.75" customHeight="1">
      <c r="A631" s="33" t="str">
        <f>'📋 Реєстрації'!A631:A1232</f>
        <v/>
      </c>
    </row>
    <row r="632" ht="15.75" customHeight="1">
      <c r="A632" s="33" t="str">
        <f>'📋 Реєстрації'!A632:A1233</f>
        <v/>
      </c>
    </row>
    <row r="633" ht="15.75" customHeight="1">
      <c r="A633" s="33" t="str">
        <f>'📋 Реєстрації'!A633:A1234</f>
        <v/>
      </c>
    </row>
    <row r="634" ht="15.75" customHeight="1">
      <c r="A634" s="33" t="str">
        <f>'📋 Реєстрації'!A634:A1235</f>
        <v/>
      </c>
    </row>
    <row r="635" ht="15.75" customHeight="1">
      <c r="A635" s="33" t="str">
        <f>'📋 Реєстрації'!A635:A1236</f>
        <v/>
      </c>
    </row>
    <row r="636" ht="15.75" customHeight="1">
      <c r="A636" s="33" t="str">
        <f>'📋 Реєстрації'!A636:A1237</f>
        <v/>
      </c>
    </row>
    <row r="637" ht="15.75" customHeight="1">
      <c r="A637" s="33" t="str">
        <f>'📋 Реєстрації'!A637:A1238</f>
        <v/>
      </c>
    </row>
    <row r="638" ht="15.75" customHeight="1">
      <c r="A638" s="33" t="str">
        <f>'📋 Реєстрації'!A638:A1239</f>
        <v/>
      </c>
    </row>
    <row r="639" ht="15.75" customHeight="1">
      <c r="A639" s="33" t="str">
        <f>'📋 Реєстрації'!A639:A1240</f>
        <v/>
      </c>
    </row>
    <row r="640" ht="15.75" customHeight="1">
      <c r="A640" s="33" t="str">
        <f>'📋 Реєстрації'!A640:A1241</f>
        <v/>
      </c>
    </row>
    <row r="641" ht="15.75" customHeight="1">
      <c r="A641" s="33" t="str">
        <f>'📋 Реєстрації'!A641:A1242</f>
        <v/>
      </c>
    </row>
    <row r="642" ht="15.75" customHeight="1">
      <c r="A642" s="33" t="str">
        <f>'📋 Реєстрації'!A642:A1243</f>
        <v/>
      </c>
    </row>
    <row r="643" ht="15.75" customHeight="1">
      <c r="A643" s="33" t="str">
        <f>'📋 Реєстрації'!A643:A1244</f>
        <v/>
      </c>
    </row>
    <row r="644" ht="15.75" customHeight="1">
      <c r="A644" s="33" t="str">
        <f>'📋 Реєстрації'!A644:A1245</f>
        <v/>
      </c>
    </row>
    <row r="645" ht="15.75" customHeight="1">
      <c r="A645" s="33" t="str">
        <f>'📋 Реєстрації'!A645:A1246</f>
        <v/>
      </c>
    </row>
    <row r="646" ht="15.75" customHeight="1">
      <c r="A646" s="33" t="str">
        <f>'📋 Реєстрації'!A646:A1247</f>
        <v/>
      </c>
    </row>
    <row r="647" ht="15.75" customHeight="1">
      <c r="A647" s="33" t="str">
        <f>'📋 Реєстрації'!A647:A1248</f>
        <v/>
      </c>
    </row>
    <row r="648" ht="15.75" customHeight="1">
      <c r="A648" s="33" t="str">
        <f>'📋 Реєстрації'!A648:A1249</f>
        <v/>
      </c>
    </row>
    <row r="649" ht="15.75" customHeight="1">
      <c r="A649" s="33" t="str">
        <f>'📋 Реєстрації'!A649:A1250</f>
        <v/>
      </c>
    </row>
    <row r="650" ht="15.75" customHeight="1">
      <c r="A650" s="33" t="str">
        <f>'📋 Реєстрації'!A650:A1251</f>
        <v/>
      </c>
    </row>
    <row r="651" ht="15.75" customHeight="1">
      <c r="A651" s="33" t="str">
        <f>'📋 Реєстрації'!A651:A1252</f>
        <v/>
      </c>
    </row>
    <row r="652" ht="15.75" customHeight="1">
      <c r="A652" s="33" t="str">
        <f>'📋 Реєстрації'!A652:A1253</f>
        <v/>
      </c>
    </row>
    <row r="653" ht="15.75" customHeight="1">
      <c r="A653" s="33" t="str">
        <f>'📋 Реєстрації'!A653:A1254</f>
        <v/>
      </c>
    </row>
    <row r="654" ht="15.75" customHeight="1">
      <c r="A654" s="33" t="str">
        <f>'📋 Реєстрації'!A654:A1255</f>
        <v/>
      </c>
    </row>
    <row r="655" ht="15.75" customHeight="1">
      <c r="A655" s="33" t="str">
        <f>'📋 Реєстрації'!A655:A1256</f>
        <v/>
      </c>
    </row>
    <row r="656" ht="15.75" customHeight="1">
      <c r="A656" s="33" t="str">
        <f>'📋 Реєстрації'!A656:A1257</f>
        <v/>
      </c>
    </row>
    <row r="657" ht="15.75" customHeight="1">
      <c r="A657" s="33" t="str">
        <f>'📋 Реєстрації'!A657:A1258</f>
        <v/>
      </c>
    </row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2:AD2"/>
    <mergeCell ref="G3:R3"/>
    <mergeCell ref="S3:AD3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2.0"/>
    <col customWidth="1" min="2" max="2" width="14.0"/>
    <col customWidth="1" min="3" max="3" width="13.0"/>
    <col customWidth="1" min="4" max="4" width="16.0"/>
    <col customWidth="1" min="5" max="7" width="9.0"/>
    <col customWidth="1" min="8" max="8" width="11.0"/>
    <col customWidth="1" min="9" max="9" width="16.0"/>
    <col customWidth="1" min="10" max="12" width="8.71"/>
    <col customWidth="1" min="13" max="13" width="14.86"/>
    <col customWidth="1" min="14" max="26" width="8.71"/>
  </cols>
  <sheetData>
    <row r="2" ht="25.5" customHeight="1">
      <c r="A2" s="12" t="s">
        <v>4348</v>
      </c>
      <c r="B2" s="13"/>
      <c r="C2" s="13"/>
      <c r="D2" s="13"/>
      <c r="E2" s="13"/>
      <c r="F2" s="13"/>
      <c r="G2" s="13"/>
      <c r="H2" s="13"/>
      <c r="I2" s="2"/>
    </row>
    <row r="3">
      <c r="A3" s="38"/>
      <c r="B3" s="13"/>
      <c r="C3" s="13"/>
      <c r="D3" s="13"/>
      <c r="E3" s="13"/>
      <c r="F3" s="13"/>
      <c r="G3" s="13"/>
      <c r="H3" s="13"/>
      <c r="I3" s="2"/>
    </row>
    <row r="4">
      <c r="A4" s="39" t="s">
        <v>4349</v>
      </c>
    </row>
    <row r="5" ht="24.0" customHeight="1">
      <c r="A5" s="14" t="s">
        <v>4318</v>
      </c>
      <c r="B5" s="14" t="s">
        <v>4323</v>
      </c>
      <c r="C5" s="14" t="s">
        <v>4321</v>
      </c>
      <c r="D5" s="14" t="s">
        <v>4350</v>
      </c>
      <c r="E5" s="14" t="s">
        <v>4351</v>
      </c>
      <c r="F5" s="14" t="s">
        <v>4352</v>
      </c>
      <c r="G5" s="14" t="s">
        <v>4353</v>
      </c>
      <c r="H5" s="14" t="s">
        <v>4354</v>
      </c>
      <c r="I5" s="14" t="s">
        <v>4355</v>
      </c>
      <c r="M5" s="40" t="s">
        <v>4356</v>
      </c>
    </row>
    <row r="6">
      <c r="A6" s="33" t="str">
        <f>'👥 Клієнти'!A5</f>
        <v>U0206</v>
      </c>
      <c r="B6" s="35">
        <f>'👥 Клієнти'!F5</f>
        <v>388</v>
      </c>
      <c r="C6" s="35">
        <f>'👥 Клієнти'!D5</f>
        <v>4</v>
      </c>
      <c r="D6" s="35">
        <f>'👥 Клієнти'!E5</f>
        <v>59.97</v>
      </c>
      <c r="E6" s="35">
        <f t="shared" ref="E6:E607" si="1">MAX(1,ROUNDUP((1-PERCENTRANK($B$6:$B$607, B6))*5, 0))</f>
        <v>1</v>
      </c>
      <c r="F6" s="35">
        <f t="shared" ref="F6:F607" si="2">MAX(1,ROUNDUP(PERCENTRANK($C$6:$C$607,C6)*5,0))</f>
        <v>2</v>
      </c>
      <c r="G6" s="37">
        <f t="shared" ref="G6:G607" si="3">MAX(1,ROUNDUP(PERCENTRANK($D$6:$D$607,D6)*5,0))</f>
        <v>2</v>
      </c>
      <c r="H6" s="37" t="str">
        <f t="shared" ref="H6:H607" si="4">E6&amp;F6&amp;G6</f>
        <v>122</v>
      </c>
      <c r="I6" s="37" t="str">
        <f t="shared" ref="I6:I607" si="5">IFS(AND(E6&gt;=4,F6&gt;=4,G6&gt;=4),"Champions",AND(E6&gt;=4,F6&lt;=2),"New Customers",AND(E6&lt;=2,F6&gt;=3),"At Risk",AND(E6&lt;=2,F6&lt;=2),"Lost",AND(E6&gt;=3,F6&gt;=3),"Loyal",TRUE(),"Promising")</f>
        <v>Lost</v>
      </c>
      <c r="M6" s="41" t="s">
        <v>4357</v>
      </c>
      <c r="N6" s="42">
        <f>COUNTIF($I$6:$I$607, "Champions")</f>
        <v>119</v>
      </c>
      <c r="O6" s="43">
        <f t="shared" ref="O6:O11" si="6">N6 / COUNTA($I$6:$I$607)</f>
        <v>0.1976744186</v>
      </c>
    </row>
    <row r="7">
      <c r="A7" s="44" t="str">
        <f>'👥 Клієнти'!A6</f>
        <v>U0209</v>
      </c>
      <c r="B7" s="45">
        <f>'👥 Клієнти'!F6</f>
        <v>28</v>
      </c>
      <c r="C7" s="45">
        <f>'👥 Клієнти'!D6</f>
        <v>16</v>
      </c>
      <c r="D7" s="45">
        <f>'👥 Клієнти'!E6</f>
        <v>299.85</v>
      </c>
      <c r="E7" s="35">
        <f t="shared" si="1"/>
        <v>2</v>
      </c>
      <c r="F7" s="35">
        <f t="shared" si="2"/>
        <v>5</v>
      </c>
      <c r="G7" s="37">
        <f t="shared" si="3"/>
        <v>5</v>
      </c>
      <c r="H7" s="37" t="str">
        <f t="shared" si="4"/>
        <v>255</v>
      </c>
      <c r="I7" s="37" t="str">
        <f t="shared" si="5"/>
        <v>At Risk</v>
      </c>
      <c r="M7" s="41" t="s">
        <v>4358</v>
      </c>
      <c r="N7" s="42">
        <f>COUNTIF($I$6:$I$607, "Loyal")</f>
        <v>120</v>
      </c>
      <c r="O7" s="43">
        <f t="shared" si="6"/>
        <v>0.1993355482</v>
      </c>
    </row>
    <row r="8">
      <c r="A8" s="33" t="str">
        <f>'👥 Клієнти'!A7</f>
        <v>U0516</v>
      </c>
      <c r="B8" s="35">
        <f>'👥 Клієнти'!F7</f>
        <v>297</v>
      </c>
      <c r="C8" s="35">
        <f>'👥 Клієнти'!D7</f>
        <v>7</v>
      </c>
      <c r="D8" s="35">
        <f>'👥 Клієнти'!E7</f>
        <v>119.94</v>
      </c>
      <c r="E8" s="35">
        <f t="shared" si="1"/>
        <v>1</v>
      </c>
      <c r="F8" s="35">
        <f t="shared" si="2"/>
        <v>4</v>
      </c>
      <c r="G8" s="37">
        <f t="shared" si="3"/>
        <v>4</v>
      </c>
      <c r="H8" s="37" t="str">
        <f t="shared" si="4"/>
        <v>144</v>
      </c>
      <c r="I8" s="37" t="str">
        <f t="shared" si="5"/>
        <v>At Risk</v>
      </c>
      <c r="M8" s="41" t="s">
        <v>4359</v>
      </c>
      <c r="N8" s="42">
        <f>COUNTIF($I$6:$I$607, "New Customers")</f>
        <v>88</v>
      </c>
      <c r="O8" s="43">
        <f t="shared" si="6"/>
        <v>0.146179402</v>
      </c>
    </row>
    <row r="9">
      <c r="A9" s="44" t="str">
        <f>'👥 Клієнти'!A8</f>
        <v>U0245</v>
      </c>
      <c r="B9" s="45">
        <f>'👥 Клієнти'!F8</f>
        <v>416</v>
      </c>
      <c r="C9" s="45">
        <f>'👥 Клієнти'!D8</f>
        <v>3</v>
      </c>
      <c r="D9" s="45">
        <f>'👥 Клієнти'!E8</f>
        <v>39.98</v>
      </c>
      <c r="E9" s="35">
        <f t="shared" si="1"/>
        <v>1</v>
      </c>
      <c r="F9" s="35">
        <f t="shared" si="2"/>
        <v>2</v>
      </c>
      <c r="G9" s="37">
        <f t="shared" si="3"/>
        <v>2</v>
      </c>
      <c r="H9" s="37" t="str">
        <f t="shared" si="4"/>
        <v>122</v>
      </c>
      <c r="I9" s="37" t="str">
        <f t="shared" si="5"/>
        <v>Lost</v>
      </c>
      <c r="M9" s="41" t="s">
        <v>4360</v>
      </c>
      <c r="N9" s="42">
        <f>COUNTIF($I$6:$I$607, "Promising")</f>
        <v>40</v>
      </c>
      <c r="O9" s="43">
        <f t="shared" si="6"/>
        <v>0.06644518272</v>
      </c>
    </row>
    <row r="10">
      <c r="A10" s="33" t="str">
        <f>'👥 Клієнти'!A9</f>
        <v>U0291</v>
      </c>
      <c r="B10" s="35">
        <f>'👥 Клієнти'!F9</f>
        <v>416</v>
      </c>
      <c r="C10" s="35">
        <f>'👥 Клієнти'!D9</f>
        <v>3</v>
      </c>
      <c r="D10" s="35">
        <f>'👥 Клієнти'!E9</f>
        <v>39.98</v>
      </c>
      <c r="E10" s="35">
        <f t="shared" si="1"/>
        <v>1</v>
      </c>
      <c r="F10" s="35">
        <f t="shared" si="2"/>
        <v>2</v>
      </c>
      <c r="G10" s="37">
        <f t="shared" si="3"/>
        <v>2</v>
      </c>
      <c r="H10" s="37" t="str">
        <f t="shared" si="4"/>
        <v>122</v>
      </c>
      <c r="I10" s="37" t="str">
        <f t="shared" si="5"/>
        <v>Lost</v>
      </c>
      <c r="M10" s="41" t="s">
        <v>4361</v>
      </c>
      <c r="N10" s="42">
        <f>COUNTIF($I$6:$I$607, "At Risk")</f>
        <v>71</v>
      </c>
      <c r="O10" s="43">
        <f t="shared" si="6"/>
        <v>0.1179401993</v>
      </c>
    </row>
    <row r="11">
      <c r="A11" s="44" t="str">
        <f>'👥 Клієнти'!A10</f>
        <v>U0408</v>
      </c>
      <c r="B11" s="45">
        <f>'👥 Клієнти'!F10</f>
        <v>416</v>
      </c>
      <c r="C11" s="45">
        <f>'👥 Клієнти'!D10</f>
        <v>3</v>
      </c>
      <c r="D11" s="45">
        <f>'👥 Клієнти'!E10</f>
        <v>39.98</v>
      </c>
      <c r="E11" s="35">
        <f t="shared" si="1"/>
        <v>1</v>
      </c>
      <c r="F11" s="35">
        <f t="shared" si="2"/>
        <v>2</v>
      </c>
      <c r="G11" s="37">
        <f t="shared" si="3"/>
        <v>2</v>
      </c>
      <c r="H11" s="37" t="str">
        <f t="shared" si="4"/>
        <v>122</v>
      </c>
      <c r="I11" s="37" t="str">
        <f t="shared" si="5"/>
        <v>Lost</v>
      </c>
      <c r="M11" s="41" t="s">
        <v>4362</v>
      </c>
      <c r="N11" s="42">
        <f>COUNTIF($I$6:$I$607, "Lost")</f>
        <v>164</v>
      </c>
      <c r="O11" s="43">
        <f t="shared" si="6"/>
        <v>0.2724252492</v>
      </c>
    </row>
    <row r="12">
      <c r="A12" s="46" t="str">
        <f>'👥 Клієнти'!A11</f>
        <v>U0883</v>
      </c>
      <c r="B12" s="46">
        <f>'👥 Клієнти'!F11</f>
        <v>26</v>
      </c>
      <c r="C12" s="46">
        <f>'👥 Клієнти'!D11</f>
        <v>16</v>
      </c>
      <c r="D12" s="47">
        <f>'👥 Клієнти'!E11</f>
        <v>299.85</v>
      </c>
      <c r="E12" s="35">
        <f t="shared" si="1"/>
        <v>2</v>
      </c>
      <c r="F12" s="35">
        <f t="shared" si="2"/>
        <v>5</v>
      </c>
      <c r="G12" s="37">
        <f t="shared" si="3"/>
        <v>5</v>
      </c>
      <c r="H12" s="37" t="str">
        <f t="shared" si="4"/>
        <v>255</v>
      </c>
      <c r="I12" s="37" t="str">
        <f t="shared" si="5"/>
        <v>At Risk</v>
      </c>
      <c r="M12" s="48" t="s">
        <v>4363</v>
      </c>
    </row>
    <row r="13">
      <c r="A13" s="46" t="str">
        <f>'👥 Клієнти'!A12</f>
        <v>U0333</v>
      </c>
      <c r="B13" s="46">
        <f>'👥 Клієнти'!F12</f>
        <v>25</v>
      </c>
      <c r="C13" s="46">
        <f>'👥 Клієнти'!D12</f>
        <v>16</v>
      </c>
      <c r="D13" s="47">
        <f>'👥 Клієнти'!E12</f>
        <v>299.85</v>
      </c>
      <c r="E13" s="35">
        <f t="shared" si="1"/>
        <v>3</v>
      </c>
      <c r="F13" s="35">
        <f t="shared" si="2"/>
        <v>5</v>
      </c>
      <c r="G13" s="37">
        <f t="shared" si="3"/>
        <v>5</v>
      </c>
      <c r="H13" s="37" t="str">
        <f t="shared" si="4"/>
        <v>355</v>
      </c>
      <c r="I13" s="37" t="str">
        <f t="shared" si="5"/>
        <v>Loyal</v>
      </c>
    </row>
    <row r="14">
      <c r="A14" s="46" t="str">
        <f>'👥 Клієнти'!A13</f>
        <v>U0172</v>
      </c>
      <c r="B14" s="46">
        <f>'👥 Клієнти'!F13</f>
        <v>200</v>
      </c>
      <c r="C14" s="46">
        <f>'👥 Клієнти'!D13</f>
        <v>10</v>
      </c>
      <c r="D14" s="47">
        <f>'👥 Клієнти'!E13</f>
        <v>179.91</v>
      </c>
      <c r="E14" s="35">
        <f t="shared" si="1"/>
        <v>1</v>
      </c>
      <c r="F14" s="35">
        <f t="shared" si="2"/>
        <v>4</v>
      </c>
      <c r="G14" s="37">
        <f t="shared" si="3"/>
        <v>4</v>
      </c>
      <c r="H14" s="37" t="str">
        <f t="shared" si="4"/>
        <v>144</v>
      </c>
      <c r="I14" s="37" t="str">
        <f t="shared" si="5"/>
        <v>At Risk</v>
      </c>
    </row>
    <row r="15">
      <c r="A15" s="46" t="str">
        <f>'👥 Клієнти'!A14</f>
        <v>U0641</v>
      </c>
      <c r="B15" s="46">
        <f>'👥 Клієнти'!F14</f>
        <v>20</v>
      </c>
      <c r="C15" s="46">
        <f>'👥 Клієнти'!D14</f>
        <v>16</v>
      </c>
      <c r="D15" s="47">
        <f>'👥 Клієнти'!E14</f>
        <v>299.85</v>
      </c>
      <c r="E15" s="35">
        <f t="shared" si="1"/>
        <v>3</v>
      </c>
      <c r="F15" s="35">
        <f t="shared" si="2"/>
        <v>5</v>
      </c>
      <c r="G15" s="37">
        <f t="shared" si="3"/>
        <v>5</v>
      </c>
      <c r="H15" s="37" t="str">
        <f t="shared" si="4"/>
        <v>355</v>
      </c>
      <c r="I15" s="37" t="str">
        <f t="shared" si="5"/>
        <v>Loyal</v>
      </c>
    </row>
    <row r="16">
      <c r="A16" s="46" t="str">
        <f>'👥 Клієнти'!A15</f>
        <v>U0879</v>
      </c>
      <c r="B16" s="46">
        <f>'👥 Клієнти'!F15</f>
        <v>20</v>
      </c>
      <c r="C16" s="46">
        <f>'👥 Клієнти'!D15</f>
        <v>16</v>
      </c>
      <c r="D16" s="47">
        <f>'👥 Клієнти'!E15</f>
        <v>299.85</v>
      </c>
      <c r="E16" s="35">
        <f t="shared" si="1"/>
        <v>3</v>
      </c>
      <c r="F16" s="35">
        <f t="shared" si="2"/>
        <v>5</v>
      </c>
      <c r="G16" s="37">
        <f t="shared" si="3"/>
        <v>5</v>
      </c>
      <c r="H16" s="37" t="str">
        <f t="shared" si="4"/>
        <v>355</v>
      </c>
      <c r="I16" s="37" t="str">
        <f t="shared" si="5"/>
        <v>Loyal</v>
      </c>
    </row>
    <row r="17">
      <c r="A17" s="46" t="str">
        <f>'👥 Клієнти'!A16</f>
        <v>U0238</v>
      </c>
      <c r="B17" s="46">
        <f>'👥 Клієнти'!F16</f>
        <v>16</v>
      </c>
      <c r="C17" s="46">
        <f>'👥 Клієнти'!D16</f>
        <v>16</v>
      </c>
      <c r="D17" s="47">
        <f>'👥 Клієнти'!E16</f>
        <v>299.85</v>
      </c>
      <c r="E17" s="35">
        <f t="shared" si="1"/>
        <v>3</v>
      </c>
      <c r="F17" s="35">
        <f t="shared" si="2"/>
        <v>5</v>
      </c>
      <c r="G17" s="37">
        <f t="shared" si="3"/>
        <v>5</v>
      </c>
      <c r="H17" s="37" t="str">
        <f t="shared" si="4"/>
        <v>355</v>
      </c>
      <c r="I17" s="37" t="str">
        <f t="shared" si="5"/>
        <v>Loyal</v>
      </c>
    </row>
    <row r="18">
      <c r="A18" s="46" t="str">
        <f>'👥 Клієнти'!A17</f>
        <v>U0357</v>
      </c>
      <c r="B18" s="46">
        <f>'👥 Клієнти'!F17</f>
        <v>15</v>
      </c>
      <c r="C18" s="46">
        <f>'👥 Клієнти'!D17</f>
        <v>16</v>
      </c>
      <c r="D18" s="47">
        <f>'👥 Клієнти'!E17</f>
        <v>299.85</v>
      </c>
      <c r="E18" s="35">
        <f t="shared" si="1"/>
        <v>4</v>
      </c>
      <c r="F18" s="35">
        <f t="shared" si="2"/>
        <v>5</v>
      </c>
      <c r="G18" s="37">
        <f t="shared" si="3"/>
        <v>5</v>
      </c>
      <c r="H18" s="37" t="str">
        <f t="shared" si="4"/>
        <v>455</v>
      </c>
      <c r="I18" s="37" t="str">
        <f t="shared" si="5"/>
        <v>Champions</v>
      </c>
    </row>
    <row r="19">
      <c r="A19" s="46" t="str">
        <f>'👥 Клієнти'!A18</f>
        <v>U0378</v>
      </c>
      <c r="B19" s="46">
        <f>'👥 Клієнти'!F18</f>
        <v>404</v>
      </c>
      <c r="C19" s="46">
        <f>'👥 Клієнти'!D18</f>
        <v>3</v>
      </c>
      <c r="D19" s="47">
        <f>'👥 Клієнти'!E18</f>
        <v>39.98</v>
      </c>
      <c r="E19" s="35">
        <f t="shared" si="1"/>
        <v>1</v>
      </c>
      <c r="F19" s="35">
        <f t="shared" si="2"/>
        <v>2</v>
      </c>
      <c r="G19" s="37">
        <f t="shared" si="3"/>
        <v>2</v>
      </c>
      <c r="H19" s="37" t="str">
        <f t="shared" si="4"/>
        <v>122</v>
      </c>
      <c r="I19" s="37" t="str">
        <f t="shared" si="5"/>
        <v>Lost</v>
      </c>
    </row>
    <row r="20">
      <c r="A20" s="46" t="str">
        <f>'👥 Клієнти'!A19</f>
        <v>U0795</v>
      </c>
      <c r="B20" s="46">
        <f>'👥 Клієнти'!F19</f>
        <v>374</v>
      </c>
      <c r="C20" s="46">
        <f>'👥 Клієнти'!D19</f>
        <v>4</v>
      </c>
      <c r="D20" s="47">
        <f>'👥 Клієнти'!E19</f>
        <v>59.97</v>
      </c>
      <c r="E20" s="35">
        <f t="shared" si="1"/>
        <v>1</v>
      </c>
      <c r="F20" s="35">
        <f t="shared" si="2"/>
        <v>2</v>
      </c>
      <c r="G20" s="37">
        <f t="shared" si="3"/>
        <v>2</v>
      </c>
      <c r="H20" s="37" t="str">
        <f t="shared" si="4"/>
        <v>122</v>
      </c>
      <c r="I20" s="37" t="str">
        <f t="shared" si="5"/>
        <v>Lost</v>
      </c>
    </row>
    <row r="21" ht="15.75" customHeight="1">
      <c r="A21" s="46" t="str">
        <f>'👥 Клієнти'!A20</f>
        <v>U0011</v>
      </c>
      <c r="B21" s="46">
        <f>'👥 Клієнти'!F20</f>
        <v>11</v>
      </c>
      <c r="C21" s="46">
        <f>'👥 Клієнти'!D20</f>
        <v>16</v>
      </c>
      <c r="D21" s="47">
        <f>'👥 Клієнти'!E20</f>
        <v>299.85</v>
      </c>
      <c r="E21" s="35">
        <f t="shared" si="1"/>
        <v>4</v>
      </c>
      <c r="F21" s="35">
        <f t="shared" si="2"/>
        <v>5</v>
      </c>
      <c r="G21" s="37">
        <f t="shared" si="3"/>
        <v>5</v>
      </c>
      <c r="H21" s="37" t="str">
        <f t="shared" si="4"/>
        <v>455</v>
      </c>
      <c r="I21" s="37" t="str">
        <f t="shared" si="5"/>
        <v>Champions</v>
      </c>
    </row>
    <row r="22" ht="15.75" customHeight="1">
      <c r="A22" s="46" t="str">
        <f>'👥 Клієнти'!A21</f>
        <v>U0099</v>
      </c>
      <c r="B22" s="46">
        <f>'👥 Клієнти'!F21</f>
        <v>430</v>
      </c>
      <c r="C22" s="46">
        <f>'👥 Клієнти'!D21</f>
        <v>2</v>
      </c>
      <c r="D22" s="47">
        <f>'👥 Клієнти'!E21</f>
        <v>19.99</v>
      </c>
      <c r="E22" s="35">
        <f t="shared" si="1"/>
        <v>1</v>
      </c>
      <c r="F22" s="35">
        <f t="shared" si="2"/>
        <v>1</v>
      </c>
      <c r="G22" s="37">
        <f t="shared" si="3"/>
        <v>1</v>
      </c>
      <c r="H22" s="37" t="str">
        <f t="shared" si="4"/>
        <v>111</v>
      </c>
      <c r="I22" s="37" t="str">
        <f t="shared" si="5"/>
        <v>Lost</v>
      </c>
    </row>
    <row r="23" ht="15.75" customHeight="1">
      <c r="A23" s="46" t="str">
        <f>'👥 Клієнти'!A22</f>
        <v>U0457</v>
      </c>
      <c r="B23" s="46">
        <f>'👥 Клієнти'!F22</f>
        <v>340</v>
      </c>
      <c r="C23" s="46">
        <f>'👥 Клієнти'!D22</f>
        <v>5</v>
      </c>
      <c r="D23" s="47">
        <f>'👥 Клієнти'!E22</f>
        <v>79.96</v>
      </c>
      <c r="E23" s="35">
        <f t="shared" si="1"/>
        <v>1</v>
      </c>
      <c r="F23" s="35">
        <f t="shared" si="2"/>
        <v>3</v>
      </c>
      <c r="G23" s="37">
        <f t="shared" si="3"/>
        <v>3</v>
      </c>
      <c r="H23" s="37" t="str">
        <f t="shared" si="4"/>
        <v>133</v>
      </c>
      <c r="I23" s="37" t="str">
        <f t="shared" si="5"/>
        <v>At Risk</v>
      </c>
    </row>
    <row r="24" ht="15.75" customHeight="1">
      <c r="A24" s="46" t="str">
        <f>'👥 Клієнти'!A23</f>
        <v>U0372</v>
      </c>
      <c r="B24" s="46">
        <f>'👥 Клієнти'!F23</f>
        <v>8</v>
      </c>
      <c r="C24" s="46">
        <f>'👥 Клієнти'!D23</f>
        <v>16</v>
      </c>
      <c r="D24" s="47">
        <f>'👥 Клієнти'!E23</f>
        <v>299.85</v>
      </c>
      <c r="E24" s="35">
        <f t="shared" si="1"/>
        <v>4</v>
      </c>
      <c r="F24" s="35">
        <f t="shared" si="2"/>
        <v>5</v>
      </c>
      <c r="G24" s="37">
        <f t="shared" si="3"/>
        <v>5</v>
      </c>
      <c r="H24" s="37" t="str">
        <f t="shared" si="4"/>
        <v>455</v>
      </c>
      <c r="I24" s="37" t="str">
        <f t="shared" si="5"/>
        <v>Champions</v>
      </c>
    </row>
    <row r="25" ht="15.75" customHeight="1">
      <c r="A25" s="46" t="str">
        <f>'👥 Клієнти'!A24</f>
        <v>U0899</v>
      </c>
      <c r="B25" s="46">
        <f>'👥 Клієнти'!F24</f>
        <v>8</v>
      </c>
      <c r="C25" s="46">
        <f>'👥 Клієнти'!D24</f>
        <v>16</v>
      </c>
      <c r="D25" s="47">
        <f>'👥 Клієнти'!E24</f>
        <v>299.85</v>
      </c>
      <c r="E25" s="35">
        <f t="shared" si="1"/>
        <v>4</v>
      </c>
      <c r="F25" s="35">
        <f t="shared" si="2"/>
        <v>5</v>
      </c>
      <c r="G25" s="37">
        <f t="shared" si="3"/>
        <v>5</v>
      </c>
      <c r="H25" s="37" t="str">
        <f t="shared" si="4"/>
        <v>455</v>
      </c>
      <c r="I25" s="37" t="str">
        <f t="shared" si="5"/>
        <v>Champions</v>
      </c>
    </row>
    <row r="26" ht="15.75" customHeight="1">
      <c r="A26" s="46" t="str">
        <f>'👥 Клієнти'!A25</f>
        <v>U0073</v>
      </c>
      <c r="B26" s="46">
        <f>'👥 Клієнти'!F25</f>
        <v>7</v>
      </c>
      <c r="C26" s="46">
        <f>'👥 Клієнти'!D25</f>
        <v>16</v>
      </c>
      <c r="D26" s="47">
        <f>'👥 Клієнти'!E25</f>
        <v>299.85</v>
      </c>
      <c r="E26" s="35">
        <f t="shared" si="1"/>
        <v>5</v>
      </c>
      <c r="F26" s="35">
        <f t="shared" si="2"/>
        <v>5</v>
      </c>
      <c r="G26" s="37">
        <f t="shared" si="3"/>
        <v>5</v>
      </c>
      <c r="H26" s="37" t="str">
        <f t="shared" si="4"/>
        <v>555</v>
      </c>
      <c r="I26" s="37" t="str">
        <f t="shared" si="5"/>
        <v>Champions</v>
      </c>
    </row>
    <row r="27" ht="15.75" customHeight="1">
      <c r="A27" s="46" t="str">
        <f>'👥 Клієнти'!A26</f>
        <v>U0129</v>
      </c>
      <c r="B27" s="46">
        <f>'👥 Клієнти'!F26</f>
        <v>4</v>
      </c>
      <c r="C27" s="46">
        <f>'👥 Клієнти'!D26</f>
        <v>16</v>
      </c>
      <c r="D27" s="47">
        <f>'👥 Клієнти'!E26</f>
        <v>299.85</v>
      </c>
      <c r="E27" s="35">
        <f t="shared" si="1"/>
        <v>5</v>
      </c>
      <c r="F27" s="35">
        <f t="shared" si="2"/>
        <v>5</v>
      </c>
      <c r="G27" s="37">
        <f t="shared" si="3"/>
        <v>5</v>
      </c>
      <c r="H27" s="37" t="str">
        <f t="shared" si="4"/>
        <v>555</v>
      </c>
      <c r="I27" s="37" t="str">
        <f t="shared" si="5"/>
        <v>Champions</v>
      </c>
    </row>
    <row r="28" ht="15.75" customHeight="1">
      <c r="A28" s="46" t="str">
        <f>'👥 Клієнти'!A27</f>
        <v>U0841</v>
      </c>
      <c r="B28" s="46">
        <f>'👥 Клієнти'!F27</f>
        <v>362</v>
      </c>
      <c r="C28" s="46">
        <f>'👥 Клієнти'!D27</f>
        <v>4</v>
      </c>
      <c r="D28" s="47">
        <f>'👥 Клієнти'!E27</f>
        <v>59.97</v>
      </c>
      <c r="E28" s="35">
        <f t="shared" si="1"/>
        <v>1</v>
      </c>
      <c r="F28" s="35">
        <f t="shared" si="2"/>
        <v>2</v>
      </c>
      <c r="G28" s="37">
        <f t="shared" si="3"/>
        <v>2</v>
      </c>
      <c r="H28" s="37" t="str">
        <f t="shared" si="4"/>
        <v>122</v>
      </c>
      <c r="I28" s="37" t="str">
        <f t="shared" si="5"/>
        <v>Lost</v>
      </c>
    </row>
    <row r="29" ht="15.75" customHeight="1">
      <c r="A29" s="46" t="str">
        <f>'👥 Клієнти'!A28</f>
        <v>U0875</v>
      </c>
      <c r="B29" s="46">
        <f>'👥 Клієнти'!F28</f>
        <v>421</v>
      </c>
      <c r="C29" s="46">
        <f>'👥 Клієнти'!D28</f>
        <v>2</v>
      </c>
      <c r="D29" s="47">
        <f>'👥 Клієнти'!E28</f>
        <v>19.99</v>
      </c>
      <c r="E29" s="35">
        <f t="shared" si="1"/>
        <v>1</v>
      </c>
      <c r="F29" s="35">
        <f t="shared" si="2"/>
        <v>1</v>
      </c>
      <c r="G29" s="37">
        <f t="shared" si="3"/>
        <v>1</v>
      </c>
      <c r="H29" s="37" t="str">
        <f t="shared" si="4"/>
        <v>111</v>
      </c>
      <c r="I29" s="37" t="str">
        <f t="shared" si="5"/>
        <v>Lost</v>
      </c>
    </row>
    <row r="30" ht="15.75" customHeight="1">
      <c r="A30" s="46" t="str">
        <f>'👥 Клієнти'!A29</f>
        <v>U0558</v>
      </c>
      <c r="B30" s="46">
        <f>'👥 Клієнти'!F29</f>
        <v>300</v>
      </c>
      <c r="C30" s="46">
        <f>'👥 Клієнти'!D29</f>
        <v>6</v>
      </c>
      <c r="D30" s="47">
        <f>'👥 Клієнти'!E29</f>
        <v>99.95</v>
      </c>
      <c r="E30" s="35">
        <f t="shared" si="1"/>
        <v>1</v>
      </c>
      <c r="F30" s="35">
        <f t="shared" si="2"/>
        <v>3</v>
      </c>
      <c r="G30" s="37">
        <f t="shared" si="3"/>
        <v>3</v>
      </c>
      <c r="H30" s="37" t="str">
        <f t="shared" si="4"/>
        <v>133</v>
      </c>
      <c r="I30" s="37" t="str">
        <f t="shared" si="5"/>
        <v>At Risk</v>
      </c>
    </row>
    <row r="31" ht="15.75" customHeight="1">
      <c r="A31" s="46" t="str">
        <f>'👥 Клієнти'!A30</f>
        <v>U0425</v>
      </c>
      <c r="B31" s="46">
        <f>'👥 Клієнти'!F30</f>
        <v>327</v>
      </c>
      <c r="C31" s="46">
        <f>'👥 Клієнти'!D30</f>
        <v>5</v>
      </c>
      <c r="D31" s="47">
        <f>'👥 Клієнти'!E30</f>
        <v>79.96</v>
      </c>
      <c r="E31" s="35">
        <f t="shared" si="1"/>
        <v>1</v>
      </c>
      <c r="F31" s="35">
        <f t="shared" si="2"/>
        <v>3</v>
      </c>
      <c r="G31" s="37">
        <f t="shared" si="3"/>
        <v>3</v>
      </c>
      <c r="H31" s="37" t="str">
        <f t="shared" si="4"/>
        <v>133</v>
      </c>
      <c r="I31" s="37" t="str">
        <f t="shared" si="5"/>
        <v>At Risk</v>
      </c>
    </row>
    <row r="32" ht="15.75" customHeight="1">
      <c r="A32" s="46" t="str">
        <f>'👥 Клієнти'!A31</f>
        <v>U0629</v>
      </c>
      <c r="B32" s="46">
        <f>'👥 Клієнти'!F31</f>
        <v>26</v>
      </c>
      <c r="C32" s="46">
        <f>'👥 Клієнти'!D31</f>
        <v>15</v>
      </c>
      <c r="D32" s="47">
        <f>'👥 Клієнти'!E31</f>
        <v>279.86</v>
      </c>
      <c r="E32" s="35">
        <f t="shared" si="1"/>
        <v>2</v>
      </c>
      <c r="F32" s="35">
        <f t="shared" si="2"/>
        <v>5</v>
      </c>
      <c r="G32" s="37">
        <f t="shared" si="3"/>
        <v>5</v>
      </c>
      <c r="H32" s="37" t="str">
        <f t="shared" si="4"/>
        <v>255</v>
      </c>
      <c r="I32" s="37" t="str">
        <f t="shared" si="5"/>
        <v>At Risk</v>
      </c>
    </row>
    <row r="33" ht="15.75" customHeight="1">
      <c r="A33" s="46" t="str">
        <f>'👥 Клієнти'!A32</f>
        <v>U0819</v>
      </c>
      <c r="B33" s="46">
        <f>'👥 Клієнти'!F32</f>
        <v>22</v>
      </c>
      <c r="C33" s="46">
        <f>'👥 Клієнти'!D32</f>
        <v>15</v>
      </c>
      <c r="D33" s="47">
        <f>'👥 Клієнти'!E32</f>
        <v>279.86</v>
      </c>
      <c r="E33" s="35">
        <f t="shared" si="1"/>
        <v>3</v>
      </c>
      <c r="F33" s="35">
        <f t="shared" si="2"/>
        <v>5</v>
      </c>
      <c r="G33" s="37">
        <f t="shared" si="3"/>
        <v>5</v>
      </c>
      <c r="H33" s="37" t="str">
        <f t="shared" si="4"/>
        <v>355</v>
      </c>
      <c r="I33" s="37" t="str">
        <f t="shared" si="5"/>
        <v>Loyal</v>
      </c>
    </row>
    <row r="34" ht="15.75" customHeight="1">
      <c r="A34" s="46" t="str">
        <f>'👥 Клієнти'!A33</f>
        <v>U0059</v>
      </c>
      <c r="B34" s="46">
        <f>'👥 Клієнти'!F33</f>
        <v>21</v>
      </c>
      <c r="C34" s="46">
        <f>'👥 Клієнти'!D33</f>
        <v>15</v>
      </c>
      <c r="D34" s="47">
        <f>'👥 Клієнти'!E33</f>
        <v>279.86</v>
      </c>
      <c r="E34" s="35">
        <f t="shared" si="1"/>
        <v>3</v>
      </c>
      <c r="F34" s="35">
        <f t="shared" si="2"/>
        <v>5</v>
      </c>
      <c r="G34" s="37">
        <f t="shared" si="3"/>
        <v>5</v>
      </c>
      <c r="H34" s="37" t="str">
        <f t="shared" si="4"/>
        <v>355</v>
      </c>
      <c r="I34" s="37" t="str">
        <f t="shared" si="5"/>
        <v>Loyal</v>
      </c>
    </row>
    <row r="35" ht="15.75" customHeight="1">
      <c r="A35" s="46" t="str">
        <f>'👥 Клієнти'!A34</f>
        <v>U0292</v>
      </c>
      <c r="B35" s="46">
        <f>'👥 Клієнти'!F34</f>
        <v>381</v>
      </c>
      <c r="C35" s="46">
        <f>'👥 Клієнти'!D34</f>
        <v>3</v>
      </c>
      <c r="D35" s="47">
        <f>'👥 Клієнти'!E34</f>
        <v>39.98</v>
      </c>
      <c r="E35" s="35">
        <f t="shared" si="1"/>
        <v>1</v>
      </c>
      <c r="F35" s="35">
        <f t="shared" si="2"/>
        <v>2</v>
      </c>
      <c r="G35" s="37">
        <f t="shared" si="3"/>
        <v>2</v>
      </c>
      <c r="H35" s="37" t="str">
        <f t="shared" si="4"/>
        <v>122</v>
      </c>
      <c r="I35" s="37" t="str">
        <f t="shared" si="5"/>
        <v>Lost</v>
      </c>
    </row>
    <row r="36" ht="15.75" customHeight="1">
      <c r="A36" s="46" t="str">
        <f>'👥 Клієнти'!A35</f>
        <v>U0611</v>
      </c>
      <c r="B36" s="46">
        <f>'👥 Клієнти'!F35</f>
        <v>410</v>
      </c>
      <c r="C36" s="46">
        <f>'👥 Клієнти'!D35</f>
        <v>2</v>
      </c>
      <c r="D36" s="47">
        <f>'👥 Клієнти'!E35</f>
        <v>19.99</v>
      </c>
      <c r="E36" s="35">
        <f t="shared" si="1"/>
        <v>1</v>
      </c>
      <c r="F36" s="35">
        <f t="shared" si="2"/>
        <v>1</v>
      </c>
      <c r="G36" s="37">
        <f t="shared" si="3"/>
        <v>1</v>
      </c>
      <c r="H36" s="37" t="str">
        <f t="shared" si="4"/>
        <v>111</v>
      </c>
      <c r="I36" s="37" t="str">
        <f t="shared" si="5"/>
        <v>Lost</v>
      </c>
    </row>
    <row r="37" ht="15.75" customHeight="1">
      <c r="A37" s="46" t="str">
        <f>'👥 Клієнти'!A36</f>
        <v>U0702</v>
      </c>
      <c r="B37" s="46">
        <f>'👥 Клієнти'!F36</f>
        <v>258</v>
      </c>
      <c r="C37" s="46">
        <f>'👥 Клієнти'!D36</f>
        <v>7</v>
      </c>
      <c r="D37" s="47">
        <f>'👥 Клієнти'!E36</f>
        <v>119.94</v>
      </c>
      <c r="E37" s="35">
        <f t="shared" si="1"/>
        <v>1</v>
      </c>
      <c r="F37" s="35">
        <f t="shared" si="2"/>
        <v>4</v>
      </c>
      <c r="G37" s="37">
        <f t="shared" si="3"/>
        <v>4</v>
      </c>
      <c r="H37" s="37" t="str">
        <f t="shared" si="4"/>
        <v>144</v>
      </c>
      <c r="I37" s="37" t="str">
        <f t="shared" si="5"/>
        <v>At Risk</v>
      </c>
    </row>
    <row r="38" ht="15.75" customHeight="1">
      <c r="A38" s="46" t="str">
        <f>'👥 Клієнти'!A37</f>
        <v>U0169</v>
      </c>
      <c r="B38" s="46">
        <f>'👥 Клієнти'!F37</f>
        <v>17</v>
      </c>
      <c r="C38" s="46">
        <f>'👥 Клієнти'!D37</f>
        <v>15</v>
      </c>
      <c r="D38" s="47">
        <f>'👥 Клієнти'!E37</f>
        <v>279.86</v>
      </c>
      <c r="E38" s="35">
        <f t="shared" si="1"/>
        <v>3</v>
      </c>
      <c r="F38" s="35">
        <f t="shared" si="2"/>
        <v>5</v>
      </c>
      <c r="G38" s="37">
        <f t="shared" si="3"/>
        <v>5</v>
      </c>
      <c r="H38" s="37" t="str">
        <f t="shared" si="4"/>
        <v>355</v>
      </c>
      <c r="I38" s="37" t="str">
        <f t="shared" si="5"/>
        <v>Loyal</v>
      </c>
    </row>
    <row r="39" ht="15.75" customHeight="1">
      <c r="A39" s="46" t="str">
        <f>'👥 Клієнти'!A38</f>
        <v>U0146</v>
      </c>
      <c r="B39" s="46">
        <f>'👥 Клієнти'!F38</f>
        <v>346</v>
      </c>
      <c r="C39" s="46">
        <f>'👥 Клієнти'!D38</f>
        <v>4</v>
      </c>
      <c r="D39" s="47">
        <f>'👥 Клієнти'!E38</f>
        <v>59.97</v>
      </c>
      <c r="E39" s="35">
        <f t="shared" si="1"/>
        <v>1</v>
      </c>
      <c r="F39" s="35">
        <f t="shared" si="2"/>
        <v>2</v>
      </c>
      <c r="G39" s="37">
        <f t="shared" si="3"/>
        <v>2</v>
      </c>
      <c r="H39" s="37" t="str">
        <f t="shared" si="4"/>
        <v>122</v>
      </c>
      <c r="I39" s="37" t="str">
        <f t="shared" si="5"/>
        <v>Lost</v>
      </c>
    </row>
    <row r="40" ht="15.75" customHeight="1">
      <c r="A40" s="46" t="str">
        <f>'👥 Клієнти'!A39</f>
        <v>U0286</v>
      </c>
      <c r="B40" s="46">
        <f>'👥 Клієнти'!F39</f>
        <v>346</v>
      </c>
      <c r="C40" s="46">
        <f>'👥 Клієнти'!D39</f>
        <v>4</v>
      </c>
      <c r="D40" s="47">
        <f>'👥 Клієнти'!E39</f>
        <v>59.97</v>
      </c>
      <c r="E40" s="35">
        <f t="shared" si="1"/>
        <v>1</v>
      </c>
      <c r="F40" s="35">
        <f t="shared" si="2"/>
        <v>2</v>
      </c>
      <c r="G40" s="37">
        <f t="shared" si="3"/>
        <v>2</v>
      </c>
      <c r="H40" s="37" t="str">
        <f t="shared" si="4"/>
        <v>122</v>
      </c>
      <c r="I40" s="37" t="str">
        <f t="shared" si="5"/>
        <v>Lost</v>
      </c>
    </row>
    <row r="41" ht="15.75" customHeight="1">
      <c r="A41" s="46" t="str">
        <f>'👥 Клієнти'!A40</f>
        <v>U0301</v>
      </c>
      <c r="B41" s="46">
        <f>'👥 Клієнти'!F40</f>
        <v>225</v>
      </c>
      <c r="C41" s="46">
        <f>'👥 Клієнти'!D40</f>
        <v>8</v>
      </c>
      <c r="D41" s="47">
        <f>'👥 Клієнти'!E40</f>
        <v>139.93</v>
      </c>
      <c r="E41" s="35">
        <f t="shared" si="1"/>
        <v>1</v>
      </c>
      <c r="F41" s="35">
        <f t="shared" si="2"/>
        <v>4</v>
      </c>
      <c r="G41" s="37">
        <f t="shared" si="3"/>
        <v>4</v>
      </c>
      <c r="H41" s="37" t="str">
        <f t="shared" si="4"/>
        <v>144</v>
      </c>
      <c r="I41" s="37" t="str">
        <f t="shared" si="5"/>
        <v>At Risk</v>
      </c>
    </row>
    <row r="42" ht="15.75" customHeight="1">
      <c r="A42" s="46" t="str">
        <f>'👥 Клієнти'!A41</f>
        <v>U0459</v>
      </c>
      <c r="B42" s="46">
        <f>'👥 Клієнти'!F41</f>
        <v>42</v>
      </c>
      <c r="C42" s="46">
        <f>'👥 Клієнти'!D41</f>
        <v>14</v>
      </c>
      <c r="D42" s="47">
        <f>'👥 Клієнти'!E41</f>
        <v>259.87</v>
      </c>
      <c r="E42" s="35">
        <f t="shared" si="1"/>
        <v>2</v>
      </c>
      <c r="F42" s="35">
        <f t="shared" si="2"/>
        <v>5</v>
      </c>
      <c r="G42" s="37">
        <f t="shared" si="3"/>
        <v>5</v>
      </c>
      <c r="H42" s="37" t="str">
        <f t="shared" si="4"/>
        <v>255</v>
      </c>
      <c r="I42" s="37" t="str">
        <f t="shared" si="5"/>
        <v>At Risk</v>
      </c>
    </row>
    <row r="43" ht="15.75" customHeight="1">
      <c r="A43" s="46" t="str">
        <f>'👥 Клієнти'!A42</f>
        <v>U0487</v>
      </c>
      <c r="B43" s="46">
        <f>'👥 Клієнти'!F42</f>
        <v>312</v>
      </c>
      <c r="C43" s="46">
        <f>'👥 Клієнти'!D42</f>
        <v>5</v>
      </c>
      <c r="D43" s="47">
        <f>'👥 Клієнти'!E42</f>
        <v>79.96</v>
      </c>
      <c r="E43" s="35">
        <f t="shared" si="1"/>
        <v>1</v>
      </c>
      <c r="F43" s="35">
        <f t="shared" si="2"/>
        <v>3</v>
      </c>
      <c r="G43" s="37">
        <f t="shared" si="3"/>
        <v>3</v>
      </c>
      <c r="H43" s="37" t="str">
        <f t="shared" si="4"/>
        <v>133</v>
      </c>
      <c r="I43" s="37" t="str">
        <f t="shared" si="5"/>
        <v>At Risk</v>
      </c>
    </row>
    <row r="44" ht="15.75" customHeight="1">
      <c r="A44" s="46" t="str">
        <f>'👥 Клієнти'!A43</f>
        <v>U0705</v>
      </c>
      <c r="B44" s="46">
        <f>'👥 Клієнти'!F43</f>
        <v>9</v>
      </c>
      <c r="C44" s="46">
        <f>'👥 Клієнти'!D43</f>
        <v>15</v>
      </c>
      <c r="D44" s="47">
        <f>'👥 Клієнти'!E43</f>
        <v>279.86</v>
      </c>
      <c r="E44" s="35">
        <f t="shared" si="1"/>
        <v>4</v>
      </c>
      <c r="F44" s="35">
        <f t="shared" si="2"/>
        <v>5</v>
      </c>
      <c r="G44" s="37">
        <f t="shared" si="3"/>
        <v>5</v>
      </c>
      <c r="H44" s="37" t="str">
        <f t="shared" si="4"/>
        <v>455</v>
      </c>
      <c r="I44" s="37" t="str">
        <f t="shared" si="5"/>
        <v>Champions</v>
      </c>
    </row>
    <row r="45" ht="15.75" customHeight="1">
      <c r="A45" s="46" t="str">
        <f>'👥 Клієнти'!A44</f>
        <v>U0529</v>
      </c>
      <c r="B45" s="46">
        <f>'👥 Клієнти'!F44</f>
        <v>7</v>
      </c>
      <c r="C45" s="46">
        <f>'👥 Клієнти'!D44</f>
        <v>15</v>
      </c>
      <c r="D45" s="47">
        <f>'👥 Клієнти'!E44</f>
        <v>279.86</v>
      </c>
      <c r="E45" s="35">
        <f t="shared" si="1"/>
        <v>5</v>
      </c>
      <c r="F45" s="35">
        <f t="shared" si="2"/>
        <v>5</v>
      </c>
      <c r="G45" s="37">
        <f t="shared" si="3"/>
        <v>5</v>
      </c>
      <c r="H45" s="37" t="str">
        <f t="shared" si="4"/>
        <v>555</v>
      </c>
      <c r="I45" s="37" t="str">
        <f t="shared" si="5"/>
        <v>Champions</v>
      </c>
    </row>
    <row r="46" ht="15.75" customHeight="1">
      <c r="A46" s="46" t="str">
        <f>'👥 Клієнти'!A45</f>
        <v>U0149</v>
      </c>
      <c r="B46" s="46">
        <f>'👥 Клієнти'!F45</f>
        <v>5</v>
      </c>
      <c r="C46" s="46">
        <f>'👥 Клієнти'!D45</f>
        <v>15</v>
      </c>
      <c r="D46" s="47">
        <f>'👥 Клієнти'!E45</f>
        <v>279.86</v>
      </c>
      <c r="E46" s="35">
        <f t="shared" si="1"/>
        <v>5</v>
      </c>
      <c r="F46" s="35">
        <f t="shared" si="2"/>
        <v>5</v>
      </c>
      <c r="G46" s="37">
        <f t="shared" si="3"/>
        <v>5</v>
      </c>
      <c r="H46" s="37" t="str">
        <f t="shared" si="4"/>
        <v>555</v>
      </c>
      <c r="I46" s="37" t="str">
        <f t="shared" si="5"/>
        <v>Champions</v>
      </c>
    </row>
    <row r="47" ht="15.75" customHeight="1">
      <c r="A47" s="46" t="str">
        <f>'👥 Клієнти'!A46</f>
        <v>U0857</v>
      </c>
      <c r="B47" s="46">
        <f>'👥 Клієнти'!F46</f>
        <v>333</v>
      </c>
      <c r="C47" s="46">
        <f>'👥 Клієнти'!D46</f>
        <v>4</v>
      </c>
      <c r="D47" s="47">
        <f>'👥 Клієнти'!E46</f>
        <v>59.97</v>
      </c>
      <c r="E47" s="35">
        <f t="shared" si="1"/>
        <v>1</v>
      </c>
      <c r="F47" s="35">
        <f t="shared" si="2"/>
        <v>2</v>
      </c>
      <c r="G47" s="37">
        <f t="shared" si="3"/>
        <v>2</v>
      </c>
      <c r="H47" s="37" t="str">
        <f t="shared" si="4"/>
        <v>122</v>
      </c>
      <c r="I47" s="37" t="str">
        <f t="shared" si="5"/>
        <v>Lost</v>
      </c>
    </row>
    <row r="48" ht="15.75" customHeight="1">
      <c r="A48" s="46" t="str">
        <f>'👥 Клієнти'!A47</f>
        <v>U0336</v>
      </c>
      <c r="B48" s="46">
        <f>'👥 Клієнти'!F47</f>
        <v>2</v>
      </c>
      <c r="C48" s="46">
        <f>'👥 Клієнти'!D47</f>
        <v>15</v>
      </c>
      <c r="D48" s="47">
        <f>'👥 Клієнти'!E47</f>
        <v>279.86</v>
      </c>
      <c r="E48" s="35">
        <f t="shared" si="1"/>
        <v>5</v>
      </c>
      <c r="F48" s="35">
        <f t="shared" si="2"/>
        <v>5</v>
      </c>
      <c r="G48" s="37">
        <f t="shared" si="3"/>
        <v>5</v>
      </c>
      <c r="H48" s="37" t="str">
        <f t="shared" si="4"/>
        <v>555</v>
      </c>
      <c r="I48" s="37" t="str">
        <f t="shared" si="5"/>
        <v>Champions</v>
      </c>
    </row>
    <row r="49" ht="15.75" customHeight="1">
      <c r="A49" s="46" t="str">
        <f>'👥 Клієнти'!A48</f>
        <v>U0473</v>
      </c>
      <c r="B49" s="46">
        <f>'👥 Клієнти'!F48</f>
        <v>392</v>
      </c>
      <c r="C49" s="46">
        <f>'👥 Клієнти'!D48</f>
        <v>2</v>
      </c>
      <c r="D49" s="47">
        <f>'👥 Клієнти'!E48</f>
        <v>19.99</v>
      </c>
      <c r="E49" s="35">
        <f t="shared" si="1"/>
        <v>1</v>
      </c>
      <c r="F49" s="35">
        <f t="shared" si="2"/>
        <v>1</v>
      </c>
      <c r="G49" s="37">
        <f t="shared" si="3"/>
        <v>1</v>
      </c>
      <c r="H49" s="37" t="str">
        <f t="shared" si="4"/>
        <v>111</v>
      </c>
      <c r="I49" s="37" t="str">
        <f t="shared" si="5"/>
        <v>Lost</v>
      </c>
    </row>
    <row r="50" ht="15.75" customHeight="1">
      <c r="A50" s="46" t="str">
        <f>'👥 Клієнти'!A49</f>
        <v>U0375</v>
      </c>
      <c r="B50" s="46">
        <f>'👥 Клієнти'!F49</f>
        <v>1</v>
      </c>
      <c r="C50" s="46">
        <f>'👥 Клієнти'!D49</f>
        <v>15</v>
      </c>
      <c r="D50" s="47">
        <f>'👥 Клієнти'!E49</f>
        <v>279.86</v>
      </c>
      <c r="E50" s="35">
        <f t="shared" si="1"/>
        <v>5</v>
      </c>
      <c r="F50" s="35">
        <f t="shared" si="2"/>
        <v>5</v>
      </c>
      <c r="G50" s="37">
        <f t="shared" si="3"/>
        <v>5</v>
      </c>
      <c r="H50" s="37" t="str">
        <f t="shared" si="4"/>
        <v>555</v>
      </c>
      <c r="I50" s="37" t="str">
        <f t="shared" si="5"/>
        <v>Champions</v>
      </c>
    </row>
    <row r="51" ht="15.75" customHeight="1">
      <c r="A51" s="46" t="str">
        <f>'👥 Клієнти'!A50</f>
        <v>U0723</v>
      </c>
      <c r="B51" s="46">
        <f>'👥 Клієнти'!F50</f>
        <v>1</v>
      </c>
      <c r="C51" s="46">
        <f>'👥 Клієнти'!D50</f>
        <v>15</v>
      </c>
      <c r="D51" s="47">
        <f>'👥 Клієнти'!E50</f>
        <v>279.86</v>
      </c>
      <c r="E51" s="35">
        <f t="shared" si="1"/>
        <v>5</v>
      </c>
      <c r="F51" s="35">
        <f t="shared" si="2"/>
        <v>5</v>
      </c>
      <c r="G51" s="37">
        <f t="shared" si="3"/>
        <v>5</v>
      </c>
      <c r="H51" s="37" t="str">
        <f t="shared" si="4"/>
        <v>555</v>
      </c>
      <c r="I51" s="37" t="str">
        <f t="shared" si="5"/>
        <v>Champions</v>
      </c>
    </row>
    <row r="52" ht="15.75" customHeight="1">
      <c r="A52" s="46" t="str">
        <f>'👥 Клієнти'!A51</f>
        <v>U0765</v>
      </c>
      <c r="B52" s="46">
        <f>'👥 Клієнти'!F51</f>
        <v>1</v>
      </c>
      <c r="C52" s="46">
        <f>'👥 Клієнти'!D51</f>
        <v>15</v>
      </c>
      <c r="D52" s="47">
        <f>'👥 Клієнти'!E51</f>
        <v>279.86</v>
      </c>
      <c r="E52" s="35">
        <f t="shared" si="1"/>
        <v>5</v>
      </c>
      <c r="F52" s="35">
        <f t="shared" si="2"/>
        <v>5</v>
      </c>
      <c r="G52" s="37">
        <f t="shared" si="3"/>
        <v>5</v>
      </c>
      <c r="H52" s="37" t="str">
        <f t="shared" si="4"/>
        <v>555</v>
      </c>
      <c r="I52" s="37" t="str">
        <f t="shared" si="5"/>
        <v>Champions</v>
      </c>
    </row>
    <row r="53" ht="15.75" customHeight="1">
      <c r="A53" s="46" t="str">
        <f>'👥 Клієнти'!A52</f>
        <v>U0860</v>
      </c>
      <c r="B53" s="46">
        <f>'👥 Клієнти'!F52</f>
        <v>1</v>
      </c>
      <c r="C53" s="46">
        <f>'👥 Клієнти'!D52</f>
        <v>15</v>
      </c>
      <c r="D53" s="47">
        <f>'👥 Клієнти'!E52</f>
        <v>279.86</v>
      </c>
      <c r="E53" s="35">
        <f t="shared" si="1"/>
        <v>5</v>
      </c>
      <c r="F53" s="35">
        <f t="shared" si="2"/>
        <v>5</v>
      </c>
      <c r="G53" s="37">
        <f t="shared" si="3"/>
        <v>5</v>
      </c>
      <c r="H53" s="37" t="str">
        <f t="shared" si="4"/>
        <v>555</v>
      </c>
      <c r="I53" s="37" t="str">
        <f t="shared" si="5"/>
        <v>Champions</v>
      </c>
    </row>
    <row r="54" ht="15.75" customHeight="1">
      <c r="A54" s="46" t="str">
        <f>'👥 Клієнти'!A53</f>
        <v>U0033</v>
      </c>
      <c r="B54" s="46">
        <f>'👥 Клієнти'!F53</f>
        <v>240</v>
      </c>
      <c r="C54" s="46">
        <f>'👥 Клієнти'!D53</f>
        <v>7</v>
      </c>
      <c r="D54" s="47">
        <f>'👥 Клієнти'!E53</f>
        <v>119.94</v>
      </c>
      <c r="E54" s="35">
        <f t="shared" si="1"/>
        <v>1</v>
      </c>
      <c r="F54" s="35">
        <f t="shared" si="2"/>
        <v>4</v>
      </c>
      <c r="G54" s="37">
        <f t="shared" si="3"/>
        <v>4</v>
      </c>
      <c r="H54" s="37" t="str">
        <f t="shared" si="4"/>
        <v>144</v>
      </c>
      <c r="I54" s="37" t="str">
        <f t="shared" si="5"/>
        <v>At Risk</v>
      </c>
    </row>
    <row r="55" ht="15.75" customHeight="1">
      <c r="A55" s="46" t="str">
        <f>'👥 Клієнти'!A54</f>
        <v>U0515</v>
      </c>
      <c r="B55" s="46">
        <f>'👥 Клієнти'!F54</f>
        <v>0</v>
      </c>
      <c r="C55" s="46">
        <f>'👥 Клієнти'!D54</f>
        <v>15</v>
      </c>
      <c r="D55" s="47">
        <f>'👥 Клієнти'!E54</f>
        <v>279.86</v>
      </c>
      <c r="E55" s="35">
        <f t="shared" si="1"/>
        <v>5</v>
      </c>
      <c r="F55" s="35">
        <f t="shared" si="2"/>
        <v>5</v>
      </c>
      <c r="G55" s="37">
        <f t="shared" si="3"/>
        <v>5</v>
      </c>
      <c r="H55" s="37" t="str">
        <f t="shared" si="4"/>
        <v>555</v>
      </c>
      <c r="I55" s="37" t="str">
        <f t="shared" si="5"/>
        <v>Champions</v>
      </c>
    </row>
    <row r="56" ht="15.75" customHeight="1">
      <c r="A56" s="46" t="str">
        <f>'👥 Клієнти'!A55</f>
        <v>U0600</v>
      </c>
      <c r="B56" s="46">
        <f>'👥 Клієнти'!F55</f>
        <v>390</v>
      </c>
      <c r="C56" s="46">
        <f>'👥 Клієнти'!D55</f>
        <v>2</v>
      </c>
      <c r="D56" s="47">
        <f>'👥 Клієнти'!E55</f>
        <v>19.99</v>
      </c>
      <c r="E56" s="35">
        <f t="shared" si="1"/>
        <v>1</v>
      </c>
      <c r="F56" s="35">
        <f t="shared" si="2"/>
        <v>1</v>
      </c>
      <c r="G56" s="37">
        <f t="shared" si="3"/>
        <v>1</v>
      </c>
      <c r="H56" s="37" t="str">
        <f t="shared" si="4"/>
        <v>111</v>
      </c>
      <c r="I56" s="37" t="str">
        <f t="shared" si="5"/>
        <v>Lost</v>
      </c>
    </row>
    <row r="57" ht="15.75" customHeight="1">
      <c r="A57" s="46" t="str">
        <f>'👥 Клієнти'!A56</f>
        <v>U0370</v>
      </c>
      <c r="B57" s="46">
        <f>'👥 Клієнти'!F56</f>
        <v>179</v>
      </c>
      <c r="C57" s="46">
        <f>'👥 Клієнти'!D56</f>
        <v>9</v>
      </c>
      <c r="D57" s="47">
        <f>'👥 Клієнти'!E56</f>
        <v>159.92</v>
      </c>
      <c r="E57" s="35">
        <f t="shared" si="1"/>
        <v>1</v>
      </c>
      <c r="F57" s="35">
        <f t="shared" si="2"/>
        <v>4</v>
      </c>
      <c r="G57" s="37">
        <f t="shared" si="3"/>
        <v>4</v>
      </c>
      <c r="H57" s="37" t="str">
        <f t="shared" si="4"/>
        <v>144</v>
      </c>
      <c r="I57" s="37" t="str">
        <f t="shared" si="5"/>
        <v>At Risk</v>
      </c>
    </row>
    <row r="58" ht="15.75" customHeight="1">
      <c r="A58" s="46" t="str">
        <f>'👥 Клієнти'!A57</f>
        <v>U0435</v>
      </c>
      <c r="B58" s="46">
        <f>'👥 Клієнти'!F57</f>
        <v>57</v>
      </c>
      <c r="C58" s="46">
        <f>'👥 Клієнти'!D57</f>
        <v>13</v>
      </c>
      <c r="D58" s="47">
        <f>'👥 Клієнти'!E57</f>
        <v>239.88</v>
      </c>
      <c r="E58" s="35">
        <f t="shared" si="1"/>
        <v>2</v>
      </c>
      <c r="F58" s="35">
        <f t="shared" si="2"/>
        <v>5</v>
      </c>
      <c r="G58" s="37">
        <f t="shared" si="3"/>
        <v>5</v>
      </c>
      <c r="H58" s="37" t="str">
        <f t="shared" si="4"/>
        <v>255</v>
      </c>
      <c r="I58" s="37" t="str">
        <f t="shared" si="5"/>
        <v>At Risk</v>
      </c>
    </row>
    <row r="59" ht="15.75" customHeight="1">
      <c r="A59" s="46" t="str">
        <f>'👥 Клієнти'!A58</f>
        <v>U0614</v>
      </c>
      <c r="B59" s="46">
        <f>'👥 Клієнти'!F58</f>
        <v>326</v>
      </c>
      <c r="C59" s="46">
        <f>'👥 Клієнти'!D58</f>
        <v>4</v>
      </c>
      <c r="D59" s="47">
        <f>'👥 Клієнти'!E58</f>
        <v>59.97</v>
      </c>
      <c r="E59" s="35">
        <f t="shared" si="1"/>
        <v>1</v>
      </c>
      <c r="F59" s="35">
        <f t="shared" si="2"/>
        <v>2</v>
      </c>
      <c r="G59" s="37">
        <f t="shared" si="3"/>
        <v>2</v>
      </c>
      <c r="H59" s="37" t="str">
        <f t="shared" si="4"/>
        <v>122</v>
      </c>
      <c r="I59" s="37" t="str">
        <f t="shared" si="5"/>
        <v>Lost</v>
      </c>
    </row>
    <row r="60" ht="15.75" customHeight="1">
      <c r="A60" s="46" t="str">
        <f>'👥 Клієнти'!A59</f>
        <v>U0165</v>
      </c>
      <c r="B60" s="46">
        <f>'👥 Клієнти'!F59</f>
        <v>25</v>
      </c>
      <c r="C60" s="46">
        <f>'👥 Клієнти'!D59</f>
        <v>14</v>
      </c>
      <c r="D60" s="47">
        <f>'👥 Клієнти'!E59</f>
        <v>259.87</v>
      </c>
      <c r="E60" s="35">
        <f t="shared" si="1"/>
        <v>3</v>
      </c>
      <c r="F60" s="35">
        <f t="shared" si="2"/>
        <v>5</v>
      </c>
      <c r="G60" s="37">
        <f t="shared" si="3"/>
        <v>5</v>
      </c>
      <c r="H60" s="37" t="str">
        <f t="shared" si="4"/>
        <v>355</v>
      </c>
      <c r="I60" s="37" t="str">
        <f t="shared" si="5"/>
        <v>Loyal</v>
      </c>
    </row>
    <row r="61" ht="15.75" customHeight="1">
      <c r="A61" s="46" t="str">
        <f>'👥 Клієнти'!A60</f>
        <v>U0441</v>
      </c>
      <c r="B61" s="46">
        <f>'👥 Клієнти'!F60</f>
        <v>24</v>
      </c>
      <c r="C61" s="46">
        <f>'👥 Клієнти'!D60</f>
        <v>14</v>
      </c>
      <c r="D61" s="47">
        <f>'👥 Клієнти'!E60</f>
        <v>259.87</v>
      </c>
      <c r="E61" s="35">
        <f t="shared" si="1"/>
        <v>3</v>
      </c>
      <c r="F61" s="35">
        <f t="shared" si="2"/>
        <v>5</v>
      </c>
      <c r="G61" s="37">
        <f t="shared" si="3"/>
        <v>5</v>
      </c>
      <c r="H61" s="37" t="str">
        <f t="shared" si="4"/>
        <v>355</v>
      </c>
      <c r="I61" s="37" t="str">
        <f t="shared" si="5"/>
        <v>Loyal</v>
      </c>
    </row>
    <row r="62" ht="15.75" customHeight="1">
      <c r="A62" s="46" t="str">
        <f>'👥 Клієнти'!A61</f>
        <v>U0437</v>
      </c>
      <c r="B62" s="46">
        <f>'👥 Клієнти'!F61</f>
        <v>23</v>
      </c>
      <c r="C62" s="46">
        <f>'👥 Клієнти'!D61</f>
        <v>14</v>
      </c>
      <c r="D62" s="47">
        <f>'👥 Клієнти'!E61</f>
        <v>259.87</v>
      </c>
      <c r="E62" s="35">
        <f t="shared" si="1"/>
        <v>3</v>
      </c>
      <c r="F62" s="35">
        <f t="shared" si="2"/>
        <v>5</v>
      </c>
      <c r="G62" s="37">
        <f t="shared" si="3"/>
        <v>5</v>
      </c>
      <c r="H62" s="37" t="str">
        <f t="shared" si="4"/>
        <v>355</v>
      </c>
      <c r="I62" s="37" t="str">
        <f t="shared" si="5"/>
        <v>Loyal</v>
      </c>
    </row>
    <row r="63" ht="15.75" customHeight="1">
      <c r="A63" s="46" t="str">
        <f>'👥 Клієнти'!A62</f>
        <v>U0284</v>
      </c>
      <c r="B63" s="46">
        <f>'👥 Клієнти'!F62</f>
        <v>231</v>
      </c>
      <c r="C63" s="46">
        <f>'👥 Клієнти'!D62</f>
        <v>7</v>
      </c>
      <c r="D63" s="47">
        <f>'👥 Клієнти'!E62</f>
        <v>119.94</v>
      </c>
      <c r="E63" s="35">
        <f t="shared" si="1"/>
        <v>1</v>
      </c>
      <c r="F63" s="35">
        <f t="shared" si="2"/>
        <v>4</v>
      </c>
      <c r="G63" s="37">
        <f t="shared" si="3"/>
        <v>4</v>
      </c>
      <c r="H63" s="37" t="str">
        <f t="shared" si="4"/>
        <v>144</v>
      </c>
      <c r="I63" s="37" t="str">
        <f t="shared" si="5"/>
        <v>At Risk</v>
      </c>
    </row>
    <row r="64" ht="15.75" customHeight="1">
      <c r="A64" s="46" t="str">
        <f>'👥 Клієнти'!A63</f>
        <v>U0884</v>
      </c>
      <c r="B64" s="46">
        <f>'👥 Клієнти'!F63</f>
        <v>321</v>
      </c>
      <c r="C64" s="46">
        <f>'👥 Клієнти'!D63</f>
        <v>4</v>
      </c>
      <c r="D64" s="47">
        <f>'👥 Клієнти'!E63</f>
        <v>59.97</v>
      </c>
      <c r="E64" s="35">
        <f t="shared" si="1"/>
        <v>1</v>
      </c>
      <c r="F64" s="35">
        <f t="shared" si="2"/>
        <v>2</v>
      </c>
      <c r="G64" s="37">
        <f t="shared" si="3"/>
        <v>2</v>
      </c>
      <c r="H64" s="37" t="str">
        <f t="shared" si="4"/>
        <v>122</v>
      </c>
      <c r="I64" s="37" t="str">
        <f t="shared" si="5"/>
        <v>Lost</v>
      </c>
    </row>
    <row r="65" ht="15.75" customHeight="1">
      <c r="A65" s="46" t="str">
        <f>'👥 Клієнти'!A64</f>
        <v>U0207</v>
      </c>
      <c r="B65" s="46">
        <f>'👥 Клієнти'!F64</f>
        <v>20</v>
      </c>
      <c r="C65" s="46">
        <f>'👥 Клієнти'!D64</f>
        <v>14</v>
      </c>
      <c r="D65" s="47">
        <f>'👥 Клієнти'!E64</f>
        <v>259.87</v>
      </c>
      <c r="E65" s="35">
        <f t="shared" si="1"/>
        <v>3</v>
      </c>
      <c r="F65" s="35">
        <f t="shared" si="2"/>
        <v>5</v>
      </c>
      <c r="G65" s="37">
        <f t="shared" si="3"/>
        <v>5</v>
      </c>
      <c r="H65" s="37" t="str">
        <f t="shared" si="4"/>
        <v>355</v>
      </c>
      <c r="I65" s="37" t="str">
        <f t="shared" si="5"/>
        <v>Loyal</v>
      </c>
    </row>
    <row r="66" ht="15.75" customHeight="1">
      <c r="A66" s="46" t="str">
        <f>'👥 Клієнти'!A65</f>
        <v>U0440</v>
      </c>
      <c r="B66" s="46">
        <f>'👥 Клієнти'!F65</f>
        <v>18</v>
      </c>
      <c r="C66" s="46">
        <f>'👥 Клієнти'!D65</f>
        <v>14</v>
      </c>
      <c r="D66" s="47">
        <f>'👥 Клієнти'!E65</f>
        <v>259.87</v>
      </c>
      <c r="E66" s="35">
        <f t="shared" si="1"/>
        <v>3</v>
      </c>
      <c r="F66" s="35">
        <f t="shared" si="2"/>
        <v>5</v>
      </c>
      <c r="G66" s="37">
        <f t="shared" si="3"/>
        <v>5</v>
      </c>
      <c r="H66" s="37" t="str">
        <f t="shared" si="4"/>
        <v>355</v>
      </c>
      <c r="I66" s="37" t="str">
        <f t="shared" si="5"/>
        <v>Loyal</v>
      </c>
    </row>
    <row r="67" ht="15.75" customHeight="1">
      <c r="A67" s="46" t="str">
        <f>'👥 Клієнти'!A66</f>
        <v>U0202</v>
      </c>
      <c r="B67" s="46">
        <f>'👥 Клієнти'!F66</f>
        <v>77</v>
      </c>
      <c r="C67" s="46">
        <f>'👥 Клієнти'!D66</f>
        <v>12</v>
      </c>
      <c r="D67" s="47">
        <f>'👥 Клієнти'!E66</f>
        <v>219.89</v>
      </c>
      <c r="E67" s="35">
        <f t="shared" si="1"/>
        <v>2</v>
      </c>
      <c r="F67" s="35">
        <f t="shared" si="2"/>
        <v>5</v>
      </c>
      <c r="G67" s="37">
        <f t="shared" si="3"/>
        <v>5</v>
      </c>
      <c r="H67" s="37" t="str">
        <f t="shared" si="4"/>
        <v>255</v>
      </c>
      <c r="I67" s="37" t="str">
        <f t="shared" si="5"/>
        <v>At Risk</v>
      </c>
    </row>
    <row r="68" ht="15.75" customHeight="1">
      <c r="A68" s="46" t="str">
        <f>'👥 Клієнти'!A67</f>
        <v>U0371</v>
      </c>
      <c r="B68" s="46">
        <f>'👥 Клієнти'!F67</f>
        <v>256</v>
      </c>
      <c r="C68" s="46">
        <f>'👥 Клієнти'!D67</f>
        <v>6</v>
      </c>
      <c r="D68" s="47">
        <f>'👥 Клієнти'!E67</f>
        <v>99.95</v>
      </c>
      <c r="E68" s="35">
        <f t="shared" si="1"/>
        <v>1</v>
      </c>
      <c r="F68" s="35">
        <f t="shared" si="2"/>
        <v>3</v>
      </c>
      <c r="G68" s="37">
        <f t="shared" si="3"/>
        <v>3</v>
      </c>
      <c r="H68" s="37" t="str">
        <f t="shared" si="4"/>
        <v>133</v>
      </c>
      <c r="I68" s="37" t="str">
        <f t="shared" si="5"/>
        <v>At Risk</v>
      </c>
    </row>
    <row r="69" ht="15.75" customHeight="1">
      <c r="A69" s="46" t="str">
        <f>'👥 Клієнти'!A68</f>
        <v>U0477</v>
      </c>
      <c r="B69" s="46">
        <f>'👥 Клієнти'!F68</f>
        <v>16</v>
      </c>
      <c r="C69" s="46">
        <f>'👥 Клієнти'!D68</f>
        <v>14</v>
      </c>
      <c r="D69" s="47">
        <f>'👥 Клієнти'!E68</f>
        <v>259.87</v>
      </c>
      <c r="E69" s="35">
        <f t="shared" si="1"/>
        <v>3</v>
      </c>
      <c r="F69" s="35">
        <f t="shared" si="2"/>
        <v>5</v>
      </c>
      <c r="G69" s="37">
        <f t="shared" si="3"/>
        <v>5</v>
      </c>
      <c r="H69" s="37" t="str">
        <f t="shared" si="4"/>
        <v>355</v>
      </c>
      <c r="I69" s="37" t="str">
        <f t="shared" si="5"/>
        <v>Loyal</v>
      </c>
    </row>
    <row r="70" ht="15.75" customHeight="1">
      <c r="A70" s="46" t="str">
        <f>'👥 Клієнти'!A69</f>
        <v>U0665</v>
      </c>
      <c r="B70" s="46">
        <f>'👥 Клієнти'!F69</f>
        <v>376</v>
      </c>
      <c r="C70" s="46">
        <f>'👥 Клієнти'!D69</f>
        <v>2</v>
      </c>
      <c r="D70" s="47">
        <f>'👥 Клієнти'!E69</f>
        <v>19.99</v>
      </c>
      <c r="E70" s="35">
        <f t="shared" si="1"/>
        <v>1</v>
      </c>
      <c r="F70" s="35">
        <f t="shared" si="2"/>
        <v>1</v>
      </c>
      <c r="G70" s="37">
        <f t="shared" si="3"/>
        <v>1</v>
      </c>
      <c r="H70" s="37" t="str">
        <f t="shared" si="4"/>
        <v>111</v>
      </c>
      <c r="I70" s="37" t="str">
        <f t="shared" si="5"/>
        <v>Lost</v>
      </c>
    </row>
    <row r="71" ht="15.75" customHeight="1">
      <c r="A71" s="46" t="str">
        <f>'👥 Клієнти'!A70</f>
        <v>U0635</v>
      </c>
      <c r="B71" s="46">
        <f>'👥 Клієнти'!F70</f>
        <v>14</v>
      </c>
      <c r="C71" s="46">
        <f>'👥 Клієнти'!D70</f>
        <v>14</v>
      </c>
      <c r="D71" s="47">
        <f>'👥 Клієнти'!E70</f>
        <v>259.87</v>
      </c>
      <c r="E71" s="35">
        <f t="shared" si="1"/>
        <v>4</v>
      </c>
      <c r="F71" s="35">
        <f t="shared" si="2"/>
        <v>5</v>
      </c>
      <c r="G71" s="37">
        <f t="shared" si="3"/>
        <v>5</v>
      </c>
      <c r="H71" s="37" t="str">
        <f t="shared" si="4"/>
        <v>455</v>
      </c>
      <c r="I71" s="37" t="str">
        <f t="shared" si="5"/>
        <v>Champions</v>
      </c>
    </row>
    <row r="72" ht="15.75" customHeight="1">
      <c r="A72" s="46" t="str">
        <f>'👥 Клієнти'!A71</f>
        <v>U0038</v>
      </c>
      <c r="B72" s="46">
        <f>'👥 Клієнти'!F71</f>
        <v>223</v>
      </c>
      <c r="C72" s="46">
        <f>'👥 Клієнти'!D71</f>
        <v>7</v>
      </c>
      <c r="D72" s="47">
        <f>'👥 Клієнти'!E71</f>
        <v>119.94</v>
      </c>
      <c r="E72" s="35">
        <f t="shared" si="1"/>
        <v>1</v>
      </c>
      <c r="F72" s="35">
        <f t="shared" si="2"/>
        <v>4</v>
      </c>
      <c r="G72" s="37">
        <f t="shared" si="3"/>
        <v>4</v>
      </c>
      <c r="H72" s="37" t="str">
        <f t="shared" si="4"/>
        <v>144</v>
      </c>
      <c r="I72" s="37" t="str">
        <f t="shared" si="5"/>
        <v>At Risk</v>
      </c>
    </row>
    <row r="73" ht="15.75" customHeight="1">
      <c r="A73" s="46" t="str">
        <f>'👥 Клієнти'!A72</f>
        <v>U0069</v>
      </c>
      <c r="B73" s="46">
        <f>'👥 Клієнти'!F72</f>
        <v>312</v>
      </c>
      <c r="C73" s="46">
        <f>'👥 Клієнти'!D72</f>
        <v>4</v>
      </c>
      <c r="D73" s="47">
        <f>'👥 Клієнти'!E72</f>
        <v>59.97</v>
      </c>
      <c r="E73" s="35">
        <f t="shared" si="1"/>
        <v>1</v>
      </c>
      <c r="F73" s="35">
        <f t="shared" si="2"/>
        <v>2</v>
      </c>
      <c r="G73" s="37">
        <f t="shared" si="3"/>
        <v>2</v>
      </c>
      <c r="H73" s="37" t="str">
        <f t="shared" si="4"/>
        <v>122</v>
      </c>
      <c r="I73" s="37" t="str">
        <f t="shared" si="5"/>
        <v>Lost</v>
      </c>
    </row>
    <row r="74" ht="15.75" customHeight="1">
      <c r="A74" s="46" t="str">
        <f>'👥 Клієнти'!A73</f>
        <v>U0587</v>
      </c>
      <c r="B74" s="46">
        <f>'👥 Клієнти'!F73</f>
        <v>312</v>
      </c>
      <c r="C74" s="46">
        <f>'👥 Клієнти'!D73</f>
        <v>4</v>
      </c>
      <c r="D74" s="47">
        <f>'👥 Клієнти'!E73</f>
        <v>59.97</v>
      </c>
      <c r="E74" s="35">
        <f t="shared" si="1"/>
        <v>1</v>
      </c>
      <c r="F74" s="35">
        <f t="shared" si="2"/>
        <v>2</v>
      </c>
      <c r="G74" s="37">
        <f t="shared" si="3"/>
        <v>2</v>
      </c>
      <c r="H74" s="37" t="str">
        <f t="shared" si="4"/>
        <v>122</v>
      </c>
      <c r="I74" s="37" t="str">
        <f t="shared" si="5"/>
        <v>Lost</v>
      </c>
    </row>
    <row r="75" ht="15.75" customHeight="1">
      <c r="A75" s="46" t="str">
        <f>'👥 Клієнти'!A74</f>
        <v>U0312</v>
      </c>
      <c r="B75" s="46">
        <f>'👥 Клієнти'!F74</f>
        <v>11</v>
      </c>
      <c r="C75" s="46">
        <f>'👥 Клієнти'!D74</f>
        <v>14</v>
      </c>
      <c r="D75" s="47">
        <f>'👥 Клієнти'!E74</f>
        <v>259.87</v>
      </c>
      <c r="E75" s="35">
        <f t="shared" si="1"/>
        <v>4</v>
      </c>
      <c r="F75" s="35">
        <f t="shared" si="2"/>
        <v>5</v>
      </c>
      <c r="G75" s="37">
        <f t="shared" si="3"/>
        <v>5</v>
      </c>
      <c r="H75" s="37" t="str">
        <f t="shared" si="4"/>
        <v>455</v>
      </c>
      <c r="I75" s="37" t="str">
        <f t="shared" si="5"/>
        <v>Champions</v>
      </c>
    </row>
    <row r="76" ht="15.75" customHeight="1">
      <c r="A76" s="46" t="str">
        <f>'👥 Клієнти'!A75</f>
        <v>U0124</v>
      </c>
      <c r="B76" s="46">
        <f>'👥 Клієнти'!F75</f>
        <v>10</v>
      </c>
      <c r="C76" s="46">
        <f>'👥 Клієнти'!D75</f>
        <v>14</v>
      </c>
      <c r="D76" s="47">
        <f>'👥 Клієнти'!E75</f>
        <v>259.87</v>
      </c>
      <c r="E76" s="35">
        <f t="shared" si="1"/>
        <v>4</v>
      </c>
      <c r="F76" s="35">
        <f t="shared" si="2"/>
        <v>5</v>
      </c>
      <c r="G76" s="37">
        <f t="shared" si="3"/>
        <v>5</v>
      </c>
      <c r="H76" s="37" t="str">
        <f t="shared" si="4"/>
        <v>455</v>
      </c>
      <c r="I76" s="37" t="str">
        <f t="shared" si="5"/>
        <v>Champions</v>
      </c>
    </row>
    <row r="77" ht="15.75" customHeight="1">
      <c r="A77" s="46" t="str">
        <f>'👥 Клієнти'!A76</f>
        <v>U0450</v>
      </c>
      <c r="B77" s="46">
        <f>'👥 Клієнти'!F76</f>
        <v>369</v>
      </c>
      <c r="C77" s="46">
        <f>'👥 Клієнти'!D76</f>
        <v>2</v>
      </c>
      <c r="D77" s="47">
        <f>'👥 Клієнти'!E76</f>
        <v>19.99</v>
      </c>
      <c r="E77" s="35">
        <f t="shared" si="1"/>
        <v>1</v>
      </c>
      <c r="F77" s="35">
        <f t="shared" si="2"/>
        <v>1</v>
      </c>
      <c r="G77" s="37">
        <f t="shared" si="3"/>
        <v>1</v>
      </c>
      <c r="H77" s="37" t="str">
        <f t="shared" si="4"/>
        <v>111</v>
      </c>
      <c r="I77" s="37" t="str">
        <f t="shared" si="5"/>
        <v>Lost</v>
      </c>
    </row>
    <row r="78" ht="15.75" customHeight="1">
      <c r="A78" s="46" t="str">
        <f>'👥 Клієнти'!A77</f>
        <v>U0100</v>
      </c>
      <c r="B78" s="46">
        <f>'👥 Клієнти'!F77</f>
        <v>8</v>
      </c>
      <c r="C78" s="46">
        <f>'👥 Клієнти'!D77</f>
        <v>14</v>
      </c>
      <c r="D78" s="47">
        <f>'👥 Клієнти'!E77</f>
        <v>259.87</v>
      </c>
      <c r="E78" s="35">
        <f t="shared" si="1"/>
        <v>4</v>
      </c>
      <c r="F78" s="35">
        <f t="shared" si="2"/>
        <v>5</v>
      </c>
      <c r="G78" s="37">
        <f t="shared" si="3"/>
        <v>5</v>
      </c>
      <c r="H78" s="37" t="str">
        <f t="shared" si="4"/>
        <v>455</v>
      </c>
      <c r="I78" s="37" t="str">
        <f t="shared" si="5"/>
        <v>Champions</v>
      </c>
    </row>
    <row r="79" ht="15.75" customHeight="1">
      <c r="A79" s="46" t="str">
        <f>'👥 Клієнти'!A78</f>
        <v>U0810</v>
      </c>
      <c r="B79" s="46">
        <f>'👥 Клієнти'!F78</f>
        <v>8</v>
      </c>
      <c r="C79" s="46">
        <f>'👥 Клієнти'!D78</f>
        <v>14</v>
      </c>
      <c r="D79" s="47">
        <f>'👥 Клієнти'!E78</f>
        <v>259.87</v>
      </c>
      <c r="E79" s="35">
        <f t="shared" si="1"/>
        <v>4</v>
      </c>
      <c r="F79" s="35">
        <f t="shared" si="2"/>
        <v>5</v>
      </c>
      <c r="G79" s="37">
        <f t="shared" si="3"/>
        <v>5</v>
      </c>
      <c r="H79" s="37" t="str">
        <f t="shared" si="4"/>
        <v>455</v>
      </c>
      <c r="I79" s="37" t="str">
        <f t="shared" si="5"/>
        <v>Champions</v>
      </c>
    </row>
    <row r="80" ht="15.75" customHeight="1">
      <c r="A80" s="46" t="str">
        <f>'👥 Клієнти'!A79</f>
        <v>U0900</v>
      </c>
      <c r="B80" s="46">
        <f>'👥 Клієнти'!F79</f>
        <v>188</v>
      </c>
      <c r="C80" s="46">
        <f>'👥 Клієнти'!D79</f>
        <v>8</v>
      </c>
      <c r="D80" s="47">
        <f>'👥 Клієнти'!E79</f>
        <v>139.93</v>
      </c>
      <c r="E80" s="35">
        <f t="shared" si="1"/>
        <v>1</v>
      </c>
      <c r="F80" s="35">
        <f t="shared" si="2"/>
        <v>4</v>
      </c>
      <c r="G80" s="37">
        <f t="shared" si="3"/>
        <v>4</v>
      </c>
      <c r="H80" s="37" t="str">
        <f t="shared" si="4"/>
        <v>144</v>
      </c>
      <c r="I80" s="37" t="str">
        <f t="shared" si="5"/>
        <v>At Risk</v>
      </c>
    </row>
    <row r="81" ht="15.75" customHeight="1">
      <c r="A81" s="46" t="str">
        <f>'👥 Клієнти'!A80</f>
        <v>U0300</v>
      </c>
      <c r="B81" s="46">
        <f>'👥 Клієнти'!F80</f>
        <v>7</v>
      </c>
      <c r="C81" s="46">
        <f>'👥 Клієнти'!D80</f>
        <v>14</v>
      </c>
      <c r="D81" s="47">
        <f>'👥 Клієнти'!E80</f>
        <v>259.87</v>
      </c>
      <c r="E81" s="35">
        <f t="shared" si="1"/>
        <v>5</v>
      </c>
      <c r="F81" s="35">
        <f t="shared" si="2"/>
        <v>5</v>
      </c>
      <c r="G81" s="37">
        <f t="shared" si="3"/>
        <v>5</v>
      </c>
      <c r="H81" s="37" t="str">
        <f t="shared" si="4"/>
        <v>555</v>
      </c>
      <c r="I81" s="37" t="str">
        <f t="shared" si="5"/>
        <v>Champions</v>
      </c>
    </row>
    <row r="82" ht="15.75" customHeight="1">
      <c r="A82" s="46" t="str">
        <f>'👥 Клієнти'!A81</f>
        <v>U0651</v>
      </c>
      <c r="B82" s="46">
        <f>'👥 Клієнти'!F81</f>
        <v>7</v>
      </c>
      <c r="C82" s="46">
        <f>'👥 Клієнти'!D81</f>
        <v>14</v>
      </c>
      <c r="D82" s="47">
        <f>'👥 Клієнти'!E81</f>
        <v>259.87</v>
      </c>
      <c r="E82" s="35">
        <f t="shared" si="1"/>
        <v>5</v>
      </c>
      <c r="F82" s="35">
        <f t="shared" si="2"/>
        <v>5</v>
      </c>
      <c r="G82" s="37">
        <f t="shared" si="3"/>
        <v>5</v>
      </c>
      <c r="H82" s="37" t="str">
        <f t="shared" si="4"/>
        <v>555</v>
      </c>
      <c r="I82" s="37" t="str">
        <f t="shared" si="5"/>
        <v>Champions</v>
      </c>
    </row>
    <row r="83" ht="15.75" customHeight="1">
      <c r="A83" s="46" t="str">
        <f>'👥 Клієнти'!A82</f>
        <v>U0078</v>
      </c>
      <c r="B83" s="46">
        <f>'👥 Клієнти'!F82</f>
        <v>365</v>
      </c>
      <c r="C83" s="46">
        <f>'👥 Клієнти'!D82</f>
        <v>2</v>
      </c>
      <c r="D83" s="47">
        <f>'👥 Клієнти'!E82</f>
        <v>19.99</v>
      </c>
      <c r="E83" s="35">
        <f t="shared" si="1"/>
        <v>1</v>
      </c>
      <c r="F83" s="35">
        <f t="shared" si="2"/>
        <v>1</v>
      </c>
      <c r="G83" s="37">
        <f t="shared" si="3"/>
        <v>1</v>
      </c>
      <c r="H83" s="37" t="str">
        <f t="shared" si="4"/>
        <v>111</v>
      </c>
      <c r="I83" s="37" t="str">
        <f t="shared" si="5"/>
        <v>Lost</v>
      </c>
    </row>
    <row r="84" ht="15.75" customHeight="1">
      <c r="A84" s="46" t="str">
        <f>'👥 Клієнти'!A83</f>
        <v>U0673</v>
      </c>
      <c r="B84" s="46">
        <f>'👥 Клієнти'!F83</f>
        <v>214</v>
      </c>
      <c r="C84" s="46">
        <f>'👥 Клієнти'!D83</f>
        <v>7</v>
      </c>
      <c r="D84" s="47">
        <f>'👥 Клієнти'!E83</f>
        <v>119.94</v>
      </c>
      <c r="E84" s="35">
        <f t="shared" si="1"/>
        <v>1</v>
      </c>
      <c r="F84" s="35">
        <f t="shared" si="2"/>
        <v>4</v>
      </c>
      <c r="G84" s="37">
        <f t="shared" si="3"/>
        <v>4</v>
      </c>
      <c r="H84" s="37" t="str">
        <f t="shared" si="4"/>
        <v>144</v>
      </c>
      <c r="I84" s="37" t="str">
        <f t="shared" si="5"/>
        <v>At Risk</v>
      </c>
    </row>
    <row r="85" ht="15.75" customHeight="1">
      <c r="A85" s="46" t="str">
        <f>'👥 Клієнти'!A84</f>
        <v>U0498</v>
      </c>
      <c r="B85" s="46">
        <f>'👥 Клієнти'!F84</f>
        <v>3</v>
      </c>
      <c r="C85" s="46">
        <f>'👥 Клієнти'!D84</f>
        <v>14</v>
      </c>
      <c r="D85" s="47">
        <f>'👥 Клієнти'!E84</f>
        <v>259.87</v>
      </c>
      <c r="E85" s="35">
        <f t="shared" si="1"/>
        <v>5</v>
      </c>
      <c r="F85" s="35">
        <f t="shared" si="2"/>
        <v>5</v>
      </c>
      <c r="G85" s="37">
        <f t="shared" si="3"/>
        <v>5</v>
      </c>
      <c r="H85" s="37" t="str">
        <f t="shared" si="4"/>
        <v>555</v>
      </c>
      <c r="I85" s="37" t="str">
        <f t="shared" si="5"/>
        <v>Champions</v>
      </c>
    </row>
    <row r="86" ht="15.75" customHeight="1">
      <c r="A86" s="46" t="str">
        <f>'👥 Клієнти'!A85</f>
        <v>U0410</v>
      </c>
      <c r="B86" s="46">
        <f>'👥 Клієнти'!F85</f>
        <v>1</v>
      </c>
      <c r="C86" s="46">
        <f>'👥 Клієнти'!D85</f>
        <v>14</v>
      </c>
      <c r="D86" s="47">
        <f>'👥 Клієнти'!E85</f>
        <v>259.87</v>
      </c>
      <c r="E86" s="35">
        <f t="shared" si="1"/>
        <v>5</v>
      </c>
      <c r="F86" s="35">
        <f t="shared" si="2"/>
        <v>5</v>
      </c>
      <c r="G86" s="37">
        <f t="shared" si="3"/>
        <v>5</v>
      </c>
      <c r="H86" s="37" t="str">
        <f t="shared" si="4"/>
        <v>555</v>
      </c>
      <c r="I86" s="37" t="str">
        <f t="shared" si="5"/>
        <v>Champions</v>
      </c>
    </row>
    <row r="87" ht="15.75" customHeight="1">
      <c r="A87" s="46" t="str">
        <f>'👥 Клієнти'!A86</f>
        <v>U0771</v>
      </c>
      <c r="B87" s="46">
        <f>'👥 Клієнти'!F86</f>
        <v>331</v>
      </c>
      <c r="C87" s="46">
        <f>'👥 Клієнти'!D86</f>
        <v>3</v>
      </c>
      <c r="D87" s="47">
        <f>'👥 Клієнти'!E86</f>
        <v>39.98</v>
      </c>
      <c r="E87" s="35">
        <f t="shared" si="1"/>
        <v>1</v>
      </c>
      <c r="F87" s="35">
        <f t="shared" si="2"/>
        <v>2</v>
      </c>
      <c r="G87" s="37">
        <f t="shared" si="3"/>
        <v>2</v>
      </c>
      <c r="H87" s="37" t="str">
        <f t="shared" si="4"/>
        <v>122</v>
      </c>
      <c r="I87" s="37" t="str">
        <f t="shared" si="5"/>
        <v>Lost</v>
      </c>
    </row>
    <row r="88" ht="15.75" customHeight="1">
      <c r="A88" s="46" t="str">
        <f>'👥 Клієнти'!A87</f>
        <v>U0110</v>
      </c>
      <c r="B88" s="46">
        <f>'👥 Клієнти'!F87</f>
        <v>28</v>
      </c>
      <c r="C88" s="46">
        <f>'👥 Клієнти'!D87</f>
        <v>13</v>
      </c>
      <c r="D88" s="47">
        <f>'👥 Клієнти'!E87</f>
        <v>239.88</v>
      </c>
      <c r="E88" s="35">
        <f t="shared" si="1"/>
        <v>2</v>
      </c>
      <c r="F88" s="35">
        <f t="shared" si="2"/>
        <v>5</v>
      </c>
      <c r="G88" s="37">
        <f t="shared" si="3"/>
        <v>5</v>
      </c>
      <c r="H88" s="37" t="str">
        <f t="shared" si="4"/>
        <v>255</v>
      </c>
      <c r="I88" s="37" t="str">
        <f t="shared" si="5"/>
        <v>At Risk</v>
      </c>
    </row>
    <row r="89" ht="15.75" customHeight="1">
      <c r="A89" s="46" t="str">
        <f>'👥 Клієнти'!A88</f>
        <v>U0423</v>
      </c>
      <c r="B89" s="46">
        <f>'👥 Клієнти'!F88</f>
        <v>358</v>
      </c>
      <c r="C89" s="46">
        <f>'👥 Клієнти'!D88</f>
        <v>2</v>
      </c>
      <c r="D89" s="47">
        <f>'👥 Клієнти'!E88</f>
        <v>19.99</v>
      </c>
      <c r="E89" s="35">
        <f t="shared" si="1"/>
        <v>1</v>
      </c>
      <c r="F89" s="35">
        <f t="shared" si="2"/>
        <v>1</v>
      </c>
      <c r="G89" s="37">
        <f t="shared" si="3"/>
        <v>1</v>
      </c>
      <c r="H89" s="37" t="str">
        <f t="shared" si="4"/>
        <v>111</v>
      </c>
      <c r="I89" s="37" t="str">
        <f t="shared" si="5"/>
        <v>Lost</v>
      </c>
    </row>
    <row r="90" ht="15.75" customHeight="1">
      <c r="A90" s="46" t="str">
        <f>'👥 Клієнти'!A89</f>
        <v>U0540</v>
      </c>
      <c r="B90" s="46">
        <f>'👥 Клієнти'!F89</f>
        <v>25</v>
      </c>
      <c r="C90" s="46">
        <f>'👥 Клієнти'!D89</f>
        <v>13</v>
      </c>
      <c r="D90" s="47">
        <f>'👥 Клієнти'!E89</f>
        <v>239.88</v>
      </c>
      <c r="E90" s="35">
        <f t="shared" si="1"/>
        <v>3</v>
      </c>
      <c r="F90" s="35">
        <f t="shared" si="2"/>
        <v>5</v>
      </c>
      <c r="G90" s="37">
        <f t="shared" si="3"/>
        <v>5</v>
      </c>
      <c r="H90" s="37" t="str">
        <f t="shared" si="4"/>
        <v>355</v>
      </c>
      <c r="I90" s="37" t="str">
        <f t="shared" si="5"/>
        <v>Loyal</v>
      </c>
    </row>
    <row r="91" ht="15.75" customHeight="1">
      <c r="A91" s="46" t="str">
        <f>'👥 Клієнти'!A90</f>
        <v>U0334</v>
      </c>
      <c r="B91" s="46">
        <f>'👥 Клієнти'!F90</f>
        <v>144</v>
      </c>
      <c r="C91" s="46">
        <f>'👥 Клієнти'!D90</f>
        <v>9</v>
      </c>
      <c r="D91" s="47">
        <f>'👥 Клієнти'!E90</f>
        <v>159.92</v>
      </c>
      <c r="E91" s="35">
        <f t="shared" si="1"/>
        <v>1</v>
      </c>
      <c r="F91" s="35">
        <f t="shared" si="2"/>
        <v>4</v>
      </c>
      <c r="G91" s="37">
        <f t="shared" si="3"/>
        <v>4</v>
      </c>
      <c r="H91" s="37" t="str">
        <f t="shared" si="4"/>
        <v>144</v>
      </c>
      <c r="I91" s="37" t="str">
        <f t="shared" si="5"/>
        <v>At Risk</v>
      </c>
    </row>
    <row r="92" ht="15.75" customHeight="1">
      <c r="A92" s="46" t="str">
        <f>'👥 Клієнти'!A91</f>
        <v>U0520</v>
      </c>
      <c r="B92" s="46">
        <f>'👥 Клієнти'!F91</f>
        <v>323</v>
      </c>
      <c r="C92" s="46">
        <f>'👥 Клієнти'!D91</f>
        <v>3</v>
      </c>
      <c r="D92" s="47">
        <f>'👥 Клієнти'!E91</f>
        <v>39.98</v>
      </c>
      <c r="E92" s="35">
        <f t="shared" si="1"/>
        <v>1</v>
      </c>
      <c r="F92" s="35">
        <f t="shared" si="2"/>
        <v>2</v>
      </c>
      <c r="G92" s="37">
        <f t="shared" si="3"/>
        <v>2</v>
      </c>
      <c r="H92" s="37" t="str">
        <f t="shared" si="4"/>
        <v>122</v>
      </c>
      <c r="I92" s="37" t="str">
        <f t="shared" si="5"/>
        <v>Lost</v>
      </c>
    </row>
    <row r="93" ht="15.75" customHeight="1">
      <c r="A93" s="46" t="str">
        <f>'👥 Клієнти'!A92</f>
        <v>U0067</v>
      </c>
      <c r="B93" s="46">
        <f>'👥 Клієнти'!F92</f>
        <v>322</v>
      </c>
      <c r="C93" s="46">
        <f>'👥 Клієнти'!D92</f>
        <v>3</v>
      </c>
      <c r="D93" s="47">
        <f>'👥 Клієнти'!E92</f>
        <v>39.98</v>
      </c>
      <c r="E93" s="35">
        <f t="shared" si="1"/>
        <v>1</v>
      </c>
      <c r="F93" s="35">
        <f t="shared" si="2"/>
        <v>2</v>
      </c>
      <c r="G93" s="37">
        <f t="shared" si="3"/>
        <v>2</v>
      </c>
      <c r="H93" s="37" t="str">
        <f t="shared" si="4"/>
        <v>122</v>
      </c>
      <c r="I93" s="37" t="str">
        <f t="shared" si="5"/>
        <v>Lost</v>
      </c>
    </row>
    <row r="94" ht="15.75" customHeight="1">
      <c r="A94" s="46" t="str">
        <f>'👥 Клієнти'!A93</f>
        <v>U0668</v>
      </c>
      <c r="B94" s="46">
        <f>'👥 Клієнти'!F93</f>
        <v>22</v>
      </c>
      <c r="C94" s="46">
        <f>'👥 Клієнти'!D93</f>
        <v>13</v>
      </c>
      <c r="D94" s="47">
        <f>'👥 Клієнти'!E93</f>
        <v>239.88</v>
      </c>
      <c r="E94" s="35">
        <f t="shared" si="1"/>
        <v>3</v>
      </c>
      <c r="F94" s="35">
        <f t="shared" si="2"/>
        <v>5</v>
      </c>
      <c r="G94" s="37">
        <f t="shared" si="3"/>
        <v>5</v>
      </c>
      <c r="H94" s="37" t="str">
        <f t="shared" si="4"/>
        <v>355</v>
      </c>
      <c r="I94" s="37" t="str">
        <f t="shared" si="5"/>
        <v>Loyal</v>
      </c>
    </row>
    <row r="95" ht="15.75" customHeight="1">
      <c r="A95" s="46" t="str">
        <f>'👥 Клієнти'!A94</f>
        <v>U0695</v>
      </c>
      <c r="B95" s="46">
        <f>'👥 Клієнти'!F94</f>
        <v>232</v>
      </c>
      <c r="C95" s="46">
        <f>'👥 Клієнти'!D94</f>
        <v>6</v>
      </c>
      <c r="D95" s="47">
        <f>'👥 Клієнти'!E94</f>
        <v>99.95</v>
      </c>
      <c r="E95" s="35">
        <f t="shared" si="1"/>
        <v>1</v>
      </c>
      <c r="F95" s="35">
        <f t="shared" si="2"/>
        <v>3</v>
      </c>
      <c r="G95" s="37">
        <f t="shared" si="3"/>
        <v>3</v>
      </c>
      <c r="H95" s="37" t="str">
        <f t="shared" si="4"/>
        <v>133</v>
      </c>
      <c r="I95" s="37" t="str">
        <f t="shared" si="5"/>
        <v>At Risk</v>
      </c>
    </row>
    <row r="96" ht="15.75" customHeight="1">
      <c r="A96" s="46" t="str">
        <f>'👥 Клієнти'!A95</f>
        <v>U0319</v>
      </c>
      <c r="B96" s="46">
        <f>'👥 Клієнти'!F95</f>
        <v>21</v>
      </c>
      <c r="C96" s="46">
        <f>'👥 Клієнти'!D95</f>
        <v>13</v>
      </c>
      <c r="D96" s="47">
        <f>'👥 Клієнти'!E95</f>
        <v>239.88</v>
      </c>
      <c r="E96" s="35">
        <f t="shared" si="1"/>
        <v>3</v>
      </c>
      <c r="F96" s="35">
        <f t="shared" si="2"/>
        <v>5</v>
      </c>
      <c r="G96" s="37">
        <f t="shared" si="3"/>
        <v>5</v>
      </c>
      <c r="H96" s="37" t="str">
        <f t="shared" si="4"/>
        <v>355</v>
      </c>
      <c r="I96" s="37" t="str">
        <f t="shared" si="5"/>
        <v>Loyal</v>
      </c>
    </row>
    <row r="97" ht="15.75" customHeight="1">
      <c r="A97" s="46" t="str">
        <f>'👥 Клієнти'!A96</f>
        <v>U0133</v>
      </c>
      <c r="B97" s="46">
        <f>'👥 Клієнти'!F96</f>
        <v>290</v>
      </c>
      <c r="C97" s="46">
        <f>'👥 Клієнти'!D96</f>
        <v>4</v>
      </c>
      <c r="D97" s="47">
        <f>'👥 Клієнти'!E96</f>
        <v>59.97</v>
      </c>
      <c r="E97" s="35">
        <f t="shared" si="1"/>
        <v>1</v>
      </c>
      <c r="F97" s="35">
        <f t="shared" si="2"/>
        <v>2</v>
      </c>
      <c r="G97" s="37">
        <f t="shared" si="3"/>
        <v>2</v>
      </c>
      <c r="H97" s="37" t="str">
        <f t="shared" si="4"/>
        <v>122</v>
      </c>
      <c r="I97" s="37" t="str">
        <f t="shared" si="5"/>
        <v>Lost</v>
      </c>
    </row>
    <row r="98" ht="15.75" customHeight="1">
      <c r="A98" s="46" t="str">
        <f>'👥 Клієнти'!A97</f>
        <v>U0755</v>
      </c>
      <c r="B98" s="46">
        <f>'👥 Клієнти'!F97</f>
        <v>19</v>
      </c>
      <c r="C98" s="46">
        <f>'👥 Клієнти'!D97</f>
        <v>13</v>
      </c>
      <c r="D98" s="47">
        <f>'👥 Клієнти'!E97</f>
        <v>239.88</v>
      </c>
      <c r="E98" s="35">
        <f t="shared" si="1"/>
        <v>3</v>
      </c>
      <c r="F98" s="35">
        <f t="shared" si="2"/>
        <v>5</v>
      </c>
      <c r="G98" s="37">
        <f t="shared" si="3"/>
        <v>5</v>
      </c>
      <c r="H98" s="37" t="str">
        <f t="shared" si="4"/>
        <v>355</v>
      </c>
      <c r="I98" s="37" t="str">
        <f t="shared" si="5"/>
        <v>Loyal</v>
      </c>
    </row>
    <row r="99" ht="15.75" customHeight="1">
      <c r="A99" s="46" t="str">
        <f>'👥 Клієнти'!A98</f>
        <v>U0791</v>
      </c>
      <c r="B99" s="46">
        <f>'👥 Клієнти'!F98</f>
        <v>18</v>
      </c>
      <c r="C99" s="46">
        <f>'👥 Клієнти'!D98</f>
        <v>13</v>
      </c>
      <c r="D99" s="47">
        <f>'👥 Клієнти'!E98</f>
        <v>239.88</v>
      </c>
      <c r="E99" s="35">
        <f t="shared" si="1"/>
        <v>3</v>
      </c>
      <c r="F99" s="35">
        <f t="shared" si="2"/>
        <v>5</v>
      </c>
      <c r="G99" s="37">
        <f t="shared" si="3"/>
        <v>5</v>
      </c>
      <c r="H99" s="37" t="str">
        <f t="shared" si="4"/>
        <v>355</v>
      </c>
      <c r="I99" s="37" t="str">
        <f t="shared" si="5"/>
        <v>Loyal</v>
      </c>
    </row>
    <row r="100" ht="15.75" customHeight="1">
      <c r="A100" s="46" t="str">
        <f>'👥 Клієнти'!A99</f>
        <v>U0577</v>
      </c>
      <c r="B100" s="46">
        <f>'👥 Клієнти'!F99</f>
        <v>316</v>
      </c>
      <c r="C100" s="46">
        <f>'👥 Клієнти'!D99</f>
        <v>3</v>
      </c>
      <c r="D100" s="47">
        <f>'👥 Клієнти'!E99</f>
        <v>39.98</v>
      </c>
      <c r="E100" s="35">
        <f t="shared" si="1"/>
        <v>1</v>
      </c>
      <c r="F100" s="35">
        <f t="shared" si="2"/>
        <v>2</v>
      </c>
      <c r="G100" s="37">
        <f t="shared" si="3"/>
        <v>2</v>
      </c>
      <c r="H100" s="37" t="str">
        <f t="shared" si="4"/>
        <v>122</v>
      </c>
      <c r="I100" s="37" t="str">
        <f t="shared" si="5"/>
        <v>Lost</v>
      </c>
    </row>
    <row r="101" ht="15.75" customHeight="1">
      <c r="A101" s="46" t="str">
        <f>'👥 Клієнти'!A100</f>
        <v>U0588</v>
      </c>
      <c r="B101" s="46">
        <f>'👥 Клієнти'!F100</f>
        <v>15</v>
      </c>
      <c r="C101" s="46">
        <f>'👥 Клієнти'!D100</f>
        <v>13</v>
      </c>
      <c r="D101" s="47">
        <f>'👥 Клієнти'!E100</f>
        <v>239.88</v>
      </c>
      <c r="E101" s="35">
        <f t="shared" si="1"/>
        <v>4</v>
      </c>
      <c r="F101" s="35">
        <f t="shared" si="2"/>
        <v>5</v>
      </c>
      <c r="G101" s="37">
        <f t="shared" si="3"/>
        <v>5</v>
      </c>
      <c r="H101" s="37" t="str">
        <f t="shared" si="4"/>
        <v>455</v>
      </c>
      <c r="I101" s="37" t="str">
        <f t="shared" si="5"/>
        <v>Champions</v>
      </c>
    </row>
    <row r="102" ht="15.75" customHeight="1">
      <c r="A102" s="46" t="str">
        <f>'👥 Клієнти'!A101</f>
        <v>U0704</v>
      </c>
      <c r="B102" s="46">
        <f>'👥 Клієнти'!F101</f>
        <v>15</v>
      </c>
      <c r="C102" s="46">
        <f>'👥 Клієнти'!D101</f>
        <v>13</v>
      </c>
      <c r="D102" s="47">
        <f>'👥 Клієнти'!E101</f>
        <v>239.88</v>
      </c>
      <c r="E102" s="35">
        <f t="shared" si="1"/>
        <v>4</v>
      </c>
      <c r="F102" s="35">
        <f t="shared" si="2"/>
        <v>5</v>
      </c>
      <c r="G102" s="37">
        <f t="shared" si="3"/>
        <v>5</v>
      </c>
      <c r="H102" s="37" t="str">
        <f t="shared" si="4"/>
        <v>455</v>
      </c>
      <c r="I102" s="37" t="str">
        <f t="shared" si="5"/>
        <v>Champions</v>
      </c>
    </row>
    <row r="103" ht="15.75" customHeight="1">
      <c r="A103" s="46" t="str">
        <f>'👥 Клієнти'!A102</f>
        <v>U0381</v>
      </c>
      <c r="B103" s="46">
        <f>'👥 Клієнти'!F102</f>
        <v>344</v>
      </c>
      <c r="C103" s="46">
        <f>'👥 Клієнти'!D102</f>
        <v>2</v>
      </c>
      <c r="D103" s="47">
        <f>'👥 Клієнти'!E102</f>
        <v>19.99</v>
      </c>
      <c r="E103" s="35">
        <f t="shared" si="1"/>
        <v>1</v>
      </c>
      <c r="F103" s="35">
        <f t="shared" si="2"/>
        <v>1</v>
      </c>
      <c r="G103" s="37">
        <f t="shared" si="3"/>
        <v>1</v>
      </c>
      <c r="H103" s="37" t="str">
        <f t="shared" si="4"/>
        <v>111</v>
      </c>
      <c r="I103" s="37" t="str">
        <f t="shared" si="5"/>
        <v>Lost</v>
      </c>
    </row>
    <row r="104" ht="15.75" customHeight="1">
      <c r="A104" s="46" t="str">
        <f>'👥 Клієнти'!A103</f>
        <v>U0557</v>
      </c>
      <c r="B104" s="46">
        <f>'👥 Клієнти'!F103</f>
        <v>14</v>
      </c>
      <c r="C104" s="46">
        <f>'👥 Клієнти'!D103</f>
        <v>13</v>
      </c>
      <c r="D104" s="47">
        <f>'👥 Клієнти'!E103</f>
        <v>239.88</v>
      </c>
      <c r="E104" s="35">
        <f t="shared" si="1"/>
        <v>4</v>
      </c>
      <c r="F104" s="35">
        <f t="shared" si="2"/>
        <v>5</v>
      </c>
      <c r="G104" s="37">
        <f t="shared" si="3"/>
        <v>5</v>
      </c>
      <c r="H104" s="37" t="str">
        <f t="shared" si="4"/>
        <v>455</v>
      </c>
      <c r="I104" s="37" t="str">
        <f t="shared" si="5"/>
        <v>Champions</v>
      </c>
    </row>
    <row r="105" ht="15.75" customHeight="1">
      <c r="A105" s="46" t="str">
        <f>'👥 Клієнти'!A104</f>
        <v>U0210</v>
      </c>
      <c r="B105" s="46">
        <f>'👥 Клієнти'!F104</f>
        <v>13</v>
      </c>
      <c r="C105" s="46">
        <f>'👥 Клієнти'!D104</f>
        <v>13</v>
      </c>
      <c r="D105" s="47">
        <f>'👥 Клієнти'!E104</f>
        <v>239.88</v>
      </c>
      <c r="E105" s="35">
        <f t="shared" si="1"/>
        <v>4</v>
      </c>
      <c r="F105" s="35">
        <f t="shared" si="2"/>
        <v>5</v>
      </c>
      <c r="G105" s="37">
        <f t="shared" si="3"/>
        <v>5</v>
      </c>
      <c r="H105" s="37" t="str">
        <f t="shared" si="4"/>
        <v>455</v>
      </c>
      <c r="I105" s="37" t="str">
        <f t="shared" si="5"/>
        <v>Champions</v>
      </c>
    </row>
    <row r="106" ht="15.75" customHeight="1">
      <c r="A106" s="46" t="str">
        <f>'👥 Клієнти'!A105</f>
        <v>U0431</v>
      </c>
      <c r="B106" s="46">
        <f>'👥 Клієнти'!F105</f>
        <v>13</v>
      </c>
      <c r="C106" s="46">
        <f>'👥 Клієнти'!D105</f>
        <v>13</v>
      </c>
      <c r="D106" s="47">
        <f>'👥 Клієнти'!E105</f>
        <v>239.88</v>
      </c>
      <c r="E106" s="35">
        <f t="shared" si="1"/>
        <v>4</v>
      </c>
      <c r="F106" s="35">
        <f t="shared" si="2"/>
        <v>5</v>
      </c>
      <c r="G106" s="37">
        <f t="shared" si="3"/>
        <v>5</v>
      </c>
      <c r="H106" s="37" t="str">
        <f t="shared" si="4"/>
        <v>455</v>
      </c>
      <c r="I106" s="37" t="str">
        <f t="shared" si="5"/>
        <v>Champions</v>
      </c>
    </row>
    <row r="107" ht="15.75" customHeight="1">
      <c r="A107" s="46" t="str">
        <f>'👥 Клієнти'!A106</f>
        <v>U0589</v>
      </c>
      <c r="B107" s="46">
        <f>'👥 Клієнти'!F106</f>
        <v>12</v>
      </c>
      <c r="C107" s="46">
        <f>'👥 Клієнти'!D106</f>
        <v>13</v>
      </c>
      <c r="D107" s="47">
        <f>'👥 Клієнти'!E106</f>
        <v>239.88</v>
      </c>
      <c r="E107" s="35">
        <f t="shared" si="1"/>
        <v>4</v>
      </c>
      <c r="F107" s="35">
        <f t="shared" si="2"/>
        <v>5</v>
      </c>
      <c r="G107" s="37">
        <f t="shared" si="3"/>
        <v>5</v>
      </c>
      <c r="H107" s="37" t="str">
        <f t="shared" si="4"/>
        <v>455</v>
      </c>
      <c r="I107" s="37" t="str">
        <f t="shared" si="5"/>
        <v>Champions</v>
      </c>
    </row>
    <row r="108" ht="15.75" customHeight="1">
      <c r="A108" s="46" t="str">
        <f>'👥 Клієнти'!A107</f>
        <v>U0727</v>
      </c>
      <c r="B108" s="46">
        <f>'👥 Клієнти'!F107</f>
        <v>189</v>
      </c>
      <c r="C108" s="46">
        <f>'👥 Клієнти'!D107</f>
        <v>7</v>
      </c>
      <c r="D108" s="47">
        <f>'👥 Клієнти'!E107</f>
        <v>119.94</v>
      </c>
      <c r="E108" s="35">
        <f t="shared" si="1"/>
        <v>1</v>
      </c>
      <c r="F108" s="35">
        <f t="shared" si="2"/>
        <v>4</v>
      </c>
      <c r="G108" s="37">
        <f t="shared" si="3"/>
        <v>4</v>
      </c>
      <c r="H108" s="37" t="str">
        <f t="shared" si="4"/>
        <v>144</v>
      </c>
      <c r="I108" s="37" t="str">
        <f t="shared" si="5"/>
        <v>At Risk</v>
      </c>
    </row>
    <row r="109" ht="15.75" customHeight="1">
      <c r="A109" s="46" t="str">
        <f>'👥 Клієнти'!A108</f>
        <v>U0802</v>
      </c>
      <c r="B109" s="46">
        <f>'👥 Клієнти'!F108</f>
        <v>9</v>
      </c>
      <c r="C109" s="46">
        <f>'👥 Клієнти'!D108</f>
        <v>13</v>
      </c>
      <c r="D109" s="47">
        <f>'👥 Клієнти'!E108</f>
        <v>239.88</v>
      </c>
      <c r="E109" s="35">
        <f t="shared" si="1"/>
        <v>4</v>
      </c>
      <c r="F109" s="35">
        <f t="shared" si="2"/>
        <v>5</v>
      </c>
      <c r="G109" s="37">
        <f t="shared" si="3"/>
        <v>5</v>
      </c>
      <c r="H109" s="37" t="str">
        <f t="shared" si="4"/>
        <v>455</v>
      </c>
      <c r="I109" s="37" t="str">
        <f t="shared" si="5"/>
        <v>Champions</v>
      </c>
    </row>
    <row r="110" ht="15.75" customHeight="1">
      <c r="A110" s="46" t="str">
        <f>'👥 Клієнти'!A109</f>
        <v>U0833</v>
      </c>
      <c r="B110" s="46">
        <f>'👥 Клієнти'!F109</f>
        <v>9</v>
      </c>
      <c r="C110" s="46">
        <f>'👥 Клієнти'!D109</f>
        <v>13</v>
      </c>
      <c r="D110" s="47">
        <f>'👥 Клієнти'!E109</f>
        <v>239.88</v>
      </c>
      <c r="E110" s="35">
        <f t="shared" si="1"/>
        <v>4</v>
      </c>
      <c r="F110" s="35">
        <f t="shared" si="2"/>
        <v>5</v>
      </c>
      <c r="G110" s="37">
        <f t="shared" si="3"/>
        <v>5</v>
      </c>
      <c r="H110" s="37" t="str">
        <f t="shared" si="4"/>
        <v>455</v>
      </c>
      <c r="I110" s="37" t="str">
        <f t="shared" si="5"/>
        <v>Champions</v>
      </c>
    </row>
    <row r="111" ht="15.75" customHeight="1">
      <c r="A111" s="46" t="str">
        <f>'👥 Клієнти'!A110</f>
        <v>U0041</v>
      </c>
      <c r="B111" s="46">
        <f>'👥 Клієнти'!F110</f>
        <v>338</v>
      </c>
      <c r="C111" s="46">
        <f>'👥 Клієнти'!D110</f>
        <v>2</v>
      </c>
      <c r="D111" s="47">
        <f>'👥 Клієнти'!E110</f>
        <v>19.99</v>
      </c>
      <c r="E111" s="35">
        <f t="shared" si="1"/>
        <v>1</v>
      </c>
      <c r="F111" s="35">
        <f t="shared" si="2"/>
        <v>1</v>
      </c>
      <c r="G111" s="37">
        <f t="shared" si="3"/>
        <v>1</v>
      </c>
      <c r="H111" s="37" t="str">
        <f t="shared" si="4"/>
        <v>111</v>
      </c>
      <c r="I111" s="37" t="str">
        <f t="shared" si="5"/>
        <v>Lost</v>
      </c>
    </row>
    <row r="112" ht="15.75" customHeight="1">
      <c r="A112" s="46" t="str">
        <f>'👥 Клієнти'!A111</f>
        <v>U0295</v>
      </c>
      <c r="B112" s="46">
        <f>'👥 Клієнти'!F111</f>
        <v>337</v>
      </c>
      <c r="C112" s="46">
        <f>'👥 Клієнти'!D111</f>
        <v>2</v>
      </c>
      <c r="D112" s="47">
        <f>'👥 Клієнти'!E111</f>
        <v>19.99</v>
      </c>
      <c r="E112" s="35">
        <f t="shared" si="1"/>
        <v>1</v>
      </c>
      <c r="F112" s="35">
        <f t="shared" si="2"/>
        <v>1</v>
      </c>
      <c r="G112" s="37">
        <f t="shared" si="3"/>
        <v>1</v>
      </c>
      <c r="H112" s="37" t="str">
        <f t="shared" si="4"/>
        <v>111</v>
      </c>
      <c r="I112" s="37" t="str">
        <f t="shared" si="5"/>
        <v>Lost</v>
      </c>
    </row>
    <row r="113" ht="15.75" customHeight="1">
      <c r="A113" s="46" t="str">
        <f>'👥 Клієнти'!A112</f>
        <v>U0761</v>
      </c>
      <c r="B113" s="46">
        <f>'👥 Клієнти'!F112</f>
        <v>7</v>
      </c>
      <c r="C113" s="46">
        <f>'👥 Клієнти'!D112</f>
        <v>13</v>
      </c>
      <c r="D113" s="47">
        <f>'👥 Клієнти'!E112</f>
        <v>239.88</v>
      </c>
      <c r="E113" s="35">
        <f t="shared" si="1"/>
        <v>5</v>
      </c>
      <c r="F113" s="35">
        <f t="shared" si="2"/>
        <v>5</v>
      </c>
      <c r="G113" s="37">
        <f t="shared" si="3"/>
        <v>5</v>
      </c>
      <c r="H113" s="37" t="str">
        <f t="shared" si="4"/>
        <v>555</v>
      </c>
      <c r="I113" s="37" t="str">
        <f t="shared" si="5"/>
        <v>Champions</v>
      </c>
    </row>
    <row r="114" ht="15.75" customHeight="1">
      <c r="A114" s="46" t="str">
        <f>'👥 Клієнти'!A113</f>
        <v>U0563</v>
      </c>
      <c r="B114" s="46">
        <f>'👥 Клієнти'!F113</f>
        <v>6</v>
      </c>
      <c r="C114" s="46">
        <f>'👥 Клієнти'!D113</f>
        <v>13</v>
      </c>
      <c r="D114" s="47">
        <f>'👥 Клієнти'!E113</f>
        <v>239.88</v>
      </c>
      <c r="E114" s="35">
        <f t="shared" si="1"/>
        <v>5</v>
      </c>
      <c r="F114" s="35">
        <f t="shared" si="2"/>
        <v>5</v>
      </c>
      <c r="G114" s="37">
        <f t="shared" si="3"/>
        <v>5</v>
      </c>
      <c r="H114" s="37" t="str">
        <f t="shared" si="4"/>
        <v>555</v>
      </c>
      <c r="I114" s="37" t="str">
        <f t="shared" si="5"/>
        <v>Champions</v>
      </c>
    </row>
    <row r="115" ht="15.75" customHeight="1">
      <c r="A115" s="46" t="str">
        <f>'👥 Клієнти'!A114</f>
        <v>U0751</v>
      </c>
      <c r="B115" s="46">
        <f>'👥 Клієнти'!F114</f>
        <v>4</v>
      </c>
      <c r="C115" s="46">
        <f>'👥 Клієнти'!D114</f>
        <v>13</v>
      </c>
      <c r="D115" s="47">
        <f>'👥 Клієнти'!E114</f>
        <v>239.88</v>
      </c>
      <c r="E115" s="35">
        <f t="shared" si="1"/>
        <v>5</v>
      </c>
      <c r="F115" s="35">
        <f t="shared" si="2"/>
        <v>5</v>
      </c>
      <c r="G115" s="37">
        <f t="shared" si="3"/>
        <v>5</v>
      </c>
      <c r="H115" s="37" t="str">
        <f t="shared" si="4"/>
        <v>555</v>
      </c>
      <c r="I115" s="37" t="str">
        <f t="shared" si="5"/>
        <v>Champions</v>
      </c>
    </row>
    <row r="116" ht="15.75" customHeight="1">
      <c r="A116" s="46" t="str">
        <f>'👥 Клієнти'!A115</f>
        <v>U0876</v>
      </c>
      <c r="B116" s="46">
        <f>'👥 Клієнти'!F115</f>
        <v>4</v>
      </c>
      <c r="C116" s="46">
        <f>'👥 Клієнти'!D115</f>
        <v>13</v>
      </c>
      <c r="D116" s="47">
        <f>'👥 Клієнти'!E115</f>
        <v>239.88</v>
      </c>
      <c r="E116" s="35">
        <f t="shared" si="1"/>
        <v>5</v>
      </c>
      <c r="F116" s="35">
        <f t="shared" si="2"/>
        <v>5</v>
      </c>
      <c r="G116" s="37">
        <f t="shared" si="3"/>
        <v>5</v>
      </c>
      <c r="H116" s="37" t="str">
        <f t="shared" si="4"/>
        <v>555</v>
      </c>
      <c r="I116" s="37" t="str">
        <f t="shared" si="5"/>
        <v>Champions</v>
      </c>
    </row>
    <row r="117" ht="15.75" customHeight="1">
      <c r="A117" s="46" t="str">
        <f>'👥 Клієнти'!A116</f>
        <v>U0091</v>
      </c>
      <c r="B117" s="46">
        <f>'👥 Клієнти'!F116</f>
        <v>3</v>
      </c>
      <c r="C117" s="46">
        <f>'👥 Клієнти'!D116</f>
        <v>13</v>
      </c>
      <c r="D117" s="47">
        <f>'👥 Клієнти'!E116</f>
        <v>239.88</v>
      </c>
      <c r="E117" s="35">
        <f t="shared" si="1"/>
        <v>5</v>
      </c>
      <c r="F117" s="35">
        <f t="shared" si="2"/>
        <v>5</v>
      </c>
      <c r="G117" s="37">
        <f t="shared" si="3"/>
        <v>5</v>
      </c>
      <c r="H117" s="37" t="str">
        <f t="shared" si="4"/>
        <v>555</v>
      </c>
      <c r="I117" s="37" t="str">
        <f t="shared" si="5"/>
        <v>Champions</v>
      </c>
    </row>
    <row r="118" ht="15.75" customHeight="1">
      <c r="A118" s="46" t="str">
        <f>'👥 Клієнти'!A117</f>
        <v>U0005</v>
      </c>
      <c r="B118" s="46">
        <f>'👥 Клієнти'!F117</f>
        <v>2</v>
      </c>
      <c r="C118" s="46">
        <f>'👥 Клієнти'!D117</f>
        <v>13</v>
      </c>
      <c r="D118" s="47">
        <f>'👥 Клієнти'!E117</f>
        <v>239.88</v>
      </c>
      <c r="E118" s="35">
        <f t="shared" si="1"/>
        <v>5</v>
      </c>
      <c r="F118" s="35">
        <f t="shared" si="2"/>
        <v>5</v>
      </c>
      <c r="G118" s="37">
        <f t="shared" si="3"/>
        <v>5</v>
      </c>
      <c r="H118" s="37" t="str">
        <f t="shared" si="4"/>
        <v>555</v>
      </c>
      <c r="I118" s="37" t="str">
        <f t="shared" si="5"/>
        <v>Champions</v>
      </c>
    </row>
    <row r="119" ht="15.75" customHeight="1">
      <c r="A119" s="46" t="str">
        <f>'👥 Клієнти'!A118</f>
        <v>U0203</v>
      </c>
      <c r="B119" s="46">
        <f>'👥 Клієнти'!F118</f>
        <v>2</v>
      </c>
      <c r="C119" s="46">
        <f>'👥 Клієнти'!D118</f>
        <v>13</v>
      </c>
      <c r="D119" s="47">
        <f>'👥 Клієнти'!E118</f>
        <v>239.88</v>
      </c>
      <c r="E119" s="35">
        <f t="shared" si="1"/>
        <v>5</v>
      </c>
      <c r="F119" s="35">
        <f t="shared" si="2"/>
        <v>5</v>
      </c>
      <c r="G119" s="37">
        <f t="shared" si="3"/>
        <v>5</v>
      </c>
      <c r="H119" s="37" t="str">
        <f t="shared" si="4"/>
        <v>555</v>
      </c>
      <c r="I119" s="37" t="str">
        <f t="shared" si="5"/>
        <v>Champions</v>
      </c>
    </row>
    <row r="120" ht="15.75" customHeight="1">
      <c r="A120" s="46" t="str">
        <f>'👥 Клієнти'!A119</f>
        <v>U0461</v>
      </c>
      <c r="B120" s="46">
        <f>'👥 Клієнти'!F119</f>
        <v>302</v>
      </c>
      <c r="C120" s="46">
        <f>'👥 Клієнти'!D119</f>
        <v>3</v>
      </c>
      <c r="D120" s="47">
        <f>'👥 Клієнти'!E119</f>
        <v>39.98</v>
      </c>
      <c r="E120" s="35">
        <f t="shared" si="1"/>
        <v>1</v>
      </c>
      <c r="F120" s="35">
        <f t="shared" si="2"/>
        <v>2</v>
      </c>
      <c r="G120" s="37">
        <f t="shared" si="3"/>
        <v>2</v>
      </c>
      <c r="H120" s="37" t="str">
        <f t="shared" si="4"/>
        <v>122</v>
      </c>
      <c r="I120" s="37" t="str">
        <f t="shared" si="5"/>
        <v>Lost</v>
      </c>
    </row>
    <row r="121" ht="15.75" customHeight="1">
      <c r="A121" s="46" t="str">
        <f>'👥 Клієнти'!A120</f>
        <v>U0590</v>
      </c>
      <c r="B121" s="46">
        <f>'👥 Клієнти'!F120</f>
        <v>2</v>
      </c>
      <c r="C121" s="46">
        <f>'👥 Клієнти'!D120</f>
        <v>13</v>
      </c>
      <c r="D121" s="47">
        <f>'👥 Клієнти'!E120</f>
        <v>239.88</v>
      </c>
      <c r="E121" s="35">
        <f t="shared" si="1"/>
        <v>5</v>
      </c>
      <c r="F121" s="35">
        <f t="shared" si="2"/>
        <v>5</v>
      </c>
      <c r="G121" s="37">
        <f t="shared" si="3"/>
        <v>5</v>
      </c>
      <c r="H121" s="37" t="str">
        <f t="shared" si="4"/>
        <v>555</v>
      </c>
      <c r="I121" s="37" t="str">
        <f t="shared" si="5"/>
        <v>Champions</v>
      </c>
    </row>
    <row r="122" ht="15.75" customHeight="1">
      <c r="A122" s="46" t="str">
        <f>'👥 Клієнти'!A121</f>
        <v>U0430</v>
      </c>
      <c r="B122" s="46">
        <f>'👥 Клієнти'!F121</f>
        <v>1</v>
      </c>
      <c r="C122" s="46">
        <f>'👥 Клієнти'!D121</f>
        <v>13</v>
      </c>
      <c r="D122" s="47">
        <f>'👥 Клієнти'!E121</f>
        <v>239.88</v>
      </c>
      <c r="E122" s="35">
        <f t="shared" si="1"/>
        <v>5</v>
      </c>
      <c r="F122" s="35">
        <f t="shared" si="2"/>
        <v>5</v>
      </c>
      <c r="G122" s="37">
        <f t="shared" si="3"/>
        <v>5</v>
      </c>
      <c r="H122" s="37" t="str">
        <f t="shared" si="4"/>
        <v>555</v>
      </c>
      <c r="I122" s="37" t="str">
        <f t="shared" si="5"/>
        <v>Champions</v>
      </c>
    </row>
    <row r="123" ht="15.75" customHeight="1">
      <c r="A123" s="46" t="str">
        <f>'👥 Клієнти'!A122</f>
        <v>U0112</v>
      </c>
      <c r="B123" s="46">
        <f>'👥 Клієнти'!F122</f>
        <v>0</v>
      </c>
      <c r="C123" s="46">
        <f>'👥 Клієнти'!D122</f>
        <v>13</v>
      </c>
      <c r="D123" s="47">
        <f>'👥 Клієнти'!E122</f>
        <v>239.88</v>
      </c>
      <c r="E123" s="35">
        <f t="shared" si="1"/>
        <v>5</v>
      </c>
      <c r="F123" s="35">
        <f t="shared" si="2"/>
        <v>5</v>
      </c>
      <c r="G123" s="37">
        <f t="shared" si="3"/>
        <v>5</v>
      </c>
      <c r="H123" s="37" t="str">
        <f t="shared" si="4"/>
        <v>555</v>
      </c>
      <c r="I123" s="37" t="str">
        <f t="shared" si="5"/>
        <v>Champions</v>
      </c>
    </row>
    <row r="124" ht="15.75" customHeight="1">
      <c r="A124" s="46" t="str">
        <f>'👥 Клієнти'!A123</f>
        <v>U0645</v>
      </c>
      <c r="B124" s="46">
        <f>'👥 Клієнти'!F123</f>
        <v>209</v>
      </c>
      <c r="C124" s="46">
        <f>'👥 Клієнти'!D123</f>
        <v>6</v>
      </c>
      <c r="D124" s="47">
        <f>'👥 Клієнти'!E123</f>
        <v>99.95</v>
      </c>
      <c r="E124" s="35">
        <f t="shared" si="1"/>
        <v>1</v>
      </c>
      <c r="F124" s="35">
        <f t="shared" si="2"/>
        <v>3</v>
      </c>
      <c r="G124" s="37">
        <f t="shared" si="3"/>
        <v>3</v>
      </c>
      <c r="H124" s="37" t="str">
        <f t="shared" si="4"/>
        <v>133</v>
      </c>
      <c r="I124" s="37" t="str">
        <f t="shared" si="5"/>
        <v>At Risk</v>
      </c>
    </row>
    <row r="125" ht="15.75" customHeight="1">
      <c r="A125" s="46" t="str">
        <f>'👥 Клієнти'!A124</f>
        <v>U0006</v>
      </c>
      <c r="B125" s="46">
        <f>'👥 Клієнти'!F124</f>
        <v>148</v>
      </c>
      <c r="C125" s="46">
        <f>'👥 Клієнти'!D124</f>
        <v>8</v>
      </c>
      <c r="D125" s="47">
        <f>'👥 Клієнти'!E124</f>
        <v>139.93</v>
      </c>
      <c r="E125" s="35">
        <f t="shared" si="1"/>
        <v>1</v>
      </c>
      <c r="F125" s="35">
        <f t="shared" si="2"/>
        <v>4</v>
      </c>
      <c r="G125" s="37">
        <f t="shared" si="3"/>
        <v>4</v>
      </c>
      <c r="H125" s="37" t="str">
        <f t="shared" si="4"/>
        <v>144</v>
      </c>
      <c r="I125" s="37" t="str">
        <f t="shared" si="5"/>
        <v>At Risk</v>
      </c>
    </row>
    <row r="126" ht="15.75" customHeight="1">
      <c r="A126" s="46" t="str">
        <f>'👥 Клієнти'!A125</f>
        <v>U0235</v>
      </c>
      <c r="B126" s="46">
        <f>'👥 Клієнти'!F125</f>
        <v>327</v>
      </c>
      <c r="C126" s="46">
        <f>'👥 Клієнти'!D125</f>
        <v>2</v>
      </c>
      <c r="D126" s="47">
        <f>'👥 Клієнти'!E125</f>
        <v>19.99</v>
      </c>
      <c r="E126" s="35">
        <f t="shared" si="1"/>
        <v>1</v>
      </c>
      <c r="F126" s="35">
        <f t="shared" si="2"/>
        <v>1</v>
      </c>
      <c r="G126" s="37">
        <f t="shared" si="3"/>
        <v>1</v>
      </c>
      <c r="H126" s="37" t="str">
        <f t="shared" si="4"/>
        <v>111</v>
      </c>
      <c r="I126" s="37" t="str">
        <f t="shared" si="5"/>
        <v>Lost</v>
      </c>
    </row>
    <row r="127" ht="15.75" customHeight="1">
      <c r="A127" s="46" t="str">
        <f>'👥 Клієнти'!A126</f>
        <v>U0690</v>
      </c>
      <c r="B127" s="46">
        <f>'👥 Клієнти'!F126</f>
        <v>327</v>
      </c>
      <c r="C127" s="46">
        <f>'👥 Клієнти'!D126</f>
        <v>2</v>
      </c>
      <c r="D127" s="47">
        <f>'👥 Клієнти'!E126</f>
        <v>19.99</v>
      </c>
      <c r="E127" s="35">
        <f t="shared" si="1"/>
        <v>1</v>
      </c>
      <c r="F127" s="35">
        <f t="shared" si="2"/>
        <v>1</v>
      </c>
      <c r="G127" s="37">
        <f t="shared" si="3"/>
        <v>1</v>
      </c>
      <c r="H127" s="37" t="str">
        <f t="shared" si="4"/>
        <v>111</v>
      </c>
      <c r="I127" s="37" t="str">
        <f t="shared" si="5"/>
        <v>Lost</v>
      </c>
    </row>
    <row r="128" ht="15.75" customHeight="1">
      <c r="A128" s="46" t="str">
        <f>'👥 Клієнти'!A127</f>
        <v>U0168</v>
      </c>
      <c r="B128" s="46">
        <f>'👥 Клієнти'!F127</f>
        <v>25</v>
      </c>
      <c r="C128" s="46">
        <f>'👥 Клієнти'!D127</f>
        <v>12</v>
      </c>
      <c r="D128" s="47">
        <f>'👥 Клієнти'!E127</f>
        <v>219.89</v>
      </c>
      <c r="E128" s="35">
        <f t="shared" si="1"/>
        <v>3</v>
      </c>
      <c r="F128" s="35">
        <f t="shared" si="2"/>
        <v>5</v>
      </c>
      <c r="G128" s="37">
        <f t="shared" si="3"/>
        <v>5</v>
      </c>
      <c r="H128" s="37" t="str">
        <f t="shared" si="4"/>
        <v>355</v>
      </c>
      <c r="I128" s="37" t="str">
        <f t="shared" si="5"/>
        <v>Loyal</v>
      </c>
    </row>
    <row r="129" ht="15.75" customHeight="1">
      <c r="A129" s="46" t="str">
        <f>'👥 Клієнти'!A128</f>
        <v>U0607</v>
      </c>
      <c r="B129" s="46">
        <f>'👥 Клієнти'!F128</f>
        <v>25</v>
      </c>
      <c r="C129" s="46">
        <f>'👥 Клієнти'!D128</f>
        <v>12</v>
      </c>
      <c r="D129" s="47">
        <f>'👥 Клієнти'!E128</f>
        <v>219.89</v>
      </c>
      <c r="E129" s="35">
        <f t="shared" si="1"/>
        <v>3</v>
      </c>
      <c r="F129" s="35">
        <f t="shared" si="2"/>
        <v>5</v>
      </c>
      <c r="G129" s="37">
        <f t="shared" si="3"/>
        <v>5</v>
      </c>
      <c r="H129" s="37" t="str">
        <f t="shared" si="4"/>
        <v>355</v>
      </c>
      <c r="I129" s="37" t="str">
        <f t="shared" si="5"/>
        <v>Loyal</v>
      </c>
    </row>
    <row r="130" ht="15.75" customHeight="1">
      <c r="A130" s="46" t="str">
        <f>'👥 Клієнти'!A129</f>
        <v>U0896</v>
      </c>
      <c r="B130" s="46">
        <f>'👥 Клієнти'!F129</f>
        <v>293</v>
      </c>
      <c r="C130" s="46">
        <f>'👥 Клієнти'!D129</f>
        <v>3</v>
      </c>
      <c r="D130" s="47">
        <f>'👥 Клієнти'!E129</f>
        <v>39.98</v>
      </c>
      <c r="E130" s="35">
        <f t="shared" si="1"/>
        <v>1</v>
      </c>
      <c r="F130" s="35">
        <f t="shared" si="2"/>
        <v>2</v>
      </c>
      <c r="G130" s="37">
        <f t="shared" si="3"/>
        <v>2</v>
      </c>
      <c r="H130" s="37" t="str">
        <f t="shared" si="4"/>
        <v>122</v>
      </c>
      <c r="I130" s="37" t="str">
        <f t="shared" si="5"/>
        <v>Lost</v>
      </c>
    </row>
    <row r="131" ht="15.75" customHeight="1">
      <c r="A131" s="46" t="str">
        <f>'👥 Клієнти'!A130</f>
        <v>U0731</v>
      </c>
      <c r="B131" s="46">
        <f>'👥 Клієнти'!F130</f>
        <v>22</v>
      </c>
      <c r="C131" s="46">
        <f>'👥 Клієнти'!D130</f>
        <v>12</v>
      </c>
      <c r="D131" s="47">
        <f>'👥 Клієнти'!E130</f>
        <v>219.89</v>
      </c>
      <c r="E131" s="35">
        <f t="shared" si="1"/>
        <v>3</v>
      </c>
      <c r="F131" s="35">
        <f t="shared" si="2"/>
        <v>5</v>
      </c>
      <c r="G131" s="37">
        <f t="shared" si="3"/>
        <v>5</v>
      </c>
      <c r="H131" s="37" t="str">
        <f t="shared" si="4"/>
        <v>355</v>
      </c>
      <c r="I131" s="37" t="str">
        <f t="shared" si="5"/>
        <v>Loyal</v>
      </c>
    </row>
    <row r="132" ht="15.75" customHeight="1">
      <c r="A132" s="46" t="str">
        <f>'👥 Клієнти'!A131</f>
        <v>U0118</v>
      </c>
      <c r="B132" s="46">
        <f>'👥 Клієнти'!F131</f>
        <v>21</v>
      </c>
      <c r="C132" s="46">
        <f>'👥 Клієнти'!D131</f>
        <v>12</v>
      </c>
      <c r="D132" s="47">
        <f>'👥 Клієнти'!E131</f>
        <v>219.89</v>
      </c>
      <c r="E132" s="35">
        <f t="shared" si="1"/>
        <v>3</v>
      </c>
      <c r="F132" s="35">
        <f t="shared" si="2"/>
        <v>5</v>
      </c>
      <c r="G132" s="37">
        <f t="shared" si="3"/>
        <v>5</v>
      </c>
      <c r="H132" s="37" t="str">
        <f t="shared" si="4"/>
        <v>355</v>
      </c>
      <c r="I132" s="37" t="str">
        <f t="shared" si="5"/>
        <v>Loyal</v>
      </c>
    </row>
    <row r="133" ht="15.75" customHeight="1">
      <c r="A133" s="46" t="str">
        <f>'👥 Клієнти'!A132</f>
        <v>U0494</v>
      </c>
      <c r="B133" s="46">
        <f>'👥 Клієнти'!F132</f>
        <v>20</v>
      </c>
      <c r="C133" s="46">
        <f>'👥 Клієнти'!D132</f>
        <v>12</v>
      </c>
      <c r="D133" s="47">
        <f>'👥 Клієнти'!E132</f>
        <v>219.89</v>
      </c>
      <c r="E133" s="35">
        <f t="shared" si="1"/>
        <v>3</v>
      </c>
      <c r="F133" s="35">
        <f t="shared" si="2"/>
        <v>5</v>
      </c>
      <c r="G133" s="37">
        <f t="shared" si="3"/>
        <v>5</v>
      </c>
      <c r="H133" s="37" t="str">
        <f t="shared" si="4"/>
        <v>355</v>
      </c>
      <c r="I133" s="37" t="str">
        <f t="shared" si="5"/>
        <v>Loyal</v>
      </c>
    </row>
    <row r="134" ht="15.75" customHeight="1">
      <c r="A134" s="46" t="str">
        <f>'👥 Клієнти'!A133</f>
        <v>U0176</v>
      </c>
      <c r="B134" s="46">
        <f>'👥 Клієнти'!F133</f>
        <v>18</v>
      </c>
      <c r="C134" s="46">
        <f>'👥 Клієнти'!D133</f>
        <v>12</v>
      </c>
      <c r="D134" s="47">
        <f>'👥 Клієнти'!E133</f>
        <v>219.89</v>
      </c>
      <c r="E134" s="35">
        <f t="shared" si="1"/>
        <v>3</v>
      </c>
      <c r="F134" s="35">
        <f t="shared" si="2"/>
        <v>5</v>
      </c>
      <c r="G134" s="37">
        <f t="shared" si="3"/>
        <v>5</v>
      </c>
      <c r="H134" s="37" t="str">
        <f t="shared" si="4"/>
        <v>355</v>
      </c>
      <c r="I134" s="37" t="str">
        <f t="shared" si="5"/>
        <v>Loyal</v>
      </c>
    </row>
    <row r="135" ht="15.75" customHeight="1">
      <c r="A135" s="46" t="str">
        <f>'👥 Клієнти'!A134</f>
        <v>U0621</v>
      </c>
      <c r="B135" s="46">
        <f>'👥 Клієнти'!F134</f>
        <v>318</v>
      </c>
      <c r="C135" s="46">
        <f>'👥 Клієнти'!D134</f>
        <v>2</v>
      </c>
      <c r="D135" s="47">
        <f>'👥 Клієнти'!E134</f>
        <v>19.99</v>
      </c>
      <c r="E135" s="35">
        <f t="shared" si="1"/>
        <v>1</v>
      </c>
      <c r="F135" s="35">
        <f t="shared" si="2"/>
        <v>1</v>
      </c>
      <c r="G135" s="37">
        <f t="shared" si="3"/>
        <v>1</v>
      </c>
      <c r="H135" s="37" t="str">
        <f t="shared" si="4"/>
        <v>111</v>
      </c>
      <c r="I135" s="37" t="str">
        <f t="shared" si="5"/>
        <v>Lost</v>
      </c>
    </row>
    <row r="136" ht="15.75" customHeight="1">
      <c r="A136" s="46" t="str">
        <f>'👥 Клієнти'!A135</f>
        <v>U0016</v>
      </c>
      <c r="B136" s="46">
        <f>'👥 Клієнти'!F135</f>
        <v>15</v>
      </c>
      <c r="C136" s="46">
        <f>'👥 Клієнти'!D135</f>
        <v>12</v>
      </c>
      <c r="D136" s="47">
        <f>'👥 Клієнти'!E135</f>
        <v>219.89</v>
      </c>
      <c r="E136" s="35">
        <f t="shared" si="1"/>
        <v>4</v>
      </c>
      <c r="F136" s="35">
        <f t="shared" si="2"/>
        <v>5</v>
      </c>
      <c r="G136" s="37">
        <f t="shared" si="3"/>
        <v>5</v>
      </c>
      <c r="H136" s="37" t="str">
        <f t="shared" si="4"/>
        <v>455</v>
      </c>
      <c r="I136" s="37" t="str">
        <f t="shared" si="5"/>
        <v>Champions</v>
      </c>
    </row>
    <row r="137" ht="15.75" customHeight="1">
      <c r="A137" s="46" t="str">
        <f>'👥 Клієнти'!A136</f>
        <v>U0388</v>
      </c>
      <c r="B137" s="46">
        <f>'👥 Клієнти'!F136</f>
        <v>255</v>
      </c>
      <c r="C137" s="46">
        <f>'👥 Клієнти'!D136</f>
        <v>4</v>
      </c>
      <c r="D137" s="47">
        <f>'👥 Клієнти'!E136</f>
        <v>59.97</v>
      </c>
      <c r="E137" s="35">
        <f t="shared" si="1"/>
        <v>1</v>
      </c>
      <c r="F137" s="35">
        <f t="shared" si="2"/>
        <v>2</v>
      </c>
      <c r="G137" s="37">
        <f t="shared" si="3"/>
        <v>2</v>
      </c>
      <c r="H137" s="37" t="str">
        <f t="shared" si="4"/>
        <v>122</v>
      </c>
      <c r="I137" s="37" t="str">
        <f t="shared" si="5"/>
        <v>Lost</v>
      </c>
    </row>
    <row r="138" ht="15.75" customHeight="1">
      <c r="A138" s="46" t="str">
        <f>'👥 Клієнти'!A137</f>
        <v>U0853</v>
      </c>
      <c r="B138" s="46">
        <f>'👥 Клієнти'!F137</f>
        <v>255</v>
      </c>
      <c r="C138" s="46">
        <f>'👥 Клієнти'!D137</f>
        <v>4</v>
      </c>
      <c r="D138" s="47">
        <f>'👥 Клієнти'!E137</f>
        <v>59.97</v>
      </c>
      <c r="E138" s="35">
        <f t="shared" si="1"/>
        <v>1</v>
      </c>
      <c r="F138" s="35">
        <f t="shared" si="2"/>
        <v>2</v>
      </c>
      <c r="G138" s="37">
        <f t="shared" si="3"/>
        <v>2</v>
      </c>
      <c r="H138" s="37" t="str">
        <f t="shared" si="4"/>
        <v>122</v>
      </c>
      <c r="I138" s="37" t="str">
        <f t="shared" si="5"/>
        <v>Lost</v>
      </c>
    </row>
    <row r="139" ht="15.75" customHeight="1">
      <c r="A139" s="46" t="str">
        <f>'👥 Клієнти'!A138</f>
        <v>U0318</v>
      </c>
      <c r="B139" s="46">
        <f>'👥 Клієнти'!F138</f>
        <v>14</v>
      </c>
      <c r="C139" s="46">
        <f>'👥 Клієнти'!D138</f>
        <v>12</v>
      </c>
      <c r="D139" s="47">
        <f>'👥 Клієнти'!E138</f>
        <v>219.89</v>
      </c>
      <c r="E139" s="35">
        <f t="shared" si="1"/>
        <v>4</v>
      </c>
      <c r="F139" s="35">
        <f t="shared" si="2"/>
        <v>5</v>
      </c>
      <c r="G139" s="37">
        <f t="shared" si="3"/>
        <v>5</v>
      </c>
      <c r="H139" s="37" t="str">
        <f t="shared" si="4"/>
        <v>455</v>
      </c>
      <c r="I139" s="37" t="str">
        <f t="shared" si="5"/>
        <v>Champions</v>
      </c>
    </row>
    <row r="140" ht="15.75" customHeight="1">
      <c r="A140" s="46" t="str">
        <f>'👥 Клієнти'!A139</f>
        <v>U0671</v>
      </c>
      <c r="B140" s="46">
        <f>'👥 Клієнти'!F139</f>
        <v>13</v>
      </c>
      <c r="C140" s="46">
        <f>'👥 Клієнти'!D139</f>
        <v>12</v>
      </c>
      <c r="D140" s="47">
        <f>'👥 Клієнти'!E139</f>
        <v>219.89</v>
      </c>
      <c r="E140" s="35">
        <f t="shared" si="1"/>
        <v>4</v>
      </c>
      <c r="F140" s="35">
        <f t="shared" si="2"/>
        <v>5</v>
      </c>
      <c r="G140" s="37">
        <f t="shared" si="3"/>
        <v>5</v>
      </c>
      <c r="H140" s="37" t="str">
        <f t="shared" si="4"/>
        <v>455</v>
      </c>
      <c r="I140" s="37" t="str">
        <f t="shared" si="5"/>
        <v>Champions</v>
      </c>
    </row>
    <row r="141" ht="15.75" customHeight="1">
      <c r="A141" s="46" t="str">
        <f>'👥 Клієнти'!A140</f>
        <v>U0506</v>
      </c>
      <c r="B141" s="46">
        <f>'👥 Клієнти'!F140</f>
        <v>312</v>
      </c>
      <c r="C141" s="46">
        <f>'👥 Клієнти'!D140</f>
        <v>2</v>
      </c>
      <c r="D141" s="47">
        <f>'👥 Клієнти'!E140</f>
        <v>19.99</v>
      </c>
      <c r="E141" s="35">
        <f t="shared" si="1"/>
        <v>1</v>
      </c>
      <c r="F141" s="35">
        <f t="shared" si="2"/>
        <v>1</v>
      </c>
      <c r="G141" s="37">
        <f t="shared" si="3"/>
        <v>1</v>
      </c>
      <c r="H141" s="37" t="str">
        <f t="shared" si="4"/>
        <v>111</v>
      </c>
      <c r="I141" s="37" t="str">
        <f t="shared" si="5"/>
        <v>Lost</v>
      </c>
    </row>
    <row r="142" ht="15.75" customHeight="1">
      <c r="A142" s="46" t="str">
        <f>'👥 Клієнти'!A141</f>
        <v>U0593</v>
      </c>
      <c r="B142" s="46">
        <f>'👥 Клієнти'!F141</f>
        <v>282</v>
      </c>
      <c r="C142" s="46">
        <f>'👥 Клієнти'!D141</f>
        <v>3</v>
      </c>
      <c r="D142" s="47">
        <f>'👥 Клієнти'!E141</f>
        <v>39.98</v>
      </c>
      <c r="E142" s="35">
        <f t="shared" si="1"/>
        <v>1</v>
      </c>
      <c r="F142" s="35">
        <f t="shared" si="2"/>
        <v>2</v>
      </c>
      <c r="G142" s="37">
        <f t="shared" si="3"/>
        <v>2</v>
      </c>
      <c r="H142" s="37" t="str">
        <f t="shared" si="4"/>
        <v>122</v>
      </c>
      <c r="I142" s="37" t="str">
        <f t="shared" si="5"/>
        <v>Lost</v>
      </c>
    </row>
    <row r="143" ht="15.75" customHeight="1">
      <c r="A143" s="46" t="str">
        <f>'👥 Клієнти'!A142</f>
        <v>U0050</v>
      </c>
      <c r="B143" s="46">
        <f>'👥 Клієнти'!F142</f>
        <v>161</v>
      </c>
      <c r="C143" s="46">
        <f>'👥 Клієнти'!D142</f>
        <v>7</v>
      </c>
      <c r="D143" s="47">
        <f>'👥 Клієнти'!E142</f>
        <v>119.94</v>
      </c>
      <c r="E143" s="35">
        <f t="shared" si="1"/>
        <v>1</v>
      </c>
      <c r="F143" s="35">
        <f t="shared" si="2"/>
        <v>4</v>
      </c>
      <c r="G143" s="37">
        <f t="shared" si="3"/>
        <v>4</v>
      </c>
      <c r="H143" s="37" t="str">
        <f t="shared" si="4"/>
        <v>144</v>
      </c>
      <c r="I143" s="37" t="str">
        <f t="shared" si="5"/>
        <v>At Risk</v>
      </c>
    </row>
    <row r="144" ht="15.75" customHeight="1">
      <c r="A144" s="46" t="str">
        <f>'👥 Клієнти'!A143</f>
        <v>U0343</v>
      </c>
      <c r="B144" s="46">
        <f>'👥 Клієнти'!F143</f>
        <v>191</v>
      </c>
      <c r="C144" s="46">
        <f>'👥 Клієнти'!D143</f>
        <v>6</v>
      </c>
      <c r="D144" s="47">
        <f>'👥 Клієнти'!E143</f>
        <v>99.95</v>
      </c>
      <c r="E144" s="35">
        <f t="shared" si="1"/>
        <v>1</v>
      </c>
      <c r="F144" s="35">
        <f t="shared" si="2"/>
        <v>3</v>
      </c>
      <c r="G144" s="37">
        <f t="shared" si="3"/>
        <v>3</v>
      </c>
      <c r="H144" s="37" t="str">
        <f t="shared" si="4"/>
        <v>133</v>
      </c>
      <c r="I144" s="37" t="str">
        <f t="shared" si="5"/>
        <v>At Risk</v>
      </c>
    </row>
    <row r="145" ht="15.75" customHeight="1">
      <c r="A145" s="46" t="str">
        <f>'👥 Клієнти'!A144</f>
        <v>U0014</v>
      </c>
      <c r="B145" s="46">
        <f>'👥 Клієнти'!F144</f>
        <v>10</v>
      </c>
      <c r="C145" s="46">
        <f>'👥 Клієнти'!D144</f>
        <v>12</v>
      </c>
      <c r="D145" s="47">
        <f>'👥 Клієнти'!E144</f>
        <v>219.89</v>
      </c>
      <c r="E145" s="35">
        <f t="shared" si="1"/>
        <v>4</v>
      </c>
      <c r="F145" s="35">
        <f t="shared" si="2"/>
        <v>5</v>
      </c>
      <c r="G145" s="37">
        <f t="shared" si="3"/>
        <v>5</v>
      </c>
      <c r="H145" s="37" t="str">
        <f t="shared" si="4"/>
        <v>455</v>
      </c>
      <c r="I145" s="37" t="str">
        <f t="shared" si="5"/>
        <v>Champions</v>
      </c>
    </row>
    <row r="146" ht="15.75" customHeight="1">
      <c r="A146" s="46" t="str">
        <f>'👥 Клієнти'!A145</f>
        <v>U0354</v>
      </c>
      <c r="B146" s="46">
        <f>'👥 Клієнти'!F145</f>
        <v>310</v>
      </c>
      <c r="C146" s="46">
        <f>'👥 Клієнти'!D145</f>
        <v>2</v>
      </c>
      <c r="D146" s="47">
        <f>'👥 Клієнти'!E145</f>
        <v>19.99</v>
      </c>
      <c r="E146" s="35">
        <f t="shared" si="1"/>
        <v>1</v>
      </c>
      <c r="F146" s="35">
        <f t="shared" si="2"/>
        <v>1</v>
      </c>
      <c r="G146" s="37">
        <f t="shared" si="3"/>
        <v>1</v>
      </c>
      <c r="H146" s="37" t="str">
        <f t="shared" si="4"/>
        <v>111</v>
      </c>
      <c r="I146" s="37" t="str">
        <f t="shared" si="5"/>
        <v>Lost</v>
      </c>
    </row>
    <row r="147" ht="15.75" customHeight="1">
      <c r="A147" s="46" t="str">
        <f>'👥 Клієнти'!A146</f>
        <v>U0562</v>
      </c>
      <c r="B147" s="46">
        <f>'👥 Клієнти'!F146</f>
        <v>220</v>
      </c>
      <c r="C147" s="46">
        <f>'👥 Клієнти'!D146</f>
        <v>5</v>
      </c>
      <c r="D147" s="47">
        <f>'👥 Клієнти'!E146</f>
        <v>79.96</v>
      </c>
      <c r="E147" s="35">
        <f t="shared" si="1"/>
        <v>1</v>
      </c>
      <c r="F147" s="35">
        <f t="shared" si="2"/>
        <v>3</v>
      </c>
      <c r="G147" s="37">
        <f t="shared" si="3"/>
        <v>3</v>
      </c>
      <c r="H147" s="37" t="str">
        <f t="shared" si="4"/>
        <v>133</v>
      </c>
      <c r="I147" s="37" t="str">
        <f t="shared" si="5"/>
        <v>At Risk</v>
      </c>
    </row>
    <row r="148" ht="15.75" customHeight="1">
      <c r="A148" s="46" t="str">
        <f>'👥 Клієнти'!A147</f>
        <v>U0603</v>
      </c>
      <c r="B148" s="46">
        <f>'👥 Клієнти'!F147</f>
        <v>10</v>
      </c>
      <c r="C148" s="46">
        <f>'👥 Клієнти'!D147</f>
        <v>12</v>
      </c>
      <c r="D148" s="47">
        <f>'👥 Клієнти'!E147</f>
        <v>219.89</v>
      </c>
      <c r="E148" s="35">
        <f t="shared" si="1"/>
        <v>4</v>
      </c>
      <c r="F148" s="35">
        <f t="shared" si="2"/>
        <v>5</v>
      </c>
      <c r="G148" s="37">
        <f t="shared" si="3"/>
        <v>5</v>
      </c>
      <c r="H148" s="37" t="str">
        <f t="shared" si="4"/>
        <v>455</v>
      </c>
      <c r="I148" s="37" t="str">
        <f t="shared" si="5"/>
        <v>Champions</v>
      </c>
    </row>
    <row r="149" ht="15.75" customHeight="1">
      <c r="A149" s="46" t="str">
        <f>'👥 Клієнти'!A148</f>
        <v>U0598</v>
      </c>
      <c r="B149" s="46">
        <f>'👥 Клієнти'!F148</f>
        <v>309</v>
      </c>
      <c r="C149" s="46">
        <f>'👥 Клієнти'!D148</f>
        <v>2</v>
      </c>
      <c r="D149" s="47">
        <f>'👥 Клієнти'!E148</f>
        <v>19.99</v>
      </c>
      <c r="E149" s="35">
        <f t="shared" si="1"/>
        <v>1</v>
      </c>
      <c r="F149" s="35">
        <f t="shared" si="2"/>
        <v>1</v>
      </c>
      <c r="G149" s="37">
        <f t="shared" si="3"/>
        <v>1</v>
      </c>
      <c r="H149" s="37" t="str">
        <f t="shared" si="4"/>
        <v>111</v>
      </c>
      <c r="I149" s="37" t="str">
        <f t="shared" si="5"/>
        <v>Lost</v>
      </c>
    </row>
    <row r="150" ht="15.75" customHeight="1">
      <c r="A150" s="46" t="str">
        <f>'👥 Клієнти'!A149</f>
        <v>U0855</v>
      </c>
      <c r="B150" s="46">
        <f>'👥 Клієнти'!F149</f>
        <v>9</v>
      </c>
      <c r="C150" s="46">
        <f>'👥 Клієнти'!D149</f>
        <v>12</v>
      </c>
      <c r="D150" s="47">
        <f>'👥 Клієнти'!E149</f>
        <v>219.89</v>
      </c>
      <c r="E150" s="35">
        <f t="shared" si="1"/>
        <v>4</v>
      </c>
      <c r="F150" s="35">
        <f t="shared" si="2"/>
        <v>5</v>
      </c>
      <c r="G150" s="37">
        <f t="shared" si="3"/>
        <v>5</v>
      </c>
      <c r="H150" s="37" t="str">
        <f t="shared" si="4"/>
        <v>455</v>
      </c>
      <c r="I150" s="37" t="str">
        <f t="shared" si="5"/>
        <v>Champions</v>
      </c>
    </row>
    <row r="151" ht="15.75" customHeight="1">
      <c r="A151" s="46" t="str">
        <f>'👥 Клієнти'!A150</f>
        <v>U0015</v>
      </c>
      <c r="B151" s="46">
        <f>'👥 Клієнти'!F150</f>
        <v>306</v>
      </c>
      <c r="C151" s="46">
        <f>'👥 Клієнти'!D150</f>
        <v>2</v>
      </c>
      <c r="D151" s="47">
        <f>'👥 Клієнти'!E150</f>
        <v>19.99</v>
      </c>
      <c r="E151" s="35">
        <f t="shared" si="1"/>
        <v>1</v>
      </c>
      <c r="F151" s="35">
        <f t="shared" si="2"/>
        <v>1</v>
      </c>
      <c r="G151" s="37">
        <f t="shared" si="3"/>
        <v>1</v>
      </c>
      <c r="H151" s="37" t="str">
        <f t="shared" si="4"/>
        <v>111</v>
      </c>
      <c r="I151" s="37" t="str">
        <f t="shared" si="5"/>
        <v>Lost</v>
      </c>
    </row>
    <row r="152" ht="15.75" customHeight="1">
      <c r="A152" s="46" t="str">
        <f>'👥 Клієнти'!A151</f>
        <v>U0834</v>
      </c>
      <c r="B152" s="46">
        <f>'👥 Клієнти'!F151</f>
        <v>6</v>
      </c>
      <c r="C152" s="46">
        <f>'👥 Клієнти'!D151</f>
        <v>12</v>
      </c>
      <c r="D152" s="47">
        <f>'👥 Клієнти'!E151</f>
        <v>219.89</v>
      </c>
      <c r="E152" s="35">
        <f t="shared" si="1"/>
        <v>5</v>
      </c>
      <c r="F152" s="35">
        <f t="shared" si="2"/>
        <v>5</v>
      </c>
      <c r="G152" s="37">
        <f t="shared" si="3"/>
        <v>5</v>
      </c>
      <c r="H152" s="37" t="str">
        <f t="shared" si="4"/>
        <v>555</v>
      </c>
      <c r="I152" s="37" t="str">
        <f t="shared" si="5"/>
        <v>Champions</v>
      </c>
    </row>
    <row r="153" ht="15.75" customHeight="1">
      <c r="A153" s="46" t="str">
        <f>'👥 Клієнти'!A152</f>
        <v>U0255</v>
      </c>
      <c r="B153" s="46">
        <f>'👥 Клієнти'!F152</f>
        <v>5</v>
      </c>
      <c r="C153" s="46">
        <f>'👥 Клієнти'!D152</f>
        <v>12</v>
      </c>
      <c r="D153" s="47">
        <f>'👥 Клієнти'!E152</f>
        <v>219.89</v>
      </c>
      <c r="E153" s="35">
        <f t="shared" si="1"/>
        <v>5</v>
      </c>
      <c r="F153" s="35">
        <f t="shared" si="2"/>
        <v>5</v>
      </c>
      <c r="G153" s="37">
        <f t="shared" si="3"/>
        <v>5</v>
      </c>
      <c r="H153" s="37" t="str">
        <f t="shared" si="4"/>
        <v>555</v>
      </c>
      <c r="I153" s="37" t="str">
        <f t="shared" si="5"/>
        <v>Champions</v>
      </c>
    </row>
    <row r="154" ht="15.75" customHeight="1">
      <c r="A154" s="46" t="str">
        <f>'👥 Клієнти'!A153</f>
        <v>U0722</v>
      </c>
      <c r="B154" s="46">
        <f>'👥 Клієнти'!F153</f>
        <v>1</v>
      </c>
      <c r="C154" s="46">
        <f>'👥 Клієнти'!D153</f>
        <v>12</v>
      </c>
      <c r="D154" s="47">
        <f>'👥 Клієнти'!E153</f>
        <v>219.89</v>
      </c>
      <c r="E154" s="35">
        <f t="shared" si="1"/>
        <v>5</v>
      </c>
      <c r="F154" s="35">
        <f t="shared" si="2"/>
        <v>5</v>
      </c>
      <c r="G154" s="37">
        <f t="shared" si="3"/>
        <v>5</v>
      </c>
      <c r="H154" s="37" t="str">
        <f t="shared" si="4"/>
        <v>555</v>
      </c>
      <c r="I154" s="37" t="str">
        <f t="shared" si="5"/>
        <v>Champions</v>
      </c>
    </row>
    <row r="155" ht="15.75" customHeight="1">
      <c r="A155" s="46" t="str">
        <f>'👥 Клієнти'!A154</f>
        <v>U0027</v>
      </c>
      <c r="B155" s="46">
        <f>'👥 Клієнти'!F154</f>
        <v>29</v>
      </c>
      <c r="C155" s="46">
        <f>'👥 Клієнти'!D154</f>
        <v>11</v>
      </c>
      <c r="D155" s="47">
        <f>'👥 Клієнти'!E154</f>
        <v>199.9</v>
      </c>
      <c r="E155" s="35">
        <f t="shared" si="1"/>
        <v>2</v>
      </c>
      <c r="F155" s="35">
        <f t="shared" si="2"/>
        <v>5</v>
      </c>
      <c r="G155" s="37">
        <f t="shared" si="3"/>
        <v>5</v>
      </c>
      <c r="H155" s="37" t="str">
        <f t="shared" si="4"/>
        <v>255</v>
      </c>
      <c r="I155" s="37" t="str">
        <f t="shared" si="5"/>
        <v>At Risk</v>
      </c>
    </row>
    <row r="156" ht="15.75" customHeight="1">
      <c r="A156" s="46" t="str">
        <f>'👥 Клієнти'!A155</f>
        <v>U0669</v>
      </c>
      <c r="B156" s="46">
        <f>'👥 Клієнти'!F155</f>
        <v>29</v>
      </c>
      <c r="C156" s="46">
        <f>'👥 Клієнти'!D155</f>
        <v>11</v>
      </c>
      <c r="D156" s="47">
        <f>'👥 Клієнти'!E155</f>
        <v>199.9</v>
      </c>
      <c r="E156" s="35">
        <f t="shared" si="1"/>
        <v>2</v>
      </c>
      <c r="F156" s="35">
        <f t="shared" si="2"/>
        <v>5</v>
      </c>
      <c r="G156" s="37">
        <f t="shared" si="3"/>
        <v>5</v>
      </c>
      <c r="H156" s="37" t="str">
        <f t="shared" si="4"/>
        <v>255</v>
      </c>
      <c r="I156" s="37" t="str">
        <f t="shared" si="5"/>
        <v>At Risk</v>
      </c>
    </row>
    <row r="157" ht="15.75" customHeight="1">
      <c r="A157" s="46" t="str">
        <f>'👥 Клієнти'!A156</f>
        <v>U0856</v>
      </c>
      <c r="B157" s="46">
        <f>'👥 Клієнти'!F156</f>
        <v>27</v>
      </c>
      <c r="C157" s="46">
        <f>'👥 Клієнти'!D156</f>
        <v>11</v>
      </c>
      <c r="D157" s="47">
        <f>'👥 Клієнти'!E156</f>
        <v>199.9</v>
      </c>
      <c r="E157" s="35">
        <f t="shared" si="1"/>
        <v>2</v>
      </c>
      <c r="F157" s="35">
        <f t="shared" si="2"/>
        <v>5</v>
      </c>
      <c r="G157" s="37">
        <f t="shared" si="3"/>
        <v>5</v>
      </c>
      <c r="H157" s="37" t="str">
        <f t="shared" si="4"/>
        <v>255</v>
      </c>
      <c r="I157" s="37" t="str">
        <f t="shared" si="5"/>
        <v>At Risk</v>
      </c>
    </row>
    <row r="158" ht="15.75" customHeight="1">
      <c r="A158" s="46" t="str">
        <f>'👥 Клієнти'!A157</f>
        <v>U0226</v>
      </c>
      <c r="B158" s="46">
        <f>'👥 Клієнти'!F157</f>
        <v>25</v>
      </c>
      <c r="C158" s="46">
        <f>'👥 Клієнти'!D157</f>
        <v>11</v>
      </c>
      <c r="D158" s="47">
        <f>'👥 Клієнти'!E157</f>
        <v>199.9</v>
      </c>
      <c r="E158" s="35">
        <f t="shared" si="1"/>
        <v>3</v>
      </c>
      <c r="F158" s="35">
        <f t="shared" si="2"/>
        <v>5</v>
      </c>
      <c r="G158" s="37">
        <f t="shared" si="3"/>
        <v>5</v>
      </c>
      <c r="H158" s="37" t="str">
        <f t="shared" si="4"/>
        <v>355</v>
      </c>
      <c r="I158" s="37" t="str">
        <f t="shared" si="5"/>
        <v>Loyal</v>
      </c>
    </row>
    <row r="159" ht="15.75" customHeight="1">
      <c r="A159" s="46" t="str">
        <f>'👥 Клієнти'!A158</f>
        <v>U0745</v>
      </c>
      <c r="B159" s="46">
        <f>'👥 Клієнти'!F158</f>
        <v>55</v>
      </c>
      <c r="C159" s="46">
        <f>'👥 Клієнти'!D158</f>
        <v>10</v>
      </c>
      <c r="D159" s="47">
        <f>'👥 Клієнти'!E158</f>
        <v>179.91</v>
      </c>
      <c r="E159" s="35">
        <f t="shared" si="1"/>
        <v>2</v>
      </c>
      <c r="F159" s="35">
        <f t="shared" si="2"/>
        <v>4</v>
      </c>
      <c r="G159" s="37">
        <f t="shared" si="3"/>
        <v>4</v>
      </c>
      <c r="H159" s="37" t="str">
        <f t="shared" si="4"/>
        <v>244</v>
      </c>
      <c r="I159" s="37" t="str">
        <f t="shared" si="5"/>
        <v>At Risk</v>
      </c>
    </row>
    <row r="160" ht="15.75" customHeight="1">
      <c r="A160" s="46" t="str">
        <f>'👥 Клієнти'!A159</f>
        <v>U0045</v>
      </c>
      <c r="B160" s="46">
        <f>'👥 Клієнти'!F159</f>
        <v>24</v>
      </c>
      <c r="C160" s="46">
        <f>'👥 Клієнти'!D159</f>
        <v>11</v>
      </c>
      <c r="D160" s="47">
        <f>'👥 Клієнти'!E159</f>
        <v>199.9</v>
      </c>
      <c r="E160" s="35">
        <f t="shared" si="1"/>
        <v>3</v>
      </c>
      <c r="F160" s="35">
        <f t="shared" si="2"/>
        <v>5</v>
      </c>
      <c r="G160" s="37">
        <f t="shared" si="3"/>
        <v>5</v>
      </c>
      <c r="H160" s="37" t="str">
        <f t="shared" si="4"/>
        <v>355</v>
      </c>
      <c r="I160" s="37" t="str">
        <f t="shared" si="5"/>
        <v>Loyal</v>
      </c>
    </row>
    <row r="161" ht="15.75" customHeight="1">
      <c r="A161" s="46" t="str">
        <f>'👥 Клієнти'!A160</f>
        <v>U0109</v>
      </c>
      <c r="B161" s="46">
        <f>'👥 Клієнти'!F160</f>
        <v>24</v>
      </c>
      <c r="C161" s="46">
        <f>'👥 Клієнти'!D160</f>
        <v>11</v>
      </c>
      <c r="D161" s="47">
        <f>'👥 Клієнти'!E160</f>
        <v>199.9</v>
      </c>
      <c r="E161" s="35">
        <f t="shared" si="1"/>
        <v>3</v>
      </c>
      <c r="F161" s="35">
        <f t="shared" si="2"/>
        <v>5</v>
      </c>
      <c r="G161" s="37">
        <f t="shared" si="3"/>
        <v>5</v>
      </c>
      <c r="H161" s="37" t="str">
        <f t="shared" si="4"/>
        <v>355</v>
      </c>
      <c r="I161" s="37" t="str">
        <f t="shared" si="5"/>
        <v>Loyal</v>
      </c>
    </row>
    <row r="162" ht="15.75" customHeight="1">
      <c r="A162" s="46" t="str">
        <f>'👥 Клієнти'!A161</f>
        <v>U0694</v>
      </c>
      <c r="B162" s="46">
        <f>'👥 Клієнти'!F161</f>
        <v>23</v>
      </c>
      <c r="C162" s="46">
        <f>'👥 Клієнти'!D161</f>
        <v>11</v>
      </c>
      <c r="D162" s="47">
        <f>'👥 Клієнти'!E161</f>
        <v>199.9</v>
      </c>
      <c r="E162" s="35">
        <f t="shared" si="1"/>
        <v>3</v>
      </c>
      <c r="F162" s="35">
        <f t="shared" si="2"/>
        <v>5</v>
      </c>
      <c r="G162" s="37">
        <f t="shared" si="3"/>
        <v>5</v>
      </c>
      <c r="H162" s="37" t="str">
        <f t="shared" si="4"/>
        <v>355</v>
      </c>
      <c r="I162" s="37" t="str">
        <f t="shared" si="5"/>
        <v>Loyal</v>
      </c>
    </row>
    <row r="163" ht="15.75" customHeight="1">
      <c r="A163" s="46" t="str">
        <f>'👥 Клієнти'!A162</f>
        <v>U0763</v>
      </c>
      <c r="B163" s="46">
        <f>'👥 Клієнти'!F162</f>
        <v>233</v>
      </c>
      <c r="C163" s="46">
        <f>'👥 Клієнти'!D162</f>
        <v>4</v>
      </c>
      <c r="D163" s="47">
        <f>'👥 Клієнти'!E162</f>
        <v>59.97</v>
      </c>
      <c r="E163" s="35">
        <f t="shared" si="1"/>
        <v>1</v>
      </c>
      <c r="F163" s="35">
        <f t="shared" si="2"/>
        <v>2</v>
      </c>
      <c r="G163" s="37">
        <f t="shared" si="3"/>
        <v>2</v>
      </c>
      <c r="H163" s="37" t="str">
        <f t="shared" si="4"/>
        <v>122</v>
      </c>
      <c r="I163" s="37" t="str">
        <f t="shared" si="5"/>
        <v>Lost</v>
      </c>
    </row>
    <row r="164" ht="15.75" customHeight="1">
      <c r="A164" s="46" t="str">
        <f>'👥 Клієнти'!A163</f>
        <v>U0586</v>
      </c>
      <c r="B164" s="46">
        <f>'👥 Клієнти'!F163</f>
        <v>22</v>
      </c>
      <c r="C164" s="46">
        <f>'👥 Клієнти'!D163</f>
        <v>11</v>
      </c>
      <c r="D164" s="47">
        <f>'👥 Клієнти'!E163</f>
        <v>199.9</v>
      </c>
      <c r="E164" s="35">
        <f t="shared" si="1"/>
        <v>3</v>
      </c>
      <c r="F164" s="35">
        <f t="shared" si="2"/>
        <v>5</v>
      </c>
      <c r="G164" s="37">
        <f t="shared" si="3"/>
        <v>5</v>
      </c>
      <c r="H164" s="37" t="str">
        <f t="shared" si="4"/>
        <v>355</v>
      </c>
      <c r="I164" s="37" t="str">
        <f t="shared" si="5"/>
        <v>Loyal</v>
      </c>
    </row>
    <row r="165" ht="15.75" customHeight="1">
      <c r="A165" s="46" t="str">
        <f>'👥 Клієнти'!A164</f>
        <v>U0682</v>
      </c>
      <c r="B165" s="46">
        <f>'👥 Клієнти'!F164</f>
        <v>230</v>
      </c>
      <c r="C165" s="46">
        <f>'👥 Клієнти'!D164</f>
        <v>4</v>
      </c>
      <c r="D165" s="47">
        <f>'👥 Клієнти'!E164</f>
        <v>59.97</v>
      </c>
      <c r="E165" s="35">
        <f t="shared" si="1"/>
        <v>1</v>
      </c>
      <c r="F165" s="35">
        <f t="shared" si="2"/>
        <v>2</v>
      </c>
      <c r="G165" s="37">
        <f t="shared" si="3"/>
        <v>2</v>
      </c>
      <c r="H165" s="37" t="str">
        <f t="shared" si="4"/>
        <v>122</v>
      </c>
      <c r="I165" s="37" t="str">
        <f t="shared" si="5"/>
        <v>Lost</v>
      </c>
    </row>
    <row r="166" ht="15.75" customHeight="1">
      <c r="A166" s="46" t="str">
        <f>'👥 Клієнти'!A165</f>
        <v>U0190</v>
      </c>
      <c r="B166" s="46">
        <f>'👥 Клієнти'!F165</f>
        <v>255</v>
      </c>
      <c r="C166" s="46">
        <f>'👥 Клієнти'!D165</f>
        <v>3</v>
      </c>
      <c r="D166" s="47">
        <f>'👥 Клієнти'!E165</f>
        <v>39.98</v>
      </c>
      <c r="E166" s="35">
        <f t="shared" si="1"/>
        <v>1</v>
      </c>
      <c r="F166" s="35">
        <f t="shared" si="2"/>
        <v>2</v>
      </c>
      <c r="G166" s="37">
        <f t="shared" si="3"/>
        <v>2</v>
      </c>
      <c r="H166" s="37" t="str">
        <f t="shared" si="4"/>
        <v>122</v>
      </c>
      <c r="I166" s="37" t="str">
        <f t="shared" si="5"/>
        <v>Lost</v>
      </c>
    </row>
    <row r="167" ht="15.75" customHeight="1">
      <c r="A167" s="46" t="str">
        <f>'👥 Клієнти'!A166</f>
        <v>U0880</v>
      </c>
      <c r="B167" s="46">
        <f>'👥 Клієнти'!F166</f>
        <v>282</v>
      </c>
      <c r="C167" s="46">
        <f>'👥 Клієнти'!D166</f>
        <v>2</v>
      </c>
      <c r="D167" s="47">
        <f>'👥 Клієнти'!E166</f>
        <v>19.99</v>
      </c>
      <c r="E167" s="35">
        <f t="shared" si="1"/>
        <v>1</v>
      </c>
      <c r="F167" s="35">
        <f t="shared" si="2"/>
        <v>1</v>
      </c>
      <c r="G167" s="37">
        <f t="shared" si="3"/>
        <v>1</v>
      </c>
      <c r="H167" s="37" t="str">
        <f t="shared" si="4"/>
        <v>111</v>
      </c>
      <c r="I167" s="37" t="str">
        <f t="shared" si="5"/>
        <v>Lost</v>
      </c>
    </row>
    <row r="168" ht="15.75" customHeight="1">
      <c r="A168" s="46" t="str">
        <f>'👥 Клієнти'!A167</f>
        <v>U0298</v>
      </c>
      <c r="B168" s="46">
        <f>'👥 Клієнти'!F167</f>
        <v>280</v>
      </c>
      <c r="C168" s="46">
        <f>'👥 Клієнти'!D167</f>
        <v>2</v>
      </c>
      <c r="D168" s="47">
        <f>'👥 Клієнти'!E167</f>
        <v>19.99</v>
      </c>
      <c r="E168" s="35">
        <f t="shared" si="1"/>
        <v>1</v>
      </c>
      <c r="F168" s="35">
        <f t="shared" si="2"/>
        <v>1</v>
      </c>
      <c r="G168" s="37">
        <f t="shared" si="3"/>
        <v>1</v>
      </c>
      <c r="H168" s="37" t="str">
        <f t="shared" si="4"/>
        <v>111</v>
      </c>
      <c r="I168" s="37" t="str">
        <f t="shared" si="5"/>
        <v>Lost</v>
      </c>
    </row>
    <row r="169" ht="15.75" customHeight="1">
      <c r="A169" s="46" t="str">
        <f>'👥 Клієнти'!A168</f>
        <v>U0330</v>
      </c>
      <c r="B169" s="46">
        <f>'👥 Клієнти'!F168</f>
        <v>10</v>
      </c>
      <c r="C169" s="46">
        <f>'👥 Клієнти'!D168</f>
        <v>11</v>
      </c>
      <c r="D169" s="47">
        <f>'👥 Клієнти'!E168</f>
        <v>199.9</v>
      </c>
      <c r="E169" s="35">
        <f t="shared" si="1"/>
        <v>4</v>
      </c>
      <c r="F169" s="35">
        <f t="shared" si="2"/>
        <v>5</v>
      </c>
      <c r="G169" s="37">
        <f t="shared" si="3"/>
        <v>5</v>
      </c>
      <c r="H169" s="37" t="str">
        <f t="shared" si="4"/>
        <v>455</v>
      </c>
      <c r="I169" s="37" t="str">
        <f t="shared" si="5"/>
        <v>Champions</v>
      </c>
    </row>
    <row r="170" ht="15.75" customHeight="1">
      <c r="A170" s="46" t="str">
        <f>'👥 Клієнти'!A169</f>
        <v>U0214</v>
      </c>
      <c r="B170" s="46">
        <f>'👥 Клієнти'!F169</f>
        <v>9</v>
      </c>
      <c r="C170" s="46">
        <f>'👥 Клієнти'!D169</f>
        <v>11</v>
      </c>
      <c r="D170" s="47">
        <f>'👥 Клієнти'!E169</f>
        <v>199.9</v>
      </c>
      <c r="E170" s="35">
        <f t="shared" si="1"/>
        <v>4</v>
      </c>
      <c r="F170" s="35">
        <f t="shared" si="2"/>
        <v>5</v>
      </c>
      <c r="G170" s="37">
        <f t="shared" si="3"/>
        <v>5</v>
      </c>
      <c r="H170" s="37" t="str">
        <f t="shared" si="4"/>
        <v>455</v>
      </c>
      <c r="I170" s="37" t="str">
        <f t="shared" si="5"/>
        <v>Champions</v>
      </c>
    </row>
    <row r="171" ht="15.75" customHeight="1">
      <c r="A171" s="46" t="str">
        <f>'👥 Клієнти'!A170</f>
        <v>U0320</v>
      </c>
      <c r="B171" s="46">
        <f>'👥 Клієнти'!F170</f>
        <v>248</v>
      </c>
      <c r="C171" s="46">
        <f>'👥 Клієнти'!D170</f>
        <v>3</v>
      </c>
      <c r="D171" s="47">
        <f>'👥 Клієнти'!E170</f>
        <v>39.98</v>
      </c>
      <c r="E171" s="35">
        <f t="shared" si="1"/>
        <v>1</v>
      </c>
      <c r="F171" s="35">
        <f t="shared" si="2"/>
        <v>2</v>
      </c>
      <c r="G171" s="37">
        <f t="shared" si="3"/>
        <v>2</v>
      </c>
      <c r="H171" s="37" t="str">
        <f t="shared" si="4"/>
        <v>122</v>
      </c>
      <c r="I171" s="37" t="str">
        <f t="shared" si="5"/>
        <v>Lost</v>
      </c>
    </row>
    <row r="172" ht="15.75" customHeight="1">
      <c r="A172" s="46" t="str">
        <f>'👥 Клієнти'!A171</f>
        <v>U0888</v>
      </c>
      <c r="B172" s="46">
        <f>'👥 Клієнти'!F171</f>
        <v>7</v>
      </c>
      <c r="C172" s="46">
        <f>'👥 Клієнти'!D171</f>
        <v>11</v>
      </c>
      <c r="D172" s="47">
        <f>'👥 Клієнти'!E171</f>
        <v>199.9</v>
      </c>
      <c r="E172" s="35">
        <f t="shared" si="1"/>
        <v>5</v>
      </c>
      <c r="F172" s="35">
        <f t="shared" si="2"/>
        <v>5</v>
      </c>
      <c r="G172" s="37">
        <f t="shared" si="3"/>
        <v>5</v>
      </c>
      <c r="H172" s="37" t="str">
        <f t="shared" si="4"/>
        <v>555</v>
      </c>
      <c r="I172" s="37" t="str">
        <f t="shared" si="5"/>
        <v>Champions</v>
      </c>
    </row>
    <row r="173" ht="15.75" customHeight="1">
      <c r="A173" s="46" t="str">
        <f>'👥 Клієнти'!A172</f>
        <v>U0709</v>
      </c>
      <c r="B173" s="46">
        <f>'👥 Клієнти'!F172</f>
        <v>275</v>
      </c>
      <c r="C173" s="46">
        <f>'👥 Клієнти'!D172</f>
        <v>2</v>
      </c>
      <c r="D173" s="47">
        <f>'👥 Клієнти'!E172</f>
        <v>19.99</v>
      </c>
      <c r="E173" s="35">
        <f t="shared" si="1"/>
        <v>1</v>
      </c>
      <c r="F173" s="35">
        <f t="shared" si="2"/>
        <v>1</v>
      </c>
      <c r="G173" s="37">
        <f t="shared" si="3"/>
        <v>1</v>
      </c>
      <c r="H173" s="37" t="str">
        <f t="shared" si="4"/>
        <v>111</v>
      </c>
      <c r="I173" s="37" t="str">
        <f t="shared" si="5"/>
        <v>Lost</v>
      </c>
    </row>
    <row r="174" ht="15.75" customHeight="1">
      <c r="A174" s="46" t="str">
        <f>'👥 Клієнти'!A173</f>
        <v>U0538</v>
      </c>
      <c r="B174" s="46">
        <f>'👥 Клієнти'!F173</f>
        <v>214</v>
      </c>
      <c r="C174" s="46">
        <f>'👥 Клієнти'!D173</f>
        <v>4</v>
      </c>
      <c r="D174" s="47">
        <f>'👥 Клієнти'!E173</f>
        <v>59.97</v>
      </c>
      <c r="E174" s="35">
        <f t="shared" si="1"/>
        <v>1</v>
      </c>
      <c r="F174" s="35">
        <f t="shared" si="2"/>
        <v>2</v>
      </c>
      <c r="G174" s="37">
        <f t="shared" si="3"/>
        <v>2</v>
      </c>
      <c r="H174" s="37" t="str">
        <f t="shared" si="4"/>
        <v>122</v>
      </c>
      <c r="I174" s="37" t="str">
        <f t="shared" si="5"/>
        <v>Lost</v>
      </c>
    </row>
    <row r="175" ht="15.75" customHeight="1">
      <c r="A175" s="46" t="str">
        <f>'👥 Клієнти'!A174</f>
        <v>U0543</v>
      </c>
      <c r="B175" s="46">
        <f>'👥 Клієнти'!F174</f>
        <v>274</v>
      </c>
      <c r="C175" s="46">
        <f>'👥 Клієнти'!D174</f>
        <v>2</v>
      </c>
      <c r="D175" s="47">
        <f>'👥 Клієнти'!E174</f>
        <v>19.99</v>
      </c>
      <c r="E175" s="35">
        <f t="shared" si="1"/>
        <v>1</v>
      </c>
      <c r="F175" s="35">
        <f t="shared" si="2"/>
        <v>1</v>
      </c>
      <c r="G175" s="37">
        <f t="shared" si="3"/>
        <v>1</v>
      </c>
      <c r="H175" s="37" t="str">
        <f t="shared" si="4"/>
        <v>111</v>
      </c>
      <c r="I175" s="37" t="str">
        <f t="shared" si="5"/>
        <v>Lost</v>
      </c>
    </row>
    <row r="176" ht="15.75" customHeight="1">
      <c r="A176" s="46" t="str">
        <f>'👥 Клієнти'!A175</f>
        <v>U0872</v>
      </c>
      <c r="B176" s="46">
        <f>'👥 Клієнти'!F175</f>
        <v>4</v>
      </c>
      <c r="C176" s="46">
        <f>'👥 Клієнти'!D175</f>
        <v>11</v>
      </c>
      <c r="D176" s="47">
        <f>'👥 Клієнти'!E175</f>
        <v>199.9</v>
      </c>
      <c r="E176" s="35">
        <f t="shared" si="1"/>
        <v>5</v>
      </c>
      <c r="F176" s="35">
        <f t="shared" si="2"/>
        <v>5</v>
      </c>
      <c r="G176" s="37">
        <f t="shared" si="3"/>
        <v>5</v>
      </c>
      <c r="H176" s="37" t="str">
        <f t="shared" si="4"/>
        <v>555</v>
      </c>
      <c r="I176" s="37" t="str">
        <f t="shared" si="5"/>
        <v>Champions</v>
      </c>
    </row>
    <row r="177" ht="15.75" customHeight="1">
      <c r="A177" s="46" t="str">
        <f>'👥 Клієнти'!A176</f>
        <v>U0062</v>
      </c>
      <c r="B177" s="46">
        <f>'👥 Клієнти'!F176</f>
        <v>3</v>
      </c>
      <c r="C177" s="46">
        <f>'👥 Клієнти'!D176</f>
        <v>11</v>
      </c>
      <c r="D177" s="47">
        <f>'👥 Клієнти'!E176</f>
        <v>199.9</v>
      </c>
      <c r="E177" s="35">
        <f t="shared" si="1"/>
        <v>5</v>
      </c>
      <c r="F177" s="35">
        <f t="shared" si="2"/>
        <v>5</v>
      </c>
      <c r="G177" s="37">
        <f t="shared" si="3"/>
        <v>5</v>
      </c>
      <c r="H177" s="37" t="str">
        <f t="shared" si="4"/>
        <v>555</v>
      </c>
      <c r="I177" s="37" t="str">
        <f t="shared" si="5"/>
        <v>Champions</v>
      </c>
    </row>
    <row r="178" ht="15.75" customHeight="1">
      <c r="A178" s="46" t="str">
        <f>'👥 Клієнти'!A177</f>
        <v>U0106</v>
      </c>
      <c r="B178" s="46">
        <f>'👥 Клієнти'!F177</f>
        <v>3</v>
      </c>
      <c r="C178" s="46">
        <f>'👥 Клієнти'!D177</f>
        <v>11</v>
      </c>
      <c r="D178" s="47">
        <f>'👥 Клієнти'!E177</f>
        <v>199.9</v>
      </c>
      <c r="E178" s="35">
        <f t="shared" si="1"/>
        <v>5</v>
      </c>
      <c r="F178" s="35">
        <f t="shared" si="2"/>
        <v>5</v>
      </c>
      <c r="G178" s="37">
        <f t="shared" si="3"/>
        <v>5</v>
      </c>
      <c r="H178" s="37" t="str">
        <f t="shared" si="4"/>
        <v>555</v>
      </c>
      <c r="I178" s="37" t="str">
        <f t="shared" si="5"/>
        <v>Champions</v>
      </c>
    </row>
    <row r="179" ht="15.75" customHeight="1">
      <c r="A179" s="46" t="str">
        <f>'👥 Клієнти'!A178</f>
        <v>U0225</v>
      </c>
      <c r="B179" s="46">
        <f>'👥 Клієнти'!F178</f>
        <v>3</v>
      </c>
      <c r="C179" s="46">
        <f>'👥 Клієнти'!D178</f>
        <v>11</v>
      </c>
      <c r="D179" s="47">
        <f>'👥 Клієнти'!E178</f>
        <v>199.9</v>
      </c>
      <c r="E179" s="35">
        <f t="shared" si="1"/>
        <v>5</v>
      </c>
      <c r="F179" s="35">
        <f t="shared" si="2"/>
        <v>5</v>
      </c>
      <c r="G179" s="37">
        <f t="shared" si="3"/>
        <v>5</v>
      </c>
      <c r="H179" s="37" t="str">
        <f t="shared" si="4"/>
        <v>555</v>
      </c>
      <c r="I179" s="37" t="str">
        <f t="shared" si="5"/>
        <v>Champions</v>
      </c>
    </row>
    <row r="180" ht="15.75" customHeight="1">
      <c r="A180" s="46" t="str">
        <f>'👥 Клієнти'!A179</f>
        <v>U0159</v>
      </c>
      <c r="B180" s="46">
        <f>'👥 Клієнти'!F179</f>
        <v>0</v>
      </c>
      <c r="C180" s="46">
        <f>'👥 Клієнти'!D179</f>
        <v>11</v>
      </c>
      <c r="D180" s="47">
        <f>'👥 Клієнти'!E179</f>
        <v>199.9</v>
      </c>
      <c r="E180" s="35">
        <f t="shared" si="1"/>
        <v>5</v>
      </c>
      <c r="F180" s="35">
        <f t="shared" si="2"/>
        <v>5</v>
      </c>
      <c r="G180" s="37">
        <f t="shared" si="3"/>
        <v>5</v>
      </c>
      <c r="H180" s="37" t="str">
        <f t="shared" si="4"/>
        <v>555</v>
      </c>
      <c r="I180" s="37" t="str">
        <f t="shared" si="5"/>
        <v>Champions</v>
      </c>
    </row>
    <row r="181" ht="15.75" customHeight="1">
      <c r="A181" s="46" t="str">
        <f>'👥 Клієнти'!A180</f>
        <v>U0667</v>
      </c>
      <c r="B181" s="46">
        <f>'👥 Клієнти'!F180</f>
        <v>0</v>
      </c>
      <c r="C181" s="46">
        <f>'👥 Клієнти'!D180</f>
        <v>11</v>
      </c>
      <c r="D181" s="47">
        <f>'👥 Клієнти'!E180</f>
        <v>199.9</v>
      </c>
      <c r="E181" s="35">
        <f t="shared" si="1"/>
        <v>5</v>
      </c>
      <c r="F181" s="35">
        <f t="shared" si="2"/>
        <v>5</v>
      </c>
      <c r="G181" s="37">
        <f t="shared" si="3"/>
        <v>5</v>
      </c>
      <c r="H181" s="37" t="str">
        <f t="shared" si="4"/>
        <v>555</v>
      </c>
      <c r="I181" s="37" t="str">
        <f t="shared" si="5"/>
        <v>Champions</v>
      </c>
    </row>
    <row r="182" ht="15.75" customHeight="1">
      <c r="A182" s="46" t="str">
        <f>'👥 Клієнти'!A181</f>
        <v>U0831</v>
      </c>
      <c r="B182" s="46">
        <f>'👥 Клієнти'!F181</f>
        <v>179</v>
      </c>
      <c r="C182" s="46">
        <f>'👥 Клієнти'!D181</f>
        <v>5</v>
      </c>
      <c r="D182" s="47">
        <f>'👥 Клієнти'!E181</f>
        <v>79.96</v>
      </c>
      <c r="E182" s="35">
        <f t="shared" si="1"/>
        <v>1</v>
      </c>
      <c r="F182" s="35">
        <f t="shared" si="2"/>
        <v>3</v>
      </c>
      <c r="G182" s="37">
        <f t="shared" si="3"/>
        <v>3</v>
      </c>
      <c r="H182" s="37" t="str">
        <f t="shared" si="4"/>
        <v>133</v>
      </c>
      <c r="I182" s="37" t="str">
        <f t="shared" si="5"/>
        <v>At Risk</v>
      </c>
    </row>
    <row r="183" ht="15.75" customHeight="1">
      <c r="A183" s="46" t="str">
        <f>'👥 Клієнти'!A182</f>
        <v>U0890</v>
      </c>
      <c r="B183" s="46">
        <f>'👥 Клієнти'!F182</f>
        <v>29</v>
      </c>
      <c r="C183" s="46">
        <f>'👥 Клієнти'!D182</f>
        <v>10</v>
      </c>
      <c r="D183" s="47">
        <f>'👥 Клієнти'!E182</f>
        <v>179.91</v>
      </c>
      <c r="E183" s="35">
        <f t="shared" si="1"/>
        <v>2</v>
      </c>
      <c r="F183" s="35">
        <f t="shared" si="2"/>
        <v>4</v>
      </c>
      <c r="G183" s="37">
        <f t="shared" si="3"/>
        <v>4</v>
      </c>
      <c r="H183" s="37" t="str">
        <f t="shared" si="4"/>
        <v>244</v>
      </c>
      <c r="I183" s="37" t="str">
        <f t="shared" si="5"/>
        <v>At Risk</v>
      </c>
    </row>
    <row r="184" ht="15.75" customHeight="1">
      <c r="A184" s="46" t="str">
        <f>'👥 Клієнти'!A183</f>
        <v>U0132</v>
      </c>
      <c r="B184" s="46">
        <f>'👥 Клієнти'!F183</f>
        <v>267</v>
      </c>
      <c r="C184" s="46">
        <f>'👥 Клієнти'!D183</f>
        <v>2</v>
      </c>
      <c r="D184" s="47">
        <f>'👥 Клієнти'!E183</f>
        <v>19.99</v>
      </c>
      <c r="E184" s="35">
        <f t="shared" si="1"/>
        <v>1</v>
      </c>
      <c r="F184" s="35">
        <f t="shared" si="2"/>
        <v>1</v>
      </c>
      <c r="G184" s="37">
        <f t="shared" si="3"/>
        <v>1</v>
      </c>
      <c r="H184" s="37" t="str">
        <f t="shared" si="4"/>
        <v>111</v>
      </c>
      <c r="I184" s="37" t="str">
        <f t="shared" si="5"/>
        <v>Lost</v>
      </c>
    </row>
    <row r="185" ht="15.75" customHeight="1">
      <c r="A185" s="46" t="str">
        <f>'👥 Клієнти'!A184</f>
        <v>U0145</v>
      </c>
      <c r="B185" s="46">
        <f>'👥 Клієнти'!F184</f>
        <v>24</v>
      </c>
      <c r="C185" s="46">
        <f>'👥 Клієнти'!D184</f>
        <v>10</v>
      </c>
      <c r="D185" s="47">
        <f>'👥 Клієнти'!E184</f>
        <v>179.91</v>
      </c>
      <c r="E185" s="35">
        <f t="shared" si="1"/>
        <v>3</v>
      </c>
      <c r="F185" s="35">
        <f t="shared" si="2"/>
        <v>4</v>
      </c>
      <c r="G185" s="37">
        <f t="shared" si="3"/>
        <v>4</v>
      </c>
      <c r="H185" s="37" t="str">
        <f t="shared" si="4"/>
        <v>344</v>
      </c>
      <c r="I185" s="37" t="str">
        <f t="shared" si="5"/>
        <v>Loyal</v>
      </c>
    </row>
    <row r="186" ht="15.75" customHeight="1">
      <c r="A186" s="46" t="str">
        <f>'👥 Клієнти'!A185</f>
        <v>U0237</v>
      </c>
      <c r="B186" s="46">
        <f>'👥 Клієнти'!F185</f>
        <v>23</v>
      </c>
      <c r="C186" s="46">
        <f>'👥 Клієнти'!D185</f>
        <v>10</v>
      </c>
      <c r="D186" s="47">
        <f>'👥 Клієнти'!E185</f>
        <v>179.91</v>
      </c>
      <c r="E186" s="35">
        <f t="shared" si="1"/>
        <v>3</v>
      </c>
      <c r="F186" s="35">
        <f t="shared" si="2"/>
        <v>4</v>
      </c>
      <c r="G186" s="37">
        <f t="shared" si="3"/>
        <v>4</v>
      </c>
      <c r="H186" s="37" t="str">
        <f t="shared" si="4"/>
        <v>344</v>
      </c>
      <c r="I186" s="37" t="str">
        <f t="shared" si="5"/>
        <v>Loyal</v>
      </c>
    </row>
    <row r="187" ht="15.75" customHeight="1">
      <c r="A187" s="46" t="str">
        <f>'👥 Клієнти'!A186</f>
        <v>U0584</v>
      </c>
      <c r="B187" s="46">
        <f>'👥 Клієнти'!F186</f>
        <v>113</v>
      </c>
      <c r="C187" s="46">
        <f>'👥 Клієнти'!D186</f>
        <v>7</v>
      </c>
      <c r="D187" s="47">
        <f>'👥 Клієнти'!E186</f>
        <v>119.94</v>
      </c>
      <c r="E187" s="35">
        <f t="shared" si="1"/>
        <v>2</v>
      </c>
      <c r="F187" s="35">
        <f t="shared" si="2"/>
        <v>4</v>
      </c>
      <c r="G187" s="37">
        <f t="shared" si="3"/>
        <v>4</v>
      </c>
      <c r="H187" s="37" t="str">
        <f t="shared" si="4"/>
        <v>244</v>
      </c>
      <c r="I187" s="37" t="str">
        <f t="shared" si="5"/>
        <v>At Risk</v>
      </c>
    </row>
    <row r="188" ht="15.75" customHeight="1">
      <c r="A188" s="46" t="str">
        <f>'👥 Клієнти'!A187</f>
        <v>U0023</v>
      </c>
      <c r="B188" s="46">
        <f>'👥 Клієнти'!F187</f>
        <v>22</v>
      </c>
      <c r="C188" s="46">
        <f>'👥 Клієнти'!D187</f>
        <v>10</v>
      </c>
      <c r="D188" s="47">
        <f>'👥 Клієнти'!E187</f>
        <v>179.91</v>
      </c>
      <c r="E188" s="35">
        <f t="shared" si="1"/>
        <v>3</v>
      </c>
      <c r="F188" s="35">
        <f t="shared" si="2"/>
        <v>4</v>
      </c>
      <c r="G188" s="37">
        <f t="shared" si="3"/>
        <v>4</v>
      </c>
      <c r="H188" s="37" t="str">
        <f t="shared" si="4"/>
        <v>344</v>
      </c>
      <c r="I188" s="37" t="str">
        <f t="shared" si="5"/>
        <v>Loyal</v>
      </c>
    </row>
    <row r="189" ht="15.75" customHeight="1">
      <c r="A189" s="46" t="str">
        <f>'👥 Клієнти'!A188</f>
        <v>U0017</v>
      </c>
      <c r="B189" s="46">
        <f>'👥 Клієнти'!F188</f>
        <v>21</v>
      </c>
      <c r="C189" s="46">
        <f>'👥 Клієнти'!D188</f>
        <v>10</v>
      </c>
      <c r="D189" s="47">
        <f>'👥 Клієнти'!E188</f>
        <v>179.91</v>
      </c>
      <c r="E189" s="35">
        <f t="shared" si="1"/>
        <v>3</v>
      </c>
      <c r="F189" s="35">
        <f t="shared" si="2"/>
        <v>4</v>
      </c>
      <c r="G189" s="37">
        <f t="shared" si="3"/>
        <v>4</v>
      </c>
      <c r="H189" s="37" t="str">
        <f t="shared" si="4"/>
        <v>344</v>
      </c>
      <c r="I189" s="37" t="str">
        <f t="shared" si="5"/>
        <v>Loyal</v>
      </c>
    </row>
    <row r="190" ht="15.75" customHeight="1">
      <c r="A190" s="46" t="str">
        <f>'👥 Клієнти'!A189</f>
        <v>U0150</v>
      </c>
      <c r="B190" s="46">
        <f>'👥 Клієнти'!F189</f>
        <v>259</v>
      </c>
      <c r="C190" s="46">
        <f>'👥 Клієнти'!D189</f>
        <v>2</v>
      </c>
      <c r="D190" s="47">
        <f>'👥 Клієнти'!E189</f>
        <v>19.99</v>
      </c>
      <c r="E190" s="35">
        <f t="shared" si="1"/>
        <v>1</v>
      </c>
      <c r="F190" s="35">
        <f t="shared" si="2"/>
        <v>1</v>
      </c>
      <c r="G190" s="37">
        <f t="shared" si="3"/>
        <v>1</v>
      </c>
      <c r="H190" s="37" t="str">
        <f t="shared" si="4"/>
        <v>111</v>
      </c>
      <c r="I190" s="37" t="str">
        <f t="shared" si="5"/>
        <v>Lost</v>
      </c>
    </row>
    <row r="191" ht="15.75" customHeight="1">
      <c r="A191" s="46" t="str">
        <f>'👥 Клієнти'!A190</f>
        <v>U0308</v>
      </c>
      <c r="B191" s="46">
        <f>'👥 Клієнти'!F190</f>
        <v>18</v>
      </c>
      <c r="C191" s="46">
        <f>'👥 Клієнти'!D190</f>
        <v>10</v>
      </c>
      <c r="D191" s="47">
        <f>'👥 Клієнти'!E190</f>
        <v>179.91</v>
      </c>
      <c r="E191" s="35">
        <f t="shared" si="1"/>
        <v>3</v>
      </c>
      <c r="F191" s="35">
        <f t="shared" si="2"/>
        <v>4</v>
      </c>
      <c r="G191" s="37">
        <f t="shared" si="3"/>
        <v>4</v>
      </c>
      <c r="H191" s="37" t="str">
        <f t="shared" si="4"/>
        <v>344</v>
      </c>
      <c r="I191" s="37" t="str">
        <f t="shared" si="5"/>
        <v>Loyal</v>
      </c>
    </row>
    <row r="192" ht="15.75" customHeight="1">
      <c r="A192" s="46" t="str">
        <f>'👥 Клієнти'!A191</f>
        <v>U0418</v>
      </c>
      <c r="B192" s="46">
        <f>'👥 Клієнти'!F191</f>
        <v>18</v>
      </c>
      <c r="C192" s="46">
        <f>'👥 Клієнти'!D191</f>
        <v>10</v>
      </c>
      <c r="D192" s="47">
        <f>'👥 Клієнти'!E191</f>
        <v>179.91</v>
      </c>
      <c r="E192" s="35">
        <f t="shared" si="1"/>
        <v>3</v>
      </c>
      <c r="F192" s="35">
        <f t="shared" si="2"/>
        <v>4</v>
      </c>
      <c r="G192" s="37">
        <f t="shared" si="3"/>
        <v>4</v>
      </c>
      <c r="H192" s="37" t="str">
        <f t="shared" si="4"/>
        <v>344</v>
      </c>
      <c r="I192" s="37" t="str">
        <f t="shared" si="5"/>
        <v>Loyal</v>
      </c>
    </row>
    <row r="193" ht="15.75" customHeight="1">
      <c r="A193" s="46" t="str">
        <f>'👥 Клієнти'!A192</f>
        <v>U0688</v>
      </c>
      <c r="B193" s="46">
        <f>'👥 Клієнти'!F192</f>
        <v>198</v>
      </c>
      <c r="C193" s="46">
        <f>'👥 Клієнти'!D192</f>
        <v>4</v>
      </c>
      <c r="D193" s="47">
        <f>'👥 Клієнти'!E192</f>
        <v>59.97</v>
      </c>
      <c r="E193" s="35">
        <f t="shared" si="1"/>
        <v>1</v>
      </c>
      <c r="F193" s="35">
        <f t="shared" si="2"/>
        <v>2</v>
      </c>
      <c r="G193" s="37">
        <f t="shared" si="3"/>
        <v>2</v>
      </c>
      <c r="H193" s="37" t="str">
        <f t="shared" si="4"/>
        <v>122</v>
      </c>
      <c r="I193" s="37" t="str">
        <f t="shared" si="5"/>
        <v>Lost</v>
      </c>
    </row>
    <row r="194" ht="15.75" customHeight="1">
      <c r="A194" s="46" t="str">
        <f>'👥 Клієнти'!A193</f>
        <v>U0467</v>
      </c>
      <c r="B194" s="46">
        <f>'👥 Клієнти'!F193</f>
        <v>227</v>
      </c>
      <c r="C194" s="46">
        <f>'👥 Клієнти'!D193</f>
        <v>3</v>
      </c>
      <c r="D194" s="47">
        <f>'👥 Клієнти'!E193</f>
        <v>39.98</v>
      </c>
      <c r="E194" s="35">
        <f t="shared" si="1"/>
        <v>1</v>
      </c>
      <c r="F194" s="35">
        <f t="shared" si="2"/>
        <v>2</v>
      </c>
      <c r="G194" s="37">
        <f t="shared" si="3"/>
        <v>2</v>
      </c>
      <c r="H194" s="37" t="str">
        <f t="shared" si="4"/>
        <v>122</v>
      </c>
      <c r="I194" s="37" t="str">
        <f t="shared" si="5"/>
        <v>Lost</v>
      </c>
    </row>
    <row r="195" ht="15.75" customHeight="1">
      <c r="A195" s="46" t="str">
        <f>'👥 Клієнти'!A194</f>
        <v>U0762</v>
      </c>
      <c r="B195" s="46">
        <f>'👥 Клієнти'!F194</f>
        <v>17</v>
      </c>
      <c r="C195" s="46">
        <f>'👥 Клієнти'!D194</f>
        <v>10</v>
      </c>
      <c r="D195" s="47">
        <f>'👥 Клієнти'!E194</f>
        <v>179.91</v>
      </c>
      <c r="E195" s="35">
        <f t="shared" si="1"/>
        <v>3</v>
      </c>
      <c r="F195" s="35">
        <f t="shared" si="2"/>
        <v>4</v>
      </c>
      <c r="G195" s="37">
        <f t="shared" si="3"/>
        <v>4</v>
      </c>
      <c r="H195" s="37" t="str">
        <f t="shared" si="4"/>
        <v>344</v>
      </c>
      <c r="I195" s="37" t="str">
        <f t="shared" si="5"/>
        <v>Loyal</v>
      </c>
    </row>
    <row r="196" ht="15.75" customHeight="1">
      <c r="A196" s="46" t="str">
        <f>'👥 Клієнти'!A195</f>
        <v>U0144</v>
      </c>
      <c r="B196" s="46">
        <f>'👥 Клієнти'!F195</f>
        <v>136</v>
      </c>
      <c r="C196" s="46">
        <f>'👥 Клієнти'!D195</f>
        <v>6</v>
      </c>
      <c r="D196" s="47">
        <f>'👥 Клієнти'!E195</f>
        <v>99.95</v>
      </c>
      <c r="E196" s="35">
        <f t="shared" si="1"/>
        <v>2</v>
      </c>
      <c r="F196" s="35">
        <f t="shared" si="2"/>
        <v>3</v>
      </c>
      <c r="G196" s="37">
        <f t="shared" si="3"/>
        <v>3</v>
      </c>
      <c r="H196" s="37" t="str">
        <f t="shared" si="4"/>
        <v>233</v>
      </c>
      <c r="I196" s="37" t="str">
        <f t="shared" si="5"/>
        <v>At Risk</v>
      </c>
    </row>
    <row r="197" ht="15.75" customHeight="1">
      <c r="A197" s="46" t="str">
        <f>'👥 Клієнти'!A196</f>
        <v>U0254</v>
      </c>
      <c r="B197" s="46">
        <f>'👥 Клієнти'!F196</f>
        <v>16</v>
      </c>
      <c r="C197" s="46">
        <f>'👥 Клієнти'!D196</f>
        <v>10</v>
      </c>
      <c r="D197" s="47">
        <f>'👥 Клієнти'!E196</f>
        <v>179.91</v>
      </c>
      <c r="E197" s="35">
        <f t="shared" si="1"/>
        <v>3</v>
      </c>
      <c r="F197" s="35">
        <f t="shared" si="2"/>
        <v>4</v>
      </c>
      <c r="G197" s="37">
        <f t="shared" si="3"/>
        <v>4</v>
      </c>
      <c r="H197" s="37" t="str">
        <f t="shared" si="4"/>
        <v>344</v>
      </c>
      <c r="I197" s="37" t="str">
        <f t="shared" si="5"/>
        <v>Loyal</v>
      </c>
    </row>
    <row r="198" ht="15.75" customHeight="1">
      <c r="A198" s="46" t="str">
        <f>'👥 Клієнти'!A197</f>
        <v>U0387</v>
      </c>
      <c r="B198" s="46">
        <f>'👥 Клієнти'!F197</f>
        <v>14</v>
      </c>
      <c r="C198" s="46">
        <f>'👥 Клієнти'!D197</f>
        <v>10</v>
      </c>
      <c r="D198" s="47">
        <f>'👥 Клієнти'!E197</f>
        <v>179.91</v>
      </c>
      <c r="E198" s="35">
        <f t="shared" si="1"/>
        <v>4</v>
      </c>
      <c r="F198" s="35">
        <f t="shared" si="2"/>
        <v>4</v>
      </c>
      <c r="G198" s="37">
        <f t="shared" si="3"/>
        <v>4</v>
      </c>
      <c r="H198" s="37" t="str">
        <f t="shared" si="4"/>
        <v>444</v>
      </c>
      <c r="I198" s="37" t="str">
        <f t="shared" si="5"/>
        <v>Champions</v>
      </c>
    </row>
    <row r="199" ht="15.75" customHeight="1">
      <c r="A199" s="46" t="str">
        <f>'👥 Клієнти'!A198</f>
        <v>U0602</v>
      </c>
      <c r="B199" s="46">
        <f>'👥 Клієнти'!F198</f>
        <v>14</v>
      </c>
      <c r="C199" s="46">
        <f>'👥 Клієнти'!D198</f>
        <v>10</v>
      </c>
      <c r="D199" s="47">
        <f>'👥 Клієнти'!E198</f>
        <v>179.91</v>
      </c>
      <c r="E199" s="35">
        <f t="shared" si="1"/>
        <v>4</v>
      </c>
      <c r="F199" s="35">
        <f t="shared" si="2"/>
        <v>4</v>
      </c>
      <c r="G199" s="37">
        <f t="shared" si="3"/>
        <v>4</v>
      </c>
      <c r="H199" s="37" t="str">
        <f t="shared" si="4"/>
        <v>444</v>
      </c>
      <c r="I199" s="37" t="str">
        <f t="shared" si="5"/>
        <v>Champions</v>
      </c>
    </row>
    <row r="200" ht="15.75" customHeight="1">
      <c r="A200" s="46" t="str">
        <f>'👥 Клієнти'!A199</f>
        <v>U0618</v>
      </c>
      <c r="B200" s="46">
        <f>'👥 Клієнти'!F199</f>
        <v>253</v>
      </c>
      <c r="C200" s="46">
        <f>'👥 Клієнти'!D199</f>
        <v>2</v>
      </c>
      <c r="D200" s="47">
        <f>'👥 Клієнти'!E199</f>
        <v>19.99</v>
      </c>
      <c r="E200" s="35">
        <f t="shared" si="1"/>
        <v>1</v>
      </c>
      <c r="F200" s="35">
        <f t="shared" si="2"/>
        <v>1</v>
      </c>
      <c r="G200" s="37">
        <f t="shared" si="3"/>
        <v>1</v>
      </c>
      <c r="H200" s="37" t="str">
        <f t="shared" si="4"/>
        <v>111</v>
      </c>
      <c r="I200" s="37" t="str">
        <f t="shared" si="5"/>
        <v>Lost</v>
      </c>
    </row>
    <row r="201" ht="15.75" customHeight="1">
      <c r="A201" s="46" t="str">
        <f>'👥 Клієнти'!A200</f>
        <v>U0644</v>
      </c>
      <c r="B201" s="46">
        <f>'👥 Клієнти'!F200</f>
        <v>13</v>
      </c>
      <c r="C201" s="46">
        <f>'👥 Клієнти'!D200</f>
        <v>10</v>
      </c>
      <c r="D201" s="47">
        <f>'👥 Клієнти'!E200</f>
        <v>179.91</v>
      </c>
      <c r="E201" s="35">
        <f t="shared" si="1"/>
        <v>4</v>
      </c>
      <c r="F201" s="35">
        <f t="shared" si="2"/>
        <v>4</v>
      </c>
      <c r="G201" s="37">
        <f t="shared" si="3"/>
        <v>4</v>
      </c>
      <c r="H201" s="37" t="str">
        <f t="shared" si="4"/>
        <v>444</v>
      </c>
      <c r="I201" s="37" t="str">
        <f t="shared" si="5"/>
        <v>Champions</v>
      </c>
    </row>
    <row r="202" ht="15.75" customHeight="1">
      <c r="A202" s="46" t="str">
        <f>'👥 Клієнти'!A201</f>
        <v>U0691</v>
      </c>
      <c r="B202" s="46">
        <f>'👥 Клієнти'!F201</f>
        <v>12</v>
      </c>
      <c r="C202" s="46">
        <f>'👥 Клієнти'!D201</f>
        <v>10</v>
      </c>
      <c r="D202" s="47">
        <f>'👥 Клієнти'!E201</f>
        <v>179.91</v>
      </c>
      <c r="E202" s="35">
        <f t="shared" si="1"/>
        <v>4</v>
      </c>
      <c r="F202" s="35">
        <f t="shared" si="2"/>
        <v>4</v>
      </c>
      <c r="G202" s="37">
        <f t="shared" si="3"/>
        <v>4</v>
      </c>
      <c r="H202" s="37" t="str">
        <f t="shared" si="4"/>
        <v>444</v>
      </c>
      <c r="I202" s="37" t="str">
        <f t="shared" si="5"/>
        <v>Champions</v>
      </c>
    </row>
    <row r="203" ht="15.75" customHeight="1">
      <c r="A203" s="46" t="str">
        <f>'👥 Клієнти'!A202</f>
        <v>U0376</v>
      </c>
      <c r="B203" s="46">
        <f>'👥 Клієнти'!F202</f>
        <v>100</v>
      </c>
      <c r="C203" s="46">
        <f>'👥 Клієнти'!D202</f>
        <v>7</v>
      </c>
      <c r="D203" s="47">
        <f>'👥 Клієнти'!E202</f>
        <v>119.94</v>
      </c>
      <c r="E203" s="35">
        <f t="shared" si="1"/>
        <v>2</v>
      </c>
      <c r="F203" s="35">
        <f t="shared" si="2"/>
        <v>4</v>
      </c>
      <c r="G203" s="37">
        <f t="shared" si="3"/>
        <v>4</v>
      </c>
      <c r="H203" s="37" t="str">
        <f t="shared" si="4"/>
        <v>244</v>
      </c>
      <c r="I203" s="37" t="str">
        <f t="shared" si="5"/>
        <v>At Risk</v>
      </c>
    </row>
    <row r="204" ht="15.75" customHeight="1">
      <c r="A204" s="46" t="str">
        <f>'👥 Клієнти'!A203</f>
        <v>U0405</v>
      </c>
      <c r="B204" s="46">
        <f>'👥 Клієнти'!F203</f>
        <v>9</v>
      </c>
      <c r="C204" s="46">
        <f>'👥 Клієнти'!D203</f>
        <v>10</v>
      </c>
      <c r="D204" s="47">
        <f>'👥 Клієнти'!E203</f>
        <v>179.91</v>
      </c>
      <c r="E204" s="35">
        <f t="shared" si="1"/>
        <v>4</v>
      </c>
      <c r="F204" s="35">
        <f t="shared" si="2"/>
        <v>4</v>
      </c>
      <c r="G204" s="37">
        <f t="shared" si="3"/>
        <v>4</v>
      </c>
      <c r="H204" s="37" t="str">
        <f t="shared" si="4"/>
        <v>444</v>
      </c>
      <c r="I204" s="37" t="str">
        <f t="shared" si="5"/>
        <v>Champions</v>
      </c>
    </row>
    <row r="205" ht="15.75" customHeight="1">
      <c r="A205" s="46" t="str">
        <f>'👥 Клієнти'!A204</f>
        <v>U0111</v>
      </c>
      <c r="B205" s="46">
        <f>'👥 Клієнти'!F204</f>
        <v>218</v>
      </c>
      <c r="C205" s="46">
        <f>'👥 Клієнти'!D204</f>
        <v>3</v>
      </c>
      <c r="D205" s="47">
        <f>'👥 Клієнти'!E204</f>
        <v>39.98</v>
      </c>
      <c r="E205" s="35">
        <f t="shared" si="1"/>
        <v>1</v>
      </c>
      <c r="F205" s="35">
        <f t="shared" si="2"/>
        <v>2</v>
      </c>
      <c r="G205" s="37">
        <f t="shared" si="3"/>
        <v>2</v>
      </c>
      <c r="H205" s="37" t="str">
        <f t="shared" si="4"/>
        <v>122</v>
      </c>
      <c r="I205" s="37" t="str">
        <f t="shared" si="5"/>
        <v>Lost</v>
      </c>
    </row>
    <row r="206" ht="15.75" customHeight="1">
      <c r="A206" s="46" t="str">
        <f>'👥 Клієнти'!A205</f>
        <v>U0697</v>
      </c>
      <c r="B206" s="46">
        <f>'👥 Клієнти'!F205</f>
        <v>248</v>
      </c>
      <c r="C206" s="46">
        <f>'👥 Клієнти'!D205</f>
        <v>2</v>
      </c>
      <c r="D206" s="47">
        <f>'👥 Клієнти'!E205</f>
        <v>19.99</v>
      </c>
      <c r="E206" s="35">
        <f t="shared" si="1"/>
        <v>1</v>
      </c>
      <c r="F206" s="35">
        <f t="shared" si="2"/>
        <v>1</v>
      </c>
      <c r="G206" s="37">
        <f t="shared" si="3"/>
        <v>1</v>
      </c>
      <c r="H206" s="37" t="str">
        <f t="shared" si="4"/>
        <v>111</v>
      </c>
      <c r="I206" s="37" t="str">
        <f t="shared" si="5"/>
        <v>Lost</v>
      </c>
    </row>
    <row r="207" ht="15.75" customHeight="1">
      <c r="A207" s="46" t="str">
        <f>'👥 Клієнти'!A206</f>
        <v>U0167</v>
      </c>
      <c r="B207" s="46">
        <f>'👥 Клієнти'!F206</f>
        <v>186</v>
      </c>
      <c r="C207" s="46">
        <f>'👥 Клієнти'!D206</f>
        <v>4</v>
      </c>
      <c r="D207" s="47">
        <f>'👥 Клієнти'!E206</f>
        <v>59.97</v>
      </c>
      <c r="E207" s="35">
        <f t="shared" si="1"/>
        <v>1</v>
      </c>
      <c r="F207" s="35">
        <f t="shared" si="2"/>
        <v>2</v>
      </c>
      <c r="G207" s="37">
        <f t="shared" si="3"/>
        <v>2</v>
      </c>
      <c r="H207" s="37" t="str">
        <f t="shared" si="4"/>
        <v>122</v>
      </c>
      <c r="I207" s="37" t="str">
        <f t="shared" si="5"/>
        <v>Lost</v>
      </c>
    </row>
    <row r="208" ht="15.75" customHeight="1">
      <c r="A208" s="46" t="str">
        <f>'👥 Клієнти'!A207</f>
        <v>U0642</v>
      </c>
      <c r="B208" s="46">
        <f>'👥 Клієнти'!F207</f>
        <v>5</v>
      </c>
      <c r="C208" s="46">
        <f>'👥 Клієнти'!D207</f>
        <v>10</v>
      </c>
      <c r="D208" s="47">
        <f>'👥 Клієнти'!E207</f>
        <v>179.91</v>
      </c>
      <c r="E208" s="35">
        <f t="shared" si="1"/>
        <v>5</v>
      </c>
      <c r="F208" s="35">
        <f t="shared" si="2"/>
        <v>4</v>
      </c>
      <c r="G208" s="37">
        <f t="shared" si="3"/>
        <v>4</v>
      </c>
      <c r="H208" s="37" t="str">
        <f t="shared" si="4"/>
        <v>544</v>
      </c>
      <c r="I208" s="37" t="str">
        <f t="shared" si="5"/>
        <v>Champions</v>
      </c>
    </row>
    <row r="209" ht="15.75" customHeight="1">
      <c r="A209" s="46" t="str">
        <f>'👥 Клієнти'!A208</f>
        <v>U0707</v>
      </c>
      <c r="B209" s="46">
        <f>'👥 Клієнти'!F208</f>
        <v>5</v>
      </c>
      <c r="C209" s="46">
        <f>'👥 Клієнти'!D208</f>
        <v>10</v>
      </c>
      <c r="D209" s="47">
        <f>'👥 Клієнти'!E208</f>
        <v>179.91</v>
      </c>
      <c r="E209" s="35">
        <f t="shared" si="1"/>
        <v>5</v>
      </c>
      <c r="F209" s="35">
        <f t="shared" si="2"/>
        <v>4</v>
      </c>
      <c r="G209" s="37">
        <f t="shared" si="3"/>
        <v>4</v>
      </c>
      <c r="H209" s="37" t="str">
        <f t="shared" si="4"/>
        <v>544</v>
      </c>
      <c r="I209" s="37" t="str">
        <f t="shared" si="5"/>
        <v>Champions</v>
      </c>
    </row>
    <row r="210" ht="15.75" customHeight="1">
      <c r="A210" s="46" t="str">
        <f>'👥 Клієнти'!A209</f>
        <v>U0047</v>
      </c>
      <c r="B210" s="46">
        <f>'👥 Клієнти'!F209</f>
        <v>4</v>
      </c>
      <c r="C210" s="46">
        <f>'👥 Клієнти'!D209</f>
        <v>10</v>
      </c>
      <c r="D210" s="47">
        <f>'👥 Клієнти'!E209</f>
        <v>179.91</v>
      </c>
      <c r="E210" s="35">
        <f t="shared" si="1"/>
        <v>5</v>
      </c>
      <c r="F210" s="35">
        <f t="shared" si="2"/>
        <v>4</v>
      </c>
      <c r="G210" s="37">
        <f t="shared" si="3"/>
        <v>4</v>
      </c>
      <c r="H210" s="37" t="str">
        <f t="shared" si="4"/>
        <v>544</v>
      </c>
      <c r="I210" s="37" t="str">
        <f t="shared" si="5"/>
        <v>Champions</v>
      </c>
    </row>
    <row r="211" ht="15.75" customHeight="1">
      <c r="A211" s="46" t="str">
        <f>'👥 Клієнти'!A210</f>
        <v>U0270</v>
      </c>
      <c r="B211" s="46">
        <f>'👥 Клієнти'!F210</f>
        <v>3</v>
      </c>
      <c r="C211" s="46">
        <f>'👥 Клієнти'!D210</f>
        <v>10</v>
      </c>
      <c r="D211" s="47">
        <f>'👥 Клієнти'!E210</f>
        <v>179.91</v>
      </c>
      <c r="E211" s="35">
        <f t="shared" si="1"/>
        <v>5</v>
      </c>
      <c r="F211" s="35">
        <f t="shared" si="2"/>
        <v>4</v>
      </c>
      <c r="G211" s="37">
        <f t="shared" si="3"/>
        <v>4</v>
      </c>
      <c r="H211" s="37" t="str">
        <f t="shared" si="4"/>
        <v>544</v>
      </c>
      <c r="I211" s="37" t="str">
        <f t="shared" si="5"/>
        <v>Champions</v>
      </c>
    </row>
    <row r="212" ht="15.75" customHeight="1">
      <c r="A212" s="46" t="str">
        <f>'👥 Клієнти'!A211</f>
        <v>U0380</v>
      </c>
      <c r="B212" s="46">
        <f>'👥 Клієнти'!F211</f>
        <v>243</v>
      </c>
      <c r="C212" s="46">
        <f>'👥 Клієнти'!D211</f>
        <v>2</v>
      </c>
      <c r="D212" s="47">
        <f>'👥 Клієнти'!E211</f>
        <v>19.99</v>
      </c>
      <c r="E212" s="35">
        <f t="shared" si="1"/>
        <v>1</v>
      </c>
      <c r="F212" s="35">
        <f t="shared" si="2"/>
        <v>1</v>
      </c>
      <c r="G212" s="37">
        <f t="shared" si="3"/>
        <v>1</v>
      </c>
      <c r="H212" s="37" t="str">
        <f t="shared" si="4"/>
        <v>111</v>
      </c>
      <c r="I212" s="37" t="str">
        <f t="shared" si="5"/>
        <v>Lost</v>
      </c>
    </row>
    <row r="213" ht="15.75" customHeight="1">
      <c r="A213" s="46" t="str">
        <f>'👥 Клієнти'!A212</f>
        <v>U0085</v>
      </c>
      <c r="B213" s="46">
        <f>'👥 Клієнти'!F212</f>
        <v>152</v>
      </c>
      <c r="C213" s="46">
        <f>'👥 Клієнти'!D212</f>
        <v>5</v>
      </c>
      <c r="D213" s="47">
        <f>'👥 Клієнти'!E212</f>
        <v>79.96</v>
      </c>
      <c r="E213" s="35">
        <f t="shared" si="1"/>
        <v>1</v>
      </c>
      <c r="F213" s="35">
        <f t="shared" si="2"/>
        <v>3</v>
      </c>
      <c r="G213" s="37">
        <f t="shared" si="3"/>
        <v>3</v>
      </c>
      <c r="H213" s="37" t="str">
        <f t="shared" si="4"/>
        <v>133</v>
      </c>
      <c r="I213" s="37" t="str">
        <f t="shared" si="5"/>
        <v>At Risk</v>
      </c>
    </row>
    <row r="214" ht="15.75" customHeight="1">
      <c r="A214" s="46" t="str">
        <f>'👥 Клієнти'!A213</f>
        <v>U0493</v>
      </c>
      <c r="B214" s="46">
        <f>'👥 Клієнти'!F213</f>
        <v>2</v>
      </c>
      <c r="C214" s="46">
        <f>'👥 Клієнти'!D213</f>
        <v>10</v>
      </c>
      <c r="D214" s="47">
        <f>'👥 Клієнти'!E213</f>
        <v>179.91</v>
      </c>
      <c r="E214" s="35">
        <f t="shared" si="1"/>
        <v>5</v>
      </c>
      <c r="F214" s="35">
        <f t="shared" si="2"/>
        <v>4</v>
      </c>
      <c r="G214" s="37">
        <f t="shared" si="3"/>
        <v>4</v>
      </c>
      <c r="H214" s="37" t="str">
        <f t="shared" si="4"/>
        <v>544</v>
      </c>
      <c r="I214" s="37" t="str">
        <f t="shared" si="5"/>
        <v>Champions</v>
      </c>
    </row>
    <row r="215" ht="15.75" customHeight="1">
      <c r="A215" s="46" t="str">
        <f>'👥 Клієнти'!A214</f>
        <v>U0289</v>
      </c>
      <c r="B215" s="46">
        <f>'👥 Клієнти'!F214</f>
        <v>1</v>
      </c>
      <c r="C215" s="46">
        <f>'👥 Клієнти'!D214</f>
        <v>10</v>
      </c>
      <c r="D215" s="47">
        <f>'👥 Клієнти'!E214</f>
        <v>179.91</v>
      </c>
      <c r="E215" s="35">
        <f t="shared" si="1"/>
        <v>5</v>
      </c>
      <c r="F215" s="35">
        <f t="shared" si="2"/>
        <v>4</v>
      </c>
      <c r="G215" s="37">
        <f t="shared" si="3"/>
        <v>4</v>
      </c>
      <c r="H215" s="37" t="str">
        <f t="shared" si="4"/>
        <v>544</v>
      </c>
      <c r="I215" s="37" t="str">
        <f t="shared" si="5"/>
        <v>Champions</v>
      </c>
    </row>
    <row r="216" ht="15.75" customHeight="1">
      <c r="A216" s="46" t="str">
        <f>'👥 Клієнти'!A215</f>
        <v>U0657</v>
      </c>
      <c r="B216" s="46">
        <f>'👥 Клієнти'!F215</f>
        <v>0</v>
      </c>
      <c r="C216" s="46">
        <f>'👥 Клієнти'!D215</f>
        <v>10</v>
      </c>
      <c r="D216" s="47">
        <f>'👥 Клієнти'!E215</f>
        <v>179.91</v>
      </c>
      <c r="E216" s="35">
        <f t="shared" si="1"/>
        <v>5</v>
      </c>
      <c r="F216" s="35">
        <f t="shared" si="2"/>
        <v>4</v>
      </c>
      <c r="G216" s="37">
        <f t="shared" si="3"/>
        <v>4</v>
      </c>
      <c r="H216" s="37" t="str">
        <f t="shared" si="4"/>
        <v>544</v>
      </c>
      <c r="I216" s="37" t="str">
        <f t="shared" si="5"/>
        <v>Champions</v>
      </c>
    </row>
    <row r="217" ht="15.75" customHeight="1">
      <c r="A217" s="46" t="str">
        <f>'👥 Клієнти'!A216</f>
        <v>U0417</v>
      </c>
      <c r="B217" s="46">
        <f>'👥 Клієнти'!F216</f>
        <v>239</v>
      </c>
      <c r="C217" s="46">
        <f>'👥 Клієнти'!D216</f>
        <v>2</v>
      </c>
      <c r="D217" s="47">
        <f>'👥 Клієнти'!E216</f>
        <v>19.99</v>
      </c>
      <c r="E217" s="35">
        <f t="shared" si="1"/>
        <v>1</v>
      </c>
      <c r="F217" s="35">
        <f t="shared" si="2"/>
        <v>1</v>
      </c>
      <c r="G217" s="37">
        <f t="shared" si="3"/>
        <v>1</v>
      </c>
      <c r="H217" s="37" t="str">
        <f t="shared" si="4"/>
        <v>111</v>
      </c>
      <c r="I217" s="37" t="str">
        <f t="shared" si="5"/>
        <v>Lost</v>
      </c>
    </row>
    <row r="218" ht="15.75" customHeight="1">
      <c r="A218" s="46" t="str">
        <f>'👥 Клієнти'!A217</f>
        <v>U0528</v>
      </c>
      <c r="B218" s="46">
        <f>'👥 Клієнти'!F217</f>
        <v>29</v>
      </c>
      <c r="C218" s="46">
        <f>'👥 Клієнти'!D217</f>
        <v>9</v>
      </c>
      <c r="D218" s="47">
        <f>'👥 Клієнти'!E217</f>
        <v>159.92</v>
      </c>
      <c r="E218" s="35">
        <f t="shared" si="1"/>
        <v>2</v>
      </c>
      <c r="F218" s="35">
        <f t="shared" si="2"/>
        <v>4</v>
      </c>
      <c r="G218" s="37">
        <f t="shared" si="3"/>
        <v>4</v>
      </c>
      <c r="H218" s="37" t="str">
        <f t="shared" si="4"/>
        <v>244</v>
      </c>
      <c r="I218" s="37" t="str">
        <f t="shared" si="5"/>
        <v>At Risk</v>
      </c>
    </row>
    <row r="219" ht="15.75" customHeight="1">
      <c r="A219" s="46" t="str">
        <f>'👥 Клієнти'!A218</f>
        <v>U0670</v>
      </c>
      <c r="B219" s="46">
        <f>'👥 Клієнти'!F218</f>
        <v>29</v>
      </c>
      <c r="C219" s="46">
        <f>'👥 Клієнти'!D218</f>
        <v>9</v>
      </c>
      <c r="D219" s="47">
        <f>'👥 Клієнти'!E218</f>
        <v>159.92</v>
      </c>
      <c r="E219" s="35">
        <f t="shared" si="1"/>
        <v>2</v>
      </c>
      <c r="F219" s="35">
        <f t="shared" si="2"/>
        <v>4</v>
      </c>
      <c r="G219" s="37">
        <f t="shared" si="3"/>
        <v>4</v>
      </c>
      <c r="H219" s="37" t="str">
        <f t="shared" si="4"/>
        <v>244</v>
      </c>
      <c r="I219" s="37" t="str">
        <f t="shared" si="5"/>
        <v>At Risk</v>
      </c>
    </row>
    <row r="220" ht="15.75" customHeight="1">
      <c r="A220" s="46" t="str">
        <f>'👥 Клієнти'!A219</f>
        <v>U0020</v>
      </c>
      <c r="B220" s="46">
        <f>'👥 Клієнти'!F219</f>
        <v>238</v>
      </c>
      <c r="C220" s="46">
        <f>'👥 Клієнти'!D219</f>
        <v>2</v>
      </c>
      <c r="D220" s="47">
        <f>'👥 Клієнти'!E219</f>
        <v>19.99</v>
      </c>
      <c r="E220" s="35">
        <f t="shared" si="1"/>
        <v>1</v>
      </c>
      <c r="F220" s="35">
        <f t="shared" si="2"/>
        <v>1</v>
      </c>
      <c r="G220" s="37">
        <f t="shared" si="3"/>
        <v>1</v>
      </c>
      <c r="H220" s="37" t="str">
        <f t="shared" si="4"/>
        <v>111</v>
      </c>
      <c r="I220" s="37" t="str">
        <f t="shared" si="5"/>
        <v>Lost</v>
      </c>
    </row>
    <row r="221" ht="15.75" customHeight="1">
      <c r="A221" s="46" t="str">
        <f>'👥 Клієнти'!A220</f>
        <v>U0324</v>
      </c>
      <c r="B221" s="46">
        <f>'👥 Клієнти'!F220</f>
        <v>28</v>
      </c>
      <c r="C221" s="46">
        <f>'👥 Клієнти'!D220</f>
        <v>9</v>
      </c>
      <c r="D221" s="47">
        <f>'👥 Клієнти'!E220</f>
        <v>159.92</v>
      </c>
      <c r="E221" s="35">
        <f t="shared" si="1"/>
        <v>2</v>
      </c>
      <c r="F221" s="35">
        <f t="shared" si="2"/>
        <v>4</v>
      </c>
      <c r="G221" s="37">
        <f t="shared" si="3"/>
        <v>4</v>
      </c>
      <c r="H221" s="37" t="str">
        <f t="shared" si="4"/>
        <v>244</v>
      </c>
      <c r="I221" s="37" t="str">
        <f t="shared" si="5"/>
        <v>At Risk</v>
      </c>
    </row>
    <row r="222" ht="15.75" customHeight="1">
      <c r="A222" s="46" t="str">
        <f>'👥 Клієнти'!A221</f>
        <v>U0411</v>
      </c>
      <c r="B222" s="46">
        <f>'👥 Клієнти'!F221</f>
        <v>27</v>
      </c>
      <c r="C222" s="46">
        <f>'👥 Клієнти'!D221</f>
        <v>9</v>
      </c>
      <c r="D222" s="47">
        <f>'👥 Клієнти'!E221</f>
        <v>159.92</v>
      </c>
      <c r="E222" s="35">
        <f t="shared" si="1"/>
        <v>2</v>
      </c>
      <c r="F222" s="35">
        <f t="shared" si="2"/>
        <v>4</v>
      </c>
      <c r="G222" s="37">
        <f t="shared" si="3"/>
        <v>4</v>
      </c>
      <c r="H222" s="37" t="str">
        <f t="shared" si="4"/>
        <v>244</v>
      </c>
      <c r="I222" s="37" t="str">
        <f t="shared" si="5"/>
        <v>At Risk</v>
      </c>
    </row>
    <row r="223" ht="15.75" customHeight="1">
      <c r="A223" s="46" t="str">
        <f>'👥 Клієнти'!A222</f>
        <v>U0897</v>
      </c>
      <c r="B223" s="46">
        <f>'👥 Клієнти'!F222</f>
        <v>27</v>
      </c>
      <c r="C223" s="46">
        <f>'👥 Клієнти'!D222</f>
        <v>9</v>
      </c>
      <c r="D223" s="47">
        <f>'👥 Клієнти'!E222</f>
        <v>159.92</v>
      </c>
      <c r="E223" s="35">
        <f t="shared" si="1"/>
        <v>2</v>
      </c>
      <c r="F223" s="35">
        <f t="shared" si="2"/>
        <v>4</v>
      </c>
      <c r="G223" s="37">
        <f t="shared" si="3"/>
        <v>4</v>
      </c>
      <c r="H223" s="37" t="str">
        <f t="shared" si="4"/>
        <v>244</v>
      </c>
      <c r="I223" s="37" t="str">
        <f t="shared" si="5"/>
        <v>At Risk</v>
      </c>
    </row>
    <row r="224" ht="15.75" customHeight="1">
      <c r="A224" s="46" t="str">
        <f>'👥 Клієнти'!A223</f>
        <v>U0103</v>
      </c>
      <c r="B224" s="46">
        <f>'👥 Клієнти'!F223</f>
        <v>146</v>
      </c>
      <c r="C224" s="46">
        <f>'👥 Клієнти'!D223</f>
        <v>5</v>
      </c>
      <c r="D224" s="47">
        <f>'👥 Клієнти'!E223</f>
        <v>79.96</v>
      </c>
      <c r="E224" s="35">
        <f t="shared" si="1"/>
        <v>1</v>
      </c>
      <c r="F224" s="35">
        <f t="shared" si="2"/>
        <v>3</v>
      </c>
      <c r="G224" s="37">
        <f t="shared" si="3"/>
        <v>3</v>
      </c>
      <c r="H224" s="37" t="str">
        <f t="shared" si="4"/>
        <v>133</v>
      </c>
      <c r="I224" s="37" t="str">
        <f t="shared" si="5"/>
        <v>At Risk</v>
      </c>
    </row>
    <row r="225" ht="15.75" customHeight="1">
      <c r="A225" s="46" t="str">
        <f>'👥 Клієнти'!A224</f>
        <v>U0196</v>
      </c>
      <c r="B225" s="46">
        <f>'👥 Клієнти'!F224</f>
        <v>24</v>
      </c>
      <c r="C225" s="46">
        <f>'👥 Клієнти'!D224</f>
        <v>9</v>
      </c>
      <c r="D225" s="47">
        <f>'👥 Клієнти'!E224</f>
        <v>159.92</v>
      </c>
      <c r="E225" s="35">
        <f t="shared" si="1"/>
        <v>3</v>
      </c>
      <c r="F225" s="35">
        <f t="shared" si="2"/>
        <v>4</v>
      </c>
      <c r="G225" s="37">
        <f t="shared" si="3"/>
        <v>4</v>
      </c>
      <c r="H225" s="37" t="str">
        <f t="shared" si="4"/>
        <v>344</v>
      </c>
      <c r="I225" s="37" t="str">
        <f t="shared" si="5"/>
        <v>Loyal</v>
      </c>
    </row>
    <row r="226" ht="15.75" customHeight="1">
      <c r="A226" s="46" t="str">
        <f>'👥 Клієнти'!A225</f>
        <v>U0395</v>
      </c>
      <c r="B226" s="46">
        <f>'👥 Клієнти'!F225</f>
        <v>144</v>
      </c>
      <c r="C226" s="46">
        <f>'👥 Клієнти'!D225</f>
        <v>5</v>
      </c>
      <c r="D226" s="47">
        <f>'👥 Клієнти'!E225</f>
        <v>79.96</v>
      </c>
      <c r="E226" s="35">
        <f t="shared" si="1"/>
        <v>1</v>
      </c>
      <c r="F226" s="35">
        <f t="shared" si="2"/>
        <v>3</v>
      </c>
      <c r="G226" s="37">
        <f t="shared" si="3"/>
        <v>3</v>
      </c>
      <c r="H226" s="37" t="str">
        <f t="shared" si="4"/>
        <v>133</v>
      </c>
      <c r="I226" s="37" t="str">
        <f t="shared" si="5"/>
        <v>At Risk</v>
      </c>
    </row>
    <row r="227" ht="15.75" customHeight="1">
      <c r="A227" s="46" t="str">
        <f>'👥 Клієнти'!A226</f>
        <v>U0594</v>
      </c>
      <c r="B227" s="46">
        <f>'👥 Клієнти'!F226</f>
        <v>174</v>
      </c>
      <c r="C227" s="46">
        <f>'👥 Клієнти'!D226</f>
        <v>4</v>
      </c>
      <c r="D227" s="47">
        <f>'👥 Клієнти'!E226</f>
        <v>59.97</v>
      </c>
      <c r="E227" s="35">
        <f t="shared" si="1"/>
        <v>1</v>
      </c>
      <c r="F227" s="35">
        <f t="shared" si="2"/>
        <v>2</v>
      </c>
      <c r="G227" s="37">
        <f t="shared" si="3"/>
        <v>2</v>
      </c>
      <c r="H227" s="37" t="str">
        <f t="shared" si="4"/>
        <v>122</v>
      </c>
      <c r="I227" s="37" t="str">
        <f t="shared" si="5"/>
        <v>Lost</v>
      </c>
    </row>
    <row r="228" ht="15.75" customHeight="1">
      <c r="A228" s="46" t="str">
        <f>'👥 Клієнти'!A227</f>
        <v>U0224</v>
      </c>
      <c r="B228" s="46">
        <f>'👥 Клієнти'!F227</f>
        <v>203</v>
      </c>
      <c r="C228" s="46">
        <f>'👥 Клієнти'!D227</f>
        <v>3</v>
      </c>
      <c r="D228" s="47">
        <f>'👥 Клієнти'!E227</f>
        <v>39.98</v>
      </c>
      <c r="E228" s="35">
        <f t="shared" si="1"/>
        <v>1</v>
      </c>
      <c r="F228" s="35">
        <f t="shared" si="2"/>
        <v>2</v>
      </c>
      <c r="G228" s="37">
        <f t="shared" si="3"/>
        <v>2</v>
      </c>
      <c r="H228" s="37" t="str">
        <f t="shared" si="4"/>
        <v>122</v>
      </c>
      <c r="I228" s="37" t="str">
        <f t="shared" si="5"/>
        <v>Lost</v>
      </c>
    </row>
    <row r="229" ht="15.75" customHeight="1">
      <c r="A229" s="46" t="str">
        <f>'👥 Клієнти'!A228</f>
        <v>U0283</v>
      </c>
      <c r="B229" s="46">
        <f>'👥 Клієнти'!F228</f>
        <v>23</v>
      </c>
      <c r="C229" s="46">
        <f>'👥 Клієнти'!D228</f>
        <v>9</v>
      </c>
      <c r="D229" s="47">
        <f>'👥 Клієнти'!E228</f>
        <v>159.92</v>
      </c>
      <c r="E229" s="35">
        <f t="shared" si="1"/>
        <v>3</v>
      </c>
      <c r="F229" s="35">
        <f t="shared" si="2"/>
        <v>4</v>
      </c>
      <c r="G229" s="37">
        <f t="shared" si="3"/>
        <v>4</v>
      </c>
      <c r="H229" s="37" t="str">
        <f t="shared" si="4"/>
        <v>344</v>
      </c>
      <c r="I229" s="37" t="str">
        <f t="shared" si="5"/>
        <v>Loyal</v>
      </c>
    </row>
    <row r="230" ht="15.75" customHeight="1">
      <c r="A230" s="46" t="str">
        <f>'👥 Клієнти'!A229</f>
        <v>U0626</v>
      </c>
      <c r="B230" s="46">
        <f>'👥 Клієнти'!F229</f>
        <v>233</v>
      </c>
      <c r="C230" s="46">
        <f>'👥 Клієнти'!D229</f>
        <v>2</v>
      </c>
      <c r="D230" s="47">
        <f>'👥 Клієнти'!E229</f>
        <v>19.99</v>
      </c>
      <c r="E230" s="35">
        <f t="shared" si="1"/>
        <v>1</v>
      </c>
      <c r="F230" s="35">
        <f t="shared" si="2"/>
        <v>1</v>
      </c>
      <c r="G230" s="37">
        <f t="shared" si="3"/>
        <v>1</v>
      </c>
      <c r="H230" s="37" t="str">
        <f t="shared" si="4"/>
        <v>111</v>
      </c>
      <c r="I230" s="37" t="str">
        <f t="shared" si="5"/>
        <v>Lost</v>
      </c>
    </row>
    <row r="231" ht="15.75" customHeight="1">
      <c r="A231" s="46" t="str">
        <f>'👥 Клієнти'!A230</f>
        <v>U0824</v>
      </c>
      <c r="B231" s="46">
        <f>'👥 Клієнти'!F230</f>
        <v>23</v>
      </c>
      <c r="C231" s="46">
        <f>'👥 Клієнти'!D230</f>
        <v>9</v>
      </c>
      <c r="D231" s="47">
        <f>'👥 Клієнти'!E230</f>
        <v>159.92</v>
      </c>
      <c r="E231" s="35">
        <f t="shared" si="1"/>
        <v>3</v>
      </c>
      <c r="F231" s="35">
        <f t="shared" si="2"/>
        <v>4</v>
      </c>
      <c r="G231" s="37">
        <f t="shared" si="3"/>
        <v>4</v>
      </c>
      <c r="H231" s="37" t="str">
        <f t="shared" si="4"/>
        <v>344</v>
      </c>
      <c r="I231" s="37" t="str">
        <f t="shared" si="5"/>
        <v>Loyal</v>
      </c>
    </row>
    <row r="232" ht="15.75" customHeight="1">
      <c r="A232" s="46" t="str">
        <f>'👥 Клієнти'!A231</f>
        <v>U0269</v>
      </c>
      <c r="B232" s="46">
        <f>'👥 Клієнти'!F231</f>
        <v>21</v>
      </c>
      <c r="C232" s="46">
        <f>'👥 Клієнти'!D231</f>
        <v>9</v>
      </c>
      <c r="D232" s="47">
        <f>'👥 Клієнти'!E231</f>
        <v>159.92</v>
      </c>
      <c r="E232" s="35">
        <f t="shared" si="1"/>
        <v>3</v>
      </c>
      <c r="F232" s="35">
        <f t="shared" si="2"/>
        <v>4</v>
      </c>
      <c r="G232" s="37">
        <f t="shared" si="3"/>
        <v>4</v>
      </c>
      <c r="H232" s="37" t="str">
        <f t="shared" si="4"/>
        <v>344</v>
      </c>
      <c r="I232" s="37" t="str">
        <f t="shared" si="5"/>
        <v>Loyal</v>
      </c>
    </row>
    <row r="233" ht="15.75" customHeight="1">
      <c r="A233" s="46" t="str">
        <f>'👥 Клієнти'!A232</f>
        <v>U0703</v>
      </c>
      <c r="B233" s="46">
        <f>'👥 Клієнти'!F232</f>
        <v>21</v>
      </c>
      <c r="C233" s="46">
        <f>'👥 Клієнти'!D232</f>
        <v>9</v>
      </c>
      <c r="D233" s="47">
        <f>'👥 Клієнти'!E232</f>
        <v>159.92</v>
      </c>
      <c r="E233" s="35">
        <f t="shared" si="1"/>
        <v>3</v>
      </c>
      <c r="F233" s="35">
        <f t="shared" si="2"/>
        <v>4</v>
      </c>
      <c r="G233" s="37">
        <f t="shared" si="3"/>
        <v>4</v>
      </c>
      <c r="H233" s="37" t="str">
        <f t="shared" si="4"/>
        <v>344</v>
      </c>
      <c r="I233" s="37" t="str">
        <f t="shared" si="5"/>
        <v>Loyal</v>
      </c>
    </row>
    <row r="234" ht="15.75" customHeight="1">
      <c r="A234" s="46" t="str">
        <f>'👥 Клієнти'!A233</f>
        <v>U0134</v>
      </c>
      <c r="B234" s="46">
        <f>'👥 Клієнти'!F233</f>
        <v>20</v>
      </c>
      <c r="C234" s="46">
        <f>'👥 Клієнти'!D233</f>
        <v>9</v>
      </c>
      <c r="D234" s="47">
        <f>'👥 Клієнти'!E233</f>
        <v>159.92</v>
      </c>
      <c r="E234" s="35">
        <f t="shared" si="1"/>
        <v>3</v>
      </c>
      <c r="F234" s="35">
        <f t="shared" si="2"/>
        <v>4</v>
      </c>
      <c r="G234" s="37">
        <f t="shared" si="3"/>
        <v>4</v>
      </c>
      <c r="H234" s="37" t="str">
        <f t="shared" si="4"/>
        <v>344</v>
      </c>
      <c r="I234" s="37" t="str">
        <f t="shared" si="5"/>
        <v>Loyal</v>
      </c>
    </row>
    <row r="235" ht="15.75" customHeight="1">
      <c r="A235" s="46" t="str">
        <f>'👥 Клієнти'!A234</f>
        <v>U0366</v>
      </c>
      <c r="B235" s="46">
        <f>'👥 Клієнти'!F234</f>
        <v>170</v>
      </c>
      <c r="C235" s="46">
        <f>'👥 Клієнти'!D234</f>
        <v>4</v>
      </c>
      <c r="D235" s="47">
        <f>'👥 Клієнти'!E234</f>
        <v>59.97</v>
      </c>
      <c r="E235" s="35">
        <f t="shared" si="1"/>
        <v>1</v>
      </c>
      <c r="F235" s="35">
        <f t="shared" si="2"/>
        <v>2</v>
      </c>
      <c r="G235" s="37">
        <f t="shared" si="3"/>
        <v>2</v>
      </c>
      <c r="H235" s="37" t="str">
        <f t="shared" si="4"/>
        <v>122</v>
      </c>
      <c r="I235" s="37" t="str">
        <f t="shared" si="5"/>
        <v>Lost</v>
      </c>
    </row>
    <row r="236" ht="15.75" customHeight="1">
      <c r="A236" s="46" t="str">
        <f>'👥 Клієнти'!A235</f>
        <v>U0228</v>
      </c>
      <c r="B236" s="46">
        <f>'👥 Клієнти'!F235</f>
        <v>198</v>
      </c>
      <c r="C236" s="46">
        <f>'👥 Клієнти'!D235</f>
        <v>3</v>
      </c>
      <c r="D236" s="47">
        <f>'👥 Клієнти'!E235</f>
        <v>39.98</v>
      </c>
      <c r="E236" s="35">
        <f t="shared" si="1"/>
        <v>1</v>
      </c>
      <c r="F236" s="35">
        <f t="shared" si="2"/>
        <v>2</v>
      </c>
      <c r="G236" s="37">
        <f t="shared" si="3"/>
        <v>2</v>
      </c>
      <c r="H236" s="37" t="str">
        <f t="shared" si="4"/>
        <v>122</v>
      </c>
      <c r="I236" s="37" t="str">
        <f t="shared" si="5"/>
        <v>Lost</v>
      </c>
    </row>
    <row r="237" ht="15.75" customHeight="1">
      <c r="A237" s="46" t="str">
        <f>'👥 Клієнти'!A236</f>
        <v>U0573</v>
      </c>
      <c r="B237" s="46">
        <f>'👥 Клієнти'!F236</f>
        <v>228</v>
      </c>
      <c r="C237" s="46">
        <f>'👥 Клієнти'!D236</f>
        <v>2</v>
      </c>
      <c r="D237" s="47">
        <f>'👥 Клієнти'!E236</f>
        <v>19.99</v>
      </c>
      <c r="E237" s="35">
        <f t="shared" si="1"/>
        <v>1</v>
      </c>
      <c r="F237" s="35">
        <f t="shared" si="2"/>
        <v>1</v>
      </c>
      <c r="G237" s="37">
        <f t="shared" si="3"/>
        <v>1</v>
      </c>
      <c r="H237" s="37" t="str">
        <f t="shared" si="4"/>
        <v>111</v>
      </c>
      <c r="I237" s="37" t="str">
        <f t="shared" si="5"/>
        <v>Lost</v>
      </c>
    </row>
    <row r="238" ht="15.75" customHeight="1">
      <c r="A238" s="46" t="str">
        <f>'👥 Клієнти'!A237</f>
        <v>U0678</v>
      </c>
      <c r="B238" s="46">
        <f>'👥 Клієнти'!F237</f>
        <v>18</v>
      </c>
      <c r="C238" s="46">
        <f>'👥 Клієнти'!D237</f>
        <v>9</v>
      </c>
      <c r="D238" s="47">
        <f>'👥 Клієнти'!E237</f>
        <v>159.92</v>
      </c>
      <c r="E238" s="35">
        <f t="shared" si="1"/>
        <v>3</v>
      </c>
      <c r="F238" s="35">
        <f t="shared" si="2"/>
        <v>4</v>
      </c>
      <c r="G238" s="37">
        <f t="shared" si="3"/>
        <v>4</v>
      </c>
      <c r="H238" s="37" t="str">
        <f t="shared" si="4"/>
        <v>344</v>
      </c>
      <c r="I238" s="37" t="str">
        <f t="shared" si="5"/>
        <v>Loyal</v>
      </c>
    </row>
    <row r="239" ht="15.75" customHeight="1">
      <c r="A239" s="46" t="str">
        <f>'👥 Клієнти'!A238</f>
        <v>U0294</v>
      </c>
      <c r="B239" s="46">
        <f>'👥 Клієнти'!F238</f>
        <v>137</v>
      </c>
      <c r="C239" s="46">
        <f>'👥 Клієнти'!D238</f>
        <v>5</v>
      </c>
      <c r="D239" s="47">
        <f>'👥 Клієнти'!E238</f>
        <v>79.96</v>
      </c>
      <c r="E239" s="35">
        <f t="shared" si="1"/>
        <v>2</v>
      </c>
      <c r="F239" s="35">
        <f t="shared" si="2"/>
        <v>3</v>
      </c>
      <c r="G239" s="37">
        <f t="shared" si="3"/>
        <v>3</v>
      </c>
      <c r="H239" s="37" t="str">
        <f t="shared" si="4"/>
        <v>233</v>
      </c>
      <c r="I239" s="37" t="str">
        <f t="shared" si="5"/>
        <v>At Risk</v>
      </c>
    </row>
    <row r="240" ht="15.75" customHeight="1">
      <c r="A240" s="46" t="str">
        <f>'👥 Клієнти'!A239</f>
        <v>U0024</v>
      </c>
      <c r="B240" s="46">
        <f>'👥 Клієнти'!F239</f>
        <v>46</v>
      </c>
      <c r="C240" s="46">
        <f>'👥 Клієнти'!D239</f>
        <v>8</v>
      </c>
      <c r="D240" s="47">
        <f>'👥 Клієнти'!E239</f>
        <v>139.93</v>
      </c>
      <c r="E240" s="35">
        <f t="shared" si="1"/>
        <v>2</v>
      </c>
      <c r="F240" s="35">
        <f t="shared" si="2"/>
        <v>4</v>
      </c>
      <c r="G240" s="37">
        <f t="shared" si="3"/>
        <v>4</v>
      </c>
      <c r="H240" s="37" t="str">
        <f t="shared" si="4"/>
        <v>244</v>
      </c>
      <c r="I240" s="37" t="str">
        <f t="shared" si="5"/>
        <v>At Risk</v>
      </c>
    </row>
    <row r="241" ht="15.75" customHeight="1">
      <c r="A241" s="46" t="str">
        <f>'👥 Клієнти'!A240</f>
        <v>U0178</v>
      </c>
      <c r="B241" s="46">
        <f>'👥 Клієнти'!F240</f>
        <v>16</v>
      </c>
      <c r="C241" s="46">
        <f>'👥 Клієнти'!D240</f>
        <v>9</v>
      </c>
      <c r="D241" s="47">
        <f>'👥 Клієнти'!E240</f>
        <v>159.92</v>
      </c>
      <c r="E241" s="35">
        <f t="shared" si="1"/>
        <v>3</v>
      </c>
      <c r="F241" s="35">
        <f t="shared" si="2"/>
        <v>4</v>
      </c>
      <c r="G241" s="37">
        <f t="shared" si="3"/>
        <v>4</v>
      </c>
      <c r="H241" s="37" t="str">
        <f t="shared" si="4"/>
        <v>344</v>
      </c>
      <c r="I241" s="37" t="str">
        <f t="shared" si="5"/>
        <v>Loyal</v>
      </c>
    </row>
    <row r="242" ht="15.75" customHeight="1">
      <c r="A242" s="46" t="str">
        <f>'👥 Клієнти'!A241</f>
        <v>U0894</v>
      </c>
      <c r="B242" s="46">
        <f>'👥 Клієнти'!F241</f>
        <v>166</v>
      </c>
      <c r="C242" s="46">
        <f>'👥 Клієнти'!D241</f>
        <v>4</v>
      </c>
      <c r="D242" s="47">
        <f>'👥 Клієнти'!E241</f>
        <v>59.97</v>
      </c>
      <c r="E242" s="35">
        <f t="shared" si="1"/>
        <v>1</v>
      </c>
      <c r="F242" s="35">
        <f t="shared" si="2"/>
        <v>2</v>
      </c>
      <c r="G242" s="37">
        <f t="shared" si="3"/>
        <v>2</v>
      </c>
      <c r="H242" s="37" t="str">
        <f t="shared" si="4"/>
        <v>122</v>
      </c>
      <c r="I242" s="37" t="str">
        <f t="shared" si="5"/>
        <v>Lost</v>
      </c>
    </row>
    <row r="243" ht="15.75" customHeight="1">
      <c r="A243" s="46" t="str">
        <f>'👥 Клієнти'!A242</f>
        <v>U0161</v>
      </c>
      <c r="B243" s="46">
        <f>'👥 Клієнти'!F242</f>
        <v>15</v>
      </c>
      <c r="C243" s="46">
        <f>'👥 Клієнти'!D242</f>
        <v>9</v>
      </c>
      <c r="D243" s="47">
        <f>'👥 Клієнти'!E242</f>
        <v>159.92</v>
      </c>
      <c r="E243" s="35">
        <f t="shared" si="1"/>
        <v>4</v>
      </c>
      <c r="F243" s="35">
        <f t="shared" si="2"/>
        <v>4</v>
      </c>
      <c r="G243" s="37">
        <f t="shared" si="3"/>
        <v>4</v>
      </c>
      <c r="H243" s="37" t="str">
        <f t="shared" si="4"/>
        <v>444</v>
      </c>
      <c r="I243" s="37" t="str">
        <f t="shared" si="5"/>
        <v>Champions</v>
      </c>
    </row>
    <row r="244" ht="15.75" customHeight="1">
      <c r="A244" s="46" t="str">
        <f>'👥 Клієнти'!A243</f>
        <v>U0345</v>
      </c>
      <c r="B244" s="46">
        <f>'👥 Клієнти'!F243</f>
        <v>15</v>
      </c>
      <c r="C244" s="46">
        <f>'👥 Клієнти'!D243</f>
        <v>9</v>
      </c>
      <c r="D244" s="47">
        <f>'👥 Клієнти'!E243</f>
        <v>159.92</v>
      </c>
      <c r="E244" s="35">
        <f t="shared" si="1"/>
        <v>4</v>
      </c>
      <c r="F244" s="35">
        <f t="shared" si="2"/>
        <v>4</v>
      </c>
      <c r="G244" s="37">
        <f t="shared" si="3"/>
        <v>4</v>
      </c>
      <c r="H244" s="37" t="str">
        <f t="shared" si="4"/>
        <v>444</v>
      </c>
      <c r="I244" s="37" t="str">
        <f t="shared" si="5"/>
        <v>Champions</v>
      </c>
    </row>
    <row r="245" ht="15.75" customHeight="1">
      <c r="A245" s="46" t="str">
        <f>'👥 Клієнти'!A244</f>
        <v>U0567</v>
      </c>
      <c r="B245" s="46">
        <f>'👥 Клієнти'!F244</f>
        <v>15</v>
      </c>
      <c r="C245" s="46">
        <f>'👥 Клієнти'!D244</f>
        <v>9</v>
      </c>
      <c r="D245" s="47">
        <f>'👥 Клієнти'!E244</f>
        <v>159.92</v>
      </c>
      <c r="E245" s="35">
        <f t="shared" si="1"/>
        <v>4</v>
      </c>
      <c r="F245" s="35">
        <f t="shared" si="2"/>
        <v>4</v>
      </c>
      <c r="G245" s="37">
        <f t="shared" si="3"/>
        <v>4</v>
      </c>
      <c r="H245" s="37" t="str">
        <f t="shared" si="4"/>
        <v>444</v>
      </c>
      <c r="I245" s="37" t="str">
        <f t="shared" si="5"/>
        <v>Champions</v>
      </c>
    </row>
    <row r="246" ht="15.75" customHeight="1">
      <c r="A246" s="46" t="str">
        <f>'👥 Клієнти'!A245</f>
        <v>U0565</v>
      </c>
      <c r="B246" s="46">
        <f>'👥 Клієнти'!F245</f>
        <v>14</v>
      </c>
      <c r="C246" s="46">
        <f>'👥 Клієнти'!D245</f>
        <v>9</v>
      </c>
      <c r="D246" s="47">
        <f>'👥 Клієнти'!E245</f>
        <v>159.92</v>
      </c>
      <c r="E246" s="35">
        <f t="shared" si="1"/>
        <v>4</v>
      </c>
      <c r="F246" s="35">
        <f t="shared" si="2"/>
        <v>4</v>
      </c>
      <c r="G246" s="37">
        <f t="shared" si="3"/>
        <v>4</v>
      </c>
      <c r="H246" s="37" t="str">
        <f t="shared" si="4"/>
        <v>444</v>
      </c>
      <c r="I246" s="37" t="str">
        <f t="shared" si="5"/>
        <v>Champions</v>
      </c>
    </row>
    <row r="247" ht="15.75" customHeight="1">
      <c r="A247" s="46" t="str">
        <f>'👥 Клієнти'!A246</f>
        <v>U0496</v>
      </c>
      <c r="B247" s="46">
        <f>'👥 Клієнти'!F246</f>
        <v>222</v>
      </c>
      <c r="C247" s="46">
        <f>'👥 Клієнти'!D246</f>
        <v>2</v>
      </c>
      <c r="D247" s="47">
        <f>'👥 Клієнти'!E246</f>
        <v>19.99</v>
      </c>
      <c r="E247" s="35">
        <f t="shared" si="1"/>
        <v>1</v>
      </c>
      <c r="F247" s="35">
        <f t="shared" si="2"/>
        <v>1</v>
      </c>
      <c r="G247" s="37">
        <f t="shared" si="3"/>
        <v>1</v>
      </c>
      <c r="H247" s="37" t="str">
        <f t="shared" si="4"/>
        <v>111</v>
      </c>
      <c r="I247" s="37" t="str">
        <f t="shared" si="5"/>
        <v>Lost</v>
      </c>
    </row>
    <row r="248" ht="15.75" customHeight="1">
      <c r="A248" s="46" t="str">
        <f>'👥 Клієнти'!A247</f>
        <v>U0570</v>
      </c>
      <c r="B248" s="46">
        <f>'👥 Клієнти'!F247</f>
        <v>11</v>
      </c>
      <c r="C248" s="46">
        <f>'👥 Клієнти'!D247</f>
        <v>9</v>
      </c>
      <c r="D248" s="47">
        <f>'👥 Клієнти'!E247</f>
        <v>159.92</v>
      </c>
      <c r="E248" s="35">
        <f t="shared" si="1"/>
        <v>4</v>
      </c>
      <c r="F248" s="35">
        <f t="shared" si="2"/>
        <v>4</v>
      </c>
      <c r="G248" s="37">
        <f t="shared" si="3"/>
        <v>4</v>
      </c>
      <c r="H248" s="37" t="str">
        <f t="shared" si="4"/>
        <v>444</v>
      </c>
      <c r="I248" s="37" t="str">
        <f t="shared" si="5"/>
        <v>Champions</v>
      </c>
    </row>
    <row r="249" ht="15.75" customHeight="1">
      <c r="A249" s="46" t="str">
        <f>'👥 Клієнти'!A248</f>
        <v>U0715</v>
      </c>
      <c r="B249" s="46">
        <f>'👥 Клієнти'!F248</f>
        <v>161</v>
      </c>
      <c r="C249" s="46">
        <f>'👥 Клієнти'!D248</f>
        <v>4</v>
      </c>
      <c r="D249" s="47">
        <f>'👥 Клієнти'!E248</f>
        <v>59.97</v>
      </c>
      <c r="E249" s="35">
        <f t="shared" si="1"/>
        <v>1</v>
      </c>
      <c r="F249" s="35">
        <f t="shared" si="2"/>
        <v>2</v>
      </c>
      <c r="G249" s="37">
        <f t="shared" si="3"/>
        <v>2</v>
      </c>
      <c r="H249" s="37" t="str">
        <f t="shared" si="4"/>
        <v>122</v>
      </c>
      <c r="I249" s="37" t="str">
        <f t="shared" si="5"/>
        <v>Lost</v>
      </c>
    </row>
    <row r="250" ht="15.75" customHeight="1">
      <c r="A250" s="46" t="str">
        <f>'👥 Клієнти'!A249</f>
        <v>U0774</v>
      </c>
      <c r="B250" s="46">
        <f>'👥 Клієнти'!F249</f>
        <v>191</v>
      </c>
      <c r="C250" s="46">
        <f>'👥 Клієнти'!D249</f>
        <v>3</v>
      </c>
      <c r="D250" s="47">
        <f>'👥 Клієнти'!E249</f>
        <v>39.98</v>
      </c>
      <c r="E250" s="35">
        <f t="shared" si="1"/>
        <v>1</v>
      </c>
      <c r="F250" s="35">
        <f t="shared" si="2"/>
        <v>2</v>
      </c>
      <c r="G250" s="37">
        <f t="shared" si="3"/>
        <v>2</v>
      </c>
      <c r="H250" s="37" t="str">
        <f t="shared" si="4"/>
        <v>122</v>
      </c>
      <c r="I250" s="37" t="str">
        <f t="shared" si="5"/>
        <v>Lost</v>
      </c>
    </row>
    <row r="251" ht="15.75" customHeight="1">
      <c r="A251" s="46" t="str">
        <f>'👥 Клієнти'!A250</f>
        <v>U0517</v>
      </c>
      <c r="B251" s="46">
        <f>'👥 Клієнти'!F250</f>
        <v>130</v>
      </c>
      <c r="C251" s="46">
        <f>'👥 Клієнти'!D250</f>
        <v>5</v>
      </c>
      <c r="D251" s="47">
        <f>'👥 Клієнти'!E250</f>
        <v>79.96</v>
      </c>
      <c r="E251" s="35">
        <f t="shared" si="1"/>
        <v>2</v>
      </c>
      <c r="F251" s="35">
        <f t="shared" si="2"/>
        <v>3</v>
      </c>
      <c r="G251" s="37">
        <f t="shared" si="3"/>
        <v>3</v>
      </c>
      <c r="H251" s="37" t="str">
        <f t="shared" si="4"/>
        <v>233</v>
      </c>
      <c r="I251" s="37" t="str">
        <f t="shared" si="5"/>
        <v>At Risk</v>
      </c>
    </row>
    <row r="252" ht="15.75" customHeight="1">
      <c r="A252" s="46" t="str">
        <f>'👥 Клієнти'!A251</f>
        <v>U0079</v>
      </c>
      <c r="B252" s="46">
        <f>'👥 Клієнти'!F251</f>
        <v>9</v>
      </c>
      <c r="C252" s="46">
        <f>'👥 Клієнти'!D251</f>
        <v>9</v>
      </c>
      <c r="D252" s="47">
        <f>'👥 Клієнти'!E251</f>
        <v>159.92</v>
      </c>
      <c r="E252" s="35">
        <f t="shared" si="1"/>
        <v>4</v>
      </c>
      <c r="F252" s="35">
        <f t="shared" si="2"/>
        <v>4</v>
      </c>
      <c r="G252" s="37">
        <f t="shared" si="3"/>
        <v>4</v>
      </c>
      <c r="H252" s="37" t="str">
        <f t="shared" si="4"/>
        <v>444</v>
      </c>
      <c r="I252" s="37" t="str">
        <f t="shared" si="5"/>
        <v>Champions</v>
      </c>
    </row>
    <row r="253" ht="15.75" customHeight="1">
      <c r="A253" s="46" t="str">
        <f>'👥 Клієнти'!A252</f>
        <v>U0754</v>
      </c>
      <c r="B253" s="46">
        <f>'👥 Клієнти'!F252</f>
        <v>219</v>
      </c>
      <c r="C253" s="46">
        <f>'👥 Клієнти'!D252</f>
        <v>2</v>
      </c>
      <c r="D253" s="47">
        <f>'👥 Клієнти'!E252</f>
        <v>19.99</v>
      </c>
      <c r="E253" s="35">
        <f t="shared" si="1"/>
        <v>1</v>
      </c>
      <c r="F253" s="35">
        <f t="shared" si="2"/>
        <v>1</v>
      </c>
      <c r="G253" s="37">
        <f t="shared" si="3"/>
        <v>1</v>
      </c>
      <c r="H253" s="37" t="str">
        <f t="shared" si="4"/>
        <v>111</v>
      </c>
      <c r="I253" s="37" t="str">
        <f t="shared" si="5"/>
        <v>Lost</v>
      </c>
    </row>
    <row r="254" ht="15.75" customHeight="1">
      <c r="A254" s="46" t="str">
        <f>'👥 Клієнти'!A253</f>
        <v>U0827</v>
      </c>
      <c r="B254" s="46">
        <f>'👥 Клієнти'!F253</f>
        <v>219</v>
      </c>
      <c r="C254" s="46">
        <f>'👥 Клієнти'!D253</f>
        <v>2</v>
      </c>
      <c r="D254" s="47">
        <f>'👥 Клієнти'!E253</f>
        <v>19.99</v>
      </c>
      <c r="E254" s="35">
        <f t="shared" si="1"/>
        <v>1</v>
      </c>
      <c r="F254" s="35">
        <f t="shared" si="2"/>
        <v>1</v>
      </c>
      <c r="G254" s="37">
        <f t="shared" si="3"/>
        <v>1</v>
      </c>
      <c r="H254" s="37" t="str">
        <f t="shared" si="4"/>
        <v>111</v>
      </c>
      <c r="I254" s="37" t="str">
        <f t="shared" si="5"/>
        <v>Lost</v>
      </c>
    </row>
    <row r="255" ht="15.75" customHeight="1">
      <c r="A255" s="46" t="str">
        <f>'👥 Клієнти'!A254</f>
        <v>U0784</v>
      </c>
      <c r="B255" s="46">
        <f>'👥 Клієнти'!F254</f>
        <v>218</v>
      </c>
      <c r="C255" s="46">
        <f>'👥 Клієнти'!D254</f>
        <v>2</v>
      </c>
      <c r="D255" s="47">
        <f>'👥 Клієнти'!E254</f>
        <v>19.99</v>
      </c>
      <c r="E255" s="35">
        <f t="shared" si="1"/>
        <v>1</v>
      </c>
      <c r="F255" s="35">
        <f t="shared" si="2"/>
        <v>1</v>
      </c>
      <c r="G255" s="37">
        <f t="shared" si="3"/>
        <v>1</v>
      </c>
      <c r="H255" s="37" t="str">
        <f t="shared" si="4"/>
        <v>111</v>
      </c>
      <c r="I255" s="37" t="str">
        <f t="shared" si="5"/>
        <v>Lost</v>
      </c>
    </row>
    <row r="256" ht="15.75" customHeight="1">
      <c r="A256" s="46" t="str">
        <f>'👥 Клієнти'!A255</f>
        <v>U0466</v>
      </c>
      <c r="B256" s="46">
        <f>'👥 Клієнти'!F255</f>
        <v>7</v>
      </c>
      <c r="C256" s="46">
        <f>'👥 Клієнти'!D255</f>
        <v>9</v>
      </c>
      <c r="D256" s="47">
        <f>'👥 Клієнти'!E255</f>
        <v>159.92</v>
      </c>
      <c r="E256" s="35">
        <f t="shared" si="1"/>
        <v>5</v>
      </c>
      <c r="F256" s="35">
        <f t="shared" si="2"/>
        <v>4</v>
      </c>
      <c r="G256" s="37">
        <f t="shared" si="3"/>
        <v>4</v>
      </c>
      <c r="H256" s="37" t="str">
        <f t="shared" si="4"/>
        <v>544</v>
      </c>
      <c r="I256" s="37" t="str">
        <f t="shared" si="5"/>
        <v>Champions</v>
      </c>
    </row>
    <row r="257" ht="15.75" customHeight="1">
      <c r="A257" s="46" t="str">
        <f>'👥 Клієнти'!A256</f>
        <v>U0244</v>
      </c>
      <c r="B257" s="46">
        <f>'👥 Клієнти'!F256</f>
        <v>6</v>
      </c>
      <c r="C257" s="46">
        <f>'👥 Клієнти'!D256</f>
        <v>9</v>
      </c>
      <c r="D257" s="47">
        <f>'👥 Клієнти'!E256</f>
        <v>159.92</v>
      </c>
      <c r="E257" s="35">
        <f t="shared" si="1"/>
        <v>5</v>
      </c>
      <c r="F257" s="35">
        <f t="shared" si="2"/>
        <v>4</v>
      </c>
      <c r="G257" s="37">
        <f t="shared" si="3"/>
        <v>4</v>
      </c>
      <c r="H257" s="37" t="str">
        <f t="shared" si="4"/>
        <v>544</v>
      </c>
      <c r="I257" s="37" t="str">
        <f t="shared" si="5"/>
        <v>Champions</v>
      </c>
    </row>
    <row r="258" ht="15.75" customHeight="1">
      <c r="A258" s="46" t="str">
        <f>'👥 Клієнти'!A257</f>
        <v>U0823</v>
      </c>
      <c r="B258" s="46">
        <f>'👥 Клієнти'!F257</f>
        <v>6</v>
      </c>
      <c r="C258" s="46">
        <f>'👥 Клієнти'!D257</f>
        <v>9</v>
      </c>
      <c r="D258" s="47">
        <f>'👥 Клієнти'!E257</f>
        <v>159.92</v>
      </c>
      <c r="E258" s="35">
        <f t="shared" si="1"/>
        <v>5</v>
      </c>
      <c r="F258" s="35">
        <f t="shared" si="2"/>
        <v>4</v>
      </c>
      <c r="G258" s="37">
        <f t="shared" si="3"/>
        <v>4</v>
      </c>
      <c r="H258" s="37" t="str">
        <f t="shared" si="4"/>
        <v>544</v>
      </c>
      <c r="I258" s="37" t="str">
        <f t="shared" si="5"/>
        <v>Champions</v>
      </c>
    </row>
    <row r="259" ht="15.75" customHeight="1">
      <c r="A259" s="46" t="str">
        <f>'👥 Клієнти'!A258</f>
        <v>U0001</v>
      </c>
      <c r="B259" s="46">
        <f>'👥 Клієнти'!F258</f>
        <v>5</v>
      </c>
      <c r="C259" s="46">
        <f>'👥 Клієнти'!D258</f>
        <v>9</v>
      </c>
      <c r="D259" s="47">
        <f>'👥 Клієнти'!E258</f>
        <v>159.92</v>
      </c>
      <c r="E259" s="35">
        <f t="shared" si="1"/>
        <v>5</v>
      </c>
      <c r="F259" s="35">
        <f t="shared" si="2"/>
        <v>4</v>
      </c>
      <c r="G259" s="37">
        <f t="shared" si="3"/>
        <v>4</v>
      </c>
      <c r="H259" s="37" t="str">
        <f t="shared" si="4"/>
        <v>544</v>
      </c>
      <c r="I259" s="37" t="str">
        <f t="shared" si="5"/>
        <v>Champions</v>
      </c>
    </row>
    <row r="260" ht="15.75" customHeight="1">
      <c r="A260" s="46" t="str">
        <f>'👥 Клієнти'!A259</f>
        <v>U0828</v>
      </c>
      <c r="B260" s="46">
        <f>'👥 Клієнти'!F259</f>
        <v>4</v>
      </c>
      <c r="C260" s="46">
        <f>'👥 Клієнти'!D259</f>
        <v>9</v>
      </c>
      <c r="D260" s="47">
        <f>'👥 Клієнти'!E259</f>
        <v>159.92</v>
      </c>
      <c r="E260" s="35">
        <f t="shared" si="1"/>
        <v>5</v>
      </c>
      <c r="F260" s="35">
        <f t="shared" si="2"/>
        <v>4</v>
      </c>
      <c r="G260" s="37">
        <f t="shared" si="3"/>
        <v>4</v>
      </c>
      <c r="H260" s="37" t="str">
        <f t="shared" si="4"/>
        <v>544</v>
      </c>
      <c r="I260" s="37" t="str">
        <f t="shared" si="5"/>
        <v>Champions</v>
      </c>
    </row>
    <row r="261" ht="15.75" customHeight="1">
      <c r="A261" s="46" t="str">
        <f>'👥 Клієнти'!A260</f>
        <v>U0349</v>
      </c>
      <c r="B261" s="46">
        <f>'👥 Клієнти'!F260</f>
        <v>3</v>
      </c>
      <c r="C261" s="46">
        <f>'👥 Клієнти'!D260</f>
        <v>9</v>
      </c>
      <c r="D261" s="47">
        <f>'👥 Клієнти'!E260</f>
        <v>159.92</v>
      </c>
      <c r="E261" s="35">
        <f t="shared" si="1"/>
        <v>5</v>
      </c>
      <c r="F261" s="35">
        <f t="shared" si="2"/>
        <v>4</v>
      </c>
      <c r="G261" s="37">
        <f t="shared" si="3"/>
        <v>4</v>
      </c>
      <c r="H261" s="37" t="str">
        <f t="shared" si="4"/>
        <v>544</v>
      </c>
      <c r="I261" s="37" t="str">
        <f t="shared" si="5"/>
        <v>Champions</v>
      </c>
    </row>
    <row r="262" ht="15.75" customHeight="1">
      <c r="A262" s="46" t="str">
        <f>'👥 Клієнти'!A261</f>
        <v>U0838</v>
      </c>
      <c r="B262" s="46">
        <f>'👥 Клієнти'!F261</f>
        <v>213</v>
      </c>
      <c r="C262" s="46">
        <f>'👥 Клієнти'!D261</f>
        <v>2</v>
      </c>
      <c r="D262" s="47">
        <f>'👥 Клієнти'!E261</f>
        <v>19.99</v>
      </c>
      <c r="E262" s="35">
        <f t="shared" si="1"/>
        <v>1</v>
      </c>
      <c r="F262" s="35">
        <f t="shared" si="2"/>
        <v>1</v>
      </c>
      <c r="G262" s="37">
        <f t="shared" si="3"/>
        <v>1</v>
      </c>
      <c r="H262" s="37" t="str">
        <f t="shared" si="4"/>
        <v>111</v>
      </c>
      <c r="I262" s="37" t="str">
        <f t="shared" si="5"/>
        <v>Lost</v>
      </c>
    </row>
    <row r="263" ht="15.75" customHeight="1">
      <c r="A263" s="46" t="str">
        <f>'👥 Клієнти'!A262</f>
        <v>U0429</v>
      </c>
      <c r="B263" s="46">
        <f>'👥 Клієнти'!F262</f>
        <v>182</v>
      </c>
      <c r="C263" s="46">
        <f>'👥 Клієнти'!D262</f>
        <v>3</v>
      </c>
      <c r="D263" s="47">
        <f>'👥 Клієнти'!E262</f>
        <v>39.98</v>
      </c>
      <c r="E263" s="35">
        <f t="shared" si="1"/>
        <v>1</v>
      </c>
      <c r="F263" s="35">
        <f t="shared" si="2"/>
        <v>2</v>
      </c>
      <c r="G263" s="37">
        <f t="shared" si="3"/>
        <v>2</v>
      </c>
      <c r="H263" s="37" t="str">
        <f t="shared" si="4"/>
        <v>122</v>
      </c>
      <c r="I263" s="37" t="str">
        <f t="shared" si="5"/>
        <v>Lost</v>
      </c>
    </row>
    <row r="264" ht="15.75" customHeight="1">
      <c r="A264" s="46" t="str">
        <f>'👥 Клієнти'!A263</f>
        <v>U0282</v>
      </c>
      <c r="B264" s="46">
        <f>'👥 Клієнти'!F263</f>
        <v>181</v>
      </c>
      <c r="C264" s="46">
        <f>'👥 Клієнти'!D263</f>
        <v>3</v>
      </c>
      <c r="D264" s="47">
        <f>'👥 Клієнти'!E263</f>
        <v>39.98</v>
      </c>
      <c r="E264" s="35">
        <f t="shared" si="1"/>
        <v>1</v>
      </c>
      <c r="F264" s="35">
        <f t="shared" si="2"/>
        <v>2</v>
      </c>
      <c r="G264" s="37">
        <f t="shared" si="3"/>
        <v>2</v>
      </c>
      <c r="H264" s="37" t="str">
        <f t="shared" si="4"/>
        <v>122</v>
      </c>
      <c r="I264" s="37" t="str">
        <f t="shared" si="5"/>
        <v>Lost</v>
      </c>
    </row>
    <row r="265" ht="15.75" customHeight="1">
      <c r="A265" s="46" t="str">
        <f>'👥 Клієнти'!A264</f>
        <v>U0444</v>
      </c>
      <c r="B265" s="46">
        <f>'👥 Клієнти'!F264</f>
        <v>0</v>
      </c>
      <c r="C265" s="46">
        <f>'👥 Клієнти'!D264</f>
        <v>9</v>
      </c>
      <c r="D265" s="47">
        <f>'👥 Клієнти'!E264</f>
        <v>159.92</v>
      </c>
      <c r="E265" s="35">
        <f t="shared" si="1"/>
        <v>5</v>
      </c>
      <c r="F265" s="35">
        <f t="shared" si="2"/>
        <v>4</v>
      </c>
      <c r="G265" s="37">
        <f t="shared" si="3"/>
        <v>4</v>
      </c>
      <c r="H265" s="37" t="str">
        <f t="shared" si="4"/>
        <v>544</v>
      </c>
      <c r="I265" s="37" t="str">
        <f t="shared" si="5"/>
        <v>Champions</v>
      </c>
    </row>
    <row r="266" ht="15.75" customHeight="1">
      <c r="A266" s="46" t="str">
        <f>'👥 Клієнти'!A265</f>
        <v>U0640</v>
      </c>
      <c r="B266" s="46">
        <f>'👥 Клієнти'!F265</f>
        <v>30</v>
      </c>
      <c r="C266" s="46">
        <f>'👥 Клієнти'!D265</f>
        <v>8</v>
      </c>
      <c r="D266" s="47">
        <f>'👥 Клієнти'!E265</f>
        <v>139.93</v>
      </c>
      <c r="E266" s="35">
        <f t="shared" si="1"/>
        <v>2</v>
      </c>
      <c r="F266" s="35">
        <f t="shared" si="2"/>
        <v>4</v>
      </c>
      <c r="G266" s="37">
        <f t="shared" si="3"/>
        <v>4</v>
      </c>
      <c r="H266" s="37" t="str">
        <f t="shared" si="4"/>
        <v>244</v>
      </c>
      <c r="I266" s="37" t="str">
        <f t="shared" si="5"/>
        <v>At Risk</v>
      </c>
    </row>
    <row r="267" ht="15.75" customHeight="1">
      <c r="A267" s="46" t="str">
        <f>'👥 Клієнти'!A266</f>
        <v>U0361</v>
      </c>
      <c r="B267" s="46">
        <f>'👥 Клієнти'!F266</f>
        <v>59</v>
      </c>
      <c r="C267" s="46">
        <f>'👥 Клієнти'!D266</f>
        <v>7</v>
      </c>
      <c r="D267" s="47">
        <f>'👥 Клієнти'!E266</f>
        <v>119.94</v>
      </c>
      <c r="E267" s="35">
        <f t="shared" si="1"/>
        <v>2</v>
      </c>
      <c r="F267" s="35">
        <f t="shared" si="2"/>
        <v>4</v>
      </c>
      <c r="G267" s="37">
        <f t="shared" si="3"/>
        <v>4</v>
      </c>
      <c r="H267" s="37" t="str">
        <f t="shared" si="4"/>
        <v>244</v>
      </c>
      <c r="I267" s="37" t="str">
        <f t="shared" si="5"/>
        <v>At Risk</v>
      </c>
    </row>
    <row r="268" ht="15.75" customHeight="1">
      <c r="A268" s="46" t="str">
        <f>'👥 Клієнти'!A267</f>
        <v>U0623</v>
      </c>
      <c r="B268" s="46">
        <f>'👥 Клієнти'!F267</f>
        <v>209</v>
      </c>
      <c r="C268" s="46">
        <f>'👥 Клієнти'!D267</f>
        <v>2</v>
      </c>
      <c r="D268" s="47">
        <f>'👥 Клієнти'!E267</f>
        <v>19.99</v>
      </c>
      <c r="E268" s="35">
        <f t="shared" si="1"/>
        <v>1</v>
      </c>
      <c r="F268" s="35">
        <f t="shared" si="2"/>
        <v>1</v>
      </c>
      <c r="G268" s="37">
        <f t="shared" si="3"/>
        <v>1</v>
      </c>
      <c r="H268" s="37" t="str">
        <f t="shared" si="4"/>
        <v>111</v>
      </c>
      <c r="I268" s="37" t="str">
        <f t="shared" si="5"/>
        <v>Lost</v>
      </c>
    </row>
    <row r="269" ht="15.75" customHeight="1">
      <c r="A269" s="46" t="str">
        <f>'👥 Клієнти'!A268</f>
        <v>U0139</v>
      </c>
      <c r="B269" s="46">
        <f>'👥 Клієнти'!F268</f>
        <v>88</v>
      </c>
      <c r="C269" s="46">
        <f>'👥 Клієнти'!D268</f>
        <v>6</v>
      </c>
      <c r="D269" s="47">
        <f>'👥 Клієнти'!E268</f>
        <v>99.95</v>
      </c>
      <c r="E269" s="35">
        <f t="shared" si="1"/>
        <v>2</v>
      </c>
      <c r="F269" s="35">
        <f t="shared" si="2"/>
        <v>3</v>
      </c>
      <c r="G269" s="37">
        <f t="shared" si="3"/>
        <v>3</v>
      </c>
      <c r="H269" s="37" t="str">
        <f t="shared" si="4"/>
        <v>233</v>
      </c>
      <c r="I269" s="37" t="str">
        <f t="shared" si="5"/>
        <v>At Risk</v>
      </c>
    </row>
    <row r="270" ht="15.75" customHeight="1">
      <c r="A270" s="46" t="str">
        <f>'👥 Клієнти'!A269</f>
        <v>U0195</v>
      </c>
      <c r="B270" s="46">
        <f>'👥 Клієнти'!F269</f>
        <v>146</v>
      </c>
      <c r="C270" s="46">
        <f>'👥 Клієнти'!D269</f>
        <v>4</v>
      </c>
      <c r="D270" s="47">
        <f>'👥 Клієнти'!E269</f>
        <v>59.97</v>
      </c>
      <c r="E270" s="35">
        <f t="shared" si="1"/>
        <v>1</v>
      </c>
      <c r="F270" s="35">
        <f t="shared" si="2"/>
        <v>2</v>
      </c>
      <c r="G270" s="37">
        <f t="shared" si="3"/>
        <v>2</v>
      </c>
      <c r="H270" s="37" t="str">
        <f t="shared" si="4"/>
        <v>122</v>
      </c>
      <c r="I270" s="37" t="str">
        <f t="shared" si="5"/>
        <v>Lost</v>
      </c>
    </row>
    <row r="271" ht="15.75" customHeight="1">
      <c r="A271" s="46" t="str">
        <f>'👥 Клієнти'!A270</f>
        <v>U0871</v>
      </c>
      <c r="B271" s="46">
        <f>'👥 Клієнти'!F270</f>
        <v>25</v>
      </c>
      <c r="C271" s="46">
        <f>'👥 Клієнти'!D270</f>
        <v>8</v>
      </c>
      <c r="D271" s="47">
        <f>'👥 Клієнти'!E270</f>
        <v>139.93</v>
      </c>
      <c r="E271" s="35">
        <f t="shared" si="1"/>
        <v>3</v>
      </c>
      <c r="F271" s="35">
        <f t="shared" si="2"/>
        <v>4</v>
      </c>
      <c r="G271" s="37">
        <f t="shared" si="3"/>
        <v>4</v>
      </c>
      <c r="H271" s="37" t="str">
        <f t="shared" si="4"/>
        <v>344</v>
      </c>
      <c r="I271" s="37" t="str">
        <f t="shared" si="5"/>
        <v>Loyal</v>
      </c>
    </row>
    <row r="272" ht="15.75" customHeight="1">
      <c r="A272" s="46" t="str">
        <f>'👥 Клієнти'!A271</f>
        <v>U0606</v>
      </c>
      <c r="B272" s="46">
        <f>'👥 Клієнти'!F271</f>
        <v>23</v>
      </c>
      <c r="C272" s="46">
        <f>'👥 Клієнти'!D271</f>
        <v>8</v>
      </c>
      <c r="D272" s="47">
        <f>'👥 Клієнти'!E271</f>
        <v>139.93</v>
      </c>
      <c r="E272" s="35">
        <f t="shared" si="1"/>
        <v>3</v>
      </c>
      <c r="F272" s="35">
        <f t="shared" si="2"/>
        <v>4</v>
      </c>
      <c r="G272" s="37">
        <f t="shared" si="3"/>
        <v>4</v>
      </c>
      <c r="H272" s="37" t="str">
        <f t="shared" si="4"/>
        <v>344</v>
      </c>
      <c r="I272" s="37" t="str">
        <f t="shared" si="5"/>
        <v>Loyal</v>
      </c>
    </row>
    <row r="273" ht="15.75" customHeight="1">
      <c r="A273" s="46" t="str">
        <f>'👥 Клієнти'!A272</f>
        <v>U0317</v>
      </c>
      <c r="B273" s="46">
        <f>'👥 Клієнти'!F272</f>
        <v>22</v>
      </c>
      <c r="C273" s="46">
        <f>'👥 Клієнти'!D272</f>
        <v>8</v>
      </c>
      <c r="D273" s="47">
        <f>'👥 Клієнти'!E272</f>
        <v>139.93</v>
      </c>
      <c r="E273" s="35">
        <f t="shared" si="1"/>
        <v>3</v>
      </c>
      <c r="F273" s="35">
        <f t="shared" si="2"/>
        <v>4</v>
      </c>
      <c r="G273" s="37">
        <f t="shared" si="3"/>
        <v>4</v>
      </c>
      <c r="H273" s="37" t="str">
        <f t="shared" si="4"/>
        <v>344</v>
      </c>
      <c r="I273" s="37" t="str">
        <f t="shared" si="5"/>
        <v>Loyal</v>
      </c>
    </row>
    <row r="274" ht="15.75" customHeight="1">
      <c r="A274" s="46" t="str">
        <f>'👥 Клієнти'!A273</f>
        <v>U0636</v>
      </c>
      <c r="B274" s="46">
        <f>'👥 Клієнти'!F273</f>
        <v>52</v>
      </c>
      <c r="C274" s="46">
        <f>'👥 Клієнти'!D273</f>
        <v>7</v>
      </c>
      <c r="D274" s="47">
        <f>'👥 Клієнти'!E273</f>
        <v>119.94</v>
      </c>
      <c r="E274" s="35">
        <f t="shared" si="1"/>
        <v>2</v>
      </c>
      <c r="F274" s="35">
        <f t="shared" si="2"/>
        <v>4</v>
      </c>
      <c r="G274" s="37">
        <f t="shared" si="3"/>
        <v>4</v>
      </c>
      <c r="H274" s="37" t="str">
        <f t="shared" si="4"/>
        <v>244</v>
      </c>
      <c r="I274" s="37" t="str">
        <f t="shared" si="5"/>
        <v>At Risk</v>
      </c>
    </row>
    <row r="275" ht="15.75" customHeight="1">
      <c r="A275" s="46" t="str">
        <f>'👥 Клієнти'!A274</f>
        <v>U0398</v>
      </c>
      <c r="B275" s="46">
        <f>'👥 Клієнти'!F274</f>
        <v>20</v>
      </c>
      <c r="C275" s="46">
        <f>'👥 Клієнти'!D274</f>
        <v>8</v>
      </c>
      <c r="D275" s="47">
        <f>'👥 Клієнти'!E274</f>
        <v>139.93</v>
      </c>
      <c r="E275" s="35">
        <f t="shared" si="1"/>
        <v>3</v>
      </c>
      <c r="F275" s="35">
        <f t="shared" si="2"/>
        <v>4</v>
      </c>
      <c r="G275" s="37">
        <f t="shared" si="3"/>
        <v>4</v>
      </c>
      <c r="H275" s="37" t="str">
        <f t="shared" si="4"/>
        <v>344</v>
      </c>
      <c r="I275" s="37" t="str">
        <f t="shared" si="5"/>
        <v>Loyal</v>
      </c>
    </row>
    <row r="276" ht="15.75" customHeight="1">
      <c r="A276" s="46" t="str">
        <f>'👥 Клієнти'!A275</f>
        <v>U0453</v>
      </c>
      <c r="B276" s="46">
        <f>'👥 Клієнти'!F275</f>
        <v>20</v>
      </c>
      <c r="C276" s="46">
        <f>'👥 Клієнти'!D275</f>
        <v>8</v>
      </c>
      <c r="D276" s="47">
        <f>'👥 Клієнти'!E275</f>
        <v>139.93</v>
      </c>
      <c r="E276" s="35">
        <f t="shared" si="1"/>
        <v>3</v>
      </c>
      <c r="F276" s="35">
        <f t="shared" si="2"/>
        <v>4</v>
      </c>
      <c r="G276" s="37">
        <f t="shared" si="3"/>
        <v>4</v>
      </c>
      <c r="H276" s="37" t="str">
        <f t="shared" si="4"/>
        <v>344</v>
      </c>
      <c r="I276" s="37" t="str">
        <f t="shared" si="5"/>
        <v>Loyal</v>
      </c>
    </row>
    <row r="277" ht="15.75" customHeight="1">
      <c r="A277" s="46" t="str">
        <f>'👥 Клієнти'!A276</f>
        <v>U0739</v>
      </c>
      <c r="B277" s="46">
        <f>'👥 Клієнти'!F276</f>
        <v>19</v>
      </c>
      <c r="C277" s="46">
        <f>'👥 Клієнти'!D276</f>
        <v>8</v>
      </c>
      <c r="D277" s="47">
        <f>'👥 Клієнти'!E276</f>
        <v>139.93</v>
      </c>
      <c r="E277" s="35">
        <f t="shared" si="1"/>
        <v>3</v>
      </c>
      <c r="F277" s="35">
        <f t="shared" si="2"/>
        <v>4</v>
      </c>
      <c r="G277" s="37">
        <f t="shared" si="3"/>
        <v>4</v>
      </c>
      <c r="H277" s="37" t="str">
        <f t="shared" si="4"/>
        <v>344</v>
      </c>
      <c r="I277" s="37" t="str">
        <f t="shared" si="5"/>
        <v>Loyal</v>
      </c>
    </row>
    <row r="278" ht="15.75" customHeight="1">
      <c r="A278" s="46" t="str">
        <f>'👥 Клієнти'!A277</f>
        <v>U0788</v>
      </c>
      <c r="B278" s="46">
        <f>'👥 Клієнти'!F277</f>
        <v>138</v>
      </c>
      <c r="C278" s="46">
        <f>'👥 Клієнти'!D277</f>
        <v>4</v>
      </c>
      <c r="D278" s="47">
        <f>'👥 Клієнти'!E277</f>
        <v>59.97</v>
      </c>
      <c r="E278" s="35">
        <f t="shared" si="1"/>
        <v>2</v>
      </c>
      <c r="F278" s="35">
        <f t="shared" si="2"/>
        <v>2</v>
      </c>
      <c r="G278" s="37">
        <f t="shared" si="3"/>
        <v>2</v>
      </c>
      <c r="H278" s="37" t="str">
        <f t="shared" si="4"/>
        <v>222</v>
      </c>
      <c r="I278" s="37" t="str">
        <f t="shared" si="5"/>
        <v>Lost</v>
      </c>
    </row>
    <row r="279" ht="15.75" customHeight="1">
      <c r="A279" s="46" t="str">
        <f>'👥 Клієнти'!A278</f>
        <v>U0874</v>
      </c>
      <c r="B279" s="46">
        <f>'👥 Клієнти'!F278</f>
        <v>16</v>
      </c>
      <c r="C279" s="46">
        <f>'👥 Клієнти'!D278</f>
        <v>8</v>
      </c>
      <c r="D279" s="47">
        <f>'👥 Клієнти'!E278</f>
        <v>139.93</v>
      </c>
      <c r="E279" s="35">
        <f t="shared" si="1"/>
        <v>3</v>
      </c>
      <c r="F279" s="35">
        <f t="shared" si="2"/>
        <v>4</v>
      </c>
      <c r="G279" s="37">
        <f t="shared" si="3"/>
        <v>4</v>
      </c>
      <c r="H279" s="37" t="str">
        <f t="shared" si="4"/>
        <v>344</v>
      </c>
      <c r="I279" s="37" t="str">
        <f t="shared" si="5"/>
        <v>Loyal</v>
      </c>
    </row>
    <row r="280" ht="15.75" customHeight="1">
      <c r="A280" s="46" t="str">
        <f>'👥 Клієнти'!A279</f>
        <v>U0131</v>
      </c>
      <c r="B280" s="46">
        <f>'👥 Клієнти'!F279</f>
        <v>15</v>
      </c>
      <c r="C280" s="46">
        <f>'👥 Клієнти'!D279</f>
        <v>8</v>
      </c>
      <c r="D280" s="47">
        <f>'👥 Клієнти'!E279</f>
        <v>139.93</v>
      </c>
      <c r="E280" s="35">
        <f t="shared" si="1"/>
        <v>4</v>
      </c>
      <c r="F280" s="35">
        <f t="shared" si="2"/>
        <v>4</v>
      </c>
      <c r="G280" s="37">
        <f t="shared" si="3"/>
        <v>4</v>
      </c>
      <c r="H280" s="37" t="str">
        <f t="shared" si="4"/>
        <v>444</v>
      </c>
      <c r="I280" s="37" t="str">
        <f t="shared" si="5"/>
        <v>Champions</v>
      </c>
    </row>
    <row r="281" ht="15.75" customHeight="1">
      <c r="A281" s="46" t="str">
        <f>'👥 Клієнти'!A280</f>
        <v>U0098</v>
      </c>
      <c r="B281" s="46">
        <f>'👥 Клієнти'!F280</f>
        <v>14</v>
      </c>
      <c r="C281" s="46">
        <f>'👥 Клієнти'!D280</f>
        <v>8</v>
      </c>
      <c r="D281" s="47">
        <f>'👥 Клієнти'!E280</f>
        <v>139.93</v>
      </c>
      <c r="E281" s="35">
        <f t="shared" si="1"/>
        <v>4</v>
      </c>
      <c r="F281" s="35">
        <f t="shared" si="2"/>
        <v>4</v>
      </c>
      <c r="G281" s="37">
        <f t="shared" si="3"/>
        <v>4</v>
      </c>
      <c r="H281" s="37" t="str">
        <f t="shared" si="4"/>
        <v>444</v>
      </c>
      <c r="I281" s="37" t="str">
        <f t="shared" si="5"/>
        <v>Champions</v>
      </c>
    </row>
    <row r="282" ht="15.75" customHeight="1">
      <c r="A282" s="46" t="str">
        <f>'👥 Клієнти'!A281</f>
        <v>U0287</v>
      </c>
      <c r="B282" s="46">
        <f>'👥 Клієнти'!F281</f>
        <v>13</v>
      </c>
      <c r="C282" s="46">
        <f>'👥 Клієнти'!D281</f>
        <v>8</v>
      </c>
      <c r="D282" s="47">
        <f>'👥 Клієнти'!E281</f>
        <v>139.93</v>
      </c>
      <c r="E282" s="35">
        <f t="shared" si="1"/>
        <v>4</v>
      </c>
      <c r="F282" s="35">
        <f t="shared" si="2"/>
        <v>4</v>
      </c>
      <c r="G282" s="37">
        <f t="shared" si="3"/>
        <v>4</v>
      </c>
      <c r="H282" s="37" t="str">
        <f t="shared" si="4"/>
        <v>444</v>
      </c>
      <c r="I282" s="37" t="str">
        <f t="shared" si="5"/>
        <v>Champions</v>
      </c>
    </row>
    <row r="283" ht="15.75" customHeight="1">
      <c r="A283" s="46" t="str">
        <f>'👥 Клієнти'!A282</f>
        <v>U0416</v>
      </c>
      <c r="B283" s="46">
        <f>'👥 Клієнти'!F282</f>
        <v>193</v>
      </c>
      <c r="C283" s="46">
        <f>'👥 Клієнти'!D282</f>
        <v>2</v>
      </c>
      <c r="D283" s="47">
        <f>'👥 Клієнти'!E282</f>
        <v>19.99</v>
      </c>
      <c r="E283" s="35">
        <f t="shared" si="1"/>
        <v>1</v>
      </c>
      <c r="F283" s="35">
        <f t="shared" si="2"/>
        <v>1</v>
      </c>
      <c r="G283" s="37">
        <f t="shared" si="3"/>
        <v>1</v>
      </c>
      <c r="H283" s="37" t="str">
        <f t="shared" si="4"/>
        <v>111</v>
      </c>
      <c r="I283" s="37" t="str">
        <f t="shared" si="5"/>
        <v>Lost</v>
      </c>
    </row>
    <row r="284" ht="15.75" customHeight="1">
      <c r="A284" s="46" t="str">
        <f>'👥 Клієнти'!A283</f>
        <v>U0809</v>
      </c>
      <c r="B284" s="46">
        <f>'👥 Клієнти'!F283</f>
        <v>133</v>
      </c>
      <c r="C284" s="46">
        <f>'👥 Клієнти'!D283</f>
        <v>4</v>
      </c>
      <c r="D284" s="47">
        <f>'👥 Клієнти'!E283</f>
        <v>59.97</v>
      </c>
      <c r="E284" s="35">
        <f t="shared" si="1"/>
        <v>2</v>
      </c>
      <c r="F284" s="35">
        <f t="shared" si="2"/>
        <v>2</v>
      </c>
      <c r="G284" s="37">
        <f t="shared" si="3"/>
        <v>2</v>
      </c>
      <c r="H284" s="37" t="str">
        <f t="shared" si="4"/>
        <v>222</v>
      </c>
      <c r="I284" s="37" t="str">
        <f t="shared" si="5"/>
        <v>Lost</v>
      </c>
    </row>
    <row r="285" ht="15.75" customHeight="1">
      <c r="A285" s="46" t="str">
        <f>'👥 Клієнти'!A284</f>
        <v>U0830</v>
      </c>
      <c r="B285" s="46">
        <f>'👥 Клієнти'!F284</f>
        <v>13</v>
      </c>
      <c r="C285" s="46">
        <f>'👥 Клієнти'!D284</f>
        <v>8</v>
      </c>
      <c r="D285" s="47">
        <f>'👥 Клієнти'!E284</f>
        <v>139.93</v>
      </c>
      <c r="E285" s="35">
        <f t="shared" si="1"/>
        <v>4</v>
      </c>
      <c r="F285" s="35">
        <f t="shared" si="2"/>
        <v>4</v>
      </c>
      <c r="G285" s="37">
        <f t="shared" si="3"/>
        <v>4</v>
      </c>
      <c r="H285" s="37" t="str">
        <f t="shared" si="4"/>
        <v>444</v>
      </c>
      <c r="I285" s="37" t="str">
        <f t="shared" si="5"/>
        <v>Champions</v>
      </c>
    </row>
    <row r="286" ht="15.75" customHeight="1">
      <c r="A286" s="46" t="str">
        <f>'👥 Клієнти'!A285</f>
        <v>U0392</v>
      </c>
      <c r="B286" s="46">
        <f>'👥 Клієнти'!F285</f>
        <v>10</v>
      </c>
      <c r="C286" s="46">
        <f>'👥 Клієнти'!D285</f>
        <v>8</v>
      </c>
      <c r="D286" s="47">
        <f>'👥 Клієнти'!E285</f>
        <v>139.93</v>
      </c>
      <c r="E286" s="35">
        <f t="shared" si="1"/>
        <v>4</v>
      </c>
      <c r="F286" s="35">
        <f t="shared" si="2"/>
        <v>4</v>
      </c>
      <c r="G286" s="37">
        <f t="shared" si="3"/>
        <v>4</v>
      </c>
      <c r="H286" s="37" t="str">
        <f t="shared" si="4"/>
        <v>444</v>
      </c>
      <c r="I286" s="37" t="str">
        <f t="shared" si="5"/>
        <v>Champions</v>
      </c>
    </row>
    <row r="287" ht="15.75" customHeight="1">
      <c r="A287" s="46" t="str">
        <f>'👥 Клієнти'!A286</f>
        <v>U0019</v>
      </c>
      <c r="B287" s="46">
        <f>'👥 Клієнти'!F286</f>
        <v>69</v>
      </c>
      <c r="C287" s="46">
        <f>'👥 Клієнти'!D286</f>
        <v>6</v>
      </c>
      <c r="D287" s="47">
        <f>'👥 Клієнти'!E286</f>
        <v>99.95</v>
      </c>
      <c r="E287" s="35">
        <f t="shared" si="1"/>
        <v>2</v>
      </c>
      <c r="F287" s="35">
        <f t="shared" si="2"/>
        <v>3</v>
      </c>
      <c r="G287" s="37">
        <f t="shared" si="3"/>
        <v>3</v>
      </c>
      <c r="H287" s="37" t="str">
        <f t="shared" si="4"/>
        <v>233</v>
      </c>
      <c r="I287" s="37" t="str">
        <f t="shared" si="5"/>
        <v>At Risk</v>
      </c>
    </row>
    <row r="288" ht="15.75" customHeight="1">
      <c r="A288" s="46" t="str">
        <f>'👥 Клієнти'!A287</f>
        <v>U0512</v>
      </c>
      <c r="B288" s="46">
        <f>'👥 Клієнти'!F287</f>
        <v>9</v>
      </c>
      <c r="C288" s="46">
        <f>'👥 Клієнти'!D287</f>
        <v>8</v>
      </c>
      <c r="D288" s="47">
        <f>'👥 Клієнти'!E287</f>
        <v>139.93</v>
      </c>
      <c r="E288" s="35">
        <f t="shared" si="1"/>
        <v>4</v>
      </c>
      <c r="F288" s="35">
        <f t="shared" si="2"/>
        <v>4</v>
      </c>
      <c r="G288" s="37">
        <f t="shared" si="3"/>
        <v>4</v>
      </c>
      <c r="H288" s="37" t="str">
        <f t="shared" si="4"/>
        <v>444</v>
      </c>
      <c r="I288" s="37" t="str">
        <f t="shared" si="5"/>
        <v>Champions</v>
      </c>
    </row>
    <row r="289" ht="15.75" customHeight="1">
      <c r="A289" s="46" t="str">
        <f>'👥 Клієнти'!A288</f>
        <v>U0040</v>
      </c>
      <c r="B289" s="46">
        <f>'👥 Клієнти'!F288</f>
        <v>8</v>
      </c>
      <c r="C289" s="46">
        <f>'👥 Клієнти'!D288</f>
        <v>8</v>
      </c>
      <c r="D289" s="47">
        <f>'👥 Клієнти'!E288</f>
        <v>139.93</v>
      </c>
      <c r="E289" s="35">
        <f t="shared" si="1"/>
        <v>4</v>
      </c>
      <c r="F289" s="35">
        <f t="shared" si="2"/>
        <v>4</v>
      </c>
      <c r="G289" s="37">
        <f t="shared" si="3"/>
        <v>4</v>
      </c>
      <c r="H289" s="37" t="str">
        <f t="shared" si="4"/>
        <v>444</v>
      </c>
      <c r="I289" s="37" t="str">
        <f t="shared" si="5"/>
        <v>Champions</v>
      </c>
    </row>
    <row r="290" ht="15.75" customHeight="1">
      <c r="A290" s="46" t="str">
        <f>'👥 Клієнти'!A289</f>
        <v>U0714</v>
      </c>
      <c r="B290" s="46">
        <f>'👥 Клієнти'!F289</f>
        <v>8</v>
      </c>
      <c r="C290" s="46">
        <f>'👥 Клієнти'!D289</f>
        <v>8</v>
      </c>
      <c r="D290" s="47">
        <f>'👥 Клієнти'!E289</f>
        <v>139.93</v>
      </c>
      <c r="E290" s="35">
        <f t="shared" si="1"/>
        <v>4</v>
      </c>
      <c r="F290" s="35">
        <f t="shared" si="2"/>
        <v>4</v>
      </c>
      <c r="G290" s="37">
        <f t="shared" si="3"/>
        <v>4</v>
      </c>
      <c r="H290" s="37" t="str">
        <f t="shared" si="4"/>
        <v>444</v>
      </c>
      <c r="I290" s="37" t="str">
        <f t="shared" si="5"/>
        <v>Champions</v>
      </c>
    </row>
    <row r="291" ht="15.75" customHeight="1">
      <c r="A291" s="46" t="str">
        <f>'👥 Клієнти'!A290</f>
        <v>U0805</v>
      </c>
      <c r="B291" s="46">
        <f>'👥 Клієнти'!F290</f>
        <v>8</v>
      </c>
      <c r="C291" s="46">
        <f>'👥 Клієнти'!D290</f>
        <v>8</v>
      </c>
      <c r="D291" s="47">
        <f>'👥 Клієнти'!E290</f>
        <v>139.93</v>
      </c>
      <c r="E291" s="35">
        <f t="shared" si="1"/>
        <v>4</v>
      </c>
      <c r="F291" s="35">
        <f t="shared" si="2"/>
        <v>4</v>
      </c>
      <c r="G291" s="37">
        <f t="shared" si="3"/>
        <v>4</v>
      </c>
      <c r="H291" s="37" t="str">
        <f t="shared" si="4"/>
        <v>444</v>
      </c>
      <c r="I291" s="37" t="str">
        <f t="shared" si="5"/>
        <v>Champions</v>
      </c>
    </row>
    <row r="292" ht="15.75" customHeight="1">
      <c r="A292" s="46" t="str">
        <f>'👥 Клієнти'!A291</f>
        <v>U0025</v>
      </c>
      <c r="B292" s="46">
        <f>'👥 Клієнти'!F291</f>
        <v>7</v>
      </c>
      <c r="C292" s="46">
        <f>'👥 Клієнти'!D291</f>
        <v>8</v>
      </c>
      <c r="D292" s="47">
        <f>'👥 Клієнти'!E291</f>
        <v>139.93</v>
      </c>
      <c r="E292" s="35">
        <f t="shared" si="1"/>
        <v>5</v>
      </c>
      <c r="F292" s="35">
        <f t="shared" si="2"/>
        <v>4</v>
      </c>
      <c r="G292" s="37">
        <f t="shared" si="3"/>
        <v>4</v>
      </c>
      <c r="H292" s="37" t="str">
        <f t="shared" si="4"/>
        <v>544</v>
      </c>
      <c r="I292" s="37" t="str">
        <f t="shared" si="5"/>
        <v>Champions</v>
      </c>
    </row>
    <row r="293" ht="15.75" customHeight="1">
      <c r="A293" s="46" t="str">
        <f>'👥 Клієнти'!A292</f>
        <v>U0483</v>
      </c>
      <c r="B293" s="46">
        <f>'👥 Клієнти'!F292</f>
        <v>7</v>
      </c>
      <c r="C293" s="46">
        <f>'👥 Клієнти'!D292</f>
        <v>8</v>
      </c>
      <c r="D293" s="47">
        <f>'👥 Клієнти'!E292</f>
        <v>139.93</v>
      </c>
      <c r="E293" s="35">
        <f t="shared" si="1"/>
        <v>5</v>
      </c>
      <c r="F293" s="35">
        <f t="shared" si="2"/>
        <v>4</v>
      </c>
      <c r="G293" s="37">
        <f t="shared" si="3"/>
        <v>4</v>
      </c>
      <c r="H293" s="37" t="str">
        <f t="shared" si="4"/>
        <v>544</v>
      </c>
      <c r="I293" s="37" t="str">
        <f t="shared" si="5"/>
        <v>Champions</v>
      </c>
    </row>
    <row r="294" ht="15.75" customHeight="1">
      <c r="A294" s="46" t="str">
        <f>'👥 Клієнти'!A293</f>
        <v>U0539</v>
      </c>
      <c r="B294" s="46">
        <f>'👥 Клієнти'!F293</f>
        <v>157</v>
      </c>
      <c r="C294" s="46">
        <f>'👥 Клієнти'!D293</f>
        <v>3</v>
      </c>
      <c r="D294" s="47">
        <f>'👥 Клієнти'!E293</f>
        <v>39.98</v>
      </c>
      <c r="E294" s="35">
        <f t="shared" si="1"/>
        <v>1</v>
      </c>
      <c r="F294" s="35">
        <f t="shared" si="2"/>
        <v>2</v>
      </c>
      <c r="G294" s="37">
        <f t="shared" si="3"/>
        <v>2</v>
      </c>
      <c r="H294" s="37" t="str">
        <f t="shared" si="4"/>
        <v>122</v>
      </c>
      <c r="I294" s="37" t="str">
        <f t="shared" si="5"/>
        <v>Lost</v>
      </c>
    </row>
    <row r="295" ht="15.75" customHeight="1">
      <c r="A295" s="46" t="str">
        <f>'👥 Клієнти'!A294</f>
        <v>U0107</v>
      </c>
      <c r="B295" s="46">
        <f>'👥 Клієнти'!F294</f>
        <v>6</v>
      </c>
      <c r="C295" s="46">
        <f>'👥 Клієнти'!D294</f>
        <v>8</v>
      </c>
      <c r="D295" s="47">
        <f>'👥 Клієнти'!E294</f>
        <v>139.93</v>
      </c>
      <c r="E295" s="35">
        <f t="shared" si="1"/>
        <v>5</v>
      </c>
      <c r="F295" s="35">
        <f t="shared" si="2"/>
        <v>4</v>
      </c>
      <c r="G295" s="37">
        <f t="shared" si="3"/>
        <v>4</v>
      </c>
      <c r="H295" s="37" t="str">
        <f t="shared" si="4"/>
        <v>544</v>
      </c>
      <c r="I295" s="37" t="str">
        <f t="shared" si="5"/>
        <v>Champions</v>
      </c>
    </row>
    <row r="296" ht="15.75" customHeight="1">
      <c r="A296" s="46" t="str">
        <f>'👥 Клієнти'!A295</f>
        <v>U0329</v>
      </c>
      <c r="B296" s="46">
        <f>'👥 Клієнти'!F295</f>
        <v>5</v>
      </c>
      <c r="C296" s="46">
        <f>'👥 Клієнти'!D295</f>
        <v>8</v>
      </c>
      <c r="D296" s="47">
        <f>'👥 Клієнти'!E295</f>
        <v>139.93</v>
      </c>
      <c r="E296" s="35">
        <f t="shared" si="1"/>
        <v>5</v>
      </c>
      <c r="F296" s="35">
        <f t="shared" si="2"/>
        <v>4</v>
      </c>
      <c r="G296" s="37">
        <f t="shared" si="3"/>
        <v>4</v>
      </c>
      <c r="H296" s="37" t="str">
        <f t="shared" si="4"/>
        <v>544</v>
      </c>
      <c r="I296" s="37" t="str">
        <f t="shared" si="5"/>
        <v>Champions</v>
      </c>
    </row>
    <row r="297" ht="15.75" customHeight="1">
      <c r="A297" s="46" t="str">
        <f>'👥 Клієнти'!A296</f>
        <v>U0427</v>
      </c>
      <c r="B297" s="46">
        <f>'👥 Клієнти'!F296</f>
        <v>94</v>
      </c>
      <c r="C297" s="46">
        <f>'👥 Клієнти'!D296</f>
        <v>5</v>
      </c>
      <c r="D297" s="47">
        <f>'👥 Клієнти'!E296</f>
        <v>79.96</v>
      </c>
      <c r="E297" s="35">
        <f t="shared" si="1"/>
        <v>2</v>
      </c>
      <c r="F297" s="35">
        <f t="shared" si="2"/>
        <v>3</v>
      </c>
      <c r="G297" s="37">
        <f t="shared" si="3"/>
        <v>3</v>
      </c>
      <c r="H297" s="37" t="str">
        <f t="shared" si="4"/>
        <v>233</v>
      </c>
      <c r="I297" s="37" t="str">
        <f t="shared" si="5"/>
        <v>At Risk</v>
      </c>
    </row>
    <row r="298" ht="15.75" customHeight="1">
      <c r="A298" s="46" t="str">
        <f>'👥 Клієнти'!A297</f>
        <v>U0311</v>
      </c>
      <c r="B298" s="46">
        <f>'👥 Клієнти'!F297</f>
        <v>183</v>
      </c>
      <c r="C298" s="46">
        <f>'👥 Клієнти'!D297</f>
        <v>2</v>
      </c>
      <c r="D298" s="47">
        <f>'👥 Клієнти'!E297</f>
        <v>19.99</v>
      </c>
      <c r="E298" s="35">
        <f t="shared" si="1"/>
        <v>1</v>
      </c>
      <c r="F298" s="35">
        <f t="shared" si="2"/>
        <v>1</v>
      </c>
      <c r="G298" s="37">
        <f t="shared" si="3"/>
        <v>1</v>
      </c>
      <c r="H298" s="37" t="str">
        <f t="shared" si="4"/>
        <v>111</v>
      </c>
      <c r="I298" s="37" t="str">
        <f t="shared" si="5"/>
        <v>Lost</v>
      </c>
    </row>
    <row r="299" ht="15.75" customHeight="1">
      <c r="A299" s="46" t="str">
        <f>'👥 Клієнти'!A298</f>
        <v>U0655</v>
      </c>
      <c r="B299" s="46">
        <f>'👥 Клієнти'!F298</f>
        <v>123</v>
      </c>
      <c r="C299" s="46">
        <f>'👥 Клієнти'!D298</f>
        <v>4</v>
      </c>
      <c r="D299" s="47">
        <f>'👥 Клієнти'!E298</f>
        <v>59.97</v>
      </c>
      <c r="E299" s="35">
        <f t="shared" si="1"/>
        <v>2</v>
      </c>
      <c r="F299" s="35">
        <f t="shared" si="2"/>
        <v>2</v>
      </c>
      <c r="G299" s="37">
        <f t="shared" si="3"/>
        <v>2</v>
      </c>
      <c r="H299" s="37" t="str">
        <f t="shared" si="4"/>
        <v>222</v>
      </c>
      <c r="I299" s="37" t="str">
        <f t="shared" si="5"/>
        <v>Lost</v>
      </c>
    </row>
    <row r="300" ht="15.75" customHeight="1">
      <c r="A300" s="46" t="str">
        <f>'👥 Клієнти'!A299</f>
        <v>U0344</v>
      </c>
      <c r="B300" s="46">
        <f>'👥 Клієнти'!F299</f>
        <v>182</v>
      </c>
      <c r="C300" s="46">
        <f>'👥 Клієнти'!D299</f>
        <v>2</v>
      </c>
      <c r="D300" s="47">
        <f>'👥 Клієнти'!E299</f>
        <v>19.99</v>
      </c>
      <c r="E300" s="35">
        <f t="shared" si="1"/>
        <v>1</v>
      </c>
      <c r="F300" s="35">
        <f t="shared" si="2"/>
        <v>1</v>
      </c>
      <c r="G300" s="37">
        <f t="shared" si="3"/>
        <v>1</v>
      </c>
      <c r="H300" s="37" t="str">
        <f t="shared" si="4"/>
        <v>111</v>
      </c>
      <c r="I300" s="37" t="str">
        <f t="shared" si="5"/>
        <v>Lost</v>
      </c>
    </row>
    <row r="301" ht="15.75" customHeight="1">
      <c r="A301" s="46" t="str">
        <f>'👥 Клієнти'!A300</f>
        <v>U0458</v>
      </c>
      <c r="B301" s="46">
        <f>'👥 Клієнти'!F300</f>
        <v>1</v>
      </c>
      <c r="C301" s="46">
        <f>'👥 Клієнти'!D300</f>
        <v>8</v>
      </c>
      <c r="D301" s="47">
        <f>'👥 Клієнти'!E300</f>
        <v>139.93</v>
      </c>
      <c r="E301" s="35">
        <f t="shared" si="1"/>
        <v>5</v>
      </c>
      <c r="F301" s="35">
        <f t="shared" si="2"/>
        <v>4</v>
      </c>
      <c r="G301" s="37">
        <f t="shared" si="3"/>
        <v>4</v>
      </c>
      <c r="H301" s="37" t="str">
        <f t="shared" si="4"/>
        <v>544</v>
      </c>
      <c r="I301" s="37" t="str">
        <f t="shared" si="5"/>
        <v>Champions</v>
      </c>
    </row>
    <row r="302" ht="15.75" customHeight="1">
      <c r="A302" s="46" t="str">
        <f>'👥 Клієнти'!A301</f>
        <v>U0627</v>
      </c>
      <c r="B302" s="46">
        <f>'👥 Клієнти'!F301</f>
        <v>119</v>
      </c>
      <c r="C302" s="46">
        <f>'👥 Клієнти'!D301</f>
        <v>4</v>
      </c>
      <c r="D302" s="47">
        <f>'👥 Клієнти'!E301</f>
        <v>59.97</v>
      </c>
      <c r="E302" s="35">
        <f t="shared" si="1"/>
        <v>2</v>
      </c>
      <c r="F302" s="35">
        <f t="shared" si="2"/>
        <v>2</v>
      </c>
      <c r="G302" s="37">
        <f t="shared" si="3"/>
        <v>2</v>
      </c>
      <c r="H302" s="37" t="str">
        <f t="shared" si="4"/>
        <v>222</v>
      </c>
      <c r="I302" s="37" t="str">
        <f t="shared" si="5"/>
        <v>Lost</v>
      </c>
    </row>
    <row r="303" ht="15.75" customHeight="1">
      <c r="A303" s="46" t="str">
        <f>'👥 Клієнти'!A302</f>
        <v>U0846</v>
      </c>
      <c r="B303" s="46">
        <f>'👥 Клієнти'!F302</f>
        <v>148</v>
      </c>
      <c r="C303" s="46">
        <f>'👥 Клієнти'!D302</f>
        <v>3</v>
      </c>
      <c r="D303" s="47">
        <f>'👥 Клієнти'!E302</f>
        <v>39.98</v>
      </c>
      <c r="E303" s="35">
        <f t="shared" si="1"/>
        <v>1</v>
      </c>
      <c r="F303" s="35">
        <f t="shared" si="2"/>
        <v>2</v>
      </c>
      <c r="G303" s="37">
        <f t="shared" si="3"/>
        <v>2</v>
      </c>
      <c r="H303" s="37" t="str">
        <f t="shared" si="4"/>
        <v>122</v>
      </c>
      <c r="I303" s="37" t="str">
        <f t="shared" si="5"/>
        <v>Lost</v>
      </c>
    </row>
    <row r="304" ht="15.75" customHeight="1">
      <c r="A304" s="46" t="str">
        <f>'👥 Клієнти'!A303</f>
        <v>U0865</v>
      </c>
      <c r="B304" s="46">
        <f>'👥 Клієнти'!F303</f>
        <v>177</v>
      </c>
      <c r="C304" s="46">
        <f>'👥 Клієнти'!D303</f>
        <v>2</v>
      </c>
      <c r="D304" s="47">
        <f>'👥 Клієнти'!E303</f>
        <v>19.99</v>
      </c>
      <c r="E304" s="35">
        <f t="shared" si="1"/>
        <v>1</v>
      </c>
      <c r="F304" s="35">
        <f t="shared" si="2"/>
        <v>1</v>
      </c>
      <c r="G304" s="37">
        <f t="shared" si="3"/>
        <v>1</v>
      </c>
      <c r="H304" s="37" t="str">
        <f t="shared" si="4"/>
        <v>111</v>
      </c>
      <c r="I304" s="37" t="str">
        <f t="shared" si="5"/>
        <v>Lost</v>
      </c>
    </row>
    <row r="305" ht="15.75" customHeight="1">
      <c r="A305" s="46" t="str">
        <f>'👥 Клієнти'!A304</f>
        <v>U0864</v>
      </c>
      <c r="B305" s="46">
        <f>'👥 Клієнти'!F304</f>
        <v>115</v>
      </c>
      <c r="C305" s="46">
        <f>'👥 Клієнти'!D304</f>
        <v>4</v>
      </c>
      <c r="D305" s="47">
        <f>'👥 Клієнти'!E304</f>
        <v>59.97</v>
      </c>
      <c r="E305" s="35">
        <f t="shared" si="1"/>
        <v>2</v>
      </c>
      <c r="F305" s="35">
        <f t="shared" si="2"/>
        <v>2</v>
      </c>
      <c r="G305" s="37">
        <f t="shared" si="3"/>
        <v>2</v>
      </c>
      <c r="H305" s="37" t="str">
        <f t="shared" si="4"/>
        <v>222</v>
      </c>
      <c r="I305" s="37" t="str">
        <f t="shared" si="5"/>
        <v>Lost</v>
      </c>
    </row>
    <row r="306" ht="15.75" customHeight="1">
      <c r="A306" s="46" t="str">
        <f>'👥 Клієнти'!A305</f>
        <v>U0130</v>
      </c>
      <c r="B306" s="46">
        <f>'👥 Клієнти'!F305</f>
        <v>114</v>
      </c>
      <c r="C306" s="46">
        <f>'👥 Клієнти'!D305</f>
        <v>4</v>
      </c>
      <c r="D306" s="47">
        <f>'👥 Клієнти'!E305</f>
        <v>59.97</v>
      </c>
      <c r="E306" s="35">
        <f t="shared" si="1"/>
        <v>2</v>
      </c>
      <c r="F306" s="35">
        <f t="shared" si="2"/>
        <v>2</v>
      </c>
      <c r="G306" s="37">
        <f t="shared" si="3"/>
        <v>2</v>
      </c>
      <c r="H306" s="37" t="str">
        <f t="shared" si="4"/>
        <v>222</v>
      </c>
      <c r="I306" s="37" t="str">
        <f t="shared" si="5"/>
        <v>Lost</v>
      </c>
    </row>
    <row r="307" ht="15.75" customHeight="1">
      <c r="A307" s="46" t="str">
        <f>'👥 Клієнти'!A306</f>
        <v>U0624</v>
      </c>
      <c r="B307" s="46">
        <f>'👥 Клієнти'!F306</f>
        <v>54</v>
      </c>
      <c r="C307" s="46">
        <f>'👥 Клієнти'!D306</f>
        <v>6</v>
      </c>
      <c r="D307" s="47">
        <f>'👥 Клієнти'!E306</f>
        <v>99.95</v>
      </c>
      <c r="E307" s="35">
        <f t="shared" si="1"/>
        <v>2</v>
      </c>
      <c r="F307" s="35">
        <f t="shared" si="2"/>
        <v>3</v>
      </c>
      <c r="G307" s="37">
        <f t="shared" si="3"/>
        <v>3</v>
      </c>
      <c r="H307" s="37" t="str">
        <f t="shared" si="4"/>
        <v>233</v>
      </c>
      <c r="I307" s="37" t="str">
        <f t="shared" si="5"/>
        <v>At Risk</v>
      </c>
    </row>
    <row r="308" ht="15.75" customHeight="1">
      <c r="A308" s="46" t="str">
        <f>'👥 Клієнти'!A307</f>
        <v>U0793</v>
      </c>
      <c r="B308" s="46">
        <f>'👥 Клієнти'!F307</f>
        <v>24</v>
      </c>
      <c r="C308" s="46">
        <f>'👥 Клієнти'!D307</f>
        <v>7</v>
      </c>
      <c r="D308" s="47">
        <f>'👥 Клієнти'!E307</f>
        <v>119.94</v>
      </c>
      <c r="E308" s="35">
        <f t="shared" si="1"/>
        <v>3</v>
      </c>
      <c r="F308" s="35">
        <f t="shared" si="2"/>
        <v>4</v>
      </c>
      <c r="G308" s="37">
        <f t="shared" si="3"/>
        <v>4</v>
      </c>
      <c r="H308" s="37" t="str">
        <f t="shared" si="4"/>
        <v>344</v>
      </c>
      <c r="I308" s="37" t="str">
        <f t="shared" si="5"/>
        <v>Loyal</v>
      </c>
    </row>
    <row r="309" ht="15.75" customHeight="1">
      <c r="A309" s="46" t="str">
        <f>'👥 Клієнти'!A308</f>
        <v>U0264</v>
      </c>
      <c r="B309" s="46">
        <f>'👥 Клієнти'!F308</f>
        <v>22</v>
      </c>
      <c r="C309" s="46">
        <f>'👥 Клієнти'!D308</f>
        <v>7</v>
      </c>
      <c r="D309" s="47">
        <f>'👥 Клієнти'!E308</f>
        <v>119.94</v>
      </c>
      <c r="E309" s="35">
        <f t="shared" si="1"/>
        <v>3</v>
      </c>
      <c r="F309" s="35">
        <f t="shared" si="2"/>
        <v>4</v>
      </c>
      <c r="G309" s="37">
        <f t="shared" si="3"/>
        <v>4</v>
      </c>
      <c r="H309" s="37" t="str">
        <f t="shared" si="4"/>
        <v>344</v>
      </c>
      <c r="I309" s="37" t="str">
        <f t="shared" si="5"/>
        <v>Loyal</v>
      </c>
    </row>
    <row r="310" ht="15.75" customHeight="1">
      <c r="A310" s="46" t="str">
        <f>'👥 Клієнти'!A309</f>
        <v>U0302</v>
      </c>
      <c r="B310" s="46">
        <f>'👥 Клієнти'!F309</f>
        <v>82</v>
      </c>
      <c r="C310" s="46">
        <f>'👥 Клієнти'!D309</f>
        <v>5</v>
      </c>
      <c r="D310" s="47">
        <f>'👥 Клієнти'!E309</f>
        <v>79.96</v>
      </c>
      <c r="E310" s="35">
        <f t="shared" si="1"/>
        <v>2</v>
      </c>
      <c r="F310" s="35">
        <f t="shared" si="2"/>
        <v>3</v>
      </c>
      <c r="G310" s="37">
        <f t="shared" si="3"/>
        <v>3</v>
      </c>
      <c r="H310" s="37" t="str">
        <f t="shared" si="4"/>
        <v>233</v>
      </c>
      <c r="I310" s="37" t="str">
        <f t="shared" si="5"/>
        <v>At Risk</v>
      </c>
    </row>
    <row r="311" ht="15.75" customHeight="1">
      <c r="A311" s="46" t="str">
        <f>'👥 Клієнти'!A310</f>
        <v>U0650</v>
      </c>
      <c r="B311" s="46">
        <f>'👥 Клієнти'!F310</f>
        <v>22</v>
      </c>
      <c r="C311" s="46">
        <f>'👥 Клієнти'!D310</f>
        <v>7</v>
      </c>
      <c r="D311" s="47">
        <f>'👥 Клієнти'!E310</f>
        <v>119.94</v>
      </c>
      <c r="E311" s="35">
        <f t="shared" si="1"/>
        <v>3</v>
      </c>
      <c r="F311" s="35">
        <f t="shared" si="2"/>
        <v>4</v>
      </c>
      <c r="G311" s="37">
        <f t="shared" si="3"/>
        <v>4</v>
      </c>
      <c r="H311" s="37" t="str">
        <f t="shared" si="4"/>
        <v>344</v>
      </c>
      <c r="I311" s="37" t="str">
        <f t="shared" si="5"/>
        <v>Loyal</v>
      </c>
    </row>
    <row r="312" ht="15.75" customHeight="1">
      <c r="A312" s="46" t="str">
        <f>'👥 Клієнти'!A311</f>
        <v>U0351</v>
      </c>
      <c r="B312" s="46">
        <f>'👥 Клієнти'!F311</f>
        <v>21</v>
      </c>
      <c r="C312" s="46">
        <f>'👥 Клієнти'!D311</f>
        <v>7</v>
      </c>
      <c r="D312" s="47">
        <f>'👥 Клієнти'!E311</f>
        <v>119.94</v>
      </c>
      <c r="E312" s="35">
        <f t="shared" si="1"/>
        <v>3</v>
      </c>
      <c r="F312" s="35">
        <f t="shared" si="2"/>
        <v>4</v>
      </c>
      <c r="G312" s="37">
        <f t="shared" si="3"/>
        <v>4</v>
      </c>
      <c r="H312" s="37" t="str">
        <f t="shared" si="4"/>
        <v>344</v>
      </c>
      <c r="I312" s="37" t="str">
        <f t="shared" si="5"/>
        <v>Loyal</v>
      </c>
    </row>
    <row r="313" ht="15.75" customHeight="1">
      <c r="A313" s="46" t="str">
        <f>'👥 Клієнти'!A312</f>
        <v>U0858</v>
      </c>
      <c r="B313" s="46">
        <f>'👥 Клієнти'!F312</f>
        <v>21</v>
      </c>
      <c r="C313" s="46">
        <f>'👥 Клієнти'!D312</f>
        <v>7</v>
      </c>
      <c r="D313" s="47">
        <f>'👥 Клієнти'!E312</f>
        <v>119.94</v>
      </c>
      <c r="E313" s="35">
        <f t="shared" si="1"/>
        <v>3</v>
      </c>
      <c r="F313" s="35">
        <f t="shared" si="2"/>
        <v>4</v>
      </c>
      <c r="G313" s="37">
        <f t="shared" si="3"/>
        <v>4</v>
      </c>
      <c r="H313" s="37" t="str">
        <f t="shared" si="4"/>
        <v>344</v>
      </c>
      <c r="I313" s="37" t="str">
        <f t="shared" si="5"/>
        <v>Loyal</v>
      </c>
    </row>
    <row r="314" ht="15.75" customHeight="1">
      <c r="A314" s="46" t="str">
        <f>'👥 Клієнти'!A313</f>
        <v>U0104</v>
      </c>
      <c r="B314" s="46">
        <f>'👥 Клієнти'!F313</f>
        <v>20</v>
      </c>
      <c r="C314" s="46">
        <f>'👥 Клієнти'!D313</f>
        <v>7</v>
      </c>
      <c r="D314" s="47">
        <f>'👥 Клієнти'!E313</f>
        <v>119.94</v>
      </c>
      <c r="E314" s="35">
        <f t="shared" si="1"/>
        <v>3</v>
      </c>
      <c r="F314" s="35">
        <f t="shared" si="2"/>
        <v>4</v>
      </c>
      <c r="G314" s="37">
        <f t="shared" si="3"/>
        <v>4</v>
      </c>
      <c r="H314" s="37" t="str">
        <f t="shared" si="4"/>
        <v>344</v>
      </c>
      <c r="I314" s="37" t="str">
        <f t="shared" si="5"/>
        <v>Loyal</v>
      </c>
    </row>
    <row r="315" ht="15.75" customHeight="1">
      <c r="A315" s="46" t="str">
        <f>'👥 Клієнти'!A314</f>
        <v>U0502</v>
      </c>
      <c r="B315" s="46">
        <f>'👥 Клієнти'!F314</f>
        <v>20</v>
      </c>
      <c r="C315" s="46">
        <f>'👥 Клієнти'!D314</f>
        <v>7</v>
      </c>
      <c r="D315" s="47">
        <f>'👥 Клієнти'!E314</f>
        <v>119.94</v>
      </c>
      <c r="E315" s="35">
        <f t="shared" si="1"/>
        <v>3</v>
      </c>
      <c r="F315" s="35">
        <f t="shared" si="2"/>
        <v>4</v>
      </c>
      <c r="G315" s="37">
        <f t="shared" si="3"/>
        <v>4</v>
      </c>
      <c r="H315" s="37" t="str">
        <f t="shared" si="4"/>
        <v>344</v>
      </c>
      <c r="I315" s="37" t="str">
        <f t="shared" si="5"/>
        <v>Loyal</v>
      </c>
    </row>
    <row r="316" ht="15.75" customHeight="1">
      <c r="A316" s="46" t="str">
        <f>'👥 Клієнти'!A315</f>
        <v>U0816</v>
      </c>
      <c r="B316" s="46">
        <f>'👥 Клієнти'!F315</f>
        <v>20</v>
      </c>
      <c r="C316" s="46">
        <f>'👥 Клієнти'!D315</f>
        <v>7</v>
      </c>
      <c r="D316" s="47">
        <f>'👥 Клієнти'!E315</f>
        <v>119.94</v>
      </c>
      <c r="E316" s="35">
        <f t="shared" si="1"/>
        <v>3</v>
      </c>
      <c r="F316" s="35">
        <f t="shared" si="2"/>
        <v>4</v>
      </c>
      <c r="G316" s="37">
        <f t="shared" si="3"/>
        <v>4</v>
      </c>
      <c r="H316" s="37" t="str">
        <f t="shared" si="4"/>
        <v>344</v>
      </c>
      <c r="I316" s="37" t="str">
        <f t="shared" si="5"/>
        <v>Loyal</v>
      </c>
    </row>
    <row r="317" ht="15.75" customHeight="1">
      <c r="A317" s="46" t="str">
        <f>'👥 Клієнти'!A316</f>
        <v>U0276</v>
      </c>
      <c r="B317" s="46">
        <f>'👥 Клієнти'!F316</f>
        <v>19</v>
      </c>
      <c r="C317" s="46">
        <f>'👥 Клієнти'!D316</f>
        <v>7</v>
      </c>
      <c r="D317" s="47">
        <f>'👥 Клієнти'!E316</f>
        <v>119.94</v>
      </c>
      <c r="E317" s="35">
        <f t="shared" si="1"/>
        <v>3</v>
      </c>
      <c r="F317" s="35">
        <f t="shared" si="2"/>
        <v>4</v>
      </c>
      <c r="G317" s="37">
        <f t="shared" si="3"/>
        <v>4</v>
      </c>
      <c r="H317" s="37" t="str">
        <f t="shared" si="4"/>
        <v>344</v>
      </c>
      <c r="I317" s="37" t="str">
        <f t="shared" si="5"/>
        <v>Loyal</v>
      </c>
    </row>
    <row r="318" ht="15.75" customHeight="1">
      <c r="A318" s="46" t="str">
        <f>'👥 Клієнти'!A317</f>
        <v>U0849</v>
      </c>
      <c r="B318" s="46">
        <f>'👥 Клієнти'!F317</f>
        <v>48</v>
      </c>
      <c r="C318" s="46">
        <f>'👥 Клієнти'!D317</f>
        <v>6</v>
      </c>
      <c r="D318" s="47">
        <f>'👥 Клієнти'!E317</f>
        <v>99.95</v>
      </c>
      <c r="E318" s="35">
        <f t="shared" si="1"/>
        <v>2</v>
      </c>
      <c r="F318" s="35">
        <f t="shared" si="2"/>
        <v>3</v>
      </c>
      <c r="G318" s="37">
        <f t="shared" si="3"/>
        <v>3</v>
      </c>
      <c r="H318" s="37" t="str">
        <f t="shared" si="4"/>
        <v>233</v>
      </c>
      <c r="I318" s="37" t="str">
        <f t="shared" si="5"/>
        <v>At Risk</v>
      </c>
    </row>
    <row r="319" ht="15.75" customHeight="1">
      <c r="A319" s="46" t="str">
        <f>'👥 Клієнти'!A318</f>
        <v>U0097</v>
      </c>
      <c r="B319" s="46">
        <f>'👥 Клієнти'!F318</f>
        <v>166</v>
      </c>
      <c r="C319" s="46">
        <f>'👥 Клієнти'!D318</f>
        <v>2</v>
      </c>
      <c r="D319" s="47">
        <f>'👥 Клієнти'!E318</f>
        <v>19.99</v>
      </c>
      <c r="E319" s="35">
        <f t="shared" si="1"/>
        <v>1</v>
      </c>
      <c r="F319" s="35">
        <f t="shared" si="2"/>
        <v>1</v>
      </c>
      <c r="G319" s="37">
        <f t="shared" si="3"/>
        <v>1</v>
      </c>
      <c r="H319" s="37" t="str">
        <f t="shared" si="4"/>
        <v>111</v>
      </c>
      <c r="I319" s="37" t="str">
        <f t="shared" si="5"/>
        <v>Lost</v>
      </c>
    </row>
    <row r="320" ht="15.75" customHeight="1">
      <c r="A320" s="46" t="str">
        <f>'👥 Клієнти'!A319</f>
        <v>U0549</v>
      </c>
      <c r="B320" s="46">
        <f>'👥 Клієнти'!F319</f>
        <v>16</v>
      </c>
      <c r="C320" s="46">
        <f>'👥 Клієнти'!D319</f>
        <v>7</v>
      </c>
      <c r="D320" s="47">
        <f>'👥 Клієнти'!E319</f>
        <v>119.94</v>
      </c>
      <c r="E320" s="35">
        <f t="shared" si="1"/>
        <v>3</v>
      </c>
      <c r="F320" s="35">
        <f t="shared" si="2"/>
        <v>4</v>
      </c>
      <c r="G320" s="37">
        <f t="shared" si="3"/>
        <v>4</v>
      </c>
      <c r="H320" s="37" t="str">
        <f t="shared" si="4"/>
        <v>344</v>
      </c>
      <c r="I320" s="37" t="str">
        <f t="shared" si="5"/>
        <v>Loyal</v>
      </c>
    </row>
    <row r="321" ht="15.75" customHeight="1">
      <c r="A321" s="46" t="str">
        <f>'👥 Клієнти'!A320</f>
        <v>U0364</v>
      </c>
      <c r="B321" s="46">
        <f>'👥 Клієнти'!F320</f>
        <v>15</v>
      </c>
      <c r="C321" s="46">
        <f>'👥 Клієнти'!D320</f>
        <v>7</v>
      </c>
      <c r="D321" s="47">
        <f>'👥 Клієнти'!E320</f>
        <v>119.94</v>
      </c>
      <c r="E321" s="35">
        <f t="shared" si="1"/>
        <v>4</v>
      </c>
      <c r="F321" s="35">
        <f t="shared" si="2"/>
        <v>4</v>
      </c>
      <c r="G321" s="37">
        <f t="shared" si="3"/>
        <v>4</v>
      </c>
      <c r="H321" s="37" t="str">
        <f t="shared" si="4"/>
        <v>444</v>
      </c>
      <c r="I321" s="37" t="str">
        <f t="shared" si="5"/>
        <v>Champions</v>
      </c>
    </row>
    <row r="322" ht="15.75" customHeight="1">
      <c r="A322" s="46" t="str">
        <f>'👥 Клієнти'!A321</f>
        <v>U0456</v>
      </c>
      <c r="B322" s="46">
        <f>'👥 Клієнти'!F321</f>
        <v>104</v>
      </c>
      <c r="C322" s="46">
        <f>'👥 Клієнти'!D321</f>
        <v>4</v>
      </c>
      <c r="D322" s="47">
        <f>'👥 Клієнти'!E321</f>
        <v>59.97</v>
      </c>
      <c r="E322" s="35">
        <f t="shared" si="1"/>
        <v>2</v>
      </c>
      <c r="F322" s="35">
        <f t="shared" si="2"/>
        <v>2</v>
      </c>
      <c r="G322" s="37">
        <f t="shared" si="3"/>
        <v>2</v>
      </c>
      <c r="H322" s="37" t="str">
        <f t="shared" si="4"/>
        <v>222</v>
      </c>
      <c r="I322" s="37" t="str">
        <f t="shared" si="5"/>
        <v>Lost</v>
      </c>
    </row>
    <row r="323" ht="15.75" customHeight="1">
      <c r="A323" s="46" t="str">
        <f>'👥 Клієнти'!A322</f>
        <v>U0571</v>
      </c>
      <c r="B323" s="46">
        <f>'👥 Клієнти'!F322</f>
        <v>14</v>
      </c>
      <c r="C323" s="46">
        <f>'👥 Клієнти'!D322</f>
        <v>7</v>
      </c>
      <c r="D323" s="47">
        <f>'👥 Клієнти'!E322</f>
        <v>119.94</v>
      </c>
      <c r="E323" s="35">
        <f t="shared" si="1"/>
        <v>4</v>
      </c>
      <c r="F323" s="35">
        <f t="shared" si="2"/>
        <v>4</v>
      </c>
      <c r="G323" s="37">
        <f t="shared" si="3"/>
        <v>4</v>
      </c>
      <c r="H323" s="37" t="str">
        <f t="shared" si="4"/>
        <v>444</v>
      </c>
      <c r="I323" s="37" t="str">
        <f t="shared" si="5"/>
        <v>Champions</v>
      </c>
    </row>
    <row r="324" ht="15.75" customHeight="1">
      <c r="A324" s="46" t="str">
        <f>'👥 Клієнти'!A323</f>
        <v>U0066</v>
      </c>
      <c r="B324" s="46">
        <f>'👥 Клієнти'!F323</f>
        <v>13</v>
      </c>
      <c r="C324" s="46">
        <f>'👥 Клієнти'!D323</f>
        <v>7</v>
      </c>
      <c r="D324" s="47">
        <f>'👥 Клієнти'!E323</f>
        <v>119.94</v>
      </c>
      <c r="E324" s="35">
        <f t="shared" si="1"/>
        <v>4</v>
      </c>
      <c r="F324" s="35">
        <f t="shared" si="2"/>
        <v>4</v>
      </c>
      <c r="G324" s="37">
        <f t="shared" si="3"/>
        <v>4</v>
      </c>
      <c r="H324" s="37" t="str">
        <f t="shared" si="4"/>
        <v>444</v>
      </c>
      <c r="I324" s="37" t="str">
        <f t="shared" si="5"/>
        <v>Champions</v>
      </c>
    </row>
    <row r="325" ht="15.75" customHeight="1">
      <c r="A325" s="46" t="str">
        <f>'👥 Клієнти'!A324</f>
        <v>U0234</v>
      </c>
      <c r="B325" s="46">
        <f>'👥 Клієнти'!F324</f>
        <v>133</v>
      </c>
      <c r="C325" s="46">
        <f>'👥 Клієнти'!D324</f>
        <v>3</v>
      </c>
      <c r="D325" s="47">
        <f>'👥 Клієнти'!E324</f>
        <v>39.98</v>
      </c>
      <c r="E325" s="35">
        <f t="shared" si="1"/>
        <v>2</v>
      </c>
      <c r="F325" s="35">
        <f t="shared" si="2"/>
        <v>2</v>
      </c>
      <c r="G325" s="37">
        <f t="shared" si="3"/>
        <v>2</v>
      </c>
      <c r="H325" s="37" t="str">
        <f t="shared" si="4"/>
        <v>222</v>
      </c>
      <c r="I325" s="37" t="str">
        <f t="shared" si="5"/>
        <v>Lost</v>
      </c>
    </row>
    <row r="326" ht="15.75" customHeight="1">
      <c r="A326" s="46" t="str">
        <f>'👥 Клієнти'!A325</f>
        <v>U0288</v>
      </c>
      <c r="B326" s="46">
        <f>'👥 Клієнти'!F325</f>
        <v>163</v>
      </c>
      <c r="C326" s="46">
        <f>'👥 Клієнти'!D325</f>
        <v>2</v>
      </c>
      <c r="D326" s="47">
        <f>'👥 Клієнти'!E325</f>
        <v>19.99</v>
      </c>
      <c r="E326" s="35">
        <f t="shared" si="1"/>
        <v>1</v>
      </c>
      <c r="F326" s="35">
        <f t="shared" si="2"/>
        <v>1</v>
      </c>
      <c r="G326" s="37">
        <f t="shared" si="3"/>
        <v>1</v>
      </c>
      <c r="H326" s="37" t="str">
        <f t="shared" si="4"/>
        <v>111</v>
      </c>
      <c r="I326" s="37" t="str">
        <f t="shared" si="5"/>
        <v>Lost</v>
      </c>
    </row>
    <row r="327" ht="15.75" customHeight="1">
      <c r="A327" s="46" t="str">
        <f>'👥 Клієнти'!A326</f>
        <v>U0296</v>
      </c>
      <c r="B327" s="46">
        <f>'👥 Клієнти'!F326</f>
        <v>13</v>
      </c>
      <c r="C327" s="46">
        <f>'👥 Клієнти'!D326</f>
        <v>7</v>
      </c>
      <c r="D327" s="47">
        <f>'👥 Клієнти'!E326</f>
        <v>119.94</v>
      </c>
      <c r="E327" s="35">
        <f t="shared" si="1"/>
        <v>4</v>
      </c>
      <c r="F327" s="35">
        <f t="shared" si="2"/>
        <v>4</v>
      </c>
      <c r="G327" s="37">
        <f t="shared" si="3"/>
        <v>4</v>
      </c>
      <c r="H327" s="37" t="str">
        <f t="shared" si="4"/>
        <v>444</v>
      </c>
      <c r="I327" s="37" t="str">
        <f t="shared" si="5"/>
        <v>Champions</v>
      </c>
    </row>
    <row r="328" ht="15.75" customHeight="1">
      <c r="A328" s="46" t="str">
        <f>'👥 Клієнти'!A327</f>
        <v>U0863</v>
      </c>
      <c r="B328" s="46">
        <f>'👥 Клієнти'!F327</f>
        <v>163</v>
      </c>
      <c r="C328" s="46">
        <f>'👥 Клієнти'!D327</f>
        <v>2</v>
      </c>
      <c r="D328" s="47">
        <f>'👥 Клієнти'!E327</f>
        <v>19.99</v>
      </c>
      <c r="E328" s="35">
        <f t="shared" si="1"/>
        <v>1</v>
      </c>
      <c r="F328" s="35">
        <f t="shared" si="2"/>
        <v>1</v>
      </c>
      <c r="G328" s="37">
        <f t="shared" si="3"/>
        <v>1</v>
      </c>
      <c r="H328" s="37" t="str">
        <f t="shared" si="4"/>
        <v>111</v>
      </c>
      <c r="I328" s="37" t="str">
        <f t="shared" si="5"/>
        <v>Lost</v>
      </c>
    </row>
    <row r="329" ht="15.75" customHeight="1">
      <c r="A329" s="46" t="str">
        <f>'👥 Клієнти'!A328</f>
        <v>U0189</v>
      </c>
      <c r="B329" s="46">
        <f>'👥 Клієнти'!F328</f>
        <v>12</v>
      </c>
      <c r="C329" s="46">
        <f>'👥 Клієнти'!D328</f>
        <v>7</v>
      </c>
      <c r="D329" s="47">
        <f>'👥 Клієнти'!E328</f>
        <v>119.94</v>
      </c>
      <c r="E329" s="35">
        <f t="shared" si="1"/>
        <v>4</v>
      </c>
      <c r="F329" s="35">
        <f t="shared" si="2"/>
        <v>4</v>
      </c>
      <c r="G329" s="37">
        <f t="shared" si="3"/>
        <v>4</v>
      </c>
      <c r="H329" s="37" t="str">
        <f t="shared" si="4"/>
        <v>444</v>
      </c>
      <c r="I329" s="37" t="str">
        <f t="shared" si="5"/>
        <v>Champions</v>
      </c>
    </row>
    <row r="330" ht="15.75" customHeight="1">
      <c r="A330" s="46" t="str">
        <f>'👥 Клієнти'!A329</f>
        <v>U0143</v>
      </c>
      <c r="B330" s="46">
        <f>'👥 Клієнти'!F329</f>
        <v>11</v>
      </c>
      <c r="C330" s="46">
        <f>'👥 Клієнти'!D329</f>
        <v>7</v>
      </c>
      <c r="D330" s="47">
        <f>'👥 Клієнти'!E329</f>
        <v>119.94</v>
      </c>
      <c r="E330" s="35">
        <f t="shared" si="1"/>
        <v>4</v>
      </c>
      <c r="F330" s="35">
        <f t="shared" si="2"/>
        <v>4</v>
      </c>
      <c r="G330" s="37">
        <f t="shared" si="3"/>
        <v>4</v>
      </c>
      <c r="H330" s="37" t="str">
        <f t="shared" si="4"/>
        <v>444</v>
      </c>
      <c r="I330" s="37" t="str">
        <f t="shared" si="5"/>
        <v>Champions</v>
      </c>
    </row>
    <row r="331" ht="15.75" customHeight="1">
      <c r="A331" s="46" t="str">
        <f>'👥 Клієнти'!A330</f>
        <v>U0734</v>
      </c>
      <c r="B331" s="46">
        <f>'👥 Клієнти'!F330</f>
        <v>11</v>
      </c>
      <c r="C331" s="46">
        <f>'👥 Клієнти'!D330</f>
        <v>7</v>
      </c>
      <c r="D331" s="47">
        <f>'👥 Клієнти'!E330</f>
        <v>119.94</v>
      </c>
      <c r="E331" s="35">
        <f t="shared" si="1"/>
        <v>4</v>
      </c>
      <c r="F331" s="35">
        <f t="shared" si="2"/>
        <v>4</v>
      </c>
      <c r="G331" s="37">
        <f t="shared" si="3"/>
        <v>4</v>
      </c>
      <c r="H331" s="37" t="str">
        <f t="shared" si="4"/>
        <v>444</v>
      </c>
      <c r="I331" s="37" t="str">
        <f t="shared" si="5"/>
        <v>Champions</v>
      </c>
    </row>
    <row r="332" ht="15.75" customHeight="1">
      <c r="A332" s="46" t="str">
        <f>'👥 Клієнти'!A331</f>
        <v>U0744</v>
      </c>
      <c r="B332" s="46">
        <f>'👥 Клієнти'!F331</f>
        <v>128</v>
      </c>
      <c r="C332" s="46">
        <f>'👥 Клієнти'!D331</f>
        <v>3</v>
      </c>
      <c r="D332" s="47">
        <f>'👥 Клієнти'!E331</f>
        <v>39.98</v>
      </c>
      <c r="E332" s="35">
        <f t="shared" si="1"/>
        <v>2</v>
      </c>
      <c r="F332" s="35">
        <f t="shared" si="2"/>
        <v>2</v>
      </c>
      <c r="G332" s="37">
        <f t="shared" si="3"/>
        <v>2</v>
      </c>
      <c r="H332" s="37" t="str">
        <f t="shared" si="4"/>
        <v>222</v>
      </c>
      <c r="I332" s="37" t="str">
        <f t="shared" si="5"/>
        <v>Lost</v>
      </c>
    </row>
    <row r="333" ht="15.75" customHeight="1">
      <c r="A333" s="46" t="str">
        <f>'👥 Клієнти'!A332</f>
        <v>U0758</v>
      </c>
      <c r="B333" s="46">
        <f>'👥 Клієнти'!F332</f>
        <v>8</v>
      </c>
      <c r="C333" s="46">
        <f>'👥 Клієнти'!D332</f>
        <v>7</v>
      </c>
      <c r="D333" s="47">
        <f>'👥 Клієнти'!E332</f>
        <v>119.94</v>
      </c>
      <c r="E333" s="35">
        <f t="shared" si="1"/>
        <v>4</v>
      </c>
      <c r="F333" s="35">
        <f t="shared" si="2"/>
        <v>4</v>
      </c>
      <c r="G333" s="37">
        <f t="shared" si="3"/>
        <v>4</v>
      </c>
      <c r="H333" s="37" t="str">
        <f t="shared" si="4"/>
        <v>444</v>
      </c>
      <c r="I333" s="37" t="str">
        <f t="shared" si="5"/>
        <v>Champions</v>
      </c>
    </row>
    <row r="334" ht="15.75" customHeight="1">
      <c r="A334" s="46" t="str">
        <f>'👥 Клієнти'!A333</f>
        <v>U0090</v>
      </c>
      <c r="B334" s="46">
        <f>'👥 Клієнти'!F333</f>
        <v>7</v>
      </c>
      <c r="C334" s="46">
        <f>'👥 Клієнти'!D333</f>
        <v>7</v>
      </c>
      <c r="D334" s="47">
        <f>'👥 Клієнти'!E333</f>
        <v>119.94</v>
      </c>
      <c r="E334" s="35">
        <f t="shared" si="1"/>
        <v>5</v>
      </c>
      <c r="F334" s="35">
        <f t="shared" si="2"/>
        <v>4</v>
      </c>
      <c r="G334" s="37">
        <f t="shared" si="3"/>
        <v>4</v>
      </c>
      <c r="H334" s="37" t="str">
        <f t="shared" si="4"/>
        <v>544</v>
      </c>
      <c r="I334" s="37" t="str">
        <f t="shared" si="5"/>
        <v>Champions</v>
      </c>
    </row>
    <row r="335" ht="15.75" customHeight="1">
      <c r="A335" s="46" t="str">
        <f>'👥 Клієнти'!A334</f>
        <v>U0120</v>
      </c>
      <c r="B335" s="46">
        <f>'👥 Клієнти'!F334</f>
        <v>157</v>
      </c>
      <c r="C335" s="46">
        <f>'👥 Клієнти'!D334</f>
        <v>2</v>
      </c>
      <c r="D335" s="47">
        <f>'👥 Клієнти'!E334</f>
        <v>19.99</v>
      </c>
      <c r="E335" s="35">
        <f t="shared" si="1"/>
        <v>1</v>
      </c>
      <c r="F335" s="35">
        <f t="shared" si="2"/>
        <v>1</v>
      </c>
      <c r="G335" s="37">
        <f t="shared" si="3"/>
        <v>1</v>
      </c>
      <c r="H335" s="37" t="str">
        <f t="shared" si="4"/>
        <v>111</v>
      </c>
      <c r="I335" s="37" t="str">
        <f t="shared" si="5"/>
        <v>Lost</v>
      </c>
    </row>
    <row r="336" ht="15.75" customHeight="1">
      <c r="A336" s="46" t="str">
        <f>'👥 Клієнти'!A335</f>
        <v>U0674</v>
      </c>
      <c r="B336" s="46">
        <f>'👥 Клієнти'!F335</f>
        <v>127</v>
      </c>
      <c r="C336" s="46">
        <f>'👥 Клієнти'!D335</f>
        <v>3</v>
      </c>
      <c r="D336" s="47">
        <f>'👥 Клієнти'!E335</f>
        <v>39.98</v>
      </c>
      <c r="E336" s="35">
        <f t="shared" si="1"/>
        <v>2</v>
      </c>
      <c r="F336" s="35">
        <f t="shared" si="2"/>
        <v>2</v>
      </c>
      <c r="G336" s="37">
        <f t="shared" si="3"/>
        <v>2</v>
      </c>
      <c r="H336" s="37" t="str">
        <f t="shared" si="4"/>
        <v>222</v>
      </c>
      <c r="I336" s="37" t="str">
        <f t="shared" si="5"/>
        <v>Lost</v>
      </c>
    </row>
    <row r="337" ht="15.75" customHeight="1">
      <c r="A337" s="46" t="str">
        <f>'👥 Клієнти'!A336</f>
        <v>U0782</v>
      </c>
      <c r="B337" s="46">
        <f>'👥 Клієнти'!F336</f>
        <v>157</v>
      </c>
      <c r="C337" s="46">
        <f>'👥 Клієнти'!D336</f>
        <v>2</v>
      </c>
      <c r="D337" s="47">
        <f>'👥 Клієнти'!E336</f>
        <v>19.99</v>
      </c>
      <c r="E337" s="35">
        <f t="shared" si="1"/>
        <v>1</v>
      </c>
      <c r="F337" s="35">
        <f t="shared" si="2"/>
        <v>1</v>
      </c>
      <c r="G337" s="37">
        <f t="shared" si="3"/>
        <v>1</v>
      </c>
      <c r="H337" s="37" t="str">
        <f t="shared" si="4"/>
        <v>111</v>
      </c>
      <c r="I337" s="37" t="str">
        <f t="shared" si="5"/>
        <v>Lost</v>
      </c>
    </row>
    <row r="338" ht="15.75" customHeight="1">
      <c r="A338" s="46" t="str">
        <f>'👥 Клієнти'!A337</f>
        <v>U0339</v>
      </c>
      <c r="B338" s="46">
        <f>'👥 Клієнти'!F337</f>
        <v>6</v>
      </c>
      <c r="C338" s="46">
        <f>'👥 Клієнти'!D337</f>
        <v>7</v>
      </c>
      <c r="D338" s="47">
        <f>'👥 Клієнти'!E337</f>
        <v>119.94</v>
      </c>
      <c r="E338" s="35">
        <f t="shared" si="1"/>
        <v>5</v>
      </c>
      <c r="F338" s="35">
        <f t="shared" si="2"/>
        <v>4</v>
      </c>
      <c r="G338" s="37">
        <f t="shared" si="3"/>
        <v>4</v>
      </c>
      <c r="H338" s="37" t="str">
        <f t="shared" si="4"/>
        <v>544</v>
      </c>
      <c r="I338" s="37" t="str">
        <f t="shared" si="5"/>
        <v>Champions</v>
      </c>
    </row>
    <row r="339" ht="15.75" customHeight="1">
      <c r="A339" s="46" t="str">
        <f>'👥 Клієнти'!A338</f>
        <v>U0018</v>
      </c>
      <c r="B339" s="46">
        <f>'👥 Клієнти'!F338</f>
        <v>5</v>
      </c>
      <c r="C339" s="46">
        <f>'👥 Клієнти'!D338</f>
        <v>7</v>
      </c>
      <c r="D339" s="47">
        <f>'👥 Клієнти'!E338</f>
        <v>119.94</v>
      </c>
      <c r="E339" s="35">
        <f t="shared" si="1"/>
        <v>5</v>
      </c>
      <c r="F339" s="35">
        <f t="shared" si="2"/>
        <v>4</v>
      </c>
      <c r="G339" s="37">
        <f t="shared" si="3"/>
        <v>4</v>
      </c>
      <c r="H339" s="37" t="str">
        <f t="shared" si="4"/>
        <v>544</v>
      </c>
      <c r="I339" s="37" t="str">
        <f t="shared" si="5"/>
        <v>Champions</v>
      </c>
    </row>
    <row r="340" ht="15.75" customHeight="1">
      <c r="A340" s="46" t="str">
        <f>'👥 Клієнти'!A339</f>
        <v>U0028</v>
      </c>
      <c r="B340" s="46">
        <f>'👥 Клієнти'!F339</f>
        <v>4</v>
      </c>
      <c r="C340" s="46">
        <f>'👥 Клієнти'!D339</f>
        <v>7</v>
      </c>
      <c r="D340" s="47">
        <f>'👥 Клієнти'!E339</f>
        <v>119.94</v>
      </c>
      <c r="E340" s="35">
        <f t="shared" si="1"/>
        <v>5</v>
      </c>
      <c r="F340" s="35">
        <f t="shared" si="2"/>
        <v>4</v>
      </c>
      <c r="G340" s="37">
        <f t="shared" si="3"/>
        <v>4</v>
      </c>
      <c r="H340" s="37" t="str">
        <f t="shared" si="4"/>
        <v>544</v>
      </c>
      <c r="I340" s="37" t="str">
        <f t="shared" si="5"/>
        <v>Champions</v>
      </c>
    </row>
    <row r="341" ht="15.75" customHeight="1">
      <c r="A341" s="46" t="str">
        <f>'👥 Клієнти'!A340</f>
        <v>U0275</v>
      </c>
      <c r="B341" s="46">
        <f>'👥 Клієнти'!F340</f>
        <v>4</v>
      </c>
      <c r="C341" s="46">
        <f>'👥 Клієнти'!D340</f>
        <v>7</v>
      </c>
      <c r="D341" s="47">
        <f>'👥 Клієнти'!E340</f>
        <v>119.94</v>
      </c>
      <c r="E341" s="35">
        <f t="shared" si="1"/>
        <v>5</v>
      </c>
      <c r="F341" s="35">
        <f t="shared" si="2"/>
        <v>4</v>
      </c>
      <c r="G341" s="37">
        <f t="shared" si="3"/>
        <v>4</v>
      </c>
      <c r="H341" s="37" t="str">
        <f t="shared" si="4"/>
        <v>544</v>
      </c>
      <c r="I341" s="37" t="str">
        <f t="shared" si="5"/>
        <v>Champions</v>
      </c>
    </row>
    <row r="342" ht="15.75" customHeight="1">
      <c r="A342" s="46" t="str">
        <f>'👥 Клієнти'!A341</f>
        <v>U0701</v>
      </c>
      <c r="B342" s="46">
        <f>'👥 Клієнти'!F341</f>
        <v>4</v>
      </c>
      <c r="C342" s="46">
        <f>'👥 Клієнти'!D341</f>
        <v>7</v>
      </c>
      <c r="D342" s="47">
        <f>'👥 Клієнти'!E341</f>
        <v>119.94</v>
      </c>
      <c r="E342" s="35">
        <f t="shared" si="1"/>
        <v>5</v>
      </c>
      <c r="F342" s="35">
        <f t="shared" si="2"/>
        <v>4</v>
      </c>
      <c r="G342" s="37">
        <f t="shared" si="3"/>
        <v>4</v>
      </c>
      <c r="H342" s="37" t="str">
        <f t="shared" si="4"/>
        <v>544</v>
      </c>
      <c r="I342" s="37" t="str">
        <f t="shared" si="5"/>
        <v>Champions</v>
      </c>
    </row>
    <row r="343" ht="15.75" customHeight="1">
      <c r="A343" s="46" t="str">
        <f>'👥 Клієнти'!A342</f>
        <v>U0042</v>
      </c>
      <c r="B343" s="46">
        <f>'👥 Клієнти'!F342</f>
        <v>3</v>
      </c>
      <c r="C343" s="46">
        <f>'👥 Клієнти'!D342</f>
        <v>7</v>
      </c>
      <c r="D343" s="47">
        <f>'👥 Клієнти'!E342</f>
        <v>119.94</v>
      </c>
      <c r="E343" s="35">
        <f t="shared" si="1"/>
        <v>5</v>
      </c>
      <c r="F343" s="35">
        <f t="shared" si="2"/>
        <v>4</v>
      </c>
      <c r="G343" s="37">
        <f t="shared" si="3"/>
        <v>4</v>
      </c>
      <c r="H343" s="37" t="str">
        <f t="shared" si="4"/>
        <v>544</v>
      </c>
      <c r="I343" s="37" t="str">
        <f t="shared" si="5"/>
        <v>Champions</v>
      </c>
    </row>
    <row r="344" ht="15.75" customHeight="1">
      <c r="A344" s="46" t="str">
        <f>'👥 Клієнти'!A343</f>
        <v>U0403</v>
      </c>
      <c r="B344" s="46">
        <f>'👥 Клієнти'!F343</f>
        <v>3</v>
      </c>
      <c r="C344" s="46">
        <f>'👥 Клієнти'!D343</f>
        <v>7</v>
      </c>
      <c r="D344" s="47">
        <f>'👥 Клієнти'!E343</f>
        <v>119.94</v>
      </c>
      <c r="E344" s="35">
        <f t="shared" si="1"/>
        <v>5</v>
      </c>
      <c r="F344" s="35">
        <f t="shared" si="2"/>
        <v>4</v>
      </c>
      <c r="G344" s="37">
        <f t="shared" si="3"/>
        <v>4</v>
      </c>
      <c r="H344" s="37" t="str">
        <f t="shared" si="4"/>
        <v>544</v>
      </c>
      <c r="I344" s="37" t="str">
        <f t="shared" si="5"/>
        <v>Champions</v>
      </c>
    </row>
    <row r="345" ht="15.75" customHeight="1">
      <c r="A345" s="46" t="str">
        <f>'👥 Клієнти'!A344</f>
        <v>U0634</v>
      </c>
      <c r="B345" s="46">
        <f>'👥 Клієнти'!F344</f>
        <v>2</v>
      </c>
      <c r="C345" s="46">
        <f>'👥 Клієнти'!D344</f>
        <v>7</v>
      </c>
      <c r="D345" s="47">
        <f>'👥 Клієнти'!E344</f>
        <v>119.94</v>
      </c>
      <c r="E345" s="35">
        <f t="shared" si="1"/>
        <v>5</v>
      </c>
      <c r="F345" s="35">
        <f t="shared" si="2"/>
        <v>4</v>
      </c>
      <c r="G345" s="37">
        <f t="shared" si="3"/>
        <v>4</v>
      </c>
      <c r="H345" s="37" t="str">
        <f t="shared" si="4"/>
        <v>544</v>
      </c>
      <c r="I345" s="37" t="str">
        <f t="shared" si="5"/>
        <v>Champions</v>
      </c>
    </row>
    <row r="346" ht="15.75" customHeight="1">
      <c r="A346" s="46" t="str">
        <f>'👥 Клієнти'!A345</f>
        <v>U0637</v>
      </c>
      <c r="B346" s="46">
        <f>'👥 Клієнти'!F345</f>
        <v>2</v>
      </c>
      <c r="C346" s="46">
        <f>'👥 Клієнти'!D345</f>
        <v>7</v>
      </c>
      <c r="D346" s="47">
        <f>'👥 Клієнти'!E345</f>
        <v>119.94</v>
      </c>
      <c r="E346" s="35">
        <f t="shared" si="1"/>
        <v>5</v>
      </c>
      <c r="F346" s="35">
        <f t="shared" si="2"/>
        <v>4</v>
      </c>
      <c r="G346" s="37">
        <f t="shared" si="3"/>
        <v>4</v>
      </c>
      <c r="H346" s="37" t="str">
        <f t="shared" si="4"/>
        <v>544</v>
      </c>
      <c r="I346" s="37" t="str">
        <f t="shared" si="5"/>
        <v>Champions</v>
      </c>
    </row>
    <row r="347" ht="15.75" customHeight="1">
      <c r="A347" s="46" t="str">
        <f>'👥 Клієнти'!A346</f>
        <v>U0137</v>
      </c>
      <c r="B347" s="46">
        <f>'👥 Клієнти'!F346</f>
        <v>121</v>
      </c>
      <c r="C347" s="46">
        <f>'👥 Клієнти'!D346</f>
        <v>3</v>
      </c>
      <c r="D347" s="47">
        <f>'👥 Клієнти'!E346</f>
        <v>39.98</v>
      </c>
      <c r="E347" s="35">
        <f t="shared" si="1"/>
        <v>2</v>
      </c>
      <c r="F347" s="35">
        <f t="shared" si="2"/>
        <v>2</v>
      </c>
      <c r="G347" s="37">
        <f t="shared" si="3"/>
        <v>2</v>
      </c>
      <c r="H347" s="37" t="str">
        <f t="shared" si="4"/>
        <v>222</v>
      </c>
      <c r="I347" s="37" t="str">
        <f t="shared" si="5"/>
        <v>Lost</v>
      </c>
    </row>
    <row r="348" ht="15.75" customHeight="1">
      <c r="A348" s="46" t="str">
        <f>'👥 Клієнти'!A347</f>
        <v>U0475</v>
      </c>
      <c r="B348" s="46">
        <f>'👥 Клієнти'!F347</f>
        <v>1</v>
      </c>
      <c r="C348" s="46">
        <f>'👥 Клієнти'!D347</f>
        <v>7</v>
      </c>
      <c r="D348" s="47">
        <f>'👥 Клієнти'!E347</f>
        <v>119.94</v>
      </c>
      <c r="E348" s="35">
        <f t="shared" si="1"/>
        <v>5</v>
      </c>
      <c r="F348" s="35">
        <f t="shared" si="2"/>
        <v>4</v>
      </c>
      <c r="G348" s="37">
        <f t="shared" si="3"/>
        <v>4</v>
      </c>
      <c r="H348" s="37" t="str">
        <f t="shared" si="4"/>
        <v>544</v>
      </c>
      <c r="I348" s="37" t="str">
        <f t="shared" si="5"/>
        <v>Champions</v>
      </c>
    </row>
    <row r="349" ht="15.75" customHeight="1">
      <c r="A349" s="46" t="str">
        <f>'👥 Клієнти'!A348</f>
        <v>U0609</v>
      </c>
      <c r="B349" s="46">
        <f>'👥 Клієнти'!F348</f>
        <v>1</v>
      </c>
      <c r="C349" s="46">
        <f>'👥 Клієнти'!D348</f>
        <v>7</v>
      </c>
      <c r="D349" s="47">
        <f>'👥 Клієнти'!E348</f>
        <v>119.94</v>
      </c>
      <c r="E349" s="35">
        <f t="shared" si="1"/>
        <v>5</v>
      </c>
      <c r="F349" s="35">
        <f t="shared" si="2"/>
        <v>4</v>
      </c>
      <c r="G349" s="37">
        <f t="shared" si="3"/>
        <v>4</v>
      </c>
      <c r="H349" s="37" t="str">
        <f t="shared" si="4"/>
        <v>544</v>
      </c>
      <c r="I349" s="37" t="str">
        <f t="shared" si="5"/>
        <v>Champions</v>
      </c>
    </row>
    <row r="350" ht="15.75" customHeight="1">
      <c r="A350" s="46" t="str">
        <f>'👥 Клієнти'!A349</f>
        <v>U0173</v>
      </c>
      <c r="B350" s="46">
        <f>'👥 Клієнти'!F349</f>
        <v>28</v>
      </c>
      <c r="C350" s="46">
        <f>'👥 Клієнти'!D349</f>
        <v>6</v>
      </c>
      <c r="D350" s="47">
        <f>'👥 Клієнти'!E349</f>
        <v>99.95</v>
      </c>
      <c r="E350" s="35">
        <f t="shared" si="1"/>
        <v>2</v>
      </c>
      <c r="F350" s="35">
        <f t="shared" si="2"/>
        <v>3</v>
      </c>
      <c r="G350" s="37">
        <f t="shared" si="3"/>
        <v>3</v>
      </c>
      <c r="H350" s="37" t="str">
        <f t="shared" si="4"/>
        <v>233</v>
      </c>
      <c r="I350" s="37" t="str">
        <f t="shared" si="5"/>
        <v>At Risk</v>
      </c>
    </row>
    <row r="351" ht="15.75" customHeight="1">
      <c r="A351" s="46" t="str">
        <f>'👥 Клієнти'!A350</f>
        <v>U0424</v>
      </c>
      <c r="B351" s="46">
        <f>'👥 Клієнти'!F350</f>
        <v>117</v>
      </c>
      <c r="C351" s="46">
        <f>'👥 Клієнти'!D350</f>
        <v>3</v>
      </c>
      <c r="D351" s="47">
        <f>'👥 Клієнти'!E350</f>
        <v>39.98</v>
      </c>
      <c r="E351" s="35">
        <f t="shared" si="1"/>
        <v>2</v>
      </c>
      <c r="F351" s="35">
        <f t="shared" si="2"/>
        <v>2</v>
      </c>
      <c r="G351" s="37">
        <f t="shared" si="3"/>
        <v>2</v>
      </c>
      <c r="H351" s="37" t="str">
        <f t="shared" si="4"/>
        <v>222</v>
      </c>
      <c r="I351" s="37" t="str">
        <f t="shared" si="5"/>
        <v>Lost</v>
      </c>
    </row>
    <row r="352" ht="15.75" customHeight="1">
      <c r="A352" s="46" t="str">
        <f>'👥 Клієнти'!A351</f>
        <v>U0480</v>
      </c>
      <c r="B352" s="46">
        <f>'👥 Клієнти'!F351</f>
        <v>27</v>
      </c>
      <c r="C352" s="46">
        <f>'👥 Клієнти'!D351</f>
        <v>6</v>
      </c>
      <c r="D352" s="47">
        <f>'👥 Клієнти'!E351</f>
        <v>99.95</v>
      </c>
      <c r="E352" s="35">
        <f t="shared" si="1"/>
        <v>2</v>
      </c>
      <c r="F352" s="35">
        <f t="shared" si="2"/>
        <v>3</v>
      </c>
      <c r="G352" s="37">
        <f t="shared" si="3"/>
        <v>3</v>
      </c>
      <c r="H352" s="37" t="str">
        <f t="shared" si="4"/>
        <v>233</v>
      </c>
      <c r="I352" s="37" t="str">
        <f t="shared" si="5"/>
        <v>At Risk</v>
      </c>
    </row>
    <row r="353" ht="15.75" customHeight="1">
      <c r="A353" s="46" t="str">
        <f>'👥 Клієнти'!A352</f>
        <v>U0713</v>
      </c>
      <c r="B353" s="46">
        <f>'👥 Клієнти'!F352</f>
        <v>27</v>
      </c>
      <c r="C353" s="46">
        <f>'👥 Клієнти'!D352</f>
        <v>6</v>
      </c>
      <c r="D353" s="47">
        <f>'👥 Клієнти'!E352</f>
        <v>99.95</v>
      </c>
      <c r="E353" s="35">
        <f t="shared" si="1"/>
        <v>2</v>
      </c>
      <c r="F353" s="35">
        <f t="shared" si="2"/>
        <v>3</v>
      </c>
      <c r="G353" s="37">
        <f t="shared" si="3"/>
        <v>3</v>
      </c>
      <c r="H353" s="37" t="str">
        <f t="shared" si="4"/>
        <v>233</v>
      </c>
      <c r="I353" s="37" t="str">
        <f t="shared" si="5"/>
        <v>At Risk</v>
      </c>
    </row>
    <row r="354" ht="15.75" customHeight="1">
      <c r="A354" s="46" t="str">
        <f>'👥 Клієнти'!A353</f>
        <v>U0748</v>
      </c>
      <c r="B354" s="46">
        <f>'👥 Клієнти'!F353</f>
        <v>27</v>
      </c>
      <c r="C354" s="46">
        <f>'👥 Клієнти'!D353</f>
        <v>6</v>
      </c>
      <c r="D354" s="47">
        <f>'👥 Клієнти'!E353</f>
        <v>99.95</v>
      </c>
      <c r="E354" s="35">
        <f t="shared" si="1"/>
        <v>2</v>
      </c>
      <c r="F354" s="35">
        <f t="shared" si="2"/>
        <v>3</v>
      </c>
      <c r="G354" s="37">
        <f t="shared" si="3"/>
        <v>3</v>
      </c>
      <c r="H354" s="37" t="str">
        <f t="shared" si="4"/>
        <v>233</v>
      </c>
      <c r="I354" s="37" t="str">
        <f t="shared" si="5"/>
        <v>At Risk</v>
      </c>
    </row>
    <row r="355" ht="15.75" customHeight="1">
      <c r="A355" s="46" t="str">
        <f>'👥 Клієнти'!A354</f>
        <v>U0835</v>
      </c>
      <c r="B355" s="46">
        <f>'👥 Клієнти'!F354</f>
        <v>27</v>
      </c>
      <c r="C355" s="46">
        <f>'👥 Клієнти'!D354</f>
        <v>6</v>
      </c>
      <c r="D355" s="47">
        <f>'👥 Клієнти'!E354</f>
        <v>99.95</v>
      </c>
      <c r="E355" s="35">
        <f t="shared" si="1"/>
        <v>2</v>
      </c>
      <c r="F355" s="35">
        <f t="shared" si="2"/>
        <v>3</v>
      </c>
      <c r="G355" s="37">
        <f t="shared" si="3"/>
        <v>3</v>
      </c>
      <c r="H355" s="37" t="str">
        <f t="shared" si="4"/>
        <v>233</v>
      </c>
      <c r="I355" s="37" t="str">
        <f t="shared" si="5"/>
        <v>At Risk</v>
      </c>
    </row>
    <row r="356" ht="15.75" customHeight="1">
      <c r="A356" s="46" t="str">
        <f>'👥 Клієнти'!A355</f>
        <v>U0048</v>
      </c>
      <c r="B356" s="46">
        <f>'👥 Клієнти'!F355</f>
        <v>26</v>
      </c>
      <c r="C356" s="46">
        <f>'👥 Клієнти'!D355</f>
        <v>6</v>
      </c>
      <c r="D356" s="47">
        <f>'👥 Клієнти'!E355</f>
        <v>99.95</v>
      </c>
      <c r="E356" s="35">
        <f t="shared" si="1"/>
        <v>2</v>
      </c>
      <c r="F356" s="35">
        <f t="shared" si="2"/>
        <v>3</v>
      </c>
      <c r="G356" s="37">
        <f t="shared" si="3"/>
        <v>3</v>
      </c>
      <c r="H356" s="37" t="str">
        <f t="shared" si="4"/>
        <v>233</v>
      </c>
      <c r="I356" s="37" t="str">
        <f t="shared" si="5"/>
        <v>At Risk</v>
      </c>
    </row>
    <row r="357" ht="15.75" customHeight="1">
      <c r="A357" s="46" t="str">
        <f>'👥 Клієнти'!A356</f>
        <v>U0096</v>
      </c>
      <c r="B357" s="46">
        <f>'👥 Клієнти'!F356</f>
        <v>24</v>
      </c>
      <c r="C357" s="46">
        <f>'👥 Клієнти'!D356</f>
        <v>6</v>
      </c>
      <c r="D357" s="47">
        <f>'👥 Клієнти'!E356</f>
        <v>99.95</v>
      </c>
      <c r="E357" s="35">
        <f t="shared" si="1"/>
        <v>3</v>
      </c>
      <c r="F357" s="35">
        <f t="shared" si="2"/>
        <v>3</v>
      </c>
      <c r="G357" s="37">
        <f t="shared" si="3"/>
        <v>3</v>
      </c>
      <c r="H357" s="37" t="str">
        <f t="shared" si="4"/>
        <v>333</v>
      </c>
      <c r="I357" s="37" t="str">
        <f t="shared" si="5"/>
        <v>Loyal</v>
      </c>
    </row>
    <row r="358" ht="15.75" customHeight="1">
      <c r="A358" s="46" t="str">
        <f>'👥 Клієнти'!A357</f>
        <v>U0307</v>
      </c>
      <c r="B358" s="46">
        <f>'👥 Клієнти'!F357</f>
        <v>24</v>
      </c>
      <c r="C358" s="46">
        <f>'👥 Клієнти'!D357</f>
        <v>6</v>
      </c>
      <c r="D358" s="47">
        <f>'👥 Клієнти'!E357</f>
        <v>99.95</v>
      </c>
      <c r="E358" s="35">
        <f t="shared" si="1"/>
        <v>3</v>
      </c>
      <c r="F358" s="35">
        <f t="shared" si="2"/>
        <v>3</v>
      </c>
      <c r="G358" s="37">
        <f t="shared" si="3"/>
        <v>3</v>
      </c>
      <c r="H358" s="37" t="str">
        <f t="shared" si="4"/>
        <v>333</v>
      </c>
      <c r="I358" s="37" t="str">
        <f t="shared" si="5"/>
        <v>Loyal</v>
      </c>
    </row>
    <row r="359" ht="15.75" customHeight="1">
      <c r="A359" s="46" t="str">
        <f>'👥 Клієнти'!A358</f>
        <v>U0485</v>
      </c>
      <c r="B359" s="46">
        <f>'👥 Клієнти'!F358</f>
        <v>23</v>
      </c>
      <c r="C359" s="46">
        <f>'👥 Клієнти'!D358</f>
        <v>6</v>
      </c>
      <c r="D359" s="47">
        <f>'👥 Клієнти'!E358</f>
        <v>99.95</v>
      </c>
      <c r="E359" s="35">
        <f t="shared" si="1"/>
        <v>3</v>
      </c>
      <c r="F359" s="35">
        <f t="shared" si="2"/>
        <v>3</v>
      </c>
      <c r="G359" s="37">
        <f t="shared" si="3"/>
        <v>3</v>
      </c>
      <c r="H359" s="37" t="str">
        <f t="shared" si="4"/>
        <v>333</v>
      </c>
      <c r="I359" s="37" t="str">
        <f t="shared" si="5"/>
        <v>Loyal</v>
      </c>
    </row>
    <row r="360" ht="15.75" customHeight="1">
      <c r="A360" s="46" t="str">
        <f>'👥 Клієнти'!A359</f>
        <v>U0554</v>
      </c>
      <c r="B360" s="46">
        <f>'👥 Клієнти'!F359</f>
        <v>23</v>
      </c>
      <c r="C360" s="46">
        <f>'👥 Клієнти'!D359</f>
        <v>6</v>
      </c>
      <c r="D360" s="47">
        <f>'👥 Клієнти'!E359</f>
        <v>99.95</v>
      </c>
      <c r="E360" s="35">
        <f t="shared" si="1"/>
        <v>3</v>
      </c>
      <c r="F360" s="35">
        <f t="shared" si="2"/>
        <v>3</v>
      </c>
      <c r="G360" s="37">
        <f t="shared" si="3"/>
        <v>3</v>
      </c>
      <c r="H360" s="37" t="str">
        <f t="shared" si="4"/>
        <v>333</v>
      </c>
      <c r="I360" s="37" t="str">
        <f t="shared" si="5"/>
        <v>Loyal</v>
      </c>
    </row>
    <row r="361" ht="15.75" customHeight="1">
      <c r="A361" s="46" t="str">
        <f>'👥 Клієнти'!A360</f>
        <v>U0753</v>
      </c>
      <c r="B361" s="46">
        <f>'👥 Клієнти'!F360</f>
        <v>141</v>
      </c>
      <c r="C361" s="46">
        <f>'👥 Клієнти'!D360</f>
        <v>2</v>
      </c>
      <c r="D361" s="47">
        <f>'👥 Клієнти'!E360</f>
        <v>19.99</v>
      </c>
      <c r="E361" s="35">
        <f t="shared" si="1"/>
        <v>1</v>
      </c>
      <c r="F361" s="35">
        <f t="shared" si="2"/>
        <v>1</v>
      </c>
      <c r="G361" s="37">
        <f t="shared" si="3"/>
        <v>1</v>
      </c>
      <c r="H361" s="37" t="str">
        <f t="shared" si="4"/>
        <v>111</v>
      </c>
      <c r="I361" s="37" t="str">
        <f t="shared" si="5"/>
        <v>Lost</v>
      </c>
    </row>
    <row r="362" ht="15.75" customHeight="1">
      <c r="A362" s="46" t="str">
        <f>'👥 Клієнти'!A361</f>
        <v>U0256</v>
      </c>
      <c r="B362" s="46">
        <f>'👥 Клієнти'!F361</f>
        <v>20</v>
      </c>
      <c r="C362" s="46">
        <f>'👥 Клієнти'!D361</f>
        <v>6</v>
      </c>
      <c r="D362" s="47">
        <f>'👥 Клієнти'!E361</f>
        <v>99.95</v>
      </c>
      <c r="E362" s="35">
        <f t="shared" si="1"/>
        <v>3</v>
      </c>
      <c r="F362" s="35">
        <f t="shared" si="2"/>
        <v>3</v>
      </c>
      <c r="G362" s="37">
        <f t="shared" si="3"/>
        <v>3</v>
      </c>
      <c r="H362" s="37" t="str">
        <f t="shared" si="4"/>
        <v>333</v>
      </c>
      <c r="I362" s="37" t="str">
        <f t="shared" si="5"/>
        <v>Loyal</v>
      </c>
    </row>
    <row r="363" ht="15.75" customHeight="1">
      <c r="A363" s="46" t="str">
        <f>'👥 Клієнти'!A362</f>
        <v>U0542</v>
      </c>
      <c r="B363" s="46">
        <f>'👥 Клієнти'!F362</f>
        <v>20</v>
      </c>
      <c r="C363" s="46">
        <f>'👥 Клієнти'!D362</f>
        <v>6</v>
      </c>
      <c r="D363" s="47">
        <f>'👥 Клієнти'!E362</f>
        <v>99.95</v>
      </c>
      <c r="E363" s="35">
        <f t="shared" si="1"/>
        <v>3</v>
      </c>
      <c r="F363" s="35">
        <f t="shared" si="2"/>
        <v>3</v>
      </c>
      <c r="G363" s="37">
        <f t="shared" si="3"/>
        <v>3</v>
      </c>
      <c r="H363" s="37" t="str">
        <f t="shared" si="4"/>
        <v>333</v>
      </c>
      <c r="I363" s="37" t="str">
        <f t="shared" si="5"/>
        <v>Loyal</v>
      </c>
    </row>
    <row r="364" ht="15.75" customHeight="1">
      <c r="A364" s="46" t="str">
        <f>'👥 Клієнти'!A363</f>
        <v>U0261</v>
      </c>
      <c r="B364" s="46">
        <f>'👥 Клієнти'!F363</f>
        <v>19</v>
      </c>
      <c r="C364" s="46">
        <f>'👥 Клієнти'!D363</f>
        <v>6</v>
      </c>
      <c r="D364" s="47">
        <f>'👥 Клієнти'!E363</f>
        <v>99.95</v>
      </c>
      <c r="E364" s="35">
        <f t="shared" si="1"/>
        <v>3</v>
      </c>
      <c r="F364" s="35">
        <f t="shared" si="2"/>
        <v>3</v>
      </c>
      <c r="G364" s="37">
        <f t="shared" si="3"/>
        <v>3</v>
      </c>
      <c r="H364" s="37" t="str">
        <f t="shared" si="4"/>
        <v>333</v>
      </c>
      <c r="I364" s="37" t="str">
        <f t="shared" si="5"/>
        <v>Loyal</v>
      </c>
    </row>
    <row r="365" ht="15.75" customHeight="1">
      <c r="A365" s="46" t="str">
        <f>'👥 Клієнти'!A364</f>
        <v>U0534</v>
      </c>
      <c r="B365" s="46">
        <f>'👥 Клієнти'!F364</f>
        <v>19</v>
      </c>
      <c r="C365" s="46">
        <f>'👥 Клієнти'!D364</f>
        <v>6</v>
      </c>
      <c r="D365" s="47">
        <f>'👥 Клієнти'!E364</f>
        <v>99.95</v>
      </c>
      <c r="E365" s="35">
        <f t="shared" si="1"/>
        <v>3</v>
      </c>
      <c r="F365" s="35">
        <f t="shared" si="2"/>
        <v>3</v>
      </c>
      <c r="G365" s="37">
        <f t="shared" si="3"/>
        <v>3</v>
      </c>
      <c r="H365" s="37" t="str">
        <f t="shared" si="4"/>
        <v>333</v>
      </c>
      <c r="I365" s="37" t="str">
        <f t="shared" si="5"/>
        <v>Loyal</v>
      </c>
    </row>
    <row r="366" ht="15.75" customHeight="1">
      <c r="A366" s="46" t="str">
        <f>'👥 Клієнти'!A365</f>
        <v>U0566</v>
      </c>
      <c r="B366" s="46">
        <f>'👥 Клієнти'!F365</f>
        <v>19</v>
      </c>
      <c r="C366" s="46">
        <f>'👥 Клієнти'!D365</f>
        <v>6</v>
      </c>
      <c r="D366" s="47">
        <f>'👥 Клієнти'!E365</f>
        <v>99.95</v>
      </c>
      <c r="E366" s="35">
        <f t="shared" si="1"/>
        <v>3</v>
      </c>
      <c r="F366" s="35">
        <f t="shared" si="2"/>
        <v>3</v>
      </c>
      <c r="G366" s="37">
        <f t="shared" si="3"/>
        <v>3</v>
      </c>
      <c r="H366" s="37" t="str">
        <f t="shared" si="4"/>
        <v>333</v>
      </c>
      <c r="I366" s="37" t="str">
        <f t="shared" si="5"/>
        <v>Loyal</v>
      </c>
    </row>
    <row r="367" ht="15.75" customHeight="1">
      <c r="A367" s="46" t="str">
        <f>'👥 Клієнти'!A366</f>
        <v>U0787</v>
      </c>
      <c r="B367" s="46">
        <f>'👥 Клієнти'!F366</f>
        <v>17</v>
      </c>
      <c r="C367" s="46">
        <f>'👥 Клієнти'!D366</f>
        <v>6</v>
      </c>
      <c r="D367" s="47">
        <f>'👥 Клієнти'!E366</f>
        <v>99.95</v>
      </c>
      <c r="E367" s="35">
        <f t="shared" si="1"/>
        <v>3</v>
      </c>
      <c r="F367" s="35">
        <f t="shared" si="2"/>
        <v>3</v>
      </c>
      <c r="G367" s="37">
        <f t="shared" si="3"/>
        <v>3</v>
      </c>
      <c r="H367" s="37" t="str">
        <f t="shared" si="4"/>
        <v>333</v>
      </c>
      <c r="I367" s="37" t="str">
        <f t="shared" si="5"/>
        <v>Loyal</v>
      </c>
    </row>
    <row r="368" ht="15.75" customHeight="1">
      <c r="A368" s="46" t="str">
        <f>'👥 Клієнти'!A367</f>
        <v>U0798</v>
      </c>
      <c r="B368" s="46">
        <f>'👥 Клієнти'!F367</f>
        <v>107</v>
      </c>
      <c r="C368" s="46">
        <f>'👥 Клієнти'!D367</f>
        <v>3</v>
      </c>
      <c r="D368" s="47">
        <f>'👥 Клієнти'!E367</f>
        <v>39.98</v>
      </c>
      <c r="E368" s="35">
        <f t="shared" si="1"/>
        <v>2</v>
      </c>
      <c r="F368" s="35">
        <f t="shared" si="2"/>
        <v>2</v>
      </c>
      <c r="G368" s="37">
        <f t="shared" si="3"/>
        <v>2</v>
      </c>
      <c r="H368" s="37" t="str">
        <f t="shared" si="4"/>
        <v>222</v>
      </c>
      <c r="I368" s="37" t="str">
        <f t="shared" si="5"/>
        <v>Lost</v>
      </c>
    </row>
    <row r="369" ht="15.75" customHeight="1">
      <c r="A369" s="46" t="str">
        <f>'👥 Клієнти'!A368</f>
        <v>U0328</v>
      </c>
      <c r="B369" s="46">
        <f>'👥 Клієнти'!F368</f>
        <v>16</v>
      </c>
      <c r="C369" s="46">
        <f>'👥 Клієнти'!D368</f>
        <v>6</v>
      </c>
      <c r="D369" s="47">
        <f>'👥 Клієнти'!E368</f>
        <v>99.95</v>
      </c>
      <c r="E369" s="35">
        <f t="shared" si="1"/>
        <v>3</v>
      </c>
      <c r="F369" s="35">
        <f t="shared" si="2"/>
        <v>3</v>
      </c>
      <c r="G369" s="37">
        <f t="shared" si="3"/>
        <v>3</v>
      </c>
      <c r="H369" s="37" t="str">
        <f t="shared" si="4"/>
        <v>333</v>
      </c>
      <c r="I369" s="37" t="str">
        <f t="shared" si="5"/>
        <v>Loyal</v>
      </c>
    </row>
    <row r="370" ht="15.75" customHeight="1">
      <c r="A370" s="46" t="str">
        <f>'👥 Клієнти'!A369</f>
        <v>U0850</v>
      </c>
      <c r="B370" s="46">
        <f>'👥 Клієнти'!F369</f>
        <v>106</v>
      </c>
      <c r="C370" s="46">
        <f>'👥 Клієнти'!D369</f>
        <v>3</v>
      </c>
      <c r="D370" s="47">
        <f>'👥 Клієнти'!E369</f>
        <v>39.98</v>
      </c>
      <c r="E370" s="35">
        <f t="shared" si="1"/>
        <v>2</v>
      </c>
      <c r="F370" s="35">
        <f t="shared" si="2"/>
        <v>2</v>
      </c>
      <c r="G370" s="37">
        <f t="shared" si="3"/>
        <v>2</v>
      </c>
      <c r="H370" s="37" t="str">
        <f t="shared" si="4"/>
        <v>222</v>
      </c>
      <c r="I370" s="37" t="str">
        <f t="shared" si="5"/>
        <v>Lost</v>
      </c>
    </row>
    <row r="371" ht="15.75" customHeight="1">
      <c r="A371" s="46" t="str">
        <f>'👥 Клієнти'!A370</f>
        <v>U0147</v>
      </c>
      <c r="B371" s="46">
        <f>'👥 Клієнти'!F370</f>
        <v>15</v>
      </c>
      <c r="C371" s="46">
        <f>'👥 Клієнти'!D370</f>
        <v>6</v>
      </c>
      <c r="D371" s="47">
        <f>'👥 Клієнти'!E370</f>
        <v>99.95</v>
      </c>
      <c r="E371" s="35">
        <f t="shared" si="1"/>
        <v>4</v>
      </c>
      <c r="F371" s="35">
        <f t="shared" si="2"/>
        <v>3</v>
      </c>
      <c r="G371" s="37">
        <f t="shared" si="3"/>
        <v>3</v>
      </c>
      <c r="H371" s="37" t="str">
        <f t="shared" si="4"/>
        <v>433</v>
      </c>
      <c r="I371" s="37" t="str">
        <f t="shared" si="5"/>
        <v>Loyal</v>
      </c>
    </row>
    <row r="372" ht="15.75" customHeight="1">
      <c r="A372" s="46" t="str">
        <f>'👥 Клієнти'!A371</f>
        <v>U0170</v>
      </c>
      <c r="B372" s="46">
        <f>'👥 Клієнти'!F371</f>
        <v>15</v>
      </c>
      <c r="C372" s="46">
        <f>'👥 Клієнти'!D371</f>
        <v>6</v>
      </c>
      <c r="D372" s="47">
        <f>'👥 Клієнти'!E371</f>
        <v>99.95</v>
      </c>
      <c r="E372" s="35">
        <f t="shared" si="1"/>
        <v>4</v>
      </c>
      <c r="F372" s="35">
        <f t="shared" si="2"/>
        <v>3</v>
      </c>
      <c r="G372" s="37">
        <f t="shared" si="3"/>
        <v>3</v>
      </c>
      <c r="H372" s="37" t="str">
        <f t="shared" si="4"/>
        <v>433</v>
      </c>
      <c r="I372" s="37" t="str">
        <f t="shared" si="5"/>
        <v>Loyal</v>
      </c>
    </row>
    <row r="373" ht="15.75" customHeight="1">
      <c r="A373" s="46" t="str">
        <f>'👥 Клієнти'!A372</f>
        <v>U0560</v>
      </c>
      <c r="B373" s="46">
        <f>'👥 Клієнти'!F372</f>
        <v>12</v>
      </c>
      <c r="C373" s="46">
        <f>'👥 Клієнти'!D372</f>
        <v>6</v>
      </c>
      <c r="D373" s="47">
        <f>'👥 Клієнти'!E372</f>
        <v>99.95</v>
      </c>
      <c r="E373" s="35">
        <f t="shared" si="1"/>
        <v>4</v>
      </c>
      <c r="F373" s="35">
        <f t="shared" si="2"/>
        <v>3</v>
      </c>
      <c r="G373" s="37">
        <f t="shared" si="3"/>
        <v>3</v>
      </c>
      <c r="H373" s="37" t="str">
        <f t="shared" si="4"/>
        <v>433</v>
      </c>
      <c r="I373" s="37" t="str">
        <f t="shared" si="5"/>
        <v>Loyal</v>
      </c>
    </row>
    <row r="374" ht="15.75" customHeight="1">
      <c r="A374" s="46" t="str">
        <f>'👥 Клієнти'!A373</f>
        <v>U0804</v>
      </c>
      <c r="B374" s="46">
        <f>'👥 Клієнти'!F373</f>
        <v>12</v>
      </c>
      <c r="C374" s="46">
        <f>'👥 Клієнти'!D373</f>
        <v>6</v>
      </c>
      <c r="D374" s="47">
        <f>'👥 Клієнти'!E373</f>
        <v>99.95</v>
      </c>
      <c r="E374" s="35">
        <f t="shared" si="1"/>
        <v>4</v>
      </c>
      <c r="F374" s="35">
        <f t="shared" si="2"/>
        <v>3</v>
      </c>
      <c r="G374" s="37">
        <f t="shared" si="3"/>
        <v>3</v>
      </c>
      <c r="H374" s="37" t="str">
        <f t="shared" si="4"/>
        <v>433</v>
      </c>
      <c r="I374" s="37" t="str">
        <f t="shared" si="5"/>
        <v>Loyal</v>
      </c>
    </row>
    <row r="375" ht="15.75" customHeight="1">
      <c r="A375" s="46" t="str">
        <f>'👥 Клієнти'!A374</f>
        <v>U0859</v>
      </c>
      <c r="B375" s="46">
        <f>'👥 Клієнти'!F374</f>
        <v>132</v>
      </c>
      <c r="C375" s="46">
        <f>'👥 Клієнти'!D374</f>
        <v>2</v>
      </c>
      <c r="D375" s="47">
        <f>'👥 Клієнти'!E374</f>
        <v>19.99</v>
      </c>
      <c r="E375" s="35">
        <f t="shared" si="1"/>
        <v>2</v>
      </c>
      <c r="F375" s="35">
        <f t="shared" si="2"/>
        <v>1</v>
      </c>
      <c r="G375" s="37">
        <f t="shared" si="3"/>
        <v>1</v>
      </c>
      <c r="H375" s="37" t="str">
        <f t="shared" si="4"/>
        <v>211</v>
      </c>
      <c r="I375" s="37" t="str">
        <f t="shared" si="5"/>
        <v>Lost</v>
      </c>
    </row>
    <row r="376" ht="15.75" customHeight="1">
      <c r="A376" s="46" t="str">
        <f>'👥 Клієнти'!A375</f>
        <v>U0750</v>
      </c>
      <c r="B376" s="46">
        <f>'👥 Клієнти'!F375</f>
        <v>41</v>
      </c>
      <c r="C376" s="46">
        <f>'👥 Клієнти'!D375</f>
        <v>5</v>
      </c>
      <c r="D376" s="47">
        <f>'👥 Клієнти'!E375</f>
        <v>79.96</v>
      </c>
      <c r="E376" s="35">
        <f t="shared" si="1"/>
        <v>2</v>
      </c>
      <c r="F376" s="35">
        <f t="shared" si="2"/>
        <v>3</v>
      </c>
      <c r="G376" s="37">
        <f t="shared" si="3"/>
        <v>3</v>
      </c>
      <c r="H376" s="37" t="str">
        <f t="shared" si="4"/>
        <v>233</v>
      </c>
      <c r="I376" s="37" t="str">
        <f t="shared" si="5"/>
        <v>At Risk</v>
      </c>
    </row>
    <row r="377" ht="15.75" customHeight="1">
      <c r="A377" s="46" t="str">
        <f>'👥 Клієнти'!A376</f>
        <v>U0029</v>
      </c>
      <c r="B377" s="46">
        <f>'👥 Клієнти'!F376</f>
        <v>70</v>
      </c>
      <c r="C377" s="46">
        <f>'👥 Клієнти'!D376</f>
        <v>4</v>
      </c>
      <c r="D377" s="47">
        <f>'👥 Клієнти'!E376</f>
        <v>59.97</v>
      </c>
      <c r="E377" s="35">
        <f t="shared" si="1"/>
        <v>2</v>
      </c>
      <c r="F377" s="35">
        <f t="shared" si="2"/>
        <v>2</v>
      </c>
      <c r="G377" s="37">
        <f t="shared" si="3"/>
        <v>2</v>
      </c>
      <c r="H377" s="37" t="str">
        <f t="shared" si="4"/>
        <v>222</v>
      </c>
      <c r="I377" s="37" t="str">
        <f t="shared" si="5"/>
        <v>Lost</v>
      </c>
    </row>
    <row r="378" ht="15.75" customHeight="1">
      <c r="A378" s="46" t="str">
        <f>'👥 Клієнти'!A377</f>
        <v>U0299</v>
      </c>
      <c r="B378" s="46">
        <f>'👥 Клієнти'!F377</f>
        <v>10</v>
      </c>
      <c r="C378" s="46">
        <f>'👥 Клієнти'!D377</f>
        <v>6</v>
      </c>
      <c r="D378" s="47">
        <f>'👥 Клієнти'!E377</f>
        <v>99.95</v>
      </c>
      <c r="E378" s="35">
        <f t="shared" si="1"/>
        <v>4</v>
      </c>
      <c r="F378" s="35">
        <f t="shared" si="2"/>
        <v>3</v>
      </c>
      <c r="G378" s="37">
        <f t="shared" si="3"/>
        <v>3</v>
      </c>
      <c r="H378" s="37" t="str">
        <f t="shared" si="4"/>
        <v>433</v>
      </c>
      <c r="I378" s="37" t="str">
        <f t="shared" si="5"/>
        <v>Loyal</v>
      </c>
    </row>
    <row r="379" ht="15.75" customHeight="1">
      <c r="A379" s="46" t="str">
        <f>'👥 Клієнти'!A378</f>
        <v>U0004</v>
      </c>
      <c r="B379" s="46">
        <f>'👥 Клієнти'!F378</f>
        <v>99</v>
      </c>
      <c r="C379" s="46">
        <f>'👥 Клієнти'!D378</f>
        <v>3</v>
      </c>
      <c r="D379" s="47">
        <f>'👥 Клієнти'!E378</f>
        <v>39.98</v>
      </c>
      <c r="E379" s="35">
        <f t="shared" si="1"/>
        <v>2</v>
      </c>
      <c r="F379" s="35">
        <f t="shared" si="2"/>
        <v>2</v>
      </c>
      <c r="G379" s="37">
        <f t="shared" si="3"/>
        <v>2</v>
      </c>
      <c r="H379" s="37" t="str">
        <f t="shared" si="4"/>
        <v>222</v>
      </c>
      <c r="I379" s="37" t="str">
        <f t="shared" si="5"/>
        <v>Lost</v>
      </c>
    </row>
    <row r="380" ht="15.75" customHeight="1">
      <c r="A380" s="46" t="str">
        <f>'👥 Клієнти'!A379</f>
        <v>U0478</v>
      </c>
      <c r="B380" s="46">
        <f>'👥 Клієнти'!F379</f>
        <v>9</v>
      </c>
      <c r="C380" s="46">
        <f>'👥 Клієнти'!D379</f>
        <v>6</v>
      </c>
      <c r="D380" s="47">
        <f>'👥 Клієнти'!E379</f>
        <v>99.95</v>
      </c>
      <c r="E380" s="35">
        <f t="shared" si="1"/>
        <v>4</v>
      </c>
      <c r="F380" s="35">
        <f t="shared" si="2"/>
        <v>3</v>
      </c>
      <c r="G380" s="37">
        <f t="shared" si="3"/>
        <v>3</v>
      </c>
      <c r="H380" s="37" t="str">
        <f t="shared" si="4"/>
        <v>433</v>
      </c>
      <c r="I380" s="37" t="str">
        <f t="shared" si="5"/>
        <v>Loyal</v>
      </c>
    </row>
    <row r="381" ht="15.75" customHeight="1">
      <c r="A381" s="46" t="str">
        <f>'👥 Клієнти'!A380</f>
        <v>U0803</v>
      </c>
      <c r="B381" s="46">
        <f>'👥 Клієнти'!F380</f>
        <v>129</v>
      </c>
      <c r="C381" s="46">
        <f>'👥 Клієнти'!D380</f>
        <v>2</v>
      </c>
      <c r="D381" s="47">
        <f>'👥 Клієнти'!E380</f>
        <v>19.99</v>
      </c>
      <c r="E381" s="35">
        <f t="shared" si="1"/>
        <v>2</v>
      </c>
      <c r="F381" s="35">
        <f t="shared" si="2"/>
        <v>1</v>
      </c>
      <c r="G381" s="37">
        <f t="shared" si="3"/>
        <v>1</v>
      </c>
      <c r="H381" s="37" t="str">
        <f t="shared" si="4"/>
        <v>211</v>
      </c>
      <c r="I381" s="37" t="str">
        <f t="shared" si="5"/>
        <v>Lost</v>
      </c>
    </row>
    <row r="382" ht="15.75" customHeight="1">
      <c r="A382" s="46" t="str">
        <f>'👥 Клієнти'!A381</f>
        <v>U0817</v>
      </c>
      <c r="B382" s="46">
        <f>'👥 Клієнти'!F381</f>
        <v>8</v>
      </c>
      <c r="C382" s="46">
        <f>'👥 Клієнти'!D381</f>
        <v>6</v>
      </c>
      <c r="D382" s="47">
        <f>'👥 Клієнти'!E381</f>
        <v>99.95</v>
      </c>
      <c r="E382" s="35">
        <f t="shared" si="1"/>
        <v>4</v>
      </c>
      <c r="F382" s="35">
        <f t="shared" si="2"/>
        <v>3</v>
      </c>
      <c r="G382" s="37">
        <f t="shared" si="3"/>
        <v>3</v>
      </c>
      <c r="H382" s="37" t="str">
        <f t="shared" si="4"/>
        <v>433</v>
      </c>
      <c r="I382" s="37" t="str">
        <f t="shared" si="5"/>
        <v>Loyal</v>
      </c>
    </row>
    <row r="383" ht="15.75" customHeight="1">
      <c r="A383" s="46" t="str">
        <f>'👥 Клієнти'!A382</f>
        <v>U0866</v>
      </c>
      <c r="B383" s="46">
        <f>'👥 Клієнти'!F382</f>
        <v>8</v>
      </c>
      <c r="C383" s="46">
        <f>'👥 Клієнти'!D382</f>
        <v>6</v>
      </c>
      <c r="D383" s="47">
        <f>'👥 Клієнти'!E382</f>
        <v>99.95</v>
      </c>
      <c r="E383" s="35">
        <f t="shared" si="1"/>
        <v>4</v>
      </c>
      <c r="F383" s="35">
        <f t="shared" si="2"/>
        <v>3</v>
      </c>
      <c r="G383" s="37">
        <f t="shared" si="3"/>
        <v>3</v>
      </c>
      <c r="H383" s="37" t="str">
        <f t="shared" si="4"/>
        <v>433</v>
      </c>
      <c r="I383" s="37" t="str">
        <f t="shared" si="5"/>
        <v>Loyal</v>
      </c>
    </row>
    <row r="384" ht="15.75" customHeight="1">
      <c r="A384" s="46" t="str">
        <f>'👥 Клієнти'!A383</f>
        <v>U0285</v>
      </c>
      <c r="B384" s="46">
        <f>'👥 Клієнти'!F383</f>
        <v>67</v>
      </c>
      <c r="C384" s="46">
        <f>'👥 Клієнти'!D383</f>
        <v>4</v>
      </c>
      <c r="D384" s="47">
        <f>'👥 Клієнти'!E383</f>
        <v>59.97</v>
      </c>
      <c r="E384" s="35">
        <f t="shared" si="1"/>
        <v>2</v>
      </c>
      <c r="F384" s="35">
        <f t="shared" si="2"/>
        <v>2</v>
      </c>
      <c r="G384" s="37">
        <f t="shared" si="3"/>
        <v>2</v>
      </c>
      <c r="H384" s="37" t="str">
        <f t="shared" si="4"/>
        <v>222</v>
      </c>
      <c r="I384" s="37" t="str">
        <f t="shared" si="5"/>
        <v>Lost</v>
      </c>
    </row>
    <row r="385" ht="15.75" customHeight="1">
      <c r="A385" s="46" t="str">
        <f>'👥 Клієнти'!A384</f>
        <v>U0346</v>
      </c>
      <c r="B385" s="46">
        <f>'👥 Клієнти'!F384</f>
        <v>7</v>
      </c>
      <c r="C385" s="46">
        <f>'👥 Клієнти'!D384</f>
        <v>6</v>
      </c>
      <c r="D385" s="47">
        <f>'👥 Клієнти'!E384</f>
        <v>99.95</v>
      </c>
      <c r="E385" s="35">
        <f t="shared" si="1"/>
        <v>5</v>
      </c>
      <c r="F385" s="35">
        <f t="shared" si="2"/>
        <v>3</v>
      </c>
      <c r="G385" s="37">
        <f t="shared" si="3"/>
        <v>3</v>
      </c>
      <c r="H385" s="37" t="str">
        <f t="shared" si="4"/>
        <v>533</v>
      </c>
      <c r="I385" s="37" t="str">
        <f t="shared" si="5"/>
        <v>Loyal</v>
      </c>
    </row>
    <row r="386" ht="15.75" customHeight="1">
      <c r="A386" s="46" t="str">
        <f>'👥 Клієнти'!A385</f>
        <v>U0426</v>
      </c>
      <c r="B386" s="46">
        <f>'👥 Клієнти'!F385</f>
        <v>127</v>
      </c>
      <c r="C386" s="46">
        <f>'👥 Клієнти'!D385</f>
        <v>2</v>
      </c>
      <c r="D386" s="47">
        <f>'👥 Клієнти'!E385</f>
        <v>19.99</v>
      </c>
      <c r="E386" s="35">
        <f t="shared" si="1"/>
        <v>2</v>
      </c>
      <c r="F386" s="35">
        <f t="shared" si="2"/>
        <v>1</v>
      </c>
      <c r="G386" s="37">
        <f t="shared" si="3"/>
        <v>1</v>
      </c>
      <c r="H386" s="37" t="str">
        <f t="shared" si="4"/>
        <v>211</v>
      </c>
      <c r="I386" s="37" t="str">
        <f t="shared" si="5"/>
        <v>Lost</v>
      </c>
    </row>
    <row r="387" ht="15.75" customHeight="1">
      <c r="A387" s="46" t="str">
        <f>'👥 Клієнти'!A386</f>
        <v>U0492</v>
      </c>
      <c r="B387" s="46">
        <f>'👥 Клієнти'!F386</f>
        <v>127</v>
      </c>
      <c r="C387" s="46">
        <f>'👥 Клієнти'!D386</f>
        <v>2</v>
      </c>
      <c r="D387" s="47">
        <f>'👥 Клієнти'!E386</f>
        <v>19.99</v>
      </c>
      <c r="E387" s="35">
        <f t="shared" si="1"/>
        <v>2</v>
      </c>
      <c r="F387" s="35">
        <f t="shared" si="2"/>
        <v>1</v>
      </c>
      <c r="G387" s="37">
        <f t="shared" si="3"/>
        <v>1</v>
      </c>
      <c r="H387" s="37" t="str">
        <f t="shared" si="4"/>
        <v>211</v>
      </c>
      <c r="I387" s="37" t="str">
        <f t="shared" si="5"/>
        <v>Lost</v>
      </c>
    </row>
    <row r="388" ht="15.75" customHeight="1">
      <c r="A388" s="46" t="str">
        <f>'👥 Клієнти'!A387</f>
        <v>U0545</v>
      </c>
      <c r="B388" s="46">
        <f>'👥 Клієнти'!F387</f>
        <v>7</v>
      </c>
      <c r="C388" s="46">
        <f>'👥 Клієнти'!D387</f>
        <v>6</v>
      </c>
      <c r="D388" s="47">
        <f>'👥 Клієнти'!E387</f>
        <v>99.95</v>
      </c>
      <c r="E388" s="35">
        <f t="shared" si="1"/>
        <v>5</v>
      </c>
      <c r="F388" s="35">
        <f t="shared" si="2"/>
        <v>3</v>
      </c>
      <c r="G388" s="37">
        <f t="shared" si="3"/>
        <v>3</v>
      </c>
      <c r="H388" s="37" t="str">
        <f t="shared" si="4"/>
        <v>533</v>
      </c>
      <c r="I388" s="37" t="str">
        <f t="shared" si="5"/>
        <v>Loyal</v>
      </c>
    </row>
    <row r="389" ht="15.75" customHeight="1">
      <c r="A389" s="46" t="str">
        <f>'👥 Клієнти'!A388</f>
        <v>U0031</v>
      </c>
      <c r="B389" s="46">
        <f>'👥 Клієнти'!F388</f>
        <v>66</v>
      </c>
      <c r="C389" s="46">
        <f>'👥 Клієнти'!D388</f>
        <v>4</v>
      </c>
      <c r="D389" s="47">
        <f>'👥 Клієнти'!E388</f>
        <v>59.97</v>
      </c>
      <c r="E389" s="35">
        <f t="shared" si="1"/>
        <v>2</v>
      </c>
      <c r="F389" s="35">
        <f t="shared" si="2"/>
        <v>2</v>
      </c>
      <c r="G389" s="37">
        <f t="shared" si="3"/>
        <v>2</v>
      </c>
      <c r="H389" s="37" t="str">
        <f t="shared" si="4"/>
        <v>222</v>
      </c>
      <c r="I389" s="37" t="str">
        <f t="shared" si="5"/>
        <v>Lost</v>
      </c>
    </row>
    <row r="390" ht="15.75" customHeight="1">
      <c r="A390" s="46" t="str">
        <f>'👥 Клієнти'!A389</f>
        <v>U0205</v>
      </c>
      <c r="B390" s="46">
        <f>'👥 Клієнти'!F389</f>
        <v>66</v>
      </c>
      <c r="C390" s="46">
        <f>'👥 Клієнти'!D389</f>
        <v>4</v>
      </c>
      <c r="D390" s="47">
        <f>'👥 Клієнти'!E389</f>
        <v>59.97</v>
      </c>
      <c r="E390" s="35">
        <f t="shared" si="1"/>
        <v>2</v>
      </c>
      <c r="F390" s="35">
        <f t="shared" si="2"/>
        <v>2</v>
      </c>
      <c r="G390" s="37">
        <f t="shared" si="3"/>
        <v>2</v>
      </c>
      <c r="H390" s="37" t="str">
        <f t="shared" si="4"/>
        <v>222</v>
      </c>
      <c r="I390" s="37" t="str">
        <f t="shared" si="5"/>
        <v>Lost</v>
      </c>
    </row>
    <row r="391" ht="15.75" customHeight="1">
      <c r="A391" s="46" t="str">
        <f>'👥 Клієнти'!A390</f>
        <v>U0757</v>
      </c>
      <c r="B391" s="46">
        <f>'👥 Клієнти'!F390</f>
        <v>6</v>
      </c>
      <c r="C391" s="46">
        <f>'👥 Клієнти'!D390</f>
        <v>6</v>
      </c>
      <c r="D391" s="47">
        <f>'👥 Клієнти'!E390</f>
        <v>99.95</v>
      </c>
      <c r="E391" s="35">
        <f t="shared" si="1"/>
        <v>5</v>
      </c>
      <c r="F391" s="35">
        <f t="shared" si="2"/>
        <v>3</v>
      </c>
      <c r="G391" s="37">
        <f t="shared" si="3"/>
        <v>3</v>
      </c>
      <c r="H391" s="37" t="str">
        <f t="shared" si="4"/>
        <v>533</v>
      </c>
      <c r="I391" s="37" t="str">
        <f t="shared" si="5"/>
        <v>Loyal</v>
      </c>
    </row>
    <row r="392" ht="15.75" customHeight="1">
      <c r="A392" s="46" t="str">
        <f>'👥 Клієнти'!A391</f>
        <v>U0082</v>
      </c>
      <c r="B392" s="46">
        <f>'👥 Клієнти'!F391</f>
        <v>3</v>
      </c>
      <c r="C392" s="46">
        <f>'👥 Клієнти'!D391</f>
        <v>6</v>
      </c>
      <c r="D392" s="47">
        <f>'👥 Клієнти'!E391</f>
        <v>99.95</v>
      </c>
      <c r="E392" s="35">
        <f t="shared" si="1"/>
        <v>5</v>
      </c>
      <c r="F392" s="35">
        <f t="shared" si="2"/>
        <v>3</v>
      </c>
      <c r="G392" s="37">
        <f t="shared" si="3"/>
        <v>3</v>
      </c>
      <c r="H392" s="37" t="str">
        <f t="shared" si="4"/>
        <v>533</v>
      </c>
      <c r="I392" s="37" t="str">
        <f t="shared" si="5"/>
        <v>Loyal</v>
      </c>
    </row>
    <row r="393" ht="15.75" customHeight="1">
      <c r="A393" s="46" t="str">
        <f>'👥 Клієнти'!A392</f>
        <v>U0358</v>
      </c>
      <c r="B393" s="46">
        <f>'👥 Клієнти'!F392</f>
        <v>3</v>
      </c>
      <c r="C393" s="46">
        <f>'👥 Клієнти'!D392</f>
        <v>6</v>
      </c>
      <c r="D393" s="47">
        <f>'👥 Клієнти'!E392</f>
        <v>99.95</v>
      </c>
      <c r="E393" s="35">
        <f t="shared" si="1"/>
        <v>5</v>
      </c>
      <c r="F393" s="35">
        <f t="shared" si="2"/>
        <v>3</v>
      </c>
      <c r="G393" s="37">
        <f t="shared" si="3"/>
        <v>3</v>
      </c>
      <c r="H393" s="37" t="str">
        <f t="shared" si="4"/>
        <v>533</v>
      </c>
      <c r="I393" s="37" t="str">
        <f t="shared" si="5"/>
        <v>Loyal</v>
      </c>
    </row>
    <row r="394" ht="15.75" customHeight="1">
      <c r="A394" s="46" t="str">
        <f>'👥 Клієнти'!A393</f>
        <v>U0464</v>
      </c>
      <c r="B394" s="46">
        <f>'👥 Клієнти'!F393</f>
        <v>2</v>
      </c>
      <c r="C394" s="46">
        <f>'👥 Клієнти'!D393</f>
        <v>6</v>
      </c>
      <c r="D394" s="47">
        <f>'👥 Клієнти'!E393</f>
        <v>99.95</v>
      </c>
      <c r="E394" s="35">
        <f t="shared" si="1"/>
        <v>5</v>
      </c>
      <c r="F394" s="35">
        <f t="shared" si="2"/>
        <v>3</v>
      </c>
      <c r="G394" s="37">
        <f t="shared" si="3"/>
        <v>3</v>
      </c>
      <c r="H394" s="37" t="str">
        <f t="shared" si="4"/>
        <v>533</v>
      </c>
      <c r="I394" s="37" t="str">
        <f t="shared" si="5"/>
        <v>Loyal</v>
      </c>
    </row>
    <row r="395" ht="15.75" customHeight="1">
      <c r="A395" s="46" t="str">
        <f>'👥 Клієнти'!A394</f>
        <v>U0696</v>
      </c>
      <c r="B395" s="46">
        <f>'👥 Клієнти'!F394</f>
        <v>122</v>
      </c>
      <c r="C395" s="46">
        <f>'👥 Клієнти'!D394</f>
        <v>2</v>
      </c>
      <c r="D395" s="47">
        <f>'👥 Клієнти'!E394</f>
        <v>19.99</v>
      </c>
      <c r="E395" s="35">
        <f t="shared" si="1"/>
        <v>2</v>
      </c>
      <c r="F395" s="35">
        <f t="shared" si="2"/>
        <v>1</v>
      </c>
      <c r="G395" s="37">
        <f t="shared" si="3"/>
        <v>1</v>
      </c>
      <c r="H395" s="37" t="str">
        <f t="shared" si="4"/>
        <v>211</v>
      </c>
      <c r="I395" s="37" t="str">
        <f t="shared" si="5"/>
        <v>Lost</v>
      </c>
    </row>
    <row r="396" ht="15.75" customHeight="1">
      <c r="A396" s="46" t="str">
        <f>'👥 Клієнти'!A395</f>
        <v>U0792</v>
      </c>
      <c r="B396" s="46">
        <f>'👥 Клієнти'!F395</f>
        <v>2</v>
      </c>
      <c r="C396" s="46">
        <f>'👥 Клієнти'!D395</f>
        <v>6</v>
      </c>
      <c r="D396" s="47">
        <f>'👥 Клієнти'!E395</f>
        <v>99.95</v>
      </c>
      <c r="E396" s="35">
        <f t="shared" si="1"/>
        <v>5</v>
      </c>
      <c r="F396" s="35">
        <f t="shared" si="2"/>
        <v>3</v>
      </c>
      <c r="G396" s="37">
        <f t="shared" si="3"/>
        <v>3</v>
      </c>
      <c r="H396" s="37" t="str">
        <f t="shared" si="4"/>
        <v>533</v>
      </c>
      <c r="I396" s="37" t="str">
        <f t="shared" si="5"/>
        <v>Loyal</v>
      </c>
    </row>
    <row r="397" ht="15.75" customHeight="1">
      <c r="A397" s="46" t="str">
        <f>'👥 Клієнти'!A396</f>
        <v>U0094</v>
      </c>
      <c r="B397" s="46">
        <f>'👥 Клієнти'!F396</f>
        <v>1</v>
      </c>
      <c r="C397" s="46">
        <f>'👥 Клієнти'!D396</f>
        <v>6</v>
      </c>
      <c r="D397" s="47">
        <f>'👥 Клієнти'!E396</f>
        <v>99.95</v>
      </c>
      <c r="E397" s="35">
        <f t="shared" si="1"/>
        <v>5</v>
      </c>
      <c r="F397" s="35">
        <f t="shared" si="2"/>
        <v>3</v>
      </c>
      <c r="G397" s="37">
        <f t="shared" si="3"/>
        <v>3</v>
      </c>
      <c r="H397" s="37" t="str">
        <f t="shared" si="4"/>
        <v>533</v>
      </c>
      <c r="I397" s="37" t="str">
        <f t="shared" si="5"/>
        <v>Loyal</v>
      </c>
    </row>
    <row r="398" ht="15.75" customHeight="1">
      <c r="A398" s="46" t="str">
        <f>'👥 Клієнти'!A397</f>
        <v>U0350</v>
      </c>
      <c r="B398" s="46">
        <f>'👥 Клієнти'!F397</f>
        <v>1</v>
      </c>
      <c r="C398" s="46">
        <f>'👥 Клієнти'!D397</f>
        <v>6</v>
      </c>
      <c r="D398" s="47">
        <f>'👥 Клієнти'!E397</f>
        <v>99.95</v>
      </c>
      <c r="E398" s="35">
        <f t="shared" si="1"/>
        <v>5</v>
      </c>
      <c r="F398" s="35">
        <f t="shared" si="2"/>
        <v>3</v>
      </c>
      <c r="G398" s="37">
        <f t="shared" si="3"/>
        <v>3</v>
      </c>
      <c r="H398" s="37" t="str">
        <f t="shared" si="4"/>
        <v>533</v>
      </c>
      <c r="I398" s="37" t="str">
        <f t="shared" si="5"/>
        <v>Loyal</v>
      </c>
    </row>
    <row r="399" ht="15.75" customHeight="1">
      <c r="A399" s="46" t="str">
        <f>'👥 Клієнти'!A398</f>
        <v>U0647</v>
      </c>
      <c r="B399" s="46">
        <f>'👥 Клієнти'!F398</f>
        <v>1</v>
      </c>
      <c r="C399" s="46">
        <f>'👥 Клієнти'!D398</f>
        <v>6</v>
      </c>
      <c r="D399" s="47">
        <f>'👥 Клієнти'!E398</f>
        <v>99.95</v>
      </c>
      <c r="E399" s="35">
        <f t="shared" si="1"/>
        <v>5</v>
      </c>
      <c r="F399" s="35">
        <f t="shared" si="2"/>
        <v>3</v>
      </c>
      <c r="G399" s="37">
        <f t="shared" si="3"/>
        <v>3</v>
      </c>
      <c r="H399" s="37" t="str">
        <f t="shared" si="4"/>
        <v>533</v>
      </c>
      <c r="I399" s="37" t="str">
        <f t="shared" si="5"/>
        <v>Loyal</v>
      </c>
    </row>
    <row r="400" ht="15.75" customHeight="1">
      <c r="A400" s="46" t="str">
        <f>'👥 Клієнти'!A399</f>
        <v>U0725</v>
      </c>
      <c r="B400" s="46">
        <f>'👥 Клієнти'!F399</f>
        <v>91</v>
      </c>
      <c r="C400" s="46">
        <f>'👥 Клієнти'!D399</f>
        <v>3</v>
      </c>
      <c r="D400" s="47">
        <f>'👥 Клієнти'!E399</f>
        <v>39.98</v>
      </c>
      <c r="E400" s="35">
        <f t="shared" si="1"/>
        <v>2</v>
      </c>
      <c r="F400" s="35">
        <f t="shared" si="2"/>
        <v>2</v>
      </c>
      <c r="G400" s="37">
        <f t="shared" si="3"/>
        <v>2</v>
      </c>
      <c r="H400" s="37" t="str">
        <f t="shared" si="4"/>
        <v>222</v>
      </c>
      <c r="I400" s="37" t="str">
        <f t="shared" si="5"/>
        <v>Lost</v>
      </c>
    </row>
    <row r="401" ht="15.75" customHeight="1">
      <c r="A401" s="46" t="str">
        <f>'👥 Клієнти'!A400</f>
        <v>U0021</v>
      </c>
      <c r="B401" s="46">
        <f>'👥 Клієнти'!F400</f>
        <v>120</v>
      </c>
      <c r="C401" s="46">
        <f>'👥 Клієнти'!D400</f>
        <v>2</v>
      </c>
      <c r="D401" s="47">
        <f>'👥 Клієнти'!E400</f>
        <v>19.99</v>
      </c>
      <c r="E401" s="35">
        <f t="shared" si="1"/>
        <v>2</v>
      </c>
      <c r="F401" s="35">
        <f t="shared" si="2"/>
        <v>1</v>
      </c>
      <c r="G401" s="37">
        <f t="shared" si="3"/>
        <v>1</v>
      </c>
      <c r="H401" s="37" t="str">
        <f t="shared" si="4"/>
        <v>211</v>
      </c>
      <c r="I401" s="37" t="str">
        <f t="shared" si="5"/>
        <v>Lost</v>
      </c>
    </row>
    <row r="402" ht="15.75" customHeight="1">
      <c r="A402" s="46" t="str">
        <f>'👥 Клієнти'!A401</f>
        <v>U0211</v>
      </c>
      <c r="B402" s="46">
        <f>'👥 Клієнти'!F401</f>
        <v>0</v>
      </c>
      <c r="C402" s="46">
        <f>'👥 Клієнти'!D401</f>
        <v>6</v>
      </c>
      <c r="D402" s="47">
        <f>'👥 Клієнти'!E401</f>
        <v>99.95</v>
      </c>
      <c r="E402" s="35">
        <f t="shared" si="1"/>
        <v>5</v>
      </c>
      <c r="F402" s="35">
        <f t="shared" si="2"/>
        <v>3</v>
      </c>
      <c r="G402" s="37">
        <f t="shared" si="3"/>
        <v>3</v>
      </c>
      <c r="H402" s="37" t="str">
        <f t="shared" si="4"/>
        <v>533</v>
      </c>
      <c r="I402" s="37" t="str">
        <f t="shared" si="5"/>
        <v>Loyal</v>
      </c>
    </row>
    <row r="403" ht="15.75" customHeight="1">
      <c r="A403" s="46" t="str">
        <f>'👥 Клієнти'!A402</f>
        <v>U0188</v>
      </c>
      <c r="B403" s="46">
        <f>'👥 Клієнти'!F402</f>
        <v>118</v>
      </c>
      <c r="C403" s="46">
        <f>'👥 Клієнти'!D402</f>
        <v>2</v>
      </c>
      <c r="D403" s="47">
        <f>'👥 Клієнти'!E402</f>
        <v>19.99</v>
      </c>
      <c r="E403" s="35">
        <f t="shared" si="1"/>
        <v>2</v>
      </c>
      <c r="F403" s="35">
        <f t="shared" si="2"/>
        <v>1</v>
      </c>
      <c r="G403" s="37">
        <f t="shared" si="3"/>
        <v>1</v>
      </c>
      <c r="H403" s="37" t="str">
        <f t="shared" si="4"/>
        <v>211</v>
      </c>
      <c r="I403" s="37" t="str">
        <f t="shared" si="5"/>
        <v>Lost</v>
      </c>
    </row>
    <row r="404" ht="15.75" customHeight="1">
      <c r="A404" s="46" t="str">
        <f>'👥 Клієнти'!A403</f>
        <v>U0521</v>
      </c>
      <c r="B404" s="46">
        <f>'👥 Клієнти'!F403</f>
        <v>28</v>
      </c>
      <c r="C404" s="46">
        <f>'👥 Клієнти'!D403</f>
        <v>5</v>
      </c>
      <c r="D404" s="47">
        <f>'👥 Клієнти'!E403</f>
        <v>79.96</v>
      </c>
      <c r="E404" s="35">
        <f t="shared" si="1"/>
        <v>2</v>
      </c>
      <c r="F404" s="35">
        <f t="shared" si="2"/>
        <v>3</v>
      </c>
      <c r="G404" s="37">
        <f t="shared" si="3"/>
        <v>3</v>
      </c>
      <c r="H404" s="37" t="str">
        <f t="shared" si="4"/>
        <v>233</v>
      </c>
      <c r="I404" s="37" t="str">
        <f t="shared" si="5"/>
        <v>At Risk</v>
      </c>
    </row>
    <row r="405" ht="15.75" customHeight="1">
      <c r="A405" s="46" t="str">
        <f>'👥 Клієнти'!A404</f>
        <v>U0574</v>
      </c>
      <c r="B405" s="46">
        <f>'👥 Клієнти'!F404</f>
        <v>118</v>
      </c>
      <c r="C405" s="46">
        <f>'👥 Клієнти'!D404</f>
        <v>2</v>
      </c>
      <c r="D405" s="47">
        <f>'👥 Клієнти'!E404</f>
        <v>19.99</v>
      </c>
      <c r="E405" s="35">
        <f t="shared" si="1"/>
        <v>2</v>
      </c>
      <c r="F405" s="35">
        <f t="shared" si="2"/>
        <v>1</v>
      </c>
      <c r="G405" s="37">
        <f t="shared" si="3"/>
        <v>1</v>
      </c>
      <c r="H405" s="37" t="str">
        <f t="shared" si="4"/>
        <v>211</v>
      </c>
      <c r="I405" s="37" t="str">
        <f t="shared" si="5"/>
        <v>Lost</v>
      </c>
    </row>
    <row r="406" ht="15.75" customHeight="1">
      <c r="A406" s="46" t="str">
        <f>'👥 Клієнти'!A405</f>
        <v>U0055</v>
      </c>
      <c r="B406" s="46">
        <f>'👥 Клієнти'!F405</f>
        <v>57</v>
      </c>
      <c r="C406" s="46">
        <f>'👥 Клієнти'!D405</f>
        <v>4</v>
      </c>
      <c r="D406" s="47">
        <f>'👥 Клієнти'!E405</f>
        <v>59.97</v>
      </c>
      <c r="E406" s="35">
        <f t="shared" si="1"/>
        <v>2</v>
      </c>
      <c r="F406" s="35">
        <f t="shared" si="2"/>
        <v>2</v>
      </c>
      <c r="G406" s="37">
        <f t="shared" si="3"/>
        <v>2</v>
      </c>
      <c r="H406" s="37" t="str">
        <f t="shared" si="4"/>
        <v>222</v>
      </c>
      <c r="I406" s="37" t="str">
        <f t="shared" si="5"/>
        <v>Lost</v>
      </c>
    </row>
    <row r="407" ht="15.75" customHeight="1">
      <c r="A407" s="46" t="str">
        <f>'👥 Клієнти'!A406</f>
        <v>U0290</v>
      </c>
      <c r="B407" s="46">
        <f>'👥 Клієнти'!F406</f>
        <v>27</v>
      </c>
      <c r="C407" s="46">
        <f>'👥 Клієнти'!D406</f>
        <v>5</v>
      </c>
      <c r="D407" s="47">
        <f>'👥 Клієнти'!E406</f>
        <v>79.96</v>
      </c>
      <c r="E407" s="35">
        <f t="shared" si="1"/>
        <v>2</v>
      </c>
      <c r="F407" s="35">
        <f t="shared" si="2"/>
        <v>3</v>
      </c>
      <c r="G407" s="37">
        <f t="shared" si="3"/>
        <v>3</v>
      </c>
      <c r="H407" s="37" t="str">
        <f t="shared" si="4"/>
        <v>233</v>
      </c>
      <c r="I407" s="37" t="str">
        <f t="shared" si="5"/>
        <v>At Risk</v>
      </c>
    </row>
    <row r="408" ht="15.75" customHeight="1">
      <c r="A408" s="46" t="str">
        <f>'👥 Клієнти'!A407</f>
        <v>U0009</v>
      </c>
      <c r="B408" s="46">
        <f>'👥 Клієнти'!F407</f>
        <v>26</v>
      </c>
      <c r="C408" s="46">
        <f>'👥 Клієнти'!D407</f>
        <v>5</v>
      </c>
      <c r="D408" s="47">
        <f>'👥 Клієнти'!E407</f>
        <v>79.96</v>
      </c>
      <c r="E408" s="35">
        <f t="shared" si="1"/>
        <v>2</v>
      </c>
      <c r="F408" s="35">
        <f t="shared" si="2"/>
        <v>3</v>
      </c>
      <c r="G408" s="37">
        <f t="shared" si="3"/>
        <v>3</v>
      </c>
      <c r="H408" s="37" t="str">
        <f t="shared" si="4"/>
        <v>233</v>
      </c>
      <c r="I408" s="37" t="str">
        <f t="shared" si="5"/>
        <v>At Risk</v>
      </c>
    </row>
    <row r="409" ht="15.75" customHeight="1">
      <c r="A409" s="46" t="str">
        <f>'👥 Клієнти'!A408</f>
        <v>U0327</v>
      </c>
      <c r="B409" s="46">
        <f>'👥 Клієнти'!F408</f>
        <v>26</v>
      </c>
      <c r="C409" s="46">
        <f>'👥 Клієнти'!D408</f>
        <v>5</v>
      </c>
      <c r="D409" s="47">
        <f>'👥 Клієнти'!E408</f>
        <v>79.96</v>
      </c>
      <c r="E409" s="35">
        <f t="shared" si="1"/>
        <v>2</v>
      </c>
      <c r="F409" s="35">
        <f t="shared" si="2"/>
        <v>3</v>
      </c>
      <c r="G409" s="37">
        <f t="shared" si="3"/>
        <v>3</v>
      </c>
      <c r="H409" s="37" t="str">
        <f t="shared" si="4"/>
        <v>233</v>
      </c>
      <c r="I409" s="37" t="str">
        <f t="shared" si="5"/>
        <v>At Risk</v>
      </c>
    </row>
    <row r="410" ht="15.75" customHeight="1">
      <c r="A410" s="46" t="str">
        <f>'👥 Клієнти'!A409</f>
        <v>U0452</v>
      </c>
      <c r="B410" s="46">
        <f>'👥 Клієнти'!F409</f>
        <v>26</v>
      </c>
      <c r="C410" s="46">
        <f>'👥 Клієнти'!D409</f>
        <v>5</v>
      </c>
      <c r="D410" s="47">
        <f>'👥 Клієнти'!E409</f>
        <v>79.96</v>
      </c>
      <c r="E410" s="35">
        <f t="shared" si="1"/>
        <v>2</v>
      </c>
      <c r="F410" s="35">
        <f t="shared" si="2"/>
        <v>3</v>
      </c>
      <c r="G410" s="37">
        <f t="shared" si="3"/>
        <v>3</v>
      </c>
      <c r="H410" s="37" t="str">
        <f t="shared" si="4"/>
        <v>233</v>
      </c>
      <c r="I410" s="37" t="str">
        <f t="shared" si="5"/>
        <v>At Risk</v>
      </c>
    </row>
    <row r="411" ht="15.75" customHeight="1">
      <c r="A411" s="46" t="str">
        <f>'👥 Клієнти'!A410</f>
        <v>U0279</v>
      </c>
      <c r="B411" s="46">
        <f>'👥 Клієнти'!F410</f>
        <v>113</v>
      </c>
      <c r="C411" s="46">
        <f>'👥 Клієнти'!D410</f>
        <v>2</v>
      </c>
      <c r="D411" s="47">
        <f>'👥 Клієнти'!E410</f>
        <v>19.99</v>
      </c>
      <c r="E411" s="35">
        <f t="shared" si="1"/>
        <v>2</v>
      </c>
      <c r="F411" s="35">
        <f t="shared" si="2"/>
        <v>1</v>
      </c>
      <c r="G411" s="37">
        <f t="shared" si="3"/>
        <v>1</v>
      </c>
      <c r="H411" s="37" t="str">
        <f t="shared" si="4"/>
        <v>211</v>
      </c>
      <c r="I411" s="37" t="str">
        <f t="shared" si="5"/>
        <v>Lost</v>
      </c>
    </row>
    <row r="412" ht="15.75" customHeight="1">
      <c r="A412" s="46" t="str">
        <f>'👥 Клієнти'!A411</f>
        <v>U0177</v>
      </c>
      <c r="B412" s="46">
        <f>'👥 Клієнти'!F411</f>
        <v>22</v>
      </c>
      <c r="C412" s="46">
        <f>'👥 Клієнти'!D411</f>
        <v>5</v>
      </c>
      <c r="D412" s="47">
        <f>'👥 Клієнти'!E411</f>
        <v>79.96</v>
      </c>
      <c r="E412" s="35">
        <f t="shared" si="1"/>
        <v>3</v>
      </c>
      <c r="F412" s="35">
        <f t="shared" si="2"/>
        <v>3</v>
      </c>
      <c r="G412" s="37">
        <f t="shared" si="3"/>
        <v>3</v>
      </c>
      <c r="H412" s="37" t="str">
        <f t="shared" si="4"/>
        <v>333</v>
      </c>
      <c r="I412" s="37" t="str">
        <f t="shared" si="5"/>
        <v>Loyal</v>
      </c>
    </row>
    <row r="413" ht="15.75" customHeight="1">
      <c r="A413" s="46" t="str">
        <f>'👥 Клієнти'!A412</f>
        <v>U0171</v>
      </c>
      <c r="B413" s="46">
        <f>'👥 Клієнти'!F412</f>
        <v>21</v>
      </c>
      <c r="C413" s="46">
        <f>'👥 Клієнти'!D412</f>
        <v>5</v>
      </c>
      <c r="D413" s="47">
        <f>'👥 Клієнти'!E412</f>
        <v>79.96</v>
      </c>
      <c r="E413" s="35">
        <f t="shared" si="1"/>
        <v>3</v>
      </c>
      <c r="F413" s="35">
        <f t="shared" si="2"/>
        <v>3</v>
      </c>
      <c r="G413" s="37">
        <f t="shared" si="3"/>
        <v>3</v>
      </c>
      <c r="H413" s="37" t="str">
        <f t="shared" si="4"/>
        <v>333</v>
      </c>
      <c r="I413" s="37" t="str">
        <f t="shared" si="5"/>
        <v>Loyal</v>
      </c>
    </row>
    <row r="414" ht="15.75" customHeight="1">
      <c r="A414" s="46" t="str">
        <f>'👥 Клієнти'!A413</f>
        <v>U0212</v>
      </c>
      <c r="B414" s="46">
        <f>'👥 Клієнти'!F413</f>
        <v>111</v>
      </c>
      <c r="C414" s="46">
        <f>'👥 Клієнти'!D413</f>
        <v>2</v>
      </c>
      <c r="D414" s="47">
        <f>'👥 Клієнти'!E413</f>
        <v>19.99</v>
      </c>
      <c r="E414" s="35">
        <f t="shared" si="1"/>
        <v>2</v>
      </c>
      <c r="F414" s="35">
        <f t="shared" si="2"/>
        <v>1</v>
      </c>
      <c r="G414" s="37">
        <f t="shared" si="3"/>
        <v>1</v>
      </c>
      <c r="H414" s="37" t="str">
        <f t="shared" si="4"/>
        <v>211</v>
      </c>
      <c r="I414" s="37" t="str">
        <f t="shared" si="5"/>
        <v>Lost</v>
      </c>
    </row>
    <row r="415" ht="15.75" customHeight="1">
      <c r="A415" s="46" t="str">
        <f>'👥 Клієнти'!A414</f>
        <v>U0505</v>
      </c>
      <c r="B415" s="46">
        <f>'👥 Клієнти'!F414</f>
        <v>21</v>
      </c>
      <c r="C415" s="46">
        <f>'👥 Клієнти'!D414</f>
        <v>5</v>
      </c>
      <c r="D415" s="47">
        <f>'👥 Клієнти'!E414</f>
        <v>79.96</v>
      </c>
      <c r="E415" s="35">
        <f t="shared" si="1"/>
        <v>3</v>
      </c>
      <c r="F415" s="35">
        <f t="shared" si="2"/>
        <v>3</v>
      </c>
      <c r="G415" s="37">
        <f t="shared" si="3"/>
        <v>3</v>
      </c>
      <c r="H415" s="37" t="str">
        <f t="shared" si="4"/>
        <v>333</v>
      </c>
      <c r="I415" s="37" t="str">
        <f t="shared" si="5"/>
        <v>Loyal</v>
      </c>
    </row>
    <row r="416" ht="15.75" customHeight="1">
      <c r="A416" s="46" t="str">
        <f>'👥 Клієнти'!A415</f>
        <v>U0267</v>
      </c>
      <c r="B416" s="46">
        <f>'👥 Клієнти'!F415</f>
        <v>20</v>
      </c>
      <c r="C416" s="46">
        <f>'👥 Клієнти'!D415</f>
        <v>5</v>
      </c>
      <c r="D416" s="47">
        <f>'👥 Клієнти'!E415</f>
        <v>79.96</v>
      </c>
      <c r="E416" s="35">
        <f t="shared" si="1"/>
        <v>3</v>
      </c>
      <c r="F416" s="35">
        <f t="shared" si="2"/>
        <v>3</v>
      </c>
      <c r="G416" s="37">
        <f t="shared" si="3"/>
        <v>3</v>
      </c>
      <c r="H416" s="37" t="str">
        <f t="shared" si="4"/>
        <v>333</v>
      </c>
      <c r="I416" s="37" t="str">
        <f t="shared" si="5"/>
        <v>Loyal</v>
      </c>
    </row>
    <row r="417" ht="15.75" customHeight="1">
      <c r="A417" s="46" t="str">
        <f>'👥 Клієнти'!A416</f>
        <v>U0878</v>
      </c>
      <c r="B417" s="46">
        <f>'👥 Клієнти'!F416</f>
        <v>20</v>
      </c>
      <c r="C417" s="46">
        <f>'👥 Клієнти'!D416</f>
        <v>5</v>
      </c>
      <c r="D417" s="47">
        <f>'👥 Клієнти'!E416</f>
        <v>79.96</v>
      </c>
      <c r="E417" s="35">
        <f t="shared" si="1"/>
        <v>3</v>
      </c>
      <c r="F417" s="35">
        <f t="shared" si="2"/>
        <v>3</v>
      </c>
      <c r="G417" s="37">
        <f t="shared" si="3"/>
        <v>3</v>
      </c>
      <c r="H417" s="37" t="str">
        <f t="shared" si="4"/>
        <v>333</v>
      </c>
      <c r="I417" s="37" t="str">
        <f t="shared" si="5"/>
        <v>Loyal</v>
      </c>
    </row>
    <row r="418" ht="15.75" customHeight="1">
      <c r="A418" s="46" t="str">
        <f>'👥 Клієнти'!A417</f>
        <v>U0684</v>
      </c>
      <c r="B418" s="46">
        <f>'👥 Клієнти'!F417</f>
        <v>109</v>
      </c>
      <c r="C418" s="46">
        <f>'👥 Клієнти'!D417</f>
        <v>2</v>
      </c>
      <c r="D418" s="47">
        <f>'👥 Клієнти'!E417</f>
        <v>19.99</v>
      </c>
      <c r="E418" s="35">
        <f t="shared" si="1"/>
        <v>2</v>
      </c>
      <c r="F418" s="35">
        <f t="shared" si="2"/>
        <v>1</v>
      </c>
      <c r="G418" s="37">
        <f t="shared" si="3"/>
        <v>1</v>
      </c>
      <c r="H418" s="37" t="str">
        <f t="shared" si="4"/>
        <v>211</v>
      </c>
      <c r="I418" s="37" t="str">
        <f t="shared" si="5"/>
        <v>Lost</v>
      </c>
    </row>
    <row r="419" ht="15.75" customHeight="1">
      <c r="A419" s="46" t="str">
        <f>'👥 Клієнти'!A418</f>
        <v>U0873</v>
      </c>
      <c r="B419" s="46">
        <f>'👥 Клієнти'!F418</f>
        <v>18</v>
      </c>
      <c r="C419" s="46">
        <f>'👥 Клієнти'!D418</f>
        <v>5</v>
      </c>
      <c r="D419" s="47">
        <f>'👥 Клієнти'!E418</f>
        <v>79.96</v>
      </c>
      <c r="E419" s="35">
        <f t="shared" si="1"/>
        <v>3</v>
      </c>
      <c r="F419" s="35">
        <f t="shared" si="2"/>
        <v>3</v>
      </c>
      <c r="G419" s="37">
        <f t="shared" si="3"/>
        <v>3</v>
      </c>
      <c r="H419" s="37" t="str">
        <f t="shared" si="4"/>
        <v>333</v>
      </c>
      <c r="I419" s="37" t="str">
        <f t="shared" si="5"/>
        <v>Loyal</v>
      </c>
    </row>
    <row r="420" ht="15.75" customHeight="1">
      <c r="A420" s="46" t="str">
        <f>'👥 Клієнти'!A419</f>
        <v>U0010</v>
      </c>
      <c r="B420" s="46">
        <f>'👥 Клієнти'!F419</f>
        <v>17</v>
      </c>
      <c r="C420" s="46">
        <f>'👥 Клієнти'!D419</f>
        <v>5</v>
      </c>
      <c r="D420" s="47">
        <f>'👥 Клієнти'!E419</f>
        <v>79.96</v>
      </c>
      <c r="E420" s="35">
        <f t="shared" si="1"/>
        <v>3</v>
      </c>
      <c r="F420" s="35">
        <f t="shared" si="2"/>
        <v>3</v>
      </c>
      <c r="G420" s="37">
        <f t="shared" si="3"/>
        <v>3</v>
      </c>
      <c r="H420" s="37" t="str">
        <f t="shared" si="4"/>
        <v>333</v>
      </c>
      <c r="I420" s="37" t="str">
        <f t="shared" si="5"/>
        <v>Loyal</v>
      </c>
    </row>
    <row r="421" ht="15.75" customHeight="1">
      <c r="A421" s="46" t="str">
        <f>'👥 Клієнти'!A420</f>
        <v>U0239</v>
      </c>
      <c r="B421" s="46">
        <f>'👥 Клієнти'!F420</f>
        <v>47</v>
      </c>
      <c r="C421" s="46">
        <f>'👥 Клієнти'!D420</f>
        <v>4</v>
      </c>
      <c r="D421" s="47">
        <f>'👥 Клієнти'!E420</f>
        <v>59.97</v>
      </c>
      <c r="E421" s="35">
        <f t="shared" si="1"/>
        <v>2</v>
      </c>
      <c r="F421" s="35">
        <f t="shared" si="2"/>
        <v>2</v>
      </c>
      <c r="G421" s="37">
        <f t="shared" si="3"/>
        <v>2</v>
      </c>
      <c r="H421" s="37" t="str">
        <f t="shared" si="4"/>
        <v>222</v>
      </c>
      <c r="I421" s="37" t="str">
        <f t="shared" si="5"/>
        <v>Lost</v>
      </c>
    </row>
    <row r="422" ht="15.75" customHeight="1">
      <c r="A422" s="46" t="str">
        <f>'👥 Клієнти'!A421</f>
        <v>U0436</v>
      </c>
      <c r="B422" s="46">
        <f>'👥 Клієнти'!F421</f>
        <v>17</v>
      </c>
      <c r="C422" s="46">
        <f>'👥 Клієнти'!D421</f>
        <v>5</v>
      </c>
      <c r="D422" s="47">
        <f>'👥 Клієнти'!E421</f>
        <v>79.96</v>
      </c>
      <c r="E422" s="35">
        <f t="shared" si="1"/>
        <v>3</v>
      </c>
      <c r="F422" s="35">
        <f t="shared" si="2"/>
        <v>3</v>
      </c>
      <c r="G422" s="37">
        <f t="shared" si="3"/>
        <v>3</v>
      </c>
      <c r="H422" s="37" t="str">
        <f t="shared" si="4"/>
        <v>333</v>
      </c>
      <c r="I422" s="37" t="str">
        <f t="shared" si="5"/>
        <v>Loyal</v>
      </c>
    </row>
    <row r="423" ht="15.75" customHeight="1">
      <c r="A423" s="46" t="str">
        <f>'👥 Клієнти'!A422</f>
        <v>U0356</v>
      </c>
      <c r="B423" s="46">
        <f>'👥 Клієнти'!F422</f>
        <v>16</v>
      </c>
      <c r="C423" s="46">
        <f>'👥 Клієнти'!D422</f>
        <v>5</v>
      </c>
      <c r="D423" s="47">
        <f>'👥 Клієнти'!E422</f>
        <v>79.96</v>
      </c>
      <c r="E423" s="35">
        <f t="shared" si="1"/>
        <v>3</v>
      </c>
      <c r="F423" s="35">
        <f t="shared" si="2"/>
        <v>3</v>
      </c>
      <c r="G423" s="37">
        <f t="shared" si="3"/>
        <v>3</v>
      </c>
      <c r="H423" s="37" t="str">
        <f t="shared" si="4"/>
        <v>333</v>
      </c>
      <c r="I423" s="37" t="str">
        <f t="shared" si="5"/>
        <v>Loyal</v>
      </c>
    </row>
    <row r="424" ht="15.75" customHeight="1">
      <c r="A424" s="46" t="str">
        <f>'👥 Клієнти'!A423</f>
        <v>U0561</v>
      </c>
      <c r="B424" s="46">
        <f>'👥 Клієнти'!F423</f>
        <v>76</v>
      </c>
      <c r="C424" s="46">
        <f>'👥 Клієнти'!D423</f>
        <v>3</v>
      </c>
      <c r="D424" s="47">
        <f>'👥 Клієнти'!E423</f>
        <v>39.98</v>
      </c>
      <c r="E424" s="35">
        <f t="shared" si="1"/>
        <v>2</v>
      </c>
      <c r="F424" s="35">
        <f t="shared" si="2"/>
        <v>2</v>
      </c>
      <c r="G424" s="37">
        <f t="shared" si="3"/>
        <v>2</v>
      </c>
      <c r="H424" s="37" t="str">
        <f t="shared" si="4"/>
        <v>222</v>
      </c>
      <c r="I424" s="37" t="str">
        <f t="shared" si="5"/>
        <v>Lost</v>
      </c>
    </row>
    <row r="425" ht="15.75" customHeight="1">
      <c r="A425" s="46" t="str">
        <f>'👥 Клієнти'!A424</f>
        <v>U0648</v>
      </c>
      <c r="B425" s="46">
        <f>'👥 Клієнти'!F424</f>
        <v>16</v>
      </c>
      <c r="C425" s="46">
        <f>'👥 Клієнти'!D424</f>
        <v>5</v>
      </c>
      <c r="D425" s="47">
        <f>'👥 Клієнти'!E424</f>
        <v>79.96</v>
      </c>
      <c r="E425" s="35">
        <f t="shared" si="1"/>
        <v>3</v>
      </c>
      <c r="F425" s="35">
        <f t="shared" si="2"/>
        <v>3</v>
      </c>
      <c r="G425" s="37">
        <f t="shared" si="3"/>
        <v>3</v>
      </c>
      <c r="H425" s="37" t="str">
        <f t="shared" si="4"/>
        <v>333</v>
      </c>
      <c r="I425" s="37" t="str">
        <f t="shared" si="5"/>
        <v>Loyal</v>
      </c>
    </row>
    <row r="426" ht="15.75" customHeight="1">
      <c r="A426" s="46" t="str">
        <f>'👥 Клієнти'!A425</f>
        <v>U0842</v>
      </c>
      <c r="B426" s="46">
        <f>'👥 Клієнти'!F425</f>
        <v>16</v>
      </c>
      <c r="C426" s="46">
        <f>'👥 Клієнти'!D425</f>
        <v>5</v>
      </c>
      <c r="D426" s="47">
        <f>'👥 Клієнти'!E425</f>
        <v>79.96</v>
      </c>
      <c r="E426" s="35">
        <f t="shared" si="1"/>
        <v>3</v>
      </c>
      <c r="F426" s="35">
        <f t="shared" si="2"/>
        <v>3</v>
      </c>
      <c r="G426" s="37">
        <f t="shared" si="3"/>
        <v>3</v>
      </c>
      <c r="H426" s="37" t="str">
        <f t="shared" si="4"/>
        <v>333</v>
      </c>
      <c r="I426" s="37" t="str">
        <f t="shared" si="5"/>
        <v>Loyal</v>
      </c>
    </row>
    <row r="427" ht="15.75" customHeight="1">
      <c r="A427" s="46" t="str">
        <f>'👥 Клієнти'!A426</f>
        <v>U0221</v>
      </c>
      <c r="B427" s="46">
        <f>'👥 Клієнти'!F426</f>
        <v>15</v>
      </c>
      <c r="C427" s="46">
        <f>'👥 Клієнти'!D426</f>
        <v>5</v>
      </c>
      <c r="D427" s="47">
        <f>'👥 Клієнти'!E426</f>
        <v>79.96</v>
      </c>
      <c r="E427" s="35">
        <f t="shared" si="1"/>
        <v>4</v>
      </c>
      <c r="F427" s="35">
        <f t="shared" si="2"/>
        <v>3</v>
      </c>
      <c r="G427" s="37">
        <f t="shared" si="3"/>
        <v>3</v>
      </c>
      <c r="H427" s="37" t="str">
        <f t="shared" si="4"/>
        <v>433</v>
      </c>
      <c r="I427" s="37" t="str">
        <f t="shared" si="5"/>
        <v>Loyal</v>
      </c>
    </row>
    <row r="428" ht="15.75" customHeight="1">
      <c r="A428" s="46" t="str">
        <f>'👥 Клієнти'!A427</f>
        <v>U0115</v>
      </c>
      <c r="B428" s="46">
        <f>'👥 Клієнти'!F427</f>
        <v>14</v>
      </c>
      <c r="C428" s="46">
        <f>'👥 Клієнти'!D427</f>
        <v>5</v>
      </c>
      <c r="D428" s="47">
        <f>'👥 Клієнти'!E427</f>
        <v>79.96</v>
      </c>
      <c r="E428" s="35">
        <f t="shared" si="1"/>
        <v>4</v>
      </c>
      <c r="F428" s="35">
        <f t="shared" si="2"/>
        <v>3</v>
      </c>
      <c r="G428" s="37">
        <f t="shared" si="3"/>
        <v>3</v>
      </c>
      <c r="H428" s="37" t="str">
        <f t="shared" si="4"/>
        <v>433</v>
      </c>
      <c r="I428" s="37" t="str">
        <f t="shared" si="5"/>
        <v>Loyal</v>
      </c>
    </row>
    <row r="429" ht="15.75" customHeight="1">
      <c r="A429" s="46" t="str">
        <f>'👥 Клієнти'!A428</f>
        <v>U0733</v>
      </c>
      <c r="B429" s="46">
        <f>'👥 Клієнти'!F428</f>
        <v>104</v>
      </c>
      <c r="C429" s="46">
        <f>'👥 Клієнти'!D428</f>
        <v>2</v>
      </c>
      <c r="D429" s="47">
        <f>'👥 Клієнти'!E428</f>
        <v>19.99</v>
      </c>
      <c r="E429" s="35">
        <f t="shared" si="1"/>
        <v>2</v>
      </c>
      <c r="F429" s="35">
        <f t="shared" si="2"/>
        <v>1</v>
      </c>
      <c r="G429" s="37">
        <f t="shared" si="3"/>
        <v>1</v>
      </c>
      <c r="H429" s="37" t="str">
        <f t="shared" si="4"/>
        <v>211</v>
      </c>
      <c r="I429" s="37" t="str">
        <f t="shared" si="5"/>
        <v>Lost</v>
      </c>
    </row>
    <row r="430" ht="15.75" customHeight="1">
      <c r="A430" s="46" t="str">
        <f>'👥 Клієнти'!A429</f>
        <v>U0419</v>
      </c>
      <c r="B430" s="46">
        <f>'👥 Клієнти'!F429</f>
        <v>13</v>
      </c>
      <c r="C430" s="46">
        <f>'👥 Клієнти'!D429</f>
        <v>5</v>
      </c>
      <c r="D430" s="47">
        <f>'👥 Клієнти'!E429</f>
        <v>79.96</v>
      </c>
      <c r="E430" s="35">
        <f t="shared" si="1"/>
        <v>4</v>
      </c>
      <c r="F430" s="35">
        <f t="shared" si="2"/>
        <v>3</v>
      </c>
      <c r="G430" s="37">
        <f t="shared" si="3"/>
        <v>3</v>
      </c>
      <c r="H430" s="37" t="str">
        <f t="shared" si="4"/>
        <v>433</v>
      </c>
      <c r="I430" s="37" t="str">
        <f t="shared" si="5"/>
        <v>Loyal</v>
      </c>
    </row>
    <row r="431" ht="15.75" customHeight="1">
      <c r="A431" s="46" t="str">
        <f>'👥 Клієнти'!A430</f>
        <v>U0102</v>
      </c>
      <c r="B431" s="46">
        <f>'👥 Клієнти'!F430</f>
        <v>102</v>
      </c>
      <c r="C431" s="46">
        <f>'👥 Клієнти'!D430</f>
        <v>2</v>
      </c>
      <c r="D431" s="47">
        <f>'👥 Клієнти'!E430</f>
        <v>19.99</v>
      </c>
      <c r="E431" s="35">
        <f t="shared" si="1"/>
        <v>2</v>
      </c>
      <c r="F431" s="35">
        <f t="shared" si="2"/>
        <v>1</v>
      </c>
      <c r="G431" s="37">
        <f t="shared" si="3"/>
        <v>1</v>
      </c>
      <c r="H431" s="37" t="str">
        <f t="shared" si="4"/>
        <v>211</v>
      </c>
      <c r="I431" s="37" t="str">
        <f t="shared" si="5"/>
        <v>Lost</v>
      </c>
    </row>
    <row r="432" ht="15.75" customHeight="1">
      <c r="A432" s="46" t="str">
        <f>'👥 Клієнти'!A431</f>
        <v>U0201</v>
      </c>
      <c r="B432" s="46">
        <f>'👥 Клієнти'!F431</f>
        <v>12</v>
      </c>
      <c r="C432" s="46">
        <f>'👥 Клієнти'!D431</f>
        <v>5</v>
      </c>
      <c r="D432" s="47">
        <f>'👥 Клієнти'!E431</f>
        <v>79.96</v>
      </c>
      <c r="E432" s="35">
        <f t="shared" si="1"/>
        <v>4</v>
      </c>
      <c r="F432" s="35">
        <f t="shared" si="2"/>
        <v>3</v>
      </c>
      <c r="G432" s="37">
        <f t="shared" si="3"/>
        <v>3</v>
      </c>
      <c r="H432" s="37" t="str">
        <f t="shared" si="4"/>
        <v>433</v>
      </c>
      <c r="I432" s="37" t="str">
        <f t="shared" si="5"/>
        <v>Loyal</v>
      </c>
    </row>
    <row r="433" ht="15.75" customHeight="1">
      <c r="A433" s="46" t="str">
        <f>'👥 Клієнти'!A432</f>
        <v>U0092</v>
      </c>
      <c r="B433" s="46">
        <f>'👥 Клієнти'!F432</f>
        <v>70</v>
      </c>
      <c r="C433" s="46">
        <f>'👥 Клієнти'!D432</f>
        <v>3</v>
      </c>
      <c r="D433" s="47">
        <f>'👥 Клієнти'!E432</f>
        <v>39.98</v>
      </c>
      <c r="E433" s="35">
        <f t="shared" si="1"/>
        <v>2</v>
      </c>
      <c r="F433" s="35">
        <f t="shared" si="2"/>
        <v>2</v>
      </c>
      <c r="G433" s="37">
        <f t="shared" si="3"/>
        <v>2</v>
      </c>
      <c r="H433" s="37" t="str">
        <f t="shared" si="4"/>
        <v>222</v>
      </c>
      <c r="I433" s="37" t="str">
        <f t="shared" si="5"/>
        <v>Lost</v>
      </c>
    </row>
    <row r="434" ht="15.75" customHeight="1">
      <c r="A434" s="46" t="str">
        <f>'👥 Клієнти'!A433</f>
        <v>U0213</v>
      </c>
      <c r="B434" s="46">
        <f>'👥 Клієнти'!F433</f>
        <v>10</v>
      </c>
      <c r="C434" s="46">
        <f>'👥 Клієнти'!D433</f>
        <v>5</v>
      </c>
      <c r="D434" s="47">
        <f>'👥 Клієнти'!E433</f>
        <v>79.96</v>
      </c>
      <c r="E434" s="35">
        <f t="shared" si="1"/>
        <v>4</v>
      </c>
      <c r="F434" s="35">
        <f t="shared" si="2"/>
        <v>3</v>
      </c>
      <c r="G434" s="37">
        <f t="shared" si="3"/>
        <v>3</v>
      </c>
      <c r="H434" s="37" t="str">
        <f t="shared" si="4"/>
        <v>433</v>
      </c>
      <c r="I434" s="37" t="str">
        <f t="shared" si="5"/>
        <v>Loyal</v>
      </c>
    </row>
    <row r="435" ht="15.75" customHeight="1">
      <c r="A435" s="46" t="str">
        <f>'👥 Клієнти'!A434</f>
        <v>U0278</v>
      </c>
      <c r="B435" s="46">
        <f>'👥 Клієнти'!F434</f>
        <v>10</v>
      </c>
      <c r="C435" s="46">
        <f>'👥 Клієнти'!D434</f>
        <v>5</v>
      </c>
      <c r="D435" s="47">
        <f>'👥 Клієнти'!E434</f>
        <v>79.96</v>
      </c>
      <c r="E435" s="35">
        <f t="shared" si="1"/>
        <v>4</v>
      </c>
      <c r="F435" s="35">
        <f t="shared" si="2"/>
        <v>3</v>
      </c>
      <c r="G435" s="37">
        <f t="shared" si="3"/>
        <v>3</v>
      </c>
      <c r="H435" s="37" t="str">
        <f t="shared" si="4"/>
        <v>433</v>
      </c>
      <c r="I435" s="37" t="str">
        <f t="shared" si="5"/>
        <v>Loyal</v>
      </c>
    </row>
    <row r="436" ht="15.75" customHeight="1">
      <c r="A436" s="46" t="str">
        <f>'👥 Клієнти'!A435</f>
        <v>U0353</v>
      </c>
      <c r="B436" s="46">
        <f>'👥 Клієнти'!F435</f>
        <v>9</v>
      </c>
      <c r="C436" s="46">
        <f>'👥 Клієнти'!D435</f>
        <v>5</v>
      </c>
      <c r="D436" s="47">
        <f>'👥 Клієнти'!E435</f>
        <v>79.96</v>
      </c>
      <c r="E436" s="35">
        <f t="shared" si="1"/>
        <v>4</v>
      </c>
      <c r="F436" s="35">
        <f t="shared" si="2"/>
        <v>3</v>
      </c>
      <c r="G436" s="37">
        <f t="shared" si="3"/>
        <v>3</v>
      </c>
      <c r="H436" s="37" t="str">
        <f t="shared" si="4"/>
        <v>433</v>
      </c>
      <c r="I436" s="37" t="str">
        <f t="shared" si="5"/>
        <v>Loyal</v>
      </c>
    </row>
    <row r="437" ht="15.75" customHeight="1">
      <c r="A437" s="46" t="str">
        <f>'👥 Клієнти'!A436</f>
        <v>U0215</v>
      </c>
      <c r="B437" s="46">
        <f>'👥 Клієнти'!F436</f>
        <v>37</v>
      </c>
      <c r="C437" s="46">
        <f>'👥 Клієнти'!D436</f>
        <v>4</v>
      </c>
      <c r="D437" s="47">
        <f>'👥 Клієнти'!E436</f>
        <v>59.97</v>
      </c>
      <c r="E437" s="35">
        <f t="shared" si="1"/>
        <v>2</v>
      </c>
      <c r="F437" s="35">
        <f t="shared" si="2"/>
        <v>2</v>
      </c>
      <c r="G437" s="37">
        <f t="shared" si="3"/>
        <v>2</v>
      </c>
      <c r="H437" s="37" t="str">
        <f t="shared" si="4"/>
        <v>222</v>
      </c>
      <c r="I437" s="37" t="str">
        <f t="shared" si="5"/>
        <v>Lost</v>
      </c>
    </row>
    <row r="438" ht="15.75" customHeight="1">
      <c r="A438" s="46" t="str">
        <f>'👥 Клієнти'!A437</f>
        <v>U0316</v>
      </c>
      <c r="B438" s="46">
        <f>'👥 Клієнти'!F437</f>
        <v>7</v>
      </c>
      <c r="C438" s="46">
        <f>'👥 Клієнти'!D437</f>
        <v>5</v>
      </c>
      <c r="D438" s="47">
        <f>'👥 Клієнти'!E437</f>
        <v>79.96</v>
      </c>
      <c r="E438" s="35">
        <f t="shared" si="1"/>
        <v>5</v>
      </c>
      <c r="F438" s="35">
        <f t="shared" si="2"/>
        <v>3</v>
      </c>
      <c r="G438" s="37">
        <f t="shared" si="3"/>
        <v>3</v>
      </c>
      <c r="H438" s="37" t="str">
        <f t="shared" si="4"/>
        <v>533</v>
      </c>
      <c r="I438" s="37" t="str">
        <f t="shared" si="5"/>
        <v>Loyal</v>
      </c>
    </row>
    <row r="439" ht="15.75" customHeight="1">
      <c r="A439" s="46" t="str">
        <f>'👥 Клієнти'!A438</f>
        <v>U0482</v>
      </c>
      <c r="B439" s="46">
        <f>'👥 Клієнти'!F438</f>
        <v>7</v>
      </c>
      <c r="C439" s="46">
        <f>'👥 Клієнти'!D438</f>
        <v>5</v>
      </c>
      <c r="D439" s="47">
        <f>'👥 Клієнти'!E438</f>
        <v>79.96</v>
      </c>
      <c r="E439" s="35">
        <f t="shared" si="1"/>
        <v>5</v>
      </c>
      <c r="F439" s="35">
        <f t="shared" si="2"/>
        <v>3</v>
      </c>
      <c r="G439" s="37">
        <f t="shared" si="3"/>
        <v>3</v>
      </c>
      <c r="H439" s="37" t="str">
        <f t="shared" si="4"/>
        <v>533</v>
      </c>
      <c r="I439" s="37" t="str">
        <f t="shared" si="5"/>
        <v>Loyal</v>
      </c>
    </row>
    <row r="440" ht="15.75" customHeight="1">
      <c r="A440" s="46" t="str">
        <f>'👥 Клієнти'!A439</f>
        <v>U0610</v>
      </c>
      <c r="B440" s="46">
        <f>'👥 Клієнти'!F439</f>
        <v>6</v>
      </c>
      <c r="C440" s="46">
        <f>'👥 Клієнти'!D439</f>
        <v>5</v>
      </c>
      <c r="D440" s="47">
        <f>'👥 Клієнти'!E439</f>
        <v>79.96</v>
      </c>
      <c r="E440" s="35">
        <f t="shared" si="1"/>
        <v>5</v>
      </c>
      <c r="F440" s="35">
        <f t="shared" si="2"/>
        <v>3</v>
      </c>
      <c r="G440" s="37">
        <f t="shared" si="3"/>
        <v>3</v>
      </c>
      <c r="H440" s="37" t="str">
        <f t="shared" si="4"/>
        <v>533</v>
      </c>
      <c r="I440" s="37" t="str">
        <f t="shared" si="5"/>
        <v>Loyal</v>
      </c>
    </row>
    <row r="441" ht="15.75" customHeight="1">
      <c r="A441" s="46" t="str">
        <f>'👥 Клієнти'!A440</f>
        <v>U0887</v>
      </c>
      <c r="B441" s="46">
        <f>'👥 Клієнти'!F440</f>
        <v>6</v>
      </c>
      <c r="C441" s="46">
        <f>'👥 Клієнти'!D440</f>
        <v>5</v>
      </c>
      <c r="D441" s="47">
        <f>'👥 Клієнти'!E440</f>
        <v>79.96</v>
      </c>
      <c r="E441" s="35">
        <f t="shared" si="1"/>
        <v>5</v>
      </c>
      <c r="F441" s="35">
        <f t="shared" si="2"/>
        <v>3</v>
      </c>
      <c r="G441" s="37">
        <f t="shared" si="3"/>
        <v>3</v>
      </c>
      <c r="H441" s="37" t="str">
        <f t="shared" si="4"/>
        <v>533</v>
      </c>
      <c r="I441" s="37" t="str">
        <f t="shared" si="5"/>
        <v>Loyal</v>
      </c>
    </row>
    <row r="442" ht="15.75" customHeight="1">
      <c r="A442" s="46" t="str">
        <f>'👥 Клієнти'!A441</f>
        <v>U0039</v>
      </c>
      <c r="B442" s="46">
        <f>'👥 Клієнти'!F441</f>
        <v>35</v>
      </c>
      <c r="C442" s="46">
        <f>'👥 Клієнти'!D441</f>
        <v>4</v>
      </c>
      <c r="D442" s="47">
        <f>'👥 Клієнти'!E441</f>
        <v>59.97</v>
      </c>
      <c r="E442" s="35">
        <f t="shared" si="1"/>
        <v>2</v>
      </c>
      <c r="F442" s="35">
        <f t="shared" si="2"/>
        <v>2</v>
      </c>
      <c r="G442" s="37">
        <f t="shared" si="3"/>
        <v>2</v>
      </c>
      <c r="H442" s="37" t="str">
        <f t="shared" si="4"/>
        <v>222</v>
      </c>
      <c r="I442" s="37" t="str">
        <f t="shared" si="5"/>
        <v>Lost</v>
      </c>
    </row>
    <row r="443" ht="15.75" customHeight="1">
      <c r="A443" s="46" t="str">
        <f>'👥 Клієнти'!A442</f>
        <v>U0075</v>
      </c>
      <c r="B443" s="46">
        <f>'👥 Клієнти'!F442</f>
        <v>4</v>
      </c>
      <c r="C443" s="46">
        <f>'👥 Клієнти'!D442</f>
        <v>5</v>
      </c>
      <c r="D443" s="47">
        <f>'👥 Клієнти'!E442</f>
        <v>79.96</v>
      </c>
      <c r="E443" s="35">
        <f t="shared" si="1"/>
        <v>5</v>
      </c>
      <c r="F443" s="35">
        <f t="shared" si="2"/>
        <v>3</v>
      </c>
      <c r="G443" s="37">
        <f t="shared" si="3"/>
        <v>3</v>
      </c>
      <c r="H443" s="37" t="str">
        <f t="shared" si="4"/>
        <v>533</v>
      </c>
      <c r="I443" s="37" t="str">
        <f t="shared" si="5"/>
        <v>Loyal</v>
      </c>
    </row>
    <row r="444" ht="15.75" customHeight="1">
      <c r="A444" s="46" t="str">
        <f>'👥 Клієнти'!A443</f>
        <v>U0088</v>
      </c>
      <c r="B444" s="46">
        <f>'👥 Клієнти'!F443</f>
        <v>4</v>
      </c>
      <c r="C444" s="46">
        <f>'👥 Клієнти'!D443</f>
        <v>5</v>
      </c>
      <c r="D444" s="47">
        <f>'👥 Клієнти'!E443</f>
        <v>79.96</v>
      </c>
      <c r="E444" s="35">
        <f t="shared" si="1"/>
        <v>5</v>
      </c>
      <c r="F444" s="35">
        <f t="shared" si="2"/>
        <v>3</v>
      </c>
      <c r="G444" s="37">
        <f t="shared" si="3"/>
        <v>3</v>
      </c>
      <c r="H444" s="37" t="str">
        <f t="shared" si="4"/>
        <v>533</v>
      </c>
      <c r="I444" s="37" t="str">
        <f t="shared" si="5"/>
        <v>Loyal</v>
      </c>
    </row>
    <row r="445" ht="15.75" customHeight="1">
      <c r="A445" s="46" t="str">
        <f>'👥 Клієнти'!A444</f>
        <v>U0219</v>
      </c>
      <c r="B445" s="46">
        <f>'👥 Клієнти'!F444</f>
        <v>64</v>
      </c>
      <c r="C445" s="46">
        <f>'👥 Клієнти'!D444</f>
        <v>3</v>
      </c>
      <c r="D445" s="47">
        <f>'👥 Клієнти'!E444</f>
        <v>39.98</v>
      </c>
      <c r="E445" s="35">
        <f t="shared" si="1"/>
        <v>2</v>
      </c>
      <c r="F445" s="35">
        <f t="shared" si="2"/>
        <v>2</v>
      </c>
      <c r="G445" s="37">
        <f t="shared" si="3"/>
        <v>2</v>
      </c>
      <c r="H445" s="37" t="str">
        <f t="shared" si="4"/>
        <v>222</v>
      </c>
      <c r="I445" s="37" t="str">
        <f t="shared" si="5"/>
        <v>Lost</v>
      </c>
    </row>
    <row r="446" ht="15.75" customHeight="1">
      <c r="A446" s="46" t="str">
        <f>'👥 Клієнти'!A445</f>
        <v>U0374</v>
      </c>
      <c r="B446" s="46">
        <f>'👥 Клієнти'!F445</f>
        <v>4</v>
      </c>
      <c r="C446" s="46">
        <f>'👥 Клієнти'!D445</f>
        <v>5</v>
      </c>
      <c r="D446" s="47">
        <f>'👥 Клієнти'!E445</f>
        <v>79.96</v>
      </c>
      <c r="E446" s="35">
        <f t="shared" si="1"/>
        <v>5</v>
      </c>
      <c r="F446" s="35">
        <f t="shared" si="2"/>
        <v>3</v>
      </c>
      <c r="G446" s="37">
        <f t="shared" si="3"/>
        <v>3</v>
      </c>
      <c r="H446" s="37" t="str">
        <f t="shared" si="4"/>
        <v>533</v>
      </c>
      <c r="I446" s="37" t="str">
        <f t="shared" si="5"/>
        <v>Loyal</v>
      </c>
    </row>
    <row r="447" ht="15.75" customHeight="1">
      <c r="A447" s="46" t="str">
        <f>'👥 Клієнти'!A446</f>
        <v>U0659</v>
      </c>
      <c r="B447" s="46">
        <f>'👥 Клієнти'!F446</f>
        <v>3</v>
      </c>
      <c r="C447" s="46">
        <f>'👥 Клієнти'!D446</f>
        <v>5</v>
      </c>
      <c r="D447" s="47">
        <f>'👥 Клієнти'!E446</f>
        <v>79.96</v>
      </c>
      <c r="E447" s="35">
        <f t="shared" si="1"/>
        <v>5</v>
      </c>
      <c r="F447" s="35">
        <f t="shared" si="2"/>
        <v>3</v>
      </c>
      <c r="G447" s="37">
        <f t="shared" si="3"/>
        <v>3</v>
      </c>
      <c r="H447" s="37" t="str">
        <f t="shared" si="4"/>
        <v>533</v>
      </c>
      <c r="I447" s="37" t="str">
        <f t="shared" si="5"/>
        <v>Loyal</v>
      </c>
    </row>
    <row r="448" ht="15.75" customHeight="1">
      <c r="A448" s="46" t="str">
        <f>'👥 Клієнти'!A447</f>
        <v>U0481</v>
      </c>
      <c r="B448" s="46">
        <f>'👥 Клієнти'!F447</f>
        <v>2</v>
      </c>
      <c r="C448" s="46">
        <f>'👥 Клієнти'!D447</f>
        <v>5</v>
      </c>
      <c r="D448" s="47">
        <f>'👥 Клієнти'!E447</f>
        <v>79.96</v>
      </c>
      <c r="E448" s="35">
        <f t="shared" si="1"/>
        <v>5</v>
      </c>
      <c r="F448" s="35">
        <f t="shared" si="2"/>
        <v>3</v>
      </c>
      <c r="G448" s="37">
        <f t="shared" si="3"/>
        <v>3</v>
      </c>
      <c r="H448" s="37" t="str">
        <f t="shared" si="4"/>
        <v>533</v>
      </c>
      <c r="I448" s="37" t="str">
        <f t="shared" si="5"/>
        <v>Loyal</v>
      </c>
    </row>
    <row r="449" ht="15.75" customHeight="1">
      <c r="A449" s="46" t="str">
        <f>'👥 Клієнти'!A448</f>
        <v>U0585</v>
      </c>
      <c r="B449" s="46">
        <f>'👥 Клієнти'!F448</f>
        <v>2</v>
      </c>
      <c r="C449" s="46">
        <f>'👥 Клієнти'!D448</f>
        <v>5</v>
      </c>
      <c r="D449" s="47">
        <f>'👥 Клієнти'!E448</f>
        <v>79.96</v>
      </c>
      <c r="E449" s="35">
        <f t="shared" si="1"/>
        <v>5</v>
      </c>
      <c r="F449" s="35">
        <f t="shared" si="2"/>
        <v>3</v>
      </c>
      <c r="G449" s="37">
        <f t="shared" si="3"/>
        <v>3</v>
      </c>
      <c r="H449" s="37" t="str">
        <f t="shared" si="4"/>
        <v>533</v>
      </c>
      <c r="I449" s="37" t="str">
        <f t="shared" si="5"/>
        <v>Loyal</v>
      </c>
    </row>
    <row r="450" ht="15.75" customHeight="1">
      <c r="A450" s="46" t="str">
        <f>'👥 Клієнти'!A449</f>
        <v>U0230</v>
      </c>
      <c r="B450" s="46">
        <f>'👥 Клієнти'!F449</f>
        <v>29</v>
      </c>
      <c r="C450" s="46">
        <f>'👥 Клієнти'!D449</f>
        <v>4</v>
      </c>
      <c r="D450" s="47">
        <f>'👥 Клієнти'!E449</f>
        <v>59.97</v>
      </c>
      <c r="E450" s="35">
        <f t="shared" si="1"/>
        <v>2</v>
      </c>
      <c r="F450" s="35">
        <f t="shared" si="2"/>
        <v>2</v>
      </c>
      <c r="G450" s="37">
        <f t="shared" si="3"/>
        <v>2</v>
      </c>
      <c r="H450" s="37" t="str">
        <f t="shared" si="4"/>
        <v>222</v>
      </c>
      <c r="I450" s="37" t="str">
        <f t="shared" si="5"/>
        <v>Lost</v>
      </c>
    </row>
    <row r="451" ht="15.75" customHeight="1">
      <c r="A451" s="46" t="str">
        <f>'👥 Клієнти'!A450</f>
        <v>U0323</v>
      </c>
      <c r="B451" s="46">
        <f>'👥 Клієнти'!F450</f>
        <v>59</v>
      </c>
      <c r="C451" s="46">
        <f>'👥 Клієнти'!D450</f>
        <v>3</v>
      </c>
      <c r="D451" s="47">
        <f>'👥 Клієнти'!E450</f>
        <v>39.98</v>
      </c>
      <c r="E451" s="35">
        <f t="shared" si="1"/>
        <v>2</v>
      </c>
      <c r="F451" s="35">
        <f t="shared" si="2"/>
        <v>2</v>
      </c>
      <c r="G451" s="37">
        <f t="shared" si="3"/>
        <v>2</v>
      </c>
      <c r="H451" s="37" t="str">
        <f t="shared" si="4"/>
        <v>222</v>
      </c>
      <c r="I451" s="37" t="str">
        <f t="shared" si="5"/>
        <v>Lost</v>
      </c>
    </row>
    <row r="452" ht="15.75" customHeight="1">
      <c r="A452" s="46" t="str">
        <f>'👥 Клієнти'!A451</f>
        <v>U0462</v>
      </c>
      <c r="B452" s="46">
        <f>'👥 Клієнти'!F451</f>
        <v>29</v>
      </c>
      <c r="C452" s="46">
        <f>'👥 Клієнти'!D451</f>
        <v>4</v>
      </c>
      <c r="D452" s="47">
        <f>'👥 Клієнти'!E451</f>
        <v>59.97</v>
      </c>
      <c r="E452" s="35">
        <f t="shared" si="1"/>
        <v>2</v>
      </c>
      <c r="F452" s="35">
        <f t="shared" si="2"/>
        <v>2</v>
      </c>
      <c r="G452" s="37">
        <f t="shared" si="3"/>
        <v>2</v>
      </c>
      <c r="H452" s="37" t="str">
        <f t="shared" si="4"/>
        <v>222</v>
      </c>
      <c r="I452" s="37" t="str">
        <f t="shared" si="5"/>
        <v>Lost</v>
      </c>
    </row>
    <row r="453" ht="15.75" customHeight="1">
      <c r="A453" s="46" t="str">
        <f>'👥 Клієнти'!A452</f>
        <v>U0710</v>
      </c>
      <c r="B453" s="46">
        <f>'👥 Клієнти'!F452</f>
        <v>57</v>
      </c>
      <c r="C453" s="46">
        <f>'👥 Клієнти'!D452</f>
        <v>3</v>
      </c>
      <c r="D453" s="47">
        <f>'👥 Клієнти'!E452</f>
        <v>39.98</v>
      </c>
      <c r="E453" s="35">
        <f t="shared" si="1"/>
        <v>2</v>
      </c>
      <c r="F453" s="35">
        <f t="shared" si="2"/>
        <v>2</v>
      </c>
      <c r="G453" s="37">
        <f t="shared" si="3"/>
        <v>2</v>
      </c>
      <c r="H453" s="37" t="str">
        <f t="shared" si="4"/>
        <v>222</v>
      </c>
      <c r="I453" s="37" t="str">
        <f t="shared" si="5"/>
        <v>Lost</v>
      </c>
    </row>
    <row r="454" ht="15.75" customHeight="1">
      <c r="A454" s="46" t="str">
        <f>'👥 Клієнти'!A453</f>
        <v>U0597</v>
      </c>
      <c r="B454" s="46">
        <f>'👥 Клієнти'!F453</f>
        <v>86</v>
      </c>
      <c r="C454" s="46">
        <f>'👥 Клієнти'!D453</f>
        <v>2</v>
      </c>
      <c r="D454" s="47">
        <f>'👥 Клієнти'!E453</f>
        <v>19.99</v>
      </c>
      <c r="E454" s="35">
        <f t="shared" si="1"/>
        <v>2</v>
      </c>
      <c r="F454" s="35">
        <f t="shared" si="2"/>
        <v>1</v>
      </c>
      <c r="G454" s="37">
        <f t="shared" si="3"/>
        <v>1</v>
      </c>
      <c r="H454" s="37" t="str">
        <f t="shared" si="4"/>
        <v>211</v>
      </c>
      <c r="I454" s="37" t="str">
        <f t="shared" si="5"/>
        <v>Lost</v>
      </c>
    </row>
    <row r="455" ht="15.75" customHeight="1">
      <c r="A455" s="46" t="str">
        <f>'👥 Клієнти'!A454</f>
        <v>U0781</v>
      </c>
      <c r="B455" s="46">
        <f>'👥 Клієнти'!F454</f>
        <v>26</v>
      </c>
      <c r="C455" s="46">
        <f>'👥 Клієнти'!D454</f>
        <v>4</v>
      </c>
      <c r="D455" s="47">
        <f>'👥 Клієнти'!E454</f>
        <v>59.97</v>
      </c>
      <c r="E455" s="35">
        <f t="shared" si="1"/>
        <v>2</v>
      </c>
      <c r="F455" s="35">
        <f t="shared" si="2"/>
        <v>2</v>
      </c>
      <c r="G455" s="37">
        <f t="shared" si="3"/>
        <v>2</v>
      </c>
      <c r="H455" s="37" t="str">
        <f t="shared" si="4"/>
        <v>222</v>
      </c>
      <c r="I455" s="37" t="str">
        <f t="shared" si="5"/>
        <v>Lost</v>
      </c>
    </row>
    <row r="456" ht="15.75" customHeight="1">
      <c r="A456" s="46" t="str">
        <f>'👥 Клієнти'!A455</f>
        <v>U0347</v>
      </c>
      <c r="B456" s="46">
        <f>'👥 Клієнти'!F455</f>
        <v>24</v>
      </c>
      <c r="C456" s="46">
        <f>'👥 Клієнти'!D455</f>
        <v>4</v>
      </c>
      <c r="D456" s="47">
        <f>'👥 Клієнти'!E455</f>
        <v>59.97</v>
      </c>
      <c r="E456" s="35">
        <f t="shared" si="1"/>
        <v>3</v>
      </c>
      <c r="F456" s="35">
        <f t="shared" si="2"/>
        <v>2</v>
      </c>
      <c r="G456" s="37">
        <f t="shared" si="3"/>
        <v>2</v>
      </c>
      <c r="H456" s="37" t="str">
        <f t="shared" si="4"/>
        <v>322</v>
      </c>
      <c r="I456" s="37" t="str">
        <f t="shared" si="5"/>
        <v>Promising</v>
      </c>
    </row>
    <row r="457" ht="15.75" customHeight="1">
      <c r="A457" s="46" t="str">
        <f>'👥 Клієнти'!A456</f>
        <v>U0882</v>
      </c>
      <c r="B457" s="46">
        <f>'👥 Клієнти'!F456</f>
        <v>24</v>
      </c>
      <c r="C457" s="46">
        <f>'👥 Клієнти'!D456</f>
        <v>4</v>
      </c>
      <c r="D457" s="47">
        <f>'👥 Клієнти'!E456</f>
        <v>59.97</v>
      </c>
      <c r="E457" s="35">
        <f t="shared" si="1"/>
        <v>3</v>
      </c>
      <c r="F457" s="35">
        <f t="shared" si="2"/>
        <v>2</v>
      </c>
      <c r="G457" s="37">
        <f t="shared" si="3"/>
        <v>2</v>
      </c>
      <c r="H457" s="37" t="str">
        <f t="shared" si="4"/>
        <v>322</v>
      </c>
      <c r="I457" s="37" t="str">
        <f t="shared" si="5"/>
        <v>Promising</v>
      </c>
    </row>
    <row r="458" ht="15.75" customHeight="1">
      <c r="A458" s="46" t="str">
        <f>'👥 Клієнти'!A457</f>
        <v>U0304</v>
      </c>
      <c r="B458" s="46">
        <f>'👥 Клієнти'!F457</f>
        <v>53</v>
      </c>
      <c r="C458" s="46">
        <f>'👥 Клієнти'!D457</f>
        <v>3</v>
      </c>
      <c r="D458" s="47">
        <f>'👥 Клієнти'!E457</f>
        <v>39.98</v>
      </c>
      <c r="E458" s="35">
        <f t="shared" si="1"/>
        <v>2</v>
      </c>
      <c r="F458" s="35">
        <f t="shared" si="2"/>
        <v>2</v>
      </c>
      <c r="G458" s="37">
        <f t="shared" si="3"/>
        <v>2</v>
      </c>
      <c r="H458" s="37" t="str">
        <f t="shared" si="4"/>
        <v>222</v>
      </c>
      <c r="I458" s="37" t="str">
        <f t="shared" si="5"/>
        <v>Lost</v>
      </c>
    </row>
    <row r="459" ht="15.75" customHeight="1">
      <c r="A459" s="46" t="str">
        <f>'👥 Клієнти'!A458</f>
        <v>U0003</v>
      </c>
      <c r="B459" s="46">
        <f>'👥 Клієнти'!F458</f>
        <v>22</v>
      </c>
      <c r="C459" s="46">
        <f>'👥 Клієнти'!D458</f>
        <v>4</v>
      </c>
      <c r="D459" s="47">
        <f>'👥 Клієнти'!E458</f>
        <v>59.97</v>
      </c>
      <c r="E459" s="35">
        <f t="shared" si="1"/>
        <v>3</v>
      </c>
      <c r="F459" s="35">
        <f t="shared" si="2"/>
        <v>2</v>
      </c>
      <c r="G459" s="37">
        <f t="shared" si="3"/>
        <v>2</v>
      </c>
      <c r="H459" s="37" t="str">
        <f t="shared" si="4"/>
        <v>322</v>
      </c>
      <c r="I459" s="37" t="str">
        <f t="shared" si="5"/>
        <v>Promising</v>
      </c>
    </row>
    <row r="460" ht="15.75" customHeight="1">
      <c r="A460" s="46" t="str">
        <f>'👥 Клієнти'!A459</f>
        <v>U0806</v>
      </c>
      <c r="B460" s="46">
        <f>'👥 Клієнти'!F459</f>
        <v>51</v>
      </c>
      <c r="C460" s="46">
        <f>'👥 Клієнти'!D459</f>
        <v>3</v>
      </c>
      <c r="D460" s="47">
        <f>'👥 Клієнти'!E459</f>
        <v>39.98</v>
      </c>
      <c r="E460" s="35">
        <f t="shared" si="1"/>
        <v>2</v>
      </c>
      <c r="F460" s="35">
        <f t="shared" si="2"/>
        <v>2</v>
      </c>
      <c r="G460" s="37">
        <f t="shared" si="3"/>
        <v>2</v>
      </c>
      <c r="H460" s="37" t="str">
        <f t="shared" si="4"/>
        <v>222</v>
      </c>
      <c r="I460" s="37" t="str">
        <f t="shared" si="5"/>
        <v>Lost</v>
      </c>
    </row>
    <row r="461" ht="15.75" customHeight="1">
      <c r="A461" s="46" t="str">
        <f>'👥 Клієнти'!A460</f>
        <v>U0764</v>
      </c>
      <c r="B461" s="46">
        <f>'👥 Клієнти'!F460</f>
        <v>20</v>
      </c>
      <c r="C461" s="46">
        <f>'👥 Клієнти'!D460</f>
        <v>4</v>
      </c>
      <c r="D461" s="47">
        <f>'👥 Клієнти'!E460</f>
        <v>59.97</v>
      </c>
      <c r="E461" s="35">
        <f t="shared" si="1"/>
        <v>3</v>
      </c>
      <c r="F461" s="35">
        <f t="shared" si="2"/>
        <v>2</v>
      </c>
      <c r="G461" s="37">
        <f t="shared" si="3"/>
        <v>2</v>
      </c>
      <c r="H461" s="37" t="str">
        <f t="shared" si="4"/>
        <v>322</v>
      </c>
      <c r="I461" s="37" t="str">
        <f t="shared" si="5"/>
        <v>Promising</v>
      </c>
    </row>
    <row r="462" ht="15.75" customHeight="1">
      <c r="A462" s="46" t="str">
        <f>'👥 Клієнти'!A461</f>
        <v>U0087</v>
      </c>
      <c r="B462" s="46">
        <f>'👥 Клієнти'!F461</f>
        <v>19</v>
      </c>
      <c r="C462" s="46">
        <f>'👥 Клієнти'!D461</f>
        <v>4</v>
      </c>
      <c r="D462" s="47">
        <f>'👥 Клієнти'!E461</f>
        <v>59.97</v>
      </c>
      <c r="E462" s="35">
        <f t="shared" si="1"/>
        <v>3</v>
      </c>
      <c r="F462" s="35">
        <f t="shared" si="2"/>
        <v>2</v>
      </c>
      <c r="G462" s="37">
        <f t="shared" si="3"/>
        <v>2</v>
      </c>
      <c r="H462" s="37" t="str">
        <f t="shared" si="4"/>
        <v>322</v>
      </c>
      <c r="I462" s="37" t="str">
        <f t="shared" si="5"/>
        <v>Promising</v>
      </c>
    </row>
    <row r="463" ht="15.75" customHeight="1">
      <c r="A463" s="46" t="str">
        <f>'👥 Клієнти'!A462</f>
        <v>U0432</v>
      </c>
      <c r="B463" s="46">
        <f>'👥 Клієнти'!F462</f>
        <v>17</v>
      </c>
      <c r="C463" s="46">
        <f>'👥 Клієнти'!D462</f>
        <v>4</v>
      </c>
      <c r="D463" s="47">
        <f>'👥 Клієнти'!E462</f>
        <v>59.97</v>
      </c>
      <c r="E463" s="35">
        <f t="shared" si="1"/>
        <v>3</v>
      </c>
      <c r="F463" s="35">
        <f t="shared" si="2"/>
        <v>2</v>
      </c>
      <c r="G463" s="37">
        <f t="shared" si="3"/>
        <v>2</v>
      </c>
      <c r="H463" s="37" t="str">
        <f t="shared" si="4"/>
        <v>322</v>
      </c>
      <c r="I463" s="37" t="str">
        <f t="shared" si="5"/>
        <v>Promising</v>
      </c>
    </row>
    <row r="464" ht="15.75" customHeight="1">
      <c r="A464" s="46" t="str">
        <f>'👥 Клієнти'!A463</f>
        <v>U0572</v>
      </c>
      <c r="B464" s="46">
        <f>'👥 Клієнти'!F463</f>
        <v>17</v>
      </c>
      <c r="C464" s="46">
        <f>'👥 Клієнти'!D463</f>
        <v>4</v>
      </c>
      <c r="D464" s="47">
        <f>'👥 Клієнти'!E463</f>
        <v>59.97</v>
      </c>
      <c r="E464" s="35">
        <f t="shared" si="1"/>
        <v>3</v>
      </c>
      <c r="F464" s="35">
        <f t="shared" si="2"/>
        <v>2</v>
      </c>
      <c r="G464" s="37">
        <f t="shared" si="3"/>
        <v>2</v>
      </c>
      <c r="H464" s="37" t="str">
        <f t="shared" si="4"/>
        <v>322</v>
      </c>
      <c r="I464" s="37" t="str">
        <f t="shared" si="5"/>
        <v>Promising</v>
      </c>
    </row>
    <row r="465" ht="15.75" customHeight="1">
      <c r="A465" s="46" t="str">
        <f>'👥 Клієнти'!A464</f>
        <v>U0775</v>
      </c>
      <c r="B465" s="46">
        <f>'👥 Клієнти'!F464</f>
        <v>77</v>
      </c>
      <c r="C465" s="46">
        <f>'👥 Клієнти'!D464</f>
        <v>2</v>
      </c>
      <c r="D465" s="47">
        <f>'👥 Клієнти'!E464</f>
        <v>19.99</v>
      </c>
      <c r="E465" s="35">
        <f t="shared" si="1"/>
        <v>2</v>
      </c>
      <c r="F465" s="35">
        <f t="shared" si="2"/>
        <v>1</v>
      </c>
      <c r="G465" s="37">
        <f t="shared" si="3"/>
        <v>1</v>
      </c>
      <c r="H465" s="37" t="str">
        <f t="shared" si="4"/>
        <v>211</v>
      </c>
      <c r="I465" s="37" t="str">
        <f t="shared" si="5"/>
        <v>Lost</v>
      </c>
    </row>
    <row r="466" ht="15.75" customHeight="1">
      <c r="A466" s="46" t="str">
        <f>'👥 Клієнти'!A465</f>
        <v>U0885</v>
      </c>
      <c r="B466" s="46">
        <f>'👥 Клієнти'!F465</f>
        <v>77</v>
      </c>
      <c r="C466" s="46">
        <f>'👥 Клієнти'!D465</f>
        <v>2</v>
      </c>
      <c r="D466" s="47">
        <f>'👥 Клієнти'!E465</f>
        <v>19.99</v>
      </c>
      <c r="E466" s="35">
        <f t="shared" si="1"/>
        <v>2</v>
      </c>
      <c r="F466" s="35">
        <f t="shared" si="2"/>
        <v>1</v>
      </c>
      <c r="G466" s="37">
        <f t="shared" si="3"/>
        <v>1</v>
      </c>
      <c r="H466" s="37" t="str">
        <f t="shared" si="4"/>
        <v>211</v>
      </c>
      <c r="I466" s="37" t="str">
        <f t="shared" si="5"/>
        <v>Lost</v>
      </c>
    </row>
    <row r="467" ht="15.75" customHeight="1">
      <c r="A467" s="46" t="str">
        <f>'👥 Клієнти'!A466</f>
        <v>U0559</v>
      </c>
      <c r="B467" s="46">
        <f>'👥 Клієнти'!F466</f>
        <v>16</v>
      </c>
      <c r="C467" s="46">
        <f>'👥 Клієнти'!D466</f>
        <v>4</v>
      </c>
      <c r="D467" s="47">
        <f>'👥 Клієнти'!E466</f>
        <v>59.97</v>
      </c>
      <c r="E467" s="35">
        <f t="shared" si="1"/>
        <v>3</v>
      </c>
      <c r="F467" s="35">
        <f t="shared" si="2"/>
        <v>2</v>
      </c>
      <c r="G467" s="37">
        <f t="shared" si="3"/>
        <v>2</v>
      </c>
      <c r="H467" s="37" t="str">
        <f t="shared" si="4"/>
        <v>322</v>
      </c>
      <c r="I467" s="37" t="str">
        <f t="shared" si="5"/>
        <v>Promising</v>
      </c>
    </row>
    <row r="468" ht="15.75" customHeight="1">
      <c r="A468" s="46" t="str">
        <f>'👥 Клієнти'!A467</f>
        <v>U0026</v>
      </c>
      <c r="B468" s="46">
        <f>'👥 Клієнти'!F467</f>
        <v>15</v>
      </c>
      <c r="C468" s="46">
        <f>'👥 Клієнти'!D467</f>
        <v>4</v>
      </c>
      <c r="D468" s="47">
        <f>'👥 Клієнти'!E467</f>
        <v>59.97</v>
      </c>
      <c r="E468" s="35">
        <f t="shared" si="1"/>
        <v>4</v>
      </c>
      <c r="F468" s="35">
        <f t="shared" si="2"/>
        <v>2</v>
      </c>
      <c r="G468" s="37">
        <f t="shared" si="3"/>
        <v>2</v>
      </c>
      <c r="H468" s="37" t="str">
        <f t="shared" si="4"/>
        <v>422</v>
      </c>
      <c r="I468" s="37" t="str">
        <f t="shared" si="5"/>
        <v>New Customers</v>
      </c>
    </row>
    <row r="469" ht="15.75" customHeight="1">
      <c r="A469" s="46" t="str">
        <f>'👥 Клієнти'!A468</f>
        <v>U0394</v>
      </c>
      <c r="B469" s="46">
        <f>'👥 Клієнти'!F468</f>
        <v>75</v>
      </c>
      <c r="C469" s="46">
        <f>'👥 Клієнти'!D468</f>
        <v>2</v>
      </c>
      <c r="D469" s="47">
        <f>'👥 Клієнти'!E468</f>
        <v>19.99</v>
      </c>
      <c r="E469" s="35">
        <f t="shared" si="1"/>
        <v>2</v>
      </c>
      <c r="F469" s="35">
        <f t="shared" si="2"/>
        <v>1</v>
      </c>
      <c r="G469" s="37">
        <f t="shared" si="3"/>
        <v>1</v>
      </c>
      <c r="H469" s="37" t="str">
        <f t="shared" si="4"/>
        <v>211</v>
      </c>
      <c r="I469" s="37" t="str">
        <f t="shared" si="5"/>
        <v>Lost</v>
      </c>
    </row>
    <row r="470" ht="15.75" customHeight="1">
      <c r="A470" s="46" t="str">
        <f>'👥 Клієнти'!A469</f>
        <v>U0861</v>
      </c>
      <c r="B470" s="46">
        <f>'👥 Клієнти'!F469</f>
        <v>15</v>
      </c>
      <c r="C470" s="46">
        <f>'👥 Клієнти'!D469</f>
        <v>4</v>
      </c>
      <c r="D470" s="47">
        <f>'👥 Клієнти'!E469</f>
        <v>59.97</v>
      </c>
      <c r="E470" s="35">
        <f t="shared" si="1"/>
        <v>4</v>
      </c>
      <c r="F470" s="35">
        <f t="shared" si="2"/>
        <v>2</v>
      </c>
      <c r="G470" s="37">
        <f t="shared" si="3"/>
        <v>2</v>
      </c>
      <c r="H470" s="37" t="str">
        <f t="shared" si="4"/>
        <v>422</v>
      </c>
      <c r="I470" s="37" t="str">
        <f t="shared" si="5"/>
        <v>New Customers</v>
      </c>
    </row>
    <row r="471" ht="15.75" customHeight="1">
      <c r="A471" s="46" t="str">
        <f>'👥 Клієнти'!A470</f>
        <v>U0052</v>
      </c>
      <c r="B471" s="46">
        <f>'👥 Клієнти'!F470</f>
        <v>14</v>
      </c>
      <c r="C471" s="46">
        <f>'👥 Клієнти'!D470</f>
        <v>4</v>
      </c>
      <c r="D471" s="47">
        <f>'👥 Клієнти'!E470</f>
        <v>59.97</v>
      </c>
      <c r="E471" s="35">
        <f t="shared" si="1"/>
        <v>4</v>
      </c>
      <c r="F471" s="35">
        <f t="shared" si="2"/>
        <v>2</v>
      </c>
      <c r="G471" s="37">
        <f t="shared" si="3"/>
        <v>2</v>
      </c>
      <c r="H471" s="37" t="str">
        <f t="shared" si="4"/>
        <v>422</v>
      </c>
      <c r="I471" s="37" t="str">
        <f t="shared" si="5"/>
        <v>New Customers</v>
      </c>
    </row>
    <row r="472" ht="15.75" customHeight="1">
      <c r="A472" s="46" t="str">
        <f>'👥 Клієнти'!A471</f>
        <v>U0451</v>
      </c>
      <c r="B472" s="46">
        <f>'👥 Клієнти'!F471</f>
        <v>13</v>
      </c>
      <c r="C472" s="46">
        <f>'👥 Клієнти'!D471</f>
        <v>4</v>
      </c>
      <c r="D472" s="47">
        <f>'👥 Клієнти'!E471</f>
        <v>59.97</v>
      </c>
      <c r="E472" s="35">
        <f t="shared" si="1"/>
        <v>4</v>
      </c>
      <c r="F472" s="35">
        <f t="shared" si="2"/>
        <v>2</v>
      </c>
      <c r="G472" s="37">
        <f t="shared" si="3"/>
        <v>2</v>
      </c>
      <c r="H472" s="37" t="str">
        <f t="shared" si="4"/>
        <v>422</v>
      </c>
      <c r="I472" s="37" t="str">
        <f t="shared" si="5"/>
        <v>New Customers</v>
      </c>
    </row>
    <row r="473" ht="15.75" customHeight="1">
      <c r="A473" s="46" t="str">
        <f>'👥 Клієнти'!A472</f>
        <v>U0236</v>
      </c>
      <c r="B473" s="46">
        <f>'👥 Клієнти'!F472</f>
        <v>12</v>
      </c>
      <c r="C473" s="46">
        <f>'👥 Клієнти'!D472</f>
        <v>4</v>
      </c>
      <c r="D473" s="47">
        <f>'👥 Клієнти'!E472</f>
        <v>59.97</v>
      </c>
      <c r="E473" s="35">
        <f t="shared" si="1"/>
        <v>4</v>
      </c>
      <c r="F473" s="35">
        <f t="shared" si="2"/>
        <v>2</v>
      </c>
      <c r="G473" s="37">
        <f t="shared" si="3"/>
        <v>2</v>
      </c>
      <c r="H473" s="37" t="str">
        <f t="shared" si="4"/>
        <v>422</v>
      </c>
      <c r="I473" s="37" t="str">
        <f t="shared" si="5"/>
        <v>New Customers</v>
      </c>
    </row>
    <row r="474" ht="15.75" customHeight="1">
      <c r="A474" s="46" t="str">
        <f>'👥 Клієнти'!A473</f>
        <v>U0326</v>
      </c>
      <c r="B474" s="46">
        <f>'👥 Клієнти'!F473</f>
        <v>12</v>
      </c>
      <c r="C474" s="46">
        <f>'👥 Клієнти'!D473</f>
        <v>4</v>
      </c>
      <c r="D474" s="47">
        <f>'👥 Клієнти'!E473</f>
        <v>59.97</v>
      </c>
      <c r="E474" s="35">
        <f t="shared" si="1"/>
        <v>4</v>
      </c>
      <c r="F474" s="35">
        <f t="shared" si="2"/>
        <v>2</v>
      </c>
      <c r="G474" s="37">
        <f t="shared" si="3"/>
        <v>2</v>
      </c>
      <c r="H474" s="37" t="str">
        <f t="shared" si="4"/>
        <v>422</v>
      </c>
      <c r="I474" s="37" t="str">
        <f t="shared" si="5"/>
        <v>New Customers</v>
      </c>
    </row>
    <row r="475" ht="15.75" customHeight="1">
      <c r="A475" s="46" t="str">
        <f>'👥 Клієнти'!A474</f>
        <v>U0117</v>
      </c>
      <c r="B475" s="46">
        <f>'👥 Клієнти'!F474</f>
        <v>11</v>
      </c>
      <c r="C475" s="46">
        <f>'👥 Клієнти'!D474</f>
        <v>4</v>
      </c>
      <c r="D475" s="47">
        <f>'👥 Клієнти'!E474</f>
        <v>59.97</v>
      </c>
      <c r="E475" s="35">
        <f t="shared" si="1"/>
        <v>4</v>
      </c>
      <c r="F475" s="35">
        <f t="shared" si="2"/>
        <v>2</v>
      </c>
      <c r="G475" s="37">
        <f t="shared" si="3"/>
        <v>2</v>
      </c>
      <c r="H475" s="37" t="str">
        <f t="shared" si="4"/>
        <v>422</v>
      </c>
      <c r="I475" s="37" t="str">
        <f t="shared" si="5"/>
        <v>New Customers</v>
      </c>
    </row>
    <row r="476" ht="15.75" customHeight="1">
      <c r="A476" s="46" t="str">
        <f>'👥 Клієнти'!A475</f>
        <v>U0421</v>
      </c>
      <c r="B476" s="46">
        <f>'👥 Клієнти'!F475</f>
        <v>11</v>
      </c>
      <c r="C476" s="46">
        <f>'👥 Клієнти'!D475</f>
        <v>4</v>
      </c>
      <c r="D476" s="47">
        <f>'👥 Клієнти'!E475</f>
        <v>59.97</v>
      </c>
      <c r="E476" s="35">
        <f t="shared" si="1"/>
        <v>4</v>
      </c>
      <c r="F476" s="35">
        <f t="shared" si="2"/>
        <v>2</v>
      </c>
      <c r="G476" s="37">
        <f t="shared" si="3"/>
        <v>2</v>
      </c>
      <c r="H476" s="37" t="str">
        <f t="shared" si="4"/>
        <v>422</v>
      </c>
      <c r="I476" s="37" t="str">
        <f t="shared" si="5"/>
        <v>New Customers</v>
      </c>
    </row>
    <row r="477" ht="15.75" customHeight="1">
      <c r="A477" s="46" t="str">
        <f>'👥 Клієнти'!A476</f>
        <v>U0649</v>
      </c>
      <c r="B477" s="46">
        <f>'👥 Клієнти'!F476</f>
        <v>11</v>
      </c>
      <c r="C477" s="46">
        <f>'👥 Клієнти'!D476</f>
        <v>4</v>
      </c>
      <c r="D477" s="47">
        <f>'👥 Клієнти'!E476</f>
        <v>59.97</v>
      </c>
      <c r="E477" s="35">
        <f t="shared" si="1"/>
        <v>4</v>
      </c>
      <c r="F477" s="35">
        <f t="shared" si="2"/>
        <v>2</v>
      </c>
      <c r="G477" s="37">
        <f t="shared" si="3"/>
        <v>2</v>
      </c>
      <c r="H477" s="37" t="str">
        <f t="shared" si="4"/>
        <v>422</v>
      </c>
      <c r="I477" s="37" t="str">
        <f t="shared" si="5"/>
        <v>New Customers</v>
      </c>
    </row>
    <row r="478" ht="15.75" customHeight="1">
      <c r="A478" s="46" t="str">
        <f>'👥 Клієнти'!A477</f>
        <v>U0620</v>
      </c>
      <c r="B478" s="46">
        <f>'👥 Клієнти'!F477</f>
        <v>9</v>
      </c>
      <c r="C478" s="46">
        <f>'👥 Клієнти'!D477</f>
        <v>4</v>
      </c>
      <c r="D478" s="47">
        <f>'👥 Клієнти'!E477</f>
        <v>59.97</v>
      </c>
      <c r="E478" s="35">
        <f t="shared" si="1"/>
        <v>4</v>
      </c>
      <c r="F478" s="35">
        <f t="shared" si="2"/>
        <v>2</v>
      </c>
      <c r="G478" s="37">
        <f t="shared" si="3"/>
        <v>2</v>
      </c>
      <c r="H478" s="37" t="str">
        <f t="shared" si="4"/>
        <v>422</v>
      </c>
      <c r="I478" s="37" t="str">
        <f t="shared" si="5"/>
        <v>New Customers</v>
      </c>
    </row>
    <row r="479" ht="15.75" customHeight="1">
      <c r="A479" s="46" t="str">
        <f>'👥 Клієнти'!A478</f>
        <v>U0077</v>
      </c>
      <c r="B479" s="46">
        <f>'👥 Клієнти'!F478</f>
        <v>8</v>
      </c>
      <c r="C479" s="46">
        <f>'👥 Клієнти'!D478</f>
        <v>4</v>
      </c>
      <c r="D479" s="47">
        <f>'👥 Клієнти'!E478</f>
        <v>59.97</v>
      </c>
      <c r="E479" s="35">
        <f t="shared" si="1"/>
        <v>4</v>
      </c>
      <c r="F479" s="35">
        <f t="shared" si="2"/>
        <v>2</v>
      </c>
      <c r="G479" s="37">
        <f t="shared" si="3"/>
        <v>2</v>
      </c>
      <c r="H479" s="37" t="str">
        <f t="shared" si="4"/>
        <v>422</v>
      </c>
      <c r="I479" s="37" t="str">
        <f t="shared" si="5"/>
        <v>New Customers</v>
      </c>
    </row>
    <row r="480" ht="15.75" customHeight="1">
      <c r="A480" s="46" t="str">
        <f>'👥 Клієнти'!A479</f>
        <v>U0332</v>
      </c>
      <c r="B480" s="46">
        <f>'👥 Клієнти'!F479</f>
        <v>67</v>
      </c>
      <c r="C480" s="46">
        <f>'👥 Клієнти'!D479</f>
        <v>2</v>
      </c>
      <c r="D480" s="47">
        <f>'👥 Клієнти'!E479</f>
        <v>19.99</v>
      </c>
      <c r="E480" s="35">
        <f t="shared" si="1"/>
        <v>2</v>
      </c>
      <c r="F480" s="35">
        <f t="shared" si="2"/>
        <v>1</v>
      </c>
      <c r="G480" s="37">
        <f t="shared" si="3"/>
        <v>1</v>
      </c>
      <c r="H480" s="37" t="str">
        <f t="shared" si="4"/>
        <v>211</v>
      </c>
      <c r="I480" s="37" t="str">
        <f t="shared" si="5"/>
        <v>Lost</v>
      </c>
    </row>
    <row r="481" ht="15.75" customHeight="1">
      <c r="A481" s="46" t="str">
        <f>'👥 Клієнти'!A480</f>
        <v>U0829</v>
      </c>
      <c r="B481" s="46">
        <f>'👥 Клієнти'!F480</f>
        <v>6</v>
      </c>
      <c r="C481" s="46">
        <f>'👥 Клієнти'!D480</f>
        <v>4</v>
      </c>
      <c r="D481" s="47">
        <f>'👥 Клієнти'!E480</f>
        <v>59.97</v>
      </c>
      <c r="E481" s="35">
        <f t="shared" si="1"/>
        <v>5</v>
      </c>
      <c r="F481" s="35">
        <f t="shared" si="2"/>
        <v>2</v>
      </c>
      <c r="G481" s="37">
        <f t="shared" si="3"/>
        <v>2</v>
      </c>
      <c r="H481" s="37" t="str">
        <f t="shared" si="4"/>
        <v>522</v>
      </c>
      <c r="I481" s="37" t="str">
        <f t="shared" si="5"/>
        <v>New Customers</v>
      </c>
    </row>
    <row r="482" ht="15.75" customHeight="1">
      <c r="A482" s="46" t="str">
        <f>'👥 Клієнти'!A481</f>
        <v>U0628</v>
      </c>
      <c r="B482" s="46">
        <f>'👥 Клієнти'!F481</f>
        <v>5</v>
      </c>
      <c r="C482" s="46">
        <f>'👥 Клієнти'!D481</f>
        <v>4</v>
      </c>
      <c r="D482" s="47">
        <f>'👥 Клієнти'!E481</f>
        <v>59.97</v>
      </c>
      <c r="E482" s="35">
        <f t="shared" si="1"/>
        <v>5</v>
      </c>
      <c r="F482" s="35">
        <f t="shared" si="2"/>
        <v>2</v>
      </c>
      <c r="G482" s="37">
        <f t="shared" si="3"/>
        <v>2</v>
      </c>
      <c r="H482" s="37" t="str">
        <f t="shared" si="4"/>
        <v>522</v>
      </c>
      <c r="I482" s="37" t="str">
        <f t="shared" si="5"/>
        <v>New Customers</v>
      </c>
    </row>
    <row r="483" ht="15.75" customHeight="1">
      <c r="A483" s="46" t="str">
        <f>'👥 Клієнти'!A482</f>
        <v>U0218</v>
      </c>
      <c r="B483" s="46">
        <f>'👥 Клієнти'!F482</f>
        <v>4</v>
      </c>
      <c r="C483" s="46">
        <f>'👥 Клієнти'!D482</f>
        <v>4</v>
      </c>
      <c r="D483" s="47">
        <f>'👥 Клієнти'!E482</f>
        <v>59.97</v>
      </c>
      <c r="E483" s="35">
        <f t="shared" si="1"/>
        <v>5</v>
      </c>
      <c r="F483" s="35">
        <f t="shared" si="2"/>
        <v>2</v>
      </c>
      <c r="G483" s="37">
        <f t="shared" si="3"/>
        <v>2</v>
      </c>
      <c r="H483" s="37" t="str">
        <f t="shared" si="4"/>
        <v>522</v>
      </c>
      <c r="I483" s="37" t="str">
        <f t="shared" si="5"/>
        <v>New Customers</v>
      </c>
    </row>
    <row r="484" ht="15.75" customHeight="1">
      <c r="A484" s="46" t="str">
        <f>'👥 Клієнти'!A483</f>
        <v>U0068</v>
      </c>
      <c r="B484" s="46">
        <f>'👥 Клієнти'!F483</f>
        <v>3</v>
      </c>
      <c r="C484" s="46">
        <f>'👥 Клієнти'!D483</f>
        <v>4</v>
      </c>
      <c r="D484" s="47">
        <f>'👥 Клієнти'!E483</f>
        <v>59.97</v>
      </c>
      <c r="E484" s="35">
        <f t="shared" si="1"/>
        <v>5</v>
      </c>
      <c r="F484" s="35">
        <f t="shared" si="2"/>
        <v>2</v>
      </c>
      <c r="G484" s="37">
        <f t="shared" si="3"/>
        <v>2</v>
      </c>
      <c r="H484" s="37" t="str">
        <f t="shared" si="4"/>
        <v>522</v>
      </c>
      <c r="I484" s="37" t="str">
        <f t="shared" si="5"/>
        <v>New Customers</v>
      </c>
    </row>
    <row r="485" ht="15.75" customHeight="1">
      <c r="A485" s="46" t="str">
        <f>'👥 Клієнти'!A484</f>
        <v>U0200</v>
      </c>
      <c r="B485" s="46">
        <f>'👥 Клієнти'!F484</f>
        <v>33</v>
      </c>
      <c r="C485" s="46">
        <f>'👥 Клієнти'!D484</f>
        <v>3</v>
      </c>
      <c r="D485" s="47">
        <f>'👥 Клієнти'!E484</f>
        <v>39.98</v>
      </c>
      <c r="E485" s="35">
        <f t="shared" si="1"/>
        <v>2</v>
      </c>
      <c r="F485" s="35">
        <f t="shared" si="2"/>
        <v>2</v>
      </c>
      <c r="G485" s="37">
        <f t="shared" si="3"/>
        <v>2</v>
      </c>
      <c r="H485" s="37" t="str">
        <f t="shared" si="4"/>
        <v>222</v>
      </c>
      <c r="I485" s="37" t="str">
        <f t="shared" si="5"/>
        <v>Lost</v>
      </c>
    </row>
    <row r="486" ht="15.75" customHeight="1">
      <c r="A486" s="46" t="str">
        <f>'👥 Клієнти'!A485</f>
        <v>U0400</v>
      </c>
      <c r="B486" s="46">
        <f>'👥 Клієнти'!F485</f>
        <v>1</v>
      </c>
      <c r="C486" s="46">
        <f>'👥 Клієнти'!D485</f>
        <v>4</v>
      </c>
      <c r="D486" s="47">
        <f>'👥 Клієнти'!E485</f>
        <v>59.97</v>
      </c>
      <c r="E486" s="35">
        <f t="shared" si="1"/>
        <v>5</v>
      </c>
      <c r="F486" s="35">
        <f t="shared" si="2"/>
        <v>2</v>
      </c>
      <c r="G486" s="37">
        <f t="shared" si="3"/>
        <v>2</v>
      </c>
      <c r="H486" s="37" t="str">
        <f t="shared" si="4"/>
        <v>522</v>
      </c>
      <c r="I486" s="37" t="str">
        <f t="shared" si="5"/>
        <v>New Customers</v>
      </c>
    </row>
    <row r="487" ht="15.75" customHeight="1">
      <c r="A487" s="46" t="str">
        <f>'👥 Клієнти'!A486</f>
        <v>U0160</v>
      </c>
      <c r="B487" s="46">
        <f>'👥 Клієнти'!F486</f>
        <v>0</v>
      </c>
      <c r="C487" s="46">
        <f>'👥 Клієнти'!D486</f>
        <v>4</v>
      </c>
      <c r="D487" s="47">
        <f>'👥 Клієнти'!E486</f>
        <v>59.97</v>
      </c>
      <c r="E487" s="35">
        <f t="shared" si="1"/>
        <v>5</v>
      </c>
      <c r="F487" s="35">
        <f t="shared" si="2"/>
        <v>2</v>
      </c>
      <c r="G487" s="37">
        <f t="shared" si="3"/>
        <v>2</v>
      </c>
      <c r="H487" s="37" t="str">
        <f t="shared" si="4"/>
        <v>522</v>
      </c>
      <c r="I487" s="37" t="str">
        <f t="shared" si="5"/>
        <v>New Customers</v>
      </c>
    </row>
    <row r="488" ht="15.75" customHeight="1">
      <c r="A488" s="46" t="str">
        <f>'👥 Клієнти'!A487</f>
        <v>U0280</v>
      </c>
      <c r="B488" s="46">
        <f>'👥 Клієнти'!F487</f>
        <v>0</v>
      </c>
      <c r="C488" s="46">
        <f>'👥 Клієнти'!D487</f>
        <v>4</v>
      </c>
      <c r="D488" s="47">
        <f>'👥 Клієнти'!E487</f>
        <v>59.97</v>
      </c>
      <c r="E488" s="35">
        <f t="shared" si="1"/>
        <v>5</v>
      </c>
      <c r="F488" s="35">
        <f t="shared" si="2"/>
        <v>2</v>
      </c>
      <c r="G488" s="37">
        <f t="shared" si="3"/>
        <v>2</v>
      </c>
      <c r="H488" s="37" t="str">
        <f t="shared" si="4"/>
        <v>522</v>
      </c>
      <c r="I488" s="37" t="str">
        <f t="shared" si="5"/>
        <v>New Customers</v>
      </c>
    </row>
    <row r="489" ht="15.75" customHeight="1">
      <c r="A489" s="46" t="str">
        <f>'👥 Клієнти'!A488</f>
        <v>U0877</v>
      </c>
      <c r="B489" s="46">
        <f>'👥 Клієнти'!F488</f>
        <v>0</v>
      </c>
      <c r="C489" s="46">
        <f>'👥 Клієнти'!D488</f>
        <v>4</v>
      </c>
      <c r="D489" s="47">
        <f>'👥 Клієнти'!E488</f>
        <v>59.97</v>
      </c>
      <c r="E489" s="35">
        <f t="shared" si="1"/>
        <v>5</v>
      </c>
      <c r="F489" s="35">
        <f t="shared" si="2"/>
        <v>2</v>
      </c>
      <c r="G489" s="37">
        <f t="shared" si="3"/>
        <v>2</v>
      </c>
      <c r="H489" s="37" t="str">
        <f t="shared" si="4"/>
        <v>522</v>
      </c>
      <c r="I489" s="37" t="str">
        <f t="shared" si="5"/>
        <v>New Customers</v>
      </c>
    </row>
    <row r="490" ht="15.75" customHeight="1">
      <c r="A490" s="46" t="str">
        <f>'👥 Клієнти'!A489</f>
        <v>U0231</v>
      </c>
      <c r="B490" s="46">
        <f>'👥 Клієнти'!F489</f>
        <v>29</v>
      </c>
      <c r="C490" s="46">
        <f>'👥 Клієнти'!D489</f>
        <v>3</v>
      </c>
      <c r="D490" s="47">
        <f>'👥 Клієнти'!E489</f>
        <v>39.98</v>
      </c>
      <c r="E490" s="35">
        <f t="shared" si="1"/>
        <v>2</v>
      </c>
      <c r="F490" s="35">
        <f t="shared" si="2"/>
        <v>2</v>
      </c>
      <c r="G490" s="37">
        <f t="shared" si="3"/>
        <v>2</v>
      </c>
      <c r="H490" s="37" t="str">
        <f t="shared" si="4"/>
        <v>222</v>
      </c>
      <c r="I490" s="37" t="str">
        <f t="shared" si="5"/>
        <v>Lost</v>
      </c>
    </row>
    <row r="491" ht="15.75" customHeight="1">
      <c r="A491" s="46" t="str">
        <f>'👥 Клієнти'!A490</f>
        <v>U0728</v>
      </c>
      <c r="B491" s="46">
        <f>'👥 Клієнти'!F490</f>
        <v>29</v>
      </c>
      <c r="C491" s="46">
        <f>'👥 Клієнти'!D490</f>
        <v>3</v>
      </c>
      <c r="D491" s="47">
        <f>'👥 Клієнти'!E490</f>
        <v>39.98</v>
      </c>
      <c r="E491" s="35">
        <f t="shared" si="1"/>
        <v>2</v>
      </c>
      <c r="F491" s="35">
        <f t="shared" si="2"/>
        <v>2</v>
      </c>
      <c r="G491" s="37">
        <f t="shared" si="3"/>
        <v>2</v>
      </c>
      <c r="H491" s="37" t="str">
        <f t="shared" si="4"/>
        <v>222</v>
      </c>
      <c r="I491" s="37" t="str">
        <f t="shared" si="5"/>
        <v>Lost</v>
      </c>
    </row>
    <row r="492" ht="15.75" customHeight="1">
      <c r="A492" s="46" t="str">
        <f>'👥 Клієнти'!A491</f>
        <v>U0385</v>
      </c>
      <c r="B492" s="46">
        <f>'👥 Клієнти'!F491</f>
        <v>28</v>
      </c>
      <c r="C492" s="46">
        <f>'👥 Клієнти'!D491</f>
        <v>3</v>
      </c>
      <c r="D492" s="47">
        <f>'👥 Клієнти'!E491</f>
        <v>39.98</v>
      </c>
      <c r="E492" s="35">
        <f t="shared" si="1"/>
        <v>2</v>
      </c>
      <c r="F492" s="35">
        <f t="shared" si="2"/>
        <v>2</v>
      </c>
      <c r="G492" s="37">
        <f t="shared" si="3"/>
        <v>2</v>
      </c>
      <c r="H492" s="37" t="str">
        <f t="shared" si="4"/>
        <v>222</v>
      </c>
      <c r="I492" s="37" t="str">
        <f t="shared" si="5"/>
        <v>Lost</v>
      </c>
    </row>
    <row r="493" ht="15.75" customHeight="1">
      <c r="A493" s="46" t="str">
        <f>'👥 Клієнти'!A492</f>
        <v>U0535</v>
      </c>
      <c r="B493" s="46">
        <f>'👥 Клієнти'!F492</f>
        <v>28</v>
      </c>
      <c r="C493" s="46">
        <f>'👥 Клієнти'!D492</f>
        <v>3</v>
      </c>
      <c r="D493" s="47">
        <f>'👥 Клієнти'!E492</f>
        <v>39.98</v>
      </c>
      <c r="E493" s="35">
        <f t="shared" si="1"/>
        <v>2</v>
      </c>
      <c r="F493" s="35">
        <f t="shared" si="2"/>
        <v>2</v>
      </c>
      <c r="G493" s="37">
        <f t="shared" si="3"/>
        <v>2</v>
      </c>
      <c r="H493" s="37" t="str">
        <f t="shared" si="4"/>
        <v>222</v>
      </c>
      <c r="I493" s="37" t="str">
        <f t="shared" si="5"/>
        <v>Lost</v>
      </c>
    </row>
    <row r="494" ht="15.75" customHeight="1">
      <c r="A494" s="46" t="str">
        <f>'👥 Клієнти'!A493</f>
        <v>U0076</v>
      </c>
      <c r="B494" s="46">
        <f>'👥 Клієнти'!F493</f>
        <v>27</v>
      </c>
      <c r="C494" s="46">
        <f>'👥 Клієнти'!D493</f>
        <v>3</v>
      </c>
      <c r="D494" s="47">
        <f>'👥 Клієнти'!E493</f>
        <v>39.98</v>
      </c>
      <c r="E494" s="35">
        <f t="shared" si="1"/>
        <v>2</v>
      </c>
      <c r="F494" s="35">
        <f t="shared" si="2"/>
        <v>2</v>
      </c>
      <c r="G494" s="37">
        <f t="shared" si="3"/>
        <v>2</v>
      </c>
      <c r="H494" s="37" t="str">
        <f t="shared" si="4"/>
        <v>222</v>
      </c>
      <c r="I494" s="37" t="str">
        <f t="shared" si="5"/>
        <v>Lost</v>
      </c>
    </row>
    <row r="495" ht="15.75" customHeight="1">
      <c r="A495" s="46" t="str">
        <f>'👥 Клієнти'!A494</f>
        <v>U0108</v>
      </c>
      <c r="B495" s="46">
        <f>'👥 Клієнти'!F494</f>
        <v>27</v>
      </c>
      <c r="C495" s="46">
        <f>'👥 Клієнти'!D494</f>
        <v>3</v>
      </c>
      <c r="D495" s="47">
        <f>'👥 Клієнти'!E494</f>
        <v>39.98</v>
      </c>
      <c r="E495" s="35">
        <f t="shared" si="1"/>
        <v>2</v>
      </c>
      <c r="F495" s="35">
        <f t="shared" si="2"/>
        <v>2</v>
      </c>
      <c r="G495" s="37">
        <f t="shared" si="3"/>
        <v>2</v>
      </c>
      <c r="H495" s="37" t="str">
        <f t="shared" si="4"/>
        <v>222</v>
      </c>
      <c r="I495" s="37" t="str">
        <f t="shared" si="5"/>
        <v>Lost</v>
      </c>
    </row>
    <row r="496" ht="15.75" customHeight="1">
      <c r="A496" s="46" t="str">
        <f>'👥 Клієнти'!A495</f>
        <v>U0448</v>
      </c>
      <c r="B496" s="46">
        <f>'👥 Клієнти'!F495</f>
        <v>27</v>
      </c>
      <c r="C496" s="46">
        <f>'👥 Клієнти'!D495</f>
        <v>3</v>
      </c>
      <c r="D496" s="47">
        <f>'👥 Клієнти'!E495</f>
        <v>39.98</v>
      </c>
      <c r="E496" s="35">
        <f t="shared" si="1"/>
        <v>2</v>
      </c>
      <c r="F496" s="35">
        <f t="shared" si="2"/>
        <v>2</v>
      </c>
      <c r="G496" s="37">
        <f t="shared" si="3"/>
        <v>2</v>
      </c>
      <c r="H496" s="37" t="str">
        <f t="shared" si="4"/>
        <v>222</v>
      </c>
      <c r="I496" s="37" t="str">
        <f t="shared" si="5"/>
        <v>Lost</v>
      </c>
    </row>
    <row r="497" ht="15.75" customHeight="1">
      <c r="A497" s="46" t="str">
        <f>'👥 Клієнти'!A496</f>
        <v>U0093</v>
      </c>
      <c r="B497" s="46">
        <f>'👥 Клієнти'!F496</f>
        <v>26</v>
      </c>
      <c r="C497" s="46">
        <f>'👥 Клієнти'!D496</f>
        <v>3</v>
      </c>
      <c r="D497" s="47">
        <f>'👥 Клієнти'!E496</f>
        <v>39.98</v>
      </c>
      <c r="E497" s="35">
        <f t="shared" si="1"/>
        <v>2</v>
      </c>
      <c r="F497" s="35">
        <f t="shared" si="2"/>
        <v>2</v>
      </c>
      <c r="G497" s="37">
        <f t="shared" si="3"/>
        <v>2</v>
      </c>
      <c r="H497" s="37" t="str">
        <f t="shared" si="4"/>
        <v>222</v>
      </c>
      <c r="I497" s="37" t="str">
        <f t="shared" si="5"/>
        <v>Lost</v>
      </c>
    </row>
    <row r="498" ht="15.75" customHeight="1">
      <c r="A498" s="46" t="str">
        <f>'👥 Клієнти'!A497</f>
        <v>U0510</v>
      </c>
      <c r="B498" s="46">
        <f>'👥 Клієнти'!F497</f>
        <v>25</v>
      </c>
      <c r="C498" s="46">
        <f>'👥 Клієнти'!D497</f>
        <v>3</v>
      </c>
      <c r="D498" s="47">
        <f>'👥 Клієнти'!E497</f>
        <v>39.98</v>
      </c>
      <c r="E498" s="35">
        <f t="shared" si="1"/>
        <v>3</v>
      </c>
      <c r="F498" s="35">
        <f t="shared" si="2"/>
        <v>2</v>
      </c>
      <c r="G498" s="37">
        <f t="shared" si="3"/>
        <v>2</v>
      </c>
      <c r="H498" s="37" t="str">
        <f t="shared" si="4"/>
        <v>322</v>
      </c>
      <c r="I498" s="37" t="str">
        <f t="shared" si="5"/>
        <v>Promising</v>
      </c>
    </row>
    <row r="499" ht="15.75" customHeight="1">
      <c r="A499" s="46" t="str">
        <f>'👥 Клієнти'!A498</f>
        <v>U0550</v>
      </c>
      <c r="B499" s="46">
        <f>'👥 Клієнти'!F498</f>
        <v>25</v>
      </c>
      <c r="C499" s="46">
        <f>'👥 Клієнти'!D498</f>
        <v>3</v>
      </c>
      <c r="D499" s="47">
        <f>'👥 Клієнти'!E498</f>
        <v>39.98</v>
      </c>
      <c r="E499" s="35">
        <f t="shared" si="1"/>
        <v>3</v>
      </c>
      <c r="F499" s="35">
        <f t="shared" si="2"/>
        <v>2</v>
      </c>
      <c r="G499" s="37">
        <f t="shared" si="3"/>
        <v>2</v>
      </c>
      <c r="H499" s="37" t="str">
        <f t="shared" si="4"/>
        <v>322</v>
      </c>
      <c r="I499" s="37" t="str">
        <f t="shared" si="5"/>
        <v>Promising</v>
      </c>
    </row>
    <row r="500" ht="15.75" customHeight="1">
      <c r="A500" s="46" t="str">
        <f>'👥 Клієнти'!A499</f>
        <v>U0612</v>
      </c>
      <c r="B500" s="46">
        <f>'👥 Клієнти'!F499</f>
        <v>55</v>
      </c>
      <c r="C500" s="46">
        <f>'👥 Клієнти'!D499</f>
        <v>2</v>
      </c>
      <c r="D500" s="47">
        <f>'👥 Клієнти'!E499</f>
        <v>19.99</v>
      </c>
      <c r="E500" s="35">
        <f t="shared" si="1"/>
        <v>2</v>
      </c>
      <c r="F500" s="35">
        <f t="shared" si="2"/>
        <v>1</v>
      </c>
      <c r="G500" s="37">
        <f t="shared" si="3"/>
        <v>1</v>
      </c>
      <c r="H500" s="37" t="str">
        <f t="shared" si="4"/>
        <v>211</v>
      </c>
      <c r="I500" s="37" t="str">
        <f t="shared" si="5"/>
        <v>Lost</v>
      </c>
    </row>
    <row r="501" ht="15.75" customHeight="1">
      <c r="A501" s="46" t="str">
        <f>'👥 Клієнти'!A500</f>
        <v>U0654</v>
      </c>
      <c r="B501" s="46">
        <f>'👥 Клієнти'!F500</f>
        <v>25</v>
      </c>
      <c r="C501" s="46">
        <f>'👥 Клієнти'!D500</f>
        <v>3</v>
      </c>
      <c r="D501" s="47">
        <f>'👥 Клієнти'!E500</f>
        <v>39.98</v>
      </c>
      <c r="E501" s="35">
        <f t="shared" si="1"/>
        <v>3</v>
      </c>
      <c r="F501" s="35">
        <f t="shared" si="2"/>
        <v>2</v>
      </c>
      <c r="G501" s="37">
        <f t="shared" si="3"/>
        <v>2</v>
      </c>
      <c r="H501" s="37" t="str">
        <f t="shared" si="4"/>
        <v>322</v>
      </c>
      <c r="I501" s="37" t="str">
        <f t="shared" si="5"/>
        <v>Promising</v>
      </c>
    </row>
    <row r="502" ht="15.75" customHeight="1">
      <c r="A502" s="46" t="str">
        <f>'👥 Клієнти'!A501</f>
        <v>U0720</v>
      </c>
      <c r="B502" s="46">
        <f>'👥 Клієнти'!F501</f>
        <v>24</v>
      </c>
      <c r="C502" s="46">
        <f>'👥 Клієнти'!D501</f>
        <v>3</v>
      </c>
      <c r="D502" s="47">
        <f>'👥 Клієнти'!E501</f>
        <v>39.98</v>
      </c>
      <c r="E502" s="35">
        <f t="shared" si="1"/>
        <v>3</v>
      </c>
      <c r="F502" s="35">
        <f t="shared" si="2"/>
        <v>2</v>
      </c>
      <c r="G502" s="37">
        <f t="shared" si="3"/>
        <v>2</v>
      </c>
      <c r="H502" s="37" t="str">
        <f t="shared" si="4"/>
        <v>322</v>
      </c>
      <c r="I502" s="37" t="str">
        <f t="shared" si="5"/>
        <v>Promising</v>
      </c>
    </row>
    <row r="503" ht="15.75" customHeight="1">
      <c r="A503" s="46" t="str">
        <f>'👥 Клієнти'!A502</f>
        <v>U0767</v>
      </c>
      <c r="B503" s="46">
        <f>'👥 Клієнти'!F502</f>
        <v>23</v>
      </c>
      <c r="C503" s="46">
        <f>'👥 Клієнти'!D502</f>
        <v>3</v>
      </c>
      <c r="D503" s="47">
        <f>'👥 Клієнти'!E502</f>
        <v>39.98</v>
      </c>
      <c r="E503" s="35">
        <f t="shared" si="1"/>
        <v>3</v>
      </c>
      <c r="F503" s="35">
        <f t="shared" si="2"/>
        <v>2</v>
      </c>
      <c r="G503" s="37">
        <f t="shared" si="3"/>
        <v>2</v>
      </c>
      <c r="H503" s="37" t="str">
        <f t="shared" si="4"/>
        <v>322</v>
      </c>
      <c r="I503" s="37" t="str">
        <f t="shared" si="5"/>
        <v>Promising</v>
      </c>
    </row>
    <row r="504" ht="15.75" customHeight="1">
      <c r="A504" s="46" t="str">
        <f>'👥 Клієнти'!A503</f>
        <v>U0121</v>
      </c>
      <c r="B504" s="46">
        <f>'👥 Клієнти'!F503</f>
        <v>20</v>
      </c>
      <c r="C504" s="46">
        <f>'👥 Клієнти'!D503</f>
        <v>3</v>
      </c>
      <c r="D504" s="47">
        <f>'👥 Клієнти'!E503</f>
        <v>39.98</v>
      </c>
      <c r="E504" s="35">
        <f t="shared" si="1"/>
        <v>3</v>
      </c>
      <c r="F504" s="35">
        <f t="shared" si="2"/>
        <v>2</v>
      </c>
      <c r="G504" s="37">
        <f t="shared" si="3"/>
        <v>2</v>
      </c>
      <c r="H504" s="37" t="str">
        <f t="shared" si="4"/>
        <v>322</v>
      </c>
      <c r="I504" s="37" t="str">
        <f t="shared" si="5"/>
        <v>Promising</v>
      </c>
    </row>
    <row r="505" ht="15.75" customHeight="1">
      <c r="A505" s="46" t="str">
        <f>'👥 Клієнти'!A504</f>
        <v>U0352</v>
      </c>
      <c r="B505" s="46">
        <f>'👥 Клієнти'!F504</f>
        <v>20</v>
      </c>
      <c r="C505" s="46">
        <f>'👥 Клієнти'!D504</f>
        <v>3</v>
      </c>
      <c r="D505" s="47">
        <f>'👥 Клієнти'!E504</f>
        <v>39.98</v>
      </c>
      <c r="E505" s="35">
        <f t="shared" si="1"/>
        <v>3</v>
      </c>
      <c r="F505" s="35">
        <f t="shared" si="2"/>
        <v>2</v>
      </c>
      <c r="G505" s="37">
        <f t="shared" si="3"/>
        <v>2</v>
      </c>
      <c r="H505" s="37" t="str">
        <f t="shared" si="4"/>
        <v>322</v>
      </c>
      <c r="I505" s="37" t="str">
        <f t="shared" si="5"/>
        <v>Promising</v>
      </c>
    </row>
    <row r="506" ht="15.75" customHeight="1">
      <c r="A506" s="46" t="str">
        <f>'👥 Клієнти'!A505</f>
        <v>U0315</v>
      </c>
      <c r="B506" s="46">
        <f>'👥 Клієнти'!F505</f>
        <v>19</v>
      </c>
      <c r="C506" s="46">
        <f>'👥 Клієнти'!D505</f>
        <v>3</v>
      </c>
      <c r="D506" s="47">
        <f>'👥 Клієнти'!E505</f>
        <v>39.98</v>
      </c>
      <c r="E506" s="35">
        <f t="shared" si="1"/>
        <v>3</v>
      </c>
      <c r="F506" s="35">
        <f t="shared" si="2"/>
        <v>2</v>
      </c>
      <c r="G506" s="37">
        <f t="shared" si="3"/>
        <v>2</v>
      </c>
      <c r="H506" s="37" t="str">
        <f t="shared" si="4"/>
        <v>322</v>
      </c>
      <c r="I506" s="37" t="str">
        <f t="shared" si="5"/>
        <v>Promising</v>
      </c>
    </row>
    <row r="507" ht="15.75" customHeight="1">
      <c r="A507" s="46" t="str">
        <f>'👥 Клієнти'!A506</f>
        <v>U0438</v>
      </c>
      <c r="B507" s="46">
        <f>'👥 Клієнти'!F506</f>
        <v>19</v>
      </c>
      <c r="C507" s="46">
        <f>'👥 Клієнти'!D506</f>
        <v>3</v>
      </c>
      <c r="D507" s="47">
        <f>'👥 Клієнти'!E506</f>
        <v>39.98</v>
      </c>
      <c r="E507" s="35">
        <f t="shared" si="1"/>
        <v>3</v>
      </c>
      <c r="F507" s="35">
        <f t="shared" si="2"/>
        <v>2</v>
      </c>
      <c r="G507" s="37">
        <f t="shared" si="3"/>
        <v>2</v>
      </c>
      <c r="H507" s="37" t="str">
        <f t="shared" si="4"/>
        <v>322</v>
      </c>
      <c r="I507" s="37" t="str">
        <f t="shared" si="5"/>
        <v>Promising</v>
      </c>
    </row>
    <row r="508" ht="15.75" customHeight="1">
      <c r="A508" s="46" t="str">
        <f>'👥 Клієнти'!A507</f>
        <v>U0615</v>
      </c>
      <c r="B508" s="46">
        <f>'👥 Клієнти'!F507</f>
        <v>19</v>
      </c>
      <c r="C508" s="46">
        <f>'👥 Клієнти'!D507</f>
        <v>3</v>
      </c>
      <c r="D508" s="47">
        <f>'👥 Клієнти'!E507</f>
        <v>39.98</v>
      </c>
      <c r="E508" s="35">
        <f t="shared" si="1"/>
        <v>3</v>
      </c>
      <c r="F508" s="35">
        <f t="shared" si="2"/>
        <v>2</v>
      </c>
      <c r="G508" s="37">
        <f t="shared" si="3"/>
        <v>2</v>
      </c>
      <c r="H508" s="37" t="str">
        <f t="shared" si="4"/>
        <v>322</v>
      </c>
      <c r="I508" s="37" t="str">
        <f t="shared" si="5"/>
        <v>Promising</v>
      </c>
    </row>
    <row r="509" ht="15.75" customHeight="1">
      <c r="A509" s="46" t="str">
        <f>'👥 Клієнти'!A508</f>
        <v>U0854</v>
      </c>
      <c r="B509" s="46">
        <f>'👥 Клієнти'!F508</f>
        <v>19</v>
      </c>
      <c r="C509" s="46">
        <f>'👥 Клієнти'!D508</f>
        <v>3</v>
      </c>
      <c r="D509" s="47">
        <f>'👥 Клієнти'!E508</f>
        <v>39.98</v>
      </c>
      <c r="E509" s="35">
        <f t="shared" si="1"/>
        <v>3</v>
      </c>
      <c r="F509" s="35">
        <f t="shared" si="2"/>
        <v>2</v>
      </c>
      <c r="G509" s="37">
        <f t="shared" si="3"/>
        <v>2</v>
      </c>
      <c r="H509" s="37" t="str">
        <f t="shared" si="4"/>
        <v>322</v>
      </c>
      <c r="I509" s="37" t="str">
        <f t="shared" si="5"/>
        <v>Promising</v>
      </c>
    </row>
    <row r="510" ht="15.75" customHeight="1">
      <c r="A510" s="46" t="str">
        <f>'👥 Клієнти'!A509</f>
        <v>U0531</v>
      </c>
      <c r="B510" s="46">
        <f>'👥 Клієнти'!F509</f>
        <v>18</v>
      </c>
      <c r="C510" s="46">
        <f>'👥 Клієнти'!D509</f>
        <v>3</v>
      </c>
      <c r="D510" s="47">
        <f>'👥 Клієнти'!E509</f>
        <v>39.98</v>
      </c>
      <c r="E510" s="35">
        <f t="shared" si="1"/>
        <v>3</v>
      </c>
      <c r="F510" s="35">
        <f t="shared" si="2"/>
        <v>2</v>
      </c>
      <c r="G510" s="37">
        <f t="shared" si="3"/>
        <v>2</v>
      </c>
      <c r="H510" s="37" t="str">
        <f t="shared" si="4"/>
        <v>322</v>
      </c>
      <c r="I510" s="37" t="str">
        <f t="shared" si="5"/>
        <v>Promising</v>
      </c>
    </row>
    <row r="511" ht="15.75" customHeight="1">
      <c r="A511" s="46" t="str">
        <f>'👥 Клієнти'!A510</f>
        <v>U0377</v>
      </c>
      <c r="B511" s="46">
        <f>'👥 Клієнти'!F510</f>
        <v>17</v>
      </c>
      <c r="C511" s="46">
        <f>'👥 Клієнти'!D510</f>
        <v>3</v>
      </c>
      <c r="D511" s="47">
        <f>'👥 Клієнти'!E510</f>
        <v>39.98</v>
      </c>
      <c r="E511" s="35">
        <f t="shared" si="1"/>
        <v>3</v>
      </c>
      <c r="F511" s="35">
        <f t="shared" si="2"/>
        <v>2</v>
      </c>
      <c r="G511" s="37">
        <f t="shared" si="3"/>
        <v>2</v>
      </c>
      <c r="H511" s="37" t="str">
        <f t="shared" si="4"/>
        <v>322</v>
      </c>
      <c r="I511" s="37" t="str">
        <f t="shared" si="5"/>
        <v>Promising</v>
      </c>
    </row>
    <row r="512" ht="15.75" customHeight="1">
      <c r="A512" s="46" t="str">
        <f>'👥 Клієнти'!A511</f>
        <v>U0524</v>
      </c>
      <c r="B512" s="46">
        <f>'👥 Клієнти'!F511</f>
        <v>17</v>
      </c>
      <c r="C512" s="46">
        <f>'👥 Клієнти'!D511</f>
        <v>3</v>
      </c>
      <c r="D512" s="47">
        <f>'👥 Клієнти'!E511</f>
        <v>39.98</v>
      </c>
      <c r="E512" s="35">
        <f t="shared" si="1"/>
        <v>3</v>
      </c>
      <c r="F512" s="35">
        <f t="shared" si="2"/>
        <v>2</v>
      </c>
      <c r="G512" s="37">
        <f t="shared" si="3"/>
        <v>2</v>
      </c>
      <c r="H512" s="37" t="str">
        <f t="shared" si="4"/>
        <v>322</v>
      </c>
      <c r="I512" s="37" t="str">
        <f t="shared" si="5"/>
        <v>Promising</v>
      </c>
    </row>
    <row r="513" ht="15.75" customHeight="1">
      <c r="A513" s="46" t="str">
        <f>'👥 Клієнти'!A512</f>
        <v>U0681</v>
      </c>
      <c r="B513" s="46">
        <f>'👥 Клієнти'!F512</f>
        <v>17</v>
      </c>
      <c r="C513" s="46">
        <f>'👥 Клієнти'!D512</f>
        <v>3</v>
      </c>
      <c r="D513" s="47">
        <f>'👥 Клієнти'!E512</f>
        <v>39.98</v>
      </c>
      <c r="E513" s="35">
        <f t="shared" si="1"/>
        <v>3</v>
      </c>
      <c r="F513" s="35">
        <f t="shared" si="2"/>
        <v>2</v>
      </c>
      <c r="G513" s="37">
        <f t="shared" si="3"/>
        <v>2</v>
      </c>
      <c r="H513" s="37" t="str">
        <f t="shared" si="4"/>
        <v>322</v>
      </c>
      <c r="I513" s="37" t="str">
        <f t="shared" si="5"/>
        <v>Promising</v>
      </c>
    </row>
    <row r="514" ht="15.75" customHeight="1">
      <c r="A514" s="46" t="str">
        <f>'👥 Клієнти'!A513</f>
        <v>U0445</v>
      </c>
      <c r="B514" s="46">
        <f>'👥 Клієнти'!F513</f>
        <v>16</v>
      </c>
      <c r="C514" s="46">
        <f>'👥 Клієнти'!D513</f>
        <v>3</v>
      </c>
      <c r="D514" s="47">
        <f>'👥 Клієнти'!E513</f>
        <v>39.98</v>
      </c>
      <c r="E514" s="35">
        <f t="shared" si="1"/>
        <v>3</v>
      </c>
      <c r="F514" s="35">
        <f t="shared" si="2"/>
        <v>2</v>
      </c>
      <c r="G514" s="37">
        <f t="shared" si="3"/>
        <v>2</v>
      </c>
      <c r="H514" s="37" t="str">
        <f t="shared" si="4"/>
        <v>322</v>
      </c>
      <c r="I514" s="37" t="str">
        <f t="shared" si="5"/>
        <v>Promising</v>
      </c>
    </row>
    <row r="515" ht="15.75" customHeight="1">
      <c r="A515" s="46" t="str">
        <f>'👥 Клієнти'!A514</f>
        <v>U0525</v>
      </c>
      <c r="B515" s="46">
        <f>'👥 Клієнти'!F514</f>
        <v>16</v>
      </c>
      <c r="C515" s="46">
        <f>'👥 Клієнти'!D514</f>
        <v>3</v>
      </c>
      <c r="D515" s="47">
        <f>'👥 Клієнти'!E514</f>
        <v>39.98</v>
      </c>
      <c r="E515" s="35">
        <f t="shared" si="1"/>
        <v>3</v>
      </c>
      <c r="F515" s="35">
        <f t="shared" si="2"/>
        <v>2</v>
      </c>
      <c r="G515" s="37">
        <f t="shared" si="3"/>
        <v>2</v>
      </c>
      <c r="H515" s="37" t="str">
        <f t="shared" si="4"/>
        <v>322</v>
      </c>
      <c r="I515" s="37" t="str">
        <f t="shared" si="5"/>
        <v>Promising</v>
      </c>
    </row>
    <row r="516" ht="15.75" customHeight="1">
      <c r="A516" s="46" t="str">
        <f>'👥 Клієнти'!A515</f>
        <v>U0815</v>
      </c>
      <c r="B516" s="46">
        <f>'👥 Клієнти'!F515</f>
        <v>16</v>
      </c>
      <c r="C516" s="46">
        <f>'👥 Клієнти'!D515</f>
        <v>3</v>
      </c>
      <c r="D516" s="47">
        <f>'👥 Клієнти'!E515</f>
        <v>39.98</v>
      </c>
      <c r="E516" s="35">
        <f t="shared" si="1"/>
        <v>3</v>
      </c>
      <c r="F516" s="35">
        <f t="shared" si="2"/>
        <v>2</v>
      </c>
      <c r="G516" s="37">
        <f t="shared" si="3"/>
        <v>2</v>
      </c>
      <c r="H516" s="37" t="str">
        <f t="shared" si="4"/>
        <v>322</v>
      </c>
      <c r="I516" s="37" t="str">
        <f t="shared" si="5"/>
        <v>Promising</v>
      </c>
    </row>
    <row r="517" ht="15.75" customHeight="1">
      <c r="A517" s="46" t="str">
        <f>'👥 Клієнти'!A516</f>
        <v>U0736</v>
      </c>
      <c r="B517" s="46">
        <f>'👥 Клієнти'!F516</f>
        <v>15</v>
      </c>
      <c r="C517" s="46">
        <f>'👥 Клієнти'!D516</f>
        <v>3</v>
      </c>
      <c r="D517" s="47">
        <f>'👥 Клієнти'!E516</f>
        <v>39.98</v>
      </c>
      <c r="E517" s="35">
        <f t="shared" si="1"/>
        <v>4</v>
      </c>
      <c r="F517" s="35">
        <f t="shared" si="2"/>
        <v>2</v>
      </c>
      <c r="G517" s="37">
        <f t="shared" si="3"/>
        <v>2</v>
      </c>
      <c r="H517" s="37" t="str">
        <f t="shared" si="4"/>
        <v>422</v>
      </c>
      <c r="I517" s="37" t="str">
        <f t="shared" si="5"/>
        <v>New Customers</v>
      </c>
    </row>
    <row r="518" ht="15.75" customHeight="1">
      <c r="A518" s="46" t="str">
        <f>'👥 Клієнти'!A517</f>
        <v>U0063</v>
      </c>
      <c r="B518" s="46">
        <f>'👥 Клієнти'!F517</f>
        <v>14</v>
      </c>
      <c r="C518" s="46">
        <f>'👥 Клієнти'!D517</f>
        <v>3</v>
      </c>
      <c r="D518" s="47">
        <f>'👥 Клієнти'!E517</f>
        <v>39.98</v>
      </c>
      <c r="E518" s="35">
        <f t="shared" si="1"/>
        <v>4</v>
      </c>
      <c r="F518" s="35">
        <f t="shared" si="2"/>
        <v>2</v>
      </c>
      <c r="G518" s="37">
        <f t="shared" si="3"/>
        <v>2</v>
      </c>
      <c r="H518" s="37" t="str">
        <f t="shared" si="4"/>
        <v>422</v>
      </c>
      <c r="I518" s="37" t="str">
        <f t="shared" si="5"/>
        <v>New Customers</v>
      </c>
    </row>
    <row r="519" ht="15.75" customHeight="1">
      <c r="A519" s="46" t="str">
        <f>'👥 Клієнти'!A518</f>
        <v>U0406</v>
      </c>
      <c r="B519" s="46">
        <f>'👥 Клієнти'!F518</f>
        <v>14</v>
      </c>
      <c r="C519" s="46">
        <f>'👥 Клієнти'!D518</f>
        <v>3</v>
      </c>
      <c r="D519" s="47">
        <f>'👥 Клієнти'!E518</f>
        <v>39.98</v>
      </c>
      <c r="E519" s="35">
        <f t="shared" si="1"/>
        <v>4</v>
      </c>
      <c r="F519" s="35">
        <f t="shared" si="2"/>
        <v>2</v>
      </c>
      <c r="G519" s="37">
        <f t="shared" si="3"/>
        <v>2</v>
      </c>
      <c r="H519" s="37" t="str">
        <f t="shared" si="4"/>
        <v>422</v>
      </c>
      <c r="I519" s="37" t="str">
        <f t="shared" si="5"/>
        <v>New Customers</v>
      </c>
    </row>
    <row r="520" ht="15.75" customHeight="1">
      <c r="A520" s="46" t="str">
        <f>'👥 Клієнти'!A519</f>
        <v>U0119</v>
      </c>
      <c r="B520" s="46">
        <f>'👥 Клієнти'!F519</f>
        <v>12</v>
      </c>
      <c r="C520" s="46">
        <f>'👥 Клієнти'!D519</f>
        <v>3</v>
      </c>
      <c r="D520" s="47">
        <f>'👥 Клієнти'!E519</f>
        <v>39.98</v>
      </c>
      <c r="E520" s="35">
        <f t="shared" si="1"/>
        <v>4</v>
      </c>
      <c r="F520" s="35">
        <f t="shared" si="2"/>
        <v>2</v>
      </c>
      <c r="G520" s="37">
        <f t="shared" si="3"/>
        <v>2</v>
      </c>
      <c r="H520" s="37" t="str">
        <f t="shared" si="4"/>
        <v>422</v>
      </c>
      <c r="I520" s="37" t="str">
        <f t="shared" si="5"/>
        <v>New Customers</v>
      </c>
    </row>
    <row r="521" ht="15.75" customHeight="1">
      <c r="A521" s="46" t="str">
        <f>'👥 Клієнти'!A520</f>
        <v>U0293</v>
      </c>
      <c r="B521" s="46">
        <f>'👥 Клієнти'!F520</f>
        <v>12</v>
      </c>
      <c r="C521" s="46">
        <f>'👥 Клієнти'!D520</f>
        <v>3</v>
      </c>
      <c r="D521" s="47">
        <f>'👥 Клієнти'!E520</f>
        <v>39.98</v>
      </c>
      <c r="E521" s="35">
        <f t="shared" si="1"/>
        <v>4</v>
      </c>
      <c r="F521" s="35">
        <f t="shared" si="2"/>
        <v>2</v>
      </c>
      <c r="G521" s="37">
        <f t="shared" si="3"/>
        <v>2</v>
      </c>
      <c r="H521" s="37" t="str">
        <f t="shared" si="4"/>
        <v>422</v>
      </c>
      <c r="I521" s="37" t="str">
        <f t="shared" si="5"/>
        <v>New Customers</v>
      </c>
    </row>
    <row r="522" ht="15.75" customHeight="1">
      <c r="A522" s="46" t="str">
        <f>'👥 Клієнти'!A521</f>
        <v>U0759</v>
      </c>
      <c r="B522" s="46">
        <f>'👥 Клієнти'!F521</f>
        <v>12</v>
      </c>
      <c r="C522" s="46">
        <f>'👥 Клієнти'!D521</f>
        <v>3</v>
      </c>
      <c r="D522" s="47">
        <f>'👥 Клієнти'!E521</f>
        <v>39.98</v>
      </c>
      <c r="E522" s="35">
        <f t="shared" si="1"/>
        <v>4</v>
      </c>
      <c r="F522" s="35">
        <f t="shared" si="2"/>
        <v>2</v>
      </c>
      <c r="G522" s="37">
        <f t="shared" si="3"/>
        <v>2</v>
      </c>
      <c r="H522" s="37" t="str">
        <f t="shared" si="4"/>
        <v>422</v>
      </c>
      <c r="I522" s="37" t="str">
        <f t="shared" si="5"/>
        <v>New Customers</v>
      </c>
    </row>
    <row r="523" ht="15.75" customHeight="1">
      <c r="A523" s="46" t="str">
        <f>'👥 Клієнти'!A522</f>
        <v>U0474</v>
      </c>
      <c r="B523" s="46">
        <f>'👥 Клієнти'!F522</f>
        <v>11</v>
      </c>
      <c r="C523" s="46">
        <f>'👥 Клієнти'!D522</f>
        <v>3</v>
      </c>
      <c r="D523" s="47">
        <f>'👥 Клієнти'!E522</f>
        <v>39.98</v>
      </c>
      <c r="E523" s="35">
        <f t="shared" si="1"/>
        <v>4</v>
      </c>
      <c r="F523" s="35">
        <f t="shared" si="2"/>
        <v>2</v>
      </c>
      <c r="G523" s="37">
        <f t="shared" si="3"/>
        <v>2</v>
      </c>
      <c r="H523" s="37" t="str">
        <f t="shared" si="4"/>
        <v>422</v>
      </c>
      <c r="I523" s="37" t="str">
        <f t="shared" si="5"/>
        <v>New Customers</v>
      </c>
    </row>
    <row r="524" ht="15.75" customHeight="1">
      <c r="A524" s="46" t="str">
        <f>'👥 Клієнти'!A523</f>
        <v>U0271</v>
      </c>
      <c r="B524" s="46">
        <f>'👥 Клієнти'!F523</f>
        <v>10</v>
      </c>
      <c r="C524" s="46">
        <f>'👥 Клієнти'!D523</f>
        <v>3</v>
      </c>
      <c r="D524" s="47">
        <f>'👥 Клієнти'!E523</f>
        <v>39.98</v>
      </c>
      <c r="E524" s="35">
        <f t="shared" si="1"/>
        <v>4</v>
      </c>
      <c r="F524" s="35">
        <f t="shared" si="2"/>
        <v>2</v>
      </c>
      <c r="G524" s="37">
        <f t="shared" si="3"/>
        <v>2</v>
      </c>
      <c r="H524" s="37" t="str">
        <f t="shared" si="4"/>
        <v>422</v>
      </c>
      <c r="I524" s="37" t="str">
        <f t="shared" si="5"/>
        <v>New Customers</v>
      </c>
    </row>
    <row r="525" ht="15.75" customHeight="1">
      <c r="A525" s="46" t="str">
        <f>'👥 Клієнти'!A524</f>
        <v>U0893</v>
      </c>
      <c r="B525" s="46">
        <f>'👥 Клієнти'!F524</f>
        <v>10</v>
      </c>
      <c r="C525" s="46">
        <f>'👥 Клієнти'!D524</f>
        <v>3</v>
      </c>
      <c r="D525" s="47">
        <f>'👥 Клієнти'!E524</f>
        <v>39.98</v>
      </c>
      <c r="E525" s="35">
        <f t="shared" si="1"/>
        <v>4</v>
      </c>
      <c r="F525" s="35">
        <f t="shared" si="2"/>
        <v>2</v>
      </c>
      <c r="G525" s="37">
        <f t="shared" si="3"/>
        <v>2</v>
      </c>
      <c r="H525" s="37" t="str">
        <f t="shared" si="4"/>
        <v>422</v>
      </c>
      <c r="I525" s="37" t="str">
        <f t="shared" si="5"/>
        <v>New Customers</v>
      </c>
    </row>
    <row r="526" ht="15.75" customHeight="1">
      <c r="A526" s="46" t="str">
        <f>'👥 Клієнти'!A525</f>
        <v>U0504</v>
      </c>
      <c r="B526" s="46">
        <f>'👥 Клієнти'!F525</f>
        <v>9</v>
      </c>
      <c r="C526" s="46">
        <f>'👥 Клієнти'!D525</f>
        <v>3</v>
      </c>
      <c r="D526" s="47">
        <f>'👥 Клієнти'!E525</f>
        <v>39.98</v>
      </c>
      <c r="E526" s="35">
        <f t="shared" si="1"/>
        <v>4</v>
      </c>
      <c r="F526" s="35">
        <f t="shared" si="2"/>
        <v>2</v>
      </c>
      <c r="G526" s="37">
        <f t="shared" si="3"/>
        <v>2</v>
      </c>
      <c r="H526" s="37" t="str">
        <f t="shared" si="4"/>
        <v>422</v>
      </c>
      <c r="I526" s="37" t="str">
        <f t="shared" si="5"/>
        <v>New Customers</v>
      </c>
    </row>
    <row r="527" ht="15.75" customHeight="1">
      <c r="A527" s="46" t="str">
        <f>'👥 Клієнти'!A526</f>
        <v>U0812</v>
      </c>
      <c r="B527" s="46">
        <f>'👥 Клієнти'!F526</f>
        <v>9</v>
      </c>
      <c r="C527" s="46">
        <f>'👥 Клієнти'!D526</f>
        <v>3</v>
      </c>
      <c r="D527" s="47">
        <f>'👥 Клієнти'!E526</f>
        <v>39.98</v>
      </c>
      <c r="E527" s="35">
        <f t="shared" si="1"/>
        <v>4</v>
      </c>
      <c r="F527" s="35">
        <f t="shared" si="2"/>
        <v>2</v>
      </c>
      <c r="G527" s="37">
        <f t="shared" si="3"/>
        <v>2</v>
      </c>
      <c r="H527" s="37" t="str">
        <f t="shared" si="4"/>
        <v>422</v>
      </c>
      <c r="I527" s="37" t="str">
        <f t="shared" si="5"/>
        <v>New Customers</v>
      </c>
    </row>
    <row r="528" ht="15.75" customHeight="1">
      <c r="A528" s="46" t="str">
        <f>'👥 Клієнти'!A527</f>
        <v>U0869</v>
      </c>
      <c r="B528" s="46">
        <f>'👥 Клієнти'!F527</f>
        <v>9</v>
      </c>
      <c r="C528" s="46">
        <f>'👥 Клієнти'!D527</f>
        <v>3</v>
      </c>
      <c r="D528" s="47">
        <f>'👥 Клієнти'!E527</f>
        <v>39.98</v>
      </c>
      <c r="E528" s="35">
        <f t="shared" si="1"/>
        <v>4</v>
      </c>
      <c r="F528" s="35">
        <f t="shared" si="2"/>
        <v>2</v>
      </c>
      <c r="G528" s="37">
        <f t="shared" si="3"/>
        <v>2</v>
      </c>
      <c r="H528" s="37" t="str">
        <f t="shared" si="4"/>
        <v>422</v>
      </c>
      <c r="I528" s="37" t="str">
        <f t="shared" si="5"/>
        <v>New Customers</v>
      </c>
    </row>
    <row r="529" ht="15.75" customHeight="1">
      <c r="A529" s="46" t="str">
        <f>'👥 Клієнти'!A528</f>
        <v>U0404</v>
      </c>
      <c r="B529" s="46">
        <f>'👥 Клієнти'!F528</f>
        <v>8</v>
      </c>
      <c r="C529" s="46">
        <f>'👥 Клієнти'!D528</f>
        <v>3</v>
      </c>
      <c r="D529" s="47">
        <f>'👥 Клієнти'!E528</f>
        <v>39.98</v>
      </c>
      <c r="E529" s="35">
        <f t="shared" si="1"/>
        <v>4</v>
      </c>
      <c r="F529" s="35">
        <f t="shared" si="2"/>
        <v>2</v>
      </c>
      <c r="G529" s="37">
        <f t="shared" si="3"/>
        <v>2</v>
      </c>
      <c r="H529" s="37" t="str">
        <f t="shared" si="4"/>
        <v>422</v>
      </c>
      <c r="I529" s="37" t="str">
        <f t="shared" si="5"/>
        <v>New Customers</v>
      </c>
    </row>
    <row r="530" ht="15.75" customHeight="1">
      <c r="A530" s="46" t="str">
        <f>'👥 Клієнти'!A529</f>
        <v>U0768</v>
      </c>
      <c r="B530" s="46">
        <f>'👥 Клієнти'!F529</f>
        <v>8</v>
      </c>
      <c r="C530" s="46">
        <f>'👥 Клієнти'!D529</f>
        <v>3</v>
      </c>
      <c r="D530" s="47">
        <f>'👥 Клієнти'!E529</f>
        <v>39.98</v>
      </c>
      <c r="E530" s="35">
        <f t="shared" si="1"/>
        <v>4</v>
      </c>
      <c r="F530" s="35">
        <f t="shared" si="2"/>
        <v>2</v>
      </c>
      <c r="G530" s="37">
        <f t="shared" si="3"/>
        <v>2</v>
      </c>
      <c r="H530" s="37" t="str">
        <f t="shared" si="4"/>
        <v>422</v>
      </c>
      <c r="I530" s="37" t="str">
        <f t="shared" si="5"/>
        <v>New Customers</v>
      </c>
    </row>
    <row r="531" ht="15.75" customHeight="1">
      <c r="A531" s="46" t="str">
        <f>'👥 Клієнти'!A530</f>
        <v>U0892</v>
      </c>
      <c r="B531" s="46">
        <f>'👥 Клієнти'!F530</f>
        <v>8</v>
      </c>
      <c r="C531" s="46">
        <f>'👥 Клієнти'!D530</f>
        <v>3</v>
      </c>
      <c r="D531" s="47">
        <f>'👥 Клієнти'!E530</f>
        <v>39.98</v>
      </c>
      <c r="E531" s="35">
        <f t="shared" si="1"/>
        <v>4</v>
      </c>
      <c r="F531" s="35">
        <f t="shared" si="2"/>
        <v>2</v>
      </c>
      <c r="G531" s="37">
        <f t="shared" si="3"/>
        <v>2</v>
      </c>
      <c r="H531" s="37" t="str">
        <f t="shared" si="4"/>
        <v>422</v>
      </c>
      <c r="I531" s="37" t="str">
        <f t="shared" si="5"/>
        <v>New Customers</v>
      </c>
    </row>
    <row r="532" ht="15.75" customHeight="1">
      <c r="A532" s="46" t="str">
        <f>'👥 Клієнти'!A531</f>
        <v>U0390</v>
      </c>
      <c r="B532" s="46">
        <f>'👥 Клієнти'!F531</f>
        <v>7</v>
      </c>
      <c r="C532" s="46">
        <f>'👥 Клієнти'!D531</f>
        <v>3</v>
      </c>
      <c r="D532" s="47">
        <f>'👥 Клієнти'!E531</f>
        <v>39.98</v>
      </c>
      <c r="E532" s="35">
        <f t="shared" si="1"/>
        <v>5</v>
      </c>
      <c r="F532" s="35">
        <f t="shared" si="2"/>
        <v>2</v>
      </c>
      <c r="G532" s="37">
        <f t="shared" si="3"/>
        <v>2</v>
      </c>
      <c r="H532" s="37" t="str">
        <f t="shared" si="4"/>
        <v>522</v>
      </c>
      <c r="I532" s="37" t="str">
        <f t="shared" si="5"/>
        <v>New Customers</v>
      </c>
    </row>
    <row r="533" ht="15.75" customHeight="1">
      <c r="A533" s="46" t="str">
        <f>'👥 Клієнти'!A532</f>
        <v>U0265</v>
      </c>
      <c r="B533" s="46">
        <f>'👥 Клієнти'!F532</f>
        <v>6</v>
      </c>
      <c r="C533" s="46">
        <f>'👥 Клієнти'!D532</f>
        <v>3</v>
      </c>
      <c r="D533" s="47">
        <f>'👥 Клієнти'!E532</f>
        <v>39.98</v>
      </c>
      <c r="E533" s="35">
        <f t="shared" si="1"/>
        <v>5</v>
      </c>
      <c r="F533" s="35">
        <f t="shared" si="2"/>
        <v>2</v>
      </c>
      <c r="G533" s="37">
        <f t="shared" si="3"/>
        <v>2</v>
      </c>
      <c r="H533" s="37" t="str">
        <f t="shared" si="4"/>
        <v>522</v>
      </c>
      <c r="I533" s="37" t="str">
        <f t="shared" si="5"/>
        <v>New Customers</v>
      </c>
    </row>
    <row r="534" ht="15.75" customHeight="1">
      <c r="A534" s="46" t="str">
        <f>'👥 Клієнти'!A533</f>
        <v>U0384</v>
      </c>
      <c r="B534" s="46">
        <f>'👥 Клієнти'!F533</f>
        <v>6</v>
      </c>
      <c r="C534" s="46">
        <f>'👥 Клієнти'!D533</f>
        <v>3</v>
      </c>
      <c r="D534" s="47">
        <f>'👥 Клієнти'!E533</f>
        <v>39.98</v>
      </c>
      <c r="E534" s="35">
        <f t="shared" si="1"/>
        <v>5</v>
      </c>
      <c r="F534" s="35">
        <f t="shared" si="2"/>
        <v>2</v>
      </c>
      <c r="G534" s="37">
        <f t="shared" si="3"/>
        <v>2</v>
      </c>
      <c r="H534" s="37" t="str">
        <f t="shared" si="4"/>
        <v>522</v>
      </c>
      <c r="I534" s="37" t="str">
        <f t="shared" si="5"/>
        <v>New Customers</v>
      </c>
    </row>
    <row r="535" ht="15.75" customHeight="1">
      <c r="A535" s="46" t="str">
        <f>'👥 Клієнти'!A534</f>
        <v>U0632</v>
      </c>
      <c r="B535" s="46">
        <f>'👥 Клієнти'!F534</f>
        <v>6</v>
      </c>
      <c r="C535" s="46">
        <f>'👥 Клієнти'!D534</f>
        <v>3</v>
      </c>
      <c r="D535" s="47">
        <f>'👥 Клієнти'!E534</f>
        <v>39.98</v>
      </c>
      <c r="E535" s="35">
        <f t="shared" si="1"/>
        <v>5</v>
      </c>
      <c r="F535" s="35">
        <f t="shared" si="2"/>
        <v>2</v>
      </c>
      <c r="G535" s="37">
        <f t="shared" si="3"/>
        <v>2</v>
      </c>
      <c r="H535" s="37" t="str">
        <f t="shared" si="4"/>
        <v>522</v>
      </c>
      <c r="I535" s="37" t="str">
        <f t="shared" si="5"/>
        <v>New Customers</v>
      </c>
    </row>
    <row r="536" ht="15.75" customHeight="1">
      <c r="A536" s="46" t="str">
        <f>'👥 Клієнти'!A535</f>
        <v>U0116</v>
      </c>
      <c r="B536" s="46">
        <f>'👥 Клієнти'!F535</f>
        <v>5</v>
      </c>
      <c r="C536" s="46">
        <f>'👥 Клієнти'!D535</f>
        <v>3</v>
      </c>
      <c r="D536" s="47">
        <f>'👥 Клієнти'!E535</f>
        <v>39.98</v>
      </c>
      <c r="E536" s="35">
        <f t="shared" si="1"/>
        <v>5</v>
      </c>
      <c r="F536" s="35">
        <f t="shared" si="2"/>
        <v>2</v>
      </c>
      <c r="G536" s="37">
        <f t="shared" si="3"/>
        <v>2</v>
      </c>
      <c r="H536" s="37" t="str">
        <f t="shared" si="4"/>
        <v>522</v>
      </c>
      <c r="I536" s="37" t="str">
        <f t="shared" si="5"/>
        <v>New Customers</v>
      </c>
    </row>
    <row r="537" ht="15.75" customHeight="1">
      <c r="A537" s="46" t="str">
        <f>'👥 Клієнти'!A536</f>
        <v>U0273</v>
      </c>
      <c r="B537" s="46">
        <f>'👥 Клієнти'!F536</f>
        <v>5</v>
      </c>
      <c r="C537" s="46">
        <f>'👥 Клієнти'!D536</f>
        <v>3</v>
      </c>
      <c r="D537" s="47">
        <f>'👥 Клієнти'!E536</f>
        <v>39.98</v>
      </c>
      <c r="E537" s="35">
        <f t="shared" si="1"/>
        <v>5</v>
      </c>
      <c r="F537" s="35">
        <f t="shared" si="2"/>
        <v>2</v>
      </c>
      <c r="G537" s="37">
        <f t="shared" si="3"/>
        <v>2</v>
      </c>
      <c r="H537" s="37" t="str">
        <f t="shared" si="4"/>
        <v>522</v>
      </c>
      <c r="I537" s="37" t="str">
        <f t="shared" si="5"/>
        <v>New Customers</v>
      </c>
    </row>
    <row r="538" ht="15.75" customHeight="1">
      <c r="A538" s="46" t="str">
        <f>'👥 Клієнти'!A537</f>
        <v>U0428</v>
      </c>
      <c r="B538" s="46">
        <f>'👥 Клієнти'!F537</f>
        <v>34</v>
      </c>
      <c r="C538" s="46">
        <f>'👥 Клієнти'!D537</f>
        <v>2</v>
      </c>
      <c r="D538" s="47">
        <f>'👥 Клієнти'!E537</f>
        <v>19.99</v>
      </c>
      <c r="E538" s="35">
        <f t="shared" si="1"/>
        <v>2</v>
      </c>
      <c r="F538" s="35">
        <f t="shared" si="2"/>
        <v>1</v>
      </c>
      <c r="G538" s="37">
        <f t="shared" si="3"/>
        <v>1</v>
      </c>
      <c r="H538" s="37" t="str">
        <f t="shared" si="4"/>
        <v>211</v>
      </c>
      <c r="I538" s="37" t="str">
        <f t="shared" si="5"/>
        <v>Lost</v>
      </c>
    </row>
    <row r="539" ht="15.75" customHeight="1">
      <c r="A539" s="46" t="str">
        <f>'👥 Клієнти'!A538</f>
        <v>U0898</v>
      </c>
      <c r="B539" s="46">
        <f>'👥 Клієнти'!F538</f>
        <v>4</v>
      </c>
      <c r="C539" s="46">
        <f>'👥 Клієнти'!D538</f>
        <v>3</v>
      </c>
      <c r="D539" s="47">
        <f>'👥 Клієнти'!E538</f>
        <v>39.98</v>
      </c>
      <c r="E539" s="35">
        <f t="shared" si="1"/>
        <v>5</v>
      </c>
      <c r="F539" s="35">
        <f t="shared" si="2"/>
        <v>2</v>
      </c>
      <c r="G539" s="37">
        <f t="shared" si="3"/>
        <v>2</v>
      </c>
      <c r="H539" s="37" t="str">
        <f t="shared" si="4"/>
        <v>522</v>
      </c>
      <c r="I539" s="37" t="str">
        <f t="shared" si="5"/>
        <v>New Customers</v>
      </c>
    </row>
    <row r="540" ht="15.75" customHeight="1">
      <c r="A540" s="46" t="str">
        <f>'👥 Клієнти'!A539</f>
        <v>U0595</v>
      </c>
      <c r="B540" s="46">
        <f>'👥 Клієнти'!F539</f>
        <v>2</v>
      </c>
      <c r="C540" s="46">
        <f>'👥 Клієнти'!D539</f>
        <v>3</v>
      </c>
      <c r="D540" s="47">
        <f>'👥 Клієнти'!E539</f>
        <v>39.98</v>
      </c>
      <c r="E540" s="35">
        <f t="shared" si="1"/>
        <v>5</v>
      </c>
      <c r="F540" s="35">
        <f t="shared" si="2"/>
        <v>2</v>
      </c>
      <c r="G540" s="37">
        <f t="shared" si="3"/>
        <v>2</v>
      </c>
      <c r="H540" s="37" t="str">
        <f t="shared" si="4"/>
        <v>522</v>
      </c>
      <c r="I540" s="37" t="str">
        <f t="shared" si="5"/>
        <v>New Customers</v>
      </c>
    </row>
    <row r="541" ht="15.75" customHeight="1">
      <c r="A541" s="46" t="str">
        <f>'👥 Клієнти'!A540</f>
        <v>U0770</v>
      </c>
      <c r="B541" s="46">
        <f>'👥 Клієнти'!F540</f>
        <v>2</v>
      </c>
      <c r="C541" s="46">
        <f>'👥 Клієнти'!D540</f>
        <v>3</v>
      </c>
      <c r="D541" s="47">
        <f>'👥 Клієнти'!E540</f>
        <v>39.98</v>
      </c>
      <c r="E541" s="35">
        <f t="shared" si="1"/>
        <v>5</v>
      </c>
      <c r="F541" s="35">
        <f t="shared" si="2"/>
        <v>2</v>
      </c>
      <c r="G541" s="37">
        <f t="shared" si="3"/>
        <v>2</v>
      </c>
      <c r="H541" s="37" t="str">
        <f t="shared" si="4"/>
        <v>522</v>
      </c>
      <c r="I541" s="37" t="str">
        <f t="shared" si="5"/>
        <v>New Customers</v>
      </c>
    </row>
    <row r="542" ht="15.75" customHeight="1">
      <c r="A542" s="46" t="str">
        <f>'👥 Клієнти'!A541</f>
        <v>U0013</v>
      </c>
      <c r="B542" s="46">
        <f>'👥 Клієнти'!F541</f>
        <v>1</v>
      </c>
      <c r="C542" s="46">
        <f>'👥 Клієнти'!D541</f>
        <v>3</v>
      </c>
      <c r="D542" s="47">
        <f>'👥 Клієнти'!E541</f>
        <v>39.98</v>
      </c>
      <c r="E542" s="35">
        <f t="shared" si="1"/>
        <v>5</v>
      </c>
      <c r="F542" s="35">
        <f t="shared" si="2"/>
        <v>2</v>
      </c>
      <c r="G542" s="37">
        <f t="shared" si="3"/>
        <v>2</v>
      </c>
      <c r="H542" s="37" t="str">
        <f t="shared" si="4"/>
        <v>522</v>
      </c>
      <c r="I542" s="37" t="str">
        <f t="shared" si="5"/>
        <v>New Customers</v>
      </c>
    </row>
    <row r="543" ht="15.75" customHeight="1">
      <c r="A543" s="46" t="str">
        <f>'👥 Клієнти'!A542</f>
        <v>U0114</v>
      </c>
      <c r="B543" s="46">
        <f>'👥 Клієнти'!F542</f>
        <v>1</v>
      </c>
      <c r="C543" s="46">
        <f>'👥 Клієнти'!D542</f>
        <v>3</v>
      </c>
      <c r="D543" s="47">
        <f>'👥 Клієнти'!E542</f>
        <v>39.98</v>
      </c>
      <c r="E543" s="35">
        <f t="shared" si="1"/>
        <v>5</v>
      </c>
      <c r="F543" s="35">
        <f t="shared" si="2"/>
        <v>2</v>
      </c>
      <c r="G543" s="37">
        <f t="shared" si="3"/>
        <v>2</v>
      </c>
      <c r="H543" s="37" t="str">
        <f t="shared" si="4"/>
        <v>522</v>
      </c>
      <c r="I543" s="37" t="str">
        <f t="shared" si="5"/>
        <v>New Customers</v>
      </c>
    </row>
    <row r="544" ht="15.75" customHeight="1">
      <c r="A544" s="46" t="str">
        <f>'👥 Клієнти'!A543</f>
        <v>U0796</v>
      </c>
      <c r="B544" s="46">
        <f>'👥 Клієнти'!F543</f>
        <v>1</v>
      </c>
      <c r="C544" s="46">
        <f>'👥 Клієнти'!D543</f>
        <v>3</v>
      </c>
      <c r="D544" s="47">
        <f>'👥 Клієнти'!E543</f>
        <v>39.98</v>
      </c>
      <c r="E544" s="35">
        <f t="shared" si="1"/>
        <v>5</v>
      </c>
      <c r="F544" s="35">
        <f t="shared" si="2"/>
        <v>2</v>
      </c>
      <c r="G544" s="37">
        <f t="shared" si="3"/>
        <v>2</v>
      </c>
      <c r="H544" s="37" t="str">
        <f t="shared" si="4"/>
        <v>522</v>
      </c>
      <c r="I544" s="37" t="str">
        <f t="shared" si="5"/>
        <v>New Customers</v>
      </c>
    </row>
    <row r="545" ht="15.75" customHeight="1">
      <c r="A545" s="46" t="str">
        <f>'👥 Клієнти'!A544</f>
        <v>U0552</v>
      </c>
      <c r="B545" s="46">
        <f>'👥 Клієнти'!F544</f>
        <v>0</v>
      </c>
      <c r="C545" s="46">
        <f>'👥 Клієнти'!D544</f>
        <v>3</v>
      </c>
      <c r="D545" s="47">
        <f>'👥 Клієнти'!E544</f>
        <v>39.98</v>
      </c>
      <c r="E545" s="35">
        <f t="shared" si="1"/>
        <v>5</v>
      </c>
      <c r="F545" s="35">
        <f t="shared" si="2"/>
        <v>2</v>
      </c>
      <c r="G545" s="37">
        <f t="shared" si="3"/>
        <v>2</v>
      </c>
      <c r="H545" s="37" t="str">
        <f t="shared" si="4"/>
        <v>522</v>
      </c>
      <c r="I545" s="37" t="str">
        <f t="shared" si="5"/>
        <v>New Customers</v>
      </c>
    </row>
    <row r="546" ht="15.75" customHeight="1">
      <c r="A546" s="46" t="str">
        <f>'👥 Клієнти'!A545</f>
        <v>U0198</v>
      </c>
      <c r="B546" s="46">
        <f>'👥 Клієнти'!F545</f>
        <v>28</v>
      </c>
      <c r="C546" s="46">
        <f>'👥 Клієнти'!D545</f>
        <v>2</v>
      </c>
      <c r="D546" s="47">
        <f>'👥 Клієнти'!E545</f>
        <v>19.99</v>
      </c>
      <c r="E546" s="35">
        <f t="shared" si="1"/>
        <v>2</v>
      </c>
      <c r="F546" s="35">
        <f t="shared" si="2"/>
        <v>1</v>
      </c>
      <c r="G546" s="37">
        <f t="shared" si="3"/>
        <v>1</v>
      </c>
      <c r="H546" s="37" t="str">
        <f t="shared" si="4"/>
        <v>211</v>
      </c>
      <c r="I546" s="37" t="str">
        <f t="shared" si="5"/>
        <v>Lost</v>
      </c>
    </row>
    <row r="547" ht="15.75" customHeight="1">
      <c r="A547" s="46" t="str">
        <f>'👥 Клієнти'!A546</f>
        <v>U0468</v>
      </c>
      <c r="B547" s="46">
        <f>'👥 Клієнти'!F546</f>
        <v>28</v>
      </c>
      <c r="C547" s="46">
        <f>'👥 Клієнти'!D546</f>
        <v>2</v>
      </c>
      <c r="D547" s="47">
        <f>'👥 Клієнти'!E546</f>
        <v>19.99</v>
      </c>
      <c r="E547" s="35">
        <f t="shared" si="1"/>
        <v>2</v>
      </c>
      <c r="F547" s="35">
        <f t="shared" si="2"/>
        <v>1</v>
      </c>
      <c r="G547" s="37">
        <f t="shared" si="3"/>
        <v>1</v>
      </c>
      <c r="H547" s="37" t="str">
        <f t="shared" si="4"/>
        <v>211</v>
      </c>
      <c r="I547" s="37" t="str">
        <f t="shared" si="5"/>
        <v>Lost</v>
      </c>
    </row>
    <row r="548" ht="15.75" customHeight="1">
      <c r="A548" s="46" t="str">
        <f>'👥 Клієнти'!A547</f>
        <v>U0708</v>
      </c>
      <c r="B548" s="46">
        <f>'👥 Клієнти'!F547</f>
        <v>28</v>
      </c>
      <c r="C548" s="46">
        <f>'👥 Клієнти'!D547</f>
        <v>2</v>
      </c>
      <c r="D548" s="47">
        <f>'👥 Клієнти'!E547</f>
        <v>19.99</v>
      </c>
      <c r="E548" s="35">
        <f t="shared" si="1"/>
        <v>2</v>
      </c>
      <c r="F548" s="35">
        <f t="shared" si="2"/>
        <v>1</v>
      </c>
      <c r="G548" s="37">
        <f t="shared" si="3"/>
        <v>1</v>
      </c>
      <c r="H548" s="37" t="str">
        <f t="shared" si="4"/>
        <v>211</v>
      </c>
      <c r="I548" s="37" t="str">
        <f t="shared" si="5"/>
        <v>Lost</v>
      </c>
    </row>
    <row r="549" ht="15.75" customHeight="1">
      <c r="A549" s="46" t="str">
        <f>'👥 Клієнти'!A548</f>
        <v>U0081</v>
      </c>
      <c r="B549" s="46">
        <f>'👥 Клієнти'!F548</f>
        <v>27</v>
      </c>
      <c r="C549" s="46">
        <f>'👥 Клієнти'!D548</f>
        <v>2</v>
      </c>
      <c r="D549" s="47">
        <f>'👥 Клієнти'!E548</f>
        <v>19.99</v>
      </c>
      <c r="E549" s="35">
        <f t="shared" si="1"/>
        <v>2</v>
      </c>
      <c r="F549" s="35">
        <f t="shared" si="2"/>
        <v>1</v>
      </c>
      <c r="G549" s="37">
        <f t="shared" si="3"/>
        <v>1</v>
      </c>
      <c r="H549" s="37" t="str">
        <f t="shared" si="4"/>
        <v>211</v>
      </c>
      <c r="I549" s="37" t="str">
        <f t="shared" si="5"/>
        <v>Lost</v>
      </c>
    </row>
    <row r="550" ht="15.75" customHeight="1">
      <c r="A550" s="46" t="str">
        <f>'👥 Клієнти'!A549</f>
        <v>U0272</v>
      </c>
      <c r="B550" s="46">
        <f>'👥 Клієнти'!F549</f>
        <v>27</v>
      </c>
      <c r="C550" s="46">
        <f>'👥 Клієнти'!D549</f>
        <v>2</v>
      </c>
      <c r="D550" s="47">
        <f>'👥 Клієнти'!E549</f>
        <v>19.99</v>
      </c>
      <c r="E550" s="35">
        <f t="shared" si="1"/>
        <v>2</v>
      </c>
      <c r="F550" s="35">
        <f t="shared" si="2"/>
        <v>1</v>
      </c>
      <c r="G550" s="37">
        <f t="shared" si="3"/>
        <v>1</v>
      </c>
      <c r="H550" s="37" t="str">
        <f t="shared" si="4"/>
        <v>211</v>
      </c>
      <c r="I550" s="37" t="str">
        <f t="shared" si="5"/>
        <v>Lost</v>
      </c>
    </row>
    <row r="551" ht="15.75" customHeight="1">
      <c r="A551" s="46" t="str">
        <f>'👥 Клієнти'!A550</f>
        <v>U0537</v>
      </c>
      <c r="B551" s="46">
        <f>'👥 Клієнти'!F550</f>
        <v>26</v>
      </c>
      <c r="C551" s="46">
        <f>'👥 Клієнти'!D550</f>
        <v>2</v>
      </c>
      <c r="D551" s="47">
        <f>'👥 Клієнти'!E550</f>
        <v>19.99</v>
      </c>
      <c r="E551" s="35">
        <f t="shared" si="1"/>
        <v>2</v>
      </c>
      <c r="F551" s="35">
        <f t="shared" si="2"/>
        <v>1</v>
      </c>
      <c r="G551" s="37">
        <f t="shared" si="3"/>
        <v>1</v>
      </c>
      <c r="H551" s="37" t="str">
        <f t="shared" si="4"/>
        <v>211</v>
      </c>
      <c r="I551" s="37" t="str">
        <f t="shared" si="5"/>
        <v>Lost</v>
      </c>
    </row>
    <row r="552" ht="15.75" customHeight="1">
      <c r="A552" s="46" t="str">
        <f>'👥 Клієнти'!A551</f>
        <v>U0772</v>
      </c>
      <c r="B552" s="46">
        <f>'👥 Клієнти'!F551</f>
        <v>26</v>
      </c>
      <c r="C552" s="46">
        <f>'👥 Клієнти'!D551</f>
        <v>2</v>
      </c>
      <c r="D552" s="47">
        <f>'👥 Клієнти'!E551</f>
        <v>19.99</v>
      </c>
      <c r="E552" s="35">
        <f t="shared" si="1"/>
        <v>2</v>
      </c>
      <c r="F552" s="35">
        <f t="shared" si="2"/>
        <v>1</v>
      </c>
      <c r="G552" s="37">
        <f t="shared" si="3"/>
        <v>1</v>
      </c>
      <c r="H552" s="37" t="str">
        <f t="shared" si="4"/>
        <v>211</v>
      </c>
      <c r="I552" s="37" t="str">
        <f t="shared" si="5"/>
        <v>Lost</v>
      </c>
    </row>
    <row r="553" ht="15.75" customHeight="1">
      <c r="A553" s="46" t="str">
        <f>'👥 Клієнти'!A552</f>
        <v>U0281</v>
      </c>
      <c r="B553" s="46">
        <f>'👥 Клієнти'!F552</f>
        <v>25</v>
      </c>
      <c r="C553" s="46">
        <f>'👥 Клієнти'!D552</f>
        <v>2</v>
      </c>
      <c r="D553" s="47">
        <f>'👥 Клієнти'!E552</f>
        <v>19.99</v>
      </c>
      <c r="E553" s="35">
        <f t="shared" si="1"/>
        <v>3</v>
      </c>
      <c r="F553" s="35">
        <f t="shared" si="2"/>
        <v>1</v>
      </c>
      <c r="G553" s="37">
        <f t="shared" si="3"/>
        <v>1</v>
      </c>
      <c r="H553" s="37" t="str">
        <f t="shared" si="4"/>
        <v>311</v>
      </c>
      <c r="I553" s="37" t="str">
        <f t="shared" si="5"/>
        <v>Promising</v>
      </c>
    </row>
    <row r="554" ht="15.75" customHeight="1">
      <c r="A554" s="46" t="str">
        <f>'👥 Клієнти'!A553</f>
        <v>U0337</v>
      </c>
      <c r="B554" s="46">
        <f>'👥 Клієнти'!F553</f>
        <v>25</v>
      </c>
      <c r="C554" s="46">
        <f>'👥 Клієнти'!D553</f>
        <v>2</v>
      </c>
      <c r="D554" s="47">
        <f>'👥 Клієнти'!E553</f>
        <v>19.99</v>
      </c>
      <c r="E554" s="35">
        <f t="shared" si="1"/>
        <v>3</v>
      </c>
      <c r="F554" s="35">
        <f t="shared" si="2"/>
        <v>1</v>
      </c>
      <c r="G554" s="37">
        <f t="shared" si="3"/>
        <v>1</v>
      </c>
      <c r="H554" s="37" t="str">
        <f t="shared" si="4"/>
        <v>311</v>
      </c>
      <c r="I554" s="37" t="str">
        <f t="shared" si="5"/>
        <v>Promising</v>
      </c>
    </row>
    <row r="555" ht="15.75" customHeight="1">
      <c r="A555" s="46" t="str">
        <f>'👥 Клієнти'!A554</f>
        <v>U0514</v>
      </c>
      <c r="B555" s="46">
        <f>'👥 Клієнти'!F554</f>
        <v>25</v>
      </c>
      <c r="C555" s="46">
        <f>'👥 Клієнти'!D554</f>
        <v>2</v>
      </c>
      <c r="D555" s="47">
        <f>'👥 Клієнти'!E554</f>
        <v>19.99</v>
      </c>
      <c r="E555" s="35">
        <f t="shared" si="1"/>
        <v>3</v>
      </c>
      <c r="F555" s="35">
        <f t="shared" si="2"/>
        <v>1</v>
      </c>
      <c r="G555" s="37">
        <f t="shared" si="3"/>
        <v>1</v>
      </c>
      <c r="H555" s="37" t="str">
        <f t="shared" si="4"/>
        <v>311</v>
      </c>
      <c r="I555" s="37" t="str">
        <f t="shared" si="5"/>
        <v>Promising</v>
      </c>
    </row>
    <row r="556" ht="15.75" customHeight="1">
      <c r="A556" s="46" t="str">
        <f>'👥 Клієнти'!A555</f>
        <v>U0746</v>
      </c>
      <c r="B556" s="46">
        <f>'👥 Клієнти'!F555</f>
        <v>25</v>
      </c>
      <c r="C556" s="46">
        <f>'👥 Клієнти'!D555</f>
        <v>2</v>
      </c>
      <c r="D556" s="47">
        <f>'👥 Клієнти'!E555</f>
        <v>19.99</v>
      </c>
      <c r="E556" s="35">
        <f t="shared" si="1"/>
        <v>3</v>
      </c>
      <c r="F556" s="35">
        <f t="shared" si="2"/>
        <v>1</v>
      </c>
      <c r="G556" s="37">
        <f t="shared" si="3"/>
        <v>1</v>
      </c>
      <c r="H556" s="37" t="str">
        <f t="shared" si="4"/>
        <v>311</v>
      </c>
      <c r="I556" s="37" t="str">
        <f t="shared" si="5"/>
        <v>Promising</v>
      </c>
    </row>
    <row r="557" ht="15.75" customHeight="1">
      <c r="A557" s="46" t="str">
        <f>'👥 Клієнти'!A556</f>
        <v>U0814</v>
      </c>
      <c r="B557" s="46">
        <f>'👥 Клієнти'!F556</f>
        <v>23</v>
      </c>
      <c r="C557" s="46">
        <f>'👥 Клієнти'!D556</f>
        <v>2</v>
      </c>
      <c r="D557" s="47">
        <f>'👥 Клієнти'!E556</f>
        <v>19.99</v>
      </c>
      <c r="E557" s="35">
        <f t="shared" si="1"/>
        <v>3</v>
      </c>
      <c r="F557" s="35">
        <f t="shared" si="2"/>
        <v>1</v>
      </c>
      <c r="G557" s="37">
        <f t="shared" si="3"/>
        <v>1</v>
      </c>
      <c r="H557" s="37" t="str">
        <f t="shared" si="4"/>
        <v>311</v>
      </c>
      <c r="I557" s="37" t="str">
        <f t="shared" si="5"/>
        <v>Promising</v>
      </c>
    </row>
    <row r="558" ht="15.75" customHeight="1">
      <c r="A558" s="46" t="str">
        <f>'👥 Клієнти'!A557</f>
        <v>U0513</v>
      </c>
      <c r="B558" s="46">
        <f>'👥 Клієнти'!F557</f>
        <v>22</v>
      </c>
      <c r="C558" s="46">
        <f>'👥 Клієнти'!D557</f>
        <v>2</v>
      </c>
      <c r="D558" s="47">
        <f>'👥 Клієнти'!E557</f>
        <v>19.99</v>
      </c>
      <c r="E558" s="35">
        <f t="shared" si="1"/>
        <v>3</v>
      </c>
      <c r="F558" s="35">
        <f t="shared" si="2"/>
        <v>1</v>
      </c>
      <c r="G558" s="37">
        <f t="shared" si="3"/>
        <v>1</v>
      </c>
      <c r="H558" s="37" t="str">
        <f t="shared" si="4"/>
        <v>311</v>
      </c>
      <c r="I558" s="37" t="str">
        <f t="shared" si="5"/>
        <v>Promising</v>
      </c>
    </row>
    <row r="559" ht="15.75" customHeight="1">
      <c r="A559" s="46" t="str">
        <f>'👥 Клієнти'!A558</f>
        <v>U0002</v>
      </c>
      <c r="B559" s="46">
        <f>'👥 Клієнти'!F558</f>
        <v>21</v>
      </c>
      <c r="C559" s="46">
        <f>'👥 Клієнти'!D558</f>
        <v>2</v>
      </c>
      <c r="D559" s="47">
        <f>'👥 Клієнти'!E558</f>
        <v>19.99</v>
      </c>
      <c r="E559" s="35">
        <f t="shared" si="1"/>
        <v>3</v>
      </c>
      <c r="F559" s="35">
        <f t="shared" si="2"/>
        <v>1</v>
      </c>
      <c r="G559" s="37">
        <f t="shared" si="3"/>
        <v>1</v>
      </c>
      <c r="H559" s="37" t="str">
        <f t="shared" si="4"/>
        <v>311</v>
      </c>
      <c r="I559" s="37" t="str">
        <f t="shared" si="5"/>
        <v>Promising</v>
      </c>
    </row>
    <row r="560" ht="15.75" customHeight="1">
      <c r="A560" s="46" t="str">
        <f>'👥 Клієнти'!A559</f>
        <v>U0053</v>
      </c>
      <c r="B560" s="46">
        <f>'👥 Клієнти'!F559</f>
        <v>20</v>
      </c>
      <c r="C560" s="46">
        <f>'👥 Клієнти'!D559</f>
        <v>2</v>
      </c>
      <c r="D560" s="47">
        <f>'👥 Клієнти'!E559</f>
        <v>19.99</v>
      </c>
      <c r="E560" s="35">
        <f t="shared" si="1"/>
        <v>3</v>
      </c>
      <c r="F560" s="35">
        <f t="shared" si="2"/>
        <v>1</v>
      </c>
      <c r="G560" s="37">
        <f t="shared" si="3"/>
        <v>1</v>
      </c>
      <c r="H560" s="37" t="str">
        <f t="shared" si="4"/>
        <v>311</v>
      </c>
      <c r="I560" s="37" t="str">
        <f t="shared" si="5"/>
        <v>Promising</v>
      </c>
    </row>
    <row r="561" ht="15.75" customHeight="1">
      <c r="A561" s="46" t="str">
        <f>'👥 Клієнти'!A560</f>
        <v>U0442</v>
      </c>
      <c r="B561" s="46">
        <f>'👥 Клієнти'!F560</f>
        <v>20</v>
      </c>
      <c r="C561" s="46">
        <f>'👥 Клієнти'!D560</f>
        <v>2</v>
      </c>
      <c r="D561" s="47">
        <f>'👥 Клієнти'!E560</f>
        <v>19.99</v>
      </c>
      <c r="E561" s="35">
        <f t="shared" si="1"/>
        <v>3</v>
      </c>
      <c r="F561" s="35">
        <f t="shared" si="2"/>
        <v>1</v>
      </c>
      <c r="G561" s="37">
        <f t="shared" si="3"/>
        <v>1</v>
      </c>
      <c r="H561" s="37" t="str">
        <f t="shared" si="4"/>
        <v>311</v>
      </c>
      <c r="I561" s="37" t="str">
        <f t="shared" si="5"/>
        <v>Promising</v>
      </c>
    </row>
    <row r="562" ht="15.75" customHeight="1">
      <c r="A562" s="46" t="str">
        <f>'👥 Клієнти'!A561</f>
        <v>U0257</v>
      </c>
      <c r="B562" s="46">
        <f>'👥 Клієнти'!F561</f>
        <v>19</v>
      </c>
      <c r="C562" s="46">
        <f>'👥 Клієнти'!D561</f>
        <v>2</v>
      </c>
      <c r="D562" s="47">
        <f>'👥 Клієнти'!E561</f>
        <v>19.99</v>
      </c>
      <c r="E562" s="35">
        <f t="shared" si="1"/>
        <v>3</v>
      </c>
      <c r="F562" s="35">
        <f t="shared" si="2"/>
        <v>1</v>
      </c>
      <c r="G562" s="37">
        <f t="shared" si="3"/>
        <v>1</v>
      </c>
      <c r="H562" s="37" t="str">
        <f t="shared" si="4"/>
        <v>311</v>
      </c>
      <c r="I562" s="37" t="str">
        <f t="shared" si="5"/>
        <v>Promising</v>
      </c>
    </row>
    <row r="563" ht="15.75" customHeight="1">
      <c r="A563" s="46" t="str">
        <f>'👥 Клієнти'!A562</f>
        <v>U0476</v>
      </c>
      <c r="B563" s="46">
        <f>'👥 Клієнти'!F562</f>
        <v>18</v>
      </c>
      <c r="C563" s="46">
        <f>'👥 Клієнти'!D562</f>
        <v>2</v>
      </c>
      <c r="D563" s="47">
        <f>'👥 Клієнти'!E562</f>
        <v>19.99</v>
      </c>
      <c r="E563" s="35">
        <f t="shared" si="1"/>
        <v>3</v>
      </c>
      <c r="F563" s="35">
        <f t="shared" si="2"/>
        <v>1</v>
      </c>
      <c r="G563" s="37">
        <f t="shared" si="3"/>
        <v>1</v>
      </c>
      <c r="H563" s="37" t="str">
        <f t="shared" si="4"/>
        <v>311</v>
      </c>
      <c r="I563" s="37" t="str">
        <f t="shared" si="5"/>
        <v>Promising</v>
      </c>
    </row>
    <row r="564" ht="15.75" customHeight="1">
      <c r="A564" s="46" t="str">
        <f>'👥 Клієнти'!A563</f>
        <v>U0536</v>
      </c>
      <c r="B564" s="46">
        <f>'👥 Клієнти'!F563</f>
        <v>17</v>
      </c>
      <c r="C564" s="46">
        <f>'👥 Клієнти'!D563</f>
        <v>2</v>
      </c>
      <c r="D564" s="47">
        <f>'👥 Клієнти'!E563</f>
        <v>19.99</v>
      </c>
      <c r="E564" s="35">
        <f t="shared" si="1"/>
        <v>3</v>
      </c>
      <c r="F564" s="35">
        <f t="shared" si="2"/>
        <v>1</v>
      </c>
      <c r="G564" s="37">
        <f t="shared" si="3"/>
        <v>1</v>
      </c>
      <c r="H564" s="37" t="str">
        <f t="shared" si="4"/>
        <v>311</v>
      </c>
      <c r="I564" s="37" t="str">
        <f t="shared" si="5"/>
        <v>Promising</v>
      </c>
    </row>
    <row r="565" ht="15.75" customHeight="1">
      <c r="A565" s="46" t="str">
        <f>'👥 Клієнти'!A564</f>
        <v>U0465</v>
      </c>
      <c r="B565" s="46">
        <f>'👥 Клієнти'!F564</f>
        <v>16</v>
      </c>
      <c r="C565" s="46">
        <f>'👥 Клієнти'!D564</f>
        <v>2</v>
      </c>
      <c r="D565" s="47">
        <f>'👥 Клієнти'!E564</f>
        <v>19.99</v>
      </c>
      <c r="E565" s="35">
        <f t="shared" si="1"/>
        <v>3</v>
      </c>
      <c r="F565" s="35">
        <f t="shared" si="2"/>
        <v>1</v>
      </c>
      <c r="G565" s="37">
        <f t="shared" si="3"/>
        <v>1</v>
      </c>
      <c r="H565" s="37" t="str">
        <f t="shared" si="4"/>
        <v>311</v>
      </c>
      <c r="I565" s="37" t="str">
        <f t="shared" si="5"/>
        <v>Promising</v>
      </c>
    </row>
    <row r="566" ht="15.75" customHeight="1">
      <c r="A566" s="46" t="str">
        <f>'👥 Клієнти'!A565</f>
        <v>U0576</v>
      </c>
      <c r="B566" s="46">
        <f>'👥 Клієнти'!F565</f>
        <v>16</v>
      </c>
      <c r="C566" s="46">
        <f>'👥 Клієнти'!D565</f>
        <v>2</v>
      </c>
      <c r="D566" s="47">
        <f>'👥 Клієнти'!E565</f>
        <v>19.99</v>
      </c>
      <c r="E566" s="35">
        <f t="shared" si="1"/>
        <v>3</v>
      </c>
      <c r="F566" s="35">
        <f t="shared" si="2"/>
        <v>1</v>
      </c>
      <c r="G566" s="37">
        <f t="shared" si="3"/>
        <v>1</v>
      </c>
      <c r="H566" s="37" t="str">
        <f t="shared" si="4"/>
        <v>311</v>
      </c>
      <c r="I566" s="37" t="str">
        <f t="shared" si="5"/>
        <v>Promising</v>
      </c>
    </row>
    <row r="567" ht="15.75" customHeight="1">
      <c r="A567" s="46" t="str">
        <f>'👥 Клієнти'!A566</f>
        <v>U0412</v>
      </c>
      <c r="B567" s="46">
        <f>'👥 Клієнти'!F566</f>
        <v>15</v>
      </c>
      <c r="C567" s="46">
        <f>'👥 Клієнти'!D566</f>
        <v>2</v>
      </c>
      <c r="D567" s="47">
        <f>'👥 Клієнти'!E566</f>
        <v>19.99</v>
      </c>
      <c r="E567" s="35">
        <f t="shared" si="1"/>
        <v>4</v>
      </c>
      <c r="F567" s="35">
        <f t="shared" si="2"/>
        <v>1</v>
      </c>
      <c r="G567" s="37">
        <f t="shared" si="3"/>
        <v>1</v>
      </c>
      <c r="H567" s="37" t="str">
        <f t="shared" si="4"/>
        <v>411</v>
      </c>
      <c r="I567" s="37" t="str">
        <f t="shared" si="5"/>
        <v>New Customers</v>
      </c>
    </row>
    <row r="568" ht="15.75" customHeight="1">
      <c r="A568" s="46" t="str">
        <f>'👥 Клієнти'!A567</f>
        <v>U0446</v>
      </c>
      <c r="B568" s="46">
        <f>'👥 Клієнти'!F567</f>
        <v>15</v>
      </c>
      <c r="C568" s="46">
        <f>'👥 Клієнти'!D567</f>
        <v>2</v>
      </c>
      <c r="D568" s="47">
        <f>'👥 Клієнти'!E567</f>
        <v>19.99</v>
      </c>
      <c r="E568" s="35">
        <f t="shared" si="1"/>
        <v>4</v>
      </c>
      <c r="F568" s="35">
        <f t="shared" si="2"/>
        <v>1</v>
      </c>
      <c r="G568" s="37">
        <f t="shared" si="3"/>
        <v>1</v>
      </c>
      <c r="H568" s="37" t="str">
        <f t="shared" si="4"/>
        <v>411</v>
      </c>
      <c r="I568" s="37" t="str">
        <f t="shared" si="5"/>
        <v>New Customers</v>
      </c>
    </row>
    <row r="569" ht="15.75" customHeight="1">
      <c r="A569" s="46" t="str">
        <f>'👥 Клієнти'!A568</f>
        <v>U0752</v>
      </c>
      <c r="B569" s="46">
        <f>'👥 Клієнти'!F568</f>
        <v>14</v>
      </c>
      <c r="C569" s="46">
        <f>'👥 Клієнти'!D568</f>
        <v>2</v>
      </c>
      <c r="D569" s="47">
        <f>'👥 Клієнти'!E568</f>
        <v>19.99</v>
      </c>
      <c r="E569" s="35">
        <f t="shared" si="1"/>
        <v>4</v>
      </c>
      <c r="F569" s="35">
        <f t="shared" si="2"/>
        <v>1</v>
      </c>
      <c r="G569" s="37">
        <f t="shared" si="3"/>
        <v>1</v>
      </c>
      <c r="H569" s="37" t="str">
        <f t="shared" si="4"/>
        <v>411</v>
      </c>
      <c r="I569" s="37" t="str">
        <f t="shared" si="5"/>
        <v>New Customers</v>
      </c>
    </row>
    <row r="570" ht="15.75" customHeight="1">
      <c r="A570" s="46" t="str">
        <f>'👥 Клієнти'!A569</f>
        <v>U0012</v>
      </c>
      <c r="B570" s="46">
        <f>'👥 Клієнти'!F569</f>
        <v>13</v>
      </c>
      <c r="C570" s="46">
        <f>'👥 Клієнти'!D569</f>
        <v>2</v>
      </c>
      <c r="D570" s="47">
        <f>'👥 Клієнти'!E569</f>
        <v>19.99</v>
      </c>
      <c r="E570" s="35">
        <f t="shared" si="1"/>
        <v>4</v>
      </c>
      <c r="F570" s="35">
        <f t="shared" si="2"/>
        <v>1</v>
      </c>
      <c r="G570" s="37">
        <f t="shared" si="3"/>
        <v>1</v>
      </c>
      <c r="H570" s="37" t="str">
        <f t="shared" si="4"/>
        <v>411</v>
      </c>
      <c r="I570" s="37" t="str">
        <f t="shared" si="5"/>
        <v>New Customers</v>
      </c>
    </row>
    <row r="571" ht="15.75" customHeight="1">
      <c r="A571" s="46" t="str">
        <f>'👥 Клієнти'!A570</f>
        <v>U0807</v>
      </c>
      <c r="B571" s="46">
        <f>'👥 Клієнти'!F570</f>
        <v>12</v>
      </c>
      <c r="C571" s="46">
        <f>'👥 Клієнти'!D570</f>
        <v>2</v>
      </c>
      <c r="D571" s="47">
        <f>'👥 Клієнти'!E570</f>
        <v>19.99</v>
      </c>
      <c r="E571" s="35">
        <f t="shared" si="1"/>
        <v>4</v>
      </c>
      <c r="F571" s="35">
        <f t="shared" si="2"/>
        <v>1</v>
      </c>
      <c r="G571" s="37">
        <f t="shared" si="3"/>
        <v>1</v>
      </c>
      <c r="H571" s="37" t="str">
        <f t="shared" si="4"/>
        <v>411</v>
      </c>
      <c r="I571" s="37" t="str">
        <f t="shared" si="5"/>
        <v>New Customers</v>
      </c>
    </row>
    <row r="572" ht="15.75" customHeight="1">
      <c r="A572" s="46" t="str">
        <f>'👥 Клієнти'!A571</f>
        <v>U0034</v>
      </c>
      <c r="B572" s="46">
        <f>'👥 Клієнти'!F571</f>
        <v>11</v>
      </c>
      <c r="C572" s="46">
        <f>'👥 Клієнти'!D571</f>
        <v>2</v>
      </c>
      <c r="D572" s="47">
        <f>'👥 Клієнти'!E571</f>
        <v>19.99</v>
      </c>
      <c r="E572" s="35">
        <f t="shared" si="1"/>
        <v>4</v>
      </c>
      <c r="F572" s="35">
        <f t="shared" si="2"/>
        <v>1</v>
      </c>
      <c r="G572" s="37">
        <f t="shared" si="3"/>
        <v>1</v>
      </c>
      <c r="H572" s="37" t="str">
        <f t="shared" si="4"/>
        <v>411</v>
      </c>
      <c r="I572" s="37" t="str">
        <f t="shared" si="5"/>
        <v>New Customers</v>
      </c>
    </row>
    <row r="573" ht="15.75" customHeight="1">
      <c r="A573" s="46" t="str">
        <f>'👥 Клієнти'!A572</f>
        <v>U0306</v>
      </c>
      <c r="B573" s="46">
        <f>'👥 Клієнти'!F572</f>
        <v>11</v>
      </c>
      <c r="C573" s="46">
        <f>'👥 Клієнти'!D572</f>
        <v>2</v>
      </c>
      <c r="D573" s="47">
        <f>'👥 Клієнти'!E572</f>
        <v>19.99</v>
      </c>
      <c r="E573" s="35">
        <f t="shared" si="1"/>
        <v>4</v>
      </c>
      <c r="F573" s="35">
        <f t="shared" si="2"/>
        <v>1</v>
      </c>
      <c r="G573" s="37">
        <f t="shared" si="3"/>
        <v>1</v>
      </c>
      <c r="H573" s="37" t="str">
        <f t="shared" si="4"/>
        <v>411</v>
      </c>
      <c r="I573" s="37" t="str">
        <f t="shared" si="5"/>
        <v>New Customers</v>
      </c>
    </row>
    <row r="574" ht="15.75" customHeight="1">
      <c r="A574" s="46" t="str">
        <f>'👥 Клієнти'!A573</f>
        <v>U0409</v>
      </c>
      <c r="B574" s="46">
        <f>'👥 Клієнти'!F573</f>
        <v>11</v>
      </c>
      <c r="C574" s="46">
        <f>'👥 Клієнти'!D573</f>
        <v>2</v>
      </c>
      <c r="D574" s="47">
        <f>'👥 Клієнти'!E573</f>
        <v>19.99</v>
      </c>
      <c r="E574" s="35">
        <f t="shared" si="1"/>
        <v>4</v>
      </c>
      <c r="F574" s="35">
        <f t="shared" si="2"/>
        <v>1</v>
      </c>
      <c r="G574" s="37">
        <f t="shared" si="3"/>
        <v>1</v>
      </c>
      <c r="H574" s="37" t="str">
        <f t="shared" si="4"/>
        <v>411</v>
      </c>
      <c r="I574" s="37" t="str">
        <f t="shared" si="5"/>
        <v>New Customers</v>
      </c>
    </row>
    <row r="575" ht="15.75" customHeight="1">
      <c r="A575" s="46" t="str">
        <f>'👥 Клієнти'!A574</f>
        <v>U0479</v>
      </c>
      <c r="B575" s="46">
        <f>'👥 Клієнти'!F574</f>
        <v>11</v>
      </c>
      <c r="C575" s="46">
        <f>'👥 Клієнти'!D574</f>
        <v>2</v>
      </c>
      <c r="D575" s="47">
        <f>'👥 Клієнти'!E574</f>
        <v>19.99</v>
      </c>
      <c r="E575" s="35">
        <f t="shared" si="1"/>
        <v>4</v>
      </c>
      <c r="F575" s="35">
        <f t="shared" si="2"/>
        <v>1</v>
      </c>
      <c r="G575" s="37">
        <f t="shared" si="3"/>
        <v>1</v>
      </c>
      <c r="H575" s="37" t="str">
        <f t="shared" si="4"/>
        <v>411</v>
      </c>
      <c r="I575" s="37" t="str">
        <f t="shared" si="5"/>
        <v>New Customers</v>
      </c>
    </row>
    <row r="576" ht="15.75" customHeight="1">
      <c r="A576" s="46" t="str">
        <f>'👥 Клієнти'!A575</f>
        <v>U0716</v>
      </c>
      <c r="B576" s="46">
        <f>'👥 Клієнти'!F575</f>
        <v>11</v>
      </c>
      <c r="C576" s="46">
        <f>'👥 Клієнти'!D575</f>
        <v>2</v>
      </c>
      <c r="D576" s="47">
        <f>'👥 Клієнти'!E575</f>
        <v>19.99</v>
      </c>
      <c r="E576" s="35">
        <f t="shared" si="1"/>
        <v>4</v>
      </c>
      <c r="F576" s="35">
        <f t="shared" si="2"/>
        <v>1</v>
      </c>
      <c r="G576" s="37">
        <f t="shared" si="3"/>
        <v>1</v>
      </c>
      <c r="H576" s="37" t="str">
        <f t="shared" si="4"/>
        <v>411</v>
      </c>
      <c r="I576" s="37" t="str">
        <f t="shared" si="5"/>
        <v>New Customers</v>
      </c>
    </row>
    <row r="577" ht="15.75" customHeight="1">
      <c r="A577" s="46" t="str">
        <f>'👥 Клієнти'!A576</f>
        <v>U0070</v>
      </c>
      <c r="B577" s="46">
        <f>'👥 Клієнти'!F576</f>
        <v>10</v>
      </c>
      <c r="C577" s="46">
        <f>'👥 Клієнти'!D576</f>
        <v>2</v>
      </c>
      <c r="D577" s="47">
        <f>'👥 Клієнти'!E576</f>
        <v>19.99</v>
      </c>
      <c r="E577" s="35">
        <f t="shared" si="1"/>
        <v>4</v>
      </c>
      <c r="F577" s="35">
        <f t="shared" si="2"/>
        <v>1</v>
      </c>
      <c r="G577" s="37">
        <f t="shared" si="3"/>
        <v>1</v>
      </c>
      <c r="H577" s="37" t="str">
        <f t="shared" si="4"/>
        <v>411</v>
      </c>
      <c r="I577" s="37" t="str">
        <f t="shared" si="5"/>
        <v>New Customers</v>
      </c>
    </row>
    <row r="578" ht="15.75" customHeight="1">
      <c r="A578" s="46" t="str">
        <f>'👥 Клієнти'!A577</f>
        <v>U0447</v>
      </c>
      <c r="B578" s="46">
        <f>'👥 Клієнти'!F577</f>
        <v>10</v>
      </c>
      <c r="C578" s="46">
        <f>'👥 Клієнти'!D577</f>
        <v>2</v>
      </c>
      <c r="D578" s="47">
        <f>'👥 Клієнти'!E577</f>
        <v>19.99</v>
      </c>
      <c r="E578" s="35">
        <f t="shared" si="1"/>
        <v>4</v>
      </c>
      <c r="F578" s="35">
        <f t="shared" si="2"/>
        <v>1</v>
      </c>
      <c r="G578" s="37">
        <f t="shared" si="3"/>
        <v>1</v>
      </c>
      <c r="H578" s="37" t="str">
        <f t="shared" si="4"/>
        <v>411</v>
      </c>
      <c r="I578" s="37" t="str">
        <f t="shared" si="5"/>
        <v>New Customers</v>
      </c>
    </row>
    <row r="579" ht="15.75" customHeight="1">
      <c r="A579" s="46" t="str">
        <f>'👥 Клієнти'!A578</f>
        <v>U0035</v>
      </c>
      <c r="B579" s="46">
        <f>'👥 Клієнти'!F578</f>
        <v>9</v>
      </c>
      <c r="C579" s="46">
        <f>'👥 Клієнти'!D578</f>
        <v>2</v>
      </c>
      <c r="D579" s="47">
        <f>'👥 Клієнти'!E578</f>
        <v>19.99</v>
      </c>
      <c r="E579" s="35">
        <f t="shared" si="1"/>
        <v>4</v>
      </c>
      <c r="F579" s="35">
        <f t="shared" si="2"/>
        <v>1</v>
      </c>
      <c r="G579" s="37">
        <f t="shared" si="3"/>
        <v>1</v>
      </c>
      <c r="H579" s="37" t="str">
        <f t="shared" si="4"/>
        <v>411</v>
      </c>
      <c r="I579" s="37" t="str">
        <f t="shared" si="5"/>
        <v>New Customers</v>
      </c>
    </row>
    <row r="580" ht="15.75" customHeight="1">
      <c r="A580" s="46" t="str">
        <f>'👥 Клієнти'!A579</f>
        <v>U0044</v>
      </c>
      <c r="B580" s="46">
        <f>'👥 Клієнти'!F579</f>
        <v>9</v>
      </c>
      <c r="C580" s="46">
        <f>'👥 Клієнти'!D579</f>
        <v>2</v>
      </c>
      <c r="D580" s="47">
        <f>'👥 Клієнти'!E579</f>
        <v>19.99</v>
      </c>
      <c r="E580" s="35">
        <f t="shared" si="1"/>
        <v>4</v>
      </c>
      <c r="F580" s="35">
        <f t="shared" si="2"/>
        <v>1</v>
      </c>
      <c r="G580" s="37">
        <f t="shared" si="3"/>
        <v>1</v>
      </c>
      <c r="H580" s="37" t="str">
        <f t="shared" si="4"/>
        <v>411</v>
      </c>
      <c r="I580" s="37" t="str">
        <f t="shared" si="5"/>
        <v>New Customers</v>
      </c>
    </row>
    <row r="581" ht="15.75" customHeight="1">
      <c r="A581" s="46" t="str">
        <f>'👥 Клієнти'!A580</f>
        <v>U0325</v>
      </c>
      <c r="B581" s="46">
        <f>'👥 Клієнти'!F580</f>
        <v>9</v>
      </c>
      <c r="C581" s="46">
        <f>'👥 Клієнти'!D580</f>
        <v>2</v>
      </c>
      <c r="D581" s="47">
        <f>'👥 Клієнти'!E580</f>
        <v>19.99</v>
      </c>
      <c r="E581" s="35">
        <f t="shared" si="1"/>
        <v>4</v>
      </c>
      <c r="F581" s="35">
        <f t="shared" si="2"/>
        <v>1</v>
      </c>
      <c r="G581" s="37">
        <f t="shared" si="3"/>
        <v>1</v>
      </c>
      <c r="H581" s="37" t="str">
        <f t="shared" si="4"/>
        <v>411</v>
      </c>
      <c r="I581" s="37" t="str">
        <f t="shared" si="5"/>
        <v>New Customers</v>
      </c>
    </row>
    <row r="582" ht="15.75" customHeight="1">
      <c r="A582" s="44" t="str">
        <f>'👥 Клієнти'!A581</f>
        <v>U0396</v>
      </c>
      <c r="B582" s="49">
        <f>'👥 Клієнти'!F581</f>
        <v>9</v>
      </c>
      <c r="C582" s="49">
        <f>'👥 Клієнти'!D581</f>
        <v>2</v>
      </c>
      <c r="D582" s="50">
        <f>'👥 Клієнти'!E581</f>
        <v>19.99</v>
      </c>
      <c r="E582" s="35">
        <f t="shared" si="1"/>
        <v>4</v>
      </c>
      <c r="F582" s="35">
        <f t="shared" si="2"/>
        <v>1</v>
      </c>
      <c r="G582" s="37">
        <f t="shared" si="3"/>
        <v>1</v>
      </c>
      <c r="H582" s="37" t="str">
        <f t="shared" si="4"/>
        <v>411</v>
      </c>
      <c r="I582" s="37" t="str">
        <f t="shared" si="5"/>
        <v>New Customers</v>
      </c>
    </row>
    <row r="583" ht="15.75" customHeight="1">
      <c r="A583" s="33" t="str">
        <f>'👥 Клієнти'!A582</f>
        <v>U0413</v>
      </c>
      <c r="B583" s="51">
        <f>'👥 Клієнти'!F582</f>
        <v>9</v>
      </c>
      <c r="C583" s="51">
        <f>'👥 Клієнти'!D582</f>
        <v>2</v>
      </c>
      <c r="D583" s="52">
        <f>'👥 Клієнти'!E582</f>
        <v>19.99</v>
      </c>
      <c r="E583" s="35">
        <f t="shared" si="1"/>
        <v>4</v>
      </c>
      <c r="F583" s="35">
        <f t="shared" si="2"/>
        <v>1</v>
      </c>
      <c r="G583" s="37">
        <f t="shared" si="3"/>
        <v>1</v>
      </c>
      <c r="H583" s="37" t="str">
        <f t="shared" si="4"/>
        <v>411</v>
      </c>
      <c r="I583" s="37" t="str">
        <f t="shared" si="5"/>
        <v>New Customers</v>
      </c>
    </row>
    <row r="584" ht="15.75" customHeight="1">
      <c r="A584" s="44" t="str">
        <f>'👥 Клієнти'!A583</f>
        <v>U0472</v>
      </c>
      <c r="B584" s="49">
        <f>'👥 Клієнти'!F583</f>
        <v>9</v>
      </c>
      <c r="C584" s="49">
        <f>'👥 Клієнти'!D583</f>
        <v>2</v>
      </c>
      <c r="D584" s="50">
        <f>'👥 Клієнти'!E583</f>
        <v>19.99</v>
      </c>
      <c r="E584" s="35">
        <f t="shared" si="1"/>
        <v>4</v>
      </c>
      <c r="F584" s="35">
        <f t="shared" si="2"/>
        <v>1</v>
      </c>
      <c r="G584" s="37">
        <f t="shared" si="3"/>
        <v>1</v>
      </c>
      <c r="H584" s="37" t="str">
        <f t="shared" si="4"/>
        <v>411</v>
      </c>
      <c r="I584" s="37" t="str">
        <f t="shared" si="5"/>
        <v>New Customers</v>
      </c>
    </row>
    <row r="585" ht="15.75" customHeight="1">
      <c r="A585" s="33" t="str">
        <f>'👥 Клієнти'!A584</f>
        <v>U0509</v>
      </c>
      <c r="B585" s="51">
        <f>'👥 Клієнти'!F584</f>
        <v>9</v>
      </c>
      <c r="C585" s="51">
        <f>'👥 Клієнти'!D584</f>
        <v>2</v>
      </c>
      <c r="D585" s="52">
        <f>'👥 Клієнти'!E584</f>
        <v>19.99</v>
      </c>
      <c r="E585" s="35">
        <f t="shared" si="1"/>
        <v>4</v>
      </c>
      <c r="F585" s="35">
        <f t="shared" si="2"/>
        <v>1</v>
      </c>
      <c r="G585" s="37">
        <f t="shared" si="3"/>
        <v>1</v>
      </c>
      <c r="H585" s="37" t="str">
        <f t="shared" si="4"/>
        <v>411</v>
      </c>
      <c r="I585" s="37" t="str">
        <f t="shared" si="5"/>
        <v>New Customers</v>
      </c>
    </row>
    <row r="586" ht="15.75" customHeight="1">
      <c r="A586" s="44" t="str">
        <f>'👥 Клієнти'!A585</f>
        <v>U0227</v>
      </c>
      <c r="B586" s="49">
        <f>'👥 Клієнти'!F585</f>
        <v>8</v>
      </c>
      <c r="C586" s="49">
        <f>'👥 Клієнти'!D585</f>
        <v>2</v>
      </c>
      <c r="D586" s="50">
        <f>'👥 Клієнти'!E585</f>
        <v>19.99</v>
      </c>
      <c r="E586" s="35">
        <f t="shared" si="1"/>
        <v>4</v>
      </c>
      <c r="F586" s="35">
        <f t="shared" si="2"/>
        <v>1</v>
      </c>
      <c r="G586" s="37">
        <f t="shared" si="3"/>
        <v>1</v>
      </c>
      <c r="H586" s="37" t="str">
        <f t="shared" si="4"/>
        <v>411</v>
      </c>
      <c r="I586" s="37" t="str">
        <f t="shared" si="5"/>
        <v>New Customers</v>
      </c>
    </row>
    <row r="587" ht="15.75" customHeight="1">
      <c r="A587" s="33" t="str">
        <f>'👥 Клієнти'!A586</f>
        <v>U0241</v>
      </c>
      <c r="B587" s="51">
        <f>'👥 Клієнти'!F586</f>
        <v>8</v>
      </c>
      <c r="C587" s="51">
        <f>'👥 Клієнти'!D586</f>
        <v>2</v>
      </c>
      <c r="D587" s="52">
        <f>'👥 Клієнти'!E586</f>
        <v>19.99</v>
      </c>
      <c r="E587" s="35">
        <f t="shared" si="1"/>
        <v>4</v>
      </c>
      <c r="F587" s="35">
        <f t="shared" si="2"/>
        <v>1</v>
      </c>
      <c r="G587" s="37">
        <f t="shared" si="3"/>
        <v>1</v>
      </c>
      <c r="H587" s="37" t="str">
        <f t="shared" si="4"/>
        <v>411</v>
      </c>
      <c r="I587" s="37" t="str">
        <f t="shared" si="5"/>
        <v>New Customers</v>
      </c>
    </row>
    <row r="588" ht="15.75" customHeight="1">
      <c r="A588" s="44" t="str">
        <f>'👥 Клієнти'!A587</f>
        <v>U0486</v>
      </c>
      <c r="B588" s="49">
        <f>'👥 Клієнти'!F587</f>
        <v>8</v>
      </c>
      <c r="C588" s="49">
        <f>'👥 Клієнти'!D587</f>
        <v>2</v>
      </c>
      <c r="D588" s="50">
        <f>'👥 Клієнти'!E587</f>
        <v>19.99</v>
      </c>
      <c r="E588" s="35">
        <f t="shared" si="1"/>
        <v>4</v>
      </c>
      <c r="F588" s="35">
        <f t="shared" si="2"/>
        <v>1</v>
      </c>
      <c r="G588" s="37">
        <f t="shared" si="3"/>
        <v>1</v>
      </c>
      <c r="H588" s="37" t="str">
        <f t="shared" si="4"/>
        <v>411</v>
      </c>
      <c r="I588" s="37" t="str">
        <f t="shared" si="5"/>
        <v>New Customers</v>
      </c>
    </row>
    <row r="589" ht="15.75" customHeight="1">
      <c r="A589" s="33" t="str">
        <f>'👥 Клієнти'!A588</f>
        <v>U0141</v>
      </c>
      <c r="B589" s="51">
        <f>'👥 Клієнти'!F588</f>
        <v>7</v>
      </c>
      <c r="C589" s="51">
        <f>'👥 Клієнти'!D588</f>
        <v>2</v>
      </c>
      <c r="D589" s="52">
        <f>'👥 Клієнти'!E588</f>
        <v>19.99</v>
      </c>
      <c r="E589" s="35">
        <f t="shared" si="1"/>
        <v>5</v>
      </c>
      <c r="F589" s="35">
        <f t="shared" si="2"/>
        <v>1</v>
      </c>
      <c r="G589" s="37">
        <f t="shared" si="3"/>
        <v>1</v>
      </c>
      <c r="H589" s="37" t="str">
        <f t="shared" si="4"/>
        <v>511</v>
      </c>
      <c r="I589" s="37" t="str">
        <f t="shared" si="5"/>
        <v>New Customers</v>
      </c>
    </row>
    <row r="590" ht="15.75" customHeight="1">
      <c r="A590" s="44" t="str">
        <f>'👥 Клієнти'!A589</f>
        <v>U0470</v>
      </c>
      <c r="B590" s="49">
        <f>'👥 Клієнти'!F589</f>
        <v>7</v>
      </c>
      <c r="C590" s="49">
        <f>'👥 Клієнти'!D589</f>
        <v>2</v>
      </c>
      <c r="D590" s="50">
        <f>'👥 Клієнти'!E589</f>
        <v>19.99</v>
      </c>
      <c r="E590" s="35">
        <f t="shared" si="1"/>
        <v>5</v>
      </c>
      <c r="F590" s="35">
        <f t="shared" si="2"/>
        <v>1</v>
      </c>
      <c r="G590" s="37">
        <f t="shared" si="3"/>
        <v>1</v>
      </c>
      <c r="H590" s="37" t="str">
        <f t="shared" si="4"/>
        <v>511</v>
      </c>
      <c r="I590" s="37" t="str">
        <f t="shared" si="5"/>
        <v>New Customers</v>
      </c>
    </row>
    <row r="591" ht="15.75" customHeight="1">
      <c r="A591" s="33" t="str">
        <f>'👥 Клієнти'!A590</f>
        <v>U0676</v>
      </c>
      <c r="B591" s="51">
        <f>'👥 Клієнти'!F590</f>
        <v>7</v>
      </c>
      <c r="C591" s="51">
        <f>'👥 Клієнти'!D590</f>
        <v>2</v>
      </c>
      <c r="D591" s="52">
        <f>'👥 Клієнти'!E590</f>
        <v>19.99</v>
      </c>
      <c r="E591" s="35">
        <f t="shared" si="1"/>
        <v>5</v>
      </c>
      <c r="F591" s="35">
        <f t="shared" si="2"/>
        <v>1</v>
      </c>
      <c r="G591" s="37">
        <f t="shared" si="3"/>
        <v>1</v>
      </c>
      <c r="H591" s="37" t="str">
        <f t="shared" si="4"/>
        <v>511</v>
      </c>
      <c r="I591" s="37" t="str">
        <f t="shared" si="5"/>
        <v>New Customers</v>
      </c>
    </row>
    <row r="592" ht="15.75" customHeight="1">
      <c r="A592" s="44" t="str">
        <f>'👥 Клієнти'!A591</f>
        <v>U0685</v>
      </c>
      <c r="B592" s="49">
        <f>'👥 Клієнти'!F591</f>
        <v>7</v>
      </c>
      <c r="C592" s="49">
        <f>'👥 Клієнти'!D591</f>
        <v>2</v>
      </c>
      <c r="D592" s="50">
        <f>'👥 Клієнти'!E591</f>
        <v>19.99</v>
      </c>
      <c r="E592" s="35">
        <f t="shared" si="1"/>
        <v>5</v>
      </c>
      <c r="F592" s="35">
        <f t="shared" si="2"/>
        <v>1</v>
      </c>
      <c r="G592" s="37">
        <f t="shared" si="3"/>
        <v>1</v>
      </c>
      <c r="H592" s="37" t="str">
        <f t="shared" si="4"/>
        <v>511</v>
      </c>
      <c r="I592" s="37" t="str">
        <f t="shared" si="5"/>
        <v>New Customers</v>
      </c>
    </row>
    <row r="593" ht="15.75" customHeight="1">
      <c r="A593" s="33" t="str">
        <f>'👥 Клієнти'!A592</f>
        <v>U0135</v>
      </c>
      <c r="B593" s="51">
        <f>'👥 Клієнти'!F592</f>
        <v>6</v>
      </c>
      <c r="C593" s="51">
        <f>'👥 Клієнти'!D592</f>
        <v>2</v>
      </c>
      <c r="D593" s="52">
        <f>'👥 Клієнти'!E592</f>
        <v>19.99</v>
      </c>
      <c r="E593" s="35">
        <f t="shared" si="1"/>
        <v>5</v>
      </c>
      <c r="F593" s="35">
        <f t="shared" si="2"/>
        <v>1</v>
      </c>
      <c r="G593" s="37">
        <f t="shared" si="3"/>
        <v>1</v>
      </c>
      <c r="H593" s="37" t="str">
        <f t="shared" si="4"/>
        <v>511</v>
      </c>
      <c r="I593" s="37" t="str">
        <f t="shared" si="5"/>
        <v>New Customers</v>
      </c>
    </row>
    <row r="594" ht="15.75" customHeight="1">
      <c r="A594" s="44" t="str">
        <f>'👥 Клієнти'!A593</f>
        <v>U0314</v>
      </c>
      <c r="B594" s="49">
        <f>'👥 Клієнти'!F593</f>
        <v>6</v>
      </c>
      <c r="C594" s="49">
        <f>'👥 Клієнти'!D593</f>
        <v>2</v>
      </c>
      <c r="D594" s="50">
        <f>'👥 Клієнти'!E593</f>
        <v>19.99</v>
      </c>
      <c r="E594" s="35">
        <f t="shared" si="1"/>
        <v>5</v>
      </c>
      <c r="F594" s="35">
        <f t="shared" si="2"/>
        <v>1</v>
      </c>
      <c r="G594" s="37">
        <f t="shared" si="3"/>
        <v>1</v>
      </c>
      <c r="H594" s="37" t="str">
        <f t="shared" si="4"/>
        <v>511</v>
      </c>
      <c r="I594" s="37" t="str">
        <f t="shared" si="5"/>
        <v>New Customers</v>
      </c>
    </row>
    <row r="595" ht="15.75" customHeight="1">
      <c r="A595" s="33" t="str">
        <f>'👥 Клієнти'!A594</f>
        <v>U0790</v>
      </c>
      <c r="B595" s="51">
        <f>'👥 Клієнти'!F594</f>
        <v>6</v>
      </c>
      <c r="C595" s="51">
        <f>'👥 Клієнти'!D594</f>
        <v>2</v>
      </c>
      <c r="D595" s="52">
        <f>'👥 Клієнти'!E594</f>
        <v>19.99</v>
      </c>
      <c r="E595" s="35">
        <f t="shared" si="1"/>
        <v>5</v>
      </c>
      <c r="F595" s="35">
        <f t="shared" si="2"/>
        <v>1</v>
      </c>
      <c r="G595" s="37">
        <f t="shared" si="3"/>
        <v>1</v>
      </c>
      <c r="H595" s="37" t="str">
        <f t="shared" si="4"/>
        <v>511</v>
      </c>
      <c r="I595" s="37" t="str">
        <f t="shared" si="5"/>
        <v>New Customers</v>
      </c>
    </row>
    <row r="596" ht="15.75" customHeight="1">
      <c r="A596" s="44" t="str">
        <f>'👥 Клієнти'!A595</f>
        <v>U0242</v>
      </c>
      <c r="B596" s="49">
        <f>'👥 Клієнти'!F595</f>
        <v>5</v>
      </c>
      <c r="C596" s="49">
        <f>'👥 Клієнти'!D595</f>
        <v>2</v>
      </c>
      <c r="D596" s="50">
        <f>'👥 Клієнти'!E595</f>
        <v>19.99</v>
      </c>
      <c r="E596" s="35">
        <f t="shared" si="1"/>
        <v>5</v>
      </c>
      <c r="F596" s="35">
        <f t="shared" si="2"/>
        <v>1</v>
      </c>
      <c r="G596" s="37">
        <f t="shared" si="3"/>
        <v>1</v>
      </c>
      <c r="H596" s="37" t="str">
        <f t="shared" si="4"/>
        <v>511</v>
      </c>
      <c r="I596" s="37" t="str">
        <f t="shared" si="5"/>
        <v>New Customers</v>
      </c>
    </row>
    <row r="597" ht="15.75" customHeight="1">
      <c r="A597" s="33" t="str">
        <f>'👥 Клієнти'!A596</f>
        <v>U0368</v>
      </c>
      <c r="B597" s="51">
        <f>'👥 Клієнти'!F596</f>
        <v>5</v>
      </c>
      <c r="C597" s="51">
        <f>'👥 Клієнти'!D596</f>
        <v>2</v>
      </c>
      <c r="D597" s="52">
        <f>'👥 Клієнти'!E596</f>
        <v>19.99</v>
      </c>
      <c r="E597" s="35">
        <f t="shared" si="1"/>
        <v>5</v>
      </c>
      <c r="F597" s="35">
        <f t="shared" si="2"/>
        <v>1</v>
      </c>
      <c r="G597" s="37">
        <f t="shared" si="3"/>
        <v>1</v>
      </c>
      <c r="H597" s="37" t="str">
        <f t="shared" si="4"/>
        <v>511</v>
      </c>
      <c r="I597" s="37" t="str">
        <f t="shared" si="5"/>
        <v>New Customers</v>
      </c>
    </row>
    <row r="598" ht="15.75" customHeight="1">
      <c r="A598" s="44" t="str">
        <f>'👥 Клієнти'!A597</f>
        <v>U0578</v>
      </c>
      <c r="B598" s="49">
        <f>'👥 Клієнти'!F597</f>
        <v>5</v>
      </c>
      <c r="C598" s="49">
        <f>'👥 Клієнти'!D597</f>
        <v>2</v>
      </c>
      <c r="D598" s="50">
        <f>'👥 Клієнти'!E597</f>
        <v>19.99</v>
      </c>
      <c r="E598" s="35">
        <f t="shared" si="1"/>
        <v>5</v>
      </c>
      <c r="F598" s="35">
        <f t="shared" si="2"/>
        <v>1</v>
      </c>
      <c r="G598" s="37">
        <f t="shared" si="3"/>
        <v>1</v>
      </c>
      <c r="H598" s="37" t="str">
        <f t="shared" si="4"/>
        <v>511</v>
      </c>
      <c r="I598" s="37" t="str">
        <f t="shared" si="5"/>
        <v>New Customers</v>
      </c>
    </row>
    <row r="599" ht="15.75" customHeight="1">
      <c r="A599" s="33" t="str">
        <f>'👥 Клієнти'!A598</f>
        <v>U0249</v>
      </c>
      <c r="B599" s="51">
        <f>'👥 Клієнти'!F598</f>
        <v>4</v>
      </c>
      <c r="C599" s="51">
        <f>'👥 Клієнти'!D598</f>
        <v>2</v>
      </c>
      <c r="D599" s="52">
        <f>'👥 Клієнти'!E598</f>
        <v>19.99</v>
      </c>
      <c r="E599" s="35">
        <f t="shared" si="1"/>
        <v>5</v>
      </c>
      <c r="F599" s="35">
        <f t="shared" si="2"/>
        <v>1</v>
      </c>
      <c r="G599" s="37">
        <f t="shared" si="3"/>
        <v>1</v>
      </c>
      <c r="H599" s="37" t="str">
        <f t="shared" si="4"/>
        <v>511</v>
      </c>
      <c r="I599" s="37" t="str">
        <f t="shared" si="5"/>
        <v>New Customers</v>
      </c>
    </row>
    <row r="600" ht="15.75" customHeight="1">
      <c r="A600" s="44" t="str">
        <f>'👥 Клієнти'!A599</f>
        <v>U0274</v>
      </c>
      <c r="B600" s="49">
        <f>'👥 Клієнти'!F599</f>
        <v>4</v>
      </c>
      <c r="C600" s="49">
        <f>'👥 Клієнти'!D599</f>
        <v>2</v>
      </c>
      <c r="D600" s="50">
        <f>'👥 Клієнти'!E599</f>
        <v>19.99</v>
      </c>
      <c r="E600" s="35">
        <f t="shared" si="1"/>
        <v>5</v>
      </c>
      <c r="F600" s="35">
        <f t="shared" si="2"/>
        <v>1</v>
      </c>
      <c r="G600" s="37">
        <f t="shared" si="3"/>
        <v>1</v>
      </c>
      <c r="H600" s="37" t="str">
        <f t="shared" si="4"/>
        <v>511</v>
      </c>
      <c r="I600" s="37" t="str">
        <f t="shared" si="5"/>
        <v>New Customers</v>
      </c>
    </row>
    <row r="601" ht="15.75" customHeight="1">
      <c r="A601" s="33" t="str">
        <f>'👥 Клієнти'!A600</f>
        <v>U0826</v>
      </c>
      <c r="B601" s="51">
        <f>'👥 Клієнти'!F600</f>
        <v>4</v>
      </c>
      <c r="C601" s="51">
        <f>'👥 Клієнти'!D600</f>
        <v>2</v>
      </c>
      <c r="D601" s="52">
        <f>'👥 Клієнти'!E600</f>
        <v>19.99</v>
      </c>
      <c r="E601" s="35">
        <f t="shared" si="1"/>
        <v>5</v>
      </c>
      <c r="F601" s="35">
        <f t="shared" si="2"/>
        <v>1</v>
      </c>
      <c r="G601" s="37">
        <f t="shared" si="3"/>
        <v>1</v>
      </c>
      <c r="H601" s="37" t="str">
        <f t="shared" si="4"/>
        <v>511</v>
      </c>
      <c r="I601" s="37" t="str">
        <f t="shared" si="5"/>
        <v>New Customers</v>
      </c>
    </row>
    <row r="602" ht="15.75" customHeight="1">
      <c r="A602" s="44" t="str">
        <f>'👥 Клієнти'!A601</f>
        <v>U0706</v>
      </c>
      <c r="B602" s="49">
        <f>'👥 Клієнти'!F601</f>
        <v>3</v>
      </c>
      <c r="C602" s="49">
        <f>'👥 Клієнти'!D601</f>
        <v>2</v>
      </c>
      <c r="D602" s="50">
        <f>'👥 Клієнти'!E601</f>
        <v>19.99</v>
      </c>
      <c r="E602" s="35">
        <f t="shared" si="1"/>
        <v>5</v>
      </c>
      <c r="F602" s="35">
        <f t="shared" si="2"/>
        <v>1</v>
      </c>
      <c r="G602" s="37">
        <f t="shared" si="3"/>
        <v>1</v>
      </c>
      <c r="H602" s="37" t="str">
        <f t="shared" si="4"/>
        <v>511</v>
      </c>
      <c r="I602" s="37" t="str">
        <f t="shared" si="5"/>
        <v>New Customers</v>
      </c>
    </row>
    <row r="603" ht="15.75" customHeight="1">
      <c r="A603" s="33" t="str">
        <f>'👥 Клієнти'!A602</f>
        <v>U0262</v>
      </c>
      <c r="B603" s="51">
        <f>'👥 Клієнти'!F602</f>
        <v>2</v>
      </c>
      <c r="C603" s="51">
        <f>'👥 Клієнти'!D602</f>
        <v>2</v>
      </c>
      <c r="D603" s="52">
        <f>'👥 Клієнти'!E602</f>
        <v>19.99</v>
      </c>
      <c r="E603" s="35">
        <f t="shared" si="1"/>
        <v>5</v>
      </c>
      <c r="F603" s="35">
        <f t="shared" si="2"/>
        <v>1</v>
      </c>
      <c r="G603" s="37">
        <f t="shared" si="3"/>
        <v>1</v>
      </c>
      <c r="H603" s="37" t="str">
        <f t="shared" si="4"/>
        <v>511</v>
      </c>
      <c r="I603" s="37" t="str">
        <f t="shared" si="5"/>
        <v>New Customers</v>
      </c>
    </row>
    <row r="604" ht="15.75" customHeight="1">
      <c r="A604" s="44" t="str">
        <f>'👥 Клієнти'!A603</f>
        <v>U0662</v>
      </c>
      <c r="B604" s="49">
        <f>'👥 Клієнти'!F603</f>
        <v>2</v>
      </c>
      <c r="C604" s="49">
        <f>'👥 Клієнти'!D603</f>
        <v>2</v>
      </c>
      <c r="D604" s="50">
        <f>'👥 Клієнти'!E603</f>
        <v>19.99</v>
      </c>
      <c r="E604" s="35">
        <f t="shared" si="1"/>
        <v>5</v>
      </c>
      <c r="F604" s="35">
        <f t="shared" si="2"/>
        <v>1</v>
      </c>
      <c r="G604" s="37">
        <f t="shared" si="3"/>
        <v>1</v>
      </c>
      <c r="H604" s="37" t="str">
        <f t="shared" si="4"/>
        <v>511</v>
      </c>
      <c r="I604" s="37" t="str">
        <f t="shared" si="5"/>
        <v>New Customers</v>
      </c>
    </row>
    <row r="605" ht="15.75" customHeight="1">
      <c r="A605" s="33" t="str">
        <f>'👥 Клієнти'!A604</f>
        <v>U0616</v>
      </c>
      <c r="B605" s="51">
        <f>'👥 Клієнти'!F604</f>
        <v>1</v>
      </c>
      <c r="C605" s="51">
        <f>'👥 Клієнти'!D604</f>
        <v>2</v>
      </c>
      <c r="D605" s="52">
        <f>'👥 Клієнти'!E604</f>
        <v>19.99</v>
      </c>
      <c r="E605" s="35">
        <f t="shared" si="1"/>
        <v>5</v>
      </c>
      <c r="F605" s="35">
        <f t="shared" si="2"/>
        <v>1</v>
      </c>
      <c r="G605" s="37">
        <f t="shared" si="3"/>
        <v>1</v>
      </c>
      <c r="H605" s="37" t="str">
        <f t="shared" si="4"/>
        <v>511</v>
      </c>
      <c r="I605" s="37" t="str">
        <f t="shared" si="5"/>
        <v>New Customers</v>
      </c>
    </row>
    <row r="606" ht="15.75" customHeight="1">
      <c r="A606" s="44" t="str">
        <f>'👥 Клієнти'!A605</f>
        <v>U0749</v>
      </c>
      <c r="B606" s="49">
        <f>'👥 Клієнти'!F605</f>
        <v>1</v>
      </c>
      <c r="C606" s="49">
        <f>'👥 Клієнти'!D605</f>
        <v>2</v>
      </c>
      <c r="D606" s="50">
        <f>'👥 Клієнти'!E605</f>
        <v>19.99</v>
      </c>
      <c r="E606" s="35">
        <f t="shared" si="1"/>
        <v>5</v>
      </c>
      <c r="F606" s="35">
        <f t="shared" si="2"/>
        <v>1</v>
      </c>
      <c r="G606" s="37">
        <f t="shared" si="3"/>
        <v>1</v>
      </c>
      <c r="H606" s="37" t="str">
        <f t="shared" si="4"/>
        <v>511</v>
      </c>
      <c r="I606" s="37" t="str">
        <f t="shared" si="5"/>
        <v>New Customers</v>
      </c>
    </row>
    <row r="607" ht="15.75" customHeight="1">
      <c r="A607" s="33" t="str">
        <f>'👥 Клієнти'!A606</f>
        <v>U0679</v>
      </c>
      <c r="B607" s="51">
        <f>'👥 Клієнти'!F606</f>
        <v>0</v>
      </c>
      <c r="C607" s="51">
        <f>'👥 Клієнти'!D606</f>
        <v>2</v>
      </c>
      <c r="D607" s="52">
        <f>'👥 Клієнти'!E606</f>
        <v>19.99</v>
      </c>
      <c r="E607" s="35">
        <f t="shared" si="1"/>
        <v>5</v>
      </c>
      <c r="F607" s="35">
        <f t="shared" si="2"/>
        <v>1</v>
      </c>
      <c r="G607" s="37">
        <f t="shared" si="3"/>
        <v>1</v>
      </c>
      <c r="H607" s="37" t="str">
        <f t="shared" si="4"/>
        <v>511</v>
      </c>
      <c r="I607" s="37" t="str">
        <f t="shared" si="5"/>
        <v>New Customers</v>
      </c>
    </row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2:I2"/>
    <mergeCell ref="A3:I3"/>
    <mergeCell ref="M5:R5"/>
    <mergeCell ref="M12:Q16"/>
  </mergeCells>
  <conditionalFormatting sqref="E6:G607">
    <cfRule type="colorScale" priority="1">
      <colorScale>
        <cfvo type="min"/>
        <cfvo type="formula" val="3"/>
        <cfvo type="max"/>
        <color rgb="FFEA9999"/>
        <color rgb="FFFFE599"/>
        <color rgb="FF57BB8A"/>
      </colorScale>
    </cfRule>
  </conditionalFormatting>
  <conditionalFormatting sqref="I6:I607">
    <cfRule type="cellIs" dxfId="0" priority="2" operator="equal">
      <formula>"Lost"</formula>
    </cfRule>
  </conditionalFormatting>
  <conditionalFormatting sqref="I6:I607">
    <cfRule type="cellIs" dxfId="1" priority="3" operator="equal">
      <formula>"At Risk"</formula>
    </cfRule>
  </conditionalFormatting>
  <conditionalFormatting sqref="I1:I1000">
    <cfRule type="cellIs" dxfId="2" priority="4" operator="equal">
      <formula>"Promising"</formula>
    </cfRule>
  </conditionalFormatting>
  <conditionalFormatting sqref="I1:I1000">
    <cfRule type="cellIs" dxfId="3" priority="5" operator="equal">
      <formula>"New Customers"</formula>
    </cfRule>
  </conditionalFormatting>
  <conditionalFormatting sqref="I1:I1000">
    <cfRule type="cellIs" dxfId="4" priority="6" operator="equal">
      <formula>"Loyal"</formula>
    </cfRule>
  </conditionalFormatting>
  <conditionalFormatting sqref="I1:I1000">
    <cfRule type="cellIs" dxfId="5" priority="7" operator="equal">
      <formula>"Champions"</formula>
    </cfRule>
  </conditionalFormatting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3.0"/>
    <col customWidth="1" min="2" max="2" width="10.0"/>
    <col customWidth="1" min="3" max="14" width="9.0"/>
    <col customWidth="1" min="15" max="26" width="8.71"/>
  </cols>
  <sheetData>
    <row r="2" ht="25.5" customHeight="1">
      <c r="A2" s="12" t="s">
        <v>4364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2"/>
    </row>
    <row r="3">
      <c r="A3" s="38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2"/>
    </row>
    <row r="4" ht="21.75" customHeight="1">
      <c r="A4" s="14" t="s">
        <v>4365</v>
      </c>
      <c r="B4" s="53" t="s">
        <v>4366</v>
      </c>
      <c r="C4" s="14" t="s">
        <v>4324</v>
      </c>
      <c r="D4" s="14" t="s">
        <v>4325</v>
      </c>
      <c r="E4" s="14" t="s">
        <v>4326</v>
      </c>
      <c r="F4" s="14" t="s">
        <v>4327</v>
      </c>
      <c r="G4" s="14" t="s">
        <v>4328</v>
      </c>
      <c r="H4" s="14" t="s">
        <v>4329</v>
      </c>
      <c r="I4" s="14" t="s">
        <v>4330</v>
      </c>
      <c r="J4" s="14" t="s">
        <v>4331</v>
      </c>
      <c r="K4" s="14" t="s">
        <v>4332</v>
      </c>
      <c r="L4" s="14" t="s">
        <v>4333</v>
      </c>
      <c r="M4" s="14" t="s">
        <v>4334</v>
      </c>
      <c r="N4" s="14" t="s">
        <v>4335</v>
      </c>
    </row>
    <row r="5" ht="19.5" customHeight="1">
      <c r="A5" s="54">
        <v>45292.0</v>
      </c>
      <c r="B5" s="35">
        <f>COUNTIF('👥 Клієнти'!$C$5:$C$606,$A5)</f>
        <v>25</v>
      </c>
      <c r="C5" s="35">
        <f>SUMIFS('👥 Клієнти'!$G$5:$G$606,'👥 Клієнти'!$C$5:$C$606,$A5)</f>
        <v>25</v>
      </c>
      <c r="D5" s="35">
        <f>SUMIFS('👥 Клієнти'!$H$5:$H$606,'👥 Клієнти'!$C$5:$C$606,$A5)</f>
        <v>24</v>
      </c>
      <c r="E5" s="35">
        <f>SUMIFS('👥 Клієнти'!$I$5:$I$606,'👥 Клієнти'!$C$5:$C$606,$A5)</f>
        <v>19</v>
      </c>
      <c r="F5" s="35">
        <f>SUMIFS('👥 Клієнти'!$J$5:$J$606,'👥 Клієнти'!$C$5:$C$606,$A5)</f>
        <v>17</v>
      </c>
      <c r="G5" s="37">
        <f>SUMIFS('👥 Клієнти'!$K$5:$K$606,'👥 Клієнти'!$C$5:$C$606,$A5)</f>
        <v>15</v>
      </c>
      <c r="H5" s="37">
        <f>SUMIFS('👥 Клієнти'!$L$5:$L$606,'👥 Клієнти'!$C$5:$C$606,$A5)</f>
        <v>15</v>
      </c>
      <c r="I5" s="33">
        <f>SUMIFS('👥 Клієнти'!$M$5:$M$606,'👥 Клієнти'!$C$5:$C$606,$A5)</f>
        <v>13</v>
      </c>
      <c r="J5" s="35">
        <f>SUMIFS('👥 Клієнти'!$N$5:$N$606,'👥 Клієнти'!$C$5:$C$606,$A5)</f>
        <v>13</v>
      </c>
      <c r="K5" s="35">
        <f>SUMIFS('👥 Клієнти'!$O$5:$O$606,'👥 Клієнти'!$C$5:$C$606,$A5)</f>
        <v>13</v>
      </c>
      <c r="L5" s="35">
        <f>SUMIFS('👥 Клієнти'!$P$5:$P$606,'👥 Клієнти'!$C$5:$C$606,$A5)</f>
        <v>12</v>
      </c>
      <c r="M5" s="35">
        <f>SUMIFS('👥 Клієнти'!$Q$5:$Q$606,'👥 Клієнти'!$C$5:$C$606,$A5)</f>
        <v>12</v>
      </c>
      <c r="N5" s="35">
        <f>SUMIFS('👥 Клієнти'!$R$5:$R$606,'👥 Клієнти'!$C$5:$C$606,$A5)</f>
        <v>12</v>
      </c>
      <c r="O5" s="46"/>
      <c r="P5" s="46"/>
      <c r="Q5" s="46"/>
    </row>
    <row r="6" ht="19.5" customHeight="1">
      <c r="A6" s="54">
        <v>45323.0</v>
      </c>
      <c r="B6" s="35">
        <f>COUNTIF('👥 Клієнти'!$C$5:$C$606,$A6)</f>
        <v>27</v>
      </c>
      <c r="C6" s="35">
        <f>SUMIFS('👥 Клієнти'!$G$5:$G$606,'👥 Клієнти'!$C$5:$C$606,$A6)</f>
        <v>27</v>
      </c>
      <c r="D6" s="35">
        <f>SUMIFS('👥 Клієнти'!$H$5:$H$606,'👥 Клієнти'!$C$5:$C$606,$A6)</f>
        <v>26</v>
      </c>
      <c r="E6" s="35">
        <f>SUMIFS('👥 Клієнти'!$I$5:$I$606,'👥 Клієнти'!$C$5:$C$606,$A6)</f>
        <v>23</v>
      </c>
      <c r="F6" s="35">
        <f>SUMIFS('👥 Клієнти'!$J$5:$J$606,'👥 Клієнти'!$C$5:$C$606,$A6)</f>
        <v>21</v>
      </c>
      <c r="G6" s="37">
        <f>SUMIFS('👥 Клієнти'!$K$5:$K$606,'👥 Клієнти'!$C$5:$C$606,$A6)</f>
        <v>18</v>
      </c>
      <c r="H6" s="37">
        <f>SUMIFS('👥 Клієнти'!$L$5:$L$606,'👥 Клієнти'!$C$5:$C$606,$A6)</f>
        <v>18</v>
      </c>
      <c r="I6" s="33">
        <f>SUMIFS('👥 Клієнти'!$M$5:$M$606,'👥 Клієнти'!$C$5:$C$606,$A6)</f>
        <v>17</v>
      </c>
      <c r="J6" s="35">
        <f>SUMIFS('👥 Клієнти'!$N$5:$N$606,'👥 Клієнти'!$C$5:$C$606,$A6)</f>
        <v>15</v>
      </c>
      <c r="K6" s="35">
        <f>SUMIFS('👥 Клієнти'!$O$5:$O$606,'👥 Клієнти'!$C$5:$C$606,$A6)</f>
        <v>15</v>
      </c>
      <c r="L6" s="35">
        <f>SUMIFS('👥 Клієнти'!$P$5:$P$606,'👥 Клієнти'!$C$5:$C$606,$A6)</f>
        <v>14</v>
      </c>
      <c r="M6" s="35">
        <f>SUMIFS('👥 Клієнти'!$Q$5:$Q$606,'👥 Клієнти'!$C$5:$C$606,$A6)</f>
        <v>14</v>
      </c>
      <c r="N6" s="35">
        <f>SUMIFS('👥 Клієнти'!$R$5:$R$606,'👥 Клієнти'!$C$5:$C$606,$A6)</f>
        <v>14</v>
      </c>
      <c r="O6" s="46"/>
      <c r="P6" s="46"/>
      <c r="Q6" s="46"/>
    </row>
    <row r="7" ht="19.5" customHeight="1">
      <c r="A7" s="54">
        <v>45352.0</v>
      </c>
      <c r="B7" s="35">
        <f>COUNTIF('👥 Клієнти'!$C$5:$C$606,$A7)</f>
        <v>32</v>
      </c>
      <c r="C7" s="35">
        <f>SUMIFS('👥 Клієнти'!$G$5:$G$606,'👥 Клієнти'!$C$5:$C$606,$A7)</f>
        <v>32</v>
      </c>
      <c r="D7" s="35">
        <f>SUMIFS('👥 Клієнти'!$H$5:$H$606,'👥 Клієнти'!$C$5:$C$606,$A7)</f>
        <v>29</v>
      </c>
      <c r="E7" s="35">
        <f>SUMIFS('👥 Клієнти'!$I$5:$I$606,'👥 Клієнти'!$C$5:$C$606,$A7)</f>
        <v>28</v>
      </c>
      <c r="F7" s="35">
        <f>SUMIFS('👥 Клієнти'!$J$5:$J$606,'👥 Клієнти'!$C$5:$C$606,$A7)</f>
        <v>23</v>
      </c>
      <c r="G7" s="37">
        <f>SUMIFS('👥 Клієнти'!$K$5:$K$606,'👥 Клієнти'!$C$5:$C$606,$A7)</f>
        <v>23</v>
      </c>
      <c r="H7" s="37">
        <f>SUMIFS('👥 Клієнти'!$L$5:$L$606,'👥 Клієнти'!$C$5:$C$606,$A7)</f>
        <v>22</v>
      </c>
      <c r="I7" s="33">
        <f>SUMIFS('👥 Клієнти'!$M$5:$M$606,'👥 Клієнти'!$C$5:$C$606,$A7)</f>
        <v>19</v>
      </c>
      <c r="J7" s="35">
        <f>SUMIFS('👥 Клієнти'!$N$5:$N$606,'👥 Клієнти'!$C$5:$C$606,$A7)</f>
        <v>18</v>
      </c>
      <c r="K7" s="35">
        <f>SUMIFS('👥 Клієнти'!$O$5:$O$606,'👥 Клієнти'!$C$5:$C$606,$A7)</f>
        <v>18</v>
      </c>
      <c r="L7" s="35">
        <f>SUMIFS('👥 Клієнти'!$P$5:$P$606,'👥 Клієнти'!$C$5:$C$606,$A7)</f>
        <v>18</v>
      </c>
      <c r="M7" s="35">
        <f>SUMIFS('👥 Клієнти'!$Q$5:$Q$606,'👥 Клієнти'!$C$5:$C$606,$A7)</f>
        <v>18</v>
      </c>
      <c r="N7" s="35">
        <f>SUMIFS('👥 Клієнти'!$R$5:$R$606,'👥 Клієнти'!$C$5:$C$606,$A7)</f>
        <v>17</v>
      </c>
      <c r="O7" s="46"/>
      <c r="P7" s="46"/>
      <c r="Q7" s="46"/>
    </row>
    <row r="8" ht="19.5" customHeight="1">
      <c r="A8" s="54">
        <v>45383.0</v>
      </c>
      <c r="B8" s="35">
        <f>COUNTIF('👥 Клієнти'!$C$5:$C$606,$A8)</f>
        <v>36</v>
      </c>
      <c r="C8" s="35">
        <f>SUMIFS('👥 Клієнти'!$G$5:$G$606,'👥 Клієнти'!$C$5:$C$606,$A8)</f>
        <v>36</v>
      </c>
      <c r="D8" s="35">
        <f>SUMIFS('👥 Клієнти'!$H$5:$H$606,'👥 Клієнти'!$C$5:$C$606,$A8)</f>
        <v>33</v>
      </c>
      <c r="E8" s="35">
        <f>SUMIFS('👥 Клієнти'!$I$5:$I$606,'👥 Клієнти'!$C$5:$C$606,$A8)</f>
        <v>30</v>
      </c>
      <c r="F8" s="35">
        <f>SUMIFS('👥 Клієнти'!$J$5:$J$606,'👥 Клієнти'!$C$5:$C$606,$A8)</f>
        <v>28</v>
      </c>
      <c r="G8" s="37">
        <f>SUMIFS('👥 Клієнти'!$K$5:$K$606,'👥 Клієнти'!$C$5:$C$606,$A8)</f>
        <v>28</v>
      </c>
      <c r="H8" s="37">
        <f>SUMIFS('👥 Клієнти'!$L$5:$L$606,'👥 Клієнти'!$C$5:$C$606,$A8)</f>
        <v>27</v>
      </c>
      <c r="I8" s="33">
        <f>SUMIFS('👥 Клієнти'!$M$5:$M$606,'👥 Клієнти'!$C$5:$C$606,$A8)</f>
        <v>25</v>
      </c>
      <c r="J8" s="35">
        <f>SUMIFS('👥 Клієнти'!$N$5:$N$606,'👥 Клієнти'!$C$5:$C$606,$A8)</f>
        <v>25</v>
      </c>
      <c r="K8" s="35">
        <f>SUMIFS('👥 Клієнти'!$O$5:$O$606,'👥 Клієнти'!$C$5:$C$606,$A8)</f>
        <v>23</v>
      </c>
      <c r="L8" s="35">
        <f>SUMIFS('👥 Клієнти'!$P$5:$P$606,'👥 Клієнти'!$C$5:$C$606,$A8)</f>
        <v>23</v>
      </c>
      <c r="M8" s="35">
        <f>SUMIFS('👥 Клієнти'!$Q$5:$Q$606,'👥 Клієнти'!$C$5:$C$606,$A8)</f>
        <v>22</v>
      </c>
      <c r="N8" s="35">
        <f>SUMIFS('👥 Клієнти'!$R$5:$R$606,'👥 Клієнти'!$C$5:$C$606,$A8)</f>
        <v>23</v>
      </c>
      <c r="O8" s="46"/>
      <c r="P8" s="46"/>
      <c r="Q8" s="46"/>
    </row>
    <row r="9" ht="19.5" customHeight="1">
      <c r="A9" s="54">
        <v>45413.0</v>
      </c>
      <c r="B9" s="35">
        <f>COUNTIF('👥 Клієнти'!$C$5:$C$606,$A9)</f>
        <v>32</v>
      </c>
      <c r="C9" s="35">
        <f>SUMIFS('👥 Клієнти'!$G$5:$G$606,'👥 Клієнти'!$C$5:$C$606,$A9)</f>
        <v>32</v>
      </c>
      <c r="D9" s="35">
        <f>SUMIFS('👥 Клієнти'!$H$5:$H$606,'👥 Клієнти'!$C$5:$C$606,$A9)</f>
        <v>25</v>
      </c>
      <c r="E9" s="35">
        <f>SUMIFS('👥 Клієнти'!$I$5:$I$606,'👥 Клієнти'!$C$5:$C$606,$A9)</f>
        <v>23</v>
      </c>
      <c r="F9" s="35">
        <f>SUMIFS('👥 Клієнти'!$J$5:$J$606,'👥 Клієнти'!$C$5:$C$606,$A9)</f>
        <v>21</v>
      </c>
      <c r="G9" s="37">
        <f>SUMIFS('👥 Клієнти'!$K$5:$K$606,'👥 Клієнти'!$C$5:$C$606,$A9)</f>
        <v>20</v>
      </c>
      <c r="H9" s="37">
        <f>SUMIFS('👥 Клієнти'!$L$5:$L$606,'👥 Клієнти'!$C$5:$C$606,$A9)</f>
        <v>19</v>
      </c>
      <c r="I9" s="33">
        <f>SUMIFS('👥 Клієнти'!$M$5:$M$606,'👥 Клієнти'!$C$5:$C$606,$A9)</f>
        <v>18</v>
      </c>
      <c r="J9" s="35">
        <f>SUMIFS('👥 Клієнти'!$N$5:$N$606,'👥 Клієнти'!$C$5:$C$606,$A9)</f>
        <v>18</v>
      </c>
      <c r="K9" s="35">
        <f>SUMIFS('👥 Клієнти'!$O$5:$O$606,'👥 Клієнти'!$C$5:$C$606,$A9)</f>
        <v>18</v>
      </c>
      <c r="L9" s="35">
        <f>SUMIFS('👥 Клієнти'!$P$5:$P$606,'👥 Клієнти'!$C$5:$C$606,$A9)</f>
        <v>16</v>
      </c>
      <c r="M9" s="35">
        <f>SUMIFS('👥 Клієнти'!$Q$5:$Q$606,'👥 Клієнти'!$C$5:$C$606,$A9)</f>
        <v>18</v>
      </c>
      <c r="N9" s="55" t="s">
        <v>4367</v>
      </c>
      <c r="O9" s="46"/>
      <c r="P9" s="46"/>
      <c r="Q9" s="46"/>
    </row>
    <row r="10" ht="19.5" customHeight="1">
      <c r="A10" s="54">
        <v>45444.0</v>
      </c>
      <c r="B10" s="35">
        <f>COUNTIF('👥 Клієнти'!$C$5:$C$606,$A10)</f>
        <v>27</v>
      </c>
      <c r="C10" s="35">
        <f>SUMIFS('👥 Клієнти'!$G$5:$G$606,'👥 Клієнти'!$C$5:$C$606,$A10)</f>
        <v>27</v>
      </c>
      <c r="D10" s="35">
        <f>SUMIFS('👥 Клієнти'!$H$5:$H$606,'👥 Клієнти'!$C$5:$C$606,$A10)</f>
        <v>23</v>
      </c>
      <c r="E10" s="35">
        <f>SUMIFS('👥 Клієнти'!$I$5:$I$606,'👥 Клієнти'!$C$5:$C$606,$A10)</f>
        <v>20</v>
      </c>
      <c r="F10" s="35">
        <f>SUMIFS('👥 Клієнти'!$J$5:$J$606,'👥 Клієнти'!$C$5:$C$606,$A10)</f>
        <v>17</v>
      </c>
      <c r="G10" s="37">
        <f>SUMIFS('👥 Клієнти'!$K$5:$K$606,'👥 Клієнти'!$C$5:$C$606,$A10)</f>
        <v>17</v>
      </c>
      <c r="H10" s="37">
        <f>SUMIFS('👥 Клієнти'!$L$5:$L$606,'👥 Клієнти'!$C$5:$C$606,$A10)</f>
        <v>16</v>
      </c>
      <c r="I10" s="33">
        <f>SUMIFS('👥 Клієнти'!$M$5:$M$606,'👥 Клієнти'!$C$5:$C$606,$A10)</f>
        <v>16</v>
      </c>
      <c r="J10" s="35">
        <f>SUMIFS('👥 Клієнти'!$N$5:$N$606,'👥 Клієнти'!$C$5:$C$606,$A10)</f>
        <v>16</v>
      </c>
      <c r="K10" s="35">
        <f>SUMIFS('👥 Клієнти'!$O$5:$O$606,'👥 Клієнти'!$C$5:$C$606,$A10)</f>
        <v>13</v>
      </c>
      <c r="L10" s="35">
        <f>SUMIFS('👥 Клієнти'!$P$5:$P$606,'👥 Клієнти'!$C$5:$C$606,$A10)</f>
        <v>15</v>
      </c>
      <c r="M10" s="55" t="s">
        <v>4367</v>
      </c>
      <c r="N10" s="55" t="s">
        <v>4367</v>
      </c>
      <c r="O10" s="46"/>
      <c r="P10" s="46"/>
      <c r="Q10" s="46"/>
    </row>
    <row r="11" ht="19.5" customHeight="1">
      <c r="A11" s="54">
        <v>45474.0</v>
      </c>
      <c r="B11" s="35">
        <f>COUNTIF('👥 Клієнти'!$C$5:$C$606,$A11)</f>
        <v>40</v>
      </c>
      <c r="C11" s="35">
        <f>SUMIFS('👥 Клієнти'!$G$5:$G$606,'👥 Клієнти'!$C$5:$C$606,$A11)</f>
        <v>40</v>
      </c>
      <c r="D11" s="35">
        <f>SUMIFS('👥 Клієнти'!$H$5:$H$606,'👥 Клієнти'!$C$5:$C$606,$A11)</f>
        <v>36</v>
      </c>
      <c r="E11" s="35">
        <f>SUMIFS('👥 Клієнти'!$I$5:$I$606,'👥 Клієнти'!$C$5:$C$606,$A11)</f>
        <v>32</v>
      </c>
      <c r="F11" s="35">
        <f>SUMIFS('👥 Клієнти'!$J$5:$J$606,'👥 Клієнти'!$C$5:$C$606,$A11)</f>
        <v>30</v>
      </c>
      <c r="G11" s="37">
        <f>SUMIFS('👥 Клієнти'!$K$5:$K$606,'👥 Клієнти'!$C$5:$C$606,$A11)</f>
        <v>29</v>
      </c>
      <c r="H11" s="37">
        <f>SUMIFS('👥 Клієнти'!$L$5:$L$606,'👥 Клієнти'!$C$5:$C$606,$A11)</f>
        <v>27</v>
      </c>
      <c r="I11" s="33">
        <f>SUMIFS('👥 Клієнти'!$M$5:$M$606,'👥 Клієнти'!$C$5:$C$606,$A11)</f>
        <v>25</v>
      </c>
      <c r="J11" s="35">
        <f>SUMIFS('👥 Клієнти'!$N$5:$N$606,'👥 Клієнти'!$C$5:$C$606,$A11)</f>
        <v>22</v>
      </c>
      <c r="K11" s="35">
        <f>SUMIFS('👥 Клієнти'!$O$5:$O$606,'👥 Клієнти'!$C$5:$C$606,$A11)</f>
        <v>25</v>
      </c>
      <c r="L11" s="55" t="s">
        <v>4367</v>
      </c>
      <c r="M11" s="55" t="s">
        <v>4367</v>
      </c>
      <c r="N11" s="55" t="s">
        <v>4367</v>
      </c>
    </row>
    <row r="12" ht="19.5" customHeight="1">
      <c r="A12" s="54">
        <v>45505.0</v>
      </c>
      <c r="B12" s="35">
        <f>COUNTIF('👥 Клієнти'!$C$5:$C$606,$A12)</f>
        <v>47</v>
      </c>
      <c r="C12" s="35">
        <f>SUMIFS('👥 Клієнти'!$G$5:$G$606,'👥 Клієнти'!$C$5:$C$606,$A12)</f>
        <v>47</v>
      </c>
      <c r="D12" s="35">
        <f>SUMIFS('👥 Клієнти'!$H$5:$H$606,'👥 Клієнти'!$C$5:$C$606,$A12)</f>
        <v>40</v>
      </c>
      <c r="E12" s="35">
        <f>SUMIFS('👥 Клієнти'!$I$5:$I$606,'👥 Клієнти'!$C$5:$C$606,$A12)</f>
        <v>35</v>
      </c>
      <c r="F12" s="35">
        <f>SUMIFS('👥 Клієнти'!$J$5:$J$606,'👥 Клієнти'!$C$5:$C$606,$A12)</f>
        <v>30</v>
      </c>
      <c r="G12" s="37">
        <f>SUMIFS('👥 Клієнти'!$K$5:$K$606,'👥 Клієнти'!$C$5:$C$606,$A12)</f>
        <v>26</v>
      </c>
      <c r="H12" s="37">
        <f>SUMIFS('👥 Клієнти'!$L$5:$L$606,'👥 Клієнти'!$C$5:$C$606,$A12)</f>
        <v>26</v>
      </c>
      <c r="I12" s="33">
        <f>SUMIFS('👥 Клієнти'!$M$5:$M$606,'👥 Клієнти'!$C$5:$C$606,$A12)</f>
        <v>22</v>
      </c>
      <c r="J12" s="35">
        <f>SUMIFS('👥 Клієнти'!$N$5:$N$606,'👥 Клієнти'!$C$5:$C$606,$A12)</f>
        <v>23</v>
      </c>
      <c r="K12" s="55" t="s">
        <v>4367</v>
      </c>
      <c r="L12" s="55" t="s">
        <v>4367</v>
      </c>
      <c r="M12" s="55" t="s">
        <v>4367</v>
      </c>
      <c r="N12" s="55" t="s">
        <v>4367</v>
      </c>
    </row>
    <row r="13" ht="19.5" customHeight="1">
      <c r="A13" s="54">
        <v>45536.0</v>
      </c>
      <c r="B13" s="35">
        <f>COUNTIF('👥 Клієнти'!$C$5:$C$606,$A13)</f>
        <v>34</v>
      </c>
      <c r="C13" s="35">
        <f>SUMIFS('👥 Клієнти'!$G$5:$G$606,'👥 Клієнти'!$C$5:$C$606,$A13)</f>
        <v>34</v>
      </c>
      <c r="D13" s="35">
        <f>SUMIFS('👥 Клієнти'!$H$5:$H$606,'👥 Клієнти'!$C$5:$C$606,$A13)</f>
        <v>31</v>
      </c>
      <c r="E13" s="35">
        <f>SUMIFS('👥 Клієнти'!$I$5:$I$606,'👥 Клієнти'!$C$5:$C$606,$A13)</f>
        <v>29</v>
      </c>
      <c r="F13" s="35">
        <f>SUMIFS('👥 Клієнти'!$J$5:$J$606,'👥 Клієнти'!$C$5:$C$606,$A13)</f>
        <v>25</v>
      </c>
      <c r="G13" s="37">
        <f>SUMIFS('👥 Клієнти'!$K$5:$K$606,'👥 Клієнти'!$C$5:$C$606,$A13)</f>
        <v>22</v>
      </c>
      <c r="H13" s="37">
        <f>SUMIFS('👥 Клієнти'!$L$5:$L$606,'👥 Клієнти'!$C$5:$C$606,$A13)</f>
        <v>21</v>
      </c>
      <c r="I13" s="33">
        <f>SUMIFS('👥 Клієнти'!$M$5:$M$606,'👥 Клієнти'!$C$5:$C$606,$A13)</f>
        <v>20</v>
      </c>
      <c r="J13" s="55" t="s">
        <v>4367</v>
      </c>
      <c r="K13" s="55" t="s">
        <v>4367</v>
      </c>
      <c r="L13" s="55" t="s">
        <v>4367</v>
      </c>
      <c r="M13" s="55" t="s">
        <v>4367</v>
      </c>
      <c r="N13" s="55" t="s">
        <v>4367</v>
      </c>
    </row>
    <row r="14" ht="19.5" customHeight="1">
      <c r="A14" s="54">
        <v>45566.0</v>
      </c>
      <c r="B14" s="35">
        <f>COUNTIF('👥 Клієнти'!$C$5:$C$606,$A14)</f>
        <v>53</v>
      </c>
      <c r="C14" s="35">
        <f>SUMIFS('👥 Клієнти'!$G$5:$G$606,'👥 Клієнти'!$C$5:$C$606,$A14)</f>
        <v>53</v>
      </c>
      <c r="D14" s="35">
        <f>SUMIFS('👥 Клієнти'!$H$5:$H$606,'👥 Клієнти'!$C$5:$C$606,$A14)</f>
        <v>48</v>
      </c>
      <c r="E14" s="35">
        <f>SUMIFS('👥 Клієнти'!$I$5:$I$606,'👥 Клієнти'!$C$5:$C$606,$A14)</f>
        <v>44</v>
      </c>
      <c r="F14" s="35">
        <f>SUMIFS('👥 Клієнти'!$J$5:$J$606,'👥 Клієнти'!$C$5:$C$606,$A14)</f>
        <v>41</v>
      </c>
      <c r="G14" s="37">
        <f>SUMIFS('👥 Клієнти'!$K$5:$K$606,'👥 Клієнти'!$C$5:$C$606,$A14)</f>
        <v>40</v>
      </c>
      <c r="H14" s="37">
        <f>SUMIFS('👥 Клієнти'!$L$5:$L$606,'👥 Клієнти'!$C$5:$C$606,$A14)</f>
        <v>38</v>
      </c>
      <c r="I14" s="55" t="s">
        <v>4367</v>
      </c>
      <c r="J14" s="55" t="s">
        <v>4367</v>
      </c>
      <c r="K14" s="55" t="s">
        <v>4367</v>
      </c>
      <c r="L14" s="55" t="s">
        <v>4367</v>
      </c>
      <c r="M14" s="55" t="s">
        <v>4367</v>
      </c>
      <c r="N14" s="55" t="s">
        <v>4367</v>
      </c>
    </row>
    <row r="15" ht="19.5" customHeight="1">
      <c r="A15" s="54">
        <v>45597.0</v>
      </c>
      <c r="B15" s="35">
        <f>COUNTIF('👥 Клієнти'!$C$5:$C$606,$A15)</f>
        <v>52</v>
      </c>
      <c r="C15" s="35">
        <f>SUMIFS('👥 Клієнти'!$G$5:$G$606,'👥 Клієнти'!$C$5:$C$606,$A15)</f>
        <v>52</v>
      </c>
      <c r="D15" s="35">
        <f>SUMIFS('👥 Клієнти'!$H$5:$H$606,'👥 Клієнти'!$C$5:$C$606,$A15)</f>
        <v>46</v>
      </c>
      <c r="E15" s="35">
        <f>SUMIFS('👥 Клієнти'!$I$5:$I$606,'👥 Клієнти'!$C$5:$C$606,$A15)</f>
        <v>39</v>
      </c>
      <c r="F15" s="35">
        <f>SUMIFS('👥 Клієнти'!$J$5:$J$606,'👥 Клієнти'!$C$5:$C$606,$A15)</f>
        <v>34</v>
      </c>
      <c r="G15" s="37">
        <f>SUMIFS('👥 Клієнти'!$K$5:$K$606,'👥 Клієнти'!$C$5:$C$606,$A15)</f>
        <v>33</v>
      </c>
      <c r="H15" s="55" t="s">
        <v>4367</v>
      </c>
      <c r="I15" s="55" t="s">
        <v>4367</v>
      </c>
      <c r="J15" s="55" t="s">
        <v>4367</v>
      </c>
      <c r="K15" s="55" t="s">
        <v>4367</v>
      </c>
      <c r="L15" s="55" t="s">
        <v>4367</v>
      </c>
      <c r="M15" s="55" t="s">
        <v>4367</v>
      </c>
      <c r="N15" s="55" t="s">
        <v>4367</v>
      </c>
    </row>
    <row r="16" ht="19.5" customHeight="1">
      <c r="A16" s="54">
        <v>45627.0</v>
      </c>
      <c r="B16" s="35">
        <f>COUNTIF('👥 Клієнти'!$C$5:$C$606,$A16)</f>
        <v>48</v>
      </c>
      <c r="C16" s="35">
        <f>SUMIFS('👥 Клієнти'!$G$5:$G$606,'👥 Клієнти'!$C$5:$C$606,$A16)</f>
        <v>48</v>
      </c>
      <c r="D16" s="35">
        <f>SUMIFS('👥 Клієнти'!$H$5:$H$606,'👥 Клієнти'!$C$5:$C$606,$A16)</f>
        <v>43</v>
      </c>
      <c r="E16" s="35">
        <f>SUMIFS('👥 Клієнти'!$I$5:$I$606,'👥 Клієнти'!$C$5:$C$606,$A16)</f>
        <v>36</v>
      </c>
      <c r="F16" s="35">
        <f>SUMIFS('👥 Клієнти'!$J$5:$J$606,'👥 Клієнти'!$C$5:$C$606,$A16)</f>
        <v>33</v>
      </c>
      <c r="G16" s="55" t="s">
        <v>4367</v>
      </c>
      <c r="H16" s="55" t="s">
        <v>4367</v>
      </c>
      <c r="I16" s="55" t="s">
        <v>4367</v>
      </c>
      <c r="J16" s="55" t="s">
        <v>4367</v>
      </c>
      <c r="K16" s="55" t="s">
        <v>4367</v>
      </c>
      <c r="L16" s="55" t="s">
        <v>4367</v>
      </c>
      <c r="M16" s="55" t="s">
        <v>4367</v>
      </c>
      <c r="N16" s="55" t="s">
        <v>4367</v>
      </c>
    </row>
    <row r="17" ht="19.5" customHeight="1">
      <c r="A17" s="54">
        <v>45658.0</v>
      </c>
      <c r="B17" s="35">
        <f>COUNTIF('👥 Клієнти'!$C$5:$C$606,$A17)</f>
        <v>45</v>
      </c>
      <c r="C17" s="35">
        <f>SUMIFS('👥 Клієнти'!$G$5:$G$606,'👥 Клієнти'!$C$5:$C$606,$A17)</f>
        <v>45</v>
      </c>
      <c r="D17" s="35">
        <f>SUMIFS('👥 Клієнти'!$H$5:$H$606,'👥 Клієнти'!$C$5:$C$606,$A17)</f>
        <v>36</v>
      </c>
      <c r="E17" s="35">
        <f>SUMIFS('👥 Клієнти'!$I$5:$I$606,'👥 Клієнти'!$C$5:$C$606,$A17)</f>
        <v>38</v>
      </c>
      <c r="F17" s="55" t="s">
        <v>4367</v>
      </c>
      <c r="G17" s="55" t="s">
        <v>4367</v>
      </c>
      <c r="H17" s="55" t="s">
        <v>4367</v>
      </c>
      <c r="I17" s="55" t="s">
        <v>4367</v>
      </c>
      <c r="J17" s="55" t="s">
        <v>4367</v>
      </c>
      <c r="K17" s="55" t="s">
        <v>4367</v>
      </c>
      <c r="L17" s="55" t="s">
        <v>4367</v>
      </c>
      <c r="M17" s="55" t="s">
        <v>4367</v>
      </c>
      <c r="N17" s="55" t="s">
        <v>4367</v>
      </c>
    </row>
    <row r="18" ht="19.5" customHeight="1">
      <c r="A18" s="54">
        <v>45689.0</v>
      </c>
      <c r="B18" s="35">
        <f>COUNTIF('👥 Клієнти'!$C$5:$C$606,$A18)</f>
        <v>53</v>
      </c>
      <c r="C18" s="35">
        <f>SUMIFS('👥 Клієнти'!$G$5:$G$606,'👥 Клієнти'!$C$5:$C$606,$A18)</f>
        <v>53</v>
      </c>
      <c r="D18" s="35">
        <f>SUMIFS('👥 Клієнти'!$H$5:$H$606,'👥 Клієнти'!$C$5:$C$606,$A18)</f>
        <v>52</v>
      </c>
      <c r="E18" s="55" t="s">
        <v>4367</v>
      </c>
      <c r="F18" s="55" t="s">
        <v>4367</v>
      </c>
      <c r="G18" s="55" t="s">
        <v>4367</v>
      </c>
      <c r="H18" s="55" t="s">
        <v>4367</v>
      </c>
      <c r="I18" s="55" t="s">
        <v>4367</v>
      </c>
      <c r="J18" s="55" t="s">
        <v>4367</v>
      </c>
      <c r="K18" s="55" t="s">
        <v>4367</v>
      </c>
      <c r="L18" s="55" t="s">
        <v>4367</v>
      </c>
      <c r="M18" s="55" t="s">
        <v>4367</v>
      </c>
      <c r="N18" s="55" t="s">
        <v>4367</v>
      </c>
    </row>
    <row r="19" ht="19.5" customHeight="1">
      <c r="A19" s="54">
        <v>45717.0</v>
      </c>
      <c r="B19" s="35">
        <f>COUNTIF('👥 Клієнти'!$C$5:$C$606,$A19)</f>
        <v>51</v>
      </c>
      <c r="C19" s="35">
        <f>SUMIFS('👥 Клієнти'!$G$5:$G$606,'👥 Клієнти'!$C$5:$C$606,$A19)</f>
        <v>51</v>
      </c>
      <c r="D19" s="55" t="s">
        <v>4367</v>
      </c>
      <c r="E19" s="55" t="s">
        <v>4367</v>
      </c>
      <c r="F19" s="55" t="s">
        <v>4367</v>
      </c>
      <c r="G19" s="55" t="s">
        <v>4367</v>
      </c>
      <c r="H19" s="55" t="s">
        <v>4367</v>
      </c>
      <c r="I19" s="55" t="s">
        <v>4367</v>
      </c>
      <c r="J19" s="55" t="s">
        <v>4367</v>
      </c>
      <c r="K19" s="55" t="s">
        <v>4367</v>
      </c>
      <c r="L19" s="55" t="s">
        <v>4367</v>
      </c>
      <c r="M19" s="55" t="s">
        <v>4367</v>
      </c>
      <c r="N19" s="55" t="s">
        <v>4367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2:N2"/>
    <mergeCell ref="A3:N3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3.0"/>
    <col customWidth="1" min="2" max="2" width="10.0"/>
    <col customWidth="1" min="3" max="14" width="9.0"/>
    <col customWidth="1" min="15" max="26" width="8.71"/>
  </cols>
  <sheetData>
    <row r="2" ht="25.5" customHeight="1">
      <c r="A2" s="21" t="s">
        <v>4368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2"/>
    </row>
    <row r="3">
      <c r="A3" s="38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2"/>
    </row>
    <row r="4" ht="21.75" customHeight="1">
      <c r="A4" s="14" t="s">
        <v>4365</v>
      </c>
      <c r="B4" s="14"/>
      <c r="C4" s="14" t="s">
        <v>4324</v>
      </c>
      <c r="D4" s="14" t="s">
        <v>4325</v>
      </c>
      <c r="E4" s="14" t="s">
        <v>4326</v>
      </c>
      <c r="F4" s="14" t="s">
        <v>4327</v>
      </c>
      <c r="G4" s="14" t="s">
        <v>4328</v>
      </c>
      <c r="H4" s="14" t="s">
        <v>4329</v>
      </c>
      <c r="I4" s="14" t="s">
        <v>4330</v>
      </c>
      <c r="J4" s="14" t="s">
        <v>4331</v>
      </c>
      <c r="K4" s="14" t="s">
        <v>4332</v>
      </c>
      <c r="L4" s="14" t="s">
        <v>4333</v>
      </c>
      <c r="M4" s="14" t="s">
        <v>4334</v>
      </c>
      <c r="N4" s="14" t="s">
        <v>4335</v>
      </c>
    </row>
    <row r="5" ht="19.5" customHeight="1">
      <c r="A5" s="56">
        <f>'📊 Retention'!A5:A19</f>
        <v>45292</v>
      </c>
      <c r="B5" s="35"/>
      <c r="C5" s="57">
        <f>IFERROR('📊 Retention'!C5/'📊 Retention'!$C5,"")</f>
        <v>1</v>
      </c>
      <c r="D5" s="58">
        <f>IFERROR('📊 Retention'!D5/'📊 Retention'!$C5,"")</f>
        <v>0.96</v>
      </c>
      <c r="E5" s="58">
        <f>IFERROR('📊 Retention'!E5/'📊 Retention'!$C5,"")</f>
        <v>0.76</v>
      </c>
      <c r="F5" s="58">
        <f>IFERROR('📊 Retention'!F5/'📊 Retention'!$C5,"")</f>
        <v>0.68</v>
      </c>
      <c r="G5" s="59">
        <f>IFERROR('📊 Retention'!G5/'📊 Retention'!$C5,"")</f>
        <v>0.6</v>
      </c>
      <c r="H5" s="59">
        <f>IFERROR('📊 Retention'!H5/'📊 Retention'!$C5,"")</f>
        <v>0.6</v>
      </c>
      <c r="I5" s="59">
        <f>IFERROR('📊 Retention'!I5/'📊 Retention'!$C5,"")</f>
        <v>0.52</v>
      </c>
      <c r="J5" s="59">
        <f>IFERROR('📊 Retention'!J5/'📊 Retention'!$C5,"")</f>
        <v>0.52</v>
      </c>
      <c r="K5" s="59">
        <f>IFERROR('📊 Retention'!K5/'📊 Retention'!$C5,"")</f>
        <v>0.52</v>
      </c>
      <c r="L5" s="59">
        <f>IFERROR('📊 Retention'!L5/'📊 Retention'!$C5,"")</f>
        <v>0.48</v>
      </c>
      <c r="M5" s="59">
        <f>IFERROR('📊 Retention'!M5/'📊 Retention'!$C5,"")</f>
        <v>0.48</v>
      </c>
      <c r="N5" s="59">
        <f>IFERROR('📊 Retention'!N5/'📊 Retention'!$C5,"")</f>
        <v>0.48</v>
      </c>
    </row>
    <row r="6" ht="19.5" customHeight="1">
      <c r="A6" s="56">
        <f>'📊 Retention'!A6:A20</f>
        <v>45323</v>
      </c>
      <c r="B6" s="45"/>
      <c r="C6" s="57">
        <f>IFERROR('📊 Retention'!C6/'📊 Retention'!$C6,"")</f>
        <v>1</v>
      </c>
      <c r="D6" s="58">
        <f>IFERROR('📊 Retention'!D6/'📊 Retention'!$C6,"")</f>
        <v>0.962962963</v>
      </c>
      <c r="E6" s="58">
        <f>IFERROR('📊 Retention'!E6/'📊 Retention'!$C6,"")</f>
        <v>0.8518518519</v>
      </c>
      <c r="F6" s="58">
        <f>IFERROR('📊 Retention'!F6/'📊 Retention'!$C6,"")</f>
        <v>0.7777777778</v>
      </c>
      <c r="G6" s="59">
        <f>IFERROR('📊 Retention'!G6/'📊 Retention'!$C6,"")</f>
        <v>0.6666666667</v>
      </c>
      <c r="H6" s="59">
        <f>IFERROR('📊 Retention'!H6/'📊 Retention'!$C6,"")</f>
        <v>0.6666666667</v>
      </c>
      <c r="I6" s="59">
        <f>IFERROR('📊 Retention'!I6/'📊 Retention'!$C6,"")</f>
        <v>0.6296296296</v>
      </c>
      <c r="J6" s="59">
        <f>IFERROR('📊 Retention'!J6/'📊 Retention'!$C6,"")</f>
        <v>0.5555555556</v>
      </c>
      <c r="K6" s="59">
        <f>IFERROR('📊 Retention'!K6/'📊 Retention'!$C6,"")</f>
        <v>0.5555555556</v>
      </c>
      <c r="L6" s="59">
        <f>IFERROR('📊 Retention'!L6/'📊 Retention'!$C6,"")</f>
        <v>0.5185185185</v>
      </c>
      <c r="M6" s="59">
        <f>IFERROR('📊 Retention'!M6/'📊 Retention'!$C6,"")</f>
        <v>0.5185185185</v>
      </c>
      <c r="N6" s="59">
        <f>IFERROR('📊 Retention'!N6/'📊 Retention'!$C6,"")</f>
        <v>0.5185185185</v>
      </c>
    </row>
    <row r="7" ht="19.5" customHeight="1">
      <c r="A7" s="56">
        <f>'📊 Retention'!A7:A21</f>
        <v>45352</v>
      </c>
      <c r="B7" s="35"/>
      <c r="C7" s="57">
        <f>IFERROR('📊 Retention'!C7/'📊 Retention'!$C7,"")</f>
        <v>1</v>
      </c>
      <c r="D7" s="58">
        <f>IFERROR('📊 Retention'!D7/'📊 Retention'!$C7,"")</f>
        <v>0.90625</v>
      </c>
      <c r="E7" s="58">
        <f>IFERROR('📊 Retention'!E7/'📊 Retention'!$C7,"")</f>
        <v>0.875</v>
      </c>
      <c r="F7" s="58">
        <f>IFERROR('📊 Retention'!F7/'📊 Retention'!$C7,"")</f>
        <v>0.71875</v>
      </c>
      <c r="G7" s="59">
        <f>IFERROR('📊 Retention'!G7/'📊 Retention'!$C7,"")</f>
        <v>0.71875</v>
      </c>
      <c r="H7" s="59">
        <f>IFERROR('📊 Retention'!H7/'📊 Retention'!$C7,"")</f>
        <v>0.6875</v>
      </c>
      <c r="I7" s="59">
        <f>IFERROR('📊 Retention'!I7/'📊 Retention'!$C7,"")</f>
        <v>0.59375</v>
      </c>
      <c r="J7" s="59">
        <f>IFERROR('📊 Retention'!J7/'📊 Retention'!$C7,"")</f>
        <v>0.5625</v>
      </c>
      <c r="K7" s="59">
        <f>IFERROR('📊 Retention'!K7/'📊 Retention'!$C7,"")</f>
        <v>0.5625</v>
      </c>
      <c r="L7" s="59">
        <f>IFERROR('📊 Retention'!L7/'📊 Retention'!$C7,"")</f>
        <v>0.5625</v>
      </c>
      <c r="M7" s="59">
        <f>IFERROR('📊 Retention'!M7/'📊 Retention'!$C7,"")</f>
        <v>0.5625</v>
      </c>
      <c r="N7" s="59">
        <f>IFERROR('📊 Retention'!N7/'📊 Retention'!$C7,"")</f>
        <v>0.53125</v>
      </c>
    </row>
    <row r="8" ht="19.5" customHeight="1">
      <c r="A8" s="56">
        <f>'📊 Retention'!A8:A22</f>
        <v>45383</v>
      </c>
      <c r="B8" s="45"/>
      <c r="C8" s="57">
        <f>IFERROR('📊 Retention'!C8/'📊 Retention'!$C8,"")</f>
        <v>1</v>
      </c>
      <c r="D8" s="58">
        <f>IFERROR('📊 Retention'!D8/'📊 Retention'!$C8,"")</f>
        <v>0.9166666667</v>
      </c>
      <c r="E8" s="58">
        <f>IFERROR('📊 Retention'!E8/'📊 Retention'!$C8,"")</f>
        <v>0.8333333333</v>
      </c>
      <c r="F8" s="58">
        <f>IFERROR('📊 Retention'!F8/'📊 Retention'!$C8,"")</f>
        <v>0.7777777778</v>
      </c>
      <c r="G8" s="59">
        <f>IFERROR('📊 Retention'!G8/'📊 Retention'!$C8,"")</f>
        <v>0.7777777778</v>
      </c>
      <c r="H8" s="59">
        <f>IFERROR('📊 Retention'!H8/'📊 Retention'!$C8,"")</f>
        <v>0.75</v>
      </c>
      <c r="I8" s="59">
        <f>IFERROR('📊 Retention'!I8/'📊 Retention'!$C8,"")</f>
        <v>0.6944444444</v>
      </c>
      <c r="J8" s="59">
        <f>IFERROR('📊 Retention'!J8/'📊 Retention'!$C8,"")</f>
        <v>0.6944444444</v>
      </c>
      <c r="K8" s="59">
        <f>IFERROR('📊 Retention'!K8/'📊 Retention'!$C8,"")</f>
        <v>0.6388888889</v>
      </c>
      <c r="L8" s="59">
        <f>IFERROR('📊 Retention'!L8/'📊 Retention'!$C8,"")</f>
        <v>0.6388888889</v>
      </c>
      <c r="M8" s="59">
        <f>IFERROR('📊 Retention'!M8/'📊 Retention'!$C8,"")</f>
        <v>0.6111111111</v>
      </c>
      <c r="N8" s="59">
        <f>IFERROR('📊 Retention'!N8/'📊 Retention'!$C8,"")</f>
        <v>0.6388888889</v>
      </c>
    </row>
    <row r="9" ht="19.5" customHeight="1">
      <c r="A9" s="56">
        <f>'📊 Retention'!A9:A23</f>
        <v>45413</v>
      </c>
      <c r="B9" s="35"/>
      <c r="C9" s="57">
        <f>IFERROR('📊 Retention'!C9/'📊 Retention'!$C9,"")</f>
        <v>1</v>
      </c>
      <c r="D9" s="58">
        <f>IFERROR('📊 Retention'!D9/'📊 Retention'!$C9,"")</f>
        <v>0.78125</v>
      </c>
      <c r="E9" s="58">
        <f>IFERROR('📊 Retention'!E9/'📊 Retention'!$C9,"")</f>
        <v>0.71875</v>
      </c>
      <c r="F9" s="58">
        <f>IFERROR('📊 Retention'!F9/'📊 Retention'!$C9,"")</f>
        <v>0.65625</v>
      </c>
      <c r="G9" s="59">
        <f>IFERROR('📊 Retention'!G9/'📊 Retention'!$C9,"")</f>
        <v>0.625</v>
      </c>
      <c r="H9" s="59">
        <f>IFERROR('📊 Retention'!H9/'📊 Retention'!$C9,"")</f>
        <v>0.59375</v>
      </c>
      <c r="I9" s="59">
        <f>IFERROR('📊 Retention'!I9/'📊 Retention'!$C9,"")</f>
        <v>0.5625</v>
      </c>
      <c r="J9" s="59">
        <f>IFERROR('📊 Retention'!J9/'📊 Retention'!$C9,"")</f>
        <v>0.5625</v>
      </c>
      <c r="K9" s="59">
        <f>IFERROR('📊 Retention'!K9/'📊 Retention'!$C9,"")</f>
        <v>0.5625</v>
      </c>
      <c r="L9" s="59">
        <f>IFERROR('📊 Retention'!L9/'📊 Retention'!$C9,"")</f>
        <v>0.5</v>
      </c>
      <c r="M9" s="59">
        <f>IFERROR('📊 Retention'!M9/'📊 Retention'!$C9,"")</f>
        <v>0.5625</v>
      </c>
      <c r="N9" s="55" t="s">
        <v>4367</v>
      </c>
    </row>
    <row r="10" ht="19.5" customHeight="1">
      <c r="A10" s="56">
        <f>'📊 Retention'!A10:A24</f>
        <v>45444</v>
      </c>
      <c r="B10" s="45"/>
      <c r="C10" s="57">
        <f>IFERROR('📊 Retention'!C10/'📊 Retention'!$C10,"")</f>
        <v>1</v>
      </c>
      <c r="D10" s="58">
        <f>IFERROR('📊 Retention'!D10/'📊 Retention'!$C10,"")</f>
        <v>0.8518518519</v>
      </c>
      <c r="E10" s="58">
        <f>IFERROR('📊 Retention'!E10/'📊 Retention'!$C10,"")</f>
        <v>0.7407407407</v>
      </c>
      <c r="F10" s="58">
        <f>IFERROR('📊 Retention'!F10/'📊 Retention'!$C10,"")</f>
        <v>0.6296296296</v>
      </c>
      <c r="G10" s="59">
        <f>IFERROR('📊 Retention'!G10/'📊 Retention'!$C10,"")</f>
        <v>0.6296296296</v>
      </c>
      <c r="H10" s="59">
        <f>IFERROR('📊 Retention'!H10/'📊 Retention'!$C10,"")</f>
        <v>0.5925925926</v>
      </c>
      <c r="I10" s="59">
        <f>IFERROR('📊 Retention'!I10/'📊 Retention'!$C10,"")</f>
        <v>0.5925925926</v>
      </c>
      <c r="J10" s="59">
        <f>IFERROR('📊 Retention'!J10/'📊 Retention'!$C10,"")</f>
        <v>0.5925925926</v>
      </c>
      <c r="K10" s="59">
        <f>IFERROR('📊 Retention'!K10/'📊 Retention'!$C10,"")</f>
        <v>0.4814814815</v>
      </c>
      <c r="L10" s="59">
        <f>IFERROR('📊 Retention'!L10/'📊 Retention'!$C10,"")</f>
        <v>0.5555555556</v>
      </c>
      <c r="M10" s="55" t="s">
        <v>4367</v>
      </c>
      <c r="N10" s="55" t="s">
        <v>4367</v>
      </c>
    </row>
    <row r="11" ht="19.5" customHeight="1">
      <c r="A11" s="56">
        <f>'📊 Retention'!A11:A25</f>
        <v>45474</v>
      </c>
      <c r="B11" s="46"/>
      <c r="C11" s="57">
        <f>IFERROR('📊 Retention'!C11/'📊 Retention'!$C11,"")</f>
        <v>1</v>
      </c>
      <c r="D11" s="58">
        <f>IFERROR('📊 Retention'!D11/'📊 Retention'!$C11,"")</f>
        <v>0.9</v>
      </c>
      <c r="E11" s="58">
        <f>IFERROR('📊 Retention'!E11/'📊 Retention'!$C11,"")</f>
        <v>0.8</v>
      </c>
      <c r="F11" s="58">
        <f>IFERROR('📊 Retention'!F11/'📊 Retention'!$C11,"")</f>
        <v>0.75</v>
      </c>
      <c r="G11" s="59">
        <f>IFERROR('📊 Retention'!G11/'📊 Retention'!$C11,"")</f>
        <v>0.725</v>
      </c>
      <c r="H11" s="59">
        <f>IFERROR('📊 Retention'!H11/'📊 Retention'!$C11,"")</f>
        <v>0.675</v>
      </c>
      <c r="I11" s="59">
        <f>IFERROR('📊 Retention'!I11/'📊 Retention'!$C11,"")</f>
        <v>0.625</v>
      </c>
      <c r="J11" s="59">
        <f>IFERROR('📊 Retention'!J11/'📊 Retention'!$C11,"")</f>
        <v>0.55</v>
      </c>
      <c r="K11" s="59">
        <f>IFERROR('📊 Retention'!K11/'📊 Retention'!$C11,"")</f>
        <v>0.625</v>
      </c>
      <c r="L11" s="55" t="s">
        <v>4367</v>
      </c>
      <c r="M11" s="55" t="s">
        <v>4367</v>
      </c>
      <c r="N11" s="55" t="s">
        <v>4367</v>
      </c>
    </row>
    <row r="12" ht="19.5" customHeight="1">
      <c r="A12" s="56">
        <f>'📊 Retention'!A12:A26</f>
        <v>45505</v>
      </c>
      <c r="B12" s="46"/>
      <c r="C12" s="57">
        <f>IFERROR('📊 Retention'!C12/'📊 Retention'!$C12,"")</f>
        <v>1</v>
      </c>
      <c r="D12" s="58">
        <f>IFERROR('📊 Retention'!D12/'📊 Retention'!$C12,"")</f>
        <v>0.8510638298</v>
      </c>
      <c r="E12" s="58">
        <f>IFERROR('📊 Retention'!E12/'📊 Retention'!$C12,"")</f>
        <v>0.7446808511</v>
      </c>
      <c r="F12" s="58">
        <f>IFERROR('📊 Retention'!F12/'📊 Retention'!$C12,"")</f>
        <v>0.6382978723</v>
      </c>
      <c r="G12" s="59">
        <f>IFERROR('📊 Retention'!G12/'📊 Retention'!$C12,"")</f>
        <v>0.5531914894</v>
      </c>
      <c r="H12" s="59">
        <f>IFERROR('📊 Retention'!H12/'📊 Retention'!$C12,"")</f>
        <v>0.5531914894</v>
      </c>
      <c r="I12" s="59">
        <f>IFERROR('📊 Retention'!I12/'📊 Retention'!$C12,"")</f>
        <v>0.4680851064</v>
      </c>
      <c r="J12" s="59">
        <f>IFERROR('📊 Retention'!J12/'📊 Retention'!$C12,"")</f>
        <v>0.4893617021</v>
      </c>
      <c r="K12" s="55" t="s">
        <v>4367</v>
      </c>
      <c r="L12" s="55" t="s">
        <v>4367</v>
      </c>
      <c r="M12" s="55" t="s">
        <v>4367</v>
      </c>
      <c r="N12" s="55" t="s">
        <v>4367</v>
      </c>
    </row>
    <row r="13" ht="19.5" customHeight="1">
      <c r="A13" s="56">
        <f>'📊 Retention'!A13:A27</f>
        <v>45536</v>
      </c>
      <c r="B13" s="46"/>
      <c r="C13" s="57">
        <f>IFERROR('📊 Retention'!C13/'📊 Retention'!$C13,"")</f>
        <v>1</v>
      </c>
      <c r="D13" s="58">
        <f>IFERROR('📊 Retention'!D13/'📊 Retention'!$C13,"")</f>
        <v>0.9117647059</v>
      </c>
      <c r="E13" s="58">
        <f>IFERROR('📊 Retention'!E13/'📊 Retention'!$C13,"")</f>
        <v>0.8529411765</v>
      </c>
      <c r="F13" s="58">
        <f>IFERROR('📊 Retention'!F13/'📊 Retention'!$C13,"")</f>
        <v>0.7352941176</v>
      </c>
      <c r="G13" s="59">
        <f>IFERROR('📊 Retention'!G13/'📊 Retention'!$C13,"")</f>
        <v>0.6470588235</v>
      </c>
      <c r="H13" s="59">
        <f>IFERROR('📊 Retention'!H13/'📊 Retention'!$C13,"")</f>
        <v>0.6176470588</v>
      </c>
      <c r="I13" s="59">
        <f>IFERROR('📊 Retention'!I13/'📊 Retention'!$C13,"")</f>
        <v>0.5882352941</v>
      </c>
      <c r="J13" s="55" t="s">
        <v>4367</v>
      </c>
      <c r="K13" s="55" t="s">
        <v>4367</v>
      </c>
      <c r="L13" s="55" t="s">
        <v>4367</v>
      </c>
      <c r="M13" s="55" t="s">
        <v>4367</v>
      </c>
      <c r="N13" s="55" t="s">
        <v>4367</v>
      </c>
    </row>
    <row r="14" ht="19.5" customHeight="1">
      <c r="A14" s="56">
        <f>'📊 Retention'!A14:A28</f>
        <v>45566</v>
      </c>
      <c r="B14" s="46"/>
      <c r="C14" s="57">
        <f>IFERROR('📊 Retention'!C14/'📊 Retention'!$C14,"")</f>
        <v>1</v>
      </c>
      <c r="D14" s="58">
        <f>IFERROR('📊 Retention'!D14/'📊 Retention'!$C14,"")</f>
        <v>0.9056603774</v>
      </c>
      <c r="E14" s="58">
        <f>IFERROR('📊 Retention'!E14/'📊 Retention'!$C14,"")</f>
        <v>0.8301886792</v>
      </c>
      <c r="F14" s="58">
        <f>IFERROR('📊 Retention'!F14/'📊 Retention'!$C14,"")</f>
        <v>0.7735849057</v>
      </c>
      <c r="G14" s="59">
        <f>IFERROR('📊 Retention'!G14/'📊 Retention'!$C14,"")</f>
        <v>0.7547169811</v>
      </c>
      <c r="H14" s="59">
        <f>IFERROR('📊 Retention'!H14/'📊 Retention'!$C14,"")</f>
        <v>0.7169811321</v>
      </c>
      <c r="I14" s="55" t="s">
        <v>4367</v>
      </c>
      <c r="J14" s="55" t="s">
        <v>4367</v>
      </c>
      <c r="K14" s="55" t="s">
        <v>4367</v>
      </c>
      <c r="L14" s="55" t="s">
        <v>4367</v>
      </c>
      <c r="M14" s="55" t="s">
        <v>4367</v>
      </c>
      <c r="N14" s="55" t="s">
        <v>4367</v>
      </c>
    </row>
    <row r="15" ht="19.5" customHeight="1">
      <c r="A15" s="56">
        <f>'📊 Retention'!A15:A29</f>
        <v>45597</v>
      </c>
      <c r="B15" s="46"/>
      <c r="C15" s="57">
        <f>IFERROR('📊 Retention'!C15/'📊 Retention'!$C15,"")</f>
        <v>1</v>
      </c>
      <c r="D15" s="58">
        <f>IFERROR('📊 Retention'!D15/'📊 Retention'!$C15,"")</f>
        <v>0.8846153846</v>
      </c>
      <c r="E15" s="58">
        <f>IFERROR('📊 Retention'!E15/'📊 Retention'!$C15,"")</f>
        <v>0.75</v>
      </c>
      <c r="F15" s="58">
        <f>IFERROR('📊 Retention'!F15/'📊 Retention'!$C15,"")</f>
        <v>0.6538461538</v>
      </c>
      <c r="G15" s="59">
        <f>IFERROR('📊 Retention'!G15/'📊 Retention'!$C15,"")</f>
        <v>0.6346153846</v>
      </c>
      <c r="H15" s="55" t="s">
        <v>4367</v>
      </c>
      <c r="I15" s="55" t="s">
        <v>4367</v>
      </c>
      <c r="J15" s="55" t="s">
        <v>4367</v>
      </c>
      <c r="K15" s="55" t="s">
        <v>4367</v>
      </c>
      <c r="L15" s="55" t="s">
        <v>4367</v>
      </c>
      <c r="M15" s="55" t="s">
        <v>4367</v>
      </c>
      <c r="N15" s="55" t="s">
        <v>4367</v>
      </c>
    </row>
    <row r="16" ht="19.5" customHeight="1">
      <c r="A16" s="56">
        <f>'📊 Retention'!A16:A30</f>
        <v>45627</v>
      </c>
      <c r="B16" s="46"/>
      <c r="C16" s="57">
        <f>IFERROR('📊 Retention'!C16/'📊 Retention'!$C16,"")</f>
        <v>1</v>
      </c>
      <c r="D16" s="58">
        <f>IFERROR('📊 Retention'!D16/'📊 Retention'!$C16,"")</f>
        <v>0.8958333333</v>
      </c>
      <c r="E16" s="58">
        <f>IFERROR('📊 Retention'!E16/'📊 Retention'!$C16,"")</f>
        <v>0.75</v>
      </c>
      <c r="F16" s="58">
        <f>IFERROR('📊 Retention'!F16/'📊 Retention'!$C16,"")</f>
        <v>0.6875</v>
      </c>
      <c r="G16" s="55" t="s">
        <v>4367</v>
      </c>
      <c r="H16" s="55" t="s">
        <v>4367</v>
      </c>
      <c r="I16" s="55" t="s">
        <v>4367</v>
      </c>
      <c r="J16" s="55" t="s">
        <v>4367</v>
      </c>
      <c r="K16" s="55" t="s">
        <v>4367</v>
      </c>
      <c r="L16" s="55" t="s">
        <v>4367</v>
      </c>
      <c r="M16" s="55" t="s">
        <v>4367</v>
      </c>
      <c r="N16" s="55" t="s">
        <v>4367</v>
      </c>
    </row>
    <row r="17" ht="19.5" customHeight="1">
      <c r="A17" s="56">
        <f>'📊 Retention'!A17:A31</f>
        <v>45658</v>
      </c>
      <c r="B17" s="46"/>
      <c r="C17" s="57">
        <f>IFERROR('📊 Retention'!C17/'📊 Retention'!$C17,"")</f>
        <v>1</v>
      </c>
      <c r="D17" s="58">
        <f>IFERROR('📊 Retention'!D17/'📊 Retention'!$C17,"")</f>
        <v>0.8</v>
      </c>
      <c r="E17" s="58">
        <f>IFERROR('📊 Retention'!E17/'📊 Retention'!$C17,"")</f>
        <v>0.8444444444</v>
      </c>
      <c r="F17" s="55" t="s">
        <v>4367</v>
      </c>
      <c r="G17" s="55" t="s">
        <v>4367</v>
      </c>
      <c r="H17" s="55" t="s">
        <v>4367</v>
      </c>
      <c r="I17" s="55" t="s">
        <v>4367</v>
      </c>
      <c r="J17" s="55" t="s">
        <v>4367</v>
      </c>
      <c r="K17" s="55" t="s">
        <v>4367</v>
      </c>
      <c r="L17" s="55" t="s">
        <v>4367</v>
      </c>
      <c r="M17" s="55" t="s">
        <v>4367</v>
      </c>
      <c r="N17" s="55" t="s">
        <v>4367</v>
      </c>
    </row>
    <row r="18" ht="19.5" customHeight="1">
      <c r="A18" s="56">
        <f>'📊 Retention'!A18:A32</f>
        <v>45689</v>
      </c>
      <c r="B18" s="46"/>
      <c r="C18" s="57">
        <f>IFERROR('📊 Retention'!C18/'📊 Retention'!$C18,"")</f>
        <v>1</v>
      </c>
      <c r="D18" s="58">
        <f>IFERROR('📊 Retention'!D18/'📊 Retention'!$C18,"")</f>
        <v>0.9811320755</v>
      </c>
      <c r="E18" s="55" t="s">
        <v>4367</v>
      </c>
      <c r="F18" s="55" t="s">
        <v>4367</v>
      </c>
      <c r="G18" s="55" t="s">
        <v>4367</v>
      </c>
      <c r="H18" s="55" t="s">
        <v>4367</v>
      </c>
      <c r="I18" s="55" t="s">
        <v>4367</v>
      </c>
      <c r="J18" s="55" t="s">
        <v>4367</v>
      </c>
      <c r="K18" s="55" t="s">
        <v>4367</v>
      </c>
      <c r="L18" s="55" t="s">
        <v>4367</v>
      </c>
      <c r="M18" s="55" t="s">
        <v>4367</v>
      </c>
      <c r="N18" s="55" t="s">
        <v>4367</v>
      </c>
    </row>
    <row r="19" ht="19.5" customHeight="1">
      <c r="A19" s="56">
        <f>'📊 Retention'!A19:A33</f>
        <v>45717</v>
      </c>
      <c r="B19" s="46"/>
      <c r="C19" s="57">
        <f>IFERROR('📊 Retention'!C19/'📊 Retention'!$C19,"")</f>
        <v>1</v>
      </c>
      <c r="D19" s="55" t="s">
        <v>4367</v>
      </c>
      <c r="E19" s="55" t="s">
        <v>4367</v>
      </c>
      <c r="F19" s="55" t="s">
        <v>4367</v>
      </c>
      <c r="G19" s="55" t="s">
        <v>4367</v>
      </c>
      <c r="H19" s="55" t="s">
        <v>4367</v>
      </c>
      <c r="I19" s="55" t="s">
        <v>4367</v>
      </c>
      <c r="J19" s="55" t="s">
        <v>4367</v>
      </c>
      <c r="K19" s="55" t="s">
        <v>4367</v>
      </c>
      <c r="L19" s="55" t="s">
        <v>4367</v>
      </c>
      <c r="M19" s="55" t="s">
        <v>4367</v>
      </c>
      <c r="N19" s="55" t="s">
        <v>4367</v>
      </c>
    </row>
    <row r="20">
      <c r="A20" s="60" t="s">
        <v>4369</v>
      </c>
      <c r="B20" s="61"/>
      <c r="C20" s="62">
        <f t="shared" ref="C20:N20" si="1">IFERROR(AVERAGEIF(C5:C19,"&lt;&gt;"),"")</f>
        <v>1</v>
      </c>
      <c r="D20" s="62">
        <f t="shared" si="1"/>
        <v>0.8935036563</v>
      </c>
      <c r="E20" s="62">
        <f t="shared" si="1"/>
        <v>0.7963023906</v>
      </c>
      <c r="F20" s="62">
        <f t="shared" si="1"/>
        <v>0.7065590196</v>
      </c>
      <c r="G20" s="62">
        <f t="shared" si="1"/>
        <v>0.6665824321</v>
      </c>
      <c r="H20" s="62">
        <f t="shared" si="1"/>
        <v>0.645332894</v>
      </c>
      <c r="I20" s="62">
        <f t="shared" si="1"/>
        <v>0.5860263408</v>
      </c>
      <c r="J20" s="62">
        <f t="shared" si="1"/>
        <v>0.5658692868</v>
      </c>
      <c r="K20" s="62">
        <f t="shared" si="1"/>
        <v>0.5637037037</v>
      </c>
      <c r="L20" s="62">
        <f t="shared" si="1"/>
        <v>0.5425771605</v>
      </c>
      <c r="M20" s="62">
        <f t="shared" si="1"/>
        <v>0.5469259259</v>
      </c>
      <c r="N20" s="62">
        <f t="shared" si="1"/>
        <v>0.5421643519</v>
      </c>
    </row>
    <row r="21" ht="15.75" customHeight="1"/>
    <row r="22" ht="15.75" customHeight="1"/>
    <row r="23" ht="15.75" customHeight="1">
      <c r="A23" s="40" t="s">
        <v>38</v>
      </c>
    </row>
    <row r="24" ht="15.75" customHeight="1">
      <c r="A24" s="48" t="s">
        <v>4370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2:N2"/>
    <mergeCell ref="A3:N3"/>
    <mergeCell ref="A23:E23"/>
    <mergeCell ref="A24:N25"/>
  </mergeCells>
  <conditionalFormatting sqref="C5:N19">
    <cfRule type="colorScale" priority="1">
      <colorScale>
        <cfvo type="formula" val="0.05"/>
        <cfvo type="formula" val="0.5"/>
        <cfvo type="formula" val="1"/>
        <color rgb="FFEA9999"/>
        <color rgb="FFFFE599"/>
        <color rgb="FF57BB8A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3.0"/>
    <col customWidth="1" min="2" max="2" width="10.0"/>
    <col customWidth="1" min="3" max="14" width="11.0"/>
    <col customWidth="1" min="15" max="15" width="12.0"/>
    <col customWidth="1" min="16" max="25" width="8.71"/>
    <col customWidth="1" min="26" max="26" width="8.86"/>
  </cols>
  <sheetData>
    <row r="2" ht="27.75" customHeight="1">
      <c r="A2" s="21" t="s">
        <v>4371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2"/>
    </row>
    <row r="4" ht="21.75" customHeight="1">
      <c r="A4" s="63" t="s">
        <v>4372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2"/>
      <c r="Q4" s="64"/>
      <c r="R4" s="64"/>
      <c r="S4" s="64"/>
      <c r="T4" s="64"/>
      <c r="U4" s="64"/>
    </row>
    <row r="5" ht="21.75" customHeight="1">
      <c r="A5" s="14" t="s">
        <v>4365</v>
      </c>
      <c r="B5" s="14" t="s">
        <v>4373</v>
      </c>
      <c r="C5" s="65" t="s">
        <v>4374</v>
      </c>
      <c r="D5" s="65" t="s">
        <v>4375</v>
      </c>
      <c r="E5" s="65" t="s">
        <v>4376</v>
      </c>
      <c r="F5" s="65" t="s">
        <v>4377</v>
      </c>
      <c r="G5" s="65" t="s">
        <v>4378</v>
      </c>
      <c r="H5" s="65" t="s">
        <v>4379</v>
      </c>
      <c r="I5" s="65" t="s">
        <v>4380</v>
      </c>
      <c r="J5" s="65" t="s">
        <v>4381</v>
      </c>
      <c r="K5" s="65" t="s">
        <v>4382</v>
      </c>
      <c r="L5" s="65" t="s">
        <v>4383</v>
      </c>
      <c r="M5" s="65" t="s">
        <v>4384</v>
      </c>
      <c r="N5" s="65" t="s">
        <v>4385</v>
      </c>
      <c r="O5" s="32" t="s">
        <v>4369</v>
      </c>
    </row>
    <row r="6" ht="19.5" customHeight="1">
      <c r="A6" s="56">
        <f>'📊 Retention'!A5</f>
        <v>45292</v>
      </c>
      <c r="B6" s="35">
        <f>'📊 Retention'!$B5</f>
        <v>25</v>
      </c>
      <c r="C6" s="66">
        <f>IFERROR(SUMIFS('👥 Клієнти'!$S$5:$S$606,'👥 Клієнти'!$C$5:$C$606,$A6)/$B6,"")</f>
        <v>16.7916</v>
      </c>
      <c r="D6" s="66">
        <f>IFERROR(SUMIFS('👥 Клієнти'!$T$5:$T$606,'👥 Клієнти'!$C$5:$C$606,$A6)/$B6,"")</f>
        <v>19.1904</v>
      </c>
      <c r="E6" s="66">
        <f>IFERROR(SUMIFS('👥 Клієнти'!$U$5:$U$606,'👥 Клієнти'!$C$5:$C$606,$A6)/$B6,"")</f>
        <v>15.1924</v>
      </c>
      <c r="F6" s="66">
        <f>IFERROR(SUMIFS('👥 Клієнти'!$V$5:$V$606,'👥 Клієнти'!$C$5:$C$606,$A6)/$B6,"")</f>
        <v>13.5932</v>
      </c>
      <c r="G6" s="66">
        <f>IFERROR(SUMIFS('👥 Клієнти'!$W$5:$W$606,'👥 Клієнти'!$C$5:$C$606,$A6)/$B6,"")</f>
        <v>12.7936</v>
      </c>
      <c r="H6" s="66">
        <f>IFERROR(SUMIFS('👥 Клієнти'!$X$5:$X$606,'👥 Клієнти'!$C$5:$C$606,$A6)/$B6,"")</f>
        <v>11.994</v>
      </c>
      <c r="I6" s="66">
        <f>IFERROR(SUMIFS('👥 Клієнти'!$Y$5:$Y$606,'👥 Клієнти'!$C$5:$C$606,$A6)/$B6,"")</f>
        <v>10.3948</v>
      </c>
      <c r="J6" s="66">
        <f>IFERROR(SUMIFS('👥 Клієнти'!$Z$5:$Z$606,'👥 Клієнти'!$C$5:$C$606,$A6)/$B6,"")</f>
        <v>10.3948</v>
      </c>
      <c r="K6" s="66">
        <f>IFERROR(SUMIFS('👥 Клієнти'!$AA$5:$AA$606,'👥 Клієнти'!$C$5:$C$606,$A6)/$B6,"")</f>
        <v>10.3948</v>
      </c>
      <c r="L6" s="66">
        <f>IFERROR(SUMIFS('👥 Клієнти'!$AB$5:$AB$606,'👥 Клієнти'!$C$5:$C$606,$A6)/$B6,"")</f>
        <v>9.5952</v>
      </c>
      <c r="M6" s="66">
        <f>IFERROR(SUMIFS('👥 Клієнти'!$AC$5:$AC$606,'👥 Клієнти'!$C$5:$C$606,$A6)/$B6,"")</f>
        <v>9.5952</v>
      </c>
      <c r="N6" s="66">
        <f>IFERROR(SUMIFS('👥 Клієнти'!$AD$5:$AD$606,'👥 Клієнти'!$C$5:$C$606,$A6)/$B6,"")</f>
        <v>9.5952</v>
      </c>
      <c r="O6" s="67">
        <f t="shared" ref="O6:O20" si="1">IFERROR(AVERAGE(C6:N6),"")</f>
        <v>12.46043333</v>
      </c>
    </row>
    <row r="7" ht="19.5" customHeight="1">
      <c r="A7" s="56">
        <f>'📊 Retention'!A6</f>
        <v>45323</v>
      </c>
      <c r="B7" s="35">
        <f>'📊 Retention'!$B6</f>
        <v>27</v>
      </c>
      <c r="C7" s="66">
        <f>IFERROR(SUMIFS('👥 Клієнти'!$S$5:$S$606,'👥 Клієнти'!$C$5:$C$606,$A7)/$B7,"")</f>
        <v>11.10555556</v>
      </c>
      <c r="D7" s="66">
        <f>IFERROR(SUMIFS('👥 Клієнти'!$T$5:$T$606,'👥 Клієнти'!$C$5:$C$606,$A7)/$B7,"")</f>
        <v>19.99</v>
      </c>
      <c r="E7" s="66">
        <f>IFERROR(SUMIFS('👥 Клієнти'!$U$5:$U$606,'👥 Клієнти'!$C$5:$C$606,$A7)/$B7,"")</f>
        <v>17.02851852</v>
      </c>
      <c r="F7" s="66">
        <f>IFERROR(SUMIFS('👥 Клієнти'!$V$5:$V$606,'👥 Клієнти'!$C$5:$C$606,$A7)/$B7,"")</f>
        <v>15.54777778</v>
      </c>
      <c r="G7" s="66">
        <f>IFERROR(SUMIFS('👥 Клієнти'!$W$5:$W$606,'👥 Клієнти'!$C$5:$C$606,$A7)/$B7,"")</f>
        <v>13.32666667</v>
      </c>
      <c r="H7" s="66">
        <f>IFERROR(SUMIFS('👥 Клієнти'!$X$5:$X$606,'👥 Клієнти'!$C$5:$C$606,$A7)/$B7,"")</f>
        <v>13.32666667</v>
      </c>
      <c r="I7" s="66">
        <f>IFERROR(SUMIFS('👥 Клієнти'!$Y$5:$Y$606,'👥 Клієнти'!$C$5:$C$606,$A7)/$B7,"")</f>
        <v>13.32666667</v>
      </c>
      <c r="J7" s="66">
        <f>IFERROR(SUMIFS('👥 Клієнти'!$Z$5:$Z$606,'👥 Клієнти'!$C$5:$C$606,$A7)/$B7,"")</f>
        <v>11.10555556</v>
      </c>
      <c r="K7" s="66">
        <f>IFERROR(SUMIFS('👥 Клієнти'!$AA$5:$AA$606,'👥 Клієнти'!$C$5:$C$606,$A7)/$B7,"")</f>
        <v>14.06703704</v>
      </c>
      <c r="L7" s="66">
        <f>IFERROR(SUMIFS('👥 Клієнти'!$AB$5:$AB$606,'👥 Клієнти'!$C$5:$C$606,$A7)/$B7,"")</f>
        <v>10.36518519</v>
      </c>
      <c r="M7" s="66">
        <f>IFERROR(SUMIFS('👥 Клієнти'!$AC$5:$AC$606,'👥 Клієнти'!$C$5:$C$606,$A7)/$B7,"")</f>
        <v>11.10555556</v>
      </c>
      <c r="N7" s="66">
        <f>IFERROR(SUMIFS('👥 Клієнти'!$AD$5:$AD$606,'👥 Клієнти'!$C$5:$C$606,$A7)/$B7,"")</f>
        <v>10.36518519</v>
      </c>
      <c r="O7" s="67">
        <f t="shared" si="1"/>
        <v>13.3883642</v>
      </c>
    </row>
    <row r="8" ht="19.5" customHeight="1">
      <c r="A8" s="56">
        <f>'📊 Retention'!A7</f>
        <v>45352</v>
      </c>
      <c r="B8" s="35">
        <f>'📊 Retention'!$B7</f>
        <v>32</v>
      </c>
      <c r="C8" s="66">
        <f>IFERROR(SUMIFS('👥 Клієнти'!$S$5:$S$606,'👥 Клієнти'!$C$5:$C$606,$A8)/$B8,"")</f>
        <v>16.241875</v>
      </c>
      <c r="D8" s="66">
        <f>IFERROR(SUMIFS('👥 Клієнти'!$T$5:$T$606,'👥 Клієнти'!$C$5:$C$606,$A8)/$B8,"")</f>
        <v>18.1159375</v>
      </c>
      <c r="E8" s="66">
        <f>IFERROR(SUMIFS('👥 Клієнти'!$U$5:$U$606,'👥 Клієнти'!$C$5:$C$606,$A8)/$B8,"")</f>
        <v>18.1159375</v>
      </c>
      <c r="F8" s="66">
        <f>IFERROR(SUMIFS('👥 Клієнти'!$V$5:$V$606,'👥 Клієнти'!$C$5:$C$606,$A8)/$B8,"")</f>
        <v>14.3678125</v>
      </c>
      <c r="G8" s="66">
        <f>IFERROR(SUMIFS('👥 Клієнти'!$W$5:$W$606,'👥 Клієнти'!$C$5:$C$606,$A8)/$B8,"")</f>
        <v>14.9925</v>
      </c>
      <c r="H8" s="66">
        <f>IFERROR(SUMIFS('👥 Клієнти'!$X$5:$X$606,'👥 Клієнти'!$C$5:$C$606,$A8)/$B8,"")</f>
        <v>13.743125</v>
      </c>
      <c r="I8" s="66">
        <f>IFERROR(SUMIFS('👥 Клієнти'!$Y$5:$Y$606,'👥 Клієнти'!$C$5:$C$606,$A8)/$B8,"")</f>
        <v>11.8690625</v>
      </c>
      <c r="J8" s="66">
        <f>IFERROR(SUMIFS('👥 Клієнти'!$Z$5:$Z$606,'👥 Клієнти'!$C$5:$C$606,$A8)/$B8,"")</f>
        <v>11.8690625</v>
      </c>
      <c r="K8" s="66">
        <f>IFERROR(SUMIFS('👥 Клієнти'!$AA$5:$AA$606,'👥 Клієнти'!$C$5:$C$606,$A8)/$B8,"")</f>
        <v>11.244375</v>
      </c>
      <c r="L8" s="66">
        <f>IFERROR(SUMIFS('👥 Клієнти'!$AB$5:$AB$606,'👥 Клієнти'!$C$5:$C$606,$A8)/$B8,"")</f>
        <v>11.244375</v>
      </c>
      <c r="M8" s="66">
        <f>IFERROR(SUMIFS('👥 Клієнти'!$AC$5:$AC$606,'👥 Клієнти'!$C$5:$C$606,$A8)/$B8,"")</f>
        <v>11.244375</v>
      </c>
      <c r="N8" s="66">
        <f>IFERROR(SUMIFS('👥 Клієнти'!$AD$5:$AD$606,'👥 Клієнти'!$C$5:$C$606,$A8)/$B8,"")</f>
        <v>10.6196875</v>
      </c>
      <c r="O8" s="67">
        <f t="shared" si="1"/>
        <v>13.63901042</v>
      </c>
    </row>
    <row r="9" ht="19.5" customHeight="1">
      <c r="A9" s="56">
        <f>'📊 Retention'!A8</f>
        <v>45383</v>
      </c>
      <c r="B9" s="35">
        <f>'📊 Retention'!$B8</f>
        <v>36</v>
      </c>
      <c r="C9" s="66">
        <f>IFERROR(SUMIFS('👥 Клієнти'!$S$5:$S$606,'👥 Клієнти'!$C$5:$C$606,$A9)/$B9,"")</f>
        <v>13.88194444</v>
      </c>
      <c r="D9" s="66">
        <f>IFERROR(SUMIFS('👥 Клієнти'!$T$5:$T$606,'👥 Клієнти'!$C$5:$C$606,$A9)/$B9,"")</f>
        <v>19.43472222</v>
      </c>
      <c r="E9" s="66">
        <f>IFERROR(SUMIFS('👥 Клієнти'!$U$5:$U$606,'👥 Клієнти'!$C$5:$C$606,$A9)/$B9,"")</f>
        <v>16.65833333</v>
      </c>
      <c r="F9" s="66">
        <f>IFERROR(SUMIFS('👥 Клієнти'!$V$5:$V$606,'👥 Клієнти'!$C$5:$C$606,$A9)/$B9,"")</f>
        <v>16.10305556</v>
      </c>
      <c r="G9" s="66">
        <f>IFERROR(SUMIFS('👥 Клієнти'!$W$5:$W$606,'👥 Клієнти'!$C$5:$C$606,$A9)/$B9,"")</f>
        <v>17.21361111</v>
      </c>
      <c r="H9" s="66">
        <f>IFERROR(SUMIFS('👥 Клієнти'!$X$5:$X$606,'👥 Клієнти'!$C$5:$C$606,$A9)/$B9,"")</f>
        <v>14.9925</v>
      </c>
      <c r="I9" s="66">
        <f>IFERROR(SUMIFS('👥 Клієнти'!$Y$5:$Y$606,'👥 Клієнти'!$C$5:$C$606,$A9)/$B9,"")</f>
        <v>14.43722222</v>
      </c>
      <c r="J9" s="66">
        <f>IFERROR(SUMIFS('👥 Клієнти'!$Z$5:$Z$606,'👥 Клієнти'!$C$5:$C$606,$A9)/$B9,"")</f>
        <v>13.88194444</v>
      </c>
      <c r="K9" s="66">
        <f>IFERROR(SUMIFS('👥 Клієнти'!$AA$5:$AA$606,'👥 Клієнти'!$C$5:$C$606,$A9)/$B9,"")</f>
        <v>13.32666667</v>
      </c>
      <c r="L9" s="66">
        <f>IFERROR(SUMIFS('👥 Клієнти'!$AB$5:$AB$606,'👥 Клієнти'!$C$5:$C$606,$A9)/$B9,"")</f>
        <v>12.77138889</v>
      </c>
      <c r="M9" s="66">
        <f>IFERROR(SUMIFS('👥 Клієнти'!$AC$5:$AC$606,'👥 Клієнти'!$C$5:$C$606,$A9)/$B9,"")</f>
        <v>12.21611111</v>
      </c>
      <c r="N9" s="66">
        <f>IFERROR(SUMIFS('👥 Клієнти'!$AD$5:$AD$606,'👥 Клієнти'!$C$5:$C$606,$A9)/$B9,"")</f>
        <v>13.32666667</v>
      </c>
      <c r="O9" s="67">
        <f t="shared" si="1"/>
        <v>14.85368056</v>
      </c>
    </row>
    <row r="10" ht="19.5" customHeight="1">
      <c r="A10" s="56">
        <f>'📊 Retention'!A9</f>
        <v>45413</v>
      </c>
      <c r="B10" s="35">
        <f>'📊 Retention'!$B9</f>
        <v>32</v>
      </c>
      <c r="C10" s="66">
        <f>IFERROR(SUMIFS('👥 Клієнти'!$S$5:$S$606,'👥 Клієнти'!$C$5:$C$606,$A10)/$B10,"")</f>
        <v>17.49125</v>
      </c>
      <c r="D10" s="66">
        <f>IFERROR(SUMIFS('👥 Клієнти'!$T$5:$T$606,'👥 Клієнти'!$C$5:$C$606,$A10)/$B10,"")</f>
        <v>15.6171875</v>
      </c>
      <c r="E10" s="66">
        <f>IFERROR(SUMIFS('👥 Клієнти'!$U$5:$U$606,'👥 Клієнти'!$C$5:$C$606,$A10)/$B10,"")</f>
        <v>14.3678125</v>
      </c>
      <c r="F10" s="66">
        <f>IFERROR(SUMIFS('👥 Клієнти'!$V$5:$V$606,'👥 Клієнти'!$C$5:$C$606,$A10)/$B10,"")</f>
        <v>13.1184375</v>
      </c>
      <c r="G10" s="66">
        <f>IFERROR(SUMIFS('👥 Клієнти'!$W$5:$W$606,'👥 Клієнти'!$C$5:$C$606,$A10)/$B10,"")</f>
        <v>12.49375</v>
      </c>
      <c r="H10" s="66">
        <f>IFERROR(SUMIFS('👥 Клієнти'!$X$5:$X$606,'👥 Клієнти'!$C$5:$C$606,$A10)/$B10,"")</f>
        <v>12.49375</v>
      </c>
      <c r="I10" s="66">
        <f>IFERROR(SUMIFS('👥 Клієнти'!$Y$5:$Y$606,'👥 Клієнти'!$C$5:$C$606,$A10)/$B10,"")</f>
        <v>11.244375</v>
      </c>
      <c r="J10" s="66">
        <f>IFERROR(SUMIFS('👥 Клієнти'!$Z$5:$Z$606,'👥 Клієнти'!$C$5:$C$606,$A10)/$B10,"")</f>
        <v>11.244375</v>
      </c>
      <c r="K10" s="66">
        <f>IFERROR(SUMIFS('👥 Клієнти'!$AA$5:$AA$606,'👥 Клієнти'!$C$5:$C$606,$A10)/$B10,"")</f>
        <v>12.49375</v>
      </c>
      <c r="L10" s="66">
        <f>IFERROR(SUMIFS('👥 Клієнти'!$AB$5:$AB$606,'👥 Клієнти'!$C$5:$C$606,$A10)/$B10,"")</f>
        <v>9.995</v>
      </c>
      <c r="M10" s="66">
        <f>IFERROR(SUMIFS('👥 Клієнти'!$AC$5:$AC$606,'👥 Клієнти'!$C$5:$C$606,$A10)/$B10,"")</f>
        <v>11.244375</v>
      </c>
      <c r="N10" s="68" t="s">
        <v>4367</v>
      </c>
      <c r="O10" s="67">
        <f t="shared" si="1"/>
        <v>12.89127841</v>
      </c>
    </row>
    <row r="11" ht="19.5" customHeight="1">
      <c r="A11" s="56">
        <f>'📊 Retention'!A10</f>
        <v>45444</v>
      </c>
      <c r="B11" s="35">
        <f>'📊 Retention'!$B10</f>
        <v>27</v>
      </c>
      <c r="C11" s="66">
        <f>IFERROR(SUMIFS('👥 Клієнти'!$S$5:$S$606,'👥 Клієнти'!$C$5:$C$606,$A11)/$B11,"")</f>
        <v>14.06703704</v>
      </c>
      <c r="D11" s="66">
        <f>IFERROR(SUMIFS('👥 Клієнти'!$T$5:$T$606,'👥 Клієнти'!$C$5:$C$606,$A11)/$B11,"")</f>
        <v>19.24962963</v>
      </c>
      <c r="E11" s="66">
        <f>IFERROR(SUMIFS('👥 Клієнти'!$U$5:$U$606,'👥 Клієнти'!$C$5:$C$606,$A11)/$B11,"")</f>
        <v>14.80740741</v>
      </c>
      <c r="F11" s="66">
        <f>IFERROR(SUMIFS('👥 Клієнти'!$V$5:$V$606,'👥 Клієнти'!$C$5:$C$606,$A11)/$B11,"")</f>
        <v>12.5862963</v>
      </c>
      <c r="G11" s="66">
        <f>IFERROR(SUMIFS('👥 Клієнти'!$W$5:$W$606,'👥 Клієнти'!$C$5:$C$606,$A11)/$B11,"")</f>
        <v>12.5862963</v>
      </c>
      <c r="H11" s="66">
        <f>IFERROR(SUMIFS('👥 Клієнти'!$X$5:$X$606,'👥 Клієнти'!$C$5:$C$606,$A11)/$B11,"")</f>
        <v>11.84592593</v>
      </c>
      <c r="I11" s="66">
        <f>IFERROR(SUMIFS('👥 Клієнти'!$Y$5:$Y$606,'👥 Клієнти'!$C$5:$C$606,$A11)/$B11,"")</f>
        <v>13.32666667</v>
      </c>
      <c r="J11" s="66">
        <f>IFERROR(SUMIFS('👥 Клієнти'!$Z$5:$Z$606,'👥 Клієнти'!$C$5:$C$606,$A11)/$B11,"")</f>
        <v>12.5862963</v>
      </c>
      <c r="K11" s="66">
        <f>IFERROR(SUMIFS('👥 Клієнти'!$AA$5:$AA$606,'👥 Клієнти'!$C$5:$C$606,$A11)/$B11,"")</f>
        <v>9.624814815</v>
      </c>
      <c r="L11" s="66">
        <f>IFERROR(SUMIFS('👥 Клієнти'!$AB$5:$AB$606,'👥 Клієнти'!$C$5:$C$606,$A11)/$B11,"")</f>
        <v>12.5862963</v>
      </c>
      <c r="M11" s="68" t="s">
        <v>4367</v>
      </c>
      <c r="N11" s="68" t="s">
        <v>4367</v>
      </c>
      <c r="O11" s="67">
        <f t="shared" si="1"/>
        <v>13.32666667</v>
      </c>
    </row>
    <row r="12" ht="19.5" customHeight="1">
      <c r="A12" s="56">
        <f>'📊 Retention'!A11</f>
        <v>45474</v>
      </c>
      <c r="B12" s="35">
        <f>'📊 Retention'!$B11</f>
        <v>40</v>
      </c>
      <c r="C12" s="66">
        <f>IFERROR(SUMIFS('👥 Клієнти'!$S$5:$S$606,'👥 Клієнти'!$C$5:$C$606,$A12)/$B12,"")</f>
        <v>13.993</v>
      </c>
      <c r="D12" s="66">
        <f>IFERROR(SUMIFS('👥 Клієнти'!$T$5:$T$606,'👥 Клієнти'!$C$5:$C$606,$A12)/$B12,"")</f>
        <v>18.9905</v>
      </c>
      <c r="E12" s="66">
        <f>IFERROR(SUMIFS('👥 Клієнти'!$U$5:$U$606,'👥 Клієнти'!$C$5:$C$606,$A12)/$B12,"")</f>
        <v>15.992</v>
      </c>
      <c r="F12" s="66">
        <f>IFERROR(SUMIFS('👥 Клієнти'!$V$5:$V$606,'👥 Клієнти'!$C$5:$C$606,$A12)/$B12,"")</f>
        <v>15.49225</v>
      </c>
      <c r="G12" s="66">
        <f>IFERROR(SUMIFS('👥 Клієнти'!$W$5:$W$606,'👥 Клієнти'!$C$5:$C$606,$A12)/$B12,"")</f>
        <v>14.49275</v>
      </c>
      <c r="H12" s="66">
        <f>IFERROR(SUMIFS('👥 Клієнти'!$X$5:$X$606,'👥 Клієнти'!$C$5:$C$606,$A12)/$B12,"")</f>
        <v>13.993</v>
      </c>
      <c r="I12" s="66">
        <f>IFERROR(SUMIFS('👥 Клієнти'!$Y$5:$Y$606,'👥 Клієнти'!$C$5:$C$606,$A12)/$B12,"")</f>
        <v>13.49325</v>
      </c>
      <c r="J12" s="66">
        <f>IFERROR(SUMIFS('👥 Клієнти'!$Z$5:$Z$606,'👥 Клієнти'!$C$5:$C$606,$A12)/$B12,"")</f>
        <v>10.9945</v>
      </c>
      <c r="K12" s="66">
        <f>IFERROR(SUMIFS('👥 Клієнти'!$AA$5:$AA$606,'👥 Клієнти'!$C$5:$C$606,$A12)/$B12,"")</f>
        <v>12.9935</v>
      </c>
      <c r="L12" s="68" t="s">
        <v>4367</v>
      </c>
      <c r="M12" s="68" t="s">
        <v>4367</v>
      </c>
      <c r="N12" s="68" t="s">
        <v>4367</v>
      </c>
      <c r="O12" s="67">
        <f t="shared" si="1"/>
        <v>14.49275</v>
      </c>
    </row>
    <row r="13" ht="19.5" customHeight="1">
      <c r="A13" s="56">
        <f>'📊 Retention'!A12</f>
        <v>45505</v>
      </c>
      <c r="B13" s="35">
        <f>'📊 Retention'!$B12</f>
        <v>47</v>
      </c>
      <c r="C13" s="66">
        <f>IFERROR(SUMIFS('👥 Клієнти'!$S$5:$S$606,'👥 Клієнти'!$C$5:$C$606,$A13)/$B13,"")</f>
        <v>16.58744681</v>
      </c>
      <c r="D13" s="66">
        <f>IFERROR(SUMIFS('👥 Клієнти'!$T$5:$T$606,'👥 Клієнти'!$C$5:$C$606,$A13)/$B13,"")</f>
        <v>17.01276596</v>
      </c>
      <c r="E13" s="66">
        <f>IFERROR(SUMIFS('👥 Клієнти'!$U$5:$U$606,'👥 Клієнти'!$C$5:$C$606,$A13)/$B13,"")</f>
        <v>14.88617021</v>
      </c>
      <c r="F13" s="66">
        <f>IFERROR(SUMIFS('👥 Клієнти'!$V$5:$V$606,'👥 Клієнти'!$C$5:$C$606,$A13)/$B13,"")</f>
        <v>12.75957447</v>
      </c>
      <c r="G13" s="66">
        <f>IFERROR(SUMIFS('👥 Клієнти'!$W$5:$W$606,'👥 Клієнти'!$C$5:$C$606,$A13)/$B13,"")</f>
        <v>11.90893617</v>
      </c>
      <c r="H13" s="66">
        <f>IFERROR(SUMIFS('👥 Клієнти'!$X$5:$X$606,'👥 Клієнти'!$C$5:$C$606,$A13)/$B13,"")</f>
        <v>11.48361702</v>
      </c>
      <c r="I13" s="66">
        <f>IFERROR(SUMIFS('👥 Клієнти'!$Y$5:$Y$606,'👥 Клієнти'!$C$5:$C$606,$A13)/$B13,"")</f>
        <v>9.357021277</v>
      </c>
      <c r="J13" s="66">
        <f>IFERROR(SUMIFS('👥 Клієнти'!$Z$5:$Z$606,'👥 Клієнти'!$C$5:$C$606,$A13)/$B13,"")</f>
        <v>10.20765957</v>
      </c>
      <c r="K13" s="68" t="s">
        <v>4367</v>
      </c>
      <c r="L13" s="68" t="s">
        <v>4367</v>
      </c>
      <c r="M13" s="68" t="s">
        <v>4367</v>
      </c>
      <c r="N13" s="68" t="s">
        <v>4367</v>
      </c>
      <c r="O13" s="67">
        <f t="shared" si="1"/>
        <v>13.02539894</v>
      </c>
    </row>
    <row r="14" ht="19.5" customHeight="1">
      <c r="A14" s="56">
        <f>'📊 Retention'!A13</f>
        <v>45536</v>
      </c>
      <c r="B14" s="35">
        <f>'📊 Retention'!$B13</f>
        <v>34</v>
      </c>
      <c r="C14" s="66">
        <f>IFERROR(SUMIFS('👥 Клієнти'!$S$5:$S$606,'👥 Клієнти'!$C$5:$C$606,$A14)/$B14,"")</f>
        <v>17.05029412</v>
      </c>
      <c r="D14" s="66">
        <f>IFERROR(SUMIFS('👥 Клієнти'!$T$5:$T$606,'👥 Клієнти'!$C$5:$C$606,$A14)/$B14,"")</f>
        <v>18.81411765</v>
      </c>
      <c r="E14" s="66">
        <f>IFERROR(SUMIFS('👥 Клієнти'!$U$5:$U$606,'👥 Клієнти'!$C$5:$C$606,$A14)/$B14,"")</f>
        <v>17.05029412</v>
      </c>
      <c r="F14" s="66">
        <f>IFERROR(SUMIFS('👥 Клієнти'!$V$5:$V$606,'👥 Клієнти'!$C$5:$C$606,$A14)/$B14,"")</f>
        <v>14.69852941</v>
      </c>
      <c r="G14" s="66">
        <f>IFERROR(SUMIFS('👥 Клієнти'!$W$5:$W$606,'👥 Клієнти'!$C$5:$C$606,$A14)/$B14,"")</f>
        <v>12.93470588</v>
      </c>
      <c r="H14" s="66">
        <f>IFERROR(SUMIFS('👥 Клієнти'!$X$5:$X$606,'👥 Клієнти'!$C$5:$C$606,$A14)/$B14,"")</f>
        <v>12.34676471</v>
      </c>
      <c r="I14" s="66">
        <f>IFERROR(SUMIFS('👥 Клієнти'!$Y$5:$Y$606,'👥 Клієнти'!$C$5:$C$606,$A14)/$B14,"")</f>
        <v>11.75882353</v>
      </c>
      <c r="J14" s="68" t="s">
        <v>4367</v>
      </c>
      <c r="K14" s="68" t="s">
        <v>4367</v>
      </c>
      <c r="L14" s="68" t="s">
        <v>4367</v>
      </c>
      <c r="M14" s="68" t="s">
        <v>4367</v>
      </c>
      <c r="N14" s="68" t="s">
        <v>4367</v>
      </c>
      <c r="O14" s="67">
        <f t="shared" si="1"/>
        <v>14.9505042</v>
      </c>
    </row>
    <row r="15" ht="19.5" customHeight="1">
      <c r="A15" s="56">
        <f>'📊 Retention'!A14</f>
        <v>45566</v>
      </c>
      <c r="B15" s="35">
        <f>'📊 Retention'!$B14</f>
        <v>53</v>
      </c>
      <c r="C15" s="66">
        <f>IFERROR(SUMIFS('👥 Клієнти'!$S$5:$S$606,'👥 Клієнти'!$C$5:$C$606,$A15)/$B15,"")</f>
        <v>16.5954717</v>
      </c>
      <c r="D15" s="66">
        <f>IFERROR(SUMIFS('👥 Клієнти'!$T$5:$T$606,'👥 Клієнти'!$C$5:$C$606,$A15)/$B15,"")</f>
        <v>18.10415094</v>
      </c>
      <c r="E15" s="66">
        <f>IFERROR(SUMIFS('👥 Клієнти'!$U$5:$U$606,'👥 Клієнти'!$C$5:$C$606,$A15)/$B15,"")</f>
        <v>16.5954717</v>
      </c>
      <c r="F15" s="66">
        <f>IFERROR(SUMIFS('👥 Клієнти'!$V$5:$V$606,'👥 Клієнти'!$C$5:$C$606,$A15)/$B15,"")</f>
        <v>15.46396226</v>
      </c>
      <c r="G15" s="66">
        <f>IFERROR(SUMIFS('👥 Клієнти'!$W$5:$W$606,'👥 Клієнти'!$C$5:$C$606,$A15)/$B15,"")</f>
        <v>15.08679245</v>
      </c>
      <c r="H15" s="66">
        <f>IFERROR(SUMIFS('👥 Клієнти'!$X$5:$X$606,'👥 Клієнти'!$C$5:$C$606,$A15)/$B15,"")</f>
        <v>14.33245283</v>
      </c>
      <c r="I15" s="68" t="s">
        <v>4367</v>
      </c>
      <c r="J15" s="68" t="s">
        <v>4367</v>
      </c>
      <c r="K15" s="68" t="s">
        <v>4367</v>
      </c>
      <c r="L15" s="68" t="s">
        <v>4367</v>
      </c>
      <c r="M15" s="68" t="s">
        <v>4367</v>
      </c>
      <c r="N15" s="68" t="s">
        <v>4367</v>
      </c>
      <c r="O15" s="67">
        <f t="shared" si="1"/>
        <v>16.02971698</v>
      </c>
    </row>
    <row r="16" ht="19.5" customHeight="1">
      <c r="A16" s="56">
        <f>'📊 Retention'!A15</f>
        <v>45597</v>
      </c>
      <c r="B16" s="35">
        <f>'📊 Retention'!$B15</f>
        <v>52</v>
      </c>
      <c r="C16" s="66">
        <f>IFERROR(SUMIFS('👥 Клієнти'!$S$5:$S$606,'👥 Клієнти'!$C$5:$C$606,$A16)/$B16,"")</f>
        <v>16.14576923</v>
      </c>
      <c r="D16" s="66">
        <f>IFERROR(SUMIFS('👥 Клієнти'!$T$5:$T$606,'👥 Клієнти'!$C$5:$C$606,$A16)/$B16,"")</f>
        <v>18.06788462</v>
      </c>
      <c r="E16" s="66">
        <f>IFERROR(SUMIFS('👥 Клієнти'!$U$5:$U$606,'👥 Клієнти'!$C$5:$C$606,$A16)/$B16,"")</f>
        <v>14.9925</v>
      </c>
      <c r="F16" s="66">
        <f>IFERROR(SUMIFS('👥 Клієнти'!$V$5:$V$606,'👥 Клієнти'!$C$5:$C$606,$A16)/$B16,"")</f>
        <v>13.07038462</v>
      </c>
      <c r="G16" s="66">
        <f>IFERROR(SUMIFS('👥 Клієнти'!$W$5:$W$606,'👥 Клієнти'!$C$5:$C$606,$A16)/$B16,"")</f>
        <v>13.07038462</v>
      </c>
      <c r="H16" s="68" t="s">
        <v>4367</v>
      </c>
      <c r="I16" s="68" t="s">
        <v>4367</v>
      </c>
      <c r="J16" s="68" t="s">
        <v>4367</v>
      </c>
      <c r="K16" s="68" t="s">
        <v>4367</v>
      </c>
      <c r="L16" s="68" t="s">
        <v>4367</v>
      </c>
      <c r="M16" s="68" t="s">
        <v>4367</v>
      </c>
      <c r="N16" s="68" t="s">
        <v>4367</v>
      </c>
      <c r="O16" s="67">
        <f t="shared" si="1"/>
        <v>15.06938462</v>
      </c>
    </row>
    <row r="17" ht="19.5" customHeight="1">
      <c r="A17" s="56">
        <f>'📊 Retention'!A16</f>
        <v>45627</v>
      </c>
      <c r="B17" s="35">
        <f>'📊 Retention'!$B16</f>
        <v>48</v>
      </c>
      <c r="C17" s="66">
        <f>IFERROR(SUMIFS('👥 Клієнти'!$S$5:$S$606,'👥 Клієнти'!$C$5:$C$606,$A17)/$B17,"")</f>
        <v>16.241875</v>
      </c>
      <c r="D17" s="66">
        <f>IFERROR(SUMIFS('👥 Клієнти'!$T$5:$T$606,'👥 Клієнти'!$C$5:$C$606,$A17)/$B17,"")</f>
        <v>19.15708333</v>
      </c>
      <c r="E17" s="66">
        <f>IFERROR(SUMIFS('👥 Клієнти'!$U$5:$U$606,'👥 Клієнти'!$C$5:$C$606,$A17)/$B17,"")</f>
        <v>14.9925</v>
      </c>
      <c r="F17" s="66">
        <f>IFERROR(SUMIFS('👥 Клієнти'!$V$5:$V$606,'👥 Клієнти'!$C$5:$C$606,$A17)/$B17,"")</f>
        <v>13.743125</v>
      </c>
      <c r="G17" s="68" t="s">
        <v>4367</v>
      </c>
      <c r="H17" s="68" t="s">
        <v>4367</v>
      </c>
      <c r="I17" s="68" t="s">
        <v>4367</v>
      </c>
      <c r="J17" s="68" t="s">
        <v>4367</v>
      </c>
      <c r="K17" s="68" t="s">
        <v>4367</v>
      </c>
      <c r="L17" s="68" t="s">
        <v>4367</v>
      </c>
      <c r="M17" s="68" t="s">
        <v>4367</v>
      </c>
      <c r="N17" s="68" t="s">
        <v>4367</v>
      </c>
      <c r="O17" s="67">
        <f t="shared" si="1"/>
        <v>16.03364583</v>
      </c>
    </row>
    <row r="18" ht="19.5" customHeight="1">
      <c r="A18" s="56">
        <f>'📊 Retention'!A17</f>
        <v>45658</v>
      </c>
      <c r="B18" s="35">
        <f>'📊 Retention'!$B17</f>
        <v>45</v>
      </c>
      <c r="C18" s="66">
        <f>IFERROR(SUMIFS('👥 Клієнти'!$S$5:$S$606,'👥 Клієнти'!$C$5:$C$606,$A18)/$B18,"")</f>
        <v>14.65933333</v>
      </c>
      <c r="D18" s="66">
        <f>IFERROR(SUMIFS('👥 Клієнти'!$T$5:$T$606,'👥 Клієнти'!$C$5:$C$606,$A18)/$B18,"")</f>
        <v>15.992</v>
      </c>
      <c r="E18" s="66">
        <f>IFERROR(SUMIFS('👥 Клієнти'!$U$5:$U$606,'👥 Клієнти'!$C$5:$C$606,$A18)/$B18,"")</f>
        <v>18.21311111</v>
      </c>
      <c r="F18" s="68" t="s">
        <v>4367</v>
      </c>
      <c r="G18" s="68" t="s">
        <v>4367</v>
      </c>
      <c r="H18" s="68" t="s">
        <v>4367</v>
      </c>
      <c r="I18" s="68" t="s">
        <v>4367</v>
      </c>
      <c r="J18" s="68" t="s">
        <v>4367</v>
      </c>
      <c r="K18" s="68" t="s">
        <v>4367</v>
      </c>
      <c r="L18" s="68" t="s">
        <v>4367</v>
      </c>
      <c r="M18" s="68" t="s">
        <v>4367</v>
      </c>
      <c r="N18" s="68" t="s">
        <v>4367</v>
      </c>
      <c r="O18" s="67">
        <f t="shared" si="1"/>
        <v>16.28814815</v>
      </c>
    </row>
    <row r="19" ht="19.5" customHeight="1">
      <c r="A19" s="56">
        <f>'📊 Retention'!A18</f>
        <v>45689</v>
      </c>
      <c r="B19" s="35">
        <f>'📊 Retention'!$B18</f>
        <v>53</v>
      </c>
      <c r="C19" s="66">
        <f>IFERROR(SUMIFS('👥 Клієнти'!$S$5:$S$606,'👥 Клієнти'!$C$5:$C$606,$A19)/$B19,"")</f>
        <v>15.46396226</v>
      </c>
      <c r="D19" s="66">
        <f>IFERROR(SUMIFS('👥 Клієнти'!$T$5:$T$606,'👥 Клієнти'!$C$5:$C$606,$A19)/$B19,"")</f>
        <v>19.99</v>
      </c>
      <c r="E19" s="68" t="s">
        <v>4367</v>
      </c>
      <c r="F19" s="68" t="s">
        <v>4367</v>
      </c>
      <c r="G19" s="68" t="s">
        <v>4367</v>
      </c>
      <c r="H19" s="68" t="s">
        <v>4367</v>
      </c>
      <c r="I19" s="68" t="s">
        <v>4367</v>
      </c>
      <c r="J19" s="68" t="s">
        <v>4367</v>
      </c>
      <c r="K19" s="68" t="s">
        <v>4367</v>
      </c>
      <c r="L19" s="68" t="s">
        <v>4367</v>
      </c>
      <c r="M19" s="68" t="s">
        <v>4367</v>
      </c>
      <c r="N19" s="68" t="s">
        <v>4367</v>
      </c>
      <c r="O19" s="67">
        <f t="shared" si="1"/>
        <v>17.72698113</v>
      </c>
    </row>
    <row r="20" ht="19.5" customHeight="1">
      <c r="A20" s="56">
        <f>'📊 Retention'!A19</f>
        <v>45717</v>
      </c>
      <c r="B20" s="35">
        <f>'📊 Retention'!$B19</f>
        <v>51</v>
      </c>
      <c r="C20" s="66">
        <f>IFERROR(SUMIFS('👥 Клієнти'!$S$5:$S$606,'👥 Клієнти'!$C$5:$C$606,$A20)/$B20,"")</f>
        <v>19.99</v>
      </c>
      <c r="D20" s="68" t="s">
        <v>4367</v>
      </c>
      <c r="E20" s="68" t="s">
        <v>4367</v>
      </c>
      <c r="F20" s="68" t="s">
        <v>4367</v>
      </c>
      <c r="G20" s="68" t="s">
        <v>4367</v>
      </c>
      <c r="H20" s="68" t="s">
        <v>4367</v>
      </c>
      <c r="I20" s="68" t="s">
        <v>4367</v>
      </c>
      <c r="J20" s="68" t="s">
        <v>4367</v>
      </c>
      <c r="K20" s="68" t="s">
        <v>4367</v>
      </c>
      <c r="L20" s="68" t="s">
        <v>4367</v>
      </c>
      <c r="M20" s="68" t="s">
        <v>4367</v>
      </c>
      <c r="N20" s="68" t="s">
        <v>4367</v>
      </c>
      <c r="O20" s="67">
        <f t="shared" si="1"/>
        <v>19.99</v>
      </c>
    </row>
    <row r="21" ht="15.75" customHeight="1">
      <c r="A21" s="69" t="s">
        <v>4369</v>
      </c>
      <c r="B21" s="70"/>
      <c r="C21" s="71">
        <f t="shared" ref="C21:O21" si="2">IFERROR(AVERAGEIF(C6:C20,"&lt;&gt;"),"")</f>
        <v>15.75376097</v>
      </c>
      <c r="D21" s="71">
        <f t="shared" si="2"/>
        <v>18.4090271</v>
      </c>
      <c r="E21" s="71">
        <f t="shared" si="2"/>
        <v>16.06865049</v>
      </c>
      <c r="F21" s="71">
        <f t="shared" si="2"/>
        <v>14.21203378</v>
      </c>
      <c r="G21" s="71">
        <f t="shared" si="2"/>
        <v>13.7181812</v>
      </c>
      <c r="H21" s="71">
        <f t="shared" si="2"/>
        <v>13.05518021</v>
      </c>
      <c r="I21" s="71">
        <f t="shared" si="2"/>
        <v>12.13420976</v>
      </c>
      <c r="J21" s="71">
        <f t="shared" si="2"/>
        <v>11.53552417</v>
      </c>
      <c r="K21" s="71">
        <f t="shared" si="2"/>
        <v>12.02070622</v>
      </c>
      <c r="L21" s="71">
        <f t="shared" si="2"/>
        <v>11.09290756</v>
      </c>
      <c r="M21" s="71">
        <f t="shared" si="2"/>
        <v>11.08112333</v>
      </c>
      <c r="N21" s="71">
        <f t="shared" si="2"/>
        <v>10.97668484</v>
      </c>
      <c r="O21" s="71">
        <f t="shared" si="2"/>
        <v>14.94439756</v>
      </c>
    </row>
    <row r="22" ht="15.75" customHeight="1"/>
    <row r="23" ht="15.75" customHeight="1"/>
    <row r="24" ht="21.75" customHeight="1">
      <c r="A24" s="72" t="s">
        <v>4386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2"/>
      <c r="Q24" s="73" t="s">
        <v>39</v>
      </c>
    </row>
    <row r="25" ht="21.75" customHeight="1">
      <c r="A25" s="14" t="s">
        <v>4365</v>
      </c>
      <c r="B25" s="14" t="s">
        <v>4373</v>
      </c>
      <c r="C25" s="65" t="s">
        <v>4387</v>
      </c>
      <c r="D25" s="65" t="s">
        <v>4388</v>
      </c>
      <c r="E25" s="65" t="s">
        <v>4389</v>
      </c>
      <c r="F25" s="65" t="s">
        <v>4390</v>
      </c>
      <c r="G25" s="65" t="s">
        <v>4391</v>
      </c>
      <c r="H25" s="65" t="s">
        <v>4392</v>
      </c>
      <c r="I25" s="65" t="s">
        <v>4393</v>
      </c>
      <c r="J25" s="65" t="s">
        <v>4394</v>
      </c>
      <c r="K25" s="65" t="s">
        <v>4395</v>
      </c>
      <c r="L25" s="65" t="s">
        <v>4396</v>
      </c>
      <c r="M25" s="65" t="s">
        <v>4397</v>
      </c>
      <c r="N25" s="65" t="s">
        <v>4398</v>
      </c>
      <c r="O25" s="32" t="s">
        <v>4399</v>
      </c>
      <c r="Q25" s="48" t="s">
        <v>4400</v>
      </c>
    </row>
    <row r="26" ht="19.5" customHeight="1">
      <c r="A26" s="74">
        <f t="shared" ref="A26:A40" si="4">A6</f>
        <v>45292</v>
      </c>
      <c r="B26" s="35">
        <f>'📊 Retention'!$B5</f>
        <v>25</v>
      </c>
      <c r="C26" s="75">
        <f t="shared" ref="C26:C40" si="5">IFERROR(C6,"")</f>
        <v>16.7916</v>
      </c>
      <c r="D26" s="75">
        <f t="shared" ref="D26:N26" si="3">IFERROR(C26+D6,"")</f>
        <v>35.982</v>
      </c>
      <c r="E26" s="75">
        <f t="shared" si="3"/>
        <v>51.1744</v>
      </c>
      <c r="F26" s="75">
        <f t="shared" si="3"/>
        <v>64.7676</v>
      </c>
      <c r="G26" s="75">
        <f t="shared" si="3"/>
        <v>77.5612</v>
      </c>
      <c r="H26" s="75">
        <f t="shared" si="3"/>
        <v>89.5552</v>
      </c>
      <c r="I26" s="75">
        <f t="shared" si="3"/>
        <v>99.95</v>
      </c>
      <c r="J26" s="75">
        <f t="shared" si="3"/>
        <v>110.3448</v>
      </c>
      <c r="K26" s="75">
        <f t="shared" si="3"/>
        <v>120.7396</v>
      </c>
      <c r="L26" s="75">
        <f t="shared" si="3"/>
        <v>130.3348</v>
      </c>
      <c r="M26" s="75">
        <f t="shared" si="3"/>
        <v>139.93</v>
      </c>
      <c r="N26" s="75">
        <f t="shared" si="3"/>
        <v>149.5252</v>
      </c>
      <c r="O26" s="67">
        <f t="shared" ref="O26:O40" si="7">IFERROR(SUM(C6:N6),"")</f>
        <v>149.5252</v>
      </c>
    </row>
    <row r="27" ht="19.5" customHeight="1">
      <c r="A27" s="74">
        <f t="shared" si="4"/>
        <v>45323</v>
      </c>
      <c r="B27" s="35">
        <f>'📊 Retention'!$B6</f>
        <v>27</v>
      </c>
      <c r="C27" s="75">
        <f t="shared" si="5"/>
        <v>11.10555556</v>
      </c>
      <c r="D27" s="75">
        <f t="shared" ref="D27:N27" si="6">IFERROR(C27+D7,"")</f>
        <v>31.09555556</v>
      </c>
      <c r="E27" s="75">
        <f t="shared" si="6"/>
        <v>48.12407407</v>
      </c>
      <c r="F27" s="75">
        <f t="shared" si="6"/>
        <v>63.67185185</v>
      </c>
      <c r="G27" s="75">
        <f t="shared" si="6"/>
        <v>76.99851852</v>
      </c>
      <c r="H27" s="75">
        <f t="shared" si="6"/>
        <v>90.32518519</v>
      </c>
      <c r="I27" s="75">
        <f t="shared" si="6"/>
        <v>103.6518519</v>
      </c>
      <c r="J27" s="75">
        <f t="shared" si="6"/>
        <v>114.7574074</v>
      </c>
      <c r="K27" s="75">
        <f t="shared" si="6"/>
        <v>128.8244444</v>
      </c>
      <c r="L27" s="75">
        <f t="shared" si="6"/>
        <v>139.1896296</v>
      </c>
      <c r="M27" s="75">
        <f t="shared" si="6"/>
        <v>150.2951852</v>
      </c>
      <c r="N27" s="75">
        <f t="shared" si="6"/>
        <v>160.6603704</v>
      </c>
      <c r="O27" s="67">
        <f t="shared" si="7"/>
        <v>160.6603704</v>
      </c>
      <c r="Q27" s="39"/>
      <c r="R27" s="39"/>
      <c r="S27" s="39"/>
      <c r="T27" s="39"/>
      <c r="U27" s="39"/>
    </row>
    <row r="28" ht="19.5" customHeight="1">
      <c r="A28" s="74">
        <f t="shared" si="4"/>
        <v>45352</v>
      </c>
      <c r="B28" s="35">
        <f>'📊 Retention'!$B7</f>
        <v>32</v>
      </c>
      <c r="C28" s="75">
        <f t="shared" si="5"/>
        <v>16.241875</v>
      </c>
      <c r="D28" s="75">
        <f t="shared" ref="D28:N28" si="8">IFERROR(C28+D8,"")</f>
        <v>34.3578125</v>
      </c>
      <c r="E28" s="75">
        <f t="shared" si="8"/>
        <v>52.47375</v>
      </c>
      <c r="F28" s="75">
        <f t="shared" si="8"/>
        <v>66.8415625</v>
      </c>
      <c r="G28" s="75">
        <f t="shared" si="8"/>
        <v>81.8340625</v>
      </c>
      <c r="H28" s="75">
        <f t="shared" si="8"/>
        <v>95.5771875</v>
      </c>
      <c r="I28" s="75">
        <f t="shared" si="8"/>
        <v>107.44625</v>
      </c>
      <c r="J28" s="75">
        <f t="shared" si="8"/>
        <v>119.3153125</v>
      </c>
      <c r="K28" s="75">
        <f t="shared" si="8"/>
        <v>130.5596875</v>
      </c>
      <c r="L28" s="75">
        <f t="shared" si="8"/>
        <v>141.8040625</v>
      </c>
      <c r="M28" s="75">
        <f t="shared" si="8"/>
        <v>153.0484375</v>
      </c>
      <c r="N28" s="75">
        <f t="shared" si="8"/>
        <v>163.668125</v>
      </c>
      <c r="O28" s="67">
        <f t="shared" si="7"/>
        <v>163.668125</v>
      </c>
    </row>
    <row r="29" ht="19.5" customHeight="1">
      <c r="A29" s="74">
        <f t="shared" si="4"/>
        <v>45383</v>
      </c>
      <c r="B29" s="35">
        <f>'📊 Retention'!$B8</f>
        <v>36</v>
      </c>
      <c r="C29" s="75">
        <f t="shared" si="5"/>
        <v>13.88194444</v>
      </c>
      <c r="D29" s="75">
        <f t="shared" ref="D29:N29" si="9">IFERROR(C29+D9,"")</f>
        <v>33.31666667</v>
      </c>
      <c r="E29" s="75">
        <f t="shared" si="9"/>
        <v>49.975</v>
      </c>
      <c r="F29" s="75">
        <f t="shared" si="9"/>
        <v>66.07805556</v>
      </c>
      <c r="G29" s="75">
        <f t="shared" si="9"/>
        <v>83.29166667</v>
      </c>
      <c r="H29" s="75">
        <f t="shared" si="9"/>
        <v>98.28416667</v>
      </c>
      <c r="I29" s="75">
        <f t="shared" si="9"/>
        <v>112.7213889</v>
      </c>
      <c r="J29" s="75">
        <f t="shared" si="9"/>
        <v>126.6033333</v>
      </c>
      <c r="K29" s="75">
        <f t="shared" si="9"/>
        <v>139.93</v>
      </c>
      <c r="L29" s="75">
        <f t="shared" si="9"/>
        <v>152.7013889</v>
      </c>
      <c r="M29" s="75">
        <f t="shared" si="9"/>
        <v>164.9175</v>
      </c>
      <c r="N29" s="75">
        <f t="shared" si="9"/>
        <v>178.2441667</v>
      </c>
      <c r="O29" s="67">
        <f t="shared" si="7"/>
        <v>178.2441667</v>
      </c>
    </row>
    <row r="30" ht="19.5" customHeight="1">
      <c r="A30" s="74">
        <f t="shared" si="4"/>
        <v>45413</v>
      </c>
      <c r="B30" s="35">
        <f>'📊 Retention'!$B9</f>
        <v>32</v>
      </c>
      <c r="C30" s="75">
        <f t="shared" si="5"/>
        <v>17.49125</v>
      </c>
      <c r="D30" s="75">
        <f t="shared" ref="D30:N30" si="10">IFERROR(C30+D10,"")</f>
        <v>33.1084375</v>
      </c>
      <c r="E30" s="75">
        <f t="shared" si="10"/>
        <v>47.47625</v>
      </c>
      <c r="F30" s="75">
        <f t="shared" si="10"/>
        <v>60.5946875</v>
      </c>
      <c r="G30" s="75">
        <f t="shared" si="10"/>
        <v>73.0884375</v>
      </c>
      <c r="H30" s="75">
        <f t="shared" si="10"/>
        <v>85.5821875</v>
      </c>
      <c r="I30" s="75">
        <f t="shared" si="10"/>
        <v>96.8265625</v>
      </c>
      <c r="J30" s="75">
        <f t="shared" si="10"/>
        <v>108.0709375</v>
      </c>
      <c r="K30" s="75">
        <f t="shared" si="10"/>
        <v>120.5646875</v>
      </c>
      <c r="L30" s="75">
        <f t="shared" si="10"/>
        <v>130.5596875</v>
      </c>
      <c r="M30" s="75">
        <f t="shared" si="10"/>
        <v>141.8040625</v>
      </c>
      <c r="N30" s="75" t="str">
        <f t="shared" si="10"/>
        <v/>
      </c>
      <c r="O30" s="67">
        <f t="shared" si="7"/>
        <v>141.8040625</v>
      </c>
    </row>
    <row r="31" ht="19.5" customHeight="1">
      <c r="A31" s="74">
        <f t="shared" si="4"/>
        <v>45444</v>
      </c>
      <c r="B31" s="35">
        <f>'📊 Retention'!$B10</f>
        <v>27</v>
      </c>
      <c r="C31" s="75">
        <f t="shared" si="5"/>
        <v>14.06703704</v>
      </c>
      <c r="D31" s="75">
        <f t="shared" ref="D31:N31" si="11">IFERROR(C31+D11,"")</f>
        <v>33.31666667</v>
      </c>
      <c r="E31" s="75">
        <f t="shared" si="11"/>
        <v>48.12407407</v>
      </c>
      <c r="F31" s="75">
        <f t="shared" si="11"/>
        <v>60.71037037</v>
      </c>
      <c r="G31" s="75">
        <f t="shared" si="11"/>
        <v>73.29666667</v>
      </c>
      <c r="H31" s="75">
        <f t="shared" si="11"/>
        <v>85.14259259</v>
      </c>
      <c r="I31" s="75">
        <f t="shared" si="11"/>
        <v>98.46925926</v>
      </c>
      <c r="J31" s="75">
        <f t="shared" si="11"/>
        <v>111.0555556</v>
      </c>
      <c r="K31" s="75">
        <f t="shared" si="11"/>
        <v>120.6803704</v>
      </c>
      <c r="L31" s="75">
        <f t="shared" si="11"/>
        <v>133.2666667</v>
      </c>
      <c r="M31" s="75" t="str">
        <f t="shared" si="11"/>
        <v/>
      </c>
      <c r="N31" s="75" t="str">
        <f t="shared" si="11"/>
        <v/>
      </c>
      <c r="O31" s="67">
        <f t="shared" si="7"/>
        <v>133.2666667</v>
      </c>
    </row>
    <row r="32" ht="19.5" customHeight="1">
      <c r="A32" s="74">
        <f t="shared" si="4"/>
        <v>45474</v>
      </c>
      <c r="B32" s="35">
        <f>'📊 Retention'!$B11</f>
        <v>40</v>
      </c>
      <c r="C32" s="75">
        <f t="shared" si="5"/>
        <v>13.993</v>
      </c>
      <c r="D32" s="75">
        <f t="shared" ref="D32:N32" si="12">IFERROR(C32+D12,"")</f>
        <v>32.9835</v>
      </c>
      <c r="E32" s="75">
        <f t="shared" si="12"/>
        <v>48.9755</v>
      </c>
      <c r="F32" s="75">
        <f t="shared" si="12"/>
        <v>64.46775</v>
      </c>
      <c r="G32" s="75">
        <f t="shared" si="12"/>
        <v>78.9605</v>
      </c>
      <c r="H32" s="75">
        <f t="shared" si="12"/>
        <v>92.9535</v>
      </c>
      <c r="I32" s="75">
        <f t="shared" si="12"/>
        <v>106.44675</v>
      </c>
      <c r="J32" s="75">
        <f t="shared" si="12"/>
        <v>117.44125</v>
      </c>
      <c r="K32" s="75">
        <f t="shared" si="12"/>
        <v>130.43475</v>
      </c>
      <c r="L32" s="75" t="str">
        <f t="shared" si="12"/>
        <v/>
      </c>
      <c r="M32" s="75" t="str">
        <f t="shared" si="12"/>
        <v/>
      </c>
      <c r="N32" s="75" t="str">
        <f t="shared" si="12"/>
        <v/>
      </c>
      <c r="O32" s="67">
        <f t="shared" si="7"/>
        <v>130.43475</v>
      </c>
    </row>
    <row r="33" ht="19.5" customHeight="1">
      <c r="A33" s="74">
        <f t="shared" si="4"/>
        <v>45505</v>
      </c>
      <c r="B33" s="35">
        <f>'📊 Retention'!$B12</f>
        <v>47</v>
      </c>
      <c r="C33" s="75">
        <f t="shared" si="5"/>
        <v>16.58744681</v>
      </c>
      <c r="D33" s="75">
        <f t="shared" ref="D33:N33" si="13">IFERROR(C33+D13,"")</f>
        <v>33.60021277</v>
      </c>
      <c r="E33" s="75">
        <f t="shared" si="13"/>
        <v>48.48638298</v>
      </c>
      <c r="F33" s="75">
        <f t="shared" si="13"/>
        <v>61.24595745</v>
      </c>
      <c r="G33" s="75">
        <f t="shared" si="13"/>
        <v>73.15489362</v>
      </c>
      <c r="H33" s="75">
        <f t="shared" si="13"/>
        <v>84.63851064</v>
      </c>
      <c r="I33" s="75">
        <f t="shared" si="13"/>
        <v>93.99553191</v>
      </c>
      <c r="J33" s="75">
        <f t="shared" si="13"/>
        <v>104.2031915</v>
      </c>
      <c r="K33" s="75" t="str">
        <f t="shared" si="13"/>
        <v/>
      </c>
      <c r="L33" s="75" t="str">
        <f t="shared" si="13"/>
        <v/>
      </c>
      <c r="M33" s="75" t="str">
        <f t="shared" si="13"/>
        <v/>
      </c>
      <c r="N33" s="75" t="str">
        <f t="shared" si="13"/>
        <v/>
      </c>
      <c r="O33" s="67">
        <f t="shared" si="7"/>
        <v>104.2031915</v>
      </c>
    </row>
    <row r="34" ht="19.5" customHeight="1">
      <c r="A34" s="74">
        <f t="shared" si="4"/>
        <v>45536</v>
      </c>
      <c r="B34" s="35">
        <f>'📊 Retention'!$B13</f>
        <v>34</v>
      </c>
      <c r="C34" s="75">
        <f t="shared" si="5"/>
        <v>17.05029412</v>
      </c>
      <c r="D34" s="75">
        <f t="shared" ref="D34:N34" si="14">IFERROR(C34+D14,"")</f>
        <v>35.86441176</v>
      </c>
      <c r="E34" s="75">
        <f t="shared" si="14"/>
        <v>52.91470588</v>
      </c>
      <c r="F34" s="75">
        <f t="shared" si="14"/>
        <v>67.61323529</v>
      </c>
      <c r="G34" s="75">
        <f t="shared" si="14"/>
        <v>80.54794118</v>
      </c>
      <c r="H34" s="75">
        <f t="shared" si="14"/>
        <v>92.89470588</v>
      </c>
      <c r="I34" s="75">
        <f t="shared" si="14"/>
        <v>104.6535294</v>
      </c>
      <c r="J34" s="75" t="str">
        <f t="shared" si="14"/>
        <v/>
      </c>
      <c r="K34" s="75" t="str">
        <f t="shared" si="14"/>
        <v/>
      </c>
      <c r="L34" s="75" t="str">
        <f t="shared" si="14"/>
        <v/>
      </c>
      <c r="M34" s="75" t="str">
        <f t="shared" si="14"/>
        <v/>
      </c>
      <c r="N34" s="75" t="str">
        <f t="shared" si="14"/>
        <v/>
      </c>
      <c r="O34" s="67">
        <f t="shared" si="7"/>
        <v>104.6535294</v>
      </c>
    </row>
    <row r="35" ht="19.5" customHeight="1">
      <c r="A35" s="74">
        <f t="shared" si="4"/>
        <v>45566</v>
      </c>
      <c r="B35" s="35">
        <f>'📊 Retention'!$B14</f>
        <v>53</v>
      </c>
      <c r="C35" s="75">
        <f t="shared" si="5"/>
        <v>16.5954717</v>
      </c>
      <c r="D35" s="75">
        <f t="shared" ref="D35:N35" si="15">IFERROR(C35+D15,"")</f>
        <v>34.69962264</v>
      </c>
      <c r="E35" s="75">
        <f t="shared" si="15"/>
        <v>51.29509434</v>
      </c>
      <c r="F35" s="75">
        <f t="shared" si="15"/>
        <v>66.7590566</v>
      </c>
      <c r="G35" s="75">
        <f t="shared" si="15"/>
        <v>81.84584906</v>
      </c>
      <c r="H35" s="75">
        <f t="shared" si="15"/>
        <v>96.17830189</v>
      </c>
      <c r="I35" s="75" t="str">
        <f t="shared" si="15"/>
        <v/>
      </c>
      <c r="J35" s="75" t="str">
        <f t="shared" si="15"/>
        <v/>
      </c>
      <c r="K35" s="75" t="str">
        <f t="shared" si="15"/>
        <v/>
      </c>
      <c r="L35" s="75" t="str">
        <f t="shared" si="15"/>
        <v/>
      </c>
      <c r="M35" s="75" t="str">
        <f t="shared" si="15"/>
        <v/>
      </c>
      <c r="N35" s="75" t="str">
        <f t="shared" si="15"/>
        <v/>
      </c>
      <c r="O35" s="67">
        <f t="shared" si="7"/>
        <v>96.17830189</v>
      </c>
    </row>
    <row r="36" ht="19.5" customHeight="1">
      <c r="A36" s="74">
        <f t="shared" si="4"/>
        <v>45597</v>
      </c>
      <c r="B36" s="35">
        <f>'📊 Retention'!$B15</f>
        <v>52</v>
      </c>
      <c r="C36" s="75">
        <f t="shared" si="5"/>
        <v>16.14576923</v>
      </c>
      <c r="D36" s="75">
        <f t="shared" ref="D36:N36" si="16">IFERROR(C36+D16,"")</f>
        <v>34.21365385</v>
      </c>
      <c r="E36" s="75">
        <f t="shared" si="16"/>
        <v>49.20615385</v>
      </c>
      <c r="F36" s="75">
        <f t="shared" si="16"/>
        <v>62.27653846</v>
      </c>
      <c r="G36" s="75">
        <f t="shared" si="16"/>
        <v>75.34692308</v>
      </c>
      <c r="H36" s="75" t="str">
        <f t="shared" si="16"/>
        <v/>
      </c>
      <c r="I36" s="75" t="str">
        <f t="shared" si="16"/>
        <v/>
      </c>
      <c r="J36" s="75" t="str">
        <f t="shared" si="16"/>
        <v/>
      </c>
      <c r="K36" s="75" t="str">
        <f t="shared" si="16"/>
        <v/>
      </c>
      <c r="L36" s="75" t="str">
        <f t="shared" si="16"/>
        <v/>
      </c>
      <c r="M36" s="75" t="str">
        <f t="shared" si="16"/>
        <v/>
      </c>
      <c r="N36" s="75" t="str">
        <f t="shared" si="16"/>
        <v/>
      </c>
      <c r="O36" s="67">
        <f t="shared" si="7"/>
        <v>75.34692308</v>
      </c>
    </row>
    <row r="37" ht="19.5" customHeight="1">
      <c r="A37" s="74">
        <f t="shared" si="4"/>
        <v>45627</v>
      </c>
      <c r="B37" s="35">
        <f>'📊 Retention'!$B16</f>
        <v>48</v>
      </c>
      <c r="C37" s="75">
        <f t="shared" si="5"/>
        <v>16.241875</v>
      </c>
      <c r="D37" s="75">
        <f t="shared" ref="D37:N37" si="17">IFERROR(C37+D17,"")</f>
        <v>35.39895833</v>
      </c>
      <c r="E37" s="75">
        <f t="shared" si="17"/>
        <v>50.39145833</v>
      </c>
      <c r="F37" s="75">
        <f t="shared" si="17"/>
        <v>64.13458333</v>
      </c>
      <c r="G37" s="75" t="str">
        <f t="shared" si="17"/>
        <v/>
      </c>
      <c r="H37" s="75" t="str">
        <f t="shared" si="17"/>
        <v/>
      </c>
      <c r="I37" s="75" t="str">
        <f t="shared" si="17"/>
        <v/>
      </c>
      <c r="J37" s="75" t="str">
        <f t="shared" si="17"/>
        <v/>
      </c>
      <c r="K37" s="75" t="str">
        <f t="shared" si="17"/>
        <v/>
      </c>
      <c r="L37" s="75" t="str">
        <f t="shared" si="17"/>
        <v/>
      </c>
      <c r="M37" s="75" t="str">
        <f t="shared" si="17"/>
        <v/>
      </c>
      <c r="N37" s="75" t="str">
        <f t="shared" si="17"/>
        <v/>
      </c>
      <c r="O37" s="67">
        <f t="shared" si="7"/>
        <v>64.13458333</v>
      </c>
    </row>
    <row r="38" ht="19.5" customHeight="1">
      <c r="A38" s="74">
        <f t="shared" si="4"/>
        <v>45658</v>
      </c>
      <c r="B38" s="35">
        <f>'📊 Retention'!$B17</f>
        <v>45</v>
      </c>
      <c r="C38" s="75">
        <f t="shared" si="5"/>
        <v>14.65933333</v>
      </c>
      <c r="D38" s="75">
        <f t="shared" ref="D38:N38" si="18">IFERROR(C38+D18,"")</f>
        <v>30.65133333</v>
      </c>
      <c r="E38" s="75">
        <f t="shared" si="18"/>
        <v>48.86444444</v>
      </c>
      <c r="F38" s="75" t="str">
        <f t="shared" si="18"/>
        <v/>
      </c>
      <c r="G38" s="75" t="str">
        <f t="shared" si="18"/>
        <v/>
      </c>
      <c r="H38" s="75" t="str">
        <f t="shared" si="18"/>
        <v/>
      </c>
      <c r="I38" s="75" t="str">
        <f t="shared" si="18"/>
        <v/>
      </c>
      <c r="J38" s="75" t="str">
        <f t="shared" si="18"/>
        <v/>
      </c>
      <c r="K38" s="75" t="str">
        <f t="shared" si="18"/>
        <v/>
      </c>
      <c r="L38" s="75" t="str">
        <f t="shared" si="18"/>
        <v/>
      </c>
      <c r="M38" s="75" t="str">
        <f t="shared" si="18"/>
        <v/>
      </c>
      <c r="N38" s="75" t="str">
        <f t="shared" si="18"/>
        <v/>
      </c>
      <c r="O38" s="67">
        <f t="shared" si="7"/>
        <v>48.86444444</v>
      </c>
    </row>
    <row r="39" ht="19.5" customHeight="1">
      <c r="A39" s="74">
        <f t="shared" si="4"/>
        <v>45689</v>
      </c>
      <c r="B39" s="35">
        <f>'📊 Retention'!$B18</f>
        <v>53</v>
      </c>
      <c r="C39" s="75">
        <f t="shared" si="5"/>
        <v>15.46396226</v>
      </c>
      <c r="D39" s="75">
        <f t="shared" ref="D39:N39" si="19">IFERROR(C39+D19,"")</f>
        <v>35.45396226</v>
      </c>
      <c r="E39" s="75" t="str">
        <f t="shared" si="19"/>
        <v/>
      </c>
      <c r="F39" s="75" t="str">
        <f t="shared" si="19"/>
        <v/>
      </c>
      <c r="G39" s="75" t="str">
        <f t="shared" si="19"/>
        <v/>
      </c>
      <c r="H39" s="75" t="str">
        <f t="shared" si="19"/>
        <v/>
      </c>
      <c r="I39" s="75" t="str">
        <f t="shared" si="19"/>
        <v/>
      </c>
      <c r="J39" s="75" t="str">
        <f t="shared" si="19"/>
        <v/>
      </c>
      <c r="K39" s="75" t="str">
        <f t="shared" si="19"/>
        <v/>
      </c>
      <c r="L39" s="75" t="str">
        <f t="shared" si="19"/>
        <v/>
      </c>
      <c r="M39" s="75" t="str">
        <f t="shared" si="19"/>
        <v/>
      </c>
      <c r="N39" s="75" t="str">
        <f t="shared" si="19"/>
        <v/>
      </c>
      <c r="O39" s="67">
        <f t="shared" si="7"/>
        <v>35.45396226</v>
      </c>
    </row>
    <row r="40" ht="19.5" customHeight="1">
      <c r="A40" s="74">
        <f t="shared" si="4"/>
        <v>45717</v>
      </c>
      <c r="B40" s="35">
        <f>'📊 Retention'!$B19</f>
        <v>51</v>
      </c>
      <c r="C40" s="75">
        <f t="shared" si="5"/>
        <v>19.99</v>
      </c>
      <c r="D40" s="75" t="str">
        <f t="shared" ref="D40:N40" si="20">IFERROR(C40+D20,"")</f>
        <v/>
      </c>
      <c r="E40" s="75" t="str">
        <f t="shared" si="20"/>
        <v/>
      </c>
      <c r="F40" s="75" t="str">
        <f t="shared" si="20"/>
        <v/>
      </c>
      <c r="G40" s="75" t="str">
        <f t="shared" si="20"/>
        <v/>
      </c>
      <c r="H40" s="75" t="str">
        <f t="shared" si="20"/>
        <v/>
      </c>
      <c r="I40" s="75" t="str">
        <f t="shared" si="20"/>
        <v/>
      </c>
      <c r="J40" s="75" t="str">
        <f t="shared" si="20"/>
        <v/>
      </c>
      <c r="K40" s="75" t="str">
        <f t="shared" si="20"/>
        <v/>
      </c>
      <c r="L40" s="75" t="str">
        <f t="shared" si="20"/>
        <v/>
      </c>
      <c r="M40" s="75" t="str">
        <f t="shared" si="20"/>
        <v/>
      </c>
      <c r="N40" s="75" t="str">
        <f t="shared" si="20"/>
        <v/>
      </c>
      <c r="O40" s="67">
        <f t="shared" si="7"/>
        <v>19.99</v>
      </c>
    </row>
    <row r="41" ht="15.75" customHeight="1">
      <c r="A41" s="69" t="s">
        <v>4369</v>
      </c>
      <c r="B41" s="70"/>
      <c r="C41" s="71">
        <f t="shared" ref="C41:O41" si="21">IFERROR(AVERAGEIF(C26:C40,"&lt;&gt;"),"")</f>
        <v>15.75376097</v>
      </c>
      <c r="D41" s="71">
        <f t="shared" si="21"/>
        <v>33.86019956</v>
      </c>
      <c r="E41" s="71">
        <f t="shared" si="21"/>
        <v>49.80625292</v>
      </c>
      <c r="F41" s="71">
        <f t="shared" si="21"/>
        <v>64.09677074</v>
      </c>
      <c r="G41" s="71">
        <f t="shared" si="21"/>
        <v>77.81151443</v>
      </c>
      <c r="H41" s="71">
        <f t="shared" si="21"/>
        <v>91.11315379</v>
      </c>
      <c r="I41" s="71">
        <f t="shared" si="21"/>
        <v>102.6845693</v>
      </c>
      <c r="J41" s="71">
        <f t="shared" si="21"/>
        <v>113.9739735</v>
      </c>
      <c r="K41" s="71">
        <f t="shared" si="21"/>
        <v>127.3905057</v>
      </c>
      <c r="L41" s="71">
        <f t="shared" si="21"/>
        <v>137.9760392</v>
      </c>
      <c r="M41" s="71">
        <f t="shared" si="21"/>
        <v>149.999037</v>
      </c>
      <c r="N41" s="71">
        <f t="shared" si="21"/>
        <v>163.0244655</v>
      </c>
      <c r="O41" s="71">
        <f t="shared" si="21"/>
        <v>107.0952185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2:O2"/>
    <mergeCell ref="A4:O4"/>
    <mergeCell ref="A24:O24"/>
    <mergeCell ref="Q24:U24"/>
    <mergeCell ref="Q25:V26"/>
  </mergeCell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6.0"/>
    <col customWidth="1" min="2" max="2" width="12.0"/>
    <col customWidth="1" min="3" max="3" width="16.0"/>
    <col customWidth="1" min="4" max="7" width="14.0"/>
    <col customWidth="1" min="8" max="21" width="8.71"/>
  </cols>
  <sheetData>
    <row r="1">
      <c r="L1" s="76" t="s">
        <v>4401</v>
      </c>
    </row>
    <row r="2" ht="27.75" customHeight="1">
      <c r="A2" s="21" t="s">
        <v>4402</v>
      </c>
      <c r="B2" s="13"/>
      <c r="C2" s="13"/>
      <c r="D2" s="13"/>
      <c r="E2" s="13"/>
      <c r="F2" s="2"/>
      <c r="L2" s="76" t="s">
        <v>4403</v>
      </c>
    </row>
    <row r="3" ht="41.25" customHeight="1">
      <c r="A3" s="77" t="s">
        <v>4404</v>
      </c>
      <c r="B3" s="13"/>
      <c r="C3" s="13"/>
      <c r="D3" s="13"/>
      <c r="E3" s="13"/>
      <c r="F3" s="2"/>
      <c r="L3" s="76" t="s">
        <v>4405</v>
      </c>
    </row>
    <row r="4">
      <c r="M4" s="76" t="s">
        <v>4406</v>
      </c>
    </row>
    <row r="5" ht="24.0" customHeight="1">
      <c r="A5" s="14" t="s">
        <v>4407</v>
      </c>
      <c r="B5" s="14" t="s">
        <v>4408</v>
      </c>
      <c r="C5" s="14" t="s">
        <v>4322</v>
      </c>
      <c r="D5" s="14" t="s">
        <v>4409</v>
      </c>
      <c r="E5" s="14" t="s">
        <v>4410</v>
      </c>
      <c r="F5" s="14" t="s">
        <v>4411</v>
      </c>
      <c r="G5" s="78" t="s">
        <v>4412</v>
      </c>
      <c r="M5" s="76" t="s">
        <v>4413</v>
      </c>
    </row>
    <row r="6" ht="21.75" customHeight="1">
      <c r="A6" s="44" t="s">
        <v>55</v>
      </c>
      <c r="B6" s="45">
        <f>COUNTIF('📋 Реєстрації'!$D$5:$D$606, $A6)</f>
        <v>209</v>
      </c>
      <c r="C6" s="79">
        <f>SUMIF('📋 Реєстрації'!$D$5:$D$606, $A6, '👥 Клієнти'!$E$5:$E$606)</f>
        <v>20429.78</v>
      </c>
      <c r="D6" s="79">
        <f t="shared" ref="D6:D10" si="1">C6/B6</f>
        <v>97.75014354</v>
      </c>
      <c r="E6" s="79">
        <f>SUMIF('💸 Маркетинг'!$B$5:$B$49, A6, '💸 Маркетинг'!$C$5:$C$49)</f>
        <v>12746.85</v>
      </c>
      <c r="F6" s="79">
        <f t="shared" ref="F6:F8" si="2">E6/B6</f>
        <v>60.98971292</v>
      </c>
      <c r="G6" s="80">
        <f t="shared" ref="G6:G8" si="3">D6/F6</f>
        <v>1.602731655</v>
      </c>
      <c r="M6" s="76" t="s">
        <v>4414</v>
      </c>
    </row>
    <row r="7" ht="21.75" customHeight="1">
      <c r="A7" s="33" t="s">
        <v>58</v>
      </c>
      <c r="B7" s="45">
        <f>COUNTIF('📋 Реєстрації'!$D$5:$D$606, $A7)</f>
        <v>124</v>
      </c>
      <c r="C7" s="79">
        <f>SUMIF('📋 Реєстрації'!$D$5:$D$606, $A7, '👥 Клієнти'!$E$5:$E$606)</f>
        <v>10914.54</v>
      </c>
      <c r="D7" s="79">
        <f t="shared" si="1"/>
        <v>88.02048387</v>
      </c>
      <c r="E7" s="79">
        <f>SUMIF('💸 Маркетинг'!$B$5:$B$49, A7, '💸 Маркетинг'!$C$5:$C$49)</f>
        <v>9424.52</v>
      </c>
      <c r="F7" s="79">
        <f t="shared" si="2"/>
        <v>76.00419355</v>
      </c>
      <c r="G7" s="80">
        <f t="shared" si="3"/>
        <v>1.158100359</v>
      </c>
      <c r="M7" s="76" t="s">
        <v>4415</v>
      </c>
    </row>
    <row r="8" ht="21.75" customHeight="1">
      <c r="A8" s="44" t="s">
        <v>61</v>
      </c>
      <c r="B8" s="45">
        <f>COUNTIF('📋 Реєстрації'!$D$5:$D$606, $A8)</f>
        <v>90</v>
      </c>
      <c r="C8" s="79">
        <f>SUMIF('📋 Реєстрації'!$D$5:$D$606, $A8, '👥 Клієнти'!$E$5:$E$606)</f>
        <v>8955.52</v>
      </c>
      <c r="D8" s="79">
        <f t="shared" si="1"/>
        <v>99.50577778</v>
      </c>
      <c r="E8" s="79">
        <f>SUMIF('💸 Маркетинг'!$B$5:$B$49, A8, '💸 Маркетинг'!$C$5:$C$49)</f>
        <v>12294.27</v>
      </c>
      <c r="F8" s="79">
        <f t="shared" si="2"/>
        <v>136.603</v>
      </c>
      <c r="G8" s="80">
        <f t="shared" si="3"/>
        <v>0.7284303989</v>
      </c>
    </row>
    <row r="9" ht="21.75" customHeight="1">
      <c r="A9" s="33" t="s">
        <v>67</v>
      </c>
      <c r="B9" s="45">
        <f>COUNTIF('📋 Реєстрації'!$D$5:$D$606, $A9)</f>
        <v>111</v>
      </c>
      <c r="C9" s="79">
        <f>SUMIF('📋 Реєстрації'!$D$5:$D$606, $A9, '👥 Клієнти'!$E$5:$E$606)</f>
        <v>12993.5</v>
      </c>
      <c r="D9" s="79">
        <f t="shared" si="1"/>
        <v>117.0585586</v>
      </c>
      <c r="E9" s="68" t="s">
        <v>4367</v>
      </c>
      <c r="F9" s="68" t="s">
        <v>4367</v>
      </c>
      <c r="G9" s="68" t="s">
        <v>4367</v>
      </c>
    </row>
    <row r="10" ht="21.75" customHeight="1">
      <c r="A10" s="44" t="s">
        <v>64</v>
      </c>
      <c r="B10" s="45">
        <f>COUNTIF('📋 Реєстрації'!$D$5:$D$606, $A10)</f>
        <v>68</v>
      </c>
      <c r="C10" s="79">
        <f>SUMIF('📋 Реєстрації'!$D$5:$D$606, $A10, '👥 Клієнти'!$E$5:$E$606)</f>
        <v>7016.49</v>
      </c>
      <c r="D10" s="79">
        <f t="shared" si="1"/>
        <v>103.1836765</v>
      </c>
      <c r="E10" s="68" t="s">
        <v>4367</v>
      </c>
      <c r="F10" s="68" t="s">
        <v>4367</v>
      </c>
      <c r="G10" s="68" t="s">
        <v>4367</v>
      </c>
    </row>
    <row r="12">
      <c r="A12" s="40" t="s">
        <v>4416</v>
      </c>
      <c r="B12" s="81"/>
      <c r="C12" s="81"/>
      <c r="D12" s="81"/>
      <c r="E12" s="81"/>
    </row>
    <row r="13">
      <c r="A13" s="82" t="s">
        <v>4417</v>
      </c>
    </row>
    <row r="20">
      <c r="A20" s="73" t="s">
        <v>40</v>
      </c>
    </row>
    <row r="21" ht="15.75" customHeight="1">
      <c r="A21" s="48" t="s">
        <v>4418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>
      <c r="A30" s="3"/>
    </row>
    <row r="31" ht="15.75" customHeight="1">
      <c r="A31" s="64"/>
    </row>
    <row r="32" ht="15.75" customHeight="1">
      <c r="A32" s="64"/>
    </row>
    <row r="33" ht="15.75" customHeight="1">
      <c r="A33" s="64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2:F2"/>
    <mergeCell ref="A3:F3"/>
    <mergeCell ref="A13:G16"/>
    <mergeCell ref="A20:E20"/>
    <mergeCell ref="A21:G27"/>
  </mergeCells>
  <printOptions/>
  <pageMargins bottom="1.0" footer="0.0" header="0.0" left="0.75" right="0.75" top="1.0"/>
  <pageSetup orientation="landscape"/>
  <drawing r:id="rId1"/>
</worksheet>
</file>