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6cba0ed626491ac/Документы/GitHub/DataAnalytics_DataLovesAcademy/Modul_2_Excel_Spreadsheet/"/>
    </mc:Choice>
  </mc:AlternateContent>
  <xr:revisionPtr revIDLastSave="1" documentId="11_62E095B97F8910B7741E8A5EEC4B74DCAA6D570F" xr6:coauthVersionLast="47" xr6:coauthVersionMax="47" xr10:uidLastSave="{985BC524-D69D-4CF1-AC27-91DE0CE969FE}"/>
  <bookViews>
    <workbookView xWindow="-25320" yWindow="-1155" windowWidth="25440" windowHeight="15270" firstSheet="1" activeTab="9" xr2:uid="{00000000-000D-0000-FFFF-FFFF00000000}"/>
  </bookViews>
  <sheets>
    <sheet name="Створення таблиць" sheetId="1" r:id="rId1"/>
    <sheet name="Houses" sheetId="2" r:id="rId2"/>
    <sheet name="Pivot Table 1" sheetId="3" r:id="rId3"/>
    <sheet name="Фукнція IF" sheetId="4" r:id="rId4"/>
    <sheet name="SUMIF" sheetId="5" r:id="rId5"/>
    <sheet name="Unique" sheetId="6" state="hidden" r:id="rId6"/>
    <sheet name="SORT FUNCTION" sheetId="7" state="hidden" r:id="rId7"/>
    <sheet name="FILTER FUNCTION" sheetId="8" state="hidden" r:id="rId8"/>
    <sheet name="Побудова графіків" sheetId="9" r:id="rId9"/>
    <sheet name="Sparklines" sheetId="10" r:id="rId10"/>
    <sheet name="Pivot Table Diagram" sheetId="11" state="hidden" r:id="rId11"/>
    <sheet name="ДЗ" sheetId="12" r:id="rId12"/>
    <sheet name="Pivot Table_DZ" sheetId="13" r:id="rId13"/>
  </sheets>
  <definedNames>
    <definedName name="_xlnm._FilterDatabase" localSheetId="0" hidden="1">'Створення таблиць'!$A$3:$L$40</definedName>
    <definedName name="Gross_Margin" localSheetId="1">#REF!</definedName>
    <definedName name="Gross_Margin" localSheetId="10">#REF!</definedName>
    <definedName name="Gross_Margin" localSheetId="4">#REF!</definedName>
    <definedName name="Gross_Margin" localSheetId="3">#REF!</definedName>
    <definedName name="Gross_Margin">#REF!</definedName>
    <definedName name="List" localSheetId="1">#REF!</definedName>
    <definedName name="List" localSheetId="10">#REF!</definedName>
    <definedName name="List" localSheetId="4">#REF!</definedName>
    <definedName name="List" localSheetId="3">#REF!</definedName>
    <definedName name="List">#REF!</definedName>
    <definedName name="Q1soft" localSheetId="1">#REF!</definedName>
    <definedName name="Q1soft" localSheetId="4">#REF!</definedName>
    <definedName name="Q1soft" localSheetId="3">#REF!</definedName>
    <definedName name="Q1soft">#REF!</definedName>
    <definedName name="vlookup_table" localSheetId="1">#REF!</definedName>
    <definedName name="vlookup_table" localSheetId="10">#REF!</definedName>
    <definedName name="vlookup_table" localSheetId="4">#REF!</definedName>
    <definedName name="vlookup_table" localSheetId="3">#REF!</definedName>
    <definedName name="vlookup_table">#REF!</definedName>
    <definedName name="Z_188A60F6_13B4_4085_8497_B454EF7C314F_.wvu.FilterData" localSheetId="0" hidden="1">'Створення таблиць'!$A$3:$L$40</definedName>
    <definedName name="Z_3AD77C13_D614_4BD0_852E_B7A0475D1818_.wvu.FilterData" localSheetId="0" hidden="1">'Створення таблиць'!$A$3:$L$40</definedName>
    <definedName name="Z_7E0E91AE_D0B4_418F_BE2B_2B8114433168_.wvu.FilterData" localSheetId="0" hidden="1">'Створення таблиць'!$A$3:$L$40</definedName>
  </definedNames>
  <calcPr calcId="191029"/>
  <customWorkbookViews>
    <customWorkbookView name="Group by Dept" guid="{3AD77C13-D614-4BD0-852E-B7A0475D1818}" maximized="1" windowWidth="0" windowHeight="0" activeSheetId="0"/>
    <customWorkbookView name="Group by Location" guid="{7E0E91AE-D0B4-418F-BE2B-2B8114433168}" maximized="1" windowWidth="0" windowHeight="0" activeSheetId="0"/>
    <customWorkbookView name="HR+MK" guid="{188A60F6-13B4-4085-8497-B454EF7C314F}" maximized="1" windowWidth="0" windowHeight="0" activeSheetId="0"/>
  </customWorkbookViews>
  <pivotCaches>
    <pivotCache cacheId="14" r:id="rId14"/>
    <pivotCache cacheId="19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" i="9" l="1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F14" i="9"/>
  <c r="F13" i="9"/>
  <c r="F12" i="9"/>
  <c r="F11" i="9"/>
  <c r="F10" i="9"/>
  <c r="F9" i="9"/>
  <c r="F8" i="9"/>
  <c r="F7" i="9"/>
  <c r="F6" i="9"/>
  <c r="F5" i="9"/>
  <c r="A2" i="9"/>
  <c r="F4" i="8" a="1"/>
  <c r="F4" i="8" s="1"/>
  <c r="G2" i="7" a="1"/>
  <c r="G2" i="7" s="1"/>
  <c r="A16" i="6" a="1"/>
  <c r="A17" i="6" s="1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L22" i="5"/>
  <c r="K22" i="5"/>
  <c r="G22" i="5"/>
  <c r="G21" i="5"/>
  <c r="G20" i="5"/>
  <c r="G19" i="5"/>
  <c r="G18" i="5"/>
  <c r="L17" i="5"/>
  <c r="K17" i="5"/>
  <c r="G17" i="5"/>
  <c r="G16" i="5"/>
  <c r="G15" i="5"/>
  <c r="G14" i="5"/>
  <c r="G13" i="5"/>
  <c r="K12" i="5"/>
  <c r="J12" i="5"/>
  <c r="G12" i="5"/>
  <c r="G11" i="5"/>
  <c r="G10" i="5"/>
  <c r="G9" i="5"/>
  <c r="G8" i="5"/>
  <c r="K7" i="5"/>
  <c r="J7" i="5"/>
  <c r="G7" i="5"/>
  <c r="G6" i="5"/>
  <c r="G5" i="5"/>
  <c r="G4" i="5"/>
  <c r="H12" i="4"/>
  <c r="F12" i="4"/>
  <c r="F11" i="4"/>
  <c r="H11" i="4" s="1"/>
  <c r="F10" i="4"/>
  <c r="H10" i="4" s="1"/>
  <c r="H9" i="4"/>
  <c r="F9" i="4"/>
  <c r="H8" i="4"/>
  <c r="F8" i="4"/>
  <c r="F7" i="4"/>
  <c r="H7" i="4" s="1"/>
  <c r="I133" i="2"/>
  <c r="H133" i="2"/>
  <c r="E133" i="2"/>
  <c r="H132" i="2"/>
  <c r="E132" i="2"/>
  <c r="I132" i="2" s="1"/>
  <c r="E131" i="2"/>
  <c r="H131" i="2" s="1"/>
  <c r="I130" i="2"/>
  <c r="H130" i="2"/>
  <c r="E130" i="2"/>
  <c r="E129" i="2"/>
  <c r="I129" i="2" s="1"/>
  <c r="E128" i="2"/>
  <c r="I128" i="2" s="1"/>
  <c r="I127" i="2"/>
  <c r="E127" i="2"/>
  <c r="H127" i="2" s="1"/>
  <c r="E126" i="2"/>
  <c r="H126" i="2" s="1"/>
  <c r="I125" i="2"/>
  <c r="H125" i="2"/>
  <c r="E125" i="2"/>
  <c r="H124" i="2"/>
  <c r="E124" i="2"/>
  <c r="I124" i="2" s="1"/>
  <c r="E123" i="2"/>
  <c r="H123" i="2" s="1"/>
  <c r="I122" i="2"/>
  <c r="H122" i="2"/>
  <c r="E122" i="2"/>
  <c r="E121" i="2"/>
  <c r="I121" i="2" s="1"/>
  <c r="E120" i="2"/>
  <c r="I120" i="2" s="1"/>
  <c r="I119" i="2"/>
  <c r="E119" i="2"/>
  <c r="H119" i="2" s="1"/>
  <c r="E118" i="2"/>
  <c r="H118" i="2" s="1"/>
  <c r="I117" i="2"/>
  <c r="H117" i="2"/>
  <c r="E117" i="2"/>
  <c r="H116" i="2"/>
  <c r="E116" i="2"/>
  <c r="I116" i="2" s="1"/>
  <c r="E115" i="2"/>
  <c r="H115" i="2" s="1"/>
  <c r="I114" i="2"/>
  <c r="H114" i="2"/>
  <c r="E114" i="2"/>
  <c r="E113" i="2"/>
  <c r="I113" i="2" s="1"/>
  <c r="E112" i="2"/>
  <c r="I112" i="2" s="1"/>
  <c r="I111" i="2"/>
  <c r="E111" i="2"/>
  <c r="H111" i="2" s="1"/>
  <c r="E110" i="2"/>
  <c r="H110" i="2" s="1"/>
  <c r="I109" i="2"/>
  <c r="H109" i="2"/>
  <c r="E109" i="2"/>
  <c r="H108" i="2"/>
  <c r="E108" i="2"/>
  <c r="I108" i="2" s="1"/>
  <c r="E107" i="2"/>
  <c r="H107" i="2" s="1"/>
  <c r="I106" i="2"/>
  <c r="H106" i="2"/>
  <c r="E106" i="2"/>
  <c r="E105" i="2"/>
  <c r="I105" i="2" s="1"/>
  <c r="E104" i="2"/>
  <c r="I104" i="2" s="1"/>
  <c r="I103" i="2"/>
  <c r="E103" i="2"/>
  <c r="H103" i="2" s="1"/>
  <c r="E102" i="2"/>
  <c r="H102" i="2" s="1"/>
  <c r="I101" i="2"/>
  <c r="H101" i="2"/>
  <c r="E101" i="2"/>
  <c r="H100" i="2"/>
  <c r="E100" i="2"/>
  <c r="I100" i="2" s="1"/>
  <c r="E99" i="2"/>
  <c r="H99" i="2" s="1"/>
  <c r="I98" i="2"/>
  <c r="H98" i="2"/>
  <c r="E98" i="2"/>
  <c r="E97" i="2"/>
  <c r="I97" i="2" s="1"/>
  <c r="E96" i="2"/>
  <c r="I96" i="2" s="1"/>
  <c r="I95" i="2"/>
  <c r="E95" i="2"/>
  <c r="H95" i="2" s="1"/>
  <c r="E94" i="2"/>
  <c r="H94" i="2" s="1"/>
  <c r="I93" i="2"/>
  <c r="H93" i="2"/>
  <c r="E93" i="2"/>
  <c r="H92" i="2"/>
  <c r="E92" i="2"/>
  <c r="I92" i="2" s="1"/>
  <c r="E91" i="2"/>
  <c r="H91" i="2" s="1"/>
  <c r="I90" i="2"/>
  <c r="H90" i="2"/>
  <c r="E90" i="2"/>
  <c r="E89" i="2"/>
  <c r="I89" i="2" s="1"/>
  <c r="E88" i="2"/>
  <c r="I88" i="2" s="1"/>
  <c r="I87" i="2"/>
  <c r="E87" i="2"/>
  <c r="H87" i="2" s="1"/>
  <c r="E86" i="2"/>
  <c r="H86" i="2" s="1"/>
  <c r="I85" i="2"/>
  <c r="H85" i="2"/>
  <c r="E85" i="2"/>
  <c r="H84" i="2"/>
  <c r="E84" i="2"/>
  <c r="I84" i="2" s="1"/>
  <c r="E83" i="2"/>
  <c r="H83" i="2" s="1"/>
  <c r="I82" i="2"/>
  <c r="H82" i="2"/>
  <c r="E82" i="2"/>
  <c r="E81" i="2"/>
  <c r="I81" i="2" s="1"/>
  <c r="E80" i="2"/>
  <c r="I80" i="2" s="1"/>
  <c r="I79" i="2"/>
  <c r="E79" i="2"/>
  <c r="H79" i="2" s="1"/>
  <c r="E78" i="2"/>
  <c r="H78" i="2" s="1"/>
  <c r="I77" i="2"/>
  <c r="H77" i="2"/>
  <c r="E77" i="2"/>
  <c r="H76" i="2"/>
  <c r="E76" i="2"/>
  <c r="I76" i="2" s="1"/>
  <c r="E75" i="2"/>
  <c r="H75" i="2" s="1"/>
  <c r="I74" i="2"/>
  <c r="H74" i="2"/>
  <c r="E74" i="2"/>
  <c r="E73" i="2"/>
  <c r="I73" i="2" s="1"/>
  <c r="E72" i="2"/>
  <c r="I72" i="2" s="1"/>
  <c r="I71" i="2"/>
  <c r="E71" i="2"/>
  <c r="H71" i="2" s="1"/>
  <c r="E70" i="2"/>
  <c r="H70" i="2" s="1"/>
  <c r="I69" i="2"/>
  <c r="H69" i="2"/>
  <c r="E69" i="2"/>
  <c r="H68" i="2"/>
  <c r="E68" i="2"/>
  <c r="I68" i="2" s="1"/>
  <c r="E67" i="2"/>
  <c r="H67" i="2" s="1"/>
  <c r="I66" i="2"/>
  <c r="H66" i="2"/>
  <c r="E66" i="2"/>
  <c r="E65" i="2"/>
  <c r="I65" i="2" s="1"/>
  <c r="E64" i="2"/>
  <c r="I64" i="2" s="1"/>
  <c r="I63" i="2"/>
  <c r="E63" i="2"/>
  <c r="H63" i="2" s="1"/>
  <c r="E62" i="2"/>
  <c r="H62" i="2" s="1"/>
  <c r="I61" i="2"/>
  <c r="H61" i="2"/>
  <c r="E61" i="2"/>
  <c r="H60" i="2"/>
  <c r="E60" i="2"/>
  <c r="I60" i="2" s="1"/>
  <c r="E59" i="2"/>
  <c r="H59" i="2" s="1"/>
  <c r="I58" i="2"/>
  <c r="H58" i="2"/>
  <c r="E58" i="2"/>
  <c r="E57" i="2"/>
  <c r="I57" i="2" s="1"/>
  <c r="E56" i="2"/>
  <c r="I56" i="2" s="1"/>
  <c r="I55" i="2"/>
  <c r="E55" i="2"/>
  <c r="H55" i="2" s="1"/>
  <c r="E54" i="2"/>
  <c r="H54" i="2" s="1"/>
  <c r="I53" i="2"/>
  <c r="H53" i="2"/>
  <c r="E53" i="2"/>
  <c r="H52" i="2"/>
  <c r="E52" i="2"/>
  <c r="I52" i="2" s="1"/>
  <c r="E51" i="2"/>
  <c r="H51" i="2" s="1"/>
  <c r="I50" i="2"/>
  <c r="H50" i="2"/>
  <c r="E50" i="2"/>
  <c r="E49" i="2"/>
  <c r="I49" i="2" s="1"/>
  <c r="E48" i="2"/>
  <c r="I48" i="2" s="1"/>
  <c r="I47" i="2"/>
  <c r="E47" i="2"/>
  <c r="H47" i="2" s="1"/>
  <c r="E46" i="2"/>
  <c r="H46" i="2" s="1"/>
  <c r="I45" i="2"/>
  <c r="H45" i="2"/>
  <c r="E45" i="2"/>
  <c r="H44" i="2"/>
  <c r="E44" i="2"/>
  <c r="I44" i="2" s="1"/>
  <c r="E43" i="2"/>
  <c r="H43" i="2" s="1"/>
  <c r="I42" i="2"/>
  <c r="H42" i="2"/>
  <c r="E42" i="2"/>
  <c r="E41" i="2"/>
  <c r="I41" i="2" s="1"/>
  <c r="E40" i="2"/>
  <c r="I40" i="2" s="1"/>
  <c r="I39" i="2"/>
  <c r="E39" i="2"/>
  <c r="H39" i="2" s="1"/>
  <c r="E38" i="2"/>
  <c r="H38" i="2" s="1"/>
  <c r="I37" i="2"/>
  <c r="H37" i="2"/>
  <c r="E37" i="2"/>
  <c r="H36" i="2"/>
  <c r="E36" i="2"/>
  <c r="I36" i="2" s="1"/>
  <c r="E35" i="2"/>
  <c r="H35" i="2" s="1"/>
  <c r="I34" i="2"/>
  <c r="H34" i="2"/>
  <c r="E34" i="2"/>
  <c r="E33" i="2"/>
  <c r="I33" i="2" s="1"/>
  <c r="E32" i="2"/>
  <c r="I32" i="2" s="1"/>
  <c r="I31" i="2"/>
  <c r="E31" i="2"/>
  <c r="H31" i="2" s="1"/>
  <c r="E30" i="2"/>
  <c r="I30" i="2" s="1"/>
  <c r="I29" i="2"/>
  <c r="H29" i="2"/>
  <c r="E29" i="2"/>
  <c r="H28" i="2"/>
  <c r="E28" i="2"/>
  <c r="I28" i="2" s="1"/>
  <c r="E27" i="2"/>
  <c r="H27" i="2" s="1"/>
  <c r="I26" i="2"/>
  <c r="H26" i="2"/>
  <c r="E26" i="2"/>
  <c r="E25" i="2"/>
  <c r="I25" i="2" s="1"/>
  <c r="E24" i="2"/>
  <c r="I24" i="2" s="1"/>
  <c r="I23" i="2"/>
  <c r="E23" i="2"/>
  <c r="H23" i="2" s="1"/>
  <c r="E22" i="2"/>
  <c r="H22" i="2" s="1"/>
  <c r="I21" i="2"/>
  <c r="H21" i="2"/>
  <c r="E21" i="2"/>
  <c r="H20" i="2"/>
  <c r="E20" i="2"/>
  <c r="I20" i="2" s="1"/>
  <c r="E19" i="2"/>
  <c r="H19" i="2" s="1"/>
  <c r="I18" i="2"/>
  <c r="H18" i="2"/>
  <c r="E18" i="2"/>
  <c r="K17" i="2"/>
  <c r="E17" i="2"/>
  <c r="I17" i="2" s="1"/>
  <c r="K16" i="2"/>
  <c r="I16" i="2"/>
  <c r="H16" i="2"/>
  <c r="E16" i="2"/>
  <c r="K15" i="2"/>
  <c r="E15" i="2"/>
  <c r="H15" i="2" s="1"/>
  <c r="K14" i="2"/>
  <c r="I14" i="2"/>
  <c r="H14" i="2"/>
  <c r="E14" i="2"/>
  <c r="K13" i="2"/>
  <c r="E13" i="2"/>
  <c r="H13" i="2" s="1"/>
  <c r="K12" i="2"/>
  <c r="I12" i="2"/>
  <c r="H12" i="2"/>
  <c r="E12" i="2"/>
  <c r="K11" i="2"/>
  <c r="E11" i="2"/>
  <c r="I11" i="2" s="1"/>
  <c r="I10" i="2"/>
  <c r="H10" i="2"/>
  <c r="E10" i="2"/>
  <c r="H9" i="2"/>
  <c r="E9" i="2"/>
  <c r="I9" i="2" s="1"/>
  <c r="E8" i="2"/>
  <c r="H8" i="2" s="1"/>
  <c r="I7" i="2"/>
  <c r="H7" i="2"/>
  <c r="E7" i="2"/>
  <c r="E6" i="2"/>
  <c r="I6" i="2" s="1"/>
  <c r="H5" i="2"/>
  <c r="E5" i="2"/>
  <c r="I5" i="2" s="1"/>
  <c r="I4" i="2"/>
  <c r="E4" i="2"/>
  <c r="H4" i="2" s="1"/>
  <c r="E3" i="2"/>
  <c r="H3" i="2" s="1"/>
  <c r="I2" i="2"/>
  <c r="H2" i="2"/>
  <c r="E2" i="2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R3" i="1"/>
  <c r="A18" i="6" l="1"/>
  <c r="I8" i="2"/>
  <c r="H11" i="2"/>
  <c r="H17" i="2"/>
  <c r="H30" i="2"/>
  <c r="I131" i="2"/>
  <c r="I3" i="2"/>
  <c r="H6" i="2"/>
  <c r="I13" i="2"/>
  <c r="I15" i="2"/>
  <c r="I22" i="2"/>
  <c r="H25" i="2"/>
  <c r="H33" i="2"/>
  <c r="I38" i="2"/>
  <c r="H41" i="2"/>
  <c r="I46" i="2"/>
  <c r="H49" i="2"/>
  <c r="I54" i="2"/>
  <c r="H57" i="2"/>
  <c r="I62" i="2"/>
  <c r="H65" i="2"/>
  <c r="I70" i="2"/>
  <c r="H73" i="2"/>
  <c r="I78" i="2"/>
  <c r="H81" i="2"/>
  <c r="I86" i="2"/>
  <c r="H89" i="2"/>
  <c r="I94" i="2"/>
  <c r="H97" i="2"/>
  <c r="I102" i="2"/>
  <c r="H105" i="2"/>
  <c r="I110" i="2"/>
  <c r="H113" i="2"/>
  <c r="I118" i="2"/>
  <c r="H121" i="2"/>
  <c r="I126" i="2"/>
  <c r="H129" i="2"/>
  <c r="I19" i="2"/>
  <c r="I51" i="2"/>
  <c r="I67" i="2"/>
  <c r="I91" i="2"/>
  <c r="I123" i="2"/>
  <c r="I27" i="2"/>
  <c r="I35" i="2"/>
  <c r="I43" i="2"/>
  <c r="I59" i="2"/>
  <c r="I75" i="2"/>
  <c r="I83" i="2"/>
  <c r="I99" i="2"/>
  <c r="I107" i="2"/>
  <c r="I115" i="2"/>
  <c r="A16" i="6"/>
  <c r="H24" i="2"/>
  <c r="H32" i="2"/>
  <c r="H40" i="2"/>
  <c r="H48" i="2"/>
  <c r="H56" i="2"/>
  <c r="H64" i="2"/>
  <c r="H72" i="2"/>
  <c r="H80" i="2"/>
  <c r="H88" i="2"/>
  <c r="H96" i="2"/>
  <c r="H104" i="2"/>
  <c r="H112" i="2"/>
  <c r="H120" i="2"/>
  <c r="H128" i="2"/>
</calcChain>
</file>

<file path=xl/sharedStrings.xml><?xml version="1.0" encoding="utf-8"?>
<sst xmlns="http://schemas.openxmlformats.org/spreadsheetml/2006/main" count="933" uniqueCount="463">
  <si>
    <t>Створення таблиць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</si>
  <si>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</si>
  <si>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</si>
  <si>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</si>
  <si>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</si>
  <si>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</si>
  <si>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</si>
  <si>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</si>
  <si>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</si>
  <si>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year</t>
  </si>
  <si>
    <t>month</t>
  </si>
  <si>
    <t>day</t>
  </si>
  <si>
    <t>Pay Rate</t>
  </si>
  <si>
    <t>Підрахунок пустих клітинок</t>
  </si>
  <si>
    <t>Atherly</t>
  </si>
  <si>
    <t>Katherine</t>
  </si>
  <si>
    <t>HR</t>
  </si>
  <si>
    <t>kathya</t>
  </si>
  <si>
    <t>Building 3</t>
  </si>
  <si>
    <t>Atherton</t>
  </si>
  <si>
    <t>Katie</t>
  </si>
  <si>
    <t>katiea</t>
  </si>
  <si>
    <t>1. Загловки і значення в даних</t>
  </si>
  <si>
    <t>Mivelli</t>
  </si>
  <si>
    <t>Maria</t>
  </si>
  <si>
    <t>AT</t>
  </si>
  <si>
    <t>mariam</t>
  </si>
  <si>
    <t>Building 1</t>
  </si>
  <si>
    <t>2. Перевірка чи всі дані заповнені</t>
  </si>
  <si>
    <t>Chang</t>
  </si>
  <si>
    <t>Jessica</t>
  </si>
  <si>
    <t>MF</t>
  </si>
  <si>
    <t>jessc</t>
  </si>
  <si>
    <t>3. Форматування даних: дати, валюти, числа</t>
  </si>
  <si>
    <t>Corwick</t>
  </si>
  <si>
    <t>Judy</t>
  </si>
  <si>
    <t>judyc</t>
  </si>
  <si>
    <t>4. Перетворення списку на таблицю Format → Create Table</t>
  </si>
  <si>
    <t>Franklin</t>
  </si>
  <si>
    <t>Larry</t>
  </si>
  <si>
    <t>AC</t>
  </si>
  <si>
    <t>larryf</t>
  </si>
  <si>
    <t>Building 2</t>
  </si>
  <si>
    <t>5. Налаштування відображення таблиці</t>
  </si>
  <si>
    <t>Kane</t>
  </si>
  <si>
    <t>Sheryl</t>
  </si>
  <si>
    <t>AD</t>
  </si>
  <si>
    <t>sherylk</t>
  </si>
  <si>
    <t>6. Сортування колонок, створення views, групування, фільтрація</t>
  </si>
  <si>
    <t>Boughton</t>
  </si>
  <si>
    <t>Frank</t>
  </si>
  <si>
    <t>fboughton</t>
  </si>
  <si>
    <t>7. Сортування за кількома колонками: обрати таблицю → правою кнопкою миші → View more cell actions → sort Range → Data Has Header Row</t>
  </si>
  <si>
    <t>Rob</t>
  </si>
  <si>
    <t>robertc</t>
  </si>
  <si>
    <t>8. Фільтр дат через between, grater, smaller</t>
  </si>
  <si>
    <t>Smith</t>
  </si>
  <si>
    <t>Howard</t>
  </si>
  <si>
    <t>howards</t>
  </si>
  <si>
    <t>9. Розбиття дати на поля рік, місяць, день для фільтрації</t>
  </si>
  <si>
    <t>Barton</t>
  </si>
  <si>
    <t>Eileen</t>
  </si>
  <si>
    <t>eileenb</t>
  </si>
  <si>
    <t>Alstain</t>
  </si>
  <si>
    <t>Isolde</t>
  </si>
  <si>
    <t>isoldea</t>
  </si>
  <si>
    <t>Szcznyck</t>
  </si>
  <si>
    <t>Tadeuz</t>
  </si>
  <si>
    <t>tadeuzs</t>
  </si>
  <si>
    <t>Dixon-Waite</t>
  </si>
  <si>
    <t>Sherrie</t>
  </si>
  <si>
    <t>sherried</t>
  </si>
  <si>
    <t>Henders</t>
  </si>
  <si>
    <t>Mark</t>
  </si>
  <si>
    <t>markh</t>
  </si>
  <si>
    <t>Simpson</t>
  </si>
  <si>
    <t>Sandrae</t>
  </si>
  <si>
    <t>sandraes</t>
  </si>
  <si>
    <t>Mueller</t>
  </si>
  <si>
    <t>Ursula</t>
  </si>
  <si>
    <t>ursulam</t>
  </si>
  <si>
    <t>Al-Sabah</t>
  </si>
  <si>
    <t>Daoud</t>
  </si>
  <si>
    <t>daouda</t>
  </si>
  <si>
    <t>Vuanuo</t>
  </si>
  <si>
    <t>Tuome</t>
  </si>
  <si>
    <t>tuomev</t>
  </si>
  <si>
    <t>Kourios</t>
  </si>
  <si>
    <t>Theo</t>
  </si>
  <si>
    <t>theok</t>
  </si>
  <si>
    <t>Scote</t>
  </si>
  <si>
    <t>Gail</t>
  </si>
  <si>
    <t>gails</t>
  </si>
  <si>
    <t>Kellerman</t>
  </si>
  <si>
    <t>Tommie</t>
  </si>
  <si>
    <t>MK</t>
  </si>
  <si>
    <t>tomk</t>
  </si>
  <si>
    <t>Fontaine</t>
  </si>
  <si>
    <t>Jean</t>
  </si>
  <si>
    <t>jeanf</t>
  </si>
  <si>
    <t>Ellen</t>
  </si>
  <si>
    <t>ellens</t>
  </si>
  <si>
    <t>Hapsbuch</t>
  </si>
  <si>
    <t>Kendrick</t>
  </si>
  <si>
    <t>kendrickh</t>
  </si>
  <si>
    <t>Kegler</t>
  </si>
  <si>
    <t>Pam</t>
  </si>
  <si>
    <t>pamk</t>
  </si>
  <si>
    <t>Bell</t>
  </si>
  <si>
    <t>Tom</t>
  </si>
  <si>
    <t>tomb</t>
  </si>
  <si>
    <t>Bellwood</t>
  </si>
  <si>
    <t>frankb</t>
  </si>
  <si>
    <t>Cooper</t>
  </si>
  <si>
    <t>Linda</t>
  </si>
  <si>
    <t>lindac</t>
  </si>
  <si>
    <t>Cronwith</t>
  </si>
  <si>
    <t>Brent</t>
  </si>
  <si>
    <t>brentc</t>
  </si>
  <si>
    <t>Sindole</t>
  </si>
  <si>
    <t>Randy</t>
  </si>
  <si>
    <t>randys</t>
  </si>
  <si>
    <t>Zostoc</t>
  </si>
  <si>
    <t>Melissa</t>
  </si>
  <si>
    <t>melissaz</t>
  </si>
  <si>
    <t>Wu</t>
  </si>
  <si>
    <t>Tammy</t>
  </si>
  <si>
    <t>tammyw</t>
  </si>
  <si>
    <t>Brwyne</t>
  </si>
  <si>
    <t>Melia</t>
  </si>
  <si>
    <t>meliab</t>
  </si>
  <si>
    <t>Miller</t>
  </si>
  <si>
    <t>Janet</t>
  </si>
  <si>
    <t>janetm</t>
  </si>
  <si>
    <t>Gonzales</t>
  </si>
  <si>
    <t>Joe</t>
  </si>
  <si>
    <t>joeg</t>
  </si>
  <si>
    <t>Sammler</t>
  </si>
  <si>
    <t>marks</t>
  </si>
  <si>
    <t>House</t>
  </si>
  <si>
    <t>Listing Price</t>
  </si>
  <si>
    <t>Town</t>
  </si>
  <si>
    <t>Square Feet</t>
  </si>
  <si>
    <t>square m</t>
  </si>
  <si>
    <t>Bedrooms</t>
  </si>
  <si>
    <t>Bathrooms</t>
  </si>
  <si>
    <t>average room size m^2</t>
  </si>
  <si>
    <t>price per m^2</t>
  </si>
  <si>
    <t>House10</t>
  </si>
  <si>
    <t>Camillus</t>
  </si>
  <si>
    <t>House37</t>
  </si>
  <si>
    <t>Dewitt</t>
  </si>
  <si>
    <t>1. Сортування за кількома колонками: Обираємо діапазон даних -&gt; Data -&gt; Sort Range -&gt; Advanced range sorting options</t>
  </si>
  <si>
    <t>House91</t>
  </si>
  <si>
    <t>Manlius</t>
  </si>
  <si>
    <t>2. Умовне форматування Format -&gt; Conditional Formatting</t>
  </si>
  <si>
    <t>House11</t>
  </si>
  <si>
    <t>3. TOTAL значення по колонкам</t>
  </si>
  <si>
    <t>House65</t>
  </si>
  <si>
    <t>Jamesville</t>
  </si>
  <si>
    <t>4. Обчислення вартості на квадратний фут і на квадратний метр. 1 ft = 0.3048 m, 1 ft^2 =  0.093m^2.</t>
  </si>
  <si>
    <t>House118</t>
  </si>
  <si>
    <t>5. Обчислення середнього розміру кімнати</t>
  </si>
  <si>
    <t>House38</t>
  </si>
  <si>
    <t>6. Побудова зводної таблиці - Pivot Table</t>
  </si>
  <si>
    <t>House67</t>
  </si>
  <si>
    <t>House121</t>
  </si>
  <si>
    <t>Cicero</t>
  </si>
  <si>
    <t>House41</t>
  </si>
  <si>
    <t>Fayetteville</t>
  </si>
  <si>
    <t>House69</t>
  </si>
  <si>
    <t>House96</t>
  </si>
  <si>
    <t>House16</t>
  </si>
  <si>
    <t>House70</t>
  </si>
  <si>
    <t>House97</t>
  </si>
  <si>
    <t>House17</t>
  </si>
  <si>
    <t>minBedrooms</t>
  </si>
  <si>
    <t>House71</t>
  </si>
  <si>
    <t>House98</t>
  </si>
  <si>
    <t>House18</t>
  </si>
  <si>
    <t>House125</t>
  </si>
  <si>
    <t>House45</t>
  </si>
  <si>
    <t>House127</t>
  </si>
  <si>
    <t>House47</t>
  </si>
  <si>
    <t>House101</t>
  </si>
  <si>
    <t>House21</t>
  </si>
  <si>
    <t>House76</t>
  </si>
  <si>
    <t>House129</t>
  </si>
  <si>
    <t>House49</t>
  </si>
  <si>
    <t>House1</t>
  </si>
  <si>
    <t>House77</t>
  </si>
  <si>
    <t>House130</t>
  </si>
  <si>
    <t>House50</t>
  </si>
  <si>
    <t>House56</t>
  </si>
  <si>
    <t>House29</t>
  </si>
  <si>
    <t>House109</t>
  </si>
  <si>
    <t>House78</t>
  </si>
  <si>
    <t>House57</t>
  </si>
  <si>
    <t>House131</t>
  </si>
  <si>
    <t>House51</t>
  </si>
  <si>
    <t>House30</t>
  </si>
  <si>
    <t>House110</t>
  </si>
  <si>
    <t>House105</t>
  </si>
  <si>
    <t>House58</t>
  </si>
  <si>
    <t>House25</t>
  </si>
  <si>
    <t>House31</t>
  </si>
  <si>
    <t>House111</t>
  </si>
  <si>
    <t>House85</t>
  </si>
  <si>
    <t>House5</t>
  </si>
  <si>
    <t>House107</t>
  </si>
  <si>
    <t>House87</t>
  </si>
  <si>
    <t>House7</t>
  </si>
  <si>
    <t>House27</t>
  </si>
  <si>
    <t>House61</t>
  </si>
  <si>
    <t>House81</t>
  </si>
  <si>
    <t>House89</t>
  </si>
  <si>
    <t>House9</t>
  </si>
  <si>
    <t>House36</t>
  </si>
  <si>
    <t>House116</t>
  </si>
  <si>
    <t>House90</t>
  </si>
  <si>
    <t>House117</t>
  </si>
  <si>
    <t>House64</t>
  </si>
  <si>
    <t>House92</t>
  </si>
  <si>
    <t>House12</t>
  </si>
  <si>
    <t>House66</t>
  </si>
  <si>
    <t>House119</t>
  </si>
  <si>
    <t>House39</t>
  </si>
  <si>
    <t>House93</t>
  </si>
  <si>
    <t>House13</t>
  </si>
  <si>
    <t>House120</t>
  </si>
  <si>
    <t>House40</t>
  </si>
  <si>
    <t>House68</t>
  </si>
  <si>
    <t>House95</t>
  </si>
  <si>
    <t>House15</t>
  </si>
  <si>
    <t>House122</t>
  </si>
  <si>
    <t>House42</t>
  </si>
  <si>
    <t>House124</t>
  </si>
  <si>
    <t>House44</t>
  </si>
  <si>
    <t>House72</t>
  </si>
  <si>
    <t>House99</t>
  </si>
  <si>
    <t>House19</t>
  </si>
  <si>
    <t>House73</t>
  </si>
  <si>
    <t>House126</t>
  </si>
  <si>
    <t>House46</t>
  </si>
  <si>
    <t>House100</t>
  </si>
  <si>
    <t>House20</t>
  </si>
  <si>
    <t>House75</t>
  </si>
  <si>
    <t>House128</t>
  </si>
  <si>
    <t>House48</t>
  </si>
  <si>
    <t>House102</t>
  </si>
  <si>
    <t>House22</t>
  </si>
  <si>
    <t>House55</t>
  </si>
  <si>
    <t>House28</t>
  </si>
  <si>
    <t>House82</t>
  </si>
  <si>
    <t>House2</t>
  </si>
  <si>
    <t>House104</t>
  </si>
  <si>
    <t>House24</t>
  </si>
  <si>
    <t>House84</t>
  </si>
  <si>
    <t>House4</t>
  </si>
  <si>
    <t>House79</t>
  </si>
  <si>
    <t>House132</t>
  </si>
  <si>
    <t>House52</t>
  </si>
  <si>
    <t>House106</t>
  </si>
  <si>
    <t>House59</t>
  </si>
  <si>
    <t>House32</t>
  </si>
  <si>
    <t>House26</t>
  </si>
  <si>
    <t>House112</t>
  </si>
  <si>
    <t>House86</t>
  </si>
  <si>
    <t>House80</t>
  </si>
  <si>
    <t>House6</t>
  </si>
  <si>
    <t>House53</t>
  </si>
  <si>
    <t>House60</t>
  </si>
  <si>
    <t>House33</t>
  </si>
  <si>
    <t>House113</t>
  </si>
  <si>
    <t>House108</t>
  </si>
  <si>
    <t>House88</t>
  </si>
  <si>
    <t>House8</t>
  </si>
  <si>
    <t>House62</t>
  </si>
  <si>
    <t>House35</t>
  </si>
  <si>
    <t>House115</t>
  </si>
  <si>
    <t>House94</t>
  </si>
  <si>
    <t>House14</t>
  </si>
  <si>
    <t>House123</t>
  </si>
  <si>
    <t>House43</t>
  </si>
  <si>
    <t>House74</t>
  </si>
  <si>
    <t>House103</t>
  </si>
  <si>
    <t>House23</t>
  </si>
  <si>
    <t>House83</t>
  </si>
  <si>
    <t>House3</t>
  </si>
  <si>
    <t>House34</t>
  </si>
  <si>
    <t>House54</t>
  </si>
  <si>
    <t>House114</t>
  </si>
  <si>
    <t>House63</t>
  </si>
  <si>
    <t>AVERAGE of average room size m^2</t>
  </si>
  <si>
    <t>Pear Company Sales - February 2023</t>
  </si>
  <si>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</si>
  <si>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</si>
  <si>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</si>
  <si>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</si>
  <si>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</si>
  <si>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</si>
  <si>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</si>
  <si>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</si>
  <si>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S. Sam</t>
  </si>
  <si>
    <t>E. Brown</t>
  </si>
  <si>
    <t>W. Dani</t>
  </si>
  <si>
    <t>M. Mayer</t>
  </si>
  <si>
    <t>S. Sandberg</t>
  </si>
  <si>
    <t>A. John</t>
  </si>
  <si>
    <t>Total Sales:</t>
  </si>
  <si>
    <t>Department Bonus of $850 per person</t>
  </si>
  <si>
    <t>Average Sales:</t>
  </si>
  <si>
    <t>Max Sales:</t>
  </si>
  <si>
    <t>Min Sales:</t>
  </si>
  <si>
    <t>Count of Sales:</t>
  </si>
  <si>
    <t>Pear Company - Q1 Expenses</t>
  </si>
  <si>
    <t>Division</t>
  </si>
  <si>
    <t>Category</t>
  </si>
  <si>
    <t>January</t>
  </si>
  <si>
    <t>February</t>
  </si>
  <si>
    <t>March</t>
  </si>
  <si>
    <t>Total Expenses</t>
  </si>
  <si>
    <t>East</t>
  </si>
  <si>
    <t>Technical Support</t>
  </si>
  <si>
    <t>Telephone</t>
  </si>
  <si>
    <t>Знайти загальні витрати за заданою категорією</t>
  </si>
  <si>
    <t>Copying</t>
  </si>
  <si>
    <t>Total Expense</t>
  </si>
  <si>
    <t>Overhead</t>
  </si>
  <si>
    <t>Software</t>
  </si>
  <si>
    <t>Maintenance</t>
  </si>
  <si>
    <t>Supplies</t>
  </si>
  <si>
    <t>Знайти середні витрати за заданою категорією</t>
  </si>
  <si>
    <t>Telemarketing</t>
  </si>
  <si>
    <t>AVG. Expense</t>
  </si>
  <si>
    <t>Contractors</t>
  </si>
  <si>
    <t>Rent</t>
  </si>
  <si>
    <t>Consultants</t>
  </si>
  <si>
    <t>Miscellaneous</t>
  </si>
  <si>
    <t>Знайти загальні витрати за заданими двома категоріями</t>
  </si>
  <si>
    <t>Advertising</t>
  </si>
  <si>
    <t>Clerical Support</t>
  </si>
  <si>
    <t>North</t>
  </si>
  <si>
    <t>West</t>
  </si>
  <si>
    <t>&gt;1111</t>
  </si>
  <si>
    <t>South</t>
  </si>
  <si>
    <t>Salaries</t>
  </si>
  <si>
    <t>Customer Name</t>
  </si>
  <si>
    <t>Service Type</t>
  </si>
  <si>
    <t>Date</t>
  </si>
  <si>
    <t>Fife, Grant</t>
  </si>
  <si>
    <t>Tire Rotation</t>
  </si>
  <si>
    <t>Pruitt, Barbara</t>
  </si>
  <si>
    <t>Oil Change</t>
  </si>
  <si>
    <t>Horn, Frances</t>
  </si>
  <si>
    <t>30k mile service</t>
  </si>
  <si>
    <t>Barret, Alicia</t>
  </si>
  <si>
    <t>Brake Pads</t>
  </si>
  <si>
    <t>Larson, Lynn</t>
  </si>
  <si>
    <t>Snook, Anthony</t>
  </si>
  <si>
    <t>Transmission flush</t>
  </si>
  <si>
    <t>Brown,Charity</t>
  </si>
  <si>
    <t>One-time Only Customers</t>
  </si>
  <si>
    <t>Region</t>
  </si>
  <si>
    <t>Sales Rep</t>
  </si>
  <si>
    <t>Product</t>
  </si>
  <si>
    <t>Units</t>
  </si>
  <si>
    <t>Sorted</t>
  </si>
  <si>
    <t>Apple</t>
  </si>
  <si>
    <t>Fred</t>
  </si>
  <si>
    <t>Grape</t>
  </si>
  <si>
    <t>Amy</t>
  </si>
  <si>
    <t>Pear</t>
  </si>
  <si>
    <t>Sal</t>
  </si>
  <si>
    <t>Banana</t>
  </si>
  <si>
    <t>Fritz</t>
  </si>
  <si>
    <t>Sravan</t>
  </si>
  <si>
    <t xml:space="preserve">Sales Transactions </t>
  </si>
  <si>
    <t xml:space="preserve">North </t>
  </si>
  <si>
    <t>Stravan</t>
  </si>
  <si>
    <t>Sales Figures</t>
  </si>
  <si>
    <t>Salesperson</t>
  </si>
  <si>
    <t>Total</t>
  </si>
  <si>
    <t>R.Smith</t>
  </si>
  <si>
    <t>H. James</t>
  </si>
  <si>
    <t>S.O'Brian</t>
  </si>
  <si>
    <t>L. Carrie</t>
  </si>
  <si>
    <t>K. Dunn</t>
  </si>
  <si>
    <t>M. Johnson</t>
  </si>
  <si>
    <t>P. Taylor</t>
  </si>
  <si>
    <t>D. Evans</t>
  </si>
  <si>
    <t>C. Lopez</t>
  </si>
  <si>
    <t>T. Carter</t>
  </si>
  <si>
    <t>Sales weekly</t>
  </si>
  <si>
    <t>May</t>
  </si>
  <si>
    <t>June</t>
  </si>
  <si>
    <t>July</t>
  </si>
  <si>
    <t>Aug.</t>
  </si>
  <si>
    <t>Sept.</t>
  </si>
  <si>
    <t>Oct.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</si>
  <si>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</si>
  <si>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</si>
  <si>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</si>
  <si>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</si>
  <si>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</si>
  <si>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</si>
  <si>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</si>
  <si>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</si>
  <si>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</si>
  <si>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</si>
  <si>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</si>
  <si>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</si>
  <si>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</si>
  <si>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</si>
  <si>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</si>
  <si>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</si>
  <si>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</si>
  <si>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</si>
  <si>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Mark, Katharine</t>
  </si>
  <si>
    <t>Morrison, Thomas</t>
  </si>
  <si>
    <t>Moss, Pete</t>
  </si>
  <si>
    <t>Paul, Henry David</t>
  </si>
  <si>
    <t>Post, Melissa</t>
  </si>
  <si>
    <t>Robinson, Betty</t>
  </si>
  <si>
    <t>Shadow, Elizabeth</t>
  </si>
  <si>
    <t>Smith, Harold</t>
  </si>
  <si>
    <t>Thomas, Robert</t>
  </si>
  <si>
    <t>Thompson, Shannon</t>
  </si>
  <si>
    <t>Walters, Chris</t>
  </si>
  <si>
    <t>Zimmerman, Kate</t>
  </si>
  <si>
    <t>Мережа магазинів товарів</t>
  </si>
  <si>
    <t>Інструкції</t>
  </si>
  <si>
    <t>Store Name</t>
  </si>
  <si>
    <t>Report_Date</t>
  </si>
  <si>
    <t>Reported_Sales</t>
  </si>
  <si>
    <t>Fair Grocer</t>
  </si>
  <si>
    <t>Suburb</t>
  </si>
  <si>
    <t>Перетворіть набір даних на табличний формат</t>
  </si>
  <si>
    <t>Downtown</t>
  </si>
  <si>
    <t>Назвіть таблицю Store Sales</t>
  </si>
  <si>
    <t>Midtown</t>
  </si>
  <si>
    <t>Відформатуйте відображення Report_Date на формат YYYY-MM-DD</t>
  </si>
  <si>
    <t>Відформатуйте відображення Reported_Sales так, аби це були значення з зазначенням валюти Американський Долар без знаків після коми, наприклад, $1,499,269</t>
  </si>
  <si>
    <t>Перетворіть колонку Region на формат Dropdown, аби категорію можна було обирати з заданого діапазону</t>
  </si>
  <si>
    <t>Uptown</t>
  </si>
  <si>
    <t>Відсортуйте значення за Store Name і в рамках кожного Store Name - за Reported Sales.</t>
  </si>
  <si>
    <t>Створіть зводну таблицю на окремому аркуші</t>
  </si>
  <si>
    <t>Дайте відповіді на наступні питання (можна просто вставити скріншоти нижче з коментарями, аби вставити скріншот, який зараз в буфері обміну, просто обираєте клітинку і натискаєте Ctrl+V)</t>
  </si>
  <si>
    <t>Питання</t>
  </si>
  <si>
    <t>На яку суму за всю історію було зроблено продажів в магазині Rite Grocer?</t>
  </si>
  <si>
    <t>На яку суму було зроблено продажів на дату 2021-09-30 в кожному магазині по регіонам? Відповідь подайте в вигляді таблиці, де рядками є магазини, колонками - регіони і значення мають кольорове забарвлення в залежності від величини. 
Зробіть 2 висновки з отриманої таблиці.</t>
  </si>
  <si>
    <t>Gourmet Grocer</t>
  </si>
  <si>
    <t>Скільки сумарно за весь час було зроблено продажів в кожному магазині по регіонам?</t>
  </si>
  <si>
    <t>В якій парі магазин-регіон в середньому за всі місяці було зроблено найбільше продажів? Та який розмір середніх продажів в цьому магазині? 
Відповідь наведіть в форматі таблиці з градієнтним заповненням, де найбільш зелена клітинка - це магазин з найбільшими середніми продажами.</t>
  </si>
  <si>
    <t>Відповіді:</t>
  </si>
  <si>
    <t>Висновок 1:</t>
  </si>
  <si>
    <t>В регіоні Downtown всі магазини мають хороші продажі</t>
  </si>
  <si>
    <t>Висновок 2:</t>
  </si>
  <si>
    <t>Магазин Kosher Grocer має найбільш стабільні продажі  по всім регіонам</t>
  </si>
  <si>
    <t>Kosher Grocer</t>
  </si>
  <si>
    <t>Rite Grocer</t>
  </si>
  <si>
    <t>AVERAGE of Reported_Sales</t>
  </si>
  <si>
    <t>Загальний підсумок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</si>
</sst>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yyyy&quot;-&quot;mm&quot;-&quot;dd"/>
    <numFmt numFmtId="165" formatCode="&quot;$&quot;#,##0.00"/>
    <numFmt numFmtId="166" formatCode="_(* #,##0_);_(* \(#,##0\);_(* &quot;-&quot;??_);_(@_)"/>
    <numFmt numFmtId="167" formatCode="&quot;$&quot;#,##0"/>
    <numFmt numFmtId="168" formatCode="&quot;$&quot;#,##0.000"/>
    <numFmt numFmtId="169" formatCode="_(&quot;$&quot;* #,##0_);_(&quot;$&quot;* \(#,##0\);_(&quot;$&quot;* &quot;-&quot;??_);_(@_)"/>
    <numFmt numFmtId="170" formatCode="0.00_);[Red]\(0.00\)"/>
    <numFmt numFmtId="171" formatCode="_(* #,##0_);_(* \(#,##0\);_(* &quot;-&quot;_);_(@_)"/>
    <numFmt numFmtId="172" formatCode="_(&quot;$&quot;* #,##0.00_);_(&quot;$&quot;* \(#,##0.00\);_(&quot;$&quot;* &quot;-&quot;??_);_(@_)"/>
    <numFmt numFmtId="173" formatCode="_(* #,##0.00_);_(* \(#,##0.00\);_(* &quot;-&quot;??_);_(@_)"/>
    <numFmt numFmtId="174" formatCode="[$-409]mmmm\ yyyy"/>
    <numFmt numFmtId="175" formatCode="[$$]#,##0"/>
  </numFmts>
  <fonts count="30" x14ac:knownFonts="1">
    <font>
      <sz val="12"/>
      <color theme="1"/>
      <name val="Courier New"/>
      <scheme val="minor"/>
    </font>
    <font>
      <sz val="18"/>
      <color rgb="FFFFFFFF"/>
      <name val="Calibri"/>
    </font>
    <font>
      <sz val="12"/>
      <name val="Courier New"/>
    </font>
    <font>
      <sz val="10"/>
      <color theme="1"/>
      <name val="Arial"/>
    </font>
    <font>
      <b/>
      <sz val="12"/>
      <color theme="1"/>
      <name val="Courier New"/>
    </font>
    <font>
      <sz val="11"/>
      <color theme="1"/>
      <name val="Calibri"/>
    </font>
    <font>
      <sz val="12"/>
      <color theme="1"/>
      <name val="Calibri"/>
    </font>
    <font>
      <sz val="14"/>
      <color theme="1"/>
      <name val="Calibri"/>
    </font>
    <font>
      <sz val="12"/>
      <color theme="1"/>
      <name val="Courier New"/>
      <scheme val="minor"/>
    </font>
    <font>
      <sz val="12"/>
      <color theme="1"/>
      <name val="Courier New"/>
    </font>
    <font>
      <sz val="14"/>
      <color theme="0"/>
      <name val="Calibri"/>
    </font>
    <font>
      <b/>
      <sz val="18"/>
      <color rgb="FF44546A"/>
      <name val="Calibri"/>
    </font>
    <font>
      <b/>
      <sz val="14"/>
      <color rgb="FF44546A"/>
      <name val="Calibri"/>
    </font>
    <font>
      <sz val="12"/>
      <color rgb="FF3F3F76"/>
      <name val="Calibri"/>
    </font>
    <font>
      <b/>
      <sz val="12"/>
      <color theme="1"/>
      <name val="Calibri"/>
    </font>
    <font>
      <b/>
      <sz val="12"/>
      <color rgb="FF3F3F3F"/>
      <name val="Calibri"/>
    </font>
    <font>
      <b/>
      <sz val="11"/>
      <color theme="1"/>
      <name val="Calibri"/>
    </font>
    <font>
      <sz val="16"/>
      <color theme="0"/>
      <name val="Calibri"/>
    </font>
    <font>
      <b/>
      <sz val="12"/>
      <color rgb="FFFFFFFF"/>
      <name val="Calibri"/>
    </font>
    <font>
      <sz val="11"/>
      <color rgb="FF3F3F76"/>
      <name val="Calibri"/>
    </font>
    <font>
      <b/>
      <sz val="11"/>
      <color rgb="FF3F3F3F"/>
      <name val="Calibri"/>
    </font>
    <font>
      <sz val="12"/>
      <color theme="0"/>
      <name val="Calibri"/>
    </font>
    <font>
      <sz val="18"/>
      <color rgb="FF44546A"/>
      <name val="Calibri"/>
    </font>
    <font>
      <b/>
      <sz val="11"/>
      <color rgb="FF44546A"/>
      <name val="Calibri"/>
    </font>
    <font>
      <b/>
      <sz val="12"/>
      <color theme="0"/>
      <name val="Calibri"/>
    </font>
    <font>
      <b/>
      <sz val="12"/>
      <color rgb="FF44546A"/>
      <name val="Calibri"/>
    </font>
    <font>
      <u/>
      <sz val="11"/>
      <color theme="10"/>
      <name val="Calibri"/>
    </font>
    <font>
      <b/>
      <sz val="14"/>
      <color rgb="FF44546A"/>
      <name val="Arial"/>
    </font>
    <font>
      <sz val="10"/>
      <color rgb="FFFFFFFF"/>
      <name val="Arial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C99"/>
        <bgColor rgb="FFFFCC99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4472C4"/>
        <bgColor rgb="FF4472C4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ck">
        <color rgb="FFA1B8E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8EAADB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/>
      <bottom/>
      <diagonal/>
    </border>
    <border>
      <left style="thin">
        <color rgb="FFA8D08D"/>
      </left>
      <right/>
      <top style="thin">
        <color rgb="FFA8D08D"/>
      </top>
      <bottom style="thin">
        <color rgb="FFA8D08D"/>
      </bottom>
      <diagonal/>
    </border>
    <border>
      <left/>
      <right/>
      <top style="thin">
        <color rgb="FFA8D08D"/>
      </top>
      <bottom style="thin">
        <color rgb="FFA8D08D"/>
      </bottom>
      <diagonal/>
    </border>
    <border>
      <left/>
      <right style="thin">
        <color rgb="FFA8D08D"/>
      </right>
      <top style="thin">
        <color rgb="FFA8D08D"/>
      </top>
      <bottom style="thin">
        <color rgb="FFA8D08D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vertical="center"/>
    </xf>
    <xf numFmtId="167" fontId="8" fillId="0" borderId="0" xfId="0" applyNumberFormat="1" applyFont="1" applyAlignment="1">
      <alignment horizontal="center" vertical="center"/>
    </xf>
    <xf numFmtId="166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165" fontId="5" fillId="0" borderId="0" xfId="0" applyNumberFormat="1" applyFont="1"/>
    <xf numFmtId="166" fontId="9" fillId="0" borderId="0" xfId="0" applyNumberFormat="1" applyFont="1"/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7" xfId="0" applyFont="1" applyBorder="1" applyAlignment="1">
      <alignment horizontal="right"/>
    </xf>
    <xf numFmtId="165" fontId="13" fillId="3" borderId="8" xfId="0" applyNumberFormat="1" applyFont="1" applyFill="1" applyBorder="1"/>
    <xf numFmtId="0" fontId="14" fillId="4" borderId="9" xfId="0" applyFont="1" applyFill="1" applyBorder="1" applyAlignment="1">
      <alignment horizontal="center"/>
    </xf>
    <xf numFmtId="0" fontId="6" fillId="0" borderId="0" xfId="0" applyFont="1"/>
    <xf numFmtId="0" fontId="14" fillId="4" borderId="10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right"/>
    </xf>
    <xf numFmtId="169" fontId="6" fillId="0" borderId="12" xfId="0" applyNumberFormat="1" applyFont="1" applyBorder="1" applyAlignment="1">
      <alignment horizontal="left"/>
    </xf>
    <xf numFmtId="167" fontId="14" fillId="0" borderId="13" xfId="0" applyNumberFormat="1" applyFont="1" applyBorder="1" applyAlignment="1">
      <alignment horizontal="center"/>
    </xf>
    <xf numFmtId="170" fontId="15" fillId="6" borderId="14" xfId="0" applyNumberFormat="1" applyFont="1" applyFill="1" applyBorder="1" applyAlignment="1">
      <alignment horizontal="center"/>
    </xf>
    <xf numFmtId="0" fontId="14" fillId="5" borderId="15" xfId="0" applyFont="1" applyFill="1" applyBorder="1" applyAlignment="1">
      <alignment horizontal="right"/>
    </xf>
    <xf numFmtId="169" fontId="6" fillId="0" borderId="16" xfId="0" applyNumberFormat="1" applyFont="1" applyBorder="1" applyAlignment="1">
      <alignment horizontal="left"/>
    </xf>
    <xf numFmtId="0" fontId="14" fillId="5" borderId="17" xfId="0" applyFont="1" applyFill="1" applyBorder="1" applyAlignment="1">
      <alignment horizontal="right"/>
    </xf>
    <xf numFmtId="169" fontId="6" fillId="0" borderId="18" xfId="0" applyNumberFormat="1" applyFont="1" applyBorder="1" applyAlignment="1">
      <alignment horizontal="left"/>
    </xf>
    <xf numFmtId="167" fontId="16" fillId="0" borderId="12" xfId="0" applyNumberFormat="1" applyFont="1" applyBorder="1" applyAlignment="1">
      <alignment horizontal="right" vertical="center"/>
    </xf>
    <xf numFmtId="0" fontId="16" fillId="7" borderId="12" xfId="0" applyFont="1" applyFill="1" applyBorder="1" applyAlignment="1">
      <alignment vertical="top" wrapText="1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171" fontId="14" fillId="0" borderId="12" xfId="0" applyNumberFormat="1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6" fillId="0" borderId="0" xfId="0" applyFont="1" applyAlignment="1">
      <alignment horizontal="right"/>
    </xf>
    <xf numFmtId="172" fontId="5" fillId="0" borderId="12" xfId="0" applyNumberFormat="1" applyFont="1" applyBorder="1" applyAlignment="1">
      <alignment horizontal="left"/>
    </xf>
    <xf numFmtId="173" fontId="5" fillId="0" borderId="12" xfId="0" applyNumberFormat="1" applyFont="1" applyBorder="1" applyAlignment="1">
      <alignment horizontal="left"/>
    </xf>
    <xf numFmtId="172" fontId="5" fillId="0" borderId="12" xfId="0" applyNumberFormat="1" applyFont="1" applyBorder="1"/>
    <xf numFmtId="0" fontId="9" fillId="0" borderId="0" xfId="0" applyFont="1"/>
    <xf numFmtId="172" fontId="9" fillId="0" borderId="0" xfId="0" applyNumberFormat="1" applyFont="1"/>
    <xf numFmtId="171" fontId="18" fillId="8" borderId="12" xfId="0" applyNumberFormat="1" applyFont="1" applyFill="1" applyBorder="1" applyAlignment="1">
      <alignment horizontal="center"/>
    </xf>
    <xf numFmtId="0" fontId="19" fillId="3" borderId="8" xfId="0" applyFont="1" applyFill="1" applyBorder="1" applyAlignment="1">
      <alignment horizontal="center"/>
    </xf>
    <xf numFmtId="172" fontId="20" fillId="6" borderId="24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right"/>
    </xf>
    <xf numFmtId="14" fontId="6" fillId="0" borderId="0" xfId="0" applyNumberFormat="1" applyFont="1"/>
    <xf numFmtId="0" fontId="21" fillId="2" borderId="25" xfId="0" applyFont="1" applyFill="1" applyBorder="1"/>
    <xf numFmtId="0" fontId="21" fillId="9" borderId="25" xfId="0" applyFont="1" applyFill="1" applyBorder="1"/>
    <xf numFmtId="3" fontId="6" fillId="0" borderId="0" xfId="0" applyNumberFormat="1" applyFont="1"/>
    <xf numFmtId="0" fontId="22" fillId="0" borderId="0" xfId="0" applyFont="1"/>
    <xf numFmtId="0" fontId="23" fillId="0" borderId="0" xfId="0" applyFont="1"/>
    <xf numFmtId="0" fontId="13" fillId="3" borderId="8" xfId="0" applyFont="1" applyFill="1" applyBorder="1"/>
    <xf numFmtId="0" fontId="24" fillId="9" borderId="26" xfId="0" applyFont="1" applyFill="1" applyBorder="1"/>
    <xf numFmtId="0" fontId="24" fillId="9" borderId="27" xfId="0" applyFont="1" applyFill="1" applyBorder="1"/>
    <xf numFmtId="0" fontId="24" fillId="9" borderId="28" xfId="0" applyFont="1" applyFill="1" applyBorder="1"/>
    <xf numFmtId="0" fontId="4" fillId="0" borderId="0" xfId="0" applyFont="1"/>
    <xf numFmtId="0" fontId="25" fillId="0" borderId="0" xfId="0" applyFont="1" applyAlignment="1">
      <alignment horizontal="center"/>
    </xf>
    <xf numFmtId="167" fontId="6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right"/>
    </xf>
    <xf numFmtId="0" fontId="16" fillId="0" borderId="0" xfId="0" applyFont="1"/>
    <xf numFmtId="0" fontId="26" fillId="0" borderId="0" xfId="0" applyFont="1"/>
    <xf numFmtId="0" fontId="27" fillId="0" borderId="0" xfId="0" applyFont="1"/>
    <xf numFmtId="0" fontId="29" fillId="0" borderId="0" xfId="0" applyFont="1" applyAlignment="1">
      <alignment horizontal="left"/>
    </xf>
    <xf numFmtId="164" fontId="3" fillId="0" borderId="0" xfId="0" applyNumberFormat="1" applyFont="1"/>
    <xf numFmtId="175" fontId="3" fillId="0" borderId="0" xfId="0" applyNumberFormat="1" applyFont="1"/>
    <xf numFmtId="0" fontId="3" fillId="10" borderId="0" xfId="0" applyFont="1" applyFill="1" applyAlignment="1">
      <alignment horizontal="right"/>
    </xf>
    <xf numFmtId="0" fontId="3" fillId="11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0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6" fillId="7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17" fillId="2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11" fillId="0" borderId="0" xfId="0" applyFont="1" applyAlignment="1">
      <alignment horizontal="center"/>
    </xf>
    <xf numFmtId="0" fontId="0" fillId="0" borderId="0" xfId="0"/>
    <xf numFmtId="174" fontId="11" fillId="0" borderId="0" xfId="0" applyNumberFormat="1" applyFont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29" xfId="0" pivotButton="1" applyBorder="1"/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2" xfId="0" applyBorder="1"/>
    <xf numFmtId="0" fontId="0" fillId="0" borderId="33" xfId="0" applyBorder="1"/>
    <xf numFmtId="0" fontId="0" fillId="0" borderId="29" xfId="0" applyNumberFormat="1" applyBorder="1"/>
    <xf numFmtId="0" fontId="0" fillId="0" borderId="32" xfId="0" applyNumberFormat="1" applyBorder="1"/>
    <xf numFmtId="0" fontId="0" fillId="0" borderId="33" xfId="0" applyNumberFormat="1" applyBorder="1"/>
    <xf numFmtId="0" fontId="0" fillId="0" borderId="34" xfId="0" applyBorder="1"/>
    <xf numFmtId="0" fontId="0" fillId="0" borderId="34" xfId="0" applyNumberFormat="1" applyBorder="1"/>
    <xf numFmtId="0" fontId="0" fillId="0" borderId="25" xfId="0" applyNumberFormat="1" applyBorder="1"/>
    <xf numFmtId="0" fontId="0" fillId="0" borderId="35" xfId="0" applyNumberFormat="1" applyBorder="1"/>
    <xf numFmtId="0" fontId="0" fillId="0" borderId="36" xfId="0" applyBorder="1"/>
    <xf numFmtId="0" fontId="0" fillId="0" borderId="36" xfId="0" applyNumberFormat="1" applyBorder="1"/>
    <xf numFmtId="0" fontId="0" fillId="0" borderId="37" xfId="0" applyNumberFormat="1" applyBorder="1"/>
    <xf numFmtId="0" fontId="0" fillId="0" borderId="38" xfId="0" applyNumberFormat="1" applyBorder="1"/>
    <xf numFmtId="0" fontId="0" fillId="0" borderId="39" xfId="0" applyBorder="1"/>
    <xf numFmtId="0" fontId="0" fillId="0" borderId="39" xfId="0" applyNumberFormat="1" applyBorder="1"/>
    <xf numFmtId="0" fontId="0" fillId="0" borderId="40" xfId="0" applyNumberFormat="1" applyBorder="1"/>
    <xf numFmtId="0" fontId="0" fillId="0" borderId="41" xfId="0" applyNumberFormat="1" applyBorder="1"/>
  </cellXfs>
  <cellStyles count="1">
    <cellStyle name="Звичайний" xfId="0" builtinId="0"/>
  </cellStyles>
  <dxfs count="3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C99"/>
          <bgColor rgb="FFFFCC99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Створення таблиць-style" pivot="0" count="4" xr9:uid="{00000000-0011-0000-FFFF-FFFF00000000}">
      <tableStyleElement type="wholeTable" size="0" dxfId="27"/>
      <tableStyleElement type="headerRow" dxfId="30"/>
      <tableStyleElement type="firstRowStripe" dxfId="29"/>
      <tableStyleElement type="secondRowStripe" dxfId="28"/>
    </tableStyle>
    <tableStyle name="Houses-style" pivot="0" count="4" xr9:uid="{00000000-0011-0000-FFFF-FFFF01000000}">
      <tableStyleElement type="wholeTable" size="0" dxfId="23"/>
      <tableStyleElement type="headerRow" dxfId="26"/>
      <tableStyleElement type="firstRowStripe" dxfId="25"/>
      <tableStyleElement type="secondRowStripe" dxfId="24"/>
    </tableStyle>
    <tableStyle name="Unique-style" pivot="0" count="3" xr9:uid="{00000000-0011-0000-FFFF-FFFF02000000}">
      <tableStyleElement type="headerRow" dxfId="22"/>
      <tableStyleElement type="firstRowStripe" dxfId="21"/>
      <tableStyleElement type="secondRowStripe" dxfId="20"/>
    </tableStyle>
    <tableStyle name="FILTER FUNCTION-style" pivot="0" count="3" xr9:uid="{00000000-0011-0000-FFFF-FFFF03000000}">
      <tableStyleElement type="headerRow" dxfId="19"/>
      <tableStyleElement type="firstRowStripe" dxfId="18"/>
      <tableStyleElement type="secondRowStripe" dxfId="17"/>
    </tableStyle>
    <tableStyle name="Sparklines-style" pivot="0" count="3" xr9:uid="{00000000-0011-0000-FFFF-FFFF04000000}">
      <tableStyleElement type="headerRow" dxfId="16"/>
      <tableStyleElement type="firstRowStripe" dxfId="15"/>
      <tableStyleElement type="secondRowStripe" dxfId="14"/>
    </tableStyle>
    <tableStyle name="ДЗ-style" pivot="0" count="4" xr9:uid="{00000000-0011-0000-FFFF-FFFF05000000}">
      <tableStyleElement type="wholeTable" size="0" dxfId="10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Figures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'Побудова графіків'!$F$4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8FC5-4727-B2C7-44CDFBCA44DD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8FC5-4727-B2C7-44CDFBCA44DD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8FC5-4727-B2C7-44CDFBCA44DD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8FC5-4727-B2C7-44CDFBCA44DD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8FC5-4727-B2C7-44CDFBCA44DD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8FC5-4727-B2C7-44CDFBCA44DD}"/>
              </c:ext>
            </c:extLst>
          </c:dPt>
          <c:dPt>
            <c:idx val="6"/>
            <c:bubble3D val="0"/>
            <c:spPr>
              <a:solidFill>
                <a:srgbClr val="7C9CD6"/>
              </a:solidFill>
            </c:spPr>
            <c:extLst>
              <c:ext xmlns:c16="http://schemas.microsoft.com/office/drawing/2014/chart" uri="{C3380CC4-5D6E-409C-BE32-E72D297353CC}">
                <c16:uniqueId val="{0000000D-8FC5-4727-B2C7-44CDFBCA44DD}"/>
              </c:ext>
            </c:extLst>
          </c:dPt>
          <c:dPt>
            <c:idx val="7"/>
            <c:bubble3D val="0"/>
            <c:spPr>
              <a:solidFill>
                <a:srgbClr val="F2A46F"/>
              </a:solidFill>
            </c:spPr>
            <c:extLst>
              <c:ext xmlns:c16="http://schemas.microsoft.com/office/drawing/2014/chart" uri="{C3380CC4-5D6E-409C-BE32-E72D297353CC}">
                <c16:uniqueId val="{0000000F-8FC5-4727-B2C7-44CDFBCA44DD}"/>
              </c:ext>
            </c:extLst>
          </c:dPt>
          <c:dPt>
            <c:idx val="8"/>
            <c:bubble3D val="0"/>
            <c:spPr>
              <a:solidFill>
                <a:srgbClr val="C0C0C0"/>
              </a:solidFill>
            </c:spPr>
            <c:extLst>
              <c:ext xmlns:c16="http://schemas.microsoft.com/office/drawing/2014/chart" uri="{C3380CC4-5D6E-409C-BE32-E72D297353CC}">
                <c16:uniqueId val="{00000011-8FC5-4727-B2C7-44CDFBCA44DD}"/>
              </c:ext>
            </c:extLst>
          </c:dPt>
          <c:dPt>
            <c:idx val="9"/>
            <c:bubble3D val="0"/>
            <c:spPr>
              <a:solidFill>
                <a:srgbClr val="FFD34D"/>
              </a:solidFill>
            </c:spPr>
            <c:extLst>
              <c:ext xmlns:c16="http://schemas.microsoft.com/office/drawing/2014/chart" uri="{C3380CC4-5D6E-409C-BE32-E72D297353CC}">
                <c16:uniqueId val="{00000013-8FC5-4727-B2C7-44CDFBCA44DD}"/>
              </c:ext>
            </c:extLst>
          </c:dPt>
          <c:cat>
            <c:strRef>
              <c:f>'Побудова графіків'!$A$5:$A$14</c:f>
              <c:strCache>
                <c:ptCount val="10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  <c:pt idx="5">
                  <c:v>M. Johnson</c:v>
                </c:pt>
                <c:pt idx="6">
                  <c:v>P. Taylor</c:v>
                </c:pt>
                <c:pt idx="7">
                  <c:v>D. Evans</c:v>
                </c:pt>
                <c:pt idx="8">
                  <c:v>C. Lopez</c:v>
                </c:pt>
                <c:pt idx="9">
                  <c:v>T. Carter</c:v>
                </c:pt>
              </c:strCache>
            </c:strRef>
          </c:cat>
          <c:val>
            <c:numRef>
              <c:f>'Побудова графіків'!$F$5:$F$14</c:f>
              <c:numCache>
                <c:formatCode>"$"#\ ##0</c:formatCode>
                <c:ptCount val="10"/>
                <c:pt idx="0">
                  <c:v>13450</c:v>
                </c:pt>
                <c:pt idx="1">
                  <c:v>18400</c:v>
                </c:pt>
                <c:pt idx="2">
                  <c:v>12420</c:v>
                </c:pt>
                <c:pt idx="3">
                  <c:v>22270</c:v>
                </c:pt>
                <c:pt idx="4">
                  <c:v>16860</c:v>
                </c:pt>
                <c:pt idx="5">
                  <c:v>15820</c:v>
                </c:pt>
                <c:pt idx="6">
                  <c:v>17360</c:v>
                </c:pt>
                <c:pt idx="7">
                  <c:v>21620</c:v>
                </c:pt>
                <c:pt idx="8">
                  <c:v>13980</c:v>
                </c:pt>
                <c:pt idx="9">
                  <c:v>20100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FC5-4727-B2C7-44CDFBCA4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uk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 1, Week 2, Week 3, Week 4 and Total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'Побудова графіків'!$B$4</c:f>
              <c:strCache>
                <c:ptCount val="1"/>
                <c:pt idx="0">
                  <c:v>Week 1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'Побудова графіків'!$A$5:$A$14</c:f>
              <c:strCache>
                <c:ptCount val="10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  <c:pt idx="5">
                  <c:v>M. Johnson</c:v>
                </c:pt>
                <c:pt idx="6">
                  <c:v>P. Taylor</c:v>
                </c:pt>
                <c:pt idx="7">
                  <c:v>D. Evans</c:v>
                </c:pt>
                <c:pt idx="8">
                  <c:v>C. Lopez</c:v>
                </c:pt>
                <c:pt idx="9">
                  <c:v>T. Carter</c:v>
                </c:pt>
              </c:strCache>
            </c:strRef>
          </c:cat>
          <c:val>
            <c:numRef>
              <c:f>'Побудова графіків'!$B$5:$B$14</c:f>
              <c:numCache>
                <c:formatCode>"$"#\ ##0</c:formatCode>
                <c:ptCount val="10"/>
                <c:pt idx="0">
                  <c:v>4520</c:v>
                </c:pt>
                <c:pt idx="1">
                  <c:v>3220</c:v>
                </c:pt>
                <c:pt idx="2">
                  <c:v>4560</c:v>
                </c:pt>
                <c:pt idx="3">
                  <c:v>5600</c:v>
                </c:pt>
                <c:pt idx="4">
                  <c:v>2330</c:v>
                </c:pt>
                <c:pt idx="5">
                  <c:v>3520</c:v>
                </c:pt>
                <c:pt idx="6">
                  <c:v>4100</c:v>
                </c:pt>
                <c:pt idx="7">
                  <c:v>5320</c:v>
                </c:pt>
                <c:pt idx="8">
                  <c:v>3400</c:v>
                </c:pt>
                <c:pt idx="9">
                  <c:v>4950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1E-41FB-A95B-7837CA0382E2}"/>
            </c:ext>
          </c:extLst>
        </c:ser>
        <c:ser>
          <c:idx val="1"/>
          <c:order val="1"/>
          <c:tx>
            <c:strRef>
              <c:f>'Побудова графіків'!$C$4</c:f>
              <c:strCache>
                <c:ptCount val="1"/>
                <c:pt idx="0">
                  <c:v>Week 2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'Побудова графіків'!$A$5:$A$14</c:f>
              <c:strCache>
                <c:ptCount val="10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  <c:pt idx="5">
                  <c:v>M. Johnson</c:v>
                </c:pt>
                <c:pt idx="6">
                  <c:v>P. Taylor</c:v>
                </c:pt>
                <c:pt idx="7">
                  <c:v>D. Evans</c:v>
                </c:pt>
                <c:pt idx="8">
                  <c:v>C. Lopez</c:v>
                </c:pt>
                <c:pt idx="9">
                  <c:v>T. Carter</c:v>
                </c:pt>
              </c:strCache>
            </c:strRef>
          </c:cat>
          <c:val>
            <c:numRef>
              <c:f>'Побудова графіків'!$C$5:$C$14</c:f>
              <c:numCache>
                <c:formatCode>"$"#\ ##0</c:formatCode>
                <c:ptCount val="10"/>
                <c:pt idx="0">
                  <c:v>3620</c:v>
                </c:pt>
                <c:pt idx="1">
                  <c:v>5230</c:v>
                </c:pt>
                <c:pt idx="2">
                  <c:v>2320</c:v>
                </c:pt>
                <c:pt idx="3">
                  <c:v>6510</c:v>
                </c:pt>
                <c:pt idx="4">
                  <c:v>4520</c:v>
                </c:pt>
                <c:pt idx="5">
                  <c:v>4620</c:v>
                </c:pt>
                <c:pt idx="6">
                  <c:v>3210</c:v>
                </c:pt>
                <c:pt idx="7">
                  <c:v>6150</c:v>
                </c:pt>
                <c:pt idx="8">
                  <c:v>3750</c:v>
                </c:pt>
                <c:pt idx="9">
                  <c:v>5620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E1E-41FB-A95B-7837CA0382E2}"/>
            </c:ext>
          </c:extLst>
        </c:ser>
        <c:ser>
          <c:idx val="2"/>
          <c:order val="2"/>
          <c:tx>
            <c:strRef>
              <c:f>'Побудова графіків'!$D$4</c:f>
              <c:strCache>
                <c:ptCount val="1"/>
                <c:pt idx="0">
                  <c:v>Week 3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'Побудова графіків'!$A$5:$A$14</c:f>
              <c:strCache>
                <c:ptCount val="10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  <c:pt idx="5">
                  <c:v>M. Johnson</c:v>
                </c:pt>
                <c:pt idx="6">
                  <c:v>P. Taylor</c:v>
                </c:pt>
                <c:pt idx="7">
                  <c:v>D. Evans</c:v>
                </c:pt>
                <c:pt idx="8">
                  <c:v>C. Lopez</c:v>
                </c:pt>
                <c:pt idx="9">
                  <c:v>T. Carter</c:v>
                </c:pt>
              </c:strCache>
            </c:strRef>
          </c:cat>
          <c:val>
            <c:numRef>
              <c:f>'Побудова графіків'!$D$5:$D$14</c:f>
              <c:numCache>
                <c:formatCode>"$"#\ ##0</c:formatCode>
                <c:ptCount val="10"/>
                <c:pt idx="0">
                  <c:v>2560</c:v>
                </c:pt>
                <c:pt idx="1">
                  <c:v>4550</c:v>
                </c:pt>
                <c:pt idx="2">
                  <c:v>3220</c:v>
                </c:pt>
                <c:pt idx="3">
                  <c:v>5660</c:v>
                </c:pt>
                <c:pt idx="4">
                  <c:v>5500</c:v>
                </c:pt>
                <c:pt idx="5">
                  <c:v>4230</c:v>
                </c:pt>
                <c:pt idx="6">
                  <c:v>5430</c:v>
                </c:pt>
                <c:pt idx="7">
                  <c:v>4950</c:v>
                </c:pt>
                <c:pt idx="8">
                  <c:v>3210</c:v>
                </c:pt>
                <c:pt idx="9">
                  <c:v>5220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E1E-41FB-A95B-7837CA0382E2}"/>
            </c:ext>
          </c:extLst>
        </c:ser>
        <c:ser>
          <c:idx val="3"/>
          <c:order val="3"/>
          <c:tx>
            <c:strRef>
              <c:f>'Побудова графіків'!$E$4</c:f>
              <c:strCache>
                <c:ptCount val="1"/>
                <c:pt idx="0">
                  <c:v>Week 4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'Побудова графіків'!$A$5:$A$14</c:f>
              <c:strCache>
                <c:ptCount val="10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  <c:pt idx="5">
                  <c:v>M. Johnson</c:v>
                </c:pt>
                <c:pt idx="6">
                  <c:v>P. Taylor</c:v>
                </c:pt>
                <c:pt idx="7">
                  <c:v>D. Evans</c:v>
                </c:pt>
                <c:pt idx="8">
                  <c:v>C. Lopez</c:v>
                </c:pt>
                <c:pt idx="9">
                  <c:v>T. Carter</c:v>
                </c:pt>
              </c:strCache>
            </c:strRef>
          </c:cat>
          <c:val>
            <c:numRef>
              <c:f>'Побудова графіків'!$E$5:$E$14</c:f>
              <c:numCache>
                <c:formatCode>"$"#\ ##0</c:formatCode>
                <c:ptCount val="10"/>
                <c:pt idx="0">
                  <c:v>2750</c:v>
                </c:pt>
                <c:pt idx="1">
                  <c:v>5400</c:v>
                </c:pt>
                <c:pt idx="2">
                  <c:v>2320</c:v>
                </c:pt>
                <c:pt idx="3">
                  <c:v>4500</c:v>
                </c:pt>
                <c:pt idx="4">
                  <c:v>4510</c:v>
                </c:pt>
                <c:pt idx="5">
                  <c:v>3450</c:v>
                </c:pt>
                <c:pt idx="6">
                  <c:v>4620</c:v>
                </c:pt>
                <c:pt idx="7">
                  <c:v>5200</c:v>
                </c:pt>
                <c:pt idx="8">
                  <c:v>3620</c:v>
                </c:pt>
                <c:pt idx="9">
                  <c:v>4310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E1E-41FB-A95B-7837CA038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9429951"/>
        <c:axId val="1644790501"/>
      </c:barChart>
      <c:catAx>
        <c:axId val="1659429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Salesperson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uk-UA"/>
          </a:p>
        </c:txPr>
        <c:crossAx val="1644790501"/>
        <c:crosses val="autoZero"/>
        <c:auto val="1"/>
        <c:lblAlgn val="ctr"/>
        <c:lblOffset val="100"/>
        <c:noMultiLvlLbl val="1"/>
      </c:catAx>
      <c:valAx>
        <c:axId val="1644790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\ 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uk-UA"/>
          </a:p>
        </c:txPr>
        <c:crossAx val="16594299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uk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</xdr:colOff>
      <xdr:row>0</xdr:row>
      <xdr:rowOff>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18</xdr:row>
      <xdr:rowOff>142875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9525</xdr:colOff>
      <xdr:row>39</xdr:row>
      <xdr:rowOff>152400</xdr:rowOff>
    </xdr:from>
    <xdr:ext cx="5715000" cy="3533775"/>
    <xdr:pic>
      <xdr:nvPicPr>
        <xdr:cNvPr id="1596034014" name="Chart3" title="Chart">
          <a:extLst>
            <a:ext uri="{FF2B5EF4-FFF2-40B4-BE49-F238E27FC236}">
              <a16:creationId xmlns:a16="http://schemas.microsoft.com/office/drawing/2014/main" id="{00000000-0008-0000-0800-0000DE8B215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514350</xdr:colOff>
      <xdr:row>1</xdr:row>
      <xdr:rowOff>142875</xdr:rowOff>
    </xdr:from>
    <xdr:ext cx="6848475" cy="2867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19</xdr:row>
      <xdr:rowOff>0</xdr:rowOff>
    </xdr:from>
    <xdr:ext cx="2667000" cy="5810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5057775" cy="118110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</xdr:row>
      <xdr:rowOff>0</xdr:rowOff>
    </xdr:from>
    <xdr:ext cx="6000750" cy="1162050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6000750" cy="1133475"/>
    <xdr:pic>
      <xdr:nvPicPr>
        <xdr:cNvPr id="5" name="image4.png" title="Image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Олена Бабко" refreshedDate="45979.456591203707" refreshedVersion="8" recordCount="48" xr:uid="{00000000-000A-0000-FFFF-FFFF01000000}">
  <cacheSource type="worksheet">
    <worksheetSource ref="A3:D51" sheet="ДЗ"/>
  </cacheSource>
  <cacheFields count="4">
    <cacheField name="Store Name" numFmtId="0">
      <sharedItems count="4">
        <s v="Fair Grocer"/>
        <s v="Gourmet Grocer"/>
        <s v="Kosher Grocer"/>
        <s v="Rite Grocer"/>
      </sharedItems>
    </cacheField>
    <cacheField name="Region" numFmtId="0">
      <sharedItems count="4">
        <s v="Suburb"/>
        <s v="Downtown"/>
        <s v="Midtown"/>
        <s v="Uptown"/>
      </sharedItems>
    </cacheField>
    <cacheField name="Report_Date" numFmtId="164">
      <sharedItems containsSemiMixedTypes="0" containsNonDate="0" containsDate="1" containsString="0" minDate="2021-03-31T00:00:00" maxDate="2021-10-01T00:00:00"/>
    </cacheField>
    <cacheField name="Reported_Sales" numFmtId="175">
      <sharedItems containsSemiMixedTypes="0" containsString="0" containsNumber="1" containsInteger="1" minValue="856208" maxValue="14992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Олена Бабко" refreshedDate="45979.456591203707" refreshedVersion="8" recordCount="132" xr:uid="{00000000-000A-0000-FFFF-FFFF00000000}">
  <cacheSource type="worksheet">
    <worksheetSource ref="A1:I133" sheet="Houses"/>
  </cacheSource>
  <cacheFields count="9">
    <cacheField name="House" numFmtId="0">
      <sharedItems/>
    </cacheField>
    <cacheField name="Listing Price" numFmtId="167">
      <sharedItems containsSemiMixedTypes="0" containsString="0" containsNumber="1" containsInteger="1" minValue="79000" maxValue="158250"/>
    </cacheField>
    <cacheField name="Town" numFmtId="0">
      <sharedItems count="6">
        <s v="Camillus"/>
        <s v="Dewitt"/>
        <s v="Manlius"/>
        <s v="Jamesville"/>
        <s v="Cicero"/>
        <s v="Fayetteville"/>
      </sharedItems>
    </cacheField>
    <cacheField name="Square Feet" numFmtId="166">
      <sharedItems containsSemiMixedTypes="0" containsString="0" containsNumber="1" containsInteger="1" minValue="1580" maxValue="3165"/>
    </cacheField>
    <cacheField name="square m" numFmtId="1">
      <sharedItems containsSemiMixedTypes="0" containsString="0" containsNumber="1" minValue="146.94" maxValue="294.34499999999997"/>
    </cacheField>
    <cacheField name="Bedrooms" numFmtId="0">
      <sharedItems containsSemiMixedTypes="0" containsString="0" containsNumber="1" containsInteger="1" minValue="2" maxValue="4" count="3">
        <n v="4"/>
        <n v="3"/>
        <n v="2"/>
      </sharedItems>
    </cacheField>
    <cacheField name="Bathrooms" numFmtId="0">
      <sharedItems containsSemiMixedTypes="0" containsString="0" containsNumber="1" containsInteger="1" minValue="1" maxValue="4"/>
    </cacheField>
    <cacheField name="average room size m^2" numFmtId="1">
      <sharedItems containsSemiMixedTypes="0" containsString="0" containsNumber="1" minValue="36.734999999999999" maxValue="142.98750000000001"/>
    </cacheField>
    <cacheField name="price per m^2" numFmtId="167">
      <sharedItems containsSemiMixedTypes="0" containsString="0" containsNumber="1" minValue="289.62611901000531" maxValue="1025.92895059207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d v="2021-03-31T00:00:00"/>
    <n v="856208"/>
  </r>
  <r>
    <x v="0"/>
    <x v="1"/>
    <d v="2021-06-30T00:00:00"/>
    <n v="903006"/>
  </r>
  <r>
    <x v="0"/>
    <x v="2"/>
    <d v="2021-06-30T00:00:00"/>
    <n v="955424"/>
  </r>
  <r>
    <x v="0"/>
    <x v="2"/>
    <d v="2021-03-31T00:00:00"/>
    <n v="970517"/>
  </r>
  <r>
    <x v="0"/>
    <x v="2"/>
    <d v="2021-09-30T00:00:00"/>
    <n v="1013266"/>
  </r>
  <r>
    <x v="0"/>
    <x v="3"/>
    <d v="2021-06-30T00:00:00"/>
    <n v="1064145"/>
  </r>
  <r>
    <x v="0"/>
    <x v="1"/>
    <d v="2021-03-31T00:00:00"/>
    <n v="1141777"/>
  </r>
  <r>
    <x v="0"/>
    <x v="0"/>
    <d v="2021-09-30T00:00:00"/>
    <n v="1261584"/>
  </r>
  <r>
    <x v="0"/>
    <x v="3"/>
    <d v="2021-09-30T00:00:00"/>
    <n v="1267870"/>
  </r>
  <r>
    <x v="0"/>
    <x v="1"/>
    <d v="2021-09-30T00:00:00"/>
    <n v="1416121"/>
  </r>
  <r>
    <x v="0"/>
    <x v="0"/>
    <d v="2021-06-30T00:00:00"/>
    <n v="1420494"/>
  </r>
  <r>
    <x v="0"/>
    <x v="3"/>
    <d v="2021-03-31T00:00:00"/>
    <n v="1499269"/>
  </r>
  <r>
    <x v="1"/>
    <x v="0"/>
    <d v="2021-06-30T00:00:00"/>
    <n v="894539"/>
  </r>
  <r>
    <x v="1"/>
    <x v="1"/>
    <d v="2021-03-31T00:00:00"/>
    <n v="898949"/>
  </r>
  <r>
    <x v="1"/>
    <x v="1"/>
    <d v="2021-06-30T00:00:00"/>
    <n v="906880"/>
  </r>
  <r>
    <x v="1"/>
    <x v="3"/>
    <d v="2021-09-30T00:00:00"/>
    <n v="913945"/>
  </r>
  <r>
    <x v="1"/>
    <x v="0"/>
    <d v="2021-09-30T00:00:00"/>
    <n v="1023357"/>
  </r>
  <r>
    <x v="1"/>
    <x v="3"/>
    <d v="2021-03-31T00:00:00"/>
    <n v="1068137"/>
  </r>
  <r>
    <x v="1"/>
    <x v="2"/>
    <d v="2021-06-30T00:00:00"/>
    <n v="1163870"/>
  </r>
  <r>
    <x v="1"/>
    <x v="3"/>
    <d v="2021-06-30T00:00:00"/>
    <n v="1164510"/>
  </r>
  <r>
    <x v="1"/>
    <x v="0"/>
    <d v="2021-03-31T00:00:00"/>
    <n v="1213455"/>
  </r>
  <r>
    <x v="1"/>
    <x v="2"/>
    <d v="2021-03-31T00:00:00"/>
    <n v="1250695"/>
  </r>
  <r>
    <x v="1"/>
    <x v="1"/>
    <d v="2021-09-30T00:00:00"/>
    <n v="1280710"/>
  </r>
  <r>
    <x v="1"/>
    <x v="2"/>
    <d v="2021-09-30T00:00:00"/>
    <n v="1440870"/>
  </r>
  <r>
    <x v="2"/>
    <x v="3"/>
    <d v="2021-06-30T00:00:00"/>
    <n v="856808"/>
  </r>
  <r>
    <x v="2"/>
    <x v="1"/>
    <d v="2021-06-30T00:00:00"/>
    <n v="906792"/>
  </r>
  <r>
    <x v="2"/>
    <x v="2"/>
    <d v="2021-03-31T00:00:00"/>
    <n v="921439"/>
  </r>
  <r>
    <x v="2"/>
    <x v="0"/>
    <d v="2021-06-30T00:00:00"/>
    <n v="945886"/>
  </r>
  <r>
    <x v="2"/>
    <x v="0"/>
    <d v="2021-03-31T00:00:00"/>
    <n v="1104078"/>
  </r>
  <r>
    <x v="2"/>
    <x v="2"/>
    <d v="2021-09-30T00:00:00"/>
    <n v="1216894"/>
  </r>
  <r>
    <x v="2"/>
    <x v="3"/>
    <d v="2021-03-31T00:00:00"/>
    <n v="1242677"/>
  </r>
  <r>
    <x v="2"/>
    <x v="3"/>
    <d v="2021-09-30T00:00:00"/>
    <n v="1309137"/>
  </r>
  <r>
    <x v="2"/>
    <x v="1"/>
    <d v="2021-09-30T00:00:00"/>
    <n v="1331072"/>
  </r>
  <r>
    <x v="2"/>
    <x v="1"/>
    <d v="2021-03-31T00:00:00"/>
    <n v="1349854"/>
  </r>
  <r>
    <x v="2"/>
    <x v="0"/>
    <d v="2021-09-30T00:00:00"/>
    <n v="1431195"/>
  </r>
  <r>
    <x v="2"/>
    <x v="2"/>
    <d v="2021-06-30T00:00:00"/>
    <n v="1449931"/>
  </r>
  <r>
    <x v="3"/>
    <x v="1"/>
    <d v="2021-06-30T00:00:00"/>
    <n v="894997"/>
  </r>
  <r>
    <x v="3"/>
    <x v="0"/>
    <d v="2021-06-30T00:00:00"/>
    <n v="904338"/>
  </r>
  <r>
    <x v="3"/>
    <x v="3"/>
    <d v="2021-03-31T00:00:00"/>
    <n v="907526"/>
  </r>
  <r>
    <x v="3"/>
    <x v="2"/>
    <d v="2021-09-30T00:00:00"/>
    <n v="953786"/>
  </r>
  <r>
    <x v="3"/>
    <x v="3"/>
    <d v="2021-09-30T00:00:00"/>
    <n v="962731"/>
  </r>
  <r>
    <x v="3"/>
    <x v="2"/>
    <d v="2021-06-30T00:00:00"/>
    <n v="994590"/>
  </r>
  <r>
    <x v="3"/>
    <x v="2"/>
    <d v="2021-03-31T00:00:00"/>
    <n v="1191364"/>
  </r>
  <r>
    <x v="3"/>
    <x v="1"/>
    <d v="2021-03-31T00:00:00"/>
    <n v="1227391"/>
  </r>
  <r>
    <x v="3"/>
    <x v="3"/>
    <d v="2021-06-30T00:00:00"/>
    <n v="1269010"/>
  </r>
  <r>
    <x v="3"/>
    <x v="0"/>
    <d v="2021-03-31T00:00:00"/>
    <n v="1332342"/>
  </r>
  <r>
    <x v="3"/>
    <x v="1"/>
    <d v="2021-09-30T00:00:00"/>
    <n v="1419314"/>
  </r>
  <r>
    <x v="3"/>
    <x v="0"/>
    <d v="2021-09-30T00:00:00"/>
    <n v="14360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s v="House10"/>
    <n v="150750"/>
    <x v="0"/>
    <n v="1580"/>
    <n v="146.94"/>
    <x v="0"/>
    <n v="3"/>
    <n v="36.734999999999999"/>
    <n v="1025.9289505920783"/>
  </r>
  <r>
    <s v="House37"/>
    <n v="84250"/>
    <x v="1"/>
    <n v="1610"/>
    <n v="149.72999999999999"/>
    <x v="0"/>
    <n v="2"/>
    <n v="37.432499999999997"/>
    <n v="562.67948974821354"/>
  </r>
  <r>
    <s v="House91"/>
    <n v="123750"/>
    <x v="2"/>
    <n v="1625"/>
    <n v="151.125"/>
    <x v="0"/>
    <n v="4"/>
    <n v="37.78125"/>
    <n v="818.85856079404471"/>
  </r>
  <r>
    <s v="House11"/>
    <n v="124250"/>
    <x v="0"/>
    <n v="1660"/>
    <n v="154.38"/>
    <x v="0"/>
    <n v="4"/>
    <n v="38.594999999999999"/>
    <n v="804.83223215442422"/>
  </r>
  <r>
    <s v="House65"/>
    <n v="141000"/>
    <x v="3"/>
    <n v="1675"/>
    <n v="155.77500000000001"/>
    <x v="0"/>
    <n v="2"/>
    <n v="38.943750000000001"/>
    <n v="905.15166104959076"/>
  </r>
  <r>
    <s v="House118"/>
    <n v="84500"/>
    <x v="0"/>
    <n v="1685"/>
    <n v="156.70500000000001"/>
    <x v="0"/>
    <n v="3"/>
    <n v="39.176250000000003"/>
    <n v="539.22976293034674"/>
  </r>
  <r>
    <s v="House38"/>
    <n v="79750"/>
    <x v="1"/>
    <n v="1690"/>
    <n v="157.16999999999999"/>
    <x v="0"/>
    <n v="3"/>
    <n v="39.292499999999997"/>
    <n v="507.4123560475918"/>
  </r>
  <r>
    <s v="House67"/>
    <n v="134250"/>
    <x v="3"/>
    <n v="1835"/>
    <n v="170.655"/>
    <x v="0"/>
    <n v="3"/>
    <n v="42.66375"/>
    <n v="786.67487035246552"/>
  </r>
  <r>
    <s v="House121"/>
    <n v="149250"/>
    <x v="4"/>
    <n v="1925"/>
    <n v="179.02500000000001"/>
    <x v="0"/>
    <n v="2"/>
    <n v="44.756250000000001"/>
    <n v="833.68244658567232"/>
  </r>
  <r>
    <s v="House41"/>
    <n v="147000"/>
    <x v="5"/>
    <n v="1930"/>
    <n v="179.49"/>
    <x v="0"/>
    <n v="2"/>
    <n v="44.872500000000002"/>
    <n v="818.98713020223965"/>
  </r>
  <r>
    <s v="House69"/>
    <n v="131750"/>
    <x v="3"/>
    <n v="1995"/>
    <n v="185.535"/>
    <x v="0"/>
    <n v="2"/>
    <n v="46.383749999999999"/>
    <n v="710.10860484544696"/>
  </r>
  <r>
    <s v="House96"/>
    <n v="99750"/>
    <x v="2"/>
    <n v="2025"/>
    <n v="188.32499999999999"/>
    <x v="0"/>
    <n v="2"/>
    <n v="47.081249999999997"/>
    <n v="529.66945440063728"/>
  </r>
  <r>
    <s v="House16"/>
    <n v="100500"/>
    <x v="4"/>
    <n v="2060"/>
    <n v="191.58"/>
    <x v="0"/>
    <n v="2"/>
    <n v="47.895000000000003"/>
    <n v="524.58502975258375"/>
  </r>
  <r>
    <s v="House70"/>
    <n v="121250"/>
    <x v="3"/>
    <n v="2075"/>
    <n v="192.97499999999999"/>
    <x v="0"/>
    <n v="3"/>
    <n v="48.243749999999999"/>
    <n v="628.31973053504339"/>
  </r>
  <r>
    <s v="House97"/>
    <n v="99000"/>
    <x v="2"/>
    <n v="2105"/>
    <n v="195.76499999999999"/>
    <x v="0"/>
    <n v="2"/>
    <n v="48.941249999999997"/>
    <n v="505.70837483717725"/>
  </r>
  <r>
    <s v="House17"/>
    <n v="92250"/>
    <x v="4"/>
    <n v="2140"/>
    <n v="199.02"/>
    <x v="0"/>
    <n v="2"/>
    <n v="49.755000000000003"/>
    <n v="463.52125414531201"/>
  </r>
  <r>
    <s v="House71"/>
    <n v="120500"/>
    <x v="3"/>
    <n v="2155"/>
    <n v="200.41499999999999"/>
    <x v="0"/>
    <n v="4"/>
    <n v="50.103749999999998"/>
    <n v="601.25240126737026"/>
  </r>
  <r>
    <s v="House98"/>
    <n v="89250"/>
    <x v="2"/>
    <n v="2185"/>
    <n v="203.20500000000001"/>
    <x v="0"/>
    <n v="3"/>
    <n v="50.801250000000003"/>
    <n v="439.21163357200851"/>
  </r>
  <r>
    <s v="House18"/>
    <n v="87750"/>
    <x v="4"/>
    <n v="2220"/>
    <n v="206.46"/>
    <x v="0"/>
    <n v="3"/>
    <n v="51.615000000000002"/>
    <n v="425.02179598953791"/>
  </r>
  <r>
    <s v="House125"/>
    <n v="140250"/>
    <x v="4"/>
    <n v="2245"/>
    <n v="208.785"/>
    <x v="0"/>
    <n v="2"/>
    <n v="52.196249999999999"/>
    <n v="671.74365974567138"/>
  </r>
  <r>
    <s v="House45"/>
    <n v="139000"/>
    <x v="5"/>
    <n v="2250"/>
    <n v="209.25"/>
    <x v="0"/>
    <n v="2"/>
    <n v="52.3125"/>
    <n v="664.27718040621266"/>
  </r>
  <r>
    <s v="House127"/>
    <n v="136500"/>
    <x v="4"/>
    <n v="2405"/>
    <n v="223.66499999999999"/>
    <x v="0"/>
    <n v="3"/>
    <n v="55.916249999999998"/>
    <n v="610.28770706190062"/>
  </r>
  <r>
    <s v="House47"/>
    <n v="129750"/>
    <x v="5"/>
    <n v="2410"/>
    <n v="224.13"/>
    <x v="0"/>
    <n v="3"/>
    <n v="56.032499999999999"/>
    <n v="578.90509971891311"/>
  </r>
  <r>
    <s v="House101"/>
    <n v="143750"/>
    <x v="0"/>
    <n v="2425"/>
    <n v="225.52500000000001"/>
    <x v="0"/>
    <n v="2"/>
    <n v="56.381250000000001"/>
    <n v="637.40161844584861"/>
  </r>
  <r>
    <s v="House21"/>
    <n v="143250"/>
    <x v="1"/>
    <n v="2460"/>
    <n v="228.78"/>
    <x v="0"/>
    <n v="2"/>
    <n v="57.195"/>
    <n v="626.14739050616311"/>
  </r>
  <r>
    <s v="House76"/>
    <n v="96500"/>
    <x v="3"/>
    <n v="2555"/>
    <n v="237.61500000000001"/>
    <x v="0"/>
    <n v="2"/>
    <n v="59.403750000000002"/>
    <n v="406.11914231003931"/>
  </r>
  <r>
    <s v="House129"/>
    <n v="135000"/>
    <x v="4"/>
    <n v="2565"/>
    <n v="238.54499999999999"/>
    <x v="0"/>
    <n v="2"/>
    <n v="59.636249999999997"/>
    <n v="565.93095642331639"/>
  </r>
  <r>
    <s v="House49"/>
    <n v="129000"/>
    <x v="5"/>
    <n v="2570"/>
    <n v="239.01"/>
    <x v="0"/>
    <n v="2"/>
    <n v="59.752499999999998"/>
    <n v="539.72637128153633"/>
  </r>
  <r>
    <s v="House1"/>
    <n v="155250"/>
    <x v="0"/>
    <n v="2580"/>
    <n v="239.94"/>
    <x v="0"/>
    <n v="2"/>
    <n v="59.984999999999999"/>
    <n v="647.03675918979741"/>
  </r>
  <r>
    <s v="House77"/>
    <n v="88250"/>
    <x v="3"/>
    <n v="2635"/>
    <n v="245.05500000000001"/>
    <x v="0"/>
    <n v="2"/>
    <n v="61.263750000000002"/>
    <n v="360.12323764052968"/>
  </r>
  <r>
    <s v="House130"/>
    <n v="124500"/>
    <x v="4"/>
    <n v="2645"/>
    <n v="245.98499999999999"/>
    <x v="0"/>
    <n v="3"/>
    <n v="61.496249999999996"/>
    <n v="506.12842246478448"/>
  </r>
  <r>
    <s v="House50"/>
    <n v="120250"/>
    <x v="5"/>
    <n v="2650"/>
    <n v="246.45"/>
    <x v="0"/>
    <n v="3"/>
    <n v="61.612499999999997"/>
    <n v="487.92858592006496"/>
  </r>
  <r>
    <s v="House56"/>
    <n v="91750"/>
    <x v="5"/>
    <n v="2655"/>
    <n v="246.91499999999999"/>
    <x v="0"/>
    <n v="2"/>
    <n v="61.728749999999998"/>
    <n v="371.58536338416053"/>
  </r>
  <r>
    <s v="House29"/>
    <n v="127750"/>
    <x v="1"/>
    <n v="2670"/>
    <n v="248.31"/>
    <x v="0"/>
    <n v="2"/>
    <n v="62.077500000000001"/>
    <n v="514.47787040393052"/>
  </r>
  <r>
    <s v="House109"/>
    <n v="132000"/>
    <x v="0"/>
    <n v="2685"/>
    <n v="249.70499999999998"/>
    <x v="0"/>
    <n v="2"/>
    <n v="62.426249999999996"/>
    <n v="528.62377605574579"/>
  </r>
  <r>
    <s v="House78"/>
    <n v="83750"/>
    <x v="3"/>
    <n v="2715"/>
    <n v="252.495"/>
    <x v="0"/>
    <n v="3"/>
    <n v="63.123750000000001"/>
    <n v="331.68973643042438"/>
  </r>
  <r>
    <s v="House57"/>
    <n v="91000"/>
    <x v="5"/>
    <n v="2715"/>
    <n v="252.495"/>
    <x v="0"/>
    <n v="2"/>
    <n v="63.123750000000001"/>
    <n v="360.40317630052078"/>
  </r>
  <r>
    <s v="House131"/>
    <n v="116250"/>
    <x v="4"/>
    <n v="2725"/>
    <n v="253.42500000000001"/>
    <x v="0"/>
    <n v="4"/>
    <n v="63.356250000000003"/>
    <n v="458.71559633027522"/>
  </r>
  <r>
    <s v="House51"/>
    <n v="115750"/>
    <x v="5"/>
    <n v="2730"/>
    <n v="253.89"/>
    <x v="0"/>
    <n v="4"/>
    <n v="63.472499999999997"/>
    <n v="455.90610106739143"/>
  </r>
  <r>
    <s v="House30"/>
    <n v="117250"/>
    <x v="1"/>
    <n v="2730"/>
    <n v="253.89"/>
    <x v="0"/>
    <n v="3"/>
    <n v="63.472499999999997"/>
    <n v="461.81417149159086"/>
  </r>
  <r>
    <s v="House110"/>
    <n v="119750"/>
    <x v="0"/>
    <n v="2745"/>
    <n v="255.285"/>
    <x v="0"/>
    <n v="3"/>
    <n v="63.821249999999999"/>
    <n v="469.08357326125702"/>
  </r>
  <r>
    <s v="House105"/>
    <n v="137250"/>
    <x v="0"/>
    <n v="2745"/>
    <n v="255.285"/>
    <x v="0"/>
    <n v="2"/>
    <n v="63.821249999999999"/>
    <n v="537.63440860215053"/>
  </r>
  <r>
    <s v="House58"/>
    <n v="81250"/>
    <x v="5"/>
    <n v="2775"/>
    <n v="258.07499999999999"/>
    <x v="0"/>
    <n v="3"/>
    <n v="64.518749999999997"/>
    <n v="314.83095999225031"/>
  </r>
  <r>
    <s v="House25"/>
    <n v="138000"/>
    <x v="1"/>
    <n v="2780"/>
    <n v="258.54000000000002"/>
    <x v="0"/>
    <n v="2"/>
    <n v="64.635000000000005"/>
    <n v="533.76653515896953"/>
  </r>
  <r>
    <s v="House31"/>
    <n v="116500"/>
    <x v="1"/>
    <n v="2790"/>
    <n v="259.46999999999997"/>
    <x v="0"/>
    <n v="4"/>
    <n v="64.867499999999993"/>
    <n v="448.99217635950214"/>
  </r>
  <r>
    <s v="House111"/>
    <n v="119000"/>
    <x v="0"/>
    <n v="2805"/>
    <n v="260.86500000000001"/>
    <x v="0"/>
    <n v="4"/>
    <n v="65.216250000000002"/>
    <n v="456.17464972303679"/>
  </r>
  <r>
    <s v="House85"/>
    <n v="145500"/>
    <x v="2"/>
    <n v="2805"/>
    <n v="260.86500000000001"/>
    <x v="0"/>
    <n v="2"/>
    <n v="65.216250000000002"/>
    <n v="557.75976079581392"/>
  </r>
  <r>
    <s v="House5"/>
    <n v="128500"/>
    <x v="5"/>
    <n v="2820"/>
    <n v="262.26"/>
    <x v="0"/>
    <n v="2"/>
    <n v="65.564999999999998"/>
    <n v="489.9717837260734"/>
  </r>
  <r>
    <s v="House107"/>
    <n v="132750"/>
    <x v="0"/>
    <n v="2905"/>
    <n v="270.16500000000002"/>
    <x v="0"/>
    <n v="3"/>
    <n v="67.541250000000005"/>
    <n v="491.36638720781741"/>
  </r>
  <r>
    <s v="House87"/>
    <n v="137250"/>
    <x v="2"/>
    <n v="2925"/>
    <n v="272.02499999999998"/>
    <x v="0"/>
    <n v="3"/>
    <n v="68.006249999999994"/>
    <n v="504.54921422663364"/>
  </r>
  <r>
    <s v="House7"/>
    <n v="131000"/>
    <x v="3"/>
    <n v="2940"/>
    <n v="273.42"/>
    <x v="0"/>
    <n v="3"/>
    <n v="68.355000000000004"/>
    <n v="479.11637773388924"/>
  </r>
  <r>
    <s v="House27"/>
    <n v="131250"/>
    <x v="1"/>
    <n v="2940"/>
    <n v="273.42"/>
    <x v="0"/>
    <n v="3"/>
    <n v="68.355000000000004"/>
    <n v="480.03072196620582"/>
  </r>
  <r>
    <s v="House61"/>
    <n v="146250"/>
    <x v="3"/>
    <n v="2955"/>
    <n v="274.815"/>
    <x v="0"/>
    <n v="2"/>
    <n v="68.703749999999999"/>
    <n v="532.17619125593581"/>
  </r>
  <r>
    <s v="House81"/>
    <n v="153000"/>
    <x v="2"/>
    <n v="2955"/>
    <n v="274.815"/>
    <x v="0"/>
    <n v="2"/>
    <n v="68.703749999999999"/>
    <n v="556.73816931390206"/>
  </r>
  <r>
    <s v="House89"/>
    <n v="135750"/>
    <x v="2"/>
    <n v="3045"/>
    <n v="283.185"/>
    <x v="0"/>
    <n v="2"/>
    <n v="70.796250000000001"/>
    <n v="479.36861062556278"/>
  </r>
  <r>
    <s v="House9"/>
    <n v="135000"/>
    <x v="2"/>
    <n v="3060"/>
    <n v="284.58"/>
    <x v="0"/>
    <n v="2"/>
    <n v="71.144999999999996"/>
    <n v="474.38330170777994"/>
  </r>
  <r>
    <s v="House36"/>
    <n v="92500"/>
    <x v="1"/>
    <n v="3090"/>
    <n v="287.37"/>
    <x v="0"/>
    <n v="2"/>
    <n v="71.842500000000001"/>
    <n v="321.8846782893134"/>
  </r>
  <r>
    <s v="House116"/>
    <n v="95000"/>
    <x v="0"/>
    <n v="3105"/>
    <n v="288.76499999999999"/>
    <x v="0"/>
    <n v="2"/>
    <n v="72.191249999999997"/>
    <n v="328.98723875815978"/>
  </r>
  <r>
    <s v="House90"/>
    <n v="128250"/>
    <x v="2"/>
    <n v="3105"/>
    <n v="288.76499999999999"/>
    <x v="0"/>
    <n v="3"/>
    <n v="72.191249999999997"/>
    <n v="444.13277232351567"/>
  </r>
  <r>
    <s v="House117"/>
    <n v="85250"/>
    <x v="0"/>
    <n v="3165"/>
    <n v="294.34499999999997"/>
    <x v="0"/>
    <n v="2"/>
    <n v="73.586249999999993"/>
    <n v="289.62611901000531"/>
  </r>
  <r>
    <s v="House64"/>
    <n v="141750"/>
    <x v="3"/>
    <n v="1595"/>
    <n v="148.33500000000001"/>
    <x v="1"/>
    <n v="2"/>
    <n v="49.445"/>
    <n v="955.60724036808574"/>
  </r>
  <r>
    <s v="House92"/>
    <n v="123000"/>
    <x v="2"/>
    <n v="1705"/>
    <n v="158.565"/>
    <x v="1"/>
    <n v="2"/>
    <n v="52.854999999999997"/>
    <n v="775.70712326175385"/>
  </r>
  <r>
    <s v="House12"/>
    <n v="154500"/>
    <x v="4"/>
    <n v="1740"/>
    <n v="161.82"/>
    <x v="1"/>
    <n v="2"/>
    <n v="53.94"/>
    <n v="954.76455320726734"/>
  </r>
  <r>
    <s v="House66"/>
    <n v="136250"/>
    <x v="3"/>
    <n v="1755"/>
    <n v="163.215"/>
    <x v="1"/>
    <n v="2"/>
    <n v="54.405000000000001"/>
    <n v="834.78846919707132"/>
  </r>
  <r>
    <s v="House119"/>
    <n v="155250"/>
    <x v="4"/>
    <n v="1765"/>
    <n v="164.14500000000001"/>
    <x v="1"/>
    <n v="2"/>
    <n v="54.715000000000003"/>
    <n v="945.81010691766426"/>
  </r>
  <r>
    <s v="House39"/>
    <n v="79000"/>
    <x v="1"/>
    <n v="1770"/>
    <n v="164.60999999999999"/>
    <x v="1"/>
    <n v="2"/>
    <n v="54.87"/>
    <n v="479.92224044711747"/>
  </r>
  <r>
    <s v="House93"/>
    <n v="113250"/>
    <x v="2"/>
    <n v="1785"/>
    <n v="166.005"/>
    <x v="1"/>
    <n v="2"/>
    <n v="55.335000000000001"/>
    <n v="682.20836721785486"/>
  </r>
  <r>
    <s v="House13"/>
    <n v="125250"/>
    <x v="4"/>
    <n v="1820"/>
    <n v="169.26"/>
    <x v="1"/>
    <n v="2"/>
    <n v="56.419999999999995"/>
    <n v="739.98582063098195"/>
  </r>
  <r>
    <s v="House120"/>
    <n v="149250"/>
    <x v="4"/>
    <n v="1845"/>
    <n v="171.58500000000001"/>
    <x v="1"/>
    <n v="3"/>
    <n v="57.195"/>
    <n v="869.83127895795087"/>
  </r>
  <r>
    <s v="House40"/>
    <n v="147750"/>
    <x v="5"/>
    <n v="1850"/>
    <n v="172.05"/>
    <x v="1"/>
    <n v="3"/>
    <n v="57.35"/>
    <n v="858.76198779424578"/>
  </r>
  <r>
    <s v="House68"/>
    <n v="133500"/>
    <x v="3"/>
    <n v="1915"/>
    <n v="178.095"/>
    <x v="1"/>
    <n v="3"/>
    <n v="59.365000000000002"/>
    <n v="749.59993262023079"/>
  </r>
  <r>
    <s v="House95"/>
    <n v="104250"/>
    <x v="2"/>
    <n v="1945"/>
    <n v="180.88499999999999"/>
    <x v="1"/>
    <n v="1"/>
    <n v="60.294999999999995"/>
    <n v="576.33302927274235"/>
  </r>
  <r>
    <s v="House15"/>
    <n v="101250"/>
    <x v="4"/>
    <n v="1980"/>
    <n v="184.14"/>
    <x v="1"/>
    <n v="1"/>
    <n v="61.379999999999995"/>
    <n v="549.85337243401761"/>
  </r>
  <r>
    <s v="House122"/>
    <n v="148500"/>
    <x v="4"/>
    <n v="2005"/>
    <n v="186.465"/>
    <x v="1"/>
    <n v="1"/>
    <n v="62.155000000000001"/>
    <n v="796.39610650792372"/>
  </r>
  <r>
    <s v="House42"/>
    <n v="140250"/>
    <x v="5"/>
    <n v="2010"/>
    <n v="186.93"/>
    <x v="1"/>
    <n v="1"/>
    <n v="62.31"/>
    <n v="750.28085379553841"/>
  </r>
  <r>
    <s v="House124"/>
    <n v="144000"/>
    <x v="4"/>
    <n v="2165"/>
    <n v="201.345"/>
    <x v="1"/>
    <n v="2"/>
    <n v="67.114999999999995"/>
    <n v="715.19034493034349"/>
  </r>
  <r>
    <s v="House44"/>
    <n v="139500"/>
    <x v="5"/>
    <n v="2170"/>
    <n v="201.81"/>
    <x v="1"/>
    <n v="2"/>
    <n v="67.27"/>
    <n v="691.24423963133643"/>
  </r>
  <r>
    <s v="House72"/>
    <n v="112250"/>
    <x v="3"/>
    <n v="2235"/>
    <n v="207.85499999999999"/>
    <x v="1"/>
    <n v="2"/>
    <n v="69.284999999999997"/>
    <n v="540.03993168314457"/>
  </r>
  <r>
    <s v="House99"/>
    <n v="88500"/>
    <x v="2"/>
    <n v="2265"/>
    <n v="210.64500000000001"/>
    <x v="1"/>
    <n v="3"/>
    <n v="70.215000000000003"/>
    <n v="420.13814711956132"/>
  </r>
  <r>
    <s v="House19"/>
    <n v="87000"/>
    <x v="4"/>
    <n v="2300"/>
    <n v="213.9"/>
    <x v="1"/>
    <n v="3"/>
    <n v="71.3"/>
    <n v="406.73211781206169"/>
  </r>
  <r>
    <s v="House73"/>
    <n v="107750"/>
    <x v="3"/>
    <n v="2315"/>
    <n v="215.29499999999999"/>
    <x v="1"/>
    <n v="2"/>
    <n v="71.765000000000001"/>
    <n v="500.4760909449825"/>
  </r>
  <r>
    <s v="House126"/>
    <n v="137250"/>
    <x v="4"/>
    <n v="2325"/>
    <n v="216.22499999999999"/>
    <x v="1"/>
    <n v="2"/>
    <n v="72.075000000000003"/>
    <n v="634.75546305931323"/>
  </r>
  <r>
    <s v="House46"/>
    <n v="134250"/>
    <x v="5"/>
    <n v="2330"/>
    <n v="216.69"/>
    <x v="1"/>
    <n v="2"/>
    <n v="72.23"/>
    <n v="619.54866399003186"/>
  </r>
  <r>
    <s v="House100"/>
    <n v="150000"/>
    <x v="0"/>
    <n v="2345"/>
    <n v="218.08500000000001"/>
    <x v="1"/>
    <n v="2"/>
    <n v="72.695000000000007"/>
    <n v="687.80521356351881"/>
  </r>
  <r>
    <s v="House20"/>
    <n v="148500"/>
    <x v="1"/>
    <n v="2380"/>
    <n v="221.34"/>
    <x v="1"/>
    <n v="2"/>
    <n v="73.78"/>
    <n v="670.91352670100298"/>
  </r>
  <r>
    <s v="House75"/>
    <n v="97250"/>
    <x v="3"/>
    <n v="2475"/>
    <n v="230.17500000000001"/>
    <x v="1"/>
    <n v="1"/>
    <n v="76.725000000000009"/>
    <n v="422.50461605300313"/>
  </r>
  <r>
    <s v="House128"/>
    <n v="135750"/>
    <x v="4"/>
    <n v="2485"/>
    <n v="231.10499999999999"/>
    <x v="1"/>
    <n v="3"/>
    <n v="77.034999999999997"/>
    <n v="587.39533978061922"/>
  </r>
  <r>
    <s v="House48"/>
    <n v="129250"/>
    <x v="5"/>
    <n v="2490"/>
    <n v="231.57"/>
    <x v="1"/>
    <n v="3"/>
    <n v="77.19"/>
    <n v="558.14656475363824"/>
  </r>
  <r>
    <s v="House102"/>
    <n v="143250"/>
    <x v="0"/>
    <n v="2505"/>
    <n v="232.965"/>
    <x v="1"/>
    <n v="1"/>
    <n v="77.655000000000001"/>
    <n v="614.89923379048355"/>
  </r>
  <r>
    <s v="House22"/>
    <n v="141250"/>
    <x v="1"/>
    <n v="2540"/>
    <n v="236.22"/>
    <x v="1"/>
    <n v="1"/>
    <n v="78.739999999999995"/>
    <n v="597.9595292523918"/>
  </r>
  <r>
    <s v="House55"/>
    <n v="96250"/>
    <x v="5"/>
    <n v="2595"/>
    <n v="241.33500000000001"/>
    <x v="1"/>
    <n v="1"/>
    <n v="80.445000000000007"/>
    <n v="398.82321254687469"/>
  </r>
  <r>
    <s v="House28"/>
    <n v="130500"/>
    <x v="1"/>
    <n v="2610"/>
    <n v="242.73"/>
    <x v="1"/>
    <n v="3"/>
    <n v="80.91"/>
    <n v="537.63440860215053"/>
  </r>
  <r>
    <s v="House82"/>
    <n v="147750"/>
    <x v="2"/>
    <n v="2625"/>
    <n v="244.125"/>
    <x v="1"/>
    <n v="1"/>
    <n v="81.375"/>
    <n v="605.22273425499236"/>
  </r>
  <r>
    <s v="House2"/>
    <n v="149250"/>
    <x v="1"/>
    <n v="2640"/>
    <n v="245.52"/>
    <x v="1"/>
    <n v="1"/>
    <n v="81.84"/>
    <n v="607.8934506353861"/>
  </r>
  <r>
    <s v="House104"/>
    <n v="142500"/>
    <x v="0"/>
    <n v="2665"/>
    <n v="247.845"/>
    <x v="1"/>
    <n v="2"/>
    <n v="82.614999999999995"/>
    <n v="574.95612176965437"/>
  </r>
  <r>
    <s v="House24"/>
    <n v="138750"/>
    <x v="1"/>
    <n v="2700"/>
    <n v="251.1"/>
    <x v="1"/>
    <n v="2"/>
    <n v="83.7"/>
    <n v="552.56869772998812"/>
  </r>
  <r>
    <s v="House84"/>
    <n v="146250"/>
    <x v="2"/>
    <n v="2745"/>
    <n v="255.285"/>
    <x v="1"/>
    <n v="2"/>
    <n v="85.094999999999999"/>
    <n v="572.88912392032432"/>
  </r>
  <r>
    <s v="House4"/>
    <n v="152250"/>
    <x v="5"/>
    <n v="2760"/>
    <n v="256.68"/>
    <x v="1"/>
    <n v="2"/>
    <n v="85.56"/>
    <n v="593.15100514258995"/>
  </r>
  <r>
    <s v="House79"/>
    <n v="83000"/>
    <x v="3"/>
    <n v="2795"/>
    <n v="259.935"/>
    <x v="1"/>
    <n v="2"/>
    <n v="86.644999999999996"/>
    <n v="319.31059687998925"/>
  </r>
  <r>
    <s v="House132"/>
    <n v="111750"/>
    <x v="4"/>
    <n v="2805"/>
    <n v="260.86500000000001"/>
    <x v="1"/>
    <n v="2"/>
    <n v="86.954999999999998"/>
    <n v="428.38249669369213"/>
  </r>
  <r>
    <s v="House52"/>
    <n v="115000"/>
    <x v="5"/>
    <n v="2810"/>
    <n v="261.33"/>
    <x v="1"/>
    <n v="2"/>
    <n v="87.11"/>
    <n v="440.05663337542575"/>
  </r>
  <r>
    <s v="House106"/>
    <n v="133250"/>
    <x v="0"/>
    <n v="2825"/>
    <n v="262.72500000000002"/>
    <x v="1"/>
    <n v="2"/>
    <n v="87.575000000000003"/>
    <n v="507.1843182034446"/>
  </r>
  <r>
    <s v="House59"/>
    <n v="80500"/>
    <x v="5"/>
    <n v="2835"/>
    <n v="263.65499999999997"/>
    <x v="1"/>
    <n v="3"/>
    <n v="87.884999999999991"/>
    <n v="305.32324439134476"/>
  </r>
  <r>
    <s v="House32"/>
    <n v="108250"/>
    <x v="1"/>
    <n v="2850"/>
    <n v="265.05"/>
    <x v="1"/>
    <n v="2"/>
    <n v="88.350000000000009"/>
    <n v="408.41350688549329"/>
  </r>
  <r>
    <s v="House26"/>
    <n v="132250"/>
    <x v="1"/>
    <n v="2860"/>
    <n v="265.98"/>
    <x v="1"/>
    <n v="2"/>
    <n v="88.660000000000011"/>
    <n v="497.21783592751331"/>
  </r>
  <r>
    <s v="House112"/>
    <n v="109250"/>
    <x v="0"/>
    <n v="2865"/>
    <n v="266.44499999999999"/>
    <x v="1"/>
    <n v="2"/>
    <n v="88.814999999999998"/>
    <n v="410.02833605434517"/>
  </r>
  <r>
    <s v="House86"/>
    <n v="140250"/>
    <x v="2"/>
    <n v="2865"/>
    <n v="266.44499999999999"/>
    <x v="1"/>
    <n v="2"/>
    <n v="88.814999999999998"/>
    <n v="526.37504925969711"/>
  </r>
  <r>
    <s v="House80"/>
    <n v="153750"/>
    <x v="2"/>
    <n v="2875"/>
    <n v="267.375"/>
    <x v="1"/>
    <n v="3"/>
    <n v="89.125"/>
    <n v="575.03506311360445"/>
  </r>
  <r>
    <s v="House6"/>
    <n v="152250"/>
    <x v="3"/>
    <n v="2880"/>
    <n v="267.83999999999997"/>
    <x v="1"/>
    <n v="2"/>
    <n v="89.279999999999987"/>
    <n v="568.43637992831543"/>
  </r>
  <r>
    <s v="House53"/>
    <n v="105250"/>
    <x v="5"/>
    <n v="2890"/>
    <n v="268.77"/>
    <x v="1"/>
    <n v="2"/>
    <n v="89.589999999999989"/>
    <n v="391.59876474308891"/>
  </r>
  <r>
    <s v="House60"/>
    <n v="151500"/>
    <x v="3"/>
    <n v="2895"/>
    <n v="269.23500000000001"/>
    <x v="1"/>
    <n v="2"/>
    <n v="89.745000000000005"/>
    <n v="562.70544320017825"/>
  </r>
  <r>
    <s v="House33"/>
    <n v="103750"/>
    <x v="1"/>
    <n v="2910"/>
    <n v="270.63"/>
    <x v="1"/>
    <n v="2"/>
    <n v="90.21"/>
    <n v="383.36474152902485"/>
  </r>
  <r>
    <s v="House113"/>
    <n v="108500"/>
    <x v="0"/>
    <n v="2925"/>
    <n v="272.02499999999998"/>
    <x v="1"/>
    <n v="2"/>
    <n v="90.674999999999997"/>
    <n v="398.8603988603989"/>
  </r>
  <r>
    <s v="House108"/>
    <n v="132500"/>
    <x v="0"/>
    <n v="2985"/>
    <n v="277.60500000000002"/>
    <x v="1"/>
    <n v="3"/>
    <n v="92.535000000000011"/>
    <n v="477.2968786585256"/>
  </r>
  <r>
    <s v="House88"/>
    <n v="136500"/>
    <x v="2"/>
    <n v="2985"/>
    <n v="277.60500000000002"/>
    <x v="1"/>
    <n v="3"/>
    <n v="92.535000000000011"/>
    <n v="491.70584103312257"/>
  </r>
  <r>
    <s v="House8"/>
    <n v="158250"/>
    <x v="2"/>
    <n v="3000"/>
    <n v="279"/>
    <x v="1"/>
    <n v="3"/>
    <n v="93"/>
    <n v="567.20430107526886"/>
  </r>
  <r>
    <s v="House62"/>
    <n v="145250"/>
    <x v="3"/>
    <n v="3015"/>
    <n v="280.39499999999998"/>
    <x v="1"/>
    <n v="1"/>
    <n v="93.464999999999989"/>
    <n v="518.01922288200581"/>
  </r>
  <r>
    <s v="House35"/>
    <n v="93250"/>
    <x v="1"/>
    <n v="3030"/>
    <n v="281.79000000000002"/>
    <x v="1"/>
    <n v="1"/>
    <n v="93.93"/>
    <n v="330.92018879307284"/>
  </r>
  <r>
    <s v="House115"/>
    <n v="95750"/>
    <x v="0"/>
    <n v="3045"/>
    <n v="283.185"/>
    <x v="1"/>
    <n v="1"/>
    <n v="94.394999999999996"/>
    <n v="338.11819128838039"/>
  </r>
  <r>
    <s v="House94"/>
    <n v="112500"/>
    <x v="2"/>
    <n v="1865"/>
    <n v="173.44499999999999"/>
    <x v="2"/>
    <n v="2"/>
    <n v="86.722499999999997"/>
    <n v="648.62060019026205"/>
  </r>
  <r>
    <s v="House14"/>
    <n v="111000"/>
    <x v="4"/>
    <n v="1900"/>
    <n v="176.7"/>
    <x v="2"/>
    <n v="2"/>
    <n v="88.35"/>
    <n v="628.18336162988123"/>
  </r>
  <r>
    <s v="House123"/>
    <n v="144750"/>
    <x v="4"/>
    <n v="2085"/>
    <n v="193.905"/>
    <x v="2"/>
    <n v="3"/>
    <n v="96.952500000000001"/>
    <n v="746.49957453392119"/>
  </r>
  <r>
    <s v="House43"/>
    <n v="139750"/>
    <x v="5"/>
    <n v="2090"/>
    <n v="194.37"/>
    <x v="2"/>
    <n v="3"/>
    <n v="97.185000000000002"/>
    <n v="718.98955600144052"/>
  </r>
  <r>
    <s v="House74"/>
    <n v="107000"/>
    <x v="3"/>
    <n v="2395"/>
    <n v="222.73499999999999"/>
    <x v="2"/>
    <n v="2"/>
    <n v="111.36749999999999"/>
    <n v="480.3914966215458"/>
  </r>
  <r>
    <s v="House103"/>
    <n v="143000"/>
    <x v="0"/>
    <n v="2585"/>
    <n v="240.405"/>
    <x v="2"/>
    <n v="3"/>
    <n v="120.2025"/>
    <n v="594.82955845344316"/>
  </r>
  <r>
    <s v="House23"/>
    <n v="140500"/>
    <x v="1"/>
    <n v="2620"/>
    <n v="243.66"/>
    <x v="2"/>
    <n v="3"/>
    <n v="121.83"/>
    <n v="576.62316342444387"/>
  </r>
  <r>
    <s v="House83"/>
    <n v="147000"/>
    <x v="2"/>
    <n v="2685"/>
    <n v="249.70499999999998"/>
    <x v="2"/>
    <n v="3"/>
    <n v="124.85249999999999"/>
    <n v="588.69465969844418"/>
  </r>
  <r>
    <s v="House3"/>
    <n v="127000"/>
    <x v="1"/>
    <n v="2700"/>
    <n v="251.1"/>
    <x v="2"/>
    <n v="3"/>
    <n v="125.55"/>
    <n v="505.77459179609718"/>
  </r>
  <r>
    <s v="House34"/>
    <n v="103000"/>
    <x v="1"/>
    <n v="2970"/>
    <n v="276.20999999999998"/>
    <x v="2"/>
    <n v="2"/>
    <n v="138.10499999999999"/>
    <n v="372.9046739799428"/>
  </r>
  <r>
    <s v="House54"/>
    <n v="104500"/>
    <x v="5"/>
    <n v="2970"/>
    <n v="276.20999999999998"/>
    <x v="2"/>
    <n v="2"/>
    <n v="138.10499999999999"/>
    <n v="378.33532457188375"/>
  </r>
  <r>
    <s v="House114"/>
    <n v="100250"/>
    <x v="0"/>
    <n v="2985"/>
    <n v="277.60500000000002"/>
    <x v="2"/>
    <n v="2"/>
    <n v="138.80250000000001"/>
    <n v="361.12461951333728"/>
  </r>
  <r>
    <s v="House63"/>
    <n v="144500"/>
    <x v="3"/>
    <n v="3075"/>
    <n v="285.97500000000002"/>
    <x v="2"/>
    <n v="3"/>
    <n v="142.98750000000001"/>
    <n v="505.288923856980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1" cacheId="19" applyNumberFormats="0" applyBorderFormats="0" applyFontFormats="0" applyPatternFormats="0" applyAlignmentFormats="0" applyWidthHeightFormats="0" dataCaption="" updatedVersion="8" compact="0" compactData="0">
  <location ref="A1:E9" firstHeaderRow="1" firstDataRow="2" firstDataCol="1"/>
  <pivotFields count="9">
    <pivotField name="House" compact="0" outline="0" multipleItemSelectionAllowed="1" showAll="0"/>
    <pivotField compact="0" numFmtId="167" outline="0" showAll="0" includeNewItemsInFilter="1"/>
    <pivotField name="Town" axis="axisRow" compact="0" outline="0" multipleItemSelectionAllowed="1" showAll="0" sortType="ascending">
      <items count="7">
        <item x="0"/>
        <item x="4"/>
        <item x="1"/>
        <item x="5"/>
        <item x="3"/>
        <item x="2"/>
        <item t="default"/>
      </items>
    </pivotField>
    <pivotField name="Square Feet" compact="0" numFmtId="166" outline="0" multipleItemSelectionAllowed="1" showAll="0"/>
    <pivotField name="square m" compact="0" numFmtId="1" outline="0" multipleItemSelectionAllowed="1" showAll="0"/>
    <pivotField name="Bedrooms" axis="axisCol" compact="0" outline="0" multipleItemSelectionAllowed="1" showAll="0" sortType="ascending">
      <items count="4">
        <item x="2"/>
        <item x="1"/>
        <item x="0"/>
        <item t="default"/>
      </items>
    </pivotField>
    <pivotField name="Bathrooms" compact="0" outline="0" multipleItemSelectionAllowed="1" showAll="0"/>
    <pivotField name="average room size m^2" dataField="1" compact="0" numFmtId="1" outline="0" multipleItemSelectionAllowed="1" showAll="0"/>
    <pivotField name="price per m^2" compact="0" numFmtId="167" outline="0" multipleItemSelectionAllowe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AVERAGE of average room size m^2" fld="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Pivot Table_DZ" cacheId="14" applyNumberFormats="0" applyBorderFormats="0" applyFontFormats="0" applyPatternFormats="0" applyAlignmentFormats="0" applyWidthHeightFormats="0" dataCaption="" updatedVersion="8" rowGrandTotals="0" compact="0" compactData="0">
  <location ref="A1:F6" firstHeaderRow="1" firstDataRow="2" firstDataCol="1"/>
  <pivotFields count="4">
    <pivotField name="Store Name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Region" axis="axisCol" compact="0" outline="0" multipleItemSelectionAllowed="1" showAll="0" sortType="ascending">
      <items count="5">
        <item x="1"/>
        <item x="2"/>
        <item x="0"/>
        <item x="3"/>
        <item t="default"/>
      </items>
    </pivotField>
    <pivotField name="Report_Date" compact="0" numFmtId="164" outline="0" multipleItemSelectionAllowed="1" showAll="0"/>
    <pivotField name="Reported_Sales" dataField="1" compact="0" numFmtId="175" outline="0" multipleItemSelectionAllowed="1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Reported_Sales" fld="3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" displayName="Employees" ref="A3:L40">
  <autoFilter ref="A3:L40" xr:uid="{00000000-0009-0000-0100-000001000000}">
    <filterColumn colId="8">
      <customFilters and="1">
        <customFilter operator="greaterThanOrEqual" val="2016"/>
        <customFilter operator="lessThanOrEqual" val="2020"/>
      </customFilters>
    </filterColumn>
  </autoFilter>
  <tableColumns count="12">
    <tableColumn id="1" xr3:uid="{00000000-0010-0000-0000-000001000000}" name="Emp ID"/>
    <tableColumn id="2" xr3:uid="{00000000-0010-0000-0000-000002000000}" name="Last Name"/>
    <tableColumn id="3" xr3:uid="{00000000-0010-0000-0000-000003000000}" name="First Name"/>
    <tableColumn id="4" xr3:uid="{00000000-0010-0000-0000-000004000000}" name="Dept"/>
    <tableColumn id="5" xr3:uid="{00000000-0010-0000-0000-000005000000}" name="E-mail"/>
    <tableColumn id="6" xr3:uid="{00000000-0010-0000-0000-000006000000}" name="Phone Ext"/>
    <tableColumn id="7" xr3:uid="{00000000-0010-0000-0000-000007000000}" name="Location"/>
    <tableColumn id="8" xr3:uid="{00000000-0010-0000-0000-000008000000}" name="Hire Date"/>
    <tableColumn id="9" xr3:uid="{00000000-0010-0000-0000-000009000000}" name="year"/>
    <tableColumn id="10" xr3:uid="{00000000-0010-0000-0000-00000A000000}" name="month"/>
    <tableColumn id="11" xr3:uid="{00000000-0010-0000-0000-00000B000000}" name="day"/>
    <tableColumn id="12" xr3:uid="{00000000-0010-0000-0000-00000C000000}" name="Pay Rate"/>
  </tableColumns>
  <tableStyleInfo name="Створення таблиць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I133">
  <tableColumns count="9">
    <tableColumn id="1" xr3:uid="{00000000-0010-0000-0100-000001000000}" name="House"/>
    <tableColumn id="2" xr3:uid="{00000000-0010-0000-0100-000002000000}" name="Listing Price"/>
    <tableColumn id="3" xr3:uid="{00000000-0010-0000-0100-000003000000}" name="Town"/>
    <tableColumn id="4" xr3:uid="{00000000-0010-0000-0100-000004000000}" name="Square Feet"/>
    <tableColumn id="5" xr3:uid="{00000000-0010-0000-0100-000005000000}" name="square m"/>
    <tableColumn id="6" xr3:uid="{00000000-0010-0000-0100-000006000000}" name="Bedrooms"/>
    <tableColumn id="7" xr3:uid="{00000000-0010-0000-0100-000007000000}" name="Bathrooms"/>
    <tableColumn id="8" xr3:uid="{00000000-0010-0000-0100-000008000000}" name="average room size m^2"/>
    <tableColumn id="9" xr3:uid="{00000000-0010-0000-0100-000009000000}" name="price per m^2"/>
  </tableColumns>
  <tableStyleInfo name="Hous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1:C12">
  <tableColumns count="3">
    <tableColumn id="1" xr3:uid="{00000000-0010-0000-0200-000001000000}" name="Customer Name"/>
    <tableColumn id="2" xr3:uid="{00000000-0010-0000-0200-000002000000}" name="Service Type"/>
    <tableColumn id="3" xr3:uid="{00000000-0010-0000-0200-000003000000}" name="Date"/>
  </tableColumns>
  <tableStyleInfo name="Uniqu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A3:D8">
  <tableColumns count="4">
    <tableColumn id="1" xr3:uid="{00000000-0010-0000-0300-000001000000}" name="Region"/>
    <tableColumn id="2" xr3:uid="{00000000-0010-0000-0300-000002000000}" name="Sales Rep"/>
    <tableColumn id="3" xr3:uid="{00000000-0010-0000-0300-000003000000}" name="Product"/>
    <tableColumn id="4" xr3:uid="{00000000-0010-0000-0300-000004000000}" name="Units"/>
  </tableColumns>
  <tableStyleInfo name="FILTER FUNCTIO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A1:G31">
  <tableColumns count="7">
    <tableColumn id="1" xr3:uid="{00000000-0010-0000-0400-000001000000}" name="Salesperson"/>
    <tableColumn id="2" xr3:uid="{00000000-0010-0000-0400-000002000000}" name="May"/>
    <tableColumn id="3" xr3:uid="{00000000-0010-0000-0400-000003000000}" name="June"/>
    <tableColumn id="4" xr3:uid="{00000000-0010-0000-0400-000004000000}" name="July"/>
    <tableColumn id="5" xr3:uid="{00000000-0010-0000-0400-000005000000}" name="Aug."/>
    <tableColumn id="6" xr3:uid="{00000000-0010-0000-0400-000006000000}" name="Sept."/>
    <tableColumn id="7" xr3:uid="{00000000-0010-0000-0400-000007000000}" name="Oct."/>
  </tableColumns>
  <tableStyleInfo name="Sparklin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tore_Sales" displayName="Store_Sales" ref="A3:D51">
  <tableColumns count="4">
    <tableColumn id="1" xr3:uid="{00000000-0010-0000-0500-000001000000}" name="Store Name"/>
    <tableColumn id="2" xr3:uid="{00000000-0010-0000-0500-000002000000}" name="Region"/>
    <tableColumn id="3" xr3:uid="{00000000-0010-0000-0500-000003000000}" name="Report_Date"/>
    <tableColumn id="4" xr3:uid="{00000000-0010-0000-0500-000004000000}" name="Reported_Sales"/>
  </tableColumns>
  <tableStyleInfo name="ДЗ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5623"/>
  </sheetPr>
  <dimension ref="A1:AF998"/>
  <sheetViews>
    <sheetView workbookViewId="0">
      <pane ySplit="5" topLeftCell="A6" activePane="bottomLeft" state="frozen"/>
      <selection pane="bottomLeft" activeCell="B7" sqref="B7"/>
    </sheetView>
  </sheetViews>
  <sheetFormatPr defaultColWidth="10.09765625" defaultRowHeight="15" customHeight="1" x14ac:dyDescent="0.25"/>
  <cols>
    <col min="1" max="1" width="10.19921875" customWidth="1"/>
    <col min="2" max="2" width="13" customWidth="1"/>
    <col min="3" max="3" width="14" customWidth="1"/>
    <col min="4" max="4" width="10.796875" customWidth="1"/>
    <col min="5" max="5" width="10.19921875" customWidth="1"/>
    <col min="6" max="6" width="13" customWidth="1"/>
    <col min="7" max="7" width="14.69921875" customWidth="1"/>
    <col min="8" max="8" width="15.59765625" customWidth="1"/>
    <col min="9" max="9" width="8.19921875" customWidth="1"/>
    <col min="10" max="10" width="9.19921875" customWidth="1"/>
    <col min="11" max="11" width="7.296875" customWidth="1"/>
    <col min="12" max="12" width="14.69921875" customWidth="1"/>
    <col min="13" max="16" width="6.8984375" customWidth="1"/>
    <col min="17" max="17" width="30.796875" customWidth="1"/>
    <col min="18" max="32" width="6.8984375" customWidth="1"/>
  </cols>
  <sheetData>
    <row r="1" spans="1:32" ht="29.25" customHeight="1" x14ac:dyDescent="0.35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2.75" customHeight="1" x14ac:dyDescent="0.25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2.7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 t="s">
        <v>9</v>
      </c>
      <c r="J3" s="3" t="s">
        <v>10</v>
      </c>
      <c r="K3" s="3" t="s">
        <v>11</v>
      </c>
      <c r="L3" s="3" t="s">
        <v>12</v>
      </c>
      <c r="M3" s="1"/>
      <c r="N3" s="1"/>
      <c r="O3" s="1"/>
      <c r="P3" s="1"/>
      <c r="Q3" s="5" t="s">
        <v>13</v>
      </c>
      <c r="R3" s="5">
        <f>COUNTBLANK('Створення таблиць'!$A$4:$L$40)</f>
        <v>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2.75" hidden="1" customHeight="1" x14ac:dyDescent="0.25">
      <c r="A4" s="6">
        <v>1999</v>
      </c>
      <c r="B4" s="6" t="s">
        <v>14</v>
      </c>
      <c r="C4" s="6" t="s">
        <v>15</v>
      </c>
      <c r="D4" s="7" t="s">
        <v>16</v>
      </c>
      <c r="E4" s="6" t="s">
        <v>17</v>
      </c>
      <c r="F4" s="6">
        <v>428</v>
      </c>
      <c r="G4" s="7" t="s">
        <v>18</v>
      </c>
      <c r="H4" s="8">
        <v>44379</v>
      </c>
      <c r="I4" s="6">
        <f t="shared" ref="I4:I40" si="0">YEAR(H4)</f>
        <v>2021</v>
      </c>
      <c r="J4" s="6">
        <f t="shared" ref="J4:J40" si="1">MONTH(H4)</f>
        <v>7</v>
      </c>
      <c r="K4" s="6">
        <f t="shared" ref="K4:K40" si="2">DAY(H4)</f>
        <v>2</v>
      </c>
      <c r="L4" s="9">
        <v>20.275620323911021</v>
      </c>
      <c r="M4" s="1"/>
      <c r="N4" s="1"/>
      <c r="O4" s="1"/>
      <c r="P4" s="1"/>
      <c r="Q4" s="5"/>
      <c r="R4" s="5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6.5" hidden="1" customHeight="1" x14ac:dyDescent="0.25">
      <c r="A5" s="6">
        <v>1196</v>
      </c>
      <c r="B5" s="6" t="s">
        <v>19</v>
      </c>
      <c r="C5" s="6" t="s">
        <v>20</v>
      </c>
      <c r="D5" s="7" t="s">
        <v>16</v>
      </c>
      <c r="E5" s="6" t="s">
        <v>21</v>
      </c>
      <c r="F5" s="6">
        <v>289</v>
      </c>
      <c r="G5" s="7" t="s">
        <v>18</v>
      </c>
      <c r="H5" s="8">
        <v>44284</v>
      </c>
      <c r="I5" s="6">
        <f t="shared" si="0"/>
        <v>2021</v>
      </c>
      <c r="J5" s="6">
        <f t="shared" si="1"/>
        <v>3</v>
      </c>
      <c r="K5" s="6">
        <f t="shared" si="2"/>
        <v>29</v>
      </c>
      <c r="L5" s="9">
        <v>21.116426350677912</v>
      </c>
      <c r="M5" s="1"/>
      <c r="N5" s="1"/>
      <c r="O5" s="1"/>
      <c r="P5" s="1"/>
      <c r="Q5" s="5" t="s">
        <v>22</v>
      </c>
      <c r="R5" s="5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2.75" hidden="1" customHeight="1" x14ac:dyDescent="0.25">
      <c r="A6" s="6">
        <v>1995</v>
      </c>
      <c r="B6" s="6" t="s">
        <v>23</v>
      </c>
      <c r="C6" s="6" t="s">
        <v>24</v>
      </c>
      <c r="D6" s="7" t="s">
        <v>25</v>
      </c>
      <c r="E6" s="6" t="s">
        <v>26</v>
      </c>
      <c r="F6" s="6">
        <v>198</v>
      </c>
      <c r="G6" s="7" t="s">
        <v>27</v>
      </c>
      <c r="H6" s="8">
        <v>44253</v>
      </c>
      <c r="I6" s="6">
        <f t="shared" si="0"/>
        <v>2021</v>
      </c>
      <c r="J6" s="6">
        <f t="shared" si="1"/>
        <v>2</v>
      </c>
      <c r="K6" s="6">
        <f t="shared" si="2"/>
        <v>26</v>
      </c>
      <c r="L6" s="9">
        <v>27.273205533671039</v>
      </c>
      <c r="M6" s="1"/>
      <c r="N6" s="1"/>
      <c r="O6" s="1"/>
      <c r="P6" s="1"/>
      <c r="Q6" s="5" t="s">
        <v>28</v>
      </c>
      <c r="R6" s="5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2.75" hidden="1" customHeight="1" x14ac:dyDescent="0.25">
      <c r="A7" s="6">
        <v>1990</v>
      </c>
      <c r="B7" s="6" t="s">
        <v>29</v>
      </c>
      <c r="C7" s="6" t="s">
        <v>30</v>
      </c>
      <c r="D7" s="7" t="s">
        <v>31</v>
      </c>
      <c r="E7" s="6" t="s">
        <v>32</v>
      </c>
      <c r="F7" s="6">
        <v>198</v>
      </c>
      <c r="G7" s="7" t="s">
        <v>27</v>
      </c>
      <c r="H7" s="8">
        <v>44238</v>
      </c>
      <c r="I7" s="6">
        <f t="shared" si="0"/>
        <v>2021</v>
      </c>
      <c r="J7" s="6">
        <f t="shared" si="1"/>
        <v>2</v>
      </c>
      <c r="K7" s="6">
        <f t="shared" si="2"/>
        <v>11</v>
      </c>
      <c r="L7" s="9">
        <v>27.176260395039776</v>
      </c>
      <c r="M7" s="1"/>
      <c r="N7" s="1"/>
      <c r="O7" s="1"/>
      <c r="P7" s="1"/>
      <c r="Q7" s="5" t="s">
        <v>33</v>
      </c>
      <c r="R7" s="5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2.75" customHeight="1" x14ac:dyDescent="0.25">
      <c r="A8" s="6">
        <v>1983</v>
      </c>
      <c r="B8" s="6" t="s">
        <v>34</v>
      </c>
      <c r="C8" s="6" t="s">
        <v>35</v>
      </c>
      <c r="D8" s="7" t="s">
        <v>25</v>
      </c>
      <c r="E8" s="6" t="s">
        <v>36</v>
      </c>
      <c r="F8" s="6">
        <v>154</v>
      </c>
      <c r="G8" s="7" t="s">
        <v>27</v>
      </c>
      <c r="H8" s="8">
        <v>44007</v>
      </c>
      <c r="I8" s="6">
        <f t="shared" si="0"/>
        <v>2020</v>
      </c>
      <c r="J8" s="6">
        <f t="shared" si="1"/>
        <v>6</v>
      </c>
      <c r="K8" s="6">
        <f t="shared" si="2"/>
        <v>25</v>
      </c>
      <c r="L8" s="9">
        <v>26.320559271906468</v>
      </c>
      <c r="M8" s="1"/>
      <c r="N8" s="1"/>
      <c r="O8" s="1"/>
      <c r="P8" s="1"/>
      <c r="Q8" s="5" t="s">
        <v>37</v>
      </c>
      <c r="R8" s="5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2.75" customHeight="1" x14ac:dyDescent="0.25">
      <c r="A9" s="6">
        <v>1975</v>
      </c>
      <c r="B9" s="6" t="s">
        <v>38</v>
      </c>
      <c r="C9" s="6" t="s">
        <v>39</v>
      </c>
      <c r="D9" s="7" t="s">
        <v>40</v>
      </c>
      <c r="E9" s="6" t="s">
        <v>41</v>
      </c>
      <c r="F9" s="6">
        <v>125</v>
      </c>
      <c r="G9" s="7" t="s">
        <v>42</v>
      </c>
      <c r="H9" s="8">
        <v>43523</v>
      </c>
      <c r="I9" s="6">
        <f t="shared" si="0"/>
        <v>2019</v>
      </c>
      <c r="J9" s="6">
        <f t="shared" si="1"/>
        <v>2</v>
      </c>
      <c r="K9" s="6">
        <f t="shared" si="2"/>
        <v>27</v>
      </c>
      <c r="L9" s="9">
        <v>20.224401476642818</v>
      </c>
      <c r="M9" s="1"/>
      <c r="N9" s="1"/>
      <c r="O9" s="1"/>
      <c r="P9" s="1"/>
      <c r="Q9" s="5" t="s">
        <v>43</v>
      </c>
      <c r="R9" s="5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2.75" hidden="1" customHeight="1" x14ac:dyDescent="0.25">
      <c r="A10" s="6">
        <v>1075</v>
      </c>
      <c r="B10" s="6" t="s">
        <v>44</v>
      </c>
      <c r="C10" s="6" t="s">
        <v>45</v>
      </c>
      <c r="D10" s="7" t="s">
        <v>46</v>
      </c>
      <c r="E10" s="6" t="s">
        <v>47</v>
      </c>
      <c r="F10" s="6">
        <v>126</v>
      </c>
      <c r="G10" s="7" t="s">
        <v>42</v>
      </c>
      <c r="H10" s="8">
        <v>42221</v>
      </c>
      <c r="I10" s="6">
        <f t="shared" si="0"/>
        <v>2015</v>
      </c>
      <c r="J10" s="6">
        <f t="shared" si="1"/>
        <v>8</v>
      </c>
      <c r="K10" s="6">
        <f t="shared" si="2"/>
        <v>5</v>
      </c>
      <c r="L10" s="9">
        <v>22.650786708090671</v>
      </c>
      <c r="M10" s="1"/>
      <c r="N10" s="1"/>
      <c r="O10" s="1"/>
      <c r="P10" s="1"/>
      <c r="Q10" s="5" t="s">
        <v>48</v>
      </c>
      <c r="R10" s="5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2.75" hidden="1" customHeight="1" x14ac:dyDescent="0.25">
      <c r="A11" s="6">
        <v>1673</v>
      </c>
      <c r="B11" s="6" t="s">
        <v>49</v>
      </c>
      <c r="C11" s="6" t="s">
        <v>50</v>
      </c>
      <c r="D11" s="7" t="s">
        <v>46</v>
      </c>
      <c r="E11" s="6" t="s">
        <v>51</v>
      </c>
      <c r="F11" s="6">
        <v>112</v>
      </c>
      <c r="G11" s="7" t="s">
        <v>42</v>
      </c>
      <c r="H11" s="8">
        <v>42086</v>
      </c>
      <c r="I11" s="6">
        <f t="shared" si="0"/>
        <v>2015</v>
      </c>
      <c r="J11" s="6">
        <f t="shared" si="1"/>
        <v>3</v>
      </c>
      <c r="K11" s="6">
        <f t="shared" si="2"/>
        <v>23</v>
      </c>
      <c r="L11" s="9">
        <v>34.737713847797657</v>
      </c>
      <c r="M11" s="1"/>
      <c r="N11" s="1"/>
      <c r="O11" s="1"/>
      <c r="P11" s="1"/>
      <c r="Q11" s="5" t="s">
        <v>52</v>
      </c>
      <c r="R11" s="5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2.75" hidden="1" customHeight="1" x14ac:dyDescent="0.25">
      <c r="A12" s="6">
        <v>1964</v>
      </c>
      <c r="B12" s="6" t="s">
        <v>34</v>
      </c>
      <c r="C12" s="6" t="s">
        <v>53</v>
      </c>
      <c r="D12" s="7" t="s">
        <v>40</v>
      </c>
      <c r="E12" s="6" t="s">
        <v>54</v>
      </c>
      <c r="F12" s="6">
        <v>108</v>
      </c>
      <c r="G12" s="7" t="s">
        <v>42</v>
      </c>
      <c r="H12" s="8">
        <v>41957</v>
      </c>
      <c r="I12" s="6">
        <f t="shared" si="0"/>
        <v>2014</v>
      </c>
      <c r="J12" s="6">
        <f t="shared" si="1"/>
        <v>11</v>
      </c>
      <c r="K12" s="6">
        <f t="shared" si="2"/>
        <v>14</v>
      </c>
      <c r="L12" s="9">
        <v>32.746626443985036</v>
      </c>
      <c r="M12" s="1"/>
      <c r="N12" s="1"/>
      <c r="O12" s="1"/>
      <c r="P12" s="1"/>
      <c r="Q12" s="5" t="s">
        <v>55</v>
      </c>
      <c r="R12" s="5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2.75" hidden="1" customHeight="1" x14ac:dyDescent="0.25">
      <c r="A13" s="6">
        <v>1054</v>
      </c>
      <c r="B13" s="6" t="s">
        <v>56</v>
      </c>
      <c r="C13" s="6" t="s">
        <v>57</v>
      </c>
      <c r="D13" s="7" t="s">
        <v>25</v>
      </c>
      <c r="E13" s="6" t="s">
        <v>58</v>
      </c>
      <c r="F13" s="6">
        <v>148</v>
      </c>
      <c r="G13" s="7" t="s">
        <v>27</v>
      </c>
      <c r="H13" s="8">
        <v>41742</v>
      </c>
      <c r="I13" s="6">
        <f t="shared" si="0"/>
        <v>2014</v>
      </c>
      <c r="J13" s="6">
        <f t="shared" si="1"/>
        <v>4</v>
      </c>
      <c r="K13" s="6">
        <f t="shared" si="2"/>
        <v>13</v>
      </c>
      <c r="L13" s="9">
        <v>23.112682518640405</v>
      </c>
      <c r="M13" s="1"/>
      <c r="N13" s="1"/>
      <c r="O13" s="1"/>
      <c r="P13" s="1"/>
      <c r="Q13" s="5" t="s">
        <v>59</v>
      </c>
      <c r="R13" s="5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2.75" hidden="1" customHeight="1" x14ac:dyDescent="0.25">
      <c r="A14" s="6">
        <v>1792</v>
      </c>
      <c r="B14" s="6" t="s">
        <v>60</v>
      </c>
      <c r="C14" s="6" t="s">
        <v>61</v>
      </c>
      <c r="D14" s="7" t="s">
        <v>25</v>
      </c>
      <c r="E14" s="6" t="s">
        <v>62</v>
      </c>
      <c r="F14" s="6">
        <v>111</v>
      </c>
      <c r="G14" s="7" t="s">
        <v>27</v>
      </c>
      <c r="H14" s="8">
        <v>41629</v>
      </c>
      <c r="I14" s="6">
        <f t="shared" si="0"/>
        <v>2013</v>
      </c>
      <c r="J14" s="6">
        <f t="shared" si="1"/>
        <v>12</v>
      </c>
      <c r="K14" s="6">
        <f t="shared" si="2"/>
        <v>21</v>
      </c>
      <c r="L14" s="9">
        <v>22.865282515192384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2.75" hidden="1" customHeight="1" x14ac:dyDescent="0.25">
      <c r="A15" s="6">
        <v>1721</v>
      </c>
      <c r="B15" s="6" t="s">
        <v>63</v>
      </c>
      <c r="C15" s="6" t="s">
        <v>64</v>
      </c>
      <c r="D15" s="7" t="s">
        <v>16</v>
      </c>
      <c r="E15" s="6" t="s">
        <v>65</v>
      </c>
      <c r="F15" s="6">
        <v>102</v>
      </c>
      <c r="G15" s="7" t="s">
        <v>18</v>
      </c>
      <c r="H15" s="8">
        <v>41489</v>
      </c>
      <c r="I15" s="6">
        <f t="shared" si="0"/>
        <v>2013</v>
      </c>
      <c r="J15" s="6">
        <f t="shared" si="1"/>
        <v>8</v>
      </c>
      <c r="K15" s="6">
        <f t="shared" si="2"/>
        <v>3</v>
      </c>
      <c r="L15" s="9">
        <v>30.530481883132325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2.75" hidden="1" customHeight="1" x14ac:dyDescent="0.25">
      <c r="A16" s="6">
        <v>1333</v>
      </c>
      <c r="B16" s="6" t="s">
        <v>66</v>
      </c>
      <c r="C16" s="6" t="s">
        <v>67</v>
      </c>
      <c r="D16" s="7" t="s">
        <v>16</v>
      </c>
      <c r="E16" s="6" t="s">
        <v>68</v>
      </c>
      <c r="F16" s="6">
        <v>122</v>
      </c>
      <c r="G16" s="7" t="s">
        <v>18</v>
      </c>
      <c r="H16" s="8">
        <v>41377</v>
      </c>
      <c r="I16" s="6">
        <f t="shared" si="0"/>
        <v>2013</v>
      </c>
      <c r="J16" s="6">
        <f t="shared" si="1"/>
        <v>4</v>
      </c>
      <c r="K16" s="6">
        <f t="shared" si="2"/>
        <v>13</v>
      </c>
      <c r="L16" s="9">
        <v>28.040146247387376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2.75" hidden="1" customHeight="1" x14ac:dyDescent="0.25">
      <c r="A17" s="6">
        <v>1672</v>
      </c>
      <c r="B17" s="6" t="s">
        <v>69</v>
      </c>
      <c r="C17" s="6" t="s">
        <v>70</v>
      </c>
      <c r="D17" s="7" t="s">
        <v>31</v>
      </c>
      <c r="E17" s="6" t="s">
        <v>71</v>
      </c>
      <c r="F17" s="6">
        <v>114</v>
      </c>
      <c r="G17" s="7" t="s">
        <v>27</v>
      </c>
      <c r="H17" s="8">
        <v>41377</v>
      </c>
      <c r="I17" s="6">
        <f t="shared" si="0"/>
        <v>2013</v>
      </c>
      <c r="J17" s="6">
        <f t="shared" si="1"/>
        <v>4</v>
      </c>
      <c r="K17" s="6">
        <f t="shared" si="2"/>
        <v>13</v>
      </c>
      <c r="L17" s="9">
        <v>21.821067915080782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2.75" hidden="1" customHeight="1" x14ac:dyDescent="0.25">
      <c r="A18" s="6">
        <v>1152</v>
      </c>
      <c r="B18" s="6" t="s">
        <v>72</v>
      </c>
      <c r="C18" s="6" t="s">
        <v>73</v>
      </c>
      <c r="D18" s="7" t="s">
        <v>46</v>
      </c>
      <c r="E18" s="6" t="s">
        <v>74</v>
      </c>
      <c r="F18" s="6">
        <v>118</v>
      </c>
      <c r="G18" s="7" t="s">
        <v>42</v>
      </c>
      <c r="H18" s="8">
        <v>41292</v>
      </c>
      <c r="I18" s="6">
        <f t="shared" si="0"/>
        <v>2013</v>
      </c>
      <c r="J18" s="6">
        <f t="shared" si="1"/>
        <v>1</v>
      </c>
      <c r="K18" s="6">
        <f t="shared" si="2"/>
        <v>18</v>
      </c>
      <c r="L18" s="9">
        <v>20.450480626241173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2.75" hidden="1" customHeight="1" x14ac:dyDescent="0.25">
      <c r="A19" s="6">
        <v>1299</v>
      </c>
      <c r="B19" s="6" t="s">
        <v>75</v>
      </c>
      <c r="C19" s="6" t="s">
        <v>76</v>
      </c>
      <c r="D19" s="7" t="s">
        <v>31</v>
      </c>
      <c r="E19" s="6" t="s">
        <v>77</v>
      </c>
      <c r="F19" s="6">
        <v>127</v>
      </c>
      <c r="G19" s="7" t="s">
        <v>27</v>
      </c>
      <c r="H19" s="8">
        <v>41261</v>
      </c>
      <c r="I19" s="6">
        <f t="shared" si="0"/>
        <v>2012</v>
      </c>
      <c r="J19" s="6">
        <f t="shared" si="1"/>
        <v>12</v>
      </c>
      <c r="K19" s="6">
        <f t="shared" si="2"/>
        <v>18</v>
      </c>
      <c r="L19" s="9">
        <v>36.358152121831047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2.75" hidden="1" customHeight="1" x14ac:dyDescent="0.25">
      <c r="A20" s="6">
        <v>1931</v>
      </c>
      <c r="B20" s="6" t="s">
        <v>78</v>
      </c>
      <c r="C20" s="6" t="s">
        <v>79</v>
      </c>
      <c r="D20" s="7" t="s">
        <v>40</v>
      </c>
      <c r="E20" s="6" t="s">
        <v>80</v>
      </c>
      <c r="F20" s="6">
        <v>110</v>
      </c>
      <c r="G20" s="7" t="s">
        <v>42</v>
      </c>
      <c r="H20" s="8">
        <v>41077</v>
      </c>
      <c r="I20" s="6">
        <f t="shared" si="0"/>
        <v>2012</v>
      </c>
      <c r="J20" s="6">
        <f t="shared" si="1"/>
        <v>6</v>
      </c>
      <c r="K20" s="6">
        <f t="shared" si="2"/>
        <v>17</v>
      </c>
      <c r="L20" s="9">
        <v>22.096372011411539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2.75" hidden="1" customHeight="1" x14ac:dyDescent="0.25">
      <c r="A21" s="6">
        <v>1814</v>
      </c>
      <c r="B21" s="6" t="s">
        <v>81</v>
      </c>
      <c r="C21" s="6" t="s">
        <v>82</v>
      </c>
      <c r="D21" s="7" t="s">
        <v>16</v>
      </c>
      <c r="E21" s="6" t="s">
        <v>83</v>
      </c>
      <c r="F21" s="6">
        <v>103</v>
      </c>
      <c r="G21" s="7" t="s">
        <v>18</v>
      </c>
      <c r="H21" s="8">
        <v>40969</v>
      </c>
      <c r="I21" s="6">
        <f t="shared" si="0"/>
        <v>2012</v>
      </c>
      <c r="J21" s="6">
        <f t="shared" si="1"/>
        <v>3</v>
      </c>
      <c r="K21" s="6">
        <f t="shared" si="2"/>
        <v>1</v>
      </c>
      <c r="L21" s="9">
        <v>28.314886343881007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2.75" hidden="1" customHeight="1" x14ac:dyDescent="0.25">
      <c r="A22" s="6">
        <v>1329</v>
      </c>
      <c r="B22" s="6" t="s">
        <v>84</v>
      </c>
      <c r="C22" s="6" t="s">
        <v>85</v>
      </c>
      <c r="D22" s="7" t="s">
        <v>40</v>
      </c>
      <c r="E22" s="6" t="s">
        <v>86</v>
      </c>
      <c r="F22" s="6">
        <v>151</v>
      </c>
      <c r="G22" s="7" t="s">
        <v>42</v>
      </c>
      <c r="H22" s="8">
        <v>40959</v>
      </c>
      <c r="I22" s="6">
        <f t="shared" si="0"/>
        <v>2012</v>
      </c>
      <c r="J22" s="6">
        <f t="shared" si="1"/>
        <v>2</v>
      </c>
      <c r="K22" s="6">
        <f t="shared" si="2"/>
        <v>20</v>
      </c>
      <c r="L22" s="9">
        <v>30.059453552217725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2.75" hidden="1" customHeight="1" x14ac:dyDescent="0.25">
      <c r="A23" s="6">
        <v>1656</v>
      </c>
      <c r="B23" s="6" t="s">
        <v>87</v>
      </c>
      <c r="C23" s="6" t="s">
        <v>88</v>
      </c>
      <c r="D23" s="7" t="s">
        <v>31</v>
      </c>
      <c r="E23" s="6" t="s">
        <v>89</v>
      </c>
      <c r="F23" s="6">
        <v>149</v>
      </c>
      <c r="G23" s="7" t="s">
        <v>27</v>
      </c>
      <c r="H23" s="8">
        <v>40523</v>
      </c>
      <c r="I23" s="6">
        <f t="shared" si="0"/>
        <v>2010</v>
      </c>
      <c r="J23" s="6">
        <f t="shared" si="1"/>
        <v>12</v>
      </c>
      <c r="K23" s="6">
        <f t="shared" si="2"/>
        <v>11</v>
      </c>
      <c r="L23" s="9">
        <v>34.594860632050001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2.75" hidden="1" customHeight="1" x14ac:dyDescent="0.25">
      <c r="A24" s="6">
        <v>1067</v>
      </c>
      <c r="B24" s="6" t="s">
        <v>90</v>
      </c>
      <c r="C24" s="6" t="s">
        <v>91</v>
      </c>
      <c r="D24" s="7" t="s">
        <v>25</v>
      </c>
      <c r="E24" s="6" t="s">
        <v>92</v>
      </c>
      <c r="F24" s="6">
        <v>123</v>
      </c>
      <c r="G24" s="7" t="s">
        <v>27</v>
      </c>
      <c r="H24" s="8">
        <v>40438</v>
      </c>
      <c r="I24" s="6">
        <f t="shared" si="0"/>
        <v>2010</v>
      </c>
      <c r="J24" s="6">
        <f t="shared" si="1"/>
        <v>9</v>
      </c>
      <c r="K24" s="6">
        <f t="shared" si="2"/>
        <v>17</v>
      </c>
      <c r="L24" s="9">
        <v>22.187984645409315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2.75" hidden="1" customHeight="1" x14ac:dyDescent="0.25">
      <c r="A25" s="6">
        <v>1529</v>
      </c>
      <c r="B25" s="6" t="s">
        <v>93</v>
      </c>
      <c r="C25" s="6" t="s">
        <v>94</v>
      </c>
      <c r="D25" s="7" t="s">
        <v>95</v>
      </c>
      <c r="E25" s="6" t="s">
        <v>96</v>
      </c>
      <c r="F25" s="6">
        <v>129</v>
      </c>
      <c r="G25" s="7" t="s">
        <v>27</v>
      </c>
      <c r="H25" s="8">
        <v>40203</v>
      </c>
      <c r="I25" s="6">
        <f t="shared" si="0"/>
        <v>2010</v>
      </c>
      <c r="J25" s="6">
        <f t="shared" si="1"/>
        <v>1</v>
      </c>
      <c r="K25" s="6">
        <f t="shared" si="2"/>
        <v>25</v>
      </c>
      <c r="L25" s="9">
        <v>36.76047319596379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2.75" hidden="1" customHeight="1" x14ac:dyDescent="0.25">
      <c r="A26" s="6">
        <v>1960</v>
      </c>
      <c r="B26" s="6" t="s">
        <v>97</v>
      </c>
      <c r="C26" s="6" t="s">
        <v>98</v>
      </c>
      <c r="D26" s="7" t="s">
        <v>31</v>
      </c>
      <c r="E26" s="6" t="s">
        <v>99</v>
      </c>
      <c r="F26" s="6">
        <v>150</v>
      </c>
      <c r="G26" s="7" t="s">
        <v>27</v>
      </c>
      <c r="H26" s="8">
        <v>40127</v>
      </c>
      <c r="I26" s="6">
        <f t="shared" si="0"/>
        <v>2009</v>
      </c>
      <c r="J26" s="6">
        <f t="shared" si="1"/>
        <v>11</v>
      </c>
      <c r="K26" s="6">
        <f t="shared" si="2"/>
        <v>10</v>
      </c>
      <c r="L26" s="9">
        <v>24.110587484316248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2.75" hidden="1" customHeight="1" x14ac:dyDescent="0.25">
      <c r="A27" s="6">
        <v>1310</v>
      </c>
      <c r="B27" s="6" t="s">
        <v>56</v>
      </c>
      <c r="C27" s="6" t="s">
        <v>100</v>
      </c>
      <c r="D27" s="7" t="s">
        <v>31</v>
      </c>
      <c r="E27" s="6" t="s">
        <v>101</v>
      </c>
      <c r="F27" s="6">
        <v>137</v>
      </c>
      <c r="G27" s="7" t="s">
        <v>27</v>
      </c>
      <c r="H27" s="8">
        <v>40087</v>
      </c>
      <c r="I27" s="6">
        <f t="shared" si="0"/>
        <v>2009</v>
      </c>
      <c r="J27" s="6">
        <f t="shared" si="1"/>
        <v>10</v>
      </c>
      <c r="K27" s="6">
        <f t="shared" si="2"/>
        <v>1</v>
      </c>
      <c r="L27" s="9">
        <v>27.748133280634171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2.75" hidden="1" customHeight="1" x14ac:dyDescent="0.25">
      <c r="A28" s="6">
        <v>1078</v>
      </c>
      <c r="B28" s="6" t="s">
        <v>102</v>
      </c>
      <c r="C28" s="6" t="s">
        <v>103</v>
      </c>
      <c r="D28" s="7" t="s">
        <v>40</v>
      </c>
      <c r="E28" s="6" t="s">
        <v>104</v>
      </c>
      <c r="F28" s="6">
        <v>101</v>
      </c>
      <c r="G28" s="7" t="s">
        <v>42</v>
      </c>
      <c r="H28" s="8">
        <v>39901</v>
      </c>
      <c r="I28" s="6">
        <f t="shared" si="0"/>
        <v>2009</v>
      </c>
      <c r="J28" s="6">
        <f t="shared" si="1"/>
        <v>3</v>
      </c>
      <c r="K28" s="6">
        <f t="shared" si="2"/>
        <v>29</v>
      </c>
      <c r="L28" s="9">
        <v>35.093078297663361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2.75" hidden="1" customHeight="1" x14ac:dyDescent="0.25">
      <c r="A29" s="6">
        <v>1509</v>
      </c>
      <c r="B29" s="6" t="s">
        <v>105</v>
      </c>
      <c r="C29" s="6" t="s">
        <v>106</v>
      </c>
      <c r="D29" s="7" t="s">
        <v>25</v>
      </c>
      <c r="E29" s="6" t="s">
        <v>107</v>
      </c>
      <c r="F29" s="6">
        <v>135</v>
      </c>
      <c r="G29" s="7" t="s">
        <v>27</v>
      </c>
      <c r="H29" s="8">
        <v>39615</v>
      </c>
      <c r="I29" s="6">
        <f t="shared" si="0"/>
        <v>2008</v>
      </c>
      <c r="J29" s="6">
        <f t="shared" si="1"/>
        <v>6</v>
      </c>
      <c r="K29" s="6">
        <f t="shared" si="2"/>
        <v>16</v>
      </c>
      <c r="L29" s="9">
        <v>28.504920646844454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2.75" hidden="1" customHeight="1" x14ac:dyDescent="0.25">
      <c r="A30" s="6">
        <v>1516</v>
      </c>
      <c r="B30" s="6" t="s">
        <v>108</v>
      </c>
      <c r="C30" s="6" t="s">
        <v>109</v>
      </c>
      <c r="D30" s="7" t="s">
        <v>40</v>
      </c>
      <c r="E30" s="6" t="s">
        <v>110</v>
      </c>
      <c r="F30" s="6">
        <v>105</v>
      </c>
      <c r="G30" s="7" t="s">
        <v>42</v>
      </c>
      <c r="H30" s="8">
        <v>39510</v>
      </c>
      <c r="I30" s="6">
        <f t="shared" si="0"/>
        <v>2008</v>
      </c>
      <c r="J30" s="6">
        <f t="shared" si="1"/>
        <v>3</v>
      </c>
      <c r="K30" s="6">
        <f t="shared" si="2"/>
        <v>3</v>
      </c>
      <c r="L30" s="9">
        <v>25.041609972404515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2.75" hidden="1" customHeight="1" x14ac:dyDescent="0.25">
      <c r="A31" s="6">
        <v>1284</v>
      </c>
      <c r="B31" s="6" t="s">
        <v>111</v>
      </c>
      <c r="C31" s="6" t="s">
        <v>50</v>
      </c>
      <c r="D31" s="7" t="s">
        <v>95</v>
      </c>
      <c r="E31" s="6" t="s">
        <v>112</v>
      </c>
      <c r="F31" s="6">
        <v>124</v>
      </c>
      <c r="G31" s="7" t="s">
        <v>27</v>
      </c>
      <c r="H31" s="8">
        <v>39449</v>
      </c>
      <c r="I31" s="6">
        <f t="shared" si="0"/>
        <v>2008</v>
      </c>
      <c r="J31" s="6">
        <f t="shared" si="1"/>
        <v>1</v>
      </c>
      <c r="K31" s="6">
        <f t="shared" si="2"/>
        <v>2</v>
      </c>
      <c r="L31" s="9">
        <v>31.521433991091691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2.75" hidden="1" customHeight="1" x14ac:dyDescent="0.25">
      <c r="A32" s="6">
        <v>1290</v>
      </c>
      <c r="B32" s="6" t="s">
        <v>113</v>
      </c>
      <c r="C32" s="6" t="s">
        <v>114</v>
      </c>
      <c r="D32" s="7" t="s">
        <v>46</v>
      </c>
      <c r="E32" s="6" t="s">
        <v>115</v>
      </c>
      <c r="F32" s="6">
        <v>113</v>
      </c>
      <c r="G32" s="7" t="s">
        <v>42</v>
      </c>
      <c r="H32" s="8">
        <v>39448</v>
      </c>
      <c r="I32" s="6">
        <f t="shared" si="0"/>
        <v>2008</v>
      </c>
      <c r="J32" s="6">
        <f t="shared" si="1"/>
        <v>1</v>
      </c>
      <c r="K32" s="6">
        <f t="shared" si="2"/>
        <v>1</v>
      </c>
      <c r="L32" s="9">
        <v>26.263290691845491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2.75" hidden="1" customHeight="1" x14ac:dyDescent="0.25">
      <c r="A33" s="6">
        <v>1293</v>
      </c>
      <c r="B33" s="6" t="s">
        <v>116</v>
      </c>
      <c r="C33" s="6" t="s">
        <v>117</v>
      </c>
      <c r="D33" s="7" t="s">
        <v>16</v>
      </c>
      <c r="E33" s="6" t="s">
        <v>118</v>
      </c>
      <c r="F33" s="6">
        <v>205</v>
      </c>
      <c r="G33" s="7" t="s">
        <v>18</v>
      </c>
      <c r="H33" s="8">
        <v>39337</v>
      </c>
      <c r="I33" s="6">
        <f t="shared" si="0"/>
        <v>2007</v>
      </c>
      <c r="J33" s="6">
        <f t="shared" si="1"/>
        <v>9</v>
      </c>
      <c r="K33" s="6">
        <f t="shared" si="2"/>
        <v>12</v>
      </c>
      <c r="L33" s="9">
        <v>34.790615088923452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2.75" hidden="1" customHeight="1" x14ac:dyDescent="0.25">
      <c r="A34" s="6">
        <v>1302</v>
      </c>
      <c r="B34" s="6" t="s">
        <v>119</v>
      </c>
      <c r="C34" s="6" t="s">
        <v>120</v>
      </c>
      <c r="D34" s="7" t="s">
        <v>95</v>
      </c>
      <c r="E34" s="6" t="s">
        <v>121</v>
      </c>
      <c r="F34" s="6">
        <v>139</v>
      </c>
      <c r="G34" s="7" t="s">
        <v>27</v>
      </c>
      <c r="H34" s="8">
        <v>39298</v>
      </c>
      <c r="I34" s="6">
        <f t="shared" si="0"/>
        <v>2007</v>
      </c>
      <c r="J34" s="6">
        <f t="shared" si="1"/>
        <v>8</v>
      </c>
      <c r="K34" s="6">
        <f t="shared" si="2"/>
        <v>4</v>
      </c>
      <c r="L34" s="9">
        <v>31.941259411760427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2.75" hidden="1" customHeight="1" x14ac:dyDescent="0.25">
      <c r="A35" s="6">
        <v>1908</v>
      </c>
      <c r="B35" s="6" t="s">
        <v>122</v>
      </c>
      <c r="C35" s="6" t="s">
        <v>123</v>
      </c>
      <c r="D35" s="7" t="s">
        <v>25</v>
      </c>
      <c r="E35" s="6" t="s">
        <v>124</v>
      </c>
      <c r="F35" s="6">
        <v>152</v>
      </c>
      <c r="G35" s="7" t="s">
        <v>27</v>
      </c>
      <c r="H35" s="8">
        <v>39215</v>
      </c>
      <c r="I35" s="6">
        <f t="shared" si="0"/>
        <v>2007</v>
      </c>
      <c r="J35" s="6">
        <f t="shared" si="1"/>
        <v>5</v>
      </c>
      <c r="K35" s="6">
        <f t="shared" si="2"/>
        <v>13</v>
      </c>
      <c r="L35" s="9">
        <v>21.583297549698294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2.75" hidden="1" customHeight="1" x14ac:dyDescent="0.25">
      <c r="A36" s="6">
        <v>1368</v>
      </c>
      <c r="B36" s="6" t="s">
        <v>125</v>
      </c>
      <c r="C36" s="6" t="s">
        <v>126</v>
      </c>
      <c r="D36" s="7" t="s">
        <v>46</v>
      </c>
      <c r="E36" s="6" t="s">
        <v>127</v>
      </c>
      <c r="F36" s="6">
        <v>132</v>
      </c>
      <c r="G36" s="7" t="s">
        <v>42</v>
      </c>
      <c r="H36" s="8">
        <v>38784</v>
      </c>
      <c r="I36" s="6">
        <f t="shared" si="0"/>
        <v>2006</v>
      </c>
      <c r="J36" s="6">
        <f t="shared" si="1"/>
        <v>3</v>
      </c>
      <c r="K36" s="6">
        <f t="shared" si="2"/>
        <v>8</v>
      </c>
      <c r="L36" s="9">
        <v>21.582316808537904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2.75" hidden="1" customHeight="1" x14ac:dyDescent="0.25">
      <c r="A37" s="6">
        <v>1758</v>
      </c>
      <c r="B37" s="6" t="s">
        <v>128</v>
      </c>
      <c r="C37" s="6" t="s">
        <v>129</v>
      </c>
      <c r="D37" s="7" t="s">
        <v>40</v>
      </c>
      <c r="E37" s="6" t="s">
        <v>130</v>
      </c>
      <c r="F37" s="6">
        <v>107</v>
      </c>
      <c r="G37" s="7" t="s">
        <v>42</v>
      </c>
      <c r="H37" s="8">
        <v>38426</v>
      </c>
      <c r="I37" s="6">
        <f t="shared" si="0"/>
        <v>2005</v>
      </c>
      <c r="J37" s="6">
        <f t="shared" si="1"/>
        <v>3</v>
      </c>
      <c r="K37" s="6">
        <f t="shared" si="2"/>
        <v>15</v>
      </c>
      <c r="L37" s="9">
        <v>23.323201962374185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2.75" hidden="1" customHeight="1" x14ac:dyDescent="0.25">
      <c r="A38" s="6">
        <v>1676</v>
      </c>
      <c r="B38" s="6" t="s">
        <v>131</v>
      </c>
      <c r="C38" s="6" t="s">
        <v>132</v>
      </c>
      <c r="D38" s="7" t="s">
        <v>95</v>
      </c>
      <c r="E38" s="6" t="s">
        <v>133</v>
      </c>
      <c r="F38" s="6">
        <v>115</v>
      </c>
      <c r="G38" s="7" t="s">
        <v>27</v>
      </c>
      <c r="H38" s="8">
        <v>38283</v>
      </c>
      <c r="I38" s="6">
        <f t="shared" si="0"/>
        <v>2004</v>
      </c>
      <c r="J38" s="6">
        <f t="shared" si="1"/>
        <v>10</v>
      </c>
      <c r="K38" s="6">
        <f t="shared" si="2"/>
        <v>23</v>
      </c>
      <c r="L38" s="9">
        <v>23.923732649470132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2.75" hidden="1" customHeight="1" x14ac:dyDescent="0.25">
      <c r="A39" s="6">
        <v>1056</v>
      </c>
      <c r="B39" s="6" t="s">
        <v>134</v>
      </c>
      <c r="C39" s="6" t="s">
        <v>135</v>
      </c>
      <c r="D39" s="7" t="s">
        <v>25</v>
      </c>
      <c r="E39" s="6" t="s">
        <v>136</v>
      </c>
      <c r="F39" s="6">
        <v>121</v>
      </c>
      <c r="G39" s="7" t="s">
        <v>27</v>
      </c>
      <c r="H39" s="8">
        <v>37551</v>
      </c>
      <c r="I39" s="6">
        <f t="shared" si="0"/>
        <v>2002</v>
      </c>
      <c r="J39" s="6">
        <f t="shared" si="1"/>
        <v>10</v>
      </c>
      <c r="K39" s="6">
        <f t="shared" si="2"/>
        <v>22</v>
      </c>
      <c r="L39" s="9">
        <v>34.525388617350792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2.75" hidden="1" customHeight="1" x14ac:dyDescent="0.25">
      <c r="A40" s="6">
        <v>1723</v>
      </c>
      <c r="B40" s="6" t="s">
        <v>137</v>
      </c>
      <c r="C40" s="6" t="s">
        <v>73</v>
      </c>
      <c r="D40" s="7" t="s">
        <v>95</v>
      </c>
      <c r="E40" s="6" t="s">
        <v>138</v>
      </c>
      <c r="F40" s="6">
        <v>145</v>
      </c>
      <c r="G40" s="7" t="s">
        <v>27</v>
      </c>
      <c r="H40" s="8">
        <v>36929</v>
      </c>
      <c r="I40" s="6">
        <f t="shared" si="0"/>
        <v>2001</v>
      </c>
      <c r="J40" s="6">
        <f t="shared" si="1"/>
        <v>2</v>
      </c>
      <c r="K40" s="6">
        <f t="shared" si="2"/>
        <v>7</v>
      </c>
      <c r="L40" s="9">
        <v>30.633823369091417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2.75" customHeight="1" x14ac:dyDescent="0.25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2.75" customHeight="1" x14ac:dyDescent="0.25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2.75" customHeight="1" x14ac:dyDescent="0.25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2.75" customHeight="1" x14ac:dyDescent="0.25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2.75" customHeight="1" x14ac:dyDescent="0.25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2.75" customHeight="1" x14ac:dyDescent="0.25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2.75" customHeight="1" x14ac:dyDescent="0.25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2.75" customHeight="1" x14ac:dyDescent="0.25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2.75" customHeight="1" x14ac:dyDescent="0.25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2.75" customHeight="1" x14ac:dyDescent="0.25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2.75" customHeight="1" x14ac:dyDescent="0.25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2.75" customHeight="1" x14ac:dyDescent="0.25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2.75" customHeight="1" x14ac:dyDescent="0.25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2.75" customHeight="1" x14ac:dyDescent="0.25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2.75" customHeight="1" x14ac:dyDescent="0.25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2.75" customHeight="1" x14ac:dyDescent="0.25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2.75" customHeight="1" x14ac:dyDescent="0.25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2.75" customHeight="1" x14ac:dyDescent="0.25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2.75" customHeight="1" x14ac:dyDescent="0.25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2.75" customHeight="1" x14ac:dyDescent="0.25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2.75" customHeight="1" x14ac:dyDescent="0.25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2.75" customHeight="1" x14ac:dyDescent="0.25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2.75" customHeight="1" x14ac:dyDescent="0.25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2.75" customHeight="1" x14ac:dyDescent="0.25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2.75" customHeight="1" x14ac:dyDescent="0.2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2.75" customHeight="1" x14ac:dyDescent="0.25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2.75" customHeight="1" x14ac:dyDescent="0.25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2.75" customHeight="1" x14ac:dyDescent="0.25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2.75" customHeight="1" x14ac:dyDescent="0.25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2.75" customHeight="1" x14ac:dyDescent="0.25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2.75" customHeight="1" x14ac:dyDescent="0.25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2.75" customHeight="1" x14ac:dyDescent="0.25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2.75" customHeight="1" x14ac:dyDescent="0.25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2.75" customHeight="1" x14ac:dyDescent="0.25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2.75" customHeight="1" x14ac:dyDescent="0.2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2.75" customHeight="1" x14ac:dyDescent="0.25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2.75" customHeight="1" x14ac:dyDescent="0.25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2.75" customHeight="1" x14ac:dyDescent="0.25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2.75" customHeight="1" x14ac:dyDescent="0.25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2.75" customHeight="1" x14ac:dyDescent="0.25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2.75" customHeight="1" x14ac:dyDescent="0.25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2.75" customHeight="1" x14ac:dyDescent="0.25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2.75" customHeight="1" x14ac:dyDescent="0.25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2.75" customHeight="1" x14ac:dyDescent="0.25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2.75" customHeight="1" x14ac:dyDescent="0.25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2.75" customHeight="1" x14ac:dyDescent="0.25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2.75" customHeight="1" x14ac:dyDescent="0.25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2.75" customHeight="1" x14ac:dyDescent="0.25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2.75" customHeight="1" x14ac:dyDescent="0.25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2.75" customHeight="1" x14ac:dyDescent="0.25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2.75" customHeight="1" x14ac:dyDescent="0.25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2.75" customHeight="1" x14ac:dyDescent="0.25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2.75" customHeight="1" x14ac:dyDescent="0.25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2.75" customHeight="1" x14ac:dyDescent="0.25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2.75" customHeight="1" x14ac:dyDescent="0.25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2.75" customHeight="1" x14ac:dyDescent="0.25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2.75" customHeight="1" x14ac:dyDescent="0.25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2.75" customHeight="1" x14ac:dyDescent="0.25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2.75" customHeight="1" x14ac:dyDescent="0.25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2.75" customHeight="1" x14ac:dyDescent="0.25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2.75" customHeight="1" x14ac:dyDescent="0.25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2.75" customHeight="1" x14ac:dyDescent="0.25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2.75" customHeight="1" x14ac:dyDescent="0.25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2.75" customHeight="1" x14ac:dyDescent="0.25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2.75" customHeight="1" x14ac:dyDescent="0.2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2.75" customHeight="1" x14ac:dyDescent="0.25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2.75" customHeight="1" x14ac:dyDescent="0.25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2.75" customHeight="1" x14ac:dyDescent="0.25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2.75" customHeight="1" x14ac:dyDescent="0.25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2.75" customHeight="1" x14ac:dyDescent="0.25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2.75" customHeight="1" x14ac:dyDescent="0.25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2.75" customHeight="1" x14ac:dyDescent="0.25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2.75" customHeight="1" x14ac:dyDescent="0.25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2.75" customHeight="1" x14ac:dyDescent="0.25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2.75" customHeight="1" x14ac:dyDescent="0.2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2.75" customHeight="1" x14ac:dyDescent="0.25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2.75" customHeight="1" x14ac:dyDescent="0.25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2.75" customHeight="1" x14ac:dyDescent="0.25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2.75" customHeight="1" x14ac:dyDescent="0.25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2.75" customHeight="1" x14ac:dyDescent="0.25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2.75" customHeight="1" x14ac:dyDescent="0.25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2.75" customHeight="1" x14ac:dyDescent="0.25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2.75" customHeight="1" x14ac:dyDescent="0.25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2.75" customHeight="1" x14ac:dyDescent="0.25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2.75" customHeight="1" x14ac:dyDescent="0.2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2.75" customHeight="1" x14ac:dyDescent="0.25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2.75" customHeight="1" x14ac:dyDescent="0.25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2.75" customHeight="1" x14ac:dyDescent="0.25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2.75" customHeight="1" x14ac:dyDescent="0.25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2.75" customHeight="1" x14ac:dyDescent="0.25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2.75" customHeight="1" x14ac:dyDescent="0.25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2.75" customHeight="1" x14ac:dyDescent="0.25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2.75" customHeight="1" x14ac:dyDescent="0.25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2.75" customHeight="1" x14ac:dyDescent="0.25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2.75" customHeight="1" x14ac:dyDescent="0.2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2.75" customHeight="1" x14ac:dyDescent="0.25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2.75" customHeight="1" x14ac:dyDescent="0.25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2.75" customHeight="1" x14ac:dyDescent="0.25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2.75" customHeight="1" x14ac:dyDescent="0.25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2.75" customHeight="1" x14ac:dyDescent="0.25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2.75" customHeight="1" x14ac:dyDescent="0.25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2.75" customHeight="1" x14ac:dyDescent="0.25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2.75" customHeight="1" x14ac:dyDescent="0.25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2.75" customHeight="1" x14ac:dyDescent="0.25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2.75" customHeight="1" x14ac:dyDescent="0.2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2.75" customHeight="1" x14ac:dyDescent="0.25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2.75" customHeight="1" x14ac:dyDescent="0.25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2.75" customHeight="1" x14ac:dyDescent="0.25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2.75" customHeight="1" x14ac:dyDescent="0.25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2.75" customHeight="1" x14ac:dyDescent="0.25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2.75" customHeight="1" x14ac:dyDescent="0.25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2.75" customHeight="1" x14ac:dyDescent="0.25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2.75" customHeight="1" x14ac:dyDescent="0.25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2.75" customHeight="1" x14ac:dyDescent="0.25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2.75" customHeight="1" x14ac:dyDescent="0.2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2.75" customHeight="1" x14ac:dyDescent="0.25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2.75" customHeight="1" x14ac:dyDescent="0.25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2.75" customHeight="1" x14ac:dyDescent="0.25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2.75" customHeight="1" x14ac:dyDescent="0.25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2.75" customHeight="1" x14ac:dyDescent="0.25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2.75" customHeight="1" x14ac:dyDescent="0.25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2.75" customHeight="1" x14ac:dyDescent="0.25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2.75" customHeight="1" x14ac:dyDescent="0.25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2.75" customHeight="1" x14ac:dyDescent="0.25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2.75" customHeight="1" x14ac:dyDescent="0.2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2.75" customHeight="1" x14ac:dyDescent="0.25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2.75" customHeight="1" x14ac:dyDescent="0.25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2.75" customHeight="1" x14ac:dyDescent="0.25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2.75" customHeight="1" x14ac:dyDescent="0.25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2.75" customHeight="1" x14ac:dyDescent="0.25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2.75" customHeight="1" x14ac:dyDescent="0.25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2.75" customHeight="1" x14ac:dyDescent="0.25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2.75" customHeight="1" x14ac:dyDescent="0.25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2.75" customHeight="1" x14ac:dyDescent="0.25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2.75" customHeight="1" x14ac:dyDescent="0.2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2.75" customHeight="1" x14ac:dyDescent="0.25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2.75" customHeight="1" x14ac:dyDescent="0.25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2.75" customHeight="1" x14ac:dyDescent="0.25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2.75" customHeight="1" x14ac:dyDescent="0.25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2.75" customHeight="1" x14ac:dyDescent="0.25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2.75" customHeight="1" x14ac:dyDescent="0.25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2.75" customHeight="1" x14ac:dyDescent="0.25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2.75" customHeight="1" x14ac:dyDescent="0.25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2.75" customHeight="1" x14ac:dyDescent="0.25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2.75" customHeight="1" x14ac:dyDescent="0.2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2.75" customHeight="1" x14ac:dyDescent="0.25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2.75" customHeight="1" x14ac:dyDescent="0.25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2.75" customHeight="1" x14ac:dyDescent="0.25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2.75" customHeight="1" x14ac:dyDescent="0.25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2.75" customHeight="1" x14ac:dyDescent="0.25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2.75" customHeight="1" x14ac:dyDescent="0.25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2.75" customHeight="1" x14ac:dyDescent="0.25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2.75" customHeight="1" x14ac:dyDescent="0.25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2.75" customHeight="1" x14ac:dyDescent="0.25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2.75" customHeight="1" x14ac:dyDescent="0.2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2.75" customHeight="1" x14ac:dyDescent="0.25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2.75" customHeight="1" x14ac:dyDescent="0.25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2.75" customHeight="1" x14ac:dyDescent="0.25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2.75" customHeight="1" x14ac:dyDescent="0.25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2.75" customHeight="1" x14ac:dyDescent="0.25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2.75" customHeight="1" x14ac:dyDescent="0.25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2.75" customHeight="1" x14ac:dyDescent="0.25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2.75" customHeight="1" x14ac:dyDescent="0.25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2.75" customHeight="1" x14ac:dyDescent="0.25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2.75" customHeight="1" x14ac:dyDescent="0.2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2.75" customHeight="1" x14ac:dyDescent="0.25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2.75" customHeight="1" x14ac:dyDescent="0.25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2.75" customHeight="1" x14ac:dyDescent="0.25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2.75" customHeight="1" x14ac:dyDescent="0.25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2.75" customHeight="1" x14ac:dyDescent="0.25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2.75" customHeight="1" x14ac:dyDescent="0.25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2.75" customHeight="1" x14ac:dyDescent="0.25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2.75" customHeight="1" x14ac:dyDescent="0.25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2.75" customHeight="1" x14ac:dyDescent="0.25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2.75" customHeight="1" x14ac:dyDescent="0.2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2.75" customHeight="1" x14ac:dyDescent="0.25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2.75" customHeight="1" x14ac:dyDescent="0.25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2.75" customHeight="1" x14ac:dyDescent="0.25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2.75" customHeight="1" x14ac:dyDescent="0.25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2.75" customHeight="1" x14ac:dyDescent="0.25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2.75" customHeight="1" x14ac:dyDescent="0.25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2.75" customHeight="1" x14ac:dyDescent="0.25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2.75" customHeight="1" x14ac:dyDescent="0.25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2.75" customHeight="1" x14ac:dyDescent="0.25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2.75" customHeight="1" x14ac:dyDescent="0.2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2.75" customHeight="1" x14ac:dyDescent="0.25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2.75" customHeight="1" x14ac:dyDescent="0.25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2.75" customHeight="1" x14ac:dyDescent="0.25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2.75" customHeight="1" x14ac:dyDescent="0.25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2.75" customHeight="1" x14ac:dyDescent="0.25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2.75" customHeight="1" x14ac:dyDescent="0.25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2.75" customHeight="1" x14ac:dyDescent="0.25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2.75" customHeight="1" x14ac:dyDescent="0.25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2.75" customHeight="1" x14ac:dyDescent="0.25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2.75" customHeight="1" x14ac:dyDescent="0.2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2.75" customHeight="1" x14ac:dyDescent="0.25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2.75" customHeight="1" x14ac:dyDescent="0.25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2.75" customHeight="1" x14ac:dyDescent="0.25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2.75" customHeight="1" x14ac:dyDescent="0.25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2.75" customHeight="1" x14ac:dyDescent="0.25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2.75" customHeight="1" x14ac:dyDescent="0.25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2.75" customHeight="1" x14ac:dyDescent="0.25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2.75" customHeight="1" x14ac:dyDescent="0.25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2.75" customHeight="1" x14ac:dyDescent="0.25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2.75" customHeight="1" x14ac:dyDescent="0.2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2.75" customHeight="1" x14ac:dyDescent="0.25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2.75" customHeight="1" x14ac:dyDescent="0.25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2.75" customHeight="1" x14ac:dyDescent="0.25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2.75" customHeight="1" x14ac:dyDescent="0.25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2.75" customHeight="1" x14ac:dyDescent="0.25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2.75" customHeight="1" x14ac:dyDescent="0.25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2.75" customHeight="1" x14ac:dyDescent="0.25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2.75" customHeight="1" x14ac:dyDescent="0.25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2.75" customHeight="1" x14ac:dyDescent="0.25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2.75" customHeight="1" x14ac:dyDescent="0.2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2.75" customHeight="1" x14ac:dyDescent="0.25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2.75" customHeight="1" x14ac:dyDescent="0.25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2.75" customHeight="1" x14ac:dyDescent="0.25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2.75" customHeight="1" x14ac:dyDescent="0.25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2.75" customHeight="1" x14ac:dyDescent="0.25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2.75" customHeight="1" x14ac:dyDescent="0.25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2.75" customHeight="1" x14ac:dyDescent="0.25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2.75" customHeight="1" x14ac:dyDescent="0.25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2.75" customHeight="1" x14ac:dyDescent="0.25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2.75" customHeight="1" x14ac:dyDescent="0.2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2.75" customHeight="1" x14ac:dyDescent="0.25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2.75" customHeight="1" x14ac:dyDescent="0.25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2.75" customHeight="1" x14ac:dyDescent="0.25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2.75" customHeight="1" x14ac:dyDescent="0.25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2.75" customHeight="1" x14ac:dyDescent="0.25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2.75" customHeight="1" x14ac:dyDescent="0.25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2.75" customHeight="1" x14ac:dyDescent="0.25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2.75" customHeight="1" x14ac:dyDescent="0.25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2.75" customHeight="1" x14ac:dyDescent="0.25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2.75" customHeight="1" x14ac:dyDescent="0.2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2.75" customHeight="1" x14ac:dyDescent="0.25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2.75" customHeight="1" x14ac:dyDescent="0.25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2.75" customHeight="1" x14ac:dyDescent="0.25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2.75" customHeight="1" x14ac:dyDescent="0.25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2.75" customHeight="1" x14ac:dyDescent="0.25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2.75" customHeight="1" x14ac:dyDescent="0.25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2.75" customHeight="1" x14ac:dyDescent="0.25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2.75" customHeight="1" x14ac:dyDescent="0.25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2.75" customHeight="1" x14ac:dyDescent="0.25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2.75" customHeight="1" x14ac:dyDescent="0.2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2.75" customHeight="1" x14ac:dyDescent="0.25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2.75" customHeight="1" x14ac:dyDescent="0.25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2.75" customHeight="1" x14ac:dyDescent="0.25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2.75" customHeight="1" x14ac:dyDescent="0.25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2.75" customHeight="1" x14ac:dyDescent="0.25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2.75" customHeight="1" x14ac:dyDescent="0.25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2.75" customHeight="1" x14ac:dyDescent="0.25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2.75" customHeight="1" x14ac:dyDescent="0.25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2.75" customHeight="1" x14ac:dyDescent="0.25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2.75" customHeight="1" x14ac:dyDescent="0.2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2.75" customHeight="1" x14ac:dyDescent="0.25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2.75" customHeight="1" x14ac:dyDescent="0.25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2.75" customHeight="1" x14ac:dyDescent="0.25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2.75" customHeight="1" x14ac:dyDescent="0.25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2.75" customHeight="1" x14ac:dyDescent="0.25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2.75" customHeight="1" x14ac:dyDescent="0.25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2.75" customHeight="1" x14ac:dyDescent="0.25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2.75" customHeight="1" x14ac:dyDescent="0.25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2.75" customHeight="1" x14ac:dyDescent="0.25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2.75" customHeight="1" x14ac:dyDescent="0.2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2.75" customHeight="1" x14ac:dyDescent="0.25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2.75" customHeight="1" x14ac:dyDescent="0.25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2.75" customHeight="1" x14ac:dyDescent="0.25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2.75" customHeight="1" x14ac:dyDescent="0.25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2.75" customHeight="1" x14ac:dyDescent="0.25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2.75" customHeight="1" x14ac:dyDescent="0.25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2.75" customHeight="1" x14ac:dyDescent="0.25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2.75" customHeight="1" x14ac:dyDescent="0.25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2.75" customHeight="1" x14ac:dyDescent="0.25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2.75" customHeight="1" x14ac:dyDescent="0.2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2.75" customHeight="1" x14ac:dyDescent="0.25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2.75" customHeight="1" x14ac:dyDescent="0.25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2.75" customHeight="1" x14ac:dyDescent="0.25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2.75" customHeight="1" x14ac:dyDescent="0.25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2.75" customHeight="1" x14ac:dyDescent="0.25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2.75" customHeight="1" x14ac:dyDescent="0.25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2.75" customHeight="1" x14ac:dyDescent="0.25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2.75" customHeight="1" x14ac:dyDescent="0.25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2.75" customHeight="1" x14ac:dyDescent="0.25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2.75" customHeight="1" x14ac:dyDescent="0.2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2.75" customHeight="1" x14ac:dyDescent="0.25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2.75" customHeight="1" x14ac:dyDescent="0.25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2.75" customHeight="1" x14ac:dyDescent="0.25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2.75" customHeight="1" x14ac:dyDescent="0.25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2.75" customHeight="1" x14ac:dyDescent="0.25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2.75" customHeight="1" x14ac:dyDescent="0.25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2.75" customHeight="1" x14ac:dyDescent="0.25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2.75" customHeight="1" x14ac:dyDescent="0.25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2.75" customHeight="1" x14ac:dyDescent="0.25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2.75" customHeight="1" x14ac:dyDescent="0.2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2.75" customHeight="1" x14ac:dyDescent="0.25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2.75" customHeight="1" x14ac:dyDescent="0.25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2.75" customHeight="1" x14ac:dyDescent="0.25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2.75" customHeight="1" x14ac:dyDescent="0.25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2.75" customHeight="1" x14ac:dyDescent="0.25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2.75" customHeight="1" x14ac:dyDescent="0.25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2.75" customHeight="1" x14ac:dyDescent="0.25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2.75" customHeight="1" x14ac:dyDescent="0.25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2.75" customHeight="1" x14ac:dyDescent="0.25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2.75" customHeight="1" x14ac:dyDescent="0.2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2.75" customHeight="1" x14ac:dyDescent="0.25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2.75" customHeight="1" x14ac:dyDescent="0.25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2.75" customHeight="1" x14ac:dyDescent="0.25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2.75" customHeight="1" x14ac:dyDescent="0.25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2.75" customHeight="1" x14ac:dyDescent="0.25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2.75" customHeight="1" x14ac:dyDescent="0.25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2.75" customHeight="1" x14ac:dyDescent="0.25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2.75" customHeight="1" x14ac:dyDescent="0.25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2.75" customHeight="1" x14ac:dyDescent="0.25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2.75" customHeight="1" x14ac:dyDescent="0.2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2.75" customHeight="1" x14ac:dyDescent="0.25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2.75" customHeight="1" x14ac:dyDescent="0.25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2.75" customHeight="1" x14ac:dyDescent="0.25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2.75" customHeight="1" x14ac:dyDescent="0.25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2.75" customHeight="1" x14ac:dyDescent="0.25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2.75" customHeight="1" x14ac:dyDescent="0.25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2.75" customHeight="1" x14ac:dyDescent="0.25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2.75" customHeight="1" x14ac:dyDescent="0.25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2.75" customHeight="1" x14ac:dyDescent="0.25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2.75" customHeight="1" x14ac:dyDescent="0.2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2.75" customHeight="1" x14ac:dyDescent="0.25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2.75" customHeight="1" x14ac:dyDescent="0.25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2.75" customHeight="1" x14ac:dyDescent="0.25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2.75" customHeight="1" x14ac:dyDescent="0.25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2.75" customHeight="1" x14ac:dyDescent="0.25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2.75" customHeight="1" x14ac:dyDescent="0.25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2.75" customHeight="1" x14ac:dyDescent="0.25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2.75" customHeight="1" x14ac:dyDescent="0.25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2.75" customHeight="1" x14ac:dyDescent="0.25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2.75" customHeight="1" x14ac:dyDescent="0.2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2.75" customHeight="1" x14ac:dyDescent="0.25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2.75" customHeight="1" x14ac:dyDescent="0.25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2.75" customHeight="1" x14ac:dyDescent="0.25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2.75" customHeight="1" x14ac:dyDescent="0.25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2.75" customHeight="1" x14ac:dyDescent="0.25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2.75" customHeight="1" x14ac:dyDescent="0.25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2.75" customHeight="1" x14ac:dyDescent="0.25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2.75" customHeight="1" x14ac:dyDescent="0.25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2.75" customHeight="1" x14ac:dyDescent="0.25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2.75" customHeight="1" x14ac:dyDescent="0.2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2.75" customHeight="1" x14ac:dyDescent="0.25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2.75" customHeight="1" x14ac:dyDescent="0.25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2.75" customHeight="1" x14ac:dyDescent="0.25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2.75" customHeight="1" x14ac:dyDescent="0.25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2.75" customHeight="1" x14ac:dyDescent="0.25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2.75" customHeight="1" x14ac:dyDescent="0.25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2.75" customHeight="1" x14ac:dyDescent="0.25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2.75" customHeight="1" x14ac:dyDescent="0.25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2.75" customHeight="1" x14ac:dyDescent="0.25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2.75" customHeight="1" x14ac:dyDescent="0.2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2.75" customHeight="1" x14ac:dyDescent="0.25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2.75" customHeight="1" x14ac:dyDescent="0.25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2.75" customHeight="1" x14ac:dyDescent="0.25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2.75" customHeight="1" x14ac:dyDescent="0.25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2.75" customHeight="1" x14ac:dyDescent="0.25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2.75" customHeight="1" x14ac:dyDescent="0.25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2.75" customHeight="1" x14ac:dyDescent="0.25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2.75" customHeight="1" x14ac:dyDescent="0.25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2.75" customHeight="1" x14ac:dyDescent="0.25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2.75" customHeight="1" x14ac:dyDescent="0.2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2.75" customHeight="1" x14ac:dyDescent="0.25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2.75" customHeight="1" x14ac:dyDescent="0.25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2.75" customHeight="1" x14ac:dyDescent="0.25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2.75" customHeight="1" x14ac:dyDescent="0.25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2.75" customHeight="1" x14ac:dyDescent="0.25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2.75" customHeight="1" x14ac:dyDescent="0.25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2.75" customHeight="1" x14ac:dyDescent="0.25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2.75" customHeight="1" x14ac:dyDescent="0.25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2.75" customHeight="1" x14ac:dyDescent="0.25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2.75" customHeight="1" x14ac:dyDescent="0.2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2.75" customHeight="1" x14ac:dyDescent="0.25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2.75" customHeight="1" x14ac:dyDescent="0.25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2.75" customHeight="1" x14ac:dyDescent="0.25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2.75" customHeight="1" x14ac:dyDescent="0.25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2.75" customHeight="1" x14ac:dyDescent="0.25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2.75" customHeight="1" x14ac:dyDescent="0.25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2.75" customHeight="1" x14ac:dyDescent="0.25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2.75" customHeight="1" x14ac:dyDescent="0.25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2.75" customHeight="1" x14ac:dyDescent="0.25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2.75" customHeight="1" x14ac:dyDescent="0.2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2.75" customHeight="1" x14ac:dyDescent="0.25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2.75" customHeight="1" x14ac:dyDescent="0.25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2.75" customHeight="1" x14ac:dyDescent="0.25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2.75" customHeight="1" x14ac:dyDescent="0.25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2.75" customHeight="1" x14ac:dyDescent="0.25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2.75" customHeight="1" x14ac:dyDescent="0.25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2.75" customHeight="1" x14ac:dyDescent="0.25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2.75" customHeight="1" x14ac:dyDescent="0.25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2.75" customHeight="1" x14ac:dyDescent="0.25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2.75" customHeight="1" x14ac:dyDescent="0.2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2.75" customHeight="1" x14ac:dyDescent="0.25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2.75" customHeight="1" x14ac:dyDescent="0.25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2.75" customHeight="1" x14ac:dyDescent="0.25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2.75" customHeight="1" x14ac:dyDescent="0.25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2.75" customHeight="1" x14ac:dyDescent="0.25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2.75" customHeight="1" x14ac:dyDescent="0.25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2.75" customHeight="1" x14ac:dyDescent="0.25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2.75" customHeight="1" x14ac:dyDescent="0.25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2.75" customHeight="1" x14ac:dyDescent="0.25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2.75" customHeight="1" x14ac:dyDescent="0.2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2.75" customHeight="1" x14ac:dyDescent="0.25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2.75" customHeight="1" x14ac:dyDescent="0.25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2.75" customHeight="1" x14ac:dyDescent="0.25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2.75" customHeight="1" x14ac:dyDescent="0.25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2.75" customHeight="1" x14ac:dyDescent="0.25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2.75" customHeight="1" x14ac:dyDescent="0.25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2.75" customHeight="1" x14ac:dyDescent="0.25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2.75" customHeight="1" x14ac:dyDescent="0.25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2.75" customHeight="1" x14ac:dyDescent="0.25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2.75" customHeight="1" x14ac:dyDescent="0.2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2.75" customHeight="1" x14ac:dyDescent="0.25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2.75" customHeight="1" x14ac:dyDescent="0.25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2.75" customHeight="1" x14ac:dyDescent="0.25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2.75" customHeight="1" x14ac:dyDescent="0.25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2.75" customHeight="1" x14ac:dyDescent="0.25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2.75" customHeight="1" x14ac:dyDescent="0.25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2.75" customHeight="1" x14ac:dyDescent="0.25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2.75" customHeight="1" x14ac:dyDescent="0.25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2.75" customHeight="1" x14ac:dyDescent="0.25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2.75" customHeight="1" x14ac:dyDescent="0.2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2.75" customHeight="1" x14ac:dyDescent="0.25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2.75" customHeight="1" x14ac:dyDescent="0.25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2.75" customHeight="1" x14ac:dyDescent="0.25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2.75" customHeight="1" x14ac:dyDescent="0.25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2.75" customHeight="1" x14ac:dyDescent="0.25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2.75" customHeight="1" x14ac:dyDescent="0.25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2.75" customHeight="1" x14ac:dyDescent="0.25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2.75" customHeight="1" x14ac:dyDescent="0.25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2.75" customHeight="1" x14ac:dyDescent="0.25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2.75" customHeight="1" x14ac:dyDescent="0.2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2.75" customHeight="1" x14ac:dyDescent="0.25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2.75" customHeight="1" x14ac:dyDescent="0.25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2.75" customHeight="1" x14ac:dyDescent="0.25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2.75" customHeight="1" x14ac:dyDescent="0.25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2.75" customHeight="1" x14ac:dyDescent="0.25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2.75" customHeight="1" x14ac:dyDescent="0.25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2.75" customHeight="1" x14ac:dyDescent="0.25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2.75" customHeight="1" x14ac:dyDescent="0.25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2.75" customHeight="1" x14ac:dyDescent="0.25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2.75" customHeight="1" x14ac:dyDescent="0.2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2.75" customHeight="1" x14ac:dyDescent="0.25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2.75" customHeight="1" x14ac:dyDescent="0.25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2.75" customHeight="1" x14ac:dyDescent="0.25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2.75" customHeight="1" x14ac:dyDescent="0.25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2.75" customHeight="1" x14ac:dyDescent="0.25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2.75" customHeight="1" x14ac:dyDescent="0.25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2.75" customHeight="1" x14ac:dyDescent="0.25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2.75" customHeight="1" x14ac:dyDescent="0.25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2.75" customHeight="1" x14ac:dyDescent="0.25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2.75" customHeight="1" x14ac:dyDescent="0.2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2.75" customHeight="1" x14ac:dyDescent="0.25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2.75" customHeight="1" x14ac:dyDescent="0.25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2.75" customHeight="1" x14ac:dyDescent="0.25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2.75" customHeight="1" x14ac:dyDescent="0.25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2.75" customHeight="1" x14ac:dyDescent="0.25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2.75" customHeight="1" x14ac:dyDescent="0.25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2.75" customHeight="1" x14ac:dyDescent="0.25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2.75" customHeight="1" x14ac:dyDescent="0.25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2.75" customHeight="1" x14ac:dyDescent="0.25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2.75" customHeight="1" x14ac:dyDescent="0.2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2.75" customHeight="1" x14ac:dyDescent="0.25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2.75" customHeight="1" x14ac:dyDescent="0.25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2.75" customHeight="1" x14ac:dyDescent="0.25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2.75" customHeight="1" x14ac:dyDescent="0.25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2.75" customHeight="1" x14ac:dyDescent="0.25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2.75" customHeight="1" x14ac:dyDescent="0.25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2.75" customHeight="1" x14ac:dyDescent="0.25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2.75" customHeight="1" x14ac:dyDescent="0.25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2.75" customHeight="1" x14ac:dyDescent="0.25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2.75" customHeight="1" x14ac:dyDescent="0.2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2.75" customHeight="1" x14ac:dyDescent="0.25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2.75" customHeight="1" x14ac:dyDescent="0.25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2.75" customHeight="1" x14ac:dyDescent="0.25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2.75" customHeight="1" x14ac:dyDescent="0.25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2.75" customHeight="1" x14ac:dyDescent="0.25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2.75" customHeight="1" x14ac:dyDescent="0.25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2.75" customHeight="1" x14ac:dyDescent="0.25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2.75" customHeight="1" x14ac:dyDescent="0.25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2.75" customHeight="1" x14ac:dyDescent="0.25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2.75" customHeight="1" x14ac:dyDescent="0.2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2.75" customHeight="1" x14ac:dyDescent="0.25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2.75" customHeight="1" x14ac:dyDescent="0.25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2.75" customHeight="1" x14ac:dyDescent="0.25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2.75" customHeight="1" x14ac:dyDescent="0.25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2.75" customHeight="1" x14ac:dyDescent="0.25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2.75" customHeight="1" x14ac:dyDescent="0.25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2.75" customHeight="1" x14ac:dyDescent="0.25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2.75" customHeight="1" x14ac:dyDescent="0.25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2.75" customHeight="1" x14ac:dyDescent="0.25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2.75" customHeight="1" x14ac:dyDescent="0.2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2.75" customHeight="1" x14ac:dyDescent="0.25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2.75" customHeight="1" x14ac:dyDescent="0.25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2.75" customHeight="1" x14ac:dyDescent="0.25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2.75" customHeight="1" x14ac:dyDescent="0.25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2.75" customHeight="1" x14ac:dyDescent="0.25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2.75" customHeight="1" x14ac:dyDescent="0.25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2.75" customHeight="1" x14ac:dyDescent="0.25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2.75" customHeight="1" x14ac:dyDescent="0.25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2.75" customHeight="1" x14ac:dyDescent="0.25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2.75" customHeight="1" x14ac:dyDescent="0.2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2.75" customHeight="1" x14ac:dyDescent="0.25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2.75" customHeight="1" x14ac:dyDescent="0.25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2.75" customHeight="1" x14ac:dyDescent="0.25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2.75" customHeight="1" x14ac:dyDescent="0.25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2.75" customHeight="1" x14ac:dyDescent="0.25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2.75" customHeight="1" x14ac:dyDescent="0.25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2.75" customHeight="1" x14ac:dyDescent="0.25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2.75" customHeight="1" x14ac:dyDescent="0.25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2.75" customHeight="1" x14ac:dyDescent="0.25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2.75" customHeight="1" x14ac:dyDescent="0.2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2.75" customHeight="1" x14ac:dyDescent="0.25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2.75" customHeight="1" x14ac:dyDescent="0.25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2.75" customHeight="1" x14ac:dyDescent="0.25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2.75" customHeight="1" x14ac:dyDescent="0.25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2.75" customHeight="1" x14ac:dyDescent="0.25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2.75" customHeight="1" x14ac:dyDescent="0.25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2.75" customHeight="1" x14ac:dyDescent="0.25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2.75" customHeight="1" x14ac:dyDescent="0.25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2.75" customHeight="1" x14ac:dyDescent="0.25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2.75" customHeight="1" x14ac:dyDescent="0.2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2.75" customHeight="1" x14ac:dyDescent="0.25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2.75" customHeight="1" x14ac:dyDescent="0.25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2.75" customHeight="1" x14ac:dyDescent="0.25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2.75" customHeight="1" x14ac:dyDescent="0.25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2.75" customHeight="1" x14ac:dyDescent="0.25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2.75" customHeight="1" x14ac:dyDescent="0.25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2.75" customHeight="1" x14ac:dyDescent="0.25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2.75" customHeight="1" x14ac:dyDescent="0.25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2.75" customHeight="1" x14ac:dyDescent="0.25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2.75" customHeight="1" x14ac:dyDescent="0.2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2.75" customHeight="1" x14ac:dyDescent="0.25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2.75" customHeight="1" x14ac:dyDescent="0.25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2.75" customHeight="1" x14ac:dyDescent="0.25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2.75" customHeight="1" x14ac:dyDescent="0.25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2.75" customHeight="1" x14ac:dyDescent="0.25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2.75" customHeight="1" x14ac:dyDescent="0.25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2.75" customHeight="1" x14ac:dyDescent="0.25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2.75" customHeight="1" x14ac:dyDescent="0.25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2.75" customHeight="1" x14ac:dyDescent="0.25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2.75" customHeight="1" x14ac:dyDescent="0.2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2.75" customHeight="1" x14ac:dyDescent="0.25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2.75" customHeight="1" x14ac:dyDescent="0.25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2.75" customHeight="1" x14ac:dyDescent="0.25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2.75" customHeight="1" x14ac:dyDescent="0.25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2.75" customHeight="1" x14ac:dyDescent="0.25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2.75" customHeight="1" x14ac:dyDescent="0.25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2.75" customHeight="1" x14ac:dyDescent="0.25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2.75" customHeight="1" x14ac:dyDescent="0.25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2.75" customHeight="1" x14ac:dyDescent="0.25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2.75" customHeight="1" x14ac:dyDescent="0.2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2.75" customHeight="1" x14ac:dyDescent="0.25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2.75" customHeight="1" x14ac:dyDescent="0.25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2.75" customHeight="1" x14ac:dyDescent="0.25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2.75" customHeight="1" x14ac:dyDescent="0.25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2.75" customHeight="1" x14ac:dyDescent="0.25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2.75" customHeight="1" x14ac:dyDescent="0.25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2.75" customHeight="1" x14ac:dyDescent="0.25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2.75" customHeight="1" x14ac:dyDescent="0.25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2.75" customHeight="1" x14ac:dyDescent="0.25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2.75" customHeight="1" x14ac:dyDescent="0.2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2.75" customHeight="1" x14ac:dyDescent="0.25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2.75" customHeight="1" x14ac:dyDescent="0.25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2.75" customHeight="1" x14ac:dyDescent="0.25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2.75" customHeight="1" x14ac:dyDescent="0.25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2.75" customHeight="1" x14ac:dyDescent="0.25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2.75" customHeight="1" x14ac:dyDescent="0.25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2.75" customHeight="1" x14ac:dyDescent="0.25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2.75" customHeight="1" x14ac:dyDescent="0.25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2.75" customHeight="1" x14ac:dyDescent="0.25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2.75" customHeight="1" x14ac:dyDescent="0.2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2.75" customHeight="1" x14ac:dyDescent="0.25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2.75" customHeight="1" x14ac:dyDescent="0.25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2.75" customHeight="1" x14ac:dyDescent="0.25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2.75" customHeight="1" x14ac:dyDescent="0.25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2.75" customHeight="1" x14ac:dyDescent="0.25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2.75" customHeight="1" x14ac:dyDescent="0.25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2.75" customHeight="1" x14ac:dyDescent="0.25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2.75" customHeight="1" x14ac:dyDescent="0.25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2.75" customHeight="1" x14ac:dyDescent="0.25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2.75" customHeight="1" x14ac:dyDescent="0.2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2.75" customHeight="1" x14ac:dyDescent="0.25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2.75" customHeight="1" x14ac:dyDescent="0.25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2.75" customHeight="1" x14ac:dyDescent="0.25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2.75" customHeight="1" x14ac:dyDescent="0.25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2.75" customHeight="1" x14ac:dyDescent="0.25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2.75" customHeight="1" x14ac:dyDescent="0.25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2.75" customHeight="1" x14ac:dyDescent="0.25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2.75" customHeight="1" x14ac:dyDescent="0.25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2.75" customHeight="1" x14ac:dyDescent="0.25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2.75" customHeight="1" x14ac:dyDescent="0.2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2.75" customHeight="1" x14ac:dyDescent="0.25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2.75" customHeight="1" x14ac:dyDescent="0.25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2.75" customHeight="1" x14ac:dyDescent="0.25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2.75" customHeight="1" x14ac:dyDescent="0.25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2.75" customHeight="1" x14ac:dyDescent="0.25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2.75" customHeight="1" x14ac:dyDescent="0.25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2.75" customHeight="1" x14ac:dyDescent="0.25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2.75" customHeight="1" x14ac:dyDescent="0.25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2.75" customHeight="1" x14ac:dyDescent="0.25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2.75" customHeight="1" x14ac:dyDescent="0.2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2.75" customHeight="1" x14ac:dyDescent="0.25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2.75" customHeight="1" x14ac:dyDescent="0.25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2.75" customHeight="1" x14ac:dyDescent="0.25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2.75" customHeight="1" x14ac:dyDescent="0.25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2.75" customHeight="1" x14ac:dyDescent="0.25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2.75" customHeight="1" x14ac:dyDescent="0.25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2.75" customHeight="1" x14ac:dyDescent="0.25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2.75" customHeight="1" x14ac:dyDescent="0.25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2.75" customHeight="1" x14ac:dyDescent="0.25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2.75" customHeight="1" x14ac:dyDescent="0.2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2.75" customHeight="1" x14ac:dyDescent="0.25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2.75" customHeight="1" x14ac:dyDescent="0.25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2.75" customHeight="1" x14ac:dyDescent="0.25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2.75" customHeight="1" x14ac:dyDescent="0.25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2.75" customHeight="1" x14ac:dyDescent="0.25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2.75" customHeight="1" x14ac:dyDescent="0.25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2.75" customHeight="1" x14ac:dyDescent="0.25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2.75" customHeight="1" x14ac:dyDescent="0.25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2.75" customHeight="1" x14ac:dyDescent="0.25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2.75" customHeight="1" x14ac:dyDescent="0.2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2.75" customHeight="1" x14ac:dyDescent="0.25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2.75" customHeight="1" x14ac:dyDescent="0.25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2.75" customHeight="1" x14ac:dyDescent="0.25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2.75" customHeight="1" x14ac:dyDescent="0.25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2.75" customHeight="1" x14ac:dyDescent="0.25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2.75" customHeight="1" x14ac:dyDescent="0.25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2.75" customHeight="1" x14ac:dyDescent="0.25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2.75" customHeight="1" x14ac:dyDescent="0.25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2.75" customHeight="1" x14ac:dyDescent="0.25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2.75" customHeight="1" x14ac:dyDescent="0.2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2.75" customHeight="1" x14ac:dyDescent="0.25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2.75" customHeight="1" x14ac:dyDescent="0.25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2.75" customHeight="1" x14ac:dyDescent="0.25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2.75" customHeight="1" x14ac:dyDescent="0.25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2.75" customHeight="1" x14ac:dyDescent="0.25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2.75" customHeight="1" x14ac:dyDescent="0.25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2.75" customHeight="1" x14ac:dyDescent="0.25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2.75" customHeight="1" x14ac:dyDescent="0.25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2.75" customHeight="1" x14ac:dyDescent="0.25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2.75" customHeight="1" x14ac:dyDescent="0.2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2.75" customHeight="1" x14ac:dyDescent="0.25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2.75" customHeight="1" x14ac:dyDescent="0.25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2.75" customHeight="1" x14ac:dyDescent="0.25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2.75" customHeight="1" x14ac:dyDescent="0.25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2.75" customHeight="1" x14ac:dyDescent="0.25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2.75" customHeight="1" x14ac:dyDescent="0.25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2.75" customHeight="1" x14ac:dyDescent="0.25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2.75" customHeight="1" x14ac:dyDescent="0.25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2.75" customHeight="1" x14ac:dyDescent="0.25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2.75" customHeight="1" x14ac:dyDescent="0.2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2.75" customHeight="1" x14ac:dyDescent="0.25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2.75" customHeight="1" x14ac:dyDescent="0.25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2.75" customHeight="1" x14ac:dyDescent="0.25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2.75" customHeight="1" x14ac:dyDescent="0.25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2.75" customHeight="1" x14ac:dyDescent="0.25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2.75" customHeight="1" x14ac:dyDescent="0.25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2.75" customHeight="1" x14ac:dyDescent="0.25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2.75" customHeight="1" x14ac:dyDescent="0.25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2.75" customHeight="1" x14ac:dyDescent="0.25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2.75" customHeight="1" x14ac:dyDescent="0.2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2.75" customHeight="1" x14ac:dyDescent="0.25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2.75" customHeight="1" x14ac:dyDescent="0.25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2.75" customHeight="1" x14ac:dyDescent="0.25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2.75" customHeight="1" x14ac:dyDescent="0.25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2.75" customHeight="1" x14ac:dyDescent="0.25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2.75" customHeight="1" x14ac:dyDescent="0.25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2.75" customHeight="1" x14ac:dyDescent="0.25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2.75" customHeight="1" x14ac:dyDescent="0.25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2.75" customHeight="1" x14ac:dyDescent="0.25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2.75" customHeight="1" x14ac:dyDescent="0.2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2.75" customHeight="1" x14ac:dyDescent="0.25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2.75" customHeight="1" x14ac:dyDescent="0.25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2.75" customHeight="1" x14ac:dyDescent="0.25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2.75" customHeight="1" x14ac:dyDescent="0.25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2.75" customHeight="1" x14ac:dyDescent="0.25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2.75" customHeight="1" x14ac:dyDescent="0.25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2.75" customHeight="1" x14ac:dyDescent="0.25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2.75" customHeight="1" x14ac:dyDescent="0.25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2.75" customHeight="1" x14ac:dyDescent="0.25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2.75" customHeight="1" x14ac:dyDescent="0.2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2.75" customHeight="1" x14ac:dyDescent="0.25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2.75" customHeight="1" x14ac:dyDescent="0.25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2.75" customHeight="1" x14ac:dyDescent="0.25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2.75" customHeight="1" x14ac:dyDescent="0.25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2.75" customHeight="1" x14ac:dyDescent="0.25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2.75" customHeight="1" x14ac:dyDescent="0.25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2.75" customHeight="1" x14ac:dyDescent="0.25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2.75" customHeight="1" x14ac:dyDescent="0.25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2.75" customHeight="1" x14ac:dyDescent="0.25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2.75" customHeight="1" x14ac:dyDescent="0.2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2.75" customHeight="1" x14ac:dyDescent="0.25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2.75" customHeight="1" x14ac:dyDescent="0.25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2.75" customHeight="1" x14ac:dyDescent="0.25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2.75" customHeight="1" x14ac:dyDescent="0.25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2.75" customHeight="1" x14ac:dyDescent="0.25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2.75" customHeight="1" x14ac:dyDescent="0.25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2.75" customHeight="1" x14ac:dyDescent="0.25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2.75" customHeight="1" x14ac:dyDescent="0.25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2.75" customHeight="1" x14ac:dyDescent="0.25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2.75" customHeight="1" x14ac:dyDescent="0.2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2.75" customHeight="1" x14ac:dyDescent="0.25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2.75" customHeight="1" x14ac:dyDescent="0.25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2.75" customHeight="1" x14ac:dyDescent="0.25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2.75" customHeight="1" x14ac:dyDescent="0.25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2.75" customHeight="1" x14ac:dyDescent="0.25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2.75" customHeight="1" x14ac:dyDescent="0.25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2.75" customHeight="1" x14ac:dyDescent="0.25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2.75" customHeight="1" x14ac:dyDescent="0.25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2.75" customHeight="1" x14ac:dyDescent="0.25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2.75" customHeight="1" x14ac:dyDescent="0.2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2.75" customHeight="1" x14ac:dyDescent="0.25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2.75" customHeight="1" x14ac:dyDescent="0.25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2.75" customHeight="1" x14ac:dyDescent="0.25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2.75" customHeight="1" x14ac:dyDescent="0.25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2.75" customHeight="1" x14ac:dyDescent="0.25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2.75" customHeight="1" x14ac:dyDescent="0.25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2.75" customHeight="1" x14ac:dyDescent="0.25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2.75" customHeight="1" x14ac:dyDescent="0.25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2.75" customHeight="1" x14ac:dyDescent="0.25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2.75" customHeight="1" x14ac:dyDescent="0.2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2.75" customHeight="1" x14ac:dyDescent="0.25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2.75" customHeight="1" x14ac:dyDescent="0.25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2.75" customHeight="1" x14ac:dyDescent="0.25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2.75" customHeight="1" x14ac:dyDescent="0.25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2.75" customHeight="1" x14ac:dyDescent="0.25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2.75" customHeight="1" x14ac:dyDescent="0.25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2.75" customHeight="1" x14ac:dyDescent="0.25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2.75" customHeight="1" x14ac:dyDescent="0.25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2.75" customHeight="1" x14ac:dyDescent="0.25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2.75" customHeight="1" x14ac:dyDescent="0.2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2.75" customHeight="1" x14ac:dyDescent="0.25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2.75" customHeight="1" x14ac:dyDescent="0.25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2.75" customHeight="1" x14ac:dyDescent="0.25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2.75" customHeight="1" x14ac:dyDescent="0.25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2.75" customHeight="1" x14ac:dyDescent="0.25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2.75" customHeight="1" x14ac:dyDescent="0.25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2.75" customHeight="1" x14ac:dyDescent="0.25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2.75" customHeight="1" x14ac:dyDescent="0.25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2.75" customHeight="1" x14ac:dyDescent="0.25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2.75" customHeight="1" x14ac:dyDescent="0.2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2.75" customHeight="1" x14ac:dyDescent="0.25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2.75" customHeight="1" x14ac:dyDescent="0.25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2.75" customHeight="1" x14ac:dyDescent="0.25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2.75" customHeight="1" x14ac:dyDescent="0.25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2.75" customHeight="1" x14ac:dyDescent="0.25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2.75" customHeight="1" x14ac:dyDescent="0.25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2.75" customHeight="1" x14ac:dyDescent="0.25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2.75" customHeight="1" x14ac:dyDescent="0.25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2.75" customHeight="1" x14ac:dyDescent="0.25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2.75" customHeight="1" x14ac:dyDescent="0.2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2.75" customHeight="1" x14ac:dyDescent="0.25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2.75" customHeight="1" x14ac:dyDescent="0.25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2.75" customHeight="1" x14ac:dyDescent="0.25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2.75" customHeight="1" x14ac:dyDescent="0.25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2.75" customHeight="1" x14ac:dyDescent="0.25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2.75" customHeight="1" x14ac:dyDescent="0.25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2.75" customHeight="1" x14ac:dyDescent="0.25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2.75" customHeight="1" x14ac:dyDescent="0.25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2.75" customHeight="1" x14ac:dyDescent="0.25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2.75" customHeight="1" x14ac:dyDescent="0.2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2.75" customHeight="1" x14ac:dyDescent="0.25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2.75" customHeight="1" x14ac:dyDescent="0.25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2.75" customHeight="1" x14ac:dyDescent="0.25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2.75" customHeight="1" x14ac:dyDescent="0.25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2.75" customHeight="1" x14ac:dyDescent="0.25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2.75" customHeight="1" x14ac:dyDescent="0.25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2.75" customHeight="1" x14ac:dyDescent="0.25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2.75" customHeight="1" x14ac:dyDescent="0.25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2.75" customHeight="1" x14ac:dyDescent="0.25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2.75" customHeight="1" x14ac:dyDescent="0.2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2.75" customHeight="1" x14ac:dyDescent="0.25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2.75" customHeight="1" x14ac:dyDescent="0.25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2.75" customHeight="1" x14ac:dyDescent="0.25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2.75" customHeight="1" x14ac:dyDescent="0.25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2.75" customHeight="1" x14ac:dyDescent="0.25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2.75" customHeight="1" x14ac:dyDescent="0.25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2.75" customHeight="1" x14ac:dyDescent="0.25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2.75" customHeight="1" x14ac:dyDescent="0.25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2.75" customHeight="1" x14ac:dyDescent="0.25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2.75" customHeight="1" x14ac:dyDescent="0.2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2.75" customHeight="1" x14ac:dyDescent="0.25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2.75" customHeight="1" x14ac:dyDescent="0.25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2.75" customHeight="1" x14ac:dyDescent="0.25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2.75" customHeight="1" x14ac:dyDescent="0.25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2.75" customHeight="1" x14ac:dyDescent="0.25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2.75" customHeight="1" x14ac:dyDescent="0.25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2.75" customHeight="1" x14ac:dyDescent="0.25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2.75" customHeight="1" x14ac:dyDescent="0.25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2.75" customHeight="1" x14ac:dyDescent="0.25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2.75" customHeight="1" x14ac:dyDescent="0.2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2.75" customHeight="1" x14ac:dyDescent="0.25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2.75" customHeight="1" x14ac:dyDescent="0.25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2.75" customHeight="1" x14ac:dyDescent="0.25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2.75" customHeight="1" x14ac:dyDescent="0.25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2.75" customHeight="1" x14ac:dyDescent="0.25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2.75" customHeight="1" x14ac:dyDescent="0.25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2.75" customHeight="1" x14ac:dyDescent="0.25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2.75" customHeight="1" x14ac:dyDescent="0.25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2.75" customHeight="1" x14ac:dyDescent="0.25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2.75" customHeight="1" x14ac:dyDescent="0.2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2.75" customHeight="1" x14ac:dyDescent="0.25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2.75" customHeight="1" x14ac:dyDescent="0.25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2.75" customHeight="1" x14ac:dyDescent="0.25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2.75" customHeight="1" x14ac:dyDescent="0.25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2.75" customHeight="1" x14ac:dyDescent="0.25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2.75" customHeight="1" x14ac:dyDescent="0.25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2.75" customHeight="1" x14ac:dyDescent="0.25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2.75" customHeight="1" x14ac:dyDescent="0.25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2.75" customHeight="1" x14ac:dyDescent="0.25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2.75" customHeight="1" x14ac:dyDescent="0.2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2.75" customHeight="1" x14ac:dyDescent="0.25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2.75" customHeight="1" x14ac:dyDescent="0.25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2.75" customHeight="1" x14ac:dyDescent="0.25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2.75" customHeight="1" x14ac:dyDescent="0.25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2.75" customHeight="1" x14ac:dyDescent="0.25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2.75" customHeight="1" x14ac:dyDescent="0.25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2.75" customHeight="1" x14ac:dyDescent="0.25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2.75" customHeight="1" x14ac:dyDescent="0.25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2.75" customHeight="1" x14ac:dyDescent="0.25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2.75" customHeight="1" x14ac:dyDescent="0.2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2.75" customHeight="1" x14ac:dyDescent="0.25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2.75" customHeight="1" x14ac:dyDescent="0.25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2.75" customHeight="1" x14ac:dyDescent="0.25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2.75" customHeight="1" x14ac:dyDescent="0.25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2.75" customHeight="1" x14ac:dyDescent="0.25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2.75" customHeight="1" x14ac:dyDescent="0.25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2.75" customHeight="1" x14ac:dyDescent="0.25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2.75" customHeight="1" x14ac:dyDescent="0.25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2.75" customHeight="1" x14ac:dyDescent="0.25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2.75" customHeight="1" x14ac:dyDescent="0.2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2.75" customHeight="1" x14ac:dyDescent="0.25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2.75" customHeight="1" x14ac:dyDescent="0.25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2.75" customHeight="1" x14ac:dyDescent="0.25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2.75" customHeight="1" x14ac:dyDescent="0.25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2.75" customHeight="1" x14ac:dyDescent="0.25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2.75" customHeight="1" x14ac:dyDescent="0.25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2.75" customHeight="1" x14ac:dyDescent="0.25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2.75" customHeight="1" x14ac:dyDescent="0.25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2.75" customHeight="1" x14ac:dyDescent="0.25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2.75" customHeight="1" x14ac:dyDescent="0.2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2.75" customHeight="1" x14ac:dyDescent="0.25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2.75" customHeight="1" x14ac:dyDescent="0.25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2.75" customHeight="1" x14ac:dyDescent="0.25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2.75" customHeight="1" x14ac:dyDescent="0.25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2.75" customHeight="1" x14ac:dyDescent="0.25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2.75" customHeight="1" x14ac:dyDescent="0.25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2.75" customHeight="1" x14ac:dyDescent="0.25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2.75" customHeight="1" x14ac:dyDescent="0.25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2.75" customHeight="1" x14ac:dyDescent="0.25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2.75" customHeight="1" x14ac:dyDescent="0.2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2.75" customHeight="1" x14ac:dyDescent="0.25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2.75" customHeight="1" x14ac:dyDescent="0.25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2.75" customHeight="1" x14ac:dyDescent="0.25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2.75" customHeight="1" x14ac:dyDescent="0.25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2.75" customHeight="1" x14ac:dyDescent="0.25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2.75" customHeight="1" x14ac:dyDescent="0.25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2.75" customHeight="1" x14ac:dyDescent="0.25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2.75" customHeight="1" x14ac:dyDescent="0.25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2.75" customHeight="1" x14ac:dyDescent="0.25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2.75" customHeight="1" x14ac:dyDescent="0.2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2.75" customHeight="1" x14ac:dyDescent="0.25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2.75" customHeight="1" x14ac:dyDescent="0.25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2.75" customHeight="1" x14ac:dyDescent="0.25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2.75" customHeight="1" x14ac:dyDescent="0.25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2.75" customHeight="1" x14ac:dyDescent="0.25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2.75" customHeight="1" x14ac:dyDescent="0.25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2.75" customHeight="1" x14ac:dyDescent="0.25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2.75" customHeight="1" x14ac:dyDescent="0.25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2.75" customHeight="1" x14ac:dyDescent="0.25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2.75" customHeight="1" x14ac:dyDescent="0.2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2.75" customHeight="1" x14ac:dyDescent="0.25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2.75" customHeight="1" x14ac:dyDescent="0.25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2.75" customHeight="1" x14ac:dyDescent="0.25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2.75" customHeight="1" x14ac:dyDescent="0.25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2.75" customHeight="1" x14ac:dyDescent="0.25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2.75" customHeight="1" x14ac:dyDescent="0.25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2.75" customHeight="1" x14ac:dyDescent="0.25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2.75" customHeight="1" x14ac:dyDescent="0.25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2.75" customHeight="1" x14ac:dyDescent="0.25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2.75" customHeight="1" x14ac:dyDescent="0.2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2.75" customHeight="1" x14ac:dyDescent="0.25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2.75" customHeight="1" x14ac:dyDescent="0.25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2.75" customHeight="1" x14ac:dyDescent="0.25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2.75" customHeight="1" x14ac:dyDescent="0.25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2.75" customHeight="1" x14ac:dyDescent="0.25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2.75" customHeight="1" x14ac:dyDescent="0.25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2.75" customHeight="1" x14ac:dyDescent="0.25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2.75" customHeight="1" x14ac:dyDescent="0.25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2.75" customHeight="1" x14ac:dyDescent="0.25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2.75" customHeight="1" x14ac:dyDescent="0.2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2.75" customHeight="1" x14ac:dyDescent="0.25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2.75" customHeight="1" x14ac:dyDescent="0.25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2.75" customHeight="1" x14ac:dyDescent="0.25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2.75" customHeight="1" x14ac:dyDescent="0.25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2.75" customHeight="1" x14ac:dyDescent="0.25">
      <c r="A940" s="1"/>
      <c r="B940" s="1"/>
      <c r="C940" s="1"/>
      <c r="D940" s="1"/>
      <c r="E940" s="1"/>
      <c r="F940" s="1"/>
      <c r="G940" s="1"/>
      <c r="H940" s="2"/>
      <c r="I940" s="2"/>
      <c r="J940" s="2"/>
      <c r="K940" s="2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2.75" customHeight="1" x14ac:dyDescent="0.25">
      <c r="A941" s="1"/>
      <c r="B941" s="1"/>
      <c r="C941" s="1"/>
      <c r="D941" s="1"/>
      <c r="E941" s="1"/>
      <c r="F941" s="1"/>
      <c r="G941" s="1"/>
      <c r="H941" s="2"/>
      <c r="I941" s="2"/>
      <c r="J941" s="2"/>
      <c r="K941" s="2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2.75" customHeight="1" x14ac:dyDescent="0.25">
      <c r="A942" s="1"/>
      <c r="B942" s="1"/>
      <c r="C942" s="1"/>
      <c r="D942" s="1"/>
      <c r="E942" s="1"/>
      <c r="F942" s="1"/>
      <c r="G942" s="1"/>
      <c r="H942" s="2"/>
      <c r="I942" s="2"/>
      <c r="J942" s="2"/>
      <c r="K942" s="2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2.75" customHeight="1" x14ac:dyDescent="0.25">
      <c r="A943" s="1"/>
      <c r="B943" s="1"/>
      <c r="C943" s="1"/>
      <c r="D943" s="1"/>
      <c r="E943" s="1"/>
      <c r="F943" s="1"/>
      <c r="G943" s="1"/>
      <c r="H943" s="2"/>
      <c r="I943" s="2"/>
      <c r="J943" s="2"/>
      <c r="K943" s="2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2.75" customHeight="1" x14ac:dyDescent="0.25">
      <c r="A944" s="1"/>
      <c r="B944" s="1"/>
      <c r="C944" s="1"/>
      <c r="D944" s="1"/>
      <c r="E944" s="1"/>
      <c r="F944" s="1"/>
      <c r="G944" s="1"/>
      <c r="H944" s="2"/>
      <c r="I944" s="2"/>
      <c r="J944" s="2"/>
      <c r="K944" s="2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2.75" customHeight="1" x14ac:dyDescent="0.25">
      <c r="A945" s="1"/>
      <c r="B945" s="1"/>
      <c r="C945" s="1"/>
      <c r="D945" s="1"/>
      <c r="E945" s="1"/>
      <c r="F945" s="1"/>
      <c r="G945" s="1"/>
      <c r="H945" s="2"/>
      <c r="I945" s="2"/>
      <c r="J945" s="2"/>
      <c r="K945" s="2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2.75" customHeight="1" x14ac:dyDescent="0.25">
      <c r="A946" s="1"/>
      <c r="B946" s="1"/>
      <c r="C946" s="1"/>
      <c r="D946" s="1"/>
      <c r="E946" s="1"/>
      <c r="F946" s="1"/>
      <c r="G946" s="1"/>
      <c r="H946" s="2"/>
      <c r="I946" s="2"/>
      <c r="J946" s="2"/>
      <c r="K946" s="2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2.75" customHeight="1" x14ac:dyDescent="0.25">
      <c r="A947" s="1"/>
      <c r="B947" s="1"/>
      <c r="C947" s="1"/>
      <c r="D947" s="1"/>
      <c r="E947" s="1"/>
      <c r="F947" s="1"/>
      <c r="G947" s="1"/>
      <c r="H947" s="2"/>
      <c r="I947" s="2"/>
      <c r="J947" s="2"/>
      <c r="K947" s="2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2.75" customHeight="1" x14ac:dyDescent="0.25">
      <c r="A948" s="1"/>
      <c r="B948" s="1"/>
      <c r="C948" s="1"/>
      <c r="D948" s="1"/>
      <c r="E948" s="1"/>
      <c r="F948" s="1"/>
      <c r="G948" s="1"/>
      <c r="H948" s="2"/>
      <c r="I948" s="2"/>
      <c r="J948" s="2"/>
      <c r="K948" s="2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2.75" customHeight="1" x14ac:dyDescent="0.25">
      <c r="A949" s="1"/>
      <c r="B949" s="1"/>
      <c r="C949" s="1"/>
      <c r="D949" s="1"/>
      <c r="E949" s="1"/>
      <c r="F949" s="1"/>
      <c r="G949" s="1"/>
      <c r="H949" s="2"/>
      <c r="I949" s="2"/>
      <c r="J949" s="2"/>
      <c r="K949" s="2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2.75" customHeight="1" x14ac:dyDescent="0.25">
      <c r="A950" s="1"/>
      <c r="B950" s="1"/>
      <c r="C950" s="1"/>
      <c r="D950" s="1"/>
      <c r="E950" s="1"/>
      <c r="F950" s="1"/>
      <c r="G950" s="1"/>
      <c r="H950" s="2"/>
      <c r="I950" s="2"/>
      <c r="J950" s="2"/>
      <c r="K950" s="2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2.75" customHeight="1" x14ac:dyDescent="0.25">
      <c r="A951" s="1"/>
      <c r="B951" s="1"/>
      <c r="C951" s="1"/>
      <c r="D951" s="1"/>
      <c r="E951" s="1"/>
      <c r="F951" s="1"/>
      <c r="G951" s="1"/>
      <c r="H951" s="2"/>
      <c r="I951" s="2"/>
      <c r="J951" s="2"/>
      <c r="K951" s="2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2.75" customHeight="1" x14ac:dyDescent="0.25">
      <c r="A952" s="1"/>
      <c r="B952" s="1"/>
      <c r="C952" s="1"/>
      <c r="D952" s="1"/>
      <c r="E952" s="1"/>
      <c r="F952" s="1"/>
      <c r="G952" s="1"/>
      <c r="H952" s="2"/>
      <c r="I952" s="2"/>
      <c r="J952" s="2"/>
      <c r="K952" s="2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2.75" customHeight="1" x14ac:dyDescent="0.25">
      <c r="A953" s="1"/>
      <c r="B953" s="1"/>
      <c r="C953" s="1"/>
      <c r="D953" s="1"/>
      <c r="E953" s="1"/>
      <c r="F953" s="1"/>
      <c r="G953" s="1"/>
      <c r="H953" s="2"/>
      <c r="I953" s="2"/>
      <c r="J953" s="2"/>
      <c r="K953" s="2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2.75" customHeight="1" x14ac:dyDescent="0.25">
      <c r="A954" s="1"/>
      <c r="B954" s="1"/>
      <c r="C954" s="1"/>
      <c r="D954" s="1"/>
      <c r="E954" s="1"/>
      <c r="F954" s="1"/>
      <c r="G954" s="1"/>
      <c r="H954" s="2"/>
      <c r="I954" s="2"/>
      <c r="J954" s="2"/>
      <c r="K954" s="2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2.75" customHeight="1" x14ac:dyDescent="0.25">
      <c r="A955" s="1"/>
      <c r="B955" s="1"/>
      <c r="C955" s="1"/>
      <c r="D955" s="1"/>
      <c r="E955" s="1"/>
      <c r="F955" s="1"/>
      <c r="G955" s="1"/>
      <c r="H955" s="2"/>
      <c r="I955" s="2"/>
      <c r="J955" s="2"/>
      <c r="K955" s="2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2.75" customHeight="1" x14ac:dyDescent="0.25">
      <c r="A956" s="1"/>
      <c r="B956" s="1"/>
      <c r="C956" s="1"/>
      <c r="D956" s="1"/>
      <c r="E956" s="1"/>
      <c r="F956" s="1"/>
      <c r="G956" s="1"/>
      <c r="H956" s="2"/>
      <c r="I956" s="2"/>
      <c r="J956" s="2"/>
      <c r="K956" s="2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2.75" customHeight="1" x14ac:dyDescent="0.25">
      <c r="A957" s="1"/>
      <c r="B957" s="1"/>
      <c r="C957" s="1"/>
      <c r="D957" s="1"/>
      <c r="E957" s="1"/>
      <c r="F957" s="1"/>
      <c r="G957" s="1"/>
      <c r="H957" s="2"/>
      <c r="I957" s="2"/>
      <c r="J957" s="2"/>
      <c r="K957" s="2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2.75" customHeight="1" x14ac:dyDescent="0.25">
      <c r="A958" s="1"/>
      <c r="B958" s="1"/>
      <c r="C958" s="1"/>
      <c r="D958" s="1"/>
      <c r="E958" s="1"/>
      <c r="F958" s="1"/>
      <c r="G958" s="1"/>
      <c r="H958" s="2"/>
      <c r="I958" s="2"/>
      <c r="J958" s="2"/>
      <c r="K958" s="2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2.75" customHeight="1" x14ac:dyDescent="0.25">
      <c r="A959" s="1"/>
      <c r="B959" s="1"/>
      <c r="C959" s="1"/>
      <c r="D959" s="1"/>
      <c r="E959" s="1"/>
      <c r="F959" s="1"/>
      <c r="G959" s="1"/>
      <c r="H959" s="2"/>
      <c r="I959" s="2"/>
      <c r="J959" s="2"/>
      <c r="K959" s="2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2.75" customHeight="1" x14ac:dyDescent="0.25">
      <c r="A960" s="1"/>
      <c r="B960" s="1"/>
      <c r="C960" s="1"/>
      <c r="D960" s="1"/>
      <c r="E960" s="1"/>
      <c r="F960" s="1"/>
      <c r="G960" s="1"/>
      <c r="H960" s="2"/>
      <c r="I960" s="2"/>
      <c r="J960" s="2"/>
      <c r="K960" s="2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2.75" customHeight="1" x14ac:dyDescent="0.25">
      <c r="A961" s="1"/>
      <c r="B961" s="1"/>
      <c r="C961" s="1"/>
      <c r="D961" s="1"/>
      <c r="E961" s="1"/>
      <c r="F961" s="1"/>
      <c r="G961" s="1"/>
      <c r="H961" s="2"/>
      <c r="I961" s="2"/>
      <c r="J961" s="2"/>
      <c r="K961" s="2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2.75" customHeight="1" x14ac:dyDescent="0.25">
      <c r="A962" s="1"/>
      <c r="B962" s="1"/>
      <c r="C962" s="1"/>
      <c r="D962" s="1"/>
      <c r="E962" s="1"/>
      <c r="F962" s="1"/>
      <c r="G962" s="1"/>
      <c r="H962" s="2"/>
      <c r="I962" s="2"/>
      <c r="J962" s="2"/>
      <c r="K962" s="2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2.75" customHeight="1" x14ac:dyDescent="0.25">
      <c r="A963" s="1"/>
      <c r="B963" s="1"/>
      <c r="C963" s="1"/>
      <c r="D963" s="1"/>
      <c r="E963" s="1"/>
      <c r="F963" s="1"/>
      <c r="G963" s="1"/>
      <c r="H963" s="2"/>
      <c r="I963" s="2"/>
      <c r="J963" s="2"/>
      <c r="K963" s="2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2.75" customHeight="1" x14ac:dyDescent="0.25">
      <c r="A964" s="1"/>
      <c r="B964" s="1"/>
      <c r="C964" s="1"/>
      <c r="D964" s="1"/>
      <c r="E964" s="1"/>
      <c r="F964" s="1"/>
      <c r="G964" s="1"/>
      <c r="H964" s="2"/>
      <c r="I964" s="2"/>
      <c r="J964" s="2"/>
      <c r="K964" s="2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2.75" customHeight="1" x14ac:dyDescent="0.25">
      <c r="A965" s="1"/>
      <c r="B965" s="1"/>
      <c r="C965" s="1"/>
      <c r="D965" s="1"/>
      <c r="E965" s="1"/>
      <c r="F965" s="1"/>
      <c r="G965" s="1"/>
      <c r="H965" s="2"/>
      <c r="I965" s="2"/>
      <c r="J965" s="2"/>
      <c r="K965" s="2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2.75" customHeight="1" x14ac:dyDescent="0.25">
      <c r="A966" s="1"/>
      <c r="B966" s="1"/>
      <c r="C966" s="1"/>
      <c r="D966" s="1"/>
      <c r="E966" s="1"/>
      <c r="F966" s="1"/>
      <c r="G966" s="1"/>
      <c r="H966" s="2"/>
      <c r="I966" s="2"/>
      <c r="J966" s="2"/>
      <c r="K966" s="2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2.75" customHeight="1" x14ac:dyDescent="0.25">
      <c r="A967" s="1"/>
      <c r="B967" s="1"/>
      <c r="C967" s="1"/>
      <c r="D967" s="1"/>
      <c r="E967" s="1"/>
      <c r="F967" s="1"/>
      <c r="G967" s="1"/>
      <c r="H967" s="2"/>
      <c r="I967" s="2"/>
      <c r="J967" s="2"/>
      <c r="K967" s="2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2.75" customHeight="1" x14ac:dyDescent="0.25">
      <c r="A968" s="1"/>
      <c r="B968" s="1"/>
      <c r="C968" s="1"/>
      <c r="D968" s="1"/>
      <c r="E968" s="1"/>
      <c r="F968" s="1"/>
      <c r="G968" s="1"/>
      <c r="H968" s="2"/>
      <c r="I968" s="2"/>
      <c r="J968" s="2"/>
      <c r="K968" s="2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2.75" customHeight="1" x14ac:dyDescent="0.25">
      <c r="A969" s="1"/>
      <c r="B969" s="1"/>
      <c r="C969" s="1"/>
      <c r="D969" s="1"/>
      <c r="E969" s="1"/>
      <c r="F969" s="1"/>
      <c r="G969" s="1"/>
      <c r="H969" s="2"/>
      <c r="I969" s="2"/>
      <c r="J969" s="2"/>
      <c r="K969" s="2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2.75" customHeight="1" x14ac:dyDescent="0.25">
      <c r="A970" s="1"/>
      <c r="B970" s="1"/>
      <c r="C970" s="1"/>
      <c r="D970" s="1"/>
      <c r="E970" s="1"/>
      <c r="F970" s="1"/>
      <c r="G970" s="1"/>
      <c r="H970" s="2"/>
      <c r="I970" s="2"/>
      <c r="J970" s="2"/>
      <c r="K970" s="2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2.75" customHeight="1" x14ac:dyDescent="0.25">
      <c r="A971" s="1"/>
      <c r="B971" s="1"/>
      <c r="C971" s="1"/>
      <c r="D971" s="1"/>
      <c r="E971" s="1"/>
      <c r="F971" s="1"/>
      <c r="G971" s="1"/>
      <c r="H971" s="2"/>
      <c r="I971" s="2"/>
      <c r="J971" s="2"/>
      <c r="K971" s="2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2.75" customHeight="1" x14ac:dyDescent="0.25">
      <c r="A972" s="1"/>
      <c r="B972" s="1"/>
      <c r="C972" s="1"/>
      <c r="D972" s="1"/>
      <c r="E972" s="1"/>
      <c r="F972" s="1"/>
      <c r="G972" s="1"/>
      <c r="H972" s="2"/>
      <c r="I972" s="2"/>
      <c r="J972" s="2"/>
      <c r="K972" s="2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2.75" customHeight="1" x14ac:dyDescent="0.25">
      <c r="A973" s="1"/>
      <c r="B973" s="1"/>
      <c r="C973" s="1"/>
      <c r="D973" s="1"/>
      <c r="E973" s="1"/>
      <c r="F973" s="1"/>
      <c r="G973" s="1"/>
      <c r="H973" s="2"/>
      <c r="I973" s="2"/>
      <c r="J973" s="2"/>
      <c r="K973" s="2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2.75" customHeight="1" x14ac:dyDescent="0.25">
      <c r="A974" s="1"/>
      <c r="B974" s="1"/>
      <c r="C974" s="1"/>
      <c r="D974" s="1"/>
      <c r="E974" s="1"/>
      <c r="F974" s="1"/>
      <c r="G974" s="1"/>
      <c r="H974" s="2"/>
      <c r="I974" s="2"/>
      <c r="J974" s="2"/>
      <c r="K974" s="2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2.75" customHeight="1" x14ac:dyDescent="0.25">
      <c r="A975" s="1"/>
      <c r="B975" s="1"/>
      <c r="C975" s="1"/>
      <c r="D975" s="1"/>
      <c r="E975" s="1"/>
      <c r="F975" s="1"/>
      <c r="G975" s="1"/>
      <c r="H975" s="2"/>
      <c r="I975" s="2"/>
      <c r="J975" s="2"/>
      <c r="K975" s="2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2.75" customHeight="1" x14ac:dyDescent="0.25">
      <c r="A976" s="1"/>
      <c r="B976" s="1"/>
      <c r="C976" s="1"/>
      <c r="D976" s="1"/>
      <c r="E976" s="1"/>
      <c r="F976" s="1"/>
      <c r="G976" s="1"/>
      <c r="H976" s="2"/>
      <c r="I976" s="2"/>
      <c r="J976" s="2"/>
      <c r="K976" s="2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2.75" customHeight="1" x14ac:dyDescent="0.25">
      <c r="A977" s="1"/>
      <c r="B977" s="1"/>
      <c r="C977" s="1"/>
      <c r="D977" s="1"/>
      <c r="E977" s="1"/>
      <c r="F977" s="1"/>
      <c r="G977" s="1"/>
      <c r="H977" s="2"/>
      <c r="I977" s="2"/>
      <c r="J977" s="2"/>
      <c r="K977" s="2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2.75" customHeight="1" x14ac:dyDescent="0.25">
      <c r="A978" s="1"/>
      <c r="B978" s="1"/>
      <c r="C978" s="1"/>
      <c r="D978" s="1"/>
      <c r="E978" s="1"/>
      <c r="F978" s="1"/>
      <c r="G978" s="1"/>
      <c r="H978" s="2"/>
      <c r="I978" s="2"/>
      <c r="J978" s="2"/>
      <c r="K978" s="2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2.75" customHeight="1" x14ac:dyDescent="0.25">
      <c r="A979" s="1"/>
      <c r="B979" s="1"/>
      <c r="C979" s="1"/>
      <c r="D979" s="1"/>
      <c r="E979" s="1"/>
      <c r="F979" s="1"/>
      <c r="G979" s="1"/>
      <c r="H979" s="2"/>
      <c r="I979" s="2"/>
      <c r="J979" s="2"/>
      <c r="K979" s="2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2.75" customHeight="1" x14ac:dyDescent="0.25">
      <c r="A980" s="1"/>
      <c r="B980" s="1"/>
      <c r="C980" s="1"/>
      <c r="D980" s="1"/>
      <c r="E980" s="1"/>
      <c r="F980" s="1"/>
      <c r="G980" s="1"/>
      <c r="H980" s="2"/>
      <c r="I980" s="2"/>
      <c r="J980" s="2"/>
      <c r="K980" s="2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2.75" customHeight="1" x14ac:dyDescent="0.25">
      <c r="A981" s="1"/>
      <c r="B981" s="1"/>
      <c r="C981" s="1"/>
      <c r="D981" s="1"/>
      <c r="E981" s="1"/>
      <c r="F981" s="1"/>
      <c r="G981" s="1"/>
      <c r="H981" s="2"/>
      <c r="I981" s="2"/>
      <c r="J981" s="2"/>
      <c r="K981" s="2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2.75" customHeight="1" x14ac:dyDescent="0.25">
      <c r="A982" s="1"/>
      <c r="B982" s="1"/>
      <c r="C982" s="1"/>
      <c r="D982" s="1"/>
      <c r="E982" s="1"/>
      <c r="F982" s="1"/>
      <c r="G982" s="1"/>
      <c r="H982" s="2"/>
      <c r="I982" s="2"/>
      <c r="J982" s="2"/>
      <c r="K982" s="2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2.75" customHeight="1" x14ac:dyDescent="0.25">
      <c r="A983" s="1"/>
      <c r="B983" s="1"/>
      <c r="C983" s="1"/>
      <c r="D983" s="1"/>
      <c r="E983" s="1"/>
      <c r="F983" s="1"/>
      <c r="G983" s="1"/>
      <c r="H983" s="2"/>
      <c r="I983" s="2"/>
      <c r="J983" s="2"/>
      <c r="K983" s="2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2.75" customHeight="1" x14ac:dyDescent="0.25">
      <c r="A984" s="1"/>
      <c r="B984" s="1"/>
      <c r="C984" s="1"/>
      <c r="D984" s="1"/>
      <c r="E984" s="1"/>
      <c r="F984" s="1"/>
      <c r="G984" s="1"/>
      <c r="H984" s="2"/>
      <c r="I984" s="2"/>
      <c r="J984" s="2"/>
      <c r="K984" s="2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2.75" customHeight="1" x14ac:dyDescent="0.25">
      <c r="A985" s="1"/>
      <c r="B985" s="1"/>
      <c r="C985" s="1"/>
      <c r="D985" s="1"/>
      <c r="E985" s="1"/>
      <c r="F985" s="1"/>
      <c r="G985" s="1"/>
      <c r="H985" s="2"/>
      <c r="I985" s="2"/>
      <c r="J985" s="2"/>
      <c r="K985" s="2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2.75" customHeight="1" x14ac:dyDescent="0.25">
      <c r="A986" s="1"/>
      <c r="B986" s="1"/>
      <c r="C986" s="1"/>
      <c r="D986" s="1"/>
      <c r="E986" s="1"/>
      <c r="F986" s="1"/>
      <c r="G986" s="1"/>
      <c r="H986" s="2"/>
      <c r="I986" s="2"/>
      <c r="J986" s="2"/>
      <c r="K986" s="2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2.75" customHeight="1" x14ac:dyDescent="0.25">
      <c r="A987" s="1"/>
      <c r="B987" s="1"/>
      <c r="C987" s="1"/>
      <c r="D987" s="1"/>
      <c r="E987" s="1"/>
      <c r="F987" s="1"/>
      <c r="G987" s="1"/>
      <c r="H987" s="2"/>
      <c r="I987" s="2"/>
      <c r="J987" s="2"/>
      <c r="K987" s="2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2.75" customHeight="1" x14ac:dyDescent="0.25">
      <c r="A988" s="1"/>
      <c r="B988" s="1"/>
      <c r="C988" s="1"/>
      <c r="D988" s="1"/>
      <c r="E988" s="1"/>
      <c r="F988" s="1"/>
      <c r="G988" s="1"/>
      <c r="H988" s="2"/>
      <c r="I988" s="2"/>
      <c r="J988" s="2"/>
      <c r="K988" s="2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2.75" customHeight="1" x14ac:dyDescent="0.25">
      <c r="A989" s="1"/>
      <c r="B989" s="1"/>
      <c r="C989" s="1"/>
      <c r="D989" s="1"/>
      <c r="E989" s="1"/>
      <c r="F989" s="1"/>
      <c r="G989" s="1"/>
      <c r="H989" s="2"/>
      <c r="I989" s="2"/>
      <c r="J989" s="2"/>
      <c r="K989" s="2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2.75" customHeight="1" x14ac:dyDescent="0.25">
      <c r="A990" s="1"/>
      <c r="B990" s="1"/>
      <c r="C990" s="1"/>
      <c r="D990" s="1"/>
      <c r="E990" s="1"/>
      <c r="F990" s="1"/>
      <c r="G990" s="1"/>
      <c r="H990" s="2"/>
      <c r="I990" s="2"/>
      <c r="J990" s="2"/>
      <c r="K990" s="2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2.75" customHeight="1" x14ac:dyDescent="0.25">
      <c r="A991" s="1"/>
      <c r="B991" s="1"/>
      <c r="C991" s="1"/>
      <c r="D991" s="1"/>
      <c r="E991" s="1"/>
      <c r="F991" s="1"/>
      <c r="G991" s="1"/>
      <c r="H991" s="2"/>
      <c r="I991" s="2"/>
      <c r="J991" s="2"/>
      <c r="K991" s="2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2.75" customHeight="1" x14ac:dyDescent="0.25">
      <c r="A992" s="1"/>
      <c r="B992" s="1"/>
      <c r="C992" s="1"/>
      <c r="D992" s="1"/>
      <c r="E992" s="1"/>
      <c r="F992" s="1"/>
      <c r="G992" s="1"/>
      <c r="H992" s="2"/>
      <c r="I992" s="2"/>
      <c r="J992" s="2"/>
      <c r="K992" s="2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2.75" customHeight="1" x14ac:dyDescent="0.25">
      <c r="A993" s="1"/>
      <c r="B993" s="1"/>
      <c r="C993" s="1"/>
      <c r="D993" s="1"/>
      <c r="E993" s="1"/>
      <c r="F993" s="1"/>
      <c r="G993" s="1"/>
      <c r="H993" s="2"/>
      <c r="I993" s="2"/>
      <c r="J993" s="2"/>
      <c r="K993" s="2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2.75" customHeight="1" x14ac:dyDescent="0.25">
      <c r="A994" s="1"/>
      <c r="B994" s="1"/>
      <c r="C994" s="1"/>
      <c r="D994" s="1"/>
      <c r="E994" s="1"/>
      <c r="F994" s="1"/>
      <c r="G994" s="1"/>
      <c r="H994" s="2"/>
      <c r="I994" s="2"/>
      <c r="J994" s="2"/>
      <c r="K994" s="2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2.75" customHeight="1" x14ac:dyDescent="0.25">
      <c r="A995" s="1"/>
      <c r="B995" s="1"/>
      <c r="C995" s="1"/>
      <c r="D995" s="1"/>
      <c r="E995" s="1"/>
      <c r="F995" s="1"/>
      <c r="G995" s="1"/>
      <c r="H995" s="2"/>
      <c r="I995" s="2"/>
      <c r="J995" s="2"/>
      <c r="K995" s="2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2.75" customHeight="1" x14ac:dyDescent="0.25">
      <c r="A996" s="1"/>
      <c r="B996" s="1"/>
      <c r="C996" s="1"/>
      <c r="D996" s="1"/>
      <c r="E996" s="1"/>
      <c r="F996" s="1"/>
      <c r="G996" s="1"/>
      <c r="H996" s="2"/>
      <c r="I996" s="2"/>
      <c r="J996" s="2"/>
      <c r="K996" s="2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2.75" customHeight="1" x14ac:dyDescent="0.25">
      <c r="A997" s="1"/>
      <c r="B997" s="1"/>
      <c r="C997" s="1"/>
      <c r="D997" s="1"/>
      <c r="E997" s="1"/>
      <c r="F997" s="1"/>
      <c r="G997" s="1"/>
      <c r="H997" s="2"/>
      <c r="I997" s="2"/>
      <c r="J997" s="2"/>
      <c r="K997" s="2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2.75" customHeight="1" x14ac:dyDescent="0.25">
      <c r="A998" s="1"/>
      <c r="B998" s="1"/>
      <c r="C998" s="1"/>
      <c r="D998" s="1"/>
      <c r="E998" s="1"/>
      <c r="F998" s="1"/>
      <c r="G998" s="1"/>
      <c r="H998" s="2"/>
      <c r="I998" s="2"/>
      <c r="J998" s="2"/>
      <c r="K998" s="2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</sheetData>
  <customSheetViews>
    <customSheetView guid="{3AD77C13-D614-4BD0-852E-B7A0475D1818}" filter="1" showAutoFilter="1">
      <pageMargins left="0.7" right="0.7" top="0.75" bottom="0.75" header="0.3" footer="0.3"/>
      <autoFilter ref="A3:L40" xr:uid="{6778B425-290F-47C3-97BE-4D222CD2E4A1}"/>
    </customSheetView>
    <customSheetView guid="{188A60F6-13B4-4085-8497-B454EF7C314F}" filter="1" showAutoFilter="1">
      <pageMargins left="0.7" right="0.7" top="0.75" bottom="0.75" header="0.3" footer="0.3"/>
      <autoFilter ref="A3:L40" xr:uid="{D1768DFF-0A30-40A8-83E3-C26D6C96DA1C}">
        <filterColumn colId="3">
          <filters>
            <filter val="HR"/>
            <filter val="MK"/>
          </filters>
        </filterColumn>
      </autoFilter>
    </customSheetView>
    <customSheetView guid="{7E0E91AE-D0B4-418F-BE2B-2B8114433168}" filter="1" showAutoFilter="1">
      <pageMargins left="0.7" right="0.7" top="0.75" bottom="0.75" header="0.3" footer="0.3"/>
      <autoFilter ref="A3:L40" xr:uid="{903C8DF1-7BB4-4AB2-A6B9-279ADFCC61BA}"/>
    </customSheetView>
  </customSheetViews>
  <mergeCells count="1">
    <mergeCell ref="A1:L1"/>
  </mergeCells>
  <dataValidations count="4">
    <dataValidation type="list" allowBlank="1" sqref="D4:D40" xr:uid="{00000000-0002-0000-0000-000000000000}">
      <formula1>"AT,AD,AC,HR,MK,MF"</formula1>
    </dataValidation>
    <dataValidation type="custom" allowBlank="1" showDropDown="1" sqref="H4:H40" xr:uid="{00000000-0002-0000-0000-000001000000}">
      <formula1>OR(NOT(ISERROR(DATEVALUE(H4))), AND(ISNUMBER(H4), LEFT(CELL("format", H4))="D"))</formula1>
    </dataValidation>
    <dataValidation type="list" allowBlank="1" sqref="G4:G40" xr:uid="{00000000-0002-0000-0000-000002000000}">
      <formula1>"Building 1,Building 2,Building 3"</formula1>
    </dataValidation>
    <dataValidation type="custom" allowBlank="1" showDropDown="1" sqref="L4:L40" xr:uid="{00000000-0002-0000-0000-000003000000}">
      <formula1>AND(ISNUMBER(L4),(NOT(OR(NOT(ISERROR(DATEVALUE(L4))), AND(ISNUMBER(L4), LEFT(CELL("format", L4))="D")))))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5623"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defaultColWidth="10.09765625" defaultRowHeight="15" customHeight="1" x14ac:dyDescent="0.25"/>
  <cols>
    <col min="1" max="1" width="9.19921875" customWidth="1"/>
    <col min="2" max="2" width="16.796875" customWidth="1"/>
    <col min="3" max="3" width="9.09765625" customWidth="1"/>
    <col min="4" max="4" width="16" customWidth="1"/>
    <col min="5" max="5" width="14.69921875" customWidth="1"/>
    <col min="6" max="6" width="12.69921875" customWidth="1"/>
    <col min="7" max="28" width="7.19921875" customWidth="1"/>
  </cols>
  <sheetData>
    <row r="1" spans="1:28" ht="15.75" customHeight="1" x14ac:dyDescent="0.25">
      <c r="A1" s="10" t="s">
        <v>139</v>
      </c>
      <c r="B1" s="11" t="s">
        <v>140</v>
      </c>
      <c r="C1" s="10" t="s">
        <v>141</v>
      </c>
      <c r="D1" s="10" t="s">
        <v>142</v>
      </c>
      <c r="E1" s="12" t="s">
        <v>143</v>
      </c>
      <c r="F1" s="10" t="s">
        <v>144</v>
      </c>
      <c r="G1" s="10" t="s">
        <v>145</v>
      </c>
      <c r="H1" s="13" t="s">
        <v>146</v>
      </c>
      <c r="I1" s="14" t="s">
        <v>147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.75" customHeight="1" x14ac:dyDescent="0.25">
      <c r="A2" s="6" t="s">
        <v>148</v>
      </c>
      <c r="B2" s="15">
        <v>150750</v>
      </c>
      <c r="C2" s="6" t="s">
        <v>149</v>
      </c>
      <c r="D2" s="16">
        <v>1580</v>
      </c>
      <c r="E2" s="17">
        <f t="shared" ref="E2:E133" si="0">D2*0.093</f>
        <v>146.94</v>
      </c>
      <c r="F2" s="6">
        <v>4</v>
      </c>
      <c r="G2" s="6">
        <v>3</v>
      </c>
      <c r="H2" s="18">
        <f t="shared" ref="H2:H133" si="1">E2/F2</f>
        <v>36.734999999999999</v>
      </c>
      <c r="I2" s="19">
        <f t="shared" ref="I2:I133" si="2">B2/E2</f>
        <v>1025.9289505920783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.75" customHeight="1" x14ac:dyDescent="0.25">
      <c r="A3" s="6" t="s">
        <v>150</v>
      </c>
      <c r="B3" s="15">
        <v>84250</v>
      </c>
      <c r="C3" s="6" t="s">
        <v>151</v>
      </c>
      <c r="D3" s="16">
        <v>1610</v>
      </c>
      <c r="E3" s="17">
        <f t="shared" si="0"/>
        <v>149.72999999999999</v>
      </c>
      <c r="F3" s="6">
        <v>4</v>
      </c>
      <c r="G3" s="6">
        <v>2</v>
      </c>
      <c r="H3" s="18">
        <f t="shared" si="1"/>
        <v>37.432499999999997</v>
      </c>
      <c r="I3" s="19">
        <f t="shared" si="2"/>
        <v>562.67948974821354</v>
      </c>
      <c r="J3" s="5" t="s">
        <v>152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customHeight="1" x14ac:dyDescent="0.25">
      <c r="A4" s="6" t="s">
        <v>153</v>
      </c>
      <c r="B4" s="15">
        <v>123750</v>
      </c>
      <c r="C4" s="6" t="s">
        <v>154</v>
      </c>
      <c r="D4" s="16">
        <v>1625</v>
      </c>
      <c r="E4" s="17">
        <f t="shared" si="0"/>
        <v>151.125</v>
      </c>
      <c r="F4" s="6">
        <v>4</v>
      </c>
      <c r="G4" s="6">
        <v>4</v>
      </c>
      <c r="H4" s="18">
        <f t="shared" si="1"/>
        <v>37.78125</v>
      </c>
      <c r="I4" s="19">
        <f t="shared" si="2"/>
        <v>818.85856079404471</v>
      </c>
      <c r="J4" s="5" t="s">
        <v>155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.75" customHeight="1" x14ac:dyDescent="0.25">
      <c r="A5" s="6" t="s">
        <v>156</v>
      </c>
      <c r="B5" s="15">
        <v>124250</v>
      </c>
      <c r="C5" s="6" t="s">
        <v>149</v>
      </c>
      <c r="D5" s="16">
        <v>1660</v>
      </c>
      <c r="E5" s="17">
        <f t="shared" si="0"/>
        <v>154.38</v>
      </c>
      <c r="F5" s="6">
        <v>4</v>
      </c>
      <c r="G5" s="6">
        <v>4</v>
      </c>
      <c r="H5" s="18">
        <f t="shared" si="1"/>
        <v>38.594999999999999</v>
      </c>
      <c r="I5" s="19">
        <f t="shared" si="2"/>
        <v>804.83223215442422</v>
      </c>
      <c r="J5" s="5" t="s">
        <v>157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75" customHeight="1" x14ac:dyDescent="0.25">
      <c r="A6" s="6" t="s">
        <v>158</v>
      </c>
      <c r="B6" s="15">
        <v>141000</v>
      </c>
      <c r="C6" s="6" t="s">
        <v>159</v>
      </c>
      <c r="D6" s="16">
        <v>1675</v>
      </c>
      <c r="E6" s="17">
        <f t="shared" si="0"/>
        <v>155.77500000000001</v>
      </c>
      <c r="F6" s="6">
        <v>4</v>
      </c>
      <c r="G6" s="6">
        <v>2</v>
      </c>
      <c r="H6" s="18">
        <f t="shared" si="1"/>
        <v>38.943750000000001</v>
      </c>
      <c r="I6" s="19">
        <f t="shared" si="2"/>
        <v>905.15166104959076</v>
      </c>
      <c r="J6" s="5" t="s">
        <v>160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75" customHeight="1" x14ac:dyDescent="0.25">
      <c r="A7" s="6" t="s">
        <v>161</v>
      </c>
      <c r="B7" s="15">
        <v>84500</v>
      </c>
      <c r="C7" s="6" t="s">
        <v>149</v>
      </c>
      <c r="D7" s="16">
        <v>1685</v>
      </c>
      <c r="E7" s="17">
        <f t="shared" si="0"/>
        <v>156.70500000000001</v>
      </c>
      <c r="F7" s="6">
        <v>4</v>
      </c>
      <c r="G7" s="6">
        <v>3</v>
      </c>
      <c r="H7" s="18">
        <f t="shared" si="1"/>
        <v>39.176250000000003</v>
      </c>
      <c r="I7" s="19">
        <f t="shared" si="2"/>
        <v>539.22976293034674</v>
      </c>
      <c r="J7" s="5" t="s">
        <v>162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75" customHeight="1" x14ac:dyDescent="0.25">
      <c r="A8" s="6" t="s">
        <v>163</v>
      </c>
      <c r="B8" s="15">
        <v>79750</v>
      </c>
      <c r="C8" s="6" t="s">
        <v>151</v>
      </c>
      <c r="D8" s="16">
        <v>1690</v>
      </c>
      <c r="E8" s="17">
        <f t="shared" si="0"/>
        <v>157.16999999999999</v>
      </c>
      <c r="F8" s="6">
        <v>4</v>
      </c>
      <c r="G8" s="6">
        <v>3</v>
      </c>
      <c r="H8" s="18">
        <f t="shared" si="1"/>
        <v>39.292499999999997</v>
      </c>
      <c r="I8" s="19">
        <f t="shared" si="2"/>
        <v>507.4123560475918</v>
      </c>
      <c r="J8" s="5" t="s">
        <v>164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75" customHeight="1" x14ac:dyDescent="0.25">
      <c r="A9" s="6" t="s">
        <v>165</v>
      </c>
      <c r="B9" s="15">
        <v>134250</v>
      </c>
      <c r="C9" s="6" t="s">
        <v>159</v>
      </c>
      <c r="D9" s="16">
        <v>1835</v>
      </c>
      <c r="E9" s="17">
        <f t="shared" si="0"/>
        <v>170.655</v>
      </c>
      <c r="F9" s="6">
        <v>4</v>
      </c>
      <c r="G9" s="6">
        <v>3</v>
      </c>
      <c r="H9" s="18">
        <f t="shared" si="1"/>
        <v>42.66375</v>
      </c>
      <c r="I9" s="19">
        <f t="shared" si="2"/>
        <v>786.67487035246552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customHeight="1" x14ac:dyDescent="0.25">
      <c r="A10" s="6" t="s">
        <v>166</v>
      </c>
      <c r="B10" s="15">
        <v>149250</v>
      </c>
      <c r="C10" s="6" t="s">
        <v>167</v>
      </c>
      <c r="D10" s="16">
        <v>1925</v>
      </c>
      <c r="E10" s="17">
        <f t="shared" si="0"/>
        <v>179.02500000000001</v>
      </c>
      <c r="F10" s="6">
        <v>4</v>
      </c>
      <c r="G10" s="6">
        <v>2</v>
      </c>
      <c r="H10" s="18">
        <f t="shared" si="1"/>
        <v>44.756250000000001</v>
      </c>
      <c r="I10" s="19">
        <f t="shared" si="2"/>
        <v>833.68244658567232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75" customHeight="1" x14ac:dyDescent="0.25">
      <c r="A11" s="6" t="s">
        <v>168</v>
      </c>
      <c r="B11" s="15">
        <v>147000</v>
      </c>
      <c r="C11" s="6" t="s">
        <v>169</v>
      </c>
      <c r="D11" s="16">
        <v>1930</v>
      </c>
      <c r="E11" s="17">
        <f t="shared" si="0"/>
        <v>179.49</v>
      </c>
      <c r="F11" s="6">
        <v>4</v>
      </c>
      <c r="G11" s="6">
        <v>2</v>
      </c>
      <c r="H11" s="18">
        <f t="shared" si="1"/>
        <v>44.872500000000002</v>
      </c>
      <c r="I11" s="19">
        <f t="shared" si="2"/>
        <v>818.98713020223965</v>
      </c>
      <c r="J11" s="5" t="s">
        <v>139</v>
      </c>
      <c r="K11" s="5">
        <f ca="1">IFERROR(__xludf.DUMMYFUNCTION("COUNTUNIQUE(A$2:A$133)"),132)</f>
        <v>132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75" customHeight="1" x14ac:dyDescent="0.25">
      <c r="A12" s="6" t="s">
        <v>170</v>
      </c>
      <c r="B12" s="15">
        <v>131750</v>
      </c>
      <c r="C12" s="6" t="s">
        <v>159</v>
      </c>
      <c r="D12" s="16">
        <v>1995</v>
      </c>
      <c r="E12" s="17">
        <f t="shared" si="0"/>
        <v>185.535</v>
      </c>
      <c r="F12" s="6">
        <v>4</v>
      </c>
      <c r="G12" s="6">
        <v>2</v>
      </c>
      <c r="H12" s="18">
        <f t="shared" si="1"/>
        <v>46.383749999999999</v>
      </c>
      <c r="I12" s="19">
        <f t="shared" si="2"/>
        <v>710.10860484544696</v>
      </c>
      <c r="J12" s="20" t="s">
        <v>140</v>
      </c>
      <c r="K12" s="21">
        <f>AVERAGE(B$2:B$133)</f>
        <v>123738.63636363637</v>
      </c>
      <c r="L12" s="2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75" customHeight="1" x14ac:dyDescent="0.25">
      <c r="A13" s="6" t="s">
        <v>171</v>
      </c>
      <c r="B13" s="15">
        <v>99750</v>
      </c>
      <c r="C13" s="6" t="s">
        <v>154</v>
      </c>
      <c r="D13" s="16">
        <v>2025</v>
      </c>
      <c r="E13" s="17">
        <f t="shared" si="0"/>
        <v>188.32499999999999</v>
      </c>
      <c r="F13" s="6">
        <v>4</v>
      </c>
      <c r="G13" s="6">
        <v>2</v>
      </c>
      <c r="H13" s="18">
        <f t="shared" si="1"/>
        <v>47.081249999999997</v>
      </c>
      <c r="I13" s="19">
        <f t="shared" si="2"/>
        <v>529.66945440063728</v>
      </c>
      <c r="J13" s="5" t="s">
        <v>141</v>
      </c>
      <c r="K13" s="5">
        <f ca="1">IFERROR(__xludf.DUMMYFUNCTION("COUNTUNIQUE(C$2:C$133)"),6)</f>
        <v>6</v>
      </c>
      <c r="L13" s="2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75" customHeight="1" x14ac:dyDescent="0.25">
      <c r="A14" s="6" t="s">
        <v>172</v>
      </c>
      <c r="B14" s="15">
        <v>100500</v>
      </c>
      <c r="C14" s="6" t="s">
        <v>167</v>
      </c>
      <c r="D14" s="16">
        <v>2060</v>
      </c>
      <c r="E14" s="17">
        <f t="shared" si="0"/>
        <v>191.58</v>
      </c>
      <c r="F14" s="6">
        <v>4</v>
      </c>
      <c r="G14" s="6">
        <v>2</v>
      </c>
      <c r="H14" s="18">
        <f t="shared" si="1"/>
        <v>47.895000000000003</v>
      </c>
      <c r="I14" s="19">
        <f t="shared" si="2"/>
        <v>524.58502975258375</v>
      </c>
      <c r="J14" s="5" t="s">
        <v>142</v>
      </c>
      <c r="K14" s="20">
        <f>AVERAGE(D$2:D$133)</f>
        <v>2474.7727272727275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75" customHeight="1" x14ac:dyDescent="0.25">
      <c r="A15" s="6" t="s">
        <v>173</v>
      </c>
      <c r="B15" s="15">
        <v>121250</v>
      </c>
      <c r="C15" s="6" t="s">
        <v>159</v>
      </c>
      <c r="D15" s="16">
        <v>2075</v>
      </c>
      <c r="E15" s="17">
        <f t="shared" si="0"/>
        <v>192.97499999999999</v>
      </c>
      <c r="F15" s="6">
        <v>4</v>
      </c>
      <c r="G15" s="6">
        <v>3</v>
      </c>
      <c r="H15" s="18">
        <f t="shared" si="1"/>
        <v>48.243749999999999</v>
      </c>
      <c r="I15" s="19">
        <f t="shared" si="2"/>
        <v>628.31973053504339</v>
      </c>
      <c r="J15" s="5" t="s">
        <v>144</v>
      </c>
      <c r="K15" s="5">
        <f>MAX(F$2:F$133)</f>
        <v>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75" customHeight="1" x14ac:dyDescent="0.25">
      <c r="A16" s="6" t="s">
        <v>174</v>
      </c>
      <c r="B16" s="15">
        <v>99000</v>
      </c>
      <c r="C16" s="6" t="s">
        <v>154</v>
      </c>
      <c r="D16" s="16">
        <v>2105</v>
      </c>
      <c r="E16" s="17">
        <f t="shared" si="0"/>
        <v>195.76499999999999</v>
      </c>
      <c r="F16" s="6">
        <v>4</v>
      </c>
      <c r="G16" s="6">
        <v>2</v>
      </c>
      <c r="H16" s="18">
        <f t="shared" si="1"/>
        <v>48.941249999999997</v>
      </c>
      <c r="I16" s="19">
        <f t="shared" si="2"/>
        <v>505.70837483717725</v>
      </c>
      <c r="J16" s="5" t="s">
        <v>145</v>
      </c>
      <c r="K16" s="5">
        <f>MAX(G$2:G$133)</f>
        <v>4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75" customHeight="1" x14ac:dyDescent="0.25">
      <c r="A17" s="6" t="s">
        <v>175</v>
      </c>
      <c r="B17" s="15">
        <v>92250</v>
      </c>
      <c r="C17" s="6" t="s">
        <v>167</v>
      </c>
      <c r="D17" s="16">
        <v>2140</v>
      </c>
      <c r="E17" s="17">
        <f t="shared" si="0"/>
        <v>199.02</v>
      </c>
      <c r="F17" s="6">
        <v>4</v>
      </c>
      <c r="G17" s="6">
        <v>2</v>
      </c>
      <c r="H17" s="18">
        <f t="shared" si="1"/>
        <v>49.755000000000003</v>
      </c>
      <c r="I17" s="19">
        <f t="shared" si="2"/>
        <v>463.52125414531201</v>
      </c>
      <c r="J17" s="5" t="s">
        <v>176</v>
      </c>
      <c r="K17" s="5">
        <f>MIN(F$2:F$133)</f>
        <v>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75" customHeight="1" x14ac:dyDescent="0.25">
      <c r="A18" s="6" t="s">
        <v>177</v>
      </c>
      <c r="B18" s="15">
        <v>120500</v>
      </c>
      <c r="C18" s="6" t="s">
        <v>159</v>
      </c>
      <c r="D18" s="16">
        <v>2155</v>
      </c>
      <c r="E18" s="17">
        <f t="shared" si="0"/>
        <v>200.41499999999999</v>
      </c>
      <c r="F18" s="6">
        <v>4</v>
      </c>
      <c r="G18" s="6">
        <v>4</v>
      </c>
      <c r="H18" s="18">
        <f t="shared" si="1"/>
        <v>50.103749999999998</v>
      </c>
      <c r="I18" s="19">
        <f t="shared" si="2"/>
        <v>601.25240126737026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75" customHeight="1" x14ac:dyDescent="0.25">
      <c r="A19" s="6" t="s">
        <v>178</v>
      </c>
      <c r="B19" s="15">
        <v>89250</v>
      </c>
      <c r="C19" s="6" t="s">
        <v>154</v>
      </c>
      <c r="D19" s="16">
        <v>2185</v>
      </c>
      <c r="E19" s="17">
        <f t="shared" si="0"/>
        <v>203.20500000000001</v>
      </c>
      <c r="F19" s="6">
        <v>4</v>
      </c>
      <c r="G19" s="6">
        <v>3</v>
      </c>
      <c r="H19" s="18">
        <f t="shared" si="1"/>
        <v>50.801250000000003</v>
      </c>
      <c r="I19" s="19">
        <f t="shared" si="2"/>
        <v>439.21163357200851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75" customHeight="1" x14ac:dyDescent="0.25">
      <c r="A20" s="6" t="s">
        <v>179</v>
      </c>
      <c r="B20" s="15">
        <v>87750</v>
      </c>
      <c r="C20" s="6" t="s">
        <v>167</v>
      </c>
      <c r="D20" s="16">
        <v>2220</v>
      </c>
      <c r="E20" s="17">
        <f t="shared" si="0"/>
        <v>206.46</v>
      </c>
      <c r="F20" s="6">
        <v>4</v>
      </c>
      <c r="G20" s="6">
        <v>3</v>
      </c>
      <c r="H20" s="18">
        <f t="shared" si="1"/>
        <v>51.615000000000002</v>
      </c>
      <c r="I20" s="19">
        <f t="shared" si="2"/>
        <v>425.02179598953791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 x14ac:dyDescent="0.25">
      <c r="A21" s="6" t="s">
        <v>180</v>
      </c>
      <c r="B21" s="15">
        <v>140250</v>
      </c>
      <c r="C21" s="6" t="s">
        <v>167</v>
      </c>
      <c r="D21" s="16">
        <v>2245</v>
      </c>
      <c r="E21" s="17">
        <f t="shared" si="0"/>
        <v>208.785</v>
      </c>
      <c r="F21" s="6">
        <v>4</v>
      </c>
      <c r="G21" s="6">
        <v>2</v>
      </c>
      <c r="H21" s="18">
        <f t="shared" si="1"/>
        <v>52.196249999999999</v>
      </c>
      <c r="I21" s="19">
        <f t="shared" si="2"/>
        <v>671.74365974567138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 x14ac:dyDescent="0.25">
      <c r="A22" s="6" t="s">
        <v>181</v>
      </c>
      <c r="B22" s="15">
        <v>139000</v>
      </c>
      <c r="C22" s="6" t="s">
        <v>169</v>
      </c>
      <c r="D22" s="16">
        <v>2250</v>
      </c>
      <c r="E22" s="17">
        <f t="shared" si="0"/>
        <v>209.25</v>
      </c>
      <c r="F22" s="6">
        <v>4</v>
      </c>
      <c r="G22" s="6">
        <v>2</v>
      </c>
      <c r="H22" s="18">
        <f t="shared" si="1"/>
        <v>52.3125</v>
      </c>
      <c r="I22" s="19">
        <f t="shared" si="2"/>
        <v>664.27718040621266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 x14ac:dyDescent="0.25">
      <c r="A23" s="6" t="s">
        <v>182</v>
      </c>
      <c r="B23" s="15">
        <v>136500</v>
      </c>
      <c r="C23" s="6" t="s">
        <v>167</v>
      </c>
      <c r="D23" s="16">
        <v>2405</v>
      </c>
      <c r="E23" s="17">
        <f t="shared" si="0"/>
        <v>223.66499999999999</v>
      </c>
      <c r="F23" s="6">
        <v>4</v>
      </c>
      <c r="G23" s="6">
        <v>3</v>
      </c>
      <c r="H23" s="18">
        <f t="shared" si="1"/>
        <v>55.916249999999998</v>
      </c>
      <c r="I23" s="19">
        <f t="shared" si="2"/>
        <v>610.28770706190062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 x14ac:dyDescent="0.25">
      <c r="A24" s="6" t="s">
        <v>183</v>
      </c>
      <c r="B24" s="15">
        <v>129750</v>
      </c>
      <c r="C24" s="6" t="s">
        <v>169</v>
      </c>
      <c r="D24" s="16">
        <v>2410</v>
      </c>
      <c r="E24" s="17">
        <f t="shared" si="0"/>
        <v>224.13</v>
      </c>
      <c r="F24" s="6">
        <v>4</v>
      </c>
      <c r="G24" s="6">
        <v>3</v>
      </c>
      <c r="H24" s="18">
        <f t="shared" si="1"/>
        <v>56.032499999999999</v>
      </c>
      <c r="I24" s="19">
        <f t="shared" si="2"/>
        <v>578.90509971891311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 x14ac:dyDescent="0.25">
      <c r="A25" s="6" t="s">
        <v>184</v>
      </c>
      <c r="B25" s="15">
        <v>143750</v>
      </c>
      <c r="C25" s="6" t="s">
        <v>149</v>
      </c>
      <c r="D25" s="16">
        <v>2425</v>
      </c>
      <c r="E25" s="17">
        <f t="shared" si="0"/>
        <v>225.52500000000001</v>
      </c>
      <c r="F25" s="6">
        <v>4</v>
      </c>
      <c r="G25" s="6">
        <v>2</v>
      </c>
      <c r="H25" s="18">
        <f t="shared" si="1"/>
        <v>56.381250000000001</v>
      </c>
      <c r="I25" s="19">
        <f t="shared" si="2"/>
        <v>637.40161844584861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 x14ac:dyDescent="0.25">
      <c r="A26" s="6" t="s">
        <v>185</v>
      </c>
      <c r="B26" s="15">
        <v>143250</v>
      </c>
      <c r="C26" s="6" t="s">
        <v>151</v>
      </c>
      <c r="D26" s="16">
        <v>2460</v>
      </c>
      <c r="E26" s="17">
        <f t="shared" si="0"/>
        <v>228.78</v>
      </c>
      <c r="F26" s="6">
        <v>4</v>
      </c>
      <c r="G26" s="6">
        <v>2</v>
      </c>
      <c r="H26" s="18">
        <f t="shared" si="1"/>
        <v>57.195</v>
      </c>
      <c r="I26" s="19">
        <f t="shared" si="2"/>
        <v>626.14739050616311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25">
      <c r="A27" s="6" t="s">
        <v>186</v>
      </c>
      <c r="B27" s="15">
        <v>96500</v>
      </c>
      <c r="C27" s="6" t="s">
        <v>159</v>
      </c>
      <c r="D27" s="16">
        <v>2555</v>
      </c>
      <c r="E27" s="17">
        <f t="shared" si="0"/>
        <v>237.61500000000001</v>
      </c>
      <c r="F27" s="6">
        <v>4</v>
      </c>
      <c r="G27" s="6">
        <v>2</v>
      </c>
      <c r="H27" s="18">
        <f t="shared" si="1"/>
        <v>59.403750000000002</v>
      </c>
      <c r="I27" s="19">
        <f t="shared" si="2"/>
        <v>406.11914231003931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 x14ac:dyDescent="0.25">
      <c r="A28" s="6" t="s">
        <v>187</v>
      </c>
      <c r="B28" s="15">
        <v>135000</v>
      </c>
      <c r="C28" s="6" t="s">
        <v>167</v>
      </c>
      <c r="D28" s="16">
        <v>2565</v>
      </c>
      <c r="E28" s="17">
        <f t="shared" si="0"/>
        <v>238.54499999999999</v>
      </c>
      <c r="F28" s="6">
        <v>4</v>
      </c>
      <c r="G28" s="6">
        <v>2</v>
      </c>
      <c r="H28" s="18">
        <f t="shared" si="1"/>
        <v>59.636249999999997</v>
      </c>
      <c r="I28" s="19">
        <f t="shared" si="2"/>
        <v>565.93095642331639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 x14ac:dyDescent="0.25">
      <c r="A29" s="6" t="s">
        <v>188</v>
      </c>
      <c r="B29" s="15">
        <v>129000</v>
      </c>
      <c r="C29" s="6" t="s">
        <v>169</v>
      </c>
      <c r="D29" s="16">
        <v>2570</v>
      </c>
      <c r="E29" s="17">
        <f t="shared" si="0"/>
        <v>239.01</v>
      </c>
      <c r="F29" s="6">
        <v>4</v>
      </c>
      <c r="G29" s="6">
        <v>2</v>
      </c>
      <c r="H29" s="18">
        <f t="shared" si="1"/>
        <v>59.752499999999998</v>
      </c>
      <c r="I29" s="19">
        <f t="shared" si="2"/>
        <v>539.72637128153633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 x14ac:dyDescent="0.25">
      <c r="A30" s="6" t="s">
        <v>189</v>
      </c>
      <c r="B30" s="15">
        <v>155250</v>
      </c>
      <c r="C30" s="6" t="s">
        <v>149</v>
      </c>
      <c r="D30" s="16">
        <v>2580</v>
      </c>
      <c r="E30" s="17">
        <f t="shared" si="0"/>
        <v>239.94</v>
      </c>
      <c r="F30" s="6">
        <v>4</v>
      </c>
      <c r="G30" s="6">
        <v>2</v>
      </c>
      <c r="H30" s="18">
        <f t="shared" si="1"/>
        <v>59.984999999999999</v>
      </c>
      <c r="I30" s="19">
        <f t="shared" si="2"/>
        <v>647.03675918979741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x14ac:dyDescent="0.25">
      <c r="A31" s="6" t="s">
        <v>190</v>
      </c>
      <c r="B31" s="15">
        <v>88250</v>
      </c>
      <c r="C31" s="6" t="s">
        <v>159</v>
      </c>
      <c r="D31" s="16">
        <v>2635</v>
      </c>
      <c r="E31" s="17">
        <f t="shared" si="0"/>
        <v>245.05500000000001</v>
      </c>
      <c r="F31" s="6">
        <v>4</v>
      </c>
      <c r="G31" s="6">
        <v>2</v>
      </c>
      <c r="H31" s="18">
        <f t="shared" si="1"/>
        <v>61.263750000000002</v>
      </c>
      <c r="I31" s="19">
        <f t="shared" si="2"/>
        <v>360.12323764052968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x14ac:dyDescent="0.25">
      <c r="A32" s="6" t="s">
        <v>191</v>
      </c>
      <c r="B32" s="15">
        <v>124500</v>
      </c>
      <c r="C32" s="6" t="s">
        <v>167</v>
      </c>
      <c r="D32" s="16">
        <v>2645</v>
      </c>
      <c r="E32" s="17">
        <f t="shared" si="0"/>
        <v>245.98499999999999</v>
      </c>
      <c r="F32" s="6">
        <v>4</v>
      </c>
      <c r="G32" s="6">
        <v>3</v>
      </c>
      <c r="H32" s="18">
        <f t="shared" si="1"/>
        <v>61.496249999999996</v>
      </c>
      <c r="I32" s="19">
        <f t="shared" si="2"/>
        <v>506.12842246478448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 x14ac:dyDescent="0.25">
      <c r="A33" s="6" t="s">
        <v>192</v>
      </c>
      <c r="B33" s="15">
        <v>120250</v>
      </c>
      <c r="C33" s="6" t="s">
        <v>169</v>
      </c>
      <c r="D33" s="16">
        <v>2650</v>
      </c>
      <c r="E33" s="17">
        <f t="shared" si="0"/>
        <v>246.45</v>
      </c>
      <c r="F33" s="6">
        <v>4</v>
      </c>
      <c r="G33" s="6">
        <v>3</v>
      </c>
      <c r="H33" s="18">
        <f t="shared" si="1"/>
        <v>61.612499999999997</v>
      </c>
      <c r="I33" s="19">
        <f t="shared" si="2"/>
        <v>487.92858592006496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 x14ac:dyDescent="0.25">
      <c r="A34" s="6" t="s">
        <v>193</v>
      </c>
      <c r="B34" s="15">
        <v>91750</v>
      </c>
      <c r="C34" s="6" t="s">
        <v>169</v>
      </c>
      <c r="D34" s="16">
        <v>2655</v>
      </c>
      <c r="E34" s="17">
        <f t="shared" si="0"/>
        <v>246.91499999999999</v>
      </c>
      <c r="F34" s="6">
        <v>4</v>
      </c>
      <c r="G34" s="6">
        <v>2</v>
      </c>
      <c r="H34" s="18">
        <f t="shared" si="1"/>
        <v>61.728749999999998</v>
      </c>
      <c r="I34" s="19">
        <f t="shared" si="2"/>
        <v>371.58536338416053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 x14ac:dyDescent="0.25">
      <c r="A35" s="6" t="s">
        <v>194</v>
      </c>
      <c r="B35" s="15">
        <v>127750</v>
      </c>
      <c r="C35" s="6" t="s">
        <v>151</v>
      </c>
      <c r="D35" s="16">
        <v>2670</v>
      </c>
      <c r="E35" s="17">
        <f t="shared" si="0"/>
        <v>248.31</v>
      </c>
      <c r="F35" s="6">
        <v>4</v>
      </c>
      <c r="G35" s="6">
        <v>2</v>
      </c>
      <c r="H35" s="18">
        <f t="shared" si="1"/>
        <v>62.077500000000001</v>
      </c>
      <c r="I35" s="19">
        <f t="shared" si="2"/>
        <v>514.47787040393052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 x14ac:dyDescent="0.25">
      <c r="A36" s="6" t="s">
        <v>195</v>
      </c>
      <c r="B36" s="15">
        <v>132000</v>
      </c>
      <c r="C36" s="6" t="s">
        <v>149</v>
      </c>
      <c r="D36" s="16">
        <v>2685</v>
      </c>
      <c r="E36" s="17">
        <f t="shared" si="0"/>
        <v>249.70499999999998</v>
      </c>
      <c r="F36" s="6">
        <v>4</v>
      </c>
      <c r="G36" s="6">
        <v>2</v>
      </c>
      <c r="H36" s="18">
        <f t="shared" si="1"/>
        <v>62.426249999999996</v>
      </c>
      <c r="I36" s="19">
        <f t="shared" si="2"/>
        <v>528.62377605574579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 x14ac:dyDescent="0.25">
      <c r="A37" s="6" t="s">
        <v>196</v>
      </c>
      <c r="B37" s="15">
        <v>83750</v>
      </c>
      <c r="C37" s="6" t="s">
        <v>159</v>
      </c>
      <c r="D37" s="16">
        <v>2715</v>
      </c>
      <c r="E37" s="17">
        <f t="shared" si="0"/>
        <v>252.495</v>
      </c>
      <c r="F37" s="6">
        <v>4</v>
      </c>
      <c r="G37" s="6">
        <v>3</v>
      </c>
      <c r="H37" s="18">
        <f t="shared" si="1"/>
        <v>63.123750000000001</v>
      </c>
      <c r="I37" s="19">
        <f t="shared" si="2"/>
        <v>331.68973643042438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 x14ac:dyDescent="0.25">
      <c r="A38" s="6" t="s">
        <v>197</v>
      </c>
      <c r="B38" s="15">
        <v>91000</v>
      </c>
      <c r="C38" s="6" t="s">
        <v>169</v>
      </c>
      <c r="D38" s="16">
        <v>2715</v>
      </c>
      <c r="E38" s="17">
        <f t="shared" si="0"/>
        <v>252.495</v>
      </c>
      <c r="F38" s="6">
        <v>4</v>
      </c>
      <c r="G38" s="6">
        <v>2</v>
      </c>
      <c r="H38" s="18">
        <f t="shared" si="1"/>
        <v>63.123750000000001</v>
      </c>
      <c r="I38" s="19">
        <f t="shared" si="2"/>
        <v>360.40317630052078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 x14ac:dyDescent="0.25">
      <c r="A39" s="6" t="s">
        <v>198</v>
      </c>
      <c r="B39" s="15">
        <v>116250</v>
      </c>
      <c r="C39" s="6" t="s">
        <v>167</v>
      </c>
      <c r="D39" s="16">
        <v>2725</v>
      </c>
      <c r="E39" s="17">
        <f t="shared" si="0"/>
        <v>253.42500000000001</v>
      </c>
      <c r="F39" s="6">
        <v>4</v>
      </c>
      <c r="G39" s="6">
        <v>4</v>
      </c>
      <c r="H39" s="18">
        <f t="shared" si="1"/>
        <v>63.356250000000003</v>
      </c>
      <c r="I39" s="19">
        <f t="shared" si="2"/>
        <v>458.71559633027522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 x14ac:dyDescent="0.25">
      <c r="A40" s="6" t="s">
        <v>199</v>
      </c>
      <c r="B40" s="15">
        <v>115750</v>
      </c>
      <c r="C40" s="6" t="s">
        <v>169</v>
      </c>
      <c r="D40" s="16">
        <v>2730</v>
      </c>
      <c r="E40" s="17">
        <f t="shared" si="0"/>
        <v>253.89</v>
      </c>
      <c r="F40" s="6">
        <v>4</v>
      </c>
      <c r="G40" s="6">
        <v>4</v>
      </c>
      <c r="H40" s="18">
        <f t="shared" si="1"/>
        <v>63.472499999999997</v>
      </c>
      <c r="I40" s="19">
        <f t="shared" si="2"/>
        <v>455.90610106739143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 x14ac:dyDescent="0.25">
      <c r="A41" s="6" t="s">
        <v>200</v>
      </c>
      <c r="B41" s="15">
        <v>117250</v>
      </c>
      <c r="C41" s="6" t="s">
        <v>151</v>
      </c>
      <c r="D41" s="16">
        <v>2730</v>
      </c>
      <c r="E41" s="17">
        <f t="shared" si="0"/>
        <v>253.89</v>
      </c>
      <c r="F41" s="6">
        <v>4</v>
      </c>
      <c r="G41" s="6">
        <v>3</v>
      </c>
      <c r="H41" s="18">
        <f t="shared" si="1"/>
        <v>63.472499999999997</v>
      </c>
      <c r="I41" s="19">
        <f t="shared" si="2"/>
        <v>461.81417149159086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 x14ac:dyDescent="0.25">
      <c r="A42" s="6" t="s">
        <v>201</v>
      </c>
      <c r="B42" s="15">
        <v>119750</v>
      </c>
      <c r="C42" s="6" t="s">
        <v>149</v>
      </c>
      <c r="D42" s="16">
        <v>2745</v>
      </c>
      <c r="E42" s="17">
        <f t="shared" si="0"/>
        <v>255.285</v>
      </c>
      <c r="F42" s="6">
        <v>4</v>
      </c>
      <c r="G42" s="6">
        <v>3</v>
      </c>
      <c r="H42" s="18">
        <f t="shared" si="1"/>
        <v>63.821249999999999</v>
      </c>
      <c r="I42" s="19">
        <f t="shared" si="2"/>
        <v>469.08357326125702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 x14ac:dyDescent="0.25">
      <c r="A43" s="6" t="s">
        <v>202</v>
      </c>
      <c r="B43" s="15">
        <v>137250</v>
      </c>
      <c r="C43" s="6" t="s">
        <v>149</v>
      </c>
      <c r="D43" s="16">
        <v>2745</v>
      </c>
      <c r="E43" s="17">
        <f t="shared" si="0"/>
        <v>255.285</v>
      </c>
      <c r="F43" s="6">
        <v>4</v>
      </c>
      <c r="G43" s="6">
        <v>2</v>
      </c>
      <c r="H43" s="18">
        <f t="shared" si="1"/>
        <v>63.821249999999999</v>
      </c>
      <c r="I43" s="19">
        <f t="shared" si="2"/>
        <v>537.63440860215053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 x14ac:dyDescent="0.25">
      <c r="A44" s="6" t="s">
        <v>203</v>
      </c>
      <c r="B44" s="15">
        <v>81250</v>
      </c>
      <c r="C44" s="6" t="s">
        <v>169</v>
      </c>
      <c r="D44" s="16">
        <v>2775</v>
      </c>
      <c r="E44" s="17">
        <f t="shared" si="0"/>
        <v>258.07499999999999</v>
      </c>
      <c r="F44" s="6">
        <v>4</v>
      </c>
      <c r="G44" s="6">
        <v>3</v>
      </c>
      <c r="H44" s="18">
        <f t="shared" si="1"/>
        <v>64.518749999999997</v>
      </c>
      <c r="I44" s="19">
        <f t="shared" si="2"/>
        <v>314.83095999225031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 x14ac:dyDescent="0.25">
      <c r="A45" s="6" t="s">
        <v>204</v>
      </c>
      <c r="B45" s="15">
        <v>138000</v>
      </c>
      <c r="C45" s="6" t="s">
        <v>151</v>
      </c>
      <c r="D45" s="16">
        <v>2780</v>
      </c>
      <c r="E45" s="17">
        <f t="shared" si="0"/>
        <v>258.54000000000002</v>
      </c>
      <c r="F45" s="6">
        <v>4</v>
      </c>
      <c r="G45" s="6">
        <v>2</v>
      </c>
      <c r="H45" s="18">
        <f t="shared" si="1"/>
        <v>64.635000000000005</v>
      </c>
      <c r="I45" s="19">
        <f t="shared" si="2"/>
        <v>533.76653515896953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 x14ac:dyDescent="0.25">
      <c r="A46" s="6" t="s">
        <v>205</v>
      </c>
      <c r="B46" s="15">
        <v>116500</v>
      </c>
      <c r="C46" s="6" t="s">
        <v>151</v>
      </c>
      <c r="D46" s="16">
        <v>2790</v>
      </c>
      <c r="E46" s="17">
        <f t="shared" si="0"/>
        <v>259.46999999999997</v>
      </c>
      <c r="F46" s="6">
        <v>4</v>
      </c>
      <c r="G46" s="6">
        <v>4</v>
      </c>
      <c r="H46" s="18">
        <f t="shared" si="1"/>
        <v>64.867499999999993</v>
      </c>
      <c r="I46" s="19">
        <f t="shared" si="2"/>
        <v>448.99217635950214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 x14ac:dyDescent="0.25">
      <c r="A47" s="6" t="s">
        <v>206</v>
      </c>
      <c r="B47" s="15">
        <v>119000</v>
      </c>
      <c r="C47" s="6" t="s">
        <v>149</v>
      </c>
      <c r="D47" s="16">
        <v>2805</v>
      </c>
      <c r="E47" s="17">
        <f t="shared" si="0"/>
        <v>260.86500000000001</v>
      </c>
      <c r="F47" s="6">
        <v>4</v>
      </c>
      <c r="G47" s="6">
        <v>4</v>
      </c>
      <c r="H47" s="18">
        <f t="shared" si="1"/>
        <v>65.216250000000002</v>
      </c>
      <c r="I47" s="19">
        <f t="shared" si="2"/>
        <v>456.17464972303679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 x14ac:dyDescent="0.25">
      <c r="A48" s="6" t="s">
        <v>207</v>
      </c>
      <c r="B48" s="15">
        <v>145500</v>
      </c>
      <c r="C48" s="6" t="s">
        <v>154</v>
      </c>
      <c r="D48" s="16">
        <v>2805</v>
      </c>
      <c r="E48" s="17">
        <f t="shared" si="0"/>
        <v>260.86500000000001</v>
      </c>
      <c r="F48" s="6">
        <v>4</v>
      </c>
      <c r="G48" s="6">
        <v>2</v>
      </c>
      <c r="H48" s="18">
        <f t="shared" si="1"/>
        <v>65.216250000000002</v>
      </c>
      <c r="I48" s="19">
        <f t="shared" si="2"/>
        <v>557.75976079581392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 x14ac:dyDescent="0.25">
      <c r="A49" s="6" t="s">
        <v>208</v>
      </c>
      <c r="B49" s="15">
        <v>128500</v>
      </c>
      <c r="C49" s="6" t="s">
        <v>169</v>
      </c>
      <c r="D49" s="16">
        <v>2820</v>
      </c>
      <c r="E49" s="17">
        <f t="shared" si="0"/>
        <v>262.26</v>
      </c>
      <c r="F49" s="6">
        <v>4</v>
      </c>
      <c r="G49" s="6">
        <v>2</v>
      </c>
      <c r="H49" s="18">
        <f t="shared" si="1"/>
        <v>65.564999999999998</v>
      </c>
      <c r="I49" s="19">
        <f t="shared" si="2"/>
        <v>489.9717837260734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 x14ac:dyDescent="0.25">
      <c r="A50" s="6" t="s">
        <v>209</v>
      </c>
      <c r="B50" s="15">
        <v>132750</v>
      </c>
      <c r="C50" s="6" t="s">
        <v>149</v>
      </c>
      <c r="D50" s="16">
        <v>2905</v>
      </c>
      <c r="E50" s="17">
        <f t="shared" si="0"/>
        <v>270.16500000000002</v>
      </c>
      <c r="F50" s="6">
        <v>4</v>
      </c>
      <c r="G50" s="6">
        <v>3</v>
      </c>
      <c r="H50" s="18">
        <f t="shared" si="1"/>
        <v>67.541250000000005</v>
      </c>
      <c r="I50" s="19">
        <f t="shared" si="2"/>
        <v>491.36638720781741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 x14ac:dyDescent="0.25">
      <c r="A51" s="6" t="s">
        <v>210</v>
      </c>
      <c r="B51" s="15">
        <v>137250</v>
      </c>
      <c r="C51" s="6" t="s">
        <v>154</v>
      </c>
      <c r="D51" s="16">
        <v>2925</v>
      </c>
      <c r="E51" s="17">
        <f t="shared" si="0"/>
        <v>272.02499999999998</v>
      </c>
      <c r="F51" s="6">
        <v>4</v>
      </c>
      <c r="G51" s="6">
        <v>3</v>
      </c>
      <c r="H51" s="18">
        <f t="shared" si="1"/>
        <v>68.006249999999994</v>
      </c>
      <c r="I51" s="19">
        <f t="shared" si="2"/>
        <v>504.54921422663364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 x14ac:dyDescent="0.25">
      <c r="A52" s="6" t="s">
        <v>211</v>
      </c>
      <c r="B52" s="15">
        <v>131000</v>
      </c>
      <c r="C52" s="6" t="s">
        <v>159</v>
      </c>
      <c r="D52" s="16">
        <v>2940</v>
      </c>
      <c r="E52" s="17">
        <f t="shared" si="0"/>
        <v>273.42</v>
      </c>
      <c r="F52" s="6">
        <v>4</v>
      </c>
      <c r="G52" s="6">
        <v>3</v>
      </c>
      <c r="H52" s="18">
        <f t="shared" si="1"/>
        <v>68.355000000000004</v>
      </c>
      <c r="I52" s="19">
        <f t="shared" si="2"/>
        <v>479.11637773388924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 x14ac:dyDescent="0.25">
      <c r="A53" s="6" t="s">
        <v>212</v>
      </c>
      <c r="B53" s="15">
        <v>131250</v>
      </c>
      <c r="C53" s="6" t="s">
        <v>151</v>
      </c>
      <c r="D53" s="16">
        <v>2940</v>
      </c>
      <c r="E53" s="17">
        <f t="shared" si="0"/>
        <v>273.42</v>
      </c>
      <c r="F53" s="6">
        <v>4</v>
      </c>
      <c r="G53" s="6">
        <v>3</v>
      </c>
      <c r="H53" s="18">
        <f t="shared" si="1"/>
        <v>68.355000000000004</v>
      </c>
      <c r="I53" s="19">
        <f t="shared" si="2"/>
        <v>480.03072196620582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 x14ac:dyDescent="0.25">
      <c r="A54" s="6" t="s">
        <v>213</v>
      </c>
      <c r="B54" s="15">
        <v>146250</v>
      </c>
      <c r="C54" s="6" t="s">
        <v>159</v>
      </c>
      <c r="D54" s="16">
        <v>2955</v>
      </c>
      <c r="E54" s="17">
        <f t="shared" si="0"/>
        <v>274.815</v>
      </c>
      <c r="F54" s="6">
        <v>4</v>
      </c>
      <c r="G54" s="6">
        <v>2</v>
      </c>
      <c r="H54" s="18">
        <f t="shared" si="1"/>
        <v>68.703749999999999</v>
      </c>
      <c r="I54" s="19">
        <f t="shared" si="2"/>
        <v>532.17619125593581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 x14ac:dyDescent="0.25">
      <c r="A55" s="6" t="s">
        <v>214</v>
      </c>
      <c r="B55" s="15">
        <v>153000</v>
      </c>
      <c r="C55" s="6" t="s">
        <v>154</v>
      </c>
      <c r="D55" s="16">
        <v>2955</v>
      </c>
      <c r="E55" s="17">
        <f t="shared" si="0"/>
        <v>274.815</v>
      </c>
      <c r="F55" s="6">
        <v>4</v>
      </c>
      <c r="G55" s="6">
        <v>2</v>
      </c>
      <c r="H55" s="18">
        <f t="shared" si="1"/>
        <v>68.703749999999999</v>
      </c>
      <c r="I55" s="19">
        <f t="shared" si="2"/>
        <v>556.73816931390206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 x14ac:dyDescent="0.25">
      <c r="A56" s="6" t="s">
        <v>215</v>
      </c>
      <c r="B56" s="15">
        <v>135750</v>
      </c>
      <c r="C56" s="6" t="s">
        <v>154</v>
      </c>
      <c r="D56" s="16">
        <v>3045</v>
      </c>
      <c r="E56" s="17">
        <f t="shared" si="0"/>
        <v>283.185</v>
      </c>
      <c r="F56" s="6">
        <v>4</v>
      </c>
      <c r="G56" s="6">
        <v>2</v>
      </c>
      <c r="H56" s="18">
        <f t="shared" si="1"/>
        <v>70.796250000000001</v>
      </c>
      <c r="I56" s="19">
        <f t="shared" si="2"/>
        <v>479.36861062556278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 x14ac:dyDescent="0.25">
      <c r="A57" s="6" t="s">
        <v>216</v>
      </c>
      <c r="B57" s="15">
        <v>135000</v>
      </c>
      <c r="C57" s="6" t="s">
        <v>154</v>
      </c>
      <c r="D57" s="16">
        <v>3060</v>
      </c>
      <c r="E57" s="17">
        <f t="shared" si="0"/>
        <v>284.58</v>
      </c>
      <c r="F57" s="6">
        <v>4</v>
      </c>
      <c r="G57" s="6">
        <v>2</v>
      </c>
      <c r="H57" s="18">
        <f t="shared" si="1"/>
        <v>71.144999999999996</v>
      </c>
      <c r="I57" s="19">
        <f t="shared" si="2"/>
        <v>474.38330170777994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 x14ac:dyDescent="0.25">
      <c r="A58" s="6" t="s">
        <v>217</v>
      </c>
      <c r="B58" s="15">
        <v>92500</v>
      </c>
      <c r="C58" s="6" t="s">
        <v>151</v>
      </c>
      <c r="D58" s="16">
        <v>3090</v>
      </c>
      <c r="E58" s="17">
        <f t="shared" si="0"/>
        <v>287.37</v>
      </c>
      <c r="F58" s="6">
        <v>4</v>
      </c>
      <c r="G58" s="6">
        <v>2</v>
      </c>
      <c r="H58" s="18">
        <f t="shared" si="1"/>
        <v>71.842500000000001</v>
      </c>
      <c r="I58" s="19">
        <f t="shared" si="2"/>
        <v>321.8846782893134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 x14ac:dyDescent="0.25">
      <c r="A59" s="6" t="s">
        <v>218</v>
      </c>
      <c r="B59" s="15">
        <v>95000</v>
      </c>
      <c r="C59" s="6" t="s">
        <v>149</v>
      </c>
      <c r="D59" s="16">
        <v>3105</v>
      </c>
      <c r="E59" s="17">
        <f t="shared" si="0"/>
        <v>288.76499999999999</v>
      </c>
      <c r="F59" s="6">
        <v>4</v>
      </c>
      <c r="G59" s="6">
        <v>2</v>
      </c>
      <c r="H59" s="18">
        <f t="shared" si="1"/>
        <v>72.191249999999997</v>
      </c>
      <c r="I59" s="19">
        <f t="shared" si="2"/>
        <v>328.98723875815978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 x14ac:dyDescent="0.25">
      <c r="A60" s="6" t="s">
        <v>219</v>
      </c>
      <c r="B60" s="15">
        <v>128250</v>
      </c>
      <c r="C60" s="6" t="s">
        <v>154</v>
      </c>
      <c r="D60" s="16">
        <v>3105</v>
      </c>
      <c r="E60" s="17">
        <f t="shared" si="0"/>
        <v>288.76499999999999</v>
      </c>
      <c r="F60" s="6">
        <v>4</v>
      </c>
      <c r="G60" s="6">
        <v>3</v>
      </c>
      <c r="H60" s="18">
        <f t="shared" si="1"/>
        <v>72.191249999999997</v>
      </c>
      <c r="I60" s="19">
        <f t="shared" si="2"/>
        <v>444.13277232351567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 x14ac:dyDescent="0.25">
      <c r="A61" s="6" t="s">
        <v>220</v>
      </c>
      <c r="B61" s="15">
        <v>85250</v>
      </c>
      <c r="C61" s="6" t="s">
        <v>149</v>
      </c>
      <c r="D61" s="16">
        <v>3165</v>
      </c>
      <c r="E61" s="17">
        <f t="shared" si="0"/>
        <v>294.34499999999997</v>
      </c>
      <c r="F61" s="6">
        <v>4</v>
      </c>
      <c r="G61" s="6">
        <v>2</v>
      </c>
      <c r="H61" s="18">
        <f t="shared" si="1"/>
        <v>73.586249999999993</v>
      </c>
      <c r="I61" s="19">
        <f t="shared" si="2"/>
        <v>289.62611901000531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 x14ac:dyDescent="0.25">
      <c r="A62" s="6" t="s">
        <v>221</v>
      </c>
      <c r="B62" s="15">
        <v>141750</v>
      </c>
      <c r="C62" s="6" t="s">
        <v>159</v>
      </c>
      <c r="D62" s="16">
        <v>1595</v>
      </c>
      <c r="E62" s="17">
        <f t="shared" si="0"/>
        <v>148.33500000000001</v>
      </c>
      <c r="F62" s="6">
        <v>3</v>
      </c>
      <c r="G62" s="6">
        <v>2</v>
      </c>
      <c r="H62" s="18">
        <f t="shared" si="1"/>
        <v>49.445</v>
      </c>
      <c r="I62" s="19">
        <f t="shared" si="2"/>
        <v>955.60724036808574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 x14ac:dyDescent="0.25">
      <c r="A63" s="6" t="s">
        <v>222</v>
      </c>
      <c r="B63" s="15">
        <v>123000</v>
      </c>
      <c r="C63" s="6" t="s">
        <v>154</v>
      </c>
      <c r="D63" s="16">
        <v>1705</v>
      </c>
      <c r="E63" s="17">
        <f t="shared" si="0"/>
        <v>158.565</v>
      </c>
      <c r="F63" s="6">
        <v>3</v>
      </c>
      <c r="G63" s="6">
        <v>2</v>
      </c>
      <c r="H63" s="18">
        <f t="shared" si="1"/>
        <v>52.854999999999997</v>
      </c>
      <c r="I63" s="19">
        <f t="shared" si="2"/>
        <v>775.70712326175385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 x14ac:dyDescent="0.25">
      <c r="A64" s="6" t="s">
        <v>223</v>
      </c>
      <c r="B64" s="15">
        <v>154500</v>
      </c>
      <c r="C64" s="6" t="s">
        <v>167</v>
      </c>
      <c r="D64" s="16">
        <v>1740</v>
      </c>
      <c r="E64" s="17">
        <f t="shared" si="0"/>
        <v>161.82</v>
      </c>
      <c r="F64" s="6">
        <v>3</v>
      </c>
      <c r="G64" s="6">
        <v>2</v>
      </c>
      <c r="H64" s="18">
        <f t="shared" si="1"/>
        <v>53.94</v>
      </c>
      <c r="I64" s="19">
        <f t="shared" si="2"/>
        <v>954.76455320726734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 x14ac:dyDescent="0.25">
      <c r="A65" s="6" t="s">
        <v>224</v>
      </c>
      <c r="B65" s="15">
        <v>136250</v>
      </c>
      <c r="C65" s="6" t="s">
        <v>159</v>
      </c>
      <c r="D65" s="16">
        <v>1755</v>
      </c>
      <c r="E65" s="17">
        <f t="shared" si="0"/>
        <v>163.215</v>
      </c>
      <c r="F65" s="6">
        <v>3</v>
      </c>
      <c r="G65" s="6">
        <v>2</v>
      </c>
      <c r="H65" s="18">
        <f t="shared" si="1"/>
        <v>54.405000000000001</v>
      </c>
      <c r="I65" s="19">
        <f t="shared" si="2"/>
        <v>834.78846919707132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 x14ac:dyDescent="0.25">
      <c r="A66" s="6" t="s">
        <v>225</v>
      </c>
      <c r="B66" s="15">
        <v>155250</v>
      </c>
      <c r="C66" s="6" t="s">
        <v>167</v>
      </c>
      <c r="D66" s="16">
        <v>1765</v>
      </c>
      <c r="E66" s="17">
        <f t="shared" si="0"/>
        <v>164.14500000000001</v>
      </c>
      <c r="F66" s="6">
        <v>3</v>
      </c>
      <c r="G66" s="6">
        <v>2</v>
      </c>
      <c r="H66" s="18">
        <f t="shared" si="1"/>
        <v>54.715000000000003</v>
      </c>
      <c r="I66" s="19">
        <f t="shared" si="2"/>
        <v>945.81010691766426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 x14ac:dyDescent="0.25">
      <c r="A67" s="6" t="s">
        <v>226</v>
      </c>
      <c r="B67" s="15">
        <v>79000</v>
      </c>
      <c r="C67" s="6" t="s">
        <v>151</v>
      </c>
      <c r="D67" s="16">
        <v>1770</v>
      </c>
      <c r="E67" s="17">
        <f t="shared" si="0"/>
        <v>164.60999999999999</v>
      </c>
      <c r="F67" s="6">
        <v>3</v>
      </c>
      <c r="G67" s="6">
        <v>2</v>
      </c>
      <c r="H67" s="18">
        <f t="shared" si="1"/>
        <v>54.87</v>
      </c>
      <c r="I67" s="19">
        <f t="shared" si="2"/>
        <v>479.92224044711747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 x14ac:dyDescent="0.25">
      <c r="A68" s="6" t="s">
        <v>227</v>
      </c>
      <c r="B68" s="15">
        <v>113250</v>
      </c>
      <c r="C68" s="6" t="s">
        <v>154</v>
      </c>
      <c r="D68" s="16">
        <v>1785</v>
      </c>
      <c r="E68" s="17">
        <f t="shared" si="0"/>
        <v>166.005</v>
      </c>
      <c r="F68" s="6">
        <v>3</v>
      </c>
      <c r="G68" s="6">
        <v>2</v>
      </c>
      <c r="H68" s="18">
        <f t="shared" si="1"/>
        <v>55.335000000000001</v>
      </c>
      <c r="I68" s="19">
        <f t="shared" si="2"/>
        <v>682.20836721785486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 x14ac:dyDescent="0.25">
      <c r="A69" s="6" t="s">
        <v>228</v>
      </c>
      <c r="B69" s="15">
        <v>125250</v>
      </c>
      <c r="C69" s="6" t="s">
        <v>167</v>
      </c>
      <c r="D69" s="16">
        <v>1820</v>
      </c>
      <c r="E69" s="17">
        <f t="shared" si="0"/>
        <v>169.26</v>
      </c>
      <c r="F69" s="6">
        <v>3</v>
      </c>
      <c r="G69" s="6">
        <v>2</v>
      </c>
      <c r="H69" s="18">
        <f t="shared" si="1"/>
        <v>56.419999999999995</v>
      </c>
      <c r="I69" s="19">
        <f t="shared" si="2"/>
        <v>739.98582063098195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 x14ac:dyDescent="0.25">
      <c r="A70" s="6" t="s">
        <v>229</v>
      </c>
      <c r="B70" s="15">
        <v>149250</v>
      </c>
      <c r="C70" s="6" t="s">
        <v>167</v>
      </c>
      <c r="D70" s="16">
        <v>1845</v>
      </c>
      <c r="E70" s="17">
        <f t="shared" si="0"/>
        <v>171.58500000000001</v>
      </c>
      <c r="F70" s="6">
        <v>3</v>
      </c>
      <c r="G70" s="6">
        <v>3</v>
      </c>
      <c r="H70" s="18">
        <f t="shared" si="1"/>
        <v>57.195</v>
      </c>
      <c r="I70" s="19">
        <f t="shared" si="2"/>
        <v>869.83127895795087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 x14ac:dyDescent="0.25">
      <c r="A71" s="6" t="s">
        <v>230</v>
      </c>
      <c r="B71" s="15">
        <v>147750</v>
      </c>
      <c r="C71" s="6" t="s">
        <v>169</v>
      </c>
      <c r="D71" s="16">
        <v>1850</v>
      </c>
      <c r="E71" s="17">
        <f t="shared" si="0"/>
        <v>172.05</v>
      </c>
      <c r="F71" s="6">
        <v>3</v>
      </c>
      <c r="G71" s="6">
        <v>3</v>
      </c>
      <c r="H71" s="18">
        <f t="shared" si="1"/>
        <v>57.35</v>
      </c>
      <c r="I71" s="19">
        <f t="shared" si="2"/>
        <v>858.76198779424578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 x14ac:dyDescent="0.25">
      <c r="A72" s="6" t="s">
        <v>231</v>
      </c>
      <c r="B72" s="15">
        <v>133500</v>
      </c>
      <c r="C72" s="6" t="s">
        <v>159</v>
      </c>
      <c r="D72" s="16">
        <v>1915</v>
      </c>
      <c r="E72" s="17">
        <f t="shared" si="0"/>
        <v>178.095</v>
      </c>
      <c r="F72" s="6">
        <v>3</v>
      </c>
      <c r="G72" s="6">
        <v>3</v>
      </c>
      <c r="H72" s="18">
        <f t="shared" si="1"/>
        <v>59.365000000000002</v>
      </c>
      <c r="I72" s="19">
        <f t="shared" si="2"/>
        <v>749.59993262023079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 x14ac:dyDescent="0.25">
      <c r="A73" s="6" t="s">
        <v>232</v>
      </c>
      <c r="B73" s="15">
        <v>104250</v>
      </c>
      <c r="C73" s="6" t="s">
        <v>154</v>
      </c>
      <c r="D73" s="16">
        <v>1945</v>
      </c>
      <c r="E73" s="17">
        <f t="shared" si="0"/>
        <v>180.88499999999999</v>
      </c>
      <c r="F73" s="6">
        <v>3</v>
      </c>
      <c r="G73" s="6">
        <v>1</v>
      </c>
      <c r="H73" s="18">
        <f t="shared" si="1"/>
        <v>60.294999999999995</v>
      </c>
      <c r="I73" s="19">
        <f t="shared" si="2"/>
        <v>576.33302927274235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 x14ac:dyDescent="0.25">
      <c r="A74" s="6" t="s">
        <v>233</v>
      </c>
      <c r="B74" s="15">
        <v>101250</v>
      </c>
      <c r="C74" s="6" t="s">
        <v>167</v>
      </c>
      <c r="D74" s="16">
        <v>1980</v>
      </c>
      <c r="E74" s="17">
        <f t="shared" si="0"/>
        <v>184.14</v>
      </c>
      <c r="F74" s="6">
        <v>3</v>
      </c>
      <c r="G74" s="6">
        <v>1</v>
      </c>
      <c r="H74" s="18">
        <f t="shared" si="1"/>
        <v>61.379999999999995</v>
      </c>
      <c r="I74" s="19">
        <f t="shared" si="2"/>
        <v>549.85337243401761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 x14ac:dyDescent="0.25">
      <c r="A75" s="6" t="s">
        <v>234</v>
      </c>
      <c r="B75" s="15">
        <v>148500</v>
      </c>
      <c r="C75" s="6" t="s">
        <v>167</v>
      </c>
      <c r="D75" s="16">
        <v>2005</v>
      </c>
      <c r="E75" s="17">
        <f t="shared" si="0"/>
        <v>186.465</v>
      </c>
      <c r="F75" s="6">
        <v>3</v>
      </c>
      <c r="G75" s="6">
        <v>1</v>
      </c>
      <c r="H75" s="18">
        <f t="shared" si="1"/>
        <v>62.155000000000001</v>
      </c>
      <c r="I75" s="19">
        <f t="shared" si="2"/>
        <v>796.39610650792372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 x14ac:dyDescent="0.25">
      <c r="A76" s="6" t="s">
        <v>235</v>
      </c>
      <c r="B76" s="15">
        <v>140250</v>
      </c>
      <c r="C76" s="6" t="s">
        <v>169</v>
      </c>
      <c r="D76" s="16">
        <v>2010</v>
      </c>
      <c r="E76" s="17">
        <f t="shared" si="0"/>
        <v>186.93</v>
      </c>
      <c r="F76" s="6">
        <v>3</v>
      </c>
      <c r="G76" s="6">
        <v>1</v>
      </c>
      <c r="H76" s="18">
        <f t="shared" si="1"/>
        <v>62.31</v>
      </c>
      <c r="I76" s="19">
        <f t="shared" si="2"/>
        <v>750.28085379553841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 x14ac:dyDescent="0.25">
      <c r="A77" s="6" t="s">
        <v>236</v>
      </c>
      <c r="B77" s="15">
        <v>144000</v>
      </c>
      <c r="C77" s="6" t="s">
        <v>167</v>
      </c>
      <c r="D77" s="16">
        <v>2165</v>
      </c>
      <c r="E77" s="17">
        <f t="shared" si="0"/>
        <v>201.345</v>
      </c>
      <c r="F77" s="6">
        <v>3</v>
      </c>
      <c r="G77" s="6">
        <v>2</v>
      </c>
      <c r="H77" s="18">
        <f t="shared" si="1"/>
        <v>67.114999999999995</v>
      </c>
      <c r="I77" s="19">
        <f t="shared" si="2"/>
        <v>715.19034493034349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 x14ac:dyDescent="0.25">
      <c r="A78" s="6" t="s">
        <v>237</v>
      </c>
      <c r="B78" s="15">
        <v>139500</v>
      </c>
      <c r="C78" s="6" t="s">
        <v>169</v>
      </c>
      <c r="D78" s="16">
        <v>2170</v>
      </c>
      <c r="E78" s="17">
        <f t="shared" si="0"/>
        <v>201.81</v>
      </c>
      <c r="F78" s="6">
        <v>3</v>
      </c>
      <c r="G78" s="6">
        <v>2</v>
      </c>
      <c r="H78" s="18">
        <f t="shared" si="1"/>
        <v>67.27</v>
      </c>
      <c r="I78" s="19">
        <f t="shared" si="2"/>
        <v>691.24423963133643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 x14ac:dyDescent="0.25">
      <c r="A79" s="6" t="s">
        <v>238</v>
      </c>
      <c r="B79" s="15">
        <v>112250</v>
      </c>
      <c r="C79" s="6" t="s">
        <v>159</v>
      </c>
      <c r="D79" s="16">
        <v>2235</v>
      </c>
      <c r="E79" s="17">
        <f t="shared" si="0"/>
        <v>207.85499999999999</v>
      </c>
      <c r="F79" s="6">
        <v>3</v>
      </c>
      <c r="G79" s="6">
        <v>2</v>
      </c>
      <c r="H79" s="18">
        <f t="shared" si="1"/>
        <v>69.284999999999997</v>
      </c>
      <c r="I79" s="19">
        <f t="shared" si="2"/>
        <v>540.03993168314457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 x14ac:dyDescent="0.25">
      <c r="A80" s="6" t="s">
        <v>239</v>
      </c>
      <c r="B80" s="15">
        <v>88500</v>
      </c>
      <c r="C80" s="6" t="s">
        <v>154</v>
      </c>
      <c r="D80" s="16">
        <v>2265</v>
      </c>
      <c r="E80" s="17">
        <f t="shared" si="0"/>
        <v>210.64500000000001</v>
      </c>
      <c r="F80" s="6">
        <v>3</v>
      </c>
      <c r="G80" s="6">
        <v>3</v>
      </c>
      <c r="H80" s="18">
        <f t="shared" si="1"/>
        <v>70.215000000000003</v>
      </c>
      <c r="I80" s="19">
        <f t="shared" si="2"/>
        <v>420.13814711956132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 x14ac:dyDescent="0.25">
      <c r="A81" s="6" t="s">
        <v>240</v>
      </c>
      <c r="B81" s="15">
        <v>87000</v>
      </c>
      <c r="C81" s="6" t="s">
        <v>167</v>
      </c>
      <c r="D81" s="16">
        <v>2300</v>
      </c>
      <c r="E81" s="17">
        <f t="shared" si="0"/>
        <v>213.9</v>
      </c>
      <c r="F81" s="6">
        <v>3</v>
      </c>
      <c r="G81" s="6">
        <v>3</v>
      </c>
      <c r="H81" s="18">
        <f t="shared" si="1"/>
        <v>71.3</v>
      </c>
      <c r="I81" s="19">
        <f t="shared" si="2"/>
        <v>406.73211781206169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 x14ac:dyDescent="0.25">
      <c r="A82" s="6" t="s">
        <v>241</v>
      </c>
      <c r="B82" s="15">
        <v>107750</v>
      </c>
      <c r="C82" s="6" t="s">
        <v>159</v>
      </c>
      <c r="D82" s="16">
        <v>2315</v>
      </c>
      <c r="E82" s="17">
        <f t="shared" si="0"/>
        <v>215.29499999999999</v>
      </c>
      <c r="F82" s="6">
        <v>3</v>
      </c>
      <c r="G82" s="6">
        <v>2</v>
      </c>
      <c r="H82" s="18">
        <f t="shared" si="1"/>
        <v>71.765000000000001</v>
      </c>
      <c r="I82" s="19">
        <f t="shared" si="2"/>
        <v>500.4760909449825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 x14ac:dyDescent="0.25">
      <c r="A83" s="6" t="s">
        <v>242</v>
      </c>
      <c r="B83" s="15">
        <v>137250</v>
      </c>
      <c r="C83" s="6" t="s">
        <v>167</v>
      </c>
      <c r="D83" s="16">
        <v>2325</v>
      </c>
      <c r="E83" s="17">
        <f t="shared" si="0"/>
        <v>216.22499999999999</v>
      </c>
      <c r="F83" s="6">
        <v>3</v>
      </c>
      <c r="G83" s="6">
        <v>2</v>
      </c>
      <c r="H83" s="18">
        <f t="shared" si="1"/>
        <v>72.075000000000003</v>
      </c>
      <c r="I83" s="19">
        <f t="shared" si="2"/>
        <v>634.75546305931323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 x14ac:dyDescent="0.25">
      <c r="A84" s="6" t="s">
        <v>243</v>
      </c>
      <c r="B84" s="15">
        <v>134250</v>
      </c>
      <c r="C84" s="6" t="s">
        <v>169</v>
      </c>
      <c r="D84" s="16">
        <v>2330</v>
      </c>
      <c r="E84" s="17">
        <f t="shared" si="0"/>
        <v>216.69</v>
      </c>
      <c r="F84" s="6">
        <v>3</v>
      </c>
      <c r="G84" s="6">
        <v>2</v>
      </c>
      <c r="H84" s="18">
        <f t="shared" si="1"/>
        <v>72.23</v>
      </c>
      <c r="I84" s="19">
        <f t="shared" si="2"/>
        <v>619.54866399003186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 x14ac:dyDescent="0.25">
      <c r="A85" s="6" t="s">
        <v>244</v>
      </c>
      <c r="B85" s="15">
        <v>150000</v>
      </c>
      <c r="C85" s="6" t="s">
        <v>149</v>
      </c>
      <c r="D85" s="16">
        <v>2345</v>
      </c>
      <c r="E85" s="17">
        <f t="shared" si="0"/>
        <v>218.08500000000001</v>
      </c>
      <c r="F85" s="6">
        <v>3</v>
      </c>
      <c r="G85" s="6">
        <v>2</v>
      </c>
      <c r="H85" s="18">
        <f t="shared" si="1"/>
        <v>72.695000000000007</v>
      </c>
      <c r="I85" s="19">
        <f t="shared" si="2"/>
        <v>687.80521356351881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 x14ac:dyDescent="0.25">
      <c r="A86" s="6" t="s">
        <v>245</v>
      </c>
      <c r="B86" s="15">
        <v>148500</v>
      </c>
      <c r="C86" s="6" t="s">
        <v>151</v>
      </c>
      <c r="D86" s="16">
        <v>2380</v>
      </c>
      <c r="E86" s="17">
        <f t="shared" si="0"/>
        <v>221.34</v>
      </c>
      <c r="F86" s="6">
        <v>3</v>
      </c>
      <c r="G86" s="6">
        <v>2</v>
      </c>
      <c r="H86" s="18">
        <f t="shared" si="1"/>
        <v>73.78</v>
      </c>
      <c r="I86" s="19">
        <f t="shared" si="2"/>
        <v>670.91352670100298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 x14ac:dyDescent="0.25">
      <c r="A87" s="6" t="s">
        <v>246</v>
      </c>
      <c r="B87" s="15">
        <v>97250</v>
      </c>
      <c r="C87" s="6" t="s">
        <v>159</v>
      </c>
      <c r="D87" s="16">
        <v>2475</v>
      </c>
      <c r="E87" s="17">
        <f t="shared" si="0"/>
        <v>230.17500000000001</v>
      </c>
      <c r="F87" s="6">
        <v>3</v>
      </c>
      <c r="G87" s="6">
        <v>1</v>
      </c>
      <c r="H87" s="18">
        <f t="shared" si="1"/>
        <v>76.725000000000009</v>
      </c>
      <c r="I87" s="19">
        <f t="shared" si="2"/>
        <v>422.50461605300313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 x14ac:dyDescent="0.25">
      <c r="A88" s="6" t="s">
        <v>247</v>
      </c>
      <c r="B88" s="15">
        <v>135750</v>
      </c>
      <c r="C88" s="6" t="s">
        <v>167</v>
      </c>
      <c r="D88" s="16">
        <v>2485</v>
      </c>
      <c r="E88" s="17">
        <f t="shared" si="0"/>
        <v>231.10499999999999</v>
      </c>
      <c r="F88" s="6">
        <v>3</v>
      </c>
      <c r="G88" s="6">
        <v>3</v>
      </c>
      <c r="H88" s="18">
        <f t="shared" si="1"/>
        <v>77.034999999999997</v>
      </c>
      <c r="I88" s="19">
        <f t="shared" si="2"/>
        <v>587.39533978061922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 x14ac:dyDescent="0.25">
      <c r="A89" s="6" t="s">
        <v>248</v>
      </c>
      <c r="B89" s="15">
        <v>129250</v>
      </c>
      <c r="C89" s="6" t="s">
        <v>169</v>
      </c>
      <c r="D89" s="16">
        <v>2490</v>
      </c>
      <c r="E89" s="17">
        <f t="shared" si="0"/>
        <v>231.57</v>
      </c>
      <c r="F89" s="6">
        <v>3</v>
      </c>
      <c r="G89" s="6">
        <v>3</v>
      </c>
      <c r="H89" s="18">
        <f t="shared" si="1"/>
        <v>77.19</v>
      </c>
      <c r="I89" s="19">
        <f t="shared" si="2"/>
        <v>558.14656475363824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 x14ac:dyDescent="0.25">
      <c r="A90" s="6" t="s">
        <v>249</v>
      </c>
      <c r="B90" s="15">
        <v>143250</v>
      </c>
      <c r="C90" s="6" t="s">
        <v>149</v>
      </c>
      <c r="D90" s="16">
        <v>2505</v>
      </c>
      <c r="E90" s="17">
        <f t="shared" si="0"/>
        <v>232.965</v>
      </c>
      <c r="F90" s="6">
        <v>3</v>
      </c>
      <c r="G90" s="6">
        <v>1</v>
      </c>
      <c r="H90" s="18">
        <f t="shared" si="1"/>
        <v>77.655000000000001</v>
      </c>
      <c r="I90" s="19">
        <f t="shared" si="2"/>
        <v>614.89923379048355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 x14ac:dyDescent="0.25">
      <c r="A91" s="6" t="s">
        <v>250</v>
      </c>
      <c r="B91" s="15">
        <v>141250</v>
      </c>
      <c r="C91" s="6" t="s">
        <v>151</v>
      </c>
      <c r="D91" s="16">
        <v>2540</v>
      </c>
      <c r="E91" s="17">
        <f t="shared" si="0"/>
        <v>236.22</v>
      </c>
      <c r="F91" s="6">
        <v>3</v>
      </c>
      <c r="G91" s="6">
        <v>1</v>
      </c>
      <c r="H91" s="18">
        <f t="shared" si="1"/>
        <v>78.739999999999995</v>
      </c>
      <c r="I91" s="19">
        <f t="shared" si="2"/>
        <v>597.9595292523918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 x14ac:dyDescent="0.25">
      <c r="A92" s="6" t="s">
        <v>251</v>
      </c>
      <c r="B92" s="15">
        <v>96250</v>
      </c>
      <c r="C92" s="6" t="s">
        <v>169</v>
      </c>
      <c r="D92" s="16">
        <v>2595</v>
      </c>
      <c r="E92" s="17">
        <f t="shared" si="0"/>
        <v>241.33500000000001</v>
      </c>
      <c r="F92" s="6">
        <v>3</v>
      </c>
      <c r="G92" s="6">
        <v>1</v>
      </c>
      <c r="H92" s="18">
        <f t="shared" si="1"/>
        <v>80.445000000000007</v>
      </c>
      <c r="I92" s="19">
        <f t="shared" si="2"/>
        <v>398.82321254687469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 x14ac:dyDescent="0.25">
      <c r="A93" s="6" t="s">
        <v>252</v>
      </c>
      <c r="B93" s="15">
        <v>130500</v>
      </c>
      <c r="C93" s="6" t="s">
        <v>151</v>
      </c>
      <c r="D93" s="16">
        <v>2610</v>
      </c>
      <c r="E93" s="17">
        <f t="shared" si="0"/>
        <v>242.73</v>
      </c>
      <c r="F93" s="6">
        <v>3</v>
      </c>
      <c r="G93" s="6">
        <v>3</v>
      </c>
      <c r="H93" s="18">
        <f t="shared" si="1"/>
        <v>80.91</v>
      </c>
      <c r="I93" s="19">
        <f t="shared" si="2"/>
        <v>537.63440860215053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 x14ac:dyDescent="0.25">
      <c r="A94" s="6" t="s">
        <v>253</v>
      </c>
      <c r="B94" s="15">
        <v>147750</v>
      </c>
      <c r="C94" s="6" t="s">
        <v>154</v>
      </c>
      <c r="D94" s="16">
        <v>2625</v>
      </c>
      <c r="E94" s="17">
        <f t="shared" si="0"/>
        <v>244.125</v>
      </c>
      <c r="F94" s="6">
        <v>3</v>
      </c>
      <c r="G94" s="6">
        <v>1</v>
      </c>
      <c r="H94" s="18">
        <f t="shared" si="1"/>
        <v>81.375</v>
      </c>
      <c r="I94" s="19">
        <f t="shared" si="2"/>
        <v>605.22273425499236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 x14ac:dyDescent="0.25">
      <c r="A95" s="6" t="s">
        <v>254</v>
      </c>
      <c r="B95" s="15">
        <v>149250</v>
      </c>
      <c r="C95" s="6" t="s">
        <v>151</v>
      </c>
      <c r="D95" s="16">
        <v>2640</v>
      </c>
      <c r="E95" s="17">
        <f t="shared" si="0"/>
        <v>245.52</v>
      </c>
      <c r="F95" s="6">
        <v>3</v>
      </c>
      <c r="G95" s="6">
        <v>1</v>
      </c>
      <c r="H95" s="18">
        <f t="shared" si="1"/>
        <v>81.84</v>
      </c>
      <c r="I95" s="19">
        <f t="shared" si="2"/>
        <v>607.8934506353861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 x14ac:dyDescent="0.25">
      <c r="A96" s="6" t="s">
        <v>255</v>
      </c>
      <c r="B96" s="15">
        <v>142500</v>
      </c>
      <c r="C96" s="6" t="s">
        <v>149</v>
      </c>
      <c r="D96" s="16">
        <v>2665</v>
      </c>
      <c r="E96" s="17">
        <f t="shared" si="0"/>
        <v>247.845</v>
      </c>
      <c r="F96" s="6">
        <v>3</v>
      </c>
      <c r="G96" s="6">
        <v>2</v>
      </c>
      <c r="H96" s="18">
        <f t="shared" si="1"/>
        <v>82.614999999999995</v>
      </c>
      <c r="I96" s="19">
        <f t="shared" si="2"/>
        <v>574.95612176965437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 x14ac:dyDescent="0.25">
      <c r="A97" s="6" t="s">
        <v>256</v>
      </c>
      <c r="B97" s="15">
        <v>138750</v>
      </c>
      <c r="C97" s="6" t="s">
        <v>151</v>
      </c>
      <c r="D97" s="16">
        <v>2700</v>
      </c>
      <c r="E97" s="17">
        <f t="shared" si="0"/>
        <v>251.1</v>
      </c>
      <c r="F97" s="6">
        <v>3</v>
      </c>
      <c r="G97" s="6">
        <v>2</v>
      </c>
      <c r="H97" s="18">
        <f t="shared" si="1"/>
        <v>83.7</v>
      </c>
      <c r="I97" s="19">
        <f t="shared" si="2"/>
        <v>552.56869772998812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 x14ac:dyDescent="0.25">
      <c r="A98" s="6" t="s">
        <v>257</v>
      </c>
      <c r="B98" s="15">
        <v>146250</v>
      </c>
      <c r="C98" s="6" t="s">
        <v>154</v>
      </c>
      <c r="D98" s="16">
        <v>2745</v>
      </c>
      <c r="E98" s="17">
        <f t="shared" si="0"/>
        <v>255.285</v>
      </c>
      <c r="F98" s="6">
        <v>3</v>
      </c>
      <c r="G98" s="6">
        <v>2</v>
      </c>
      <c r="H98" s="18">
        <f t="shared" si="1"/>
        <v>85.094999999999999</v>
      </c>
      <c r="I98" s="19">
        <f t="shared" si="2"/>
        <v>572.88912392032432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 x14ac:dyDescent="0.25">
      <c r="A99" s="6" t="s">
        <v>258</v>
      </c>
      <c r="B99" s="15">
        <v>152250</v>
      </c>
      <c r="C99" s="6" t="s">
        <v>169</v>
      </c>
      <c r="D99" s="16">
        <v>2760</v>
      </c>
      <c r="E99" s="17">
        <f t="shared" si="0"/>
        <v>256.68</v>
      </c>
      <c r="F99" s="6">
        <v>3</v>
      </c>
      <c r="G99" s="6">
        <v>2</v>
      </c>
      <c r="H99" s="18">
        <f t="shared" si="1"/>
        <v>85.56</v>
      </c>
      <c r="I99" s="19">
        <f t="shared" si="2"/>
        <v>593.15100514258995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 x14ac:dyDescent="0.25">
      <c r="A100" s="6" t="s">
        <v>259</v>
      </c>
      <c r="B100" s="15">
        <v>83000</v>
      </c>
      <c r="C100" s="6" t="s">
        <v>159</v>
      </c>
      <c r="D100" s="16">
        <v>2795</v>
      </c>
      <c r="E100" s="17">
        <f t="shared" si="0"/>
        <v>259.935</v>
      </c>
      <c r="F100" s="6">
        <v>3</v>
      </c>
      <c r="G100" s="6">
        <v>2</v>
      </c>
      <c r="H100" s="18">
        <f t="shared" si="1"/>
        <v>86.644999999999996</v>
      </c>
      <c r="I100" s="19">
        <f t="shared" si="2"/>
        <v>319.31059687998925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 x14ac:dyDescent="0.25">
      <c r="A101" s="6" t="s">
        <v>260</v>
      </c>
      <c r="B101" s="15">
        <v>111750</v>
      </c>
      <c r="C101" s="6" t="s">
        <v>167</v>
      </c>
      <c r="D101" s="16">
        <v>2805</v>
      </c>
      <c r="E101" s="17">
        <f t="shared" si="0"/>
        <v>260.86500000000001</v>
      </c>
      <c r="F101" s="6">
        <v>3</v>
      </c>
      <c r="G101" s="6">
        <v>2</v>
      </c>
      <c r="H101" s="18">
        <f t="shared" si="1"/>
        <v>86.954999999999998</v>
      </c>
      <c r="I101" s="19">
        <f t="shared" si="2"/>
        <v>428.38249669369213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 x14ac:dyDescent="0.25">
      <c r="A102" s="6" t="s">
        <v>261</v>
      </c>
      <c r="B102" s="15">
        <v>115000</v>
      </c>
      <c r="C102" s="6" t="s">
        <v>169</v>
      </c>
      <c r="D102" s="16">
        <v>2810</v>
      </c>
      <c r="E102" s="17">
        <f t="shared" si="0"/>
        <v>261.33</v>
      </c>
      <c r="F102" s="6">
        <v>3</v>
      </c>
      <c r="G102" s="6">
        <v>2</v>
      </c>
      <c r="H102" s="18">
        <f t="shared" si="1"/>
        <v>87.11</v>
      </c>
      <c r="I102" s="19">
        <f t="shared" si="2"/>
        <v>440.05663337542575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 x14ac:dyDescent="0.25">
      <c r="A103" s="6" t="s">
        <v>262</v>
      </c>
      <c r="B103" s="15">
        <v>133250</v>
      </c>
      <c r="C103" s="6" t="s">
        <v>149</v>
      </c>
      <c r="D103" s="16">
        <v>2825</v>
      </c>
      <c r="E103" s="17">
        <f t="shared" si="0"/>
        <v>262.72500000000002</v>
      </c>
      <c r="F103" s="6">
        <v>3</v>
      </c>
      <c r="G103" s="6">
        <v>2</v>
      </c>
      <c r="H103" s="18">
        <f t="shared" si="1"/>
        <v>87.575000000000003</v>
      </c>
      <c r="I103" s="19">
        <f t="shared" si="2"/>
        <v>507.1843182034446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 x14ac:dyDescent="0.25">
      <c r="A104" s="6" t="s">
        <v>263</v>
      </c>
      <c r="B104" s="15">
        <v>80500</v>
      </c>
      <c r="C104" s="6" t="s">
        <v>169</v>
      </c>
      <c r="D104" s="16">
        <v>2835</v>
      </c>
      <c r="E104" s="17">
        <f t="shared" si="0"/>
        <v>263.65499999999997</v>
      </c>
      <c r="F104" s="6">
        <v>3</v>
      </c>
      <c r="G104" s="6">
        <v>3</v>
      </c>
      <c r="H104" s="18">
        <f t="shared" si="1"/>
        <v>87.884999999999991</v>
      </c>
      <c r="I104" s="19">
        <f t="shared" si="2"/>
        <v>305.32324439134476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 x14ac:dyDescent="0.25">
      <c r="A105" s="6" t="s">
        <v>264</v>
      </c>
      <c r="B105" s="15">
        <v>108250</v>
      </c>
      <c r="C105" s="6" t="s">
        <v>151</v>
      </c>
      <c r="D105" s="16">
        <v>2850</v>
      </c>
      <c r="E105" s="17">
        <f t="shared" si="0"/>
        <v>265.05</v>
      </c>
      <c r="F105" s="6">
        <v>3</v>
      </c>
      <c r="G105" s="6">
        <v>2</v>
      </c>
      <c r="H105" s="18">
        <f t="shared" si="1"/>
        <v>88.350000000000009</v>
      </c>
      <c r="I105" s="19">
        <f t="shared" si="2"/>
        <v>408.41350688549329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 x14ac:dyDescent="0.25">
      <c r="A106" s="6" t="s">
        <v>265</v>
      </c>
      <c r="B106" s="15">
        <v>132250</v>
      </c>
      <c r="C106" s="6" t="s">
        <v>151</v>
      </c>
      <c r="D106" s="16">
        <v>2860</v>
      </c>
      <c r="E106" s="17">
        <f t="shared" si="0"/>
        <v>265.98</v>
      </c>
      <c r="F106" s="6">
        <v>3</v>
      </c>
      <c r="G106" s="6">
        <v>2</v>
      </c>
      <c r="H106" s="18">
        <f t="shared" si="1"/>
        <v>88.660000000000011</v>
      </c>
      <c r="I106" s="19">
        <f t="shared" si="2"/>
        <v>497.21783592751331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 x14ac:dyDescent="0.25">
      <c r="A107" s="6" t="s">
        <v>266</v>
      </c>
      <c r="B107" s="15">
        <v>109250</v>
      </c>
      <c r="C107" s="6" t="s">
        <v>149</v>
      </c>
      <c r="D107" s="16">
        <v>2865</v>
      </c>
      <c r="E107" s="17">
        <f t="shared" si="0"/>
        <v>266.44499999999999</v>
      </c>
      <c r="F107" s="6">
        <v>3</v>
      </c>
      <c r="G107" s="6">
        <v>2</v>
      </c>
      <c r="H107" s="18">
        <f t="shared" si="1"/>
        <v>88.814999999999998</v>
      </c>
      <c r="I107" s="19">
        <f t="shared" si="2"/>
        <v>410.02833605434517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 x14ac:dyDescent="0.25">
      <c r="A108" s="6" t="s">
        <v>267</v>
      </c>
      <c r="B108" s="15">
        <v>140250</v>
      </c>
      <c r="C108" s="6" t="s">
        <v>154</v>
      </c>
      <c r="D108" s="16">
        <v>2865</v>
      </c>
      <c r="E108" s="17">
        <f t="shared" si="0"/>
        <v>266.44499999999999</v>
      </c>
      <c r="F108" s="6">
        <v>3</v>
      </c>
      <c r="G108" s="6">
        <v>2</v>
      </c>
      <c r="H108" s="18">
        <f t="shared" si="1"/>
        <v>88.814999999999998</v>
      </c>
      <c r="I108" s="19">
        <f t="shared" si="2"/>
        <v>526.37504925969711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 x14ac:dyDescent="0.25">
      <c r="A109" s="6" t="s">
        <v>268</v>
      </c>
      <c r="B109" s="15">
        <v>153750</v>
      </c>
      <c r="C109" s="6" t="s">
        <v>154</v>
      </c>
      <c r="D109" s="16">
        <v>2875</v>
      </c>
      <c r="E109" s="17">
        <f t="shared" si="0"/>
        <v>267.375</v>
      </c>
      <c r="F109" s="6">
        <v>3</v>
      </c>
      <c r="G109" s="6">
        <v>3</v>
      </c>
      <c r="H109" s="18">
        <f t="shared" si="1"/>
        <v>89.125</v>
      </c>
      <c r="I109" s="19">
        <f t="shared" si="2"/>
        <v>575.03506311360445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 x14ac:dyDescent="0.25">
      <c r="A110" s="6" t="s">
        <v>269</v>
      </c>
      <c r="B110" s="15">
        <v>152250</v>
      </c>
      <c r="C110" s="6" t="s">
        <v>159</v>
      </c>
      <c r="D110" s="16">
        <v>2880</v>
      </c>
      <c r="E110" s="17">
        <f t="shared" si="0"/>
        <v>267.83999999999997</v>
      </c>
      <c r="F110" s="6">
        <v>3</v>
      </c>
      <c r="G110" s="6">
        <v>2</v>
      </c>
      <c r="H110" s="18">
        <f t="shared" si="1"/>
        <v>89.279999999999987</v>
      </c>
      <c r="I110" s="19">
        <f t="shared" si="2"/>
        <v>568.43637992831543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 x14ac:dyDescent="0.25">
      <c r="A111" s="6" t="s">
        <v>270</v>
      </c>
      <c r="B111" s="15">
        <v>105250</v>
      </c>
      <c r="C111" s="6" t="s">
        <v>169</v>
      </c>
      <c r="D111" s="16">
        <v>2890</v>
      </c>
      <c r="E111" s="17">
        <f t="shared" si="0"/>
        <v>268.77</v>
      </c>
      <c r="F111" s="6">
        <v>3</v>
      </c>
      <c r="G111" s="6">
        <v>2</v>
      </c>
      <c r="H111" s="18">
        <f t="shared" si="1"/>
        <v>89.589999999999989</v>
      </c>
      <c r="I111" s="19">
        <f t="shared" si="2"/>
        <v>391.59876474308891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 x14ac:dyDescent="0.25">
      <c r="A112" s="6" t="s">
        <v>271</v>
      </c>
      <c r="B112" s="15">
        <v>151500</v>
      </c>
      <c r="C112" s="6" t="s">
        <v>159</v>
      </c>
      <c r="D112" s="16">
        <v>2895</v>
      </c>
      <c r="E112" s="17">
        <f t="shared" si="0"/>
        <v>269.23500000000001</v>
      </c>
      <c r="F112" s="6">
        <v>3</v>
      </c>
      <c r="G112" s="6">
        <v>2</v>
      </c>
      <c r="H112" s="18">
        <f t="shared" si="1"/>
        <v>89.745000000000005</v>
      </c>
      <c r="I112" s="19">
        <f t="shared" si="2"/>
        <v>562.70544320017825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 x14ac:dyDescent="0.25">
      <c r="A113" s="6" t="s">
        <v>272</v>
      </c>
      <c r="B113" s="15">
        <v>103750</v>
      </c>
      <c r="C113" s="6" t="s">
        <v>151</v>
      </c>
      <c r="D113" s="16">
        <v>2910</v>
      </c>
      <c r="E113" s="17">
        <f t="shared" si="0"/>
        <v>270.63</v>
      </c>
      <c r="F113" s="6">
        <v>3</v>
      </c>
      <c r="G113" s="6">
        <v>2</v>
      </c>
      <c r="H113" s="18">
        <f t="shared" si="1"/>
        <v>90.21</v>
      </c>
      <c r="I113" s="19">
        <f t="shared" si="2"/>
        <v>383.36474152902485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 x14ac:dyDescent="0.25">
      <c r="A114" s="6" t="s">
        <v>273</v>
      </c>
      <c r="B114" s="15">
        <v>108500</v>
      </c>
      <c r="C114" s="6" t="s">
        <v>149</v>
      </c>
      <c r="D114" s="16">
        <v>2925</v>
      </c>
      <c r="E114" s="17">
        <f t="shared" si="0"/>
        <v>272.02499999999998</v>
      </c>
      <c r="F114" s="6">
        <v>3</v>
      </c>
      <c r="G114" s="6">
        <v>2</v>
      </c>
      <c r="H114" s="18">
        <f t="shared" si="1"/>
        <v>90.674999999999997</v>
      </c>
      <c r="I114" s="19">
        <f t="shared" si="2"/>
        <v>398.8603988603989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 x14ac:dyDescent="0.25">
      <c r="A115" s="6" t="s">
        <v>274</v>
      </c>
      <c r="B115" s="15">
        <v>132500</v>
      </c>
      <c r="C115" s="6" t="s">
        <v>149</v>
      </c>
      <c r="D115" s="16">
        <v>2985</v>
      </c>
      <c r="E115" s="17">
        <f t="shared" si="0"/>
        <v>277.60500000000002</v>
      </c>
      <c r="F115" s="6">
        <v>3</v>
      </c>
      <c r="G115" s="6">
        <v>3</v>
      </c>
      <c r="H115" s="18">
        <f t="shared" si="1"/>
        <v>92.535000000000011</v>
      </c>
      <c r="I115" s="19">
        <f t="shared" si="2"/>
        <v>477.2968786585256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 x14ac:dyDescent="0.25">
      <c r="A116" s="6" t="s">
        <v>275</v>
      </c>
      <c r="B116" s="15">
        <v>136500</v>
      </c>
      <c r="C116" s="6" t="s">
        <v>154</v>
      </c>
      <c r="D116" s="16">
        <v>2985</v>
      </c>
      <c r="E116" s="17">
        <f t="shared" si="0"/>
        <v>277.60500000000002</v>
      </c>
      <c r="F116" s="6">
        <v>3</v>
      </c>
      <c r="G116" s="6">
        <v>3</v>
      </c>
      <c r="H116" s="18">
        <f t="shared" si="1"/>
        <v>92.535000000000011</v>
      </c>
      <c r="I116" s="19">
        <f t="shared" si="2"/>
        <v>491.70584103312257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 x14ac:dyDescent="0.25">
      <c r="A117" s="6" t="s">
        <v>276</v>
      </c>
      <c r="B117" s="15">
        <v>158250</v>
      </c>
      <c r="C117" s="6" t="s">
        <v>154</v>
      </c>
      <c r="D117" s="16">
        <v>3000</v>
      </c>
      <c r="E117" s="17">
        <f t="shared" si="0"/>
        <v>279</v>
      </c>
      <c r="F117" s="6">
        <v>3</v>
      </c>
      <c r="G117" s="6">
        <v>3</v>
      </c>
      <c r="H117" s="18">
        <f t="shared" si="1"/>
        <v>93</v>
      </c>
      <c r="I117" s="19">
        <f t="shared" si="2"/>
        <v>567.20430107526886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 x14ac:dyDescent="0.25">
      <c r="A118" s="6" t="s">
        <v>277</v>
      </c>
      <c r="B118" s="15">
        <v>145250</v>
      </c>
      <c r="C118" s="6" t="s">
        <v>159</v>
      </c>
      <c r="D118" s="16">
        <v>3015</v>
      </c>
      <c r="E118" s="17">
        <f t="shared" si="0"/>
        <v>280.39499999999998</v>
      </c>
      <c r="F118" s="6">
        <v>3</v>
      </c>
      <c r="G118" s="6">
        <v>1</v>
      </c>
      <c r="H118" s="18">
        <f t="shared" si="1"/>
        <v>93.464999999999989</v>
      </c>
      <c r="I118" s="19">
        <f t="shared" si="2"/>
        <v>518.01922288200581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 x14ac:dyDescent="0.25">
      <c r="A119" s="6" t="s">
        <v>278</v>
      </c>
      <c r="B119" s="15">
        <v>93250</v>
      </c>
      <c r="C119" s="6" t="s">
        <v>151</v>
      </c>
      <c r="D119" s="16">
        <v>3030</v>
      </c>
      <c r="E119" s="17">
        <f t="shared" si="0"/>
        <v>281.79000000000002</v>
      </c>
      <c r="F119" s="6">
        <v>3</v>
      </c>
      <c r="G119" s="6">
        <v>1</v>
      </c>
      <c r="H119" s="18">
        <f t="shared" si="1"/>
        <v>93.93</v>
      </c>
      <c r="I119" s="19">
        <f t="shared" si="2"/>
        <v>330.92018879307284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 x14ac:dyDescent="0.25">
      <c r="A120" s="6" t="s">
        <v>279</v>
      </c>
      <c r="B120" s="15">
        <v>95750</v>
      </c>
      <c r="C120" s="6" t="s">
        <v>149</v>
      </c>
      <c r="D120" s="16">
        <v>3045</v>
      </c>
      <c r="E120" s="17">
        <f t="shared" si="0"/>
        <v>283.185</v>
      </c>
      <c r="F120" s="6">
        <v>3</v>
      </c>
      <c r="G120" s="6">
        <v>1</v>
      </c>
      <c r="H120" s="18">
        <f t="shared" si="1"/>
        <v>94.394999999999996</v>
      </c>
      <c r="I120" s="19">
        <f t="shared" si="2"/>
        <v>338.11819128838039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 x14ac:dyDescent="0.25">
      <c r="A121" s="6" t="s">
        <v>280</v>
      </c>
      <c r="B121" s="15">
        <v>112500</v>
      </c>
      <c r="C121" s="6" t="s">
        <v>154</v>
      </c>
      <c r="D121" s="16">
        <v>1865</v>
      </c>
      <c r="E121" s="17">
        <f t="shared" si="0"/>
        <v>173.44499999999999</v>
      </c>
      <c r="F121" s="6">
        <v>2</v>
      </c>
      <c r="G121" s="6">
        <v>2</v>
      </c>
      <c r="H121" s="18">
        <f t="shared" si="1"/>
        <v>86.722499999999997</v>
      </c>
      <c r="I121" s="19">
        <f t="shared" si="2"/>
        <v>648.62060019026205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 x14ac:dyDescent="0.25">
      <c r="A122" s="6" t="s">
        <v>281</v>
      </c>
      <c r="B122" s="15">
        <v>111000</v>
      </c>
      <c r="C122" s="6" t="s">
        <v>167</v>
      </c>
      <c r="D122" s="16">
        <v>1900</v>
      </c>
      <c r="E122" s="17">
        <f t="shared" si="0"/>
        <v>176.7</v>
      </c>
      <c r="F122" s="6">
        <v>2</v>
      </c>
      <c r="G122" s="6">
        <v>2</v>
      </c>
      <c r="H122" s="18">
        <f t="shared" si="1"/>
        <v>88.35</v>
      </c>
      <c r="I122" s="19">
        <f t="shared" si="2"/>
        <v>628.18336162988123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 x14ac:dyDescent="0.25">
      <c r="A123" s="6" t="s">
        <v>282</v>
      </c>
      <c r="B123" s="15">
        <v>144750</v>
      </c>
      <c r="C123" s="6" t="s">
        <v>167</v>
      </c>
      <c r="D123" s="16">
        <v>2085</v>
      </c>
      <c r="E123" s="17">
        <f t="shared" si="0"/>
        <v>193.905</v>
      </c>
      <c r="F123" s="6">
        <v>2</v>
      </c>
      <c r="G123" s="6">
        <v>3</v>
      </c>
      <c r="H123" s="18">
        <f t="shared" si="1"/>
        <v>96.952500000000001</v>
      </c>
      <c r="I123" s="19">
        <f t="shared" si="2"/>
        <v>746.49957453392119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 x14ac:dyDescent="0.25">
      <c r="A124" s="6" t="s">
        <v>283</v>
      </c>
      <c r="B124" s="15">
        <v>139750</v>
      </c>
      <c r="C124" s="6" t="s">
        <v>169</v>
      </c>
      <c r="D124" s="16">
        <v>2090</v>
      </c>
      <c r="E124" s="17">
        <f t="shared" si="0"/>
        <v>194.37</v>
      </c>
      <c r="F124" s="6">
        <v>2</v>
      </c>
      <c r="G124" s="6">
        <v>3</v>
      </c>
      <c r="H124" s="18">
        <f t="shared" si="1"/>
        <v>97.185000000000002</v>
      </c>
      <c r="I124" s="19">
        <f t="shared" si="2"/>
        <v>718.98955600144052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 x14ac:dyDescent="0.25">
      <c r="A125" s="6" t="s">
        <v>284</v>
      </c>
      <c r="B125" s="15">
        <v>107000</v>
      </c>
      <c r="C125" s="6" t="s">
        <v>159</v>
      </c>
      <c r="D125" s="16">
        <v>2395</v>
      </c>
      <c r="E125" s="17">
        <f t="shared" si="0"/>
        <v>222.73499999999999</v>
      </c>
      <c r="F125" s="6">
        <v>2</v>
      </c>
      <c r="G125" s="6">
        <v>2</v>
      </c>
      <c r="H125" s="18">
        <f t="shared" si="1"/>
        <v>111.36749999999999</v>
      </c>
      <c r="I125" s="19">
        <f t="shared" si="2"/>
        <v>480.3914966215458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 x14ac:dyDescent="0.25">
      <c r="A126" s="6" t="s">
        <v>285</v>
      </c>
      <c r="B126" s="15">
        <v>143000</v>
      </c>
      <c r="C126" s="6" t="s">
        <v>149</v>
      </c>
      <c r="D126" s="16">
        <v>2585</v>
      </c>
      <c r="E126" s="17">
        <f t="shared" si="0"/>
        <v>240.405</v>
      </c>
      <c r="F126" s="6">
        <v>2</v>
      </c>
      <c r="G126" s="6">
        <v>3</v>
      </c>
      <c r="H126" s="18">
        <f t="shared" si="1"/>
        <v>120.2025</v>
      </c>
      <c r="I126" s="19">
        <f t="shared" si="2"/>
        <v>594.82955845344316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 x14ac:dyDescent="0.25">
      <c r="A127" s="6" t="s">
        <v>286</v>
      </c>
      <c r="B127" s="15">
        <v>140500</v>
      </c>
      <c r="C127" s="6" t="s">
        <v>151</v>
      </c>
      <c r="D127" s="16">
        <v>2620</v>
      </c>
      <c r="E127" s="17">
        <f t="shared" si="0"/>
        <v>243.66</v>
      </c>
      <c r="F127" s="6">
        <v>2</v>
      </c>
      <c r="G127" s="6">
        <v>3</v>
      </c>
      <c r="H127" s="18">
        <f t="shared" si="1"/>
        <v>121.83</v>
      </c>
      <c r="I127" s="19">
        <f t="shared" si="2"/>
        <v>576.62316342444387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 x14ac:dyDescent="0.25">
      <c r="A128" s="6" t="s">
        <v>287</v>
      </c>
      <c r="B128" s="15">
        <v>147000</v>
      </c>
      <c r="C128" s="6" t="s">
        <v>154</v>
      </c>
      <c r="D128" s="16">
        <v>2685</v>
      </c>
      <c r="E128" s="17">
        <f t="shared" si="0"/>
        <v>249.70499999999998</v>
      </c>
      <c r="F128" s="6">
        <v>2</v>
      </c>
      <c r="G128" s="6">
        <v>3</v>
      </c>
      <c r="H128" s="18">
        <f t="shared" si="1"/>
        <v>124.85249999999999</v>
      </c>
      <c r="I128" s="19">
        <f t="shared" si="2"/>
        <v>588.69465969844418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 x14ac:dyDescent="0.25">
      <c r="A129" s="6" t="s">
        <v>288</v>
      </c>
      <c r="B129" s="15">
        <v>127000</v>
      </c>
      <c r="C129" s="6" t="s">
        <v>151</v>
      </c>
      <c r="D129" s="16">
        <v>2700</v>
      </c>
      <c r="E129" s="17">
        <f t="shared" si="0"/>
        <v>251.1</v>
      </c>
      <c r="F129" s="6">
        <v>2</v>
      </c>
      <c r="G129" s="6">
        <v>3</v>
      </c>
      <c r="H129" s="18">
        <f t="shared" si="1"/>
        <v>125.55</v>
      </c>
      <c r="I129" s="19">
        <f t="shared" si="2"/>
        <v>505.77459179609718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 x14ac:dyDescent="0.25">
      <c r="A130" s="6" t="s">
        <v>289</v>
      </c>
      <c r="B130" s="15">
        <v>103000</v>
      </c>
      <c r="C130" s="6" t="s">
        <v>151</v>
      </c>
      <c r="D130" s="16">
        <v>2970</v>
      </c>
      <c r="E130" s="17">
        <f t="shared" si="0"/>
        <v>276.20999999999998</v>
      </c>
      <c r="F130" s="6">
        <v>2</v>
      </c>
      <c r="G130" s="6">
        <v>2</v>
      </c>
      <c r="H130" s="18">
        <f t="shared" si="1"/>
        <v>138.10499999999999</v>
      </c>
      <c r="I130" s="19">
        <f t="shared" si="2"/>
        <v>372.9046739799428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 x14ac:dyDescent="0.25">
      <c r="A131" s="6" t="s">
        <v>290</v>
      </c>
      <c r="B131" s="15">
        <v>104500</v>
      </c>
      <c r="C131" s="6" t="s">
        <v>169</v>
      </c>
      <c r="D131" s="16">
        <v>2970</v>
      </c>
      <c r="E131" s="17">
        <f t="shared" si="0"/>
        <v>276.20999999999998</v>
      </c>
      <c r="F131" s="6">
        <v>2</v>
      </c>
      <c r="G131" s="6">
        <v>2</v>
      </c>
      <c r="H131" s="18">
        <f t="shared" si="1"/>
        <v>138.10499999999999</v>
      </c>
      <c r="I131" s="19">
        <f t="shared" si="2"/>
        <v>378.33532457188375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 x14ac:dyDescent="0.25">
      <c r="A132" s="6" t="s">
        <v>291</v>
      </c>
      <c r="B132" s="15">
        <v>100250</v>
      </c>
      <c r="C132" s="6" t="s">
        <v>149</v>
      </c>
      <c r="D132" s="16">
        <v>2985</v>
      </c>
      <c r="E132" s="17">
        <f t="shared" si="0"/>
        <v>277.60500000000002</v>
      </c>
      <c r="F132" s="6">
        <v>2</v>
      </c>
      <c r="G132" s="6">
        <v>2</v>
      </c>
      <c r="H132" s="18">
        <f t="shared" si="1"/>
        <v>138.80250000000001</v>
      </c>
      <c r="I132" s="19">
        <f t="shared" si="2"/>
        <v>361.12461951333728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 x14ac:dyDescent="0.25">
      <c r="A133" s="6" t="s">
        <v>292</v>
      </c>
      <c r="B133" s="15">
        <v>144500</v>
      </c>
      <c r="C133" s="6" t="s">
        <v>159</v>
      </c>
      <c r="D133" s="16">
        <v>3075</v>
      </c>
      <c r="E133" s="17">
        <f t="shared" si="0"/>
        <v>285.97500000000002</v>
      </c>
      <c r="F133" s="6">
        <v>2</v>
      </c>
      <c r="G133" s="6">
        <v>3</v>
      </c>
      <c r="H133" s="18">
        <f t="shared" si="1"/>
        <v>142.98750000000001</v>
      </c>
      <c r="I133" s="19">
        <f t="shared" si="2"/>
        <v>505.28892385698049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 x14ac:dyDescent="0.25">
      <c r="A134" s="5"/>
      <c r="B134" s="24"/>
      <c r="C134" s="5"/>
      <c r="D134" s="5"/>
      <c r="E134" s="5"/>
      <c r="F134" s="5"/>
      <c r="G134" s="5"/>
      <c r="H134" s="5"/>
      <c r="I134" s="2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 x14ac:dyDescent="0.25">
      <c r="A135" s="5"/>
      <c r="B135" s="24"/>
      <c r="C135" s="5"/>
      <c r="D135" s="5"/>
      <c r="E135" s="5"/>
      <c r="F135" s="5"/>
      <c r="G135" s="5"/>
      <c r="H135" s="5"/>
      <c r="I135" s="2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 x14ac:dyDescent="0.25">
      <c r="A136" s="5"/>
      <c r="B136" s="24"/>
      <c r="C136" s="5"/>
      <c r="D136" s="5"/>
      <c r="E136" s="5"/>
      <c r="F136" s="5"/>
      <c r="G136" s="5"/>
      <c r="H136" s="5"/>
      <c r="I136" s="2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 x14ac:dyDescent="0.25">
      <c r="A137" s="5"/>
      <c r="B137" s="24"/>
      <c r="C137" s="5"/>
      <c r="D137" s="5"/>
      <c r="E137" s="5"/>
      <c r="F137" s="5"/>
      <c r="G137" s="5"/>
      <c r="H137" s="5"/>
      <c r="I137" s="2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 x14ac:dyDescent="0.25">
      <c r="A138" s="5"/>
      <c r="B138" s="24"/>
      <c r="C138" s="5"/>
      <c r="D138" s="5"/>
      <c r="E138" s="5"/>
      <c r="F138" s="5"/>
      <c r="G138" s="5"/>
      <c r="H138" s="5"/>
      <c r="I138" s="2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 x14ac:dyDescent="0.25">
      <c r="A139" s="5"/>
      <c r="B139" s="24"/>
      <c r="C139" s="5"/>
      <c r="D139" s="5"/>
      <c r="E139" s="5"/>
      <c r="F139" s="5"/>
      <c r="G139" s="5"/>
      <c r="H139" s="5"/>
      <c r="I139" s="2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 x14ac:dyDescent="0.25">
      <c r="A140" s="5"/>
      <c r="B140" s="24"/>
      <c r="C140" s="5"/>
      <c r="D140" s="5"/>
      <c r="E140" s="5"/>
      <c r="F140" s="5"/>
      <c r="G140" s="5"/>
      <c r="H140" s="5"/>
      <c r="I140" s="2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 x14ac:dyDescent="0.25">
      <c r="A141" s="5"/>
      <c r="B141" s="24"/>
      <c r="C141" s="5"/>
      <c r="D141" s="5"/>
      <c r="E141" s="5"/>
      <c r="F141" s="5"/>
      <c r="G141" s="5"/>
      <c r="H141" s="5"/>
      <c r="I141" s="2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 x14ac:dyDescent="0.25">
      <c r="A142" s="5"/>
      <c r="B142" s="24"/>
      <c r="C142" s="5"/>
      <c r="D142" s="5"/>
      <c r="E142" s="5"/>
      <c r="F142" s="5"/>
      <c r="G142" s="5"/>
      <c r="H142" s="5"/>
      <c r="I142" s="2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 x14ac:dyDescent="0.25">
      <c r="A143" s="5"/>
      <c r="B143" s="24"/>
      <c r="C143" s="5"/>
      <c r="D143" s="5"/>
      <c r="E143" s="5"/>
      <c r="F143" s="5"/>
      <c r="G143" s="5"/>
      <c r="H143" s="5"/>
      <c r="I143" s="2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 x14ac:dyDescent="0.25">
      <c r="A144" s="5"/>
      <c r="B144" s="24"/>
      <c r="C144" s="5"/>
      <c r="D144" s="5"/>
      <c r="E144" s="5"/>
      <c r="F144" s="5"/>
      <c r="G144" s="5"/>
      <c r="H144" s="5"/>
      <c r="I144" s="2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 x14ac:dyDescent="0.25">
      <c r="A145" s="5"/>
      <c r="B145" s="24"/>
      <c r="C145" s="5"/>
      <c r="D145" s="5"/>
      <c r="E145" s="5"/>
      <c r="F145" s="5"/>
      <c r="G145" s="5"/>
      <c r="H145" s="5"/>
      <c r="I145" s="2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 x14ac:dyDescent="0.25">
      <c r="A146" s="5"/>
      <c r="B146" s="24"/>
      <c r="C146" s="5"/>
      <c r="D146" s="5"/>
      <c r="E146" s="5"/>
      <c r="F146" s="5"/>
      <c r="G146" s="5"/>
      <c r="H146" s="5"/>
      <c r="I146" s="2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 x14ac:dyDescent="0.25">
      <c r="A147" s="5"/>
      <c r="B147" s="24"/>
      <c r="C147" s="5"/>
      <c r="D147" s="5"/>
      <c r="E147" s="5"/>
      <c r="F147" s="5"/>
      <c r="G147" s="5"/>
      <c r="H147" s="5"/>
      <c r="I147" s="2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 x14ac:dyDescent="0.25">
      <c r="A148" s="5"/>
      <c r="B148" s="24"/>
      <c r="C148" s="5"/>
      <c r="D148" s="5"/>
      <c r="E148" s="5"/>
      <c r="F148" s="5"/>
      <c r="G148" s="5"/>
      <c r="H148" s="5"/>
      <c r="I148" s="2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 x14ac:dyDescent="0.25">
      <c r="A149" s="5"/>
      <c r="B149" s="24"/>
      <c r="C149" s="5"/>
      <c r="D149" s="5"/>
      <c r="E149" s="5"/>
      <c r="F149" s="5"/>
      <c r="G149" s="5"/>
      <c r="H149" s="5"/>
      <c r="I149" s="2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 x14ac:dyDescent="0.25">
      <c r="A150" s="5"/>
      <c r="B150" s="24"/>
      <c r="C150" s="5"/>
      <c r="D150" s="5"/>
      <c r="E150" s="5"/>
      <c r="F150" s="5"/>
      <c r="G150" s="5"/>
      <c r="H150" s="5"/>
      <c r="I150" s="2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 x14ac:dyDescent="0.25">
      <c r="A151" s="5"/>
      <c r="B151" s="24"/>
      <c r="C151" s="5"/>
      <c r="D151" s="5"/>
      <c r="E151" s="5"/>
      <c r="F151" s="5"/>
      <c r="G151" s="5"/>
      <c r="H151" s="5"/>
      <c r="I151" s="2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 x14ac:dyDescent="0.25">
      <c r="A152" s="5"/>
      <c r="B152" s="24"/>
      <c r="C152" s="5"/>
      <c r="D152" s="5"/>
      <c r="E152" s="5"/>
      <c r="F152" s="5"/>
      <c r="G152" s="5"/>
      <c r="H152" s="5"/>
      <c r="I152" s="2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 x14ac:dyDescent="0.25">
      <c r="A153" s="5"/>
      <c r="B153" s="24"/>
      <c r="C153" s="5"/>
      <c r="D153" s="5"/>
      <c r="E153" s="5"/>
      <c r="F153" s="5"/>
      <c r="G153" s="5"/>
      <c r="H153" s="5"/>
      <c r="I153" s="2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 x14ac:dyDescent="0.25">
      <c r="A154" s="5"/>
      <c r="B154" s="24"/>
      <c r="C154" s="5"/>
      <c r="D154" s="5"/>
      <c r="E154" s="5"/>
      <c r="F154" s="5"/>
      <c r="G154" s="5"/>
      <c r="H154" s="5"/>
      <c r="I154" s="2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 x14ac:dyDescent="0.25">
      <c r="A155" s="5"/>
      <c r="B155" s="24"/>
      <c r="C155" s="5"/>
      <c r="D155" s="5"/>
      <c r="E155" s="5"/>
      <c r="F155" s="5"/>
      <c r="G155" s="5"/>
      <c r="H155" s="5"/>
      <c r="I155" s="2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 x14ac:dyDescent="0.25">
      <c r="A156" s="5"/>
      <c r="B156" s="24"/>
      <c r="C156" s="5"/>
      <c r="D156" s="5"/>
      <c r="E156" s="5"/>
      <c r="F156" s="5"/>
      <c r="G156" s="5"/>
      <c r="H156" s="5"/>
      <c r="I156" s="2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 x14ac:dyDescent="0.25">
      <c r="A157" s="5"/>
      <c r="B157" s="24"/>
      <c r="C157" s="5"/>
      <c r="D157" s="5"/>
      <c r="E157" s="5"/>
      <c r="F157" s="5"/>
      <c r="G157" s="5"/>
      <c r="H157" s="5"/>
      <c r="I157" s="2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 x14ac:dyDescent="0.25">
      <c r="A158" s="5"/>
      <c r="B158" s="24"/>
      <c r="C158" s="5"/>
      <c r="D158" s="5"/>
      <c r="E158" s="5"/>
      <c r="F158" s="5"/>
      <c r="G158" s="5"/>
      <c r="H158" s="5"/>
      <c r="I158" s="2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 x14ac:dyDescent="0.25">
      <c r="A159" s="5"/>
      <c r="B159" s="24"/>
      <c r="C159" s="5"/>
      <c r="D159" s="5"/>
      <c r="E159" s="5"/>
      <c r="F159" s="5"/>
      <c r="G159" s="5"/>
      <c r="H159" s="5"/>
      <c r="I159" s="2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 x14ac:dyDescent="0.25">
      <c r="A160" s="5"/>
      <c r="B160" s="24"/>
      <c r="C160" s="5"/>
      <c r="D160" s="5"/>
      <c r="E160" s="5"/>
      <c r="F160" s="5"/>
      <c r="G160" s="5"/>
      <c r="H160" s="5"/>
      <c r="I160" s="2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 x14ac:dyDescent="0.25">
      <c r="A161" s="5"/>
      <c r="B161" s="24"/>
      <c r="C161" s="5"/>
      <c r="D161" s="5"/>
      <c r="E161" s="5"/>
      <c r="F161" s="5"/>
      <c r="G161" s="5"/>
      <c r="H161" s="5"/>
      <c r="I161" s="2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 x14ac:dyDescent="0.25">
      <c r="A162" s="5"/>
      <c r="B162" s="24"/>
      <c r="C162" s="5"/>
      <c r="D162" s="5"/>
      <c r="E162" s="5"/>
      <c r="F162" s="5"/>
      <c r="G162" s="5"/>
      <c r="H162" s="5"/>
      <c r="I162" s="2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 x14ac:dyDescent="0.25">
      <c r="A163" s="5"/>
      <c r="B163" s="24"/>
      <c r="C163" s="5"/>
      <c r="D163" s="5"/>
      <c r="E163" s="5"/>
      <c r="F163" s="5"/>
      <c r="G163" s="5"/>
      <c r="H163" s="5"/>
      <c r="I163" s="2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 x14ac:dyDescent="0.25">
      <c r="A164" s="5"/>
      <c r="B164" s="24"/>
      <c r="C164" s="5"/>
      <c r="D164" s="5"/>
      <c r="E164" s="5"/>
      <c r="F164" s="5"/>
      <c r="G164" s="5"/>
      <c r="H164" s="5"/>
      <c r="I164" s="2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 x14ac:dyDescent="0.25">
      <c r="A165" s="5"/>
      <c r="B165" s="24"/>
      <c r="C165" s="5"/>
      <c r="D165" s="5"/>
      <c r="E165" s="5"/>
      <c r="F165" s="5"/>
      <c r="G165" s="5"/>
      <c r="H165" s="5"/>
      <c r="I165" s="2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 x14ac:dyDescent="0.25">
      <c r="A166" s="5"/>
      <c r="B166" s="24"/>
      <c r="C166" s="5"/>
      <c r="D166" s="5"/>
      <c r="E166" s="5"/>
      <c r="F166" s="5"/>
      <c r="G166" s="5"/>
      <c r="H166" s="5"/>
      <c r="I166" s="2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 x14ac:dyDescent="0.25">
      <c r="A167" s="5"/>
      <c r="B167" s="24"/>
      <c r="C167" s="5"/>
      <c r="D167" s="5"/>
      <c r="E167" s="5"/>
      <c r="F167" s="5"/>
      <c r="G167" s="5"/>
      <c r="H167" s="5"/>
      <c r="I167" s="2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 x14ac:dyDescent="0.25">
      <c r="A168" s="5"/>
      <c r="B168" s="24"/>
      <c r="C168" s="5"/>
      <c r="D168" s="5"/>
      <c r="E168" s="5"/>
      <c r="F168" s="5"/>
      <c r="G168" s="5"/>
      <c r="H168" s="5"/>
      <c r="I168" s="2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 x14ac:dyDescent="0.25">
      <c r="A169" s="5"/>
      <c r="B169" s="24"/>
      <c r="C169" s="5"/>
      <c r="D169" s="5"/>
      <c r="E169" s="5"/>
      <c r="F169" s="5"/>
      <c r="G169" s="5"/>
      <c r="H169" s="5"/>
      <c r="I169" s="2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 x14ac:dyDescent="0.25">
      <c r="A170" s="5"/>
      <c r="B170" s="24"/>
      <c r="C170" s="5"/>
      <c r="D170" s="5"/>
      <c r="E170" s="5"/>
      <c r="F170" s="5"/>
      <c r="G170" s="5"/>
      <c r="H170" s="5"/>
      <c r="I170" s="2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 x14ac:dyDescent="0.25">
      <c r="A171" s="5"/>
      <c r="B171" s="24"/>
      <c r="C171" s="5"/>
      <c r="D171" s="5"/>
      <c r="E171" s="5"/>
      <c r="F171" s="5"/>
      <c r="G171" s="5"/>
      <c r="H171" s="5"/>
      <c r="I171" s="2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 x14ac:dyDescent="0.25">
      <c r="A172" s="5"/>
      <c r="B172" s="24"/>
      <c r="C172" s="5"/>
      <c r="D172" s="5"/>
      <c r="E172" s="5"/>
      <c r="F172" s="5"/>
      <c r="G172" s="5"/>
      <c r="H172" s="5"/>
      <c r="I172" s="2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 x14ac:dyDescent="0.25">
      <c r="A173" s="5"/>
      <c r="B173" s="24"/>
      <c r="C173" s="5"/>
      <c r="D173" s="5"/>
      <c r="E173" s="5"/>
      <c r="F173" s="5"/>
      <c r="G173" s="5"/>
      <c r="H173" s="5"/>
      <c r="I173" s="2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 x14ac:dyDescent="0.25">
      <c r="A174" s="5"/>
      <c r="B174" s="24"/>
      <c r="C174" s="5"/>
      <c r="D174" s="5"/>
      <c r="E174" s="5"/>
      <c r="F174" s="5"/>
      <c r="G174" s="5"/>
      <c r="H174" s="5"/>
      <c r="I174" s="2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 x14ac:dyDescent="0.25">
      <c r="A175" s="5"/>
      <c r="B175" s="24"/>
      <c r="C175" s="5"/>
      <c r="D175" s="5"/>
      <c r="E175" s="5"/>
      <c r="F175" s="5"/>
      <c r="G175" s="5"/>
      <c r="H175" s="5"/>
      <c r="I175" s="2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 x14ac:dyDescent="0.25">
      <c r="A176" s="5"/>
      <c r="B176" s="24"/>
      <c r="C176" s="5"/>
      <c r="D176" s="5"/>
      <c r="E176" s="5"/>
      <c r="F176" s="5"/>
      <c r="G176" s="5"/>
      <c r="H176" s="5"/>
      <c r="I176" s="2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 x14ac:dyDescent="0.25">
      <c r="A177" s="5"/>
      <c r="B177" s="24"/>
      <c r="C177" s="5"/>
      <c r="D177" s="5"/>
      <c r="E177" s="5"/>
      <c r="F177" s="5"/>
      <c r="G177" s="5"/>
      <c r="H177" s="5"/>
      <c r="I177" s="2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 x14ac:dyDescent="0.25">
      <c r="A178" s="5"/>
      <c r="B178" s="24"/>
      <c r="C178" s="5"/>
      <c r="D178" s="5"/>
      <c r="E178" s="5"/>
      <c r="F178" s="5"/>
      <c r="G178" s="5"/>
      <c r="H178" s="5"/>
      <c r="I178" s="2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 x14ac:dyDescent="0.25">
      <c r="A179" s="5"/>
      <c r="B179" s="24"/>
      <c r="C179" s="5"/>
      <c r="D179" s="5"/>
      <c r="E179" s="5"/>
      <c r="F179" s="5"/>
      <c r="G179" s="5"/>
      <c r="H179" s="5"/>
      <c r="I179" s="2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 x14ac:dyDescent="0.25">
      <c r="A180" s="5"/>
      <c r="B180" s="24"/>
      <c r="C180" s="5"/>
      <c r="D180" s="5"/>
      <c r="E180" s="5"/>
      <c r="F180" s="5"/>
      <c r="G180" s="5"/>
      <c r="H180" s="5"/>
      <c r="I180" s="2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 x14ac:dyDescent="0.25">
      <c r="A181" s="5"/>
      <c r="B181" s="24"/>
      <c r="C181" s="5"/>
      <c r="D181" s="5"/>
      <c r="E181" s="5"/>
      <c r="F181" s="5"/>
      <c r="G181" s="5"/>
      <c r="H181" s="5"/>
      <c r="I181" s="2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 x14ac:dyDescent="0.25">
      <c r="A182" s="5"/>
      <c r="B182" s="24"/>
      <c r="C182" s="5"/>
      <c r="D182" s="5"/>
      <c r="E182" s="5"/>
      <c r="F182" s="5"/>
      <c r="G182" s="5"/>
      <c r="H182" s="5"/>
      <c r="I182" s="2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 x14ac:dyDescent="0.25">
      <c r="A183" s="5"/>
      <c r="B183" s="24"/>
      <c r="C183" s="5"/>
      <c r="D183" s="5"/>
      <c r="E183" s="5"/>
      <c r="F183" s="5"/>
      <c r="G183" s="5"/>
      <c r="H183" s="5"/>
      <c r="I183" s="2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 x14ac:dyDescent="0.25">
      <c r="A184" s="5"/>
      <c r="B184" s="24"/>
      <c r="C184" s="5"/>
      <c r="D184" s="5"/>
      <c r="E184" s="5"/>
      <c r="F184" s="5"/>
      <c r="G184" s="5"/>
      <c r="H184" s="5"/>
      <c r="I184" s="2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 x14ac:dyDescent="0.25">
      <c r="A185" s="5"/>
      <c r="B185" s="24"/>
      <c r="C185" s="5"/>
      <c r="D185" s="5"/>
      <c r="E185" s="5"/>
      <c r="F185" s="5"/>
      <c r="G185" s="5"/>
      <c r="H185" s="5"/>
      <c r="I185" s="2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 x14ac:dyDescent="0.25">
      <c r="A186" s="5"/>
      <c r="B186" s="24"/>
      <c r="C186" s="5"/>
      <c r="D186" s="5"/>
      <c r="E186" s="5"/>
      <c r="F186" s="5"/>
      <c r="G186" s="5"/>
      <c r="H186" s="5"/>
      <c r="I186" s="2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 x14ac:dyDescent="0.25">
      <c r="A187" s="5"/>
      <c r="B187" s="24"/>
      <c r="C187" s="5"/>
      <c r="D187" s="5"/>
      <c r="E187" s="5"/>
      <c r="F187" s="5"/>
      <c r="G187" s="5"/>
      <c r="H187" s="5"/>
      <c r="I187" s="2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 x14ac:dyDescent="0.25">
      <c r="A188" s="5"/>
      <c r="B188" s="24"/>
      <c r="C188" s="5"/>
      <c r="D188" s="5"/>
      <c r="E188" s="5"/>
      <c r="F188" s="5"/>
      <c r="G188" s="5"/>
      <c r="H188" s="5"/>
      <c r="I188" s="2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 x14ac:dyDescent="0.25">
      <c r="A189" s="5"/>
      <c r="B189" s="24"/>
      <c r="C189" s="5"/>
      <c r="D189" s="5"/>
      <c r="E189" s="5"/>
      <c r="F189" s="5"/>
      <c r="G189" s="5"/>
      <c r="H189" s="5"/>
      <c r="I189" s="2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 x14ac:dyDescent="0.25">
      <c r="A190" s="5"/>
      <c r="B190" s="24"/>
      <c r="C190" s="5"/>
      <c r="D190" s="5"/>
      <c r="E190" s="5"/>
      <c r="F190" s="5"/>
      <c r="G190" s="5"/>
      <c r="H190" s="5"/>
      <c r="I190" s="2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 x14ac:dyDescent="0.25">
      <c r="A191" s="5"/>
      <c r="B191" s="24"/>
      <c r="C191" s="5"/>
      <c r="D191" s="5"/>
      <c r="E191" s="5"/>
      <c r="F191" s="5"/>
      <c r="G191" s="5"/>
      <c r="H191" s="5"/>
      <c r="I191" s="2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 x14ac:dyDescent="0.25">
      <c r="A192" s="5"/>
      <c r="B192" s="24"/>
      <c r="C192" s="5"/>
      <c r="D192" s="5"/>
      <c r="E192" s="5"/>
      <c r="F192" s="5"/>
      <c r="G192" s="5"/>
      <c r="H192" s="5"/>
      <c r="I192" s="2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 x14ac:dyDescent="0.25">
      <c r="A193" s="5"/>
      <c r="B193" s="24"/>
      <c r="C193" s="5"/>
      <c r="D193" s="5"/>
      <c r="E193" s="5"/>
      <c r="F193" s="5"/>
      <c r="G193" s="5"/>
      <c r="H193" s="5"/>
      <c r="I193" s="2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 x14ac:dyDescent="0.25">
      <c r="A194" s="5"/>
      <c r="B194" s="24"/>
      <c r="C194" s="5"/>
      <c r="D194" s="5"/>
      <c r="E194" s="5"/>
      <c r="F194" s="5"/>
      <c r="G194" s="5"/>
      <c r="H194" s="5"/>
      <c r="I194" s="2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 x14ac:dyDescent="0.25">
      <c r="A195" s="5"/>
      <c r="B195" s="24"/>
      <c r="C195" s="5"/>
      <c r="D195" s="5"/>
      <c r="E195" s="5"/>
      <c r="F195" s="5"/>
      <c r="G195" s="5"/>
      <c r="H195" s="5"/>
      <c r="I195" s="2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 x14ac:dyDescent="0.25">
      <c r="A196" s="5"/>
      <c r="B196" s="24"/>
      <c r="C196" s="5"/>
      <c r="D196" s="5"/>
      <c r="E196" s="5"/>
      <c r="F196" s="5"/>
      <c r="G196" s="5"/>
      <c r="H196" s="5"/>
      <c r="I196" s="2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 x14ac:dyDescent="0.25">
      <c r="A197" s="5"/>
      <c r="B197" s="24"/>
      <c r="C197" s="5"/>
      <c r="D197" s="5"/>
      <c r="E197" s="5"/>
      <c r="F197" s="5"/>
      <c r="G197" s="5"/>
      <c r="H197" s="5"/>
      <c r="I197" s="2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 x14ac:dyDescent="0.25">
      <c r="A198" s="5"/>
      <c r="B198" s="24"/>
      <c r="C198" s="5"/>
      <c r="D198" s="5"/>
      <c r="E198" s="5"/>
      <c r="F198" s="5"/>
      <c r="G198" s="5"/>
      <c r="H198" s="5"/>
      <c r="I198" s="2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 x14ac:dyDescent="0.25">
      <c r="A199" s="5"/>
      <c r="B199" s="24"/>
      <c r="C199" s="5"/>
      <c r="D199" s="5"/>
      <c r="E199" s="5"/>
      <c r="F199" s="5"/>
      <c r="G199" s="5"/>
      <c r="H199" s="5"/>
      <c r="I199" s="2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 x14ac:dyDescent="0.25">
      <c r="A200" s="5"/>
      <c r="B200" s="24"/>
      <c r="C200" s="5"/>
      <c r="D200" s="5"/>
      <c r="E200" s="5"/>
      <c r="F200" s="5"/>
      <c r="G200" s="5"/>
      <c r="H200" s="5"/>
      <c r="I200" s="2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 x14ac:dyDescent="0.25">
      <c r="A201" s="5"/>
      <c r="B201" s="24"/>
      <c r="C201" s="5"/>
      <c r="D201" s="5"/>
      <c r="E201" s="5"/>
      <c r="F201" s="5"/>
      <c r="G201" s="5"/>
      <c r="H201" s="5"/>
      <c r="I201" s="2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 x14ac:dyDescent="0.25">
      <c r="A202" s="5"/>
      <c r="B202" s="24"/>
      <c r="C202" s="5"/>
      <c r="D202" s="5"/>
      <c r="E202" s="5"/>
      <c r="F202" s="5"/>
      <c r="G202" s="5"/>
      <c r="H202" s="5"/>
      <c r="I202" s="2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 x14ac:dyDescent="0.25">
      <c r="A203" s="5"/>
      <c r="B203" s="24"/>
      <c r="C203" s="5"/>
      <c r="D203" s="5"/>
      <c r="E203" s="5"/>
      <c r="F203" s="5"/>
      <c r="G203" s="5"/>
      <c r="H203" s="5"/>
      <c r="I203" s="2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 x14ac:dyDescent="0.25">
      <c r="A204" s="5"/>
      <c r="B204" s="24"/>
      <c r="C204" s="5"/>
      <c r="D204" s="5"/>
      <c r="E204" s="5"/>
      <c r="F204" s="5"/>
      <c r="G204" s="5"/>
      <c r="H204" s="5"/>
      <c r="I204" s="2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 x14ac:dyDescent="0.25">
      <c r="A205" s="5"/>
      <c r="B205" s="24"/>
      <c r="C205" s="5"/>
      <c r="D205" s="5"/>
      <c r="E205" s="5"/>
      <c r="F205" s="5"/>
      <c r="G205" s="5"/>
      <c r="H205" s="5"/>
      <c r="I205" s="2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 x14ac:dyDescent="0.25">
      <c r="A206" s="5"/>
      <c r="B206" s="24"/>
      <c r="C206" s="5"/>
      <c r="D206" s="5"/>
      <c r="E206" s="5"/>
      <c r="F206" s="5"/>
      <c r="G206" s="5"/>
      <c r="H206" s="5"/>
      <c r="I206" s="2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 x14ac:dyDescent="0.25">
      <c r="A207" s="5"/>
      <c r="B207" s="24"/>
      <c r="C207" s="5"/>
      <c r="D207" s="5"/>
      <c r="E207" s="5"/>
      <c r="F207" s="5"/>
      <c r="G207" s="5"/>
      <c r="H207" s="5"/>
      <c r="I207" s="2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 x14ac:dyDescent="0.25">
      <c r="A208" s="5"/>
      <c r="B208" s="24"/>
      <c r="C208" s="5"/>
      <c r="D208" s="5"/>
      <c r="E208" s="5"/>
      <c r="F208" s="5"/>
      <c r="G208" s="5"/>
      <c r="H208" s="5"/>
      <c r="I208" s="2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 x14ac:dyDescent="0.25">
      <c r="A209" s="5"/>
      <c r="B209" s="24"/>
      <c r="C209" s="5"/>
      <c r="D209" s="5"/>
      <c r="E209" s="5"/>
      <c r="F209" s="5"/>
      <c r="G209" s="5"/>
      <c r="H209" s="5"/>
      <c r="I209" s="2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 x14ac:dyDescent="0.25">
      <c r="A210" s="5"/>
      <c r="B210" s="24"/>
      <c r="C210" s="5"/>
      <c r="D210" s="5"/>
      <c r="E210" s="5"/>
      <c r="F210" s="5"/>
      <c r="G210" s="5"/>
      <c r="H210" s="5"/>
      <c r="I210" s="2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 x14ac:dyDescent="0.25">
      <c r="A211" s="5"/>
      <c r="B211" s="24"/>
      <c r="C211" s="5"/>
      <c r="D211" s="5"/>
      <c r="E211" s="5"/>
      <c r="F211" s="5"/>
      <c r="G211" s="5"/>
      <c r="H211" s="5"/>
      <c r="I211" s="2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 x14ac:dyDescent="0.25">
      <c r="A212" s="5"/>
      <c r="B212" s="24"/>
      <c r="C212" s="5"/>
      <c r="D212" s="5"/>
      <c r="E212" s="5"/>
      <c r="F212" s="5"/>
      <c r="G212" s="5"/>
      <c r="H212" s="5"/>
      <c r="I212" s="2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 x14ac:dyDescent="0.25">
      <c r="A213" s="5"/>
      <c r="B213" s="24"/>
      <c r="C213" s="5"/>
      <c r="D213" s="5"/>
      <c r="E213" s="5"/>
      <c r="F213" s="5"/>
      <c r="G213" s="5"/>
      <c r="H213" s="5"/>
      <c r="I213" s="2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 x14ac:dyDescent="0.25">
      <c r="A214" s="5"/>
      <c r="B214" s="24"/>
      <c r="C214" s="5"/>
      <c r="D214" s="5"/>
      <c r="E214" s="5"/>
      <c r="F214" s="5"/>
      <c r="G214" s="5"/>
      <c r="H214" s="5"/>
      <c r="I214" s="2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 x14ac:dyDescent="0.25">
      <c r="A215" s="5"/>
      <c r="B215" s="24"/>
      <c r="C215" s="5"/>
      <c r="D215" s="5"/>
      <c r="E215" s="5"/>
      <c r="F215" s="5"/>
      <c r="G215" s="5"/>
      <c r="H215" s="5"/>
      <c r="I215" s="2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 x14ac:dyDescent="0.25">
      <c r="A216" s="5"/>
      <c r="B216" s="24"/>
      <c r="C216" s="5"/>
      <c r="D216" s="5"/>
      <c r="E216" s="5"/>
      <c r="F216" s="5"/>
      <c r="G216" s="5"/>
      <c r="H216" s="5"/>
      <c r="I216" s="2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 x14ac:dyDescent="0.25">
      <c r="A217" s="5"/>
      <c r="B217" s="24"/>
      <c r="C217" s="5"/>
      <c r="D217" s="5"/>
      <c r="E217" s="5"/>
      <c r="F217" s="5"/>
      <c r="G217" s="5"/>
      <c r="H217" s="5"/>
      <c r="I217" s="2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 x14ac:dyDescent="0.25">
      <c r="A218" s="5"/>
      <c r="B218" s="24"/>
      <c r="C218" s="5"/>
      <c r="D218" s="5"/>
      <c r="E218" s="5"/>
      <c r="F218" s="5"/>
      <c r="G218" s="5"/>
      <c r="H218" s="5"/>
      <c r="I218" s="2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 x14ac:dyDescent="0.25">
      <c r="A219" s="5"/>
      <c r="B219" s="24"/>
      <c r="C219" s="5"/>
      <c r="D219" s="5"/>
      <c r="E219" s="5"/>
      <c r="F219" s="5"/>
      <c r="G219" s="5"/>
      <c r="H219" s="5"/>
      <c r="I219" s="2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 x14ac:dyDescent="0.25">
      <c r="A220" s="5"/>
      <c r="B220" s="24"/>
      <c r="C220" s="5"/>
      <c r="D220" s="5"/>
      <c r="E220" s="5"/>
      <c r="F220" s="5"/>
      <c r="G220" s="5"/>
      <c r="H220" s="5"/>
      <c r="I220" s="2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 x14ac:dyDescent="0.25">
      <c r="A221" s="5"/>
      <c r="B221" s="24"/>
      <c r="C221" s="5"/>
      <c r="D221" s="5"/>
      <c r="E221" s="5"/>
      <c r="F221" s="5"/>
      <c r="G221" s="5"/>
      <c r="H221" s="5"/>
      <c r="I221" s="2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 x14ac:dyDescent="0.25">
      <c r="A222" s="5"/>
      <c r="B222" s="24"/>
      <c r="C222" s="5"/>
      <c r="D222" s="5"/>
      <c r="E222" s="5"/>
      <c r="F222" s="5"/>
      <c r="G222" s="5"/>
      <c r="H222" s="5"/>
      <c r="I222" s="2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 x14ac:dyDescent="0.25">
      <c r="A223" s="5"/>
      <c r="B223" s="24"/>
      <c r="C223" s="5"/>
      <c r="D223" s="5"/>
      <c r="E223" s="5"/>
      <c r="F223" s="5"/>
      <c r="G223" s="5"/>
      <c r="H223" s="5"/>
      <c r="I223" s="2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 x14ac:dyDescent="0.25">
      <c r="A224" s="5"/>
      <c r="B224" s="24"/>
      <c r="C224" s="5"/>
      <c r="D224" s="5"/>
      <c r="E224" s="5"/>
      <c r="F224" s="5"/>
      <c r="G224" s="5"/>
      <c r="H224" s="5"/>
      <c r="I224" s="2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 x14ac:dyDescent="0.25">
      <c r="A225" s="5"/>
      <c r="B225" s="24"/>
      <c r="C225" s="5"/>
      <c r="D225" s="5"/>
      <c r="E225" s="5"/>
      <c r="F225" s="5"/>
      <c r="G225" s="5"/>
      <c r="H225" s="5"/>
      <c r="I225" s="2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 x14ac:dyDescent="0.25">
      <c r="A226" s="5"/>
      <c r="B226" s="24"/>
      <c r="C226" s="5"/>
      <c r="D226" s="5"/>
      <c r="E226" s="5"/>
      <c r="F226" s="5"/>
      <c r="G226" s="5"/>
      <c r="H226" s="5"/>
      <c r="I226" s="2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 x14ac:dyDescent="0.25">
      <c r="A227" s="5"/>
      <c r="B227" s="24"/>
      <c r="C227" s="5"/>
      <c r="D227" s="5"/>
      <c r="E227" s="5"/>
      <c r="F227" s="5"/>
      <c r="G227" s="5"/>
      <c r="H227" s="5"/>
      <c r="I227" s="2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 x14ac:dyDescent="0.25">
      <c r="A228" s="5"/>
      <c r="B228" s="24"/>
      <c r="C228" s="5"/>
      <c r="D228" s="5"/>
      <c r="E228" s="5"/>
      <c r="F228" s="5"/>
      <c r="G228" s="5"/>
      <c r="H228" s="5"/>
      <c r="I228" s="2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 x14ac:dyDescent="0.25">
      <c r="A229" s="5"/>
      <c r="B229" s="24"/>
      <c r="C229" s="5"/>
      <c r="D229" s="5"/>
      <c r="E229" s="5"/>
      <c r="F229" s="5"/>
      <c r="G229" s="5"/>
      <c r="H229" s="5"/>
      <c r="I229" s="2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 x14ac:dyDescent="0.25">
      <c r="A230" s="5"/>
      <c r="B230" s="24"/>
      <c r="C230" s="5"/>
      <c r="D230" s="5"/>
      <c r="E230" s="5"/>
      <c r="F230" s="5"/>
      <c r="G230" s="5"/>
      <c r="H230" s="5"/>
      <c r="I230" s="2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 x14ac:dyDescent="0.25">
      <c r="A231" s="5"/>
      <c r="B231" s="24"/>
      <c r="C231" s="5"/>
      <c r="D231" s="5"/>
      <c r="E231" s="5"/>
      <c r="F231" s="5"/>
      <c r="G231" s="5"/>
      <c r="H231" s="5"/>
      <c r="I231" s="2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 x14ac:dyDescent="0.25">
      <c r="A232" s="5"/>
      <c r="B232" s="24"/>
      <c r="C232" s="5"/>
      <c r="D232" s="5"/>
      <c r="E232" s="5"/>
      <c r="F232" s="5"/>
      <c r="G232" s="5"/>
      <c r="H232" s="5"/>
      <c r="I232" s="2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 x14ac:dyDescent="0.25">
      <c r="A233" s="5"/>
      <c r="B233" s="24"/>
      <c r="C233" s="5"/>
      <c r="D233" s="5"/>
      <c r="E233" s="5"/>
      <c r="F233" s="5"/>
      <c r="G233" s="5"/>
      <c r="H233" s="5"/>
      <c r="I233" s="2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 x14ac:dyDescent="0.25">
      <c r="A234" s="5"/>
      <c r="B234" s="24"/>
      <c r="C234" s="5"/>
      <c r="D234" s="5"/>
      <c r="E234" s="5"/>
      <c r="F234" s="5"/>
      <c r="G234" s="5"/>
      <c r="H234" s="5"/>
      <c r="I234" s="2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 x14ac:dyDescent="0.25">
      <c r="A235" s="5"/>
      <c r="B235" s="24"/>
      <c r="C235" s="5"/>
      <c r="D235" s="5"/>
      <c r="E235" s="5"/>
      <c r="F235" s="5"/>
      <c r="G235" s="5"/>
      <c r="H235" s="5"/>
      <c r="I235" s="2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 x14ac:dyDescent="0.25">
      <c r="A236" s="5"/>
      <c r="B236" s="24"/>
      <c r="C236" s="5"/>
      <c r="D236" s="5"/>
      <c r="E236" s="5"/>
      <c r="F236" s="5"/>
      <c r="G236" s="5"/>
      <c r="H236" s="5"/>
      <c r="I236" s="2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 x14ac:dyDescent="0.25">
      <c r="A237" s="5"/>
      <c r="B237" s="24"/>
      <c r="C237" s="5"/>
      <c r="D237" s="5"/>
      <c r="E237" s="5"/>
      <c r="F237" s="5"/>
      <c r="G237" s="5"/>
      <c r="H237" s="5"/>
      <c r="I237" s="2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 x14ac:dyDescent="0.25">
      <c r="A238" s="5"/>
      <c r="B238" s="24"/>
      <c r="C238" s="5"/>
      <c r="D238" s="5"/>
      <c r="E238" s="5"/>
      <c r="F238" s="5"/>
      <c r="G238" s="5"/>
      <c r="H238" s="5"/>
      <c r="I238" s="2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 x14ac:dyDescent="0.25">
      <c r="A239" s="5"/>
      <c r="B239" s="24"/>
      <c r="C239" s="5"/>
      <c r="D239" s="5"/>
      <c r="E239" s="5"/>
      <c r="F239" s="5"/>
      <c r="G239" s="5"/>
      <c r="H239" s="5"/>
      <c r="I239" s="2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 x14ac:dyDescent="0.25">
      <c r="A240" s="5"/>
      <c r="B240" s="24"/>
      <c r="C240" s="5"/>
      <c r="D240" s="5"/>
      <c r="E240" s="5"/>
      <c r="F240" s="5"/>
      <c r="G240" s="5"/>
      <c r="H240" s="5"/>
      <c r="I240" s="2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 x14ac:dyDescent="0.25">
      <c r="A241" s="5"/>
      <c r="B241" s="24"/>
      <c r="C241" s="5"/>
      <c r="D241" s="5"/>
      <c r="E241" s="5"/>
      <c r="F241" s="5"/>
      <c r="G241" s="5"/>
      <c r="H241" s="5"/>
      <c r="I241" s="2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 x14ac:dyDescent="0.25">
      <c r="A242" s="5"/>
      <c r="B242" s="24"/>
      <c r="C242" s="5"/>
      <c r="D242" s="5"/>
      <c r="E242" s="5"/>
      <c r="F242" s="5"/>
      <c r="G242" s="5"/>
      <c r="H242" s="5"/>
      <c r="I242" s="2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 x14ac:dyDescent="0.25">
      <c r="A243" s="5"/>
      <c r="B243" s="24"/>
      <c r="C243" s="5"/>
      <c r="D243" s="5"/>
      <c r="E243" s="5"/>
      <c r="F243" s="5"/>
      <c r="G243" s="5"/>
      <c r="H243" s="5"/>
      <c r="I243" s="2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 x14ac:dyDescent="0.25">
      <c r="A244" s="5"/>
      <c r="B244" s="24"/>
      <c r="C244" s="5"/>
      <c r="D244" s="5"/>
      <c r="E244" s="5"/>
      <c r="F244" s="5"/>
      <c r="G244" s="5"/>
      <c r="H244" s="5"/>
      <c r="I244" s="2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 x14ac:dyDescent="0.25">
      <c r="A245" s="5"/>
      <c r="B245" s="24"/>
      <c r="C245" s="5"/>
      <c r="D245" s="5"/>
      <c r="E245" s="5"/>
      <c r="F245" s="5"/>
      <c r="G245" s="5"/>
      <c r="H245" s="5"/>
      <c r="I245" s="2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 x14ac:dyDescent="0.25">
      <c r="A246" s="5"/>
      <c r="B246" s="24"/>
      <c r="C246" s="5"/>
      <c r="D246" s="5"/>
      <c r="E246" s="5"/>
      <c r="F246" s="5"/>
      <c r="G246" s="5"/>
      <c r="H246" s="5"/>
      <c r="I246" s="2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 x14ac:dyDescent="0.25">
      <c r="A247" s="5"/>
      <c r="B247" s="24"/>
      <c r="C247" s="5"/>
      <c r="D247" s="5"/>
      <c r="E247" s="5"/>
      <c r="F247" s="5"/>
      <c r="G247" s="5"/>
      <c r="H247" s="5"/>
      <c r="I247" s="2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 x14ac:dyDescent="0.25">
      <c r="A248" s="5"/>
      <c r="B248" s="24"/>
      <c r="C248" s="5"/>
      <c r="D248" s="5"/>
      <c r="E248" s="5"/>
      <c r="F248" s="5"/>
      <c r="G248" s="5"/>
      <c r="H248" s="5"/>
      <c r="I248" s="2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 x14ac:dyDescent="0.25">
      <c r="A249" s="5"/>
      <c r="B249" s="24"/>
      <c r="C249" s="5"/>
      <c r="D249" s="5"/>
      <c r="E249" s="5"/>
      <c r="F249" s="5"/>
      <c r="G249" s="5"/>
      <c r="H249" s="5"/>
      <c r="I249" s="2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 x14ac:dyDescent="0.25">
      <c r="A250" s="5"/>
      <c r="B250" s="24"/>
      <c r="C250" s="5"/>
      <c r="D250" s="5"/>
      <c r="E250" s="5"/>
      <c r="F250" s="5"/>
      <c r="G250" s="5"/>
      <c r="H250" s="5"/>
      <c r="I250" s="2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 x14ac:dyDescent="0.25">
      <c r="A251" s="5"/>
      <c r="B251" s="24"/>
      <c r="C251" s="5"/>
      <c r="D251" s="5"/>
      <c r="E251" s="5"/>
      <c r="F251" s="5"/>
      <c r="G251" s="5"/>
      <c r="H251" s="5"/>
      <c r="I251" s="2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 x14ac:dyDescent="0.25">
      <c r="A252" s="5"/>
      <c r="B252" s="24"/>
      <c r="C252" s="5"/>
      <c r="D252" s="5"/>
      <c r="E252" s="5"/>
      <c r="F252" s="5"/>
      <c r="G252" s="5"/>
      <c r="H252" s="5"/>
      <c r="I252" s="2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 x14ac:dyDescent="0.25">
      <c r="A253" s="5"/>
      <c r="B253" s="24"/>
      <c r="C253" s="5"/>
      <c r="D253" s="5"/>
      <c r="E253" s="5"/>
      <c r="F253" s="5"/>
      <c r="G253" s="5"/>
      <c r="H253" s="5"/>
      <c r="I253" s="2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 x14ac:dyDescent="0.25">
      <c r="A254" s="5"/>
      <c r="B254" s="24"/>
      <c r="C254" s="5"/>
      <c r="D254" s="5"/>
      <c r="E254" s="5"/>
      <c r="F254" s="5"/>
      <c r="G254" s="5"/>
      <c r="H254" s="5"/>
      <c r="I254" s="2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 x14ac:dyDescent="0.25">
      <c r="A255" s="5"/>
      <c r="B255" s="24"/>
      <c r="C255" s="5"/>
      <c r="D255" s="5"/>
      <c r="E255" s="5"/>
      <c r="F255" s="5"/>
      <c r="G255" s="5"/>
      <c r="H255" s="5"/>
      <c r="I255" s="2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 x14ac:dyDescent="0.25">
      <c r="A256" s="5"/>
      <c r="B256" s="24"/>
      <c r="C256" s="5"/>
      <c r="D256" s="5"/>
      <c r="E256" s="5"/>
      <c r="F256" s="5"/>
      <c r="G256" s="5"/>
      <c r="H256" s="5"/>
      <c r="I256" s="2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 x14ac:dyDescent="0.25">
      <c r="A257" s="5"/>
      <c r="B257" s="24"/>
      <c r="C257" s="5"/>
      <c r="D257" s="5"/>
      <c r="E257" s="5"/>
      <c r="F257" s="5"/>
      <c r="G257" s="5"/>
      <c r="H257" s="5"/>
      <c r="I257" s="2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 x14ac:dyDescent="0.25">
      <c r="A258" s="5"/>
      <c r="B258" s="24"/>
      <c r="C258" s="5"/>
      <c r="D258" s="5"/>
      <c r="E258" s="5"/>
      <c r="F258" s="5"/>
      <c r="G258" s="5"/>
      <c r="H258" s="5"/>
      <c r="I258" s="2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 x14ac:dyDescent="0.25">
      <c r="A259" s="5"/>
      <c r="B259" s="24"/>
      <c r="C259" s="5"/>
      <c r="D259" s="5"/>
      <c r="E259" s="5"/>
      <c r="F259" s="5"/>
      <c r="G259" s="5"/>
      <c r="H259" s="5"/>
      <c r="I259" s="2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 x14ac:dyDescent="0.25">
      <c r="A260" s="5"/>
      <c r="B260" s="24"/>
      <c r="C260" s="5"/>
      <c r="D260" s="5"/>
      <c r="E260" s="5"/>
      <c r="F260" s="5"/>
      <c r="G260" s="5"/>
      <c r="H260" s="5"/>
      <c r="I260" s="2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 x14ac:dyDescent="0.25">
      <c r="A261" s="5"/>
      <c r="B261" s="24"/>
      <c r="C261" s="5"/>
      <c r="D261" s="5"/>
      <c r="E261" s="5"/>
      <c r="F261" s="5"/>
      <c r="G261" s="5"/>
      <c r="H261" s="5"/>
      <c r="I261" s="2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 x14ac:dyDescent="0.25">
      <c r="A262" s="5"/>
      <c r="B262" s="24"/>
      <c r="C262" s="5"/>
      <c r="D262" s="5"/>
      <c r="E262" s="5"/>
      <c r="F262" s="5"/>
      <c r="G262" s="5"/>
      <c r="H262" s="5"/>
      <c r="I262" s="2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 x14ac:dyDescent="0.25">
      <c r="A263" s="5"/>
      <c r="B263" s="24"/>
      <c r="C263" s="5"/>
      <c r="D263" s="5"/>
      <c r="E263" s="5"/>
      <c r="F263" s="5"/>
      <c r="G263" s="5"/>
      <c r="H263" s="5"/>
      <c r="I263" s="2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 x14ac:dyDescent="0.25">
      <c r="A264" s="5"/>
      <c r="B264" s="24"/>
      <c r="C264" s="5"/>
      <c r="D264" s="5"/>
      <c r="E264" s="5"/>
      <c r="F264" s="5"/>
      <c r="G264" s="5"/>
      <c r="H264" s="5"/>
      <c r="I264" s="2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 x14ac:dyDescent="0.25">
      <c r="A265" s="5"/>
      <c r="B265" s="24"/>
      <c r="C265" s="5"/>
      <c r="D265" s="5"/>
      <c r="E265" s="5"/>
      <c r="F265" s="5"/>
      <c r="G265" s="5"/>
      <c r="H265" s="5"/>
      <c r="I265" s="2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 x14ac:dyDescent="0.25">
      <c r="A266" s="5"/>
      <c r="B266" s="24"/>
      <c r="C266" s="5"/>
      <c r="D266" s="5"/>
      <c r="E266" s="5"/>
      <c r="F266" s="5"/>
      <c r="G266" s="5"/>
      <c r="H266" s="5"/>
      <c r="I266" s="2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 x14ac:dyDescent="0.25">
      <c r="A267" s="5"/>
      <c r="B267" s="24"/>
      <c r="C267" s="5"/>
      <c r="D267" s="5"/>
      <c r="E267" s="5"/>
      <c r="F267" s="5"/>
      <c r="G267" s="5"/>
      <c r="H267" s="5"/>
      <c r="I267" s="2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 x14ac:dyDescent="0.25">
      <c r="A268" s="5"/>
      <c r="B268" s="24"/>
      <c r="C268" s="5"/>
      <c r="D268" s="5"/>
      <c r="E268" s="5"/>
      <c r="F268" s="5"/>
      <c r="G268" s="5"/>
      <c r="H268" s="5"/>
      <c r="I268" s="2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 x14ac:dyDescent="0.25">
      <c r="A269" s="5"/>
      <c r="B269" s="24"/>
      <c r="C269" s="5"/>
      <c r="D269" s="5"/>
      <c r="E269" s="5"/>
      <c r="F269" s="5"/>
      <c r="G269" s="5"/>
      <c r="H269" s="5"/>
      <c r="I269" s="2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 x14ac:dyDescent="0.25">
      <c r="A270" s="5"/>
      <c r="B270" s="24"/>
      <c r="C270" s="5"/>
      <c r="D270" s="5"/>
      <c r="E270" s="5"/>
      <c r="F270" s="5"/>
      <c r="G270" s="5"/>
      <c r="H270" s="5"/>
      <c r="I270" s="2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 x14ac:dyDescent="0.25">
      <c r="A271" s="5"/>
      <c r="B271" s="24"/>
      <c r="C271" s="5"/>
      <c r="D271" s="5"/>
      <c r="E271" s="5"/>
      <c r="F271" s="5"/>
      <c r="G271" s="5"/>
      <c r="H271" s="5"/>
      <c r="I271" s="2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 x14ac:dyDescent="0.25">
      <c r="A272" s="5"/>
      <c r="B272" s="24"/>
      <c r="C272" s="5"/>
      <c r="D272" s="5"/>
      <c r="E272" s="5"/>
      <c r="F272" s="5"/>
      <c r="G272" s="5"/>
      <c r="H272" s="5"/>
      <c r="I272" s="2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 x14ac:dyDescent="0.25">
      <c r="A273" s="5"/>
      <c r="B273" s="24"/>
      <c r="C273" s="5"/>
      <c r="D273" s="5"/>
      <c r="E273" s="5"/>
      <c r="F273" s="5"/>
      <c r="G273" s="5"/>
      <c r="H273" s="5"/>
      <c r="I273" s="2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 x14ac:dyDescent="0.25">
      <c r="A274" s="5"/>
      <c r="B274" s="24"/>
      <c r="C274" s="5"/>
      <c r="D274" s="5"/>
      <c r="E274" s="5"/>
      <c r="F274" s="5"/>
      <c r="G274" s="5"/>
      <c r="H274" s="5"/>
      <c r="I274" s="2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 x14ac:dyDescent="0.25">
      <c r="A275" s="5"/>
      <c r="B275" s="24"/>
      <c r="C275" s="5"/>
      <c r="D275" s="5"/>
      <c r="E275" s="5"/>
      <c r="F275" s="5"/>
      <c r="G275" s="5"/>
      <c r="H275" s="5"/>
      <c r="I275" s="2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 x14ac:dyDescent="0.25">
      <c r="A276" s="5"/>
      <c r="B276" s="24"/>
      <c r="C276" s="5"/>
      <c r="D276" s="5"/>
      <c r="E276" s="5"/>
      <c r="F276" s="5"/>
      <c r="G276" s="5"/>
      <c r="H276" s="5"/>
      <c r="I276" s="2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 x14ac:dyDescent="0.25">
      <c r="A277" s="5"/>
      <c r="B277" s="24"/>
      <c r="C277" s="5"/>
      <c r="D277" s="5"/>
      <c r="E277" s="5"/>
      <c r="F277" s="5"/>
      <c r="G277" s="5"/>
      <c r="H277" s="5"/>
      <c r="I277" s="2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 x14ac:dyDescent="0.25">
      <c r="A278" s="5"/>
      <c r="B278" s="24"/>
      <c r="C278" s="5"/>
      <c r="D278" s="5"/>
      <c r="E278" s="5"/>
      <c r="F278" s="5"/>
      <c r="G278" s="5"/>
      <c r="H278" s="5"/>
      <c r="I278" s="2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 x14ac:dyDescent="0.25">
      <c r="A279" s="5"/>
      <c r="B279" s="24"/>
      <c r="C279" s="5"/>
      <c r="D279" s="5"/>
      <c r="E279" s="5"/>
      <c r="F279" s="5"/>
      <c r="G279" s="5"/>
      <c r="H279" s="5"/>
      <c r="I279" s="2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 x14ac:dyDescent="0.25">
      <c r="A280" s="5"/>
      <c r="B280" s="24"/>
      <c r="C280" s="5"/>
      <c r="D280" s="5"/>
      <c r="E280" s="5"/>
      <c r="F280" s="5"/>
      <c r="G280" s="5"/>
      <c r="H280" s="5"/>
      <c r="I280" s="2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 x14ac:dyDescent="0.25">
      <c r="A281" s="5"/>
      <c r="B281" s="24"/>
      <c r="C281" s="5"/>
      <c r="D281" s="5"/>
      <c r="E281" s="5"/>
      <c r="F281" s="5"/>
      <c r="G281" s="5"/>
      <c r="H281" s="5"/>
      <c r="I281" s="2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 x14ac:dyDescent="0.25">
      <c r="A282" s="5"/>
      <c r="B282" s="24"/>
      <c r="C282" s="5"/>
      <c r="D282" s="5"/>
      <c r="E282" s="5"/>
      <c r="F282" s="5"/>
      <c r="G282" s="5"/>
      <c r="H282" s="5"/>
      <c r="I282" s="2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 x14ac:dyDescent="0.25">
      <c r="A283" s="5"/>
      <c r="B283" s="24"/>
      <c r="C283" s="5"/>
      <c r="D283" s="5"/>
      <c r="E283" s="5"/>
      <c r="F283" s="5"/>
      <c r="G283" s="5"/>
      <c r="H283" s="5"/>
      <c r="I283" s="2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 x14ac:dyDescent="0.25">
      <c r="A284" s="5"/>
      <c r="B284" s="24"/>
      <c r="C284" s="5"/>
      <c r="D284" s="5"/>
      <c r="E284" s="5"/>
      <c r="F284" s="5"/>
      <c r="G284" s="5"/>
      <c r="H284" s="5"/>
      <c r="I284" s="2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 x14ac:dyDescent="0.25">
      <c r="A285" s="5"/>
      <c r="B285" s="24"/>
      <c r="C285" s="5"/>
      <c r="D285" s="5"/>
      <c r="E285" s="5"/>
      <c r="F285" s="5"/>
      <c r="G285" s="5"/>
      <c r="H285" s="5"/>
      <c r="I285" s="2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 x14ac:dyDescent="0.25">
      <c r="A286" s="5"/>
      <c r="B286" s="24"/>
      <c r="C286" s="5"/>
      <c r="D286" s="5"/>
      <c r="E286" s="5"/>
      <c r="F286" s="5"/>
      <c r="G286" s="5"/>
      <c r="H286" s="5"/>
      <c r="I286" s="2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 x14ac:dyDescent="0.25">
      <c r="A287" s="5"/>
      <c r="B287" s="24"/>
      <c r="C287" s="5"/>
      <c r="D287" s="5"/>
      <c r="E287" s="5"/>
      <c r="F287" s="5"/>
      <c r="G287" s="5"/>
      <c r="H287" s="5"/>
      <c r="I287" s="2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 x14ac:dyDescent="0.25">
      <c r="A288" s="5"/>
      <c r="B288" s="24"/>
      <c r="C288" s="5"/>
      <c r="D288" s="5"/>
      <c r="E288" s="5"/>
      <c r="F288" s="5"/>
      <c r="G288" s="5"/>
      <c r="H288" s="5"/>
      <c r="I288" s="2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 x14ac:dyDescent="0.25">
      <c r="A289" s="5"/>
      <c r="B289" s="24"/>
      <c r="C289" s="5"/>
      <c r="D289" s="5"/>
      <c r="E289" s="5"/>
      <c r="F289" s="5"/>
      <c r="G289" s="5"/>
      <c r="H289" s="5"/>
      <c r="I289" s="2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 x14ac:dyDescent="0.25">
      <c r="A290" s="5"/>
      <c r="B290" s="24"/>
      <c r="C290" s="5"/>
      <c r="D290" s="5"/>
      <c r="E290" s="5"/>
      <c r="F290" s="5"/>
      <c r="G290" s="5"/>
      <c r="H290" s="5"/>
      <c r="I290" s="2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 x14ac:dyDescent="0.25">
      <c r="A291" s="5"/>
      <c r="B291" s="24"/>
      <c r="C291" s="5"/>
      <c r="D291" s="5"/>
      <c r="E291" s="5"/>
      <c r="F291" s="5"/>
      <c r="G291" s="5"/>
      <c r="H291" s="5"/>
      <c r="I291" s="2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 x14ac:dyDescent="0.25">
      <c r="A292" s="5"/>
      <c r="B292" s="24"/>
      <c r="C292" s="5"/>
      <c r="D292" s="5"/>
      <c r="E292" s="5"/>
      <c r="F292" s="5"/>
      <c r="G292" s="5"/>
      <c r="H292" s="5"/>
      <c r="I292" s="2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 x14ac:dyDescent="0.25">
      <c r="A293" s="5"/>
      <c r="B293" s="24"/>
      <c r="C293" s="5"/>
      <c r="D293" s="5"/>
      <c r="E293" s="5"/>
      <c r="F293" s="5"/>
      <c r="G293" s="5"/>
      <c r="H293" s="5"/>
      <c r="I293" s="2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 x14ac:dyDescent="0.25">
      <c r="A294" s="5"/>
      <c r="B294" s="24"/>
      <c r="C294" s="5"/>
      <c r="D294" s="5"/>
      <c r="E294" s="5"/>
      <c r="F294" s="5"/>
      <c r="G294" s="5"/>
      <c r="H294" s="5"/>
      <c r="I294" s="2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 x14ac:dyDescent="0.25">
      <c r="A295" s="5"/>
      <c r="B295" s="24"/>
      <c r="C295" s="5"/>
      <c r="D295" s="5"/>
      <c r="E295" s="5"/>
      <c r="F295" s="5"/>
      <c r="G295" s="5"/>
      <c r="H295" s="5"/>
      <c r="I295" s="2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 x14ac:dyDescent="0.25">
      <c r="A296" s="5"/>
      <c r="B296" s="24"/>
      <c r="C296" s="5"/>
      <c r="D296" s="5"/>
      <c r="E296" s="5"/>
      <c r="F296" s="5"/>
      <c r="G296" s="5"/>
      <c r="H296" s="5"/>
      <c r="I296" s="2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 x14ac:dyDescent="0.25">
      <c r="A297" s="5"/>
      <c r="B297" s="24"/>
      <c r="C297" s="5"/>
      <c r="D297" s="5"/>
      <c r="E297" s="5"/>
      <c r="F297" s="5"/>
      <c r="G297" s="5"/>
      <c r="H297" s="5"/>
      <c r="I297" s="2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 x14ac:dyDescent="0.25">
      <c r="A298" s="5"/>
      <c r="B298" s="24"/>
      <c r="C298" s="5"/>
      <c r="D298" s="5"/>
      <c r="E298" s="5"/>
      <c r="F298" s="5"/>
      <c r="G298" s="5"/>
      <c r="H298" s="5"/>
      <c r="I298" s="2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 x14ac:dyDescent="0.25">
      <c r="A299" s="5"/>
      <c r="B299" s="24"/>
      <c r="C299" s="5"/>
      <c r="D299" s="5"/>
      <c r="E299" s="5"/>
      <c r="F299" s="5"/>
      <c r="G299" s="5"/>
      <c r="H299" s="5"/>
      <c r="I299" s="2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 x14ac:dyDescent="0.25">
      <c r="A300" s="5"/>
      <c r="B300" s="24"/>
      <c r="C300" s="5"/>
      <c r="D300" s="5"/>
      <c r="E300" s="5"/>
      <c r="F300" s="5"/>
      <c r="G300" s="5"/>
      <c r="H300" s="5"/>
      <c r="I300" s="2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 x14ac:dyDescent="0.25">
      <c r="A301" s="5"/>
      <c r="B301" s="24"/>
      <c r="C301" s="5"/>
      <c r="D301" s="5"/>
      <c r="E301" s="5"/>
      <c r="F301" s="5"/>
      <c r="G301" s="5"/>
      <c r="H301" s="5"/>
      <c r="I301" s="2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 x14ac:dyDescent="0.25">
      <c r="A302" s="5"/>
      <c r="B302" s="24"/>
      <c r="C302" s="5"/>
      <c r="D302" s="5"/>
      <c r="E302" s="5"/>
      <c r="F302" s="5"/>
      <c r="G302" s="5"/>
      <c r="H302" s="5"/>
      <c r="I302" s="2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 x14ac:dyDescent="0.25">
      <c r="A303" s="5"/>
      <c r="B303" s="24"/>
      <c r="C303" s="5"/>
      <c r="D303" s="5"/>
      <c r="E303" s="5"/>
      <c r="F303" s="5"/>
      <c r="G303" s="5"/>
      <c r="H303" s="5"/>
      <c r="I303" s="2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 x14ac:dyDescent="0.25">
      <c r="A304" s="5"/>
      <c r="B304" s="24"/>
      <c r="C304" s="5"/>
      <c r="D304" s="5"/>
      <c r="E304" s="5"/>
      <c r="F304" s="5"/>
      <c r="G304" s="5"/>
      <c r="H304" s="5"/>
      <c r="I304" s="2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 x14ac:dyDescent="0.25">
      <c r="A305" s="5"/>
      <c r="B305" s="24"/>
      <c r="C305" s="5"/>
      <c r="D305" s="5"/>
      <c r="E305" s="5"/>
      <c r="F305" s="5"/>
      <c r="G305" s="5"/>
      <c r="H305" s="5"/>
      <c r="I305" s="2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 x14ac:dyDescent="0.25">
      <c r="A306" s="5"/>
      <c r="B306" s="24"/>
      <c r="C306" s="5"/>
      <c r="D306" s="5"/>
      <c r="E306" s="5"/>
      <c r="F306" s="5"/>
      <c r="G306" s="5"/>
      <c r="H306" s="5"/>
      <c r="I306" s="2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 x14ac:dyDescent="0.25">
      <c r="A307" s="5"/>
      <c r="B307" s="24"/>
      <c r="C307" s="5"/>
      <c r="D307" s="5"/>
      <c r="E307" s="5"/>
      <c r="F307" s="5"/>
      <c r="G307" s="5"/>
      <c r="H307" s="5"/>
      <c r="I307" s="2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 x14ac:dyDescent="0.25">
      <c r="A308" s="5"/>
      <c r="B308" s="24"/>
      <c r="C308" s="5"/>
      <c r="D308" s="5"/>
      <c r="E308" s="5"/>
      <c r="F308" s="5"/>
      <c r="G308" s="5"/>
      <c r="H308" s="5"/>
      <c r="I308" s="2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 x14ac:dyDescent="0.25">
      <c r="A309" s="5"/>
      <c r="B309" s="24"/>
      <c r="C309" s="5"/>
      <c r="D309" s="5"/>
      <c r="E309" s="5"/>
      <c r="F309" s="5"/>
      <c r="G309" s="5"/>
      <c r="H309" s="5"/>
      <c r="I309" s="2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 x14ac:dyDescent="0.25">
      <c r="A310" s="5"/>
      <c r="B310" s="24"/>
      <c r="C310" s="5"/>
      <c r="D310" s="5"/>
      <c r="E310" s="5"/>
      <c r="F310" s="5"/>
      <c r="G310" s="5"/>
      <c r="H310" s="5"/>
      <c r="I310" s="2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 x14ac:dyDescent="0.25">
      <c r="A311" s="5"/>
      <c r="B311" s="24"/>
      <c r="C311" s="5"/>
      <c r="D311" s="5"/>
      <c r="E311" s="5"/>
      <c r="F311" s="5"/>
      <c r="G311" s="5"/>
      <c r="H311" s="5"/>
      <c r="I311" s="2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 x14ac:dyDescent="0.25">
      <c r="A312" s="5"/>
      <c r="B312" s="24"/>
      <c r="C312" s="5"/>
      <c r="D312" s="5"/>
      <c r="E312" s="5"/>
      <c r="F312" s="5"/>
      <c r="G312" s="5"/>
      <c r="H312" s="5"/>
      <c r="I312" s="2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 x14ac:dyDescent="0.25">
      <c r="A313" s="5"/>
      <c r="B313" s="24"/>
      <c r="C313" s="5"/>
      <c r="D313" s="5"/>
      <c r="E313" s="5"/>
      <c r="F313" s="5"/>
      <c r="G313" s="5"/>
      <c r="H313" s="5"/>
      <c r="I313" s="2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 x14ac:dyDescent="0.25">
      <c r="A314" s="5"/>
      <c r="B314" s="24"/>
      <c r="C314" s="5"/>
      <c r="D314" s="5"/>
      <c r="E314" s="5"/>
      <c r="F314" s="5"/>
      <c r="G314" s="5"/>
      <c r="H314" s="5"/>
      <c r="I314" s="2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 x14ac:dyDescent="0.25">
      <c r="A315" s="5"/>
      <c r="B315" s="24"/>
      <c r="C315" s="5"/>
      <c r="D315" s="5"/>
      <c r="E315" s="5"/>
      <c r="F315" s="5"/>
      <c r="G315" s="5"/>
      <c r="H315" s="5"/>
      <c r="I315" s="2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 x14ac:dyDescent="0.25">
      <c r="A316" s="5"/>
      <c r="B316" s="24"/>
      <c r="C316" s="5"/>
      <c r="D316" s="5"/>
      <c r="E316" s="5"/>
      <c r="F316" s="5"/>
      <c r="G316" s="5"/>
      <c r="H316" s="5"/>
      <c r="I316" s="2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 x14ac:dyDescent="0.25">
      <c r="A317" s="5"/>
      <c r="B317" s="24"/>
      <c r="C317" s="5"/>
      <c r="D317" s="5"/>
      <c r="E317" s="5"/>
      <c r="F317" s="5"/>
      <c r="G317" s="5"/>
      <c r="H317" s="5"/>
      <c r="I317" s="2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 x14ac:dyDescent="0.25">
      <c r="A318" s="5"/>
      <c r="B318" s="24"/>
      <c r="C318" s="5"/>
      <c r="D318" s="5"/>
      <c r="E318" s="5"/>
      <c r="F318" s="5"/>
      <c r="G318" s="5"/>
      <c r="H318" s="5"/>
      <c r="I318" s="2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 x14ac:dyDescent="0.25">
      <c r="A319" s="5"/>
      <c r="B319" s="24"/>
      <c r="C319" s="5"/>
      <c r="D319" s="5"/>
      <c r="E319" s="5"/>
      <c r="F319" s="5"/>
      <c r="G319" s="5"/>
      <c r="H319" s="5"/>
      <c r="I319" s="2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 x14ac:dyDescent="0.25">
      <c r="A320" s="5"/>
      <c r="B320" s="24"/>
      <c r="C320" s="5"/>
      <c r="D320" s="5"/>
      <c r="E320" s="5"/>
      <c r="F320" s="5"/>
      <c r="G320" s="5"/>
      <c r="H320" s="5"/>
      <c r="I320" s="2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 x14ac:dyDescent="0.25">
      <c r="A321" s="5"/>
      <c r="B321" s="24"/>
      <c r="C321" s="5"/>
      <c r="D321" s="5"/>
      <c r="E321" s="5"/>
      <c r="F321" s="5"/>
      <c r="G321" s="5"/>
      <c r="H321" s="5"/>
      <c r="I321" s="2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 x14ac:dyDescent="0.25">
      <c r="A322" s="5"/>
      <c r="B322" s="24"/>
      <c r="C322" s="5"/>
      <c r="D322" s="5"/>
      <c r="E322" s="5"/>
      <c r="F322" s="5"/>
      <c r="G322" s="5"/>
      <c r="H322" s="5"/>
      <c r="I322" s="2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 x14ac:dyDescent="0.25">
      <c r="A323" s="5"/>
      <c r="B323" s="24"/>
      <c r="C323" s="5"/>
      <c r="D323" s="5"/>
      <c r="E323" s="5"/>
      <c r="F323" s="5"/>
      <c r="G323" s="5"/>
      <c r="H323" s="5"/>
      <c r="I323" s="2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 x14ac:dyDescent="0.25">
      <c r="A324" s="5"/>
      <c r="B324" s="24"/>
      <c r="C324" s="5"/>
      <c r="D324" s="5"/>
      <c r="E324" s="5"/>
      <c r="F324" s="5"/>
      <c r="G324" s="5"/>
      <c r="H324" s="5"/>
      <c r="I324" s="2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 x14ac:dyDescent="0.25">
      <c r="A325" s="5"/>
      <c r="B325" s="24"/>
      <c r="C325" s="5"/>
      <c r="D325" s="5"/>
      <c r="E325" s="5"/>
      <c r="F325" s="5"/>
      <c r="G325" s="5"/>
      <c r="H325" s="5"/>
      <c r="I325" s="2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 x14ac:dyDescent="0.25">
      <c r="A326" s="5"/>
      <c r="B326" s="24"/>
      <c r="C326" s="5"/>
      <c r="D326" s="5"/>
      <c r="E326" s="5"/>
      <c r="F326" s="5"/>
      <c r="G326" s="5"/>
      <c r="H326" s="5"/>
      <c r="I326" s="2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 x14ac:dyDescent="0.25">
      <c r="A327" s="5"/>
      <c r="B327" s="24"/>
      <c r="C327" s="5"/>
      <c r="D327" s="5"/>
      <c r="E327" s="5"/>
      <c r="F327" s="5"/>
      <c r="G327" s="5"/>
      <c r="H327" s="5"/>
      <c r="I327" s="2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 x14ac:dyDescent="0.25">
      <c r="A328" s="5"/>
      <c r="B328" s="24"/>
      <c r="C328" s="5"/>
      <c r="D328" s="5"/>
      <c r="E328" s="5"/>
      <c r="F328" s="5"/>
      <c r="G328" s="5"/>
      <c r="H328" s="5"/>
      <c r="I328" s="2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 x14ac:dyDescent="0.25">
      <c r="A329" s="5"/>
      <c r="B329" s="24"/>
      <c r="C329" s="5"/>
      <c r="D329" s="5"/>
      <c r="E329" s="5"/>
      <c r="F329" s="5"/>
      <c r="G329" s="5"/>
      <c r="H329" s="5"/>
      <c r="I329" s="2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 x14ac:dyDescent="0.25">
      <c r="A330" s="5"/>
      <c r="B330" s="24"/>
      <c r="C330" s="5"/>
      <c r="D330" s="5"/>
      <c r="E330" s="5"/>
      <c r="F330" s="5"/>
      <c r="G330" s="5"/>
      <c r="H330" s="5"/>
      <c r="I330" s="2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 x14ac:dyDescent="0.25">
      <c r="A331" s="5"/>
      <c r="B331" s="24"/>
      <c r="C331" s="5"/>
      <c r="D331" s="5"/>
      <c r="E331" s="5"/>
      <c r="F331" s="5"/>
      <c r="G331" s="5"/>
      <c r="H331" s="5"/>
      <c r="I331" s="2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 x14ac:dyDescent="0.25">
      <c r="A332" s="5"/>
      <c r="B332" s="24"/>
      <c r="C332" s="5"/>
      <c r="D332" s="5"/>
      <c r="E332" s="5"/>
      <c r="F332" s="5"/>
      <c r="G332" s="5"/>
      <c r="H332" s="5"/>
      <c r="I332" s="2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 x14ac:dyDescent="0.25">
      <c r="A333" s="5"/>
      <c r="B333" s="24"/>
      <c r="C333" s="5"/>
      <c r="D333" s="5"/>
      <c r="E333" s="5"/>
      <c r="F333" s="5"/>
      <c r="G333" s="5"/>
      <c r="H333" s="5"/>
      <c r="I333" s="2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 x14ac:dyDescent="0.25">
      <c r="A334" s="5"/>
      <c r="B334" s="24"/>
      <c r="C334" s="5"/>
      <c r="D334" s="5"/>
      <c r="E334" s="5"/>
      <c r="F334" s="5"/>
      <c r="G334" s="5"/>
      <c r="H334" s="5"/>
      <c r="I334" s="2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 x14ac:dyDescent="0.25">
      <c r="A335" s="5"/>
      <c r="B335" s="24"/>
      <c r="C335" s="5"/>
      <c r="D335" s="5"/>
      <c r="E335" s="5"/>
      <c r="F335" s="5"/>
      <c r="G335" s="5"/>
      <c r="H335" s="5"/>
      <c r="I335" s="2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 x14ac:dyDescent="0.25">
      <c r="A336" s="5"/>
      <c r="B336" s="24"/>
      <c r="C336" s="5"/>
      <c r="D336" s="5"/>
      <c r="E336" s="5"/>
      <c r="F336" s="5"/>
      <c r="G336" s="5"/>
      <c r="H336" s="5"/>
      <c r="I336" s="2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 x14ac:dyDescent="0.25">
      <c r="A337" s="5"/>
      <c r="B337" s="24"/>
      <c r="C337" s="5"/>
      <c r="D337" s="5"/>
      <c r="E337" s="5"/>
      <c r="F337" s="5"/>
      <c r="G337" s="5"/>
      <c r="H337" s="5"/>
      <c r="I337" s="2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 x14ac:dyDescent="0.25">
      <c r="A338" s="5"/>
      <c r="B338" s="24"/>
      <c r="C338" s="5"/>
      <c r="D338" s="5"/>
      <c r="E338" s="5"/>
      <c r="F338" s="5"/>
      <c r="G338" s="5"/>
      <c r="H338" s="5"/>
      <c r="I338" s="2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 x14ac:dyDescent="0.25">
      <c r="A339" s="5"/>
      <c r="B339" s="24"/>
      <c r="C339" s="5"/>
      <c r="D339" s="5"/>
      <c r="E339" s="5"/>
      <c r="F339" s="5"/>
      <c r="G339" s="5"/>
      <c r="H339" s="5"/>
      <c r="I339" s="2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 x14ac:dyDescent="0.25">
      <c r="A340" s="5"/>
      <c r="B340" s="24"/>
      <c r="C340" s="5"/>
      <c r="D340" s="5"/>
      <c r="E340" s="5"/>
      <c r="F340" s="5"/>
      <c r="G340" s="5"/>
      <c r="H340" s="5"/>
      <c r="I340" s="2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 x14ac:dyDescent="0.25">
      <c r="A341" s="5"/>
      <c r="B341" s="24"/>
      <c r="C341" s="5"/>
      <c r="D341" s="5"/>
      <c r="E341" s="5"/>
      <c r="F341" s="5"/>
      <c r="G341" s="5"/>
      <c r="H341" s="5"/>
      <c r="I341" s="2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 x14ac:dyDescent="0.25">
      <c r="A342" s="5"/>
      <c r="B342" s="24"/>
      <c r="C342" s="5"/>
      <c r="D342" s="5"/>
      <c r="E342" s="5"/>
      <c r="F342" s="5"/>
      <c r="G342" s="5"/>
      <c r="H342" s="5"/>
      <c r="I342" s="2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 x14ac:dyDescent="0.25">
      <c r="A343" s="5"/>
      <c r="B343" s="24"/>
      <c r="C343" s="5"/>
      <c r="D343" s="5"/>
      <c r="E343" s="5"/>
      <c r="F343" s="5"/>
      <c r="G343" s="5"/>
      <c r="H343" s="5"/>
      <c r="I343" s="2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 x14ac:dyDescent="0.25">
      <c r="A344" s="5"/>
      <c r="B344" s="24"/>
      <c r="C344" s="5"/>
      <c r="D344" s="5"/>
      <c r="E344" s="5"/>
      <c r="F344" s="5"/>
      <c r="G344" s="5"/>
      <c r="H344" s="5"/>
      <c r="I344" s="2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 x14ac:dyDescent="0.25">
      <c r="A345" s="5"/>
      <c r="B345" s="24"/>
      <c r="C345" s="5"/>
      <c r="D345" s="5"/>
      <c r="E345" s="5"/>
      <c r="F345" s="5"/>
      <c r="G345" s="5"/>
      <c r="H345" s="5"/>
      <c r="I345" s="2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 x14ac:dyDescent="0.25">
      <c r="A346" s="5"/>
      <c r="B346" s="24"/>
      <c r="C346" s="5"/>
      <c r="D346" s="5"/>
      <c r="E346" s="5"/>
      <c r="F346" s="5"/>
      <c r="G346" s="5"/>
      <c r="H346" s="5"/>
      <c r="I346" s="2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 x14ac:dyDescent="0.25">
      <c r="A347" s="5"/>
      <c r="B347" s="24"/>
      <c r="C347" s="5"/>
      <c r="D347" s="5"/>
      <c r="E347" s="5"/>
      <c r="F347" s="5"/>
      <c r="G347" s="5"/>
      <c r="H347" s="5"/>
      <c r="I347" s="2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 x14ac:dyDescent="0.25">
      <c r="A348" s="5"/>
      <c r="B348" s="24"/>
      <c r="C348" s="5"/>
      <c r="D348" s="5"/>
      <c r="E348" s="5"/>
      <c r="F348" s="5"/>
      <c r="G348" s="5"/>
      <c r="H348" s="5"/>
      <c r="I348" s="2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 x14ac:dyDescent="0.25">
      <c r="A349" s="5"/>
      <c r="B349" s="24"/>
      <c r="C349" s="5"/>
      <c r="D349" s="5"/>
      <c r="E349" s="5"/>
      <c r="F349" s="5"/>
      <c r="G349" s="5"/>
      <c r="H349" s="5"/>
      <c r="I349" s="2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 x14ac:dyDescent="0.25">
      <c r="A350" s="5"/>
      <c r="B350" s="24"/>
      <c r="C350" s="5"/>
      <c r="D350" s="5"/>
      <c r="E350" s="5"/>
      <c r="F350" s="5"/>
      <c r="G350" s="5"/>
      <c r="H350" s="5"/>
      <c r="I350" s="2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 x14ac:dyDescent="0.25">
      <c r="A351" s="5"/>
      <c r="B351" s="24"/>
      <c r="C351" s="5"/>
      <c r="D351" s="5"/>
      <c r="E351" s="5"/>
      <c r="F351" s="5"/>
      <c r="G351" s="5"/>
      <c r="H351" s="5"/>
      <c r="I351" s="2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 x14ac:dyDescent="0.25">
      <c r="A352" s="5"/>
      <c r="B352" s="24"/>
      <c r="C352" s="5"/>
      <c r="D352" s="5"/>
      <c r="E352" s="5"/>
      <c r="F352" s="5"/>
      <c r="G352" s="5"/>
      <c r="H352" s="5"/>
      <c r="I352" s="2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 x14ac:dyDescent="0.25">
      <c r="A353" s="5"/>
      <c r="B353" s="24"/>
      <c r="C353" s="5"/>
      <c r="D353" s="5"/>
      <c r="E353" s="5"/>
      <c r="F353" s="5"/>
      <c r="G353" s="5"/>
      <c r="H353" s="5"/>
      <c r="I353" s="2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 x14ac:dyDescent="0.25">
      <c r="A354" s="5"/>
      <c r="B354" s="24"/>
      <c r="C354" s="5"/>
      <c r="D354" s="5"/>
      <c r="E354" s="5"/>
      <c r="F354" s="5"/>
      <c r="G354" s="5"/>
      <c r="H354" s="5"/>
      <c r="I354" s="2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 x14ac:dyDescent="0.25">
      <c r="A355" s="5"/>
      <c r="B355" s="24"/>
      <c r="C355" s="5"/>
      <c r="D355" s="5"/>
      <c r="E355" s="5"/>
      <c r="F355" s="5"/>
      <c r="G355" s="5"/>
      <c r="H355" s="5"/>
      <c r="I355" s="2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 x14ac:dyDescent="0.25">
      <c r="A356" s="5"/>
      <c r="B356" s="24"/>
      <c r="C356" s="5"/>
      <c r="D356" s="5"/>
      <c r="E356" s="5"/>
      <c r="F356" s="5"/>
      <c r="G356" s="5"/>
      <c r="H356" s="5"/>
      <c r="I356" s="2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 x14ac:dyDescent="0.25">
      <c r="A357" s="5"/>
      <c r="B357" s="24"/>
      <c r="C357" s="5"/>
      <c r="D357" s="5"/>
      <c r="E357" s="5"/>
      <c r="F357" s="5"/>
      <c r="G357" s="5"/>
      <c r="H357" s="5"/>
      <c r="I357" s="2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 x14ac:dyDescent="0.25">
      <c r="A358" s="5"/>
      <c r="B358" s="24"/>
      <c r="C358" s="5"/>
      <c r="D358" s="5"/>
      <c r="E358" s="5"/>
      <c r="F358" s="5"/>
      <c r="G358" s="5"/>
      <c r="H358" s="5"/>
      <c r="I358" s="2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 x14ac:dyDescent="0.25">
      <c r="A359" s="5"/>
      <c r="B359" s="24"/>
      <c r="C359" s="5"/>
      <c r="D359" s="5"/>
      <c r="E359" s="5"/>
      <c r="F359" s="5"/>
      <c r="G359" s="5"/>
      <c r="H359" s="5"/>
      <c r="I359" s="2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 x14ac:dyDescent="0.25">
      <c r="A360" s="5"/>
      <c r="B360" s="24"/>
      <c r="C360" s="5"/>
      <c r="D360" s="5"/>
      <c r="E360" s="5"/>
      <c r="F360" s="5"/>
      <c r="G360" s="5"/>
      <c r="H360" s="5"/>
      <c r="I360" s="2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 x14ac:dyDescent="0.25">
      <c r="A361" s="5"/>
      <c r="B361" s="24"/>
      <c r="C361" s="5"/>
      <c r="D361" s="5"/>
      <c r="E361" s="5"/>
      <c r="F361" s="5"/>
      <c r="G361" s="5"/>
      <c r="H361" s="5"/>
      <c r="I361" s="2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 x14ac:dyDescent="0.25">
      <c r="A362" s="5"/>
      <c r="B362" s="24"/>
      <c r="C362" s="5"/>
      <c r="D362" s="5"/>
      <c r="E362" s="5"/>
      <c r="F362" s="5"/>
      <c r="G362" s="5"/>
      <c r="H362" s="5"/>
      <c r="I362" s="2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 x14ac:dyDescent="0.25">
      <c r="A363" s="5"/>
      <c r="B363" s="24"/>
      <c r="C363" s="5"/>
      <c r="D363" s="5"/>
      <c r="E363" s="5"/>
      <c r="F363" s="5"/>
      <c r="G363" s="5"/>
      <c r="H363" s="5"/>
      <c r="I363" s="2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 x14ac:dyDescent="0.25">
      <c r="A364" s="5"/>
      <c r="B364" s="24"/>
      <c r="C364" s="5"/>
      <c r="D364" s="5"/>
      <c r="E364" s="5"/>
      <c r="F364" s="5"/>
      <c r="G364" s="5"/>
      <c r="H364" s="5"/>
      <c r="I364" s="2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 x14ac:dyDescent="0.25">
      <c r="A365" s="5"/>
      <c r="B365" s="24"/>
      <c r="C365" s="5"/>
      <c r="D365" s="5"/>
      <c r="E365" s="5"/>
      <c r="F365" s="5"/>
      <c r="G365" s="5"/>
      <c r="H365" s="5"/>
      <c r="I365" s="2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 x14ac:dyDescent="0.25">
      <c r="A366" s="5"/>
      <c r="B366" s="24"/>
      <c r="C366" s="5"/>
      <c r="D366" s="5"/>
      <c r="E366" s="5"/>
      <c r="F366" s="5"/>
      <c r="G366" s="5"/>
      <c r="H366" s="5"/>
      <c r="I366" s="2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 x14ac:dyDescent="0.25">
      <c r="A367" s="5"/>
      <c r="B367" s="24"/>
      <c r="C367" s="5"/>
      <c r="D367" s="5"/>
      <c r="E367" s="5"/>
      <c r="F367" s="5"/>
      <c r="G367" s="5"/>
      <c r="H367" s="5"/>
      <c r="I367" s="2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 x14ac:dyDescent="0.25">
      <c r="A368" s="5"/>
      <c r="B368" s="24"/>
      <c r="C368" s="5"/>
      <c r="D368" s="5"/>
      <c r="E368" s="5"/>
      <c r="F368" s="5"/>
      <c r="G368" s="5"/>
      <c r="H368" s="5"/>
      <c r="I368" s="2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 x14ac:dyDescent="0.25">
      <c r="A369" s="5"/>
      <c r="B369" s="24"/>
      <c r="C369" s="5"/>
      <c r="D369" s="5"/>
      <c r="E369" s="5"/>
      <c r="F369" s="5"/>
      <c r="G369" s="5"/>
      <c r="H369" s="5"/>
      <c r="I369" s="2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 x14ac:dyDescent="0.25">
      <c r="A370" s="5"/>
      <c r="B370" s="24"/>
      <c r="C370" s="5"/>
      <c r="D370" s="5"/>
      <c r="E370" s="5"/>
      <c r="F370" s="5"/>
      <c r="G370" s="5"/>
      <c r="H370" s="5"/>
      <c r="I370" s="2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 x14ac:dyDescent="0.25">
      <c r="A371" s="5"/>
      <c r="B371" s="24"/>
      <c r="C371" s="5"/>
      <c r="D371" s="5"/>
      <c r="E371" s="5"/>
      <c r="F371" s="5"/>
      <c r="G371" s="5"/>
      <c r="H371" s="5"/>
      <c r="I371" s="2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 x14ac:dyDescent="0.25">
      <c r="A372" s="5"/>
      <c r="B372" s="24"/>
      <c r="C372" s="5"/>
      <c r="D372" s="5"/>
      <c r="E372" s="5"/>
      <c r="F372" s="5"/>
      <c r="G372" s="5"/>
      <c r="H372" s="5"/>
      <c r="I372" s="2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 x14ac:dyDescent="0.25">
      <c r="A373" s="5"/>
      <c r="B373" s="24"/>
      <c r="C373" s="5"/>
      <c r="D373" s="5"/>
      <c r="E373" s="5"/>
      <c r="F373" s="5"/>
      <c r="G373" s="5"/>
      <c r="H373" s="5"/>
      <c r="I373" s="2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 x14ac:dyDescent="0.25">
      <c r="A374" s="5"/>
      <c r="B374" s="24"/>
      <c r="C374" s="5"/>
      <c r="D374" s="5"/>
      <c r="E374" s="5"/>
      <c r="F374" s="5"/>
      <c r="G374" s="5"/>
      <c r="H374" s="5"/>
      <c r="I374" s="2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 x14ac:dyDescent="0.25">
      <c r="A375" s="5"/>
      <c r="B375" s="24"/>
      <c r="C375" s="5"/>
      <c r="D375" s="5"/>
      <c r="E375" s="5"/>
      <c r="F375" s="5"/>
      <c r="G375" s="5"/>
      <c r="H375" s="5"/>
      <c r="I375" s="2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 x14ac:dyDescent="0.25">
      <c r="A376" s="5"/>
      <c r="B376" s="24"/>
      <c r="C376" s="5"/>
      <c r="D376" s="5"/>
      <c r="E376" s="5"/>
      <c r="F376" s="5"/>
      <c r="G376" s="5"/>
      <c r="H376" s="5"/>
      <c r="I376" s="2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 x14ac:dyDescent="0.25">
      <c r="A377" s="5"/>
      <c r="B377" s="24"/>
      <c r="C377" s="5"/>
      <c r="D377" s="5"/>
      <c r="E377" s="5"/>
      <c r="F377" s="5"/>
      <c r="G377" s="5"/>
      <c r="H377" s="5"/>
      <c r="I377" s="2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 x14ac:dyDescent="0.25">
      <c r="A378" s="5"/>
      <c r="B378" s="24"/>
      <c r="C378" s="5"/>
      <c r="D378" s="5"/>
      <c r="E378" s="5"/>
      <c r="F378" s="5"/>
      <c r="G378" s="5"/>
      <c r="H378" s="5"/>
      <c r="I378" s="2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 x14ac:dyDescent="0.25">
      <c r="A379" s="5"/>
      <c r="B379" s="24"/>
      <c r="C379" s="5"/>
      <c r="D379" s="5"/>
      <c r="E379" s="5"/>
      <c r="F379" s="5"/>
      <c r="G379" s="5"/>
      <c r="H379" s="5"/>
      <c r="I379" s="2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 x14ac:dyDescent="0.25">
      <c r="A380" s="5"/>
      <c r="B380" s="24"/>
      <c r="C380" s="5"/>
      <c r="D380" s="5"/>
      <c r="E380" s="5"/>
      <c r="F380" s="5"/>
      <c r="G380" s="5"/>
      <c r="H380" s="5"/>
      <c r="I380" s="2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 x14ac:dyDescent="0.25">
      <c r="A381" s="5"/>
      <c r="B381" s="24"/>
      <c r="C381" s="5"/>
      <c r="D381" s="5"/>
      <c r="E381" s="5"/>
      <c r="F381" s="5"/>
      <c r="G381" s="5"/>
      <c r="H381" s="5"/>
      <c r="I381" s="2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 x14ac:dyDescent="0.25">
      <c r="A382" s="5"/>
      <c r="B382" s="24"/>
      <c r="C382" s="5"/>
      <c r="D382" s="5"/>
      <c r="E382" s="5"/>
      <c r="F382" s="5"/>
      <c r="G382" s="5"/>
      <c r="H382" s="5"/>
      <c r="I382" s="2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 x14ac:dyDescent="0.25">
      <c r="A383" s="5"/>
      <c r="B383" s="24"/>
      <c r="C383" s="5"/>
      <c r="D383" s="5"/>
      <c r="E383" s="5"/>
      <c r="F383" s="5"/>
      <c r="G383" s="5"/>
      <c r="H383" s="5"/>
      <c r="I383" s="2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 x14ac:dyDescent="0.25">
      <c r="A384" s="5"/>
      <c r="B384" s="24"/>
      <c r="C384" s="5"/>
      <c r="D384" s="5"/>
      <c r="E384" s="5"/>
      <c r="F384" s="5"/>
      <c r="G384" s="5"/>
      <c r="H384" s="5"/>
      <c r="I384" s="2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 x14ac:dyDescent="0.25">
      <c r="A385" s="5"/>
      <c r="B385" s="24"/>
      <c r="C385" s="5"/>
      <c r="D385" s="5"/>
      <c r="E385" s="5"/>
      <c r="F385" s="5"/>
      <c r="G385" s="5"/>
      <c r="H385" s="5"/>
      <c r="I385" s="2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 x14ac:dyDescent="0.25">
      <c r="A386" s="5"/>
      <c r="B386" s="24"/>
      <c r="C386" s="5"/>
      <c r="D386" s="5"/>
      <c r="E386" s="5"/>
      <c r="F386" s="5"/>
      <c r="G386" s="5"/>
      <c r="H386" s="5"/>
      <c r="I386" s="2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 x14ac:dyDescent="0.25">
      <c r="A387" s="5"/>
      <c r="B387" s="24"/>
      <c r="C387" s="5"/>
      <c r="D387" s="5"/>
      <c r="E387" s="5"/>
      <c r="F387" s="5"/>
      <c r="G387" s="5"/>
      <c r="H387" s="5"/>
      <c r="I387" s="2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 x14ac:dyDescent="0.25">
      <c r="A388" s="5"/>
      <c r="B388" s="24"/>
      <c r="C388" s="5"/>
      <c r="D388" s="5"/>
      <c r="E388" s="5"/>
      <c r="F388" s="5"/>
      <c r="G388" s="5"/>
      <c r="H388" s="5"/>
      <c r="I388" s="2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 x14ac:dyDescent="0.25">
      <c r="A389" s="5"/>
      <c r="B389" s="24"/>
      <c r="C389" s="5"/>
      <c r="D389" s="5"/>
      <c r="E389" s="5"/>
      <c r="F389" s="5"/>
      <c r="G389" s="5"/>
      <c r="H389" s="5"/>
      <c r="I389" s="2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 x14ac:dyDescent="0.25">
      <c r="A390" s="5"/>
      <c r="B390" s="24"/>
      <c r="C390" s="5"/>
      <c r="D390" s="5"/>
      <c r="E390" s="5"/>
      <c r="F390" s="5"/>
      <c r="G390" s="5"/>
      <c r="H390" s="5"/>
      <c r="I390" s="2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 x14ac:dyDescent="0.25">
      <c r="A391" s="5"/>
      <c r="B391" s="24"/>
      <c r="C391" s="5"/>
      <c r="D391" s="5"/>
      <c r="E391" s="5"/>
      <c r="F391" s="5"/>
      <c r="G391" s="5"/>
      <c r="H391" s="5"/>
      <c r="I391" s="2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 x14ac:dyDescent="0.25">
      <c r="A392" s="5"/>
      <c r="B392" s="24"/>
      <c r="C392" s="5"/>
      <c r="D392" s="5"/>
      <c r="E392" s="5"/>
      <c r="F392" s="5"/>
      <c r="G392" s="5"/>
      <c r="H392" s="5"/>
      <c r="I392" s="2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 x14ac:dyDescent="0.25">
      <c r="A393" s="5"/>
      <c r="B393" s="24"/>
      <c r="C393" s="5"/>
      <c r="D393" s="5"/>
      <c r="E393" s="5"/>
      <c r="F393" s="5"/>
      <c r="G393" s="5"/>
      <c r="H393" s="5"/>
      <c r="I393" s="2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 x14ac:dyDescent="0.25">
      <c r="A394" s="5"/>
      <c r="B394" s="24"/>
      <c r="C394" s="5"/>
      <c r="D394" s="5"/>
      <c r="E394" s="5"/>
      <c r="F394" s="5"/>
      <c r="G394" s="5"/>
      <c r="H394" s="5"/>
      <c r="I394" s="2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 x14ac:dyDescent="0.25">
      <c r="A395" s="5"/>
      <c r="B395" s="24"/>
      <c r="C395" s="5"/>
      <c r="D395" s="5"/>
      <c r="E395" s="5"/>
      <c r="F395" s="5"/>
      <c r="G395" s="5"/>
      <c r="H395" s="5"/>
      <c r="I395" s="2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 x14ac:dyDescent="0.25">
      <c r="A396" s="5"/>
      <c r="B396" s="24"/>
      <c r="C396" s="5"/>
      <c r="D396" s="5"/>
      <c r="E396" s="5"/>
      <c r="F396" s="5"/>
      <c r="G396" s="5"/>
      <c r="H396" s="5"/>
      <c r="I396" s="2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 x14ac:dyDescent="0.25">
      <c r="A397" s="5"/>
      <c r="B397" s="24"/>
      <c r="C397" s="5"/>
      <c r="D397" s="5"/>
      <c r="E397" s="5"/>
      <c r="F397" s="5"/>
      <c r="G397" s="5"/>
      <c r="H397" s="5"/>
      <c r="I397" s="2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 x14ac:dyDescent="0.25">
      <c r="A398" s="5"/>
      <c r="B398" s="24"/>
      <c r="C398" s="5"/>
      <c r="D398" s="5"/>
      <c r="E398" s="5"/>
      <c r="F398" s="5"/>
      <c r="G398" s="5"/>
      <c r="H398" s="5"/>
      <c r="I398" s="2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 x14ac:dyDescent="0.25">
      <c r="A399" s="5"/>
      <c r="B399" s="24"/>
      <c r="C399" s="5"/>
      <c r="D399" s="5"/>
      <c r="E399" s="5"/>
      <c r="F399" s="5"/>
      <c r="G399" s="5"/>
      <c r="H399" s="5"/>
      <c r="I399" s="2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 x14ac:dyDescent="0.25">
      <c r="A400" s="5"/>
      <c r="B400" s="24"/>
      <c r="C400" s="5"/>
      <c r="D400" s="5"/>
      <c r="E400" s="5"/>
      <c r="F400" s="5"/>
      <c r="G400" s="5"/>
      <c r="H400" s="5"/>
      <c r="I400" s="2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 x14ac:dyDescent="0.25">
      <c r="A401" s="5"/>
      <c r="B401" s="24"/>
      <c r="C401" s="5"/>
      <c r="D401" s="5"/>
      <c r="E401" s="5"/>
      <c r="F401" s="5"/>
      <c r="G401" s="5"/>
      <c r="H401" s="5"/>
      <c r="I401" s="2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 x14ac:dyDescent="0.25">
      <c r="A402" s="5"/>
      <c r="B402" s="24"/>
      <c r="C402" s="5"/>
      <c r="D402" s="5"/>
      <c r="E402" s="5"/>
      <c r="F402" s="5"/>
      <c r="G402" s="5"/>
      <c r="H402" s="5"/>
      <c r="I402" s="2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 x14ac:dyDescent="0.25">
      <c r="A403" s="5"/>
      <c r="B403" s="24"/>
      <c r="C403" s="5"/>
      <c r="D403" s="5"/>
      <c r="E403" s="5"/>
      <c r="F403" s="5"/>
      <c r="G403" s="5"/>
      <c r="H403" s="5"/>
      <c r="I403" s="2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 x14ac:dyDescent="0.25">
      <c r="A404" s="5"/>
      <c r="B404" s="24"/>
      <c r="C404" s="5"/>
      <c r="D404" s="5"/>
      <c r="E404" s="5"/>
      <c r="F404" s="5"/>
      <c r="G404" s="5"/>
      <c r="H404" s="5"/>
      <c r="I404" s="2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 x14ac:dyDescent="0.25">
      <c r="A405" s="5"/>
      <c r="B405" s="24"/>
      <c r="C405" s="5"/>
      <c r="D405" s="5"/>
      <c r="E405" s="5"/>
      <c r="F405" s="5"/>
      <c r="G405" s="5"/>
      <c r="H405" s="5"/>
      <c r="I405" s="2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 x14ac:dyDescent="0.25">
      <c r="A406" s="5"/>
      <c r="B406" s="24"/>
      <c r="C406" s="5"/>
      <c r="D406" s="5"/>
      <c r="E406" s="5"/>
      <c r="F406" s="5"/>
      <c r="G406" s="5"/>
      <c r="H406" s="5"/>
      <c r="I406" s="2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 x14ac:dyDescent="0.25">
      <c r="A407" s="5"/>
      <c r="B407" s="24"/>
      <c r="C407" s="5"/>
      <c r="D407" s="5"/>
      <c r="E407" s="5"/>
      <c r="F407" s="5"/>
      <c r="G407" s="5"/>
      <c r="H407" s="5"/>
      <c r="I407" s="2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 x14ac:dyDescent="0.25">
      <c r="A408" s="5"/>
      <c r="B408" s="24"/>
      <c r="C408" s="5"/>
      <c r="D408" s="5"/>
      <c r="E408" s="5"/>
      <c r="F408" s="5"/>
      <c r="G408" s="5"/>
      <c r="H408" s="5"/>
      <c r="I408" s="2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 x14ac:dyDescent="0.25">
      <c r="A409" s="5"/>
      <c r="B409" s="24"/>
      <c r="C409" s="5"/>
      <c r="D409" s="5"/>
      <c r="E409" s="5"/>
      <c r="F409" s="5"/>
      <c r="G409" s="5"/>
      <c r="H409" s="5"/>
      <c r="I409" s="2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 x14ac:dyDescent="0.25">
      <c r="A410" s="5"/>
      <c r="B410" s="24"/>
      <c r="C410" s="5"/>
      <c r="D410" s="5"/>
      <c r="E410" s="5"/>
      <c r="F410" s="5"/>
      <c r="G410" s="5"/>
      <c r="H410" s="5"/>
      <c r="I410" s="2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 x14ac:dyDescent="0.25">
      <c r="A411" s="5"/>
      <c r="B411" s="24"/>
      <c r="C411" s="5"/>
      <c r="D411" s="5"/>
      <c r="E411" s="5"/>
      <c r="F411" s="5"/>
      <c r="G411" s="5"/>
      <c r="H411" s="5"/>
      <c r="I411" s="2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 x14ac:dyDescent="0.25">
      <c r="A412" s="5"/>
      <c r="B412" s="24"/>
      <c r="C412" s="5"/>
      <c r="D412" s="5"/>
      <c r="E412" s="5"/>
      <c r="F412" s="5"/>
      <c r="G412" s="5"/>
      <c r="H412" s="5"/>
      <c r="I412" s="2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 x14ac:dyDescent="0.25">
      <c r="A413" s="5"/>
      <c r="B413" s="24"/>
      <c r="C413" s="5"/>
      <c r="D413" s="5"/>
      <c r="E413" s="5"/>
      <c r="F413" s="5"/>
      <c r="G413" s="5"/>
      <c r="H413" s="5"/>
      <c r="I413" s="2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 x14ac:dyDescent="0.25">
      <c r="A414" s="5"/>
      <c r="B414" s="24"/>
      <c r="C414" s="5"/>
      <c r="D414" s="5"/>
      <c r="E414" s="5"/>
      <c r="F414" s="5"/>
      <c r="G414" s="5"/>
      <c r="H414" s="5"/>
      <c r="I414" s="2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 x14ac:dyDescent="0.25">
      <c r="A415" s="5"/>
      <c r="B415" s="24"/>
      <c r="C415" s="5"/>
      <c r="D415" s="5"/>
      <c r="E415" s="5"/>
      <c r="F415" s="5"/>
      <c r="G415" s="5"/>
      <c r="H415" s="5"/>
      <c r="I415" s="2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 x14ac:dyDescent="0.25">
      <c r="A416" s="5"/>
      <c r="B416" s="24"/>
      <c r="C416" s="5"/>
      <c r="D416" s="5"/>
      <c r="E416" s="5"/>
      <c r="F416" s="5"/>
      <c r="G416" s="5"/>
      <c r="H416" s="5"/>
      <c r="I416" s="2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 x14ac:dyDescent="0.25">
      <c r="A417" s="5"/>
      <c r="B417" s="24"/>
      <c r="C417" s="5"/>
      <c r="D417" s="5"/>
      <c r="E417" s="5"/>
      <c r="F417" s="5"/>
      <c r="G417" s="5"/>
      <c r="H417" s="5"/>
      <c r="I417" s="2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 x14ac:dyDescent="0.25">
      <c r="A418" s="5"/>
      <c r="B418" s="24"/>
      <c r="C418" s="5"/>
      <c r="D418" s="5"/>
      <c r="E418" s="5"/>
      <c r="F418" s="5"/>
      <c r="G418" s="5"/>
      <c r="H418" s="5"/>
      <c r="I418" s="2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 x14ac:dyDescent="0.25">
      <c r="A419" s="5"/>
      <c r="B419" s="24"/>
      <c r="C419" s="5"/>
      <c r="D419" s="5"/>
      <c r="E419" s="5"/>
      <c r="F419" s="5"/>
      <c r="G419" s="5"/>
      <c r="H419" s="5"/>
      <c r="I419" s="2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 x14ac:dyDescent="0.25">
      <c r="A420" s="5"/>
      <c r="B420" s="24"/>
      <c r="C420" s="5"/>
      <c r="D420" s="5"/>
      <c r="E420" s="5"/>
      <c r="F420" s="5"/>
      <c r="G420" s="5"/>
      <c r="H420" s="5"/>
      <c r="I420" s="2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 x14ac:dyDescent="0.25">
      <c r="A421" s="5"/>
      <c r="B421" s="24"/>
      <c r="C421" s="5"/>
      <c r="D421" s="5"/>
      <c r="E421" s="5"/>
      <c r="F421" s="5"/>
      <c r="G421" s="5"/>
      <c r="H421" s="5"/>
      <c r="I421" s="2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 x14ac:dyDescent="0.25">
      <c r="A422" s="5"/>
      <c r="B422" s="24"/>
      <c r="C422" s="5"/>
      <c r="D422" s="5"/>
      <c r="E422" s="5"/>
      <c r="F422" s="5"/>
      <c r="G422" s="5"/>
      <c r="H422" s="5"/>
      <c r="I422" s="2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 x14ac:dyDescent="0.25">
      <c r="A423" s="5"/>
      <c r="B423" s="24"/>
      <c r="C423" s="5"/>
      <c r="D423" s="5"/>
      <c r="E423" s="5"/>
      <c r="F423" s="5"/>
      <c r="G423" s="5"/>
      <c r="H423" s="5"/>
      <c r="I423" s="2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 x14ac:dyDescent="0.25">
      <c r="A424" s="5"/>
      <c r="B424" s="24"/>
      <c r="C424" s="5"/>
      <c r="D424" s="5"/>
      <c r="E424" s="5"/>
      <c r="F424" s="5"/>
      <c r="G424" s="5"/>
      <c r="H424" s="5"/>
      <c r="I424" s="2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 x14ac:dyDescent="0.25">
      <c r="A425" s="5"/>
      <c r="B425" s="24"/>
      <c r="C425" s="5"/>
      <c r="D425" s="5"/>
      <c r="E425" s="5"/>
      <c r="F425" s="5"/>
      <c r="G425" s="5"/>
      <c r="H425" s="5"/>
      <c r="I425" s="2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 x14ac:dyDescent="0.25">
      <c r="A426" s="5"/>
      <c r="B426" s="24"/>
      <c r="C426" s="5"/>
      <c r="D426" s="5"/>
      <c r="E426" s="5"/>
      <c r="F426" s="5"/>
      <c r="G426" s="5"/>
      <c r="H426" s="5"/>
      <c r="I426" s="2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 x14ac:dyDescent="0.25">
      <c r="A427" s="5"/>
      <c r="B427" s="24"/>
      <c r="C427" s="5"/>
      <c r="D427" s="5"/>
      <c r="E427" s="5"/>
      <c r="F427" s="5"/>
      <c r="G427" s="5"/>
      <c r="H427" s="5"/>
      <c r="I427" s="2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 x14ac:dyDescent="0.25">
      <c r="A428" s="5"/>
      <c r="B428" s="24"/>
      <c r="C428" s="5"/>
      <c r="D428" s="5"/>
      <c r="E428" s="5"/>
      <c r="F428" s="5"/>
      <c r="G428" s="5"/>
      <c r="H428" s="5"/>
      <c r="I428" s="2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 x14ac:dyDescent="0.25">
      <c r="A429" s="5"/>
      <c r="B429" s="24"/>
      <c r="C429" s="5"/>
      <c r="D429" s="5"/>
      <c r="E429" s="5"/>
      <c r="F429" s="5"/>
      <c r="G429" s="5"/>
      <c r="H429" s="5"/>
      <c r="I429" s="2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 x14ac:dyDescent="0.25">
      <c r="A430" s="5"/>
      <c r="B430" s="24"/>
      <c r="C430" s="5"/>
      <c r="D430" s="5"/>
      <c r="E430" s="5"/>
      <c r="F430" s="5"/>
      <c r="G430" s="5"/>
      <c r="H430" s="5"/>
      <c r="I430" s="2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 x14ac:dyDescent="0.25">
      <c r="A431" s="5"/>
      <c r="B431" s="24"/>
      <c r="C431" s="5"/>
      <c r="D431" s="5"/>
      <c r="E431" s="5"/>
      <c r="F431" s="5"/>
      <c r="G431" s="5"/>
      <c r="H431" s="5"/>
      <c r="I431" s="2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 x14ac:dyDescent="0.25">
      <c r="A432" s="5"/>
      <c r="B432" s="24"/>
      <c r="C432" s="5"/>
      <c r="D432" s="5"/>
      <c r="E432" s="5"/>
      <c r="F432" s="5"/>
      <c r="G432" s="5"/>
      <c r="H432" s="5"/>
      <c r="I432" s="2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 x14ac:dyDescent="0.25">
      <c r="A433" s="5"/>
      <c r="B433" s="24"/>
      <c r="C433" s="5"/>
      <c r="D433" s="5"/>
      <c r="E433" s="5"/>
      <c r="F433" s="5"/>
      <c r="G433" s="5"/>
      <c r="H433" s="5"/>
      <c r="I433" s="2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 x14ac:dyDescent="0.25">
      <c r="A434" s="5"/>
      <c r="B434" s="24"/>
      <c r="C434" s="5"/>
      <c r="D434" s="5"/>
      <c r="E434" s="5"/>
      <c r="F434" s="5"/>
      <c r="G434" s="5"/>
      <c r="H434" s="5"/>
      <c r="I434" s="2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 x14ac:dyDescent="0.25">
      <c r="A435" s="5"/>
      <c r="B435" s="24"/>
      <c r="C435" s="5"/>
      <c r="D435" s="5"/>
      <c r="E435" s="5"/>
      <c r="F435" s="5"/>
      <c r="G435" s="5"/>
      <c r="H435" s="5"/>
      <c r="I435" s="2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 x14ac:dyDescent="0.25">
      <c r="A436" s="5"/>
      <c r="B436" s="24"/>
      <c r="C436" s="5"/>
      <c r="D436" s="5"/>
      <c r="E436" s="5"/>
      <c r="F436" s="5"/>
      <c r="G436" s="5"/>
      <c r="H436" s="5"/>
      <c r="I436" s="2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 x14ac:dyDescent="0.25">
      <c r="A437" s="5"/>
      <c r="B437" s="24"/>
      <c r="C437" s="5"/>
      <c r="D437" s="5"/>
      <c r="E437" s="5"/>
      <c r="F437" s="5"/>
      <c r="G437" s="5"/>
      <c r="H437" s="5"/>
      <c r="I437" s="2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 x14ac:dyDescent="0.25">
      <c r="A438" s="5"/>
      <c r="B438" s="24"/>
      <c r="C438" s="5"/>
      <c r="D438" s="5"/>
      <c r="E438" s="5"/>
      <c r="F438" s="5"/>
      <c r="G438" s="5"/>
      <c r="H438" s="5"/>
      <c r="I438" s="2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 x14ac:dyDescent="0.25">
      <c r="A439" s="5"/>
      <c r="B439" s="24"/>
      <c r="C439" s="5"/>
      <c r="D439" s="5"/>
      <c r="E439" s="5"/>
      <c r="F439" s="5"/>
      <c r="G439" s="5"/>
      <c r="H439" s="5"/>
      <c r="I439" s="2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 x14ac:dyDescent="0.25">
      <c r="A440" s="5"/>
      <c r="B440" s="24"/>
      <c r="C440" s="5"/>
      <c r="D440" s="5"/>
      <c r="E440" s="5"/>
      <c r="F440" s="5"/>
      <c r="G440" s="5"/>
      <c r="H440" s="5"/>
      <c r="I440" s="2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 x14ac:dyDescent="0.25">
      <c r="A441" s="5"/>
      <c r="B441" s="24"/>
      <c r="C441" s="5"/>
      <c r="D441" s="5"/>
      <c r="E441" s="5"/>
      <c r="F441" s="5"/>
      <c r="G441" s="5"/>
      <c r="H441" s="5"/>
      <c r="I441" s="2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 x14ac:dyDescent="0.25">
      <c r="A442" s="5"/>
      <c r="B442" s="24"/>
      <c r="C442" s="5"/>
      <c r="D442" s="5"/>
      <c r="E442" s="5"/>
      <c r="F442" s="5"/>
      <c r="G442" s="5"/>
      <c r="H442" s="5"/>
      <c r="I442" s="2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 x14ac:dyDescent="0.25">
      <c r="A443" s="5"/>
      <c r="B443" s="24"/>
      <c r="C443" s="5"/>
      <c r="D443" s="5"/>
      <c r="E443" s="5"/>
      <c r="F443" s="5"/>
      <c r="G443" s="5"/>
      <c r="H443" s="5"/>
      <c r="I443" s="2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 x14ac:dyDescent="0.25">
      <c r="A444" s="5"/>
      <c r="B444" s="24"/>
      <c r="C444" s="5"/>
      <c r="D444" s="5"/>
      <c r="E444" s="5"/>
      <c r="F444" s="5"/>
      <c r="G444" s="5"/>
      <c r="H444" s="5"/>
      <c r="I444" s="2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 x14ac:dyDescent="0.25">
      <c r="A445" s="5"/>
      <c r="B445" s="24"/>
      <c r="C445" s="5"/>
      <c r="D445" s="5"/>
      <c r="E445" s="5"/>
      <c r="F445" s="5"/>
      <c r="G445" s="5"/>
      <c r="H445" s="5"/>
      <c r="I445" s="2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 x14ac:dyDescent="0.25">
      <c r="A446" s="5"/>
      <c r="B446" s="24"/>
      <c r="C446" s="5"/>
      <c r="D446" s="5"/>
      <c r="E446" s="5"/>
      <c r="F446" s="5"/>
      <c r="G446" s="5"/>
      <c r="H446" s="5"/>
      <c r="I446" s="2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 x14ac:dyDescent="0.25">
      <c r="A447" s="5"/>
      <c r="B447" s="24"/>
      <c r="C447" s="5"/>
      <c r="D447" s="5"/>
      <c r="E447" s="5"/>
      <c r="F447" s="5"/>
      <c r="G447" s="5"/>
      <c r="H447" s="5"/>
      <c r="I447" s="2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 x14ac:dyDescent="0.25">
      <c r="A448" s="5"/>
      <c r="B448" s="24"/>
      <c r="C448" s="5"/>
      <c r="D448" s="5"/>
      <c r="E448" s="5"/>
      <c r="F448" s="5"/>
      <c r="G448" s="5"/>
      <c r="H448" s="5"/>
      <c r="I448" s="2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 x14ac:dyDescent="0.25">
      <c r="A449" s="5"/>
      <c r="B449" s="24"/>
      <c r="C449" s="5"/>
      <c r="D449" s="5"/>
      <c r="E449" s="5"/>
      <c r="F449" s="5"/>
      <c r="G449" s="5"/>
      <c r="H449" s="5"/>
      <c r="I449" s="2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 x14ac:dyDescent="0.25">
      <c r="A450" s="5"/>
      <c r="B450" s="24"/>
      <c r="C450" s="5"/>
      <c r="D450" s="5"/>
      <c r="E450" s="5"/>
      <c r="F450" s="5"/>
      <c r="G450" s="5"/>
      <c r="H450" s="5"/>
      <c r="I450" s="2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 x14ac:dyDescent="0.25">
      <c r="A451" s="5"/>
      <c r="B451" s="24"/>
      <c r="C451" s="5"/>
      <c r="D451" s="5"/>
      <c r="E451" s="5"/>
      <c r="F451" s="5"/>
      <c r="G451" s="5"/>
      <c r="H451" s="5"/>
      <c r="I451" s="2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 x14ac:dyDescent="0.25">
      <c r="A452" s="5"/>
      <c r="B452" s="24"/>
      <c r="C452" s="5"/>
      <c r="D452" s="5"/>
      <c r="E452" s="5"/>
      <c r="F452" s="5"/>
      <c r="G452" s="5"/>
      <c r="H452" s="5"/>
      <c r="I452" s="2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 x14ac:dyDescent="0.25">
      <c r="A453" s="5"/>
      <c r="B453" s="24"/>
      <c r="C453" s="5"/>
      <c r="D453" s="5"/>
      <c r="E453" s="5"/>
      <c r="F453" s="5"/>
      <c r="G453" s="5"/>
      <c r="H453" s="5"/>
      <c r="I453" s="2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 x14ac:dyDescent="0.25">
      <c r="A454" s="5"/>
      <c r="B454" s="24"/>
      <c r="C454" s="5"/>
      <c r="D454" s="5"/>
      <c r="E454" s="5"/>
      <c r="F454" s="5"/>
      <c r="G454" s="5"/>
      <c r="H454" s="5"/>
      <c r="I454" s="2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 x14ac:dyDescent="0.25">
      <c r="A455" s="5"/>
      <c r="B455" s="24"/>
      <c r="C455" s="5"/>
      <c r="D455" s="5"/>
      <c r="E455" s="5"/>
      <c r="F455" s="5"/>
      <c r="G455" s="5"/>
      <c r="H455" s="5"/>
      <c r="I455" s="2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 x14ac:dyDescent="0.25">
      <c r="A456" s="5"/>
      <c r="B456" s="24"/>
      <c r="C456" s="5"/>
      <c r="D456" s="5"/>
      <c r="E456" s="5"/>
      <c r="F456" s="5"/>
      <c r="G456" s="5"/>
      <c r="H456" s="5"/>
      <c r="I456" s="2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 x14ac:dyDescent="0.25">
      <c r="A457" s="5"/>
      <c r="B457" s="24"/>
      <c r="C457" s="5"/>
      <c r="D457" s="5"/>
      <c r="E457" s="5"/>
      <c r="F457" s="5"/>
      <c r="G457" s="5"/>
      <c r="H457" s="5"/>
      <c r="I457" s="2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 x14ac:dyDescent="0.25">
      <c r="A458" s="5"/>
      <c r="B458" s="24"/>
      <c r="C458" s="5"/>
      <c r="D458" s="5"/>
      <c r="E458" s="5"/>
      <c r="F458" s="5"/>
      <c r="G458" s="5"/>
      <c r="H458" s="5"/>
      <c r="I458" s="2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 x14ac:dyDescent="0.25">
      <c r="A459" s="5"/>
      <c r="B459" s="24"/>
      <c r="C459" s="5"/>
      <c r="D459" s="5"/>
      <c r="E459" s="5"/>
      <c r="F459" s="5"/>
      <c r="G459" s="5"/>
      <c r="H459" s="5"/>
      <c r="I459" s="2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 x14ac:dyDescent="0.25">
      <c r="A460" s="5"/>
      <c r="B460" s="24"/>
      <c r="C460" s="5"/>
      <c r="D460" s="5"/>
      <c r="E460" s="5"/>
      <c r="F460" s="5"/>
      <c r="G460" s="5"/>
      <c r="H460" s="5"/>
      <c r="I460" s="2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 x14ac:dyDescent="0.25">
      <c r="A461" s="5"/>
      <c r="B461" s="24"/>
      <c r="C461" s="5"/>
      <c r="D461" s="5"/>
      <c r="E461" s="5"/>
      <c r="F461" s="5"/>
      <c r="G461" s="5"/>
      <c r="H461" s="5"/>
      <c r="I461" s="2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 x14ac:dyDescent="0.25">
      <c r="A462" s="5"/>
      <c r="B462" s="24"/>
      <c r="C462" s="5"/>
      <c r="D462" s="5"/>
      <c r="E462" s="5"/>
      <c r="F462" s="5"/>
      <c r="G462" s="5"/>
      <c r="H462" s="5"/>
      <c r="I462" s="2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 x14ac:dyDescent="0.25">
      <c r="A463" s="5"/>
      <c r="B463" s="24"/>
      <c r="C463" s="5"/>
      <c r="D463" s="5"/>
      <c r="E463" s="5"/>
      <c r="F463" s="5"/>
      <c r="G463" s="5"/>
      <c r="H463" s="5"/>
      <c r="I463" s="2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 x14ac:dyDescent="0.25">
      <c r="A464" s="5"/>
      <c r="B464" s="24"/>
      <c r="C464" s="5"/>
      <c r="D464" s="5"/>
      <c r="E464" s="5"/>
      <c r="F464" s="5"/>
      <c r="G464" s="5"/>
      <c r="H464" s="5"/>
      <c r="I464" s="2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 x14ac:dyDescent="0.25">
      <c r="A465" s="5"/>
      <c r="B465" s="24"/>
      <c r="C465" s="5"/>
      <c r="D465" s="5"/>
      <c r="E465" s="5"/>
      <c r="F465" s="5"/>
      <c r="G465" s="5"/>
      <c r="H465" s="5"/>
      <c r="I465" s="2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 x14ac:dyDescent="0.25">
      <c r="A466" s="5"/>
      <c r="B466" s="24"/>
      <c r="C466" s="5"/>
      <c r="D466" s="5"/>
      <c r="E466" s="5"/>
      <c r="F466" s="5"/>
      <c r="G466" s="5"/>
      <c r="H466" s="5"/>
      <c r="I466" s="2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 x14ac:dyDescent="0.25">
      <c r="A467" s="5"/>
      <c r="B467" s="24"/>
      <c r="C467" s="5"/>
      <c r="D467" s="5"/>
      <c r="E467" s="5"/>
      <c r="F467" s="5"/>
      <c r="G467" s="5"/>
      <c r="H467" s="5"/>
      <c r="I467" s="2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 x14ac:dyDescent="0.25">
      <c r="A468" s="5"/>
      <c r="B468" s="24"/>
      <c r="C468" s="5"/>
      <c r="D468" s="5"/>
      <c r="E468" s="5"/>
      <c r="F468" s="5"/>
      <c r="G468" s="5"/>
      <c r="H468" s="5"/>
      <c r="I468" s="2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 x14ac:dyDescent="0.25">
      <c r="A469" s="5"/>
      <c r="B469" s="24"/>
      <c r="C469" s="5"/>
      <c r="D469" s="5"/>
      <c r="E469" s="5"/>
      <c r="F469" s="5"/>
      <c r="G469" s="5"/>
      <c r="H469" s="5"/>
      <c r="I469" s="2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 x14ac:dyDescent="0.25">
      <c r="A470" s="5"/>
      <c r="B470" s="24"/>
      <c r="C470" s="5"/>
      <c r="D470" s="5"/>
      <c r="E470" s="5"/>
      <c r="F470" s="5"/>
      <c r="G470" s="5"/>
      <c r="H470" s="5"/>
      <c r="I470" s="2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 x14ac:dyDescent="0.25">
      <c r="A471" s="5"/>
      <c r="B471" s="24"/>
      <c r="C471" s="5"/>
      <c r="D471" s="5"/>
      <c r="E471" s="5"/>
      <c r="F471" s="5"/>
      <c r="G471" s="5"/>
      <c r="H471" s="5"/>
      <c r="I471" s="2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 x14ac:dyDescent="0.25">
      <c r="A472" s="5"/>
      <c r="B472" s="24"/>
      <c r="C472" s="5"/>
      <c r="D472" s="5"/>
      <c r="E472" s="5"/>
      <c r="F472" s="5"/>
      <c r="G472" s="5"/>
      <c r="H472" s="5"/>
      <c r="I472" s="2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 x14ac:dyDescent="0.25">
      <c r="A473" s="5"/>
      <c r="B473" s="24"/>
      <c r="C473" s="5"/>
      <c r="D473" s="5"/>
      <c r="E473" s="5"/>
      <c r="F473" s="5"/>
      <c r="G473" s="5"/>
      <c r="H473" s="5"/>
      <c r="I473" s="2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 x14ac:dyDescent="0.25">
      <c r="A474" s="5"/>
      <c r="B474" s="24"/>
      <c r="C474" s="5"/>
      <c r="D474" s="5"/>
      <c r="E474" s="5"/>
      <c r="F474" s="5"/>
      <c r="G474" s="5"/>
      <c r="H474" s="5"/>
      <c r="I474" s="2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 x14ac:dyDescent="0.25">
      <c r="A475" s="5"/>
      <c r="B475" s="24"/>
      <c r="C475" s="5"/>
      <c r="D475" s="5"/>
      <c r="E475" s="5"/>
      <c r="F475" s="5"/>
      <c r="G475" s="5"/>
      <c r="H475" s="5"/>
      <c r="I475" s="2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 x14ac:dyDescent="0.25">
      <c r="A476" s="5"/>
      <c r="B476" s="24"/>
      <c r="C476" s="5"/>
      <c r="D476" s="5"/>
      <c r="E476" s="5"/>
      <c r="F476" s="5"/>
      <c r="G476" s="5"/>
      <c r="H476" s="5"/>
      <c r="I476" s="2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 x14ac:dyDescent="0.25">
      <c r="A477" s="5"/>
      <c r="B477" s="24"/>
      <c r="C477" s="5"/>
      <c r="D477" s="5"/>
      <c r="E477" s="5"/>
      <c r="F477" s="5"/>
      <c r="G477" s="5"/>
      <c r="H477" s="5"/>
      <c r="I477" s="2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 x14ac:dyDescent="0.25">
      <c r="A478" s="5"/>
      <c r="B478" s="24"/>
      <c r="C478" s="5"/>
      <c r="D478" s="5"/>
      <c r="E478" s="5"/>
      <c r="F478" s="5"/>
      <c r="G478" s="5"/>
      <c r="H478" s="5"/>
      <c r="I478" s="2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 x14ac:dyDescent="0.25">
      <c r="A479" s="5"/>
      <c r="B479" s="24"/>
      <c r="C479" s="5"/>
      <c r="D479" s="5"/>
      <c r="E479" s="5"/>
      <c r="F479" s="5"/>
      <c r="G479" s="5"/>
      <c r="H479" s="5"/>
      <c r="I479" s="2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 x14ac:dyDescent="0.25">
      <c r="A480" s="5"/>
      <c r="B480" s="24"/>
      <c r="C480" s="5"/>
      <c r="D480" s="5"/>
      <c r="E480" s="5"/>
      <c r="F480" s="5"/>
      <c r="G480" s="5"/>
      <c r="H480" s="5"/>
      <c r="I480" s="2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 x14ac:dyDescent="0.25">
      <c r="A481" s="5"/>
      <c r="B481" s="24"/>
      <c r="C481" s="5"/>
      <c r="D481" s="5"/>
      <c r="E481" s="5"/>
      <c r="F481" s="5"/>
      <c r="G481" s="5"/>
      <c r="H481" s="5"/>
      <c r="I481" s="2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 x14ac:dyDescent="0.25">
      <c r="A482" s="5"/>
      <c r="B482" s="24"/>
      <c r="C482" s="5"/>
      <c r="D482" s="5"/>
      <c r="E482" s="5"/>
      <c r="F482" s="5"/>
      <c r="G482" s="5"/>
      <c r="H482" s="5"/>
      <c r="I482" s="2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 x14ac:dyDescent="0.25">
      <c r="A483" s="5"/>
      <c r="B483" s="24"/>
      <c r="C483" s="5"/>
      <c r="D483" s="5"/>
      <c r="E483" s="5"/>
      <c r="F483" s="5"/>
      <c r="G483" s="5"/>
      <c r="H483" s="5"/>
      <c r="I483" s="2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 x14ac:dyDescent="0.25">
      <c r="A484" s="5"/>
      <c r="B484" s="24"/>
      <c r="C484" s="5"/>
      <c r="D484" s="5"/>
      <c r="E484" s="5"/>
      <c r="F484" s="5"/>
      <c r="G484" s="5"/>
      <c r="H484" s="5"/>
      <c r="I484" s="2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 x14ac:dyDescent="0.25">
      <c r="A485" s="5"/>
      <c r="B485" s="24"/>
      <c r="C485" s="5"/>
      <c r="D485" s="5"/>
      <c r="E485" s="5"/>
      <c r="F485" s="5"/>
      <c r="G485" s="5"/>
      <c r="H485" s="5"/>
      <c r="I485" s="2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 x14ac:dyDescent="0.25">
      <c r="A486" s="5"/>
      <c r="B486" s="24"/>
      <c r="C486" s="5"/>
      <c r="D486" s="5"/>
      <c r="E486" s="5"/>
      <c r="F486" s="5"/>
      <c r="G486" s="5"/>
      <c r="H486" s="5"/>
      <c r="I486" s="2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 x14ac:dyDescent="0.25">
      <c r="A487" s="5"/>
      <c r="B487" s="24"/>
      <c r="C487" s="5"/>
      <c r="D487" s="5"/>
      <c r="E487" s="5"/>
      <c r="F487" s="5"/>
      <c r="G487" s="5"/>
      <c r="H487" s="5"/>
      <c r="I487" s="2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 x14ac:dyDescent="0.25">
      <c r="A488" s="5"/>
      <c r="B488" s="24"/>
      <c r="C488" s="5"/>
      <c r="D488" s="5"/>
      <c r="E488" s="5"/>
      <c r="F488" s="5"/>
      <c r="G488" s="5"/>
      <c r="H488" s="5"/>
      <c r="I488" s="2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 x14ac:dyDescent="0.25">
      <c r="A489" s="5"/>
      <c r="B489" s="24"/>
      <c r="C489" s="5"/>
      <c r="D489" s="5"/>
      <c r="E489" s="5"/>
      <c r="F489" s="5"/>
      <c r="G489" s="5"/>
      <c r="H489" s="5"/>
      <c r="I489" s="2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 x14ac:dyDescent="0.25">
      <c r="A490" s="5"/>
      <c r="B490" s="24"/>
      <c r="C490" s="5"/>
      <c r="D490" s="5"/>
      <c r="E490" s="5"/>
      <c r="F490" s="5"/>
      <c r="G490" s="5"/>
      <c r="H490" s="5"/>
      <c r="I490" s="2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 x14ac:dyDescent="0.25">
      <c r="A491" s="5"/>
      <c r="B491" s="24"/>
      <c r="C491" s="5"/>
      <c r="D491" s="5"/>
      <c r="E491" s="5"/>
      <c r="F491" s="5"/>
      <c r="G491" s="5"/>
      <c r="H491" s="5"/>
      <c r="I491" s="2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 x14ac:dyDescent="0.25">
      <c r="A492" s="5"/>
      <c r="B492" s="24"/>
      <c r="C492" s="5"/>
      <c r="D492" s="5"/>
      <c r="E492" s="5"/>
      <c r="F492" s="5"/>
      <c r="G492" s="5"/>
      <c r="H492" s="5"/>
      <c r="I492" s="2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 x14ac:dyDescent="0.25">
      <c r="A493" s="5"/>
      <c r="B493" s="24"/>
      <c r="C493" s="5"/>
      <c r="D493" s="5"/>
      <c r="E493" s="5"/>
      <c r="F493" s="5"/>
      <c r="G493" s="5"/>
      <c r="H493" s="5"/>
      <c r="I493" s="2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 x14ac:dyDescent="0.25">
      <c r="A494" s="5"/>
      <c r="B494" s="24"/>
      <c r="C494" s="5"/>
      <c r="D494" s="5"/>
      <c r="E494" s="5"/>
      <c r="F494" s="5"/>
      <c r="G494" s="5"/>
      <c r="H494" s="5"/>
      <c r="I494" s="2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 x14ac:dyDescent="0.25">
      <c r="A495" s="5"/>
      <c r="B495" s="24"/>
      <c r="C495" s="5"/>
      <c r="D495" s="5"/>
      <c r="E495" s="5"/>
      <c r="F495" s="5"/>
      <c r="G495" s="5"/>
      <c r="H495" s="5"/>
      <c r="I495" s="2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 x14ac:dyDescent="0.25">
      <c r="A496" s="5"/>
      <c r="B496" s="24"/>
      <c r="C496" s="5"/>
      <c r="D496" s="5"/>
      <c r="E496" s="5"/>
      <c r="F496" s="5"/>
      <c r="G496" s="5"/>
      <c r="H496" s="5"/>
      <c r="I496" s="2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 x14ac:dyDescent="0.25">
      <c r="A497" s="5"/>
      <c r="B497" s="24"/>
      <c r="C497" s="5"/>
      <c r="D497" s="5"/>
      <c r="E497" s="5"/>
      <c r="F497" s="5"/>
      <c r="G497" s="5"/>
      <c r="H497" s="5"/>
      <c r="I497" s="2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 x14ac:dyDescent="0.25">
      <c r="A498" s="5"/>
      <c r="B498" s="24"/>
      <c r="C498" s="5"/>
      <c r="D498" s="5"/>
      <c r="E498" s="5"/>
      <c r="F498" s="5"/>
      <c r="G498" s="5"/>
      <c r="H498" s="5"/>
      <c r="I498" s="2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 x14ac:dyDescent="0.25">
      <c r="A499" s="5"/>
      <c r="B499" s="24"/>
      <c r="C499" s="5"/>
      <c r="D499" s="5"/>
      <c r="E499" s="5"/>
      <c r="F499" s="5"/>
      <c r="G499" s="5"/>
      <c r="H499" s="5"/>
      <c r="I499" s="2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 x14ac:dyDescent="0.25">
      <c r="A500" s="5"/>
      <c r="B500" s="24"/>
      <c r="C500" s="5"/>
      <c r="D500" s="5"/>
      <c r="E500" s="5"/>
      <c r="F500" s="5"/>
      <c r="G500" s="5"/>
      <c r="H500" s="5"/>
      <c r="I500" s="2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 x14ac:dyDescent="0.25">
      <c r="A501" s="5"/>
      <c r="B501" s="24"/>
      <c r="C501" s="5"/>
      <c r="D501" s="5"/>
      <c r="E501" s="5"/>
      <c r="F501" s="5"/>
      <c r="G501" s="5"/>
      <c r="H501" s="5"/>
      <c r="I501" s="2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 x14ac:dyDescent="0.25">
      <c r="A502" s="5"/>
      <c r="B502" s="24"/>
      <c r="C502" s="5"/>
      <c r="D502" s="5"/>
      <c r="E502" s="5"/>
      <c r="F502" s="5"/>
      <c r="G502" s="5"/>
      <c r="H502" s="5"/>
      <c r="I502" s="2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 x14ac:dyDescent="0.25">
      <c r="A503" s="5"/>
      <c r="B503" s="24"/>
      <c r="C503" s="5"/>
      <c r="D503" s="5"/>
      <c r="E503" s="5"/>
      <c r="F503" s="5"/>
      <c r="G503" s="5"/>
      <c r="H503" s="5"/>
      <c r="I503" s="2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 x14ac:dyDescent="0.25">
      <c r="A504" s="5"/>
      <c r="B504" s="24"/>
      <c r="C504" s="5"/>
      <c r="D504" s="5"/>
      <c r="E504" s="5"/>
      <c r="F504" s="5"/>
      <c r="G504" s="5"/>
      <c r="H504" s="5"/>
      <c r="I504" s="2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 x14ac:dyDescent="0.25">
      <c r="A505" s="5"/>
      <c r="B505" s="24"/>
      <c r="C505" s="5"/>
      <c r="D505" s="5"/>
      <c r="E505" s="5"/>
      <c r="F505" s="5"/>
      <c r="G505" s="5"/>
      <c r="H505" s="5"/>
      <c r="I505" s="2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 x14ac:dyDescent="0.25">
      <c r="A506" s="5"/>
      <c r="B506" s="24"/>
      <c r="C506" s="5"/>
      <c r="D506" s="5"/>
      <c r="E506" s="5"/>
      <c r="F506" s="5"/>
      <c r="G506" s="5"/>
      <c r="H506" s="5"/>
      <c r="I506" s="2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 x14ac:dyDescent="0.25">
      <c r="A507" s="5"/>
      <c r="B507" s="24"/>
      <c r="C507" s="5"/>
      <c r="D507" s="5"/>
      <c r="E507" s="5"/>
      <c r="F507" s="5"/>
      <c r="G507" s="5"/>
      <c r="H507" s="5"/>
      <c r="I507" s="2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 x14ac:dyDescent="0.25">
      <c r="A508" s="5"/>
      <c r="B508" s="24"/>
      <c r="C508" s="5"/>
      <c r="D508" s="5"/>
      <c r="E508" s="5"/>
      <c r="F508" s="5"/>
      <c r="G508" s="5"/>
      <c r="H508" s="5"/>
      <c r="I508" s="2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 x14ac:dyDescent="0.25">
      <c r="A509" s="5"/>
      <c r="B509" s="24"/>
      <c r="C509" s="5"/>
      <c r="D509" s="5"/>
      <c r="E509" s="5"/>
      <c r="F509" s="5"/>
      <c r="G509" s="5"/>
      <c r="H509" s="5"/>
      <c r="I509" s="2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 x14ac:dyDescent="0.25">
      <c r="A510" s="5"/>
      <c r="B510" s="24"/>
      <c r="C510" s="5"/>
      <c r="D510" s="5"/>
      <c r="E510" s="5"/>
      <c r="F510" s="5"/>
      <c r="G510" s="5"/>
      <c r="H510" s="5"/>
      <c r="I510" s="2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 x14ac:dyDescent="0.25">
      <c r="A511" s="5"/>
      <c r="B511" s="24"/>
      <c r="C511" s="5"/>
      <c r="D511" s="5"/>
      <c r="E511" s="5"/>
      <c r="F511" s="5"/>
      <c r="G511" s="5"/>
      <c r="H511" s="5"/>
      <c r="I511" s="2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 x14ac:dyDescent="0.25">
      <c r="A512" s="5"/>
      <c r="B512" s="24"/>
      <c r="C512" s="5"/>
      <c r="D512" s="5"/>
      <c r="E512" s="5"/>
      <c r="F512" s="5"/>
      <c r="G512" s="5"/>
      <c r="H512" s="5"/>
      <c r="I512" s="2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 x14ac:dyDescent="0.25">
      <c r="A513" s="5"/>
      <c r="B513" s="24"/>
      <c r="C513" s="5"/>
      <c r="D513" s="5"/>
      <c r="E513" s="5"/>
      <c r="F513" s="5"/>
      <c r="G513" s="5"/>
      <c r="H513" s="5"/>
      <c r="I513" s="2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 x14ac:dyDescent="0.25">
      <c r="A514" s="5"/>
      <c r="B514" s="24"/>
      <c r="C514" s="5"/>
      <c r="D514" s="5"/>
      <c r="E514" s="5"/>
      <c r="F514" s="5"/>
      <c r="G514" s="5"/>
      <c r="H514" s="5"/>
      <c r="I514" s="2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 x14ac:dyDescent="0.25">
      <c r="A515" s="5"/>
      <c r="B515" s="24"/>
      <c r="C515" s="5"/>
      <c r="D515" s="5"/>
      <c r="E515" s="5"/>
      <c r="F515" s="5"/>
      <c r="G515" s="5"/>
      <c r="H515" s="5"/>
      <c r="I515" s="2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 x14ac:dyDescent="0.25">
      <c r="A516" s="5"/>
      <c r="B516" s="24"/>
      <c r="C516" s="5"/>
      <c r="D516" s="5"/>
      <c r="E516" s="5"/>
      <c r="F516" s="5"/>
      <c r="G516" s="5"/>
      <c r="H516" s="5"/>
      <c r="I516" s="2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 x14ac:dyDescent="0.25">
      <c r="A517" s="5"/>
      <c r="B517" s="24"/>
      <c r="C517" s="5"/>
      <c r="D517" s="5"/>
      <c r="E517" s="5"/>
      <c r="F517" s="5"/>
      <c r="G517" s="5"/>
      <c r="H517" s="5"/>
      <c r="I517" s="2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 x14ac:dyDescent="0.25">
      <c r="A518" s="5"/>
      <c r="B518" s="24"/>
      <c r="C518" s="5"/>
      <c r="D518" s="5"/>
      <c r="E518" s="5"/>
      <c r="F518" s="5"/>
      <c r="G518" s="5"/>
      <c r="H518" s="5"/>
      <c r="I518" s="2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 x14ac:dyDescent="0.25">
      <c r="A519" s="5"/>
      <c r="B519" s="24"/>
      <c r="C519" s="5"/>
      <c r="D519" s="5"/>
      <c r="E519" s="5"/>
      <c r="F519" s="5"/>
      <c r="G519" s="5"/>
      <c r="H519" s="5"/>
      <c r="I519" s="2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 x14ac:dyDescent="0.25">
      <c r="A520" s="5"/>
      <c r="B520" s="24"/>
      <c r="C520" s="5"/>
      <c r="D520" s="5"/>
      <c r="E520" s="5"/>
      <c r="F520" s="5"/>
      <c r="G520" s="5"/>
      <c r="H520" s="5"/>
      <c r="I520" s="2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 x14ac:dyDescent="0.25">
      <c r="A521" s="5"/>
      <c r="B521" s="24"/>
      <c r="C521" s="5"/>
      <c r="D521" s="5"/>
      <c r="E521" s="5"/>
      <c r="F521" s="5"/>
      <c r="G521" s="5"/>
      <c r="H521" s="5"/>
      <c r="I521" s="2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 x14ac:dyDescent="0.25">
      <c r="A522" s="5"/>
      <c r="B522" s="24"/>
      <c r="C522" s="5"/>
      <c r="D522" s="5"/>
      <c r="E522" s="5"/>
      <c r="F522" s="5"/>
      <c r="G522" s="5"/>
      <c r="H522" s="5"/>
      <c r="I522" s="2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 x14ac:dyDescent="0.25">
      <c r="A523" s="5"/>
      <c r="B523" s="24"/>
      <c r="C523" s="5"/>
      <c r="D523" s="5"/>
      <c r="E523" s="5"/>
      <c r="F523" s="5"/>
      <c r="G523" s="5"/>
      <c r="H523" s="5"/>
      <c r="I523" s="2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 x14ac:dyDescent="0.25">
      <c r="A524" s="5"/>
      <c r="B524" s="24"/>
      <c r="C524" s="5"/>
      <c r="D524" s="5"/>
      <c r="E524" s="5"/>
      <c r="F524" s="5"/>
      <c r="G524" s="5"/>
      <c r="H524" s="5"/>
      <c r="I524" s="2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 x14ac:dyDescent="0.25">
      <c r="A525" s="5"/>
      <c r="B525" s="24"/>
      <c r="C525" s="5"/>
      <c r="D525" s="5"/>
      <c r="E525" s="5"/>
      <c r="F525" s="5"/>
      <c r="G525" s="5"/>
      <c r="H525" s="5"/>
      <c r="I525" s="2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 x14ac:dyDescent="0.25">
      <c r="A526" s="5"/>
      <c r="B526" s="24"/>
      <c r="C526" s="5"/>
      <c r="D526" s="5"/>
      <c r="E526" s="5"/>
      <c r="F526" s="5"/>
      <c r="G526" s="5"/>
      <c r="H526" s="5"/>
      <c r="I526" s="2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 x14ac:dyDescent="0.25">
      <c r="A527" s="5"/>
      <c r="B527" s="24"/>
      <c r="C527" s="5"/>
      <c r="D527" s="5"/>
      <c r="E527" s="5"/>
      <c r="F527" s="5"/>
      <c r="G527" s="5"/>
      <c r="H527" s="5"/>
      <c r="I527" s="2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 x14ac:dyDescent="0.25">
      <c r="A528" s="5"/>
      <c r="B528" s="24"/>
      <c r="C528" s="5"/>
      <c r="D528" s="5"/>
      <c r="E528" s="5"/>
      <c r="F528" s="5"/>
      <c r="G528" s="5"/>
      <c r="H528" s="5"/>
      <c r="I528" s="2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 x14ac:dyDescent="0.25">
      <c r="A529" s="5"/>
      <c r="B529" s="24"/>
      <c r="C529" s="5"/>
      <c r="D529" s="5"/>
      <c r="E529" s="5"/>
      <c r="F529" s="5"/>
      <c r="G529" s="5"/>
      <c r="H529" s="5"/>
      <c r="I529" s="2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 x14ac:dyDescent="0.25">
      <c r="A530" s="5"/>
      <c r="B530" s="24"/>
      <c r="C530" s="5"/>
      <c r="D530" s="5"/>
      <c r="E530" s="5"/>
      <c r="F530" s="5"/>
      <c r="G530" s="5"/>
      <c r="H530" s="5"/>
      <c r="I530" s="2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 x14ac:dyDescent="0.25">
      <c r="A531" s="5"/>
      <c r="B531" s="24"/>
      <c r="C531" s="5"/>
      <c r="D531" s="5"/>
      <c r="E531" s="5"/>
      <c r="F531" s="5"/>
      <c r="G531" s="5"/>
      <c r="H531" s="5"/>
      <c r="I531" s="2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 x14ac:dyDescent="0.25">
      <c r="A532" s="5"/>
      <c r="B532" s="24"/>
      <c r="C532" s="5"/>
      <c r="D532" s="5"/>
      <c r="E532" s="5"/>
      <c r="F532" s="5"/>
      <c r="G532" s="5"/>
      <c r="H532" s="5"/>
      <c r="I532" s="2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 x14ac:dyDescent="0.25">
      <c r="A533" s="5"/>
      <c r="B533" s="24"/>
      <c r="C533" s="5"/>
      <c r="D533" s="5"/>
      <c r="E533" s="5"/>
      <c r="F533" s="5"/>
      <c r="G533" s="5"/>
      <c r="H533" s="5"/>
      <c r="I533" s="2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 x14ac:dyDescent="0.25">
      <c r="A534" s="5"/>
      <c r="B534" s="24"/>
      <c r="C534" s="5"/>
      <c r="D534" s="5"/>
      <c r="E534" s="5"/>
      <c r="F534" s="5"/>
      <c r="G534" s="5"/>
      <c r="H534" s="5"/>
      <c r="I534" s="2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 x14ac:dyDescent="0.25">
      <c r="A535" s="5"/>
      <c r="B535" s="24"/>
      <c r="C535" s="5"/>
      <c r="D535" s="5"/>
      <c r="E535" s="5"/>
      <c r="F535" s="5"/>
      <c r="G535" s="5"/>
      <c r="H535" s="5"/>
      <c r="I535" s="2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 x14ac:dyDescent="0.25">
      <c r="A536" s="5"/>
      <c r="B536" s="24"/>
      <c r="C536" s="5"/>
      <c r="D536" s="5"/>
      <c r="E536" s="5"/>
      <c r="F536" s="5"/>
      <c r="G536" s="5"/>
      <c r="H536" s="5"/>
      <c r="I536" s="2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 x14ac:dyDescent="0.25">
      <c r="A537" s="5"/>
      <c r="B537" s="24"/>
      <c r="C537" s="5"/>
      <c r="D537" s="5"/>
      <c r="E537" s="5"/>
      <c r="F537" s="5"/>
      <c r="G537" s="5"/>
      <c r="H537" s="5"/>
      <c r="I537" s="2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 x14ac:dyDescent="0.25">
      <c r="A538" s="5"/>
      <c r="B538" s="24"/>
      <c r="C538" s="5"/>
      <c r="D538" s="5"/>
      <c r="E538" s="5"/>
      <c r="F538" s="5"/>
      <c r="G538" s="5"/>
      <c r="H538" s="5"/>
      <c r="I538" s="2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 x14ac:dyDescent="0.25">
      <c r="A539" s="5"/>
      <c r="B539" s="24"/>
      <c r="C539" s="5"/>
      <c r="D539" s="5"/>
      <c r="E539" s="5"/>
      <c r="F539" s="5"/>
      <c r="G539" s="5"/>
      <c r="H539" s="5"/>
      <c r="I539" s="2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 x14ac:dyDescent="0.25">
      <c r="A540" s="5"/>
      <c r="B540" s="24"/>
      <c r="C540" s="5"/>
      <c r="D540" s="5"/>
      <c r="E540" s="5"/>
      <c r="F540" s="5"/>
      <c r="G540" s="5"/>
      <c r="H540" s="5"/>
      <c r="I540" s="2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 x14ac:dyDescent="0.25">
      <c r="A541" s="5"/>
      <c r="B541" s="24"/>
      <c r="C541" s="5"/>
      <c r="D541" s="5"/>
      <c r="E541" s="5"/>
      <c r="F541" s="5"/>
      <c r="G541" s="5"/>
      <c r="H541" s="5"/>
      <c r="I541" s="2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 x14ac:dyDescent="0.25">
      <c r="A542" s="5"/>
      <c r="B542" s="24"/>
      <c r="C542" s="5"/>
      <c r="D542" s="5"/>
      <c r="E542" s="5"/>
      <c r="F542" s="5"/>
      <c r="G542" s="5"/>
      <c r="H542" s="5"/>
      <c r="I542" s="2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 x14ac:dyDescent="0.25">
      <c r="A543" s="5"/>
      <c r="B543" s="24"/>
      <c r="C543" s="5"/>
      <c r="D543" s="5"/>
      <c r="E543" s="5"/>
      <c r="F543" s="5"/>
      <c r="G543" s="5"/>
      <c r="H543" s="5"/>
      <c r="I543" s="2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 x14ac:dyDescent="0.25">
      <c r="A544" s="5"/>
      <c r="B544" s="24"/>
      <c r="C544" s="5"/>
      <c r="D544" s="5"/>
      <c r="E544" s="5"/>
      <c r="F544" s="5"/>
      <c r="G544" s="5"/>
      <c r="H544" s="5"/>
      <c r="I544" s="2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 x14ac:dyDescent="0.25">
      <c r="A545" s="5"/>
      <c r="B545" s="24"/>
      <c r="C545" s="5"/>
      <c r="D545" s="5"/>
      <c r="E545" s="5"/>
      <c r="F545" s="5"/>
      <c r="G545" s="5"/>
      <c r="H545" s="5"/>
      <c r="I545" s="2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 x14ac:dyDescent="0.25">
      <c r="A546" s="5"/>
      <c r="B546" s="24"/>
      <c r="C546" s="5"/>
      <c r="D546" s="5"/>
      <c r="E546" s="5"/>
      <c r="F546" s="5"/>
      <c r="G546" s="5"/>
      <c r="H546" s="5"/>
      <c r="I546" s="2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 x14ac:dyDescent="0.25">
      <c r="A547" s="5"/>
      <c r="B547" s="24"/>
      <c r="C547" s="5"/>
      <c r="D547" s="5"/>
      <c r="E547" s="5"/>
      <c r="F547" s="5"/>
      <c r="G547" s="5"/>
      <c r="H547" s="5"/>
      <c r="I547" s="2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 x14ac:dyDescent="0.25">
      <c r="A548" s="5"/>
      <c r="B548" s="24"/>
      <c r="C548" s="5"/>
      <c r="D548" s="5"/>
      <c r="E548" s="5"/>
      <c r="F548" s="5"/>
      <c r="G548" s="5"/>
      <c r="H548" s="5"/>
      <c r="I548" s="2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 x14ac:dyDescent="0.25">
      <c r="A549" s="5"/>
      <c r="B549" s="24"/>
      <c r="C549" s="5"/>
      <c r="D549" s="5"/>
      <c r="E549" s="5"/>
      <c r="F549" s="5"/>
      <c r="G549" s="5"/>
      <c r="H549" s="5"/>
      <c r="I549" s="2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 x14ac:dyDescent="0.25">
      <c r="A550" s="5"/>
      <c r="B550" s="24"/>
      <c r="C550" s="5"/>
      <c r="D550" s="5"/>
      <c r="E550" s="5"/>
      <c r="F550" s="5"/>
      <c r="G550" s="5"/>
      <c r="H550" s="5"/>
      <c r="I550" s="2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 x14ac:dyDescent="0.25">
      <c r="A551" s="5"/>
      <c r="B551" s="24"/>
      <c r="C551" s="5"/>
      <c r="D551" s="5"/>
      <c r="E551" s="5"/>
      <c r="F551" s="5"/>
      <c r="G551" s="5"/>
      <c r="H551" s="5"/>
      <c r="I551" s="2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 x14ac:dyDescent="0.25">
      <c r="A552" s="5"/>
      <c r="B552" s="24"/>
      <c r="C552" s="5"/>
      <c r="D552" s="5"/>
      <c r="E552" s="5"/>
      <c r="F552" s="5"/>
      <c r="G552" s="5"/>
      <c r="H552" s="5"/>
      <c r="I552" s="2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 x14ac:dyDescent="0.25">
      <c r="A553" s="5"/>
      <c r="B553" s="24"/>
      <c r="C553" s="5"/>
      <c r="D553" s="5"/>
      <c r="E553" s="5"/>
      <c r="F553" s="5"/>
      <c r="G553" s="5"/>
      <c r="H553" s="5"/>
      <c r="I553" s="2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 x14ac:dyDescent="0.25">
      <c r="A554" s="5"/>
      <c r="B554" s="24"/>
      <c r="C554" s="5"/>
      <c r="D554" s="5"/>
      <c r="E554" s="5"/>
      <c r="F554" s="5"/>
      <c r="G554" s="5"/>
      <c r="H554" s="5"/>
      <c r="I554" s="2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 x14ac:dyDescent="0.25">
      <c r="A555" s="5"/>
      <c r="B555" s="24"/>
      <c r="C555" s="5"/>
      <c r="D555" s="5"/>
      <c r="E555" s="5"/>
      <c r="F555" s="5"/>
      <c r="G555" s="5"/>
      <c r="H555" s="5"/>
      <c r="I555" s="2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 x14ac:dyDescent="0.25">
      <c r="A556" s="5"/>
      <c r="B556" s="24"/>
      <c r="C556" s="5"/>
      <c r="D556" s="5"/>
      <c r="E556" s="5"/>
      <c r="F556" s="5"/>
      <c r="G556" s="5"/>
      <c r="H556" s="5"/>
      <c r="I556" s="2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 x14ac:dyDescent="0.25">
      <c r="A557" s="5"/>
      <c r="B557" s="24"/>
      <c r="C557" s="5"/>
      <c r="D557" s="5"/>
      <c r="E557" s="5"/>
      <c r="F557" s="5"/>
      <c r="G557" s="5"/>
      <c r="H557" s="5"/>
      <c r="I557" s="2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 x14ac:dyDescent="0.25">
      <c r="A558" s="5"/>
      <c r="B558" s="24"/>
      <c r="C558" s="5"/>
      <c r="D558" s="5"/>
      <c r="E558" s="5"/>
      <c r="F558" s="5"/>
      <c r="G558" s="5"/>
      <c r="H558" s="5"/>
      <c r="I558" s="2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 x14ac:dyDescent="0.25">
      <c r="A559" s="5"/>
      <c r="B559" s="24"/>
      <c r="C559" s="5"/>
      <c r="D559" s="5"/>
      <c r="E559" s="5"/>
      <c r="F559" s="5"/>
      <c r="G559" s="5"/>
      <c r="H559" s="5"/>
      <c r="I559" s="2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 x14ac:dyDescent="0.25">
      <c r="A560" s="5"/>
      <c r="B560" s="24"/>
      <c r="C560" s="5"/>
      <c r="D560" s="5"/>
      <c r="E560" s="5"/>
      <c r="F560" s="5"/>
      <c r="G560" s="5"/>
      <c r="H560" s="5"/>
      <c r="I560" s="2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 x14ac:dyDescent="0.25">
      <c r="A561" s="5"/>
      <c r="B561" s="24"/>
      <c r="C561" s="5"/>
      <c r="D561" s="5"/>
      <c r="E561" s="5"/>
      <c r="F561" s="5"/>
      <c r="G561" s="5"/>
      <c r="H561" s="5"/>
      <c r="I561" s="2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 x14ac:dyDescent="0.25">
      <c r="A562" s="5"/>
      <c r="B562" s="24"/>
      <c r="C562" s="5"/>
      <c r="D562" s="5"/>
      <c r="E562" s="5"/>
      <c r="F562" s="5"/>
      <c r="G562" s="5"/>
      <c r="H562" s="5"/>
      <c r="I562" s="2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 x14ac:dyDescent="0.25">
      <c r="A563" s="5"/>
      <c r="B563" s="24"/>
      <c r="C563" s="5"/>
      <c r="D563" s="5"/>
      <c r="E563" s="5"/>
      <c r="F563" s="5"/>
      <c r="G563" s="5"/>
      <c r="H563" s="5"/>
      <c r="I563" s="2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 x14ac:dyDescent="0.25">
      <c r="A564" s="5"/>
      <c r="B564" s="24"/>
      <c r="C564" s="5"/>
      <c r="D564" s="5"/>
      <c r="E564" s="5"/>
      <c r="F564" s="5"/>
      <c r="G564" s="5"/>
      <c r="H564" s="5"/>
      <c r="I564" s="2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 x14ac:dyDescent="0.25">
      <c r="A565" s="5"/>
      <c r="B565" s="24"/>
      <c r="C565" s="5"/>
      <c r="D565" s="5"/>
      <c r="E565" s="5"/>
      <c r="F565" s="5"/>
      <c r="G565" s="5"/>
      <c r="H565" s="5"/>
      <c r="I565" s="2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 x14ac:dyDescent="0.25">
      <c r="A566" s="5"/>
      <c r="B566" s="24"/>
      <c r="C566" s="5"/>
      <c r="D566" s="5"/>
      <c r="E566" s="5"/>
      <c r="F566" s="5"/>
      <c r="G566" s="5"/>
      <c r="H566" s="5"/>
      <c r="I566" s="2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 x14ac:dyDescent="0.25">
      <c r="A567" s="5"/>
      <c r="B567" s="24"/>
      <c r="C567" s="5"/>
      <c r="D567" s="5"/>
      <c r="E567" s="5"/>
      <c r="F567" s="5"/>
      <c r="G567" s="5"/>
      <c r="H567" s="5"/>
      <c r="I567" s="2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 x14ac:dyDescent="0.25">
      <c r="A568" s="5"/>
      <c r="B568" s="24"/>
      <c r="C568" s="5"/>
      <c r="D568" s="5"/>
      <c r="E568" s="5"/>
      <c r="F568" s="5"/>
      <c r="G568" s="5"/>
      <c r="H568" s="5"/>
      <c r="I568" s="2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 x14ac:dyDescent="0.25">
      <c r="A569" s="5"/>
      <c r="B569" s="24"/>
      <c r="C569" s="5"/>
      <c r="D569" s="5"/>
      <c r="E569" s="5"/>
      <c r="F569" s="5"/>
      <c r="G569" s="5"/>
      <c r="H569" s="5"/>
      <c r="I569" s="2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 x14ac:dyDescent="0.25">
      <c r="A570" s="5"/>
      <c r="B570" s="24"/>
      <c r="C570" s="5"/>
      <c r="D570" s="5"/>
      <c r="E570" s="5"/>
      <c r="F570" s="5"/>
      <c r="G570" s="5"/>
      <c r="H570" s="5"/>
      <c r="I570" s="2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 x14ac:dyDescent="0.25">
      <c r="A571" s="5"/>
      <c r="B571" s="24"/>
      <c r="C571" s="5"/>
      <c r="D571" s="5"/>
      <c r="E571" s="5"/>
      <c r="F571" s="5"/>
      <c r="G571" s="5"/>
      <c r="H571" s="5"/>
      <c r="I571" s="2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 x14ac:dyDescent="0.25">
      <c r="A572" s="5"/>
      <c r="B572" s="24"/>
      <c r="C572" s="5"/>
      <c r="D572" s="5"/>
      <c r="E572" s="5"/>
      <c r="F572" s="5"/>
      <c r="G572" s="5"/>
      <c r="H572" s="5"/>
      <c r="I572" s="2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 x14ac:dyDescent="0.25">
      <c r="A573" s="5"/>
      <c r="B573" s="24"/>
      <c r="C573" s="5"/>
      <c r="D573" s="5"/>
      <c r="E573" s="5"/>
      <c r="F573" s="5"/>
      <c r="G573" s="5"/>
      <c r="H573" s="5"/>
      <c r="I573" s="2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 x14ac:dyDescent="0.25">
      <c r="A574" s="5"/>
      <c r="B574" s="24"/>
      <c r="C574" s="5"/>
      <c r="D574" s="5"/>
      <c r="E574" s="5"/>
      <c r="F574" s="5"/>
      <c r="G574" s="5"/>
      <c r="H574" s="5"/>
      <c r="I574" s="2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 x14ac:dyDescent="0.25">
      <c r="A575" s="5"/>
      <c r="B575" s="24"/>
      <c r="C575" s="5"/>
      <c r="D575" s="5"/>
      <c r="E575" s="5"/>
      <c r="F575" s="5"/>
      <c r="G575" s="5"/>
      <c r="H575" s="5"/>
      <c r="I575" s="2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 x14ac:dyDescent="0.25">
      <c r="A576" s="5"/>
      <c r="B576" s="24"/>
      <c r="C576" s="5"/>
      <c r="D576" s="5"/>
      <c r="E576" s="5"/>
      <c r="F576" s="5"/>
      <c r="G576" s="5"/>
      <c r="H576" s="5"/>
      <c r="I576" s="2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 x14ac:dyDescent="0.25">
      <c r="A577" s="5"/>
      <c r="B577" s="24"/>
      <c r="C577" s="5"/>
      <c r="D577" s="5"/>
      <c r="E577" s="5"/>
      <c r="F577" s="5"/>
      <c r="G577" s="5"/>
      <c r="H577" s="5"/>
      <c r="I577" s="2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 x14ac:dyDescent="0.25">
      <c r="A578" s="5"/>
      <c r="B578" s="24"/>
      <c r="C578" s="5"/>
      <c r="D578" s="5"/>
      <c r="E578" s="5"/>
      <c r="F578" s="5"/>
      <c r="G578" s="5"/>
      <c r="H578" s="5"/>
      <c r="I578" s="2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 x14ac:dyDescent="0.25">
      <c r="A579" s="5"/>
      <c r="B579" s="24"/>
      <c r="C579" s="5"/>
      <c r="D579" s="5"/>
      <c r="E579" s="5"/>
      <c r="F579" s="5"/>
      <c r="G579" s="5"/>
      <c r="H579" s="5"/>
      <c r="I579" s="2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 x14ac:dyDescent="0.25">
      <c r="A580" s="5"/>
      <c r="B580" s="24"/>
      <c r="C580" s="5"/>
      <c r="D580" s="5"/>
      <c r="E580" s="5"/>
      <c r="F580" s="5"/>
      <c r="G580" s="5"/>
      <c r="H580" s="5"/>
      <c r="I580" s="2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 x14ac:dyDescent="0.25">
      <c r="A581" s="5"/>
      <c r="B581" s="24"/>
      <c r="C581" s="5"/>
      <c r="D581" s="5"/>
      <c r="E581" s="5"/>
      <c r="F581" s="5"/>
      <c r="G581" s="5"/>
      <c r="H581" s="5"/>
      <c r="I581" s="2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 x14ac:dyDescent="0.25">
      <c r="A582" s="5"/>
      <c r="B582" s="24"/>
      <c r="C582" s="5"/>
      <c r="D582" s="5"/>
      <c r="E582" s="5"/>
      <c r="F582" s="5"/>
      <c r="G582" s="5"/>
      <c r="H582" s="5"/>
      <c r="I582" s="2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 x14ac:dyDescent="0.25">
      <c r="A583" s="5"/>
      <c r="B583" s="24"/>
      <c r="C583" s="5"/>
      <c r="D583" s="5"/>
      <c r="E583" s="5"/>
      <c r="F583" s="5"/>
      <c r="G583" s="5"/>
      <c r="H583" s="5"/>
      <c r="I583" s="2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 x14ac:dyDescent="0.25">
      <c r="A584" s="5"/>
      <c r="B584" s="24"/>
      <c r="C584" s="5"/>
      <c r="D584" s="5"/>
      <c r="E584" s="5"/>
      <c r="F584" s="5"/>
      <c r="G584" s="5"/>
      <c r="H584" s="5"/>
      <c r="I584" s="2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 x14ac:dyDescent="0.25">
      <c r="A585" s="5"/>
      <c r="B585" s="24"/>
      <c r="C585" s="5"/>
      <c r="D585" s="5"/>
      <c r="E585" s="5"/>
      <c r="F585" s="5"/>
      <c r="G585" s="5"/>
      <c r="H585" s="5"/>
      <c r="I585" s="2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 x14ac:dyDescent="0.25">
      <c r="A586" s="5"/>
      <c r="B586" s="24"/>
      <c r="C586" s="5"/>
      <c r="D586" s="5"/>
      <c r="E586" s="5"/>
      <c r="F586" s="5"/>
      <c r="G586" s="5"/>
      <c r="H586" s="5"/>
      <c r="I586" s="2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 x14ac:dyDescent="0.25">
      <c r="A587" s="5"/>
      <c r="B587" s="24"/>
      <c r="C587" s="5"/>
      <c r="D587" s="5"/>
      <c r="E587" s="5"/>
      <c r="F587" s="5"/>
      <c r="G587" s="5"/>
      <c r="H587" s="5"/>
      <c r="I587" s="2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 x14ac:dyDescent="0.25">
      <c r="A588" s="5"/>
      <c r="B588" s="24"/>
      <c r="C588" s="5"/>
      <c r="D588" s="5"/>
      <c r="E588" s="5"/>
      <c r="F588" s="5"/>
      <c r="G588" s="5"/>
      <c r="H588" s="5"/>
      <c r="I588" s="2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 x14ac:dyDescent="0.25">
      <c r="A589" s="5"/>
      <c r="B589" s="24"/>
      <c r="C589" s="5"/>
      <c r="D589" s="5"/>
      <c r="E589" s="5"/>
      <c r="F589" s="5"/>
      <c r="G589" s="5"/>
      <c r="H589" s="5"/>
      <c r="I589" s="2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 x14ac:dyDescent="0.25">
      <c r="A590" s="5"/>
      <c r="B590" s="24"/>
      <c r="C590" s="5"/>
      <c r="D590" s="5"/>
      <c r="E590" s="5"/>
      <c r="F590" s="5"/>
      <c r="G590" s="5"/>
      <c r="H590" s="5"/>
      <c r="I590" s="2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 x14ac:dyDescent="0.25">
      <c r="A591" s="5"/>
      <c r="B591" s="24"/>
      <c r="C591" s="5"/>
      <c r="D591" s="5"/>
      <c r="E591" s="5"/>
      <c r="F591" s="5"/>
      <c r="G591" s="5"/>
      <c r="H591" s="5"/>
      <c r="I591" s="2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 x14ac:dyDescent="0.25">
      <c r="A592" s="5"/>
      <c r="B592" s="24"/>
      <c r="C592" s="5"/>
      <c r="D592" s="5"/>
      <c r="E592" s="5"/>
      <c r="F592" s="5"/>
      <c r="G592" s="5"/>
      <c r="H592" s="5"/>
      <c r="I592" s="2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 x14ac:dyDescent="0.25">
      <c r="A593" s="5"/>
      <c r="B593" s="24"/>
      <c r="C593" s="5"/>
      <c r="D593" s="5"/>
      <c r="E593" s="5"/>
      <c r="F593" s="5"/>
      <c r="G593" s="5"/>
      <c r="H593" s="5"/>
      <c r="I593" s="2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 x14ac:dyDescent="0.25">
      <c r="A594" s="5"/>
      <c r="B594" s="24"/>
      <c r="C594" s="5"/>
      <c r="D594" s="5"/>
      <c r="E594" s="5"/>
      <c r="F594" s="5"/>
      <c r="G594" s="5"/>
      <c r="H594" s="5"/>
      <c r="I594" s="2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 x14ac:dyDescent="0.25">
      <c r="A595" s="5"/>
      <c r="B595" s="24"/>
      <c r="C595" s="5"/>
      <c r="D595" s="5"/>
      <c r="E595" s="5"/>
      <c r="F595" s="5"/>
      <c r="G595" s="5"/>
      <c r="H595" s="5"/>
      <c r="I595" s="2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 x14ac:dyDescent="0.25">
      <c r="A596" s="5"/>
      <c r="B596" s="24"/>
      <c r="C596" s="5"/>
      <c r="D596" s="5"/>
      <c r="E596" s="5"/>
      <c r="F596" s="5"/>
      <c r="G596" s="5"/>
      <c r="H596" s="5"/>
      <c r="I596" s="2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 x14ac:dyDescent="0.25">
      <c r="A597" s="5"/>
      <c r="B597" s="24"/>
      <c r="C597" s="5"/>
      <c r="D597" s="5"/>
      <c r="E597" s="5"/>
      <c r="F597" s="5"/>
      <c r="G597" s="5"/>
      <c r="H597" s="5"/>
      <c r="I597" s="2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 x14ac:dyDescent="0.25">
      <c r="A598" s="5"/>
      <c r="B598" s="24"/>
      <c r="C598" s="5"/>
      <c r="D598" s="5"/>
      <c r="E598" s="5"/>
      <c r="F598" s="5"/>
      <c r="G598" s="5"/>
      <c r="H598" s="5"/>
      <c r="I598" s="2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 x14ac:dyDescent="0.25">
      <c r="A599" s="5"/>
      <c r="B599" s="24"/>
      <c r="C599" s="5"/>
      <c r="D599" s="5"/>
      <c r="E599" s="5"/>
      <c r="F599" s="5"/>
      <c r="G599" s="5"/>
      <c r="H599" s="5"/>
      <c r="I599" s="2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 x14ac:dyDescent="0.25">
      <c r="A600" s="5"/>
      <c r="B600" s="24"/>
      <c r="C600" s="5"/>
      <c r="D600" s="5"/>
      <c r="E600" s="5"/>
      <c r="F600" s="5"/>
      <c r="G600" s="5"/>
      <c r="H600" s="5"/>
      <c r="I600" s="2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 x14ac:dyDescent="0.25">
      <c r="A601" s="5"/>
      <c r="B601" s="24"/>
      <c r="C601" s="5"/>
      <c r="D601" s="5"/>
      <c r="E601" s="5"/>
      <c r="F601" s="5"/>
      <c r="G601" s="5"/>
      <c r="H601" s="5"/>
      <c r="I601" s="2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 x14ac:dyDescent="0.25">
      <c r="A602" s="5"/>
      <c r="B602" s="24"/>
      <c r="C602" s="5"/>
      <c r="D602" s="5"/>
      <c r="E602" s="5"/>
      <c r="F602" s="5"/>
      <c r="G602" s="5"/>
      <c r="H602" s="5"/>
      <c r="I602" s="2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 x14ac:dyDescent="0.25">
      <c r="A603" s="5"/>
      <c r="B603" s="24"/>
      <c r="C603" s="5"/>
      <c r="D603" s="5"/>
      <c r="E603" s="5"/>
      <c r="F603" s="5"/>
      <c r="G603" s="5"/>
      <c r="H603" s="5"/>
      <c r="I603" s="2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 x14ac:dyDescent="0.25">
      <c r="A604" s="5"/>
      <c r="B604" s="24"/>
      <c r="C604" s="5"/>
      <c r="D604" s="5"/>
      <c r="E604" s="5"/>
      <c r="F604" s="5"/>
      <c r="G604" s="5"/>
      <c r="H604" s="5"/>
      <c r="I604" s="2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 x14ac:dyDescent="0.25">
      <c r="A605" s="5"/>
      <c r="B605" s="24"/>
      <c r="C605" s="5"/>
      <c r="D605" s="5"/>
      <c r="E605" s="5"/>
      <c r="F605" s="5"/>
      <c r="G605" s="5"/>
      <c r="H605" s="5"/>
      <c r="I605" s="2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 x14ac:dyDescent="0.25">
      <c r="A606" s="5"/>
      <c r="B606" s="24"/>
      <c r="C606" s="5"/>
      <c r="D606" s="5"/>
      <c r="E606" s="5"/>
      <c r="F606" s="5"/>
      <c r="G606" s="5"/>
      <c r="H606" s="5"/>
      <c r="I606" s="2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 x14ac:dyDescent="0.25">
      <c r="A607" s="5"/>
      <c r="B607" s="24"/>
      <c r="C607" s="5"/>
      <c r="D607" s="5"/>
      <c r="E607" s="5"/>
      <c r="F607" s="5"/>
      <c r="G607" s="5"/>
      <c r="H607" s="5"/>
      <c r="I607" s="2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 x14ac:dyDescent="0.25">
      <c r="A608" s="5"/>
      <c r="B608" s="24"/>
      <c r="C608" s="5"/>
      <c r="D608" s="5"/>
      <c r="E608" s="5"/>
      <c r="F608" s="5"/>
      <c r="G608" s="5"/>
      <c r="H608" s="5"/>
      <c r="I608" s="2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 x14ac:dyDescent="0.25">
      <c r="A609" s="5"/>
      <c r="B609" s="24"/>
      <c r="C609" s="5"/>
      <c r="D609" s="5"/>
      <c r="E609" s="5"/>
      <c r="F609" s="5"/>
      <c r="G609" s="5"/>
      <c r="H609" s="5"/>
      <c r="I609" s="2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 x14ac:dyDescent="0.25">
      <c r="A610" s="5"/>
      <c r="B610" s="24"/>
      <c r="C610" s="5"/>
      <c r="D610" s="5"/>
      <c r="E610" s="5"/>
      <c r="F610" s="5"/>
      <c r="G610" s="5"/>
      <c r="H610" s="5"/>
      <c r="I610" s="2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 x14ac:dyDescent="0.25">
      <c r="A611" s="5"/>
      <c r="B611" s="24"/>
      <c r="C611" s="5"/>
      <c r="D611" s="5"/>
      <c r="E611" s="5"/>
      <c r="F611" s="5"/>
      <c r="G611" s="5"/>
      <c r="H611" s="5"/>
      <c r="I611" s="2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 x14ac:dyDescent="0.25">
      <c r="A612" s="5"/>
      <c r="B612" s="24"/>
      <c r="C612" s="5"/>
      <c r="D612" s="5"/>
      <c r="E612" s="5"/>
      <c r="F612" s="5"/>
      <c r="G612" s="5"/>
      <c r="H612" s="5"/>
      <c r="I612" s="2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 x14ac:dyDescent="0.25">
      <c r="A613" s="5"/>
      <c r="B613" s="24"/>
      <c r="C613" s="5"/>
      <c r="D613" s="5"/>
      <c r="E613" s="5"/>
      <c r="F613" s="5"/>
      <c r="G613" s="5"/>
      <c r="H613" s="5"/>
      <c r="I613" s="2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 x14ac:dyDescent="0.25">
      <c r="A614" s="5"/>
      <c r="B614" s="24"/>
      <c r="C614" s="5"/>
      <c r="D614" s="5"/>
      <c r="E614" s="5"/>
      <c r="F614" s="5"/>
      <c r="G614" s="5"/>
      <c r="H614" s="5"/>
      <c r="I614" s="2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 x14ac:dyDescent="0.25">
      <c r="A615" s="5"/>
      <c r="B615" s="24"/>
      <c r="C615" s="5"/>
      <c r="D615" s="5"/>
      <c r="E615" s="5"/>
      <c r="F615" s="5"/>
      <c r="G615" s="5"/>
      <c r="H615" s="5"/>
      <c r="I615" s="2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 x14ac:dyDescent="0.25">
      <c r="A616" s="5"/>
      <c r="B616" s="24"/>
      <c r="C616" s="5"/>
      <c r="D616" s="5"/>
      <c r="E616" s="5"/>
      <c r="F616" s="5"/>
      <c r="G616" s="5"/>
      <c r="H616" s="5"/>
      <c r="I616" s="2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 x14ac:dyDescent="0.25">
      <c r="A617" s="5"/>
      <c r="B617" s="24"/>
      <c r="C617" s="5"/>
      <c r="D617" s="5"/>
      <c r="E617" s="5"/>
      <c r="F617" s="5"/>
      <c r="G617" s="5"/>
      <c r="H617" s="5"/>
      <c r="I617" s="2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 x14ac:dyDescent="0.25">
      <c r="A618" s="5"/>
      <c r="B618" s="24"/>
      <c r="C618" s="5"/>
      <c r="D618" s="5"/>
      <c r="E618" s="5"/>
      <c r="F618" s="5"/>
      <c r="G618" s="5"/>
      <c r="H618" s="5"/>
      <c r="I618" s="2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 x14ac:dyDescent="0.25">
      <c r="A619" s="5"/>
      <c r="B619" s="24"/>
      <c r="C619" s="5"/>
      <c r="D619" s="5"/>
      <c r="E619" s="5"/>
      <c r="F619" s="5"/>
      <c r="G619" s="5"/>
      <c r="H619" s="5"/>
      <c r="I619" s="2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 x14ac:dyDescent="0.25">
      <c r="A620" s="5"/>
      <c r="B620" s="24"/>
      <c r="C620" s="5"/>
      <c r="D620" s="5"/>
      <c r="E620" s="5"/>
      <c r="F620" s="5"/>
      <c r="G620" s="5"/>
      <c r="H620" s="5"/>
      <c r="I620" s="2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 x14ac:dyDescent="0.25">
      <c r="A621" s="5"/>
      <c r="B621" s="24"/>
      <c r="C621" s="5"/>
      <c r="D621" s="5"/>
      <c r="E621" s="5"/>
      <c r="F621" s="5"/>
      <c r="G621" s="5"/>
      <c r="H621" s="5"/>
      <c r="I621" s="2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 x14ac:dyDescent="0.25">
      <c r="A622" s="5"/>
      <c r="B622" s="24"/>
      <c r="C622" s="5"/>
      <c r="D622" s="5"/>
      <c r="E622" s="5"/>
      <c r="F622" s="5"/>
      <c r="G622" s="5"/>
      <c r="H622" s="5"/>
      <c r="I622" s="2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 x14ac:dyDescent="0.25">
      <c r="A623" s="5"/>
      <c r="B623" s="24"/>
      <c r="C623" s="5"/>
      <c r="D623" s="5"/>
      <c r="E623" s="5"/>
      <c r="F623" s="5"/>
      <c r="G623" s="5"/>
      <c r="H623" s="5"/>
      <c r="I623" s="2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 x14ac:dyDescent="0.25">
      <c r="A624" s="5"/>
      <c r="B624" s="24"/>
      <c r="C624" s="5"/>
      <c r="D624" s="5"/>
      <c r="E624" s="5"/>
      <c r="F624" s="5"/>
      <c r="G624" s="5"/>
      <c r="H624" s="5"/>
      <c r="I624" s="2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 x14ac:dyDescent="0.25">
      <c r="A625" s="5"/>
      <c r="B625" s="24"/>
      <c r="C625" s="5"/>
      <c r="D625" s="5"/>
      <c r="E625" s="5"/>
      <c r="F625" s="5"/>
      <c r="G625" s="5"/>
      <c r="H625" s="5"/>
      <c r="I625" s="2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 x14ac:dyDescent="0.25">
      <c r="A626" s="5"/>
      <c r="B626" s="24"/>
      <c r="C626" s="5"/>
      <c r="D626" s="5"/>
      <c r="E626" s="5"/>
      <c r="F626" s="5"/>
      <c r="G626" s="5"/>
      <c r="H626" s="5"/>
      <c r="I626" s="2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 x14ac:dyDescent="0.25">
      <c r="A627" s="5"/>
      <c r="B627" s="24"/>
      <c r="C627" s="5"/>
      <c r="D627" s="5"/>
      <c r="E627" s="5"/>
      <c r="F627" s="5"/>
      <c r="G627" s="5"/>
      <c r="H627" s="5"/>
      <c r="I627" s="2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 x14ac:dyDescent="0.25">
      <c r="A628" s="5"/>
      <c r="B628" s="24"/>
      <c r="C628" s="5"/>
      <c r="D628" s="5"/>
      <c r="E628" s="5"/>
      <c r="F628" s="5"/>
      <c r="G628" s="5"/>
      <c r="H628" s="5"/>
      <c r="I628" s="2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 x14ac:dyDescent="0.25">
      <c r="A629" s="5"/>
      <c r="B629" s="24"/>
      <c r="C629" s="5"/>
      <c r="D629" s="5"/>
      <c r="E629" s="5"/>
      <c r="F629" s="5"/>
      <c r="G629" s="5"/>
      <c r="H629" s="5"/>
      <c r="I629" s="2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 x14ac:dyDescent="0.25">
      <c r="A630" s="5"/>
      <c r="B630" s="24"/>
      <c r="C630" s="5"/>
      <c r="D630" s="5"/>
      <c r="E630" s="5"/>
      <c r="F630" s="5"/>
      <c r="G630" s="5"/>
      <c r="H630" s="5"/>
      <c r="I630" s="2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 x14ac:dyDescent="0.25">
      <c r="A631" s="5"/>
      <c r="B631" s="24"/>
      <c r="C631" s="5"/>
      <c r="D631" s="5"/>
      <c r="E631" s="5"/>
      <c r="F631" s="5"/>
      <c r="G631" s="5"/>
      <c r="H631" s="5"/>
      <c r="I631" s="2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 x14ac:dyDescent="0.25">
      <c r="A632" s="5"/>
      <c r="B632" s="24"/>
      <c r="C632" s="5"/>
      <c r="D632" s="5"/>
      <c r="E632" s="5"/>
      <c r="F632" s="5"/>
      <c r="G632" s="5"/>
      <c r="H632" s="5"/>
      <c r="I632" s="2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 x14ac:dyDescent="0.25">
      <c r="A633" s="5"/>
      <c r="B633" s="24"/>
      <c r="C633" s="5"/>
      <c r="D633" s="5"/>
      <c r="E633" s="5"/>
      <c r="F633" s="5"/>
      <c r="G633" s="5"/>
      <c r="H633" s="5"/>
      <c r="I633" s="2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 x14ac:dyDescent="0.25">
      <c r="A634" s="5"/>
      <c r="B634" s="24"/>
      <c r="C634" s="5"/>
      <c r="D634" s="5"/>
      <c r="E634" s="5"/>
      <c r="F634" s="5"/>
      <c r="G634" s="5"/>
      <c r="H634" s="5"/>
      <c r="I634" s="2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 x14ac:dyDescent="0.25">
      <c r="A635" s="5"/>
      <c r="B635" s="24"/>
      <c r="C635" s="5"/>
      <c r="D635" s="5"/>
      <c r="E635" s="5"/>
      <c r="F635" s="5"/>
      <c r="G635" s="5"/>
      <c r="H635" s="5"/>
      <c r="I635" s="2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 x14ac:dyDescent="0.25">
      <c r="A636" s="5"/>
      <c r="B636" s="24"/>
      <c r="C636" s="5"/>
      <c r="D636" s="5"/>
      <c r="E636" s="5"/>
      <c r="F636" s="5"/>
      <c r="G636" s="5"/>
      <c r="H636" s="5"/>
      <c r="I636" s="2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 x14ac:dyDescent="0.25">
      <c r="A637" s="5"/>
      <c r="B637" s="24"/>
      <c r="C637" s="5"/>
      <c r="D637" s="5"/>
      <c r="E637" s="5"/>
      <c r="F637" s="5"/>
      <c r="G637" s="5"/>
      <c r="H637" s="5"/>
      <c r="I637" s="2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 x14ac:dyDescent="0.25">
      <c r="A638" s="5"/>
      <c r="B638" s="24"/>
      <c r="C638" s="5"/>
      <c r="D638" s="5"/>
      <c r="E638" s="5"/>
      <c r="F638" s="5"/>
      <c r="G638" s="5"/>
      <c r="H638" s="5"/>
      <c r="I638" s="2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 x14ac:dyDescent="0.25">
      <c r="A639" s="5"/>
      <c r="B639" s="24"/>
      <c r="C639" s="5"/>
      <c r="D639" s="5"/>
      <c r="E639" s="5"/>
      <c r="F639" s="5"/>
      <c r="G639" s="5"/>
      <c r="H639" s="5"/>
      <c r="I639" s="2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 x14ac:dyDescent="0.25">
      <c r="A640" s="5"/>
      <c r="B640" s="24"/>
      <c r="C640" s="5"/>
      <c r="D640" s="5"/>
      <c r="E640" s="5"/>
      <c r="F640" s="5"/>
      <c r="G640" s="5"/>
      <c r="H640" s="5"/>
      <c r="I640" s="2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 x14ac:dyDescent="0.25">
      <c r="A641" s="5"/>
      <c r="B641" s="24"/>
      <c r="C641" s="5"/>
      <c r="D641" s="5"/>
      <c r="E641" s="5"/>
      <c r="F641" s="5"/>
      <c r="G641" s="5"/>
      <c r="H641" s="5"/>
      <c r="I641" s="2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 x14ac:dyDescent="0.25">
      <c r="A642" s="5"/>
      <c r="B642" s="24"/>
      <c r="C642" s="5"/>
      <c r="D642" s="5"/>
      <c r="E642" s="5"/>
      <c r="F642" s="5"/>
      <c r="G642" s="5"/>
      <c r="H642" s="5"/>
      <c r="I642" s="2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 x14ac:dyDescent="0.25">
      <c r="A643" s="5"/>
      <c r="B643" s="24"/>
      <c r="C643" s="5"/>
      <c r="D643" s="5"/>
      <c r="E643" s="5"/>
      <c r="F643" s="5"/>
      <c r="G643" s="5"/>
      <c r="H643" s="5"/>
      <c r="I643" s="2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 x14ac:dyDescent="0.25">
      <c r="A644" s="5"/>
      <c r="B644" s="24"/>
      <c r="C644" s="5"/>
      <c r="D644" s="5"/>
      <c r="E644" s="5"/>
      <c r="F644" s="5"/>
      <c r="G644" s="5"/>
      <c r="H644" s="5"/>
      <c r="I644" s="2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 x14ac:dyDescent="0.25">
      <c r="A645" s="5"/>
      <c r="B645" s="24"/>
      <c r="C645" s="5"/>
      <c r="D645" s="5"/>
      <c r="E645" s="5"/>
      <c r="F645" s="5"/>
      <c r="G645" s="5"/>
      <c r="H645" s="5"/>
      <c r="I645" s="2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 x14ac:dyDescent="0.25">
      <c r="A646" s="5"/>
      <c r="B646" s="24"/>
      <c r="C646" s="5"/>
      <c r="D646" s="5"/>
      <c r="E646" s="5"/>
      <c r="F646" s="5"/>
      <c r="G646" s="5"/>
      <c r="H646" s="5"/>
      <c r="I646" s="2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 x14ac:dyDescent="0.25">
      <c r="A647" s="5"/>
      <c r="B647" s="24"/>
      <c r="C647" s="5"/>
      <c r="D647" s="5"/>
      <c r="E647" s="5"/>
      <c r="F647" s="5"/>
      <c r="G647" s="5"/>
      <c r="H647" s="5"/>
      <c r="I647" s="2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 x14ac:dyDescent="0.25">
      <c r="A648" s="5"/>
      <c r="B648" s="24"/>
      <c r="C648" s="5"/>
      <c r="D648" s="5"/>
      <c r="E648" s="5"/>
      <c r="F648" s="5"/>
      <c r="G648" s="5"/>
      <c r="H648" s="5"/>
      <c r="I648" s="2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 x14ac:dyDescent="0.25">
      <c r="A649" s="5"/>
      <c r="B649" s="24"/>
      <c r="C649" s="5"/>
      <c r="D649" s="5"/>
      <c r="E649" s="5"/>
      <c r="F649" s="5"/>
      <c r="G649" s="5"/>
      <c r="H649" s="5"/>
      <c r="I649" s="2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 x14ac:dyDescent="0.25">
      <c r="A650" s="5"/>
      <c r="B650" s="24"/>
      <c r="C650" s="5"/>
      <c r="D650" s="5"/>
      <c r="E650" s="5"/>
      <c r="F650" s="5"/>
      <c r="G650" s="5"/>
      <c r="H650" s="5"/>
      <c r="I650" s="2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 x14ac:dyDescent="0.25">
      <c r="A651" s="5"/>
      <c r="B651" s="24"/>
      <c r="C651" s="5"/>
      <c r="D651" s="5"/>
      <c r="E651" s="5"/>
      <c r="F651" s="5"/>
      <c r="G651" s="5"/>
      <c r="H651" s="5"/>
      <c r="I651" s="2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 x14ac:dyDescent="0.25">
      <c r="A652" s="5"/>
      <c r="B652" s="24"/>
      <c r="C652" s="5"/>
      <c r="D652" s="5"/>
      <c r="E652" s="5"/>
      <c r="F652" s="5"/>
      <c r="G652" s="5"/>
      <c r="H652" s="5"/>
      <c r="I652" s="2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 x14ac:dyDescent="0.25">
      <c r="A653" s="5"/>
      <c r="B653" s="24"/>
      <c r="C653" s="5"/>
      <c r="D653" s="5"/>
      <c r="E653" s="5"/>
      <c r="F653" s="5"/>
      <c r="G653" s="5"/>
      <c r="H653" s="5"/>
      <c r="I653" s="2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 x14ac:dyDescent="0.25">
      <c r="A654" s="5"/>
      <c r="B654" s="24"/>
      <c r="C654" s="5"/>
      <c r="D654" s="5"/>
      <c r="E654" s="5"/>
      <c r="F654" s="5"/>
      <c r="G654" s="5"/>
      <c r="H654" s="5"/>
      <c r="I654" s="2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 x14ac:dyDescent="0.25">
      <c r="A655" s="5"/>
      <c r="B655" s="24"/>
      <c r="C655" s="5"/>
      <c r="D655" s="5"/>
      <c r="E655" s="5"/>
      <c r="F655" s="5"/>
      <c r="G655" s="5"/>
      <c r="H655" s="5"/>
      <c r="I655" s="2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 x14ac:dyDescent="0.25">
      <c r="A656" s="5"/>
      <c r="B656" s="24"/>
      <c r="C656" s="5"/>
      <c r="D656" s="5"/>
      <c r="E656" s="5"/>
      <c r="F656" s="5"/>
      <c r="G656" s="5"/>
      <c r="H656" s="5"/>
      <c r="I656" s="2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 x14ac:dyDescent="0.25">
      <c r="A657" s="5"/>
      <c r="B657" s="24"/>
      <c r="C657" s="5"/>
      <c r="D657" s="5"/>
      <c r="E657" s="5"/>
      <c r="F657" s="5"/>
      <c r="G657" s="5"/>
      <c r="H657" s="5"/>
      <c r="I657" s="2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 x14ac:dyDescent="0.25">
      <c r="A658" s="5"/>
      <c r="B658" s="24"/>
      <c r="C658" s="5"/>
      <c r="D658" s="5"/>
      <c r="E658" s="5"/>
      <c r="F658" s="5"/>
      <c r="G658" s="5"/>
      <c r="H658" s="5"/>
      <c r="I658" s="2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 x14ac:dyDescent="0.25">
      <c r="A659" s="5"/>
      <c r="B659" s="24"/>
      <c r="C659" s="5"/>
      <c r="D659" s="5"/>
      <c r="E659" s="5"/>
      <c r="F659" s="5"/>
      <c r="G659" s="5"/>
      <c r="H659" s="5"/>
      <c r="I659" s="2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 x14ac:dyDescent="0.25">
      <c r="A660" s="5"/>
      <c r="B660" s="24"/>
      <c r="C660" s="5"/>
      <c r="D660" s="5"/>
      <c r="E660" s="5"/>
      <c r="F660" s="5"/>
      <c r="G660" s="5"/>
      <c r="H660" s="5"/>
      <c r="I660" s="2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 x14ac:dyDescent="0.25">
      <c r="A661" s="5"/>
      <c r="B661" s="24"/>
      <c r="C661" s="5"/>
      <c r="D661" s="5"/>
      <c r="E661" s="5"/>
      <c r="F661" s="5"/>
      <c r="G661" s="5"/>
      <c r="H661" s="5"/>
      <c r="I661" s="2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 x14ac:dyDescent="0.25">
      <c r="A662" s="5"/>
      <c r="B662" s="24"/>
      <c r="C662" s="5"/>
      <c r="D662" s="5"/>
      <c r="E662" s="5"/>
      <c r="F662" s="5"/>
      <c r="G662" s="5"/>
      <c r="H662" s="5"/>
      <c r="I662" s="2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 x14ac:dyDescent="0.25">
      <c r="A663" s="5"/>
      <c r="B663" s="24"/>
      <c r="C663" s="5"/>
      <c r="D663" s="5"/>
      <c r="E663" s="5"/>
      <c r="F663" s="5"/>
      <c r="G663" s="5"/>
      <c r="H663" s="5"/>
      <c r="I663" s="2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 x14ac:dyDescent="0.25">
      <c r="A664" s="5"/>
      <c r="B664" s="24"/>
      <c r="C664" s="5"/>
      <c r="D664" s="5"/>
      <c r="E664" s="5"/>
      <c r="F664" s="5"/>
      <c r="G664" s="5"/>
      <c r="H664" s="5"/>
      <c r="I664" s="2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 x14ac:dyDescent="0.25">
      <c r="A665" s="5"/>
      <c r="B665" s="24"/>
      <c r="C665" s="5"/>
      <c r="D665" s="5"/>
      <c r="E665" s="5"/>
      <c r="F665" s="5"/>
      <c r="G665" s="5"/>
      <c r="H665" s="5"/>
      <c r="I665" s="2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 x14ac:dyDescent="0.25">
      <c r="A666" s="5"/>
      <c r="B666" s="24"/>
      <c r="C666" s="5"/>
      <c r="D666" s="5"/>
      <c r="E666" s="5"/>
      <c r="F666" s="5"/>
      <c r="G666" s="5"/>
      <c r="H666" s="5"/>
      <c r="I666" s="2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 x14ac:dyDescent="0.25">
      <c r="A667" s="5"/>
      <c r="B667" s="24"/>
      <c r="C667" s="5"/>
      <c r="D667" s="5"/>
      <c r="E667" s="5"/>
      <c r="F667" s="5"/>
      <c r="G667" s="5"/>
      <c r="H667" s="5"/>
      <c r="I667" s="2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 x14ac:dyDescent="0.25">
      <c r="A668" s="5"/>
      <c r="B668" s="24"/>
      <c r="C668" s="5"/>
      <c r="D668" s="5"/>
      <c r="E668" s="5"/>
      <c r="F668" s="5"/>
      <c r="G668" s="5"/>
      <c r="H668" s="5"/>
      <c r="I668" s="2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 x14ac:dyDescent="0.25">
      <c r="A669" s="5"/>
      <c r="B669" s="24"/>
      <c r="C669" s="5"/>
      <c r="D669" s="5"/>
      <c r="E669" s="5"/>
      <c r="F669" s="5"/>
      <c r="G669" s="5"/>
      <c r="H669" s="5"/>
      <c r="I669" s="2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 x14ac:dyDescent="0.25">
      <c r="A670" s="5"/>
      <c r="B670" s="24"/>
      <c r="C670" s="5"/>
      <c r="D670" s="5"/>
      <c r="E670" s="5"/>
      <c r="F670" s="5"/>
      <c r="G670" s="5"/>
      <c r="H670" s="5"/>
      <c r="I670" s="2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 x14ac:dyDescent="0.25">
      <c r="A671" s="5"/>
      <c r="B671" s="24"/>
      <c r="C671" s="5"/>
      <c r="D671" s="5"/>
      <c r="E671" s="5"/>
      <c r="F671" s="5"/>
      <c r="G671" s="5"/>
      <c r="H671" s="5"/>
      <c r="I671" s="2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 x14ac:dyDescent="0.25">
      <c r="A672" s="5"/>
      <c r="B672" s="24"/>
      <c r="C672" s="5"/>
      <c r="D672" s="5"/>
      <c r="E672" s="5"/>
      <c r="F672" s="5"/>
      <c r="G672" s="5"/>
      <c r="H672" s="5"/>
      <c r="I672" s="2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 x14ac:dyDescent="0.25">
      <c r="A673" s="5"/>
      <c r="B673" s="24"/>
      <c r="C673" s="5"/>
      <c r="D673" s="5"/>
      <c r="E673" s="5"/>
      <c r="F673" s="5"/>
      <c r="G673" s="5"/>
      <c r="H673" s="5"/>
      <c r="I673" s="2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 x14ac:dyDescent="0.25">
      <c r="A674" s="5"/>
      <c r="B674" s="24"/>
      <c r="C674" s="5"/>
      <c r="D674" s="5"/>
      <c r="E674" s="5"/>
      <c r="F674" s="5"/>
      <c r="G674" s="5"/>
      <c r="H674" s="5"/>
      <c r="I674" s="2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 x14ac:dyDescent="0.25">
      <c r="A675" s="5"/>
      <c r="B675" s="24"/>
      <c r="C675" s="5"/>
      <c r="D675" s="5"/>
      <c r="E675" s="5"/>
      <c r="F675" s="5"/>
      <c r="G675" s="5"/>
      <c r="H675" s="5"/>
      <c r="I675" s="2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 x14ac:dyDescent="0.25">
      <c r="A676" s="5"/>
      <c r="B676" s="24"/>
      <c r="C676" s="5"/>
      <c r="D676" s="5"/>
      <c r="E676" s="5"/>
      <c r="F676" s="5"/>
      <c r="G676" s="5"/>
      <c r="H676" s="5"/>
      <c r="I676" s="2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 x14ac:dyDescent="0.25">
      <c r="A677" s="5"/>
      <c r="B677" s="24"/>
      <c r="C677" s="5"/>
      <c r="D677" s="5"/>
      <c r="E677" s="5"/>
      <c r="F677" s="5"/>
      <c r="G677" s="5"/>
      <c r="H677" s="5"/>
      <c r="I677" s="2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 x14ac:dyDescent="0.25">
      <c r="A678" s="5"/>
      <c r="B678" s="24"/>
      <c r="C678" s="5"/>
      <c r="D678" s="5"/>
      <c r="E678" s="5"/>
      <c r="F678" s="5"/>
      <c r="G678" s="5"/>
      <c r="H678" s="5"/>
      <c r="I678" s="2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 x14ac:dyDescent="0.25">
      <c r="A679" s="5"/>
      <c r="B679" s="24"/>
      <c r="C679" s="5"/>
      <c r="D679" s="5"/>
      <c r="E679" s="5"/>
      <c r="F679" s="5"/>
      <c r="G679" s="5"/>
      <c r="H679" s="5"/>
      <c r="I679" s="2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 x14ac:dyDescent="0.25">
      <c r="A680" s="5"/>
      <c r="B680" s="24"/>
      <c r="C680" s="5"/>
      <c r="D680" s="5"/>
      <c r="E680" s="5"/>
      <c r="F680" s="5"/>
      <c r="G680" s="5"/>
      <c r="H680" s="5"/>
      <c r="I680" s="2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 x14ac:dyDescent="0.25">
      <c r="A681" s="5"/>
      <c r="B681" s="24"/>
      <c r="C681" s="5"/>
      <c r="D681" s="5"/>
      <c r="E681" s="5"/>
      <c r="F681" s="5"/>
      <c r="G681" s="5"/>
      <c r="H681" s="5"/>
      <c r="I681" s="2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 x14ac:dyDescent="0.25">
      <c r="A682" s="5"/>
      <c r="B682" s="24"/>
      <c r="C682" s="5"/>
      <c r="D682" s="5"/>
      <c r="E682" s="5"/>
      <c r="F682" s="5"/>
      <c r="G682" s="5"/>
      <c r="H682" s="5"/>
      <c r="I682" s="2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 x14ac:dyDescent="0.25">
      <c r="A683" s="5"/>
      <c r="B683" s="24"/>
      <c r="C683" s="5"/>
      <c r="D683" s="5"/>
      <c r="E683" s="5"/>
      <c r="F683" s="5"/>
      <c r="G683" s="5"/>
      <c r="H683" s="5"/>
      <c r="I683" s="2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 x14ac:dyDescent="0.25">
      <c r="A684" s="5"/>
      <c r="B684" s="24"/>
      <c r="C684" s="5"/>
      <c r="D684" s="5"/>
      <c r="E684" s="5"/>
      <c r="F684" s="5"/>
      <c r="G684" s="5"/>
      <c r="H684" s="5"/>
      <c r="I684" s="2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 x14ac:dyDescent="0.25">
      <c r="A685" s="5"/>
      <c r="B685" s="24"/>
      <c r="C685" s="5"/>
      <c r="D685" s="5"/>
      <c r="E685" s="5"/>
      <c r="F685" s="5"/>
      <c r="G685" s="5"/>
      <c r="H685" s="5"/>
      <c r="I685" s="2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 x14ac:dyDescent="0.25">
      <c r="A686" s="5"/>
      <c r="B686" s="24"/>
      <c r="C686" s="5"/>
      <c r="D686" s="5"/>
      <c r="E686" s="5"/>
      <c r="F686" s="5"/>
      <c r="G686" s="5"/>
      <c r="H686" s="5"/>
      <c r="I686" s="2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 x14ac:dyDescent="0.25">
      <c r="A687" s="5"/>
      <c r="B687" s="24"/>
      <c r="C687" s="5"/>
      <c r="D687" s="5"/>
      <c r="E687" s="5"/>
      <c r="F687" s="5"/>
      <c r="G687" s="5"/>
      <c r="H687" s="5"/>
      <c r="I687" s="2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 x14ac:dyDescent="0.25">
      <c r="A688" s="5"/>
      <c r="B688" s="24"/>
      <c r="C688" s="5"/>
      <c r="D688" s="5"/>
      <c r="E688" s="5"/>
      <c r="F688" s="5"/>
      <c r="G688" s="5"/>
      <c r="H688" s="5"/>
      <c r="I688" s="2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 x14ac:dyDescent="0.25">
      <c r="A689" s="5"/>
      <c r="B689" s="24"/>
      <c r="C689" s="5"/>
      <c r="D689" s="5"/>
      <c r="E689" s="5"/>
      <c r="F689" s="5"/>
      <c r="G689" s="5"/>
      <c r="H689" s="5"/>
      <c r="I689" s="2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 x14ac:dyDescent="0.25">
      <c r="A690" s="5"/>
      <c r="B690" s="24"/>
      <c r="C690" s="5"/>
      <c r="D690" s="5"/>
      <c r="E690" s="5"/>
      <c r="F690" s="5"/>
      <c r="G690" s="5"/>
      <c r="H690" s="5"/>
      <c r="I690" s="2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 x14ac:dyDescent="0.25">
      <c r="A691" s="5"/>
      <c r="B691" s="24"/>
      <c r="C691" s="5"/>
      <c r="D691" s="5"/>
      <c r="E691" s="5"/>
      <c r="F691" s="5"/>
      <c r="G691" s="5"/>
      <c r="H691" s="5"/>
      <c r="I691" s="2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 x14ac:dyDescent="0.25">
      <c r="A692" s="5"/>
      <c r="B692" s="24"/>
      <c r="C692" s="5"/>
      <c r="D692" s="5"/>
      <c r="E692" s="5"/>
      <c r="F692" s="5"/>
      <c r="G692" s="5"/>
      <c r="H692" s="5"/>
      <c r="I692" s="2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 x14ac:dyDescent="0.25">
      <c r="A693" s="5"/>
      <c r="B693" s="24"/>
      <c r="C693" s="5"/>
      <c r="D693" s="5"/>
      <c r="E693" s="5"/>
      <c r="F693" s="5"/>
      <c r="G693" s="5"/>
      <c r="H693" s="5"/>
      <c r="I693" s="2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 x14ac:dyDescent="0.25">
      <c r="A694" s="5"/>
      <c r="B694" s="24"/>
      <c r="C694" s="5"/>
      <c r="D694" s="5"/>
      <c r="E694" s="5"/>
      <c r="F694" s="5"/>
      <c r="G694" s="5"/>
      <c r="H694" s="5"/>
      <c r="I694" s="2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 x14ac:dyDescent="0.25">
      <c r="A695" s="5"/>
      <c r="B695" s="24"/>
      <c r="C695" s="5"/>
      <c r="D695" s="5"/>
      <c r="E695" s="5"/>
      <c r="F695" s="5"/>
      <c r="G695" s="5"/>
      <c r="H695" s="5"/>
      <c r="I695" s="2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 x14ac:dyDescent="0.25">
      <c r="A696" s="5"/>
      <c r="B696" s="24"/>
      <c r="C696" s="5"/>
      <c r="D696" s="5"/>
      <c r="E696" s="5"/>
      <c r="F696" s="5"/>
      <c r="G696" s="5"/>
      <c r="H696" s="5"/>
      <c r="I696" s="2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 x14ac:dyDescent="0.25">
      <c r="A697" s="5"/>
      <c r="B697" s="24"/>
      <c r="C697" s="5"/>
      <c r="D697" s="5"/>
      <c r="E697" s="5"/>
      <c r="F697" s="5"/>
      <c r="G697" s="5"/>
      <c r="H697" s="5"/>
      <c r="I697" s="2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 x14ac:dyDescent="0.25">
      <c r="A698" s="5"/>
      <c r="B698" s="24"/>
      <c r="C698" s="5"/>
      <c r="D698" s="5"/>
      <c r="E698" s="5"/>
      <c r="F698" s="5"/>
      <c r="G698" s="5"/>
      <c r="H698" s="5"/>
      <c r="I698" s="2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 x14ac:dyDescent="0.25">
      <c r="A699" s="5"/>
      <c r="B699" s="24"/>
      <c r="C699" s="5"/>
      <c r="D699" s="5"/>
      <c r="E699" s="5"/>
      <c r="F699" s="5"/>
      <c r="G699" s="5"/>
      <c r="H699" s="5"/>
      <c r="I699" s="2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 x14ac:dyDescent="0.25">
      <c r="A700" s="5"/>
      <c r="B700" s="24"/>
      <c r="C700" s="5"/>
      <c r="D700" s="5"/>
      <c r="E700" s="5"/>
      <c r="F700" s="5"/>
      <c r="G700" s="5"/>
      <c r="H700" s="5"/>
      <c r="I700" s="2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 x14ac:dyDescent="0.25">
      <c r="A701" s="5"/>
      <c r="B701" s="24"/>
      <c r="C701" s="5"/>
      <c r="D701" s="5"/>
      <c r="E701" s="5"/>
      <c r="F701" s="5"/>
      <c r="G701" s="5"/>
      <c r="H701" s="5"/>
      <c r="I701" s="2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 x14ac:dyDescent="0.25">
      <c r="A702" s="5"/>
      <c r="B702" s="24"/>
      <c r="C702" s="5"/>
      <c r="D702" s="5"/>
      <c r="E702" s="5"/>
      <c r="F702" s="5"/>
      <c r="G702" s="5"/>
      <c r="H702" s="5"/>
      <c r="I702" s="2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 x14ac:dyDescent="0.25">
      <c r="A703" s="5"/>
      <c r="B703" s="24"/>
      <c r="C703" s="5"/>
      <c r="D703" s="5"/>
      <c r="E703" s="5"/>
      <c r="F703" s="5"/>
      <c r="G703" s="5"/>
      <c r="H703" s="5"/>
      <c r="I703" s="2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 x14ac:dyDescent="0.25">
      <c r="A704" s="5"/>
      <c r="B704" s="24"/>
      <c r="C704" s="5"/>
      <c r="D704" s="5"/>
      <c r="E704" s="5"/>
      <c r="F704" s="5"/>
      <c r="G704" s="5"/>
      <c r="H704" s="5"/>
      <c r="I704" s="2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 x14ac:dyDescent="0.25">
      <c r="A705" s="5"/>
      <c r="B705" s="24"/>
      <c r="C705" s="5"/>
      <c r="D705" s="5"/>
      <c r="E705" s="5"/>
      <c r="F705" s="5"/>
      <c r="G705" s="5"/>
      <c r="H705" s="5"/>
      <c r="I705" s="2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 x14ac:dyDescent="0.25">
      <c r="A706" s="5"/>
      <c r="B706" s="24"/>
      <c r="C706" s="5"/>
      <c r="D706" s="5"/>
      <c r="E706" s="5"/>
      <c r="F706" s="5"/>
      <c r="G706" s="5"/>
      <c r="H706" s="5"/>
      <c r="I706" s="2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 x14ac:dyDescent="0.25">
      <c r="A707" s="5"/>
      <c r="B707" s="24"/>
      <c r="C707" s="5"/>
      <c r="D707" s="5"/>
      <c r="E707" s="5"/>
      <c r="F707" s="5"/>
      <c r="G707" s="5"/>
      <c r="H707" s="5"/>
      <c r="I707" s="2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 x14ac:dyDescent="0.25">
      <c r="A708" s="5"/>
      <c r="B708" s="24"/>
      <c r="C708" s="5"/>
      <c r="D708" s="5"/>
      <c r="E708" s="5"/>
      <c r="F708" s="5"/>
      <c r="G708" s="5"/>
      <c r="H708" s="5"/>
      <c r="I708" s="2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 x14ac:dyDescent="0.25">
      <c r="A709" s="5"/>
      <c r="B709" s="24"/>
      <c r="C709" s="5"/>
      <c r="D709" s="5"/>
      <c r="E709" s="5"/>
      <c r="F709" s="5"/>
      <c r="G709" s="5"/>
      <c r="H709" s="5"/>
      <c r="I709" s="2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 x14ac:dyDescent="0.25">
      <c r="A710" s="5"/>
      <c r="B710" s="24"/>
      <c r="C710" s="5"/>
      <c r="D710" s="5"/>
      <c r="E710" s="5"/>
      <c r="F710" s="5"/>
      <c r="G710" s="5"/>
      <c r="H710" s="5"/>
      <c r="I710" s="2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 x14ac:dyDescent="0.25">
      <c r="A711" s="5"/>
      <c r="B711" s="24"/>
      <c r="C711" s="5"/>
      <c r="D711" s="5"/>
      <c r="E711" s="5"/>
      <c r="F711" s="5"/>
      <c r="G711" s="5"/>
      <c r="H711" s="5"/>
      <c r="I711" s="2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 x14ac:dyDescent="0.25">
      <c r="A712" s="5"/>
      <c r="B712" s="24"/>
      <c r="C712" s="5"/>
      <c r="D712" s="5"/>
      <c r="E712" s="5"/>
      <c r="F712" s="5"/>
      <c r="G712" s="5"/>
      <c r="H712" s="5"/>
      <c r="I712" s="2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 x14ac:dyDescent="0.25">
      <c r="A713" s="5"/>
      <c r="B713" s="24"/>
      <c r="C713" s="5"/>
      <c r="D713" s="5"/>
      <c r="E713" s="5"/>
      <c r="F713" s="5"/>
      <c r="G713" s="5"/>
      <c r="H713" s="5"/>
      <c r="I713" s="2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 x14ac:dyDescent="0.25">
      <c r="A714" s="5"/>
      <c r="B714" s="24"/>
      <c r="C714" s="5"/>
      <c r="D714" s="5"/>
      <c r="E714" s="5"/>
      <c r="F714" s="5"/>
      <c r="G714" s="5"/>
      <c r="H714" s="5"/>
      <c r="I714" s="2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 x14ac:dyDescent="0.25">
      <c r="A715" s="5"/>
      <c r="B715" s="24"/>
      <c r="C715" s="5"/>
      <c r="D715" s="5"/>
      <c r="E715" s="5"/>
      <c r="F715" s="5"/>
      <c r="G715" s="5"/>
      <c r="H715" s="5"/>
      <c r="I715" s="2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 x14ac:dyDescent="0.25">
      <c r="A716" s="5"/>
      <c r="B716" s="24"/>
      <c r="C716" s="5"/>
      <c r="D716" s="5"/>
      <c r="E716" s="5"/>
      <c r="F716" s="5"/>
      <c r="G716" s="5"/>
      <c r="H716" s="5"/>
      <c r="I716" s="2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 x14ac:dyDescent="0.25">
      <c r="A717" s="5"/>
      <c r="B717" s="24"/>
      <c r="C717" s="5"/>
      <c r="D717" s="5"/>
      <c r="E717" s="5"/>
      <c r="F717" s="5"/>
      <c r="G717" s="5"/>
      <c r="H717" s="5"/>
      <c r="I717" s="2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 x14ac:dyDescent="0.25">
      <c r="A718" s="5"/>
      <c r="B718" s="24"/>
      <c r="C718" s="5"/>
      <c r="D718" s="5"/>
      <c r="E718" s="5"/>
      <c r="F718" s="5"/>
      <c r="G718" s="5"/>
      <c r="H718" s="5"/>
      <c r="I718" s="2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 x14ac:dyDescent="0.25">
      <c r="A719" s="5"/>
      <c r="B719" s="24"/>
      <c r="C719" s="5"/>
      <c r="D719" s="5"/>
      <c r="E719" s="5"/>
      <c r="F719" s="5"/>
      <c r="G719" s="5"/>
      <c r="H719" s="5"/>
      <c r="I719" s="2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 x14ac:dyDescent="0.25">
      <c r="A720" s="5"/>
      <c r="B720" s="24"/>
      <c r="C720" s="5"/>
      <c r="D720" s="5"/>
      <c r="E720" s="5"/>
      <c r="F720" s="5"/>
      <c r="G720" s="5"/>
      <c r="H720" s="5"/>
      <c r="I720" s="2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 x14ac:dyDescent="0.25">
      <c r="A721" s="5"/>
      <c r="B721" s="24"/>
      <c r="C721" s="5"/>
      <c r="D721" s="5"/>
      <c r="E721" s="5"/>
      <c r="F721" s="5"/>
      <c r="G721" s="5"/>
      <c r="H721" s="5"/>
      <c r="I721" s="2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 x14ac:dyDescent="0.25">
      <c r="A722" s="5"/>
      <c r="B722" s="24"/>
      <c r="C722" s="5"/>
      <c r="D722" s="5"/>
      <c r="E722" s="5"/>
      <c r="F722" s="5"/>
      <c r="G722" s="5"/>
      <c r="H722" s="5"/>
      <c r="I722" s="2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 x14ac:dyDescent="0.25">
      <c r="A723" s="5"/>
      <c r="B723" s="24"/>
      <c r="C723" s="5"/>
      <c r="D723" s="5"/>
      <c r="E723" s="5"/>
      <c r="F723" s="5"/>
      <c r="G723" s="5"/>
      <c r="H723" s="5"/>
      <c r="I723" s="2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 x14ac:dyDescent="0.25">
      <c r="A724" s="5"/>
      <c r="B724" s="24"/>
      <c r="C724" s="5"/>
      <c r="D724" s="5"/>
      <c r="E724" s="5"/>
      <c r="F724" s="5"/>
      <c r="G724" s="5"/>
      <c r="H724" s="5"/>
      <c r="I724" s="2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 x14ac:dyDescent="0.25">
      <c r="A725" s="5"/>
      <c r="B725" s="24"/>
      <c r="C725" s="5"/>
      <c r="D725" s="5"/>
      <c r="E725" s="5"/>
      <c r="F725" s="5"/>
      <c r="G725" s="5"/>
      <c r="H725" s="5"/>
      <c r="I725" s="2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 x14ac:dyDescent="0.25">
      <c r="A726" s="5"/>
      <c r="B726" s="24"/>
      <c r="C726" s="5"/>
      <c r="D726" s="5"/>
      <c r="E726" s="5"/>
      <c r="F726" s="5"/>
      <c r="G726" s="5"/>
      <c r="H726" s="5"/>
      <c r="I726" s="2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 x14ac:dyDescent="0.25">
      <c r="A727" s="5"/>
      <c r="B727" s="24"/>
      <c r="C727" s="5"/>
      <c r="D727" s="5"/>
      <c r="E727" s="5"/>
      <c r="F727" s="5"/>
      <c r="G727" s="5"/>
      <c r="H727" s="5"/>
      <c r="I727" s="2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 x14ac:dyDescent="0.25">
      <c r="A728" s="5"/>
      <c r="B728" s="24"/>
      <c r="C728" s="5"/>
      <c r="D728" s="5"/>
      <c r="E728" s="5"/>
      <c r="F728" s="5"/>
      <c r="G728" s="5"/>
      <c r="H728" s="5"/>
      <c r="I728" s="2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 x14ac:dyDescent="0.25">
      <c r="A729" s="5"/>
      <c r="B729" s="24"/>
      <c r="C729" s="5"/>
      <c r="D729" s="5"/>
      <c r="E729" s="5"/>
      <c r="F729" s="5"/>
      <c r="G729" s="5"/>
      <c r="H729" s="5"/>
      <c r="I729" s="2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 x14ac:dyDescent="0.25">
      <c r="A730" s="5"/>
      <c r="B730" s="24"/>
      <c r="C730" s="5"/>
      <c r="D730" s="5"/>
      <c r="E730" s="5"/>
      <c r="F730" s="5"/>
      <c r="G730" s="5"/>
      <c r="H730" s="5"/>
      <c r="I730" s="2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 x14ac:dyDescent="0.25">
      <c r="A731" s="5"/>
      <c r="B731" s="24"/>
      <c r="C731" s="5"/>
      <c r="D731" s="5"/>
      <c r="E731" s="5"/>
      <c r="F731" s="5"/>
      <c r="G731" s="5"/>
      <c r="H731" s="5"/>
      <c r="I731" s="2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 x14ac:dyDescent="0.25">
      <c r="A732" s="5"/>
      <c r="B732" s="24"/>
      <c r="C732" s="5"/>
      <c r="D732" s="5"/>
      <c r="E732" s="5"/>
      <c r="F732" s="5"/>
      <c r="G732" s="5"/>
      <c r="H732" s="5"/>
      <c r="I732" s="2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 x14ac:dyDescent="0.25">
      <c r="A733" s="5"/>
      <c r="B733" s="24"/>
      <c r="C733" s="5"/>
      <c r="D733" s="5"/>
      <c r="E733" s="5"/>
      <c r="F733" s="5"/>
      <c r="G733" s="5"/>
      <c r="H733" s="5"/>
      <c r="I733" s="2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 x14ac:dyDescent="0.25">
      <c r="A734" s="5"/>
      <c r="B734" s="24"/>
      <c r="C734" s="5"/>
      <c r="D734" s="5"/>
      <c r="E734" s="5"/>
      <c r="F734" s="5"/>
      <c r="G734" s="5"/>
      <c r="H734" s="5"/>
      <c r="I734" s="2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 x14ac:dyDescent="0.25">
      <c r="A735" s="5"/>
      <c r="B735" s="24"/>
      <c r="C735" s="5"/>
      <c r="D735" s="5"/>
      <c r="E735" s="5"/>
      <c r="F735" s="5"/>
      <c r="G735" s="5"/>
      <c r="H735" s="5"/>
      <c r="I735" s="2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 x14ac:dyDescent="0.25">
      <c r="A736" s="5"/>
      <c r="B736" s="24"/>
      <c r="C736" s="5"/>
      <c r="D736" s="5"/>
      <c r="E736" s="5"/>
      <c r="F736" s="5"/>
      <c r="G736" s="5"/>
      <c r="H736" s="5"/>
      <c r="I736" s="2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 x14ac:dyDescent="0.25">
      <c r="A737" s="5"/>
      <c r="B737" s="24"/>
      <c r="C737" s="5"/>
      <c r="D737" s="5"/>
      <c r="E737" s="5"/>
      <c r="F737" s="5"/>
      <c r="G737" s="5"/>
      <c r="H737" s="5"/>
      <c r="I737" s="2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 x14ac:dyDescent="0.25">
      <c r="A738" s="5"/>
      <c r="B738" s="24"/>
      <c r="C738" s="5"/>
      <c r="D738" s="5"/>
      <c r="E738" s="5"/>
      <c r="F738" s="5"/>
      <c r="G738" s="5"/>
      <c r="H738" s="5"/>
      <c r="I738" s="2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 x14ac:dyDescent="0.25">
      <c r="A739" s="5"/>
      <c r="B739" s="24"/>
      <c r="C739" s="5"/>
      <c r="D739" s="5"/>
      <c r="E739" s="5"/>
      <c r="F739" s="5"/>
      <c r="G739" s="5"/>
      <c r="H739" s="5"/>
      <c r="I739" s="2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 x14ac:dyDescent="0.25">
      <c r="A740" s="5"/>
      <c r="B740" s="24"/>
      <c r="C740" s="5"/>
      <c r="D740" s="5"/>
      <c r="E740" s="5"/>
      <c r="F740" s="5"/>
      <c r="G740" s="5"/>
      <c r="H740" s="5"/>
      <c r="I740" s="2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 x14ac:dyDescent="0.25">
      <c r="A741" s="5"/>
      <c r="B741" s="24"/>
      <c r="C741" s="5"/>
      <c r="D741" s="5"/>
      <c r="E741" s="5"/>
      <c r="F741" s="5"/>
      <c r="G741" s="5"/>
      <c r="H741" s="5"/>
      <c r="I741" s="2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 x14ac:dyDescent="0.25">
      <c r="A742" s="5"/>
      <c r="B742" s="24"/>
      <c r="C742" s="5"/>
      <c r="D742" s="5"/>
      <c r="E742" s="5"/>
      <c r="F742" s="5"/>
      <c r="G742" s="5"/>
      <c r="H742" s="5"/>
      <c r="I742" s="2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 x14ac:dyDescent="0.25">
      <c r="A743" s="5"/>
      <c r="B743" s="24"/>
      <c r="C743" s="5"/>
      <c r="D743" s="5"/>
      <c r="E743" s="5"/>
      <c r="F743" s="5"/>
      <c r="G743" s="5"/>
      <c r="H743" s="5"/>
      <c r="I743" s="2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 x14ac:dyDescent="0.25">
      <c r="A744" s="5"/>
      <c r="B744" s="24"/>
      <c r="C744" s="5"/>
      <c r="D744" s="5"/>
      <c r="E744" s="5"/>
      <c r="F744" s="5"/>
      <c r="G744" s="5"/>
      <c r="H744" s="5"/>
      <c r="I744" s="2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 x14ac:dyDescent="0.25">
      <c r="A745" s="5"/>
      <c r="B745" s="24"/>
      <c r="C745" s="5"/>
      <c r="D745" s="5"/>
      <c r="E745" s="5"/>
      <c r="F745" s="5"/>
      <c r="G745" s="5"/>
      <c r="H745" s="5"/>
      <c r="I745" s="2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 x14ac:dyDescent="0.25">
      <c r="A746" s="5"/>
      <c r="B746" s="24"/>
      <c r="C746" s="5"/>
      <c r="D746" s="5"/>
      <c r="E746" s="5"/>
      <c r="F746" s="5"/>
      <c r="G746" s="5"/>
      <c r="H746" s="5"/>
      <c r="I746" s="2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 x14ac:dyDescent="0.25">
      <c r="A747" s="5"/>
      <c r="B747" s="24"/>
      <c r="C747" s="5"/>
      <c r="D747" s="5"/>
      <c r="E747" s="5"/>
      <c r="F747" s="5"/>
      <c r="G747" s="5"/>
      <c r="H747" s="5"/>
      <c r="I747" s="2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 x14ac:dyDescent="0.25">
      <c r="A748" s="5"/>
      <c r="B748" s="24"/>
      <c r="C748" s="5"/>
      <c r="D748" s="5"/>
      <c r="E748" s="5"/>
      <c r="F748" s="5"/>
      <c r="G748" s="5"/>
      <c r="H748" s="5"/>
      <c r="I748" s="2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 x14ac:dyDescent="0.25">
      <c r="A749" s="5"/>
      <c r="B749" s="24"/>
      <c r="C749" s="5"/>
      <c r="D749" s="5"/>
      <c r="E749" s="5"/>
      <c r="F749" s="5"/>
      <c r="G749" s="5"/>
      <c r="H749" s="5"/>
      <c r="I749" s="2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 x14ac:dyDescent="0.25">
      <c r="A750" s="5"/>
      <c r="B750" s="24"/>
      <c r="C750" s="5"/>
      <c r="D750" s="5"/>
      <c r="E750" s="5"/>
      <c r="F750" s="5"/>
      <c r="G750" s="5"/>
      <c r="H750" s="5"/>
      <c r="I750" s="2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 x14ac:dyDescent="0.25">
      <c r="A751" s="5"/>
      <c r="B751" s="24"/>
      <c r="C751" s="5"/>
      <c r="D751" s="5"/>
      <c r="E751" s="5"/>
      <c r="F751" s="5"/>
      <c r="G751" s="5"/>
      <c r="H751" s="5"/>
      <c r="I751" s="2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 x14ac:dyDescent="0.25">
      <c r="A752" s="5"/>
      <c r="B752" s="24"/>
      <c r="C752" s="5"/>
      <c r="D752" s="5"/>
      <c r="E752" s="5"/>
      <c r="F752" s="5"/>
      <c r="G752" s="5"/>
      <c r="H752" s="5"/>
      <c r="I752" s="2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 x14ac:dyDescent="0.25">
      <c r="A753" s="5"/>
      <c r="B753" s="24"/>
      <c r="C753" s="5"/>
      <c r="D753" s="5"/>
      <c r="E753" s="5"/>
      <c r="F753" s="5"/>
      <c r="G753" s="5"/>
      <c r="H753" s="5"/>
      <c r="I753" s="2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 x14ac:dyDescent="0.25">
      <c r="A754" s="5"/>
      <c r="B754" s="24"/>
      <c r="C754" s="5"/>
      <c r="D754" s="5"/>
      <c r="E754" s="5"/>
      <c r="F754" s="5"/>
      <c r="G754" s="5"/>
      <c r="H754" s="5"/>
      <c r="I754" s="2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 x14ac:dyDescent="0.25">
      <c r="A755" s="5"/>
      <c r="B755" s="24"/>
      <c r="C755" s="5"/>
      <c r="D755" s="5"/>
      <c r="E755" s="5"/>
      <c r="F755" s="5"/>
      <c r="G755" s="5"/>
      <c r="H755" s="5"/>
      <c r="I755" s="2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 x14ac:dyDescent="0.25">
      <c r="A756" s="5"/>
      <c r="B756" s="24"/>
      <c r="C756" s="5"/>
      <c r="D756" s="5"/>
      <c r="E756" s="5"/>
      <c r="F756" s="5"/>
      <c r="G756" s="5"/>
      <c r="H756" s="5"/>
      <c r="I756" s="2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 x14ac:dyDescent="0.25">
      <c r="A757" s="5"/>
      <c r="B757" s="24"/>
      <c r="C757" s="5"/>
      <c r="D757" s="5"/>
      <c r="E757" s="5"/>
      <c r="F757" s="5"/>
      <c r="G757" s="5"/>
      <c r="H757" s="5"/>
      <c r="I757" s="2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 x14ac:dyDescent="0.25">
      <c r="A758" s="5"/>
      <c r="B758" s="24"/>
      <c r="C758" s="5"/>
      <c r="D758" s="5"/>
      <c r="E758" s="5"/>
      <c r="F758" s="5"/>
      <c r="G758" s="5"/>
      <c r="H758" s="5"/>
      <c r="I758" s="2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 x14ac:dyDescent="0.25">
      <c r="A759" s="5"/>
      <c r="B759" s="24"/>
      <c r="C759" s="5"/>
      <c r="D759" s="5"/>
      <c r="E759" s="5"/>
      <c r="F759" s="5"/>
      <c r="G759" s="5"/>
      <c r="H759" s="5"/>
      <c r="I759" s="2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 x14ac:dyDescent="0.25">
      <c r="A760" s="5"/>
      <c r="B760" s="24"/>
      <c r="C760" s="5"/>
      <c r="D760" s="5"/>
      <c r="E760" s="5"/>
      <c r="F760" s="5"/>
      <c r="G760" s="5"/>
      <c r="H760" s="5"/>
      <c r="I760" s="2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 x14ac:dyDescent="0.25">
      <c r="A761" s="5"/>
      <c r="B761" s="24"/>
      <c r="C761" s="5"/>
      <c r="D761" s="5"/>
      <c r="E761" s="5"/>
      <c r="F761" s="5"/>
      <c r="G761" s="5"/>
      <c r="H761" s="5"/>
      <c r="I761" s="2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 x14ac:dyDescent="0.25">
      <c r="A762" s="5"/>
      <c r="B762" s="24"/>
      <c r="C762" s="5"/>
      <c r="D762" s="5"/>
      <c r="E762" s="5"/>
      <c r="F762" s="5"/>
      <c r="G762" s="5"/>
      <c r="H762" s="5"/>
      <c r="I762" s="2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 x14ac:dyDescent="0.25">
      <c r="A763" s="5"/>
      <c r="B763" s="24"/>
      <c r="C763" s="5"/>
      <c r="D763" s="5"/>
      <c r="E763" s="5"/>
      <c r="F763" s="5"/>
      <c r="G763" s="5"/>
      <c r="H763" s="5"/>
      <c r="I763" s="2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 x14ac:dyDescent="0.25">
      <c r="A764" s="5"/>
      <c r="B764" s="24"/>
      <c r="C764" s="5"/>
      <c r="D764" s="5"/>
      <c r="E764" s="5"/>
      <c r="F764" s="5"/>
      <c r="G764" s="5"/>
      <c r="H764" s="5"/>
      <c r="I764" s="2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 x14ac:dyDescent="0.25">
      <c r="A765" s="5"/>
      <c r="B765" s="24"/>
      <c r="C765" s="5"/>
      <c r="D765" s="5"/>
      <c r="E765" s="5"/>
      <c r="F765" s="5"/>
      <c r="G765" s="5"/>
      <c r="H765" s="5"/>
      <c r="I765" s="2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 x14ac:dyDescent="0.25">
      <c r="A766" s="5"/>
      <c r="B766" s="24"/>
      <c r="C766" s="5"/>
      <c r="D766" s="5"/>
      <c r="E766" s="5"/>
      <c r="F766" s="5"/>
      <c r="G766" s="5"/>
      <c r="H766" s="5"/>
      <c r="I766" s="2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 x14ac:dyDescent="0.25">
      <c r="A767" s="5"/>
      <c r="B767" s="24"/>
      <c r="C767" s="5"/>
      <c r="D767" s="5"/>
      <c r="E767" s="5"/>
      <c r="F767" s="5"/>
      <c r="G767" s="5"/>
      <c r="H767" s="5"/>
      <c r="I767" s="2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 x14ac:dyDescent="0.25">
      <c r="A768" s="5"/>
      <c r="B768" s="24"/>
      <c r="C768" s="5"/>
      <c r="D768" s="5"/>
      <c r="E768" s="5"/>
      <c r="F768" s="5"/>
      <c r="G768" s="5"/>
      <c r="H768" s="5"/>
      <c r="I768" s="2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 x14ac:dyDescent="0.25">
      <c r="A769" s="5"/>
      <c r="B769" s="24"/>
      <c r="C769" s="5"/>
      <c r="D769" s="5"/>
      <c r="E769" s="5"/>
      <c r="F769" s="5"/>
      <c r="G769" s="5"/>
      <c r="H769" s="5"/>
      <c r="I769" s="2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 x14ac:dyDescent="0.25">
      <c r="A770" s="5"/>
      <c r="B770" s="24"/>
      <c r="C770" s="5"/>
      <c r="D770" s="5"/>
      <c r="E770" s="5"/>
      <c r="F770" s="5"/>
      <c r="G770" s="5"/>
      <c r="H770" s="5"/>
      <c r="I770" s="2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 x14ac:dyDescent="0.25">
      <c r="A771" s="5"/>
      <c r="B771" s="24"/>
      <c r="C771" s="5"/>
      <c r="D771" s="5"/>
      <c r="E771" s="5"/>
      <c r="F771" s="5"/>
      <c r="G771" s="5"/>
      <c r="H771" s="5"/>
      <c r="I771" s="2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 x14ac:dyDescent="0.25">
      <c r="A772" s="5"/>
      <c r="B772" s="24"/>
      <c r="C772" s="5"/>
      <c r="D772" s="5"/>
      <c r="E772" s="5"/>
      <c r="F772" s="5"/>
      <c r="G772" s="5"/>
      <c r="H772" s="5"/>
      <c r="I772" s="2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 x14ac:dyDescent="0.25">
      <c r="A773" s="5"/>
      <c r="B773" s="24"/>
      <c r="C773" s="5"/>
      <c r="D773" s="5"/>
      <c r="E773" s="5"/>
      <c r="F773" s="5"/>
      <c r="G773" s="5"/>
      <c r="H773" s="5"/>
      <c r="I773" s="2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 x14ac:dyDescent="0.25">
      <c r="A774" s="5"/>
      <c r="B774" s="24"/>
      <c r="C774" s="5"/>
      <c r="D774" s="5"/>
      <c r="E774" s="5"/>
      <c r="F774" s="5"/>
      <c r="G774" s="5"/>
      <c r="H774" s="5"/>
      <c r="I774" s="2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 x14ac:dyDescent="0.25">
      <c r="A775" s="5"/>
      <c r="B775" s="24"/>
      <c r="C775" s="5"/>
      <c r="D775" s="5"/>
      <c r="E775" s="5"/>
      <c r="F775" s="5"/>
      <c r="G775" s="5"/>
      <c r="H775" s="5"/>
      <c r="I775" s="2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 x14ac:dyDescent="0.25">
      <c r="A776" s="5"/>
      <c r="B776" s="24"/>
      <c r="C776" s="5"/>
      <c r="D776" s="5"/>
      <c r="E776" s="5"/>
      <c r="F776" s="5"/>
      <c r="G776" s="5"/>
      <c r="H776" s="5"/>
      <c r="I776" s="2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 x14ac:dyDescent="0.25">
      <c r="A777" s="5"/>
      <c r="B777" s="24"/>
      <c r="C777" s="5"/>
      <c r="D777" s="5"/>
      <c r="E777" s="5"/>
      <c r="F777" s="5"/>
      <c r="G777" s="5"/>
      <c r="H777" s="5"/>
      <c r="I777" s="2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 x14ac:dyDescent="0.25">
      <c r="A778" s="5"/>
      <c r="B778" s="24"/>
      <c r="C778" s="5"/>
      <c r="D778" s="5"/>
      <c r="E778" s="5"/>
      <c r="F778" s="5"/>
      <c r="G778" s="5"/>
      <c r="H778" s="5"/>
      <c r="I778" s="2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 x14ac:dyDescent="0.25">
      <c r="A779" s="5"/>
      <c r="B779" s="24"/>
      <c r="C779" s="5"/>
      <c r="D779" s="5"/>
      <c r="E779" s="5"/>
      <c r="F779" s="5"/>
      <c r="G779" s="5"/>
      <c r="H779" s="5"/>
      <c r="I779" s="2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 x14ac:dyDescent="0.25">
      <c r="A780" s="5"/>
      <c r="B780" s="24"/>
      <c r="C780" s="5"/>
      <c r="D780" s="5"/>
      <c r="E780" s="5"/>
      <c r="F780" s="5"/>
      <c r="G780" s="5"/>
      <c r="H780" s="5"/>
      <c r="I780" s="2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 x14ac:dyDescent="0.25">
      <c r="A781" s="5"/>
      <c r="B781" s="24"/>
      <c r="C781" s="5"/>
      <c r="D781" s="5"/>
      <c r="E781" s="5"/>
      <c r="F781" s="5"/>
      <c r="G781" s="5"/>
      <c r="H781" s="5"/>
      <c r="I781" s="2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 x14ac:dyDescent="0.25">
      <c r="A782" s="5"/>
      <c r="B782" s="24"/>
      <c r="C782" s="5"/>
      <c r="D782" s="5"/>
      <c r="E782" s="5"/>
      <c r="F782" s="5"/>
      <c r="G782" s="5"/>
      <c r="H782" s="5"/>
      <c r="I782" s="2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 x14ac:dyDescent="0.25">
      <c r="A783" s="5"/>
      <c r="B783" s="24"/>
      <c r="C783" s="5"/>
      <c r="D783" s="5"/>
      <c r="E783" s="5"/>
      <c r="F783" s="5"/>
      <c r="G783" s="5"/>
      <c r="H783" s="5"/>
      <c r="I783" s="2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 x14ac:dyDescent="0.25">
      <c r="A784" s="5"/>
      <c r="B784" s="24"/>
      <c r="C784" s="5"/>
      <c r="D784" s="5"/>
      <c r="E784" s="5"/>
      <c r="F784" s="5"/>
      <c r="G784" s="5"/>
      <c r="H784" s="5"/>
      <c r="I784" s="2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 x14ac:dyDescent="0.25">
      <c r="A785" s="5"/>
      <c r="B785" s="24"/>
      <c r="C785" s="5"/>
      <c r="D785" s="5"/>
      <c r="E785" s="5"/>
      <c r="F785" s="5"/>
      <c r="G785" s="5"/>
      <c r="H785" s="5"/>
      <c r="I785" s="2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 x14ac:dyDescent="0.25">
      <c r="A786" s="5"/>
      <c r="B786" s="24"/>
      <c r="C786" s="5"/>
      <c r="D786" s="5"/>
      <c r="E786" s="5"/>
      <c r="F786" s="5"/>
      <c r="G786" s="5"/>
      <c r="H786" s="5"/>
      <c r="I786" s="2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 x14ac:dyDescent="0.25">
      <c r="A787" s="5"/>
      <c r="B787" s="24"/>
      <c r="C787" s="5"/>
      <c r="D787" s="5"/>
      <c r="E787" s="5"/>
      <c r="F787" s="5"/>
      <c r="G787" s="5"/>
      <c r="H787" s="5"/>
      <c r="I787" s="2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 x14ac:dyDescent="0.25">
      <c r="A788" s="5"/>
      <c r="B788" s="24"/>
      <c r="C788" s="5"/>
      <c r="D788" s="5"/>
      <c r="E788" s="5"/>
      <c r="F788" s="5"/>
      <c r="G788" s="5"/>
      <c r="H788" s="5"/>
      <c r="I788" s="2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 x14ac:dyDescent="0.25">
      <c r="A789" s="5"/>
      <c r="B789" s="24"/>
      <c r="C789" s="5"/>
      <c r="D789" s="5"/>
      <c r="E789" s="5"/>
      <c r="F789" s="5"/>
      <c r="G789" s="5"/>
      <c r="H789" s="5"/>
      <c r="I789" s="2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 x14ac:dyDescent="0.25">
      <c r="A790" s="5"/>
      <c r="B790" s="24"/>
      <c r="C790" s="5"/>
      <c r="D790" s="5"/>
      <c r="E790" s="5"/>
      <c r="F790" s="5"/>
      <c r="G790" s="5"/>
      <c r="H790" s="5"/>
      <c r="I790" s="2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 x14ac:dyDescent="0.25">
      <c r="A791" s="5"/>
      <c r="B791" s="24"/>
      <c r="C791" s="5"/>
      <c r="D791" s="5"/>
      <c r="E791" s="5"/>
      <c r="F791" s="5"/>
      <c r="G791" s="5"/>
      <c r="H791" s="5"/>
      <c r="I791" s="2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 x14ac:dyDescent="0.25">
      <c r="A792" s="5"/>
      <c r="B792" s="24"/>
      <c r="C792" s="5"/>
      <c r="D792" s="5"/>
      <c r="E792" s="5"/>
      <c r="F792" s="5"/>
      <c r="G792" s="5"/>
      <c r="H792" s="5"/>
      <c r="I792" s="2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 x14ac:dyDescent="0.25">
      <c r="A793" s="5"/>
      <c r="B793" s="24"/>
      <c r="C793" s="5"/>
      <c r="D793" s="5"/>
      <c r="E793" s="5"/>
      <c r="F793" s="5"/>
      <c r="G793" s="5"/>
      <c r="H793" s="5"/>
      <c r="I793" s="2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 x14ac:dyDescent="0.25">
      <c r="A794" s="5"/>
      <c r="B794" s="24"/>
      <c r="C794" s="5"/>
      <c r="D794" s="5"/>
      <c r="E794" s="5"/>
      <c r="F794" s="5"/>
      <c r="G794" s="5"/>
      <c r="H794" s="5"/>
      <c r="I794" s="2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 x14ac:dyDescent="0.25">
      <c r="A795" s="5"/>
      <c r="B795" s="24"/>
      <c r="C795" s="5"/>
      <c r="D795" s="5"/>
      <c r="E795" s="5"/>
      <c r="F795" s="5"/>
      <c r="G795" s="5"/>
      <c r="H795" s="5"/>
      <c r="I795" s="2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 x14ac:dyDescent="0.25">
      <c r="A796" s="5"/>
      <c r="B796" s="24"/>
      <c r="C796" s="5"/>
      <c r="D796" s="5"/>
      <c r="E796" s="5"/>
      <c r="F796" s="5"/>
      <c r="G796" s="5"/>
      <c r="H796" s="5"/>
      <c r="I796" s="2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 x14ac:dyDescent="0.25">
      <c r="A797" s="5"/>
      <c r="B797" s="24"/>
      <c r="C797" s="5"/>
      <c r="D797" s="5"/>
      <c r="E797" s="5"/>
      <c r="F797" s="5"/>
      <c r="G797" s="5"/>
      <c r="H797" s="5"/>
      <c r="I797" s="2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 x14ac:dyDescent="0.25">
      <c r="A798" s="5"/>
      <c r="B798" s="24"/>
      <c r="C798" s="5"/>
      <c r="D798" s="5"/>
      <c r="E798" s="5"/>
      <c r="F798" s="5"/>
      <c r="G798" s="5"/>
      <c r="H798" s="5"/>
      <c r="I798" s="2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 x14ac:dyDescent="0.25">
      <c r="A799" s="5"/>
      <c r="B799" s="24"/>
      <c r="C799" s="5"/>
      <c r="D799" s="5"/>
      <c r="E799" s="5"/>
      <c r="F799" s="5"/>
      <c r="G799" s="5"/>
      <c r="H799" s="5"/>
      <c r="I799" s="2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 x14ac:dyDescent="0.25">
      <c r="A800" s="5"/>
      <c r="B800" s="24"/>
      <c r="C800" s="5"/>
      <c r="D800" s="5"/>
      <c r="E800" s="5"/>
      <c r="F800" s="5"/>
      <c r="G800" s="5"/>
      <c r="H800" s="5"/>
      <c r="I800" s="2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 x14ac:dyDescent="0.25">
      <c r="A801" s="5"/>
      <c r="B801" s="24"/>
      <c r="C801" s="5"/>
      <c r="D801" s="5"/>
      <c r="E801" s="5"/>
      <c r="F801" s="5"/>
      <c r="G801" s="5"/>
      <c r="H801" s="5"/>
      <c r="I801" s="2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 x14ac:dyDescent="0.25">
      <c r="A802" s="5"/>
      <c r="B802" s="24"/>
      <c r="C802" s="5"/>
      <c r="D802" s="5"/>
      <c r="E802" s="5"/>
      <c r="F802" s="5"/>
      <c r="G802" s="5"/>
      <c r="H802" s="5"/>
      <c r="I802" s="2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 x14ac:dyDescent="0.25">
      <c r="A803" s="5"/>
      <c r="B803" s="24"/>
      <c r="C803" s="5"/>
      <c r="D803" s="5"/>
      <c r="E803" s="5"/>
      <c r="F803" s="5"/>
      <c r="G803" s="5"/>
      <c r="H803" s="5"/>
      <c r="I803" s="2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 x14ac:dyDescent="0.25">
      <c r="A804" s="5"/>
      <c r="B804" s="24"/>
      <c r="C804" s="5"/>
      <c r="D804" s="5"/>
      <c r="E804" s="5"/>
      <c r="F804" s="5"/>
      <c r="G804" s="5"/>
      <c r="H804" s="5"/>
      <c r="I804" s="2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 x14ac:dyDescent="0.25">
      <c r="A805" s="5"/>
      <c r="B805" s="24"/>
      <c r="C805" s="5"/>
      <c r="D805" s="5"/>
      <c r="E805" s="5"/>
      <c r="F805" s="5"/>
      <c r="G805" s="5"/>
      <c r="H805" s="5"/>
      <c r="I805" s="2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 x14ac:dyDescent="0.25">
      <c r="A806" s="5"/>
      <c r="B806" s="24"/>
      <c r="C806" s="5"/>
      <c r="D806" s="5"/>
      <c r="E806" s="5"/>
      <c r="F806" s="5"/>
      <c r="G806" s="5"/>
      <c r="H806" s="5"/>
      <c r="I806" s="2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 x14ac:dyDescent="0.25">
      <c r="A807" s="5"/>
      <c r="B807" s="24"/>
      <c r="C807" s="5"/>
      <c r="D807" s="5"/>
      <c r="E807" s="5"/>
      <c r="F807" s="5"/>
      <c r="G807" s="5"/>
      <c r="H807" s="5"/>
      <c r="I807" s="2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 x14ac:dyDescent="0.25">
      <c r="A808" s="5"/>
      <c r="B808" s="24"/>
      <c r="C808" s="5"/>
      <c r="D808" s="5"/>
      <c r="E808" s="5"/>
      <c r="F808" s="5"/>
      <c r="G808" s="5"/>
      <c r="H808" s="5"/>
      <c r="I808" s="2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 x14ac:dyDescent="0.25">
      <c r="A809" s="5"/>
      <c r="B809" s="24"/>
      <c r="C809" s="5"/>
      <c r="D809" s="5"/>
      <c r="E809" s="5"/>
      <c r="F809" s="5"/>
      <c r="G809" s="5"/>
      <c r="H809" s="5"/>
      <c r="I809" s="2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 x14ac:dyDescent="0.25">
      <c r="A810" s="5"/>
      <c r="B810" s="24"/>
      <c r="C810" s="5"/>
      <c r="D810" s="5"/>
      <c r="E810" s="5"/>
      <c r="F810" s="5"/>
      <c r="G810" s="5"/>
      <c r="H810" s="5"/>
      <c r="I810" s="2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 x14ac:dyDescent="0.25">
      <c r="A811" s="5"/>
      <c r="B811" s="24"/>
      <c r="C811" s="5"/>
      <c r="D811" s="5"/>
      <c r="E811" s="5"/>
      <c r="F811" s="5"/>
      <c r="G811" s="5"/>
      <c r="H811" s="5"/>
      <c r="I811" s="2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 x14ac:dyDescent="0.25">
      <c r="A812" s="5"/>
      <c r="B812" s="24"/>
      <c r="C812" s="5"/>
      <c r="D812" s="5"/>
      <c r="E812" s="5"/>
      <c r="F812" s="5"/>
      <c r="G812" s="5"/>
      <c r="H812" s="5"/>
      <c r="I812" s="2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 x14ac:dyDescent="0.25">
      <c r="A813" s="5"/>
      <c r="B813" s="24"/>
      <c r="C813" s="5"/>
      <c r="D813" s="5"/>
      <c r="E813" s="5"/>
      <c r="F813" s="5"/>
      <c r="G813" s="5"/>
      <c r="H813" s="5"/>
      <c r="I813" s="2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 x14ac:dyDescent="0.25">
      <c r="A814" s="5"/>
      <c r="B814" s="24"/>
      <c r="C814" s="5"/>
      <c r="D814" s="5"/>
      <c r="E814" s="5"/>
      <c r="F814" s="5"/>
      <c r="G814" s="5"/>
      <c r="H814" s="5"/>
      <c r="I814" s="2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 x14ac:dyDescent="0.25">
      <c r="A815" s="5"/>
      <c r="B815" s="24"/>
      <c r="C815" s="5"/>
      <c r="D815" s="5"/>
      <c r="E815" s="5"/>
      <c r="F815" s="5"/>
      <c r="G815" s="5"/>
      <c r="H815" s="5"/>
      <c r="I815" s="2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 x14ac:dyDescent="0.25">
      <c r="A816" s="5"/>
      <c r="B816" s="24"/>
      <c r="C816" s="5"/>
      <c r="D816" s="5"/>
      <c r="E816" s="5"/>
      <c r="F816" s="5"/>
      <c r="G816" s="5"/>
      <c r="H816" s="5"/>
      <c r="I816" s="2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 x14ac:dyDescent="0.25">
      <c r="A817" s="5"/>
      <c r="B817" s="24"/>
      <c r="C817" s="5"/>
      <c r="D817" s="5"/>
      <c r="E817" s="5"/>
      <c r="F817" s="5"/>
      <c r="G817" s="5"/>
      <c r="H817" s="5"/>
      <c r="I817" s="2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 x14ac:dyDescent="0.25">
      <c r="A818" s="5"/>
      <c r="B818" s="24"/>
      <c r="C818" s="5"/>
      <c r="D818" s="5"/>
      <c r="E818" s="5"/>
      <c r="F818" s="5"/>
      <c r="G818" s="5"/>
      <c r="H818" s="5"/>
      <c r="I818" s="2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 x14ac:dyDescent="0.25">
      <c r="A819" s="5"/>
      <c r="B819" s="24"/>
      <c r="C819" s="5"/>
      <c r="D819" s="5"/>
      <c r="E819" s="5"/>
      <c r="F819" s="5"/>
      <c r="G819" s="5"/>
      <c r="H819" s="5"/>
      <c r="I819" s="2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 x14ac:dyDescent="0.25">
      <c r="A820" s="5"/>
      <c r="B820" s="24"/>
      <c r="C820" s="5"/>
      <c r="D820" s="5"/>
      <c r="E820" s="5"/>
      <c r="F820" s="5"/>
      <c r="G820" s="5"/>
      <c r="H820" s="5"/>
      <c r="I820" s="2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 x14ac:dyDescent="0.25">
      <c r="A821" s="5"/>
      <c r="B821" s="24"/>
      <c r="C821" s="5"/>
      <c r="D821" s="5"/>
      <c r="E821" s="5"/>
      <c r="F821" s="5"/>
      <c r="G821" s="5"/>
      <c r="H821" s="5"/>
      <c r="I821" s="2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 x14ac:dyDescent="0.25">
      <c r="A822" s="5"/>
      <c r="B822" s="24"/>
      <c r="C822" s="5"/>
      <c r="D822" s="5"/>
      <c r="E822" s="5"/>
      <c r="F822" s="5"/>
      <c r="G822" s="5"/>
      <c r="H822" s="5"/>
      <c r="I822" s="2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 x14ac:dyDescent="0.25">
      <c r="A823" s="5"/>
      <c r="B823" s="24"/>
      <c r="C823" s="5"/>
      <c r="D823" s="5"/>
      <c r="E823" s="5"/>
      <c r="F823" s="5"/>
      <c r="G823" s="5"/>
      <c r="H823" s="5"/>
      <c r="I823" s="2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 x14ac:dyDescent="0.25">
      <c r="A824" s="5"/>
      <c r="B824" s="24"/>
      <c r="C824" s="5"/>
      <c r="D824" s="5"/>
      <c r="E824" s="5"/>
      <c r="F824" s="5"/>
      <c r="G824" s="5"/>
      <c r="H824" s="5"/>
      <c r="I824" s="2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 x14ac:dyDescent="0.25">
      <c r="A825" s="5"/>
      <c r="B825" s="24"/>
      <c r="C825" s="5"/>
      <c r="D825" s="5"/>
      <c r="E825" s="5"/>
      <c r="F825" s="5"/>
      <c r="G825" s="5"/>
      <c r="H825" s="5"/>
      <c r="I825" s="2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 x14ac:dyDescent="0.25">
      <c r="A826" s="5"/>
      <c r="B826" s="24"/>
      <c r="C826" s="5"/>
      <c r="D826" s="5"/>
      <c r="E826" s="5"/>
      <c r="F826" s="5"/>
      <c r="G826" s="5"/>
      <c r="H826" s="5"/>
      <c r="I826" s="2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 x14ac:dyDescent="0.25">
      <c r="A827" s="5"/>
      <c r="B827" s="24"/>
      <c r="C827" s="5"/>
      <c r="D827" s="5"/>
      <c r="E827" s="5"/>
      <c r="F827" s="5"/>
      <c r="G827" s="5"/>
      <c r="H827" s="5"/>
      <c r="I827" s="2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 x14ac:dyDescent="0.25">
      <c r="A828" s="5"/>
      <c r="B828" s="24"/>
      <c r="C828" s="5"/>
      <c r="D828" s="5"/>
      <c r="E828" s="5"/>
      <c r="F828" s="5"/>
      <c r="G828" s="5"/>
      <c r="H828" s="5"/>
      <c r="I828" s="2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 x14ac:dyDescent="0.25">
      <c r="A829" s="5"/>
      <c r="B829" s="24"/>
      <c r="C829" s="5"/>
      <c r="D829" s="5"/>
      <c r="E829" s="5"/>
      <c r="F829" s="5"/>
      <c r="G829" s="5"/>
      <c r="H829" s="5"/>
      <c r="I829" s="2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 x14ac:dyDescent="0.25">
      <c r="A830" s="5"/>
      <c r="B830" s="24"/>
      <c r="C830" s="5"/>
      <c r="D830" s="5"/>
      <c r="E830" s="5"/>
      <c r="F830" s="5"/>
      <c r="G830" s="5"/>
      <c r="H830" s="5"/>
      <c r="I830" s="2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 x14ac:dyDescent="0.25">
      <c r="A831" s="5"/>
      <c r="B831" s="24"/>
      <c r="C831" s="5"/>
      <c r="D831" s="5"/>
      <c r="E831" s="5"/>
      <c r="F831" s="5"/>
      <c r="G831" s="5"/>
      <c r="H831" s="5"/>
      <c r="I831" s="2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 x14ac:dyDescent="0.25">
      <c r="A832" s="5"/>
      <c r="B832" s="24"/>
      <c r="C832" s="5"/>
      <c r="D832" s="5"/>
      <c r="E832" s="5"/>
      <c r="F832" s="5"/>
      <c r="G832" s="5"/>
      <c r="H832" s="5"/>
      <c r="I832" s="2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 x14ac:dyDescent="0.25">
      <c r="A833" s="5"/>
      <c r="B833" s="24"/>
      <c r="C833" s="5"/>
      <c r="D833" s="5"/>
      <c r="E833" s="5"/>
      <c r="F833" s="5"/>
      <c r="G833" s="5"/>
      <c r="H833" s="5"/>
      <c r="I833" s="2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 x14ac:dyDescent="0.25">
      <c r="A834" s="5"/>
      <c r="B834" s="24"/>
      <c r="C834" s="5"/>
      <c r="D834" s="5"/>
      <c r="E834" s="5"/>
      <c r="F834" s="5"/>
      <c r="G834" s="5"/>
      <c r="H834" s="5"/>
      <c r="I834" s="2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 x14ac:dyDescent="0.25">
      <c r="A835" s="5"/>
      <c r="B835" s="24"/>
      <c r="C835" s="5"/>
      <c r="D835" s="5"/>
      <c r="E835" s="5"/>
      <c r="F835" s="5"/>
      <c r="G835" s="5"/>
      <c r="H835" s="5"/>
      <c r="I835" s="2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 x14ac:dyDescent="0.25">
      <c r="A836" s="5"/>
      <c r="B836" s="24"/>
      <c r="C836" s="5"/>
      <c r="D836" s="5"/>
      <c r="E836" s="5"/>
      <c r="F836" s="5"/>
      <c r="G836" s="5"/>
      <c r="H836" s="5"/>
      <c r="I836" s="2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 x14ac:dyDescent="0.25">
      <c r="A837" s="5"/>
      <c r="B837" s="24"/>
      <c r="C837" s="5"/>
      <c r="D837" s="5"/>
      <c r="E837" s="5"/>
      <c r="F837" s="5"/>
      <c r="G837" s="5"/>
      <c r="H837" s="5"/>
      <c r="I837" s="2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 x14ac:dyDescent="0.25">
      <c r="A838" s="5"/>
      <c r="B838" s="24"/>
      <c r="C838" s="5"/>
      <c r="D838" s="5"/>
      <c r="E838" s="5"/>
      <c r="F838" s="5"/>
      <c r="G838" s="5"/>
      <c r="H838" s="5"/>
      <c r="I838" s="2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 x14ac:dyDescent="0.25">
      <c r="A839" s="5"/>
      <c r="B839" s="24"/>
      <c r="C839" s="5"/>
      <c r="D839" s="5"/>
      <c r="E839" s="5"/>
      <c r="F839" s="5"/>
      <c r="G839" s="5"/>
      <c r="H839" s="5"/>
      <c r="I839" s="2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 x14ac:dyDescent="0.25">
      <c r="A840" s="5"/>
      <c r="B840" s="24"/>
      <c r="C840" s="5"/>
      <c r="D840" s="5"/>
      <c r="E840" s="5"/>
      <c r="F840" s="5"/>
      <c r="G840" s="5"/>
      <c r="H840" s="5"/>
      <c r="I840" s="2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 x14ac:dyDescent="0.25">
      <c r="A841" s="5"/>
      <c r="B841" s="24"/>
      <c r="C841" s="5"/>
      <c r="D841" s="5"/>
      <c r="E841" s="5"/>
      <c r="F841" s="5"/>
      <c r="G841" s="5"/>
      <c r="H841" s="5"/>
      <c r="I841" s="2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 x14ac:dyDescent="0.25">
      <c r="A842" s="5"/>
      <c r="B842" s="24"/>
      <c r="C842" s="5"/>
      <c r="D842" s="5"/>
      <c r="E842" s="5"/>
      <c r="F842" s="5"/>
      <c r="G842" s="5"/>
      <c r="H842" s="5"/>
      <c r="I842" s="2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 x14ac:dyDescent="0.25">
      <c r="A843" s="5"/>
      <c r="B843" s="24"/>
      <c r="C843" s="5"/>
      <c r="D843" s="5"/>
      <c r="E843" s="5"/>
      <c r="F843" s="5"/>
      <c r="G843" s="5"/>
      <c r="H843" s="5"/>
      <c r="I843" s="2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 x14ac:dyDescent="0.25">
      <c r="A844" s="5"/>
      <c r="B844" s="24"/>
      <c r="C844" s="5"/>
      <c r="D844" s="5"/>
      <c r="E844" s="5"/>
      <c r="F844" s="5"/>
      <c r="G844" s="5"/>
      <c r="H844" s="5"/>
      <c r="I844" s="2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 x14ac:dyDescent="0.25">
      <c r="A845" s="5"/>
      <c r="B845" s="24"/>
      <c r="C845" s="5"/>
      <c r="D845" s="5"/>
      <c r="E845" s="5"/>
      <c r="F845" s="5"/>
      <c r="G845" s="5"/>
      <c r="H845" s="5"/>
      <c r="I845" s="2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 x14ac:dyDescent="0.25">
      <c r="A846" s="5"/>
      <c r="B846" s="24"/>
      <c r="C846" s="5"/>
      <c r="D846" s="5"/>
      <c r="E846" s="5"/>
      <c r="F846" s="5"/>
      <c r="G846" s="5"/>
      <c r="H846" s="5"/>
      <c r="I846" s="2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 x14ac:dyDescent="0.25">
      <c r="A847" s="5"/>
      <c r="B847" s="24"/>
      <c r="C847" s="5"/>
      <c r="D847" s="5"/>
      <c r="E847" s="5"/>
      <c r="F847" s="5"/>
      <c r="G847" s="5"/>
      <c r="H847" s="5"/>
      <c r="I847" s="2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 x14ac:dyDescent="0.25">
      <c r="A848" s="5"/>
      <c r="B848" s="24"/>
      <c r="C848" s="5"/>
      <c r="D848" s="5"/>
      <c r="E848" s="5"/>
      <c r="F848" s="5"/>
      <c r="G848" s="5"/>
      <c r="H848" s="5"/>
      <c r="I848" s="2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 x14ac:dyDescent="0.25">
      <c r="A849" s="5"/>
      <c r="B849" s="24"/>
      <c r="C849" s="5"/>
      <c r="D849" s="5"/>
      <c r="E849" s="5"/>
      <c r="F849" s="5"/>
      <c r="G849" s="5"/>
      <c r="H849" s="5"/>
      <c r="I849" s="2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 x14ac:dyDescent="0.25">
      <c r="A850" s="5"/>
      <c r="B850" s="24"/>
      <c r="C850" s="5"/>
      <c r="D850" s="5"/>
      <c r="E850" s="5"/>
      <c r="F850" s="5"/>
      <c r="G850" s="5"/>
      <c r="H850" s="5"/>
      <c r="I850" s="2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 x14ac:dyDescent="0.25">
      <c r="A851" s="5"/>
      <c r="B851" s="24"/>
      <c r="C851" s="5"/>
      <c r="D851" s="5"/>
      <c r="E851" s="5"/>
      <c r="F851" s="5"/>
      <c r="G851" s="5"/>
      <c r="H851" s="5"/>
      <c r="I851" s="2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 x14ac:dyDescent="0.25">
      <c r="A852" s="5"/>
      <c r="B852" s="24"/>
      <c r="C852" s="5"/>
      <c r="D852" s="5"/>
      <c r="E852" s="5"/>
      <c r="F852" s="5"/>
      <c r="G852" s="5"/>
      <c r="H852" s="5"/>
      <c r="I852" s="2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 x14ac:dyDescent="0.25">
      <c r="A853" s="5"/>
      <c r="B853" s="24"/>
      <c r="C853" s="5"/>
      <c r="D853" s="5"/>
      <c r="E853" s="5"/>
      <c r="F853" s="5"/>
      <c r="G853" s="5"/>
      <c r="H853" s="5"/>
      <c r="I853" s="2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 x14ac:dyDescent="0.25">
      <c r="A854" s="5"/>
      <c r="B854" s="24"/>
      <c r="C854" s="5"/>
      <c r="D854" s="5"/>
      <c r="E854" s="5"/>
      <c r="F854" s="5"/>
      <c r="G854" s="5"/>
      <c r="H854" s="5"/>
      <c r="I854" s="2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 x14ac:dyDescent="0.25">
      <c r="A855" s="5"/>
      <c r="B855" s="24"/>
      <c r="C855" s="5"/>
      <c r="D855" s="5"/>
      <c r="E855" s="5"/>
      <c r="F855" s="5"/>
      <c r="G855" s="5"/>
      <c r="H855" s="5"/>
      <c r="I855" s="2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 x14ac:dyDescent="0.25">
      <c r="A856" s="5"/>
      <c r="B856" s="24"/>
      <c r="C856" s="5"/>
      <c r="D856" s="5"/>
      <c r="E856" s="5"/>
      <c r="F856" s="5"/>
      <c r="G856" s="5"/>
      <c r="H856" s="5"/>
      <c r="I856" s="2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 x14ac:dyDescent="0.25">
      <c r="A857" s="5"/>
      <c r="B857" s="24"/>
      <c r="C857" s="5"/>
      <c r="D857" s="5"/>
      <c r="E857" s="5"/>
      <c r="F857" s="5"/>
      <c r="G857" s="5"/>
      <c r="H857" s="5"/>
      <c r="I857" s="2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 x14ac:dyDescent="0.25">
      <c r="A858" s="5"/>
      <c r="B858" s="24"/>
      <c r="C858" s="5"/>
      <c r="D858" s="5"/>
      <c r="E858" s="5"/>
      <c r="F858" s="5"/>
      <c r="G858" s="5"/>
      <c r="H858" s="5"/>
      <c r="I858" s="2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 x14ac:dyDescent="0.25">
      <c r="A859" s="5"/>
      <c r="B859" s="24"/>
      <c r="C859" s="5"/>
      <c r="D859" s="5"/>
      <c r="E859" s="5"/>
      <c r="F859" s="5"/>
      <c r="G859" s="5"/>
      <c r="H859" s="5"/>
      <c r="I859" s="2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 x14ac:dyDescent="0.25">
      <c r="A860" s="5"/>
      <c r="B860" s="24"/>
      <c r="C860" s="5"/>
      <c r="D860" s="5"/>
      <c r="E860" s="5"/>
      <c r="F860" s="5"/>
      <c r="G860" s="5"/>
      <c r="H860" s="5"/>
      <c r="I860" s="2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 x14ac:dyDescent="0.25">
      <c r="A861" s="5"/>
      <c r="B861" s="24"/>
      <c r="C861" s="5"/>
      <c r="D861" s="5"/>
      <c r="E861" s="5"/>
      <c r="F861" s="5"/>
      <c r="G861" s="5"/>
      <c r="H861" s="5"/>
      <c r="I861" s="2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 x14ac:dyDescent="0.25">
      <c r="A862" s="5"/>
      <c r="B862" s="24"/>
      <c r="C862" s="5"/>
      <c r="D862" s="5"/>
      <c r="E862" s="5"/>
      <c r="F862" s="5"/>
      <c r="G862" s="5"/>
      <c r="H862" s="5"/>
      <c r="I862" s="2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 x14ac:dyDescent="0.25">
      <c r="A863" s="5"/>
      <c r="B863" s="24"/>
      <c r="C863" s="5"/>
      <c r="D863" s="5"/>
      <c r="E863" s="5"/>
      <c r="F863" s="5"/>
      <c r="G863" s="5"/>
      <c r="H863" s="5"/>
      <c r="I863" s="2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 x14ac:dyDescent="0.25">
      <c r="A864" s="5"/>
      <c r="B864" s="24"/>
      <c r="C864" s="5"/>
      <c r="D864" s="5"/>
      <c r="E864" s="5"/>
      <c r="F864" s="5"/>
      <c r="G864" s="5"/>
      <c r="H864" s="5"/>
      <c r="I864" s="2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 x14ac:dyDescent="0.25">
      <c r="A865" s="5"/>
      <c r="B865" s="24"/>
      <c r="C865" s="5"/>
      <c r="D865" s="5"/>
      <c r="E865" s="5"/>
      <c r="F865" s="5"/>
      <c r="G865" s="5"/>
      <c r="H865" s="5"/>
      <c r="I865" s="2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 x14ac:dyDescent="0.25">
      <c r="A866" s="5"/>
      <c r="B866" s="24"/>
      <c r="C866" s="5"/>
      <c r="D866" s="5"/>
      <c r="E866" s="5"/>
      <c r="F866" s="5"/>
      <c r="G866" s="5"/>
      <c r="H866" s="5"/>
      <c r="I866" s="2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 x14ac:dyDescent="0.25">
      <c r="A867" s="5"/>
      <c r="B867" s="24"/>
      <c r="C867" s="5"/>
      <c r="D867" s="5"/>
      <c r="E867" s="5"/>
      <c r="F867" s="5"/>
      <c r="G867" s="5"/>
      <c r="H867" s="5"/>
      <c r="I867" s="2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 x14ac:dyDescent="0.25">
      <c r="A868" s="5"/>
      <c r="B868" s="24"/>
      <c r="C868" s="5"/>
      <c r="D868" s="5"/>
      <c r="E868" s="5"/>
      <c r="F868" s="5"/>
      <c r="G868" s="5"/>
      <c r="H868" s="5"/>
      <c r="I868" s="2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 x14ac:dyDescent="0.25">
      <c r="A869" s="5"/>
      <c r="B869" s="24"/>
      <c r="C869" s="5"/>
      <c r="D869" s="5"/>
      <c r="E869" s="5"/>
      <c r="F869" s="5"/>
      <c r="G869" s="5"/>
      <c r="H869" s="5"/>
      <c r="I869" s="2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 x14ac:dyDescent="0.25">
      <c r="A870" s="5"/>
      <c r="B870" s="24"/>
      <c r="C870" s="5"/>
      <c r="D870" s="5"/>
      <c r="E870" s="5"/>
      <c r="F870" s="5"/>
      <c r="G870" s="5"/>
      <c r="H870" s="5"/>
      <c r="I870" s="2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 x14ac:dyDescent="0.25">
      <c r="A871" s="5"/>
      <c r="B871" s="24"/>
      <c r="C871" s="5"/>
      <c r="D871" s="5"/>
      <c r="E871" s="5"/>
      <c r="F871" s="5"/>
      <c r="G871" s="5"/>
      <c r="H871" s="5"/>
      <c r="I871" s="2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 x14ac:dyDescent="0.25">
      <c r="A872" s="5"/>
      <c r="B872" s="24"/>
      <c r="C872" s="5"/>
      <c r="D872" s="5"/>
      <c r="E872" s="5"/>
      <c r="F872" s="5"/>
      <c r="G872" s="5"/>
      <c r="H872" s="5"/>
      <c r="I872" s="2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 x14ac:dyDescent="0.25">
      <c r="A873" s="5"/>
      <c r="B873" s="24"/>
      <c r="C873" s="5"/>
      <c r="D873" s="5"/>
      <c r="E873" s="5"/>
      <c r="F873" s="5"/>
      <c r="G873" s="5"/>
      <c r="H873" s="5"/>
      <c r="I873" s="2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 x14ac:dyDescent="0.25">
      <c r="A874" s="5"/>
      <c r="B874" s="24"/>
      <c r="C874" s="5"/>
      <c r="D874" s="5"/>
      <c r="E874" s="5"/>
      <c r="F874" s="5"/>
      <c r="G874" s="5"/>
      <c r="H874" s="5"/>
      <c r="I874" s="2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 x14ac:dyDescent="0.25">
      <c r="A875" s="5"/>
      <c r="B875" s="24"/>
      <c r="C875" s="5"/>
      <c r="D875" s="5"/>
      <c r="E875" s="5"/>
      <c r="F875" s="5"/>
      <c r="G875" s="5"/>
      <c r="H875" s="5"/>
      <c r="I875" s="2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 x14ac:dyDescent="0.25">
      <c r="A876" s="5"/>
      <c r="B876" s="24"/>
      <c r="C876" s="5"/>
      <c r="D876" s="5"/>
      <c r="E876" s="5"/>
      <c r="F876" s="5"/>
      <c r="G876" s="5"/>
      <c r="H876" s="5"/>
      <c r="I876" s="2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 x14ac:dyDescent="0.25">
      <c r="A877" s="5"/>
      <c r="B877" s="24"/>
      <c r="C877" s="5"/>
      <c r="D877" s="5"/>
      <c r="E877" s="5"/>
      <c r="F877" s="5"/>
      <c r="G877" s="5"/>
      <c r="H877" s="5"/>
      <c r="I877" s="2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 x14ac:dyDescent="0.25">
      <c r="A878" s="5"/>
      <c r="B878" s="24"/>
      <c r="C878" s="5"/>
      <c r="D878" s="5"/>
      <c r="E878" s="5"/>
      <c r="F878" s="5"/>
      <c r="G878" s="5"/>
      <c r="H878" s="5"/>
      <c r="I878" s="2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 x14ac:dyDescent="0.25">
      <c r="A879" s="5"/>
      <c r="B879" s="24"/>
      <c r="C879" s="5"/>
      <c r="D879" s="5"/>
      <c r="E879" s="5"/>
      <c r="F879" s="5"/>
      <c r="G879" s="5"/>
      <c r="H879" s="5"/>
      <c r="I879" s="2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 x14ac:dyDescent="0.25">
      <c r="A880" s="5"/>
      <c r="B880" s="24"/>
      <c r="C880" s="5"/>
      <c r="D880" s="5"/>
      <c r="E880" s="5"/>
      <c r="F880" s="5"/>
      <c r="G880" s="5"/>
      <c r="H880" s="5"/>
      <c r="I880" s="2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 x14ac:dyDescent="0.25">
      <c r="A881" s="5"/>
      <c r="B881" s="24"/>
      <c r="C881" s="5"/>
      <c r="D881" s="5"/>
      <c r="E881" s="5"/>
      <c r="F881" s="5"/>
      <c r="G881" s="5"/>
      <c r="H881" s="5"/>
      <c r="I881" s="2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 x14ac:dyDescent="0.25">
      <c r="A882" s="5"/>
      <c r="B882" s="24"/>
      <c r="C882" s="5"/>
      <c r="D882" s="5"/>
      <c r="E882" s="5"/>
      <c r="F882" s="5"/>
      <c r="G882" s="5"/>
      <c r="H882" s="5"/>
      <c r="I882" s="2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 x14ac:dyDescent="0.25">
      <c r="A883" s="5"/>
      <c r="B883" s="24"/>
      <c r="C883" s="5"/>
      <c r="D883" s="5"/>
      <c r="E883" s="5"/>
      <c r="F883" s="5"/>
      <c r="G883" s="5"/>
      <c r="H883" s="5"/>
      <c r="I883" s="2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 x14ac:dyDescent="0.25">
      <c r="A884" s="5"/>
      <c r="B884" s="24"/>
      <c r="C884" s="5"/>
      <c r="D884" s="5"/>
      <c r="E884" s="5"/>
      <c r="F884" s="5"/>
      <c r="G884" s="5"/>
      <c r="H884" s="5"/>
      <c r="I884" s="2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 x14ac:dyDescent="0.25">
      <c r="A885" s="5"/>
      <c r="B885" s="24"/>
      <c r="C885" s="5"/>
      <c r="D885" s="5"/>
      <c r="E885" s="5"/>
      <c r="F885" s="5"/>
      <c r="G885" s="5"/>
      <c r="H885" s="5"/>
      <c r="I885" s="2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 x14ac:dyDescent="0.25">
      <c r="A886" s="5"/>
      <c r="B886" s="24"/>
      <c r="C886" s="5"/>
      <c r="D886" s="5"/>
      <c r="E886" s="5"/>
      <c r="F886" s="5"/>
      <c r="G886" s="5"/>
      <c r="H886" s="5"/>
      <c r="I886" s="2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 x14ac:dyDescent="0.25">
      <c r="A887" s="5"/>
      <c r="B887" s="24"/>
      <c r="C887" s="5"/>
      <c r="D887" s="5"/>
      <c r="E887" s="5"/>
      <c r="F887" s="5"/>
      <c r="G887" s="5"/>
      <c r="H887" s="5"/>
      <c r="I887" s="2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 x14ac:dyDescent="0.25">
      <c r="A888" s="5"/>
      <c r="B888" s="24"/>
      <c r="C888" s="5"/>
      <c r="D888" s="5"/>
      <c r="E888" s="5"/>
      <c r="F888" s="5"/>
      <c r="G888" s="5"/>
      <c r="H888" s="5"/>
      <c r="I888" s="2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 x14ac:dyDescent="0.25">
      <c r="A889" s="5"/>
      <c r="B889" s="24"/>
      <c r="C889" s="5"/>
      <c r="D889" s="5"/>
      <c r="E889" s="5"/>
      <c r="F889" s="5"/>
      <c r="G889" s="5"/>
      <c r="H889" s="5"/>
      <c r="I889" s="2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 x14ac:dyDescent="0.25">
      <c r="A890" s="5"/>
      <c r="B890" s="24"/>
      <c r="C890" s="5"/>
      <c r="D890" s="5"/>
      <c r="E890" s="5"/>
      <c r="F890" s="5"/>
      <c r="G890" s="5"/>
      <c r="H890" s="5"/>
      <c r="I890" s="2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 x14ac:dyDescent="0.25">
      <c r="A891" s="5"/>
      <c r="B891" s="24"/>
      <c r="C891" s="5"/>
      <c r="D891" s="5"/>
      <c r="E891" s="5"/>
      <c r="F891" s="5"/>
      <c r="G891" s="5"/>
      <c r="H891" s="5"/>
      <c r="I891" s="2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 x14ac:dyDescent="0.25">
      <c r="A892" s="5"/>
      <c r="B892" s="24"/>
      <c r="C892" s="5"/>
      <c r="D892" s="5"/>
      <c r="E892" s="5"/>
      <c r="F892" s="5"/>
      <c r="G892" s="5"/>
      <c r="H892" s="5"/>
      <c r="I892" s="2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 x14ac:dyDescent="0.25">
      <c r="A893" s="5"/>
      <c r="B893" s="24"/>
      <c r="C893" s="5"/>
      <c r="D893" s="5"/>
      <c r="E893" s="5"/>
      <c r="F893" s="5"/>
      <c r="G893" s="5"/>
      <c r="H893" s="5"/>
      <c r="I893" s="2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 x14ac:dyDescent="0.25">
      <c r="A894" s="5"/>
      <c r="B894" s="24"/>
      <c r="C894" s="5"/>
      <c r="D894" s="5"/>
      <c r="E894" s="5"/>
      <c r="F894" s="5"/>
      <c r="G894" s="5"/>
      <c r="H894" s="5"/>
      <c r="I894" s="2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 x14ac:dyDescent="0.25">
      <c r="A895" s="5"/>
      <c r="B895" s="24"/>
      <c r="C895" s="5"/>
      <c r="D895" s="5"/>
      <c r="E895" s="5"/>
      <c r="F895" s="5"/>
      <c r="G895" s="5"/>
      <c r="H895" s="5"/>
      <c r="I895" s="2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 x14ac:dyDescent="0.25">
      <c r="A896" s="5"/>
      <c r="B896" s="24"/>
      <c r="C896" s="5"/>
      <c r="D896" s="5"/>
      <c r="E896" s="5"/>
      <c r="F896" s="5"/>
      <c r="G896" s="5"/>
      <c r="H896" s="5"/>
      <c r="I896" s="2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 x14ac:dyDescent="0.25">
      <c r="A897" s="5"/>
      <c r="B897" s="24"/>
      <c r="C897" s="5"/>
      <c r="D897" s="5"/>
      <c r="E897" s="5"/>
      <c r="F897" s="5"/>
      <c r="G897" s="5"/>
      <c r="H897" s="5"/>
      <c r="I897" s="2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 x14ac:dyDescent="0.25">
      <c r="A898" s="5"/>
      <c r="B898" s="24"/>
      <c r="C898" s="5"/>
      <c r="D898" s="5"/>
      <c r="E898" s="5"/>
      <c r="F898" s="5"/>
      <c r="G898" s="5"/>
      <c r="H898" s="5"/>
      <c r="I898" s="2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 x14ac:dyDescent="0.25">
      <c r="A899" s="5"/>
      <c r="B899" s="24"/>
      <c r="C899" s="5"/>
      <c r="D899" s="5"/>
      <c r="E899" s="5"/>
      <c r="F899" s="5"/>
      <c r="G899" s="5"/>
      <c r="H899" s="5"/>
      <c r="I899" s="2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 x14ac:dyDescent="0.25">
      <c r="A900" s="5"/>
      <c r="B900" s="24"/>
      <c r="C900" s="5"/>
      <c r="D900" s="5"/>
      <c r="E900" s="5"/>
      <c r="F900" s="5"/>
      <c r="G900" s="5"/>
      <c r="H900" s="5"/>
      <c r="I900" s="2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 x14ac:dyDescent="0.25">
      <c r="A901" s="5"/>
      <c r="B901" s="24"/>
      <c r="C901" s="5"/>
      <c r="D901" s="5"/>
      <c r="E901" s="5"/>
      <c r="F901" s="5"/>
      <c r="G901" s="5"/>
      <c r="H901" s="5"/>
      <c r="I901" s="2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 x14ac:dyDescent="0.25">
      <c r="A902" s="5"/>
      <c r="B902" s="24"/>
      <c r="C902" s="5"/>
      <c r="D902" s="5"/>
      <c r="E902" s="5"/>
      <c r="F902" s="5"/>
      <c r="G902" s="5"/>
      <c r="H902" s="5"/>
      <c r="I902" s="2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 x14ac:dyDescent="0.25">
      <c r="A903" s="5"/>
      <c r="B903" s="24"/>
      <c r="C903" s="5"/>
      <c r="D903" s="5"/>
      <c r="E903" s="5"/>
      <c r="F903" s="5"/>
      <c r="G903" s="5"/>
      <c r="H903" s="5"/>
      <c r="I903" s="2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 x14ac:dyDescent="0.25">
      <c r="A904" s="5"/>
      <c r="B904" s="24"/>
      <c r="C904" s="5"/>
      <c r="D904" s="5"/>
      <c r="E904" s="5"/>
      <c r="F904" s="5"/>
      <c r="G904" s="5"/>
      <c r="H904" s="5"/>
      <c r="I904" s="2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 x14ac:dyDescent="0.25">
      <c r="A905" s="5"/>
      <c r="B905" s="24"/>
      <c r="C905" s="5"/>
      <c r="D905" s="5"/>
      <c r="E905" s="5"/>
      <c r="F905" s="5"/>
      <c r="G905" s="5"/>
      <c r="H905" s="5"/>
      <c r="I905" s="2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 x14ac:dyDescent="0.25">
      <c r="A906" s="5"/>
      <c r="B906" s="24"/>
      <c r="C906" s="5"/>
      <c r="D906" s="5"/>
      <c r="E906" s="5"/>
      <c r="F906" s="5"/>
      <c r="G906" s="5"/>
      <c r="H906" s="5"/>
      <c r="I906" s="2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 x14ac:dyDescent="0.25">
      <c r="A907" s="5"/>
      <c r="B907" s="24"/>
      <c r="C907" s="5"/>
      <c r="D907" s="5"/>
      <c r="E907" s="5"/>
      <c r="F907" s="5"/>
      <c r="G907" s="5"/>
      <c r="H907" s="5"/>
      <c r="I907" s="2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 x14ac:dyDescent="0.25">
      <c r="A908" s="5"/>
      <c r="B908" s="24"/>
      <c r="C908" s="5"/>
      <c r="D908" s="5"/>
      <c r="E908" s="5"/>
      <c r="F908" s="5"/>
      <c r="G908" s="5"/>
      <c r="H908" s="5"/>
      <c r="I908" s="2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 x14ac:dyDescent="0.25">
      <c r="A909" s="5"/>
      <c r="B909" s="24"/>
      <c r="C909" s="5"/>
      <c r="D909" s="5"/>
      <c r="E909" s="5"/>
      <c r="F909" s="5"/>
      <c r="G909" s="5"/>
      <c r="H909" s="5"/>
      <c r="I909" s="2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 x14ac:dyDescent="0.25">
      <c r="A910" s="5"/>
      <c r="B910" s="24"/>
      <c r="C910" s="5"/>
      <c r="D910" s="5"/>
      <c r="E910" s="5"/>
      <c r="F910" s="5"/>
      <c r="G910" s="5"/>
      <c r="H910" s="5"/>
      <c r="I910" s="2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 x14ac:dyDescent="0.25">
      <c r="A911" s="5"/>
      <c r="B911" s="24"/>
      <c r="C911" s="5"/>
      <c r="D911" s="5"/>
      <c r="E911" s="5"/>
      <c r="F911" s="5"/>
      <c r="G911" s="5"/>
      <c r="H911" s="5"/>
      <c r="I911" s="2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 x14ac:dyDescent="0.25">
      <c r="A912" s="5"/>
      <c r="B912" s="24"/>
      <c r="C912" s="5"/>
      <c r="D912" s="5"/>
      <c r="E912" s="5"/>
      <c r="F912" s="5"/>
      <c r="G912" s="5"/>
      <c r="H912" s="5"/>
      <c r="I912" s="2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 x14ac:dyDescent="0.25">
      <c r="A913" s="5"/>
      <c r="B913" s="24"/>
      <c r="C913" s="5"/>
      <c r="D913" s="5"/>
      <c r="E913" s="5"/>
      <c r="F913" s="5"/>
      <c r="G913" s="5"/>
      <c r="H913" s="5"/>
      <c r="I913" s="2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 x14ac:dyDescent="0.25">
      <c r="A914" s="5"/>
      <c r="B914" s="24"/>
      <c r="C914" s="5"/>
      <c r="D914" s="5"/>
      <c r="E914" s="5"/>
      <c r="F914" s="5"/>
      <c r="G914" s="5"/>
      <c r="H914" s="5"/>
      <c r="I914" s="2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 x14ac:dyDescent="0.25">
      <c r="A915" s="5"/>
      <c r="B915" s="24"/>
      <c r="C915" s="5"/>
      <c r="D915" s="5"/>
      <c r="E915" s="5"/>
      <c r="F915" s="5"/>
      <c r="G915" s="5"/>
      <c r="H915" s="5"/>
      <c r="I915" s="2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 x14ac:dyDescent="0.25">
      <c r="A916" s="5"/>
      <c r="B916" s="24"/>
      <c r="C916" s="5"/>
      <c r="D916" s="5"/>
      <c r="E916" s="5"/>
      <c r="F916" s="5"/>
      <c r="G916" s="5"/>
      <c r="H916" s="5"/>
      <c r="I916" s="2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 x14ac:dyDescent="0.25">
      <c r="A917" s="5"/>
      <c r="B917" s="24"/>
      <c r="C917" s="5"/>
      <c r="D917" s="5"/>
      <c r="E917" s="5"/>
      <c r="F917" s="5"/>
      <c r="G917" s="5"/>
      <c r="H917" s="5"/>
      <c r="I917" s="2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 x14ac:dyDescent="0.25">
      <c r="A918" s="5"/>
      <c r="B918" s="24"/>
      <c r="C918" s="5"/>
      <c r="D918" s="5"/>
      <c r="E918" s="5"/>
      <c r="F918" s="5"/>
      <c r="G918" s="5"/>
      <c r="H918" s="5"/>
      <c r="I918" s="2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 x14ac:dyDescent="0.25">
      <c r="A919" s="5"/>
      <c r="B919" s="24"/>
      <c r="C919" s="5"/>
      <c r="D919" s="5"/>
      <c r="E919" s="5"/>
      <c r="F919" s="5"/>
      <c r="G919" s="5"/>
      <c r="H919" s="5"/>
      <c r="I919" s="2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 x14ac:dyDescent="0.25">
      <c r="A920" s="5"/>
      <c r="B920" s="24"/>
      <c r="C920" s="5"/>
      <c r="D920" s="5"/>
      <c r="E920" s="5"/>
      <c r="F920" s="5"/>
      <c r="G920" s="5"/>
      <c r="H920" s="5"/>
      <c r="I920" s="2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 x14ac:dyDescent="0.25">
      <c r="A921" s="5"/>
      <c r="B921" s="24"/>
      <c r="C921" s="5"/>
      <c r="D921" s="5"/>
      <c r="E921" s="5"/>
      <c r="F921" s="5"/>
      <c r="G921" s="5"/>
      <c r="H921" s="5"/>
      <c r="I921" s="2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 x14ac:dyDescent="0.25">
      <c r="A922" s="5"/>
      <c r="B922" s="24"/>
      <c r="C922" s="5"/>
      <c r="D922" s="5"/>
      <c r="E922" s="5"/>
      <c r="F922" s="5"/>
      <c r="G922" s="5"/>
      <c r="H922" s="5"/>
      <c r="I922" s="2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 x14ac:dyDescent="0.25">
      <c r="A923" s="5"/>
      <c r="B923" s="24"/>
      <c r="C923" s="5"/>
      <c r="D923" s="5"/>
      <c r="E923" s="5"/>
      <c r="F923" s="5"/>
      <c r="G923" s="5"/>
      <c r="H923" s="5"/>
      <c r="I923" s="2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 x14ac:dyDescent="0.25">
      <c r="A924" s="5"/>
      <c r="B924" s="24"/>
      <c r="C924" s="5"/>
      <c r="D924" s="5"/>
      <c r="E924" s="5"/>
      <c r="F924" s="5"/>
      <c r="G924" s="5"/>
      <c r="H924" s="5"/>
      <c r="I924" s="2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 x14ac:dyDescent="0.25">
      <c r="A925" s="5"/>
      <c r="B925" s="24"/>
      <c r="C925" s="5"/>
      <c r="D925" s="5"/>
      <c r="E925" s="5"/>
      <c r="F925" s="5"/>
      <c r="G925" s="5"/>
      <c r="H925" s="5"/>
      <c r="I925" s="2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 x14ac:dyDescent="0.25">
      <c r="A926" s="5"/>
      <c r="B926" s="24"/>
      <c r="C926" s="5"/>
      <c r="D926" s="5"/>
      <c r="E926" s="5"/>
      <c r="F926" s="5"/>
      <c r="G926" s="5"/>
      <c r="H926" s="5"/>
      <c r="I926" s="2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 x14ac:dyDescent="0.25">
      <c r="A927" s="5"/>
      <c r="B927" s="24"/>
      <c r="C927" s="5"/>
      <c r="D927" s="5"/>
      <c r="E927" s="5"/>
      <c r="F927" s="5"/>
      <c r="G927" s="5"/>
      <c r="H927" s="5"/>
      <c r="I927" s="2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 x14ac:dyDescent="0.25">
      <c r="A928" s="5"/>
      <c r="B928" s="24"/>
      <c r="C928" s="5"/>
      <c r="D928" s="5"/>
      <c r="E928" s="5"/>
      <c r="F928" s="5"/>
      <c r="G928" s="5"/>
      <c r="H928" s="5"/>
      <c r="I928" s="2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 x14ac:dyDescent="0.25">
      <c r="A929" s="5"/>
      <c r="B929" s="24"/>
      <c r="C929" s="5"/>
      <c r="D929" s="5"/>
      <c r="E929" s="5"/>
      <c r="F929" s="5"/>
      <c r="G929" s="5"/>
      <c r="H929" s="5"/>
      <c r="I929" s="2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 x14ac:dyDescent="0.25">
      <c r="A930" s="5"/>
      <c r="B930" s="24"/>
      <c r="C930" s="5"/>
      <c r="D930" s="5"/>
      <c r="E930" s="5"/>
      <c r="F930" s="5"/>
      <c r="G930" s="5"/>
      <c r="H930" s="5"/>
      <c r="I930" s="2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 x14ac:dyDescent="0.25">
      <c r="A931" s="5"/>
      <c r="B931" s="24"/>
      <c r="C931" s="5"/>
      <c r="D931" s="5"/>
      <c r="E931" s="5"/>
      <c r="F931" s="5"/>
      <c r="G931" s="5"/>
      <c r="H931" s="5"/>
      <c r="I931" s="2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 x14ac:dyDescent="0.25">
      <c r="A932" s="5"/>
      <c r="B932" s="24"/>
      <c r="C932" s="5"/>
      <c r="D932" s="5"/>
      <c r="E932" s="5"/>
      <c r="F932" s="5"/>
      <c r="G932" s="5"/>
      <c r="H932" s="5"/>
      <c r="I932" s="2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 x14ac:dyDescent="0.25">
      <c r="A933" s="5"/>
      <c r="B933" s="24"/>
      <c r="C933" s="5"/>
      <c r="D933" s="5"/>
      <c r="E933" s="5"/>
      <c r="F933" s="5"/>
      <c r="G933" s="5"/>
      <c r="H933" s="5"/>
      <c r="I933" s="2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 x14ac:dyDescent="0.25">
      <c r="A934" s="5"/>
      <c r="B934" s="24"/>
      <c r="C934" s="5"/>
      <c r="D934" s="5"/>
      <c r="E934" s="5"/>
      <c r="F934" s="5"/>
      <c r="G934" s="5"/>
      <c r="H934" s="5"/>
      <c r="I934" s="2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 x14ac:dyDescent="0.25">
      <c r="A935" s="5"/>
      <c r="B935" s="24"/>
      <c r="C935" s="5"/>
      <c r="D935" s="5"/>
      <c r="E935" s="5"/>
      <c r="F935" s="5"/>
      <c r="G935" s="5"/>
      <c r="H935" s="5"/>
      <c r="I935" s="2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 x14ac:dyDescent="0.25">
      <c r="A936" s="5"/>
      <c r="B936" s="24"/>
      <c r="C936" s="5"/>
      <c r="D936" s="5"/>
      <c r="E936" s="5"/>
      <c r="F936" s="5"/>
      <c r="G936" s="5"/>
      <c r="H936" s="5"/>
      <c r="I936" s="2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 x14ac:dyDescent="0.25">
      <c r="A937" s="5"/>
      <c r="B937" s="24"/>
      <c r="C937" s="5"/>
      <c r="D937" s="5"/>
      <c r="E937" s="5"/>
      <c r="F937" s="5"/>
      <c r="G937" s="5"/>
      <c r="H937" s="5"/>
      <c r="I937" s="2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 x14ac:dyDescent="0.25">
      <c r="A938" s="5"/>
      <c r="B938" s="24"/>
      <c r="C938" s="5"/>
      <c r="D938" s="5"/>
      <c r="E938" s="5"/>
      <c r="F938" s="5"/>
      <c r="G938" s="5"/>
      <c r="H938" s="5"/>
      <c r="I938" s="2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 x14ac:dyDescent="0.25">
      <c r="A939" s="5"/>
      <c r="B939" s="24"/>
      <c r="C939" s="5"/>
      <c r="D939" s="5"/>
      <c r="E939" s="5"/>
      <c r="F939" s="5"/>
      <c r="G939" s="5"/>
      <c r="H939" s="5"/>
      <c r="I939" s="2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 x14ac:dyDescent="0.25">
      <c r="A940" s="5"/>
      <c r="B940" s="24"/>
      <c r="C940" s="5"/>
      <c r="D940" s="5"/>
      <c r="E940" s="5"/>
      <c r="F940" s="5"/>
      <c r="G940" s="5"/>
      <c r="H940" s="5"/>
      <c r="I940" s="2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 x14ac:dyDescent="0.25">
      <c r="A941" s="5"/>
      <c r="B941" s="24"/>
      <c r="C941" s="5"/>
      <c r="D941" s="5"/>
      <c r="E941" s="5"/>
      <c r="F941" s="5"/>
      <c r="G941" s="5"/>
      <c r="H941" s="5"/>
      <c r="I941" s="2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 x14ac:dyDescent="0.25">
      <c r="A942" s="5"/>
      <c r="B942" s="24"/>
      <c r="C942" s="5"/>
      <c r="D942" s="5"/>
      <c r="E942" s="5"/>
      <c r="F942" s="5"/>
      <c r="G942" s="5"/>
      <c r="H942" s="5"/>
      <c r="I942" s="2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 x14ac:dyDescent="0.25">
      <c r="A943" s="5"/>
      <c r="B943" s="24"/>
      <c r="C943" s="5"/>
      <c r="D943" s="5"/>
      <c r="E943" s="5"/>
      <c r="F943" s="5"/>
      <c r="G943" s="5"/>
      <c r="H943" s="5"/>
      <c r="I943" s="2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 x14ac:dyDescent="0.25">
      <c r="A944" s="5"/>
      <c r="B944" s="24"/>
      <c r="C944" s="5"/>
      <c r="D944" s="5"/>
      <c r="E944" s="5"/>
      <c r="F944" s="5"/>
      <c r="G944" s="5"/>
      <c r="H944" s="5"/>
      <c r="I944" s="2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 x14ac:dyDescent="0.25">
      <c r="A945" s="5"/>
      <c r="B945" s="24"/>
      <c r="C945" s="5"/>
      <c r="D945" s="5"/>
      <c r="E945" s="5"/>
      <c r="F945" s="5"/>
      <c r="G945" s="5"/>
      <c r="H945" s="5"/>
      <c r="I945" s="2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 x14ac:dyDescent="0.25">
      <c r="A946" s="5"/>
      <c r="B946" s="24"/>
      <c r="C946" s="5"/>
      <c r="D946" s="5"/>
      <c r="E946" s="5"/>
      <c r="F946" s="5"/>
      <c r="G946" s="5"/>
      <c r="H946" s="5"/>
      <c r="I946" s="2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 x14ac:dyDescent="0.25">
      <c r="A947" s="5"/>
      <c r="B947" s="24"/>
      <c r="C947" s="5"/>
      <c r="D947" s="5"/>
      <c r="E947" s="5"/>
      <c r="F947" s="5"/>
      <c r="G947" s="5"/>
      <c r="H947" s="5"/>
      <c r="I947" s="2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 x14ac:dyDescent="0.25">
      <c r="A948" s="5"/>
      <c r="B948" s="24"/>
      <c r="C948" s="5"/>
      <c r="D948" s="5"/>
      <c r="E948" s="5"/>
      <c r="F948" s="5"/>
      <c r="G948" s="5"/>
      <c r="H948" s="5"/>
      <c r="I948" s="2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 x14ac:dyDescent="0.25">
      <c r="A949" s="5"/>
      <c r="B949" s="24"/>
      <c r="C949" s="5"/>
      <c r="D949" s="5"/>
      <c r="E949" s="5"/>
      <c r="F949" s="5"/>
      <c r="G949" s="5"/>
      <c r="H949" s="5"/>
      <c r="I949" s="2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 x14ac:dyDescent="0.25">
      <c r="A950" s="5"/>
      <c r="B950" s="24"/>
      <c r="C950" s="5"/>
      <c r="D950" s="5"/>
      <c r="E950" s="5"/>
      <c r="F950" s="5"/>
      <c r="G950" s="5"/>
      <c r="H950" s="5"/>
      <c r="I950" s="2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 x14ac:dyDescent="0.25">
      <c r="A951" s="5"/>
      <c r="B951" s="24"/>
      <c r="C951" s="5"/>
      <c r="D951" s="5"/>
      <c r="E951" s="5"/>
      <c r="F951" s="5"/>
      <c r="G951" s="5"/>
      <c r="H951" s="5"/>
      <c r="I951" s="2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 x14ac:dyDescent="0.25">
      <c r="A952" s="5"/>
      <c r="B952" s="24"/>
      <c r="C952" s="5"/>
      <c r="D952" s="5"/>
      <c r="E952" s="5"/>
      <c r="F952" s="5"/>
      <c r="G952" s="5"/>
      <c r="H952" s="5"/>
      <c r="I952" s="2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 x14ac:dyDescent="0.25">
      <c r="A953" s="5"/>
      <c r="B953" s="24"/>
      <c r="C953" s="5"/>
      <c r="D953" s="5"/>
      <c r="E953" s="5"/>
      <c r="F953" s="5"/>
      <c r="G953" s="5"/>
      <c r="H953" s="5"/>
      <c r="I953" s="2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 x14ac:dyDescent="0.25">
      <c r="A954" s="5"/>
      <c r="B954" s="24"/>
      <c r="C954" s="5"/>
      <c r="D954" s="5"/>
      <c r="E954" s="5"/>
      <c r="F954" s="5"/>
      <c r="G954" s="5"/>
      <c r="H954" s="5"/>
      <c r="I954" s="2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 x14ac:dyDescent="0.25">
      <c r="A955" s="5"/>
      <c r="B955" s="24"/>
      <c r="C955" s="5"/>
      <c r="D955" s="5"/>
      <c r="E955" s="5"/>
      <c r="F955" s="5"/>
      <c r="G955" s="5"/>
      <c r="H955" s="5"/>
      <c r="I955" s="2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 x14ac:dyDescent="0.25">
      <c r="A956" s="5"/>
      <c r="B956" s="24"/>
      <c r="C956" s="5"/>
      <c r="D956" s="5"/>
      <c r="E956" s="5"/>
      <c r="F956" s="5"/>
      <c r="G956" s="5"/>
      <c r="H956" s="5"/>
      <c r="I956" s="2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 x14ac:dyDescent="0.25">
      <c r="A957" s="5"/>
      <c r="B957" s="24"/>
      <c r="C957" s="5"/>
      <c r="D957" s="5"/>
      <c r="E957" s="5"/>
      <c r="F957" s="5"/>
      <c r="G957" s="5"/>
      <c r="H957" s="5"/>
      <c r="I957" s="2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 x14ac:dyDescent="0.25">
      <c r="A958" s="5"/>
      <c r="B958" s="24"/>
      <c r="C958" s="5"/>
      <c r="D958" s="5"/>
      <c r="E958" s="5"/>
      <c r="F958" s="5"/>
      <c r="G958" s="5"/>
      <c r="H958" s="5"/>
      <c r="I958" s="2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 x14ac:dyDescent="0.25">
      <c r="A959" s="5"/>
      <c r="B959" s="24"/>
      <c r="C959" s="5"/>
      <c r="D959" s="5"/>
      <c r="E959" s="5"/>
      <c r="F959" s="5"/>
      <c r="G959" s="5"/>
      <c r="H959" s="5"/>
      <c r="I959" s="2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 x14ac:dyDescent="0.25">
      <c r="A960" s="5"/>
      <c r="B960" s="24"/>
      <c r="C960" s="5"/>
      <c r="D960" s="5"/>
      <c r="E960" s="5"/>
      <c r="F960" s="5"/>
      <c r="G960" s="5"/>
      <c r="H960" s="5"/>
      <c r="I960" s="2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 x14ac:dyDescent="0.25">
      <c r="A961" s="5"/>
      <c r="B961" s="24"/>
      <c r="C961" s="5"/>
      <c r="D961" s="5"/>
      <c r="E961" s="5"/>
      <c r="F961" s="5"/>
      <c r="G961" s="5"/>
      <c r="H961" s="5"/>
      <c r="I961" s="2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 x14ac:dyDescent="0.25">
      <c r="A962" s="5"/>
      <c r="B962" s="24"/>
      <c r="C962" s="5"/>
      <c r="D962" s="5"/>
      <c r="E962" s="5"/>
      <c r="F962" s="5"/>
      <c r="G962" s="5"/>
      <c r="H962" s="5"/>
      <c r="I962" s="2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 x14ac:dyDescent="0.25">
      <c r="A963" s="5"/>
      <c r="B963" s="24"/>
      <c r="C963" s="5"/>
      <c r="D963" s="5"/>
      <c r="E963" s="5"/>
      <c r="F963" s="5"/>
      <c r="G963" s="5"/>
      <c r="H963" s="5"/>
      <c r="I963" s="2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 x14ac:dyDescent="0.25">
      <c r="A964" s="5"/>
      <c r="B964" s="24"/>
      <c r="C964" s="5"/>
      <c r="D964" s="5"/>
      <c r="E964" s="5"/>
      <c r="F964" s="5"/>
      <c r="G964" s="5"/>
      <c r="H964" s="5"/>
      <c r="I964" s="2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 x14ac:dyDescent="0.25">
      <c r="A965" s="5"/>
      <c r="B965" s="24"/>
      <c r="C965" s="5"/>
      <c r="D965" s="5"/>
      <c r="E965" s="5"/>
      <c r="F965" s="5"/>
      <c r="G965" s="5"/>
      <c r="H965" s="5"/>
      <c r="I965" s="2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 x14ac:dyDescent="0.25">
      <c r="A966" s="5"/>
      <c r="B966" s="24"/>
      <c r="C966" s="5"/>
      <c r="D966" s="5"/>
      <c r="E966" s="5"/>
      <c r="F966" s="5"/>
      <c r="G966" s="5"/>
      <c r="H966" s="5"/>
      <c r="I966" s="2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 x14ac:dyDescent="0.25">
      <c r="A967" s="5"/>
      <c r="B967" s="24"/>
      <c r="C967" s="5"/>
      <c r="D967" s="5"/>
      <c r="E967" s="5"/>
      <c r="F967" s="5"/>
      <c r="G967" s="5"/>
      <c r="H967" s="5"/>
      <c r="I967" s="2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 x14ac:dyDescent="0.25">
      <c r="A968" s="5"/>
      <c r="B968" s="24"/>
      <c r="C968" s="5"/>
      <c r="D968" s="5"/>
      <c r="E968" s="5"/>
      <c r="F968" s="5"/>
      <c r="G968" s="5"/>
      <c r="H968" s="5"/>
      <c r="I968" s="2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 x14ac:dyDescent="0.25">
      <c r="A969" s="5"/>
      <c r="B969" s="24"/>
      <c r="C969" s="5"/>
      <c r="D969" s="5"/>
      <c r="E969" s="5"/>
      <c r="F969" s="5"/>
      <c r="G969" s="5"/>
      <c r="H969" s="5"/>
      <c r="I969" s="2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 x14ac:dyDescent="0.25">
      <c r="A970" s="5"/>
      <c r="B970" s="24"/>
      <c r="C970" s="5"/>
      <c r="D970" s="5"/>
      <c r="E970" s="5"/>
      <c r="F970" s="5"/>
      <c r="G970" s="5"/>
      <c r="H970" s="5"/>
      <c r="I970" s="2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 x14ac:dyDescent="0.25">
      <c r="A971" s="5"/>
      <c r="B971" s="24"/>
      <c r="C971" s="5"/>
      <c r="D971" s="5"/>
      <c r="E971" s="5"/>
      <c r="F971" s="5"/>
      <c r="G971" s="5"/>
      <c r="H971" s="5"/>
      <c r="I971" s="2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 x14ac:dyDescent="0.25">
      <c r="A972" s="5"/>
      <c r="B972" s="24"/>
      <c r="C972" s="5"/>
      <c r="D972" s="5"/>
      <c r="E972" s="5"/>
      <c r="F972" s="5"/>
      <c r="G972" s="5"/>
      <c r="H972" s="5"/>
      <c r="I972" s="2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 x14ac:dyDescent="0.25">
      <c r="A973" s="5"/>
      <c r="B973" s="24"/>
      <c r="C973" s="5"/>
      <c r="D973" s="5"/>
      <c r="E973" s="5"/>
      <c r="F973" s="5"/>
      <c r="G973" s="5"/>
      <c r="H973" s="5"/>
      <c r="I973" s="2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 x14ac:dyDescent="0.25">
      <c r="A974" s="5"/>
      <c r="B974" s="24"/>
      <c r="C974" s="5"/>
      <c r="D974" s="5"/>
      <c r="E974" s="5"/>
      <c r="F974" s="5"/>
      <c r="G974" s="5"/>
      <c r="H974" s="5"/>
      <c r="I974" s="2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 x14ac:dyDescent="0.25">
      <c r="A975" s="5"/>
      <c r="B975" s="24"/>
      <c r="C975" s="5"/>
      <c r="D975" s="5"/>
      <c r="E975" s="5"/>
      <c r="F975" s="5"/>
      <c r="G975" s="5"/>
      <c r="H975" s="5"/>
      <c r="I975" s="2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 x14ac:dyDescent="0.25">
      <c r="A976" s="5"/>
      <c r="B976" s="24"/>
      <c r="C976" s="5"/>
      <c r="D976" s="5"/>
      <c r="E976" s="5"/>
      <c r="F976" s="5"/>
      <c r="G976" s="5"/>
      <c r="H976" s="5"/>
      <c r="I976" s="2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 x14ac:dyDescent="0.25">
      <c r="A977" s="5"/>
      <c r="B977" s="24"/>
      <c r="C977" s="5"/>
      <c r="D977" s="5"/>
      <c r="E977" s="5"/>
      <c r="F977" s="5"/>
      <c r="G977" s="5"/>
      <c r="H977" s="5"/>
      <c r="I977" s="2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 x14ac:dyDescent="0.25">
      <c r="A978" s="5"/>
      <c r="B978" s="24"/>
      <c r="C978" s="5"/>
      <c r="D978" s="5"/>
      <c r="E978" s="5"/>
      <c r="F978" s="5"/>
      <c r="G978" s="5"/>
      <c r="H978" s="5"/>
      <c r="I978" s="2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 x14ac:dyDescent="0.25">
      <c r="A979" s="5"/>
      <c r="B979" s="24"/>
      <c r="C979" s="5"/>
      <c r="D979" s="5"/>
      <c r="E979" s="5"/>
      <c r="F979" s="5"/>
      <c r="G979" s="5"/>
      <c r="H979" s="5"/>
      <c r="I979" s="2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 x14ac:dyDescent="0.25">
      <c r="A980" s="5"/>
      <c r="B980" s="24"/>
      <c r="C980" s="5"/>
      <c r="D980" s="5"/>
      <c r="E980" s="5"/>
      <c r="F980" s="5"/>
      <c r="G980" s="5"/>
      <c r="H980" s="5"/>
      <c r="I980" s="2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 x14ac:dyDescent="0.25">
      <c r="A981" s="5"/>
      <c r="B981" s="24"/>
      <c r="C981" s="5"/>
      <c r="D981" s="5"/>
      <c r="E981" s="5"/>
      <c r="F981" s="5"/>
      <c r="G981" s="5"/>
      <c r="H981" s="5"/>
      <c r="I981" s="2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 x14ac:dyDescent="0.25">
      <c r="A982" s="5"/>
      <c r="B982" s="24"/>
      <c r="C982" s="5"/>
      <c r="D982" s="5"/>
      <c r="E982" s="5"/>
      <c r="F982" s="5"/>
      <c r="G982" s="5"/>
      <c r="H982" s="5"/>
      <c r="I982" s="2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 x14ac:dyDescent="0.25">
      <c r="A983" s="5"/>
      <c r="B983" s="24"/>
      <c r="C983" s="5"/>
      <c r="D983" s="5"/>
      <c r="E983" s="5"/>
      <c r="F983" s="5"/>
      <c r="G983" s="5"/>
      <c r="H983" s="5"/>
      <c r="I983" s="2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 x14ac:dyDescent="0.25">
      <c r="A984" s="5"/>
      <c r="B984" s="24"/>
      <c r="C984" s="5"/>
      <c r="D984" s="5"/>
      <c r="E984" s="5"/>
      <c r="F984" s="5"/>
      <c r="G984" s="5"/>
      <c r="H984" s="5"/>
      <c r="I984" s="2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 x14ac:dyDescent="0.25">
      <c r="A985" s="5"/>
      <c r="B985" s="24"/>
      <c r="C985" s="5"/>
      <c r="D985" s="5"/>
      <c r="E985" s="5"/>
      <c r="F985" s="5"/>
      <c r="G985" s="5"/>
      <c r="H985" s="5"/>
      <c r="I985" s="2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 x14ac:dyDescent="0.25">
      <c r="A986" s="5"/>
      <c r="B986" s="24"/>
      <c r="C986" s="5"/>
      <c r="D986" s="5"/>
      <c r="E986" s="5"/>
      <c r="F986" s="5"/>
      <c r="G986" s="5"/>
      <c r="H986" s="5"/>
      <c r="I986" s="2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 x14ac:dyDescent="0.25">
      <c r="A987" s="5"/>
      <c r="B987" s="24"/>
      <c r="C987" s="5"/>
      <c r="D987" s="5"/>
      <c r="E987" s="5"/>
      <c r="F987" s="5"/>
      <c r="G987" s="5"/>
      <c r="H987" s="5"/>
      <c r="I987" s="2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 x14ac:dyDescent="0.25">
      <c r="A988" s="5"/>
      <c r="B988" s="24"/>
      <c r="C988" s="5"/>
      <c r="D988" s="5"/>
      <c r="E988" s="5"/>
      <c r="F988" s="5"/>
      <c r="G988" s="5"/>
      <c r="H988" s="5"/>
      <c r="I988" s="2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 x14ac:dyDescent="0.25">
      <c r="A989" s="5"/>
      <c r="B989" s="24"/>
      <c r="C989" s="5"/>
      <c r="D989" s="5"/>
      <c r="E989" s="5"/>
      <c r="F989" s="5"/>
      <c r="G989" s="5"/>
      <c r="H989" s="5"/>
      <c r="I989" s="2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 x14ac:dyDescent="0.25">
      <c r="A990" s="5"/>
      <c r="B990" s="24"/>
      <c r="C990" s="5"/>
      <c r="D990" s="5"/>
      <c r="E990" s="5"/>
      <c r="F990" s="5"/>
      <c r="G990" s="5"/>
      <c r="H990" s="5"/>
      <c r="I990" s="2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 x14ac:dyDescent="0.25">
      <c r="A991" s="5"/>
      <c r="B991" s="24"/>
      <c r="C991" s="5"/>
      <c r="D991" s="5"/>
      <c r="E991" s="5"/>
      <c r="F991" s="5"/>
      <c r="G991" s="5"/>
      <c r="H991" s="5"/>
      <c r="I991" s="2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 x14ac:dyDescent="0.25">
      <c r="A992" s="5"/>
      <c r="B992" s="24"/>
      <c r="C992" s="5"/>
      <c r="D992" s="5"/>
      <c r="E992" s="5"/>
      <c r="F992" s="5"/>
      <c r="G992" s="5"/>
      <c r="H992" s="5"/>
      <c r="I992" s="2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 x14ac:dyDescent="0.25">
      <c r="A993" s="5"/>
      <c r="B993" s="24"/>
      <c r="C993" s="5"/>
      <c r="D993" s="5"/>
      <c r="E993" s="5"/>
      <c r="F993" s="5"/>
      <c r="G993" s="5"/>
      <c r="H993" s="5"/>
      <c r="I993" s="2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 x14ac:dyDescent="0.25">
      <c r="A994" s="5"/>
      <c r="B994" s="24"/>
      <c r="C994" s="5"/>
      <c r="D994" s="5"/>
      <c r="E994" s="5"/>
      <c r="F994" s="5"/>
      <c r="G994" s="5"/>
      <c r="H994" s="5"/>
      <c r="I994" s="2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 x14ac:dyDescent="0.25">
      <c r="A995" s="5"/>
      <c r="B995" s="24"/>
      <c r="C995" s="5"/>
      <c r="D995" s="5"/>
      <c r="E995" s="5"/>
      <c r="F995" s="5"/>
      <c r="G995" s="5"/>
      <c r="H995" s="5"/>
      <c r="I995" s="2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 x14ac:dyDescent="0.25">
      <c r="A996" s="5"/>
      <c r="B996" s="24"/>
      <c r="C996" s="5"/>
      <c r="D996" s="5"/>
      <c r="E996" s="5"/>
      <c r="F996" s="5"/>
      <c r="G996" s="5"/>
      <c r="H996" s="5"/>
      <c r="I996" s="2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 x14ac:dyDescent="0.25">
      <c r="A997" s="5"/>
      <c r="B997" s="24"/>
      <c r="C997" s="5"/>
      <c r="D997" s="5"/>
      <c r="E997" s="5"/>
      <c r="F997" s="5"/>
      <c r="G997" s="5"/>
      <c r="H997" s="5"/>
      <c r="I997" s="2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 x14ac:dyDescent="0.25">
      <c r="A998" s="5"/>
      <c r="B998" s="24"/>
      <c r="C998" s="5"/>
      <c r="D998" s="5"/>
      <c r="E998" s="5"/>
      <c r="F998" s="5"/>
      <c r="G998" s="5"/>
      <c r="H998" s="5"/>
      <c r="I998" s="2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 x14ac:dyDescent="0.25">
      <c r="A999" s="5"/>
      <c r="B999" s="24"/>
      <c r="C999" s="5"/>
      <c r="D999" s="5"/>
      <c r="E999" s="5"/>
      <c r="F999" s="5"/>
      <c r="G999" s="5"/>
      <c r="H999" s="5"/>
      <c r="I999" s="2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 x14ac:dyDescent="0.25">
      <c r="A1000" s="5"/>
      <c r="B1000" s="24"/>
      <c r="C1000" s="5"/>
      <c r="D1000" s="5"/>
      <c r="E1000" s="5"/>
      <c r="F1000" s="5"/>
      <c r="G1000" s="5"/>
      <c r="H1000" s="5"/>
      <c r="I1000" s="2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conditionalFormatting sqref="B1">
    <cfRule type="notContainsBlanks" dxfId="9" priority="4">
      <formula>LEN(TRIM(B1))&gt;0</formula>
    </cfRule>
  </conditionalFormatting>
  <conditionalFormatting sqref="B2:B133">
    <cfRule type="cellIs" dxfId="8" priority="5" operator="lessThanOrEqual">
      <formula>150000</formula>
    </cfRule>
  </conditionalFormatting>
  <conditionalFormatting sqref="D2:D133">
    <cfRule type="cellIs" dxfId="7" priority="1" operator="lessThan">
      <formula>1700</formula>
    </cfRule>
    <cfRule type="cellIs" dxfId="6" priority="2" operator="between">
      <formula>1700</formula>
      <formula>3000</formula>
    </cfRule>
    <cfRule type="cellIs" dxfId="5" priority="3" operator="greaterThan">
      <formula>3000</formula>
    </cfRule>
  </conditionalFormatting>
  <dataValidations count="1">
    <dataValidation type="custom" allowBlank="1" showDropDown="1" sqref="B2:B133 D2:E133 H2:H133" xr:uid="{00000000-0002-0000-0100-000000000000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"/>
  <sheetViews>
    <sheetView showGridLines="0" workbookViewId="0"/>
  </sheetViews>
  <sheetFormatPr defaultColWidth="10.09765625" defaultRowHeight="15" customHeight="1" x14ac:dyDescent="0.25"/>
  <cols>
    <col min="2" max="5" width="12.796875" customWidth="1"/>
  </cols>
  <sheetData>
    <row r="1" spans="1:5" x14ac:dyDescent="0.25">
      <c r="A1" s="98" t="s">
        <v>293</v>
      </c>
      <c r="B1" s="98" t="s">
        <v>144</v>
      </c>
      <c r="C1" s="99"/>
      <c r="D1" s="99"/>
      <c r="E1" s="100"/>
    </row>
    <row r="2" spans="1:5" x14ac:dyDescent="0.25">
      <c r="A2" s="98" t="s">
        <v>141</v>
      </c>
      <c r="B2" s="101">
        <v>2</v>
      </c>
      <c r="C2" s="102">
        <v>3</v>
      </c>
      <c r="D2" s="102">
        <v>4</v>
      </c>
      <c r="E2" s="103" t="s">
        <v>462</v>
      </c>
    </row>
    <row r="3" spans="1:5" x14ac:dyDescent="0.25">
      <c r="A3" s="101" t="s">
        <v>149</v>
      </c>
      <c r="B3" s="104">
        <v>129.5025</v>
      </c>
      <c r="C3" s="105">
        <v>85.87</v>
      </c>
      <c r="D3" s="105">
        <v>58.289687499999992</v>
      </c>
      <c r="E3" s="106">
        <v>74.79278409090908</v>
      </c>
    </row>
    <row r="4" spans="1:5" x14ac:dyDescent="0.25">
      <c r="A4" s="107" t="s">
        <v>167</v>
      </c>
      <c r="B4" s="108">
        <v>92.651250000000005</v>
      </c>
      <c r="C4" s="109">
        <v>65.480454545454549</v>
      </c>
      <c r="D4" s="109">
        <v>54.069166666666668</v>
      </c>
      <c r="E4" s="110">
        <v>63.282272727272726</v>
      </c>
    </row>
    <row r="5" spans="1:5" x14ac:dyDescent="0.25">
      <c r="A5" s="107" t="s">
        <v>151</v>
      </c>
      <c r="B5" s="108">
        <v>128.495</v>
      </c>
      <c r="C5" s="109">
        <v>81.498999999999995</v>
      </c>
      <c r="D5" s="109">
        <v>58.796666666666674</v>
      </c>
      <c r="E5" s="110">
        <v>78.620227272727277</v>
      </c>
    </row>
    <row r="6" spans="1:5" x14ac:dyDescent="0.25">
      <c r="A6" s="107" t="s">
        <v>169</v>
      </c>
      <c r="B6" s="108">
        <v>117.645</v>
      </c>
      <c r="C6" s="109">
        <v>76.694000000000003</v>
      </c>
      <c r="D6" s="109">
        <v>59.299124999999982</v>
      </c>
      <c r="E6" s="110">
        <v>72.510056818181823</v>
      </c>
    </row>
    <row r="7" spans="1:5" x14ac:dyDescent="0.25">
      <c r="A7" s="107" t="s">
        <v>159</v>
      </c>
      <c r="B7" s="108">
        <v>127.17750000000001</v>
      </c>
      <c r="C7" s="109">
        <v>74.012500000000003</v>
      </c>
      <c r="D7" s="109">
        <v>54.718875000000004</v>
      </c>
      <c r="E7" s="110">
        <v>70.075852272727261</v>
      </c>
    </row>
    <row r="8" spans="1:5" x14ac:dyDescent="0.25">
      <c r="A8" s="107" t="s">
        <v>154</v>
      </c>
      <c r="B8" s="108">
        <v>105.78749999999999</v>
      </c>
      <c r="C8" s="109">
        <v>76.864499999999992</v>
      </c>
      <c r="D8" s="109">
        <v>60.066374999999994</v>
      </c>
      <c r="E8" s="110">
        <v>71.858352272727274</v>
      </c>
    </row>
    <row r="9" spans="1:5" x14ac:dyDescent="0.25">
      <c r="A9" s="115" t="s">
        <v>462</v>
      </c>
      <c r="B9" s="116">
        <v>117.77019230769231</v>
      </c>
      <c r="C9" s="117">
        <v>76.236355932203381</v>
      </c>
      <c r="D9" s="117">
        <v>57.601875000000014</v>
      </c>
      <c r="E9" s="118">
        <v>71.856590909090912</v>
      </c>
    </row>
  </sheetData>
  <conditionalFormatting sqref="A4">
    <cfRule type="notContainsBlanks" dxfId="4" priority="2">
      <formula>LEN(TRIM(A4))&gt;0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135"/>
  </sheetPr>
  <dimension ref="A1:Z1000"/>
  <sheetViews>
    <sheetView workbookViewId="0"/>
  </sheetViews>
  <sheetFormatPr defaultColWidth="10.09765625" defaultRowHeight="15" customHeight="1" x14ac:dyDescent="0.25"/>
  <cols>
    <col min="1" max="1" width="12.69921875" customWidth="1"/>
    <col min="2" max="2" width="9.796875" customWidth="1"/>
    <col min="3" max="5" width="7.3984375" customWidth="1"/>
    <col min="6" max="6" width="9.09765625" customWidth="1"/>
    <col min="7" max="7" width="0.796875" customWidth="1"/>
    <col min="8" max="8" width="15.69921875" customWidth="1"/>
    <col min="9" max="9" width="11.5" customWidth="1"/>
    <col min="10" max="26" width="7.3984375" customWidth="1"/>
  </cols>
  <sheetData>
    <row r="1" spans="1:26" ht="14.2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85" t="s">
        <v>294</v>
      </c>
      <c r="B2" s="86"/>
      <c r="C2" s="86"/>
      <c r="D2" s="86"/>
      <c r="E2" s="86"/>
      <c r="F2" s="87"/>
      <c r="G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35">
      <c r="A3" s="26"/>
      <c r="B3" s="26"/>
      <c r="C3" s="26"/>
      <c r="D3" s="26"/>
      <c r="E3" s="26"/>
      <c r="F3" s="26"/>
      <c r="G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35">
      <c r="A4" s="27" t="s">
        <v>295</v>
      </c>
      <c r="B4" s="28">
        <v>34000</v>
      </c>
      <c r="C4" s="26"/>
      <c r="D4" s="26"/>
      <c r="E4" s="26"/>
      <c r="F4" s="26"/>
      <c r="G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25">
      <c r="A6" s="29" t="s">
        <v>296</v>
      </c>
      <c r="B6" s="29" t="s">
        <v>297</v>
      </c>
      <c r="C6" s="29" t="s">
        <v>298</v>
      </c>
      <c r="D6" s="29" t="s">
        <v>299</v>
      </c>
      <c r="E6" s="29" t="s">
        <v>300</v>
      </c>
      <c r="F6" s="29" t="s">
        <v>301</v>
      </c>
      <c r="G6" s="30"/>
      <c r="H6" s="31" t="s">
        <v>302</v>
      </c>
      <c r="I6" s="1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25">
      <c r="A7" s="32" t="s">
        <v>303</v>
      </c>
      <c r="B7" s="33">
        <v>9550</v>
      </c>
      <c r="C7" s="33">
        <v>9230</v>
      </c>
      <c r="D7" s="33">
        <v>8500</v>
      </c>
      <c r="E7" s="33">
        <v>8965</v>
      </c>
      <c r="F7" s="34">
        <f t="shared" ref="F7:F12" si="0">SUM(B7:E7)</f>
        <v>36245</v>
      </c>
      <c r="G7" s="30"/>
      <c r="H7" s="35" t="str">
        <f t="shared" ref="H7:H12" si="1">IF(F7&gt;=$B$4, "Yes", "No")</f>
        <v>Yes</v>
      </c>
      <c r="I7" s="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25">
      <c r="A8" s="32" t="s">
        <v>304</v>
      </c>
      <c r="B8" s="33">
        <v>5975</v>
      </c>
      <c r="C8" s="33">
        <v>6900</v>
      </c>
      <c r="D8" s="33">
        <v>8500</v>
      </c>
      <c r="E8" s="33">
        <v>10100</v>
      </c>
      <c r="F8" s="34">
        <f t="shared" si="0"/>
        <v>31475</v>
      </c>
      <c r="G8" s="30"/>
      <c r="H8" s="35" t="str">
        <f t="shared" si="1"/>
        <v>No</v>
      </c>
      <c r="I8" s="1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25">
      <c r="A9" s="32" t="s">
        <v>305</v>
      </c>
      <c r="B9" s="33">
        <v>7825</v>
      </c>
      <c r="C9" s="33">
        <v>8580</v>
      </c>
      <c r="D9" s="33">
        <v>9910</v>
      </c>
      <c r="E9" s="33">
        <v>7512</v>
      </c>
      <c r="F9" s="34">
        <f t="shared" si="0"/>
        <v>33827</v>
      </c>
      <c r="G9" s="30"/>
      <c r="H9" s="35" t="str">
        <f t="shared" si="1"/>
        <v>No</v>
      </c>
      <c r="I9" s="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25">
      <c r="A10" s="32" t="s">
        <v>306</v>
      </c>
      <c r="B10" s="33">
        <v>9560</v>
      </c>
      <c r="C10" s="33">
        <v>10150</v>
      </c>
      <c r="D10" s="33">
        <v>11200</v>
      </c>
      <c r="E10" s="33">
        <v>9795</v>
      </c>
      <c r="F10" s="34">
        <f t="shared" si="0"/>
        <v>40705</v>
      </c>
      <c r="G10" s="30"/>
      <c r="H10" s="35" t="str">
        <f t="shared" si="1"/>
        <v>Yes</v>
      </c>
      <c r="I10" s="1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25">
      <c r="A11" s="36" t="s">
        <v>307</v>
      </c>
      <c r="B11" s="37">
        <v>8800</v>
      </c>
      <c r="C11" s="37">
        <v>7645</v>
      </c>
      <c r="D11" s="37">
        <v>9250</v>
      </c>
      <c r="E11" s="37">
        <v>8304</v>
      </c>
      <c r="F11" s="34">
        <f t="shared" si="0"/>
        <v>33999</v>
      </c>
      <c r="G11" s="30"/>
      <c r="H11" s="35" t="str">
        <f t="shared" si="1"/>
        <v>No</v>
      </c>
      <c r="I11" s="1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25">
      <c r="A12" s="38" t="s">
        <v>308</v>
      </c>
      <c r="B12" s="39">
        <v>7892</v>
      </c>
      <c r="C12" s="39">
        <v>9695</v>
      </c>
      <c r="D12" s="39">
        <v>9520</v>
      </c>
      <c r="E12" s="39">
        <v>10252</v>
      </c>
      <c r="F12" s="34">
        <f t="shared" si="0"/>
        <v>37359</v>
      </c>
      <c r="G12" s="30"/>
      <c r="H12" s="35" t="str">
        <f t="shared" si="1"/>
        <v>Yes</v>
      </c>
      <c r="I12" s="1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8.5" hidden="1" customHeight="1" x14ac:dyDescent="0.25">
      <c r="A14" s="5"/>
      <c r="B14" s="5"/>
      <c r="C14" s="5"/>
      <c r="D14" s="88" t="s">
        <v>309</v>
      </c>
      <c r="E14" s="89"/>
      <c r="F14" s="40"/>
      <c r="G14" s="5"/>
      <c r="H14" s="41" t="s">
        <v>310</v>
      </c>
      <c r="I14" s="4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9.25" hidden="1" customHeight="1" x14ac:dyDescent="0.25">
      <c r="A15" s="5"/>
      <c r="B15" s="5"/>
      <c r="C15" s="5"/>
      <c r="D15" s="88" t="s">
        <v>311</v>
      </c>
      <c r="E15" s="89"/>
      <c r="F15" s="4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4" hidden="1" customHeight="1" x14ac:dyDescent="0.25">
      <c r="A16" s="5"/>
      <c r="B16" s="5"/>
      <c r="C16" s="5"/>
      <c r="D16" s="88" t="s">
        <v>312</v>
      </c>
      <c r="E16" s="89"/>
      <c r="F16" s="4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6.25" hidden="1" customHeight="1" x14ac:dyDescent="0.25">
      <c r="A17" s="5"/>
      <c r="B17" s="5"/>
      <c r="C17" s="5"/>
      <c r="D17" s="88" t="s">
        <v>313</v>
      </c>
      <c r="E17" s="89"/>
      <c r="F17" s="4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5.5" hidden="1" customHeight="1" x14ac:dyDescent="0.25">
      <c r="A18" s="5"/>
      <c r="B18" s="5"/>
      <c r="C18" s="5"/>
      <c r="D18" s="88" t="s">
        <v>314</v>
      </c>
      <c r="E18" s="89"/>
      <c r="F18" s="4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D18:E18"/>
    <mergeCell ref="A2:F2"/>
    <mergeCell ref="D14:E14"/>
    <mergeCell ref="D15:E15"/>
    <mergeCell ref="D16:E16"/>
    <mergeCell ref="D17:E17"/>
  </mergeCells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</sheetPr>
  <dimension ref="A1:V1000"/>
  <sheetViews>
    <sheetView workbookViewId="0"/>
  </sheetViews>
  <sheetFormatPr defaultColWidth="10.09765625" defaultRowHeight="15" customHeight="1" x14ac:dyDescent="0.25"/>
  <cols>
    <col min="1" max="1" width="1.09765625" customWidth="1"/>
    <col min="2" max="2" width="7.3984375" customWidth="1"/>
    <col min="3" max="3" width="14.59765625" customWidth="1"/>
    <col min="4" max="6" width="11.3984375" customWidth="1"/>
    <col min="7" max="7" width="12.8984375" customWidth="1"/>
    <col min="8" max="8" width="2.69921875" customWidth="1"/>
    <col min="9" max="9" width="14.296875" customWidth="1"/>
    <col min="10" max="10" width="11.796875" customWidth="1"/>
    <col min="11" max="11" width="15" customWidth="1"/>
    <col min="12" max="22" width="7.3984375" customWidth="1"/>
  </cols>
  <sheetData>
    <row r="1" spans="1:22" ht="14.25" customHeight="1" x14ac:dyDescent="0.25">
      <c r="A1" s="5"/>
      <c r="B1" s="90" t="s">
        <v>315</v>
      </c>
      <c r="C1" s="91"/>
      <c r="D1" s="91"/>
      <c r="E1" s="91"/>
      <c r="F1" s="91"/>
      <c r="G1" s="92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4.25" customHeight="1" x14ac:dyDescent="0.25">
      <c r="A2" s="5"/>
      <c r="B2" s="5"/>
      <c r="C2" s="43"/>
      <c r="D2" s="43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4.25" customHeight="1" x14ac:dyDescent="0.25">
      <c r="A3" s="5"/>
      <c r="B3" s="44" t="s">
        <v>316</v>
      </c>
      <c r="C3" s="44" t="s">
        <v>317</v>
      </c>
      <c r="D3" s="44" t="s">
        <v>318</v>
      </c>
      <c r="E3" s="44" t="s">
        <v>319</v>
      </c>
      <c r="F3" s="44" t="s">
        <v>320</v>
      </c>
      <c r="G3" s="45" t="s">
        <v>321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4.25" customHeight="1" x14ac:dyDescent="0.25">
      <c r="A4" s="46"/>
      <c r="B4" s="47" t="s">
        <v>322</v>
      </c>
      <c r="C4" s="48" t="s">
        <v>323</v>
      </c>
      <c r="D4" s="49">
        <v>800</v>
      </c>
      <c r="E4" s="49">
        <v>650</v>
      </c>
      <c r="F4" s="49">
        <v>700</v>
      </c>
      <c r="G4" s="49">
        <f t="shared" ref="G4:G61" si="0">SUM(D4:F4)</f>
        <v>2150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3.5" customHeight="1" x14ac:dyDescent="0.25">
      <c r="A5" s="46"/>
      <c r="B5" s="47" t="s">
        <v>322</v>
      </c>
      <c r="C5" s="48" t="s">
        <v>324</v>
      </c>
      <c r="D5" s="49">
        <v>900</v>
      </c>
      <c r="E5" s="49">
        <v>850</v>
      </c>
      <c r="F5" s="49">
        <v>850</v>
      </c>
      <c r="G5" s="49">
        <f t="shared" si="0"/>
        <v>2600</v>
      </c>
      <c r="H5" s="5"/>
      <c r="I5" s="5" t="s">
        <v>325</v>
      </c>
      <c r="J5" s="50"/>
      <c r="K5" s="50"/>
      <c r="L5" s="51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3.5" customHeight="1" x14ac:dyDescent="0.25">
      <c r="A6" s="46"/>
      <c r="B6" s="47" t="s">
        <v>322</v>
      </c>
      <c r="C6" s="48" t="s">
        <v>326</v>
      </c>
      <c r="D6" s="49">
        <v>4850</v>
      </c>
      <c r="E6" s="49">
        <v>3200</v>
      </c>
      <c r="F6" s="49">
        <v>1155</v>
      </c>
      <c r="G6" s="49">
        <f t="shared" si="0"/>
        <v>9205</v>
      </c>
      <c r="H6" s="5"/>
      <c r="I6" s="52" t="s">
        <v>317</v>
      </c>
      <c r="J6" s="52" t="s">
        <v>327</v>
      </c>
      <c r="K6" s="50"/>
      <c r="L6" s="51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3.5" customHeight="1" x14ac:dyDescent="0.25">
      <c r="A7" s="46"/>
      <c r="B7" s="47" t="s">
        <v>322</v>
      </c>
      <c r="C7" s="48" t="s">
        <v>328</v>
      </c>
      <c r="D7" s="49">
        <v>1250</v>
      </c>
      <c r="E7" s="49">
        <v>1250</v>
      </c>
      <c r="F7" s="49">
        <v>1250</v>
      </c>
      <c r="G7" s="49">
        <f t="shared" si="0"/>
        <v>3750</v>
      </c>
      <c r="H7" s="5"/>
      <c r="I7" s="53" t="s">
        <v>329</v>
      </c>
      <c r="J7" s="54">
        <f ca="1">SUMIF($C$4:$C$61,I7,$G$4:$G49)</f>
        <v>17215</v>
      </c>
      <c r="K7" s="55">
        <f>SUMIF(C4:C61,I7,G4:G61)</f>
        <v>17215</v>
      </c>
      <c r="L7" s="51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3.5" customHeight="1" x14ac:dyDescent="0.25">
      <c r="A8" s="46"/>
      <c r="B8" s="47" t="s">
        <v>322</v>
      </c>
      <c r="C8" s="48" t="s">
        <v>329</v>
      </c>
      <c r="D8" s="49">
        <v>2025</v>
      </c>
      <c r="E8" s="49">
        <v>2200</v>
      </c>
      <c r="F8" s="49">
        <v>1650</v>
      </c>
      <c r="G8" s="49">
        <f t="shared" si="0"/>
        <v>5875</v>
      </c>
      <c r="H8" s="5"/>
      <c r="I8" s="50"/>
      <c r="J8" s="50"/>
      <c r="K8" s="50"/>
      <c r="L8" s="51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3.5" customHeight="1" x14ac:dyDescent="0.25">
      <c r="A9" s="46"/>
      <c r="B9" s="47" t="s">
        <v>322</v>
      </c>
      <c r="C9" s="48" t="s">
        <v>330</v>
      </c>
      <c r="D9" s="49">
        <v>1350</v>
      </c>
      <c r="E9" s="49">
        <v>1500</v>
      </c>
      <c r="F9" s="49">
        <v>1700</v>
      </c>
      <c r="G9" s="49">
        <f t="shared" si="0"/>
        <v>4550</v>
      </c>
      <c r="H9" s="5"/>
      <c r="I9" s="50"/>
      <c r="J9" s="50"/>
      <c r="K9" s="50"/>
      <c r="L9" s="50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4.25" customHeight="1" x14ac:dyDescent="0.25">
      <c r="A10" s="46"/>
      <c r="B10" s="47" t="s">
        <v>322</v>
      </c>
      <c r="C10" s="48" t="s">
        <v>331</v>
      </c>
      <c r="D10" s="49">
        <v>3300</v>
      </c>
      <c r="E10" s="49">
        <v>3500</v>
      </c>
      <c r="F10" s="49">
        <v>3700</v>
      </c>
      <c r="G10" s="49">
        <f t="shared" si="0"/>
        <v>10500</v>
      </c>
      <c r="H10" s="5"/>
      <c r="I10" s="5" t="s">
        <v>332</v>
      </c>
      <c r="J10" s="50"/>
      <c r="K10" s="50"/>
      <c r="L10" s="50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4.25" customHeight="1" x14ac:dyDescent="0.25">
      <c r="A11" s="46"/>
      <c r="B11" s="47" t="s">
        <v>322</v>
      </c>
      <c r="C11" s="48" t="s">
        <v>333</v>
      </c>
      <c r="D11" s="49">
        <v>3825</v>
      </c>
      <c r="E11" s="49">
        <v>3725</v>
      </c>
      <c r="F11" s="49">
        <v>3750</v>
      </c>
      <c r="G11" s="49">
        <f t="shared" si="0"/>
        <v>11300</v>
      </c>
      <c r="H11" s="5"/>
      <c r="I11" s="52" t="s">
        <v>317</v>
      </c>
      <c r="J11" s="52" t="s">
        <v>334</v>
      </c>
      <c r="K11" s="50"/>
      <c r="L11" s="50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4.25" customHeight="1" x14ac:dyDescent="0.25">
      <c r="A12" s="46"/>
      <c r="B12" s="47" t="s">
        <v>322</v>
      </c>
      <c r="C12" s="48" t="s">
        <v>335</v>
      </c>
      <c r="D12" s="49">
        <v>8900</v>
      </c>
      <c r="E12" s="49">
        <v>10315</v>
      </c>
      <c r="F12" s="49">
        <v>5250</v>
      </c>
      <c r="G12" s="49">
        <f t="shared" si="0"/>
        <v>24465</v>
      </c>
      <c r="H12" s="5"/>
      <c r="I12" s="53" t="s">
        <v>336</v>
      </c>
      <c r="J12" s="54">
        <f ca="1">AVERAGEIF($C$4:$C$61,I12,$G$4:$G55)</f>
        <v>17790</v>
      </c>
      <c r="K12" s="55">
        <f>AVERAGEIF(C4:C61,I12,G4:G61)</f>
        <v>17790</v>
      </c>
      <c r="L12" s="50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4.25" customHeight="1" x14ac:dyDescent="0.25">
      <c r="A13" s="46"/>
      <c r="B13" s="47" t="s">
        <v>322</v>
      </c>
      <c r="C13" s="48" t="s">
        <v>337</v>
      </c>
      <c r="D13" s="49">
        <v>6250</v>
      </c>
      <c r="E13" s="49">
        <v>6000</v>
      </c>
      <c r="F13" s="49">
        <v>6500</v>
      </c>
      <c r="G13" s="49">
        <f t="shared" si="0"/>
        <v>18750</v>
      </c>
      <c r="H13" s="5"/>
      <c r="I13" s="50"/>
      <c r="J13" s="50"/>
      <c r="K13" s="50"/>
      <c r="L13" s="50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4.25" customHeight="1" x14ac:dyDescent="0.25">
      <c r="A14" s="46"/>
      <c r="B14" s="47" t="s">
        <v>322</v>
      </c>
      <c r="C14" s="48" t="s">
        <v>336</v>
      </c>
      <c r="D14" s="49">
        <v>8000</v>
      </c>
      <c r="E14" s="49">
        <v>8000</v>
      </c>
      <c r="F14" s="49">
        <v>8000</v>
      </c>
      <c r="G14" s="49">
        <f t="shared" si="0"/>
        <v>24000</v>
      </c>
      <c r="H14" s="5"/>
      <c r="I14" s="50"/>
      <c r="J14" s="50"/>
      <c r="K14" s="50"/>
      <c r="L14" s="50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4.25" customHeight="1" x14ac:dyDescent="0.25">
      <c r="A15" s="46"/>
      <c r="B15" s="47" t="s">
        <v>322</v>
      </c>
      <c r="C15" s="48" t="s">
        <v>338</v>
      </c>
      <c r="D15" s="49">
        <v>11500</v>
      </c>
      <c r="E15" s="49">
        <v>12500</v>
      </c>
      <c r="F15" s="49">
        <v>12500</v>
      </c>
      <c r="G15" s="49">
        <f t="shared" si="0"/>
        <v>36500</v>
      </c>
      <c r="H15" s="5"/>
      <c r="I15" s="5" t="s">
        <v>339</v>
      </c>
      <c r="J15" s="50"/>
      <c r="K15" s="50"/>
      <c r="L15" s="50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4.25" customHeight="1" x14ac:dyDescent="0.25">
      <c r="A16" s="46"/>
      <c r="B16" s="47" t="s">
        <v>322</v>
      </c>
      <c r="C16" s="48" t="s">
        <v>340</v>
      </c>
      <c r="D16" s="49">
        <v>12250</v>
      </c>
      <c r="E16" s="49">
        <v>12250</v>
      </c>
      <c r="F16" s="49">
        <v>12750</v>
      </c>
      <c r="G16" s="49">
        <f t="shared" si="0"/>
        <v>37250</v>
      </c>
      <c r="H16" s="5"/>
      <c r="I16" s="52" t="s">
        <v>316</v>
      </c>
      <c r="J16" s="52" t="s">
        <v>317</v>
      </c>
      <c r="K16" s="52" t="s">
        <v>321</v>
      </c>
      <c r="L16" s="50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4.25" customHeight="1" x14ac:dyDescent="0.25">
      <c r="A17" s="46"/>
      <c r="B17" s="47" t="s">
        <v>322</v>
      </c>
      <c r="C17" s="48" t="s">
        <v>341</v>
      </c>
      <c r="D17" s="49">
        <v>25000</v>
      </c>
      <c r="E17" s="49">
        <v>24000</v>
      </c>
      <c r="F17" s="49">
        <v>26390</v>
      </c>
      <c r="G17" s="49">
        <f t="shared" si="0"/>
        <v>75390</v>
      </c>
      <c r="H17" s="5"/>
      <c r="I17" s="53" t="s">
        <v>322</v>
      </c>
      <c r="J17" s="53" t="s">
        <v>329</v>
      </c>
      <c r="K17" s="54">
        <f>SUMIFS($G$4:$G61,$C$4:$C$61,"Software",$B$4:$B$61,"East")</f>
        <v>5875</v>
      </c>
      <c r="L17" s="55">
        <f>SUMIFS(G$4:G$61, B$4:B$61, I17, C$4:C$61, J17)</f>
        <v>5875</v>
      </c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4.25" customHeight="1" x14ac:dyDescent="0.25">
      <c r="A18" s="46"/>
      <c r="B18" s="48" t="s">
        <v>342</v>
      </c>
      <c r="C18" s="48" t="s">
        <v>323</v>
      </c>
      <c r="D18" s="49">
        <v>800</v>
      </c>
      <c r="E18" s="49">
        <v>950</v>
      </c>
      <c r="F18" s="49">
        <v>750</v>
      </c>
      <c r="G18" s="49">
        <f t="shared" si="0"/>
        <v>2500</v>
      </c>
      <c r="H18" s="5"/>
      <c r="I18" s="50"/>
      <c r="J18" s="50"/>
      <c r="K18" s="50"/>
      <c r="L18" s="50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4.25" customHeight="1" x14ac:dyDescent="0.25">
      <c r="A19" s="5"/>
      <c r="B19" s="48" t="s">
        <v>342</v>
      </c>
      <c r="C19" s="48" t="s">
        <v>328</v>
      </c>
      <c r="D19" s="49">
        <v>850</v>
      </c>
      <c r="E19" s="49">
        <v>750</v>
      </c>
      <c r="F19" s="49">
        <v>800</v>
      </c>
      <c r="G19" s="49">
        <f t="shared" si="0"/>
        <v>2400</v>
      </c>
      <c r="H19" s="5"/>
      <c r="I19" s="50"/>
      <c r="J19" s="50"/>
      <c r="K19" s="50"/>
      <c r="L19" s="50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4.25" customHeight="1" x14ac:dyDescent="0.25">
      <c r="A20" s="5"/>
      <c r="B20" s="48" t="s">
        <v>342</v>
      </c>
      <c r="C20" s="48" t="s">
        <v>330</v>
      </c>
      <c r="D20" s="49">
        <v>940</v>
      </c>
      <c r="E20" s="49">
        <v>950</v>
      </c>
      <c r="F20" s="49">
        <v>820</v>
      </c>
      <c r="G20" s="49">
        <f t="shared" si="0"/>
        <v>2710</v>
      </c>
      <c r="H20" s="5"/>
      <c r="I20" s="5" t="s">
        <v>339</v>
      </c>
      <c r="J20" s="50"/>
      <c r="K20" s="50"/>
      <c r="L20" s="50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4.25" customHeight="1" x14ac:dyDescent="0.25">
      <c r="A21" s="5"/>
      <c r="B21" s="48" t="s">
        <v>342</v>
      </c>
      <c r="C21" s="48" t="s">
        <v>324</v>
      </c>
      <c r="D21" s="49">
        <v>980</v>
      </c>
      <c r="E21" s="49">
        <v>850</v>
      </c>
      <c r="F21" s="49">
        <v>950</v>
      </c>
      <c r="G21" s="49">
        <f t="shared" si="0"/>
        <v>2780</v>
      </c>
      <c r="H21" s="5"/>
      <c r="I21" s="52" t="s">
        <v>316</v>
      </c>
      <c r="J21" s="52" t="s">
        <v>318</v>
      </c>
      <c r="K21" s="52" t="s">
        <v>321</v>
      </c>
      <c r="L21" s="50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4.25" customHeight="1" x14ac:dyDescent="0.25">
      <c r="A22" s="5"/>
      <c r="B22" s="48" t="s">
        <v>342</v>
      </c>
      <c r="C22" s="48" t="s">
        <v>335</v>
      </c>
      <c r="D22" s="49">
        <v>1250</v>
      </c>
      <c r="E22" s="49">
        <v>1250</v>
      </c>
      <c r="F22" s="49">
        <v>1250</v>
      </c>
      <c r="G22" s="49">
        <f t="shared" si="0"/>
        <v>3750</v>
      </c>
      <c r="H22" s="5"/>
      <c r="I22" s="53" t="s">
        <v>343</v>
      </c>
      <c r="J22" s="53" t="s">
        <v>344</v>
      </c>
      <c r="K22" s="54">
        <f t="shared" ref="K22:L22" si="1">SUMIFS($G$4:$G$61, $B$4:$B$61, $I$22, $D$4:$D$61, $J$22)</f>
        <v>435415</v>
      </c>
      <c r="L22" s="55">
        <f t="shared" si="1"/>
        <v>435415</v>
      </c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4.25" customHeight="1" x14ac:dyDescent="0.25">
      <c r="A23" s="5"/>
      <c r="B23" s="48" t="s">
        <v>342</v>
      </c>
      <c r="C23" s="48" t="s">
        <v>329</v>
      </c>
      <c r="D23" s="49">
        <v>1150</v>
      </c>
      <c r="E23" s="49">
        <v>1255</v>
      </c>
      <c r="F23" s="49">
        <v>1400</v>
      </c>
      <c r="G23" s="49">
        <f t="shared" si="0"/>
        <v>3805</v>
      </c>
      <c r="H23" s="5"/>
      <c r="I23" s="50"/>
      <c r="J23" s="50"/>
      <c r="K23" s="50"/>
      <c r="L23" s="50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4.25" customHeight="1" x14ac:dyDescent="0.25">
      <c r="A24" s="5"/>
      <c r="B24" s="48" t="s">
        <v>342</v>
      </c>
      <c r="C24" s="48" t="s">
        <v>331</v>
      </c>
      <c r="D24" s="49">
        <v>2410</v>
      </c>
      <c r="E24" s="49">
        <v>1850</v>
      </c>
      <c r="F24" s="49">
        <v>2390</v>
      </c>
      <c r="G24" s="49">
        <f t="shared" si="0"/>
        <v>6650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4.25" customHeight="1" x14ac:dyDescent="0.25">
      <c r="A25" s="5"/>
      <c r="B25" s="48" t="s">
        <v>342</v>
      </c>
      <c r="C25" s="48" t="s">
        <v>333</v>
      </c>
      <c r="D25" s="49">
        <v>3200</v>
      </c>
      <c r="E25" s="49">
        <v>3760</v>
      </c>
      <c r="F25" s="49">
        <v>3750</v>
      </c>
      <c r="G25" s="49">
        <f t="shared" si="0"/>
        <v>10710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4.25" customHeight="1" x14ac:dyDescent="0.25">
      <c r="A26" s="5"/>
      <c r="B26" s="48" t="s">
        <v>342</v>
      </c>
      <c r="C26" s="48" t="s">
        <v>326</v>
      </c>
      <c r="D26" s="49">
        <v>5000</v>
      </c>
      <c r="E26" s="49">
        <v>4800</v>
      </c>
      <c r="F26" s="49">
        <v>4500</v>
      </c>
      <c r="G26" s="49">
        <f t="shared" si="0"/>
        <v>14300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4.25" customHeight="1" x14ac:dyDescent="0.25">
      <c r="A27" s="5"/>
      <c r="B27" s="48" t="s">
        <v>342</v>
      </c>
      <c r="C27" s="48" t="s">
        <v>337</v>
      </c>
      <c r="D27" s="49">
        <v>5250</v>
      </c>
      <c r="E27" s="49">
        <v>8990</v>
      </c>
      <c r="F27" s="49">
        <v>5515</v>
      </c>
      <c r="G27" s="49">
        <f t="shared" si="0"/>
        <v>19755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4.25" customHeight="1" x14ac:dyDescent="0.25">
      <c r="A28" s="5"/>
      <c r="B28" s="48" t="s">
        <v>342</v>
      </c>
      <c r="C28" s="48" t="s">
        <v>336</v>
      </c>
      <c r="D28" s="49">
        <v>6020</v>
      </c>
      <c r="E28" s="49">
        <v>6020</v>
      </c>
      <c r="F28" s="49">
        <v>6020</v>
      </c>
      <c r="G28" s="49">
        <f t="shared" si="0"/>
        <v>18060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14.25" customHeight="1" x14ac:dyDescent="0.25">
      <c r="A29" s="5"/>
      <c r="B29" s="48" t="s">
        <v>342</v>
      </c>
      <c r="C29" s="48" t="s">
        <v>338</v>
      </c>
      <c r="D29" s="49">
        <v>12940</v>
      </c>
      <c r="E29" s="49">
        <v>11300</v>
      </c>
      <c r="F29" s="49">
        <v>11500</v>
      </c>
      <c r="G29" s="49">
        <f t="shared" si="0"/>
        <v>35740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4.25" customHeight="1" x14ac:dyDescent="0.25">
      <c r="A30" s="5"/>
      <c r="B30" s="48" t="s">
        <v>342</v>
      </c>
      <c r="C30" s="48" t="s">
        <v>340</v>
      </c>
      <c r="D30" s="49">
        <v>14250</v>
      </c>
      <c r="E30" s="49">
        <v>15250</v>
      </c>
      <c r="F30" s="49">
        <v>12050</v>
      </c>
      <c r="G30" s="49">
        <f t="shared" si="0"/>
        <v>41550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4.25" customHeight="1" x14ac:dyDescent="0.25">
      <c r="A31" s="5"/>
      <c r="B31" s="48" t="s">
        <v>342</v>
      </c>
      <c r="C31" s="48" t="s">
        <v>341</v>
      </c>
      <c r="D31" s="49">
        <v>25700</v>
      </c>
      <c r="E31" s="49">
        <v>24200</v>
      </c>
      <c r="F31" s="49">
        <v>26930</v>
      </c>
      <c r="G31" s="49">
        <f t="shared" si="0"/>
        <v>76830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4.25" customHeight="1" x14ac:dyDescent="0.25">
      <c r="A32" s="5"/>
      <c r="B32" s="48" t="s">
        <v>345</v>
      </c>
      <c r="C32" s="48" t="s">
        <v>328</v>
      </c>
      <c r="D32" s="49">
        <v>2140</v>
      </c>
      <c r="E32" s="49">
        <v>2310</v>
      </c>
      <c r="F32" s="49">
        <v>2000</v>
      </c>
      <c r="G32" s="49">
        <f t="shared" si="0"/>
        <v>6450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4.25" customHeight="1" x14ac:dyDescent="0.25">
      <c r="A33" s="5"/>
      <c r="B33" s="48" t="s">
        <v>345</v>
      </c>
      <c r="C33" s="48" t="s">
        <v>323</v>
      </c>
      <c r="D33" s="49">
        <v>730</v>
      </c>
      <c r="E33" s="49">
        <v>525</v>
      </c>
      <c r="F33" s="49">
        <v>430</v>
      </c>
      <c r="G33" s="49">
        <f t="shared" si="0"/>
        <v>1685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4.25" customHeight="1" x14ac:dyDescent="0.25">
      <c r="A34" s="5"/>
      <c r="B34" s="48" t="s">
        <v>345</v>
      </c>
      <c r="C34" s="48" t="s">
        <v>324</v>
      </c>
      <c r="D34" s="49">
        <v>700</v>
      </c>
      <c r="E34" s="49">
        <v>750</v>
      </c>
      <c r="F34" s="49">
        <v>750</v>
      </c>
      <c r="G34" s="49">
        <f t="shared" si="0"/>
        <v>2200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4.25" customHeight="1" x14ac:dyDescent="0.25">
      <c r="A35" s="5"/>
      <c r="B35" s="48" t="s">
        <v>345</v>
      </c>
      <c r="C35" s="48" t="s">
        <v>330</v>
      </c>
      <c r="D35" s="49">
        <v>2000</v>
      </c>
      <c r="E35" s="49">
        <v>950</v>
      </c>
      <c r="F35" s="49">
        <v>800</v>
      </c>
      <c r="G35" s="49">
        <f t="shared" si="0"/>
        <v>3750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4.25" customHeight="1" x14ac:dyDescent="0.25">
      <c r="A36" s="5"/>
      <c r="B36" s="48" t="s">
        <v>345</v>
      </c>
      <c r="C36" s="48" t="s">
        <v>331</v>
      </c>
      <c r="D36" s="49">
        <v>745</v>
      </c>
      <c r="E36" s="49">
        <v>780</v>
      </c>
      <c r="F36" s="49">
        <v>900</v>
      </c>
      <c r="G36" s="49">
        <f t="shared" si="0"/>
        <v>2425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4.25" customHeight="1" x14ac:dyDescent="0.25">
      <c r="A37" s="5"/>
      <c r="B37" s="48" t="s">
        <v>345</v>
      </c>
      <c r="C37" s="48" t="s">
        <v>329</v>
      </c>
      <c r="D37" s="49">
        <v>1150</v>
      </c>
      <c r="E37" s="49">
        <v>1200</v>
      </c>
      <c r="F37" s="49">
        <v>1400</v>
      </c>
      <c r="G37" s="49">
        <f t="shared" si="0"/>
        <v>3750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4.25" customHeight="1" x14ac:dyDescent="0.25">
      <c r="A38" s="5"/>
      <c r="B38" s="48" t="s">
        <v>345</v>
      </c>
      <c r="C38" s="48" t="s">
        <v>326</v>
      </c>
      <c r="D38" s="49">
        <v>2780</v>
      </c>
      <c r="E38" s="49">
        <v>3590</v>
      </c>
      <c r="F38" s="49">
        <v>2300</v>
      </c>
      <c r="G38" s="49">
        <f t="shared" si="0"/>
        <v>8670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4.25" customHeight="1" x14ac:dyDescent="0.25">
      <c r="A39" s="5"/>
      <c r="B39" s="48" t="s">
        <v>345</v>
      </c>
      <c r="C39" s="48" t="s">
        <v>335</v>
      </c>
      <c r="D39" s="49">
        <v>3490</v>
      </c>
      <c r="E39" s="49">
        <v>32840</v>
      </c>
      <c r="F39" s="49">
        <v>3070</v>
      </c>
      <c r="G39" s="49">
        <f t="shared" si="0"/>
        <v>39400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4.25" customHeight="1" x14ac:dyDescent="0.25">
      <c r="A40" s="5"/>
      <c r="B40" s="48" t="s">
        <v>345</v>
      </c>
      <c r="C40" s="48" t="s">
        <v>336</v>
      </c>
      <c r="D40" s="49">
        <v>4700</v>
      </c>
      <c r="E40" s="49">
        <v>4700</v>
      </c>
      <c r="F40" s="49">
        <v>4700</v>
      </c>
      <c r="G40" s="49">
        <f t="shared" si="0"/>
        <v>14100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4.25" customHeight="1" x14ac:dyDescent="0.25">
      <c r="A41" s="5"/>
      <c r="B41" s="48" t="s">
        <v>345</v>
      </c>
      <c r="C41" s="48" t="s">
        <v>337</v>
      </c>
      <c r="D41" s="49">
        <v>5250</v>
      </c>
      <c r="E41" s="49">
        <v>5000</v>
      </c>
      <c r="F41" s="49">
        <v>5500</v>
      </c>
      <c r="G41" s="49">
        <f t="shared" si="0"/>
        <v>15750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4.25" customHeight="1" x14ac:dyDescent="0.25">
      <c r="A42" s="5"/>
      <c r="B42" s="48" t="s">
        <v>345</v>
      </c>
      <c r="C42" s="48" t="s">
        <v>333</v>
      </c>
      <c r="D42" s="49">
        <v>6980</v>
      </c>
      <c r="E42" s="49">
        <v>6310</v>
      </c>
      <c r="F42" s="49">
        <v>6375</v>
      </c>
      <c r="G42" s="49">
        <f t="shared" si="0"/>
        <v>19665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4.25" customHeight="1" x14ac:dyDescent="0.25">
      <c r="A43" s="5"/>
      <c r="B43" s="48" t="s">
        <v>345</v>
      </c>
      <c r="C43" s="48" t="s">
        <v>340</v>
      </c>
      <c r="D43" s="49">
        <v>11250</v>
      </c>
      <c r="E43" s="49">
        <v>11250</v>
      </c>
      <c r="F43" s="49">
        <v>11750</v>
      </c>
      <c r="G43" s="49">
        <f t="shared" si="0"/>
        <v>34250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4.25" customHeight="1" x14ac:dyDescent="0.25">
      <c r="A44" s="5"/>
      <c r="B44" s="48" t="s">
        <v>345</v>
      </c>
      <c r="C44" s="48" t="s">
        <v>338</v>
      </c>
      <c r="D44" s="49">
        <v>24500</v>
      </c>
      <c r="E44" s="49">
        <v>23500</v>
      </c>
      <c r="F44" s="49">
        <v>24500</v>
      </c>
      <c r="G44" s="49">
        <f t="shared" si="0"/>
        <v>72500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4.25" customHeight="1" x14ac:dyDescent="0.25">
      <c r="A45" s="5"/>
      <c r="B45" s="48" t="s">
        <v>345</v>
      </c>
      <c r="C45" s="48" t="s">
        <v>346</v>
      </c>
      <c r="D45" s="49">
        <v>56900</v>
      </c>
      <c r="E45" s="49">
        <v>62800</v>
      </c>
      <c r="F45" s="49">
        <v>60870</v>
      </c>
      <c r="G45" s="49">
        <f t="shared" si="0"/>
        <v>180570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4.25" customHeight="1" x14ac:dyDescent="0.25">
      <c r="A46" s="5"/>
      <c r="B46" s="48" t="s">
        <v>345</v>
      </c>
      <c r="C46" s="48" t="s">
        <v>341</v>
      </c>
      <c r="D46" s="49">
        <v>24290</v>
      </c>
      <c r="E46" s="49">
        <v>24050</v>
      </c>
      <c r="F46" s="49">
        <v>26600</v>
      </c>
      <c r="G46" s="49">
        <f t="shared" si="0"/>
        <v>74940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4.25" customHeight="1" x14ac:dyDescent="0.25">
      <c r="A47" s="5"/>
      <c r="B47" s="48" t="s">
        <v>343</v>
      </c>
      <c r="C47" s="48" t="s">
        <v>328</v>
      </c>
      <c r="D47" s="49">
        <v>775</v>
      </c>
      <c r="E47" s="49">
        <v>750</v>
      </c>
      <c r="F47" s="49">
        <v>700</v>
      </c>
      <c r="G47" s="49">
        <f t="shared" si="0"/>
        <v>2225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4.25" customHeight="1" x14ac:dyDescent="0.25">
      <c r="A48" s="5"/>
      <c r="B48" s="48" t="s">
        <v>343</v>
      </c>
      <c r="C48" s="48" t="s">
        <v>324</v>
      </c>
      <c r="D48" s="49">
        <v>700</v>
      </c>
      <c r="E48" s="49">
        <v>750</v>
      </c>
      <c r="F48" s="49">
        <v>750</v>
      </c>
      <c r="G48" s="49">
        <f t="shared" si="0"/>
        <v>2200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4.25" customHeight="1" x14ac:dyDescent="0.25">
      <c r="A49" s="5"/>
      <c r="B49" s="48" t="s">
        <v>343</v>
      </c>
      <c r="C49" s="48" t="s">
        <v>323</v>
      </c>
      <c r="D49" s="49">
        <v>300</v>
      </c>
      <c r="E49" s="49">
        <v>100</v>
      </c>
      <c r="F49" s="49">
        <v>150</v>
      </c>
      <c r="G49" s="49">
        <f t="shared" si="0"/>
        <v>550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4.25" customHeight="1" x14ac:dyDescent="0.25">
      <c r="A50" s="5"/>
      <c r="B50" s="48" t="s">
        <v>343</v>
      </c>
      <c r="C50" s="48" t="s">
        <v>331</v>
      </c>
      <c r="D50" s="49">
        <v>2000</v>
      </c>
      <c r="E50" s="49">
        <v>1800</v>
      </c>
      <c r="F50" s="49">
        <v>1900</v>
      </c>
      <c r="G50" s="49">
        <f t="shared" si="0"/>
        <v>5700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4.25" customHeight="1" x14ac:dyDescent="0.25">
      <c r="A51" s="5"/>
      <c r="B51" s="48" t="s">
        <v>343</v>
      </c>
      <c r="C51" s="48" t="s">
        <v>330</v>
      </c>
      <c r="D51" s="49">
        <v>2000</v>
      </c>
      <c r="E51" s="49">
        <v>950</v>
      </c>
      <c r="F51" s="49">
        <v>800</v>
      </c>
      <c r="G51" s="49">
        <f t="shared" si="0"/>
        <v>3750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4.25" customHeight="1" x14ac:dyDescent="0.25">
      <c r="A52" s="5"/>
      <c r="B52" s="48" t="s">
        <v>343</v>
      </c>
      <c r="C52" s="48" t="s">
        <v>335</v>
      </c>
      <c r="D52" s="49">
        <v>1250</v>
      </c>
      <c r="E52" s="49">
        <v>1250</v>
      </c>
      <c r="F52" s="49">
        <v>1250</v>
      </c>
      <c r="G52" s="49">
        <f t="shared" si="0"/>
        <v>3750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4.25" customHeight="1" x14ac:dyDescent="0.25">
      <c r="A53" s="5"/>
      <c r="B53" s="48" t="s">
        <v>343</v>
      </c>
      <c r="C53" s="48" t="s">
        <v>329</v>
      </c>
      <c r="D53" s="49">
        <v>1150</v>
      </c>
      <c r="E53" s="49">
        <v>1200</v>
      </c>
      <c r="F53" s="49">
        <v>1435</v>
      </c>
      <c r="G53" s="49">
        <f t="shared" si="0"/>
        <v>3785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4.25" customHeight="1" x14ac:dyDescent="0.25">
      <c r="A54" s="5"/>
      <c r="B54" s="48" t="s">
        <v>343</v>
      </c>
      <c r="C54" s="48" t="s">
        <v>333</v>
      </c>
      <c r="D54" s="49">
        <v>3800</v>
      </c>
      <c r="E54" s="49">
        <v>3700</v>
      </c>
      <c r="F54" s="49">
        <v>3750</v>
      </c>
      <c r="G54" s="49">
        <f t="shared" si="0"/>
        <v>11250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4.25" customHeight="1" x14ac:dyDescent="0.25">
      <c r="A55" s="5"/>
      <c r="B55" s="48" t="s">
        <v>343</v>
      </c>
      <c r="C55" s="48" t="s">
        <v>326</v>
      </c>
      <c r="D55" s="49">
        <v>5000</v>
      </c>
      <c r="E55" s="49">
        <v>4800</v>
      </c>
      <c r="F55" s="49">
        <v>4545</v>
      </c>
      <c r="G55" s="49">
        <f t="shared" si="0"/>
        <v>14345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4.25" customHeight="1" x14ac:dyDescent="0.25">
      <c r="A56" s="5"/>
      <c r="B56" s="48" t="s">
        <v>343</v>
      </c>
      <c r="C56" s="48" t="s">
        <v>336</v>
      </c>
      <c r="D56" s="49">
        <v>5000</v>
      </c>
      <c r="E56" s="49">
        <v>5000</v>
      </c>
      <c r="F56" s="49">
        <v>5000</v>
      </c>
      <c r="G56" s="49">
        <f t="shared" si="0"/>
        <v>15000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4.25" customHeight="1" x14ac:dyDescent="0.25">
      <c r="A57" s="5"/>
      <c r="B57" s="48" t="s">
        <v>343</v>
      </c>
      <c r="C57" s="48" t="s">
        <v>337</v>
      </c>
      <c r="D57" s="49">
        <v>5250</v>
      </c>
      <c r="E57" s="49">
        <v>5335</v>
      </c>
      <c r="F57" s="49">
        <v>5500</v>
      </c>
      <c r="G57" s="49">
        <f t="shared" si="0"/>
        <v>16085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4.25" customHeight="1" x14ac:dyDescent="0.25">
      <c r="A58" s="5"/>
      <c r="B58" s="48" t="s">
        <v>343</v>
      </c>
      <c r="C58" s="48" t="s">
        <v>340</v>
      </c>
      <c r="D58" s="49">
        <v>10250</v>
      </c>
      <c r="E58" s="49">
        <v>10250</v>
      </c>
      <c r="F58" s="49">
        <v>10750</v>
      </c>
      <c r="G58" s="49">
        <f t="shared" si="0"/>
        <v>31250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4.25" customHeight="1" x14ac:dyDescent="0.25">
      <c r="A59" s="5"/>
      <c r="B59" s="48" t="s">
        <v>343</v>
      </c>
      <c r="C59" s="48" t="s">
        <v>338</v>
      </c>
      <c r="D59" s="49">
        <v>14500</v>
      </c>
      <c r="E59" s="49">
        <v>13500</v>
      </c>
      <c r="F59" s="49">
        <v>15500</v>
      </c>
      <c r="G59" s="49">
        <f t="shared" si="0"/>
        <v>43500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4.25" customHeight="1" x14ac:dyDescent="0.25">
      <c r="A60" s="5"/>
      <c r="B60" s="48" t="s">
        <v>343</v>
      </c>
      <c r="C60" s="48" t="s">
        <v>346</v>
      </c>
      <c r="D60" s="49">
        <v>72000</v>
      </c>
      <c r="E60" s="49">
        <v>70000</v>
      </c>
      <c r="F60" s="49">
        <v>70000</v>
      </c>
      <c r="G60" s="49">
        <f t="shared" si="0"/>
        <v>212000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4.25" customHeight="1" x14ac:dyDescent="0.25">
      <c r="A61" s="5"/>
      <c r="B61" s="48" t="s">
        <v>343</v>
      </c>
      <c r="C61" s="48" t="s">
        <v>341</v>
      </c>
      <c r="D61" s="49">
        <v>25000</v>
      </c>
      <c r="E61" s="49">
        <v>24000</v>
      </c>
      <c r="F61" s="49">
        <v>26000</v>
      </c>
      <c r="G61" s="49">
        <f t="shared" si="0"/>
        <v>75000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4.25" customHeight="1" x14ac:dyDescent="0.25">
      <c r="A62" s="5"/>
      <c r="B62" s="5"/>
      <c r="C62" s="43"/>
      <c r="D62" s="43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4.25" customHeight="1" x14ac:dyDescent="0.25">
      <c r="A63" s="5"/>
      <c r="B63" s="5"/>
      <c r="C63" s="43"/>
      <c r="D63" s="43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4.25" customHeight="1" x14ac:dyDescent="0.25">
      <c r="A64" s="5"/>
      <c r="B64" s="5"/>
      <c r="C64" s="43"/>
      <c r="D64" s="43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4.25" customHeight="1" x14ac:dyDescent="0.25">
      <c r="A65" s="5"/>
      <c r="B65" s="5"/>
      <c r="C65" s="43"/>
      <c r="D65" s="43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4.25" customHeight="1" x14ac:dyDescent="0.25">
      <c r="A66" s="5"/>
      <c r="B66" s="5"/>
      <c r="C66" s="43"/>
      <c r="D66" s="43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4.25" customHeight="1" x14ac:dyDescent="0.25">
      <c r="A67" s="5"/>
      <c r="B67" s="5"/>
      <c r="C67" s="43"/>
      <c r="D67" s="43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4.25" customHeight="1" x14ac:dyDescent="0.25">
      <c r="A68" s="5"/>
      <c r="B68" s="5"/>
      <c r="C68" s="43"/>
      <c r="D68" s="43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4.25" customHeight="1" x14ac:dyDescent="0.25">
      <c r="A69" s="5"/>
      <c r="B69" s="5"/>
      <c r="C69" s="43"/>
      <c r="D69" s="43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4.25" customHeight="1" x14ac:dyDescent="0.25">
      <c r="A70" s="5"/>
      <c r="B70" s="5"/>
      <c r="C70" s="43"/>
      <c r="D70" s="43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4.25" customHeight="1" x14ac:dyDescent="0.25">
      <c r="A71" s="5"/>
      <c r="B71" s="5"/>
      <c r="C71" s="43"/>
      <c r="D71" s="43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4.25" customHeight="1" x14ac:dyDescent="0.25">
      <c r="A72" s="5"/>
      <c r="B72" s="5"/>
      <c r="C72" s="43"/>
      <c r="D72" s="43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4.25" customHeight="1" x14ac:dyDescent="0.25">
      <c r="A73" s="5"/>
      <c r="B73" s="5"/>
      <c r="C73" s="43"/>
      <c r="D73" s="43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4.25" customHeight="1" x14ac:dyDescent="0.25">
      <c r="A74" s="5"/>
      <c r="B74" s="5"/>
      <c r="C74" s="43"/>
      <c r="D74" s="43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4.25" customHeight="1" x14ac:dyDescent="0.25">
      <c r="A75" s="5"/>
      <c r="B75" s="5"/>
      <c r="C75" s="43"/>
      <c r="D75" s="43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4.25" customHeight="1" x14ac:dyDescent="0.25">
      <c r="A76" s="5"/>
      <c r="B76" s="5"/>
      <c r="C76" s="43"/>
      <c r="D76" s="43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4.25" customHeight="1" x14ac:dyDescent="0.25">
      <c r="A77" s="5"/>
      <c r="B77" s="5"/>
      <c r="C77" s="43"/>
      <c r="D77" s="43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4.25" customHeight="1" x14ac:dyDescent="0.25">
      <c r="A78" s="5"/>
      <c r="B78" s="5"/>
      <c r="C78" s="43"/>
      <c r="D78" s="43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4.25" customHeight="1" x14ac:dyDescent="0.25">
      <c r="A79" s="5"/>
      <c r="B79" s="5"/>
      <c r="C79" s="43"/>
      <c r="D79" s="43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4.25" customHeight="1" x14ac:dyDescent="0.25">
      <c r="A80" s="5"/>
      <c r="B80" s="5"/>
      <c r="C80" s="43"/>
      <c r="D80" s="43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4.25" customHeight="1" x14ac:dyDescent="0.25">
      <c r="A81" s="5"/>
      <c r="B81" s="5"/>
      <c r="C81" s="43"/>
      <c r="D81" s="43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4.25" customHeight="1" x14ac:dyDescent="0.25">
      <c r="A82" s="5"/>
      <c r="B82" s="5"/>
      <c r="C82" s="43"/>
      <c r="D82" s="43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4.25" customHeight="1" x14ac:dyDescent="0.25">
      <c r="A83" s="5"/>
      <c r="B83" s="5"/>
      <c r="C83" s="43"/>
      <c r="D83" s="43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4.25" customHeight="1" x14ac:dyDescent="0.25">
      <c r="A84" s="5"/>
      <c r="B84" s="5"/>
      <c r="C84" s="43"/>
      <c r="D84" s="43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4.25" customHeight="1" x14ac:dyDescent="0.25">
      <c r="A85" s="5"/>
      <c r="B85" s="5"/>
      <c r="C85" s="43"/>
      <c r="D85" s="43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4.25" customHeight="1" x14ac:dyDescent="0.25">
      <c r="A86" s="5"/>
      <c r="B86" s="5"/>
      <c r="C86" s="43"/>
      <c r="D86" s="43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4.25" customHeight="1" x14ac:dyDescent="0.25">
      <c r="A87" s="5"/>
      <c r="B87" s="5"/>
      <c r="C87" s="43"/>
      <c r="D87" s="43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4.25" customHeight="1" x14ac:dyDescent="0.25">
      <c r="A88" s="5"/>
      <c r="B88" s="5"/>
      <c r="C88" s="43"/>
      <c r="D88" s="43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4.25" customHeight="1" x14ac:dyDescent="0.25">
      <c r="A89" s="5"/>
      <c r="B89" s="5"/>
      <c r="C89" s="43"/>
      <c r="D89" s="43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4.25" customHeight="1" x14ac:dyDescent="0.25">
      <c r="A90" s="5"/>
      <c r="B90" s="5"/>
      <c r="C90" s="43"/>
      <c r="D90" s="43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4.25" customHeight="1" x14ac:dyDescent="0.25">
      <c r="A91" s="5"/>
      <c r="B91" s="5"/>
      <c r="C91" s="43"/>
      <c r="D91" s="43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4.25" customHeight="1" x14ac:dyDescent="0.25">
      <c r="A92" s="5"/>
      <c r="B92" s="5"/>
      <c r="C92" s="43"/>
      <c r="D92" s="43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4.25" customHeight="1" x14ac:dyDescent="0.25">
      <c r="A93" s="5"/>
      <c r="B93" s="5"/>
      <c r="C93" s="43"/>
      <c r="D93" s="43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4.25" customHeight="1" x14ac:dyDescent="0.25">
      <c r="A94" s="5"/>
      <c r="B94" s="5"/>
      <c r="C94" s="43"/>
      <c r="D94" s="43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4.25" customHeight="1" x14ac:dyDescent="0.25">
      <c r="A95" s="5"/>
      <c r="B95" s="5"/>
      <c r="C95" s="43"/>
      <c r="D95" s="43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4.25" customHeight="1" x14ac:dyDescent="0.25">
      <c r="A96" s="5"/>
      <c r="B96" s="5"/>
      <c r="C96" s="43"/>
      <c r="D96" s="43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4.25" customHeight="1" x14ac:dyDescent="0.25">
      <c r="A97" s="5"/>
      <c r="B97" s="5"/>
      <c r="C97" s="43"/>
      <c r="D97" s="43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4.25" customHeight="1" x14ac:dyDescent="0.25">
      <c r="A98" s="5"/>
      <c r="B98" s="5"/>
      <c r="C98" s="43"/>
      <c r="D98" s="43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4.25" customHeight="1" x14ac:dyDescent="0.25">
      <c r="A99" s="5"/>
      <c r="B99" s="5"/>
      <c r="C99" s="43"/>
      <c r="D99" s="43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4.25" customHeight="1" x14ac:dyDescent="0.25">
      <c r="A100" s="5"/>
      <c r="B100" s="5"/>
      <c r="C100" s="43"/>
      <c r="D100" s="43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4.25" customHeight="1" x14ac:dyDescent="0.25">
      <c r="A101" s="5"/>
      <c r="B101" s="5"/>
      <c r="C101" s="43"/>
      <c r="D101" s="43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4.25" customHeight="1" x14ac:dyDescent="0.25">
      <c r="A102" s="5"/>
      <c r="B102" s="5"/>
      <c r="C102" s="43"/>
      <c r="D102" s="43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4.25" customHeight="1" x14ac:dyDescent="0.25">
      <c r="A103" s="5"/>
      <c r="B103" s="5"/>
      <c r="C103" s="43"/>
      <c r="D103" s="43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4.25" customHeight="1" x14ac:dyDescent="0.25">
      <c r="A104" s="5"/>
      <c r="B104" s="5"/>
      <c r="C104" s="43"/>
      <c r="D104" s="43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4.25" customHeight="1" x14ac:dyDescent="0.25">
      <c r="A105" s="5"/>
      <c r="B105" s="5"/>
      <c r="C105" s="43"/>
      <c r="D105" s="43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4.25" customHeight="1" x14ac:dyDescent="0.25">
      <c r="A106" s="5"/>
      <c r="B106" s="5"/>
      <c r="C106" s="43"/>
      <c r="D106" s="43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4.25" customHeight="1" x14ac:dyDescent="0.25">
      <c r="A107" s="5"/>
      <c r="B107" s="5"/>
      <c r="C107" s="43"/>
      <c r="D107" s="43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4.25" customHeight="1" x14ac:dyDescent="0.25">
      <c r="A108" s="5"/>
      <c r="B108" s="5"/>
      <c r="C108" s="43"/>
      <c r="D108" s="43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4.25" customHeight="1" x14ac:dyDescent="0.25">
      <c r="A109" s="5"/>
      <c r="B109" s="5"/>
      <c r="C109" s="43"/>
      <c r="D109" s="43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4.25" customHeight="1" x14ac:dyDescent="0.25">
      <c r="A110" s="5"/>
      <c r="B110" s="5"/>
      <c r="C110" s="43"/>
      <c r="D110" s="43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4.25" customHeight="1" x14ac:dyDescent="0.25">
      <c r="A111" s="5"/>
      <c r="B111" s="5"/>
      <c r="C111" s="43"/>
      <c r="D111" s="43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4.25" customHeight="1" x14ac:dyDescent="0.25">
      <c r="A112" s="5"/>
      <c r="B112" s="5"/>
      <c r="C112" s="43"/>
      <c r="D112" s="43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4.25" customHeight="1" x14ac:dyDescent="0.25">
      <c r="A113" s="5"/>
      <c r="B113" s="5"/>
      <c r="C113" s="43"/>
      <c r="D113" s="43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4.25" customHeight="1" x14ac:dyDescent="0.25">
      <c r="A114" s="5"/>
      <c r="B114" s="5"/>
      <c r="C114" s="43"/>
      <c r="D114" s="43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4.25" customHeight="1" x14ac:dyDescent="0.25">
      <c r="A115" s="5"/>
      <c r="B115" s="5"/>
      <c r="C115" s="43"/>
      <c r="D115" s="43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4.25" customHeight="1" x14ac:dyDescent="0.25">
      <c r="A116" s="5"/>
      <c r="B116" s="5"/>
      <c r="C116" s="43"/>
      <c r="D116" s="43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4.25" customHeight="1" x14ac:dyDescent="0.25">
      <c r="A117" s="5"/>
      <c r="B117" s="5"/>
      <c r="C117" s="43"/>
      <c r="D117" s="43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4.25" customHeight="1" x14ac:dyDescent="0.25">
      <c r="A118" s="5"/>
      <c r="B118" s="5"/>
      <c r="C118" s="43"/>
      <c r="D118" s="43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4.25" customHeight="1" x14ac:dyDescent="0.25">
      <c r="A119" s="5"/>
      <c r="B119" s="5"/>
      <c r="C119" s="43"/>
      <c r="D119" s="43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4.25" customHeight="1" x14ac:dyDescent="0.25">
      <c r="A120" s="5"/>
      <c r="B120" s="5"/>
      <c r="C120" s="43"/>
      <c r="D120" s="43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4.25" customHeight="1" x14ac:dyDescent="0.25">
      <c r="A121" s="5"/>
      <c r="B121" s="5"/>
      <c r="C121" s="43"/>
      <c r="D121" s="43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4.25" customHeight="1" x14ac:dyDescent="0.25">
      <c r="A122" s="5"/>
      <c r="B122" s="5"/>
      <c r="C122" s="43"/>
      <c r="D122" s="43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4.25" customHeight="1" x14ac:dyDescent="0.25">
      <c r="A123" s="5"/>
      <c r="B123" s="5"/>
      <c r="C123" s="43"/>
      <c r="D123" s="43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4.25" customHeight="1" x14ac:dyDescent="0.25">
      <c r="A124" s="5"/>
      <c r="B124" s="5"/>
      <c r="C124" s="43"/>
      <c r="D124" s="43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4.25" customHeight="1" x14ac:dyDescent="0.25">
      <c r="A125" s="5"/>
      <c r="B125" s="5"/>
      <c r="C125" s="43"/>
      <c r="D125" s="43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4.25" customHeight="1" x14ac:dyDescent="0.25">
      <c r="A126" s="5"/>
      <c r="B126" s="5"/>
      <c r="C126" s="43"/>
      <c r="D126" s="43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4.25" customHeight="1" x14ac:dyDescent="0.25">
      <c r="A127" s="5"/>
      <c r="B127" s="5"/>
      <c r="C127" s="43"/>
      <c r="D127" s="43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4.25" customHeight="1" x14ac:dyDescent="0.25">
      <c r="A128" s="5"/>
      <c r="B128" s="5"/>
      <c r="C128" s="43"/>
      <c r="D128" s="43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4.25" customHeight="1" x14ac:dyDescent="0.25">
      <c r="A129" s="5"/>
      <c r="B129" s="5"/>
      <c r="C129" s="43"/>
      <c r="D129" s="43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4.25" customHeight="1" x14ac:dyDescent="0.25">
      <c r="A130" s="5"/>
      <c r="B130" s="5"/>
      <c r="C130" s="43"/>
      <c r="D130" s="43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4.25" customHeight="1" x14ac:dyDescent="0.25">
      <c r="A131" s="5"/>
      <c r="B131" s="5"/>
      <c r="C131" s="43"/>
      <c r="D131" s="43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4.25" customHeight="1" x14ac:dyDescent="0.25">
      <c r="A132" s="5"/>
      <c r="B132" s="5"/>
      <c r="C132" s="43"/>
      <c r="D132" s="43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4.25" customHeight="1" x14ac:dyDescent="0.25">
      <c r="A133" s="5"/>
      <c r="B133" s="5"/>
      <c r="C133" s="43"/>
      <c r="D133" s="43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4.25" customHeight="1" x14ac:dyDescent="0.25">
      <c r="A134" s="5"/>
      <c r="B134" s="5"/>
      <c r="C134" s="43"/>
      <c r="D134" s="43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4.25" customHeight="1" x14ac:dyDescent="0.25">
      <c r="A135" s="5"/>
      <c r="B135" s="5"/>
      <c r="C135" s="43"/>
      <c r="D135" s="43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4.25" customHeight="1" x14ac:dyDescent="0.25">
      <c r="A136" s="5"/>
      <c r="B136" s="5"/>
      <c r="C136" s="43"/>
      <c r="D136" s="43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4.25" customHeight="1" x14ac:dyDescent="0.25">
      <c r="A137" s="5"/>
      <c r="B137" s="5"/>
      <c r="C137" s="43"/>
      <c r="D137" s="43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4.25" customHeight="1" x14ac:dyDescent="0.25">
      <c r="A138" s="5"/>
      <c r="B138" s="5"/>
      <c r="C138" s="43"/>
      <c r="D138" s="43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4.25" customHeight="1" x14ac:dyDescent="0.25">
      <c r="A139" s="5"/>
      <c r="B139" s="5"/>
      <c r="C139" s="43"/>
      <c r="D139" s="43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4.25" customHeight="1" x14ac:dyDescent="0.25">
      <c r="A140" s="5"/>
      <c r="B140" s="5"/>
      <c r="C140" s="43"/>
      <c r="D140" s="43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4.25" customHeight="1" x14ac:dyDescent="0.25">
      <c r="A141" s="5"/>
      <c r="B141" s="5"/>
      <c r="C141" s="43"/>
      <c r="D141" s="43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4.25" customHeight="1" x14ac:dyDescent="0.25">
      <c r="A142" s="5"/>
      <c r="B142" s="5"/>
      <c r="C142" s="43"/>
      <c r="D142" s="43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4.25" customHeight="1" x14ac:dyDescent="0.25">
      <c r="A143" s="5"/>
      <c r="B143" s="5"/>
      <c r="C143" s="43"/>
      <c r="D143" s="43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4.25" customHeight="1" x14ac:dyDescent="0.25">
      <c r="A144" s="5"/>
      <c r="B144" s="5"/>
      <c r="C144" s="43"/>
      <c r="D144" s="4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4.25" customHeight="1" x14ac:dyDescent="0.25">
      <c r="A145" s="5"/>
      <c r="B145" s="5"/>
      <c r="C145" s="43"/>
      <c r="D145" s="43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4.25" customHeight="1" x14ac:dyDescent="0.25">
      <c r="A146" s="5"/>
      <c r="B146" s="5"/>
      <c r="C146" s="43"/>
      <c r="D146" s="43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4.25" customHeight="1" x14ac:dyDescent="0.25">
      <c r="A147" s="5"/>
      <c r="B147" s="5"/>
      <c r="C147" s="43"/>
      <c r="D147" s="43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4.25" customHeight="1" x14ac:dyDescent="0.25">
      <c r="A148" s="5"/>
      <c r="B148" s="5"/>
      <c r="C148" s="43"/>
      <c r="D148" s="43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4.25" customHeight="1" x14ac:dyDescent="0.25">
      <c r="A149" s="5"/>
      <c r="B149" s="5"/>
      <c r="C149" s="43"/>
      <c r="D149" s="43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4.25" customHeight="1" x14ac:dyDescent="0.25">
      <c r="A150" s="5"/>
      <c r="B150" s="5"/>
      <c r="C150" s="43"/>
      <c r="D150" s="43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4.25" customHeight="1" x14ac:dyDescent="0.25">
      <c r="A151" s="5"/>
      <c r="B151" s="5"/>
      <c r="C151" s="43"/>
      <c r="D151" s="43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4.25" customHeight="1" x14ac:dyDescent="0.25">
      <c r="A152" s="5"/>
      <c r="B152" s="5"/>
      <c r="C152" s="43"/>
      <c r="D152" s="43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4.25" customHeight="1" x14ac:dyDescent="0.25">
      <c r="A153" s="5"/>
      <c r="B153" s="5"/>
      <c r="C153" s="43"/>
      <c r="D153" s="43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4.25" customHeight="1" x14ac:dyDescent="0.25">
      <c r="A154" s="5"/>
      <c r="B154" s="5"/>
      <c r="C154" s="43"/>
      <c r="D154" s="43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4.25" customHeight="1" x14ac:dyDescent="0.25">
      <c r="A155" s="5"/>
      <c r="B155" s="5"/>
      <c r="C155" s="43"/>
      <c r="D155" s="43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4.25" customHeight="1" x14ac:dyDescent="0.25">
      <c r="A156" s="5"/>
      <c r="B156" s="5"/>
      <c r="C156" s="43"/>
      <c r="D156" s="43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4.25" customHeight="1" x14ac:dyDescent="0.25">
      <c r="A157" s="5"/>
      <c r="B157" s="5"/>
      <c r="C157" s="43"/>
      <c r="D157" s="43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4.25" customHeight="1" x14ac:dyDescent="0.25">
      <c r="A158" s="5"/>
      <c r="B158" s="5"/>
      <c r="C158" s="43"/>
      <c r="D158" s="43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4.25" customHeight="1" x14ac:dyDescent="0.25">
      <c r="A159" s="5"/>
      <c r="B159" s="5"/>
      <c r="C159" s="43"/>
      <c r="D159" s="43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4.25" customHeight="1" x14ac:dyDescent="0.25">
      <c r="A160" s="5"/>
      <c r="B160" s="5"/>
      <c r="C160" s="43"/>
      <c r="D160" s="43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4.25" customHeight="1" x14ac:dyDescent="0.25">
      <c r="A161" s="5"/>
      <c r="B161" s="5"/>
      <c r="C161" s="43"/>
      <c r="D161" s="43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4.25" customHeight="1" x14ac:dyDescent="0.25">
      <c r="A162" s="5"/>
      <c r="B162" s="5"/>
      <c r="C162" s="43"/>
      <c r="D162" s="43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4.25" customHeight="1" x14ac:dyDescent="0.25">
      <c r="A163" s="5"/>
      <c r="B163" s="5"/>
      <c r="C163" s="43"/>
      <c r="D163" s="43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4.25" customHeight="1" x14ac:dyDescent="0.25">
      <c r="A164" s="5"/>
      <c r="B164" s="5"/>
      <c r="C164" s="43"/>
      <c r="D164" s="43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4.25" customHeight="1" x14ac:dyDescent="0.25">
      <c r="A165" s="5"/>
      <c r="B165" s="5"/>
      <c r="C165" s="43"/>
      <c r="D165" s="43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4.25" customHeight="1" x14ac:dyDescent="0.25">
      <c r="A166" s="5"/>
      <c r="B166" s="5"/>
      <c r="C166" s="43"/>
      <c r="D166" s="43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4.25" customHeight="1" x14ac:dyDescent="0.25">
      <c r="A167" s="5"/>
      <c r="B167" s="5"/>
      <c r="C167" s="43"/>
      <c r="D167" s="43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4.25" customHeight="1" x14ac:dyDescent="0.25">
      <c r="A168" s="5"/>
      <c r="B168" s="5"/>
      <c r="C168" s="43"/>
      <c r="D168" s="43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4.25" customHeight="1" x14ac:dyDescent="0.25">
      <c r="A169" s="5"/>
      <c r="B169" s="5"/>
      <c r="C169" s="43"/>
      <c r="D169" s="43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4.25" customHeight="1" x14ac:dyDescent="0.25">
      <c r="A170" s="5"/>
      <c r="B170" s="5"/>
      <c r="C170" s="43"/>
      <c r="D170" s="43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4.25" customHeight="1" x14ac:dyDescent="0.25">
      <c r="A171" s="5"/>
      <c r="B171" s="5"/>
      <c r="C171" s="43"/>
      <c r="D171" s="43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4.25" customHeight="1" x14ac:dyDescent="0.25">
      <c r="A172" s="5"/>
      <c r="B172" s="5"/>
      <c r="C172" s="43"/>
      <c r="D172" s="43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4.25" customHeight="1" x14ac:dyDescent="0.25">
      <c r="A173" s="5"/>
      <c r="B173" s="5"/>
      <c r="C173" s="43"/>
      <c r="D173" s="43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4.25" customHeight="1" x14ac:dyDescent="0.25">
      <c r="A174" s="5"/>
      <c r="B174" s="5"/>
      <c r="C174" s="43"/>
      <c r="D174" s="43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4.25" customHeight="1" x14ac:dyDescent="0.25">
      <c r="A175" s="5"/>
      <c r="B175" s="5"/>
      <c r="C175" s="43"/>
      <c r="D175" s="43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4.25" customHeight="1" x14ac:dyDescent="0.25">
      <c r="A176" s="5"/>
      <c r="B176" s="5"/>
      <c r="C176" s="43"/>
      <c r="D176" s="43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4.25" customHeight="1" x14ac:dyDescent="0.25">
      <c r="A177" s="5"/>
      <c r="B177" s="5"/>
      <c r="C177" s="43"/>
      <c r="D177" s="43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4.25" customHeight="1" x14ac:dyDescent="0.25">
      <c r="A178" s="5"/>
      <c r="B178" s="5"/>
      <c r="C178" s="43"/>
      <c r="D178" s="43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4.25" customHeight="1" x14ac:dyDescent="0.25">
      <c r="A179" s="5"/>
      <c r="B179" s="5"/>
      <c r="C179" s="43"/>
      <c r="D179" s="43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4.25" customHeight="1" x14ac:dyDescent="0.25">
      <c r="A180" s="5"/>
      <c r="B180" s="5"/>
      <c r="C180" s="43"/>
      <c r="D180" s="43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4.25" customHeight="1" x14ac:dyDescent="0.25">
      <c r="A181" s="5"/>
      <c r="B181" s="5"/>
      <c r="C181" s="43"/>
      <c r="D181" s="43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4.25" customHeight="1" x14ac:dyDescent="0.25">
      <c r="A182" s="5"/>
      <c r="B182" s="5"/>
      <c r="C182" s="43"/>
      <c r="D182" s="43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4.25" customHeight="1" x14ac:dyDescent="0.25">
      <c r="A183" s="5"/>
      <c r="B183" s="5"/>
      <c r="C183" s="43"/>
      <c r="D183" s="43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4.25" customHeight="1" x14ac:dyDescent="0.25">
      <c r="A184" s="5"/>
      <c r="B184" s="5"/>
      <c r="C184" s="43"/>
      <c r="D184" s="43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4.25" customHeight="1" x14ac:dyDescent="0.25">
      <c r="A185" s="5"/>
      <c r="B185" s="5"/>
      <c r="C185" s="43"/>
      <c r="D185" s="43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4.25" customHeight="1" x14ac:dyDescent="0.25">
      <c r="A186" s="5"/>
      <c r="B186" s="5"/>
      <c r="C186" s="43"/>
      <c r="D186" s="43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4.25" customHeight="1" x14ac:dyDescent="0.25">
      <c r="A187" s="5"/>
      <c r="B187" s="5"/>
      <c r="C187" s="43"/>
      <c r="D187" s="43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4.25" customHeight="1" x14ac:dyDescent="0.25">
      <c r="A188" s="5"/>
      <c r="B188" s="5"/>
      <c r="C188" s="43"/>
      <c r="D188" s="43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4.25" customHeight="1" x14ac:dyDescent="0.25">
      <c r="A189" s="5"/>
      <c r="B189" s="5"/>
      <c r="C189" s="43"/>
      <c r="D189" s="43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4.25" customHeight="1" x14ac:dyDescent="0.25">
      <c r="A190" s="5"/>
      <c r="B190" s="5"/>
      <c r="C190" s="43"/>
      <c r="D190" s="43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4.25" customHeight="1" x14ac:dyDescent="0.25">
      <c r="A191" s="5"/>
      <c r="B191" s="5"/>
      <c r="C191" s="43"/>
      <c r="D191" s="43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4.25" customHeight="1" x14ac:dyDescent="0.25">
      <c r="A192" s="5"/>
      <c r="B192" s="5"/>
      <c r="C192" s="43"/>
      <c r="D192" s="43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4.25" customHeight="1" x14ac:dyDescent="0.25">
      <c r="A193" s="5"/>
      <c r="B193" s="5"/>
      <c r="C193" s="43"/>
      <c r="D193" s="43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4.25" customHeight="1" x14ac:dyDescent="0.25">
      <c r="A194" s="5"/>
      <c r="B194" s="5"/>
      <c r="C194" s="43"/>
      <c r="D194" s="43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4.25" customHeight="1" x14ac:dyDescent="0.25">
      <c r="A195" s="5"/>
      <c r="B195" s="5"/>
      <c r="C195" s="43"/>
      <c r="D195" s="43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4.25" customHeight="1" x14ac:dyDescent="0.25">
      <c r="A196" s="5"/>
      <c r="B196" s="5"/>
      <c r="C196" s="43"/>
      <c r="D196" s="43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4.25" customHeight="1" x14ac:dyDescent="0.25">
      <c r="A197" s="5"/>
      <c r="B197" s="5"/>
      <c r="C197" s="43"/>
      <c r="D197" s="43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4.25" customHeight="1" x14ac:dyDescent="0.25">
      <c r="A198" s="5"/>
      <c r="B198" s="5"/>
      <c r="C198" s="43"/>
      <c r="D198" s="43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4.25" customHeight="1" x14ac:dyDescent="0.25">
      <c r="A199" s="5"/>
      <c r="B199" s="5"/>
      <c r="C199" s="43"/>
      <c r="D199" s="43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4.25" customHeight="1" x14ac:dyDescent="0.25">
      <c r="A200" s="5"/>
      <c r="B200" s="5"/>
      <c r="C200" s="43"/>
      <c r="D200" s="43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4.25" customHeight="1" x14ac:dyDescent="0.25">
      <c r="A201" s="5"/>
      <c r="B201" s="5"/>
      <c r="C201" s="43"/>
      <c r="D201" s="43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4.25" customHeight="1" x14ac:dyDescent="0.25">
      <c r="A202" s="5"/>
      <c r="B202" s="5"/>
      <c r="C202" s="43"/>
      <c r="D202" s="43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4.25" customHeight="1" x14ac:dyDescent="0.25">
      <c r="A203" s="5"/>
      <c r="B203" s="5"/>
      <c r="C203" s="43"/>
      <c r="D203" s="43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4.25" customHeight="1" x14ac:dyDescent="0.25">
      <c r="A204" s="5"/>
      <c r="B204" s="5"/>
      <c r="C204" s="43"/>
      <c r="D204" s="43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4.25" customHeight="1" x14ac:dyDescent="0.25">
      <c r="A205" s="5"/>
      <c r="B205" s="5"/>
      <c r="C205" s="43"/>
      <c r="D205" s="43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4.25" customHeight="1" x14ac:dyDescent="0.25">
      <c r="A206" s="5"/>
      <c r="B206" s="5"/>
      <c r="C206" s="43"/>
      <c r="D206" s="43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4.25" customHeight="1" x14ac:dyDescent="0.25">
      <c r="A207" s="5"/>
      <c r="B207" s="5"/>
      <c r="C207" s="43"/>
      <c r="D207" s="43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4.25" customHeight="1" x14ac:dyDescent="0.25">
      <c r="A208" s="5"/>
      <c r="B208" s="5"/>
      <c r="C208" s="43"/>
      <c r="D208" s="43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4.25" customHeight="1" x14ac:dyDescent="0.25">
      <c r="A209" s="5"/>
      <c r="B209" s="5"/>
      <c r="C209" s="43"/>
      <c r="D209" s="43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4.25" customHeight="1" x14ac:dyDescent="0.25">
      <c r="A210" s="5"/>
      <c r="B210" s="5"/>
      <c r="C210" s="43"/>
      <c r="D210" s="43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4.25" customHeight="1" x14ac:dyDescent="0.25">
      <c r="A211" s="5"/>
      <c r="B211" s="5"/>
      <c r="C211" s="43"/>
      <c r="D211" s="43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4.25" customHeight="1" x14ac:dyDescent="0.25">
      <c r="A212" s="5"/>
      <c r="B212" s="5"/>
      <c r="C212" s="43"/>
      <c r="D212" s="43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4.25" customHeight="1" x14ac:dyDescent="0.25">
      <c r="A213" s="5"/>
      <c r="B213" s="5"/>
      <c r="C213" s="43"/>
      <c r="D213" s="43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4.25" customHeight="1" x14ac:dyDescent="0.25">
      <c r="A214" s="5"/>
      <c r="B214" s="5"/>
      <c r="C214" s="43"/>
      <c r="D214" s="43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4.25" customHeight="1" x14ac:dyDescent="0.25">
      <c r="A215" s="5"/>
      <c r="B215" s="5"/>
      <c r="C215" s="43"/>
      <c r="D215" s="43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4.25" customHeight="1" x14ac:dyDescent="0.25">
      <c r="A216" s="5"/>
      <c r="B216" s="5"/>
      <c r="C216" s="43"/>
      <c r="D216" s="4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4.25" customHeight="1" x14ac:dyDescent="0.25">
      <c r="A217" s="5"/>
      <c r="B217" s="5"/>
      <c r="C217" s="43"/>
      <c r="D217" s="43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4.25" customHeight="1" x14ac:dyDescent="0.25">
      <c r="A218" s="5"/>
      <c r="B218" s="5"/>
      <c r="C218" s="43"/>
      <c r="D218" s="43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4.25" customHeight="1" x14ac:dyDescent="0.25">
      <c r="A219" s="5"/>
      <c r="B219" s="5"/>
      <c r="C219" s="43"/>
      <c r="D219" s="43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4.25" customHeight="1" x14ac:dyDescent="0.25">
      <c r="A220" s="5"/>
      <c r="B220" s="5"/>
      <c r="C220" s="43"/>
      <c r="D220" s="43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4.25" customHeight="1" x14ac:dyDescent="0.25">
      <c r="A221" s="5"/>
      <c r="B221" s="5"/>
      <c r="C221" s="43"/>
      <c r="D221" s="43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4.25" customHeight="1" x14ac:dyDescent="0.25">
      <c r="A222" s="5"/>
      <c r="B222" s="5"/>
      <c r="C222" s="43"/>
      <c r="D222" s="43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4.25" customHeight="1" x14ac:dyDescent="0.25">
      <c r="A223" s="5"/>
      <c r="B223" s="5"/>
      <c r="C223" s="43"/>
      <c r="D223" s="43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4.25" customHeight="1" x14ac:dyDescent="0.25">
      <c r="A224" s="5"/>
      <c r="B224" s="5"/>
      <c r="C224" s="43"/>
      <c r="D224" s="43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4.25" customHeight="1" x14ac:dyDescent="0.25">
      <c r="A225" s="5"/>
      <c r="B225" s="5"/>
      <c r="C225" s="43"/>
      <c r="D225" s="43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4.25" customHeight="1" x14ac:dyDescent="0.25">
      <c r="A226" s="5"/>
      <c r="B226" s="5"/>
      <c r="C226" s="43"/>
      <c r="D226" s="43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4.25" customHeight="1" x14ac:dyDescent="0.25">
      <c r="A227" s="5"/>
      <c r="B227" s="5"/>
      <c r="C227" s="43"/>
      <c r="D227" s="43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4.25" customHeight="1" x14ac:dyDescent="0.25">
      <c r="A228" s="5"/>
      <c r="B228" s="5"/>
      <c r="C228" s="43"/>
      <c r="D228" s="43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4.25" customHeight="1" x14ac:dyDescent="0.25">
      <c r="A229" s="5"/>
      <c r="B229" s="5"/>
      <c r="C229" s="43"/>
      <c r="D229" s="43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4.25" customHeight="1" x14ac:dyDescent="0.25">
      <c r="A230" s="5"/>
      <c r="B230" s="5"/>
      <c r="C230" s="43"/>
      <c r="D230" s="43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4.25" customHeight="1" x14ac:dyDescent="0.25">
      <c r="A231" s="5"/>
      <c r="B231" s="5"/>
      <c r="C231" s="43"/>
      <c r="D231" s="43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4.25" customHeight="1" x14ac:dyDescent="0.25">
      <c r="A232" s="5"/>
      <c r="B232" s="5"/>
      <c r="C232" s="43"/>
      <c r="D232" s="43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4.25" customHeight="1" x14ac:dyDescent="0.25">
      <c r="A233" s="5"/>
      <c r="B233" s="5"/>
      <c r="C233" s="43"/>
      <c r="D233" s="43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4.25" customHeight="1" x14ac:dyDescent="0.25">
      <c r="A234" s="5"/>
      <c r="B234" s="5"/>
      <c r="C234" s="43"/>
      <c r="D234" s="43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4.25" customHeight="1" x14ac:dyDescent="0.25">
      <c r="A235" s="5"/>
      <c r="B235" s="5"/>
      <c r="C235" s="43"/>
      <c r="D235" s="43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4.25" customHeight="1" x14ac:dyDescent="0.25">
      <c r="A236" s="5"/>
      <c r="B236" s="5"/>
      <c r="C236" s="43"/>
      <c r="D236" s="43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4.25" customHeight="1" x14ac:dyDescent="0.25">
      <c r="A237" s="5"/>
      <c r="B237" s="5"/>
      <c r="C237" s="43"/>
      <c r="D237" s="43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4.25" customHeight="1" x14ac:dyDescent="0.25">
      <c r="A238" s="5"/>
      <c r="B238" s="5"/>
      <c r="C238" s="43"/>
      <c r="D238" s="43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4.25" customHeight="1" x14ac:dyDescent="0.25">
      <c r="A239" s="5"/>
      <c r="B239" s="5"/>
      <c r="C239" s="43"/>
      <c r="D239" s="43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4.25" customHeight="1" x14ac:dyDescent="0.25">
      <c r="A240" s="5"/>
      <c r="B240" s="5"/>
      <c r="C240" s="43"/>
      <c r="D240" s="43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4.25" customHeight="1" x14ac:dyDescent="0.25">
      <c r="A241" s="5"/>
      <c r="B241" s="5"/>
      <c r="C241" s="43"/>
      <c r="D241" s="43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4.25" customHeight="1" x14ac:dyDescent="0.25">
      <c r="A242" s="5"/>
      <c r="B242" s="5"/>
      <c r="C242" s="43"/>
      <c r="D242" s="43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4.25" customHeight="1" x14ac:dyDescent="0.25">
      <c r="A243" s="5"/>
      <c r="B243" s="5"/>
      <c r="C243" s="43"/>
      <c r="D243" s="43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4.25" customHeight="1" x14ac:dyDescent="0.25">
      <c r="A244" s="5"/>
      <c r="B244" s="5"/>
      <c r="C244" s="43"/>
      <c r="D244" s="43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4.25" customHeight="1" x14ac:dyDescent="0.25">
      <c r="A245" s="5"/>
      <c r="B245" s="5"/>
      <c r="C245" s="43"/>
      <c r="D245" s="43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4.25" customHeight="1" x14ac:dyDescent="0.25">
      <c r="A246" s="5"/>
      <c r="B246" s="5"/>
      <c r="C246" s="43"/>
      <c r="D246" s="43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4.25" customHeight="1" x14ac:dyDescent="0.25">
      <c r="A247" s="5"/>
      <c r="B247" s="5"/>
      <c r="C247" s="43"/>
      <c r="D247" s="43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4.25" customHeight="1" x14ac:dyDescent="0.25">
      <c r="A248" s="5"/>
      <c r="B248" s="5"/>
      <c r="C248" s="43"/>
      <c r="D248" s="43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4.25" customHeight="1" x14ac:dyDescent="0.25">
      <c r="A249" s="5"/>
      <c r="B249" s="5"/>
      <c r="C249" s="43"/>
      <c r="D249" s="43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4.25" customHeight="1" x14ac:dyDescent="0.25">
      <c r="A250" s="5"/>
      <c r="B250" s="5"/>
      <c r="C250" s="43"/>
      <c r="D250" s="43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4.25" customHeight="1" x14ac:dyDescent="0.25">
      <c r="A251" s="5"/>
      <c r="B251" s="5"/>
      <c r="C251" s="43"/>
      <c r="D251" s="43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4.25" customHeight="1" x14ac:dyDescent="0.25">
      <c r="A252" s="5"/>
      <c r="B252" s="5"/>
      <c r="C252" s="43"/>
      <c r="D252" s="43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4.25" customHeight="1" x14ac:dyDescent="0.25">
      <c r="A253" s="5"/>
      <c r="B253" s="5"/>
      <c r="C253" s="43"/>
      <c r="D253" s="43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4.25" customHeight="1" x14ac:dyDescent="0.25">
      <c r="A254" s="5"/>
      <c r="B254" s="5"/>
      <c r="C254" s="43"/>
      <c r="D254" s="43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4.25" customHeight="1" x14ac:dyDescent="0.25">
      <c r="A255" s="5"/>
      <c r="B255" s="5"/>
      <c r="C255" s="43"/>
      <c r="D255" s="43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4.25" customHeight="1" x14ac:dyDescent="0.25">
      <c r="A256" s="5"/>
      <c r="B256" s="5"/>
      <c r="C256" s="43"/>
      <c r="D256" s="43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4.25" customHeight="1" x14ac:dyDescent="0.25">
      <c r="A257" s="5"/>
      <c r="B257" s="5"/>
      <c r="C257" s="43"/>
      <c r="D257" s="43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4.25" customHeight="1" x14ac:dyDescent="0.25">
      <c r="A258" s="5"/>
      <c r="B258" s="5"/>
      <c r="C258" s="43"/>
      <c r="D258" s="43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4.25" customHeight="1" x14ac:dyDescent="0.25">
      <c r="A259" s="5"/>
      <c r="B259" s="5"/>
      <c r="C259" s="43"/>
      <c r="D259" s="43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4.25" customHeight="1" x14ac:dyDescent="0.25">
      <c r="A260" s="5"/>
      <c r="B260" s="5"/>
      <c r="C260" s="43"/>
      <c r="D260" s="43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4.25" customHeight="1" x14ac:dyDescent="0.25">
      <c r="A261" s="5"/>
      <c r="B261" s="5"/>
      <c r="C261" s="43"/>
      <c r="D261" s="4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4.25" customHeight="1" x14ac:dyDescent="0.25">
      <c r="A262" s="5"/>
      <c r="B262" s="5"/>
      <c r="C262" s="43"/>
      <c r="D262" s="43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4.25" customHeight="1" x14ac:dyDescent="0.25">
      <c r="A263" s="5"/>
      <c r="B263" s="5"/>
      <c r="C263" s="43"/>
      <c r="D263" s="43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4.25" customHeight="1" x14ac:dyDescent="0.25">
      <c r="A264" s="5"/>
      <c r="B264" s="5"/>
      <c r="C264" s="43"/>
      <c r="D264" s="43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4.25" customHeight="1" x14ac:dyDescent="0.25">
      <c r="A265" s="5"/>
      <c r="B265" s="5"/>
      <c r="C265" s="43"/>
      <c r="D265" s="43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4.25" customHeight="1" x14ac:dyDescent="0.25">
      <c r="A266" s="5"/>
      <c r="B266" s="5"/>
      <c r="C266" s="43"/>
      <c r="D266" s="43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4.25" customHeight="1" x14ac:dyDescent="0.25">
      <c r="A267" s="5"/>
      <c r="B267" s="5"/>
      <c r="C267" s="43"/>
      <c r="D267" s="43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4.25" customHeight="1" x14ac:dyDescent="0.25">
      <c r="A268" s="5"/>
      <c r="B268" s="5"/>
      <c r="C268" s="43"/>
      <c r="D268" s="43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4.25" customHeight="1" x14ac:dyDescent="0.25">
      <c r="A269" s="5"/>
      <c r="B269" s="5"/>
      <c r="C269" s="43"/>
      <c r="D269" s="43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4.25" customHeight="1" x14ac:dyDescent="0.25">
      <c r="A270" s="5"/>
      <c r="B270" s="5"/>
      <c r="C270" s="43"/>
      <c r="D270" s="43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4.25" customHeight="1" x14ac:dyDescent="0.25">
      <c r="A271" s="5"/>
      <c r="B271" s="5"/>
      <c r="C271" s="43"/>
      <c r="D271" s="43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4.25" customHeight="1" x14ac:dyDescent="0.25">
      <c r="A272" s="5"/>
      <c r="B272" s="5"/>
      <c r="C272" s="43"/>
      <c r="D272" s="43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4.25" customHeight="1" x14ac:dyDescent="0.25">
      <c r="A273" s="5"/>
      <c r="B273" s="5"/>
      <c r="C273" s="43"/>
      <c r="D273" s="43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4.25" customHeight="1" x14ac:dyDescent="0.25">
      <c r="A274" s="5"/>
      <c r="B274" s="5"/>
      <c r="C274" s="43"/>
      <c r="D274" s="43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4.25" customHeight="1" x14ac:dyDescent="0.25">
      <c r="A275" s="5"/>
      <c r="B275" s="5"/>
      <c r="C275" s="43"/>
      <c r="D275" s="43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4.25" customHeight="1" x14ac:dyDescent="0.25">
      <c r="A276" s="5"/>
      <c r="B276" s="5"/>
      <c r="C276" s="43"/>
      <c r="D276" s="43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4.25" customHeight="1" x14ac:dyDescent="0.25">
      <c r="A277" s="5"/>
      <c r="B277" s="5"/>
      <c r="C277" s="43"/>
      <c r="D277" s="43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4.25" customHeight="1" x14ac:dyDescent="0.25">
      <c r="A278" s="5"/>
      <c r="B278" s="5"/>
      <c r="C278" s="43"/>
      <c r="D278" s="43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4.25" customHeight="1" x14ac:dyDescent="0.25">
      <c r="A279" s="5"/>
      <c r="B279" s="5"/>
      <c r="C279" s="43"/>
      <c r="D279" s="43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4.25" customHeight="1" x14ac:dyDescent="0.25">
      <c r="A280" s="5"/>
      <c r="B280" s="5"/>
      <c r="C280" s="43"/>
      <c r="D280" s="43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4.25" customHeight="1" x14ac:dyDescent="0.25">
      <c r="A281" s="5"/>
      <c r="B281" s="5"/>
      <c r="C281" s="43"/>
      <c r="D281" s="43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4.25" customHeight="1" x14ac:dyDescent="0.25">
      <c r="A282" s="5"/>
      <c r="B282" s="5"/>
      <c r="C282" s="43"/>
      <c r="D282" s="43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4.25" customHeight="1" x14ac:dyDescent="0.25">
      <c r="A283" s="5"/>
      <c r="B283" s="5"/>
      <c r="C283" s="43"/>
      <c r="D283" s="43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4.25" customHeight="1" x14ac:dyDescent="0.25">
      <c r="A284" s="5"/>
      <c r="B284" s="5"/>
      <c r="C284" s="43"/>
      <c r="D284" s="43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4.25" customHeight="1" x14ac:dyDescent="0.25">
      <c r="A285" s="5"/>
      <c r="B285" s="5"/>
      <c r="C285" s="43"/>
      <c r="D285" s="43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4.25" customHeight="1" x14ac:dyDescent="0.25">
      <c r="A286" s="5"/>
      <c r="B286" s="5"/>
      <c r="C286" s="43"/>
      <c r="D286" s="43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4.25" customHeight="1" x14ac:dyDescent="0.25">
      <c r="A287" s="5"/>
      <c r="B287" s="5"/>
      <c r="C287" s="43"/>
      <c r="D287" s="43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4.25" customHeight="1" x14ac:dyDescent="0.25">
      <c r="A288" s="5"/>
      <c r="B288" s="5"/>
      <c r="C288" s="43"/>
      <c r="D288" s="43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4.25" customHeight="1" x14ac:dyDescent="0.25">
      <c r="A289" s="5"/>
      <c r="B289" s="5"/>
      <c r="C289" s="43"/>
      <c r="D289" s="43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4.25" customHeight="1" x14ac:dyDescent="0.25">
      <c r="A290" s="5"/>
      <c r="B290" s="5"/>
      <c r="C290" s="43"/>
      <c r="D290" s="43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4.25" customHeight="1" x14ac:dyDescent="0.25">
      <c r="A291" s="5"/>
      <c r="B291" s="5"/>
      <c r="C291" s="43"/>
      <c r="D291" s="43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4.25" customHeight="1" x14ac:dyDescent="0.25">
      <c r="A292" s="5"/>
      <c r="B292" s="5"/>
      <c r="C292" s="43"/>
      <c r="D292" s="43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4.25" customHeight="1" x14ac:dyDescent="0.25">
      <c r="A293" s="5"/>
      <c r="B293" s="5"/>
      <c r="C293" s="43"/>
      <c r="D293" s="43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4.25" customHeight="1" x14ac:dyDescent="0.25">
      <c r="A294" s="5"/>
      <c r="B294" s="5"/>
      <c r="C294" s="43"/>
      <c r="D294" s="43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4.25" customHeight="1" x14ac:dyDescent="0.25">
      <c r="A295" s="5"/>
      <c r="B295" s="5"/>
      <c r="C295" s="43"/>
      <c r="D295" s="43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4.25" customHeight="1" x14ac:dyDescent="0.25">
      <c r="A296" s="5"/>
      <c r="B296" s="5"/>
      <c r="C296" s="43"/>
      <c r="D296" s="43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4.25" customHeight="1" x14ac:dyDescent="0.25">
      <c r="A297" s="5"/>
      <c r="B297" s="5"/>
      <c r="C297" s="43"/>
      <c r="D297" s="43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4.25" customHeight="1" x14ac:dyDescent="0.25">
      <c r="A298" s="5"/>
      <c r="B298" s="5"/>
      <c r="C298" s="43"/>
      <c r="D298" s="43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4.25" customHeight="1" x14ac:dyDescent="0.25">
      <c r="A299" s="5"/>
      <c r="B299" s="5"/>
      <c r="C299" s="43"/>
      <c r="D299" s="43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4.25" customHeight="1" x14ac:dyDescent="0.25">
      <c r="A300" s="5"/>
      <c r="B300" s="5"/>
      <c r="C300" s="43"/>
      <c r="D300" s="43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4.25" customHeight="1" x14ac:dyDescent="0.25">
      <c r="A301" s="5"/>
      <c r="B301" s="5"/>
      <c r="C301" s="43"/>
      <c r="D301" s="43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4.25" customHeight="1" x14ac:dyDescent="0.25">
      <c r="A302" s="5"/>
      <c r="B302" s="5"/>
      <c r="C302" s="43"/>
      <c r="D302" s="43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4.25" customHeight="1" x14ac:dyDescent="0.25">
      <c r="A303" s="5"/>
      <c r="B303" s="5"/>
      <c r="C303" s="43"/>
      <c r="D303" s="43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4.25" customHeight="1" x14ac:dyDescent="0.25">
      <c r="A304" s="5"/>
      <c r="B304" s="5"/>
      <c r="C304" s="43"/>
      <c r="D304" s="43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4.25" customHeight="1" x14ac:dyDescent="0.25">
      <c r="A305" s="5"/>
      <c r="B305" s="5"/>
      <c r="C305" s="43"/>
      <c r="D305" s="43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4.25" customHeight="1" x14ac:dyDescent="0.25">
      <c r="A306" s="5"/>
      <c r="B306" s="5"/>
      <c r="C306" s="43"/>
      <c r="D306" s="43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4.25" customHeight="1" x14ac:dyDescent="0.25">
      <c r="A307" s="5"/>
      <c r="B307" s="5"/>
      <c r="C307" s="43"/>
      <c r="D307" s="43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4.25" customHeight="1" x14ac:dyDescent="0.25">
      <c r="A308" s="5"/>
      <c r="B308" s="5"/>
      <c r="C308" s="43"/>
      <c r="D308" s="43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4.25" customHeight="1" x14ac:dyDescent="0.25">
      <c r="A309" s="5"/>
      <c r="B309" s="5"/>
      <c r="C309" s="43"/>
      <c r="D309" s="43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4.25" customHeight="1" x14ac:dyDescent="0.25">
      <c r="A310" s="5"/>
      <c r="B310" s="5"/>
      <c r="C310" s="43"/>
      <c r="D310" s="43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4.25" customHeight="1" x14ac:dyDescent="0.25">
      <c r="A311" s="5"/>
      <c r="B311" s="5"/>
      <c r="C311" s="43"/>
      <c r="D311" s="43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4.25" customHeight="1" x14ac:dyDescent="0.25">
      <c r="A312" s="5"/>
      <c r="B312" s="5"/>
      <c r="C312" s="43"/>
      <c r="D312" s="43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4.25" customHeight="1" x14ac:dyDescent="0.25">
      <c r="A313" s="5"/>
      <c r="B313" s="5"/>
      <c r="C313" s="43"/>
      <c r="D313" s="43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4.25" customHeight="1" x14ac:dyDescent="0.25">
      <c r="A314" s="5"/>
      <c r="B314" s="5"/>
      <c r="C314" s="43"/>
      <c r="D314" s="43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4.25" customHeight="1" x14ac:dyDescent="0.25">
      <c r="A315" s="5"/>
      <c r="B315" s="5"/>
      <c r="C315" s="43"/>
      <c r="D315" s="43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4.25" customHeight="1" x14ac:dyDescent="0.25">
      <c r="A316" s="5"/>
      <c r="B316" s="5"/>
      <c r="C316" s="43"/>
      <c r="D316" s="43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4.25" customHeight="1" x14ac:dyDescent="0.25">
      <c r="A317" s="5"/>
      <c r="B317" s="5"/>
      <c r="C317" s="43"/>
      <c r="D317" s="43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4.25" customHeight="1" x14ac:dyDescent="0.25">
      <c r="A318" s="5"/>
      <c r="B318" s="5"/>
      <c r="C318" s="43"/>
      <c r="D318" s="43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4.25" customHeight="1" x14ac:dyDescent="0.25">
      <c r="A319" s="5"/>
      <c r="B319" s="5"/>
      <c r="C319" s="43"/>
      <c r="D319" s="43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4.25" customHeight="1" x14ac:dyDescent="0.25">
      <c r="A320" s="5"/>
      <c r="B320" s="5"/>
      <c r="C320" s="43"/>
      <c r="D320" s="43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4.25" customHeight="1" x14ac:dyDescent="0.25">
      <c r="A321" s="5"/>
      <c r="B321" s="5"/>
      <c r="C321" s="43"/>
      <c r="D321" s="43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4.25" customHeight="1" x14ac:dyDescent="0.25">
      <c r="A322" s="5"/>
      <c r="B322" s="5"/>
      <c r="C322" s="43"/>
      <c r="D322" s="43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4.25" customHeight="1" x14ac:dyDescent="0.25">
      <c r="A323" s="5"/>
      <c r="B323" s="5"/>
      <c r="C323" s="43"/>
      <c r="D323" s="43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4.25" customHeight="1" x14ac:dyDescent="0.25">
      <c r="A324" s="5"/>
      <c r="B324" s="5"/>
      <c r="C324" s="43"/>
      <c r="D324" s="43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4.25" customHeight="1" x14ac:dyDescent="0.25">
      <c r="A325" s="5"/>
      <c r="B325" s="5"/>
      <c r="C325" s="43"/>
      <c r="D325" s="43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4.25" customHeight="1" x14ac:dyDescent="0.25">
      <c r="A326" s="5"/>
      <c r="B326" s="5"/>
      <c r="C326" s="43"/>
      <c r="D326" s="43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4.25" customHeight="1" x14ac:dyDescent="0.25">
      <c r="A327" s="5"/>
      <c r="B327" s="5"/>
      <c r="C327" s="43"/>
      <c r="D327" s="43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4.25" customHeight="1" x14ac:dyDescent="0.25">
      <c r="A328" s="5"/>
      <c r="B328" s="5"/>
      <c r="C328" s="43"/>
      <c r="D328" s="43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4.25" customHeight="1" x14ac:dyDescent="0.25">
      <c r="A329" s="5"/>
      <c r="B329" s="5"/>
      <c r="C329" s="43"/>
      <c r="D329" s="43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4.25" customHeight="1" x14ac:dyDescent="0.25">
      <c r="A330" s="5"/>
      <c r="B330" s="5"/>
      <c r="C330" s="43"/>
      <c r="D330" s="43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4.25" customHeight="1" x14ac:dyDescent="0.25">
      <c r="A331" s="5"/>
      <c r="B331" s="5"/>
      <c r="C331" s="43"/>
      <c r="D331" s="43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4.25" customHeight="1" x14ac:dyDescent="0.25">
      <c r="A332" s="5"/>
      <c r="B332" s="5"/>
      <c r="C332" s="43"/>
      <c r="D332" s="43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4.25" customHeight="1" x14ac:dyDescent="0.25">
      <c r="A333" s="5"/>
      <c r="B333" s="5"/>
      <c r="C333" s="43"/>
      <c r="D333" s="43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4.25" customHeight="1" x14ac:dyDescent="0.25">
      <c r="A334" s="5"/>
      <c r="B334" s="5"/>
      <c r="C334" s="43"/>
      <c r="D334" s="43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4.25" customHeight="1" x14ac:dyDescent="0.25">
      <c r="A335" s="5"/>
      <c r="B335" s="5"/>
      <c r="C335" s="43"/>
      <c r="D335" s="43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4.25" customHeight="1" x14ac:dyDescent="0.25">
      <c r="A336" s="5"/>
      <c r="B336" s="5"/>
      <c r="C336" s="43"/>
      <c r="D336" s="43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4.25" customHeight="1" x14ac:dyDescent="0.25">
      <c r="A337" s="5"/>
      <c r="B337" s="5"/>
      <c r="C337" s="43"/>
      <c r="D337" s="43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4.25" customHeight="1" x14ac:dyDescent="0.25">
      <c r="A338" s="5"/>
      <c r="B338" s="5"/>
      <c r="C338" s="43"/>
      <c r="D338" s="43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4.25" customHeight="1" x14ac:dyDescent="0.25">
      <c r="A339" s="5"/>
      <c r="B339" s="5"/>
      <c r="C339" s="43"/>
      <c r="D339" s="43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4.25" customHeight="1" x14ac:dyDescent="0.25">
      <c r="A340" s="5"/>
      <c r="B340" s="5"/>
      <c r="C340" s="43"/>
      <c r="D340" s="43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4.25" customHeight="1" x14ac:dyDescent="0.25">
      <c r="A341" s="5"/>
      <c r="B341" s="5"/>
      <c r="C341" s="43"/>
      <c r="D341" s="43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4.25" customHeight="1" x14ac:dyDescent="0.25">
      <c r="A342" s="5"/>
      <c r="B342" s="5"/>
      <c r="C342" s="43"/>
      <c r="D342" s="43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4.25" customHeight="1" x14ac:dyDescent="0.25">
      <c r="A343" s="5"/>
      <c r="B343" s="5"/>
      <c r="C343" s="43"/>
      <c r="D343" s="43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4.25" customHeight="1" x14ac:dyDescent="0.25">
      <c r="A344" s="5"/>
      <c r="B344" s="5"/>
      <c r="C344" s="43"/>
      <c r="D344" s="43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4.25" customHeight="1" x14ac:dyDescent="0.25">
      <c r="A345" s="5"/>
      <c r="B345" s="5"/>
      <c r="C345" s="43"/>
      <c r="D345" s="43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4.25" customHeight="1" x14ac:dyDescent="0.25">
      <c r="A346" s="5"/>
      <c r="B346" s="5"/>
      <c r="C346" s="43"/>
      <c r="D346" s="43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4.25" customHeight="1" x14ac:dyDescent="0.25">
      <c r="A347" s="5"/>
      <c r="B347" s="5"/>
      <c r="C347" s="43"/>
      <c r="D347" s="43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4.25" customHeight="1" x14ac:dyDescent="0.25">
      <c r="A348" s="5"/>
      <c r="B348" s="5"/>
      <c r="C348" s="43"/>
      <c r="D348" s="43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4.25" customHeight="1" x14ac:dyDescent="0.25">
      <c r="A349" s="5"/>
      <c r="B349" s="5"/>
      <c r="C349" s="43"/>
      <c r="D349" s="43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4.25" customHeight="1" x14ac:dyDescent="0.25">
      <c r="A350" s="5"/>
      <c r="B350" s="5"/>
      <c r="C350" s="43"/>
      <c r="D350" s="43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4.25" customHeight="1" x14ac:dyDescent="0.25">
      <c r="A351" s="5"/>
      <c r="B351" s="5"/>
      <c r="C351" s="43"/>
      <c r="D351" s="43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4.25" customHeight="1" x14ac:dyDescent="0.25">
      <c r="A352" s="5"/>
      <c r="B352" s="5"/>
      <c r="C352" s="43"/>
      <c r="D352" s="43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4.25" customHeight="1" x14ac:dyDescent="0.25">
      <c r="A353" s="5"/>
      <c r="B353" s="5"/>
      <c r="C353" s="43"/>
      <c r="D353" s="43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4.25" customHeight="1" x14ac:dyDescent="0.25">
      <c r="A354" s="5"/>
      <c r="B354" s="5"/>
      <c r="C354" s="43"/>
      <c r="D354" s="43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4.25" customHeight="1" x14ac:dyDescent="0.25">
      <c r="A355" s="5"/>
      <c r="B355" s="5"/>
      <c r="C355" s="43"/>
      <c r="D355" s="43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4.25" customHeight="1" x14ac:dyDescent="0.25">
      <c r="A356" s="5"/>
      <c r="B356" s="5"/>
      <c r="C356" s="43"/>
      <c r="D356" s="43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4.25" customHeight="1" x14ac:dyDescent="0.25">
      <c r="A357" s="5"/>
      <c r="B357" s="5"/>
      <c r="C357" s="43"/>
      <c r="D357" s="43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4.25" customHeight="1" x14ac:dyDescent="0.25">
      <c r="A358" s="5"/>
      <c r="B358" s="5"/>
      <c r="C358" s="43"/>
      <c r="D358" s="43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4.25" customHeight="1" x14ac:dyDescent="0.25">
      <c r="A359" s="5"/>
      <c r="B359" s="5"/>
      <c r="C359" s="43"/>
      <c r="D359" s="43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4.25" customHeight="1" x14ac:dyDescent="0.25">
      <c r="A360" s="5"/>
      <c r="B360" s="5"/>
      <c r="C360" s="43"/>
      <c r="D360" s="43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4.25" customHeight="1" x14ac:dyDescent="0.25">
      <c r="A361" s="5"/>
      <c r="B361" s="5"/>
      <c r="C361" s="43"/>
      <c r="D361" s="43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4.25" customHeight="1" x14ac:dyDescent="0.25">
      <c r="A362" s="5"/>
      <c r="B362" s="5"/>
      <c r="C362" s="43"/>
      <c r="D362" s="43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4.25" customHeight="1" x14ac:dyDescent="0.25">
      <c r="A363" s="5"/>
      <c r="B363" s="5"/>
      <c r="C363" s="43"/>
      <c r="D363" s="43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4.25" customHeight="1" x14ac:dyDescent="0.25">
      <c r="A364" s="5"/>
      <c r="B364" s="5"/>
      <c r="C364" s="43"/>
      <c r="D364" s="43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4.25" customHeight="1" x14ac:dyDescent="0.25">
      <c r="A365" s="5"/>
      <c r="B365" s="5"/>
      <c r="C365" s="43"/>
      <c r="D365" s="43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4.25" customHeight="1" x14ac:dyDescent="0.25">
      <c r="A366" s="5"/>
      <c r="B366" s="5"/>
      <c r="C366" s="43"/>
      <c r="D366" s="43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4.25" customHeight="1" x14ac:dyDescent="0.25">
      <c r="A367" s="5"/>
      <c r="B367" s="5"/>
      <c r="C367" s="43"/>
      <c r="D367" s="43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4.25" customHeight="1" x14ac:dyDescent="0.25">
      <c r="A368" s="5"/>
      <c r="B368" s="5"/>
      <c r="C368" s="43"/>
      <c r="D368" s="43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4.25" customHeight="1" x14ac:dyDescent="0.25">
      <c r="A369" s="5"/>
      <c r="B369" s="5"/>
      <c r="C369" s="43"/>
      <c r="D369" s="43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4.25" customHeight="1" x14ac:dyDescent="0.25">
      <c r="A370" s="5"/>
      <c r="B370" s="5"/>
      <c r="C370" s="43"/>
      <c r="D370" s="43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4.25" customHeight="1" x14ac:dyDescent="0.25">
      <c r="A371" s="5"/>
      <c r="B371" s="5"/>
      <c r="C371" s="43"/>
      <c r="D371" s="43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4.25" customHeight="1" x14ac:dyDescent="0.25">
      <c r="A372" s="5"/>
      <c r="B372" s="5"/>
      <c r="C372" s="43"/>
      <c r="D372" s="43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4.25" customHeight="1" x14ac:dyDescent="0.25">
      <c r="A373" s="5"/>
      <c r="B373" s="5"/>
      <c r="C373" s="43"/>
      <c r="D373" s="43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4.25" customHeight="1" x14ac:dyDescent="0.25">
      <c r="A374" s="5"/>
      <c r="B374" s="5"/>
      <c r="C374" s="43"/>
      <c r="D374" s="43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4.25" customHeight="1" x14ac:dyDescent="0.25">
      <c r="A375" s="5"/>
      <c r="B375" s="5"/>
      <c r="C375" s="43"/>
      <c r="D375" s="43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4.25" customHeight="1" x14ac:dyDescent="0.25">
      <c r="A376" s="5"/>
      <c r="B376" s="5"/>
      <c r="C376" s="43"/>
      <c r="D376" s="43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4.25" customHeight="1" x14ac:dyDescent="0.25">
      <c r="A377" s="5"/>
      <c r="B377" s="5"/>
      <c r="C377" s="43"/>
      <c r="D377" s="43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4.25" customHeight="1" x14ac:dyDescent="0.25">
      <c r="A378" s="5"/>
      <c r="B378" s="5"/>
      <c r="C378" s="43"/>
      <c r="D378" s="43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4.25" customHeight="1" x14ac:dyDescent="0.25">
      <c r="A379" s="5"/>
      <c r="B379" s="5"/>
      <c r="C379" s="43"/>
      <c r="D379" s="43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4.25" customHeight="1" x14ac:dyDescent="0.25">
      <c r="A380" s="5"/>
      <c r="B380" s="5"/>
      <c r="C380" s="43"/>
      <c r="D380" s="43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4.25" customHeight="1" x14ac:dyDescent="0.25">
      <c r="A381" s="5"/>
      <c r="B381" s="5"/>
      <c r="C381" s="43"/>
      <c r="D381" s="43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4.25" customHeight="1" x14ac:dyDescent="0.25">
      <c r="A382" s="5"/>
      <c r="B382" s="5"/>
      <c r="C382" s="43"/>
      <c r="D382" s="43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4.25" customHeight="1" x14ac:dyDescent="0.25">
      <c r="A383" s="5"/>
      <c r="B383" s="5"/>
      <c r="C383" s="43"/>
      <c r="D383" s="43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4.25" customHeight="1" x14ac:dyDescent="0.25">
      <c r="A384" s="5"/>
      <c r="B384" s="5"/>
      <c r="C384" s="43"/>
      <c r="D384" s="43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4.25" customHeight="1" x14ac:dyDescent="0.25">
      <c r="A385" s="5"/>
      <c r="B385" s="5"/>
      <c r="C385" s="43"/>
      <c r="D385" s="43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4.25" customHeight="1" x14ac:dyDescent="0.25">
      <c r="A386" s="5"/>
      <c r="B386" s="5"/>
      <c r="C386" s="43"/>
      <c r="D386" s="43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4.25" customHeight="1" x14ac:dyDescent="0.25">
      <c r="A387" s="5"/>
      <c r="B387" s="5"/>
      <c r="C387" s="43"/>
      <c r="D387" s="43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4.25" customHeight="1" x14ac:dyDescent="0.25">
      <c r="A388" s="5"/>
      <c r="B388" s="5"/>
      <c r="C388" s="43"/>
      <c r="D388" s="43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4.25" customHeight="1" x14ac:dyDescent="0.25">
      <c r="A389" s="5"/>
      <c r="B389" s="5"/>
      <c r="C389" s="43"/>
      <c r="D389" s="43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4.25" customHeight="1" x14ac:dyDescent="0.25">
      <c r="A390" s="5"/>
      <c r="B390" s="5"/>
      <c r="C390" s="43"/>
      <c r="D390" s="43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4.25" customHeight="1" x14ac:dyDescent="0.25">
      <c r="A391" s="5"/>
      <c r="B391" s="5"/>
      <c r="C391" s="43"/>
      <c r="D391" s="43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4.25" customHeight="1" x14ac:dyDescent="0.25">
      <c r="A392" s="5"/>
      <c r="B392" s="5"/>
      <c r="C392" s="43"/>
      <c r="D392" s="43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4.25" customHeight="1" x14ac:dyDescent="0.25">
      <c r="A393" s="5"/>
      <c r="B393" s="5"/>
      <c r="C393" s="43"/>
      <c r="D393" s="43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4.25" customHeight="1" x14ac:dyDescent="0.25">
      <c r="A394" s="5"/>
      <c r="B394" s="5"/>
      <c r="C394" s="43"/>
      <c r="D394" s="43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4.25" customHeight="1" x14ac:dyDescent="0.25">
      <c r="A395" s="5"/>
      <c r="B395" s="5"/>
      <c r="C395" s="43"/>
      <c r="D395" s="43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4.25" customHeight="1" x14ac:dyDescent="0.25">
      <c r="A396" s="5"/>
      <c r="B396" s="5"/>
      <c r="C396" s="43"/>
      <c r="D396" s="43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4.25" customHeight="1" x14ac:dyDescent="0.25">
      <c r="A397" s="5"/>
      <c r="B397" s="5"/>
      <c r="C397" s="43"/>
      <c r="D397" s="43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4.25" customHeight="1" x14ac:dyDescent="0.25">
      <c r="A398" s="5"/>
      <c r="B398" s="5"/>
      <c r="C398" s="43"/>
      <c r="D398" s="43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4.25" customHeight="1" x14ac:dyDescent="0.25">
      <c r="A399" s="5"/>
      <c r="B399" s="5"/>
      <c r="C399" s="43"/>
      <c r="D399" s="43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4.25" customHeight="1" x14ac:dyDescent="0.25">
      <c r="A400" s="5"/>
      <c r="B400" s="5"/>
      <c r="C400" s="43"/>
      <c r="D400" s="43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4.25" customHeight="1" x14ac:dyDescent="0.25">
      <c r="A401" s="5"/>
      <c r="B401" s="5"/>
      <c r="C401" s="43"/>
      <c r="D401" s="43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4.25" customHeight="1" x14ac:dyDescent="0.25">
      <c r="A402" s="5"/>
      <c r="B402" s="5"/>
      <c r="C402" s="43"/>
      <c r="D402" s="43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4.25" customHeight="1" x14ac:dyDescent="0.25">
      <c r="A403" s="5"/>
      <c r="B403" s="5"/>
      <c r="C403" s="43"/>
      <c r="D403" s="43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4.25" customHeight="1" x14ac:dyDescent="0.25">
      <c r="A404" s="5"/>
      <c r="B404" s="5"/>
      <c r="C404" s="43"/>
      <c r="D404" s="43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4.25" customHeight="1" x14ac:dyDescent="0.25">
      <c r="A405" s="5"/>
      <c r="B405" s="5"/>
      <c r="C405" s="43"/>
      <c r="D405" s="43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4.25" customHeight="1" x14ac:dyDescent="0.25">
      <c r="A406" s="5"/>
      <c r="B406" s="5"/>
      <c r="C406" s="43"/>
      <c r="D406" s="43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4.25" customHeight="1" x14ac:dyDescent="0.25">
      <c r="A407" s="5"/>
      <c r="B407" s="5"/>
      <c r="C407" s="43"/>
      <c r="D407" s="43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4.25" customHeight="1" x14ac:dyDescent="0.25">
      <c r="A408" s="5"/>
      <c r="B408" s="5"/>
      <c r="C408" s="43"/>
      <c r="D408" s="43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4.25" customHeight="1" x14ac:dyDescent="0.25">
      <c r="A409" s="5"/>
      <c r="B409" s="5"/>
      <c r="C409" s="43"/>
      <c r="D409" s="43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4.25" customHeight="1" x14ac:dyDescent="0.25">
      <c r="A410" s="5"/>
      <c r="B410" s="5"/>
      <c r="C410" s="43"/>
      <c r="D410" s="43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4.25" customHeight="1" x14ac:dyDescent="0.25">
      <c r="A411" s="5"/>
      <c r="B411" s="5"/>
      <c r="C411" s="43"/>
      <c r="D411" s="43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4.25" customHeight="1" x14ac:dyDescent="0.25">
      <c r="A412" s="5"/>
      <c r="B412" s="5"/>
      <c r="C412" s="43"/>
      <c r="D412" s="43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4.25" customHeight="1" x14ac:dyDescent="0.25">
      <c r="A413" s="5"/>
      <c r="B413" s="5"/>
      <c r="C413" s="43"/>
      <c r="D413" s="43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4.25" customHeight="1" x14ac:dyDescent="0.25">
      <c r="A414" s="5"/>
      <c r="B414" s="5"/>
      <c r="C414" s="43"/>
      <c r="D414" s="43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4.25" customHeight="1" x14ac:dyDescent="0.25">
      <c r="A415" s="5"/>
      <c r="B415" s="5"/>
      <c r="C415" s="43"/>
      <c r="D415" s="43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4.25" customHeight="1" x14ac:dyDescent="0.25">
      <c r="A416" s="5"/>
      <c r="B416" s="5"/>
      <c r="C416" s="43"/>
      <c r="D416" s="43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4.25" customHeight="1" x14ac:dyDescent="0.25">
      <c r="A417" s="5"/>
      <c r="B417" s="5"/>
      <c r="C417" s="43"/>
      <c r="D417" s="43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4.25" customHeight="1" x14ac:dyDescent="0.25">
      <c r="A418" s="5"/>
      <c r="B418" s="5"/>
      <c r="C418" s="43"/>
      <c r="D418" s="43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4.25" customHeight="1" x14ac:dyDescent="0.25">
      <c r="A419" s="5"/>
      <c r="B419" s="5"/>
      <c r="C419" s="43"/>
      <c r="D419" s="43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4.25" customHeight="1" x14ac:dyDescent="0.25">
      <c r="A420" s="5"/>
      <c r="B420" s="5"/>
      <c r="C420" s="43"/>
      <c r="D420" s="43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4.25" customHeight="1" x14ac:dyDescent="0.25">
      <c r="A421" s="5"/>
      <c r="B421" s="5"/>
      <c r="C421" s="43"/>
      <c r="D421" s="43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4.25" customHeight="1" x14ac:dyDescent="0.25">
      <c r="A422" s="5"/>
      <c r="B422" s="5"/>
      <c r="C422" s="43"/>
      <c r="D422" s="43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4.25" customHeight="1" x14ac:dyDescent="0.25">
      <c r="A423" s="5"/>
      <c r="B423" s="5"/>
      <c r="C423" s="43"/>
      <c r="D423" s="43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4.25" customHeight="1" x14ac:dyDescent="0.25">
      <c r="A424" s="5"/>
      <c r="B424" s="5"/>
      <c r="C424" s="43"/>
      <c r="D424" s="43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4.25" customHeight="1" x14ac:dyDescent="0.25">
      <c r="A425" s="5"/>
      <c r="B425" s="5"/>
      <c r="C425" s="43"/>
      <c r="D425" s="43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4.25" customHeight="1" x14ac:dyDescent="0.25">
      <c r="A426" s="5"/>
      <c r="B426" s="5"/>
      <c r="C426" s="43"/>
      <c r="D426" s="43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4.25" customHeight="1" x14ac:dyDescent="0.25">
      <c r="A427" s="5"/>
      <c r="B427" s="5"/>
      <c r="C427" s="43"/>
      <c r="D427" s="43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4.25" customHeight="1" x14ac:dyDescent="0.25">
      <c r="A428" s="5"/>
      <c r="B428" s="5"/>
      <c r="C428" s="43"/>
      <c r="D428" s="43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4.25" customHeight="1" x14ac:dyDescent="0.25">
      <c r="A429" s="5"/>
      <c r="B429" s="5"/>
      <c r="C429" s="43"/>
      <c r="D429" s="43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4.25" customHeight="1" x14ac:dyDescent="0.25">
      <c r="A430" s="5"/>
      <c r="B430" s="5"/>
      <c r="C430" s="43"/>
      <c r="D430" s="43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4.25" customHeight="1" x14ac:dyDescent="0.25">
      <c r="A431" s="5"/>
      <c r="B431" s="5"/>
      <c r="C431" s="43"/>
      <c r="D431" s="43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4.25" customHeight="1" x14ac:dyDescent="0.25">
      <c r="A432" s="5"/>
      <c r="B432" s="5"/>
      <c r="C432" s="43"/>
      <c r="D432" s="43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4.25" customHeight="1" x14ac:dyDescent="0.25">
      <c r="A433" s="5"/>
      <c r="B433" s="5"/>
      <c r="C433" s="43"/>
      <c r="D433" s="43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4.25" customHeight="1" x14ac:dyDescent="0.25">
      <c r="A434" s="5"/>
      <c r="B434" s="5"/>
      <c r="C434" s="43"/>
      <c r="D434" s="43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4.25" customHeight="1" x14ac:dyDescent="0.25">
      <c r="A435" s="5"/>
      <c r="B435" s="5"/>
      <c r="C435" s="43"/>
      <c r="D435" s="43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4.25" customHeight="1" x14ac:dyDescent="0.25">
      <c r="A436" s="5"/>
      <c r="B436" s="5"/>
      <c r="C436" s="43"/>
      <c r="D436" s="43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4.25" customHeight="1" x14ac:dyDescent="0.25">
      <c r="A437" s="5"/>
      <c r="B437" s="5"/>
      <c r="C437" s="43"/>
      <c r="D437" s="43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4.25" customHeight="1" x14ac:dyDescent="0.25">
      <c r="A438" s="5"/>
      <c r="B438" s="5"/>
      <c r="C438" s="43"/>
      <c r="D438" s="43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4.25" customHeight="1" x14ac:dyDescent="0.25">
      <c r="A439" s="5"/>
      <c r="B439" s="5"/>
      <c r="C439" s="43"/>
      <c r="D439" s="43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4.25" customHeight="1" x14ac:dyDescent="0.25">
      <c r="A440" s="5"/>
      <c r="B440" s="5"/>
      <c r="C440" s="43"/>
      <c r="D440" s="43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4.25" customHeight="1" x14ac:dyDescent="0.25">
      <c r="A441" s="5"/>
      <c r="B441" s="5"/>
      <c r="C441" s="43"/>
      <c r="D441" s="43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4.25" customHeight="1" x14ac:dyDescent="0.25">
      <c r="A442" s="5"/>
      <c r="B442" s="5"/>
      <c r="C442" s="43"/>
      <c r="D442" s="43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4.25" customHeight="1" x14ac:dyDescent="0.25">
      <c r="A443" s="5"/>
      <c r="B443" s="5"/>
      <c r="C443" s="43"/>
      <c r="D443" s="43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4.25" customHeight="1" x14ac:dyDescent="0.25">
      <c r="A444" s="5"/>
      <c r="B444" s="5"/>
      <c r="C444" s="43"/>
      <c r="D444" s="43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4.25" customHeight="1" x14ac:dyDescent="0.25">
      <c r="A445" s="5"/>
      <c r="B445" s="5"/>
      <c r="C445" s="43"/>
      <c r="D445" s="43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4.25" customHeight="1" x14ac:dyDescent="0.25">
      <c r="A446" s="5"/>
      <c r="B446" s="5"/>
      <c r="C446" s="43"/>
      <c r="D446" s="43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4.25" customHeight="1" x14ac:dyDescent="0.25">
      <c r="A447" s="5"/>
      <c r="B447" s="5"/>
      <c r="C447" s="43"/>
      <c r="D447" s="43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4.25" customHeight="1" x14ac:dyDescent="0.25">
      <c r="A448" s="5"/>
      <c r="B448" s="5"/>
      <c r="C448" s="43"/>
      <c r="D448" s="43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4.25" customHeight="1" x14ac:dyDescent="0.25">
      <c r="A449" s="5"/>
      <c r="B449" s="5"/>
      <c r="C449" s="43"/>
      <c r="D449" s="43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4.25" customHeight="1" x14ac:dyDescent="0.25">
      <c r="A450" s="5"/>
      <c r="B450" s="5"/>
      <c r="C450" s="43"/>
      <c r="D450" s="43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4.25" customHeight="1" x14ac:dyDescent="0.25">
      <c r="A451" s="5"/>
      <c r="B451" s="5"/>
      <c r="C451" s="43"/>
      <c r="D451" s="43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4.25" customHeight="1" x14ac:dyDescent="0.25">
      <c r="A452" s="5"/>
      <c r="B452" s="5"/>
      <c r="C452" s="43"/>
      <c r="D452" s="43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4.25" customHeight="1" x14ac:dyDescent="0.25">
      <c r="A453" s="5"/>
      <c r="B453" s="5"/>
      <c r="C453" s="43"/>
      <c r="D453" s="43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4.25" customHeight="1" x14ac:dyDescent="0.25">
      <c r="A454" s="5"/>
      <c r="B454" s="5"/>
      <c r="C454" s="43"/>
      <c r="D454" s="43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4.25" customHeight="1" x14ac:dyDescent="0.25">
      <c r="A455" s="5"/>
      <c r="B455" s="5"/>
      <c r="C455" s="43"/>
      <c r="D455" s="43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4.25" customHeight="1" x14ac:dyDescent="0.25">
      <c r="A456" s="5"/>
      <c r="B456" s="5"/>
      <c r="C456" s="43"/>
      <c r="D456" s="43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4.25" customHeight="1" x14ac:dyDescent="0.25">
      <c r="A457" s="5"/>
      <c r="B457" s="5"/>
      <c r="C457" s="43"/>
      <c r="D457" s="43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4.25" customHeight="1" x14ac:dyDescent="0.25">
      <c r="A458" s="5"/>
      <c r="B458" s="5"/>
      <c r="C458" s="43"/>
      <c r="D458" s="43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4.25" customHeight="1" x14ac:dyDescent="0.25">
      <c r="A459" s="5"/>
      <c r="B459" s="5"/>
      <c r="C459" s="43"/>
      <c r="D459" s="43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4.25" customHeight="1" x14ac:dyDescent="0.25">
      <c r="A460" s="5"/>
      <c r="B460" s="5"/>
      <c r="C460" s="43"/>
      <c r="D460" s="43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4.25" customHeight="1" x14ac:dyDescent="0.25">
      <c r="A461" s="5"/>
      <c r="B461" s="5"/>
      <c r="C461" s="43"/>
      <c r="D461" s="43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4.25" customHeight="1" x14ac:dyDescent="0.25">
      <c r="A462" s="5"/>
      <c r="B462" s="5"/>
      <c r="C462" s="43"/>
      <c r="D462" s="43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4.25" customHeight="1" x14ac:dyDescent="0.25">
      <c r="A463" s="5"/>
      <c r="B463" s="5"/>
      <c r="C463" s="43"/>
      <c r="D463" s="43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4.25" customHeight="1" x14ac:dyDescent="0.25">
      <c r="A464" s="5"/>
      <c r="B464" s="5"/>
      <c r="C464" s="43"/>
      <c r="D464" s="43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4.25" customHeight="1" x14ac:dyDescent="0.25">
      <c r="A465" s="5"/>
      <c r="B465" s="5"/>
      <c r="C465" s="43"/>
      <c r="D465" s="43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4.25" customHeight="1" x14ac:dyDescent="0.25">
      <c r="A466" s="5"/>
      <c r="B466" s="5"/>
      <c r="C466" s="43"/>
      <c r="D466" s="43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4.25" customHeight="1" x14ac:dyDescent="0.25">
      <c r="A467" s="5"/>
      <c r="B467" s="5"/>
      <c r="C467" s="43"/>
      <c r="D467" s="43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4.25" customHeight="1" x14ac:dyDescent="0.25">
      <c r="A468" s="5"/>
      <c r="B468" s="5"/>
      <c r="C468" s="43"/>
      <c r="D468" s="43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4.25" customHeight="1" x14ac:dyDescent="0.25">
      <c r="A469" s="5"/>
      <c r="B469" s="5"/>
      <c r="C469" s="43"/>
      <c r="D469" s="43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4.25" customHeight="1" x14ac:dyDescent="0.25">
      <c r="A470" s="5"/>
      <c r="B470" s="5"/>
      <c r="C470" s="43"/>
      <c r="D470" s="43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4.25" customHeight="1" x14ac:dyDescent="0.25">
      <c r="A471" s="5"/>
      <c r="B471" s="5"/>
      <c r="C471" s="43"/>
      <c r="D471" s="43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4.25" customHeight="1" x14ac:dyDescent="0.25">
      <c r="A472" s="5"/>
      <c r="B472" s="5"/>
      <c r="C472" s="43"/>
      <c r="D472" s="43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4.25" customHeight="1" x14ac:dyDescent="0.25">
      <c r="A473" s="5"/>
      <c r="B473" s="5"/>
      <c r="C473" s="43"/>
      <c r="D473" s="43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4.25" customHeight="1" x14ac:dyDescent="0.25">
      <c r="A474" s="5"/>
      <c r="B474" s="5"/>
      <c r="C474" s="43"/>
      <c r="D474" s="43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4.25" customHeight="1" x14ac:dyDescent="0.25">
      <c r="A475" s="5"/>
      <c r="B475" s="5"/>
      <c r="C475" s="43"/>
      <c r="D475" s="43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4.25" customHeight="1" x14ac:dyDescent="0.25">
      <c r="A476" s="5"/>
      <c r="B476" s="5"/>
      <c r="C476" s="43"/>
      <c r="D476" s="43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4.25" customHeight="1" x14ac:dyDescent="0.25">
      <c r="A477" s="5"/>
      <c r="B477" s="5"/>
      <c r="C477" s="43"/>
      <c r="D477" s="43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4.25" customHeight="1" x14ac:dyDescent="0.25">
      <c r="A478" s="5"/>
      <c r="B478" s="5"/>
      <c r="C478" s="43"/>
      <c r="D478" s="43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4.25" customHeight="1" x14ac:dyDescent="0.25">
      <c r="A479" s="5"/>
      <c r="B479" s="5"/>
      <c r="C479" s="43"/>
      <c r="D479" s="43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4.25" customHeight="1" x14ac:dyDescent="0.25">
      <c r="A480" s="5"/>
      <c r="B480" s="5"/>
      <c r="C480" s="43"/>
      <c r="D480" s="43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4.25" customHeight="1" x14ac:dyDescent="0.25">
      <c r="A481" s="5"/>
      <c r="B481" s="5"/>
      <c r="C481" s="43"/>
      <c r="D481" s="43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4.25" customHeight="1" x14ac:dyDescent="0.25">
      <c r="A482" s="5"/>
      <c r="B482" s="5"/>
      <c r="C482" s="43"/>
      <c r="D482" s="43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4.25" customHeight="1" x14ac:dyDescent="0.25">
      <c r="A483" s="5"/>
      <c r="B483" s="5"/>
      <c r="C483" s="43"/>
      <c r="D483" s="43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4.25" customHeight="1" x14ac:dyDescent="0.25">
      <c r="A484" s="5"/>
      <c r="B484" s="5"/>
      <c r="C484" s="43"/>
      <c r="D484" s="43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4.25" customHeight="1" x14ac:dyDescent="0.25">
      <c r="A485" s="5"/>
      <c r="B485" s="5"/>
      <c r="C485" s="43"/>
      <c r="D485" s="43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4.25" customHeight="1" x14ac:dyDescent="0.25">
      <c r="A486" s="5"/>
      <c r="B486" s="5"/>
      <c r="C486" s="43"/>
      <c r="D486" s="43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4.25" customHeight="1" x14ac:dyDescent="0.25">
      <c r="A487" s="5"/>
      <c r="B487" s="5"/>
      <c r="C487" s="43"/>
      <c r="D487" s="43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4.25" customHeight="1" x14ac:dyDescent="0.25">
      <c r="A488" s="5"/>
      <c r="B488" s="5"/>
      <c r="C488" s="43"/>
      <c r="D488" s="43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4.25" customHeight="1" x14ac:dyDescent="0.25">
      <c r="A489" s="5"/>
      <c r="B489" s="5"/>
      <c r="C489" s="43"/>
      <c r="D489" s="43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4.25" customHeight="1" x14ac:dyDescent="0.25">
      <c r="A490" s="5"/>
      <c r="B490" s="5"/>
      <c r="C490" s="43"/>
      <c r="D490" s="43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4.25" customHeight="1" x14ac:dyDescent="0.25">
      <c r="A491" s="5"/>
      <c r="B491" s="5"/>
      <c r="C491" s="43"/>
      <c r="D491" s="43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4.25" customHeight="1" x14ac:dyDescent="0.25">
      <c r="A492" s="5"/>
      <c r="B492" s="5"/>
      <c r="C492" s="43"/>
      <c r="D492" s="43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4.25" customHeight="1" x14ac:dyDescent="0.25">
      <c r="A493" s="5"/>
      <c r="B493" s="5"/>
      <c r="C493" s="43"/>
      <c r="D493" s="43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4.25" customHeight="1" x14ac:dyDescent="0.25">
      <c r="A494" s="5"/>
      <c r="B494" s="5"/>
      <c r="C494" s="43"/>
      <c r="D494" s="43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4.25" customHeight="1" x14ac:dyDescent="0.25">
      <c r="A495" s="5"/>
      <c r="B495" s="5"/>
      <c r="C495" s="43"/>
      <c r="D495" s="43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4.25" customHeight="1" x14ac:dyDescent="0.25">
      <c r="A496" s="5"/>
      <c r="B496" s="5"/>
      <c r="C496" s="43"/>
      <c r="D496" s="43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4.25" customHeight="1" x14ac:dyDescent="0.25">
      <c r="A497" s="5"/>
      <c r="B497" s="5"/>
      <c r="C497" s="43"/>
      <c r="D497" s="43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4.25" customHeight="1" x14ac:dyDescent="0.25">
      <c r="A498" s="5"/>
      <c r="B498" s="5"/>
      <c r="C498" s="43"/>
      <c r="D498" s="43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4.25" customHeight="1" x14ac:dyDescent="0.25">
      <c r="A499" s="5"/>
      <c r="B499" s="5"/>
      <c r="C499" s="43"/>
      <c r="D499" s="43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4.25" customHeight="1" x14ac:dyDescent="0.25">
      <c r="A500" s="5"/>
      <c r="B500" s="5"/>
      <c r="C500" s="43"/>
      <c r="D500" s="43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4.25" customHeight="1" x14ac:dyDescent="0.25">
      <c r="A501" s="5"/>
      <c r="B501" s="5"/>
      <c r="C501" s="43"/>
      <c r="D501" s="43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4.25" customHeight="1" x14ac:dyDescent="0.25">
      <c r="A502" s="5"/>
      <c r="B502" s="5"/>
      <c r="C502" s="43"/>
      <c r="D502" s="43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4.25" customHeight="1" x14ac:dyDescent="0.25">
      <c r="A503" s="5"/>
      <c r="B503" s="5"/>
      <c r="C503" s="43"/>
      <c r="D503" s="43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4.25" customHeight="1" x14ac:dyDescent="0.25">
      <c r="A504" s="5"/>
      <c r="B504" s="5"/>
      <c r="C504" s="43"/>
      <c r="D504" s="43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4.25" customHeight="1" x14ac:dyDescent="0.25">
      <c r="A505" s="5"/>
      <c r="B505" s="5"/>
      <c r="C505" s="43"/>
      <c r="D505" s="43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4.25" customHeight="1" x14ac:dyDescent="0.25">
      <c r="A506" s="5"/>
      <c r="B506" s="5"/>
      <c r="C506" s="43"/>
      <c r="D506" s="43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4.25" customHeight="1" x14ac:dyDescent="0.25">
      <c r="A507" s="5"/>
      <c r="B507" s="5"/>
      <c r="C507" s="43"/>
      <c r="D507" s="43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4.25" customHeight="1" x14ac:dyDescent="0.25">
      <c r="A508" s="5"/>
      <c r="B508" s="5"/>
      <c r="C508" s="43"/>
      <c r="D508" s="43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4.25" customHeight="1" x14ac:dyDescent="0.25">
      <c r="A509" s="5"/>
      <c r="B509" s="5"/>
      <c r="C509" s="43"/>
      <c r="D509" s="43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4.25" customHeight="1" x14ac:dyDescent="0.25">
      <c r="A510" s="5"/>
      <c r="B510" s="5"/>
      <c r="C510" s="43"/>
      <c r="D510" s="43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4.25" customHeight="1" x14ac:dyDescent="0.25">
      <c r="A511" s="5"/>
      <c r="B511" s="5"/>
      <c r="C511" s="43"/>
      <c r="D511" s="43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4.25" customHeight="1" x14ac:dyDescent="0.25">
      <c r="A512" s="5"/>
      <c r="B512" s="5"/>
      <c r="C512" s="43"/>
      <c r="D512" s="43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4.25" customHeight="1" x14ac:dyDescent="0.25">
      <c r="A513" s="5"/>
      <c r="B513" s="5"/>
      <c r="C513" s="43"/>
      <c r="D513" s="43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4.25" customHeight="1" x14ac:dyDescent="0.25">
      <c r="A514" s="5"/>
      <c r="B514" s="5"/>
      <c r="C514" s="43"/>
      <c r="D514" s="43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4.25" customHeight="1" x14ac:dyDescent="0.25">
      <c r="A515" s="5"/>
      <c r="B515" s="5"/>
      <c r="C515" s="43"/>
      <c r="D515" s="43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4.25" customHeight="1" x14ac:dyDescent="0.25">
      <c r="A516" s="5"/>
      <c r="B516" s="5"/>
      <c r="C516" s="43"/>
      <c r="D516" s="43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4.25" customHeight="1" x14ac:dyDescent="0.25">
      <c r="A517" s="5"/>
      <c r="B517" s="5"/>
      <c r="C517" s="43"/>
      <c r="D517" s="43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4.25" customHeight="1" x14ac:dyDescent="0.25">
      <c r="A518" s="5"/>
      <c r="B518" s="5"/>
      <c r="C518" s="43"/>
      <c r="D518" s="43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4.25" customHeight="1" x14ac:dyDescent="0.25">
      <c r="A519" s="5"/>
      <c r="B519" s="5"/>
      <c r="C519" s="43"/>
      <c r="D519" s="43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4.25" customHeight="1" x14ac:dyDescent="0.25">
      <c r="A520" s="5"/>
      <c r="B520" s="5"/>
      <c r="C520" s="43"/>
      <c r="D520" s="43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4.25" customHeight="1" x14ac:dyDescent="0.25">
      <c r="A521" s="5"/>
      <c r="B521" s="5"/>
      <c r="C521" s="43"/>
      <c r="D521" s="43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4.25" customHeight="1" x14ac:dyDescent="0.25">
      <c r="A522" s="5"/>
      <c r="B522" s="5"/>
      <c r="C522" s="43"/>
      <c r="D522" s="43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4.25" customHeight="1" x14ac:dyDescent="0.25">
      <c r="A523" s="5"/>
      <c r="B523" s="5"/>
      <c r="C523" s="43"/>
      <c r="D523" s="43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4.25" customHeight="1" x14ac:dyDescent="0.25">
      <c r="A524" s="5"/>
      <c r="B524" s="5"/>
      <c r="C524" s="43"/>
      <c r="D524" s="43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4.25" customHeight="1" x14ac:dyDescent="0.25">
      <c r="A525" s="5"/>
      <c r="B525" s="5"/>
      <c r="C525" s="43"/>
      <c r="D525" s="43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4.25" customHeight="1" x14ac:dyDescent="0.25">
      <c r="A526" s="5"/>
      <c r="B526" s="5"/>
      <c r="C526" s="43"/>
      <c r="D526" s="43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4.25" customHeight="1" x14ac:dyDescent="0.25">
      <c r="A527" s="5"/>
      <c r="B527" s="5"/>
      <c r="C527" s="43"/>
      <c r="D527" s="43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4.25" customHeight="1" x14ac:dyDescent="0.25">
      <c r="A528" s="5"/>
      <c r="B528" s="5"/>
      <c r="C528" s="43"/>
      <c r="D528" s="43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4.25" customHeight="1" x14ac:dyDescent="0.25">
      <c r="A529" s="5"/>
      <c r="B529" s="5"/>
      <c r="C529" s="43"/>
      <c r="D529" s="43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4.25" customHeight="1" x14ac:dyDescent="0.25">
      <c r="A530" s="5"/>
      <c r="B530" s="5"/>
      <c r="C530" s="43"/>
      <c r="D530" s="43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4.25" customHeight="1" x14ac:dyDescent="0.25">
      <c r="A531" s="5"/>
      <c r="B531" s="5"/>
      <c r="C531" s="43"/>
      <c r="D531" s="43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4.25" customHeight="1" x14ac:dyDescent="0.25">
      <c r="A532" s="5"/>
      <c r="B532" s="5"/>
      <c r="C532" s="43"/>
      <c r="D532" s="43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4.25" customHeight="1" x14ac:dyDescent="0.25">
      <c r="A533" s="5"/>
      <c r="B533" s="5"/>
      <c r="C533" s="43"/>
      <c r="D533" s="43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4.25" customHeight="1" x14ac:dyDescent="0.25">
      <c r="A534" s="5"/>
      <c r="B534" s="5"/>
      <c r="C534" s="43"/>
      <c r="D534" s="43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4.25" customHeight="1" x14ac:dyDescent="0.25">
      <c r="A535" s="5"/>
      <c r="B535" s="5"/>
      <c r="C535" s="43"/>
      <c r="D535" s="43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4.25" customHeight="1" x14ac:dyDescent="0.25">
      <c r="A536" s="5"/>
      <c r="B536" s="5"/>
      <c r="C536" s="43"/>
      <c r="D536" s="43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4.25" customHeight="1" x14ac:dyDescent="0.25">
      <c r="A537" s="5"/>
      <c r="B537" s="5"/>
      <c r="C537" s="43"/>
      <c r="D537" s="43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4.25" customHeight="1" x14ac:dyDescent="0.25">
      <c r="A538" s="5"/>
      <c r="B538" s="5"/>
      <c r="C538" s="43"/>
      <c r="D538" s="43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4.25" customHeight="1" x14ac:dyDescent="0.25">
      <c r="A539" s="5"/>
      <c r="B539" s="5"/>
      <c r="C539" s="43"/>
      <c r="D539" s="43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4.25" customHeight="1" x14ac:dyDescent="0.25">
      <c r="A540" s="5"/>
      <c r="B540" s="5"/>
      <c r="C540" s="43"/>
      <c r="D540" s="43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4.25" customHeight="1" x14ac:dyDescent="0.25">
      <c r="A541" s="5"/>
      <c r="B541" s="5"/>
      <c r="C541" s="43"/>
      <c r="D541" s="43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4.25" customHeight="1" x14ac:dyDescent="0.25">
      <c r="A542" s="5"/>
      <c r="B542" s="5"/>
      <c r="C542" s="43"/>
      <c r="D542" s="43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4.25" customHeight="1" x14ac:dyDescent="0.25">
      <c r="A543" s="5"/>
      <c r="B543" s="5"/>
      <c r="C543" s="43"/>
      <c r="D543" s="43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4.25" customHeight="1" x14ac:dyDescent="0.25">
      <c r="A544" s="5"/>
      <c r="B544" s="5"/>
      <c r="C544" s="43"/>
      <c r="D544" s="43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4.25" customHeight="1" x14ac:dyDescent="0.25">
      <c r="A545" s="5"/>
      <c r="B545" s="5"/>
      <c r="C545" s="43"/>
      <c r="D545" s="43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4.25" customHeight="1" x14ac:dyDescent="0.25">
      <c r="A546" s="5"/>
      <c r="B546" s="5"/>
      <c r="C546" s="43"/>
      <c r="D546" s="43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4.25" customHeight="1" x14ac:dyDescent="0.25">
      <c r="A547" s="5"/>
      <c r="B547" s="5"/>
      <c r="C547" s="43"/>
      <c r="D547" s="43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4.25" customHeight="1" x14ac:dyDescent="0.25">
      <c r="A548" s="5"/>
      <c r="B548" s="5"/>
      <c r="C548" s="43"/>
      <c r="D548" s="43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4.25" customHeight="1" x14ac:dyDescent="0.25">
      <c r="A549" s="5"/>
      <c r="B549" s="5"/>
      <c r="C549" s="43"/>
      <c r="D549" s="43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4.25" customHeight="1" x14ac:dyDescent="0.25">
      <c r="A550" s="5"/>
      <c r="B550" s="5"/>
      <c r="C550" s="43"/>
      <c r="D550" s="43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4.25" customHeight="1" x14ac:dyDescent="0.25">
      <c r="A551" s="5"/>
      <c r="B551" s="5"/>
      <c r="C551" s="43"/>
      <c r="D551" s="43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4.25" customHeight="1" x14ac:dyDescent="0.25">
      <c r="A552" s="5"/>
      <c r="B552" s="5"/>
      <c r="C552" s="43"/>
      <c r="D552" s="43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4.25" customHeight="1" x14ac:dyDescent="0.25">
      <c r="A553" s="5"/>
      <c r="B553" s="5"/>
      <c r="C553" s="43"/>
      <c r="D553" s="43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4.25" customHeight="1" x14ac:dyDescent="0.25">
      <c r="A554" s="5"/>
      <c r="B554" s="5"/>
      <c r="C554" s="43"/>
      <c r="D554" s="43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4.25" customHeight="1" x14ac:dyDescent="0.25">
      <c r="A555" s="5"/>
      <c r="B555" s="5"/>
      <c r="C555" s="43"/>
      <c r="D555" s="43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4.25" customHeight="1" x14ac:dyDescent="0.25">
      <c r="A556" s="5"/>
      <c r="B556" s="5"/>
      <c r="C556" s="43"/>
      <c r="D556" s="43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4.25" customHeight="1" x14ac:dyDescent="0.25">
      <c r="A557" s="5"/>
      <c r="B557" s="5"/>
      <c r="C557" s="43"/>
      <c r="D557" s="43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4.25" customHeight="1" x14ac:dyDescent="0.25">
      <c r="A558" s="5"/>
      <c r="B558" s="5"/>
      <c r="C558" s="43"/>
      <c r="D558" s="43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4.25" customHeight="1" x14ac:dyDescent="0.25">
      <c r="A559" s="5"/>
      <c r="B559" s="5"/>
      <c r="C559" s="43"/>
      <c r="D559" s="43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4.25" customHeight="1" x14ac:dyDescent="0.25">
      <c r="A560" s="5"/>
      <c r="B560" s="5"/>
      <c r="C560" s="43"/>
      <c r="D560" s="43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4.25" customHeight="1" x14ac:dyDescent="0.25">
      <c r="A561" s="5"/>
      <c r="B561" s="5"/>
      <c r="C561" s="43"/>
      <c r="D561" s="43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4.25" customHeight="1" x14ac:dyDescent="0.25">
      <c r="A562" s="5"/>
      <c r="B562" s="5"/>
      <c r="C562" s="43"/>
      <c r="D562" s="43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4.25" customHeight="1" x14ac:dyDescent="0.25">
      <c r="A563" s="5"/>
      <c r="B563" s="5"/>
      <c r="C563" s="43"/>
      <c r="D563" s="43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4.25" customHeight="1" x14ac:dyDescent="0.25">
      <c r="A564" s="5"/>
      <c r="B564" s="5"/>
      <c r="C564" s="43"/>
      <c r="D564" s="43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4.25" customHeight="1" x14ac:dyDescent="0.25">
      <c r="A565" s="5"/>
      <c r="B565" s="5"/>
      <c r="C565" s="43"/>
      <c r="D565" s="43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4.25" customHeight="1" x14ac:dyDescent="0.25">
      <c r="A566" s="5"/>
      <c r="B566" s="5"/>
      <c r="C566" s="43"/>
      <c r="D566" s="43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4.25" customHeight="1" x14ac:dyDescent="0.25">
      <c r="A567" s="5"/>
      <c r="B567" s="5"/>
      <c r="C567" s="43"/>
      <c r="D567" s="43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4.25" customHeight="1" x14ac:dyDescent="0.25">
      <c r="A568" s="5"/>
      <c r="B568" s="5"/>
      <c r="C568" s="43"/>
      <c r="D568" s="43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4.25" customHeight="1" x14ac:dyDescent="0.25">
      <c r="A569" s="5"/>
      <c r="B569" s="5"/>
      <c r="C569" s="43"/>
      <c r="D569" s="43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4.25" customHeight="1" x14ac:dyDescent="0.25">
      <c r="A570" s="5"/>
      <c r="B570" s="5"/>
      <c r="C570" s="43"/>
      <c r="D570" s="43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4.25" customHeight="1" x14ac:dyDescent="0.25">
      <c r="A571" s="5"/>
      <c r="B571" s="5"/>
      <c r="C571" s="43"/>
      <c r="D571" s="43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4.25" customHeight="1" x14ac:dyDescent="0.25">
      <c r="A572" s="5"/>
      <c r="B572" s="5"/>
      <c r="C572" s="43"/>
      <c r="D572" s="43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4.25" customHeight="1" x14ac:dyDescent="0.25">
      <c r="A573" s="5"/>
      <c r="B573" s="5"/>
      <c r="C573" s="43"/>
      <c r="D573" s="43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4.25" customHeight="1" x14ac:dyDescent="0.25">
      <c r="A574" s="5"/>
      <c r="B574" s="5"/>
      <c r="C574" s="43"/>
      <c r="D574" s="43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4.25" customHeight="1" x14ac:dyDescent="0.25">
      <c r="A575" s="5"/>
      <c r="B575" s="5"/>
      <c r="C575" s="43"/>
      <c r="D575" s="43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4.25" customHeight="1" x14ac:dyDescent="0.25">
      <c r="A576" s="5"/>
      <c r="B576" s="5"/>
      <c r="C576" s="43"/>
      <c r="D576" s="43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4.25" customHeight="1" x14ac:dyDescent="0.25">
      <c r="A577" s="5"/>
      <c r="B577" s="5"/>
      <c r="C577" s="43"/>
      <c r="D577" s="43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4.25" customHeight="1" x14ac:dyDescent="0.25">
      <c r="A578" s="5"/>
      <c r="B578" s="5"/>
      <c r="C578" s="43"/>
      <c r="D578" s="43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4.25" customHeight="1" x14ac:dyDescent="0.25">
      <c r="A579" s="5"/>
      <c r="B579" s="5"/>
      <c r="C579" s="43"/>
      <c r="D579" s="43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4.25" customHeight="1" x14ac:dyDescent="0.25">
      <c r="A580" s="5"/>
      <c r="B580" s="5"/>
      <c r="C580" s="43"/>
      <c r="D580" s="43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4.25" customHeight="1" x14ac:dyDescent="0.25">
      <c r="A581" s="5"/>
      <c r="B581" s="5"/>
      <c r="C581" s="43"/>
      <c r="D581" s="43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4.25" customHeight="1" x14ac:dyDescent="0.25">
      <c r="A582" s="5"/>
      <c r="B582" s="5"/>
      <c r="C582" s="43"/>
      <c r="D582" s="43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4.25" customHeight="1" x14ac:dyDescent="0.25">
      <c r="A583" s="5"/>
      <c r="B583" s="5"/>
      <c r="C583" s="43"/>
      <c r="D583" s="43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4.25" customHeight="1" x14ac:dyDescent="0.25">
      <c r="A584" s="5"/>
      <c r="B584" s="5"/>
      <c r="C584" s="43"/>
      <c r="D584" s="43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4.25" customHeight="1" x14ac:dyDescent="0.25">
      <c r="A585" s="5"/>
      <c r="B585" s="5"/>
      <c r="C585" s="43"/>
      <c r="D585" s="43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4.25" customHeight="1" x14ac:dyDescent="0.25">
      <c r="A586" s="5"/>
      <c r="B586" s="5"/>
      <c r="C586" s="43"/>
      <c r="D586" s="43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4.25" customHeight="1" x14ac:dyDescent="0.25">
      <c r="A587" s="5"/>
      <c r="B587" s="5"/>
      <c r="C587" s="43"/>
      <c r="D587" s="43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4.25" customHeight="1" x14ac:dyDescent="0.25">
      <c r="A588" s="5"/>
      <c r="B588" s="5"/>
      <c r="C588" s="43"/>
      <c r="D588" s="43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4.25" customHeight="1" x14ac:dyDescent="0.25">
      <c r="A589" s="5"/>
      <c r="B589" s="5"/>
      <c r="C589" s="43"/>
      <c r="D589" s="43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4.25" customHeight="1" x14ac:dyDescent="0.25">
      <c r="A590" s="5"/>
      <c r="B590" s="5"/>
      <c r="C590" s="43"/>
      <c r="D590" s="43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4.25" customHeight="1" x14ac:dyDescent="0.25">
      <c r="A591" s="5"/>
      <c r="B591" s="5"/>
      <c r="C591" s="43"/>
      <c r="D591" s="43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4.25" customHeight="1" x14ac:dyDescent="0.25">
      <c r="A592" s="5"/>
      <c r="B592" s="5"/>
      <c r="C592" s="43"/>
      <c r="D592" s="43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4.25" customHeight="1" x14ac:dyDescent="0.25">
      <c r="A593" s="5"/>
      <c r="B593" s="5"/>
      <c r="C593" s="43"/>
      <c r="D593" s="43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4.25" customHeight="1" x14ac:dyDescent="0.25">
      <c r="A594" s="5"/>
      <c r="B594" s="5"/>
      <c r="C594" s="43"/>
      <c r="D594" s="43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4.25" customHeight="1" x14ac:dyDescent="0.25">
      <c r="A595" s="5"/>
      <c r="B595" s="5"/>
      <c r="C595" s="43"/>
      <c r="D595" s="43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4.25" customHeight="1" x14ac:dyDescent="0.25">
      <c r="A596" s="5"/>
      <c r="B596" s="5"/>
      <c r="C596" s="43"/>
      <c r="D596" s="43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4.25" customHeight="1" x14ac:dyDescent="0.25">
      <c r="A597" s="5"/>
      <c r="B597" s="5"/>
      <c r="C597" s="43"/>
      <c r="D597" s="43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4.25" customHeight="1" x14ac:dyDescent="0.25">
      <c r="A598" s="5"/>
      <c r="B598" s="5"/>
      <c r="C598" s="43"/>
      <c r="D598" s="43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4.25" customHeight="1" x14ac:dyDescent="0.25">
      <c r="A599" s="5"/>
      <c r="B599" s="5"/>
      <c r="C599" s="43"/>
      <c r="D599" s="43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4.25" customHeight="1" x14ac:dyDescent="0.25">
      <c r="A600" s="5"/>
      <c r="B600" s="5"/>
      <c r="C600" s="43"/>
      <c r="D600" s="43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4.25" customHeight="1" x14ac:dyDescent="0.25">
      <c r="A601" s="5"/>
      <c r="B601" s="5"/>
      <c r="C601" s="43"/>
      <c r="D601" s="43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4.25" customHeight="1" x14ac:dyDescent="0.25">
      <c r="A602" s="5"/>
      <c r="B602" s="5"/>
      <c r="C602" s="43"/>
      <c r="D602" s="43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4.25" customHeight="1" x14ac:dyDescent="0.25">
      <c r="A603" s="5"/>
      <c r="B603" s="5"/>
      <c r="C603" s="43"/>
      <c r="D603" s="43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4.25" customHeight="1" x14ac:dyDescent="0.25">
      <c r="A604" s="5"/>
      <c r="B604" s="5"/>
      <c r="C604" s="43"/>
      <c r="D604" s="43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4.25" customHeight="1" x14ac:dyDescent="0.25">
      <c r="A605" s="5"/>
      <c r="B605" s="5"/>
      <c r="C605" s="43"/>
      <c r="D605" s="43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4.25" customHeight="1" x14ac:dyDescent="0.25">
      <c r="A606" s="5"/>
      <c r="B606" s="5"/>
      <c r="C606" s="43"/>
      <c r="D606" s="43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4.25" customHeight="1" x14ac:dyDescent="0.25">
      <c r="A607" s="5"/>
      <c r="B607" s="5"/>
      <c r="C607" s="43"/>
      <c r="D607" s="43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4.25" customHeight="1" x14ac:dyDescent="0.25">
      <c r="A608" s="5"/>
      <c r="B608" s="5"/>
      <c r="C608" s="43"/>
      <c r="D608" s="43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4.25" customHeight="1" x14ac:dyDescent="0.25">
      <c r="A609" s="5"/>
      <c r="B609" s="5"/>
      <c r="C609" s="43"/>
      <c r="D609" s="43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4.25" customHeight="1" x14ac:dyDescent="0.25">
      <c r="A610" s="5"/>
      <c r="B610" s="5"/>
      <c r="C610" s="43"/>
      <c r="D610" s="43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4.25" customHeight="1" x14ac:dyDescent="0.25">
      <c r="A611" s="5"/>
      <c r="B611" s="5"/>
      <c r="C611" s="43"/>
      <c r="D611" s="43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4.25" customHeight="1" x14ac:dyDescent="0.25">
      <c r="A612" s="5"/>
      <c r="B612" s="5"/>
      <c r="C612" s="43"/>
      <c r="D612" s="43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4.25" customHeight="1" x14ac:dyDescent="0.25">
      <c r="A613" s="5"/>
      <c r="B613" s="5"/>
      <c r="C613" s="43"/>
      <c r="D613" s="43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4.25" customHeight="1" x14ac:dyDescent="0.25">
      <c r="A614" s="5"/>
      <c r="B614" s="5"/>
      <c r="C614" s="43"/>
      <c r="D614" s="43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4.25" customHeight="1" x14ac:dyDescent="0.25">
      <c r="A615" s="5"/>
      <c r="B615" s="5"/>
      <c r="C615" s="43"/>
      <c r="D615" s="43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4.25" customHeight="1" x14ac:dyDescent="0.25">
      <c r="A616" s="5"/>
      <c r="B616" s="5"/>
      <c r="C616" s="43"/>
      <c r="D616" s="43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4.25" customHeight="1" x14ac:dyDescent="0.25">
      <c r="A617" s="5"/>
      <c r="B617" s="5"/>
      <c r="C617" s="43"/>
      <c r="D617" s="43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4.25" customHeight="1" x14ac:dyDescent="0.25">
      <c r="A618" s="5"/>
      <c r="B618" s="5"/>
      <c r="C618" s="43"/>
      <c r="D618" s="43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4.25" customHeight="1" x14ac:dyDescent="0.25">
      <c r="A619" s="5"/>
      <c r="B619" s="5"/>
      <c r="C619" s="43"/>
      <c r="D619" s="43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4.25" customHeight="1" x14ac:dyDescent="0.25">
      <c r="A620" s="5"/>
      <c r="B620" s="5"/>
      <c r="C620" s="43"/>
      <c r="D620" s="43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4.25" customHeight="1" x14ac:dyDescent="0.25">
      <c r="A621" s="5"/>
      <c r="B621" s="5"/>
      <c r="C621" s="43"/>
      <c r="D621" s="43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4.25" customHeight="1" x14ac:dyDescent="0.25">
      <c r="A622" s="5"/>
      <c r="B622" s="5"/>
      <c r="C622" s="43"/>
      <c r="D622" s="43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4.25" customHeight="1" x14ac:dyDescent="0.25">
      <c r="A623" s="5"/>
      <c r="B623" s="5"/>
      <c r="C623" s="43"/>
      <c r="D623" s="43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4.25" customHeight="1" x14ac:dyDescent="0.25">
      <c r="A624" s="5"/>
      <c r="B624" s="5"/>
      <c r="C624" s="43"/>
      <c r="D624" s="43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4.25" customHeight="1" x14ac:dyDescent="0.25">
      <c r="A625" s="5"/>
      <c r="B625" s="5"/>
      <c r="C625" s="43"/>
      <c r="D625" s="43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4.25" customHeight="1" x14ac:dyDescent="0.25">
      <c r="A626" s="5"/>
      <c r="B626" s="5"/>
      <c r="C626" s="43"/>
      <c r="D626" s="43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4.25" customHeight="1" x14ac:dyDescent="0.25">
      <c r="A627" s="5"/>
      <c r="B627" s="5"/>
      <c r="C627" s="43"/>
      <c r="D627" s="43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4.25" customHeight="1" x14ac:dyDescent="0.25">
      <c r="A628" s="5"/>
      <c r="B628" s="5"/>
      <c r="C628" s="43"/>
      <c r="D628" s="43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4.25" customHeight="1" x14ac:dyDescent="0.25">
      <c r="A629" s="5"/>
      <c r="B629" s="5"/>
      <c r="C629" s="43"/>
      <c r="D629" s="43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4.25" customHeight="1" x14ac:dyDescent="0.25">
      <c r="A630" s="5"/>
      <c r="B630" s="5"/>
      <c r="C630" s="43"/>
      <c r="D630" s="43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4.25" customHeight="1" x14ac:dyDescent="0.25">
      <c r="A631" s="5"/>
      <c r="B631" s="5"/>
      <c r="C631" s="43"/>
      <c r="D631" s="43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4.25" customHeight="1" x14ac:dyDescent="0.25">
      <c r="A632" s="5"/>
      <c r="B632" s="5"/>
      <c r="C632" s="43"/>
      <c r="D632" s="43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4.25" customHeight="1" x14ac:dyDescent="0.25">
      <c r="A633" s="5"/>
      <c r="B633" s="5"/>
      <c r="C633" s="43"/>
      <c r="D633" s="43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4.25" customHeight="1" x14ac:dyDescent="0.25">
      <c r="A634" s="5"/>
      <c r="B634" s="5"/>
      <c r="C634" s="43"/>
      <c r="D634" s="43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4.25" customHeight="1" x14ac:dyDescent="0.25">
      <c r="A635" s="5"/>
      <c r="B635" s="5"/>
      <c r="C635" s="43"/>
      <c r="D635" s="43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4.25" customHeight="1" x14ac:dyDescent="0.25">
      <c r="A636" s="5"/>
      <c r="B636" s="5"/>
      <c r="C636" s="43"/>
      <c r="D636" s="43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4.25" customHeight="1" x14ac:dyDescent="0.25">
      <c r="A637" s="5"/>
      <c r="B637" s="5"/>
      <c r="C637" s="43"/>
      <c r="D637" s="43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4.25" customHeight="1" x14ac:dyDescent="0.25">
      <c r="A638" s="5"/>
      <c r="B638" s="5"/>
      <c r="C638" s="43"/>
      <c r="D638" s="43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4.25" customHeight="1" x14ac:dyDescent="0.25">
      <c r="A639" s="5"/>
      <c r="B639" s="5"/>
      <c r="C639" s="43"/>
      <c r="D639" s="43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4.25" customHeight="1" x14ac:dyDescent="0.25">
      <c r="A640" s="5"/>
      <c r="B640" s="5"/>
      <c r="C640" s="43"/>
      <c r="D640" s="43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4.25" customHeight="1" x14ac:dyDescent="0.25">
      <c r="A641" s="5"/>
      <c r="B641" s="5"/>
      <c r="C641" s="43"/>
      <c r="D641" s="43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4.25" customHeight="1" x14ac:dyDescent="0.25">
      <c r="A642" s="5"/>
      <c r="B642" s="5"/>
      <c r="C642" s="43"/>
      <c r="D642" s="43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4.25" customHeight="1" x14ac:dyDescent="0.25">
      <c r="A643" s="5"/>
      <c r="B643" s="5"/>
      <c r="C643" s="43"/>
      <c r="D643" s="43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4.25" customHeight="1" x14ac:dyDescent="0.25">
      <c r="A644" s="5"/>
      <c r="B644" s="5"/>
      <c r="C644" s="43"/>
      <c r="D644" s="43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4.25" customHeight="1" x14ac:dyDescent="0.25">
      <c r="A645" s="5"/>
      <c r="B645" s="5"/>
      <c r="C645" s="43"/>
      <c r="D645" s="43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4.25" customHeight="1" x14ac:dyDescent="0.25">
      <c r="A646" s="5"/>
      <c r="B646" s="5"/>
      <c r="C646" s="43"/>
      <c r="D646" s="43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4.25" customHeight="1" x14ac:dyDescent="0.25">
      <c r="A647" s="5"/>
      <c r="B647" s="5"/>
      <c r="C647" s="43"/>
      <c r="D647" s="43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4.25" customHeight="1" x14ac:dyDescent="0.25">
      <c r="A648" s="5"/>
      <c r="B648" s="5"/>
      <c r="C648" s="43"/>
      <c r="D648" s="43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4.25" customHeight="1" x14ac:dyDescent="0.25">
      <c r="A649" s="5"/>
      <c r="B649" s="5"/>
      <c r="C649" s="43"/>
      <c r="D649" s="43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4.25" customHeight="1" x14ac:dyDescent="0.25">
      <c r="A650" s="5"/>
      <c r="B650" s="5"/>
      <c r="C650" s="43"/>
      <c r="D650" s="43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4.25" customHeight="1" x14ac:dyDescent="0.25">
      <c r="A651" s="5"/>
      <c r="B651" s="5"/>
      <c r="C651" s="43"/>
      <c r="D651" s="43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4.25" customHeight="1" x14ac:dyDescent="0.25">
      <c r="A652" s="5"/>
      <c r="B652" s="5"/>
      <c r="C652" s="43"/>
      <c r="D652" s="43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4.25" customHeight="1" x14ac:dyDescent="0.25">
      <c r="A653" s="5"/>
      <c r="B653" s="5"/>
      <c r="C653" s="43"/>
      <c r="D653" s="43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4.25" customHeight="1" x14ac:dyDescent="0.25">
      <c r="A654" s="5"/>
      <c r="B654" s="5"/>
      <c r="C654" s="43"/>
      <c r="D654" s="43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4.25" customHeight="1" x14ac:dyDescent="0.25">
      <c r="A655" s="5"/>
      <c r="B655" s="5"/>
      <c r="C655" s="43"/>
      <c r="D655" s="43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4.25" customHeight="1" x14ac:dyDescent="0.25">
      <c r="A656" s="5"/>
      <c r="B656" s="5"/>
      <c r="C656" s="43"/>
      <c r="D656" s="43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4.25" customHeight="1" x14ac:dyDescent="0.25">
      <c r="A657" s="5"/>
      <c r="B657" s="5"/>
      <c r="C657" s="43"/>
      <c r="D657" s="43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4.25" customHeight="1" x14ac:dyDescent="0.25">
      <c r="A658" s="5"/>
      <c r="B658" s="5"/>
      <c r="C658" s="43"/>
      <c r="D658" s="43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4.25" customHeight="1" x14ac:dyDescent="0.25">
      <c r="A659" s="5"/>
      <c r="B659" s="5"/>
      <c r="C659" s="43"/>
      <c r="D659" s="43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4.25" customHeight="1" x14ac:dyDescent="0.25">
      <c r="A660" s="5"/>
      <c r="B660" s="5"/>
      <c r="C660" s="43"/>
      <c r="D660" s="43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4.25" customHeight="1" x14ac:dyDescent="0.25">
      <c r="A661" s="5"/>
      <c r="B661" s="5"/>
      <c r="C661" s="43"/>
      <c r="D661" s="43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4.25" customHeight="1" x14ac:dyDescent="0.25">
      <c r="A662" s="5"/>
      <c r="B662" s="5"/>
      <c r="C662" s="43"/>
      <c r="D662" s="43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4.25" customHeight="1" x14ac:dyDescent="0.25">
      <c r="A663" s="5"/>
      <c r="B663" s="5"/>
      <c r="C663" s="43"/>
      <c r="D663" s="43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4.25" customHeight="1" x14ac:dyDescent="0.25">
      <c r="A664" s="5"/>
      <c r="B664" s="5"/>
      <c r="C664" s="43"/>
      <c r="D664" s="43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4.25" customHeight="1" x14ac:dyDescent="0.25">
      <c r="A665" s="5"/>
      <c r="B665" s="5"/>
      <c r="C665" s="43"/>
      <c r="D665" s="43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4.25" customHeight="1" x14ac:dyDescent="0.25">
      <c r="A666" s="5"/>
      <c r="B666" s="5"/>
      <c r="C666" s="43"/>
      <c r="D666" s="43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4.25" customHeight="1" x14ac:dyDescent="0.25">
      <c r="A667" s="5"/>
      <c r="B667" s="5"/>
      <c r="C667" s="43"/>
      <c r="D667" s="43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4.25" customHeight="1" x14ac:dyDescent="0.25">
      <c r="A668" s="5"/>
      <c r="B668" s="5"/>
      <c r="C668" s="43"/>
      <c r="D668" s="43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4.25" customHeight="1" x14ac:dyDescent="0.25">
      <c r="A669" s="5"/>
      <c r="B669" s="5"/>
      <c r="C669" s="43"/>
      <c r="D669" s="43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4.25" customHeight="1" x14ac:dyDescent="0.25">
      <c r="A670" s="5"/>
      <c r="B670" s="5"/>
      <c r="C670" s="43"/>
      <c r="D670" s="43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4.25" customHeight="1" x14ac:dyDescent="0.25">
      <c r="A671" s="5"/>
      <c r="B671" s="5"/>
      <c r="C671" s="43"/>
      <c r="D671" s="43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4.25" customHeight="1" x14ac:dyDescent="0.25">
      <c r="A672" s="5"/>
      <c r="B672" s="5"/>
      <c r="C672" s="43"/>
      <c r="D672" s="43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4.25" customHeight="1" x14ac:dyDescent="0.25">
      <c r="A673" s="5"/>
      <c r="B673" s="5"/>
      <c r="C673" s="43"/>
      <c r="D673" s="43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4.25" customHeight="1" x14ac:dyDescent="0.25">
      <c r="A674" s="5"/>
      <c r="B674" s="5"/>
      <c r="C674" s="43"/>
      <c r="D674" s="43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4.25" customHeight="1" x14ac:dyDescent="0.25">
      <c r="A675" s="5"/>
      <c r="B675" s="5"/>
      <c r="C675" s="43"/>
      <c r="D675" s="43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4.25" customHeight="1" x14ac:dyDescent="0.25">
      <c r="A676" s="5"/>
      <c r="B676" s="5"/>
      <c r="C676" s="43"/>
      <c r="D676" s="43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4.25" customHeight="1" x14ac:dyDescent="0.25">
      <c r="A677" s="5"/>
      <c r="B677" s="5"/>
      <c r="C677" s="43"/>
      <c r="D677" s="43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4.25" customHeight="1" x14ac:dyDescent="0.25">
      <c r="A678" s="5"/>
      <c r="B678" s="5"/>
      <c r="C678" s="43"/>
      <c r="D678" s="43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4.25" customHeight="1" x14ac:dyDescent="0.25">
      <c r="A679" s="5"/>
      <c r="B679" s="5"/>
      <c r="C679" s="43"/>
      <c r="D679" s="43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4.25" customHeight="1" x14ac:dyDescent="0.25">
      <c r="A680" s="5"/>
      <c r="B680" s="5"/>
      <c r="C680" s="43"/>
      <c r="D680" s="43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4.25" customHeight="1" x14ac:dyDescent="0.25">
      <c r="A681" s="5"/>
      <c r="B681" s="5"/>
      <c r="C681" s="43"/>
      <c r="D681" s="43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4.25" customHeight="1" x14ac:dyDescent="0.25">
      <c r="A682" s="5"/>
      <c r="B682" s="5"/>
      <c r="C682" s="43"/>
      <c r="D682" s="43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4.25" customHeight="1" x14ac:dyDescent="0.25">
      <c r="A683" s="5"/>
      <c r="B683" s="5"/>
      <c r="C683" s="43"/>
      <c r="D683" s="43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4.25" customHeight="1" x14ac:dyDescent="0.25">
      <c r="A684" s="5"/>
      <c r="B684" s="5"/>
      <c r="C684" s="43"/>
      <c r="D684" s="43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4.25" customHeight="1" x14ac:dyDescent="0.25">
      <c r="A685" s="5"/>
      <c r="B685" s="5"/>
      <c r="C685" s="43"/>
      <c r="D685" s="43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4.25" customHeight="1" x14ac:dyDescent="0.25">
      <c r="A686" s="5"/>
      <c r="B686" s="5"/>
      <c r="C686" s="43"/>
      <c r="D686" s="43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4.25" customHeight="1" x14ac:dyDescent="0.25">
      <c r="A687" s="5"/>
      <c r="B687" s="5"/>
      <c r="C687" s="43"/>
      <c r="D687" s="43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4.25" customHeight="1" x14ac:dyDescent="0.25">
      <c r="A688" s="5"/>
      <c r="B688" s="5"/>
      <c r="C688" s="43"/>
      <c r="D688" s="43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4.25" customHeight="1" x14ac:dyDescent="0.25">
      <c r="A689" s="5"/>
      <c r="B689" s="5"/>
      <c r="C689" s="43"/>
      <c r="D689" s="43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4.25" customHeight="1" x14ac:dyDescent="0.25">
      <c r="A690" s="5"/>
      <c r="B690" s="5"/>
      <c r="C690" s="43"/>
      <c r="D690" s="43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4.25" customHeight="1" x14ac:dyDescent="0.25">
      <c r="A691" s="5"/>
      <c r="B691" s="5"/>
      <c r="C691" s="43"/>
      <c r="D691" s="43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4.25" customHeight="1" x14ac:dyDescent="0.25">
      <c r="A692" s="5"/>
      <c r="B692" s="5"/>
      <c r="C692" s="43"/>
      <c r="D692" s="43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4.25" customHeight="1" x14ac:dyDescent="0.25">
      <c r="A693" s="5"/>
      <c r="B693" s="5"/>
      <c r="C693" s="43"/>
      <c r="D693" s="43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4.25" customHeight="1" x14ac:dyDescent="0.25">
      <c r="A694" s="5"/>
      <c r="B694" s="5"/>
      <c r="C694" s="43"/>
      <c r="D694" s="43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4.25" customHeight="1" x14ac:dyDescent="0.25">
      <c r="A695" s="5"/>
      <c r="B695" s="5"/>
      <c r="C695" s="43"/>
      <c r="D695" s="43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4.25" customHeight="1" x14ac:dyDescent="0.25">
      <c r="A696" s="5"/>
      <c r="B696" s="5"/>
      <c r="C696" s="43"/>
      <c r="D696" s="43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4.25" customHeight="1" x14ac:dyDescent="0.25">
      <c r="A697" s="5"/>
      <c r="B697" s="5"/>
      <c r="C697" s="43"/>
      <c r="D697" s="43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4.25" customHeight="1" x14ac:dyDescent="0.25">
      <c r="A698" s="5"/>
      <c r="B698" s="5"/>
      <c r="C698" s="43"/>
      <c r="D698" s="43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4.25" customHeight="1" x14ac:dyDescent="0.25">
      <c r="A699" s="5"/>
      <c r="B699" s="5"/>
      <c r="C699" s="43"/>
      <c r="D699" s="43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4.25" customHeight="1" x14ac:dyDescent="0.25">
      <c r="A700" s="5"/>
      <c r="B700" s="5"/>
      <c r="C700" s="43"/>
      <c r="D700" s="43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4.25" customHeight="1" x14ac:dyDescent="0.25">
      <c r="A701" s="5"/>
      <c r="B701" s="5"/>
      <c r="C701" s="43"/>
      <c r="D701" s="43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4.25" customHeight="1" x14ac:dyDescent="0.25">
      <c r="A702" s="5"/>
      <c r="B702" s="5"/>
      <c r="C702" s="43"/>
      <c r="D702" s="43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4.25" customHeight="1" x14ac:dyDescent="0.25">
      <c r="A703" s="5"/>
      <c r="B703" s="5"/>
      <c r="C703" s="43"/>
      <c r="D703" s="43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4.25" customHeight="1" x14ac:dyDescent="0.25">
      <c r="A704" s="5"/>
      <c r="B704" s="5"/>
      <c r="C704" s="43"/>
      <c r="D704" s="43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4.25" customHeight="1" x14ac:dyDescent="0.25">
      <c r="A705" s="5"/>
      <c r="B705" s="5"/>
      <c r="C705" s="43"/>
      <c r="D705" s="43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4.25" customHeight="1" x14ac:dyDescent="0.25">
      <c r="A706" s="5"/>
      <c r="B706" s="5"/>
      <c r="C706" s="43"/>
      <c r="D706" s="43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4.25" customHeight="1" x14ac:dyDescent="0.25">
      <c r="A707" s="5"/>
      <c r="B707" s="5"/>
      <c r="C707" s="43"/>
      <c r="D707" s="43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4.25" customHeight="1" x14ac:dyDescent="0.25">
      <c r="A708" s="5"/>
      <c r="B708" s="5"/>
      <c r="C708" s="43"/>
      <c r="D708" s="43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4.25" customHeight="1" x14ac:dyDescent="0.25">
      <c r="A709" s="5"/>
      <c r="B709" s="5"/>
      <c r="C709" s="43"/>
      <c r="D709" s="43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4.25" customHeight="1" x14ac:dyDescent="0.25">
      <c r="A710" s="5"/>
      <c r="B710" s="5"/>
      <c r="C710" s="43"/>
      <c r="D710" s="43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4.25" customHeight="1" x14ac:dyDescent="0.25">
      <c r="A711" s="5"/>
      <c r="B711" s="5"/>
      <c r="C711" s="43"/>
      <c r="D711" s="43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4.25" customHeight="1" x14ac:dyDescent="0.25">
      <c r="A712" s="5"/>
      <c r="B712" s="5"/>
      <c r="C712" s="43"/>
      <c r="D712" s="43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4.25" customHeight="1" x14ac:dyDescent="0.25">
      <c r="A713" s="5"/>
      <c r="B713" s="5"/>
      <c r="C713" s="43"/>
      <c r="D713" s="43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4.25" customHeight="1" x14ac:dyDescent="0.25">
      <c r="A714" s="5"/>
      <c r="B714" s="5"/>
      <c r="C714" s="43"/>
      <c r="D714" s="43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4.25" customHeight="1" x14ac:dyDescent="0.25">
      <c r="A715" s="5"/>
      <c r="B715" s="5"/>
      <c r="C715" s="43"/>
      <c r="D715" s="43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4.25" customHeight="1" x14ac:dyDescent="0.25">
      <c r="A716" s="5"/>
      <c r="B716" s="5"/>
      <c r="C716" s="43"/>
      <c r="D716" s="43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4.25" customHeight="1" x14ac:dyDescent="0.25">
      <c r="A717" s="5"/>
      <c r="B717" s="5"/>
      <c r="C717" s="43"/>
      <c r="D717" s="43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4.25" customHeight="1" x14ac:dyDescent="0.25">
      <c r="A718" s="5"/>
      <c r="B718" s="5"/>
      <c r="C718" s="43"/>
      <c r="D718" s="43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4.25" customHeight="1" x14ac:dyDescent="0.25">
      <c r="A719" s="5"/>
      <c r="B719" s="5"/>
      <c r="C719" s="43"/>
      <c r="D719" s="43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4.25" customHeight="1" x14ac:dyDescent="0.25">
      <c r="A720" s="5"/>
      <c r="B720" s="5"/>
      <c r="C720" s="43"/>
      <c r="D720" s="43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4.25" customHeight="1" x14ac:dyDescent="0.25">
      <c r="A721" s="5"/>
      <c r="B721" s="5"/>
      <c r="C721" s="43"/>
      <c r="D721" s="43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4.25" customHeight="1" x14ac:dyDescent="0.25">
      <c r="A722" s="5"/>
      <c r="B722" s="5"/>
      <c r="C722" s="43"/>
      <c r="D722" s="43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4.25" customHeight="1" x14ac:dyDescent="0.25">
      <c r="A723" s="5"/>
      <c r="B723" s="5"/>
      <c r="C723" s="43"/>
      <c r="D723" s="43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4.25" customHeight="1" x14ac:dyDescent="0.25">
      <c r="A724" s="5"/>
      <c r="B724" s="5"/>
      <c r="C724" s="43"/>
      <c r="D724" s="43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4.25" customHeight="1" x14ac:dyDescent="0.25">
      <c r="A725" s="5"/>
      <c r="B725" s="5"/>
      <c r="C725" s="43"/>
      <c r="D725" s="43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4.25" customHeight="1" x14ac:dyDescent="0.25">
      <c r="A726" s="5"/>
      <c r="B726" s="5"/>
      <c r="C726" s="43"/>
      <c r="D726" s="43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4.25" customHeight="1" x14ac:dyDescent="0.25">
      <c r="A727" s="5"/>
      <c r="B727" s="5"/>
      <c r="C727" s="43"/>
      <c r="D727" s="43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4.25" customHeight="1" x14ac:dyDescent="0.25">
      <c r="A728" s="5"/>
      <c r="B728" s="5"/>
      <c r="C728" s="43"/>
      <c r="D728" s="43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4.25" customHeight="1" x14ac:dyDescent="0.25">
      <c r="A729" s="5"/>
      <c r="B729" s="5"/>
      <c r="C729" s="43"/>
      <c r="D729" s="43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4.25" customHeight="1" x14ac:dyDescent="0.25">
      <c r="A730" s="5"/>
      <c r="B730" s="5"/>
      <c r="C730" s="43"/>
      <c r="D730" s="43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4.25" customHeight="1" x14ac:dyDescent="0.25">
      <c r="A731" s="5"/>
      <c r="B731" s="5"/>
      <c r="C731" s="43"/>
      <c r="D731" s="43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4.25" customHeight="1" x14ac:dyDescent="0.25">
      <c r="A732" s="5"/>
      <c r="B732" s="5"/>
      <c r="C732" s="43"/>
      <c r="D732" s="43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4.25" customHeight="1" x14ac:dyDescent="0.25">
      <c r="A733" s="5"/>
      <c r="B733" s="5"/>
      <c r="C733" s="43"/>
      <c r="D733" s="43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4.25" customHeight="1" x14ac:dyDescent="0.25">
      <c r="A734" s="5"/>
      <c r="B734" s="5"/>
      <c r="C734" s="43"/>
      <c r="D734" s="43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4.25" customHeight="1" x14ac:dyDescent="0.25">
      <c r="A735" s="5"/>
      <c r="B735" s="5"/>
      <c r="C735" s="43"/>
      <c r="D735" s="43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4.25" customHeight="1" x14ac:dyDescent="0.25">
      <c r="A736" s="5"/>
      <c r="B736" s="5"/>
      <c r="C736" s="43"/>
      <c r="D736" s="43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4.25" customHeight="1" x14ac:dyDescent="0.25">
      <c r="A737" s="5"/>
      <c r="B737" s="5"/>
      <c r="C737" s="43"/>
      <c r="D737" s="43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4.25" customHeight="1" x14ac:dyDescent="0.25">
      <c r="A738" s="5"/>
      <c r="B738" s="5"/>
      <c r="C738" s="43"/>
      <c r="D738" s="43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4.25" customHeight="1" x14ac:dyDescent="0.25">
      <c r="A739" s="5"/>
      <c r="B739" s="5"/>
      <c r="C739" s="43"/>
      <c r="D739" s="43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4.25" customHeight="1" x14ac:dyDescent="0.25">
      <c r="A740" s="5"/>
      <c r="B740" s="5"/>
      <c r="C740" s="43"/>
      <c r="D740" s="43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4.25" customHeight="1" x14ac:dyDescent="0.25">
      <c r="A741" s="5"/>
      <c r="B741" s="5"/>
      <c r="C741" s="43"/>
      <c r="D741" s="43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4.25" customHeight="1" x14ac:dyDescent="0.25">
      <c r="A742" s="5"/>
      <c r="B742" s="5"/>
      <c r="C742" s="43"/>
      <c r="D742" s="43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4.25" customHeight="1" x14ac:dyDescent="0.25">
      <c r="A743" s="5"/>
      <c r="B743" s="5"/>
      <c r="C743" s="43"/>
      <c r="D743" s="43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4.25" customHeight="1" x14ac:dyDescent="0.25">
      <c r="A744" s="5"/>
      <c r="B744" s="5"/>
      <c r="C744" s="43"/>
      <c r="D744" s="43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4.25" customHeight="1" x14ac:dyDescent="0.25">
      <c r="A745" s="5"/>
      <c r="B745" s="5"/>
      <c r="C745" s="43"/>
      <c r="D745" s="43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4.25" customHeight="1" x14ac:dyDescent="0.25">
      <c r="A746" s="5"/>
      <c r="B746" s="5"/>
      <c r="C746" s="43"/>
      <c r="D746" s="43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4.25" customHeight="1" x14ac:dyDescent="0.25">
      <c r="A747" s="5"/>
      <c r="B747" s="5"/>
      <c r="C747" s="43"/>
      <c r="D747" s="43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4.25" customHeight="1" x14ac:dyDescent="0.25">
      <c r="A748" s="5"/>
      <c r="B748" s="5"/>
      <c r="C748" s="43"/>
      <c r="D748" s="43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4.25" customHeight="1" x14ac:dyDescent="0.25">
      <c r="A749" s="5"/>
      <c r="B749" s="5"/>
      <c r="C749" s="43"/>
      <c r="D749" s="43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4.25" customHeight="1" x14ac:dyDescent="0.25">
      <c r="A750" s="5"/>
      <c r="B750" s="5"/>
      <c r="C750" s="43"/>
      <c r="D750" s="43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4.25" customHeight="1" x14ac:dyDescent="0.25">
      <c r="A751" s="5"/>
      <c r="B751" s="5"/>
      <c r="C751" s="43"/>
      <c r="D751" s="43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4.25" customHeight="1" x14ac:dyDescent="0.25">
      <c r="A752" s="5"/>
      <c r="B752" s="5"/>
      <c r="C752" s="43"/>
      <c r="D752" s="43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4.25" customHeight="1" x14ac:dyDescent="0.25">
      <c r="A753" s="5"/>
      <c r="B753" s="5"/>
      <c r="C753" s="43"/>
      <c r="D753" s="43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4.25" customHeight="1" x14ac:dyDescent="0.25">
      <c r="A754" s="5"/>
      <c r="B754" s="5"/>
      <c r="C754" s="43"/>
      <c r="D754" s="43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4.25" customHeight="1" x14ac:dyDescent="0.25">
      <c r="A755" s="5"/>
      <c r="B755" s="5"/>
      <c r="C755" s="43"/>
      <c r="D755" s="43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4.25" customHeight="1" x14ac:dyDescent="0.25">
      <c r="A756" s="5"/>
      <c r="B756" s="5"/>
      <c r="C756" s="43"/>
      <c r="D756" s="43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4.25" customHeight="1" x14ac:dyDescent="0.25">
      <c r="A757" s="5"/>
      <c r="B757" s="5"/>
      <c r="C757" s="43"/>
      <c r="D757" s="43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4.25" customHeight="1" x14ac:dyDescent="0.25">
      <c r="A758" s="5"/>
      <c r="B758" s="5"/>
      <c r="C758" s="43"/>
      <c r="D758" s="43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4.25" customHeight="1" x14ac:dyDescent="0.25">
      <c r="A759" s="5"/>
      <c r="B759" s="5"/>
      <c r="C759" s="43"/>
      <c r="D759" s="43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4.25" customHeight="1" x14ac:dyDescent="0.25">
      <c r="A760" s="5"/>
      <c r="B760" s="5"/>
      <c r="C760" s="43"/>
      <c r="D760" s="43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4.25" customHeight="1" x14ac:dyDescent="0.25">
      <c r="A761" s="5"/>
      <c r="B761" s="5"/>
      <c r="C761" s="43"/>
      <c r="D761" s="43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4.25" customHeight="1" x14ac:dyDescent="0.25">
      <c r="A762" s="5"/>
      <c r="B762" s="5"/>
      <c r="C762" s="43"/>
      <c r="D762" s="43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4.25" customHeight="1" x14ac:dyDescent="0.25">
      <c r="A763" s="5"/>
      <c r="B763" s="5"/>
      <c r="C763" s="43"/>
      <c r="D763" s="43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4.25" customHeight="1" x14ac:dyDescent="0.25">
      <c r="A764" s="5"/>
      <c r="B764" s="5"/>
      <c r="C764" s="43"/>
      <c r="D764" s="43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4.25" customHeight="1" x14ac:dyDescent="0.25">
      <c r="A765" s="5"/>
      <c r="B765" s="5"/>
      <c r="C765" s="43"/>
      <c r="D765" s="43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4.25" customHeight="1" x14ac:dyDescent="0.25">
      <c r="A766" s="5"/>
      <c r="B766" s="5"/>
      <c r="C766" s="43"/>
      <c r="D766" s="43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4.25" customHeight="1" x14ac:dyDescent="0.25">
      <c r="A767" s="5"/>
      <c r="B767" s="5"/>
      <c r="C767" s="43"/>
      <c r="D767" s="43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4.25" customHeight="1" x14ac:dyDescent="0.25">
      <c r="A768" s="5"/>
      <c r="B768" s="5"/>
      <c r="C768" s="43"/>
      <c r="D768" s="43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4.25" customHeight="1" x14ac:dyDescent="0.25">
      <c r="A769" s="5"/>
      <c r="B769" s="5"/>
      <c r="C769" s="43"/>
      <c r="D769" s="43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4.25" customHeight="1" x14ac:dyDescent="0.25">
      <c r="A770" s="5"/>
      <c r="B770" s="5"/>
      <c r="C770" s="43"/>
      <c r="D770" s="43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4.25" customHeight="1" x14ac:dyDescent="0.25">
      <c r="A771" s="5"/>
      <c r="B771" s="5"/>
      <c r="C771" s="43"/>
      <c r="D771" s="43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4.25" customHeight="1" x14ac:dyDescent="0.25">
      <c r="A772" s="5"/>
      <c r="B772" s="5"/>
      <c r="C772" s="43"/>
      <c r="D772" s="43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4.25" customHeight="1" x14ac:dyDescent="0.25">
      <c r="A773" s="5"/>
      <c r="B773" s="5"/>
      <c r="C773" s="43"/>
      <c r="D773" s="43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4.25" customHeight="1" x14ac:dyDescent="0.25">
      <c r="A774" s="5"/>
      <c r="B774" s="5"/>
      <c r="C774" s="43"/>
      <c r="D774" s="43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4.25" customHeight="1" x14ac:dyDescent="0.25">
      <c r="A775" s="5"/>
      <c r="B775" s="5"/>
      <c r="C775" s="43"/>
      <c r="D775" s="43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4.25" customHeight="1" x14ac:dyDescent="0.25">
      <c r="A776" s="5"/>
      <c r="B776" s="5"/>
      <c r="C776" s="43"/>
      <c r="D776" s="43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4.25" customHeight="1" x14ac:dyDescent="0.25">
      <c r="A777" s="5"/>
      <c r="B777" s="5"/>
      <c r="C777" s="43"/>
      <c r="D777" s="43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4.25" customHeight="1" x14ac:dyDescent="0.25">
      <c r="A778" s="5"/>
      <c r="B778" s="5"/>
      <c r="C778" s="43"/>
      <c r="D778" s="43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4.25" customHeight="1" x14ac:dyDescent="0.25">
      <c r="A779" s="5"/>
      <c r="B779" s="5"/>
      <c r="C779" s="43"/>
      <c r="D779" s="43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4.25" customHeight="1" x14ac:dyDescent="0.25">
      <c r="A780" s="5"/>
      <c r="B780" s="5"/>
      <c r="C780" s="43"/>
      <c r="D780" s="43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4.25" customHeight="1" x14ac:dyDescent="0.25">
      <c r="A781" s="5"/>
      <c r="B781" s="5"/>
      <c r="C781" s="43"/>
      <c r="D781" s="43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4.25" customHeight="1" x14ac:dyDescent="0.25">
      <c r="A782" s="5"/>
      <c r="B782" s="5"/>
      <c r="C782" s="43"/>
      <c r="D782" s="43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4.25" customHeight="1" x14ac:dyDescent="0.25">
      <c r="A783" s="5"/>
      <c r="B783" s="5"/>
      <c r="C783" s="43"/>
      <c r="D783" s="43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4.25" customHeight="1" x14ac:dyDescent="0.25">
      <c r="A784" s="5"/>
      <c r="B784" s="5"/>
      <c r="C784" s="43"/>
      <c r="D784" s="43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4.25" customHeight="1" x14ac:dyDescent="0.25">
      <c r="A785" s="5"/>
      <c r="B785" s="5"/>
      <c r="C785" s="43"/>
      <c r="D785" s="43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4.25" customHeight="1" x14ac:dyDescent="0.25">
      <c r="A786" s="5"/>
      <c r="B786" s="5"/>
      <c r="C786" s="43"/>
      <c r="D786" s="43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4.25" customHeight="1" x14ac:dyDescent="0.25">
      <c r="A787" s="5"/>
      <c r="B787" s="5"/>
      <c r="C787" s="43"/>
      <c r="D787" s="43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4.25" customHeight="1" x14ac:dyDescent="0.25">
      <c r="A788" s="5"/>
      <c r="B788" s="5"/>
      <c r="C788" s="43"/>
      <c r="D788" s="43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4.25" customHeight="1" x14ac:dyDescent="0.25">
      <c r="A789" s="5"/>
      <c r="B789" s="5"/>
      <c r="C789" s="43"/>
      <c r="D789" s="43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4.25" customHeight="1" x14ac:dyDescent="0.25">
      <c r="A790" s="5"/>
      <c r="B790" s="5"/>
      <c r="C790" s="43"/>
      <c r="D790" s="43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4.25" customHeight="1" x14ac:dyDescent="0.25">
      <c r="A791" s="5"/>
      <c r="B791" s="5"/>
      <c r="C791" s="43"/>
      <c r="D791" s="43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4.25" customHeight="1" x14ac:dyDescent="0.25">
      <c r="A792" s="5"/>
      <c r="B792" s="5"/>
      <c r="C792" s="43"/>
      <c r="D792" s="43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4.25" customHeight="1" x14ac:dyDescent="0.25">
      <c r="A793" s="5"/>
      <c r="B793" s="5"/>
      <c r="C793" s="43"/>
      <c r="D793" s="43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4.25" customHeight="1" x14ac:dyDescent="0.25">
      <c r="A794" s="5"/>
      <c r="B794" s="5"/>
      <c r="C794" s="43"/>
      <c r="D794" s="43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4.25" customHeight="1" x14ac:dyDescent="0.25">
      <c r="A795" s="5"/>
      <c r="B795" s="5"/>
      <c r="C795" s="43"/>
      <c r="D795" s="43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4.25" customHeight="1" x14ac:dyDescent="0.25">
      <c r="A796" s="5"/>
      <c r="B796" s="5"/>
      <c r="C796" s="43"/>
      <c r="D796" s="43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4.25" customHeight="1" x14ac:dyDescent="0.25">
      <c r="A797" s="5"/>
      <c r="B797" s="5"/>
      <c r="C797" s="43"/>
      <c r="D797" s="43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4.25" customHeight="1" x14ac:dyDescent="0.25">
      <c r="A798" s="5"/>
      <c r="B798" s="5"/>
      <c r="C798" s="43"/>
      <c r="D798" s="43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4.25" customHeight="1" x14ac:dyDescent="0.25">
      <c r="A799" s="5"/>
      <c r="B799" s="5"/>
      <c r="C799" s="43"/>
      <c r="D799" s="43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4.25" customHeight="1" x14ac:dyDescent="0.25">
      <c r="A800" s="5"/>
      <c r="B800" s="5"/>
      <c r="C800" s="43"/>
      <c r="D800" s="43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4.25" customHeight="1" x14ac:dyDescent="0.25">
      <c r="A801" s="5"/>
      <c r="B801" s="5"/>
      <c r="C801" s="43"/>
      <c r="D801" s="43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4.25" customHeight="1" x14ac:dyDescent="0.25">
      <c r="A802" s="5"/>
      <c r="B802" s="5"/>
      <c r="C802" s="43"/>
      <c r="D802" s="43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4.25" customHeight="1" x14ac:dyDescent="0.25">
      <c r="A803" s="5"/>
      <c r="B803" s="5"/>
      <c r="C803" s="43"/>
      <c r="D803" s="43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4.25" customHeight="1" x14ac:dyDescent="0.25">
      <c r="A804" s="5"/>
      <c r="B804" s="5"/>
      <c r="C804" s="43"/>
      <c r="D804" s="43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4.25" customHeight="1" x14ac:dyDescent="0.25">
      <c r="A805" s="5"/>
      <c r="B805" s="5"/>
      <c r="C805" s="43"/>
      <c r="D805" s="43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4.25" customHeight="1" x14ac:dyDescent="0.25">
      <c r="A806" s="5"/>
      <c r="B806" s="5"/>
      <c r="C806" s="43"/>
      <c r="D806" s="43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4.25" customHeight="1" x14ac:dyDescent="0.25">
      <c r="A807" s="5"/>
      <c r="B807" s="5"/>
      <c r="C807" s="43"/>
      <c r="D807" s="43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4.25" customHeight="1" x14ac:dyDescent="0.25">
      <c r="A808" s="5"/>
      <c r="B808" s="5"/>
      <c r="C808" s="43"/>
      <c r="D808" s="43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4.25" customHeight="1" x14ac:dyDescent="0.25">
      <c r="A809" s="5"/>
      <c r="B809" s="5"/>
      <c r="C809" s="43"/>
      <c r="D809" s="43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4.25" customHeight="1" x14ac:dyDescent="0.25">
      <c r="A810" s="5"/>
      <c r="B810" s="5"/>
      <c r="C810" s="43"/>
      <c r="D810" s="43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4.25" customHeight="1" x14ac:dyDescent="0.25">
      <c r="A811" s="5"/>
      <c r="B811" s="5"/>
      <c r="C811" s="43"/>
      <c r="D811" s="43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4.25" customHeight="1" x14ac:dyDescent="0.25">
      <c r="A812" s="5"/>
      <c r="B812" s="5"/>
      <c r="C812" s="43"/>
      <c r="D812" s="43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4.25" customHeight="1" x14ac:dyDescent="0.25">
      <c r="A813" s="5"/>
      <c r="B813" s="5"/>
      <c r="C813" s="43"/>
      <c r="D813" s="43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4.25" customHeight="1" x14ac:dyDescent="0.25">
      <c r="A814" s="5"/>
      <c r="B814" s="5"/>
      <c r="C814" s="43"/>
      <c r="D814" s="43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4.25" customHeight="1" x14ac:dyDescent="0.25">
      <c r="A815" s="5"/>
      <c r="B815" s="5"/>
      <c r="C815" s="43"/>
      <c r="D815" s="43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4.25" customHeight="1" x14ac:dyDescent="0.25">
      <c r="A816" s="5"/>
      <c r="B816" s="5"/>
      <c r="C816" s="43"/>
      <c r="D816" s="43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4.25" customHeight="1" x14ac:dyDescent="0.25">
      <c r="A817" s="5"/>
      <c r="B817" s="5"/>
      <c r="C817" s="43"/>
      <c r="D817" s="43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4.25" customHeight="1" x14ac:dyDescent="0.25">
      <c r="A818" s="5"/>
      <c r="B818" s="5"/>
      <c r="C818" s="43"/>
      <c r="D818" s="43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4.25" customHeight="1" x14ac:dyDescent="0.25">
      <c r="A819" s="5"/>
      <c r="B819" s="5"/>
      <c r="C819" s="43"/>
      <c r="D819" s="43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4.25" customHeight="1" x14ac:dyDescent="0.25">
      <c r="A820" s="5"/>
      <c r="B820" s="5"/>
      <c r="C820" s="43"/>
      <c r="D820" s="43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4.25" customHeight="1" x14ac:dyDescent="0.25">
      <c r="A821" s="5"/>
      <c r="B821" s="5"/>
      <c r="C821" s="43"/>
      <c r="D821" s="43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4.25" customHeight="1" x14ac:dyDescent="0.25">
      <c r="A822" s="5"/>
      <c r="B822" s="5"/>
      <c r="C822" s="43"/>
      <c r="D822" s="43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4.25" customHeight="1" x14ac:dyDescent="0.25">
      <c r="A823" s="5"/>
      <c r="B823" s="5"/>
      <c r="C823" s="43"/>
      <c r="D823" s="43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4.25" customHeight="1" x14ac:dyDescent="0.25">
      <c r="A824" s="5"/>
      <c r="B824" s="5"/>
      <c r="C824" s="43"/>
      <c r="D824" s="43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4.25" customHeight="1" x14ac:dyDescent="0.25">
      <c r="A825" s="5"/>
      <c r="B825" s="5"/>
      <c r="C825" s="43"/>
      <c r="D825" s="43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4.25" customHeight="1" x14ac:dyDescent="0.25">
      <c r="A826" s="5"/>
      <c r="B826" s="5"/>
      <c r="C826" s="43"/>
      <c r="D826" s="43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4.25" customHeight="1" x14ac:dyDescent="0.25">
      <c r="A827" s="5"/>
      <c r="B827" s="5"/>
      <c r="C827" s="43"/>
      <c r="D827" s="43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4.25" customHeight="1" x14ac:dyDescent="0.25">
      <c r="A828" s="5"/>
      <c r="B828" s="5"/>
      <c r="C828" s="43"/>
      <c r="D828" s="43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4.25" customHeight="1" x14ac:dyDescent="0.25">
      <c r="A829" s="5"/>
      <c r="B829" s="5"/>
      <c r="C829" s="43"/>
      <c r="D829" s="43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4.25" customHeight="1" x14ac:dyDescent="0.25">
      <c r="A830" s="5"/>
      <c r="B830" s="5"/>
      <c r="C830" s="43"/>
      <c r="D830" s="43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4.25" customHeight="1" x14ac:dyDescent="0.25">
      <c r="A831" s="5"/>
      <c r="B831" s="5"/>
      <c r="C831" s="43"/>
      <c r="D831" s="43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4.25" customHeight="1" x14ac:dyDescent="0.25">
      <c r="A832" s="5"/>
      <c r="B832" s="5"/>
      <c r="C832" s="43"/>
      <c r="D832" s="43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4.25" customHeight="1" x14ac:dyDescent="0.25">
      <c r="A833" s="5"/>
      <c r="B833" s="5"/>
      <c r="C833" s="43"/>
      <c r="D833" s="43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4.25" customHeight="1" x14ac:dyDescent="0.25">
      <c r="A834" s="5"/>
      <c r="B834" s="5"/>
      <c r="C834" s="43"/>
      <c r="D834" s="43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4.25" customHeight="1" x14ac:dyDescent="0.25">
      <c r="A835" s="5"/>
      <c r="B835" s="5"/>
      <c r="C835" s="43"/>
      <c r="D835" s="43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4.25" customHeight="1" x14ac:dyDescent="0.25">
      <c r="A836" s="5"/>
      <c r="B836" s="5"/>
      <c r="C836" s="43"/>
      <c r="D836" s="43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4.25" customHeight="1" x14ac:dyDescent="0.25">
      <c r="A837" s="5"/>
      <c r="B837" s="5"/>
      <c r="C837" s="43"/>
      <c r="D837" s="43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4.25" customHeight="1" x14ac:dyDescent="0.25">
      <c r="A838" s="5"/>
      <c r="B838" s="5"/>
      <c r="C838" s="43"/>
      <c r="D838" s="43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4.25" customHeight="1" x14ac:dyDescent="0.25">
      <c r="A839" s="5"/>
      <c r="B839" s="5"/>
      <c r="C839" s="43"/>
      <c r="D839" s="43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4.25" customHeight="1" x14ac:dyDescent="0.25">
      <c r="A840" s="5"/>
      <c r="B840" s="5"/>
      <c r="C840" s="43"/>
      <c r="D840" s="43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4.25" customHeight="1" x14ac:dyDescent="0.25">
      <c r="A841" s="5"/>
      <c r="B841" s="5"/>
      <c r="C841" s="43"/>
      <c r="D841" s="43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4.25" customHeight="1" x14ac:dyDescent="0.25">
      <c r="A842" s="5"/>
      <c r="B842" s="5"/>
      <c r="C842" s="43"/>
      <c r="D842" s="43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4.25" customHeight="1" x14ac:dyDescent="0.25">
      <c r="A843" s="5"/>
      <c r="B843" s="5"/>
      <c r="C843" s="43"/>
      <c r="D843" s="43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4.25" customHeight="1" x14ac:dyDescent="0.25">
      <c r="A844" s="5"/>
      <c r="B844" s="5"/>
      <c r="C844" s="43"/>
      <c r="D844" s="43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4.25" customHeight="1" x14ac:dyDescent="0.25">
      <c r="A845" s="5"/>
      <c r="B845" s="5"/>
      <c r="C845" s="43"/>
      <c r="D845" s="43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4.25" customHeight="1" x14ac:dyDescent="0.25">
      <c r="A846" s="5"/>
      <c r="B846" s="5"/>
      <c r="C846" s="43"/>
      <c r="D846" s="43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4.25" customHeight="1" x14ac:dyDescent="0.25">
      <c r="A847" s="5"/>
      <c r="B847" s="5"/>
      <c r="C847" s="43"/>
      <c r="D847" s="43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4.25" customHeight="1" x14ac:dyDescent="0.25">
      <c r="A848" s="5"/>
      <c r="B848" s="5"/>
      <c r="C848" s="43"/>
      <c r="D848" s="43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4.25" customHeight="1" x14ac:dyDescent="0.25">
      <c r="A849" s="5"/>
      <c r="B849" s="5"/>
      <c r="C849" s="43"/>
      <c r="D849" s="43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4.25" customHeight="1" x14ac:dyDescent="0.25">
      <c r="A850" s="5"/>
      <c r="B850" s="5"/>
      <c r="C850" s="43"/>
      <c r="D850" s="43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4.25" customHeight="1" x14ac:dyDescent="0.25">
      <c r="A851" s="5"/>
      <c r="B851" s="5"/>
      <c r="C851" s="43"/>
      <c r="D851" s="43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4.25" customHeight="1" x14ac:dyDescent="0.25">
      <c r="A852" s="5"/>
      <c r="B852" s="5"/>
      <c r="C852" s="43"/>
      <c r="D852" s="43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4.25" customHeight="1" x14ac:dyDescent="0.25">
      <c r="A853" s="5"/>
      <c r="B853" s="5"/>
      <c r="C853" s="43"/>
      <c r="D853" s="43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4.25" customHeight="1" x14ac:dyDescent="0.25">
      <c r="A854" s="5"/>
      <c r="B854" s="5"/>
      <c r="C854" s="43"/>
      <c r="D854" s="43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4.25" customHeight="1" x14ac:dyDescent="0.25">
      <c r="A855" s="5"/>
      <c r="B855" s="5"/>
      <c r="C855" s="43"/>
      <c r="D855" s="43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4.25" customHeight="1" x14ac:dyDescent="0.25">
      <c r="A856" s="5"/>
      <c r="B856" s="5"/>
      <c r="C856" s="43"/>
      <c r="D856" s="43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4.25" customHeight="1" x14ac:dyDescent="0.25">
      <c r="A857" s="5"/>
      <c r="B857" s="5"/>
      <c r="C857" s="43"/>
      <c r="D857" s="43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4.25" customHeight="1" x14ac:dyDescent="0.25">
      <c r="A858" s="5"/>
      <c r="B858" s="5"/>
      <c r="C858" s="43"/>
      <c r="D858" s="43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4.25" customHeight="1" x14ac:dyDescent="0.25">
      <c r="A859" s="5"/>
      <c r="B859" s="5"/>
      <c r="C859" s="43"/>
      <c r="D859" s="43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4.25" customHeight="1" x14ac:dyDescent="0.25">
      <c r="A860" s="5"/>
      <c r="B860" s="5"/>
      <c r="C860" s="43"/>
      <c r="D860" s="43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4.25" customHeight="1" x14ac:dyDescent="0.25">
      <c r="A861" s="5"/>
      <c r="B861" s="5"/>
      <c r="C861" s="43"/>
      <c r="D861" s="43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4.25" customHeight="1" x14ac:dyDescent="0.25">
      <c r="A862" s="5"/>
      <c r="B862" s="5"/>
      <c r="C862" s="43"/>
      <c r="D862" s="43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4.25" customHeight="1" x14ac:dyDescent="0.25">
      <c r="A863" s="5"/>
      <c r="B863" s="5"/>
      <c r="C863" s="43"/>
      <c r="D863" s="43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4.25" customHeight="1" x14ac:dyDescent="0.25">
      <c r="A864" s="5"/>
      <c r="B864" s="5"/>
      <c r="C864" s="43"/>
      <c r="D864" s="43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4.25" customHeight="1" x14ac:dyDescent="0.25">
      <c r="A865" s="5"/>
      <c r="B865" s="5"/>
      <c r="C865" s="43"/>
      <c r="D865" s="43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4.25" customHeight="1" x14ac:dyDescent="0.25">
      <c r="A866" s="5"/>
      <c r="B866" s="5"/>
      <c r="C866" s="43"/>
      <c r="D866" s="43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4.25" customHeight="1" x14ac:dyDescent="0.25">
      <c r="A867" s="5"/>
      <c r="B867" s="5"/>
      <c r="C867" s="43"/>
      <c r="D867" s="43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4.25" customHeight="1" x14ac:dyDescent="0.25">
      <c r="A868" s="5"/>
      <c r="B868" s="5"/>
      <c r="C868" s="43"/>
      <c r="D868" s="43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4.25" customHeight="1" x14ac:dyDescent="0.25">
      <c r="A869" s="5"/>
      <c r="B869" s="5"/>
      <c r="C869" s="43"/>
      <c r="D869" s="43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4.25" customHeight="1" x14ac:dyDescent="0.25">
      <c r="A870" s="5"/>
      <c r="B870" s="5"/>
      <c r="C870" s="43"/>
      <c r="D870" s="43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4.25" customHeight="1" x14ac:dyDescent="0.25">
      <c r="A871" s="5"/>
      <c r="B871" s="5"/>
      <c r="C871" s="43"/>
      <c r="D871" s="43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4.25" customHeight="1" x14ac:dyDescent="0.25">
      <c r="A872" s="5"/>
      <c r="B872" s="5"/>
      <c r="C872" s="43"/>
      <c r="D872" s="43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4.25" customHeight="1" x14ac:dyDescent="0.25">
      <c r="A873" s="5"/>
      <c r="B873" s="5"/>
      <c r="C873" s="43"/>
      <c r="D873" s="43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4.25" customHeight="1" x14ac:dyDescent="0.25">
      <c r="A874" s="5"/>
      <c r="B874" s="5"/>
      <c r="C874" s="43"/>
      <c r="D874" s="43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4.25" customHeight="1" x14ac:dyDescent="0.25">
      <c r="A875" s="5"/>
      <c r="B875" s="5"/>
      <c r="C875" s="43"/>
      <c r="D875" s="43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4.25" customHeight="1" x14ac:dyDescent="0.25">
      <c r="A876" s="5"/>
      <c r="B876" s="5"/>
      <c r="C876" s="43"/>
      <c r="D876" s="43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4.25" customHeight="1" x14ac:dyDescent="0.25">
      <c r="A877" s="5"/>
      <c r="B877" s="5"/>
      <c r="C877" s="43"/>
      <c r="D877" s="43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4.25" customHeight="1" x14ac:dyDescent="0.25">
      <c r="A878" s="5"/>
      <c r="B878" s="5"/>
      <c r="C878" s="43"/>
      <c r="D878" s="43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4.25" customHeight="1" x14ac:dyDescent="0.25">
      <c r="A879" s="5"/>
      <c r="B879" s="5"/>
      <c r="C879" s="43"/>
      <c r="D879" s="43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4.25" customHeight="1" x14ac:dyDescent="0.25">
      <c r="A880" s="5"/>
      <c r="B880" s="5"/>
      <c r="C880" s="43"/>
      <c r="D880" s="43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4.25" customHeight="1" x14ac:dyDescent="0.25">
      <c r="A881" s="5"/>
      <c r="B881" s="5"/>
      <c r="C881" s="43"/>
      <c r="D881" s="43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4.25" customHeight="1" x14ac:dyDescent="0.25">
      <c r="A882" s="5"/>
      <c r="B882" s="5"/>
      <c r="C882" s="43"/>
      <c r="D882" s="43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4.25" customHeight="1" x14ac:dyDescent="0.25">
      <c r="A883" s="5"/>
      <c r="B883" s="5"/>
      <c r="C883" s="43"/>
      <c r="D883" s="43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4.25" customHeight="1" x14ac:dyDescent="0.25">
      <c r="A884" s="5"/>
      <c r="B884" s="5"/>
      <c r="C884" s="43"/>
      <c r="D884" s="43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4.25" customHeight="1" x14ac:dyDescent="0.25">
      <c r="A885" s="5"/>
      <c r="B885" s="5"/>
      <c r="C885" s="43"/>
      <c r="D885" s="43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4.25" customHeight="1" x14ac:dyDescent="0.25">
      <c r="A886" s="5"/>
      <c r="B886" s="5"/>
      <c r="C886" s="43"/>
      <c r="D886" s="43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4.25" customHeight="1" x14ac:dyDescent="0.25">
      <c r="A887" s="5"/>
      <c r="B887" s="5"/>
      <c r="C887" s="43"/>
      <c r="D887" s="43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4.25" customHeight="1" x14ac:dyDescent="0.25">
      <c r="A888" s="5"/>
      <c r="B888" s="5"/>
      <c r="C888" s="43"/>
      <c r="D888" s="43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4.25" customHeight="1" x14ac:dyDescent="0.25">
      <c r="A889" s="5"/>
      <c r="B889" s="5"/>
      <c r="C889" s="43"/>
      <c r="D889" s="4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4.25" customHeight="1" x14ac:dyDescent="0.25">
      <c r="A890" s="5"/>
      <c r="B890" s="5"/>
      <c r="C890" s="43"/>
      <c r="D890" s="43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4.25" customHeight="1" x14ac:dyDescent="0.25">
      <c r="A891" s="5"/>
      <c r="B891" s="5"/>
      <c r="C891" s="43"/>
      <c r="D891" s="43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4.25" customHeight="1" x14ac:dyDescent="0.25">
      <c r="A892" s="5"/>
      <c r="B892" s="5"/>
      <c r="C892" s="43"/>
      <c r="D892" s="43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4.25" customHeight="1" x14ac:dyDescent="0.25">
      <c r="A893" s="5"/>
      <c r="B893" s="5"/>
      <c r="C893" s="43"/>
      <c r="D893" s="43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4.25" customHeight="1" x14ac:dyDescent="0.25">
      <c r="A894" s="5"/>
      <c r="B894" s="5"/>
      <c r="C894" s="43"/>
      <c r="D894" s="43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4.25" customHeight="1" x14ac:dyDescent="0.25">
      <c r="A895" s="5"/>
      <c r="B895" s="5"/>
      <c r="C895" s="43"/>
      <c r="D895" s="43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4.25" customHeight="1" x14ac:dyDescent="0.25">
      <c r="A896" s="5"/>
      <c r="B896" s="5"/>
      <c r="C896" s="43"/>
      <c r="D896" s="43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4.25" customHeight="1" x14ac:dyDescent="0.25">
      <c r="A897" s="5"/>
      <c r="B897" s="5"/>
      <c r="C897" s="43"/>
      <c r="D897" s="43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4.25" customHeight="1" x14ac:dyDescent="0.25">
      <c r="A898" s="5"/>
      <c r="B898" s="5"/>
      <c r="C898" s="43"/>
      <c r="D898" s="43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4.25" customHeight="1" x14ac:dyDescent="0.25">
      <c r="A899" s="5"/>
      <c r="B899" s="5"/>
      <c r="C899" s="43"/>
      <c r="D899" s="43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4.25" customHeight="1" x14ac:dyDescent="0.25">
      <c r="A900" s="5"/>
      <c r="B900" s="5"/>
      <c r="C900" s="43"/>
      <c r="D900" s="43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4.25" customHeight="1" x14ac:dyDescent="0.25">
      <c r="A901" s="5"/>
      <c r="B901" s="5"/>
      <c r="C901" s="43"/>
      <c r="D901" s="43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4.25" customHeight="1" x14ac:dyDescent="0.25">
      <c r="A902" s="5"/>
      <c r="B902" s="5"/>
      <c r="C902" s="43"/>
      <c r="D902" s="43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4.25" customHeight="1" x14ac:dyDescent="0.25">
      <c r="A903" s="5"/>
      <c r="B903" s="5"/>
      <c r="C903" s="43"/>
      <c r="D903" s="43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4.25" customHeight="1" x14ac:dyDescent="0.25">
      <c r="A904" s="5"/>
      <c r="B904" s="5"/>
      <c r="C904" s="43"/>
      <c r="D904" s="43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4.25" customHeight="1" x14ac:dyDescent="0.25">
      <c r="A905" s="5"/>
      <c r="B905" s="5"/>
      <c r="C905" s="43"/>
      <c r="D905" s="43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4.25" customHeight="1" x14ac:dyDescent="0.25">
      <c r="A906" s="5"/>
      <c r="B906" s="5"/>
      <c r="C906" s="43"/>
      <c r="D906" s="43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4.25" customHeight="1" x14ac:dyDescent="0.25">
      <c r="A907" s="5"/>
      <c r="B907" s="5"/>
      <c r="C907" s="43"/>
      <c r="D907" s="43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4.25" customHeight="1" x14ac:dyDescent="0.25">
      <c r="A908" s="5"/>
      <c r="B908" s="5"/>
      <c r="C908" s="43"/>
      <c r="D908" s="43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4.25" customHeight="1" x14ac:dyDescent="0.25">
      <c r="A909" s="5"/>
      <c r="B909" s="5"/>
      <c r="C909" s="43"/>
      <c r="D909" s="43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4.25" customHeight="1" x14ac:dyDescent="0.25">
      <c r="A910" s="5"/>
      <c r="B910" s="5"/>
      <c r="C910" s="43"/>
      <c r="D910" s="43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4.25" customHeight="1" x14ac:dyDescent="0.25">
      <c r="A911" s="5"/>
      <c r="B911" s="5"/>
      <c r="C911" s="43"/>
      <c r="D911" s="43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4.25" customHeight="1" x14ac:dyDescent="0.25">
      <c r="A912" s="5"/>
      <c r="B912" s="5"/>
      <c r="C912" s="43"/>
      <c r="D912" s="43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4.25" customHeight="1" x14ac:dyDescent="0.25">
      <c r="A913" s="5"/>
      <c r="B913" s="5"/>
      <c r="C913" s="43"/>
      <c r="D913" s="43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4.25" customHeight="1" x14ac:dyDescent="0.25">
      <c r="A914" s="5"/>
      <c r="B914" s="5"/>
      <c r="C914" s="43"/>
      <c r="D914" s="43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4.25" customHeight="1" x14ac:dyDescent="0.25">
      <c r="A915" s="5"/>
      <c r="B915" s="5"/>
      <c r="C915" s="43"/>
      <c r="D915" s="43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4.25" customHeight="1" x14ac:dyDescent="0.25">
      <c r="A916" s="5"/>
      <c r="B916" s="5"/>
      <c r="C916" s="43"/>
      <c r="D916" s="43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4.25" customHeight="1" x14ac:dyDescent="0.25">
      <c r="A917" s="5"/>
      <c r="B917" s="5"/>
      <c r="C917" s="43"/>
      <c r="D917" s="43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4.25" customHeight="1" x14ac:dyDescent="0.25">
      <c r="A918" s="5"/>
      <c r="B918" s="5"/>
      <c r="C918" s="43"/>
      <c r="D918" s="43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4.25" customHeight="1" x14ac:dyDescent="0.25">
      <c r="A919" s="5"/>
      <c r="B919" s="5"/>
      <c r="C919" s="43"/>
      <c r="D919" s="43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4.25" customHeight="1" x14ac:dyDescent="0.25">
      <c r="A920" s="5"/>
      <c r="B920" s="5"/>
      <c r="C920" s="43"/>
      <c r="D920" s="43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4.25" customHeight="1" x14ac:dyDescent="0.25">
      <c r="A921" s="5"/>
      <c r="B921" s="5"/>
      <c r="C921" s="43"/>
      <c r="D921" s="43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4.25" customHeight="1" x14ac:dyDescent="0.25">
      <c r="A922" s="5"/>
      <c r="B922" s="5"/>
      <c r="C922" s="43"/>
      <c r="D922" s="43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4.25" customHeight="1" x14ac:dyDescent="0.25">
      <c r="A923" s="5"/>
      <c r="B923" s="5"/>
      <c r="C923" s="43"/>
      <c r="D923" s="43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4.25" customHeight="1" x14ac:dyDescent="0.25">
      <c r="A924" s="5"/>
      <c r="B924" s="5"/>
      <c r="C924" s="43"/>
      <c r="D924" s="43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4.25" customHeight="1" x14ac:dyDescent="0.25">
      <c r="A925" s="5"/>
      <c r="B925" s="5"/>
      <c r="C925" s="43"/>
      <c r="D925" s="43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4.25" customHeight="1" x14ac:dyDescent="0.25">
      <c r="A926" s="5"/>
      <c r="B926" s="5"/>
      <c r="C926" s="43"/>
      <c r="D926" s="43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4.25" customHeight="1" x14ac:dyDescent="0.25">
      <c r="A927" s="5"/>
      <c r="B927" s="5"/>
      <c r="C927" s="43"/>
      <c r="D927" s="43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4.25" customHeight="1" x14ac:dyDescent="0.25">
      <c r="A928" s="5"/>
      <c r="B928" s="5"/>
      <c r="C928" s="43"/>
      <c r="D928" s="43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4.25" customHeight="1" x14ac:dyDescent="0.25">
      <c r="A929" s="5"/>
      <c r="B929" s="5"/>
      <c r="C929" s="43"/>
      <c r="D929" s="43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4.25" customHeight="1" x14ac:dyDescent="0.25">
      <c r="A930" s="5"/>
      <c r="B930" s="5"/>
      <c r="C930" s="43"/>
      <c r="D930" s="43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4.25" customHeight="1" x14ac:dyDescent="0.25">
      <c r="A931" s="5"/>
      <c r="B931" s="5"/>
      <c r="C931" s="43"/>
      <c r="D931" s="43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4.25" customHeight="1" x14ac:dyDescent="0.25">
      <c r="A932" s="5"/>
      <c r="B932" s="5"/>
      <c r="C932" s="43"/>
      <c r="D932" s="43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4.25" customHeight="1" x14ac:dyDescent="0.25">
      <c r="A933" s="5"/>
      <c r="B933" s="5"/>
      <c r="C933" s="43"/>
      <c r="D933" s="43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4.25" customHeight="1" x14ac:dyDescent="0.25">
      <c r="A934" s="5"/>
      <c r="B934" s="5"/>
      <c r="C934" s="43"/>
      <c r="D934" s="43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4.25" customHeight="1" x14ac:dyDescent="0.25">
      <c r="A935" s="5"/>
      <c r="B935" s="5"/>
      <c r="C935" s="43"/>
      <c r="D935" s="43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4.25" customHeight="1" x14ac:dyDescent="0.25">
      <c r="A936" s="5"/>
      <c r="B936" s="5"/>
      <c r="C936" s="43"/>
      <c r="D936" s="43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4.25" customHeight="1" x14ac:dyDescent="0.25">
      <c r="A937" s="5"/>
      <c r="B937" s="5"/>
      <c r="C937" s="43"/>
      <c r="D937" s="43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4.25" customHeight="1" x14ac:dyDescent="0.25">
      <c r="A938" s="5"/>
      <c r="B938" s="5"/>
      <c r="C938" s="43"/>
      <c r="D938" s="43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4.25" customHeight="1" x14ac:dyDescent="0.25">
      <c r="A939" s="5"/>
      <c r="B939" s="5"/>
      <c r="C939" s="43"/>
      <c r="D939" s="43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4.25" customHeight="1" x14ac:dyDescent="0.25">
      <c r="A940" s="5"/>
      <c r="B940" s="5"/>
      <c r="C940" s="43"/>
      <c r="D940" s="43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4.25" customHeight="1" x14ac:dyDescent="0.25">
      <c r="A941" s="5"/>
      <c r="B941" s="5"/>
      <c r="C941" s="43"/>
      <c r="D941" s="43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4.25" customHeight="1" x14ac:dyDescent="0.25">
      <c r="A942" s="5"/>
      <c r="B942" s="5"/>
      <c r="C942" s="43"/>
      <c r="D942" s="43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4.25" customHeight="1" x14ac:dyDescent="0.25">
      <c r="A943" s="5"/>
      <c r="B943" s="5"/>
      <c r="C943" s="43"/>
      <c r="D943" s="43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4.25" customHeight="1" x14ac:dyDescent="0.25">
      <c r="A944" s="5"/>
      <c r="B944" s="5"/>
      <c r="C944" s="43"/>
      <c r="D944" s="43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4.25" customHeight="1" x14ac:dyDescent="0.25">
      <c r="A945" s="5"/>
      <c r="B945" s="5"/>
      <c r="C945" s="43"/>
      <c r="D945" s="43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4.25" customHeight="1" x14ac:dyDescent="0.25">
      <c r="A946" s="5"/>
      <c r="B946" s="5"/>
      <c r="C946" s="43"/>
      <c r="D946" s="43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4.25" customHeight="1" x14ac:dyDescent="0.25">
      <c r="A947" s="5"/>
      <c r="B947" s="5"/>
      <c r="C947" s="43"/>
      <c r="D947" s="43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4.25" customHeight="1" x14ac:dyDescent="0.25">
      <c r="A948" s="5"/>
      <c r="B948" s="5"/>
      <c r="C948" s="43"/>
      <c r="D948" s="43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4.25" customHeight="1" x14ac:dyDescent="0.25">
      <c r="A949" s="5"/>
      <c r="B949" s="5"/>
      <c r="C949" s="43"/>
      <c r="D949" s="43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4.25" customHeight="1" x14ac:dyDescent="0.25">
      <c r="A950" s="5"/>
      <c r="B950" s="5"/>
      <c r="C950" s="43"/>
      <c r="D950" s="4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4.25" customHeight="1" x14ac:dyDescent="0.25">
      <c r="A951" s="5"/>
      <c r="B951" s="5"/>
      <c r="C951" s="43"/>
      <c r="D951" s="43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4.25" customHeight="1" x14ac:dyDescent="0.25">
      <c r="A952" s="5"/>
      <c r="B952" s="5"/>
      <c r="C952" s="43"/>
      <c r="D952" s="43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4.25" customHeight="1" x14ac:dyDescent="0.25">
      <c r="A953" s="5"/>
      <c r="B953" s="5"/>
      <c r="C953" s="43"/>
      <c r="D953" s="43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4.25" customHeight="1" x14ac:dyDescent="0.25">
      <c r="A954" s="5"/>
      <c r="B954" s="5"/>
      <c r="C954" s="43"/>
      <c r="D954" s="43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4.25" customHeight="1" x14ac:dyDescent="0.25">
      <c r="A955" s="5"/>
      <c r="B955" s="5"/>
      <c r="C955" s="43"/>
      <c r="D955" s="43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4.25" customHeight="1" x14ac:dyDescent="0.25">
      <c r="A956" s="5"/>
      <c r="B956" s="5"/>
      <c r="C956" s="43"/>
      <c r="D956" s="43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4.25" customHeight="1" x14ac:dyDescent="0.25">
      <c r="A957" s="5"/>
      <c r="B957" s="5"/>
      <c r="C957" s="43"/>
      <c r="D957" s="43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4.25" customHeight="1" x14ac:dyDescent="0.25">
      <c r="A958" s="5"/>
      <c r="B958" s="5"/>
      <c r="C958" s="43"/>
      <c r="D958" s="43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4.25" customHeight="1" x14ac:dyDescent="0.25">
      <c r="A959" s="5"/>
      <c r="B959" s="5"/>
      <c r="C959" s="43"/>
      <c r="D959" s="43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4.25" customHeight="1" x14ac:dyDescent="0.25">
      <c r="A960" s="5"/>
      <c r="B960" s="5"/>
      <c r="C960" s="43"/>
      <c r="D960" s="43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4.25" customHeight="1" x14ac:dyDescent="0.25">
      <c r="A961" s="5"/>
      <c r="B961" s="5"/>
      <c r="C961" s="43"/>
      <c r="D961" s="43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4.25" customHeight="1" x14ac:dyDescent="0.25">
      <c r="A962" s="5"/>
      <c r="B962" s="5"/>
      <c r="C962" s="43"/>
      <c r="D962" s="43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4.25" customHeight="1" x14ac:dyDescent="0.25">
      <c r="A963" s="5"/>
      <c r="B963" s="5"/>
      <c r="C963" s="43"/>
      <c r="D963" s="4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4.25" customHeight="1" x14ac:dyDescent="0.25">
      <c r="A964" s="5"/>
      <c r="B964" s="5"/>
      <c r="C964" s="43"/>
      <c r="D964" s="43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4.25" customHeight="1" x14ac:dyDescent="0.25">
      <c r="A965" s="5"/>
      <c r="B965" s="5"/>
      <c r="C965" s="43"/>
      <c r="D965" s="43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4.25" customHeight="1" x14ac:dyDescent="0.25">
      <c r="A966" s="5"/>
      <c r="B966" s="5"/>
      <c r="C966" s="43"/>
      <c r="D966" s="43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4.25" customHeight="1" x14ac:dyDescent="0.25">
      <c r="A967" s="5"/>
      <c r="B967" s="5"/>
      <c r="C967" s="43"/>
      <c r="D967" s="43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4.25" customHeight="1" x14ac:dyDescent="0.25">
      <c r="A968" s="5"/>
      <c r="B968" s="5"/>
      <c r="C968" s="43"/>
      <c r="D968" s="43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4.25" customHeight="1" x14ac:dyDescent="0.25">
      <c r="A969" s="5"/>
      <c r="B969" s="5"/>
      <c r="C969" s="43"/>
      <c r="D969" s="43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4.25" customHeight="1" x14ac:dyDescent="0.25">
      <c r="A970" s="5"/>
      <c r="B970" s="5"/>
      <c r="C970" s="43"/>
      <c r="D970" s="43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4.25" customHeight="1" x14ac:dyDescent="0.25">
      <c r="A971" s="5"/>
      <c r="B971" s="5"/>
      <c r="C971" s="43"/>
      <c r="D971" s="43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4.25" customHeight="1" x14ac:dyDescent="0.25">
      <c r="A972" s="5"/>
      <c r="B972" s="5"/>
      <c r="C972" s="43"/>
      <c r="D972" s="43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4.25" customHeight="1" x14ac:dyDescent="0.25">
      <c r="A973" s="5"/>
      <c r="B973" s="5"/>
      <c r="C973" s="43"/>
      <c r="D973" s="43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4.25" customHeight="1" x14ac:dyDescent="0.25">
      <c r="A974" s="5"/>
      <c r="B974" s="5"/>
      <c r="C974" s="43"/>
      <c r="D974" s="43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4.25" customHeight="1" x14ac:dyDescent="0.25">
      <c r="A975" s="5"/>
      <c r="B975" s="5"/>
      <c r="C975" s="43"/>
      <c r="D975" s="43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4.25" customHeight="1" x14ac:dyDescent="0.25">
      <c r="A976" s="5"/>
      <c r="B976" s="5"/>
      <c r="C976" s="43"/>
      <c r="D976" s="43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4.25" customHeight="1" x14ac:dyDescent="0.25">
      <c r="A977" s="5"/>
      <c r="B977" s="5"/>
      <c r="C977" s="43"/>
      <c r="D977" s="43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4.25" customHeight="1" x14ac:dyDescent="0.25">
      <c r="A978" s="5"/>
      <c r="B978" s="5"/>
      <c r="C978" s="43"/>
      <c r="D978" s="43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4.25" customHeight="1" x14ac:dyDescent="0.25">
      <c r="A979" s="5"/>
      <c r="B979" s="5"/>
      <c r="C979" s="43"/>
      <c r="D979" s="43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4.25" customHeight="1" x14ac:dyDescent="0.25">
      <c r="A980" s="5"/>
      <c r="B980" s="5"/>
      <c r="C980" s="43"/>
      <c r="D980" s="43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4.25" customHeight="1" x14ac:dyDescent="0.25">
      <c r="A981" s="5"/>
      <c r="B981" s="5"/>
      <c r="C981" s="43"/>
      <c r="D981" s="43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4.25" customHeight="1" x14ac:dyDescent="0.25">
      <c r="A982" s="5"/>
      <c r="B982" s="5"/>
      <c r="C982" s="43"/>
      <c r="D982" s="43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4.25" customHeight="1" x14ac:dyDescent="0.25">
      <c r="A983" s="5"/>
      <c r="B983" s="5"/>
      <c r="C983" s="43"/>
      <c r="D983" s="43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4.25" customHeight="1" x14ac:dyDescent="0.25">
      <c r="A984" s="5"/>
      <c r="B984" s="5"/>
      <c r="C984" s="43"/>
      <c r="D984" s="43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4.25" customHeight="1" x14ac:dyDescent="0.25">
      <c r="A985" s="5"/>
      <c r="B985" s="5"/>
      <c r="C985" s="43"/>
      <c r="D985" s="43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4.25" customHeight="1" x14ac:dyDescent="0.25">
      <c r="A986" s="5"/>
      <c r="B986" s="5"/>
      <c r="C986" s="43"/>
      <c r="D986" s="43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4.25" customHeight="1" x14ac:dyDescent="0.25">
      <c r="A987" s="5"/>
      <c r="B987" s="5"/>
      <c r="C987" s="43"/>
      <c r="D987" s="43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4.25" customHeight="1" x14ac:dyDescent="0.25">
      <c r="A988" s="5"/>
      <c r="B988" s="5"/>
      <c r="C988" s="43"/>
      <c r="D988" s="43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4.25" customHeight="1" x14ac:dyDescent="0.25">
      <c r="A989" s="5"/>
      <c r="B989" s="5"/>
      <c r="C989" s="43"/>
      <c r="D989" s="43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4.25" customHeight="1" x14ac:dyDescent="0.25">
      <c r="A990" s="5"/>
      <c r="B990" s="5"/>
      <c r="C990" s="43"/>
      <c r="D990" s="43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4.25" customHeight="1" x14ac:dyDescent="0.25">
      <c r="A991" s="5"/>
      <c r="B991" s="5"/>
      <c r="C991" s="43"/>
      <c r="D991" s="43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4.25" customHeight="1" x14ac:dyDescent="0.25">
      <c r="A992" s="5"/>
      <c r="B992" s="5"/>
      <c r="C992" s="43"/>
      <c r="D992" s="43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14.25" customHeight="1" x14ac:dyDescent="0.25">
      <c r="A993" s="5"/>
      <c r="B993" s="5"/>
      <c r="C993" s="43"/>
      <c r="D993" s="43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14.25" customHeight="1" x14ac:dyDescent="0.25">
      <c r="A994" s="5"/>
      <c r="B994" s="5"/>
      <c r="C994" s="43"/>
      <c r="D994" s="43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14.25" customHeight="1" x14ac:dyDescent="0.25">
      <c r="A995" s="5"/>
      <c r="B995" s="5"/>
      <c r="C995" s="43"/>
      <c r="D995" s="43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14.25" customHeight="1" x14ac:dyDescent="0.25">
      <c r="A996" s="5"/>
      <c r="B996" s="5"/>
      <c r="C996" s="43"/>
      <c r="D996" s="43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14.25" customHeight="1" x14ac:dyDescent="0.25">
      <c r="A997" s="5"/>
      <c r="B997" s="5"/>
      <c r="C997" s="43"/>
      <c r="D997" s="43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14.25" customHeight="1" x14ac:dyDescent="0.25">
      <c r="A998" s="5"/>
      <c r="B998" s="5"/>
      <c r="C998" s="43"/>
      <c r="D998" s="43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ht="14.25" customHeight="1" x14ac:dyDescent="0.25">
      <c r="A999" s="5"/>
      <c r="B999" s="5"/>
      <c r="C999" s="43"/>
      <c r="D999" s="43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 ht="14.25" customHeight="1" x14ac:dyDescent="0.25">
      <c r="A1000" s="5"/>
      <c r="B1000" s="5"/>
      <c r="C1000" s="43"/>
      <c r="D1000" s="43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mergeCells count="1">
    <mergeCell ref="B1:G1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0.09765625" defaultRowHeight="15" customHeight="1" x14ac:dyDescent="0.25"/>
  <cols>
    <col min="1" max="1" width="12" customWidth="1"/>
    <col min="2" max="2" width="9.5" customWidth="1"/>
    <col min="3" max="3" width="7.5" customWidth="1"/>
    <col min="4" max="26" width="8.796875" customWidth="1"/>
  </cols>
  <sheetData>
    <row r="1" spans="1:26" ht="15.75" customHeight="1" x14ac:dyDescent="0.25">
      <c r="A1" s="30" t="s">
        <v>347</v>
      </c>
      <c r="B1" s="30" t="s">
        <v>348</v>
      </c>
      <c r="C1" s="30" t="s">
        <v>349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5.75" customHeight="1" x14ac:dyDescent="0.25">
      <c r="A2" s="30" t="s">
        <v>350</v>
      </c>
      <c r="B2" s="30" t="s">
        <v>351</v>
      </c>
      <c r="C2" s="56">
        <v>43466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5.75" customHeight="1" x14ac:dyDescent="0.25">
      <c r="A3" s="30" t="s">
        <v>352</v>
      </c>
      <c r="B3" s="30" t="s">
        <v>353</v>
      </c>
      <c r="C3" s="56">
        <v>43529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5.75" customHeight="1" x14ac:dyDescent="0.25">
      <c r="A4" s="30" t="s">
        <v>354</v>
      </c>
      <c r="B4" s="30" t="s">
        <v>355</v>
      </c>
      <c r="C4" s="56">
        <v>43532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5.75" customHeight="1" x14ac:dyDescent="0.25">
      <c r="A5" s="30" t="s">
        <v>356</v>
      </c>
      <c r="B5" s="30" t="s">
        <v>355</v>
      </c>
      <c r="C5" s="56">
        <v>43534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5.75" customHeight="1" x14ac:dyDescent="0.25">
      <c r="A6" s="30" t="s">
        <v>356</v>
      </c>
      <c r="B6" s="30" t="s">
        <v>357</v>
      </c>
      <c r="C6" s="56">
        <v>43539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5.75" customHeight="1" x14ac:dyDescent="0.25">
      <c r="A7" s="30" t="s">
        <v>358</v>
      </c>
      <c r="B7" s="30" t="s">
        <v>353</v>
      </c>
      <c r="C7" s="56">
        <v>43568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.75" customHeight="1" x14ac:dyDescent="0.25">
      <c r="A8" s="30" t="s">
        <v>352</v>
      </c>
      <c r="B8" s="30" t="s">
        <v>353</v>
      </c>
      <c r="C8" s="56">
        <v>43591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 x14ac:dyDescent="0.25">
      <c r="A9" s="30" t="s">
        <v>359</v>
      </c>
      <c r="B9" s="30" t="s">
        <v>353</v>
      </c>
      <c r="C9" s="56">
        <v>43599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5.75" customHeight="1" x14ac:dyDescent="0.25">
      <c r="A10" s="30" t="s">
        <v>359</v>
      </c>
      <c r="B10" s="30" t="s">
        <v>360</v>
      </c>
      <c r="C10" s="56">
        <v>43610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5.75" customHeight="1" x14ac:dyDescent="0.25">
      <c r="A11" s="30" t="s">
        <v>354</v>
      </c>
      <c r="B11" s="30" t="s">
        <v>357</v>
      </c>
      <c r="C11" s="56">
        <v>43645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.75" customHeight="1" x14ac:dyDescent="0.25">
      <c r="A12" s="30" t="s">
        <v>361</v>
      </c>
      <c r="B12" s="30" t="s">
        <v>351</v>
      </c>
      <c r="C12" s="56">
        <v>43737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.75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.75" customHeight="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5.75" customHeight="1" x14ac:dyDescent="0.25">
      <c r="A15" s="57" t="s">
        <v>362</v>
      </c>
      <c r="B15" s="57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.75" customHeight="1" x14ac:dyDescent="0.25">
      <c r="A16" s="30" t="e">
        <f t="array" aca="1" ref="A16:A18" ca="1">_xludf.UNIQUE(Unique!$A$2:$A$12,,TRUE)</f>
        <v>#NAME?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5.75" customHeight="1" x14ac:dyDescent="0.25">
      <c r="A17" s="30" t="e">
        <f ca="1"/>
        <v>#NAME?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5.75" customHeight="1" x14ac:dyDescent="0.25">
      <c r="A18" s="30" t="e">
        <f ca="1"/>
        <v>#NAME?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5.75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5.75" customHeight="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5.75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5.75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5.75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5.75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5.75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5.75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5.75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5.7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5.75" customHeight="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5.75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5.75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5.75" customHeight="1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5.75" customHeight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5.75" customHeight="1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5.75" customHeight="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.75" customHeight="1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5.75" customHeight="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.75" customHeight="1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5.75" customHeight="1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5.75" customHeight="1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5.75" customHeight="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5.75" customHeight="1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5.75" customHeight="1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.75" customHeight="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.75" customHeight="1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.75" customHeight="1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.75" customHeight="1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5.75" customHeight="1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5.75" customHeight="1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.75" customHeight="1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.75" customHeight="1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.75" customHeight="1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5.75" customHeigh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5.75" customHeigh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.75" customHeight="1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.75" customHeight="1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.75" customHeight="1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.75" customHeigh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.75" customHeight="1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.75" customHeight="1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.75" customHeight="1" x14ac:dyDescent="0.2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.75" customHeight="1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.75" customHeight="1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5.75" customHeight="1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5.75" customHeight="1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5.75" customHeight="1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5.75" customHeight="1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5.75" customHeight="1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5.75" customHeight="1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5.75" customHeight="1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5.75" customHeight="1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5.75" customHeight="1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5.75" customHeight="1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5.75" customHeight="1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5.75" customHeight="1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5.75" customHeight="1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5.75" customHeight="1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5.75" customHeight="1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5.75" customHeight="1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.75" customHeight="1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5.75" customHeight="1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5.75" customHeight="1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5.75" customHeight="1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5.75" customHeight="1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5.75" customHeight="1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.75" customHeight="1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.75" customHeight="1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.75" customHeight="1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.75" customHeight="1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.75" customHeight="1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.75" customHeight="1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.75" customHeight="1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.75" customHeight="1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.75" customHeight="1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.75" customHeight="1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.75" customHeight="1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customHeight="1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75" customHeight="1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.75" customHeight="1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.75" customHeight="1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.75" customHeight="1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.75" customHeight="1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.75" customHeight="1" x14ac:dyDescent="0.2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.75" customHeight="1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.75" customHeight="1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.75" customHeight="1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5.75" customHeight="1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.75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5.75" customHeight="1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.75" customHeight="1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.75" customHeight="1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.75" customHeight="1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.75" customHeight="1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.75" customHeight="1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.75" customHeight="1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.75" customHeight="1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.75" customHeight="1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.75" customHeight="1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.75" customHeight="1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.75" customHeight="1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.75" customHeight="1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.75" customHeight="1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.75" customHeight="1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.75" customHeight="1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.75" customHeight="1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.75" customHeight="1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.75" customHeight="1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.75" customHeight="1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.75" customHeight="1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.75" customHeight="1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.75" customHeight="1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.75" customHeight="1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.75" customHeight="1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.75" customHeight="1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.75" customHeight="1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.75" customHeight="1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.75" customHeight="1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.75" customHeight="1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.75" customHeigh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.75" customHeight="1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.75" customHeight="1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.75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.75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.75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.75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.75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.75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.75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.75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.75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.75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.75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.75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.75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.75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.75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.75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.75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.75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.75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.75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.75" customHeight="1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.75" customHeight="1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.75" customHeight="1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customHeight="1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.75" customHeight="1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.75" customHeight="1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.75" customHeight="1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.75" customHeight="1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.75" customHeight="1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.75" customHeight="1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.75" customHeight="1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.75" customHeight="1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.75" customHeight="1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.75" customHeight="1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.75" customHeight="1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.75" customHeight="1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.75" customHeight="1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.75" customHeight="1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.75" customHeight="1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.75" customHeight="1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.75" customHeight="1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.75" customHeight="1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.75" customHeight="1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.75" customHeight="1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.75" customHeight="1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.75" customHeight="1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.75" customHeight="1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.75" customHeight="1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.75" customHeight="1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.75" customHeight="1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customHeight="1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.75" customHeight="1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.75" customHeight="1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.75" customHeight="1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.75" customHeight="1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.75" customHeight="1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.75" customHeight="1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.75" customHeight="1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.75" customHeight="1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.75" customHeight="1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.75" customHeight="1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.75" customHeight="1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.75" customHeight="1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.75" customHeight="1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.75" customHeight="1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.75" customHeight="1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.75" customHeight="1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.75" customHeight="1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.75" customHeight="1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customHeight="1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customHeight="1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customHeight="1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customHeight="1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customHeight="1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customHeight="1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customHeight="1" x14ac:dyDescent="0.2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customHeight="1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customHeight="1" x14ac:dyDescent="0.2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customHeight="1" x14ac:dyDescent="0.2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customHeight="1" x14ac:dyDescent="0.2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customHeight="1" x14ac:dyDescent="0.2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customHeight="1" x14ac:dyDescent="0.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customHeight="1" x14ac:dyDescent="0.2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customHeight="1" x14ac:dyDescent="0.2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customHeight="1" x14ac:dyDescent="0.2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customHeight="1" x14ac:dyDescent="0.2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customHeight="1" x14ac:dyDescent="0.2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customHeight="1" x14ac:dyDescent="0.2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customHeight="1" x14ac:dyDescent="0.2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customHeight="1" x14ac:dyDescent="0.2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customHeight="1" x14ac:dyDescent="0.2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customHeight="1" x14ac:dyDescent="0.2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customHeight="1" x14ac:dyDescent="0.2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customHeight="1" x14ac:dyDescent="0.2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customHeight="1" x14ac:dyDescent="0.2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customHeight="1" x14ac:dyDescent="0.2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customHeight="1" x14ac:dyDescent="0.2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customHeight="1" x14ac:dyDescent="0.2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customHeight="1" x14ac:dyDescent="0.2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customHeight="1" x14ac:dyDescent="0.2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customHeight="1" x14ac:dyDescent="0.2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customHeight="1" x14ac:dyDescent="0.2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customHeight="1" x14ac:dyDescent="0.2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customHeight="1" x14ac:dyDescent="0.2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customHeight="1" x14ac:dyDescent="0.2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customHeight="1" x14ac:dyDescent="0.2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customHeight="1" x14ac:dyDescent="0.2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customHeight="1" x14ac:dyDescent="0.2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customHeight="1" x14ac:dyDescent="0.2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customHeight="1" x14ac:dyDescent="0.2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customHeight="1" x14ac:dyDescent="0.2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customHeight="1" x14ac:dyDescent="0.2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customHeight="1" x14ac:dyDescent="0.2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customHeight="1" x14ac:dyDescent="0.2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customHeight="1" x14ac:dyDescent="0.2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customHeight="1" x14ac:dyDescent="0.2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customHeight="1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customHeight="1" x14ac:dyDescent="0.2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customHeight="1" x14ac:dyDescent="0.2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customHeight="1" x14ac:dyDescent="0.2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customHeight="1" x14ac:dyDescent="0.2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customHeight="1" x14ac:dyDescent="0.2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customHeight="1" x14ac:dyDescent="0.2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customHeight="1" x14ac:dyDescent="0.2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customHeight="1" x14ac:dyDescent="0.2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customHeight="1" x14ac:dyDescent="0.2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customHeight="1" x14ac:dyDescent="0.2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customHeight="1" x14ac:dyDescent="0.2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customHeight="1" x14ac:dyDescent="0.2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customHeight="1" x14ac:dyDescent="0.2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customHeight="1" x14ac:dyDescent="0.2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customHeight="1" x14ac:dyDescent="0.2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customHeight="1" x14ac:dyDescent="0.2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customHeight="1" x14ac:dyDescent="0.2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customHeight="1" x14ac:dyDescent="0.2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customHeight="1" x14ac:dyDescent="0.2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customHeight="1" x14ac:dyDescent="0.2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customHeight="1" x14ac:dyDescent="0.2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customHeight="1" x14ac:dyDescent="0.2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customHeight="1" x14ac:dyDescent="0.2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customHeight="1" x14ac:dyDescent="0.2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customHeight="1" x14ac:dyDescent="0.2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customHeight="1" x14ac:dyDescent="0.2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customHeight="1" x14ac:dyDescent="0.2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customHeight="1" x14ac:dyDescent="0.2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customHeight="1" x14ac:dyDescent="0.2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customHeight="1" x14ac:dyDescent="0.2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customHeight="1" x14ac:dyDescent="0.2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customHeight="1" x14ac:dyDescent="0.2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customHeight="1" x14ac:dyDescent="0.2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customHeight="1" x14ac:dyDescent="0.2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customHeight="1" x14ac:dyDescent="0.2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customHeight="1" x14ac:dyDescent="0.2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customHeight="1" x14ac:dyDescent="0.2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customHeight="1" x14ac:dyDescent="0.2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customHeight="1" x14ac:dyDescent="0.2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customHeight="1" x14ac:dyDescent="0.2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customHeight="1" x14ac:dyDescent="0.2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customHeight="1" x14ac:dyDescent="0.2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customHeight="1" x14ac:dyDescent="0.2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customHeight="1" x14ac:dyDescent="0.2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customHeight="1" x14ac:dyDescent="0.2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customHeight="1" x14ac:dyDescent="0.2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customHeight="1" x14ac:dyDescent="0.2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customHeight="1" x14ac:dyDescent="0.2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customHeight="1" x14ac:dyDescent="0.2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customHeight="1" x14ac:dyDescent="0.2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customHeight="1" x14ac:dyDescent="0.2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customHeight="1" x14ac:dyDescent="0.2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customHeight="1" x14ac:dyDescent="0.2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customHeight="1" x14ac:dyDescent="0.2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customHeight="1" x14ac:dyDescent="0.2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customHeight="1" x14ac:dyDescent="0.2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customHeight="1" x14ac:dyDescent="0.2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customHeight="1" x14ac:dyDescent="0.2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customHeight="1" x14ac:dyDescent="0.2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customHeight="1" x14ac:dyDescent="0.2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customHeight="1" x14ac:dyDescent="0.2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customHeight="1" x14ac:dyDescent="0.2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customHeight="1" x14ac:dyDescent="0.2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customHeight="1" x14ac:dyDescent="0.2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customHeight="1" x14ac:dyDescent="0.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customHeight="1" x14ac:dyDescent="0.2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customHeight="1" x14ac:dyDescent="0.2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customHeight="1" x14ac:dyDescent="0.2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customHeight="1" x14ac:dyDescent="0.2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customHeight="1" x14ac:dyDescent="0.2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customHeight="1" x14ac:dyDescent="0.2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customHeight="1" x14ac:dyDescent="0.2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customHeight="1" x14ac:dyDescent="0.2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customHeight="1" x14ac:dyDescent="0.2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customHeight="1" x14ac:dyDescent="0.2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customHeight="1" x14ac:dyDescent="0.2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customHeight="1" x14ac:dyDescent="0.2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customHeight="1" x14ac:dyDescent="0.2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customHeight="1" x14ac:dyDescent="0.2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customHeight="1" x14ac:dyDescent="0.2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customHeight="1" x14ac:dyDescent="0.2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 x14ac:dyDescent="0.2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 x14ac:dyDescent="0.2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 x14ac:dyDescent="0.2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 x14ac:dyDescent="0.2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 x14ac:dyDescent="0.2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 x14ac:dyDescent="0.2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 x14ac:dyDescent="0.2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 x14ac:dyDescent="0.2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 x14ac:dyDescent="0.2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 x14ac:dyDescent="0.2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 x14ac:dyDescent="0.2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 x14ac:dyDescent="0.2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 x14ac:dyDescent="0.2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 x14ac:dyDescent="0.2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 x14ac:dyDescent="0.2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 x14ac:dyDescent="0.2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 x14ac:dyDescent="0.2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 x14ac:dyDescent="0.2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 x14ac:dyDescent="0.2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 x14ac:dyDescent="0.2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 x14ac:dyDescent="0.2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 x14ac:dyDescent="0.2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 x14ac:dyDescent="0.2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 x14ac:dyDescent="0.2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 x14ac:dyDescent="0.2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 x14ac:dyDescent="0.2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 x14ac:dyDescent="0.2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 x14ac:dyDescent="0.2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 x14ac:dyDescent="0.2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 x14ac:dyDescent="0.2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 x14ac:dyDescent="0.2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 x14ac:dyDescent="0.2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 x14ac:dyDescent="0.2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 x14ac:dyDescent="0.2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 x14ac:dyDescent="0.2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 x14ac:dyDescent="0.2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 x14ac:dyDescent="0.2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 x14ac:dyDescent="0.2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 x14ac:dyDescent="0.2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 x14ac:dyDescent="0.2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 x14ac:dyDescent="0.2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 x14ac:dyDescent="0.2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 x14ac:dyDescent="0.2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 x14ac:dyDescent="0.2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 x14ac:dyDescent="0.2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 x14ac:dyDescent="0.2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 x14ac:dyDescent="0.2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 x14ac:dyDescent="0.2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 x14ac:dyDescent="0.2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 x14ac:dyDescent="0.2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 x14ac:dyDescent="0.2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 x14ac:dyDescent="0.2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 x14ac:dyDescent="0.2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 x14ac:dyDescent="0.2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 x14ac:dyDescent="0.2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 x14ac:dyDescent="0.2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 x14ac:dyDescent="0.2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 x14ac:dyDescent="0.2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 x14ac:dyDescent="0.2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 x14ac:dyDescent="0.2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 x14ac:dyDescent="0.2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 x14ac:dyDescent="0.2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 x14ac:dyDescent="0.2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 x14ac:dyDescent="0.2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 x14ac:dyDescent="0.2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 x14ac:dyDescent="0.2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 x14ac:dyDescent="0.2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 x14ac:dyDescent="0.2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 x14ac:dyDescent="0.2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 x14ac:dyDescent="0.2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 x14ac:dyDescent="0.2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 x14ac:dyDescent="0.2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 x14ac:dyDescent="0.2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 x14ac:dyDescent="0.2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 x14ac:dyDescent="0.2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 x14ac:dyDescent="0.2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 x14ac:dyDescent="0.2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 x14ac:dyDescent="0.2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 x14ac:dyDescent="0.2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 x14ac:dyDescent="0.2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 x14ac:dyDescent="0.2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 x14ac:dyDescent="0.2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 x14ac:dyDescent="0.2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 x14ac:dyDescent="0.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 x14ac:dyDescent="0.2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 x14ac:dyDescent="0.2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 x14ac:dyDescent="0.2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 x14ac:dyDescent="0.2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 x14ac:dyDescent="0.2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 x14ac:dyDescent="0.2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 x14ac:dyDescent="0.2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 x14ac:dyDescent="0.2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 x14ac:dyDescent="0.2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 x14ac:dyDescent="0.2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 x14ac:dyDescent="0.2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 x14ac:dyDescent="0.2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 x14ac:dyDescent="0.2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 x14ac:dyDescent="0.2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 x14ac:dyDescent="0.2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 x14ac:dyDescent="0.2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 x14ac:dyDescent="0.2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 x14ac:dyDescent="0.2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 x14ac:dyDescent="0.2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 x14ac:dyDescent="0.2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 x14ac:dyDescent="0.2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 x14ac:dyDescent="0.2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 x14ac:dyDescent="0.2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 x14ac:dyDescent="0.2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 x14ac:dyDescent="0.2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 x14ac:dyDescent="0.2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 x14ac:dyDescent="0.2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 x14ac:dyDescent="0.2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 x14ac:dyDescent="0.2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 x14ac:dyDescent="0.2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 x14ac:dyDescent="0.2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 x14ac:dyDescent="0.2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 x14ac:dyDescent="0.2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 x14ac:dyDescent="0.2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 x14ac:dyDescent="0.2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 x14ac:dyDescent="0.2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 x14ac:dyDescent="0.2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 x14ac:dyDescent="0.2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 x14ac:dyDescent="0.2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 x14ac:dyDescent="0.2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 x14ac:dyDescent="0.2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 x14ac:dyDescent="0.2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 x14ac:dyDescent="0.2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 x14ac:dyDescent="0.2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 x14ac:dyDescent="0.2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 x14ac:dyDescent="0.2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 x14ac:dyDescent="0.2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 x14ac:dyDescent="0.2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 x14ac:dyDescent="0.2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 x14ac:dyDescent="0.2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 x14ac:dyDescent="0.2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 x14ac:dyDescent="0.2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 x14ac:dyDescent="0.2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 x14ac:dyDescent="0.2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 x14ac:dyDescent="0.2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 x14ac:dyDescent="0.2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 x14ac:dyDescent="0.2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 x14ac:dyDescent="0.2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 x14ac:dyDescent="0.2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 x14ac:dyDescent="0.2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 x14ac:dyDescent="0.2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 x14ac:dyDescent="0.2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 x14ac:dyDescent="0.2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 x14ac:dyDescent="0.2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 x14ac:dyDescent="0.2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 x14ac:dyDescent="0.2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 x14ac:dyDescent="0.2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 x14ac:dyDescent="0.2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 x14ac:dyDescent="0.2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 x14ac:dyDescent="0.2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 x14ac:dyDescent="0.2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 x14ac:dyDescent="0.2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 x14ac:dyDescent="0.2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 x14ac:dyDescent="0.2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 x14ac:dyDescent="0.2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 x14ac:dyDescent="0.2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 x14ac:dyDescent="0.2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 x14ac:dyDescent="0.2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 x14ac:dyDescent="0.2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 x14ac:dyDescent="0.2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 x14ac:dyDescent="0.2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 x14ac:dyDescent="0.2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 x14ac:dyDescent="0.2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 x14ac:dyDescent="0.2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 x14ac:dyDescent="0.2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 x14ac:dyDescent="0.2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 x14ac:dyDescent="0.2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 x14ac:dyDescent="0.2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 x14ac:dyDescent="0.2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 x14ac:dyDescent="0.2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 x14ac:dyDescent="0.2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 x14ac:dyDescent="0.2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 x14ac:dyDescent="0.2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 x14ac:dyDescent="0.2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 x14ac:dyDescent="0.2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 x14ac:dyDescent="0.2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 x14ac:dyDescent="0.2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 x14ac:dyDescent="0.2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 x14ac:dyDescent="0.2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 x14ac:dyDescent="0.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 x14ac:dyDescent="0.2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 x14ac:dyDescent="0.2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 x14ac:dyDescent="0.2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 x14ac:dyDescent="0.2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 x14ac:dyDescent="0.2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 x14ac:dyDescent="0.2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 x14ac:dyDescent="0.2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 x14ac:dyDescent="0.2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 x14ac:dyDescent="0.2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 x14ac:dyDescent="0.2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 x14ac:dyDescent="0.2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 x14ac:dyDescent="0.2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 x14ac:dyDescent="0.2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 x14ac:dyDescent="0.2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 x14ac:dyDescent="0.2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 x14ac:dyDescent="0.2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 x14ac:dyDescent="0.2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 x14ac:dyDescent="0.2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 x14ac:dyDescent="0.2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 x14ac:dyDescent="0.2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 x14ac:dyDescent="0.2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 x14ac:dyDescent="0.2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 x14ac:dyDescent="0.2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 x14ac:dyDescent="0.2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 x14ac:dyDescent="0.2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 x14ac:dyDescent="0.2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 x14ac:dyDescent="0.2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 x14ac:dyDescent="0.2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 x14ac:dyDescent="0.2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 x14ac:dyDescent="0.2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 x14ac:dyDescent="0.2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 x14ac:dyDescent="0.2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 x14ac:dyDescent="0.2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 x14ac:dyDescent="0.2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 x14ac:dyDescent="0.2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 x14ac:dyDescent="0.2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 x14ac:dyDescent="0.2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 x14ac:dyDescent="0.2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 x14ac:dyDescent="0.2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 x14ac:dyDescent="0.2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 x14ac:dyDescent="0.2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 x14ac:dyDescent="0.2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 x14ac:dyDescent="0.2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 x14ac:dyDescent="0.2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 x14ac:dyDescent="0.2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 x14ac:dyDescent="0.2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 x14ac:dyDescent="0.2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 x14ac:dyDescent="0.2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 x14ac:dyDescent="0.2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 x14ac:dyDescent="0.2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 x14ac:dyDescent="0.2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 x14ac:dyDescent="0.2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 x14ac:dyDescent="0.2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 x14ac:dyDescent="0.2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 x14ac:dyDescent="0.2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 x14ac:dyDescent="0.2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 x14ac:dyDescent="0.2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 x14ac:dyDescent="0.2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 x14ac:dyDescent="0.2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 x14ac:dyDescent="0.2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 x14ac:dyDescent="0.2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 x14ac:dyDescent="0.2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 x14ac:dyDescent="0.2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 x14ac:dyDescent="0.2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 x14ac:dyDescent="0.2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 x14ac:dyDescent="0.2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 x14ac:dyDescent="0.2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 x14ac:dyDescent="0.2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 x14ac:dyDescent="0.2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 x14ac:dyDescent="0.2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 x14ac:dyDescent="0.2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 x14ac:dyDescent="0.2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 x14ac:dyDescent="0.2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 x14ac:dyDescent="0.2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 x14ac:dyDescent="0.2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 x14ac:dyDescent="0.2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 x14ac:dyDescent="0.2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 x14ac:dyDescent="0.2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 x14ac:dyDescent="0.2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 x14ac:dyDescent="0.2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 x14ac:dyDescent="0.2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 x14ac:dyDescent="0.2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 x14ac:dyDescent="0.2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 x14ac:dyDescent="0.2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 x14ac:dyDescent="0.2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 x14ac:dyDescent="0.2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 x14ac:dyDescent="0.2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 x14ac:dyDescent="0.2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 x14ac:dyDescent="0.2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 x14ac:dyDescent="0.2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 x14ac:dyDescent="0.2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 x14ac:dyDescent="0.2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 x14ac:dyDescent="0.2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 x14ac:dyDescent="0.2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 x14ac:dyDescent="0.2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 x14ac:dyDescent="0.2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 x14ac:dyDescent="0.2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 x14ac:dyDescent="0.2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 x14ac:dyDescent="0.2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 x14ac:dyDescent="0.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 x14ac:dyDescent="0.2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 x14ac:dyDescent="0.2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 x14ac:dyDescent="0.2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 x14ac:dyDescent="0.2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 x14ac:dyDescent="0.2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 x14ac:dyDescent="0.2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 x14ac:dyDescent="0.2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 x14ac:dyDescent="0.2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 x14ac:dyDescent="0.2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 x14ac:dyDescent="0.2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 x14ac:dyDescent="0.2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 x14ac:dyDescent="0.2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 x14ac:dyDescent="0.2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 x14ac:dyDescent="0.2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 x14ac:dyDescent="0.2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 x14ac:dyDescent="0.2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 x14ac:dyDescent="0.2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 x14ac:dyDescent="0.2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 x14ac:dyDescent="0.2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 x14ac:dyDescent="0.2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 x14ac:dyDescent="0.2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 x14ac:dyDescent="0.2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 x14ac:dyDescent="0.2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 x14ac:dyDescent="0.2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 x14ac:dyDescent="0.2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 x14ac:dyDescent="0.2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 x14ac:dyDescent="0.2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 x14ac:dyDescent="0.2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 x14ac:dyDescent="0.2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 x14ac:dyDescent="0.2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 x14ac:dyDescent="0.2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 x14ac:dyDescent="0.2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 x14ac:dyDescent="0.2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 x14ac:dyDescent="0.2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 x14ac:dyDescent="0.2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 x14ac:dyDescent="0.2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 x14ac:dyDescent="0.2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 x14ac:dyDescent="0.2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 x14ac:dyDescent="0.2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 x14ac:dyDescent="0.2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 x14ac:dyDescent="0.2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 x14ac:dyDescent="0.2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 x14ac:dyDescent="0.2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 x14ac:dyDescent="0.2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 x14ac:dyDescent="0.2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 x14ac:dyDescent="0.2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 x14ac:dyDescent="0.2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 x14ac:dyDescent="0.2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 x14ac:dyDescent="0.2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 x14ac:dyDescent="0.2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 x14ac:dyDescent="0.2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 x14ac:dyDescent="0.2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 x14ac:dyDescent="0.2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 x14ac:dyDescent="0.2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 x14ac:dyDescent="0.2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 x14ac:dyDescent="0.2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 x14ac:dyDescent="0.2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 x14ac:dyDescent="0.2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 x14ac:dyDescent="0.2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 x14ac:dyDescent="0.2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 x14ac:dyDescent="0.2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 x14ac:dyDescent="0.2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 x14ac:dyDescent="0.2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 x14ac:dyDescent="0.2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 x14ac:dyDescent="0.2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 x14ac:dyDescent="0.2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 x14ac:dyDescent="0.2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 x14ac:dyDescent="0.2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 x14ac:dyDescent="0.2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 x14ac:dyDescent="0.2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 x14ac:dyDescent="0.2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 x14ac:dyDescent="0.2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 x14ac:dyDescent="0.2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 x14ac:dyDescent="0.2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 x14ac:dyDescent="0.2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 x14ac:dyDescent="0.2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 x14ac:dyDescent="0.2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 x14ac:dyDescent="0.2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 x14ac:dyDescent="0.2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 x14ac:dyDescent="0.2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 x14ac:dyDescent="0.2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 x14ac:dyDescent="0.2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 x14ac:dyDescent="0.2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 x14ac:dyDescent="0.2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 x14ac:dyDescent="0.2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 x14ac:dyDescent="0.2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 x14ac:dyDescent="0.2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 x14ac:dyDescent="0.2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 x14ac:dyDescent="0.2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 x14ac:dyDescent="0.2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 x14ac:dyDescent="0.2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 x14ac:dyDescent="0.2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 x14ac:dyDescent="0.2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 x14ac:dyDescent="0.2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 x14ac:dyDescent="0.2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 x14ac:dyDescent="0.2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 x14ac:dyDescent="0.2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 x14ac:dyDescent="0.2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 x14ac:dyDescent="0.2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 x14ac:dyDescent="0.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 x14ac:dyDescent="0.2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 x14ac:dyDescent="0.2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 x14ac:dyDescent="0.2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 x14ac:dyDescent="0.2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 x14ac:dyDescent="0.2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 x14ac:dyDescent="0.2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 x14ac:dyDescent="0.2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 x14ac:dyDescent="0.2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 x14ac:dyDescent="0.2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 x14ac:dyDescent="0.2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 x14ac:dyDescent="0.2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 x14ac:dyDescent="0.2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 x14ac:dyDescent="0.2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 x14ac:dyDescent="0.2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 x14ac:dyDescent="0.2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 x14ac:dyDescent="0.2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 x14ac:dyDescent="0.2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 x14ac:dyDescent="0.2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 x14ac:dyDescent="0.2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 x14ac:dyDescent="0.2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 x14ac:dyDescent="0.2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 x14ac:dyDescent="0.2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 x14ac:dyDescent="0.2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 x14ac:dyDescent="0.2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 x14ac:dyDescent="0.2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 x14ac:dyDescent="0.2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 x14ac:dyDescent="0.2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 x14ac:dyDescent="0.2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 x14ac:dyDescent="0.2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 x14ac:dyDescent="0.2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 x14ac:dyDescent="0.2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 x14ac:dyDescent="0.2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 x14ac:dyDescent="0.2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 x14ac:dyDescent="0.2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 x14ac:dyDescent="0.2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 x14ac:dyDescent="0.2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 x14ac:dyDescent="0.2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 x14ac:dyDescent="0.2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 x14ac:dyDescent="0.2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 x14ac:dyDescent="0.2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 x14ac:dyDescent="0.2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 x14ac:dyDescent="0.2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 x14ac:dyDescent="0.2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 x14ac:dyDescent="0.2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 x14ac:dyDescent="0.2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 x14ac:dyDescent="0.2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 x14ac:dyDescent="0.2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 x14ac:dyDescent="0.2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 x14ac:dyDescent="0.2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 x14ac:dyDescent="0.2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 x14ac:dyDescent="0.2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 x14ac:dyDescent="0.2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 x14ac:dyDescent="0.2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 x14ac:dyDescent="0.2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 x14ac:dyDescent="0.2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 x14ac:dyDescent="0.2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 x14ac:dyDescent="0.2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 x14ac:dyDescent="0.2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 x14ac:dyDescent="0.2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 x14ac:dyDescent="0.2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 x14ac:dyDescent="0.2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 x14ac:dyDescent="0.2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 x14ac:dyDescent="0.2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 x14ac:dyDescent="0.2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 x14ac:dyDescent="0.2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 x14ac:dyDescent="0.2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 x14ac:dyDescent="0.2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 x14ac:dyDescent="0.2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 x14ac:dyDescent="0.2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 x14ac:dyDescent="0.2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 x14ac:dyDescent="0.2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 x14ac:dyDescent="0.2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 x14ac:dyDescent="0.2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 x14ac:dyDescent="0.2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 x14ac:dyDescent="0.2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 x14ac:dyDescent="0.2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 x14ac:dyDescent="0.2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 x14ac:dyDescent="0.2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 x14ac:dyDescent="0.2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 x14ac:dyDescent="0.2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 x14ac:dyDescent="0.2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 x14ac:dyDescent="0.2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 x14ac:dyDescent="0.2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 x14ac:dyDescent="0.2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 x14ac:dyDescent="0.2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 x14ac:dyDescent="0.2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 x14ac:dyDescent="0.2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 x14ac:dyDescent="0.2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 x14ac:dyDescent="0.2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 x14ac:dyDescent="0.2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 x14ac:dyDescent="0.2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 x14ac:dyDescent="0.2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 x14ac:dyDescent="0.2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 x14ac:dyDescent="0.2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 x14ac:dyDescent="0.2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 x14ac:dyDescent="0.2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 x14ac:dyDescent="0.2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 x14ac:dyDescent="0.2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 x14ac:dyDescent="0.2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 x14ac:dyDescent="0.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 x14ac:dyDescent="0.2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 x14ac:dyDescent="0.2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 x14ac:dyDescent="0.2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 x14ac:dyDescent="0.2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 x14ac:dyDescent="0.2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 x14ac:dyDescent="0.2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 x14ac:dyDescent="0.2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 x14ac:dyDescent="0.2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 x14ac:dyDescent="0.2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 x14ac:dyDescent="0.2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 x14ac:dyDescent="0.2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 x14ac:dyDescent="0.2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 x14ac:dyDescent="0.2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 x14ac:dyDescent="0.2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 x14ac:dyDescent="0.2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 x14ac:dyDescent="0.2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 x14ac:dyDescent="0.2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 x14ac:dyDescent="0.2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 x14ac:dyDescent="0.2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 x14ac:dyDescent="0.2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 x14ac:dyDescent="0.2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 x14ac:dyDescent="0.2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 x14ac:dyDescent="0.2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 x14ac:dyDescent="0.2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 x14ac:dyDescent="0.2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 x14ac:dyDescent="0.2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 x14ac:dyDescent="0.2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 x14ac:dyDescent="0.2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 x14ac:dyDescent="0.2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 x14ac:dyDescent="0.2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 x14ac:dyDescent="0.2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 x14ac:dyDescent="0.2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 x14ac:dyDescent="0.2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 x14ac:dyDescent="0.2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 x14ac:dyDescent="0.2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 x14ac:dyDescent="0.2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 x14ac:dyDescent="0.2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 x14ac:dyDescent="0.2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 x14ac:dyDescent="0.2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 x14ac:dyDescent="0.2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 x14ac:dyDescent="0.2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 x14ac:dyDescent="0.2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 x14ac:dyDescent="0.2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 x14ac:dyDescent="0.2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 x14ac:dyDescent="0.2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 x14ac:dyDescent="0.2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 x14ac:dyDescent="0.2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 x14ac:dyDescent="0.2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 x14ac:dyDescent="0.2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 x14ac:dyDescent="0.2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 x14ac:dyDescent="0.2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 x14ac:dyDescent="0.2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 x14ac:dyDescent="0.2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 x14ac:dyDescent="0.2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 x14ac:dyDescent="0.2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 x14ac:dyDescent="0.2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 x14ac:dyDescent="0.2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 x14ac:dyDescent="0.2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 x14ac:dyDescent="0.2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 x14ac:dyDescent="0.2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 x14ac:dyDescent="0.2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 x14ac:dyDescent="0.2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 x14ac:dyDescent="0.2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 x14ac:dyDescent="0.2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 x14ac:dyDescent="0.2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 x14ac:dyDescent="0.2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 x14ac:dyDescent="0.2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 x14ac:dyDescent="0.2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 x14ac:dyDescent="0.2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 x14ac:dyDescent="0.2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 x14ac:dyDescent="0.2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 x14ac:dyDescent="0.2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 x14ac:dyDescent="0.2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 x14ac:dyDescent="0.2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 x14ac:dyDescent="0.2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 x14ac:dyDescent="0.2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 x14ac:dyDescent="0.2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 x14ac:dyDescent="0.2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 x14ac:dyDescent="0.2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 x14ac:dyDescent="0.2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 x14ac:dyDescent="0.2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 x14ac:dyDescent="0.2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 x14ac:dyDescent="0.2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 x14ac:dyDescent="0.2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 x14ac:dyDescent="0.2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 x14ac:dyDescent="0.2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 x14ac:dyDescent="0.2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 x14ac:dyDescent="0.2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 x14ac:dyDescent="0.2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 x14ac:dyDescent="0.2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 x14ac:dyDescent="0.2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 x14ac:dyDescent="0.2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 x14ac:dyDescent="0.2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 x14ac:dyDescent="0.2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 x14ac:dyDescent="0.2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 x14ac:dyDescent="0.2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 x14ac:dyDescent="0.2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 x14ac:dyDescent="0.2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 x14ac:dyDescent="0.2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 x14ac:dyDescent="0.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 x14ac:dyDescent="0.2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 x14ac:dyDescent="0.2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 x14ac:dyDescent="0.2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 x14ac:dyDescent="0.2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 x14ac:dyDescent="0.2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 x14ac:dyDescent="0.2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 x14ac:dyDescent="0.2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 x14ac:dyDescent="0.2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 x14ac:dyDescent="0.2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 x14ac:dyDescent="0.2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 x14ac:dyDescent="0.2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 x14ac:dyDescent="0.2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 x14ac:dyDescent="0.2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 x14ac:dyDescent="0.2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 x14ac:dyDescent="0.2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 x14ac:dyDescent="0.2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 x14ac:dyDescent="0.2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 x14ac:dyDescent="0.2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 x14ac:dyDescent="0.2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 x14ac:dyDescent="0.2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 x14ac:dyDescent="0.2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 x14ac:dyDescent="0.2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 x14ac:dyDescent="0.2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 x14ac:dyDescent="0.2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 x14ac:dyDescent="0.2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 x14ac:dyDescent="0.2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 x14ac:dyDescent="0.2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 x14ac:dyDescent="0.2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 x14ac:dyDescent="0.2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 x14ac:dyDescent="0.2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 x14ac:dyDescent="0.2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 x14ac:dyDescent="0.2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 x14ac:dyDescent="0.2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 x14ac:dyDescent="0.2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 x14ac:dyDescent="0.2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 x14ac:dyDescent="0.2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 x14ac:dyDescent="0.2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 x14ac:dyDescent="0.2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 x14ac:dyDescent="0.2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 x14ac:dyDescent="0.2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 x14ac:dyDescent="0.2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 x14ac:dyDescent="0.2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 x14ac:dyDescent="0.2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 x14ac:dyDescent="0.2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 x14ac:dyDescent="0.2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 x14ac:dyDescent="0.2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 x14ac:dyDescent="0.2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 x14ac:dyDescent="0.2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 x14ac:dyDescent="0.2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 x14ac:dyDescent="0.2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 x14ac:dyDescent="0.2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 x14ac:dyDescent="0.2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customHeight="1" x14ac:dyDescent="0.2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customHeight="1" x14ac:dyDescent="0.2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customHeight="1" x14ac:dyDescent="0.2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customHeight="1" x14ac:dyDescent="0.2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customHeight="1" x14ac:dyDescent="0.2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customHeight="1" x14ac:dyDescent="0.2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customHeight="1" x14ac:dyDescent="0.2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customHeight="1" x14ac:dyDescent="0.2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customHeight="1" x14ac:dyDescent="0.2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customHeight="1" x14ac:dyDescent="0.2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customHeight="1" x14ac:dyDescent="0.2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customHeight="1" x14ac:dyDescent="0.2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customHeight="1" x14ac:dyDescent="0.2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customHeight="1" x14ac:dyDescent="0.2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customHeight="1" x14ac:dyDescent="0.2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customHeight="1" x14ac:dyDescent="0.2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customHeight="1" x14ac:dyDescent="0.2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customHeight="1" x14ac:dyDescent="0.2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customHeight="1" x14ac:dyDescent="0.2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customHeight="1" x14ac:dyDescent="0.2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customHeight="1" x14ac:dyDescent="0.2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customHeight="1" x14ac:dyDescent="0.2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customHeight="1" x14ac:dyDescent="0.2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0.09765625" defaultRowHeight="15" customHeight="1" x14ac:dyDescent="0.25"/>
  <cols>
    <col min="1" max="26" width="8.796875" customWidth="1"/>
  </cols>
  <sheetData>
    <row r="1" spans="1:26" ht="15.75" customHeight="1" x14ac:dyDescent="0.25">
      <c r="A1" s="58" t="s">
        <v>363</v>
      </c>
      <c r="B1" s="58" t="s">
        <v>364</v>
      </c>
      <c r="C1" s="58" t="s">
        <v>365</v>
      </c>
      <c r="D1" s="58" t="s">
        <v>366</v>
      </c>
      <c r="E1" s="30"/>
      <c r="F1" s="30"/>
      <c r="G1" s="58" t="s">
        <v>367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5.75" customHeight="1" x14ac:dyDescent="0.25">
      <c r="A2" s="30" t="s">
        <v>322</v>
      </c>
      <c r="B2" s="30" t="s">
        <v>109</v>
      </c>
      <c r="C2" s="30" t="s">
        <v>368</v>
      </c>
      <c r="D2" s="59">
        <v>6380</v>
      </c>
      <c r="E2" s="30"/>
      <c r="F2" s="30"/>
      <c r="G2" s="30" t="e">
        <f t="array" aca="1" ref="G2" ca="1">_xlws.SORT(A2:D7,4,1)</f>
        <v>#NAME?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5.75" customHeight="1" x14ac:dyDescent="0.25">
      <c r="A3" s="30" t="s">
        <v>343</v>
      </c>
      <c r="B3" s="30" t="s">
        <v>369</v>
      </c>
      <c r="C3" s="30" t="s">
        <v>370</v>
      </c>
      <c r="D3" s="59">
        <v>5619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5.75" customHeight="1" x14ac:dyDescent="0.25">
      <c r="A4" s="30" t="s">
        <v>342</v>
      </c>
      <c r="B4" s="30" t="s">
        <v>371</v>
      </c>
      <c r="C4" s="30" t="s">
        <v>372</v>
      </c>
      <c r="D4" s="59">
        <v>4565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5.75" customHeight="1" x14ac:dyDescent="0.25">
      <c r="A5" s="30" t="s">
        <v>345</v>
      </c>
      <c r="B5" s="30" t="s">
        <v>373</v>
      </c>
      <c r="C5" s="30" t="s">
        <v>374</v>
      </c>
      <c r="D5" s="59">
        <v>5323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5.75" customHeight="1" x14ac:dyDescent="0.25">
      <c r="A6" s="30" t="s">
        <v>322</v>
      </c>
      <c r="B6" s="30" t="s">
        <v>375</v>
      </c>
      <c r="C6" s="30" t="s">
        <v>368</v>
      </c>
      <c r="D6" s="59">
        <v>4394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5.75" customHeight="1" x14ac:dyDescent="0.25">
      <c r="A7" s="30" t="s">
        <v>343</v>
      </c>
      <c r="B7" s="30" t="s">
        <v>376</v>
      </c>
      <c r="C7" s="30" t="s">
        <v>370</v>
      </c>
      <c r="D7" s="59">
        <v>7195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.7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5.75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5.75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.75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.75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.75" customHeight="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5.75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.75" customHeigh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5.75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5.75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5.75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5.75" customHeight="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5.75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5.75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5.75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5.75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5.75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5.75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5.75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5.7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5.75" customHeight="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5.75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5.75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5.75" customHeight="1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5.75" customHeight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5.75" customHeight="1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5.75" customHeight="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.75" customHeight="1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5.75" customHeight="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.75" customHeight="1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5.75" customHeight="1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5.75" customHeight="1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5.75" customHeight="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5.75" customHeight="1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5.75" customHeight="1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.75" customHeight="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.75" customHeight="1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.75" customHeight="1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.75" customHeight="1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5.75" customHeight="1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5.75" customHeight="1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.75" customHeight="1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.75" customHeight="1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.75" customHeight="1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5.75" customHeigh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5.75" customHeigh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.75" customHeight="1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.75" customHeight="1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.75" customHeight="1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.75" customHeigh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.75" customHeight="1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.75" customHeight="1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.75" customHeight="1" x14ac:dyDescent="0.2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.75" customHeight="1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.75" customHeight="1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5.75" customHeight="1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5.75" customHeight="1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5.75" customHeight="1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5.75" customHeight="1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5.75" customHeight="1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5.75" customHeight="1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5.75" customHeight="1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5.75" customHeight="1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5.75" customHeight="1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5.75" customHeight="1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5.75" customHeight="1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5.75" customHeight="1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5.75" customHeight="1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5.75" customHeight="1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5.75" customHeight="1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5.75" customHeight="1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.75" customHeight="1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5.75" customHeight="1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5.75" customHeight="1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5.75" customHeight="1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5.75" customHeight="1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5.75" customHeight="1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.75" customHeight="1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.75" customHeight="1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.75" customHeight="1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.75" customHeight="1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.75" customHeight="1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.75" customHeight="1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.75" customHeight="1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.75" customHeight="1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.75" customHeight="1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.75" customHeight="1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.75" customHeight="1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customHeight="1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75" customHeight="1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.75" customHeight="1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.75" customHeight="1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.75" customHeight="1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.75" customHeight="1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.75" customHeight="1" x14ac:dyDescent="0.2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.75" customHeight="1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.75" customHeight="1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.75" customHeight="1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5.75" customHeight="1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.75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5.75" customHeight="1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.75" customHeight="1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.75" customHeight="1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.75" customHeight="1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.75" customHeight="1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.75" customHeight="1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.75" customHeight="1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.75" customHeight="1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.75" customHeight="1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.75" customHeight="1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.75" customHeight="1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.75" customHeight="1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.75" customHeight="1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.75" customHeight="1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.75" customHeight="1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.75" customHeight="1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.75" customHeight="1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.75" customHeight="1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.75" customHeight="1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.75" customHeight="1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.75" customHeight="1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.75" customHeight="1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.75" customHeight="1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.75" customHeight="1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.75" customHeight="1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.75" customHeight="1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.75" customHeight="1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.75" customHeight="1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.75" customHeight="1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.75" customHeight="1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.75" customHeigh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.75" customHeight="1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.75" customHeight="1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.75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.75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.75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.75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.75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.75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.75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.75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.75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.75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.75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.75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.75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.75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.75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.75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.75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.75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.75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.75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.75" customHeight="1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.75" customHeight="1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.75" customHeight="1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customHeight="1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.75" customHeight="1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.75" customHeight="1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.75" customHeight="1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.75" customHeight="1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.75" customHeight="1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.75" customHeight="1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.75" customHeight="1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.75" customHeight="1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.75" customHeight="1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.75" customHeight="1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.75" customHeight="1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.75" customHeight="1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.75" customHeight="1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.75" customHeight="1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.75" customHeight="1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.75" customHeight="1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.75" customHeight="1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.75" customHeight="1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.75" customHeight="1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.75" customHeight="1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.75" customHeight="1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.75" customHeight="1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.75" customHeight="1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.75" customHeight="1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.75" customHeight="1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.75" customHeight="1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customHeight="1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.75" customHeight="1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.75" customHeight="1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.75" customHeight="1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.75" customHeight="1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.75" customHeight="1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.75" customHeight="1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.75" customHeight="1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.75" customHeight="1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.75" customHeight="1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.75" customHeight="1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.75" customHeight="1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.75" customHeight="1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.75" customHeight="1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.75" customHeight="1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.75" customHeight="1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.75" customHeight="1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.75" customHeight="1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.75" customHeight="1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customHeight="1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customHeight="1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customHeight="1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customHeight="1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customHeight="1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customHeight="1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customHeight="1" x14ac:dyDescent="0.2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customHeight="1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customHeight="1" x14ac:dyDescent="0.2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customHeight="1" x14ac:dyDescent="0.2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customHeight="1" x14ac:dyDescent="0.2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customHeight="1" x14ac:dyDescent="0.2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customHeight="1" x14ac:dyDescent="0.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customHeight="1" x14ac:dyDescent="0.2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customHeight="1" x14ac:dyDescent="0.2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customHeight="1" x14ac:dyDescent="0.2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customHeight="1" x14ac:dyDescent="0.2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customHeight="1" x14ac:dyDescent="0.2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customHeight="1" x14ac:dyDescent="0.2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customHeight="1" x14ac:dyDescent="0.2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customHeight="1" x14ac:dyDescent="0.2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customHeight="1" x14ac:dyDescent="0.2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customHeight="1" x14ac:dyDescent="0.2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customHeight="1" x14ac:dyDescent="0.2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customHeight="1" x14ac:dyDescent="0.2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customHeight="1" x14ac:dyDescent="0.2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customHeight="1" x14ac:dyDescent="0.2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customHeight="1" x14ac:dyDescent="0.2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customHeight="1" x14ac:dyDescent="0.2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customHeight="1" x14ac:dyDescent="0.2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customHeight="1" x14ac:dyDescent="0.2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customHeight="1" x14ac:dyDescent="0.2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customHeight="1" x14ac:dyDescent="0.2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customHeight="1" x14ac:dyDescent="0.2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customHeight="1" x14ac:dyDescent="0.2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customHeight="1" x14ac:dyDescent="0.2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customHeight="1" x14ac:dyDescent="0.2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customHeight="1" x14ac:dyDescent="0.2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customHeight="1" x14ac:dyDescent="0.2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customHeight="1" x14ac:dyDescent="0.2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customHeight="1" x14ac:dyDescent="0.2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customHeight="1" x14ac:dyDescent="0.2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customHeight="1" x14ac:dyDescent="0.2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customHeight="1" x14ac:dyDescent="0.2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customHeight="1" x14ac:dyDescent="0.2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customHeight="1" x14ac:dyDescent="0.2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customHeight="1" x14ac:dyDescent="0.2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customHeight="1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customHeight="1" x14ac:dyDescent="0.2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customHeight="1" x14ac:dyDescent="0.2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customHeight="1" x14ac:dyDescent="0.2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customHeight="1" x14ac:dyDescent="0.2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customHeight="1" x14ac:dyDescent="0.2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customHeight="1" x14ac:dyDescent="0.2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customHeight="1" x14ac:dyDescent="0.2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customHeight="1" x14ac:dyDescent="0.2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customHeight="1" x14ac:dyDescent="0.2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customHeight="1" x14ac:dyDescent="0.2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customHeight="1" x14ac:dyDescent="0.2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customHeight="1" x14ac:dyDescent="0.2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customHeight="1" x14ac:dyDescent="0.2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customHeight="1" x14ac:dyDescent="0.2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customHeight="1" x14ac:dyDescent="0.2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customHeight="1" x14ac:dyDescent="0.2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customHeight="1" x14ac:dyDescent="0.2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customHeight="1" x14ac:dyDescent="0.2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customHeight="1" x14ac:dyDescent="0.2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customHeight="1" x14ac:dyDescent="0.2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customHeight="1" x14ac:dyDescent="0.2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customHeight="1" x14ac:dyDescent="0.2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customHeight="1" x14ac:dyDescent="0.2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customHeight="1" x14ac:dyDescent="0.2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customHeight="1" x14ac:dyDescent="0.2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customHeight="1" x14ac:dyDescent="0.2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customHeight="1" x14ac:dyDescent="0.2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customHeight="1" x14ac:dyDescent="0.2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customHeight="1" x14ac:dyDescent="0.2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customHeight="1" x14ac:dyDescent="0.2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customHeight="1" x14ac:dyDescent="0.2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customHeight="1" x14ac:dyDescent="0.2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customHeight="1" x14ac:dyDescent="0.2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customHeight="1" x14ac:dyDescent="0.2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customHeight="1" x14ac:dyDescent="0.2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customHeight="1" x14ac:dyDescent="0.2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customHeight="1" x14ac:dyDescent="0.2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customHeight="1" x14ac:dyDescent="0.2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customHeight="1" x14ac:dyDescent="0.2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customHeight="1" x14ac:dyDescent="0.2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customHeight="1" x14ac:dyDescent="0.2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customHeight="1" x14ac:dyDescent="0.2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customHeight="1" x14ac:dyDescent="0.2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customHeight="1" x14ac:dyDescent="0.2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customHeight="1" x14ac:dyDescent="0.2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customHeight="1" x14ac:dyDescent="0.2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customHeight="1" x14ac:dyDescent="0.2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customHeight="1" x14ac:dyDescent="0.2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customHeight="1" x14ac:dyDescent="0.2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customHeight="1" x14ac:dyDescent="0.2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customHeight="1" x14ac:dyDescent="0.2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customHeight="1" x14ac:dyDescent="0.2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customHeight="1" x14ac:dyDescent="0.2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customHeight="1" x14ac:dyDescent="0.2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customHeight="1" x14ac:dyDescent="0.2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customHeight="1" x14ac:dyDescent="0.2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customHeight="1" x14ac:dyDescent="0.2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customHeight="1" x14ac:dyDescent="0.2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customHeight="1" x14ac:dyDescent="0.2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customHeight="1" x14ac:dyDescent="0.2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customHeight="1" x14ac:dyDescent="0.2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customHeight="1" x14ac:dyDescent="0.2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customHeight="1" x14ac:dyDescent="0.2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customHeight="1" x14ac:dyDescent="0.2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customHeight="1" x14ac:dyDescent="0.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customHeight="1" x14ac:dyDescent="0.2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customHeight="1" x14ac:dyDescent="0.2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customHeight="1" x14ac:dyDescent="0.2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customHeight="1" x14ac:dyDescent="0.2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customHeight="1" x14ac:dyDescent="0.2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customHeight="1" x14ac:dyDescent="0.2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customHeight="1" x14ac:dyDescent="0.2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customHeight="1" x14ac:dyDescent="0.2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customHeight="1" x14ac:dyDescent="0.2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customHeight="1" x14ac:dyDescent="0.2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customHeight="1" x14ac:dyDescent="0.2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customHeight="1" x14ac:dyDescent="0.2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customHeight="1" x14ac:dyDescent="0.2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customHeight="1" x14ac:dyDescent="0.2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customHeight="1" x14ac:dyDescent="0.2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customHeight="1" x14ac:dyDescent="0.2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 x14ac:dyDescent="0.2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 x14ac:dyDescent="0.2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 x14ac:dyDescent="0.2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 x14ac:dyDescent="0.2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 x14ac:dyDescent="0.2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 x14ac:dyDescent="0.2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 x14ac:dyDescent="0.2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 x14ac:dyDescent="0.2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 x14ac:dyDescent="0.2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 x14ac:dyDescent="0.2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 x14ac:dyDescent="0.2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 x14ac:dyDescent="0.2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 x14ac:dyDescent="0.2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 x14ac:dyDescent="0.2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 x14ac:dyDescent="0.2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 x14ac:dyDescent="0.2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 x14ac:dyDescent="0.2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 x14ac:dyDescent="0.2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 x14ac:dyDescent="0.2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 x14ac:dyDescent="0.2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 x14ac:dyDescent="0.2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 x14ac:dyDescent="0.2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 x14ac:dyDescent="0.2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 x14ac:dyDescent="0.2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 x14ac:dyDescent="0.2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 x14ac:dyDescent="0.2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 x14ac:dyDescent="0.2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 x14ac:dyDescent="0.2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 x14ac:dyDescent="0.2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 x14ac:dyDescent="0.2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 x14ac:dyDescent="0.2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 x14ac:dyDescent="0.2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 x14ac:dyDescent="0.2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 x14ac:dyDescent="0.2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 x14ac:dyDescent="0.2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 x14ac:dyDescent="0.2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 x14ac:dyDescent="0.2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 x14ac:dyDescent="0.2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 x14ac:dyDescent="0.2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 x14ac:dyDescent="0.2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 x14ac:dyDescent="0.2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 x14ac:dyDescent="0.2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 x14ac:dyDescent="0.2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 x14ac:dyDescent="0.2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 x14ac:dyDescent="0.2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 x14ac:dyDescent="0.2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 x14ac:dyDescent="0.2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 x14ac:dyDescent="0.2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 x14ac:dyDescent="0.2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 x14ac:dyDescent="0.2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 x14ac:dyDescent="0.2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 x14ac:dyDescent="0.2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 x14ac:dyDescent="0.2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 x14ac:dyDescent="0.2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 x14ac:dyDescent="0.2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 x14ac:dyDescent="0.2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 x14ac:dyDescent="0.2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 x14ac:dyDescent="0.2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 x14ac:dyDescent="0.2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 x14ac:dyDescent="0.2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 x14ac:dyDescent="0.2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 x14ac:dyDescent="0.2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 x14ac:dyDescent="0.2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 x14ac:dyDescent="0.2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 x14ac:dyDescent="0.2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 x14ac:dyDescent="0.2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 x14ac:dyDescent="0.2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 x14ac:dyDescent="0.2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 x14ac:dyDescent="0.2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 x14ac:dyDescent="0.2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 x14ac:dyDescent="0.2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 x14ac:dyDescent="0.2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 x14ac:dyDescent="0.2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 x14ac:dyDescent="0.2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 x14ac:dyDescent="0.2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 x14ac:dyDescent="0.2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 x14ac:dyDescent="0.2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 x14ac:dyDescent="0.2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 x14ac:dyDescent="0.2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 x14ac:dyDescent="0.2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 x14ac:dyDescent="0.2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 x14ac:dyDescent="0.2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 x14ac:dyDescent="0.2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 x14ac:dyDescent="0.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 x14ac:dyDescent="0.2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 x14ac:dyDescent="0.2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 x14ac:dyDescent="0.2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 x14ac:dyDescent="0.2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 x14ac:dyDescent="0.2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 x14ac:dyDescent="0.2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 x14ac:dyDescent="0.2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 x14ac:dyDescent="0.2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 x14ac:dyDescent="0.2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 x14ac:dyDescent="0.2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 x14ac:dyDescent="0.2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 x14ac:dyDescent="0.2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 x14ac:dyDescent="0.2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 x14ac:dyDescent="0.2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 x14ac:dyDescent="0.2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 x14ac:dyDescent="0.2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 x14ac:dyDescent="0.2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 x14ac:dyDescent="0.2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 x14ac:dyDescent="0.2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 x14ac:dyDescent="0.2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 x14ac:dyDescent="0.2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 x14ac:dyDescent="0.2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 x14ac:dyDescent="0.2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 x14ac:dyDescent="0.2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 x14ac:dyDescent="0.2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 x14ac:dyDescent="0.2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 x14ac:dyDescent="0.2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 x14ac:dyDescent="0.2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 x14ac:dyDescent="0.2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 x14ac:dyDescent="0.2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 x14ac:dyDescent="0.2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 x14ac:dyDescent="0.2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 x14ac:dyDescent="0.2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 x14ac:dyDescent="0.2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 x14ac:dyDescent="0.2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 x14ac:dyDescent="0.2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 x14ac:dyDescent="0.2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 x14ac:dyDescent="0.2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 x14ac:dyDescent="0.2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 x14ac:dyDescent="0.2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 x14ac:dyDescent="0.2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 x14ac:dyDescent="0.2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 x14ac:dyDescent="0.2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 x14ac:dyDescent="0.2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 x14ac:dyDescent="0.2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 x14ac:dyDescent="0.2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 x14ac:dyDescent="0.2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 x14ac:dyDescent="0.2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 x14ac:dyDescent="0.2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 x14ac:dyDescent="0.2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 x14ac:dyDescent="0.2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 x14ac:dyDescent="0.2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 x14ac:dyDescent="0.2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 x14ac:dyDescent="0.2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 x14ac:dyDescent="0.2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 x14ac:dyDescent="0.2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 x14ac:dyDescent="0.2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 x14ac:dyDescent="0.2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 x14ac:dyDescent="0.2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 x14ac:dyDescent="0.2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 x14ac:dyDescent="0.2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 x14ac:dyDescent="0.2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 x14ac:dyDescent="0.2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 x14ac:dyDescent="0.2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 x14ac:dyDescent="0.2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 x14ac:dyDescent="0.2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 x14ac:dyDescent="0.2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 x14ac:dyDescent="0.2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 x14ac:dyDescent="0.2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 x14ac:dyDescent="0.2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 x14ac:dyDescent="0.2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 x14ac:dyDescent="0.2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 x14ac:dyDescent="0.2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 x14ac:dyDescent="0.2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 x14ac:dyDescent="0.2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 x14ac:dyDescent="0.2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 x14ac:dyDescent="0.2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 x14ac:dyDescent="0.2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 x14ac:dyDescent="0.2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 x14ac:dyDescent="0.2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 x14ac:dyDescent="0.2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 x14ac:dyDescent="0.2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 x14ac:dyDescent="0.2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 x14ac:dyDescent="0.2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 x14ac:dyDescent="0.2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 x14ac:dyDescent="0.2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 x14ac:dyDescent="0.2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 x14ac:dyDescent="0.2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 x14ac:dyDescent="0.2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 x14ac:dyDescent="0.2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 x14ac:dyDescent="0.2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 x14ac:dyDescent="0.2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 x14ac:dyDescent="0.2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 x14ac:dyDescent="0.2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 x14ac:dyDescent="0.2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 x14ac:dyDescent="0.2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 x14ac:dyDescent="0.2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 x14ac:dyDescent="0.2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 x14ac:dyDescent="0.2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 x14ac:dyDescent="0.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 x14ac:dyDescent="0.2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 x14ac:dyDescent="0.2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 x14ac:dyDescent="0.2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 x14ac:dyDescent="0.2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 x14ac:dyDescent="0.2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 x14ac:dyDescent="0.2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 x14ac:dyDescent="0.2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 x14ac:dyDescent="0.2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 x14ac:dyDescent="0.2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 x14ac:dyDescent="0.2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 x14ac:dyDescent="0.2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 x14ac:dyDescent="0.2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 x14ac:dyDescent="0.2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 x14ac:dyDescent="0.2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 x14ac:dyDescent="0.2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 x14ac:dyDescent="0.2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 x14ac:dyDescent="0.2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 x14ac:dyDescent="0.2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 x14ac:dyDescent="0.2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 x14ac:dyDescent="0.2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 x14ac:dyDescent="0.2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 x14ac:dyDescent="0.2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 x14ac:dyDescent="0.2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 x14ac:dyDescent="0.2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 x14ac:dyDescent="0.2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 x14ac:dyDescent="0.2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 x14ac:dyDescent="0.2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 x14ac:dyDescent="0.2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 x14ac:dyDescent="0.2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 x14ac:dyDescent="0.2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 x14ac:dyDescent="0.2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 x14ac:dyDescent="0.2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 x14ac:dyDescent="0.2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 x14ac:dyDescent="0.2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 x14ac:dyDescent="0.2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 x14ac:dyDescent="0.2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 x14ac:dyDescent="0.2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 x14ac:dyDescent="0.2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 x14ac:dyDescent="0.2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 x14ac:dyDescent="0.2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 x14ac:dyDescent="0.2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 x14ac:dyDescent="0.2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 x14ac:dyDescent="0.2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 x14ac:dyDescent="0.2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 x14ac:dyDescent="0.2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 x14ac:dyDescent="0.2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 x14ac:dyDescent="0.2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 x14ac:dyDescent="0.2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 x14ac:dyDescent="0.2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 x14ac:dyDescent="0.2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 x14ac:dyDescent="0.2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 x14ac:dyDescent="0.2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 x14ac:dyDescent="0.2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 x14ac:dyDescent="0.2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 x14ac:dyDescent="0.2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 x14ac:dyDescent="0.2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 x14ac:dyDescent="0.2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 x14ac:dyDescent="0.2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 x14ac:dyDescent="0.2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 x14ac:dyDescent="0.2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 x14ac:dyDescent="0.2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 x14ac:dyDescent="0.2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 x14ac:dyDescent="0.2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 x14ac:dyDescent="0.2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 x14ac:dyDescent="0.2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 x14ac:dyDescent="0.2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 x14ac:dyDescent="0.2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 x14ac:dyDescent="0.2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 x14ac:dyDescent="0.2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 x14ac:dyDescent="0.2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 x14ac:dyDescent="0.2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 x14ac:dyDescent="0.2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 x14ac:dyDescent="0.2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 x14ac:dyDescent="0.2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 x14ac:dyDescent="0.2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 x14ac:dyDescent="0.2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 x14ac:dyDescent="0.2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 x14ac:dyDescent="0.2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 x14ac:dyDescent="0.2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 x14ac:dyDescent="0.2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 x14ac:dyDescent="0.2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 x14ac:dyDescent="0.2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 x14ac:dyDescent="0.2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 x14ac:dyDescent="0.2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 x14ac:dyDescent="0.2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 x14ac:dyDescent="0.2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 x14ac:dyDescent="0.2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 x14ac:dyDescent="0.2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 x14ac:dyDescent="0.2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 x14ac:dyDescent="0.2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 x14ac:dyDescent="0.2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 x14ac:dyDescent="0.2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 x14ac:dyDescent="0.2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 x14ac:dyDescent="0.2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 x14ac:dyDescent="0.2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 x14ac:dyDescent="0.2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 x14ac:dyDescent="0.2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 x14ac:dyDescent="0.2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 x14ac:dyDescent="0.2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 x14ac:dyDescent="0.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 x14ac:dyDescent="0.2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 x14ac:dyDescent="0.2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 x14ac:dyDescent="0.2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 x14ac:dyDescent="0.2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 x14ac:dyDescent="0.2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 x14ac:dyDescent="0.2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 x14ac:dyDescent="0.2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 x14ac:dyDescent="0.2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 x14ac:dyDescent="0.2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 x14ac:dyDescent="0.2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 x14ac:dyDescent="0.2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 x14ac:dyDescent="0.2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 x14ac:dyDescent="0.2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 x14ac:dyDescent="0.2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 x14ac:dyDescent="0.2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 x14ac:dyDescent="0.2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 x14ac:dyDescent="0.2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 x14ac:dyDescent="0.2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 x14ac:dyDescent="0.2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 x14ac:dyDescent="0.2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 x14ac:dyDescent="0.2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 x14ac:dyDescent="0.2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 x14ac:dyDescent="0.2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 x14ac:dyDescent="0.2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 x14ac:dyDescent="0.2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 x14ac:dyDescent="0.2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 x14ac:dyDescent="0.2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 x14ac:dyDescent="0.2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 x14ac:dyDescent="0.2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 x14ac:dyDescent="0.2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 x14ac:dyDescent="0.2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 x14ac:dyDescent="0.2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 x14ac:dyDescent="0.2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 x14ac:dyDescent="0.2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 x14ac:dyDescent="0.2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 x14ac:dyDescent="0.2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 x14ac:dyDescent="0.2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 x14ac:dyDescent="0.2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 x14ac:dyDescent="0.2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 x14ac:dyDescent="0.2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 x14ac:dyDescent="0.2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 x14ac:dyDescent="0.2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 x14ac:dyDescent="0.2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 x14ac:dyDescent="0.2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 x14ac:dyDescent="0.2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 x14ac:dyDescent="0.2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 x14ac:dyDescent="0.2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 x14ac:dyDescent="0.2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 x14ac:dyDescent="0.2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 x14ac:dyDescent="0.2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 x14ac:dyDescent="0.2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 x14ac:dyDescent="0.2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 x14ac:dyDescent="0.2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 x14ac:dyDescent="0.2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 x14ac:dyDescent="0.2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 x14ac:dyDescent="0.2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 x14ac:dyDescent="0.2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 x14ac:dyDescent="0.2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 x14ac:dyDescent="0.2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 x14ac:dyDescent="0.2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 x14ac:dyDescent="0.2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 x14ac:dyDescent="0.2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 x14ac:dyDescent="0.2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 x14ac:dyDescent="0.2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 x14ac:dyDescent="0.2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 x14ac:dyDescent="0.2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 x14ac:dyDescent="0.2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 x14ac:dyDescent="0.2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 x14ac:dyDescent="0.2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 x14ac:dyDescent="0.2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 x14ac:dyDescent="0.2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 x14ac:dyDescent="0.2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 x14ac:dyDescent="0.2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 x14ac:dyDescent="0.2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 x14ac:dyDescent="0.2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 x14ac:dyDescent="0.2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 x14ac:dyDescent="0.2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 x14ac:dyDescent="0.2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 x14ac:dyDescent="0.2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 x14ac:dyDescent="0.2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 x14ac:dyDescent="0.2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 x14ac:dyDescent="0.2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 x14ac:dyDescent="0.2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 x14ac:dyDescent="0.2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 x14ac:dyDescent="0.2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 x14ac:dyDescent="0.2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 x14ac:dyDescent="0.2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 x14ac:dyDescent="0.2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 x14ac:dyDescent="0.2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 x14ac:dyDescent="0.2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 x14ac:dyDescent="0.2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 x14ac:dyDescent="0.2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 x14ac:dyDescent="0.2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 x14ac:dyDescent="0.2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 x14ac:dyDescent="0.2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 x14ac:dyDescent="0.2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 x14ac:dyDescent="0.2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 x14ac:dyDescent="0.2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 x14ac:dyDescent="0.2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 x14ac:dyDescent="0.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 x14ac:dyDescent="0.2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 x14ac:dyDescent="0.2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 x14ac:dyDescent="0.2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 x14ac:dyDescent="0.2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 x14ac:dyDescent="0.2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 x14ac:dyDescent="0.2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 x14ac:dyDescent="0.2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 x14ac:dyDescent="0.2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 x14ac:dyDescent="0.2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 x14ac:dyDescent="0.2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 x14ac:dyDescent="0.2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 x14ac:dyDescent="0.2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 x14ac:dyDescent="0.2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 x14ac:dyDescent="0.2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 x14ac:dyDescent="0.2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 x14ac:dyDescent="0.2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 x14ac:dyDescent="0.2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 x14ac:dyDescent="0.2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 x14ac:dyDescent="0.2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 x14ac:dyDescent="0.2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 x14ac:dyDescent="0.2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 x14ac:dyDescent="0.2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 x14ac:dyDescent="0.2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 x14ac:dyDescent="0.2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 x14ac:dyDescent="0.2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 x14ac:dyDescent="0.2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 x14ac:dyDescent="0.2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 x14ac:dyDescent="0.2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 x14ac:dyDescent="0.2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 x14ac:dyDescent="0.2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 x14ac:dyDescent="0.2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 x14ac:dyDescent="0.2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 x14ac:dyDescent="0.2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 x14ac:dyDescent="0.2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 x14ac:dyDescent="0.2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 x14ac:dyDescent="0.2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 x14ac:dyDescent="0.2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 x14ac:dyDescent="0.2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 x14ac:dyDescent="0.2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 x14ac:dyDescent="0.2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 x14ac:dyDescent="0.2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 x14ac:dyDescent="0.2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 x14ac:dyDescent="0.2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 x14ac:dyDescent="0.2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 x14ac:dyDescent="0.2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 x14ac:dyDescent="0.2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 x14ac:dyDescent="0.2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 x14ac:dyDescent="0.2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 x14ac:dyDescent="0.2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 x14ac:dyDescent="0.2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 x14ac:dyDescent="0.2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 x14ac:dyDescent="0.2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 x14ac:dyDescent="0.2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 x14ac:dyDescent="0.2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 x14ac:dyDescent="0.2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 x14ac:dyDescent="0.2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 x14ac:dyDescent="0.2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 x14ac:dyDescent="0.2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 x14ac:dyDescent="0.2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 x14ac:dyDescent="0.2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 x14ac:dyDescent="0.2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 x14ac:dyDescent="0.2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 x14ac:dyDescent="0.2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 x14ac:dyDescent="0.2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 x14ac:dyDescent="0.2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 x14ac:dyDescent="0.2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 x14ac:dyDescent="0.2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 x14ac:dyDescent="0.2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 x14ac:dyDescent="0.2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 x14ac:dyDescent="0.2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 x14ac:dyDescent="0.2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 x14ac:dyDescent="0.2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 x14ac:dyDescent="0.2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 x14ac:dyDescent="0.2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 x14ac:dyDescent="0.2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 x14ac:dyDescent="0.2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 x14ac:dyDescent="0.2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 x14ac:dyDescent="0.2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 x14ac:dyDescent="0.2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 x14ac:dyDescent="0.2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 x14ac:dyDescent="0.2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 x14ac:dyDescent="0.2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 x14ac:dyDescent="0.2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 x14ac:dyDescent="0.2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 x14ac:dyDescent="0.2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 x14ac:dyDescent="0.2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 x14ac:dyDescent="0.2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 x14ac:dyDescent="0.2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 x14ac:dyDescent="0.2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 x14ac:dyDescent="0.2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 x14ac:dyDescent="0.2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 x14ac:dyDescent="0.2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 x14ac:dyDescent="0.2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 x14ac:dyDescent="0.2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 x14ac:dyDescent="0.2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 x14ac:dyDescent="0.2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 x14ac:dyDescent="0.2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 x14ac:dyDescent="0.2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 x14ac:dyDescent="0.2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 x14ac:dyDescent="0.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 x14ac:dyDescent="0.2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 x14ac:dyDescent="0.2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 x14ac:dyDescent="0.2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 x14ac:dyDescent="0.2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 x14ac:dyDescent="0.2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 x14ac:dyDescent="0.2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 x14ac:dyDescent="0.2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 x14ac:dyDescent="0.2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 x14ac:dyDescent="0.2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 x14ac:dyDescent="0.2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 x14ac:dyDescent="0.2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 x14ac:dyDescent="0.2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 x14ac:dyDescent="0.2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 x14ac:dyDescent="0.2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 x14ac:dyDescent="0.2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 x14ac:dyDescent="0.2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 x14ac:dyDescent="0.2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 x14ac:dyDescent="0.2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 x14ac:dyDescent="0.2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 x14ac:dyDescent="0.2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 x14ac:dyDescent="0.2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 x14ac:dyDescent="0.2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 x14ac:dyDescent="0.2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 x14ac:dyDescent="0.2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 x14ac:dyDescent="0.2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 x14ac:dyDescent="0.2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 x14ac:dyDescent="0.2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 x14ac:dyDescent="0.2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 x14ac:dyDescent="0.2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 x14ac:dyDescent="0.2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 x14ac:dyDescent="0.2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 x14ac:dyDescent="0.2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 x14ac:dyDescent="0.2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 x14ac:dyDescent="0.2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 x14ac:dyDescent="0.2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 x14ac:dyDescent="0.2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 x14ac:dyDescent="0.2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 x14ac:dyDescent="0.2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 x14ac:dyDescent="0.2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 x14ac:dyDescent="0.2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 x14ac:dyDescent="0.2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 x14ac:dyDescent="0.2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 x14ac:dyDescent="0.2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 x14ac:dyDescent="0.2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 x14ac:dyDescent="0.2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 x14ac:dyDescent="0.2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 x14ac:dyDescent="0.2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 x14ac:dyDescent="0.2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 x14ac:dyDescent="0.2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 x14ac:dyDescent="0.2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 x14ac:dyDescent="0.2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 x14ac:dyDescent="0.2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 x14ac:dyDescent="0.2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 x14ac:dyDescent="0.2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 x14ac:dyDescent="0.2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 x14ac:dyDescent="0.2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 x14ac:dyDescent="0.2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 x14ac:dyDescent="0.2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 x14ac:dyDescent="0.2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 x14ac:dyDescent="0.2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 x14ac:dyDescent="0.2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 x14ac:dyDescent="0.2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 x14ac:dyDescent="0.2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 x14ac:dyDescent="0.2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 x14ac:dyDescent="0.2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 x14ac:dyDescent="0.2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 x14ac:dyDescent="0.2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 x14ac:dyDescent="0.2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 x14ac:dyDescent="0.2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 x14ac:dyDescent="0.2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 x14ac:dyDescent="0.2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 x14ac:dyDescent="0.2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 x14ac:dyDescent="0.2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 x14ac:dyDescent="0.2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 x14ac:dyDescent="0.2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 x14ac:dyDescent="0.2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 x14ac:dyDescent="0.2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 x14ac:dyDescent="0.2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 x14ac:dyDescent="0.2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 x14ac:dyDescent="0.2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 x14ac:dyDescent="0.2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 x14ac:dyDescent="0.2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 x14ac:dyDescent="0.2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 x14ac:dyDescent="0.2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 x14ac:dyDescent="0.2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 x14ac:dyDescent="0.2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 x14ac:dyDescent="0.2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 x14ac:dyDescent="0.2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 x14ac:dyDescent="0.2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 x14ac:dyDescent="0.2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 x14ac:dyDescent="0.2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 x14ac:dyDescent="0.2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 x14ac:dyDescent="0.2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 x14ac:dyDescent="0.2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 x14ac:dyDescent="0.2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 x14ac:dyDescent="0.2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 x14ac:dyDescent="0.2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 x14ac:dyDescent="0.2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 x14ac:dyDescent="0.2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 x14ac:dyDescent="0.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 x14ac:dyDescent="0.2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 x14ac:dyDescent="0.2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 x14ac:dyDescent="0.2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 x14ac:dyDescent="0.2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 x14ac:dyDescent="0.2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 x14ac:dyDescent="0.2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 x14ac:dyDescent="0.2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 x14ac:dyDescent="0.2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 x14ac:dyDescent="0.2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 x14ac:dyDescent="0.2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 x14ac:dyDescent="0.2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 x14ac:dyDescent="0.2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 x14ac:dyDescent="0.2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 x14ac:dyDescent="0.2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 x14ac:dyDescent="0.2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 x14ac:dyDescent="0.2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 x14ac:dyDescent="0.2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 x14ac:dyDescent="0.2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 x14ac:dyDescent="0.2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 x14ac:dyDescent="0.2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 x14ac:dyDescent="0.2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 x14ac:dyDescent="0.2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 x14ac:dyDescent="0.2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 x14ac:dyDescent="0.2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 x14ac:dyDescent="0.2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 x14ac:dyDescent="0.2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 x14ac:dyDescent="0.2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 x14ac:dyDescent="0.2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 x14ac:dyDescent="0.2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 x14ac:dyDescent="0.2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 x14ac:dyDescent="0.2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 x14ac:dyDescent="0.2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 x14ac:dyDescent="0.2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 x14ac:dyDescent="0.2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 x14ac:dyDescent="0.2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 x14ac:dyDescent="0.2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 x14ac:dyDescent="0.2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 x14ac:dyDescent="0.2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 x14ac:dyDescent="0.2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 x14ac:dyDescent="0.2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 x14ac:dyDescent="0.2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 x14ac:dyDescent="0.2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 x14ac:dyDescent="0.2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 x14ac:dyDescent="0.2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 x14ac:dyDescent="0.2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 x14ac:dyDescent="0.2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 x14ac:dyDescent="0.2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 x14ac:dyDescent="0.2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 x14ac:dyDescent="0.2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 x14ac:dyDescent="0.2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 x14ac:dyDescent="0.2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 x14ac:dyDescent="0.2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customHeight="1" x14ac:dyDescent="0.2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customHeight="1" x14ac:dyDescent="0.2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customHeight="1" x14ac:dyDescent="0.2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customHeight="1" x14ac:dyDescent="0.2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customHeight="1" x14ac:dyDescent="0.2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customHeight="1" x14ac:dyDescent="0.2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customHeight="1" x14ac:dyDescent="0.2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customHeight="1" x14ac:dyDescent="0.2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customHeight="1" x14ac:dyDescent="0.2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customHeight="1" x14ac:dyDescent="0.2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customHeight="1" x14ac:dyDescent="0.2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customHeight="1" x14ac:dyDescent="0.2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customHeight="1" x14ac:dyDescent="0.2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customHeight="1" x14ac:dyDescent="0.2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customHeight="1" x14ac:dyDescent="0.2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customHeight="1" x14ac:dyDescent="0.2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customHeight="1" x14ac:dyDescent="0.2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customHeight="1" x14ac:dyDescent="0.2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customHeight="1" x14ac:dyDescent="0.2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customHeight="1" x14ac:dyDescent="0.2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customHeight="1" x14ac:dyDescent="0.2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customHeight="1" x14ac:dyDescent="0.2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customHeight="1" x14ac:dyDescent="0.2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0.09765625" defaultRowHeight="15" customHeight="1" x14ac:dyDescent="0.25"/>
  <cols>
    <col min="1" max="1" width="8.796875" customWidth="1"/>
    <col min="2" max="2" width="7.3984375" customWidth="1"/>
    <col min="3" max="26" width="8.796875" customWidth="1"/>
  </cols>
  <sheetData>
    <row r="1" spans="1:26" ht="15.75" customHeight="1" x14ac:dyDescent="0.35">
      <c r="A1" s="60" t="s">
        <v>377</v>
      </c>
      <c r="B1" s="30"/>
      <c r="C1" s="30"/>
      <c r="D1" s="30"/>
      <c r="E1" s="30"/>
      <c r="F1" s="61" t="s">
        <v>365</v>
      </c>
      <c r="G1" s="62" t="s">
        <v>372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5.75" customHeight="1" x14ac:dyDescent="0.25">
      <c r="A2" s="30"/>
      <c r="B2" s="30"/>
      <c r="C2" s="30"/>
      <c r="D2" s="30"/>
      <c r="E2" s="30"/>
      <c r="F2" s="61" t="s">
        <v>363</v>
      </c>
      <c r="G2" s="62" t="s">
        <v>345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5.75" customHeight="1" x14ac:dyDescent="0.25">
      <c r="A3" s="30" t="s">
        <v>363</v>
      </c>
      <c r="B3" s="30" t="s">
        <v>364</v>
      </c>
      <c r="C3" s="30" t="s">
        <v>365</v>
      </c>
      <c r="D3" s="30" t="s">
        <v>366</v>
      </c>
      <c r="E3" s="30"/>
      <c r="F3" s="63" t="s">
        <v>363</v>
      </c>
      <c r="G3" s="64" t="s">
        <v>364</v>
      </c>
      <c r="H3" s="64" t="s">
        <v>365</v>
      </c>
      <c r="I3" s="65" t="s">
        <v>366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5.75" customHeight="1" x14ac:dyDescent="0.25">
      <c r="A4" s="30" t="s">
        <v>322</v>
      </c>
      <c r="B4" s="30" t="s">
        <v>369</v>
      </c>
      <c r="C4" s="30" t="s">
        <v>368</v>
      </c>
      <c r="D4" s="59">
        <v>6380</v>
      </c>
      <c r="E4" s="30"/>
      <c r="F4" s="30" t="e">
        <f t="array" aca="1" ref="F4" ca="1">_xlws.FILTER('FILTER FUNCTION'!$A$4:$D$8,'FILTER FUNCTION'!$C$4:$C$8=G1)</f>
        <v>#NAME?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5.75" customHeight="1" x14ac:dyDescent="0.25">
      <c r="A5" s="30" t="s">
        <v>343</v>
      </c>
      <c r="B5" s="30" t="s">
        <v>371</v>
      </c>
      <c r="C5" s="30" t="s">
        <v>374</v>
      </c>
      <c r="D5" s="59">
        <v>5619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5.75" customHeight="1" x14ac:dyDescent="0.25">
      <c r="A6" s="30" t="s">
        <v>378</v>
      </c>
      <c r="B6" s="30" t="s">
        <v>373</v>
      </c>
      <c r="C6" s="30" t="s">
        <v>372</v>
      </c>
      <c r="D6" s="59">
        <v>5323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5.75" customHeight="1" x14ac:dyDescent="0.25">
      <c r="A7" s="30" t="s">
        <v>345</v>
      </c>
      <c r="B7" s="30" t="s">
        <v>375</v>
      </c>
      <c r="C7" s="30" t="s">
        <v>374</v>
      </c>
      <c r="D7" s="59">
        <v>1195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.75" customHeight="1" x14ac:dyDescent="0.25">
      <c r="A8" s="30" t="s">
        <v>322</v>
      </c>
      <c r="B8" s="30" t="s">
        <v>379</v>
      </c>
      <c r="C8" s="30" t="s">
        <v>374</v>
      </c>
      <c r="D8" s="59">
        <v>2437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5.75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5.75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.75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.75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.75" customHeight="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5.75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.75" customHeigh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5.75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5.75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5.75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5.75" customHeight="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5.75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5.75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5.75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5.75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5.75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5.75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5.75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5.7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5.75" customHeight="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5.75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5.75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5.75" customHeight="1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5.75" customHeight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5.75" customHeight="1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5.75" customHeight="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.75" customHeight="1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5.75" customHeight="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.75" customHeight="1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5.75" customHeight="1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5.75" customHeight="1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5.75" customHeight="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5.75" customHeight="1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5.75" customHeight="1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.75" customHeight="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.75" customHeight="1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.75" customHeight="1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.75" customHeight="1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5.75" customHeight="1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5.75" customHeight="1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.75" customHeight="1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.75" customHeight="1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.75" customHeight="1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5.75" customHeigh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5.75" customHeigh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.75" customHeight="1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.75" customHeight="1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.75" customHeight="1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.75" customHeigh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.75" customHeight="1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.75" customHeight="1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.75" customHeight="1" x14ac:dyDescent="0.2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.75" customHeight="1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.75" customHeight="1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5.75" customHeight="1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5.75" customHeight="1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5.75" customHeight="1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5.75" customHeight="1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5.75" customHeight="1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5.75" customHeight="1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5.75" customHeight="1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5.75" customHeight="1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5.75" customHeight="1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5.75" customHeight="1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5.75" customHeight="1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5.75" customHeight="1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5.75" customHeight="1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5.75" customHeight="1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5.75" customHeight="1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5.75" customHeight="1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.75" customHeight="1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5.75" customHeight="1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5.75" customHeight="1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5.75" customHeight="1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5.75" customHeight="1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5.75" customHeight="1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.75" customHeight="1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.75" customHeight="1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.75" customHeight="1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.75" customHeight="1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.75" customHeight="1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.75" customHeight="1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.75" customHeight="1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.75" customHeight="1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.75" customHeight="1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.75" customHeight="1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.75" customHeight="1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customHeight="1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75" customHeight="1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.75" customHeight="1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.75" customHeight="1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.75" customHeight="1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.75" customHeight="1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.75" customHeight="1" x14ac:dyDescent="0.2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.75" customHeight="1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.75" customHeight="1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.75" customHeight="1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5.75" customHeight="1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.75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5.75" customHeight="1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.75" customHeight="1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.75" customHeight="1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.75" customHeight="1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.75" customHeight="1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.75" customHeight="1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.75" customHeight="1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.75" customHeight="1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.75" customHeight="1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.75" customHeight="1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.75" customHeight="1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.75" customHeight="1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.75" customHeight="1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.75" customHeight="1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.75" customHeight="1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.75" customHeight="1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.75" customHeight="1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.75" customHeight="1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.75" customHeight="1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.75" customHeight="1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.75" customHeight="1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.75" customHeight="1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.75" customHeight="1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.75" customHeight="1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.75" customHeight="1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.75" customHeight="1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.75" customHeight="1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.75" customHeight="1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.75" customHeight="1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.75" customHeight="1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.75" customHeigh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.75" customHeight="1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.75" customHeight="1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.75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.75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.75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.75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.75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.75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.75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.75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.75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.75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.75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.75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.75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.75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.75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.75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.75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.75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.75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.75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.75" customHeight="1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.75" customHeight="1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.75" customHeight="1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customHeight="1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.75" customHeight="1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.75" customHeight="1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.75" customHeight="1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.75" customHeight="1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.75" customHeight="1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.75" customHeight="1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.75" customHeight="1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.75" customHeight="1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.75" customHeight="1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.75" customHeight="1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.75" customHeight="1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.75" customHeight="1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.75" customHeight="1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.75" customHeight="1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.75" customHeight="1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.75" customHeight="1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.75" customHeight="1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.75" customHeight="1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.75" customHeight="1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.75" customHeight="1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.75" customHeight="1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.75" customHeight="1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.75" customHeight="1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.75" customHeight="1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.75" customHeight="1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.75" customHeight="1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customHeight="1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.75" customHeight="1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.75" customHeight="1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.75" customHeight="1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.75" customHeight="1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.75" customHeight="1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.75" customHeight="1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.75" customHeight="1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.75" customHeight="1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.75" customHeight="1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.75" customHeight="1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.75" customHeight="1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.75" customHeight="1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.75" customHeight="1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.75" customHeight="1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.75" customHeight="1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.75" customHeight="1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.75" customHeight="1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.75" customHeight="1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customHeight="1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customHeight="1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customHeight="1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customHeight="1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customHeight="1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customHeight="1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customHeight="1" x14ac:dyDescent="0.2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customHeight="1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customHeight="1" x14ac:dyDescent="0.2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customHeight="1" x14ac:dyDescent="0.2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customHeight="1" x14ac:dyDescent="0.2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customHeight="1" x14ac:dyDescent="0.2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customHeight="1" x14ac:dyDescent="0.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customHeight="1" x14ac:dyDescent="0.2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customHeight="1" x14ac:dyDescent="0.2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customHeight="1" x14ac:dyDescent="0.2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customHeight="1" x14ac:dyDescent="0.2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customHeight="1" x14ac:dyDescent="0.2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customHeight="1" x14ac:dyDescent="0.2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customHeight="1" x14ac:dyDescent="0.2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customHeight="1" x14ac:dyDescent="0.2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customHeight="1" x14ac:dyDescent="0.2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customHeight="1" x14ac:dyDescent="0.2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customHeight="1" x14ac:dyDescent="0.2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customHeight="1" x14ac:dyDescent="0.2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customHeight="1" x14ac:dyDescent="0.2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customHeight="1" x14ac:dyDescent="0.2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customHeight="1" x14ac:dyDescent="0.2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customHeight="1" x14ac:dyDescent="0.2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customHeight="1" x14ac:dyDescent="0.2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customHeight="1" x14ac:dyDescent="0.2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customHeight="1" x14ac:dyDescent="0.2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customHeight="1" x14ac:dyDescent="0.2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customHeight="1" x14ac:dyDescent="0.2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customHeight="1" x14ac:dyDescent="0.2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customHeight="1" x14ac:dyDescent="0.2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customHeight="1" x14ac:dyDescent="0.2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customHeight="1" x14ac:dyDescent="0.2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customHeight="1" x14ac:dyDescent="0.2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customHeight="1" x14ac:dyDescent="0.2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customHeight="1" x14ac:dyDescent="0.2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customHeight="1" x14ac:dyDescent="0.2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customHeight="1" x14ac:dyDescent="0.2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customHeight="1" x14ac:dyDescent="0.2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customHeight="1" x14ac:dyDescent="0.2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customHeight="1" x14ac:dyDescent="0.2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customHeight="1" x14ac:dyDescent="0.2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customHeight="1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customHeight="1" x14ac:dyDescent="0.2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customHeight="1" x14ac:dyDescent="0.2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customHeight="1" x14ac:dyDescent="0.2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customHeight="1" x14ac:dyDescent="0.2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customHeight="1" x14ac:dyDescent="0.2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customHeight="1" x14ac:dyDescent="0.2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customHeight="1" x14ac:dyDescent="0.2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customHeight="1" x14ac:dyDescent="0.2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customHeight="1" x14ac:dyDescent="0.2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customHeight="1" x14ac:dyDescent="0.2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customHeight="1" x14ac:dyDescent="0.2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customHeight="1" x14ac:dyDescent="0.2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customHeight="1" x14ac:dyDescent="0.2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customHeight="1" x14ac:dyDescent="0.2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customHeight="1" x14ac:dyDescent="0.2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customHeight="1" x14ac:dyDescent="0.2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customHeight="1" x14ac:dyDescent="0.2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customHeight="1" x14ac:dyDescent="0.2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customHeight="1" x14ac:dyDescent="0.2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customHeight="1" x14ac:dyDescent="0.2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customHeight="1" x14ac:dyDescent="0.2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customHeight="1" x14ac:dyDescent="0.2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customHeight="1" x14ac:dyDescent="0.2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customHeight="1" x14ac:dyDescent="0.2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customHeight="1" x14ac:dyDescent="0.2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customHeight="1" x14ac:dyDescent="0.2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customHeight="1" x14ac:dyDescent="0.2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customHeight="1" x14ac:dyDescent="0.2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customHeight="1" x14ac:dyDescent="0.2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customHeight="1" x14ac:dyDescent="0.2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customHeight="1" x14ac:dyDescent="0.2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customHeight="1" x14ac:dyDescent="0.2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customHeight="1" x14ac:dyDescent="0.2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customHeight="1" x14ac:dyDescent="0.2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customHeight="1" x14ac:dyDescent="0.2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customHeight="1" x14ac:dyDescent="0.2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customHeight="1" x14ac:dyDescent="0.2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customHeight="1" x14ac:dyDescent="0.2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customHeight="1" x14ac:dyDescent="0.2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customHeight="1" x14ac:dyDescent="0.2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customHeight="1" x14ac:dyDescent="0.2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customHeight="1" x14ac:dyDescent="0.2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customHeight="1" x14ac:dyDescent="0.2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customHeight="1" x14ac:dyDescent="0.2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customHeight="1" x14ac:dyDescent="0.2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customHeight="1" x14ac:dyDescent="0.2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customHeight="1" x14ac:dyDescent="0.2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customHeight="1" x14ac:dyDescent="0.2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customHeight="1" x14ac:dyDescent="0.2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customHeight="1" x14ac:dyDescent="0.2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customHeight="1" x14ac:dyDescent="0.2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customHeight="1" x14ac:dyDescent="0.2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customHeight="1" x14ac:dyDescent="0.2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customHeight="1" x14ac:dyDescent="0.2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customHeight="1" x14ac:dyDescent="0.2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customHeight="1" x14ac:dyDescent="0.2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customHeight="1" x14ac:dyDescent="0.2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customHeight="1" x14ac:dyDescent="0.2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customHeight="1" x14ac:dyDescent="0.2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customHeight="1" x14ac:dyDescent="0.2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customHeight="1" x14ac:dyDescent="0.2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customHeight="1" x14ac:dyDescent="0.2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customHeight="1" x14ac:dyDescent="0.2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customHeight="1" x14ac:dyDescent="0.2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customHeight="1" x14ac:dyDescent="0.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customHeight="1" x14ac:dyDescent="0.2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customHeight="1" x14ac:dyDescent="0.2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customHeight="1" x14ac:dyDescent="0.2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customHeight="1" x14ac:dyDescent="0.2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customHeight="1" x14ac:dyDescent="0.2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customHeight="1" x14ac:dyDescent="0.2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customHeight="1" x14ac:dyDescent="0.2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customHeight="1" x14ac:dyDescent="0.2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customHeight="1" x14ac:dyDescent="0.2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customHeight="1" x14ac:dyDescent="0.2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customHeight="1" x14ac:dyDescent="0.2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customHeight="1" x14ac:dyDescent="0.2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customHeight="1" x14ac:dyDescent="0.2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customHeight="1" x14ac:dyDescent="0.2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customHeight="1" x14ac:dyDescent="0.2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customHeight="1" x14ac:dyDescent="0.2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 x14ac:dyDescent="0.2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 x14ac:dyDescent="0.2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 x14ac:dyDescent="0.2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 x14ac:dyDescent="0.2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 x14ac:dyDescent="0.2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 x14ac:dyDescent="0.2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 x14ac:dyDescent="0.2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 x14ac:dyDescent="0.2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 x14ac:dyDescent="0.2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 x14ac:dyDescent="0.2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 x14ac:dyDescent="0.2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 x14ac:dyDescent="0.2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 x14ac:dyDescent="0.2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 x14ac:dyDescent="0.2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 x14ac:dyDescent="0.2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 x14ac:dyDescent="0.2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 x14ac:dyDescent="0.2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 x14ac:dyDescent="0.2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 x14ac:dyDescent="0.2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 x14ac:dyDescent="0.2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 x14ac:dyDescent="0.2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 x14ac:dyDescent="0.2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 x14ac:dyDescent="0.2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 x14ac:dyDescent="0.2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 x14ac:dyDescent="0.2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 x14ac:dyDescent="0.2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 x14ac:dyDescent="0.2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 x14ac:dyDescent="0.2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 x14ac:dyDescent="0.2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 x14ac:dyDescent="0.2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 x14ac:dyDescent="0.2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 x14ac:dyDescent="0.2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 x14ac:dyDescent="0.2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 x14ac:dyDescent="0.2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 x14ac:dyDescent="0.2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 x14ac:dyDescent="0.2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 x14ac:dyDescent="0.2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 x14ac:dyDescent="0.2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 x14ac:dyDescent="0.2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 x14ac:dyDescent="0.2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 x14ac:dyDescent="0.2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 x14ac:dyDescent="0.2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 x14ac:dyDescent="0.2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 x14ac:dyDescent="0.2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 x14ac:dyDescent="0.2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 x14ac:dyDescent="0.2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 x14ac:dyDescent="0.2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 x14ac:dyDescent="0.2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 x14ac:dyDescent="0.2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 x14ac:dyDescent="0.2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 x14ac:dyDescent="0.2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 x14ac:dyDescent="0.2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 x14ac:dyDescent="0.2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 x14ac:dyDescent="0.2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 x14ac:dyDescent="0.2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 x14ac:dyDescent="0.2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 x14ac:dyDescent="0.2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 x14ac:dyDescent="0.2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 x14ac:dyDescent="0.2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 x14ac:dyDescent="0.2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 x14ac:dyDescent="0.2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 x14ac:dyDescent="0.2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 x14ac:dyDescent="0.2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 x14ac:dyDescent="0.2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 x14ac:dyDescent="0.2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 x14ac:dyDescent="0.2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 x14ac:dyDescent="0.2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 x14ac:dyDescent="0.2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 x14ac:dyDescent="0.2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 x14ac:dyDescent="0.2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 x14ac:dyDescent="0.2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 x14ac:dyDescent="0.2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 x14ac:dyDescent="0.2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 x14ac:dyDescent="0.2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 x14ac:dyDescent="0.2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 x14ac:dyDescent="0.2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 x14ac:dyDescent="0.2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 x14ac:dyDescent="0.2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 x14ac:dyDescent="0.2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 x14ac:dyDescent="0.2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 x14ac:dyDescent="0.2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 x14ac:dyDescent="0.2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 x14ac:dyDescent="0.2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 x14ac:dyDescent="0.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 x14ac:dyDescent="0.2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 x14ac:dyDescent="0.2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 x14ac:dyDescent="0.2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 x14ac:dyDescent="0.2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 x14ac:dyDescent="0.2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 x14ac:dyDescent="0.2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 x14ac:dyDescent="0.2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 x14ac:dyDescent="0.2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 x14ac:dyDescent="0.2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 x14ac:dyDescent="0.2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 x14ac:dyDescent="0.2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 x14ac:dyDescent="0.2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 x14ac:dyDescent="0.2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 x14ac:dyDescent="0.2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 x14ac:dyDescent="0.2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 x14ac:dyDescent="0.2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 x14ac:dyDescent="0.2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 x14ac:dyDescent="0.2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 x14ac:dyDescent="0.2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 x14ac:dyDescent="0.2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 x14ac:dyDescent="0.2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 x14ac:dyDescent="0.2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 x14ac:dyDescent="0.2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 x14ac:dyDescent="0.2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 x14ac:dyDescent="0.2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 x14ac:dyDescent="0.2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 x14ac:dyDescent="0.2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 x14ac:dyDescent="0.2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 x14ac:dyDescent="0.2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 x14ac:dyDescent="0.2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 x14ac:dyDescent="0.2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 x14ac:dyDescent="0.2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 x14ac:dyDescent="0.2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 x14ac:dyDescent="0.2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 x14ac:dyDescent="0.2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 x14ac:dyDescent="0.2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 x14ac:dyDescent="0.2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 x14ac:dyDescent="0.2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 x14ac:dyDescent="0.2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 x14ac:dyDescent="0.2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 x14ac:dyDescent="0.2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 x14ac:dyDescent="0.2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 x14ac:dyDescent="0.2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 x14ac:dyDescent="0.2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 x14ac:dyDescent="0.2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 x14ac:dyDescent="0.2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 x14ac:dyDescent="0.2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 x14ac:dyDescent="0.2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 x14ac:dyDescent="0.2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 x14ac:dyDescent="0.2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 x14ac:dyDescent="0.2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 x14ac:dyDescent="0.2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 x14ac:dyDescent="0.2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 x14ac:dyDescent="0.2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 x14ac:dyDescent="0.2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 x14ac:dyDescent="0.2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 x14ac:dyDescent="0.2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 x14ac:dyDescent="0.2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 x14ac:dyDescent="0.2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 x14ac:dyDescent="0.2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 x14ac:dyDescent="0.2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 x14ac:dyDescent="0.2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 x14ac:dyDescent="0.2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 x14ac:dyDescent="0.2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 x14ac:dyDescent="0.2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 x14ac:dyDescent="0.2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 x14ac:dyDescent="0.2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 x14ac:dyDescent="0.2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 x14ac:dyDescent="0.2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 x14ac:dyDescent="0.2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 x14ac:dyDescent="0.2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 x14ac:dyDescent="0.2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 x14ac:dyDescent="0.2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 x14ac:dyDescent="0.2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 x14ac:dyDescent="0.2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 x14ac:dyDescent="0.2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 x14ac:dyDescent="0.2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 x14ac:dyDescent="0.2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 x14ac:dyDescent="0.2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 x14ac:dyDescent="0.2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 x14ac:dyDescent="0.2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 x14ac:dyDescent="0.2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 x14ac:dyDescent="0.2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 x14ac:dyDescent="0.2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 x14ac:dyDescent="0.2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 x14ac:dyDescent="0.2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 x14ac:dyDescent="0.2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 x14ac:dyDescent="0.2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 x14ac:dyDescent="0.2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 x14ac:dyDescent="0.2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 x14ac:dyDescent="0.2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 x14ac:dyDescent="0.2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 x14ac:dyDescent="0.2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 x14ac:dyDescent="0.2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 x14ac:dyDescent="0.2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 x14ac:dyDescent="0.2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 x14ac:dyDescent="0.2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 x14ac:dyDescent="0.2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 x14ac:dyDescent="0.2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 x14ac:dyDescent="0.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 x14ac:dyDescent="0.2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 x14ac:dyDescent="0.2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 x14ac:dyDescent="0.2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 x14ac:dyDescent="0.2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 x14ac:dyDescent="0.2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 x14ac:dyDescent="0.2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 x14ac:dyDescent="0.2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 x14ac:dyDescent="0.2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 x14ac:dyDescent="0.2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 x14ac:dyDescent="0.2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 x14ac:dyDescent="0.2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 x14ac:dyDescent="0.2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 x14ac:dyDescent="0.2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 x14ac:dyDescent="0.2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 x14ac:dyDescent="0.2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 x14ac:dyDescent="0.2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 x14ac:dyDescent="0.2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 x14ac:dyDescent="0.2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 x14ac:dyDescent="0.2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 x14ac:dyDescent="0.2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 x14ac:dyDescent="0.2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 x14ac:dyDescent="0.2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 x14ac:dyDescent="0.2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 x14ac:dyDescent="0.2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 x14ac:dyDescent="0.2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 x14ac:dyDescent="0.2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 x14ac:dyDescent="0.2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 x14ac:dyDescent="0.2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 x14ac:dyDescent="0.2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 x14ac:dyDescent="0.2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 x14ac:dyDescent="0.2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 x14ac:dyDescent="0.2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 x14ac:dyDescent="0.2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 x14ac:dyDescent="0.2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 x14ac:dyDescent="0.2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 x14ac:dyDescent="0.2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 x14ac:dyDescent="0.2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 x14ac:dyDescent="0.2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 x14ac:dyDescent="0.2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 x14ac:dyDescent="0.2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 x14ac:dyDescent="0.2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 x14ac:dyDescent="0.2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 x14ac:dyDescent="0.2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 x14ac:dyDescent="0.2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 x14ac:dyDescent="0.2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 x14ac:dyDescent="0.2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 x14ac:dyDescent="0.2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 x14ac:dyDescent="0.2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 x14ac:dyDescent="0.2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 x14ac:dyDescent="0.2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 x14ac:dyDescent="0.2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 x14ac:dyDescent="0.2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 x14ac:dyDescent="0.2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 x14ac:dyDescent="0.2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 x14ac:dyDescent="0.2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 x14ac:dyDescent="0.2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 x14ac:dyDescent="0.2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 x14ac:dyDescent="0.2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 x14ac:dyDescent="0.2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 x14ac:dyDescent="0.2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 x14ac:dyDescent="0.2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 x14ac:dyDescent="0.2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 x14ac:dyDescent="0.2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 x14ac:dyDescent="0.2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 x14ac:dyDescent="0.2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 x14ac:dyDescent="0.2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 x14ac:dyDescent="0.2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 x14ac:dyDescent="0.2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 x14ac:dyDescent="0.2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 x14ac:dyDescent="0.2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 x14ac:dyDescent="0.2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 x14ac:dyDescent="0.2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 x14ac:dyDescent="0.2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 x14ac:dyDescent="0.2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 x14ac:dyDescent="0.2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 x14ac:dyDescent="0.2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 x14ac:dyDescent="0.2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 x14ac:dyDescent="0.2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 x14ac:dyDescent="0.2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 x14ac:dyDescent="0.2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 x14ac:dyDescent="0.2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 x14ac:dyDescent="0.2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 x14ac:dyDescent="0.2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 x14ac:dyDescent="0.2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 x14ac:dyDescent="0.2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 x14ac:dyDescent="0.2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 x14ac:dyDescent="0.2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 x14ac:dyDescent="0.2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 x14ac:dyDescent="0.2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 x14ac:dyDescent="0.2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 x14ac:dyDescent="0.2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 x14ac:dyDescent="0.2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 x14ac:dyDescent="0.2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 x14ac:dyDescent="0.2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 x14ac:dyDescent="0.2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 x14ac:dyDescent="0.2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 x14ac:dyDescent="0.2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 x14ac:dyDescent="0.2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 x14ac:dyDescent="0.2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 x14ac:dyDescent="0.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 x14ac:dyDescent="0.2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 x14ac:dyDescent="0.2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 x14ac:dyDescent="0.2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 x14ac:dyDescent="0.2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 x14ac:dyDescent="0.2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 x14ac:dyDescent="0.2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 x14ac:dyDescent="0.2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 x14ac:dyDescent="0.2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 x14ac:dyDescent="0.2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 x14ac:dyDescent="0.2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 x14ac:dyDescent="0.2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 x14ac:dyDescent="0.2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 x14ac:dyDescent="0.2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 x14ac:dyDescent="0.2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 x14ac:dyDescent="0.2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 x14ac:dyDescent="0.2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 x14ac:dyDescent="0.2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 x14ac:dyDescent="0.2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 x14ac:dyDescent="0.2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 x14ac:dyDescent="0.2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 x14ac:dyDescent="0.2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 x14ac:dyDescent="0.2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 x14ac:dyDescent="0.2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 x14ac:dyDescent="0.2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 x14ac:dyDescent="0.2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 x14ac:dyDescent="0.2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 x14ac:dyDescent="0.2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 x14ac:dyDescent="0.2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 x14ac:dyDescent="0.2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 x14ac:dyDescent="0.2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 x14ac:dyDescent="0.2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 x14ac:dyDescent="0.2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 x14ac:dyDescent="0.2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 x14ac:dyDescent="0.2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 x14ac:dyDescent="0.2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 x14ac:dyDescent="0.2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 x14ac:dyDescent="0.2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 x14ac:dyDescent="0.2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 x14ac:dyDescent="0.2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 x14ac:dyDescent="0.2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 x14ac:dyDescent="0.2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 x14ac:dyDescent="0.2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 x14ac:dyDescent="0.2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 x14ac:dyDescent="0.2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 x14ac:dyDescent="0.2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 x14ac:dyDescent="0.2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 x14ac:dyDescent="0.2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 x14ac:dyDescent="0.2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 x14ac:dyDescent="0.2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 x14ac:dyDescent="0.2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 x14ac:dyDescent="0.2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 x14ac:dyDescent="0.2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 x14ac:dyDescent="0.2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 x14ac:dyDescent="0.2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 x14ac:dyDescent="0.2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 x14ac:dyDescent="0.2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 x14ac:dyDescent="0.2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 x14ac:dyDescent="0.2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 x14ac:dyDescent="0.2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 x14ac:dyDescent="0.2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 x14ac:dyDescent="0.2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 x14ac:dyDescent="0.2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 x14ac:dyDescent="0.2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 x14ac:dyDescent="0.2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 x14ac:dyDescent="0.2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 x14ac:dyDescent="0.2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 x14ac:dyDescent="0.2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 x14ac:dyDescent="0.2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 x14ac:dyDescent="0.2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 x14ac:dyDescent="0.2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 x14ac:dyDescent="0.2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 x14ac:dyDescent="0.2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 x14ac:dyDescent="0.2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 x14ac:dyDescent="0.2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 x14ac:dyDescent="0.2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 x14ac:dyDescent="0.2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 x14ac:dyDescent="0.2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 x14ac:dyDescent="0.2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 x14ac:dyDescent="0.2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 x14ac:dyDescent="0.2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 x14ac:dyDescent="0.2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 x14ac:dyDescent="0.2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 x14ac:dyDescent="0.2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 x14ac:dyDescent="0.2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 x14ac:dyDescent="0.2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 x14ac:dyDescent="0.2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 x14ac:dyDescent="0.2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 x14ac:dyDescent="0.2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 x14ac:dyDescent="0.2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 x14ac:dyDescent="0.2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 x14ac:dyDescent="0.2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 x14ac:dyDescent="0.2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 x14ac:dyDescent="0.2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 x14ac:dyDescent="0.2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 x14ac:dyDescent="0.2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 x14ac:dyDescent="0.2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 x14ac:dyDescent="0.2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 x14ac:dyDescent="0.2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 x14ac:dyDescent="0.2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 x14ac:dyDescent="0.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 x14ac:dyDescent="0.2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 x14ac:dyDescent="0.2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 x14ac:dyDescent="0.2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 x14ac:dyDescent="0.2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 x14ac:dyDescent="0.2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 x14ac:dyDescent="0.2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 x14ac:dyDescent="0.2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 x14ac:dyDescent="0.2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 x14ac:dyDescent="0.2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 x14ac:dyDescent="0.2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 x14ac:dyDescent="0.2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 x14ac:dyDescent="0.2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 x14ac:dyDescent="0.2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 x14ac:dyDescent="0.2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 x14ac:dyDescent="0.2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 x14ac:dyDescent="0.2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 x14ac:dyDescent="0.2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 x14ac:dyDescent="0.2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 x14ac:dyDescent="0.2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 x14ac:dyDescent="0.2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 x14ac:dyDescent="0.2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 x14ac:dyDescent="0.2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 x14ac:dyDescent="0.2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 x14ac:dyDescent="0.2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 x14ac:dyDescent="0.2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 x14ac:dyDescent="0.2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 x14ac:dyDescent="0.2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 x14ac:dyDescent="0.2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 x14ac:dyDescent="0.2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 x14ac:dyDescent="0.2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 x14ac:dyDescent="0.2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 x14ac:dyDescent="0.2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 x14ac:dyDescent="0.2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 x14ac:dyDescent="0.2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 x14ac:dyDescent="0.2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 x14ac:dyDescent="0.2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 x14ac:dyDescent="0.2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 x14ac:dyDescent="0.2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 x14ac:dyDescent="0.2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 x14ac:dyDescent="0.2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 x14ac:dyDescent="0.2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 x14ac:dyDescent="0.2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 x14ac:dyDescent="0.2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 x14ac:dyDescent="0.2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 x14ac:dyDescent="0.2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 x14ac:dyDescent="0.2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 x14ac:dyDescent="0.2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 x14ac:dyDescent="0.2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 x14ac:dyDescent="0.2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 x14ac:dyDescent="0.2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 x14ac:dyDescent="0.2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 x14ac:dyDescent="0.2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 x14ac:dyDescent="0.2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 x14ac:dyDescent="0.2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 x14ac:dyDescent="0.2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 x14ac:dyDescent="0.2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 x14ac:dyDescent="0.2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 x14ac:dyDescent="0.2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 x14ac:dyDescent="0.2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 x14ac:dyDescent="0.2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 x14ac:dyDescent="0.2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 x14ac:dyDescent="0.2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 x14ac:dyDescent="0.2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 x14ac:dyDescent="0.2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 x14ac:dyDescent="0.2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 x14ac:dyDescent="0.2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 x14ac:dyDescent="0.2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 x14ac:dyDescent="0.2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 x14ac:dyDescent="0.2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 x14ac:dyDescent="0.2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 x14ac:dyDescent="0.2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 x14ac:dyDescent="0.2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 x14ac:dyDescent="0.2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 x14ac:dyDescent="0.2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 x14ac:dyDescent="0.2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 x14ac:dyDescent="0.2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 x14ac:dyDescent="0.2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 x14ac:dyDescent="0.2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 x14ac:dyDescent="0.2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 x14ac:dyDescent="0.2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 x14ac:dyDescent="0.2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 x14ac:dyDescent="0.2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 x14ac:dyDescent="0.2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 x14ac:dyDescent="0.2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 x14ac:dyDescent="0.2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 x14ac:dyDescent="0.2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 x14ac:dyDescent="0.2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 x14ac:dyDescent="0.2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 x14ac:dyDescent="0.2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 x14ac:dyDescent="0.2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 x14ac:dyDescent="0.2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 x14ac:dyDescent="0.2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 x14ac:dyDescent="0.2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 x14ac:dyDescent="0.2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 x14ac:dyDescent="0.2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 x14ac:dyDescent="0.2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 x14ac:dyDescent="0.2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 x14ac:dyDescent="0.2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 x14ac:dyDescent="0.2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 x14ac:dyDescent="0.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 x14ac:dyDescent="0.2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 x14ac:dyDescent="0.2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 x14ac:dyDescent="0.2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 x14ac:dyDescent="0.2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 x14ac:dyDescent="0.2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 x14ac:dyDescent="0.2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 x14ac:dyDescent="0.2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 x14ac:dyDescent="0.2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 x14ac:dyDescent="0.2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 x14ac:dyDescent="0.2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 x14ac:dyDescent="0.2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 x14ac:dyDescent="0.2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 x14ac:dyDescent="0.2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 x14ac:dyDescent="0.2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 x14ac:dyDescent="0.2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 x14ac:dyDescent="0.2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 x14ac:dyDescent="0.2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 x14ac:dyDescent="0.2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 x14ac:dyDescent="0.2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 x14ac:dyDescent="0.2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 x14ac:dyDescent="0.2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 x14ac:dyDescent="0.2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 x14ac:dyDescent="0.2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 x14ac:dyDescent="0.2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 x14ac:dyDescent="0.2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 x14ac:dyDescent="0.2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 x14ac:dyDescent="0.2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 x14ac:dyDescent="0.2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 x14ac:dyDescent="0.2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 x14ac:dyDescent="0.2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 x14ac:dyDescent="0.2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 x14ac:dyDescent="0.2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 x14ac:dyDescent="0.2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 x14ac:dyDescent="0.2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 x14ac:dyDescent="0.2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 x14ac:dyDescent="0.2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 x14ac:dyDescent="0.2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 x14ac:dyDescent="0.2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 x14ac:dyDescent="0.2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 x14ac:dyDescent="0.2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 x14ac:dyDescent="0.2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 x14ac:dyDescent="0.2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 x14ac:dyDescent="0.2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 x14ac:dyDescent="0.2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 x14ac:dyDescent="0.2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 x14ac:dyDescent="0.2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 x14ac:dyDescent="0.2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 x14ac:dyDescent="0.2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 x14ac:dyDescent="0.2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 x14ac:dyDescent="0.2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 x14ac:dyDescent="0.2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 x14ac:dyDescent="0.2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 x14ac:dyDescent="0.2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 x14ac:dyDescent="0.2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 x14ac:dyDescent="0.2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 x14ac:dyDescent="0.2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 x14ac:dyDescent="0.2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 x14ac:dyDescent="0.2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 x14ac:dyDescent="0.2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 x14ac:dyDescent="0.2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 x14ac:dyDescent="0.2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 x14ac:dyDescent="0.2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 x14ac:dyDescent="0.2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 x14ac:dyDescent="0.2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 x14ac:dyDescent="0.2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 x14ac:dyDescent="0.2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 x14ac:dyDescent="0.2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 x14ac:dyDescent="0.2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 x14ac:dyDescent="0.2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 x14ac:dyDescent="0.2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 x14ac:dyDescent="0.2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 x14ac:dyDescent="0.2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 x14ac:dyDescent="0.2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 x14ac:dyDescent="0.2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 x14ac:dyDescent="0.2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 x14ac:dyDescent="0.2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 x14ac:dyDescent="0.2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 x14ac:dyDescent="0.2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 x14ac:dyDescent="0.2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 x14ac:dyDescent="0.2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 x14ac:dyDescent="0.2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 x14ac:dyDescent="0.2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 x14ac:dyDescent="0.2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 x14ac:dyDescent="0.2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 x14ac:dyDescent="0.2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 x14ac:dyDescent="0.2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 x14ac:dyDescent="0.2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 x14ac:dyDescent="0.2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 x14ac:dyDescent="0.2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 x14ac:dyDescent="0.2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 x14ac:dyDescent="0.2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 x14ac:dyDescent="0.2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 x14ac:dyDescent="0.2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 x14ac:dyDescent="0.2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 x14ac:dyDescent="0.2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 x14ac:dyDescent="0.2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 x14ac:dyDescent="0.2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 x14ac:dyDescent="0.2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 x14ac:dyDescent="0.2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 x14ac:dyDescent="0.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 x14ac:dyDescent="0.2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 x14ac:dyDescent="0.2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 x14ac:dyDescent="0.2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 x14ac:dyDescent="0.2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 x14ac:dyDescent="0.2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 x14ac:dyDescent="0.2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 x14ac:dyDescent="0.2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 x14ac:dyDescent="0.2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 x14ac:dyDescent="0.2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 x14ac:dyDescent="0.2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 x14ac:dyDescent="0.2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 x14ac:dyDescent="0.2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 x14ac:dyDescent="0.2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 x14ac:dyDescent="0.2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 x14ac:dyDescent="0.2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 x14ac:dyDescent="0.2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 x14ac:dyDescent="0.2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 x14ac:dyDescent="0.2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 x14ac:dyDescent="0.2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 x14ac:dyDescent="0.2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 x14ac:dyDescent="0.2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 x14ac:dyDescent="0.2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 x14ac:dyDescent="0.2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 x14ac:dyDescent="0.2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 x14ac:dyDescent="0.2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 x14ac:dyDescent="0.2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 x14ac:dyDescent="0.2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 x14ac:dyDescent="0.2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 x14ac:dyDescent="0.2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 x14ac:dyDescent="0.2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 x14ac:dyDescent="0.2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 x14ac:dyDescent="0.2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 x14ac:dyDescent="0.2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 x14ac:dyDescent="0.2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 x14ac:dyDescent="0.2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 x14ac:dyDescent="0.2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 x14ac:dyDescent="0.2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 x14ac:dyDescent="0.2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 x14ac:dyDescent="0.2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 x14ac:dyDescent="0.2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 x14ac:dyDescent="0.2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 x14ac:dyDescent="0.2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 x14ac:dyDescent="0.2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 x14ac:dyDescent="0.2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 x14ac:dyDescent="0.2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 x14ac:dyDescent="0.2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 x14ac:dyDescent="0.2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 x14ac:dyDescent="0.2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 x14ac:dyDescent="0.2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 x14ac:dyDescent="0.2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 x14ac:dyDescent="0.2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 x14ac:dyDescent="0.2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customHeight="1" x14ac:dyDescent="0.2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customHeight="1" x14ac:dyDescent="0.2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customHeight="1" x14ac:dyDescent="0.2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customHeight="1" x14ac:dyDescent="0.2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customHeight="1" x14ac:dyDescent="0.2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customHeight="1" x14ac:dyDescent="0.2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customHeight="1" x14ac:dyDescent="0.2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customHeight="1" x14ac:dyDescent="0.2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customHeight="1" x14ac:dyDescent="0.2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customHeight="1" x14ac:dyDescent="0.2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customHeight="1" x14ac:dyDescent="0.2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customHeight="1" x14ac:dyDescent="0.2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customHeight="1" x14ac:dyDescent="0.2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customHeight="1" x14ac:dyDescent="0.2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customHeight="1" x14ac:dyDescent="0.2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customHeight="1" x14ac:dyDescent="0.2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customHeight="1" x14ac:dyDescent="0.2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customHeight="1" x14ac:dyDescent="0.2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customHeight="1" x14ac:dyDescent="0.2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customHeight="1" x14ac:dyDescent="0.2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customHeight="1" x14ac:dyDescent="0.2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customHeight="1" x14ac:dyDescent="0.2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customHeight="1" x14ac:dyDescent="0.2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8D08D"/>
  </sheetPr>
  <dimension ref="A1:Z1000"/>
  <sheetViews>
    <sheetView workbookViewId="0"/>
  </sheetViews>
  <sheetFormatPr defaultColWidth="10.09765625" defaultRowHeight="15" customHeight="1" x14ac:dyDescent="0.25"/>
  <cols>
    <col min="1" max="1" width="11.69921875" customWidth="1"/>
    <col min="2" max="5" width="8.3984375" customWidth="1"/>
    <col min="6" max="6" width="8" customWidth="1"/>
    <col min="7" max="26" width="7" customWidth="1"/>
  </cols>
  <sheetData>
    <row r="1" spans="1:26" ht="14.25" customHeight="1" x14ac:dyDescent="0.35">
      <c r="A1" s="93" t="s">
        <v>380</v>
      </c>
      <c r="B1" s="94"/>
      <c r="C1" s="94"/>
      <c r="D1" s="94"/>
      <c r="E1" s="9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5">
      <c r="A2" s="95">
        <f ca="1">TODAY()</f>
        <v>45979</v>
      </c>
      <c r="B2" s="94"/>
      <c r="C2" s="94"/>
      <c r="D2" s="94"/>
      <c r="E2" s="9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3">
      <c r="A4" s="66" t="s">
        <v>381</v>
      </c>
      <c r="B4" s="66" t="s">
        <v>297</v>
      </c>
      <c r="C4" s="66" t="s">
        <v>298</v>
      </c>
      <c r="D4" s="66" t="s">
        <v>299</v>
      </c>
      <c r="E4" s="66" t="s">
        <v>300</v>
      </c>
      <c r="F4" s="21" t="s">
        <v>382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67" t="s">
        <v>383</v>
      </c>
      <c r="B5" s="68">
        <v>4520</v>
      </c>
      <c r="C5" s="68">
        <v>3620</v>
      </c>
      <c r="D5" s="68">
        <v>2560</v>
      </c>
      <c r="E5" s="68">
        <v>2750</v>
      </c>
      <c r="F5" s="69">
        <f t="shared" ref="F5:F14" si="0">SUM(B5:E5)</f>
        <v>13450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25">
      <c r="A6" s="67" t="s">
        <v>384</v>
      </c>
      <c r="B6" s="68">
        <v>3220</v>
      </c>
      <c r="C6" s="68">
        <v>5230</v>
      </c>
      <c r="D6" s="68">
        <v>4550</v>
      </c>
      <c r="E6" s="68">
        <v>5400</v>
      </c>
      <c r="F6" s="69">
        <f t="shared" si="0"/>
        <v>18400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25">
      <c r="A7" s="67" t="s">
        <v>385</v>
      </c>
      <c r="B7" s="68">
        <v>4560</v>
      </c>
      <c r="C7" s="68">
        <v>2320</v>
      </c>
      <c r="D7" s="68">
        <v>3220</v>
      </c>
      <c r="E7" s="68">
        <v>2320</v>
      </c>
      <c r="F7" s="69">
        <f t="shared" si="0"/>
        <v>12420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25">
      <c r="A8" s="67" t="s">
        <v>386</v>
      </c>
      <c r="B8" s="68">
        <v>5600</v>
      </c>
      <c r="C8" s="68">
        <v>6510</v>
      </c>
      <c r="D8" s="68">
        <v>5660</v>
      </c>
      <c r="E8" s="68">
        <v>4500</v>
      </c>
      <c r="F8" s="69">
        <f t="shared" si="0"/>
        <v>22270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25">
      <c r="A9" s="67" t="s">
        <v>387</v>
      </c>
      <c r="B9" s="68">
        <v>2330</v>
      </c>
      <c r="C9" s="68">
        <v>4520</v>
      </c>
      <c r="D9" s="68">
        <v>5500</v>
      </c>
      <c r="E9" s="68">
        <v>4510</v>
      </c>
      <c r="F9" s="69">
        <f t="shared" si="0"/>
        <v>16860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25">
      <c r="A10" s="67" t="s">
        <v>388</v>
      </c>
      <c r="B10" s="68">
        <v>3520</v>
      </c>
      <c r="C10" s="68">
        <v>4620</v>
      </c>
      <c r="D10" s="68">
        <v>4230</v>
      </c>
      <c r="E10" s="68">
        <v>3450</v>
      </c>
      <c r="F10" s="69">
        <f t="shared" si="0"/>
        <v>15820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25">
      <c r="A11" s="67" t="s">
        <v>389</v>
      </c>
      <c r="B11" s="68">
        <v>4100</v>
      </c>
      <c r="C11" s="68">
        <v>3210</v>
      </c>
      <c r="D11" s="68">
        <v>5430</v>
      </c>
      <c r="E11" s="68">
        <v>4620</v>
      </c>
      <c r="F11" s="69">
        <f t="shared" si="0"/>
        <v>17360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25">
      <c r="A12" s="67" t="s">
        <v>390</v>
      </c>
      <c r="B12" s="68">
        <v>5320</v>
      </c>
      <c r="C12" s="68">
        <v>6150</v>
      </c>
      <c r="D12" s="68">
        <v>4950</v>
      </c>
      <c r="E12" s="68">
        <v>5200</v>
      </c>
      <c r="F12" s="69">
        <f t="shared" si="0"/>
        <v>21620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25">
      <c r="A13" s="67" t="s">
        <v>391</v>
      </c>
      <c r="B13" s="68">
        <v>3400</v>
      </c>
      <c r="C13" s="68">
        <v>3750</v>
      </c>
      <c r="D13" s="68">
        <v>3210</v>
      </c>
      <c r="E13" s="68">
        <v>3620</v>
      </c>
      <c r="F13" s="69">
        <f t="shared" si="0"/>
        <v>13980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25">
      <c r="A14" s="67" t="s">
        <v>392</v>
      </c>
      <c r="B14" s="68">
        <v>4950</v>
      </c>
      <c r="C14" s="68">
        <v>5620</v>
      </c>
      <c r="D14" s="68">
        <v>5220</v>
      </c>
      <c r="E14" s="68">
        <v>4310</v>
      </c>
      <c r="F14" s="69">
        <f t="shared" si="0"/>
        <v>20100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25">
      <c r="A19" s="5" t="s">
        <v>393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25">
      <c r="A20" s="21">
        <f ca="1">IFERROR(__xludf.DUMMYFUNCTION("FLATTEN(B5:E14)"),4520)</f>
        <v>4520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25">
      <c r="A21" s="21">
        <f ca="1">IFERROR(__xludf.DUMMYFUNCTION("""COMPUTED_VALUE"""),3620)</f>
        <v>3620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25">
      <c r="A22" s="21">
        <f ca="1">IFERROR(__xludf.DUMMYFUNCTION("""COMPUTED_VALUE"""),2560)</f>
        <v>2560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25">
      <c r="A23" s="21">
        <f ca="1">IFERROR(__xludf.DUMMYFUNCTION("""COMPUTED_VALUE"""),2750)</f>
        <v>2750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25">
      <c r="A24" s="21">
        <f ca="1">IFERROR(__xludf.DUMMYFUNCTION("""COMPUTED_VALUE"""),3220)</f>
        <v>3220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25">
      <c r="A25" s="21">
        <f ca="1">IFERROR(__xludf.DUMMYFUNCTION("""COMPUTED_VALUE"""),5230)</f>
        <v>5230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25">
      <c r="A26" s="21">
        <f ca="1">IFERROR(__xludf.DUMMYFUNCTION("""COMPUTED_VALUE"""),4550)</f>
        <v>4550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25">
      <c r="A27" s="21">
        <f ca="1">IFERROR(__xludf.DUMMYFUNCTION("""COMPUTED_VALUE"""),5400)</f>
        <v>5400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25">
      <c r="A28" s="21">
        <f ca="1">IFERROR(__xludf.DUMMYFUNCTION("""COMPUTED_VALUE"""),4560)</f>
        <v>4560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25">
      <c r="A29" s="21">
        <f ca="1">IFERROR(__xludf.DUMMYFUNCTION("""COMPUTED_VALUE"""),2320)</f>
        <v>2320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25">
      <c r="A30" s="21">
        <f ca="1">IFERROR(__xludf.DUMMYFUNCTION("""COMPUTED_VALUE"""),3220)</f>
        <v>3220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25">
      <c r="A31" s="21">
        <f ca="1">IFERROR(__xludf.DUMMYFUNCTION("""COMPUTED_VALUE"""),2320)</f>
        <v>2320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25">
      <c r="A32" s="21">
        <f ca="1">IFERROR(__xludf.DUMMYFUNCTION("""COMPUTED_VALUE"""),5600)</f>
        <v>5600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25">
      <c r="A33" s="21">
        <f ca="1">IFERROR(__xludf.DUMMYFUNCTION("""COMPUTED_VALUE"""),6510)</f>
        <v>6510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25">
      <c r="A34" s="21">
        <f ca="1">IFERROR(__xludf.DUMMYFUNCTION("""COMPUTED_VALUE"""),5660)</f>
        <v>5660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25">
      <c r="A35" s="21">
        <f ca="1">IFERROR(__xludf.DUMMYFUNCTION("""COMPUTED_VALUE"""),4500)</f>
        <v>4500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25">
      <c r="A36" s="21">
        <f ca="1">IFERROR(__xludf.DUMMYFUNCTION("""COMPUTED_VALUE"""),2330)</f>
        <v>2330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25">
      <c r="A37" s="21">
        <f ca="1">IFERROR(__xludf.DUMMYFUNCTION("""COMPUTED_VALUE"""),4520)</f>
        <v>4520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25">
      <c r="A38" s="21">
        <f ca="1">IFERROR(__xludf.DUMMYFUNCTION("""COMPUTED_VALUE"""),5500)</f>
        <v>5500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25">
      <c r="A39" s="21">
        <f ca="1">IFERROR(__xludf.DUMMYFUNCTION("""COMPUTED_VALUE"""),4510)</f>
        <v>4510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25">
      <c r="A40" s="21">
        <f ca="1">IFERROR(__xludf.DUMMYFUNCTION("""COMPUTED_VALUE"""),3520)</f>
        <v>3520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25">
      <c r="A41" s="21">
        <f ca="1">IFERROR(__xludf.DUMMYFUNCTION("""COMPUTED_VALUE"""),4620)</f>
        <v>4620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25">
      <c r="A42" s="21">
        <f ca="1">IFERROR(__xludf.DUMMYFUNCTION("""COMPUTED_VALUE"""),4230)</f>
        <v>4230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25">
      <c r="A43" s="21">
        <f ca="1">IFERROR(__xludf.DUMMYFUNCTION("""COMPUTED_VALUE"""),3450)</f>
        <v>3450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25">
      <c r="A44" s="21">
        <f ca="1">IFERROR(__xludf.DUMMYFUNCTION("""COMPUTED_VALUE"""),4100)</f>
        <v>4100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25">
      <c r="A45" s="21">
        <f ca="1">IFERROR(__xludf.DUMMYFUNCTION("""COMPUTED_VALUE"""),3210)</f>
        <v>3210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25">
      <c r="A46" s="21">
        <f ca="1">IFERROR(__xludf.DUMMYFUNCTION("""COMPUTED_VALUE"""),5430)</f>
        <v>5430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25">
      <c r="A47" s="21">
        <f ca="1">IFERROR(__xludf.DUMMYFUNCTION("""COMPUTED_VALUE"""),4620)</f>
        <v>4620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25">
      <c r="A48" s="21">
        <f ca="1">IFERROR(__xludf.DUMMYFUNCTION("""COMPUTED_VALUE"""),5320)</f>
        <v>5320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5">
      <c r="A49" s="21">
        <f ca="1">IFERROR(__xludf.DUMMYFUNCTION("""COMPUTED_VALUE"""),6150)</f>
        <v>6150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25">
      <c r="A50" s="21">
        <f ca="1">IFERROR(__xludf.DUMMYFUNCTION("""COMPUTED_VALUE"""),4950)</f>
        <v>4950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25">
      <c r="A51" s="21">
        <f ca="1">IFERROR(__xludf.DUMMYFUNCTION("""COMPUTED_VALUE"""),5200)</f>
        <v>5200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5">
      <c r="A52" s="21">
        <f ca="1">IFERROR(__xludf.DUMMYFUNCTION("""COMPUTED_VALUE"""),3400)</f>
        <v>3400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5">
      <c r="A53" s="21">
        <f ca="1">IFERROR(__xludf.DUMMYFUNCTION("""COMPUTED_VALUE"""),3750)</f>
        <v>3750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25">
      <c r="A54" s="21">
        <f ca="1">IFERROR(__xludf.DUMMYFUNCTION("""COMPUTED_VALUE"""),3210)</f>
        <v>3210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25">
      <c r="A55" s="21">
        <f ca="1">IFERROR(__xludf.DUMMYFUNCTION("""COMPUTED_VALUE"""),3620)</f>
        <v>3620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25">
      <c r="A56" s="21">
        <f ca="1">IFERROR(__xludf.DUMMYFUNCTION("""COMPUTED_VALUE"""),4950)</f>
        <v>4950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25">
      <c r="A57" s="21">
        <f ca="1">IFERROR(__xludf.DUMMYFUNCTION("""COMPUTED_VALUE"""),5620)</f>
        <v>5620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25">
      <c r="A58" s="21">
        <f ca="1">IFERROR(__xludf.DUMMYFUNCTION("""COMPUTED_VALUE"""),5220)</f>
        <v>5220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25">
      <c r="A59" s="21">
        <f ca="1">IFERROR(__xludf.DUMMYFUNCTION("""COMPUTED_VALUE"""),4310)</f>
        <v>4310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E1"/>
    <mergeCell ref="A2:E2"/>
  </mergeCells>
  <pageMargins left="0.75" right="0.75" top="1" bottom="1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8D08D"/>
  </sheetPr>
  <dimension ref="A1:Z1000"/>
  <sheetViews>
    <sheetView tabSelected="1" workbookViewId="0"/>
  </sheetViews>
  <sheetFormatPr defaultColWidth="10.09765625" defaultRowHeight="15" customHeight="1" x14ac:dyDescent="0.25"/>
  <cols>
    <col min="1" max="1" width="15.3984375" customWidth="1"/>
    <col min="2" max="2" width="9.19921875" customWidth="1"/>
    <col min="3" max="3" width="8.8984375" customWidth="1"/>
    <col min="4" max="4" width="9.8984375" customWidth="1"/>
    <col min="5" max="5" width="9" customWidth="1"/>
    <col min="6" max="6" width="9.8984375" customWidth="1"/>
    <col min="7" max="7" width="10.09765625" customWidth="1"/>
    <col min="8" max="8" width="7.19921875" customWidth="1"/>
    <col min="9" max="9" width="9.59765625" customWidth="1"/>
    <col min="10" max="26" width="7.19921875" customWidth="1"/>
  </cols>
  <sheetData>
    <row r="1" spans="1:26" ht="14.25" customHeight="1" x14ac:dyDescent="0.25">
      <c r="A1" s="70" t="s">
        <v>381</v>
      </c>
      <c r="B1" s="71" t="s">
        <v>394</v>
      </c>
      <c r="C1" s="71" t="s">
        <v>395</v>
      </c>
      <c r="D1" s="71" t="s">
        <v>396</v>
      </c>
      <c r="E1" s="71" t="s">
        <v>397</v>
      </c>
      <c r="F1" s="71" t="s">
        <v>398</v>
      </c>
      <c r="G1" s="71" t="s">
        <v>399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5" t="s">
        <v>400</v>
      </c>
      <c r="B2" s="71">
        <v>3947</v>
      </c>
      <c r="C2" s="23">
        <v>557</v>
      </c>
      <c r="D2" s="23">
        <v>3863</v>
      </c>
      <c r="E2" s="23">
        <v>1117</v>
      </c>
      <c r="F2" s="23">
        <v>8237</v>
      </c>
      <c r="G2" s="23">
        <v>8690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customHeight="1" x14ac:dyDescent="0.25">
      <c r="A3" s="70" t="s">
        <v>401</v>
      </c>
      <c r="B3" s="71">
        <v>4411</v>
      </c>
      <c r="C3" s="23">
        <v>1042</v>
      </c>
      <c r="D3" s="23">
        <v>9355</v>
      </c>
      <c r="E3" s="23">
        <v>1100</v>
      </c>
      <c r="F3" s="23">
        <v>10185</v>
      </c>
      <c r="G3" s="23">
        <v>18749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 x14ac:dyDescent="0.25">
      <c r="A4" s="70" t="s">
        <v>402</v>
      </c>
      <c r="B4" s="71">
        <v>2521</v>
      </c>
      <c r="C4" s="23">
        <v>3072</v>
      </c>
      <c r="D4" s="23">
        <v>6702</v>
      </c>
      <c r="E4" s="23">
        <v>2116</v>
      </c>
      <c r="F4" s="23">
        <v>13452</v>
      </c>
      <c r="G4" s="23">
        <v>8046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 x14ac:dyDescent="0.25">
      <c r="A5" s="70" t="s">
        <v>403</v>
      </c>
      <c r="B5" s="71">
        <v>4752</v>
      </c>
      <c r="C5" s="23">
        <v>3755</v>
      </c>
      <c r="D5" s="23">
        <v>4415</v>
      </c>
      <c r="E5" s="23">
        <v>1089</v>
      </c>
      <c r="F5" s="23">
        <v>4404</v>
      </c>
      <c r="G5" s="23">
        <v>20114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customHeight="1" x14ac:dyDescent="0.25">
      <c r="A6" s="5" t="s">
        <v>404</v>
      </c>
      <c r="B6" s="71">
        <v>4964</v>
      </c>
      <c r="C6" s="23">
        <v>3152</v>
      </c>
      <c r="D6" s="23">
        <v>11601</v>
      </c>
      <c r="E6" s="23">
        <v>1122</v>
      </c>
      <c r="F6" s="23">
        <v>3170</v>
      </c>
      <c r="G6" s="23">
        <v>10733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 x14ac:dyDescent="0.25">
      <c r="A7" s="70" t="s">
        <v>405</v>
      </c>
      <c r="B7" s="71">
        <v>2327</v>
      </c>
      <c r="C7" s="23">
        <v>4056</v>
      </c>
      <c r="D7" s="23">
        <v>3726</v>
      </c>
      <c r="E7" s="23">
        <v>1135</v>
      </c>
      <c r="F7" s="23">
        <v>8817</v>
      </c>
      <c r="G7" s="23">
        <v>18524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customHeight="1" x14ac:dyDescent="0.25">
      <c r="A8" s="70" t="s">
        <v>406</v>
      </c>
      <c r="B8" s="71">
        <v>3967</v>
      </c>
      <c r="C8" s="23">
        <v>4906</v>
      </c>
      <c r="D8" s="23">
        <v>9007</v>
      </c>
      <c r="E8" s="23">
        <v>2113</v>
      </c>
      <c r="F8" s="23">
        <v>13090</v>
      </c>
      <c r="G8" s="23">
        <v>13953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customHeight="1" x14ac:dyDescent="0.25">
      <c r="A9" s="70" t="s">
        <v>407</v>
      </c>
      <c r="B9" s="71">
        <v>4670</v>
      </c>
      <c r="C9" s="23">
        <v>521</v>
      </c>
      <c r="D9" s="23">
        <v>4505</v>
      </c>
      <c r="E9" s="23">
        <v>1024</v>
      </c>
      <c r="F9" s="23">
        <v>3528</v>
      </c>
      <c r="G9" s="23">
        <v>15275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customHeight="1" x14ac:dyDescent="0.25">
      <c r="A10" s="70" t="s">
        <v>408</v>
      </c>
      <c r="B10" s="71">
        <v>3379</v>
      </c>
      <c r="C10" s="23">
        <v>3428</v>
      </c>
      <c r="D10" s="23">
        <v>3973</v>
      </c>
      <c r="E10" s="23">
        <v>1716</v>
      </c>
      <c r="F10" s="23">
        <v>4839</v>
      </c>
      <c r="G10" s="23">
        <v>13085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customHeight="1" x14ac:dyDescent="0.25">
      <c r="A11" s="5" t="s">
        <v>409</v>
      </c>
      <c r="B11" s="71">
        <v>5363</v>
      </c>
      <c r="C11" s="23">
        <v>1562</v>
      </c>
      <c r="D11" s="23">
        <v>2945</v>
      </c>
      <c r="E11" s="23">
        <v>1176</v>
      </c>
      <c r="F11" s="23">
        <v>9642</v>
      </c>
      <c r="G11" s="23">
        <v>13714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customHeight="1" x14ac:dyDescent="0.25">
      <c r="A12" s="5" t="s">
        <v>410</v>
      </c>
      <c r="B12" s="71">
        <v>3275</v>
      </c>
      <c r="C12" s="23">
        <v>2779</v>
      </c>
      <c r="D12" s="23">
        <v>7549</v>
      </c>
      <c r="E12" s="23">
        <v>1101</v>
      </c>
      <c r="F12" s="23">
        <v>5850</v>
      </c>
      <c r="G12" s="23">
        <v>15065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customHeight="1" x14ac:dyDescent="0.25">
      <c r="A13" s="70" t="s">
        <v>411</v>
      </c>
      <c r="B13" s="71">
        <v>3860</v>
      </c>
      <c r="C13" s="23">
        <v>3470</v>
      </c>
      <c r="D13" s="23">
        <v>3862</v>
      </c>
      <c r="E13" s="23">
        <v>1040</v>
      </c>
      <c r="F13" s="23">
        <v>10024</v>
      </c>
      <c r="G13" s="23">
        <v>18389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customHeight="1" x14ac:dyDescent="0.25">
      <c r="A14" s="70" t="s">
        <v>412</v>
      </c>
      <c r="B14" s="71">
        <v>4685</v>
      </c>
      <c r="C14" s="23">
        <v>1913</v>
      </c>
      <c r="D14" s="23">
        <v>4596</v>
      </c>
      <c r="E14" s="23">
        <v>1126</v>
      </c>
      <c r="F14" s="23">
        <v>5503</v>
      </c>
      <c r="G14" s="23">
        <v>10686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customHeight="1" x14ac:dyDescent="0.25">
      <c r="A15" s="5" t="s">
        <v>413</v>
      </c>
      <c r="B15" s="71">
        <v>4052</v>
      </c>
      <c r="C15" s="23">
        <v>2883</v>
      </c>
      <c r="D15" s="23">
        <v>2142</v>
      </c>
      <c r="E15" s="23">
        <v>2012</v>
      </c>
      <c r="F15" s="23">
        <v>13547</v>
      </c>
      <c r="G15" s="23">
        <v>21983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customHeight="1" x14ac:dyDescent="0.25">
      <c r="A16" s="70" t="s">
        <v>414</v>
      </c>
      <c r="B16" s="71">
        <v>5541</v>
      </c>
      <c r="C16" s="23">
        <v>4931</v>
      </c>
      <c r="D16" s="23">
        <v>8283</v>
      </c>
      <c r="E16" s="23">
        <v>1054</v>
      </c>
      <c r="F16" s="23">
        <v>9543</v>
      </c>
      <c r="G16" s="23">
        <v>11967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customHeight="1" x14ac:dyDescent="0.25">
      <c r="A17" s="70" t="s">
        <v>415</v>
      </c>
      <c r="B17" s="71">
        <v>5667</v>
      </c>
      <c r="C17" s="23">
        <v>4798</v>
      </c>
      <c r="D17" s="23">
        <v>8420</v>
      </c>
      <c r="E17" s="23">
        <v>1389</v>
      </c>
      <c r="F17" s="23">
        <v>10468</v>
      </c>
      <c r="G17" s="23">
        <v>12677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customHeight="1" x14ac:dyDescent="0.25">
      <c r="A18" s="70" t="s">
        <v>416</v>
      </c>
      <c r="B18" s="71">
        <v>4269</v>
      </c>
      <c r="C18" s="23">
        <v>4459</v>
      </c>
      <c r="D18" s="23">
        <v>2248</v>
      </c>
      <c r="E18" s="23">
        <v>1058</v>
      </c>
      <c r="F18" s="23">
        <v>6267</v>
      </c>
      <c r="G18" s="23">
        <v>14982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customHeight="1" x14ac:dyDescent="0.25">
      <c r="A19" s="70" t="s">
        <v>417</v>
      </c>
      <c r="B19" s="71">
        <v>3502</v>
      </c>
      <c r="C19" s="23">
        <v>4172</v>
      </c>
      <c r="D19" s="23">
        <v>11074</v>
      </c>
      <c r="E19" s="23">
        <v>1282</v>
      </c>
      <c r="F19" s="23">
        <v>2365</v>
      </c>
      <c r="G19" s="23">
        <v>9380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customHeight="1" x14ac:dyDescent="0.25">
      <c r="A20" s="70" t="s">
        <v>418</v>
      </c>
      <c r="B20" s="71">
        <v>5853</v>
      </c>
      <c r="C20" s="23">
        <v>2011</v>
      </c>
      <c r="D20" s="23">
        <v>3807</v>
      </c>
      <c r="E20" s="23">
        <v>1348</v>
      </c>
      <c r="F20" s="23">
        <v>11110</v>
      </c>
      <c r="G20" s="23">
        <v>18047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customHeight="1" x14ac:dyDescent="0.25">
      <c r="A21" s="70" t="s">
        <v>419</v>
      </c>
      <c r="B21" s="71">
        <v>2586</v>
      </c>
      <c r="C21" s="23">
        <v>2398</v>
      </c>
      <c r="D21" s="23">
        <v>2453</v>
      </c>
      <c r="E21" s="23">
        <v>1020</v>
      </c>
      <c r="F21" s="23">
        <v>4612</v>
      </c>
      <c r="G21" s="23">
        <v>20525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customHeight="1" x14ac:dyDescent="0.25">
      <c r="A22" s="70" t="s">
        <v>420</v>
      </c>
      <c r="B22" s="71">
        <v>5714</v>
      </c>
      <c r="C22" s="23">
        <v>4960</v>
      </c>
      <c r="D22" s="23">
        <v>11507</v>
      </c>
      <c r="E22" s="23">
        <v>1010</v>
      </c>
      <c r="F22" s="23">
        <v>6599</v>
      </c>
      <c r="G22" s="23">
        <v>11626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customHeight="1" x14ac:dyDescent="0.25">
      <c r="A23" s="70" t="s">
        <v>421</v>
      </c>
      <c r="B23" s="71">
        <v>5347</v>
      </c>
      <c r="C23" s="23">
        <v>4060</v>
      </c>
      <c r="D23" s="23">
        <v>7056</v>
      </c>
      <c r="E23" s="23">
        <v>1555</v>
      </c>
      <c r="F23" s="23">
        <v>5439</v>
      </c>
      <c r="G23" s="23">
        <v>15285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" customHeight="1" x14ac:dyDescent="0.25">
      <c r="A24" s="5" t="s">
        <v>422</v>
      </c>
      <c r="B24" s="71">
        <v>4222</v>
      </c>
      <c r="C24" s="23">
        <v>3317</v>
      </c>
      <c r="D24" s="23">
        <v>5849</v>
      </c>
      <c r="E24" s="23">
        <v>2081</v>
      </c>
      <c r="F24" s="23">
        <v>10521</v>
      </c>
      <c r="G24" s="23">
        <v>18979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" customHeight="1" x14ac:dyDescent="0.25">
      <c r="A25" s="70" t="s">
        <v>423</v>
      </c>
      <c r="B25" s="71">
        <v>5929</v>
      </c>
      <c r="C25" s="23">
        <v>3127</v>
      </c>
      <c r="D25" s="23">
        <v>7971</v>
      </c>
      <c r="E25" s="23">
        <v>1114</v>
      </c>
      <c r="F25" s="23">
        <v>2686</v>
      </c>
      <c r="G25" s="23">
        <v>24099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customHeight="1" x14ac:dyDescent="0.25">
      <c r="A26" s="70" t="s">
        <v>424</v>
      </c>
      <c r="B26" s="71">
        <v>4270</v>
      </c>
      <c r="C26" s="23">
        <v>4263</v>
      </c>
      <c r="D26" s="23">
        <v>4999</v>
      </c>
      <c r="E26" s="23">
        <v>1052</v>
      </c>
      <c r="F26" s="23">
        <v>2399</v>
      </c>
      <c r="G26" s="23">
        <v>8924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customHeight="1" x14ac:dyDescent="0.25">
      <c r="A27" s="70" t="s">
        <v>425</v>
      </c>
      <c r="B27" s="71">
        <v>5421</v>
      </c>
      <c r="C27" s="23">
        <v>4728</v>
      </c>
      <c r="D27" s="23">
        <v>7158</v>
      </c>
      <c r="E27" s="23">
        <v>1116</v>
      </c>
      <c r="F27" s="23">
        <v>4276</v>
      </c>
      <c r="G27" s="23">
        <v>13907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customHeight="1" x14ac:dyDescent="0.25">
      <c r="A28" s="70" t="s">
        <v>426</v>
      </c>
      <c r="B28" s="71">
        <v>3259</v>
      </c>
      <c r="C28" s="23">
        <v>3679</v>
      </c>
      <c r="D28" s="23">
        <v>8406</v>
      </c>
      <c r="E28" s="23">
        <v>2123</v>
      </c>
      <c r="F28" s="23">
        <v>14697</v>
      </c>
      <c r="G28" s="23">
        <v>16827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customHeight="1" x14ac:dyDescent="0.25">
      <c r="A29" s="5" t="s">
        <v>427</v>
      </c>
      <c r="B29" s="71">
        <v>2943</v>
      </c>
      <c r="C29" s="23">
        <v>3943</v>
      </c>
      <c r="D29" s="23">
        <v>11987</v>
      </c>
      <c r="E29" s="23">
        <v>1183</v>
      </c>
      <c r="F29" s="23">
        <v>3071</v>
      </c>
      <c r="G29" s="23">
        <v>11292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customHeight="1" x14ac:dyDescent="0.25">
      <c r="A30" s="5" t="s">
        <v>428</v>
      </c>
      <c r="B30" s="71">
        <v>5529</v>
      </c>
      <c r="C30" s="23">
        <v>4925</v>
      </c>
      <c r="D30" s="23">
        <v>3122</v>
      </c>
      <c r="E30" s="23">
        <v>1629</v>
      </c>
      <c r="F30" s="23">
        <v>14684</v>
      </c>
      <c r="G30" s="23">
        <v>20871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customHeight="1" x14ac:dyDescent="0.25">
      <c r="A31" s="70" t="s">
        <v>429</v>
      </c>
      <c r="B31" s="71">
        <v>2380</v>
      </c>
      <c r="C31" s="23">
        <v>3247</v>
      </c>
      <c r="D31" s="23">
        <v>11956</v>
      </c>
      <c r="E31" s="23">
        <v>1156</v>
      </c>
      <c r="F31" s="23">
        <v>3098</v>
      </c>
      <c r="G31" s="23">
        <v>8531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25">
      <c r="A32" s="5"/>
      <c r="B32" s="71"/>
      <c r="C32" s="23"/>
      <c r="D32" s="23"/>
      <c r="E32" s="23"/>
      <c r="F32" s="23"/>
      <c r="G32" s="2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25">
      <c r="A33" s="5"/>
      <c r="B33" s="71"/>
      <c r="C33" s="23"/>
      <c r="D33" s="23"/>
      <c r="E33" s="23"/>
      <c r="F33" s="23"/>
      <c r="G33" s="2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25">
      <c r="A34" s="72"/>
      <c r="B34" s="71"/>
      <c r="C34" s="23"/>
      <c r="D34" s="23"/>
      <c r="E34" s="23"/>
      <c r="F34" s="23"/>
      <c r="G34" s="2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25">
      <c r="A35" s="5"/>
      <c r="B35" s="71"/>
      <c r="C35" s="23"/>
      <c r="D35" s="23"/>
      <c r="E35" s="23"/>
      <c r="F35" s="23"/>
      <c r="G35" s="23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25">
      <c r="A36" s="5"/>
      <c r="B36" s="71"/>
      <c r="C36" s="23"/>
      <c r="D36" s="23"/>
      <c r="E36" s="23"/>
      <c r="F36" s="23"/>
      <c r="G36" s="23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25">
      <c r="A37" s="5"/>
      <c r="B37" s="71"/>
      <c r="C37" s="23"/>
      <c r="D37" s="23"/>
      <c r="E37" s="23"/>
      <c r="F37" s="23"/>
      <c r="G37" s="23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25">
      <c r="A38" s="5"/>
      <c r="B38" s="71"/>
      <c r="C38" s="23"/>
      <c r="D38" s="23"/>
      <c r="E38" s="23"/>
      <c r="F38" s="23"/>
      <c r="G38" s="23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25">
      <c r="A39" s="5"/>
      <c r="B39" s="71"/>
      <c r="C39" s="23"/>
      <c r="D39" s="23"/>
      <c r="E39" s="23"/>
      <c r="F39" s="23"/>
      <c r="G39" s="23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25">
      <c r="A40" s="5"/>
      <c r="B40" s="71"/>
      <c r="C40" s="23"/>
      <c r="D40" s="23"/>
      <c r="E40" s="23"/>
      <c r="F40" s="23"/>
      <c r="G40" s="2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25">
      <c r="A41" s="5"/>
      <c r="B41" s="71"/>
      <c r="C41" s="23"/>
      <c r="D41" s="23"/>
      <c r="E41" s="23"/>
      <c r="F41" s="23"/>
      <c r="G41" s="23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25">
      <c r="A42" s="5"/>
      <c r="B42" s="71"/>
      <c r="C42" s="23"/>
      <c r="D42" s="23"/>
      <c r="E42" s="23"/>
      <c r="F42" s="23"/>
      <c r="G42" s="23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25">
      <c r="A43" s="5"/>
      <c r="B43" s="71"/>
      <c r="C43" s="23"/>
      <c r="D43" s="23"/>
      <c r="E43" s="23"/>
      <c r="F43" s="23"/>
      <c r="G43" s="23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25">
      <c r="A44" s="5"/>
      <c r="B44" s="71"/>
      <c r="C44" s="23"/>
      <c r="D44" s="23"/>
      <c r="E44" s="23"/>
      <c r="F44" s="23"/>
      <c r="G44" s="23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25">
      <c r="A45" s="5"/>
      <c r="B45" s="71"/>
      <c r="C45" s="23"/>
      <c r="D45" s="23"/>
      <c r="E45" s="23"/>
      <c r="F45" s="23"/>
      <c r="G45" s="23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25">
      <c r="A46" s="5"/>
      <c r="B46" s="71"/>
      <c r="C46" s="23"/>
      <c r="D46" s="23"/>
      <c r="E46" s="23"/>
      <c r="F46" s="23"/>
      <c r="G46" s="23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25">
      <c r="A47" s="5"/>
      <c r="B47" s="71"/>
      <c r="C47" s="23"/>
      <c r="D47" s="23"/>
      <c r="E47" s="23"/>
      <c r="F47" s="23"/>
      <c r="G47" s="23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25">
      <c r="A48" s="5"/>
      <c r="B48" s="71"/>
      <c r="C48" s="23"/>
      <c r="D48" s="23"/>
      <c r="E48" s="23"/>
      <c r="F48" s="23"/>
      <c r="G48" s="23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5">
      <c r="A49" s="5"/>
      <c r="B49" s="71"/>
      <c r="C49" s="23"/>
      <c r="D49" s="23"/>
      <c r="E49" s="23"/>
      <c r="F49" s="23"/>
      <c r="G49" s="23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25">
      <c r="A50" s="5"/>
      <c r="B50" s="71"/>
      <c r="C50" s="23"/>
      <c r="D50" s="23"/>
      <c r="E50" s="23"/>
      <c r="F50" s="23"/>
      <c r="G50" s="23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25">
      <c r="A51" s="5"/>
      <c r="B51" s="71"/>
      <c r="C51" s="23"/>
      <c r="D51" s="23"/>
      <c r="E51" s="23"/>
      <c r="F51" s="23"/>
      <c r="G51" s="23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5">
      <c r="A52" s="5"/>
      <c r="B52" s="71"/>
      <c r="C52" s="23"/>
      <c r="D52" s="23"/>
      <c r="E52" s="23"/>
      <c r="F52" s="23"/>
      <c r="G52" s="23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5">
      <c r="A53" s="5"/>
      <c r="B53" s="71"/>
      <c r="C53" s="23"/>
      <c r="D53" s="23"/>
      <c r="E53" s="23"/>
      <c r="F53" s="23"/>
      <c r="G53" s="23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25">
      <c r="A54" s="5"/>
      <c r="B54" s="71"/>
      <c r="C54" s="23"/>
      <c r="D54" s="23"/>
      <c r="E54" s="23"/>
      <c r="F54" s="23"/>
      <c r="G54" s="23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25">
      <c r="A55" s="5"/>
      <c r="B55" s="71"/>
      <c r="C55" s="23"/>
      <c r="D55" s="23"/>
      <c r="E55" s="23"/>
      <c r="F55" s="23"/>
      <c r="G55" s="23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25">
      <c r="A56" s="5"/>
      <c r="B56" s="71"/>
      <c r="C56" s="23"/>
      <c r="D56" s="23"/>
      <c r="E56" s="23"/>
      <c r="F56" s="23"/>
      <c r="G56" s="23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25">
      <c r="A57" s="5"/>
      <c r="B57" s="71"/>
      <c r="C57" s="23"/>
      <c r="D57" s="23"/>
      <c r="E57" s="23"/>
      <c r="F57" s="23"/>
      <c r="G57" s="23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25">
      <c r="A58" s="5"/>
      <c r="B58" s="71"/>
      <c r="C58" s="23"/>
      <c r="D58" s="23"/>
      <c r="E58" s="23"/>
      <c r="F58" s="23"/>
      <c r="G58" s="23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25">
      <c r="A59" s="5"/>
      <c r="B59" s="71"/>
      <c r="C59" s="23"/>
      <c r="D59" s="23"/>
      <c r="E59" s="23"/>
      <c r="F59" s="23"/>
      <c r="G59" s="23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5">
      <c r="A60" s="5"/>
      <c r="B60" s="71"/>
      <c r="C60" s="23"/>
      <c r="D60" s="23"/>
      <c r="E60" s="23"/>
      <c r="F60" s="23"/>
      <c r="G60" s="23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5">
      <c r="A61" s="5"/>
      <c r="B61" s="71"/>
      <c r="C61" s="23"/>
      <c r="D61" s="23"/>
      <c r="E61" s="23"/>
      <c r="F61" s="23"/>
      <c r="G61" s="23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25">
      <c r="A62" s="5"/>
      <c r="B62" s="71"/>
      <c r="C62" s="23"/>
      <c r="D62" s="23"/>
      <c r="E62" s="23"/>
      <c r="F62" s="23"/>
      <c r="G62" s="23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25">
      <c r="A63" s="5"/>
      <c r="B63" s="71"/>
      <c r="C63" s="23"/>
      <c r="D63" s="23"/>
      <c r="E63" s="23"/>
      <c r="F63" s="23"/>
      <c r="G63" s="23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5">
      <c r="A64" s="5"/>
      <c r="B64" s="71"/>
      <c r="C64" s="23"/>
      <c r="D64" s="23"/>
      <c r="E64" s="23"/>
      <c r="F64" s="23"/>
      <c r="G64" s="23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25">
      <c r="A65" s="5"/>
      <c r="B65" s="71"/>
      <c r="C65" s="23"/>
      <c r="D65" s="23"/>
      <c r="E65" s="23"/>
      <c r="F65" s="23"/>
      <c r="G65" s="23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5">
      <c r="A66" s="5"/>
      <c r="B66" s="71"/>
      <c r="C66" s="23"/>
      <c r="D66" s="23"/>
      <c r="E66" s="23"/>
      <c r="F66" s="23"/>
      <c r="G66" s="23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25">
      <c r="A67" s="5"/>
      <c r="B67" s="71"/>
      <c r="C67" s="23"/>
      <c r="D67" s="23"/>
      <c r="E67" s="23"/>
      <c r="F67" s="23"/>
      <c r="G67" s="23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25">
      <c r="A68" s="5"/>
      <c r="B68" s="71"/>
      <c r="C68" s="23"/>
      <c r="D68" s="23"/>
      <c r="E68" s="23"/>
      <c r="F68" s="23"/>
      <c r="G68" s="2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25">
      <c r="A69" s="5"/>
      <c r="B69" s="71"/>
      <c r="C69" s="23"/>
      <c r="D69" s="23"/>
      <c r="E69" s="23"/>
      <c r="F69" s="23"/>
      <c r="G69" s="23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5">
      <c r="A70" s="5"/>
      <c r="B70" s="71"/>
      <c r="C70" s="23"/>
      <c r="D70" s="23"/>
      <c r="E70" s="23"/>
      <c r="F70" s="23"/>
      <c r="G70" s="23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25">
      <c r="A71" s="5"/>
      <c r="B71" s="71"/>
      <c r="C71" s="23"/>
      <c r="D71" s="23"/>
      <c r="E71" s="23"/>
      <c r="F71" s="23"/>
      <c r="G71" s="23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25">
      <c r="A72" s="5"/>
      <c r="B72" s="71"/>
      <c r="C72" s="23"/>
      <c r="D72" s="23"/>
      <c r="E72" s="23"/>
      <c r="F72" s="23"/>
      <c r="G72" s="23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25">
      <c r="A73" s="5"/>
      <c r="B73" s="71"/>
      <c r="C73" s="23"/>
      <c r="D73" s="23"/>
      <c r="E73" s="23"/>
      <c r="F73" s="23"/>
      <c r="G73" s="23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5">
      <c r="A74" s="5"/>
      <c r="B74" s="71"/>
      <c r="C74" s="23"/>
      <c r="D74" s="23"/>
      <c r="E74" s="23"/>
      <c r="F74" s="23"/>
      <c r="G74" s="23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25">
      <c r="A75" s="5"/>
      <c r="B75" s="71"/>
      <c r="C75" s="23"/>
      <c r="D75" s="23"/>
      <c r="E75" s="23"/>
      <c r="F75" s="23"/>
      <c r="G75" s="23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25">
      <c r="A76" s="5"/>
      <c r="B76" s="71"/>
      <c r="C76" s="23"/>
      <c r="D76" s="23"/>
      <c r="E76" s="23"/>
      <c r="F76" s="23"/>
      <c r="G76" s="23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25">
      <c r="A77" s="5"/>
      <c r="B77" s="71"/>
      <c r="C77" s="23"/>
      <c r="D77" s="23"/>
      <c r="E77" s="23"/>
      <c r="F77" s="23"/>
      <c r="G77" s="23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25">
      <c r="A78" s="5"/>
      <c r="B78" s="71"/>
      <c r="C78" s="23"/>
      <c r="D78" s="23"/>
      <c r="E78" s="23"/>
      <c r="F78" s="23"/>
      <c r="G78" s="23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25">
      <c r="A79" s="5"/>
      <c r="B79" s="71"/>
      <c r="C79" s="23"/>
      <c r="D79" s="23"/>
      <c r="E79" s="23"/>
      <c r="F79" s="23"/>
      <c r="G79" s="23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25">
      <c r="A80" s="5"/>
      <c r="B80" s="71"/>
      <c r="C80" s="23"/>
      <c r="D80" s="23"/>
      <c r="E80" s="23"/>
      <c r="F80" s="23"/>
      <c r="G80" s="23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25">
      <c r="A81" s="5"/>
      <c r="B81" s="71"/>
      <c r="C81" s="23"/>
      <c r="D81" s="23"/>
      <c r="E81" s="23"/>
      <c r="F81" s="23"/>
      <c r="G81" s="23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25">
      <c r="A82" s="5"/>
      <c r="B82" s="71"/>
      <c r="C82" s="23"/>
      <c r="D82" s="23"/>
      <c r="E82" s="23"/>
      <c r="F82" s="23"/>
      <c r="G82" s="23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25">
      <c r="A83" s="5"/>
      <c r="B83" s="71"/>
      <c r="C83" s="23"/>
      <c r="D83" s="23"/>
      <c r="E83" s="23"/>
      <c r="F83" s="23"/>
      <c r="G83" s="23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25">
      <c r="A84" s="5"/>
      <c r="B84" s="71"/>
      <c r="C84" s="23"/>
      <c r="D84" s="23"/>
      <c r="E84" s="23"/>
      <c r="F84" s="23"/>
      <c r="G84" s="23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25">
      <c r="A85" s="5"/>
      <c r="B85" s="71"/>
      <c r="C85" s="23"/>
      <c r="D85" s="23"/>
      <c r="E85" s="23"/>
      <c r="F85" s="23"/>
      <c r="G85" s="23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25">
      <c r="A86" s="5"/>
      <c r="B86" s="71"/>
      <c r="C86" s="23"/>
      <c r="D86" s="23"/>
      <c r="E86" s="23"/>
      <c r="F86" s="23"/>
      <c r="G86" s="23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25">
      <c r="A87" s="5"/>
      <c r="B87" s="71"/>
      <c r="C87" s="23"/>
      <c r="D87" s="23"/>
      <c r="E87" s="23"/>
      <c r="F87" s="23"/>
      <c r="G87" s="23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25">
      <c r="A88" s="5"/>
      <c r="B88" s="71"/>
      <c r="C88" s="23"/>
      <c r="D88" s="23"/>
      <c r="E88" s="23"/>
      <c r="F88" s="23"/>
      <c r="G88" s="23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25">
      <c r="A89" s="5"/>
      <c r="B89" s="71"/>
      <c r="C89" s="23"/>
      <c r="D89" s="23"/>
      <c r="E89" s="23"/>
      <c r="F89" s="23"/>
      <c r="G89" s="23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25">
      <c r="A90" s="5"/>
      <c r="B90" s="71"/>
      <c r="C90" s="23"/>
      <c r="D90" s="23"/>
      <c r="E90" s="23"/>
      <c r="F90" s="23"/>
      <c r="G90" s="23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25">
      <c r="A91" s="5"/>
      <c r="B91" s="71"/>
      <c r="C91" s="23"/>
      <c r="D91" s="23"/>
      <c r="E91" s="23"/>
      <c r="F91" s="23"/>
      <c r="G91" s="23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25">
      <c r="A92" s="5"/>
      <c r="B92" s="71"/>
      <c r="C92" s="23"/>
      <c r="D92" s="23"/>
      <c r="E92" s="23"/>
      <c r="F92" s="23"/>
      <c r="G92" s="23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25">
      <c r="A93" s="5"/>
      <c r="B93" s="71"/>
      <c r="C93" s="23"/>
      <c r="D93" s="23"/>
      <c r="E93" s="23"/>
      <c r="F93" s="23"/>
      <c r="G93" s="23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25">
      <c r="A94" s="5"/>
      <c r="B94" s="71"/>
      <c r="C94" s="23"/>
      <c r="D94" s="23"/>
      <c r="E94" s="23"/>
      <c r="F94" s="23"/>
      <c r="G94" s="23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25">
      <c r="A95" s="5"/>
      <c r="B95" s="71"/>
      <c r="C95" s="23"/>
      <c r="D95" s="23"/>
      <c r="E95" s="23"/>
      <c r="F95" s="23"/>
      <c r="G95" s="23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25">
      <c r="A96" s="5"/>
      <c r="B96" s="71"/>
      <c r="C96" s="23"/>
      <c r="D96" s="23"/>
      <c r="E96" s="23"/>
      <c r="F96" s="23"/>
      <c r="G96" s="23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25">
      <c r="A97" s="5"/>
      <c r="B97" s="71"/>
      <c r="C97" s="23"/>
      <c r="D97" s="23"/>
      <c r="E97" s="23"/>
      <c r="F97" s="23"/>
      <c r="G97" s="23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25">
      <c r="A98" s="5"/>
      <c r="B98" s="71"/>
      <c r="C98" s="23"/>
      <c r="D98" s="23"/>
      <c r="E98" s="23"/>
      <c r="F98" s="23"/>
      <c r="G98" s="23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25">
      <c r="A99" s="5"/>
      <c r="B99" s="71"/>
      <c r="C99" s="23"/>
      <c r="D99" s="23"/>
      <c r="E99" s="23"/>
      <c r="F99" s="23"/>
      <c r="G99" s="23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25">
      <c r="A100" s="5"/>
      <c r="B100" s="71"/>
      <c r="C100" s="23"/>
      <c r="D100" s="23"/>
      <c r="E100" s="23"/>
      <c r="F100" s="23"/>
      <c r="G100" s="23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25">
      <c r="A101" s="5"/>
      <c r="B101" s="71"/>
      <c r="C101" s="23"/>
      <c r="D101" s="23"/>
      <c r="E101" s="23"/>
      <c r="F101" s="23"/>
      <c r="G101" s="23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25">
      <c r="A102" s="5"/>
      <c r="B102" s="71"/>
      <c r="C102" s="23"/>
      <c r="D102" s="23"/>
      <c r="E102" s="23"/>
      <c r="F102" s="23"/>
      <c r="G102" s="23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25">
      <c r="A103" s="5"/>
      <c r="B103" s="71"/>
      <c r="C103" s="23"/>
      <c r="D103" s="23"/>
      <c r="E103" s="23"/>
      <c r="F103" s="23"/>
      <c r="G103" s="23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25">
      <c r="A104" s="5"/>
      <c r="B104" s="71"/>
      <c r="C104" s="23"/>
      <c r="D104" s="23"/>
      <c r="E104" s="23"/>
      <c r="F104" s="23"/>
      <c r="G104" s="23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25">
      <c r="A105" s="5"/>
      <c r="B105" s="71"/>
      <c r="C105" s="23"/>
      <c r="D105" s="23"/>
      <c r="E105" s="23"/>
      <c r="F105" s="23"/>
      <c r="G105" s="23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25">
      <c r="A106" s="5"/>
      <c r="B106" s="71"/>
      <c r="C106" s="23"/>
      <c r="D106" s="23"/>
      <c r="E106" s="23"/>
      <c r="F106" s="23"/>
      <c r="G106" s="23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25">
      <c r="A107" s="5"/>
      <c r="B107" s="71"/>
      <c r="C107" s="23"/>
      <c r="D107" s="23"/>
      <c r="E107" s="23"/>
      <c r="F107" s="23"/>
      <c r="G107" s="23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25">
      <c r="A108" s="5"/>
      <c r="B108" s="71"/>
      <c r="C108" s="23"/>
      <c r="D108" s="23"/>
      <c r="E108" s="23"/>
      <c r="F108" s="23"/>
      <c r="G108" s="23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25">
      <c r="A109" s="5"/>
      <c r="B109" s="71"/>
      <c r="C109" s="23"/>
      <c r="D109" s="23"/>
      <c r="E109" s="23"/>
      <c r="F109" s="23"/>
      <c r="G109" s="2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25">
      <c r="A110" s="5"/>
      <c r="B110" s="71"/>
      <c r="C110" s="23"/>
      <c r="D110" s="23"/>
      <c r="E110" s="23"/>
      <c r="F110" s="23"/>
      <c r="G110" s="2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25">
      <c r="A111" s="5"/>
      <c r="B111" s="71"/>
      <c r="C111" s="23"/>
      <c r="D111" s="23"/>
      <c r="E111" s="23"/>
      <c r="F111" s="23"/>
      <c r="G111" s="23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25">
      <c r="A112" s="5"/>
      <c r="B112" s="71"/>
      <c r="C112" s="23"/>
      <c r="D112" s="23"/>
      <c r="E112" s="23"/>
      <c r="F112" s="23"/>
      <c r="G112" s="23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25">
      <c r="A113" s="5"/>
      <c r="B113" s="71"/>
      <c r="C113" s="23"/>
      <c r="D113" s="23"/>
      <c r="E113" s="23"/>
      <c r="F113" s="23"/>
      <c r="G113" s="23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25">
      <c r="A114" s="5"/>
      <c r="B114" s="71"/>
      <c r="C114" s="23"/>
      <c r="D114" s="23"/>
      <c r="E114" s="23"/>
      <c r="F114" s="23"/>
      <c r="G114" s="2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25">
      <c r="A115" s="5"/>
      <c r="B115" s="71"/>
      <c r="C115" s="23"/>
      <c r="D115" s="23"/>
      <c r="E115" s="23"/>
      <c r="F115" s="23"/>
      <c r="G115" s="23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25">
      <c r="A116" s="5"/>
      <c r="B116" s="71"/>
      <c r="C116" s="23"/>
      <c r="D116" s="23"/>
      <c r="E116" s="23"/>
      <c r="F116" s="23"/>
      <c r="G116" s="23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25">
      <c r="A117" s="5"/>
      <c r="B117" s="71"/>
      <c r="C117" s="23"/>
      <c r="D117" s="23"/>
      <c r="E117" s="23"/>
      <c r="F117" s="23"/>
      <c r="G117" s="2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25">
      <c r="A118" s="5"/>
      <c r="B118" s="71"/>
      <c r="C118" s="23"/>
      <c r="D118" s="23"/>
      <c r="E118" s="23"/>
      <c r="F118" s="23"/>
      <c r="G118" s="2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25">
      <c r="A119" s="5"/>
      <c r="B119" s="71"/>
      <c r="C119" s="23"/>
      <c r="D119" s="23"/>
      <c r="E119" s="23"/>
      <c r="F119" s="23"/>
      <c r="G119" s="2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25">
      <c r="A120" s="5"/>
      <c r="B120" s="71"/>
      <c r="C120" s="23"/>
      <c r="D120" s="23"/>
      <c r="E120" s="23"/>
      <c r="F120" s="23"/>
      <c r="G120" s="2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25">
      <c r="A121" s="5"/>
      <c r="B121" s="71"/>
      <c r="C121" s="23"/>
      <c r="D121" s="23"/>
      <c r="E121" s="23"/>
      <c r="F121" s="23"/>
      <c r="G121" s="23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25">
      <c r="A122" s="5"/>
      <c r="B122" s="71"/>
      <c r="C122" s="23"/>
      <c r="D122" s="23"/>
      <c r="E122" s="23"/>
      <c r="F122" s="23"/>
      <c r="G122" s="23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25">
      <c r="A123" s="5"/>
      <c r="B123" s="71"/>
      <c r="C123" s="23"/>
      <c r="D123" s="23"/>
      <c r="E123" s="23"/>
      <c r="F123" s="23"/>
      <c r="G123" s="23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25">
      <c r="A124" s="5"/>
      <c r="B124" s="71"/>
      <c r="C124" s="23"/>
      <c r="D124" s="23"/>
      <c r="E124" s="23"/>
      <c r="F124" s="23"/>
      <c r="G124" s="23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25">
      <c r="A125" s="5"/>
      <c r="B125" s="71"/>
      <c r="C125" s="23"/>
      <c r="D125" s="23"/>
      <c r="E125" s="23"/>
      <c r="F125" s="23"/>
      <c r="G125" s="2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25">
      <c r="A126" s="5"/>
      <c r="B126" s="71"/>
      <c r="C126" s="23"/>
      <c r="D126" s="23"/>
      <c r="E126" s="23"/>
      <c r="F126" s="23"/>
      <c r="G126" s="23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25">
      <c r="A127" s="5"/>
      <c r="B127" s="71"/>
      <c r="C127" s="23"/>
      <c r="D127" s="23"/>
      <c r="E127" s="23"/>
      <c r="F127" s="23"/>
      <c r="G127" s="23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25">
      <c r="A128" s="5"/>
      <c r="B128" s="71"/>
      <c r="C128" s="23"/>
      <c r="D128" s="23"/>
      <c r="E128" s="23"/>
      <c r="F128" s="23"/>
      <c r="G128" s="23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25">
      <c r="A129" s="5"/>
      <c r="B129" s="71"/>
      <c r="C129" s="23"/>
      <c r="D129" s="23"/>
      <c r="E129" s="23"/>
      <c r="F129" s="23"/>
      <c r="G129" s="23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25">
      <c r="A130" s="5"/>
      <c r="B130" s="71"/>
      <c r="C130" s="23"/>
      <c r="D130" s="23"/>
      <c r="E130" s="23"/>
      <c r="F130" s="23"/>
      <c r="G130" s="2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25">
      <c r="A131" s="5"/>
      <c r="B131" s="71"/>
      <c r="C131" s="23"/>
      <c r="D131" s="23"/>
      <c r="E131" s="23"/>
      <c r="F131" s="23"/>
      <c r="G131" s="23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25">
      <c r="A132" s="5"/>
      <c r="B132" s="71"/>
      <c r="C132" s="23"/>
      <c r="D132" s="23"/>
      <c r="E132" s="23"/>
      <c r="F132" s="23"/>
      <c r="G132" s="23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25">
      <c r="A133" s="5"/>
      <c r="B133" s="71"/>
      <c r="C133" s="23"/>
      <c r="D133" s="23"/>
      <c r="E133" s="23"/>
      <c r="F133" s="23"/>
      <c r="G133" s="23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25">
      <c r="A134" s="5"/>
      <c r="B134" s="71"/>
      <c r="C134" s="23"/>
      <c r="D134" s="23"/>
      <c r="E134" s="23"/>
      <c r="F134" s="23"/>
      <c r="G134" s="23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25">
      <c r="A135" s="5"/>
      <c r="B135" s="71"/>
      <c r="C135" s="23"/>
      <c r="D135" s="23"/>
      <c r="E135" s="23"/>
      <c r="F135" s="23"/>
      <c r="G135" s="23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25">
      <c r="A136" s="5"/>
      <c r="B136" s="71"/>
      <c r="C136" s="23"/>
      <c r="D136" s="23"/>
      <c r="E136" s="23"/>
      <c r="F136" s="23"/>
      <c r="G136" s="23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25">
      <c r="A137" s="5"/>
      <c r="B137" s="71"/>
      <c r="C137" s="23"/>
      <c r="D137" s="23"/>
      <c r="E137" s="23"/>
      <c r="F137" s="23"/>
      <c r="G137" s="23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25">
      <c r="A138" s="5"/>
      <c r="B138" s="71"/>
      <c r="C138" s="23"/>
      <c r="D138" s="23"/>
      <c r="E138" s="23"/>
      <c r="F138" s="23"/>
      <c r="G138" s="23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25">
      <c r="A139" s="5"/>
      <c r="B139" s="71"/>
      <c r="C139" s="23"/>
      <c r="D139" s="23"/>
      <c r="E139" s="23"/>
      <c r="F139" s="23"/>
      <c r="G139" s="23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25">
      <c r="A140" s="5"/>
      <c r="B140" s="71"/>
      <c r="C140" s="23"/>
      <c r="D140" s="23"/>
      <c r="E140" s="23"/>
      <c r="F140" s="23"/>
      <c r="G140" s="23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25">
      <c r="A141" s="5"/>
      <c r="B141" s="71"/>
      <c r="C141" s="23"/>
      <c r="D141" s="23"/>
      <c r="E141" s="23"/>
      <c r="F141" s="23"/>
      <c r="G141" s="23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25">
      <c r="A142" s="5"/>
      <c r="B142" s="71"/>
      <c r="C142" s="23"/>
      <c r="D142" s="23"/>
      <c r="E142" s="23"/>
      <c r="F142" s="23"/>
      <c r="G142" s="23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25">
      <c r="A143" s="5"/>
      <c r="B143" s="71"/>
      <c r="C143" s="23"/>
      <c r="D143" s="23"/>
      <c r="E143" s="23"/>
      <c r="F143" s="23"/>
      <c r="G143" s="23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25">
      <c r="A144" s="5"/>
      <c r="B144" s="71"/>
      <c r="C144" s="23"/>
      <c r="D144" s="23"/>
      <c r="E144" s="23"/>
      <c r="F144" s="23"/>
      <c r="G144" s="23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25">
      <c r="A145" s="5"/>
      <c r="B145" s="71"/>
      <c r="C145" s="23"/>
      <c r="D145" s="23"/>
      <c r="E145" s="23"/>
      <c r="F145" s="23"/>
      <c r="G145" s="23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25">
      <c r="A146" s="5"/>
      <c r="B146" s="71"/>
      <c r="C146" s="23"/>
      <c r="D146" s="23"/>
      <c r="E146" s="23"/>
      <c r="F146" s="23"/>
      <c r="G146" s="23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25">
      <c r="A147" s="5"/>
      <c r="B147" s="71"/>
      <c r="C147" s="23"/>
      <c r="D147" s="23"/>
      <c r="E147" s="23"/>
      <c r="F147" s="23"/>
      <c r="G147" s="23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25">
      <c r="A148" s="5"/>
      <c r="B148" s="71"/>
      <c r="C148" s="23"/>
      <c r="D148" s="23"/>
      <c r="E148" s="23"/>
      <c r="F148" s="23"/>
      <c r="G148" s="23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25">
      <c r="A149" s="5"/>
      <c r="B149" s="71"/>
      <c r="C149" s="23"/>
      <c r="D149" s="23"/>
      <c r="E149" s="23"/>
      <c r="F149" s="23"/>
      <c r="G149" s="23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25">
      <c r="A150" s="5"/>
      <c r="B150" s="71"/>
      <c r="C150" s="23"/>
      <c r="D150" s="23"/>
      <c r="E150" s="23"/>
      <c r="F150" s="23"/>
      <c r="G150" s="23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25">
      <c r="A151" s="5"/>
      <c r="B151" s="71"/>
      <c r="C151" s="23"/>
      <c r="D151" s="23"/>
      <c r="E151" s="23"/>
      <c r="F151" s="23"/>
      <c r="G151" s="23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25">
      <c r="A152" s="5"/>
      <c r="B152" s="71"/>
      <c r="C152" s="23"/>
      <c r="D152" s="23"/>
      <c r="E152" s="23"/>
      <c r="F152" s="23"/>
      <c r="G152" s="23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25">
      <c r="A153" s="5"/>
      <c r="B153" s="71"/>
      <c r="C153" s="23"/>
      <c r="D153" s="23"/>
      <c r="E153" s="23"/>
      <c r="F153" s="23"/>
      <c r="G153" s="23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25">
      <c r="A154" s="5"/>
      <c r="B154" s="71"/>
      <c r="C154" s="23"/>
      <c r="D154" s="23"/>
      <c r="E154" s="23"/>
      <c r="F154" s="23"/>
      <c r="G154" s="23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25">
      <c r="A155" s="5"/>
      <c r="B155" s="71"/>
      <c r="C155" s="23"/>
      <c r="D155" s="23"/>
      <c r="E155" s="23"/>
      <c r="F155" s="23"/>
      <c r="G155" s="23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25">
      <c r="A156" s="5"/>
      <c r="B156" s="71"/>
      <c r="C156" s="23"/>
      <c r="D156" s="23"/>
      <c r="E156" s="23"/>
      <c r="F156" s="23"/>
      <c r="G156" s="2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25">
      <c r="A157" s="5"/>
      <c r="B157" s="71"/>
      <c r="C157" s="23"/>
      <c r="D157" s="23"/>
      <c r="E157" s="23"/>
      <c r="F157" s="23"/>
      <c r="G157" s="2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25">
      <c r="A158" s="5"/>
      <c r="B158" s="71"/>
      <c r="C158" s="23"/>
      <c r="D158" s="23"/>
      <c r="E158" s="23"/>
      <c r="F158" s="23"/>
      <c r="G158" s="2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25">
      <c r="A159" s="5"/>
      <c r="B159" s="71"/>
      <c r="C159" s="23"/>
      <c r="D159" s="23"/>
      <c r="E159" s="23"/>
      <c r="F159" s="23"/>
      <c r="G159" s="23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25">
      <c r="A160" s="5"/>
      <c r="B160" s="71"/>
      <c r="C160" s="23"/>
      <c r="D160" s="23"/>
      <c r="E160" s="23"/>
      <c r="F160" s="23"/>
      <c r="G160" s="2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25">
      <c r="A161" s="5"/>
      <c r="B161" s="71"/>
      <c r="C161" s="23"/>
      <c r="D161" s="23"/>
      <c r="E161" s="23"/>
      <c r="F161" s="23"/>
      <c r="G161" s="2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25">
      <c r="A162" s="5"/>
      <c r="B162" s="71"/>
      <c r="C162" s="23"/>
      <c r="D162" s="23"/>
      <c r="E162" s="23"/>
      <c r="F162" s="23"/>
      <c r="G162" s="2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25">
      <c r="A163" s="5"/>
      <c r="B163" s="71"/>
      <c r="C163" s="23"/>
      <c r="D163" s="23"/>
      <c r="E163" s="23"/>
      <c r="F163" s="23"/>
      <c r="G163" s="2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25">
      <c r="A164" s="5"/>
      <c r="B164" s="71"/>
      <c r="C164" s="23"/>
      <c r="D164" s="23"/>
      <c r="E164" s="23"/>
      <c r="F164" s="23"/>
      <c r="G164" s="2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25">
      <c r="A165" s="5"/>
      <c r="B165" s="71"/>
      <c r="C165" s="23"/>
      <c r="D165" s="23"/>
      <c r="E165" s="23"/>
      <c r="F165" s="23"/>
      <c r="G165" s="2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25">
      <c r="A166" s="5"/>
      <c r="B166" s="71"/>
      <c r="C166" s="23"/>
      <c r="D166" s="23"/>
      <c r="E166" s="23"/>
      <c r="F166" s="23"/>
      <c r="G166" s="2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25">
      <c r="A167" s="5"/>
      <c r="B167" s="71"/>
      <c r="C167" s="23"/>
      <c r="D167" s="23"/>
      <c r="E167" s="23"/>
      <c r="F167" s="23"/>
      <c r="G167" s="2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25">
      <c r="A168" s="5"/>
      <c r="B168" s="71"/>
      <c r="C168" s="23"/>
      <c r="D168" s="23"/>
      <c r="E168" s="23"/>
      <c r="F168" s="23"/>
      <c r="G168" s="2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25">
      <c r="A169" s="5"/>
      <c r="B169" s="71"/>
      <c r="C169" s="23"/>
      <c r="D169" s="23"/>
      <c r="E169" s="23"/>
      <c r="F169" s="23"/>
      <c r="G169" s="2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25">
      <c r="A170" s="5"/>
      <c r="B170" s="71"/>
      <c r="C170" s="23"/>
      <c r="D170" s="23"/>
      <c r="E170" s="23"/>
      <c r="F170" s="23"/>
      <c r="G170" s="2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25">
      <c r="A171" s="5"/>
      <c r="B171" s="71"/>
      <c r="C171" s="23"/>
      <c r="D171" s="23"/>
      <c r="E171" s="23"/>
      <c r="F171" s="23"/>
      <c r="G171" s="2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25">
      <c r="A172" s="5"/>
      <c r="B172" s="71"/>
      <c r="C172" s="23"/>
      <c r="D172" s="23"/>
      <c r="E172" s="23"/>
      <c r="F172" s="23"/>
      <c r="G172" s="2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25">
      <c r="A173" s="5"/>
      <c r="B173" s="71"/>
      <c r="C173" s="23"/>
      <c r="D173" s="23"/>
      <c r="E173" s="23"/>
      <c r="F173" s="23"/>
      <c r="G173" s="2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25">
      <c r="A174" s="5"/>
      <c r="B174" s="71"/>
      <c r="C174" s="23"/>
      <c r="D174" s="23"/>
      <c r="E174" s="23"/>
      <c r="F174" s="23"/>
      <c r="G174" s="2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25">
      <c r="A175" s="5"/>
      <c r="B175" s="71"/>
      <c r="C175" s="23"/>
      <c r="D175" s="23"/>
      <c r="E175" s="23"/>
      <c r="F175" s="23"/>
      <c r="G175" s="2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25">
      <c r="A176" s="5"/>
      <c r="B176" s="71"/>
      <c r="C176" s="23"/>
      <c r="D176" s="23"/>
      <c r="E176" s="23"/>
      <c r="F176" s="23"/>
      <c r="G176" s="2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25">
      <c r="A177" s="5"/>
      <c r="B177" s="71"/>
      <c r="C177" s="23"/>
      <c r="D177" s="23"/>
      <c r="E177" s="23"/>
      <c r="F177" s="23"/>
      <c r="G177" s="2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25">
      <c r="A178" s="5"/>
      <c r="B178" s="71"/>
      <c r="C178" s="23"/>
      <c r="D178" s="23"/>
      <c r="E178" s="23"/>
      <c r="F178" s="23"/>
      <c r="G178" s="2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25">
      <c r="A179" s="5"/>
      <c r="B179" s="71"/>
      <c r="C179" s="23"/>
      <c r="D179" s="23"/>
      <c r="E179" s="23"/>
      <c r="F179" s="23"/>
      <c r="G179" s="2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25">
      <c r="A180" s="5"/>
      <c r="B180" s="71"/>
      <c r="C180" s="23"/>
      <c r="D180" s="23"/>
      <c r="E180" s="23"/>
      <c r="F180" s="23"/>
      <c r="G180" s="2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25">
      <c r="A181" s="5"/>
      <c r="B181" s="71"/>
      <c r="C181" s="23"/>
      <c r="D181" s="23"/>
      <c r="E181" s="23"/>
      <c r="F181" s="23"/>
      <c r="G181" s="2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25">
      <c r="A182" s="5"/>
      <c r="B182" s="71"/>
      <c r="C182" s="23"/>
      <c r="D182" s="23"/>
      <c r="E182" s="23"/>
      <c r="F182" s="23"/>
      <c r="G182" s="2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25">
      <c r="A183" s="5"/>
      <c r="B183" s="71"/>
      <c r="C183" s="23"/>
      <c r="D183" s="23"/>
      <c r="E183" s="23"/>
      <c r="F183" s="23"/>
      <c r="G183" s="2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25">
      <c r="A184" s="5"/>
      <c r="B184" s="71"/>
      <c r="C184" s="23"/>
      <c r="D184" s="23"/>
      <c r="E184" s="23"/>
      <c r="F184" s="23"/>
      <c r="G184" s="2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25">
      <c r="A185" s="5"/>
      <c r="B185" s="71"/>
      <c r="C185" s="23"/>
      <c r="D185" s="23"/>
      <c r="E185" s="23"/>
      <c r="F185" s="23"/>
      <c r="G185" s="2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25">
      <c r="A186" s="5"/>
      <c r="B186" s="71"/>
      <c r="C186" s="23"/>
      <c r="D186" s="23"/>
      <c r="E186" s="23"/>
      <c r="F186" s="23"/>
      <c r="G186" s="2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25">
      <c r="A187" s="5"/>
      <c r="B187" s="71"/>
      <c r="C187" s="23"/>
      <c r="D187" s="23"/>
      <c r="E187" s="23"/>
      <c r="F187" s="23"/>
      <c r="G187" s="2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25">
      <c r="A188" s="5"/>
      <c r="B188" s="71"/>
      <c r="C188" s="23"/>
      <c r="D188" s="23"/>
      <c r="E188" s="23"/>
      <c r="F188" s="23"/>
      <c r="G188" s="2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25">
      <c r="A189" s="5"/>
      <c r="B189" s="71"/>
      <c r="C189" s="23"/>
      <c r="D189" s="23"/>
      <c r="E189" s="23"/>
      <c r="F189" s="23"/>
      <c r="G189" s="2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25">
      <c r="A190" s="5"/>
      <c r="B190" s="71"/>
      <c r="C190" s="23"/>
      <c r="D190" s="23"/>
      <c r="E190" s="23"/>
      <c r="F190" s="23"/>
      <c r="G190" s="2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25">
      <c r="A191" s="5"/>
      <c r="B191" s="71"/>
      <c r="C191" s="23"/>
      <c r="D191" s="23"/>
      <c r="E191" s="23"/>
      <c r="F191" s="23"/>
      <c r="G191" s="2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25">
      <c r="A192" s="5"/>
      <c r="B192" s="71"/>
      <c r="C192" s="23"/>
      <c r="D192" s="23"/>
      <c r="E192" s="23"/>
      <c r="F192" s="23"/>
      <c r="G192" s="2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25">
      <c r="A193" s="5"/>
      <c r="B193" s="71"/>
      <c r="C193" s="23"/>
      <c r="D193" s="23"/>
      <c r="E193" s="23"/>
      <c r="F193" s="23"/>
      <c r="G193" s="2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25">
      <c r="A194" s="5"/>
      <c r="B194" s="71"/>
      <c r="C194" s="23"/>
      <c r="D194" s="23"/>
      <c r="E194" s="23"/>
      <c r="F194" s="23"/>
      <c r="G194" s="2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25">
      <c r="A195" s="5"/>
      <c r="B195" s="71"/>
      <c r="C195" s="23"/>
      <c r="D195" s="23"/>
      <c r="E195" s="23"/>
      <c r="F195" s="23"/>
      <c r="G195" s="2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25">
      <c r="A196" s="5"/>
      <c r="B196" s="71"/>
      <c r="C196" s="23"/>
      <c r="D196" s="23"/>
      <c r="E196" s="23"/>
      <c r="F196" s="23"/>
      <c r="G196" s="2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25">
      <c r="A197" s="5"/>
      <c r="B197" s="71"/>
      <c r="C197" s="23"/>
      <c r="D197" s="23"/>
      <c r="E197" s="23"/>
      <c r="F197" s="23"/>
      <c r="G197" s="2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25">
      <c r="A198" s="5"/>
      <c r="B198" s="71"/>
      <c r="C198" s="23"/>
      <c r="D198" s="23"/>
      <c r="E198" s="23"/>
      <c r="F198" s="23"/>
      <c r="G198" s="2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25">
      <c r="A199" s="5"/>
      <c r="B199" s="71"/>
      <c r="C199" s="23"/>
      <c r="D199" s="23"/>
      <c r="E199" s="23"/>
      <c r="F199" s="23"/>
      <c r="G199" s="2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25">
      <c r="A200" s="5"/>
      <c r="B200" s="71"/>
      <c r="C200" s="23"/>
      <c r="D200" s="23"/>
      <c r="E200" s="23"/>
      <c r="F200" s="23"/>
      <c r="G200" s="2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25">
      <c r="A201" s="5"/>
      <c r="B201" s="71"/>
      <c r="C201" s="23"/>
      <c r="D201" s="23"/>
      <c r="E201" s="23"/>
      <c r="F201" s="23"/>
      <c r="G201" s="2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25">
      <c r="A202" s="5"/>
      <c r="B202" s="71"/>
      <c r="C202" s="23"/>
      <c r="D202" s="23"/>
      <c r="E202" s="23"/>
      <c r="F202" s="23"/>
      <c r="G202" s="2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25">
      <c r="A203" s="5"/>
      <c r="B203" s="71"/>
      <c r="C203" s="23"/>
      <c r="D203" s="23"/>
      <c r="E203" s="23"/>
      <c r="F203" s="23"/>
      <c r="G203" s="2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25">
      <c r="A204" s="5"/>
      <c r="B204" s="71"/>
      <c r="C204" s="23"/>
      <c r="D204" s="23"/>
      <c r="E204" s="23"/>
      <c r="F204" s="23"/>
      <c r="G204" s="2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25">
      <c r="A205" s="5"/>
      <c r="B205" s="71"/>
      <c r="C205" s="23"/>
      <c r="D205" s="23"/>
      <c r="E205" s="23"/>
      <c r="F205" s="23"/>
      <c r="G205" s="2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25">
      <c r="A206" s="5"/>
      <c r="B206" s="71"/>
      <c r="C206" s="23"/>
      <c r="D206" s="23"/>
      <c r="E206" s="23"/>
      <c r="F206" s="23"/>
      <c r="G206" s="2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25">
      <c r="A207" s="5"/>
      <c r="B207" s="71"/>
      <c r="C207" s="23"/>
      <c r="D207" s="23"/>
      <c r="E207" s="23"/>
      <c r="F207" s="23"/>
      <c r="G207" s="2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25">
      <c r="A208" s="5"/>
      <c r="B208" s="71"/>
      <c r="C208" s="23"/>
      <c r="D208" s="23"/>
      <c r="E208" s="23"/>
      <c r="F208" s="23"/>
      <c r="G208" s="2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25">
      <c r="A209" s="5"/>
      <c r="B209" s="71"/>
      <c r="C209" s="23"/>
      <c r="D209" s="23"/>
      <c r="E209" s="23"/>
      <c r="F209" s="23"/>
      <c r="G209" s="2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25">
      <c r="A210" s="5"/>
      <c r="B210" s="71"/>
      <c r="C210" s="23"/>
      <c r="D210" s="23"/>
      <c r="E210" s="23"/>
      <c r="F210" s="23"/>
      <c r="G210" s="2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25">
      <c r="A211" s="5"/>
      <c r="B211" s="71"/>
      <c r="C211" s="23"/>
      <c r="D211" s="23"/>
      <c r="E211" s="23"/>
      <c r="F211" s="23"/>
      <c r="G211" s="2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25">
      <c r="A212" s="5"/>
      <c r="B212" s="71"/>
      <c r="C212" s="23"/>
      <c r="D212" s="23"/>
      <c r="E212" s="23"/>
      <c r="F212" s="23"/>
      <c r="G212" s="2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25">
      <c r="A213" s="5"/>
      <c r="B213" s="71"/>
      <c r="C213" s="23"/>
      <c r="D213" s="23"/>
      <c r="E213" s="23"/>
      <c r="F213" s="23"/>
      <c r="G213" s="2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25">
      <c r="A214" s="5"/>
      <c r="B214" s="71"/>
      <c r="C214" s="23"/>
      <c r="D214" s="23"/>
      <c r="E214" s="23"/>
      <c r="F214" s="23"/>
      <c r="G214" s="2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25">
      <c r="A215" s="5"/>
      <c r="B215" s="71"/>
      <c r="C215" s="23"/>
      <c r="D215" s="23"/>
      <c r="E215" s="23"/>
      <c r="F215" s="23"/>
      <c r="G215" s="2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25">
      <c r="A216" s="5"/>
      <c r="B216" s="71"/>
      <c r="C216" s="23"/>
      <c r="D216" s="23"/>
      <c r="E216" s="23"/>
      <c r="F216" s="23"/>
      <c r="G216" s="2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25">
      <c r="A217" s="5"/>
      <c r="B217" s="71"/>
      <c r="C217" s="23"/>
      <c r="D217" s="23"/>
      <c r="E217" s="23"/>
      <c r="F217" s="23"/>
      <c r="G217" s="2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25">
      <c r="A218" s="5"/>
      <c r="B218" s="71"/>
      <c r="C218" s="23"/>
      <c r="D218" s="23"/>
      <c r="E218" s="23"/>
      <c r="F218" s="23"/>
      <c r="G218" s="2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25">
      <c r="A219" s="5"/>
      <c r="B219" s="71"/>
      <c r="C219" s="23"/>
      <c r="D219" s="23"/>
      <c r="E219" s="23"/>
      <c r="F219" s="23"/>
      <c r="G219" s="2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25">
      <c r="A220" s="5"/>
      <c r="B220" s="71"/>
      <c r="C220" s="23"/>
      <c r="D220" s="23"/>
      <c r="E220" s="23"/>
      <c r="F220" s="23"/>
      <c r="G220" s="2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25">
      <c r="A221" s="5"/>
      <c r="B221" s="71"/>
      <c r="C221" s="23"/>
      <c r="D221" s="23"/>
      <c r="E221" s="23"/>
      <c r="F221" s="23"/>
      <c r="G221" s="2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25">
      <c r="A222" s="5"/>
      <c r="B222" s="71"/>
      <c r="C222" s="23"/>
      <c r="D222" s="23"/>
      <c r="E222" s="23"/>
      <c r="F222" s="23"/>
      <c r="G222" s="2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25">
      <c r="A223" s="5"/>
      <c r="B223" s="71"/>
      <c r="C223" s="23"/>
      <c r="D223" s="23"/>
      <c r="E223" s="23"/>
      <c r="F223" s="23"/>
      <c r="G223" s="2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25">
      <c r="A224" s="5"/>
      <c r="B224" s="71"/>
      <c r="C224" s="23"/>
      <c r="D224" s="23"/>
      <c r="E224" s="23"/>
      <c r="F224" s="23"/>
      <c r="G224" s="2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25">
      <c r="A225" s="5"/>
      <c r="B225" s="71"/>
      <c r="C225" s="23"/>
      <c r="D225" s="23"/>
      <c r="E225" s="23"/>
      <c r="F225" s="23"/>
      <c r="G225" s="2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25">
      <c r="A226" s="5"/>
      <c r="B226" s="71"/>
      <c r="C226" s="23"/>
      <c r="D226" s="23"/>
      <c r="E226" s="23"/>
      <c r="F226" s="23"/>
      <c r="G226" s="2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25">
      <c r="A227" s="5"/>
      <c r="B227" s="71"/>
      <c r="C227" s="23"/>
      <c r="D227" s="23"/>
      <c r="E227" s="23"/>
      <c r="F227" s="23"/>
      <c r="G227" s="2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25">
      <c r="A228" s="5"/>
      <c r="B228" s="71"/>
      <c r="C228" s="23"/>
      <c r="D228" s="23"/>
      <c r="E228" s="23"/>
      <c r="F228" s="23"/>
      <c r="G228" s="2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25">
      <c r="A229" s="5"/>
      <c r="B229" s="71"/>
      <c r="C229" s="23"/>
      <c r="D229" s="23"/>
      <c r="E229" s="23"/>
      <c r="F229" s="23"/>
      <c r="G229" s="2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25">
      <c r="A230" s="5"/>
      <c r="B230" s="71"/>
      <c r="C230" s="23"/>
      <c r="D230" s="23"/>
      <c r="E230" s="23"/>
      <c r="F230" s="23"/>
      <c r="G230" s="2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25">
      <c r="A231" s="5"/>
      <c r="B231" s="71"/>
      <c r="C231" s="23"/>
      <c r="D231" s="23"/>
      <c r="E231" s="23"/>
      <c r="F231" s="23"/>
      <c r="G231" s="2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25">
      <c r="A232" s="5"/>
      <c r="B232" s="71"/>
      <c r="C232" s="23"/>
      <c r="D232" s="23"/>
      <c r="E232" s="23"/>
      <c r="F232" s="23"/>
      <c r="G232" s="2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25">
      <c r="A233" s="5"/>
      <c r="B233" s="71"/>
      <c r="C233" s="23"/>
      <c r="D233" s="23"/>
      <c r="E233" s="23"/>
      <c r="F233" s="23"/>
      <c r="G233" s="2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25">
      <c r="A234" s="5"/>
      <c r="B234" s="71"/>
      <c r="C234" s="23"/>
      <c r="D234" s="23"/>
      <c r="E234" s="23"/>
      <c r="F234" s="23"/>
      <c r="G234" s="2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25">
      <c r="A235" s="5"/>
      <c r="B235" s="71"/>
      <c r="C235" s="23"/>
      <c r="D235" s="23"/>
      <c r="E235" s="23"/>
      <c r="F235" s="23"/>
      <c r="G235" s="2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25">
      <c r="A236" s="5"/>
      <c r="B236" s="71"/>
      <c r="C236" s="23"/>
      <c r="D236" s="23"/>
      <c r="E236" s="23"/>
      <c r="F236" s="23"/>
      <c r="G236" s="2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25">
      <c r="A237" s="5"/>
      <c r="B237" s="71"/>
      <c r="C237" s="23"/>
      <c r="D237" s="23"/>
      <c r="E237" s="23"/>
      <c r="F237" s="23"/>
      <c r="G237" s="2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25">
      <c r="A238" s="5"/>
      <c r="B238" s="71"/>
      <c r="C238" s="23"/>
      <c r="D238" s="23"/>
      <c r="E238" s="23"/>
      <c r="F238" s="23"/>
      <c r="G238" s="2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25">
      <c r="A239" s="5"/>
      <c r="B239" s="71"/>
      <c r="C239" s="23"/>
      <c r="D239" s="23"/>
      <c r="E239" s="23"/>
      <c r="F239" s="23"/>
      <c r="G239" s="2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25">
      <c r="A240" s="5"/>
      <c r="B240" s="71"/>
      <c r="C240" s="23"/>
      <c r="D240" s="23"/>
      <c r="E240" s="23"/>
      <c r="F240" s="23"/>
      <c r="G240" s="2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25">
      <c r="A241" s="5"/>
      <c r="B241" s="71"/>
      <c r="C241" s="23"/>
      <c r="D241" s="23"/>
      <c r="E241" s="23"/>
      <c r="F241" s="23"/>
      <c r="G241" s="2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25">
      <c r="A242" s="5"/>
      <c r="B242" s="71"/>
      <c r="C242" s="23"/>
      <c r="D242" s="23"/>
      <c r="E242" s="23"/>
      <c r="F242" s="23"/>
      <c r="G242" s="2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25">
      <c r="A243" s="5"/>
      <c r="B243" s="71"/>
      <c r="C243" s="23"/>
      <c r="D243" s="23"/>
      <c r="E243" s="23"/>
      <c r="F243" s="23"/>
      <c r="G243" s="2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25">
      <c r="A244" s="5"/>
      <c r="B244" s="71"/>
      <c r="C244" s="23"/>
      <c r="D244" s="23"/>
      <c r="E244" s="23"/>
      <c r="F244" s="23"/>
      <c r="G244" s="2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25">
      <c r="A245" s="5"/>
      <c r="B245" s="71"/>
      <c r="C245" s="23"/>
      <c r="D245" s="23"/>
      <c r="E245" s="23"/>
      <c r="F245" s="23"/>
      <c r="G245" s="2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25">
      <c r="A246" s="5"/>
      <c r="B246" s="71"/>
      <c r="C246" s="23"/>
      <c r="D246" s="23"/>
      <c r="E246" s="23"/>
      <c r="F246" s="23"/>
      <c r="G246" s="2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25">
      <c r="A247" s="5"/>
      <c r="B247" s="71"/>
      <c r="C247" s="23"/>
      <c r="D247" s="23"/>
      <c r="E247" s="23"/>
      <c r="F247" s="23"/>
      <c r="G247" s="2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25">
      <c r="A248" s="5"/>
      <c r="B248" s="71"/>
      <c r="C248" s="23"/>
      <c r="D248" s="23"/>
      <c r="E248" s="23"/>
      <c r="F248" s="23"/>
      <c r="G248" s="2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25">
      <c r="A249" s="5"/>
      <c r="B249" s="71"/>
      <c r="C249" s="23"/>
      <c r="D249" s="23"/>
      <c r="E249" s="23"/>
      <c r="F249" s="23"/>
      <c r="G249" s="2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25">
      <c r="A250" s="5"/>
      <c r="B250" s="71"/>
      <c r="C250" s="23"/>
      <c r="D250" s="23"/>
      <c r="E250" s="23"/>
      <c r="F250" s="23"/>
      <c r="G250" s="2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25">
      <c r="A251" s="5"/>
      <c r="B251" s="71"/>
      <c r="C251" s="23"/>
      <c r="D251" s="23"/>
      <c r="E251" s="23"/>
      <c r="F251" s="23"/>
      <c r="G251" s="2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25">
      <c r="A252" s="5"/>
      <c r="B252" s="71"/>
      <c r="C252" s="23"/>
      <c r="D252" s="23"/>
      <c r="E252" s="23"/>
      <c r="F252" s="23"/>
      <c r="G252" s="2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25">
      <c r="A253" s="5"/>
      <c r="B253" s="71"/>
      <c r="C253" s="23"/>
      <c r="D253" s="23"/>
      <c r="E253" s="23"/>
      <c r="F253" s="23"/>
      <c r="G253" s="2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25">
      <c r="A254" s="5"/>
      <c r="B254" s="71"/>
      <c r="C254" s="23"/>
      <c r="D254" s="23"/>
      <c r="E254" s="23"/>
      <c r="F254" s="23"/>
      <c r="G254" s="2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25">
      <c r="A255" s="5"/>
      <c r="B255" s="71"/>
      <c r="C255" s="23"/>
      <c r="D255" s="23"/>
      <c r="E255" s="23"/>
      <c r="F255" s="23"/>
      <c r="G255" s="2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25">
      <c r="A256" s="5"/>
      <c r="B256" s="71"/>
      <c r="C256" s="23"/>
      <c r="D256" s="23"/>
      <c r="E256" s="23"/>
      <c r="F256" s="23"/>
      <c r="G256" s="2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25">
      <c r="A257" s="5"/>
      <c r="B257" s="71"/>
      <c r="C257" s="23"/>
      <c r="D257" s="23"/>
      <c r="E257" s="23"/>
      <c r="F257" s="23"/>
      <c r="G257" s="2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25">
      <c r="A258" s="5"/>
      <c r="B258" s="71"/>
      <c r="C258" s="23"/>
      <c r="D258" s="23"/>
      <c r="E258" s="23"/>
      <c r="F258" s="23"/>
      <c r="G258" s="2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25">
      <c r="A259" s="5"/>
      <c r="B259" s="71"/>
      <c r="C259" s="23"/>
      <c r="D259" s="23"/>
      <c r="E259" s="23"/>
      <c r="F259" s="23"/>
      <c r="G259" s="2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25">
      <c r="A260" s="5"/>
      <c r="B260" s="71"/>
      <c r="C260" s="23"/>
      <c r="D260" s="23"/>
      <c r="E260" s="23"/>
      <c r="F260" s="23"/>
      <c r="G260" s="2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25">
      <c r="A261" s="5"/>
      <c r="B261" s="71"/>
      <c r="C261" s="23"/>
      <c r="D261" s="23"/>
      <c r="E261" s="23"/>
      <c r="F261" s="23"/>
      <c r="G261" s="2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25">
      <c r="A262" s="5"/>
      <c r="B262" s="71"/>
      <c r="C262" s="23"/>
      <c r="D262" s="23"/>
      <c r="E262" s="23"/>
      <c r="F262" s="23"/>
      <c r="G262" s="2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25">
      <c r="A263" s="5"/>
      <c r="B263" s="71"/>
      <c r="C263" s="23"/>
      <c r="D263" s="23"/>
      <c r="E263" s="23"/>
      <c r="F263" s="23"/>
      <c r="G263" s="2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25">
      <c r="A264" s="5"/>
      <c r="B264" s="71"/>
      <c r="C264" s="23"/>
      <c r="D264" s="23"/>
      <c r="E264" s="23"/>
      <c r="F264" s="23"/>
      <c r="G264" s="2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25">
      <c r="A265" s="5"/>
      <c r="B265" s="71"/>
      <c r="C265" s="23"/>
      <c r="D265" s="23"/>
      <c r="E265" s="23"/>
      <c r="F265" s="23"/>
      <c r="G265" s="2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25">
      <c r="A266" s="5"/>
      <c r="B266" s="71"/>
      <c r="C266" s="23"/>
      <c r="D266" s="23"/>
      <c r="E266" s="23"/>
      <c r="F266" s="23"/>
      <c r="G266" s="2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25">
      <c r="A267" s="5"/>
      <c r="B267" s="71"/>
      <c r="C267" s="23"/>
      <c r="D267" s="23"/>
      <c r="E267" s="23"/>
      <c r="F267" s="23"/>
      <c r="G267" s="2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25">
      <c r="A268" s="5"/>
      <c r="B268" s="71"/>
      <c r="C268" s="23"/>
      <c r="D268" s="23"/>
      <c r="E268" s="23"/>
      <c r="F268" s="23"/>
      <c r="G268" s="2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25">
      <c r="A269" s="5"/>
      <c r="B269" s="71"/>
      <c r="C269" s="23"/>
      <c r="D269" s="23"/>
      <c r="E269" s="23"/>
      <c r="F269" s="23"/>
      <c r="G269" s="2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25">
      <c r="A270" s="5"/>
      <c r="B270" s="71"/>
      <c r="C270" s="23"/>
      <c r="D270" s="23"/>
      <c r="E270" s="23"/>
      <c r="F270" s="23"/>
      <c r="G270" s="2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25">
      <c r="A271" s="5"/>
      <c r="B271" s="71"/>
      <c r="C271" s="23"/>
      <c r="D271" s="23"/>
      <c r="E271" s="23"/>
      <c r="F271" s="23"/>
      <c r="G271" s="2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25">
      <c r="A272" s="5"/>
      <c r="B272" s="71"/>
      <c r="C272" s="23"/>
      <c r="D272" s="23"/>
      <c r="E272" s="23"/>
      <c r="F272" s="23"/>
      <c r="G272" s="2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25">
      <c r="A273" s="5"/>
      <c r="B273" s="71"/>
      <c r="C273" s="23"/>
      <c r="D273" s="23"/>
      <c r="E273" s="23"/>
      <c r="F273" s="23"/>
      <c r="G273" s="2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25">
      <c r="A274" s="5"/>
      <c r="B274" s="71"/>
      <c r="C274" s="23"/>
      <c r="D274" s="23"/>
      <c r="E274" s="23"/>
      <c r="F274" s="23"/>
      <c r="G274" s="2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25">
      <c r="A275" s="5"/>
      <c r="B275" s="71"/>
      <c r="C275" s="23"/>
      <c r="D275" s="23"/>
      <c r="E275" s="23"/>
      <c r="F275" s="23"/>
      <c r="G275" s="2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25">
      <c r="A276" s="5"/>
      <c r="B276" s="71"/>
      <c r="C276" s="23"/>
      <c r="D276" s="23"/>
      <c r="E276" s="23"/>
      <c r="F276" s="23"/>
      <c r="G276" s="2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25">
      <c r="A277" s="5"/>
      <c r="B277" s="71"/>
      <c r="C277" s="23"/>
      <c r="D277" s="23"/>
      <c r="E277" s="23"/>
      <c r="F277" s="23"/>
      <c r="G277" s="2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25">
      <c r="A278" s="5"/>
      <c r="B278" s="71"/>
      <c r="C278" s="23"/>
      <c r="D278" s="23"/>
      <c r="E278" s="23"/>
      <c r="F278" s="23"/>
      <c r="G278" s="2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25">
      <c r="A279" s="5"/>
      <c r="B279" s="71"/>
      <c r="C279" s="23"/>
      <c r="D279" s="23"/>
      <c r="E279" s="23"/>
      <c r="F279" s="23"/>
      <c r="G279" s="2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25">
      <c r="A280" s="5"/>
      <c r="B280" s="71"/>
      <c r="C280" s="23"/>
      <c r="D280" s="23"/>
      <c r="E280" s="23"/>
      <c r="F280" s="23"/>
      <c r="G280" s="2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25">
      <c r="A281" s="5"/>
      <c r="B281" s="71"/>
      <c r="C281" s="23"/>
      <c r="D281" s="23"/>
      <c r="E281" s="23"/>
      <c r="F281" s="23"/>
      <c r="G281" s="2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25">
      <c r="A282" s="5"/>
      <c r="B282" s="71"/>
      <c r="C282" s="23"/>
      <c r="D282" s="23"/>
      <c r="E282" s="23"/>
      <c r="F282" s="23"/>
      <c r="G282" s="2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25">
      <c r="A283" s="5"/>
      <c r="B283" s="71"/>
      <c r="C283" s="23"/>
      <c r="D283" s="23"/>
      <c r="E283" s="23"/>
      <c r="F283" s="23"/>
      <c r="G283" s="2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25">
      <c r="A284" s="5"/>
      <c r="B284" s="71"/>
      <c r="C284" s="23"/>
      <c r="D284" s="23"/>
      <c r="E284" s="23"/>
      <c r="F284" s="23"/>
      <c r="G284" s="2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25">
      <c r="A285" s="5"/>
      <c r="B285" s="71"/>
      <c r="C285" s="23"/>
      <c r="D285" s="23"/>
      <c r="E285" s="23"/>
      <c r="F285" s="23"/>
      <c r="G285" s="2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25">
      <c r="A286" s="5"/>
      <c r="B286" s="71"/>
      <c r="C286" s="23"/>
      <c r="D286" s="23"/>
      <c r="E286" s="23"/>
      <c r="F286" s="23"/>
      <c r="G286" s="2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25">
      <c r="A287" s="5"/>
      <c r="B287" s="71"/>
      <c r="C287" s="23"/>
      <c r="D287" s="23"/>
      <c r="E287" s="23"/>
      <c r="F287" s="23"/>
      <c r="G287" s="2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25">
      <c r="A288" s="5"/>
      <c r="B288" s="71"/>
      <c r="C288" s="23"/>
      <c r="D288" s="23"/>
      <c r="E288" s="23"/>
      <c r="F288" s="23"/>
      <c r="G288" s="2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25">
      <c r="A289" s="5"/>
      <c r="B289" s="71"/>
      <c r="C289" s="23"/>
      <c r="D289" s="23"/>
      <c r="E289" s="23"/>
      <c r="F289" s="23"/>
      <c r="G289" s="2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25">
      <c r="A290" s="5"/>
      <c r="B290" s="71"/>
      <c r="C290" s="23"/>
      <c r="D290" s="23"/>
      <c r="E290" s="23"/>
      <c r="F290" s="23"/>
      <c r="G290" s="2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25">
      <c r="A291" s="5"/>
      <c r="B291" s="71"/>
      <c r="C291" s="23"/>
      <c r="D291" s="23"/>
      <c r="E291" s="23"/>
      <c r="F291" s="23"/>
      <c r="G291" s="2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25">
      <c r="A292" s="5"/>
      <c r="B292" s="71"/>
      <c r="C292" s="23"/>
      <c r="D292" s="23"/>
      <c r="E292" s="23"/>
      <c r="F292" s="23"/>
      <c r="G292" s="2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25">
      <c r="A293" s="5"/>
      <c r="B293" s="71"/>
      <c r="C293" s="23"/>
      <c r="D293" s="23"/>
      <c r="E293" s="23"/>
      <c r="F293" s="23"/>
      <c r="G293" s="2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25">
      <c r="A294" s="5"/>
      <c r="B294" s="71"/>
      <c r="C294" s="23"/>
      <c r="D294" s="23"/>
      <c r="E294" s="23"/>
      <c r="F294" s="23"/>
      <c r="G294" s="2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25">
      <c r="A295" s="5"/>
      <c r="B295" s="71"/>
      <c r="C295" s="23"/>
      <c r="D295" s="23"/>
      <c r="E295" s="23"/>
      <c r="F295" s="23"/>
      <c r="G295" s="2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25">
      <c r="A296" s="5"/>
      <c r="B296" s="71"/>
      <c r="C296" s="23"/>
      <c r="D296" s="23"/>
      <c r="E296" s="23"/>
      <c r="F296" s="23"/>
      <c r="G296" s="2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25">
      <c r="A297" s="5"/>
      <c r="B297" s="71"/>
      <c r="C297" s="23"/>
      <c r="D297" s="23"/>
      <c r="E297" s="23"/>
      <c r="F297" s="23"/>
      <c r="G297" s="2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25">
      <c r="A298" s="5"/>
      <c r="B298" s="71"/>
      <c r="C298" s="23"/>
      <c r="D298" s="23"/>
      <c r="E298" s="23"/>
      <c r="F298" s="23"/>
      <c r="G298" s="2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25">
      <c r="A299" s="5"/>
      <c r="B299" s="71"/>
      <c r="C299" s="23"/>
      <c r="D299" s="23"/>
      <c r="E299" s="23"/>
      <c r="F299" s="23"/>
      <c r="G299" s="2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25">
      <c r="A300" s="5"/>
      <c r="B300" s="71"/>
      <c r="C300" s="23"/>
      <c r="D300" s="23"/>
      <c r="E300" s="23"/>
      <c r="F300" s="23"/>
      <c r="G300" s="2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25">
      <c r="A301" s="5"/>
      <c r="B301" s="71"/>
      <c r="C301" s="23"/>
      <c r="D301" s="23"/>
      <c r="E301" s="23"/>
      <c r="F301" s="23"/>
      <c r="G301" s="2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25">
      <c r="A302" s="5"/>
      <c r="B302" s="71"/>
      <c r="C302" s="23"/>
      <c r="D302" s="23"/>
      <c r="E302" s="23"/>
      <c r="F302" s="23"/>
      <c r="G302" s="2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25">
      <c r="A303" s="5"/>
      <c r="B303" s="71"/>
      <c r="C303" s="23"/>
      <c r="D303" s="23"/>
      <c r="E303" s="23"/>
      <c r="F303" s="23"/>
      <c r="G303" s="2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25">
      <c r="A304" s="5"/>
      <c r="B304" s="71"/>
      <c r="C304" s="23"/>
      <c r="D304" s="23"/>
      <c r="E304" s="23"/>
      <c r="F304" s="23"/>
      <c r="G304" s="2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25">
      <c r="A305" s="5"/>
      <c r="B305" s="71"/>
      <c r="C305" s="23"/>
      <c r="D305" s="23"/>
      <c r="E305" s="23"/>
      <c r="F305" s="23"/>
      <c r="G305" s="2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25">
      <c r="A306" s="5"/>
      <c r="B306" s="71"/>
      <c r="C306" s="23"/>
      <c r="D306" s="23"/>
      <c r="E306" s="23"/>
      <c r="F306" s="23"/>
      <c r="G306" s="2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25">
      <c r="A307" s="5"/>
      <c r="B307" s="71"/>
      <c r="C307" s="23"/>
      <c r="D307" s="23"/>
      <c r="E307" s="23"/>
      <c r="F307" s="23"/>
      <c r="G307" s="2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25">
      <c r="A308" s="5"/>
      <c r="B308" s="71"/>
      <c r="C308" s="23"/>
      <c r="D308" s="23"/>
      <c r="E308" s="23"/>
      <c r="F308" s="23"/>
      <c r="G308" s="2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25">
      <c r="A309" s="5"/>
      <c r="B309" s="71"/>
      <c r="C309" s="23"/>
      <c r="D309" s="23"/>
      <c r="E309" s="23"/>
      <c r="F309" s="23"/>
      <c r="G309" s="2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25">
      <c r="A310" s="5"/>
      <c r="B310" s="71"/>
      <c r="C310" s="23"/>
      <c r="D310" s="23"/>
      <c r="E310" s="23"/>
      <c r="F310" s="23"/>
      <c r="G310" s="2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25">
      <c r="A311" s="5"/>
      <c r="B311" s="71"/>
      <c r="C311" s="23"/>
      <c r="D311" s="23"/>
      <c r="E311" s="23"/>
      <c r="F311" s="23"/>
      <c r="G311" s="2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25">
      <c r="A312" s="5"/>
      <c r="B312" s="71"/>
      <c r="C312" s="23"/>
      <c r="D312" s="23"/>
      <c r="E312" s="23"/>
      <c r="F312" s="23"/>
      <c r="G312" s="2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25">
      <c r="A313" s="5"/>
      <c r="B313" s="71"/>
      <c r="C313" s="23"/>
      <c r="D313" s="23"/>
      <c r="E313" s="23"/>
      <c r="F313" s="23"/>
      <c r="G313" s="2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25">
      <c r="A314" s="5"/>
      <c r="B314" s="71"/>
      <c r="C314" s="23"/>
      <c r="D314" s="23"/>
      <c r="E314" s="23"/>
      <c r="F314" s="23"/>
      <c r="G314" s="2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25">
      <c r="A315" s="5"/>
      <c r="B315" s="71"/>
      <c r="C315" s="23"/>
      <c r="D315" s="23"/>
      <c r="E315" s="23"/>
      <c r="F315" s="23"/>
      <c r="G315" s="2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25">
      <c r="A316" s="5"/>
      <c r="B316" s="71"/>
      <c r="C316" s="23"/>
      <c r="D316" s="23"/>
      <c r="E316" s="23"/>
      <c r="F316" s="23"/>
      <c r="G316" s="2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25">
      <c r="A317" s="5"/>
      <c r="B317" s="71"/>
      <c r="C317" s="23"/>
      <c r="D317" s="23"/>
      <c r="E317" s="23"/>
      <c r="F317" s="23"/>
      <c r="G317" s="2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25">
      <c r="A318" s="5"/>
      <c r="B318" s="71"/>
      <c r="C318" s="23"/>
      <c r="D318" s="23"/>
      <c r="E318" s="23"/>
      <c r="F318" s="23"/>
      <c r="G318" s="2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25">
      <c r="A319" s="5"/>
      <c r="B319" s="71"/>
      <c r="C319" s="23"/>
      <c r="D319" s="23"/>
      <c r="E319" s="23"/>
      <c r="F319" s="23"/>
      <c r="G319" s="2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25">
      <c r="A320" s="5"/>
      <c r="B320" s="71"/>
      <c r="C320" s="23"/>
      <c r="D320" s="23"/>
      <c r="E320" s="23"/>
      <c r="F320" s="23"/>
      <c r="G320" s="2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25">
      <c r="A321" s="5"/>
      <c r="B321" s="71"/>
      <c r="C321" s="23"/>
      <c r="D321" s="23"/>
      <c r="E321" s="23"/>
      <c r="F321" s="23"/>
      <c r="G321" s="2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25">
      <c r="A322" s="5"/>
      <c r="B322" s="71"/>
      <c r="C322" s="23"/>
      <c r="D322" s="23"/>
      <c r="E322" s="23"/>
      <c r="F322" s="23"/>
      <c r="G322" s="2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25">
      <c r="A323" s="5"/>
      <c r="B323" s="71"/>
      <c r="C323" s="23"/>
      <c r="D323" s="23"/>
      <c r="E323" s="23"/>
      <c r="F323" s="23"/>
      <c r="G323" s="2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25">
      <c r="A324" s="5"/>
      <c r="B324" s="71"/>
      <c r="C324" s="23"/>
      <c r="D324" s="23"/>
      <c r="E324" s="23"/>
      <c r="F324" s="23"/>
      <c r="G324" s="2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25">
      <c r="A325" s="5"/>
      <c r="B325" s="71"/>
      <c r="C325" s="23"/>
      <c r="D325" s="23"/>
      <c r="E325" s="23"/>
      <c r="F325" s="23"/>
      <c r="G325" s="2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25">
      <c r="A326" s="5"/>
      <c r="B326" s="71"/>
      <c r="C326" s="23"/>
      <c r="D326" s="23"/>
      <c r="E326" s="23"/>
      <c r="F326" s="23"/>
      <c r="G326" s="2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25">
      <c r="A327" s="5"/>
      <c r="B327" s="71"/>
      <c r="C327" s="23"/>
      <c r="D327" s="23"/>
      <c r="E327" s="23"/>
      <c r="F327" s="23"/>
      <c r="G327" s="2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25">
      <c r="A328" s="5"/>
      <c r="B328" s="71"/>
      <c r="C328" s="23"/>
      <c r="D328" s="23"/>
      <c r="E328" s="23"/>
      <c r="F328" s="23"/>
      <c r="G328" s="2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25">
      <c r="A329" s="5"/>
      <c r="B329" s="71"/>
      <c r="C329" s="23"/>
      <c r="D329" s="23"/>
      <c r="E329" s="23"/>
      <c r="F329" s="23"/>
      <c r="G329" s="2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25">
      <c r="A330" s="5"/>
      <c r="B330" s="71"/>
      <c r="C330" s="23"/>
      <c r="D330" s="23"/>
      <c r="E330" s="23"/>
      <c r="F330" s="23"/>
      <c r="G330" s="2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25">
      <c r="A331" s="5"/>
      <c r="B331" s="71"/>
      <c r="C331" s="23"/>
      <c r="D331" s="23"/>
      <c r="E331" s="23"/>
      <c r="F331" s="23"/>
      <c r="G331" s="2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25">
      <c r="A332" s="5"/>
      <c r="B332" s="71"/>
      <c r="C332" s="23"/>
      <c r="D332" s="23"/>
      <c r="E332" s="23"/>
      <c r="F332" s="23"/>
      <c r="G332" s="2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25">
      <c r="A333" s="5"/>
      <c r="B333" s="71"/>
      <c r="C333" s="23"/>
      <c r="D333" s="23"/>
      <c r="E333" s="23"/>
      <c r="F333" s="23"/>
      <c r="G333" s="2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25">
      <c r="A334" s="5"/>
      <c r="B334" s="71"/>
      <c r="C334" s="23"/>
      <c r="D334" s="23"/>
      <c r="E334" s="23"/>
      <c r="F334" s="23"/>
      <c r="G334" s="2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25">
      <c r="A335" s="5"/>
      <c r="B335" s="71"/>
      <c r="C335" s="23"/>
      <c r="D335" s="23"/>
      <c r="E335" s="23"/>
      <c r="F335" s="23"/>
      <c r="G335" s="2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25">
      <c r="A336" s="5"/>
      <c r="B336" s="71"/>
      <c r="C336" s="23"/>
      <c r="D336" s="23"/>
      <c r="E336" s="23"/>
      <c r="F336" s="23"/>
      <c r="G336" s="2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25">
      <c r="A337" s="5"/>
      <c r="B337" s="71"/>
      <c r="C337" s="23"/>
      <c r="D337" s="23"/>
      <c r="E337" s="23"/>
      <c r="F337" s="23"/>
      <c r="G337" s="2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25">
      <c r="A338" s="5"/>
      <c r="B338" s="71"/>
      <c r="C338" s="23"/>
      <c r="D338" s="23"/>
      <c r="E338" s="23"/>
      <c r="F338" s="23"/>
      <c r="G338" s="2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25">
      <c r="A339" s="5"/>
      <c r="B339" s="71"/>
      <c r="C339" s="23"/>
      <c r="D339" s="23"/>
      <c r="E339" s="23"/>
      <c r="F339" s="23"/>
      <c r="G339" s="2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25">
      <c r="A340" s="5"/>
      <c r="B340" s="71"/>
      <c r="C340" s="23"/>
      <c r="D340" s="23"/>
      <c r="E340" s="23"/>
      <c r="F340" s="23"/>
      <c r="G340" s="2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25">
      <c r="A341" s="5"/>
      <c r="B341" s="71"/>
      <c r="C341" s="23"/>
      <c r="D341" s="23"/>
      <c r="E341" s="23"/>
      <c r="F341" s="23"/>
      <c r="G341" s="2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25">
      <c r="A342" s="5"/>
      <c r="B342" s="71"/>
      <c r="C342" s="23"/>
      <c r="D342" s="23"/>
      <c r="E342" s="23"/>
      <c r="F342" s="23"/>
      <c r="G342" s="2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25">
      <c r="A343" s="5"/>
      <c r="B343" s="71"/>
      <c r="C343" s="23"/>
      <c r="D343" s="23"/>
      <c r="E343" s="23"/>
      <c r="F343" s="23"/>
      <c r="G343" s="2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25">
      <c r="A344" s="5"/>
      <c r="B344" s="71"/>
      <c r="C344" s="23"/>
      <c r="D344" s="23"/>
      <c r="E344" s="23"/>
      <c r="F344" s="23"/>
      <c r="G344" s="2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25">
      <c r="A345" s="5"/>
      <c r="B345" s="71"/>
      <c r="C345" s="23"/>
      <c r="D345" s="23"/>
      <c r="E345" s="23"/>
      <c r="F345" s="23"/>
      <c r="G345" s="2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25">
      <c r="A346" s="5"/>
      <c r="B346" s="71"/>
      <c r="C346" s="23"/>
      <c r="D346" s="23"/>
      <c r="E346" s="23"/>
      <c r="F346" s="23"/>
      <c r="G346" s="2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25">
      <c r="A347" s="5"/>
      <c r="B347" s="71"/>
      <c r="C347" s="23"/>
      <c r="D347" s="23"/>
      <c r="E347" s="23"/>
      <c r="F347" s="23"/>
      <c r="G347" s="2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25">
      <c r="A348" s="5"/>
      <c r="B348" s="71"/>
      <c r="C348" s="23"/>
      <c r="D348" s="23"/>
      <c r="E348" s="23"/>
      <c r="F348" s="23"/>
      <c r="G348" s="2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25">
      <c r="A349" s="5"/>
      <c r="B349" s="71"/>
      <c r="C349" s="23"/>
      <c r="D349" s="23"/>
      <c r="E349" s="23"/>
      <c r="F349" s="23"/>
      <c r="G349" s="2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25">
      <c r="A350" s="5"/>
      <c r="B350" s="71"/>
      <c r="C350" s="23"/>
      <c r="D350" s="23"/>
      <c r="E350" s="23"/>
      <c r="F350" s="23"/>
      <c r="G350" s="2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25">
      <c r="A351" s="5"/>
      <c r="B351" s="71"/>
      <c r="C351" s="23"/>
      <c r="D351" s="23"/>
      <c r="E351" s="23"/>
      <c r="F351" s="23"/>
      <c r="G351" s="2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25">
      <c r="A352" s="5"/>
      <c r="B352" s="71"/>
      <c r="C352" s="23"/>
      <c r="D352" s="23"/>
      <c r="E352" s="23"/>
      <c r="F352" s="23"/>
      <c r="G352" s="2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25">
      <c r="A353" s="5"/>
      <c r="B353" s="71"/>
      <c r="C353" s="23"/>
      <c r="D353" s="23"/>
      <c r="E353" s="23"/>
      <c r="F353" s="23"/>
      <c r="G353" s="2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25">
      <c r="A354" s="5"/>
      <c r="B354" s="71"/>
      <c r="C354" s="23"/>
      <c r="D354" s="23"/>
      <c r="E354" s="23"/>
      <c r="F354" s="23"/>
      <c r="G354" s="2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25">
      <c r="A355" s="5"/>
      <c r="B355" s="71"/>
      <c r="C355" s="23"/>
      <c r="D355" s="23"/>
      <c r="E355" s="23"/>
      <c r="F355" s="23"/>
      <c r="G355" s="2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25">
      <c r="A356" s="5"/>
      <c r="B356" s="71"/>
      <c r="C356" s="23"/>
      <c r="D356" s="23"/>
      <c r="E356" s="23"/>
      <c r="F356" s="23"/>
      <c r="G356" s="2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25">
      <c r="A357" s="5"/>
      <c r="B357" s="71"/>
      <c r="C357" s="23"/>
      <c r="D357" s="23"/>
      <c r="E357" s="23"/>
      <c r="F357" s="23"/>
      <c r="G357" s="2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25">
      <c r="A358" s="5"/>
      <c r="B358" s="71"/>
      <c r="C358" s="23"/>
      <c r="D358" s="23"/>
      <c r="E358" s="23"/>
      <c r="F358" s="23"/>
      <c r="G358" s="2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25">
      <c r="A359" s="5"/>
      <c r="B359" s="71"/>
      <c r="C359" s="23"/>
      <c r="D359" s="23"/>
      <c r="E359" s="23"/>
      <c r="F359" s="23"/>
      <c r="G359" s="2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25">
      <c r="A360" s="5"/>
      <c r="B360" s="71"/>
      <c r="C360" s="23"/>
      <c r="D360" s="23"/>
      <c r="E360" s="23"/>
      <c r="F360" s="23"/>
      <c r="G360" s="2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25">
      <c r="A361" s="5"/>
      <c r="B361" s="71"/>
      <c r="C361" s="23"/>
      <c r="D361" s="23"/>
      <c r="E361" s="23"/>
      <c r="F361" s="23"/>
      <c r="G361" s="2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25">
      <c r="A362" s="5"/>
      <c r="B362" s="71"/>
      <c r="C362" s="23"/>
      <c r="D362" s="23"/>
      <c r="E362" s="23"/>
      <c r="F362" s="23"/>
      <c r="G362" s="2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25">
      <c r="A363" s="5"/>
      <c r="B363" s="71"/>
      <c r="C363" s="23"/>
      <c r="D363" s="23"/>
      <c r="E363" s="23"/>
      <c r="F363" s="23"/>
      <c r="G363" s="2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25">
      <c r="A364" s="5"/>
      <c r="B364" s="71"/>
      <c r="C364" s="23"/>
      <c r="D364" s="23"/>
      <c r="E364" s="23"/>
      <c r="F364" s="23"/>
      <c r="G364" s="2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25">
      <c r="A365" s="5"/>
      <c r="B365" s="71"/>
      <c r="C365" s="23"/>
      <c r="D365" s="23"/>
      <c r="E365" s="23"/>
      <c r="F365" s="23"/>
      <c r="G365" s="2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25">
      <c r="A366" s="5"/>
      <c r="B366" s="71"/>
      <c r="C366" s="23"/>
      <c r="D366" s="23"/>
      <c r="E366" s="23"/>
      <c r="F366" s="23"/>
      <c r="G366" s="2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25">
      <c r="A367" s="5"/>
      <c r="B367" s="71"/>
      <c r="C367" s="23"/>
      <c r="D367" s="23"/>
      <c r="E367" s="23"/>
      <c r="F367" s="23"/>
      <c r="G367" s="2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25">
      <c r="A368" s="5"/>
      <c r="B368" s="71"/>
      <c r="C368" s="23"/>
      <c r="D368" s="23"/>
      <c r="E368" s="23"/>
      <c r="F368" s="23"/>
      <c r="G368" s="2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25">
      <c r="A369" s="5"/>
      <c r="B369" s="71"/>
      <c r="C369" s="23"/>
      <c r="D369" s="23"/>
      <c r="E369" s="23"/>
      <c r="F369" s="23"/>
      <c r="G369" s="2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25">
      <c r="A370" s="5"/>
      <c r="B370" s="71"/>
      <c r="C370" s="23"/>
      <c r="D370" s="23"/>
      <c r="E370" s="23"/>
      <c r="F370" s="23"/>
      <c r="G370" s="2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25">
      <c r="A371" s="5"/>
      <c r="B371" s="71"/>
      <c r="C371" s="23"/>
      <c r="D371" s="23"/>
      <c r="E371" s="23"/>
      <c r="F371" s="23"/>
      <c r="G371" s="2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25">
      <c r="A372" s="5"/>
      <c r="B372" s="71"/>
      <c r="C372" s="23"/>
      <c r="D372" s="23"/>
      <c r="E372" s="23"/>
      <c r="F372" s="23"/>
      <c r="G372" s="2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25">
      <c r="A373" s="5"/>
      <c r="B373" s="71"/>
      <c r="C373" s="23"/>
      <c r="D373" s="23"/>
      <c r="E373" s="23"/>
      <c r="F373" s="23"/>
      <c r="G373" s="2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25">
      <c r="A374" s="5"/>
      <c r="B374" s="71"/>
      <c r="C374" s="23"/>
      <c r="D374" s="23"/>
      <c r="E374" s="23"/>
      <c r="F374" s="23"/>
      <c r="G374" s="2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25">
      <c r="A375" s="5"/>
      <c r="B375" s="71"/>
      <c r="C375" s="23"/>
      <c r="D375" s="23"/>
      <c r="E375" s="23"/>
      <c r="F375" s="23"/>
      <c r="G375" s="2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25">
      <c r="A376" s="5"/>
      <c r="B376" s="71"/>
      <c r="C376" s="23"/>
      <c r="D376" s="23"/>
      <c r="E376" s="23"/>
      <c r="F376" s="23"/>
      <c r="G376" s="2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25">
      <c r="A377" s="5"/>
      <c r="B377" s="71"/>
      <c r="C377" s="23"/>
      <c r="D377" s="23"/>
      <c r="E377" s="23"/>
      <c r="F377" s="23"/>
      <c r="G377" s="2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25">
      <c r="A378" s="5"/>
      <c r="B378" s="71"/>
      <c r="C378" s="23"/>
      <c r="D378" s="23"/>
      <c r="E378" s="23"/>
      <c r="F378" s="23"/>
      <c r="G378" s="2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25">
      <c r="A379" s="5"/>
      <c r="B379" s="71"/>
      <c r="C379" s="23"/>
      <c r="D379" s="23"/>
      <c r="E379" s="23"/>
      <c r="F379" s="23"/>
      <c r="G379" s="2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25">
      <c r="A380" s="5"/>
      <c r="B380" s="71"/>
      <c r="C380" s="23"/>
      <c r="D380" s="23"/>
      <c r="E380" s="23"/>
      <c r="F380" s="23"/>
      <c r="G380" s="2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25">
      <c r="A381" s="5"/>
      <c r="B381" s="71"/>
      <c r="C381" s="23"/>
      <c r="D381" s="23"/>
      <c r="E381" s="23"/>
      <c r="F381" s="23"/>
      <c r="G381" s="2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25">
      <c r="A382" s="5"/>
      <c r="B382" s="71"/>
      <c r="C382" s="23"/>
      <c r="D382" s="23"/>
      <c r="E382" s="23"/>
      <c r="F382" s="23"/>
      <c r="G382" s="2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25">
      <c r="A383" s="5"/>
      <c r="B383" s="71"/>
      <c r="C383" s="23"/>
      <c r="D383" s="23"/>
      <c r="E383" s="23"/>
      <c r="F383" s="23"/>
      <c r="G383" s="2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25">
      <c r="A384" s="5"/>
      <c r="B384" s="71"/>
      <c r="C384" s="23"/>
      <c r="D384" s="23"/>
      <c r="E384" s="23"/>
      <c r="F384" s="23"/>
      <c r="G384" s="2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25">
      <c r="A385" s="5"/>
      <c r="B385" s="71"/>
      <c r="C385" s="23"/>
      <c r="D385" s="23"/>
      <c r="E385" s="23"/>
      <c r="F385" s="23"/>
      <c r="G385" s="2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25">
      <c r="A386" s="5"/>
      <c r="B386" s="71"/>
      <c r="C386" s="23"/>
      <c r="D386" s="23"/>
      <c r="E386" s="23"/>
      <c r="F386" s="23"/>
      <c r="G386" s="2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25">
      <c r="A387" s="5"/>
      <c r="B387" s="71"/>
      <c r="C387" s="23"/>
      <c r="D387" s="23"/>
      <c r="E387" s="23"/>
      <c r="F387" s="23"/>
      <c r="G387" s="2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25">
      <c r="A388" s="5"/>
      <c r="B388" s="71"/>
      <c r="C388" s="23"/>
      <c r="D388" s="23"/>
      <c r="E388" s="23"/>
      <c r="F388" s="23"/>
      <c r="G388" s="2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25">
      <c r="A389" s="5"/>
      <c r="B389" s="71"/>
      <c r="C389" s="23"/>
      <c r="D389" s="23"/>
      <c r="E389" s="23"/>
      <c r="F389" s="23"/>
      <c r="G389" s="2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25">
      <c r="A390" s="5"/>
      <c r="B390" s="71"/>
      <c r="C390" s="23"/>
      <c r="D390" s="23"/>
      <c r="E390" s="23"/>
      <c r="F390" s="23"/>
      <c r="G390" s="2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25">
      <c r="A391" s="5"/>
      <c r="B391" s="71"/>
      <c r="C391" s="23"/>
      <c r="D391" s="23"/>
      <c r="E391" s="23"/>
      <c r="F391" s="23"/>
      <c r="G391" s="2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25">
      <c r="A392" s="5"/>
      <c r="B392" s="71"/>
      <c r="C392" s="23"/>
      <c r="D392" s="23"/>
      <c r="E392" s="23"/>
      <c r="F392" s="23"/>
      <c r="G392" s="2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25">
      <c r="A393" s="5"/>
      <c r="B393" s="71"/>
      <c r="C393" s="23"/>
      <c r="D393" s="23"/>
      <c r="E393" s="23"/>
      <c r="F393" s="23"/>
      <c r="G393" s="2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25">
      <c r="A394" s="5"/>
      <c r="B394" s="71"/>
      <c r="C394" s="23"/>
      <c r="D394" s="23"/>
      <c r="E394" s="23"/>
      <c r="F394" s="23"/>
      <c r="G394" s="2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25">
      <c r="A395" s="5"/>
      <c r="B395" s="71"/>
      <c r="C395" s="23"/>
      <c r="D395" s="23"/>
      <c r="E395" s="23"/>
      <c r="F395" s="23"/>
      <c r="G395" s="2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25">
      <c r="A396" s="5"/>
      <c r="B396" s="71"/>
      <c r="C396" s="23"/>
      <c r="D396" s="23"/>
      <c r="E396" s="23"/>
      <c r="F396" s="23"/>
      <c r="G396" s="2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25">
      <c r="A397" s="5"/>
      <c r="B397" s="71"/>
      <c r="C397" s="23"/>
      <c r="D397" s="23"/>
      <c r="E397" s="23"/>
      <c r="F397" s="23"/>
      <c r="G397" s="2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25">
      <c r="A398" s="5"/>
      <c r="B398" s="71"/>
      <c r="C398" s="23"/>
      <c r="D398" s="23"/>
      <c r="E398" s="23"/>
      <c r="F398" s="23"/>
      <c r="G398" s="2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25">
      <c r="A399" s="5"/>
      <c r="B399" s="71"/>
      <c r="C399" s="23"/>
      <c r="D399" s="23"/>
      <c r="E399" s="23"/>
      <c r="F399" s="23"/>
      <c r="G399" s="2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25">
      <c r="A400" s="5"/>
      <c r="B400" s="71"/>
      <c r="C400" s="23"/>
      <c r="D400" s="23"/>
      <c r="E400" s="23"/>
      <c r="F400" s="23"/>
      <c r="G400" s="2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25">
      <c r="A401" s="5"/>
      <c r="B401" s="71"/>
      <c r="C401" s="23"/>
      <c r="D401" s="23"/>
      <c r="E401" s="23"/>
      <c r="F401" s="23"/>
      <c r="G401" s="2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25">
      <c r="A402" s="5"/>
      <c r="B402" s="71"/>
      <c r="C402" s="23"/>
      <c r="D402" s="23"/>
      <c r="E402" s="23"/>
      <c r="F402" s="23"/>
      <c r="G402" s="2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25">
      <c r="A403" s="5"/>
      <c r="B403" s="71"/>
      <c r="C403" s="23"/>
      <c r="D403" s="23"/>
      <c r="E403" s="23"/>
      <c r="F403" s="23"/>
      <c r="G403" s="2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25">
      <c r="A404" s="5"/>
      <c r="B404" s="71"/>
      <c r="C404" s="23"/>
      <c r="D404" s="23"/>
      <c r="E404" s="23"/>
      <c r="F404" s="23"/>
      <c r="G404" s="2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25">
      <c r="A405" s="5"/>
      <c r="B405" s="71"/>
      <c r="C405" s="23"/>
      <c r="D405" s="23"/>
      <c r="E405" s="23"/>
      <c r="F405" s="23"/>
      <c r="G405" s="2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25">
      <c r="A406" s="5"/>
      <c r="B406" s="71"/>
      <c r="C406" s="23"/>
      <c r="D406" s="23"/>
      <c r="E406" s="23"/>
      <c r="F406" s="23"/>
      <c r="G406" s="2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25">
      <c r="A407" s="5"/>
      <c r="B407" s="71"/>
      <c r="C407" s="23"/>
      <c r="D407" s="23"/>
      <c r="E407" s="23"/>
      <c r="F407" s="23"/>
      <c r="G407" s="2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25">
      <c r="A408" s="5"/>
      <c r="B408" s="71"/>
      <c r="C408" s="23"/>
      <c r="D408" s="23"/>
      <c r="E408" s="23"/>
      <c r="F408" s="23"/>
      <c r="G408" s="2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25">
      <c r="A409" s="5"/>
      <c r="B409" s="71"/>
      <c r="C409" s="23"/>
      <c r="D409" s="23"/>
      <c r="E409" s="23"/>
      <c r="F409" s="23"/>
      <c r="G409" s="2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25">
      <c r="A410" s="5"/>
      <c r="B410" s="71"/>
      <c r="C410" s="23"/>
      <c r="D410" s="23"/>
      <c r="E410" s="23"/>
      <c r="F410" s="23"/>
      <c r="G410" s="2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25">
      <c r="A411" s="5"/>
      <c r="B411" s="71"/>
      <c r="C411" s="23"/>
      <c r="D411" s="23"/>
      <c r="E411" s="23"/>
      <c r="F411" s="23"/>
      <c r="G411" s="2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25">
      <c r="A412" s="5"/>
      <c r="B412" s="71"/>
      <c r="C412" s="23"/>
      <c r="D412" s="23"/>
      <c r="E412" s="23"/>
      <c r="F412" s="23"/>
      <c r="G412" s="2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25">
      <c r="A413" s="5"/>
      <c r="B413" s="71"/>
      <c r="C413" s="23"/>
      <c r="D413" s="23"/>
      <c r="E413" s="23"/>
      <c r="F413" s="23"/>
      <c r="G413" s="2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25">
      <c r="A414" s="5"/>
      <c r="B414" s="71"/>
      <c r="C414" s="23"/>
      <c r="D414" s="23"/>
      <c r="E414" s="23"/>
      <c r="F414" s="23"/>
      <c r="G414" s="2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25">
      <c r="A415" s="5"/>
      <c r="B415" s="71"/>
      <c r="C415" s="23"/>
      <c r="D415" s="23"/>
      <c r="E415" s="23"/>
      <c r="F415" s="23"/>
      <c r="G415" s="2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25">
      <c r="A416" s="5"/>
      <c r="B416" s="71"/>
      <c r="C416" s="23"/>
      <c r="D416" s="23"/>
      <c r="E416" s="23"/>
      <c r="F416" s="23"/>
      <c r="G416" s="2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25">
      <c r="A417" s="5"/>
      <c r="B417" s="71"/>
      <c r="C417" s="23"/>
      <c r="D417" s="23"/>
      <c r="E417" s="23"/>
      <c r="F417" s="23"/>
      <c r="G417" s="2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25">
      <c r="A418" s="5"/>
      <c r="B418" s="71"/>
      <c r="C418" s="23"/>
      <c r="D418" s="23"/>
      <c r="E418" s="23"/>
      <c r="F418" s="23"/>
      <c r="G418" s="2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25">
      <c r="A419" s="5"/>
      <c r="B419" s="71"/>
      <c r="C419" s="23"/>
      <c r="D419" s="23"/>
      <c r="E419" s="23"/>
      <c r="F419" s="23"/>
      <c r="G419" s="2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25">
      <c r="A420" s="5"/>
      <c r="B420" s="71"/>
      <c r="C420" s="23"/>
      <c r="D420" s="23"/>
      <c r="E420" s="23"/>
      <c r="F420" s="23"/>
      <c r="G420" s="2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25">
      <c r="A421" s="5"/>
      <c r="B421" s="71"/>
      <c r="C421" s="23"/>
      <c r="D421" s="23"/>
      <c r="E421" s="23"/>
      <c r="F421" s="23"/>
      <c r="G421" s="2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25">
      <c r="A422" s="5"/>
      <c r="B422" s="71"/>
      <c r="C422" s="23"/>
      <c r="D422" s="23"/>
      <c r="E422" s="23"/>
      <c r="F422" s="23"/>
      <c r="G422" s="2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25">
      <c r="A423" s="5"/>
      <c r="B423" s="71"/>
      <c r="C423" s="23"/>
      <c r="D423" s="23"/>
      <c r="E423" s="23"/>
      <c r="F423" s="23"/>
      <c r="G423" s="2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25">
      <c r="A424" s="5"/>
      <c r="B424" s="71"/>
      <c r="C424" s="23"/>
      <c r="D424" s="23"/>
      <c r="E424" s="23"/>
      <c r="F424" s="23"/>
      <c r="G424" s="2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25">
      <c r="A425" s="5"/>
      <c r="B425" s="71"/>
      <c r="C425" s="23"/>
      <c r="D425" s="23"/>
      <c r="E425" s="23"/>
      <c r="F425" s="23"/>
      <c r="G425" s="2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25">
      <c r="A426" s="5"/>
      <c r="B426" s="71"/>
      <c r="C426" s="23"/>
      <c r="D426" s="23"/>
      <c r="E426" s="23"/>
      <c r="F426" s="23"/>
      <c r="G426" s="2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25">
      <c r="A427" s="5"/>
      <c r="B427" s="71"/>
      <c r="C427" s="23"/>
      <c r="D427" s="23"/>
      <c r="E427" s="23"/>
      <c r="F427" s="23"/>
      <c r="G427" s="2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25">
      <c r="A428" s="5"/>
      <c r="B428" s="71"/>
      <c r="C428" s="23"/>
      <c r="D428" s="23"/>
      <c r="E428" s="23"/>
      <c r="F428" s="23"/>
      <c r="G428" s="2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25">
      <c r="A429" s="5"/>
      <c r="B429" s="71"/>
      <c r="C429" s="23"/>
      <c r="D429" s="23"/>
      <c r="E429" s="23"/>
      <c r="F429" s="23"/>
      <c r="G429" s="2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25">
      <c r="A430" s="5"/>
      <c r="B430" s="71"/>
      <c r="C430" s="23"/>
      <c r="D430" s="23"/>
      <c r="E430" s="23"/>
      <c r="F430" s="23"/>
      <c r="G430" s="2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25">
      <c r="A431" s="5"/>
      <c r="B431" s="71"/>
      <c r="C431" s="23"/>
      <c r="D431" s="23"/>
      <c r="E431" s="23"/>
      <c r="F431" s="23"/>
      <c r="G431" s="2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25">
      <c r="A432" s="5"/>
      <c r="B432" s="71"/>
      <c r="C432" s="23"/>
      <c r="D432" s="23"/>
      <c r="E432" s="23"/>
      <c r="F432" s="23"/>
      <c r="G432" s="2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25">
      <c r="A433" s="5"/>
      <c r="B433" s="71"/>
      <c r="C433" s="23"/>
      <c r="D433" s="23"/>
      <c r="E433" s="23"/>
      <c r="F433" s="23"/>
      <c r="G433" s="2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25">
      <c r="A434" s="5"/>
      <c r="B434" s="71"/>
      <c r="C434" s="23"/>
      <c r="D434" s="23"/>
      <c r="E434" s="23"/>
      <c r="F434" s="23"/>
      <c r="G434" s="2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25">
      <c r="A435" s="5"/>
      <c r="B435" s="71"/>
      <c r="C435" s="23"/>
      <c r="D435" s="23"/>
      <c r="E435" s="23"/>
      <c r="F435" s="23"/>
      <c r="G435" s="2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25">
      <c r="A436" s="5"/>
      <c r="B436" s="71"/>
      <c r="C436" s="23"/>
      <c r="D436" s="23"/>
      <c r="E436" s="23"/>
      <c r="F436" s="23"/>
      <c r="G436" s="2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25">
      <c r="A437" s="5"/>
      <c r="B437" s="71"/>
      <c r="C437" s="23"/>
      <c r="D437" s="23"/>
      <c r="E437" s="23"/>
      <c r="F437" s="23"/>
      <c r="G437" s="2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25">
      <c r="A438" s="5"/>
      <c r="B438" s="71"/>
      <c r="C438" s="23"/>
      <c r="D438" s="23"/>
      <c r="E438" s="23"/>
      <c r="F438" s="23"/>
      <c r="G438" s="2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25">
      <c r="A439" s="5"/>
      <c r="B439" s="71"/>
      <c r="C439" s="23"/>
      <c r="D439" s="23"/>
      <c r="E439" s="23"/>
      <c r="F439" s="23"/>
      <c r="G439" s="2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25">
      <c r="A440" s="5"/>
      <c r="B440" s="71"/>
      <c r="C440" s="23"/>
      <c r="D440" s="23"/>
      <c r="E440" s="23"/>
      <c r="F440" s="23"/>
      <c r="G440" s="2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25">
      <c r="A441" s="5"/>
      <c r="B441" s="71"/>
      <c r="C441" s="23"/>
      <c r="D441" s="23"/>
      <c r="E441" s="23"/>
      <c r="F441" s="23"/>
      <c r="G441" s="2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25">
      <c r="A442" s="5"/>
      <c r="B442" s="71"/>
      <c r="C442" s="23"/>
      <c r="D442" s="23"/>
      <c r="E442" s="23"/>
      <c r="F442" s="23"/>
      <c r="G442" s="2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25">
      <c r="A443" s="5"/>
      <c r="B443" s="71"/>
      <c r="C443" s="23"/>
      <c r="D443" s="23"/>
      <c r="E443" s="23"/>
      <c r="F443" s="23"/>
      <c r="G443" s="2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25">
      <c r="A444" s="5"/>
      <c r="B444" s="71"/>
      <c r="C444" s="23"/>
      <c r="D444" s="23"/>
      <c r="E444" s="23"/>
      <c r="F444" s="23"/>
      <c r="G444" s="2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25">
      <c r="A445" s="5"/>
      <c r="B445" s="71"/>
      <c r="C445" s="23"/>
      <c r="D445" s="23"/>
      <c r="E445" s="23"/>
      <c r="F445" s="23"/>
      <c r="G445" s="2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25">
      <c r="A446" s="5"/>
      <c r="B446" s="71"/>
      <c r="C446" s="23"/>
      <c r="D446" s="23"/>
      <c r="E446" s="23"/>
      <c r="F446" s="23"/>
      <c r="G446" s="2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25">
      <c r="A447" s="5"/>
      <c r="B447" s="71"/>
      <c r="C447" s="23"/>
      <c r="D447" s="23"/>
      <c r="E447" s="23"/>
      <c r="F447" s="23"/>
      <c r="G447" s="2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25">
      <c r="A448" s="5"/>
      <c r="B448" s="71"/>
      <c r="C448" s="23"/>
      <c r="D448" s="23"/>
      <c r="E448" s="23"/>
      <c r="F448" s="23"/>
      <c r="G448" s="2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25">
      <c r="A449" s="5"/>
      <c r="B449" s="71"/>
      <c r="C449" s="23"/>
      <c r="D449" s="23"/>
      <c r="E449" s="23"/>
      <c r="F449" s="23"/>
      <c r="G449" s="2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25">
      <c r="A450" s="5"/>
      <c r="B450" s="71"/>
      <c r="C450" s="23"/>
      <c r="D450" s="23"/>
      <c r="E450" s="23"/>
      <c r="F450" s="23"/>
      <c r="G450" s="2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25">
      <c r="A451" s="5"/>
      <c r="B451" s="71"/>
      <c r="C451" s="23"/>
      <c r="D451" s="23"/>
      <c r="E451" s="23"/>
      <c r="F451" s="23"/>
      <c r="G451" s="2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25">
      <c r="A452" s="5"/>
      <c r="B452" s="71"/>
      <c r="C452" s="23"/>
      <c r="D452" s="23"/>
      <c r="E452" s="23"/>
      <c r="F452" s="23"/>
      <c r="G452" s="2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25">
      <c r="A453" s="5"/>
      <c r="B453" s="71"/>
      <c r="C453" s="23"/>
      <c r="D453" s="23"/>
      <c r="E453" s="23"/>
      <c r="F453" s="23"/>
      <c r="G453" s="2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25">
      <c r="A454" s="5"/>
      <c r="B454" s="71"/>
      <c r="C454" s="23"/>
      <c r="D454" s="23"/>
      <c r="E454" s="23"/>
      <c r="F454" s="23"/>
      <c r="G454" s="2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25">
      <c r="A455" s="5"/>
      <c r="B455" s="71"/>
      <c r="C455" s="23"/>
      <c r="D455" s="23"/>
      <c r="E455" s="23"/>
      <c r="F455" s="23"/>
      <c r="G455" s="2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25">
      <c r="A456" s="5"/>
      <c r="B456" s="71"/>
      <c r="C456" s="23"/>
      <c r="D456" s="23"/>
      <c r="E456" s="23"/>
      <c r="F456" s="23"/>
      <c r="G456" s="2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25">
      <c r="A457" s="5"/>
      <c r="B457" s="71"/>
      <c r="C457" s="23"/>
      <c r="D457" s="23"/>
      <c r="E457" s="23"/>
      <c r="F457" s="23"/>
      <c r="G457" s="2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25">
      <c r="A458" s="5"/>
      <c r="B458" s="71"/>
      <c r="C458" s="23"/>
      <c r="D458" s="23"/>
      <c r="E458" s="23"/>
      <c r="F458" s="23"/>
      <c r="G458" s="2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25">
      <c r="A459" s="5"/>
      <c r="B459" s="71"/>
      <c r="C459" s="23"/>
      <c r="D459" s="23"/>
      <c r="E459" s="23"/>
      <c r="F459" s="23"/>
      <c r="G459" s="2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25">
      <c r="A460" s="5"/>
      <c r="B460" s="71"/>
      <c r="C460" s="23"/>
      <c r="D460" s="23"/>
      <c r="E460" s="23"/>
      <c r="F460" s="23"/>
      <c r="G460" s="2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25">
      <c r="A461" s="5"/>
      <c r="B461" s="71"/>
      <c r="C461" s="23"/>
      <c r="D461" s="23"/>
      <c r="E461" s="23"/>
      <c r="F461" s="23"/>
      <c r="G461" s="2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25">
      <c r="A462" s="5"/>
      <c r="B462" s="71"/>
      <c r="C462" s="23"/>
      <c r="D462" s="23"/>
      <c r="E462" s="23"/>
      <c r="F462" s="23"/>
      <c r="G462" s="2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25">
      <c r="A463" s="5"/>
      <c r="B463" s="71"/>
      <c r="C463" s="23"/>
      <c r="D463" s="23"/>
      <c r="E463" s="23"/>
      <c r="F463" s="23"/>
      <c r="G463" s="2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25">
      <c r="A464" s="5"/>
      <c r="B464" s="71"/>
      <c r="C464" s="23"/>
      <c r="D464" s="23"/>
      <c r="E464" s="23"/>
      <c r="F464" s="23"/>
      <c r="G464" s="2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25">
      <c r="A465" s="5"/>
      <c r="B465" s="71"/>
      <c r="C465" s="23"/>
      <c r="D465" s="23"/>
      <c r="E465" s="23"/>
      <c r="F465" s="23"/>
      <c r="G465" s="2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25">
      <c r="A466" s="5"/>
      <c r="B466" s="71"/>
      <c r="C466" s="23"/>
      <c r="D466" s="23"/>
      <c r="E466" s="23"/>
      <c r="F466" s="23"/>
      <c r="G466" s="2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25">
      <c r="A467" s="5"/>
      <c r="B467" s="71"/>
      <c r="C467" s="23"/>
      <c r="D467" s="23"/>
      <c r="E467" s="23"/>
      <c r="F467" s="23"/>
      <c r="G467" s="2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25">
      <c r="A468" s="5"/>
      <c r="B468" s="71"/>
      <c r="C468" s="23"/>
      <c r="D468" s="23"/>
      <c r="E468" s="23"/>
      <c r="F468" s="23"/>
      <c r="G468" s="2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25">
      <c r="A469" s="5"/>
      <c r="B469" s="71"/>
      <c r="C469" s="23"/>
      <c r="D469" s="23"/>
      <c r="E469" s="23"/>
      <c r="F469" s="23"/>
      <c r="G469" s="2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25">
      <c r="A470" s="5"/>
      <c r="B470" s="71"/>
      <c r="C470" s="23"/>
      <c r="D470" s="23"/>
      <c r="E470" s="23"/>
      <c r="F470" s="23"/>
      <c r="G470" s="2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25">
      <c r="A471" s="5"/>
      <c r="B471" s="71"/>
      <c r="C471" s="23"/>
      <c r="D471" s="23"/>
      <c r="E471" s="23"/>
      <c r="F471" s="23"/>
      <c r="G471" s="2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25">
      <c r="A472" s="5"/>
      <c r="B472" s="71"/>
      <c r="C472" s="23"/>
      <c r="D472" s="23"/>
      <c r="E472" s="23"/>
      <c r="F472" s="23"/>
      <c r="G472" s="2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25">
      <c r="A473" s="5"/>
      <c r="B473" s="71"/>
      <c r="C473" s="23"/>
      <c r="D473" s="23"/>
      <c r="E473" s="23"/>
      <c r="F473" s="23"/>
      <c r="G473" s="2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25">
      <c r="A474" s="5"/>
      <c r="B474" s="71"/>
      <c r="C474" s="23"/>
      <c r="D474" s="23"/>
      <c r="E474" s="23"/>
      <c r="F474" s="23"/>
      <c r="G474" s="2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25">
      <c r="A475" s="5"/>
      <c r="B475" s="71"/>
      <c r="C475" s="23"/>
      <c r="D475" s="23"/>
      <c r="E475" s="23"/>
      <c r="F475" s="23"/>
      <c r="G475" s="2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25">
      <c r="A476" s="5"/>
      <c r="B476" s="71"/>
      <c r="C476" s="23"/>
      <c r="D476" s="23"/>
      <c r="E476" s="23"/>
      <c r="F476" s="23"/>
      <c r="G476" s="2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25">
      <c r="A477" s="5"/>
      <c r="B477" s="71"/>
      <c r="C477" s="23"/>
      <c r="D477" s="23"/>
      <c r="E477" s="23"/>
      <c r="F477" s="23"/>
      <c r="G477" s="2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25">
      <c r="A478" s="5"/>
      <c r="B478" s="71"/>
      <c r="C478" s="23"/>
      <c r="D478" s="23"/>
      <c r="E478" s="23"/>
      <c r="F478" s="23"/>
      <c r="G478" s="2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25">
      <c r="A479" s="5"/>
      <c r="B479" s="71"/>
      <c r="C479" s="23"/>
      <c r="D479" s="23"/>
      <c r="E479" s="23"/>
      <c r="F479" s="23"/>
      <c r="G479" s="2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25">
      <c r="A480" s="5"/>
      <c r="B480" s="71"/>
      <c r="C480" s="23"/>
      <c r="D480" s="23"/>
      <c r="E480" s="23"/>
      <c r="F480" s="23"/>
      <c r="G480" s="2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25">
      <c r="A481" s="5"/>
      <c r="B481" s="71"/>
      <c r="C481" s="23"/>
      <c r="D481" s="23"/>
      <c r="E481" s="23"/>
      <c r="F481" s="23"/>
      <c r="G481" s="2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25">
      <c r="A482" s="5"/>
      <c r="B482" s="71"/>
      <c r="C482" s="23"/>
      <c r="D482" s="23"/>
      <c r="E482" s="23"/>
      <c r="F482" s="23"/>
      <c r="G482" s="2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25">
      <c r="A483" s="5"/>
      <c r="B483" s="71"/>
      <c r="C483" s="23"/>
      <c r="D483" s="23"/>
      <c r="E483" s="23"/>
      <c r="F483" s="23"/>
      <c r="G483" s="2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25">
      <c r="A484" s="5"/>
      <c r="B484" s="71"/>
      <c r="C484" s="23"/>
      <c r="D484" s="23"/>
      <c r="E484" s="23"/>
      <c r="F484" s="23"/>
      <c r="G484" s="2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25">
      <c r="A485" s="5"/>
      <c r="B485" s="71"/>
      <c r="C485" s="23"/>
      <c r="D485" s="23"/>
      <c r="E485" s="23"/>
      <c r="F485" s="23"/>
      <c r="G485" s="2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25">
      <c r="A486" s="5"/>
      <c r="B486" s="71"/>
      <c r="C486" s="23"/>
      <c r="D486" s="23"/>
      <c r="E486" s="23"/>
      <c r="F486" s="23"/>
      <c r="G486" s="2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25">
      <c r="A487" s="5"/>
      <c r="B487" s="71"/>
      <c r="C487" s="23"/>
      <c r="D487" s="23"/>
      <c r="E487" s="23"/>
      <c r="F487" s="23"/>
      <c r="G487" s="2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25">
      <c r="A488" s="5"/>
      <c r="B488" s="71"/>
      <c r="C488" s="23"/>
      <c r="D488" s="23"/>
      <c r="E488" s="23"/>
      <c r="F488" s="23"/>
      <c r="G488" s="2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25">
      <c r="A489" s="5"/>
      <c r="B489" s="71"/>
      <c r="C489" s="23"/>
      <c r="D489" s="23"/>
      <c r="E489" s="23"/>
      <c r="F489" s="23"/>
      <c r="G489" s="2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25">
      <c r="A490" s="5"/>
      <c r="B490" s="71"/>
      <c r="C490" s="23"/>
      <c r="D490" s="23"/>
      <c r="E490" s="23"/>
      <c r="F490" s="23"/>
      <c r="G490" s="2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25">
      <c r="A491" s="5"/>
      <c r="B491" s="71"/>
      <c r="C491" s="23"/>
      <c r="D491" s="23"/>
      <c r="E491" s="23"/>
      <c r="F491" s="23"/>
      <c r="G491" s="2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25">
      <c r="A492" s="5"/>
      <c r="B492" s="71"/>
      <c r="C492" s="23"/>
      <c r="D492" s="23"/>
      <c r="E492" s="23"/>
      <c r="F492" s="23"/>
      <c r="G492" s="2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25">
      <c r="A493" s="5"/>
      <c r="B493" s="71"/>
      <c r="C493" s="23"/>
      <c r="D493" s="23"/>
      <c r="E493" s="23"/>
      <c r="F493" s="23"/>
      <c r="G493" s="2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25">
      <c r="A494" s="5"/>
      <c r="B494" s="71"/>
      <c r="C494" s="23"/>
      <c r="D494" s="23"/>
      <c r="E494" s="23"/>
      <c r="F494" s="23"/>
      <c r="G494" s="2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25">
      <c r="A495" s="5"/>
      <c r="B495" s="71"/>
      <c r="C495" s="23"/>
      <c r="D495" s="23"/>
      <c r="E495" s="23"/>
      <c r="F495" s="23"/>
      <c r="G495" s="2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25">
      <c r="A496" s="5"/>
      <c r="B496" s="71"/>
      <c r="C496" s="23"/>
      <c r="D496" s="23"/>
      <c r="E496" s="23"/>
      <c r="F496" s="23"/>
      <c r="G496" s="2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25">
      <c r="A497" s="5"/>
      <c r="B497" s="71"/>
      <c r="C497" s="23"/>
      <c r="D497" s="23"/>
      <c r="E497" s="23"/>
      <c r="F497" s="23"/>
      <c r="G497" s="2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25">
      <c r="A498" s="5"/>
      <c r="B498" s="71"/>
      <c r="C498" s="23"/>
      <c r="D498" s="23"/>
      <c r="E498" s="23"/>
      <c r="F498" s="23"/>
      <c r="G498" s="2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25">
      <c r="A499" s="5"/>
      <c r="B499" s="71"/>
      <c r="C499" s="23"/>
      <c r="D499" s="23"/>
      <c r="E499" s="23"/>
      <c r="F499" s="23"/>
      <c r="G499" s="2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25">
      <c r="A500" s="5"/>
      <c r="B500" s="71"/>
      <c r="C500" s="23"/>
      <c r="D500" s="23"/>
      <c r="E500" s="23"/>
      <c r="F500" s="23"/>
      <c r="G500" s="2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25">
      <c r="A501" s="5"/>
      <c r="B501" s="71"/>
      <c r="C501" s="23"/>
      <c r="D501" s="23"/>
      <c r="E501" s="23"/>
      <c r="F501" s="23"/>
      <c r="G501" s="2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25">
      <c r="A502" s="5"/>
      <c r="B502" s="71"/>
      <c r="C502" s="23"/>
      <c r="D502" s="23"/>
      <c r="E502" s="23"/>
      <c r="F502" s="23"/>
      <c r="G502" s="2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25">
      <c r="A503" s="5"/>
      <c r="B503" s="71"/>
      <c r="C503" s="23"/>
      <c r="D503" s="23"/>
      <c r="E503" s="23"/>
      <c r="F503" s="23"/>
      <c r="G503" s="2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25">
      <c r="A504" s="5"/>
      <c r="B504" s="71"/>
      <c r="C504" s="23"/>
      <c r="D504" s="23"/>
      <c r="E504" s="23"/>
      <c r="F504" s="23"/>
      <c r="G504" s="2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25">
      <c r="A505" s="5"/>
      <c r="B505" s="71"/>
      <c r="C505" s="23"/>
      <c r="D505" s="23"/>
      <c r="E505" s="23"/>
      <c r="F505" s="23"/>
      <c r="G505" s="2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25">
      <c r="A506" s="5"/>
      <c r="B506" s="71"/>
      <c r="C506" s="23"/>
      <c r="D506" s="23"/>
      <c r="E506" s="23"/>
      <c r="F506" s="23"/>
      <c r="G506" s="2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25">
      <c r="A507" s="5"/>
      <c r="B507" s="71"/>
      <c r="C507" s="23"/>
      <c r="D507" s="23"/>
      <c r="E507" s="23"/>
      <c r="F507" s="23"/>
      <c r="G507" s="2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25">
      <c r="A508" s="5"/>
      <c r="B508" s="71"/>
      <c r="C508" s="23"/>
      <c r="D508" s="23"/>
      <c r="E508" s="23"/>
      <c r="F508" s="23"/>
      <c r="G508" s="2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25">
      <c r="A509" s="5"/>
      <c r="B509" s="71"/>
      <c r="C509" s="23"/>
      <c r="D509" s="23"/>
      <c r="E509" s="23"/>
      <c r="F509" s="23"/>
      <c r="G509" s="2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25">
      <c r="A510" s="5"/>
      <c r="B510" s="71"/>
      <c r="C510" s="23"/>
      <c r="D510" s="23"/>
      <c r="E510" s="23"/>
      <c r="F510" s="23"/>
      <c r="G510" s="2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25">
      <c r="A511" s="5"/>
      <c r="B511" s="71"/>
      <c r="C511" s="23"/>
      <c r="D511" s="23"/>
      <c r="E511" s="23"/>
      <c r="F511" s="23"/>
      <c r="G511" s="2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25">
      <c r="A512" s="5"/>
      <c r="B512" s="71"/>
      <c r="C512" s="23"/>
      <c r="D512" s="23"/>
      <c r="E512" s="23"/>
      <c r="F512" s="23"/>
      <c r="G512" s="2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25">
      <c r="A513" s="5"/>
      <c r="B513" s="71"/>
      <c r="C513" s="23"/>
      <c r="D513" s="23"/>
      <c r="E513" s="23"/>
      <c r="F513" s="23"/>
      <c r="G513" s="2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25">
      <c r="A514" s="5"/>
      <c r="B514" s="71"/>
      <c r="C514" s="23"/>
      <c r="D514" s="23"/>
      <c r="E514" s="23"/>
      <c r="F514" s="23"/>
      <c r="G514" s="2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25">
      <c r="A515" s="5"/>
      <c r="B515" s="71"/>
      <c r="C515" s="23"/>
      <c r="D515" s="23"/>
      <c r="E515" s="23"/>
      <c r="F515" s="23"/>
      <c r="G515" s="2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25">
      <c r="A516" s="5"/>
      <c r="B516" s="71"/>
      <c r="C516" s="23"/>
      <c r="D516" s="23"/>
      <c r="E516" s="23"/>
      <c r="F516" s="23"/>
      <c r="G516" s="2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25">
      <c r="A517" s="5"/>
      <c r="B517" s="71"/>
      <c r="C517" s="23"/>
      <c r="D517" s="23"/>
      <c r="E517" s="23"/>
      <c r="F517" s="23"/>
      <c r="G517" s="2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25">
      <c r="A518" s="5"/>
      <c r="B518" s="71"/>
      <c r="C518" s="23"/>
      <c r="D518" s="23"/>
      <c r="E518" s="23"/>
      <c r="F518" s="23"/>
      <c r="G518" s="2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25">
      <c r="A519" s="5"/>
      <c r="B519" s="71"/>
      <c r="C519" s="23"/>
      <c r="D519" s="23"/>
      <c r="E519" s="23"/>
      <c r="F519" s="23"/>
      <c r="G519" s="2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25">
      <c r="A520" s="5"/>
      <c r="B520" s="71"/>
      <c r="C520" s="23"/>
      <c r="D520" s="23"/>
      <c r="E520" s="23"/>
      <c r="F520" s="23"/>
      <c r="G520" s="2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25">
      <c r="A521" s="5"/>
      <c r="B521" s="71"/>
      <c r="C521" s="23"/>
      <c r="D521" s="23"/>
      <c r="E521" s="23"/>
      <c r="F521" s="23"/>
      <c r="G521" s="2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25">
      <c r="A522" s="5"/>
      <c r="B522" s="71"/>
      <c r="C522" s="23"/>
      <c r="D522" s="23"/>
      <c r="E522" s="23"/>
      <c r="F522" s="23"/>
      <c r="G522" s="2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25">
      <c r="A523" s="5"/>
      <c r="B523" s="71"/>
      <c r="C523" s="23"/>
      <c r="D523" s="23"/>
      <c r="E523" s="23"/>
      <c r="F523" s="23"/>
      <c r="G523" s="2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25">
      <c r="A524" s="5"/>
      <c r="B524" s="71"/>
      <c r="C524" s="23"/>
      <c r="D524" s="23"/>
      <c r="E524" s="23"/>
      <c r="F524" s="23"/>
      <c r="G524" s="2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25">
      <c r="A525" s="5"/>
      <c r="B525" s="71"/>
      <c r="C525" s="23"/>
      <c r="D525" s="23"/>
      <c r="E525" s="23"/>
      <c r="F525" s="23"/>
      <c r="G525" s="2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25">
      <c r="A526" s="5"/>
      <c r="B526" s="71"/>
      <c r="C526" s="23"/>
      <c r="D526" s="23"/>
      <c r="E526" s="23"/>
      <c r="F526" s="23"/>
      <c r="G526" s="23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25">
      <c r="A527" s="5"/>
      <c r="B527" s="71"/>
      <c r="C527" s="23"/>
      <c r="D527" s="23"/>
      <c r="E527" s="23"/>
      <c r="F527" s="23"/>
      <c r="G527" s="23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25">
      <c r="A528" s="5"/>
      <c r="B528" s="71"/>
      <c r="C528" s="23"/>
      <c r="D528" s="23"/>
      <c r="E528" s="23"/>
      <c r="F528" s="23"/>
      <c r="G528" s="23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25">
      <c r="A529" s="5"/>
      <c r="B529" s="71"/>
      <c r="C529" s="23"/>
      <c r="D529" s="23"/>
      <c r="E529" s="23"/>
      <c r="F529" s="23"/>
      <c r="G529" s="23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25">
      <c r="A530" s="5"/>
      <c r="B530" s="71"/>
      <c r="C530" s="23"/>
      <c r="D530" s="23"/>
      <c r="E530" s="23"/>
      <c r="F530" s="23"/>
      <c r="G530" s="23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25">
      <c r="A531" s="5"/>
      <c r="B531" s="71"/>
      <c r="C531" s="23"/>
      <c r="D531" s="23"/>
      <c r="E531" s="23"/>
      <c r="F531" s="23"/>
      <c r="G531" s="23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25">
      <c r="A532" s="5"/>
      <c r="B532" s="71"/>
      <c r="C532" s="23"/>
      <c r="D532" s="23"/>
      <c r="E532" s="23"/>
      <c r="F532" s="23"/>
      <c r="G532" s="23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25">
      <c r="A533" s="5"/>
      <c r="B533" s="71"/>
      <c r="C533" s="23"/>
      <c r="D533" s="23"/>
      <c r="E533" s="23"/>
      <c r="F533" s="23"/>
      <c r="G533" s="23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25">
      <c r="A534" s="5"/>
      <c r="B534" s="71"/>
      <c r="C534" s="23"/>
      <c r="D534" s="23"/>
      <c r="E534" s="23"/>
      <c r="F534" s="23"/>
      <c r="G534" s="23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25">
      <c r="A535" s="5"/>
      <c r="B535" s="71"/>
      <c r="C535" s="23"/>
      <c r="D535" s="23"/>
      <c r="E535" s="23"/>
      <c r="F535" s="23"/>
      <c r="G535" s="23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25">
      <c r="A536" s="5"/>
      <c r="B536" s="71"/>
      <c r="C536" s="23"/>
      <c r="D536" s="23"/>
      <c r="E536" s="23"/>
      <c r="F536" s="23"/>
      <c r="G536" s="23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25">
      <c r="A537" s="5"/>
      <c r="B537" s="71"/>
      <c r="C537" s="23"/>
      <c r="D537" s="23"/>
      <c r="E537" s="23"/>
      <c r="F537" s="23"/>
      <c r="G537" s="23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25">
      <c r="A538" s="5"/>
      <c r="B538" s="71"/>
      <c r="C538" s="23"/>
      <c r="D538" s="23"/>
      <c r="E538" s="23"/>
      <c r="F538" s="23"/>
      <c r="G538" s="2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25">
      <c r="A539" s="5"/>
      <c r="B539" s="71"/>
      <c r="C539" s="23"/>
      <c r="D539" s="23"/>
      <c r="E539" s="23"/>
      <c r="F539" s="23"/>
      <c r="G539" s="23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25">
      <c r="A540" s="5"/>
      <c r="B540" s="71"/>
      <c r="C540" s="23"/>
      <c r="D540" s="23"/>
      <c r="E540" s="23"/>
      <c r="F540" s="23"/>
      <c r="G540" s="23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25">
      <c r="A541" s="5"/>
      <c r="B541" s="71"/>
      <c r="C541" s="23"/>
      <c r="D541" s="23"/>
      <c r="E541" s="23"/>
      <c r="F541" s="23"/>
      <c r="G541" s="23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25">
      <c r="A542" s="5"/>
      <c r="B542" s="71"/>
      <c r="C542" s="23"/>
      <c r="D542" s="23"/>
      <c r="E542" s="23"/>
      <c r="F542" s="23"/>
      <c r="G542" s="23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25">
      <c r="A543" s="5"/>
      <c r="B543" s="71"/>
      <c r="C543" s="23"/>
      <c r="D543" s="23"/>
      <c r="E543" s="23"/>
      <c r="F543" s="23"/>
      <c r="G543" s="23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25">
      <c r="A544" s="5"/>
      <c r="B544" s="71"/>
      <c r="C544" s="23"/>
      <c r="D544" s="23"/>
      <c r="E544" s="23"/>
      <c r="F544" s="23"/>
      <c r="G544" s="23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25">
      <c r="A545" s="5"/>
      <c r="B545" s="71"/>
      <c r="C545" s="23"/>
      <c r="D545" s="23"/>
      <c r="E545" s="23"/>
      <c r="F545" s="23"/>
      <c r="G545" s="23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25">
      <c r="A546" s="5"/>
      <c r="B546" s="71"/>
      <c r="C546" s="23"/>
      <c r="D546" s="23"/>
      <c r="E546" s="23"/>
      <c r="F546" s="23"/>
      <c r="G546" s="23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25">
      <c r="A547" s="5"/>
      <c r="B547" s="71"/>
      <c r="C547" s="23"/>
      <c r="D547" s="23"/>
      <c r="E547" s="23"/>
      <c r="F547" s="23"/>
      <c r="G547" s="23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25">
      <c r="A548" s="5"/>
      <c r="B548" s="71"/>
      <c r="C548" s="23"/>
      <c r="D548" s="23"/>
      <c r="E548" s="23"/>
      <c r="F548" s="23"/>
      <c r="G548" s="23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25">
      <c r="A549" s="5"/>
      <c r="B549" s="71"/>
      <c r="C549" s="23"/>
      <c r="D549" s="23"/>
      <c r="E549" s="23"/>
      <c r="F549" s="23"/>
      <c r="G549" s="23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25">
      <c r="A550" s="5"/>
      <c r="B550" s="71"/>
      <c r="C550" s="23"/>
      <c r="D550" s="23"/>
      <c r="E550" s="23"/>
      <c r="F550" s="23"/>
      <c r="G550" s="23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25">
      <c r="A551" s="5"/>
      <c r="B551" s="71"/>
      <c r="C551" s="23"/>
      <c r="D551" s="23"/>
      <c r="E551" s="23"/>
      <c r="F551" s="23"/>
      <c r="G551" s="23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25">
      <c r="A552" s="5"/>
      <c r="B552" s="71"/>
      <c r="C552" s="23"/>
      <c r="D552" s="23"/>
      <c r="E552" s="23"/>
      <c r="F552" s="23"/>
      <c r="G552" s="23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25">
      <c r="A553" s="5"/>
      <c r="B553" s="71"/>
      <c r="C553" s="23"/>
      <c r="D553" s="23"/>
      <c r="E553" s="23"/>
      <c r="F553" s="23"/>
      <c r="G553" s="23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25">
      <c r="A554" s="5"/>
      <c r="B554" s="71"/>
      <c r="C554" s="23"/>
      <c r="D554" s="23"/>
      <c r="E554" s="23"/>
      <c r="F554" s="23"/>
      <c r="G554" s="23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25">
      <c r="A555" s="5"/>
      <c r="B555" s="71"/>
      <c r="C555" s="23"/>
      <c r="D555" s="23"/>
      <c r="E555" s="23"/>
      <c r="F555" s="23"/>
      <c r="G555" s="2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25">
      <c r="A556" s="5"/>
      <c r="B556" s="71"/>
      <c r="C556" s="23"/>
      <c r="D556" s="23"/>
      <c r="E556" s="23"/>
      <c r="F556" s="23"/>
      <c r="G556" s="2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25">
      <c r="A557" s="5"/>
      <c r="B557" s="71"/>
      <c r="C557" s="23"/>
      <c r="D557" s="23"/>
      <c r="E557" s="23"/>
      <c r="F557" s="23"/>
      <c r="G557" s="2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25">
      <c r="A558" s="5"/>
      <c r="B558" s="71"/>
      <c r="C558" s="23"/>
      <c r="D558" s="23"/>
      <c r="E558" s="23"/>
      <c r="F558" s="23"/>
      <c r="G558" s="2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25">
      <c r="A559" s="5"/>
      <c r="B559" s="71"/>
      <c r="C559" s="23"/>
      <c r="D559" s="23"/>
      <c r="E559" s="23"/>
      <c r="F559" s="23"/>
      <c r="G559" s="2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25">
      <c r="A560" s="5"/>
      <c r="B560" s="71"/>
      <c r="C560" s="23"/>
      <c r="D560" s="23"/>
      <c r="E560" s="23"/>
      <c r="F560" s="23"/>
      <c r="G560" s="2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25">
      <c r="A561" s="5"/>
      <c r="B561" s="71"/>
      <c r="C561" s="23"/>
      <c r="D561" s="23"/>
      <c r="E561" s="23"/>
      <c r="F561" s="23"/>
      <c r="G561" s="2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25">
      <c r="A562" s="5"/>
      <c r="B562" s="71"/>
      <c r="C562" s="23"/>
      <c r="D562" s="23"/>
      <c r="E562" s="23"/>
      <c r="F562" s="23"/>
      <c r="G562" s="2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25">
      <c r="A563" s="5"/>
      <c r="B563" s="71"/>
      <c r="C563" s="23"/>
      <c r="D563" s="23"/>
      <c r="E563" s="23"/>
      <c r="F563" s="23"/>
      <c r="G563" s="2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25">
      <c r="A564" s="5"/>
      <c r="B564" s="71"/>
      <c r="C564" s="23"/>
      <c r="D564" s="23"/>
      <c r="E564" s="23"/>
      <c r="F564" s="23"/>
      <c r="G564" s="2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25">
      <c r="A565" s="5"/>
      <c r="B565" s="71"/>
      <c r="C565" s="23"/>
      <c r="D565" s="23"/>
      <c r="E565" s="23"/>
      <c r="F565" s="23"/>
      <c r="G565" s="2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25">
      <c r="A566" s="5"/>
      <c r="B566" s="71"/>
      <c r="C566" s="23"/>
      <c r="D566" s="23"/>
      <c r="E566" s="23"/>
      <c r="F566" s="23"/>
      <c r="G566" s="2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25">
      <c r="A567" s="5"/>
      <c r="B567" s="71"/>
      <c r="C567" s="23"/>
      <c r="D567" s="23"/>
      <c r="E567" s="23"/>
      <c r="F567" s="23"/>
      <c r="G567" s="2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25">
      <c r="A568" s="5"/>
      <c r="B568" s="71"/>
      <c r="C568" s="23"/>
      <c r="D568" s="23"/>
      <c r="E568" s="23"/>
      <c r="F568" s="23"/>
      <c r="G568" s="2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25">
      <c r="A569" s="5"/>
      <c r="B569" s="71"/>
      <c r="C569" s="23"/>
      <c r="D569" s="23"/>
      <c r="E569" s="23"/>
      <c r="F569" s="23"/>
      <c r="G569" s="2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25">
      <c r="A570" s="5"/>
      <c r="B570" s="71"/>
      <c r="C570" s="23"/>
      <c r="D570" s="23"/>
      <c r="E570" s="23"/>
      <c r="F570" s="23"/>
      <c r="G570" s="2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25">
      <c r="A571" s="5"/>
      <c r="B571" s="71"/>
      <c r="C571" s="23"/>
      <c r="D571" s="23"/>
      <c r="E571" s="23"/>
      <c r="F571" s="23"/>
      <c r="G571" s="2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25">
      <c r="A572" s="5"/>
      <c r="B572" s="71"/>
      <c r="C572" s="23"/>
      <c r="D572" s="23"/>
      <c r="E572" s="23"/>
      <c r="F572" s="23"/>
      <c r="G572" s="2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25">
      <c r="A573" s="5"/>
      <c r="B573" s="71"/>
      <c r="C573" s="23"/>
      <c r="D573" s="23"/>
      <c r="E573" s="23"/>
      <c r="F573" s="23"/>
      <c r="G573" s="2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25">
      <c r="A574" s="5"/>
      <c r="B574" s="71"/>
      <c r="C574" s="23"/>
      <c r="D574" s="23"/>
      <c r="E574" s="23"/>
      <c r="F574" s="23"/>
      <c r="G574" s="2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25">
      <c r="A575" s="5"/>
      <c r="B575" s="71"/>
      <c r="C575" s="23"/>
      <c r="D575" s="23"/>
      <c r="E575" s="23"/>
      <c r="F575" s="23"/>
      <c r="G575" s="2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25">
      <c r="A576" s="5"/>
      <c r="B576" s="71"/>
      <c r="C576" s="23"/>
      <c r="D576" s="23"/>
      <c r="E576" s="23"/>
      <c r="F576" s="23"/>
      <c r="G576" s="2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25">
      <c r="A577" s="5"/>
      <c r="B577" s="71"/>
      <c r="C577" s="23"/>
      <c r="D577" s="23"/>
      <c r="E577" s="23"/>
      <c r="F577" s="23"/>
      <c r="G577" s="2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25">
      <c r="A578" s="5"/>
      <c r="B578" s="71"/>
      <c r="C578" s="23"/>
      <c r="D578" s="23"/>
      <c r="E578" s="23"/>
      <c r="F578" s="23"/>
      <c r="G578" s="2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25">
      <c r="A579" s="5"/>
      <c r="B579" s="71"/>
      <c r="C579" s="23"/>
      <c r="D579" s="23"/>
      <c r="E579" s="23"/>
      <c r="F579" s="23"/>
      <c r="G579" s="2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25">
      <c r="A580" s="5"/>
      <c r="B580" s="71"/>
      <c r="C580" s="23"/>
      <c r="D580" s="23"/>
      <c r="E580" s="23"/>
      <c r="F580" s="23"/>
      <c r="G580" s="2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25">
      <c r="A581" s="5"/>
      <c r="B581" s="71"/>
      <c r="C581" s="23"/>
      <c r="D581" s="23"/>
      <c r="E581" s="23"/>
      <c r="F581" s="23"/>
      <c r="G581" s="2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25">
      <c r="A582" s="5"/>
      <c r="B582" s="71"/>
      <c r="C582" s="23"/>
      <c r="D582" s="23"/>
      <c r="E582" s="23"/>
      <c r="F582" s="23"/>
      <c r="G582" s="2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25">
      <c r="A583" s="5"/>
      <c r="B583" s="71"/>
      <c r="C583" s="23"/>
      <c r="D583" s="23"/>
      <c r="E583" s="23"/>
      <c r="F583" s="23"/>
      <c r="G583" s="2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25">
      <c r="A584" s="5"/>
      <c r="B584" s="71"/>
      <c r="C584" s="23"/>
      <c r="D584" s="23"/>
      <c r="E584" s="23"/>
      <c r="F584" s="23"/>
      <c r="G584" s="2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25">
      <c r="A585" s="5"/>
      <c r="B585" s="71"/>
      <c r="C585" s="23"/>
      <c r="D585" s="23"/>
      <c r="E585" s="23"/>
      <c r="F585" s="23"/>
      <c r="G585" s="2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25">
      <c r="A586" s="5"/>
      <c r="B586" s="71"/>
      <c r="C586" s="23"/>
      <c r="D586" s="23"/>
      <c r="E586" s="23"/>
      <c r="F586" s="23"/>
      <c r="G586" s="2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25">
      <c r="A587" s="5"/>
      <c r="B587" s="71"/>
      <c r="C587" s="23"/>
      <c r="D587" s="23"/>
      <c r="E587" s="23"/>
      <c r="F587" s="23"/>
      <c r="G587" s="2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25">
      <c r="A588" s="5"/>
      <c r="B588" s="71"/>
      <c r="C588" s="23"/>
      <c r="D588" s="23"/>
      <c r="E588" s="23"/>
      <c r="F588" s="23"/>
      <c r="G588" s="2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25">
      <c r="A589" s="5"/>
      <c r="B589" s="71"/>
      <c r="C589" s="23"/>
      <c r="D589" s="23"/>
      <c r="E589" s="23"/>
      <c r="F589" s="23"/>
      <c r="G589" s="2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25">
      <c r="A590" s="5"/>
      <c r="B590" s="71"/>
      <c r="C590" s="23"/>
      <c r="D590" s="23"/>
      <c r="E590" s="23"/>
      <c r="F590" s="23"/>
      <c r="G590" s="2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25">
      <c r="A591" s="5"/>
      <c r="B591" s="71"/>
      <c r="C591" s="23"/>
      <c r="D591" s="23"/>
      <c r="E591" s="23"/>
      <c r="F591" s="23"/>
      <c r="G591" s="2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25">
      <c r="A592" s="5"/>
      <c r="B592" s="71"/>
      <c r="C592" s="23"/>
      <c r="D592" s="23"/>
      <c r="E592" s="23"/>
      <c r="F592" s="23"/>
      <c r="G592" s="2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25">
      <c r="A593" s="5"/>
      <c r="B593" s="71"/>
      <c r="C593" s="23"/>
      <c r="D593" s="23"/>
      <c r="E593" s="23"/>
      <c r="F593" s="23"/>
      <c r="G593" s="2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25">
      <c r="A594" s="5"/>
      <c r="B594" s="71"/>
      <c r="C594" s="23"/>
      <c r="D594" s="23"/>
      <c r="E594" s="23"/>
      <c r="F594" s="23"/>
      <c r="G594" s="2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25">
      <c r="A595" s="5"/>
      <c r="B595" s="71"/>
      <c r="C595" s="23"/>
      <c r="D595" s="23"/>
      <c r="E595" s="23"/>
      <c r="F595" s="23"/>
      <c r="G595" s="2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25">
      <c r="A596" s="5"/>
      <c r="B596" s="71"/>
      <c r="C596" s="23"/>
      <c r="D596" s="23"/>
      <c r="E596" s="23"/>
      <c r="F596" s="23"/>
      <c r="G596" s="2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25">
      <c r="A597" s="5"/>
      <c r="B597" s="71"/>
      <c r="C597" s="23"/>
      <c r="D597" s="23"/>
      <c r="E597" s="23"/>
      <c r="F597" s="23"/>
      <c r="G597" s="2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25">
      <c r="A598" s="5"/>
      <c r="B598" s="71"/>
      <c r="C598" s="23"/>
      <c r="D598" s="23"/>
      <c r="E598" s="23"/>
      <c r="F598" s="23"/>
      <c r="G598" s="2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25">
      <c r="A599" s="5"/>
      <c r="B599" s="71"/>
      <c r="C599" s="23"/>
      <c r="D599" s="23"/>
      <c r="E599" s="23"/>
      <c r="F599" s="23"/>
      <c r="G599" s="2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25">
      <c r="A600" s="5"/>
      <c r="B600" s="71"/>
      <c r="C600" s="23"/>
      <c r="D600" s="23"/>
      <c r="E600" s="23"/>
      <c r="F600" s="23"/>
      <c r="G600" s="2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25">
      <c r="A601" s="5"/>
      <c r="B601" s="71"/>
      <c r="C601" s="23"/>
      <c r="D601" s="23"/>
      <c r="E601" s="23"/>
      <c r="F601" s="23"/>
      <c r="G601" s="2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25">
      <c r="A602" s="5"/>
      <c r="B602" s="71"/>
      <c r="C602" s="23"/>
      <c r="D602" s="23"/>
      <c r="E602" s="23"/>
      <c r="F602" s="23"/>
      <c r="G602" s="2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25">
      <c r="A603" s="5"/>
      <c r="B603" s="71"/>
      <c r="C603" s="23"/>
      <c r="D603" s="23"/>
      <c r="E603" s="23"/>
      <c r="F603" s="23"/>
      <c r="G603" s="2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25">
      <c r="A604" s="5"/>
      <c r="B604" s="71"/>
      <c r="C604" s="23"/>
      <c r="D604" s="23"/>
      <c r="E604" s="23"/>
      <c r="F604" s="23"/>
      <c r="G604" s="2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25">
      <c r="A605" s="5"/>
      <c r="B605" s="71"/>
      <c r="C605" s="23"/>
      <c r="D605" s="23"/>
      <c r="E605" s="23"/>
      <c r="F605" s="23"/>
      <c r="G605" s="2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25">
      <c r="A606" s="5"/>
      <c r="B606" s="71"/>
      <c r="C606" s="23"/>
      <c r="D606" s="23"/>
      <c r="E606" s="23"/>
      <c r="F606" s="23"/>
      <c r="G606" s="2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25">
      <c r="A607" s="5"/>
      <c r="B607" s="71"/>
      <c r="C607" s="23"/>
      <c r="D607" s="23"/>
      <c r="E607" s="23"/>
      <c r="F607" s="23"/>
      <c r="G607" s="2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25">
      <c r="A608" s="5"/>
      <c r="B608" s="71"/>
      <c r="C608" s="23"/>
      <c r="D608" s="23"/>
      <c r="E608" s="23"/>
      <c r="F608" s="23"/>
      <c r="G608" s="2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25">
      <c r="A609" s="5"/>
      <c r="B609" s="71"/>
      <c r="C609" s="23"/>
      <c r="D609" s="23"/>
      <c r="E609" s="23"/>
      <c r="F609" s="23"/>
      <c r="G609" s="2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25">
      <c r="A610" s="5"/>
      <c r="B610" s="71"/>
      <c r="C610" s="23"/>
      <c r="D610" s="23"/>
      <c r="E610" s="23"/>
      <c r="F610" s="23"/>
      <c r="G610" s="2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25">
      <c r="A611" s="5"/>
      <c r="B611" s="71"/>
      <c r="C611" s="23"/>
      <c r="D611" s="23"/>
      <c r="E611" s="23"/>
      <c r="F611" s="23"/>
      <c r="G611" s="2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25">
      <c r="A612" s="5"/>
      <c r="B612" s="71"/>
      <c r="C612" s="23"/>
      <c r="D612" s="23"/>
      <c r="E612" s="23"/>
      <c r="F612" s="23"/>
      <c r="G612" s="2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25">
      <c r="A613" s="5"/>
      <c r="B613" s="71"/>
      <c r="C613" s="23"/>
      <c r="D613" s="23"/>
      <c r="E613" s="23"/>
      <c r="F613" s="23"/>
      <c r="G613" s="2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25">
      <c r="A614" s="5"/>
      <c r="B614" s="71"/>
      <c r="C614" s="23"/>
      <c r="D614" s="23"/>
      <c r="E614" s="23"/>
      <c r="F614" s="23"/>
      <c r="G614" s="2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25">
      <c r="A615" s="5"/>
      <c r="B615" s="71"/>
      <c r="C615" s="23"/>
      <c r="D615" s="23"/>
      <c r="E615" s="23"/>
      <c r="F615" s="23"/>
      <c r="G615" s="2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25">
      <c r="A616" s="5"/>
      <c r="B616" s="71"/>
      <c r="C616" s="23"/>
      <c r="D616" s="23"/>
      <c r="E616" s="23"/>
      <c r="F616" s="23"/>
      <c r="G616" s="2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25">
      <c r="A617" s="5"/>
      <c r="B617" s="71"/>
      <c r="C617" s="23"/>
      <c r="D617" s="23"/>
      <c r="E617" s="23"/>
      <c r="F617" s="23"/>
      <c r="G617" s="2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25">
      <c r="A618" s="5"/>
      <c r="B618" s="71"/>
      <c r="C618" s="23"/>
      <c r="D618" s="23"/>
      <c r="E618" s="23"/>
      <c r="F618" s="23"/>
      <c r="G618" s="2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25">
      <c r="A619" s="5"/>
      <c r="B619" s="71"/>
      <c r="C619" s="23"/>
      <c r="D619" s="23"/>
      <c r="E619" s="23"/>
      <c r="F619" s="23"/>
      <c r="G619" s="2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25">
      <c r="A620" s="5"/>
      <c r="B620" s="71"/>
      <c r="C620" s="23"/>
      <c r="D620" s="23"/>
      <c r="E620" s="23"/>
      <c r="F620" s="23"/>
      <c r="G620" s="2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25">
      <c r="A621" s="5"/>
      <c r="B621" s="71"/>
      <c r="C621" s="23"/>
      <c r="D621" s="23"/>
      <c r="E621" s="23"/>
      <c r="F621" s="23"/>
      <c r="G621" s="2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25">
      <c r="A622" s="5"/>
      <c r="B622" s="71"/>
      <c r="C622" s="23"/>
      <c r="D622" s="23"/>
      <c r="E622" s="23"/>
      <c r="F622" s="23"/>
      <c r="G622" s="2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25">
      <c r="A623" s="5"/>
      <c r="B623" s="71"/>
      <c r="C623" s="23"/>
      <c r="D623" s="23"/>
      <c r="E623" s="23"/>
      <c r="F623" s="23"/>
      <c r="G623" s="2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25">
      <c r="A624" s="5"/>
      <c r="B624" s="71"/>
      <c r="C624" s="23"/>
      <c r="D624" s="23"/>
      <c r="E624" s="23"/>
      <c r="F624" s="23"/>
      <c r="G624" s="2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25">
      <c r="A625" s="5"/>
      <c r="B625" s="71"/>
      <c r="C625" s="23"/>
      <c r="D625" s="23"/>
      <c r="E625" s="23"/>
      <c r="F625" s="23"/>
      <c r="G625" s="2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25">
      <c r="A626" s="5"/>
      <c r="B626" s="71"/>
      <c r="C626" s="23"/>
      <c r="D626" s="23"/>
      <c r="E626" s="23"/>
      <c r="F626" s="23"/>
      <c r="G626" s="2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25">
      <c r="A627" s="5"/>
      <c r="B627" s="71"/>
      <c r="C627" s="23"/>
      <c r="D627" s="23"/>
      <c r="E627" s="23"/>
      <c r="F627" s="23"/>
      <c r="G627" s="2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25">
      <c r="A628" s="5"/>
      <c r="B628" s="71"/>
      <c r="C628" s="23"/>
      <c r="D628" s="23"/>
      <c r="E628" s="23"/>
      <c r="F628" s="23"/>
      <c r="G628" s="2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25">
      <c r="A629" s="5"/>
      <c r="B629" s="71"/>
      <c r="C629" s="23"/>
      <c r="D629" s="23"/>
      <c r="E629" s="23"/>
      <c r="F629" s="23"/>
      <c r="G629" s="2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25">
      <c r="A630" s="5"/>
      <c r="B630" s="71"/>
      <c r="C630" s="23"/>
      <c r="D630" s="23"/>
      <c r="E630" s="23"/>
      <c r="F630" s="23"/>
      <c r="G630" s="2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25">
      <c r="A631" s="5"/>
      <c r="B631" s="71"/>
      <c r="C631" s="23"/>
      <c r="D631" s="23"/>
      <c r="E631" s="23"/>
      <c r="F631" s="23"/>
      <c r="G631" s="2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25">
      <c r="A632" s="5"/>
      <c r="B632" s="71"/>
      <c r="C632" s="23"/>
      <c r="D632" s="23"/>
      <c r="E632" s="23"/>
      <c r="F632" s="23"/>
      <c r="G632" s="2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25">
      <c r="A633" s="5"/>
      <c r="B633" s="71"/>
      <c r="C633" s="23"/>
      <c r="D633" s="23"/>
      <c r="E633" s="23"/>
      <c r="F633" s="23"/>
      <c r="G633" s="2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25">
      <c r="A634" s="5"/>
      <c r="B634" s="71"/>
      <c r="C634" s="23"/>
      <c r="D634" s="23"/>
      <c r="E634" s="23"/>
      <c r="F634" s="23"/>
      <c r="G634" s="2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25">
      <c r="A635" s="5"/>
      <c r="B635" s="71"/>
      <c r="C635" s="23"/>
      <c r="D635" s="23"/>
      <c r="E635" s="23"/>
      <c r="F635" s="23"/>
      <c r="G635" s="2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25">
      <c r="A636" s="5"/>
      <c r="B636" s="71"/>
      <c r="C636" s="23"/>
      <c r="D636" s="23"/>
      <c r="E636" s="23"/>
      <c r="F636" s="23"/>
      <c r="G636" s="2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25">
      <c r="A637" s="5"/>
      <c r="B637" s="71"/>
      <c r="C637" s="23"/>
      <c r="D637" s="23"/>
      <c r="E637" s="23"/>
      <c r="F637" s="23"/>
      <c r="G637" s="2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25">
      <c r="A638" s="5"/>
      <c r="B638" s="71"/>
      <c r="C638" s="23"/>
      <c r="D638" s="23"/>
      <c r="E638" s="23"/>
      <c r="F638" s="23"/>
      <c r="G638" s="2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25">
      <c r="A639" s="5"/>
      <c r="B639" s="71"/>
      <c r="C639" s="23"/>
      <c r="D639" s="23"/>
      <c r="E639" s="23"/>
      <c r="F639" s="23"/>
      <c r="G639" s="2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25">
      <c r="A640" s="5"/>
      <c r="B640" s="71"/>
      <c r="C640" s="23"/>
      <c r="D640" s="23"/>
      <c r="E640" s="23"/>
      <c r="F640" s="23"/>
      <c r="G640" s="2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25">
      <c r="A641" s="5"/>
      <c r="B641" s="71"/>
      <c r="C641" s="23"/>
      <c r="D641" s="23"/>
      <c r="E641" s="23"/>
      <c r="F641" s="23"/>
      <c r="G641" s="2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25">
      <c r="A642" s="5"/>
      <c r="B642" s="71"/>
      <c r="C642" s="23"/>
      <c r="D642" s="23"/>
      <c r="E642" s="23"/>
      <c r="F642" s="23"/>
      <c r="G642" s="2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25">
      <c r="A643" s="5"/>
      <c r="B643" s="71"/>
      <c r="C643" s="23"/>
      <c r="D643" s="23"/>
      <c r="E643" s="23"/>
      <c r="F643" s="23"/>
      <c r="G643" s="2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25">
      <c r="A644" s="5"/>
      <c r="B644" s="71"/>
      <c r="C644" s="23"/>
      <c r="D644" s="23"/>
      <c r="E644" s="23"/>
      <c r="F644" s="23"/>
      <c r="G644" s="2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25">
      <c r="A645" s="5"/>
      <c r="B645" s="71"/>
      <c r="C645" s="23"/>
      <c r="D645" s="23"/>
      <c r="E645" s="23"/>
      <c r="F645" s="23"/>
      <c r="G645" s="2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25">
      <c r="A646" s="5"/>
      <c r="B646" s="71"/>
      <c r="C646" s="23"/>
      <c r="D646" s="23"/>
      <c r="E646" s="23"/>
      <c r="F646" s="23"/>
      <c r="G646" s="2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25">
      <c r="A647" s="5"/>
      <c r="B647" s="71"/>
      <c r="C647" s="23"/>
      <c r="D647" s="23"/>
      <c r="E647" s="23"/>
      <c r="F647" s="23"/>
      <c r="G647" s="2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25">
      <c r="A648" s="5"/>
      <c r="B648" s="71"/>
      <c r="C648" s="23"/>
      <c r="D648" s="23"/>
      <c r="E648" s="23"/>
      <c r="F648" s="23"/>
      <c r="G648" s="2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25">
      <c r="A649" s="5"/>
      <c r="B649" s="71"/>
      <c r="C649" s="23"/>
      <c r="D649" s="23"/>
      <c r="E649" s="23"/>
      <c r="F649" s="23"/>
      <c r="G649" s="2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25">
      <c r="A650" s="5"/>
      <c r="B650" s="71"/>
      <c r="C650" s="23"/>
      <c r="D650" s="23"/>
      <c r="E650" s="23"/>
      <c r="F650" s="23"/>
      <c r="G650" s="2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25">
      <c r="A651" s="5"/>
      <c r="B651" s="71"/>
      <c r="C651" s="23"/>
      <c r="D651" s="23"/>
      <c r="E651" s="23"/>
      <c r="F651" s="23"/>
      <c r="G651" s="2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25">
      <c r="A652" s="5"/>
      <c r="B652" s="71"/>
      <c r="C652" s="23"/>
      <c r="D652" s="23"/>
      <c r="E652" s="23"/>
      <c r="F652" s="23"/>
      <c r="G652" s="2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25">
      <c r="A653" s="5"/>
      <c r="B653" s="71"/>
      <c r="C653" s="23"/>
      <c r="D653" s="23"/>
      <c r="E653" s="23"/>
      <c r="F653" s="23"/>
      <c r="G653" s="2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25">
      <c r="A654" s="5"/>
      <c r="B654" s="71"/>
      <c r="C654" s="23"/>
      <c r="D654" s="23"/>
      <c r="E654" s="23"/>
      <c r="F654" s="23"/>
      <c r="G654" s="2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25">
      <c r="A655" s="5"/>
      <c r="B655" s="71"/>
      <c r="C655" s="23"/>
      <c r="D655" s="23"/>
      <c r="E655" s="23"/>
      <c r="F655" s="23"/>
      <c r="G655" s="2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25">
      <c r="A656" s="5"/>
      <c r="B656" s="71"/>
      <c r="C656" s="23"/>
      <c r="D656" s="23"/>
      <c r="E656" s="23"/>
      <c r="F656" s="23"/>
      <c r="G656" s="2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25">
      <c r="A657" s="5"/>
      <c r="B657" s="71"/>
      <c r="C657" s="23"/>
      <c r="D657" s="23"/>
      <c r="E657" s="23"/>
      <c r="F657" s="23"/>
      <c r="G657" s="2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25">
      <c r="A658" s="5"/>
      <c r="B658" s="71"/>
      <c r="C658" s="23"/>
      <c r="D658" s="23"/>
      <c r="E658" s="23"/>
      <c r="F658" s="23"/>
      <c r="G658" s="2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25">
      <c r="A659" s="5"/>
      <c r="B659" s="71"/>
      <c r="C659" s="23"/>
      <c r="D659" s="23"/>
      <c r="E659" s="23"/>
      <c r="F659" s="23"/>
      <c r="G659" s="2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25">
      <c r="A660" s="5"/>
      <c r="B660" s="71"/>
      <c r="C660" s="23"/>
      <c r="D660" s="23"/>
      <c r="E660" s="23"/>
      <c r="F660" s="23"/>
      <c r="G660" s="2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25">
      <c r="A661" s="5"/>
      <c r="B661" s="71"/>
      <c r="C661" s="23"/>
      <c r="D661" s="23"/>
      <c r="E661" s="23"/>
      <c r="F661" s="23"/>
      <c r="G661" s="2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25">
      <c r="A662" s="5"/>
      <c r="B662" s="71"/>
      <c r="C662" s="23"/>
      <c r="D662" s="23"/>
      <c r="E662" s="23"/>
      <c r="F662" s="23"/>
      <c r="G662" s="2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25">
      <c r="A663" s="5"/>
      <c r="B663" s="71"/>
      <c r="C663" s="23"/>
      <c r="D663" s="23"/>
      <c r="E663" s="23"/>
      <c r="F663" s="23"/>
      <c r="G663" s="2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25">
      <c r="A664" s="5"/>
      <c r="B664" s="71"/>
      <c r="C664" s="23"/>
      <c r="D664" s="23"/>
      <c r="E664" s="23"/>
      <c r="F664" s="23"/>
      <c r="G664" s="2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25">
      <c r="A665" s="5"/>
      <c r="B665" s="71"/>
      <c r="C665" s="23"/>
      <c r="D665" s="23"/>
      <c r="E665" s="23"/>
      <c r="F665" s="23"/>
      <c r="G665" s="2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25">
      <c r="A666" s="5"/>
      <c r="B666" s="71"/>
      <c r="C666" s="23"/>
      <c r="D666" s="23"/>
      <c r="E666" s="23"/>
      <c r="F666" s="23"/>
      <c r="G666" s="2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25">
      <c r="A667" s="5"/>
      <c r="B667" s="71"/>
      <c r="C667" s="23"/>
      <c r="D667" s="23"/>
      <c r="E667" s="23"/>
      <c r="F667" s="23"/>
      <c r="G667" s="2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25">
      <c r="A668" s="5"/>
      <c r="B668" s="71"/>
      <c r="C668" s="23"/>
      <c r="D668" s="23"/>
      <c r="E668" s="23"/>
      <c r="F668" s="23"/>
      <c r="G668" s="2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25">
      <c r="A669" s="5"/>
      <c r="B669" s="71"/>
      <c r="C669" s="23"/>
      <c r="D669" s="23"/>
      <c r="E669" s="23"/>
      <c r="F669" s="23"/>
      <c r="G669" s="2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25">
      <c r="A670" s="5"/>
      <c r="B670" s="71"/>
      <c r="C670" s="23"/>
      <c r="D670" s="23"/>
      <c r="E670" s="23"/>
      <c r="F670" s="23"/>
      <c r="G670" s="2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25">
      <c r="A671" s="5"/>
      <c r="B671" s="71"/>
      <c r="C671" s="23"/>
      <c r="D671" s="23"/>
      <c r="E671" s="23"/>
      <c r="F671" s="23"/>
      <c r="G671" s="2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25">
      <c r="A672" s="5"/>
      <c r="B672" s="71"/>
      <c r="C672" s="23"/>
      <c r="D672" s="23"/>
      <c r="E672" s="23"/>
      <c r="F672" s="23"/>
      <c r="G672" s="2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25">
      <c r="A673" s="5"/>
      <c r="B673" s="71"/>
      <c r="C673" s="23"/>
      <c r="D673" s="23"/>
      <c r="E673" s="23"/>
      <c r="F673" s="23"/>
      <c r="G673" s="2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25">
      <c r="A674" s="5"/>
      <c r="B674" s="71"/>
      <c r="C674" s="23"/>
      <c r="D674" s="23"/>
      <c r="E674" s="23"/>
      <c r="F674" s="23"/>
      <c r="G674" s="2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25">
      <c r="A675" s="5"/>
      <c r="B675" s="71"/>
      <c r="C675" s="23"/>
      <c r="D675" s="23"/>
      <c r="E675" s="23"/>
      <c r="F675" s="23"/>
      <c r="G675" s="2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25">
      <c r="A676" s="5"/>
      <c r="B676" s="71"/>
      <c r="C676" s="23"/>
      <c r="D676" s="23"/>
      <c r="E676" s="23"/>
      <c r="F676" s="23"/>
      <c r="G676" s="2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25">
      <c r="A677" s="5"/>
      <c r="B677" s="71"/>
      <c r="C677" s="23"/>
      <c r="D677" s="23"/>
      <c r="E677" s="23"/>
      <c r="F677" s="23"/>
      <c r="G677" s="2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25">
      <c r="A678" s="5"/>
      <c r="B678" s="71"/>
      <c r="C678" s="23"/>
      <c r="D678" s="23"/>
      <c r="E678" s="23"/>
      <c r="F678" s="23"/>
      <c r="G678" s="2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25">
      <c r="A679" s="5"/>
      <c r="B679" s="71"/>
      <c r="C679" s="23"/>
      <c r="D679" s="23"/>
      <c r="E679" s="23"/>
      <c r="F679" s="23"/>
      <c r="G679" s="2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25">
      <c r="A680" s="5"/>
      <c r="B680" s="71"/>
      <c r="C680" s="23"/>
      <c r="D680" s="23"/>
      <c r="E680" s="23"/>
      <c r="F680" s="23"/>
      <c r="G680" s="2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25">
      <c r="A681" s="5"/>
      <c r="B681" s="71"/>
      <c r="C681" s="23"/>
      <c r="D681" s="23"/>
      <c r="E681" s="23"/>
      <c r="F681" s="23"/>
      <c r="G681" s="2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25">
      <c r="A682" s="5"/>
      <c r="B682" s="71"/>
      <c r="C682" s="23"/>
      <c r="D682" s="23"/>
      <c r="E682" s="23"/>
      <c r="F682" s="23"/>
      <c r="G682" s="2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25">
      <c r="A683" s="5"/>
      <c r="B683" s="71"/>
      <c r="C683" s="23"/>
      <c r="D683" s="23"/>
      <c r="E683" s="23"/>
      <c r="F683" s="23"/>
      <c r="G683" s="2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25">
      <c r="A684" s="5"/>
      <c r="B684" s="71"/>
      <c r="C684" s="23"/>
      <c r="D684" s="23"/>
      <c r="E684" s="23"/>
      <c r="F684" s="23"/>
      <c r="G684" s="2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25">
      <c r="A685" s="5"/>
      <c r="B685" s="71"/>
      <c r="C685" s="23"/>
      <c r="D685" s="23"/>
      <c r="E685" s="23"/>
      <c r="F685" s="23"/>
      <c r="G685" s="2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25">
      <c r="A686" s="5"/>
      <c r="B686" s="71"/>
      <c r="C686" s="23"/>
      <c r="D686" s="23"/>
      <c r="E686" s="23"/>
      <c r="F686" s="23"/>
      <c r="G686" s="2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25">
      <c r="A687" s="5"/>
      <c r="B687" s="71"/>
      <c r="C687" s="23"/>
      <c r="D687" s="23"/>
      <c r="E687" s="23"/>
      <c r="F687" s="23"/>
      <c r="G687" s="2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25">
      <c r="A688" s="5"/>
      <c r="B688" s="71"/>
      <c r="C688" s="23"/>
      <c r="D688" s="23"/>
      <c r="E688" s="23"/>
      <c r="F688" s="23"/>
      <c r="G688" s="2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25">
      <c r="A689" s="5"/>
      <c r="B689" s="71"/>
      <c r="C689" s="23"/>
      <c r="D689" s="23"/>
      <c r="E689" s="23"/>
      <c r="F689" s="23"/>
      <c r="G689" s="2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25">
      <c r="A690" s="5"/>
      <c r="B690" s="71"/>
      <c r="C690" s="23"/>
      <c r="D690" s="23"/>
      <c r="E690" s="23"/>
      <c r="F690" s="23"/>
      <c r="G690" s="2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25">
      <c r="A691" s="5"/>
      <c r="B691" s="71"/>
      <c r="C691" s="23"/>
      <c r="D691" s="23"/>
      <c r="E691" s="23"/>
      <c r="F691" s="23"/>
      <c r="G691" s="2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25">
      <c r="A692" s="5"/>
      <c r="B692" s="71"/>
      <c r="C692" s="23"/>
      <c r="D692" s="23"/>
      <c r="E692" s="23"/>
      <c r="F692" s="23"/>
      <c r="G692" s="2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25">
      <c r="A693" s="5"/>
      <c r="B693" s="71"/>
      <c r="C693" s="23"/>
      <c r="D693" s="23"/>
      <c r="E693" s="23"/>
      <c r="F693" s="23"/>
      <c r="G693" s="2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25">
      <c r="A694" s="5"/>
      <c r="B694" s="71"/>
      <c r="C694" s="23"/>
      <c r="D694" s="23"/>
      <c r="E694" s="23"/>
      <c r="F694" s="23"/>
      <c r="G694" s="2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25">
      <c r="A695" s="5"/>
      <c r="B695" s="71"/>
      <c r="C695" s="23"/>
      <c r="D695" s="23"/>
      <c r="E695" s="23"/>
      <c r="F695" s="23"/>
      <c r="G695" s="2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25">
      <c r="A696" s="5"/>
      <c r="B696" s="71"/>
      <c r="C696" s="23"/>
      <c r="D696" s="23"/>
      <c r="E696" s="23"/>
      <c r="F696" s="23"/>
      <c r="G696" s="2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25">
      <c r="A697" s="5"/>
      <c r="B697" s="71"/>
      <c r="C697" s="23"/>
      <c r="D697" s="23"/>
      <c r="E697" s="23"/>
      <c r="F697" s="23"/>
      <c r="G697" s="2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25">
      <c r="A698" s="5"/>
      <c r="B698" s="71"/>
      <c r="C698" s="23"/>
      <c r="D698" s="23"/>
      <c r="E698" s="23"/>
      <c r="F698" s="23"/>
      <c r="G698" s="2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25">
      <c r="A699" s="5"/>
      <c r="B699" s="71"/>
      <c r="C699" s="23"/>
      <c r="D699" s="23"/>
      <c r="E699" s="23"/>
      <c r="F699" s="23"/>
      <c r="G699" s="2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25">
      <c r="A700" s="5"/>
      <c r="B700" s="71"/>
      <c r="C700" s="23"/>
      <c r="D700" s="23"/>
      <c r="E700" s="23"/>
      <c r="F700" s="23"/>
      <c r="G700" s="2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25">
      <c r="A701" s="5"/>
      <c r="B701" s="71"/>
      <c r="C701" s="23"/>
      <c r="D701" s="23"/>
      <c r="E701" s="23"/>
      <c r="F701" s="23"/>
      <c r="G701" s="2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25">
      <c r="A702" s="5"/>
      <c r="B702" s="71"/>
      <c r="C702" s="23"/>
      <c r="D702" s="23"/>
      <c r="E702" s="23"/>
      <c r="F702" s="23"/>
      <c r="G702" s="2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25">
      <c r="A703" s="5"/>
      <c r="B703" s="71"/>
      <c r="C703" s="23"/>
      <c r="D703" s="23"/>
      <c r="E703" s="23"/>
      <c r="F703" s="23"/>
      <c r="G703" s="2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25">
      <c r="A704" s="5"/>
      <c r="B704" s="71"/>
      <c r="C704" s="23"/>
      <c r="D704" s="23"/>
      <c r="E704" s="23"/>
      <c r="F704" s="23"/>
      <c r="G704" s="2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25">
      <c r="A705" s="5"/>
      <c r="B705" s="71"/>
      <c r="C705" s="23"/>
      <c r="D705" s="23"/>
      <c r="E705" s="23"/>
      <c r="F705" s="23"/>
      <c r="G705" s="2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25">
      <c r="A706" s="5"/>
      <c r="B706" s="71"/>
      <c r="C706" s="23"/>
      <c r="D706" s="23"/>
      <c r="E706" s="23"/>
      <c r="F706" s="23"/>
      <c r="G706" s="2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25">
      <c r="A707" s="5"/>
      <c r="B707" s="71"/>
      <c r="C707" s="23"/>
      <c r="D707" s="23"/>
      <c r="E707" s="23"/>
      <c r="F707" s="23"/>
      <c r="G707" s="2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25">
      <c r="A708" s="5"/>
      <c r="B708" s="71"/>
      <c r="C708" s="23"/>
      <c r="D708" s="23"/>
      <c r="E708" s="23"/>
      <c r="F708" s="23"/>
      <c r="G708" s="2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25">
      <c r="A709" s="5"/>
      <c r="B709" s="71"/>
      <c r="C709" s="23"/>
      <c r="D709" s="23"/>
      <c r="E709" s="23"/>
      <c r="F709" s="23"/>
      <c r="G709" s="2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25">
      <c r="A710" s="5"/>
      <c r="B710" s="71"/>
      <c r="C710" s="23"/>
      <c r="D710" s="23"/>
      <c r="E710" s="23"/>
      <c r="F710" s="23"/>
      <c r="G710" s="2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25">
      <c r="A711" s="5"/>
      <c r="B711" s="71"/>
      <c r="C711" s="23"/>
      <c r="D711" s="23"/>
      <c r="E711" s="23"/>
      <c r="F711" s="23"/>
      <c r="G711" s="2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25">
      <c r="A712" s="5"/>
      <c r="B712" s="71"/>
      <c r="C712" s="23"/>
      <c r="D712" s="23"/>
      <c r="E712" s="23"/>
      <c r="F712" s="23"/>
      <c r="G712" s="2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25">
      <c r="A713" s="5"/>
      <c r="B713" s="71"/>
      <c r="C713" s="23"/>
      <c r="D713" s="23"/>
      <c r="E713" s="23"/>
      <c r="F713" s="23"/>
      <c r="G713" s="2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25">
      <c r="A714" s="5"/>
      <c r="B714" s="71"/>
      <c r="C714" s="23"/>
      <c r="D714" s="23"/>
      <c r="E714" s="23"/>
      <c r="F714" s="23"/>
      <c r="G714" s="2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25">
      <c r="A715" s="5"/>
      <c r="B715" s="71"/>
      <c r="C715" s="23"/>
      <c r="D715" s="23"/>
      <c r="E715" s="23"/>
      <c r="F715" s="23"/>
      <c r="G715" s="2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25">
      <c r="A716" s="5"/>
      <c r="B716" s="71"/>
      <c r="C716" s="23"/>
      <c r="D716" s="23"/>
      <c r="E716" s="23"/>
      <c r="F716" s="23"/>
      <c r="G716" s="2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25">
      <c r="A717" s="5"/>
      <c r="B717" s="71"/>
      <c r="C717" s="23"/>
      <c r="D717" s="23"/>
      <c r="E717" s="23"/>
      <c r="F717" s="23"/>
      <c r="G717" s="2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25">
      <c r="A718" s="5"/>
      <c r="B718" s="71"/>
      <c r="C718" s="23"/>
      <c r="D718" s="23"/>
      <c r="E718" s="23"/>
      <c r="F718" s="23"/>
      <c r="G718" s="2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25">
      <c r="A719" s="5"/>
      <c r="B719" s="71"/>
      <c r="C719" s="23"/>
      <c r="D719" s="23"/>
      <c r="E719" s="23"/>
      <c r="F719" s="23"/>
      <c r="G719" s="2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25">
      <c r="A720" s="5"/>
      <c r="B720" s="71"/>
      <c r="C720" s="23"/>
      <c r="D720" s="23"/>
      <c r="E720" s="23"/>
      <c r="F720" s="23"/>
      <c r="G720" s="2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25">
      <c r="A721" s="5"/>
      <c r="B721" s="71"/>
      <c r="C721" s="23"/>
      <c r="D721" s="23"/>
      <c r="E721" s="23"/>
      <c r="F721" s="23"/>
      <c r="G721" s="2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25">
      <c r="A722" s="5"/>
      <c r="B722" s="71"/>
      <c r="C722" s="23"/>
      <c r="D722" s="23"/>
      <c r="E722" s="23"/>
      <c r="F722" s="23"/>
      <c r="G722" s="2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25">
      <c r="A723" s="5"/>
      <c r="B723" s="71"/>
      <c r="C723" s="23"/>
      <c r="D723" s="23"/>
      <c r="E723" s="23"/>
      <c r="F723" s="23"/>
      <c r="G723" s="2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25">
      <c r="A724" s="5"/>
      <c r="B724" s="71"/>
      <c r="C724" s="23"/>
      <c r="D724" s="23"/>
      <c r="E724" s="23"/>
      <c r="F724" s="23"/>
      <c r="G724" s="2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25">
      <c r="A725" s="5"/>
      <c r="B725" s="71"/>
      <c r="C725" s="23"/>
      <c r="D725" s="23"/>
      <c r="E725" s="23"/>
      <c r="F725" s="23"/>
      <c r="G725" s="2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25">
      <c r="A726" s="5"/>
      <c r="B726" s="71"/>
      <c r="C726" s="23"/>
      <c r="D726" s="23"/>
      <c r="E726" s="23"/>
      <c r="F726" s="23"/>
      <c r="G726" s="2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25">
      <c r="A727" s="5"/>
      <c r="B727" s="71"/>
      <c r="C727" s="23"/>
      <c r="D727" s="23"/>
      <c r="E727" s="23"/>
      <c r="F727" s="23"/>
      <c r="G727" s="2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25">
      <c r="A728" s="5"/>
      <c r="B728" s="71"/>
      <c r="C728" s="23"/>
      <c r="D728" s="23"/>
      <c r="E728" s="23"/>
      <c r="F728" s="23"/>
      <c r="G728" s="2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25">
      <c r="A729" s="5"/>
      <c r="B729" s="71"/>
      <c r="C729" s="23"/>
      <c r="D729" s="23"/>
      <c r="E729" s="23"/>
      <c r="F729" s="23"/>
      <c r="G729" s="2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25">
      <c r="A730" s="5"/>
      <c r="B730" s="71"/>
      <c r="C730" s="23"/>
      <c r="D730" s="23"/>
      <c r="E730" s="23"/>
      <c r="F730" s="23"/>
      <c r="G730" s="2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25">
      <c r="A731" s="5"/>
      <c r="B731" s="71"/>
      <c r="C731" s="23"/>
      <c r="D731" s="23"/>
      <c r="E731" s="23"/>
      <c r="F731" s="23"/>
      <c r="G731" s="2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25">
      <c r="A732" s="5"/>
      <c r="B732" s="71"/>
      <c r="C732" s="23"/>
      <c r="D732" s="23"/>
      <c r="E732" s="23"/>
      <c r="F732" s="23"/>
      <c r="G732" s="2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25">
      <c r="A733" s="5"/>
      <c r="B733" s="71"/>
      <c r="C733" s="23"/>
      <c r="D733" s="23"/>
      <c r="E733" s="23"/>
      <c r="F733" s="23"/>
      <c r="G733" s="2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25">
      <c r="A734" s="5"/>
      <c r="B734" s="71"/>
      <c r="C734" s="23"/>
      <c r="D734" s="23"/>
      <c r="E734" s="23"/>
      <c r="F734" s="23"/>
      <c r="G734" s="2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25">
      <c r="A735" s="5"/>
      <c r="B735" s="71"/>
      <c r="C735" s="23"/>
      <c r="D735" s="23"/>
      <c r="E735" s="23"/>
      <c r="F735" s="23"/>
      <c r="G735" s="2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25">
      <c r="A736" s="5"/>
      <c r="B736" s="71"/>
      <c r="C736" s="23"/>
      <c r="D736" s="23"/>
      <c r="E736" s="23"/>
      <c r="F736" s="23"/>
      <c r="G736" s="2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25">
      <c r="A737" s="5"/>
      <c r="B737" s="71"/>
      <c r="C737" s="23"/>
      <c r="D737" s="23"/>
      <c r="E737" s="23"/>
      <c r="F737" s="23"/>
      <c r="G737" s="2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25">
      <c r="A738" s="5"/>
      <c r="B738" s="71"/>
      <c r="C738" s="23"/>
      <c r="D738" s="23"/>
      <c r="E738" s="23"/>
      <c r="F738" s="23"/>
      <c r="G738" s="2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25">
      <c r="A739" s="5"/>
      <c r="B739" s="71"/>
      <c r="C739" s="23"/>
      <c r="D739" s="23"/>
      <c r="E739" s="23"/>
      <c r="F739" s="23"/>
      <c r="G739" s="2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25">
      <c r="A740" s="5"/>
      <c r="B740" s="71"/>
      <c r="C740" s="23"/>
      <c r="D740" s="23"/>
      <c r="E740" s="23"/>
      <c r="F740" s="23"/>
      <c r="G740" s="2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25">
      <c r="A741" s="5"/>
      <c r="B741" s="71"/>
      <c r="C741" s="23"/>
      <c r="D741" s="23"/>
      <c r="E741" s="23"/>
      <c r="F741" s="23"/>
      <c r="G741" s="2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25">
      <c r="A742" s="5"/>
      <c r="B742" s="71"/>
      <c r="C742" s="23"/>
      <c r="D742" s="23"/>
      <c r="E742" s="23"/>
      <c r="F742" s="23"/>
      <c r="G742" s="2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25">
      <c r="A743" s="5"/>
      <c r="B743" s="71"/>
      <c r="C743" s="23"/>
      <c r="D743" s="23"/>
      <c r="E743" s="23"/>
      <c r="F743" s="23"/>
      <c r="G743" s="2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25">
      <c r="A744" s="5"/>
      <c r="B744" s="71"/>
      <c r="C744" s="23"/>
      <c r="D744" s="23"/>
      <c r="E744" s="23"/>
      <c r="F744" s="23"/>
      <c r="G744" s="2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25">
      <c r="A745" s="5"/>
      <c r="B745" s="71"/>
      <c r="C745" s="23"/>
      <c r="D745" s="23"/>
      <c r="E745" s="23"/>
      <c r="F745" s="23"/>
      <c r="G745" s="2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25">
      <c r="A746" s="5"/>
      <c r="B746" s="71"/>
      <c r="C746" s="23"/>
      <c r="D746" s="23"/>
      <c r="E746" s="23"/>
      <c r="F746" s="23"/>
      <c r="G746" s="2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25">
      <c r="A747" s="5"/>
      <c r="B747" s="71"/>
      <c r="C747" s="23"/>
      <c r="D747" s="23"/>
      <c r="E747" s="23"/>
      <c r="F747" s="23"/>
      <c r="G747" s="2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25">
      <c r="A748" s="5"/>
      <c r="B748" s="71"/>
      <c r="C748" s="23"/>
      <c r="D748" s="23"/>
      <c r="E748" s="23"/>
      <c r="F748" s="23"/>
      <c r="G748" s="2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25">
      <c r="A749" s="5"/>
      <c r="B749" s="71"/>
      <c r="C749" s="23"/>
      <c r="D749" s="23"/>
      <c r="E749" s="23"/>
      <c r="F749" s="23"/>
      <c r="G749" s="2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25">
      <c r="A750" s="5"/>
      <c r="B750" s="71"/>
      <c r="C750" s="23"/>
      <c r="D750" s="23"/>
      <c r="E750" s="23"/>
      <c r="F750" s="23"/>
      <c r="G750" s="2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25">
      <c r="A751" s="5"/>
      <c r="B751" s="71"/>
      <c r="C751" s="23"/>
      <c r="D751" s="23"/>
      <c r="E751" s="23"/>
      <c r="F751" s="23"/>
      <c r="G751" s="2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25">
      <c r="A752" s="5"/>
      <c r="B752" s="71"/>
      <c r="C752" s="23"/>
      <c r="D752" s="23"/>
      <c r="E752" s="23"/>
      <c r="F752" s="23"/>
      <c r="G752" s="2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25">
      <c r="A753" s="5"/>
      <c r="B753" s="71"/>
      <c r="C753" s="23"/>
      <c r="D753" s="23"/>
      <c r="E753" s="23"/>
      <c r="F753" s="23"/>
      <c r="G753" s="2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25">
      <c r="A754" s="5"/>
      <c r="B754" s="71"/>
      <c r="C754" s="23"/>
      <c r="D754" s="23"/>
      <c r="E754" s="23"/>
      <c r="F754" s="23"/>
      <c r="G754" s="2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25">
      <c r="A755" s="5"/>
      <c r="B755" s="71"/>
      <c r="C755" s="23"/>
      <c r="D755" s="23"/>
      <c r="E755" s="23"/>
      <c r="F755" s="23"/>
      <c r="G755" s="2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25">
      <c r="A756" s="5"/>
      <c r="B756" s="71"/>
      <c r="C756" s="23"/>
      <c r="D756" s="23"/>
      <c r="E756" s="23"/>
      <c r="F756" s="23"/>
      <c r="G756" s="2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25">
      <c r="A757" s="5"/>
      <c r="B757" s="71"/>
      <c r="C757" s="23"/>
      <c r="D757" s="23"/>
      <c r="E757" s="23"/>
      <c r="F757" s="23"/>
      <c r="G757" s="2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25">
      <c r="A758" s="5"/>
      <c r="B758" s="71"/>
      <c r="C758" s="23"/>
      <c r="D758" s="23"/>
      <c r="E758" s="23"/>
      <c r="F758" s="23"/>
      <c r="G758" s="2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25">
      <c r="A759" s="5"/>
      <c r="B759" s="71"/>
      <c r="C759" s="23"/>
      <c r="D759" s="23"/>
      <c r="E759" s="23"/>
      <c r="F759" s="23"/>
      <c r="G759" s="2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25">
      <c r="A760" s="5"/>
      <c r="B760" s="71"/>
      <c r="C760" s="23"/>
      <c r="D760" s="23"/>
      <c r="E760" s="23"/>
      <c r="F760" s="23"/>
      <c r="G760" s="2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25">
      <c r="A761" s="5"/>
      <c r="B761" s="71"/>
      <c r="C761" s="23"/>
      <c r="D761" s="23"/>
      <c r="E761" s="23"/>
      <c r="F761" s="23"/>
      <c r="G761" s="2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25">
      <c r="A762" s="5"/>
      <c r="B762" s="71"/>
      <c r="C762" s="23"/>
      <c r="D762" s="23"/>
      <c r="E762" s="23"/>
      <c r="F762" s="23"/>
      <c r="G762" s="2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25">
      <c r="A763" s="5"/>
      <c r="B763" s="71"/>
      <c r="C763" s="23"/>
      <c r="D763" s="23"/>
      <c r="E763" s="23"/>
      <c r="F763" s="23"/>
      <c r="G763" s="2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25">
      <c r="A764" s="5"/>
      <c r="B764" s="71"/>
      <c r="C764" s="23"/>
      <c r="D764" s="23"/>
      <c r="E764" s="23"/>
      <c r="F764" s="23"/>
      <c r="G764" s="2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25">
      <c r="A765" s="5"/>
      <c r="B765" s="71"/>
      <c r="C765" s="23"/>
      <c r="D765" s="23"/>
      <c r="E765" s="23"/>
      <c r="F765" s="23"/>
      <c r="G765" s="2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25">
      <c r="A766" s="5"/>
      <c r="B766" s="71"/>
      <c r="C766" s="23"/>
      <c r="D766" s="23"/>
      <c r="E766" s="23"/>
      <c r="F766" s="23"/>
      <c r="G766" s="2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25">
      <c r="A767" s="5"/>
      <c r="B767" s="71"/>
      <c r="C767" s="23"/>
      <c r="D767" s="23"/>
      <c r="E767" s="23"/>
      <c r="F767" s="23"/>
      <c r="G767" s="2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25">
      <c r="A768" s="5"/>
      <c r="B768" s="71"/>
      <c r="C768" s="23"/>
      <c r="D768" s="23"/>
      <c r="E768" s="23"/>
      <c r="F768" s="23"/>
      <c r="G768" s="2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25">
      <c r="A769" s="5"/>
      <c r="B769" s="71"/>
      <c r="C769" s="23"/>
      <c r="D769" s="23"/>
      <c r="E769" s="23"/>
      <c r="F769" s="23"/>
      <c r="G769" s="2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25">
      <c r="A770" s="5"/>
      <c r="B770" s="71"/>
      <c r="C770" s="23"/>
      <c r="D770" s="23"/>
      <c r="E770" s="23"/>
      <c r="F770" s="23"/>
      <c r="G770" s="2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25">
      <c r="A771" s="5"/>
      <c r="B771" s="71"/>
      <c r="C771" s="23"/>
      <c r="D771" s="23"/>
      <c r="E771" s="23"/>
      <c r="F771" s="23"/>
      <c r="G771" s="2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25">
      <c r="A772" s="5"/>
      <c r="B772" s="71"/>
      <c r="C772" s="23"/>
      <c r="D772" s="23"/>
      <c r="E772" s="23"/>
      <c r="F772" s="23"/>
      <c r="G772" s="2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25">
      <c r="A773" s="5"/>
      <c r="B773" s="71"/>
      <c r="C773" s="23"/>
      <c r="D773" s="23"/>
      <c r="E773" s="23"/>
      <c r="F773" s="23"/>
      <c r="G773" s="2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25">
      <c r="A774" s="5"/>
      <c r="B774" s="71"/>
      <c r="C774" s="23"/>
      <c r="D774" s="23"/>
      <c r="E774" s="23"/>
      <c r="F774" s="23"/>
      <c r="G774" s="2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25">
      <c r="A775" s="5"/>
      <c r="B775" s="71"/>
      <c r="C775" s="23"/>
      <c r="D775" s="23"/>
      <c r="E775" s="23"/>
      <c r="F775" s="23"/>
      <c r="G775" s="2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25">
      <c r="A776" s="5"/>
      <c r="B776" s="71"/>
      <c r="C776" s="23"/>
      <c r="D776" s="23"/>
      <c r="E776" s="23"/>
      <c r="F776" s="23"/>
      <c r="G776" s="2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25">
      <c r="A777" s="5"/>
      <c r="B777" s="71"/>
      <c r="C777" s="23"/>
      <c r="D777" s="23"/>
      <c r="E777" s="23"/>
      <c r="F777" s="23"/>
      <c r="G777" s="2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25">
      <c r="A778" s="5"/>
      <c r="B778" s="71"/>
      <c r="C778" s="23"/>
      <c r="D778" s="23"/>
      <c r="E778" s="23"/>
      <c r="F778" s="23"/>
      <c r="G778" s="2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25">
      <c r="A779" s="5"/>
      <c r="B779" s="71"/>
      <c r="C779" s="23"/>
      <c r="D779" s="23"/>
      <c r="E779" s="23"/>
      <c r="F779" s="23"/>
      <c r="G779" s="2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25">
      <c r="A780" s="5"/>
      <c r="B780" s="71"/>
      <c r="C780" s="23"/>
      <c r="D780" s="23"/>
      <c r="E780" s="23"/>
      <c r="F780" s="23"/>
      <c r="G780" s="2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25">
      <c r="A781" s="5"/>
      <c r="B781" s="71"/>
      <c r="C781" s="23"/>
      <c r="D781" s="23"/>
      <c r="E781" s="23"/>
      <c r="F781" s="23"/>
      <c r="G781" s="2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25">
      <c r="A782" s="5"/>
      <c r="B782" s="71"/>
      <c r="C782" s="23"/>
      <c r="D782" s="23"/>
      <c r="E782" s="23"/>
      <c r="F782" s="23"/>
      <c r="G782" s="2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25">
      <c r="A783" s="5"/>
      <c r="B783" s="71"/>
      <c r="C783" s="23"/>
      <c r="D783" s="23"/>
      <c r="E783" s="23"/>
      <c r="F783" s="23"/>
      <c r="G783" s="2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25">
      <c r="A784" s="5"/>
      <c r="B784" s="71"/>
      <c r="C784" s="23"/>
      <c r="D784" s="23"/>
      <c r="E784" s="23"/>
      <c r="F784" s="23"/>
      <c r="G784" s="2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25">
      <c r="A785" s="5"/>
      <c r="B785" s="71"/>
      <c r="C785" s="23"/>
      <c r="D785" s="23"/>
      <c r="E785" s="23"/>
      <c r="F785" s="23"/>
      <c r="G785" s="2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25">
      <c r="A786" s="5"/>
      <c r="B786" s="71"/>
      <c r="C786" s="23"/>
      <c r="D786" s="23"/>
      <c r="E786" s="23"/>
      <c r="F786" s="23"/>
      <c r="G786" s="2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25">
      <c r="A787" s="5"/>
      <c r="B787" s="71"/>
      <c r="C787" s="23"/>
      <c r="D787" s="23"/>
      <c r="E787" s="23"/>
      <c r="F787" s="23"/>
      <c r="G787" s="2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25">
      <c r="A788" s="5"/>
      <c r="B788" s="71"/>
      <c r="C788" s="23"/>
      <c r="D788" s="23"/>
      <c r="E788" s="23"/>
      <c r="F788" s="23"/>
      <c r="G788" s="2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25">
      <c r="A789" s="5"/>
      <c r="B789" s="71"/>
      <c r="C789" s="23"/>
      <c r="D789" s="23"/>
      <c r="E789" s="23"/>
      <c r="F789" s="23"/>
      <c r="G789" s="2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25">
      <c r="A790" s="5"/>
      <c r="B790" s="71"/>
      <c r="C790" s="23"/>
      <c r="D790" s="23"/>
      <c r="E790" s="23"/>
      <c r="F790" s="23"/>
      <c r="G790" s="2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25">
      <c r="A791" s="5"/>
      <c r="B791" s="71"/>
      <c r="C791" s="23"/>
      <c r="D791" s="23"/>
      <c r="E791" s="23"/>
      <c r="F791" s="23"/>
      <c r="G791" s="2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25">
      <c r="A792" s="5"/>
      <c r="B792" s="71"/>
      <c r="C792" s="23"/>
      <c r="D792" s="23"/>
      <c r="E792" s="23"/>
      <c r="F792" s="23"/>
      <c r="G792" s="2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25">
      <c r="A793" s="5"/>
      <c r="B793" s="71"/>
      <c r="C793" s="23"/>
      <c r="D793" s="23"/>
      <c r="E793" s="23"/>
      <c r="F793" s="23"/>
      <c r="G793" s="2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25">
      <c r="A794" s="5"/>
      <c r="B794" s="71"/>
      <c r="C794" s="23"/>
      <c r="D794" s="23"/>
      <c r="E794" s="23"/>
      <c r="F794" s="23"/>
      <c r="G794" s="2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25">
      <c r="A795" s="5"/>
      <c r="B795" s="71"/>
      <c r="C795" s="23"/>
      <c r="D795" s="23"/>
      <c r="E795" s="23"/>
      <c r="F795" s="23"/>
      <c r="G795" s="2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25">
      <c r="A796" s="5"/>
      <c r="B796" s="71"/>
      <c r="C796" s="23"/>
      <c r="D796" s="23"/>
      <c r="E796" s="23"/>
      <c r="F796" s="23"/>
      <c r="G796" s="2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25">
      <c r="A797" s="5"/>
      <c r="B797" s="71"/>
      <c r="C797" s="23"/>
      <c r="D797" s="23"/>
      <c r="E797" s="23"/>
      <c r="F797" s="23"/>
      <c r="G797" s="2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25">
      <c r="A798" s="5"/>
      <c r="B798" s="71"/>
      <c r="C798" s="23"/>
      <c r="D798" s="23"/>
      <c r="E798" s="23"/>
      <c r="F798" s="23"/>
      <c r="G798" s="2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25">
      <c r="A799" s="5"/>
      <c r="B799" s="71"/>
      <c r="C799" s="23"/>
      <c r="D799" s="23"/>
      <c r="E799" s="23"/>
      <c r="F799" s="23"/>
      <c r="G799" s="2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25">
      <c r="A800" s="5"/>
      <c r="B800" s="71"/>
      <c r="C800" s="23"/>
      <c r="D800" s="23"/>
      <c r="E800" s="23"/>
      <c r="F800" s="23"/>
      <c r="G800" s="2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25">
      <c r="A801" s="5"/>
      <c r="B801" s="71"/>
      <c r="C801" s="23"/>
      <c r="D801" s="23"/>
      <c r="E801" s="23"/>
      <c r="F801" s="23"/>
      <c r="G801" s="2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25">
      <c r="A802" s="5"/>
      <c r="B802" s="71"/>
      <c r="C802" s="23"/>
      <c r="D802" s="23"/>
      <c r="E802" s="23"/>
      <c r="F802" s="23"/>
      <c r="G802" s="2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25">
      <c r="A803" s="5"/>
      <c r="B803" s="71"/>
      <c r="C803" s="23"/>
      <c r="D803" s="23"/>
      <c r="E803" s="23"/>
      <c r="F803" s="23"/>
      <c r="G803" s="2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25">
      <c r="A804" s="5"/>
      <c r="B804" s="71"/>
      <c r="C804" s="23"/>
      <c r="D804" s="23"/>
      <c r="E804" s="23"/>
      <c r="F804" s="23"/>
      <c r="G804" s="2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25">
      <c r="A805" s="5"/>
      <c r="B805" s="71"/>
      <c r="C805" s="23"/>
      <c r="D805" s="23"/>
      <c r="E805" s="23"/>
      <c r="F805" s="23"/>
      <c r="G805" s="2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25">
      <c r="A806" s="5"/>
      <c r="B806" s="71"/>
      <c r="C806" s="23"/>
      <c r="D806" s="23"/>
      <c r="E806" s="23"/>
      <c r="F806" s="23"/>
      <c r="G806" s="2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25">
      <c r="A807" s="5"/>
      <c r="B807" s="71"/>
      <c r="C807" s="23"/>
      <c r="D807" s="23"/>
      <c r="E807" s="23"/>
      <c r="F807" s="23"/>
      <c r="G807" s="2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25">
      <c r="A808" s="5"/>
      <c r="B808" s="71"/>
      <c r="C808" s="23"/>
      <c r="D808" s="23"/>
      <c r="E808" s="23"/>
      <c r="F808" s="23"/>
      <c r="G808" s="2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25">
      <c r="A809" s="5"/>
      <c r="B809" s="71"/>
      <c r="C809" s="23"/>
      <c r="D809" s="23"/>
      <c r="E809" s="23"/>
      <c r="F809" s="23"/>
      <c r="G809" s="2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25">
      <c r="A810" s="5"/>
      <c r="B810" s="71"/>
      <c r="C810" s="23"/>
      <c r="D810" s="23"/>
      <c r="E810" s="23"/>
      <c r="F810" s="23"/>
      <c r="G810" s="2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25">
      <c r="A811" s="5"/>
      <c r="B811" s="71"/>
      <c r="C811" s="23"/>
      <c r="D811" s="23"/>
      <c r="E811" s="23"/>
      <c r="F811" s="23"/>
      <c r="G811" s="2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25">
      <c r="A812" s="5"/>
      <c r="B812" s="71"/>
      <c r="C812" s="23"/>
      <c r="D812" s="23"/>
      <c r="E812" s="23"/>
      <c r="F812" s="23"/>
      <c r="G812" s="2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25">
      <c r="A813" s="5"/>
      <c r="B813" s="71"/>
      <c r="C813" s="23"/>
      <c r="D813" s="23"/>
      <c r="E813" s="23"/>
      <c r="F813" s="23"/>
      <c r="G813" s="2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25">
      <c r="A814" s="5"/>
      <c r="B814" s="71"/>
      <c r="C814" s="23"/>
      <c r="D814" s="23"/>
      <c r="E814" s="23"/>
      <c r="F814" s="23"/>
      <c r="G814" s="2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25">
      <c r="A815" s="5"/>
      <c r="B815" s="71"/>
      <c r="C815" s="23"/>
      <c r="D815" s="23"/>
      <c r="E815" s="23"/>
      <c r="F815" s="23"/>
      <c r="G815" s="2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25">
      <c r="A816" s="5"/>
      <c r="B816" s="71"/>
      <c r="C816" s="23"/>
      <c r="D816" s="23"/>
      <c r="E816" s="23"/>
      <c r="F816" s="23"/>
      <c r="G816" s="2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25">
      <c r="A817" s="5"/>
      <c r="B817" s="71"/>
      <c r="C817" s="23"/>
      <c r="D817" s="23"/>
      <c r="E817" s="23"/>
      <c r="F817" s="23"/>
      <c r="G817" s="2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25">
      <c r="A818" s="5"/>
      <c r="B818" s="71"/>
      <c r="C818" s="23"/>
      <c r="D818" s="23"/>
      <c r="E818" s="23"/>
      <c r="F818" s="23"/>
      <c r="G818" s="2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25">
      <c r="A819" s="5"/>
      <c r="B819" s="71"/>
      <c r="C819" s="23"/>
      <c r="D819" s="23"/>
      <c r="E819" s="23"/>
      <c r="F819" s="23"/>
      <c r="G819" s="2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25">
      <c r="A820" s="5"/>
      <c r="B820" s="71"/>
      <c r="C820" s="23"/>
      <c r="D820" s="23"/>
      <c r="E820" s="23"/>
      <c r="F820" s="23"/>
      <c r="G820" s="2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25">
      <c r="A821" s="5"/>
      <c r="B821" s="71"/>
      <c r="C821" s="23"/>
      <c r="D821" s="23"/>
      <c r="E821" s="23"/>
      <c r="F821" s="23"/>
      <c r="G821" s="2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25">
      <c r="A822" s="5"/>
      <c r="B822" s="71"/>
      <c r="C822" s="23"/>
      <c r="D822" s="23"/>
      <c r="E822" s="23"/>
      <c r="F822" s="23"/>
      <c r="G822" s="2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25">
      <c r="A823" s="5"/>
      <c r="B823" s="71"/>
      <c r="C823" s="23"/>
      <c r="D823" s="23"/>
      <c r="E823" s="23"/>
      <c r="F823" s="23"/>
      <c r="G823" s="2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25">
      <c r="A824" s="5"/>
      <c r="B824" s="71"/>
      <c r="C824" s="23"/>
      <c r="D824" s="23"/>
      <c r="E824" s="23"/>
      <c r="F824" s="23"/>
      <c r="G824" s="2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25">
      <c r="A825" s="5"/>
      <c r="B825" s="71"/>
      <c r="C825" s="23"/>
      <c r="D825" s="23"/>
      <c r="E825" s="23"/>
      <c r="F825" s="23"/>
      <c r="G825" s="2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25">
      <c r="A826" s="5"/>
      <c r="B826" s="71"/>
      <c r="C826" s="23"/>
      <c r="D826" s="23"/>
      <c r="E826" s="23"/>
      <c r="F826" s="23"/>
      <c r="G826" s="2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25">
      <c r="A827" s="5"/>
      <c r="B827" s="71"/>
      <c r="C827" s="23"/>
      <c r="D827" s="23"/>
      <c r="E827" s="23"/>
      <c r="F827" s="23"/>
      <c r="G827" s="2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25">
      <c r="A828" s="5"/>
      <c r="B828" s="71"/>
      <c r="C828" s="23"/>
      <c r="D828" s="23"/>
      <c r="E828" s="23"/>
      <c r="F828" s="23"/>
      <c r="G828" s="2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25">
      <c r="A829" s="5"/>
      <c r="B829" s="71"/>
      <c r="C829" s="23"/>
      <c r="D829" s="23"/>
      <c r="E829" s="23"/>
      <c r="F829" s="23"/>
      <c r="G829" s="2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25">
      <c r="A830" s="5"/>
      <c r="B830" s="71"/>
      <c r="C830" s="23"/>
      <c r="D830" s="23"/>
      <c r="E830" s="23"/>
      <c r="F830" s="23"/>
      <c r="G830" s="2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25">
      <c r="A831" s="5"/>
      <c r="B831" s="71"/>
      <c r="C831" s="23"/>
      <c r="D831" s="23"/>
      <c r="E831" s="23"/>
      <c r="F831" s="23"/>
      <c r="G831" s="2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25">
      <c r="A832" s="5"/>
      <c r="B832" s="71"/>
      <c r="C832" s="23"/>
      <c r="D832" s="23"/>
      <c r="E832" s="23"/>
      <c r="F832" s="23"/>
      <c r="G832" s="2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25">
      <c r="A833" s="5"/>
      <c r="B833" s="71"/>
      <c r="C833" s="23"/>
      <c r="D833" s="23"/>
      <c r="E833" s="23"/>
      <c r="F833" s="23"/>
      <c r="G833" s="2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25">
      <c r="A834" s="5"/>
      <c r="B834" s="71"/>
      <c r="C834" s="23"/>
      <c r="D834" s="23"/>
      <c r="E834" s="23"/>
      <c r="F834" s="23"/>
      <c r="G834" s="2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25">
      <c r="A835" s="5"/>
      <c r="B835" s="71"/>
      <c r="C835" s="23"/>
      <c r="D835" s="23"/>
      <c r="E835" s="23"/>
      <c r="F835" s="23"/>
      <c r="G835" s="2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25">
      <c r="A836" s="5"/>
      <c r="B836" s="71"/>
      <c r="C836" s="23"/>
      <c r="D836" s="23"/>
      <c r="E836" s="23"/>
      <c r="F836" s="23"/>
      <c r="G836" s="2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25">
      <c r="A837" s="5"/>
      <c r="B837" s="71"/>
      <c r="C837" s="23"/>
      <c r="D837" s="23"/>
      <c r="E837" s="23"/>
      <c r="F837" s="23"/>
      <c r="G837" s="2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25">
      <c r="A838" s="5"/>
      <c r="B838" s="71"/>
      <c r="C838" s="23"/>
      <c r="D838" s="23"/>
      <c r="E838" s="23"/>
      <c r="F838" s="23"/>
      <c r="G838" s="2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25">
      <c r="A839" s="5"/>
      <c r="B839" s="71"/>
      <c r="C839" s="23"/>
      <c r="D839" s="23"/>
      <c r="E839" s="23"/>
      <c r="F839" s="23"/>
      <c r="G839" s="2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25">
      <c r="A840" s="5"/>
      <c r="B840" s="71"/>
      <c r="C840" s="23"/>
      <c r="D840" s="23"/>
      <c r="E840" s="23"/>
      <c r="F840" s="23"/>
      <c r="G840" s="2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25">
      <c r="A841" s="5"/>
      <c r="B841" s="71"/>
      <c r="C841" s="23"/>
      <c r="D841" s="23"/>
      <c r="E841" s="23"/>
      <c r="F841" s="23"/>
      <c r="G841" s="2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25">
      <c r="A842" s="5"/>
      <c r="B842" s="71"/>
      <c r="C842" s="23"/>
      <c r="D842" s="23"/>
      <c r="E842" s="23"/>
      <c r="F842" s="23"/>
      <c r="G842" s="2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25">
      <c r="A843" s="5"/>
      <c r="B843" s="71"/>
      <c r="C843" s="23"/>
      <c r="D843" s="23"/>
      <c r="E843" s="23"/>
      <c r="F843" s="23"/>
      <c r="G843" s="2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25">
      <c r="A844" s="5"/>
      <c r="B844" s="71"/>
      <c r="C844" s="23"/>
      <c r="D844" s="23"/>
      <c r="E844" s="23"/>
      <c r="F844" s="23"/>
      <c r="G844" s="2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25">
      <c r="A845" s="5"/>
      <c r="B845" s="71"/>
      <c r="C845" s="23"/>
      <c r="D845" s="23"/>
      <c r="E845" s="23"/>
      <c r="F845" s="23"/>
      <c r="G845" s="2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25">
      <c r="A846" s="5"/>
      <c r="B846" s="71"/>
      <c r="C846" s="23"/>
      <c r="D846" s="23"/>
      <c r="E846" s="23"/>
      <c r="F846" s="23"/>
      <c r="G846" s="2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25">
      <c r="A847" s="5"/>
      <c r="B847" s="71"/>
      <c r="C847" s="23"/>
      <c r="D847" s="23"/>
      <c r="E847" s="23"/>
      <c r="F847" s="23"/>
      <c r="G847" s="2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25">
      <c r="A848" s="5"/>
      <c r="B848" s="71"/>
      <c r="C848" s="23"/>
      <c r="D848" s="23"/>
      <c r="E848" s="23"/>
      <c r="F848" s="23"/>
      <c r="G848" s="2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25">
      <c r="A849" s="5"/>
      <c r="B849" s="71"/>
      <c r="C849" s="23"/>
      <c r="D849" s="23"/>
      <c r="E849" s="23"/>
      <c r="F849" s="23"/>
      <c r="G849" s="2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25">
      <c r="A850" s="5"/>
      <c r="B850" s="71"/>
      <c r="C850" s="23"/>
      <c r="D850" s="23"/>
      <c r="E850" s="23"/>
      <c r="F850" s="23"/>
      <c r="G850" s="2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25">
      <c r="A851" s="5"/>
      <c r="B851" s="71"/>
      <c r="C851" s="23"/>
      <c r="D851" s="23"/>
      <c r="E851" s="23"/>
      <c r="F851" s="23"/>
      <c r="G851" s="2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25">
      <c r="A852" s="5"/>
      <c r="B852" s="71"/>
      <c r="C852" s="23"/>
      <c r="D852" s="23"/>
      <c r="E852" s="23"/>
      <c r="F852" s="23"/>
      <c r="G852" s="2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25">
      <c r="A853" s="5"/>
      <c r="B853" s="71"/>
      <c r="C853" s="23"/>
      <c r="D853" s="23"/>
      <c r="E853" s="23"/>
      <c r="F853" s="23"/>
      <c r="G853" s="2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25">
      <c r="A854" s="5"/>
      <c r="B854" s="71"/>
      <c r="C854" s="23"/>
      <c r="D854" s="23"/>
      <c r="E854" s="23"/>
      <c r="F854" s="23"/>
      <c r="G854" s="2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25">
      <c r="A855" s="5"/>
      <c r="B855" s="71"/>
      <c r="C855" s="23"/>
      <c r="D855" s="23"/>
      <c r="E855" s="23"/>
      <c r="F855" s="23"/>
      <c r="G855" s="2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25">
      <c r="A856" s="5"/>
      <c r="B856" s="71"/>
      <c r="C856" s="23"/>
      <c r="D856" s="23"/>
      <c r="E856" s="23"/>
      <c r="F856" s="23"/>
      <c r="G856" s="2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25">
      <c r="A857" s="5"/>
      <c r="B857" s="71"/>
      <c r="C857" s="23"/>
      <c r="D857" s="23"/>
      <c r="E857" s="23"/>
      <c r="F857" s="23"/>
      <c r="G857" s="2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25">
      <c r="A858" s="5"/>
      <c r="B858" s="71"/>
      <c r="C858" s="23"/>
      <c r="D858" s="23"/>
      <c r="E858" s="23"/>
      <c r="F858" s="23"/>
      <c r="G858" s="2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25">
      <c r="A859" s="5"/>
      <c r="B859" s="71"/>
      <c r="C859" s="23"/>
      <c r="D859" s="23"/>
      <c r="E859" s="23"/>
      <c r="F859" s="23"/>
      <c r="G859" s="2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25">
      <c r="A860" s="5"/>
      <c r="B860" s="71"/>
      <c r="C860" s="23"/>
      <c r="D860" s="23"/>
      <c r="E860" s="23"/>
      <c r="F860" s="23"/>
      <c r="G860" s="2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25">
      <c r="A861" s="5"/>
      <c r="B861" s="71"/>
      <c r="C861" s="23"/>
      <c r="D861" s="23"/>
      <c r="E861" s="23"/>
      <c r="F861" s="23"/>
      <c r="G861" s="2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25">
      <c r="A862" s="5"/>
      <c r="B862" s="71"/>
      <c r="C862" s="23"/>
      <c r="D862" s="23"/>
      <c r="E862" s="23"/>
      <c r="F862" s="23"/>
      <c r="G862" s="2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25">
      <c r="A863" s="5"/>
      <c r="B863" s="71"/>
      <c r="C863" s="23"/>
      <c r="D863" s="23"/>
      <c r="E863" s="23"/>
      <c r="F863" s="23"/>
      <c r="G863" s="2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25">
      <c r="A864" s="5"/>
      <c r="B864" s="71"/>
      <c r="C864" s="23"/>
      <c r="D864" s="23"/>
      <c r="E864" s="23"/>
      <c r="F864" s="23"/>
      <c r="G864" s="2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25">
      <c r="A865" s="5"/>
      <c r="B865" s="71"/>
      <c r="C865" s="23"/>
      <c r="D865" s="23"/>
      <c r="E865" s="23"/>
      <c r="F865" s="23"/>
      <c r="G865" s="2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25">
      <c r="A866" s="5"/>
      <c r="B866" s="71"/>
      <c r="C866" s="23"/>
      <c r="D866" s="23"/>
      <c r="E866" s="23"/>
      <c r="F866" s="23"/>
      <c r="G866" s="2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25">
      <c r="A867" s="5"/>
      <c r="B867" s="71"/>
      <c r="C867" s="23"/>
      <c r="D867" s="23"/>
      <c r="E867" s="23"/>
      <c r="F867" s="23"/>
      <c r="G867" s="2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25">
      <c r="A868" s="5"/>
      <c r="B868" s="71"/>
      <c r="C868" s="23"/>
      <c r="D868" s="23"/>
      <c r="E868" s="23"/>
      <c r="F868" s="23"/>
      <c r="G868" s="2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25">
      <c r="A869" s="5"/>
      <c r="B869" s="71"/>
      <c r="C869" s="23"/>
      <c r="D869" s="23"/>
      <c r="E869" s="23"/>
      <c r="F869" s="23"/>
      <c r="G869" s="2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25">
      <c r="A870" s="5"/>
      <c r="B870" s="71"/>
      <c r="C870" s="23"/>
      <c r="D870" s="23"/>
      <c r="E870" s="23"/>
      <c r="F870" s="23"/>
      <c r="G870" s="2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25">
      <c r="A871" s="5"/>
      <c r="B871" s="71"/>
      <c r="C871" s="23"/>
      <c r="D871" s="23"/>
      <c r="E871" s="23"/>
      <c r="F871" s="23"/>
      <c r="G871" s="2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25">
      <c r="A872" s="5"/>
      <c r="B872" s="71"/>
      <c r="C872" s="23"/>
      <c r="D872" s="23"/>
      <c r="E872" s="23"/>
      <c r="F872" s="23"/>
      <c r="G872" s="2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25">
      <c r="A873" s="5"/>
      <c r="B873" s="71"/>
      <c r="C873" s="23"/>
      <c r="D873" s="23"/>
      <c r="E873" s="23"/>
      <c r="F873" s="23"/>
      <c r="G873" s="2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25">
      <c r="A874" s="5"/>
      <c r="B874" s="71"/>
      <c r="C874" s="23"/>
      <c r="D874" s="23"/>
      <c r="E874" s="23"/>
      <c r="F874" s="23"/>
      <c r="G874" s="2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25">
      <c r="A875" s="5"/>
      <c r="B875" s="71"/>
      <c r="C875" s="23"/>
      <c r="D875" s="23"/>
      <c r="E875" s="23"/>
      <c r="F875" s="23"/>
      <c r="G875" s="2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25">
      <c r="A876" s="5"/>
      <c r="B876" s="71"/>
      <c r="C876" s="23"/>
      <c r="D876" s="23"/>
      <c r="E876" s="23"/>
      <c r="F876" s="23"/>
      <c r="G876" s="2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25">
      <c r="A877" s="5"/>
      <c r="B877" s="71"/>
      <c r="C877" s="23"/>
      <c r="D877" s="23"/>
      <c r="E877" s="23"/>
      <c r="F877" s="23"/>
      <c r="G877" s="2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25">
      <c r="A878" s="5"/>
      <c r="B878" s="71"/>
      <c r="C878" s="23"/>
      <c r="D878" s="23"/>
      <c r="E878" s="23"/>
      <c r="F878" s="23"/>
      <c r="G878" s="2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25">
      <c r="A879" s="5"/>
      <c r="B879" s="71"/>
      <c r="C879" s="23"/>
      <c r="D879" s="23"/>
      <c r="E879" s="23"/>
      <c r="F879" s="23"/>
      <c r="G879" s="2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25">
      <c r="A880" s="5"/>
      <c r="B880" s="71"/>
      <c r="C880" s="23"/>
      <c r="D880" s="23"/>
      <c r="E880" s="23"/>
      <c r="F880" s="23"/>
      <c r="G880" s="2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25">
      <c r="A881" s="5"/>
      <c r="B881" s="71"/>
      <c r="C881" s="23"/>
      <c r="D881" s="23"/>
      <c r="E881" s="23"/>
      <c r="F881" s="23"/>
      <c r="G881" s="2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25">
      <c r="A882" s="5"/>
      <c r="B882" s="71"/>
      <c r="C882" s="23"/>
      <c r="D882" s="23"/>
      <c r="E882" s="23"/>
      <c r="F882" s="23"/>
      <c r="G882" s="2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25">
      <c r="A883" s="5"/>
      <c r="B883" s="71"/>
      <c r="C883" s="23"/>
      <c r="D883" s="23"/>
      <c r="E883" s="23"/>
      <c r="F883" s="23"/>
      <c r="G883" s="2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25">
      <c r="A884" s="5"/>
      <c r="B884" s="71"/>
      <c r="C884" s="23"/>
      <c r="D884" s="23"/>
      <c r="E884" s="23"/>
      <c r="F884" s="23"/>
      <c r="G884" s="2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25">
      <c r="A885" s="5"/>
      <c r="B885" s="71"/>
      <c r="C885" s="23"/>
      <c r="D885" s="23"/>
      <c r="E885" s="23"/>
      <c r="F885" s="23"/>
      <c r="G885" s="2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25">
      <c r="A886" s="5"/>
      <c r="B886" s="71"/>
      <c r="C886" s="23"/>
      <c r="D886" s="23"/>
      <c r="E886" s="23"/>
      <c r="F886" s="23"/>
      <c r="G886" s="2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25">
      <c r="A887" s="5"/>
      <c r="B887" s="71"/>
      <c r="C887" s="23"/>
      <c r="D887" s="23"/>
      <c r="E887" s="23"/>
      <c r="F887" s="23"/>
      <c r="G887" s="2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25">
      <c r="A888" s="5"/>
      <c r="B888" s="71"/>
      <c r="C888" s="23"/>
      <c r="D888" s="23"/>
      <c r="E888" s="23"/>
      <c r="F888" s="23"/>
      <c r="G888" s="2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25">
      <c r="A889" s="5"/>
      <c r="B889" s="71"/>
      <c r="C889" s="23"/>
      <c r="D889" s="23"/>
      <c r="E889" s="23"/>
      <c r="F889" s="23"/>
      <c r="G889" s="2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25">
      <c r="A890" s="5"/>
      <c r="B890" s="71"/>
      <c r="C890" s="23"/>
      <c r="D890" s="23"/>
      <c r="E890" s="23"/>
      <c r="F890" s="23"/>
      <c r="G890" s="2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25">
      <c r="A891" s="5"/>
      <c r="B891" s="71"/>
      <c r="C891" s="23"/>
      <c r="D891" s="23"/>
      <c r="E891" s="23"/>
      <c r="F891" s="23"/>
      <c r="G891" s="2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25">
      <c r="A892" s="5"/>
      <c r="B892" s="71"/>
      <c r="C892" s="23"/>
      <c r="D892" s="23"/>
      <c r="E892" s="23"/>
      <c r="F892" s="23"/>
      <c r="G892" s="2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25">
      <c r="A893" s="5"/>
      <c r="B893" s="71"/>
      <c r="C893" s="23"/>
      <c r="D893" s="23"/>
      <c r="E893" s="23"/>
      <c r="F893" s="23"/>
      <c r="G893" s="2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25">
      <c r="A894" s="5"/>
      <c r="B894" s="71"/>
      <c r="C894" s="23"/>
      <c r="D894" s="23"/>
      <c r="E894" s="23"/>
      <c r="F894" s="23"/>
      <c r="G894" s="2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25">
      <c r="A895" s="5"/>
      <c r="B895" s="71"/>
      <c r="C895" s="23"/>
      <c r="D895" s="23"/>
      <c r="E895" s="23"/>
      <c r="F895" s="23"/>
      <c r="G895" s="2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25">
      <c r="A896" s="5"/>
      <c r="B896" s="71"/>
      <c r="C896" s="23"/>
      <c r="D896" s="23"/>
      <c r="E896" s="23"/>
      <c r="F896" s="23"/>
      <c r="G896" s="2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25">
      <c r="A897" s="5"/>
      <c r="B897" s="71"/>
      <c r="C897" s="23"/>
      <c r="D897" s="23"/>
      <c r="E897" s="23"/>
      <c r="F897" s="23"/>
      <c r="G897" s="2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25">
      <c r="A898" s="5"/>
      <c r="B898" s="71"/>
      <c r="C898" s="23"/>
      <c r="D898" s="23"/>
      <c r="E898" s="23"/>
      <c r="F898" s="23"/>
      <c r="G898" s="2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25">
      <c r="A899" s="5"/>
      <c r="B899" s="71"/>
      <c r="C899" s="23"/>
      <c r="D899" s="23"/>
      <c r="E899" s="23"/>
      <c r="F899" s="23"/>
      <c r="G899" s="2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25">
      <c r="A900" s="5"/>
      <c r="B900" s="71"/>
      <c r="C900" s="23"/>
      <c r="D900" s="23"/>
      <c r="E900" s="23"/>
      <c r="F900" s="23"/>
      <c r="G900" s="2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25">
      <c r="A901" s="5"/>
      <c r="B901" s="71"/>
      <c r="C901" s="23"/>
      <c r="D901" s="23"/>
      <c r="E901" s="23"/>
      <c r="F901" s="23"/>
      <c r="G901" s="2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25">
      <c r="A902" s="5"/>
      <c r="B902" s="71"/>
      <c r="C902" s="23"/>
      <c r="D902" s="23"/>
      <c r="E902" s="23"/>
      <c r="F902" s="23"/>
      <c r="G902" s="2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25">
      <c r="A903" s="5"/>
      <c r="B903" s="71"/>
      <c r="C903" s="23"/>
      <c r="D903" s="23"/>
      <c r="E903" s="23"/>
      <c r="F903" s="23"/>
      <c r="G903" s="2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25">
      <c r="A904" s="5"/>
      <c r="B904" s="71"/>
      <c r="C904" s="23"/>
      <c r="D904" s="23"/>
      <c r="E904" s="23"/>
      <c r="F904" s="23"/>
      <c r="G904" s="2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25">
      <c r="A905" s="5"/>
      <c r="B905" s="71"/>
      <c r="C905" s="23"/>
      <c r="D905" s="23"/>
      <c r="E905" s="23"/>
      <c r="F905" s="23"/>
      <c r="G905" s="2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25">
      <c r="A906" s="5"/>
      <c r="B906" s="71"/>
      <c r="C906" s="23"/>
      <c r="D906" s="23"/>
      <c r="E906" s="23"/>
      <c r="F906" s="23"/>
      <c r="G906" s="2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25">
      <c r="A907" s="5"/>
      <c r="B907" s="71"/>
      <c r="C907" s="23"/>
      <c r="D907" s="23"/>
      <c r="E907" s="23"/>
      <c r="F907" s="23"/>
      <c r="G907" s="2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25">
      <c r="A908" s="5"/>
      <c r="B908" s="71"/>
      <c r="C908" s="23"/>
      <c r="D908" s="23"/>
      <c r="E908" s="23"/>
      <c r="F908" s="23"/>
      <c r="G908" s="2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25">
      <c r="A909" s="5"/>
      <c r="B909" s="71"/>
      <c r="C909" s="23"/>
      <c r="D909" s="23"/>
      <c r="E909" s="23"/>
      <c r="F909" s="23"/>
      <c r="G909" s="2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25">
      <c r="A910" s="5"/>
      <c r="B910" s="71"/>
      <c r="C910" s="23"/>
      <c r="D910" s="23"/>
      <c r="E910" s="23"/>
      <c r="F910" s="23"/>
      <c r="G910" s="2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25">
      <c r="A911" s="5"/>
      <c r="B911" s="71"/>
      <c r="C911" s="23"/>
      <c r="D911" s="23"/>
      <c r="E911" s="23"/>
      <c r="F911" s="23"/>
      <c r="G911" s="2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25">
      <c r="A912" s="5"/>
      <c r="B912" s="71"/>
      <c r="C912" s="23"/>
      <c r="D912" s="23"/>
      <c r="E912" s="23"/>
      <c r="F912" s="23"/>
      <c r="G912" s="2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25">
      <c r="A913" s="5"/>
      <c r="B913" s="71"/>
      <c r="C913" s="23"/>
      <c r="D913" s="23"/>
      <c r="E913" s="23"/>
      <c r="F913" s="23"/>
      <c r="G913" s="2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25">
      <c r="A914" s="5"/>
      <c r="B914" s="71"/>
      <c r="C914" s="23"/>
      <c r="D914" s="23"/>
      <c r="E914" s="23"/>
      <c r="F914" s="23"/>
      <c r="G914" s="2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25">
      <c r="A915" s="5"/>
      <c r="B915" s="71"/>
      <c r="C915" s="23"/>
      <c r="D915" s="23"/>
      <c r="E915" s="23"/>
      <c r="F915" s="23"/>
      <c r="G915" s="2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25">
      <c r="A916" s="5"/>
      <c r="B916" s="71"/>
      <c r="C916" s="23"/>
      <c r="D916" s="23"/>
      <c r="E916" s="23"/>
      <c r="F916" s="23"/>
      <c r="G916" s="2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25">
      <c r="A917" s="5"/>
      <c r="B917" s="71"/>
      <c r="C917" s="23"/>
      <c r="D917" s="23"/>
      <c r="E917" s="23"/>
      <c r="F917" s="23"/>
      <c r="G917" s="2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25">
      <c r="A918" s="5"/>
      <c r="B918" s="71"/>
      <c r="C918" s="23"/>
      <c r="D918" s="23"/>
      <c r="E918" s="23"/>
      <c r="F918" s="23"/>
      <c r="G918" s="2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25">
      <c r="A919" s="5"/>
      <c r="B919" s="71"/>
      <c r="C919" s="23"/>
      <c r="D919" s="23"/>
      <c r="E919" s="23"/>
      <c r="F919" s="23"/>
      <c r="G919" s="2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25">
      <c r="A920" s="5"/>
      <c r="B920" s="71"/>
      <c r="C920" s="23"/>
      <c r="D920" s="23"/>
      <c r="E920" s="23"/>
      <c r="F920" s="23"/>
      <c r="G920" s="2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25">
      <c r="A921" s="5"/>
      <c r="B921" s="71"/>
      <c r="C921" s="23"/>
      <c r="D921" s="23"/>
      <c r="E921" s="23"/>
      <c r="F921" s="23"/>
      <c r="G921" s="2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25">
      <c r="A922" s="5"/>
      <c r="B922" s="71"/>
      <c r="C922" s="23"/>
      <c r="D922" s="23"/>
      <c r="E922" s="23"/>
      <c r="F922" s="23"/>
      <c r="G922" s="2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25">
      <c r="A923" s="5"/>
      <c r="B923" s="71"/>
      <c r="C923" s="23"/>
      <c r="D923" s="23"/>
      <c r="E923" s="23"/>
      <c r="F923" s="23"/>
      <c r="G923" s="2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25">
      <c r="A924" s="5"/>
      <c r="B924" s="71"/>
      <c r="C924" s="23"/>
      <c r="D924" s="23"/>
      <c r="E924" s="23"/>
      <c r="F924" s="23"/>
      <c r="G924" s="2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25">
      <c r="A925" s="5"/>
      <c r="B925" s="71"/>
      <c r="C925" s="23"/>
      <c r="D925" s="23"/>
      <c r="E925" s="23"/>
      <c r="F925" s="23"/>
      <c r="G925" s="2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25">
      <c r="A926" s="5"/>
      <c r="B926" s="71"/>
      <c r="C926" s="23"/>
      <c r="D926" s="23"/>
      <c r="E926" s="23"/>
      <c r="F926" s="23"/>
      <c r="G926" s="2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25">
      <c r="A927" s="5"/>
      <c r="B927" s="71"/>
      <c r="C927" s="23"/>
      <c r="D927" s="23"/>
      <c r="E927" s="23"/>
      <c r="F927" s="23"/>
      <c r="G927" s="2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25">
      <c r="A928" s="5"/>
      <c r="B928" s="71"/>
      <c r="C928" s="23"/>
      <c r="D928" s="23"/>
      <c r="E928" s="23"/>
      <c r="F928" s="23"/>
      <c r="G928" s="2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25">
      <c r="A929" s="5"/>
      <c r="B929" s="71"/>
      <c r="C929" s="23"/>
      <c r="D929" s="23"/>
      <c r="E929" s="23"/>
      <c r="F929" s="23"/>
      <c r="G929" s="2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25">
      <c r="A930" s="5"/>
      <c r="B930" s="71"/>
      <c r="C930" s="23"/>
      <c r="D930" s="23"/>
      <c r="E930" s="23"/>
      <c r="F930" s="23"/>
      <c r="G930" s="2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25">
      <c r="A931" s="5"/>
      <c r="B931" s="71"/>
      <c r="C931" s="23"/>
      <c r="D931" s="23"/>
      <c r="E931" s="23"/>
      <c r="F931" s="23"/>
      <c r="G931" s="2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25">
      <c r="A932" s="5"/>
      <c r="B932" s="71"/>
      <c r="C932" s="23"/>
      <c r="D932" s="23"/>
      <c r="E932" s="23"/>
      <c r="F932" s="23"/>
      <c r="G932" s="2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25">
      <c r="A933" s="5"/>
      <c r="B933" s="71"/>
      <c r="C933" s="23"/>
      <c r="D933" s="23"/>
      <c r="E933" s="23"/>
      <c r="F933" s="23"/>
      <c r="G933" s="2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25">
      <c r="A934" s="5"/>
      <c r="B934" s="71"/>
      <c r="C934" s="23"/>
      <c r="D934" s="23"/>
      <c r="E934" s="23"/>
      <c r="F934" s="23"/>
      <c r="G934" s="2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25">
      <c r="A935" s="5"/>
      <c r="B935" s="71"/>
      <c r="C935" s="23"/>
      <c r="D935" s="23"/>
      <c r="E935" s="23"/>
      <c r="F935" s="23"/>
      <c r="G935" s="2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25">
      <c r="A936" s="5"/>
      <c r="B936" s="71"/>
      <c r="C936" s="23"/>
      <c r="D936" s="23"/>
      <c r="E936" s="23"/>
      <c r="F936" s="23"/>
      <c r="G936" s="2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25">
      <c r="A937" s="5"/>
      <c r="B937" s="71"/>
      <c r="C937" s="23"/>
      <c r="D937" s="23"/>
      <c r="E937" s="23"/>
      <c r="F937" s="23"/>
      <c r="G937" s="2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25">
      <c r="A938" s="5"/>
      <c r="B938" s="71"/>
      <c r="C938" s="23"/>
      <c r="D938" s="23"/>
      <c r="E938" s="23"/>
      <c r="F938" s="23"/>
      <c r="G938" s="2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25">
      <c r="A939" s="5"/>
      <c r="B939" s="71"/>
      <c r="C939" s="23"/>
      <c r="D939" s="23"/>
      <c r="E939" s="23"/>
      <c r="F939" s="23"/>
      <c r="G939" s="2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25">
      <c r="A940" s="5"/>
      <c r="B940" s="71"/>
      <c r="C940" s="23"/>
      <c r="D940" s="23"/>
      <c r="E940" s="23"/>
      <c r="F940" s="23"/>
      <c r="G940" s="2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25">
      <c r="A941" s="5"/>
      <c r="B941" s="71"/>
      <c r="C941" s="23"/>
      <c r="D941" s="23"/>
      <c r="E941" s="23"/>
      <c r="F941" s="23"/>
      <c r="G941" s="2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25">
      <c r="A942" s="5"/>
      <c r="B942" s="71"/>
      <c r="C942" s="23"/>
      <c r="D942" s="23"/>
      <c r="E942" s="23"/>
      <c r="F942" s="23"/>
      <c r="G942" s="2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25">
      <c r="A943" s="5"/>
      <c r="B943" s="71"/>
      <c r="C943" s="23"/>
      <c r="D943" s="23"/>
      <c r="E943" s="23"/>
      <c r="F943" s="23"/>
      <c r="G943" s="2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25">
      <c r="A944" s="5"/>
      <c r="B944" s="71"/>
      <c r="C944" s="23"/>
      <c r="D944" s="23"/>
      <c r="E944" s="23"/>
      <c r="F944" s="23"/>
      <c r="G944" s="2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25">
      <c r="A945" s="5"/>
      <c r="B945" s="71"/>
      <c r="C945" s="23"/>
      <c r="D945" s="23"/>
      <c r="E945" s="23"/>
      <c r="F945" s="23"/>
      <c r="G945" s="2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25">
      <c r="A946" s="5"/>
      <c r="B946" s="71"/>
      <c r="C946" s="23"/>
      <c r="D946" s="23"/>
      <c r="E946" s="23"/>
      <c r="F946" s="23"/>
      <c r="G946" s="2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25">
      <c r="A947" s="5"/>
      <c r="B947" s="71"/>
      <c r="C947" s="23"/>
      <c r="D947" s="23"/>
      <c r="E947" s="23"/>
      <c r="F947" s="23"/>
      <c r="G947" s="2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25">
      <c r="A948" s="5"/>
      <c r="B948" s="71"/>
      <c r="C948" s="23"/>
      <c r="D948" s="23"/>
      <c r="E948" s="23"/>
      <c r="F948" s="23"/>
      <c r="G948" s="2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25">
      <c r="A949" s="5"/>
      <c r="B949" s="71"/>
      <c r="C949" s="23"/>
      <c r="D949" s="23"/>
      <c r="E949" s="23"/>
      <c r="F949" s="23"/>
      <c r="G949" s="2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25">
      <c r="A950" s="5"/>
      <c r="B950" s="71"/>
      <c r="C950" s="23"/>
      <c r="D950" s="23"/>
      <c r="E950" s="23"/>
      <c r="F950" s="23"/>
      <c r="G950" s="2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25">
      <c r="A951" s="5"/>
      <c r="B951" s="71"/>
      <c r="C951" s="23"/>
      <c r="D951" s="23"/>
      <c r="E951" s="23"/>
      <c r="F951" s="23"/>
      <c r="G951" s="2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25">
      <c r="A952" s="5"/>
      <c r="B952" s="71"/>
      <c r="C952" s="23"/>
      <c r="D952" s="23"/>
      <c r="E952" s="23"/>
      <c r="F952" s="23"/>
      <c r="G952" s="2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25">
      <c r="A953" s="5"/>
      <c r="B953" s="71"/>
      <c r="C953" s="23"/>
      <c r="D953" s="23"/>
      <c r="E953" s="23"/>
      <c r="F953" s="23"/>
      <c r="G953" s="2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25">
      <c r="A954" s="5"/>
      <c r="B954" s="71"/>
      <c r="C954" s="23"/>
      <c r="D954" s="23"/>
      <c r="E954" s="23"/>
      <c r="F954" s="23"/>
      <c r="G954" s="2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25">
      <c r="A955" s="5"/>
      <c r="B955" s="71"/>
      <c r="C955" s="23"/>
      <c r="D955" s="23"/>
      <c r="E955" s="23"/>
      <c r="F955" s="23"/>
      <c r="G955" s="2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25">
      <c r="A956" s="5"/>
      <c r="B956" s="71"/>
      <c r="C956" s="23"/>
      <c r="D956" s="23"/>
      <c r="E956" s="23"/>
      <c r="F956" s="23"/>
      <c r="G956" s="2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25">
      <c r="A957" s="5"/>
      <c r="B957" s="71"/>
      <c r="C957" s="23"/>
      <c r="D957" s="23"/>
      <c r="E957" s="23"/>
      <c r="F957" s="23"/>
      <c r="G957" s="2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25">
      <c r="A958" s="5"/>
      <c r="B958" s="71"/>
      <c r="C958" s="23"/>
      <c r="D958" s="23"/>
      <c r="E958" s="23"/>
      <c r="F958" s="23"/>
      <c r="G958" s="2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25">
      <c r="A959" s="5"/>
      <c r="B959" s="71"/>
      <c r="C959" s="23"/>
      <c r="D959" s="23"/>
      <c r="E959" s="23"/>
      <c r="F959" s="23"/>
      <c r="G959" s="2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25">
      <c r="A960" s="5"/>
      <c r="B960" s="71"/>
      <c r="C960" s="23"/>
      <c r="D960" s="23"/>
      <c r="E960" s="23"/>
      <c r="F960" s="23"/>
      <c r="G960" s="2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25">
      <c r="A961" s="5"/>
      <c r="B961" s="71"/>
      <c r="C961" s="23"/>
      <c r="D961" s="23"/>
      <c r="E961" s="23"/>
      <c r="F961" s="23"/>
      <c r="G961" s="2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25">
      <c r="A962" s="5"/>
      <c r="B962" s="71"/>
      <c r="C962" s="23"/>
      <c r="D962" s="23"/>
      <c r="E962" s="23"/>
      <c r="F962" s="23"/>
      <c r="G962" s="2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25">
      <c r="A963" s="5"/>
      <c r="B963" s="71"/>
      <c r="C963" s="23"/>
      <c r="D963" s="23"/>
      <c r="E963" s="23"/>
      <c r="F963" s="23"/>
      <c r="G963" s="2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25">
      <c r="A964" s="5"/>
      <c r="B964" s="71"/>
      <c r="C964" s="23"/>
      <c r="D964" s="23"/>
      <c r="E964" s="23"/>
      <c r="F964" s="23"/>
      <c r="G964" s="2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25">
      <c r="A965" s="5"/>
      <c r="B965" s="71"/>
      <c r="C965" s="23"/>
      <c r="D965" s="23"/>
      <c r="E965" s="23"/>
      <c r="F965" s="23"/>
      <c r="G965" s="2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25">
      <c r="A966" s="5"/>
      <c r="B966" s="71"/>
      <c r="C966" s="23"/>
      <c r="D966" s="23"/>
      <c r="E966" s="23"/>
      <c r="F966" s="23"/>
      <c r="G966" s="2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25">
      <c r="A967" s="5"/>
      <c r="B967" s="71"/>
      <c r="C967" s="23"/>
      <c r="D967" s="23"/>
      <c r="E967" s="23"/>
      <c r="F967" s="23"/>
      <c r="G967" s="2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25">
      <c r="A968" s="5"/>
      <c r="B968" s="71"/>
      <c r="C968" s="23"/>
      <c r="D968" s="23"/>
      <c r="E968" s="23"/>
      <c r="F968" s="23"/>
      <c r="G968" s="2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25">
      <c r="A969" s="5"/>
      <c r="B969" s="71"/>
      <c r="C969" s="23"/>
      <c r="D969" s="23"/>
      <c r="E969" s="23"/>
      <c r="F969" s="23"/>
      <c r="G969" s="2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25">
      <c r="A970" s="5"/>
      <c r="B970" s="71"/>
      <c r="C970" s="23"/>
      <c r="D970" s="23"/>
      <c r="E970" s="23"/>
      <c r="F970" s="23"/>
      <c r="G970" s="2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25">
      <c r="A971" s="5"/>
      <c r="B971" s="71"/>
      <c r="C971" s="23"/>
      <c r="D971" s="23"/>
      <c r="E971" s="23"/>
      <c r="F971" s="23"/>
      <c r="G971" s="2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25">
      <c r="A972" s="5"/>
      <c r="B972" s="71"/>
      <c r="C972" s="23"/>
      <c r="D972" s="23"/>
      <c r="E972" s="23"/>
      <c r="F972" s="23"/>
      <c r="G972" s="2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25">
      <c r="A973" s="5"/>
      <c r="B973" s="71"/>
      <c r="C973" s="23"/>
      <c r="D973" s="23"/>
      <c r="E973" s="23"/>
      <c r="F973" s="23"/>
      <c r="G973" s="2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25">
      <c r="A974" s="5"/>
      <c r="B974" s="71"/>
      <c r="C974" s="23"/>
      <c r="D974" s="23"/>
      <c r="E974" s="23"/>
      <c r="F974" s="23"/>
      <c r="G974" s="2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25">
      <c r="A975" s="5"/>
      <c r="B975" s="71"/>
      <c r="C975" s="23"/>
      <c r="D975" s="23"/>
      <c r="E975" s="23"/>
      <c r="F975" s="23"/>
      <c r="G975" s="2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25">
      <c r="A976" s="5"/>
      <c r="B976" s="71"/>
      <c r="C976" s="23"/>
      <c r="D976" s="23"/>
      <c r="E976" s="23"/>
      <c r="F976" s="23"/>
      <c r="G976" s="2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25">
      <c r="A977" s="5"/>
      <c r="B977" s="71"/>
      <c r="C977" s="23"/>
      <c r="D977" s="23"/>
      <c r="E977" s="23"/>
      <c r="F977" s="23"/>
      <c r="G977" s="2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25">
      <c r="A978" s="5"/>
      <c r="B978" s="71"/>
      <c r="C978" s="23"/>
      <c r="D978" s="23"/>
      <c r="E978" s="23"/>
      <c r="F978" s="23"/>
      <c r="G978" s="2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25">
      <c r="A979" s="5"/>
      <c r="B979" s="71"/>
      <c r="C979" s="23"/>
      <c r="D979" s="23"/>
      <c r="E979" s="23"/>
      <c r="F979" s="23"/>
      <c r="G979" s="2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25">
      <c r="A980" s="5"/>
      <c r="B980" s="71"/>
      <c r="C980" s="23"/>
      <c r="D980" s="23"/>
      <c r="E980" s="23"/>
      <c r="F980" s="23"/>
      <c r="G980" s="2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25">
      <c r="A981" s="5"/>
      <c r="B981" s="71"/>
      <c r="C981" s="23"/>
      <c r="D981" s="23"/>
      <c r="E981" s="23"/>
      <c r="F981" s="23"/>
      <c r="G981" s="2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25">
      <c r="A982" s="5"/>
      <c r="B982" s="71"/>
      <c r="C982" s="23"/>
      <c r="D982" s="23"/>
      <c r="E982" s="23"/>
      <c r="F982" s="23"/>
      <c r="G982" s="2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25">
      <c r="A983" s="5"/>
      <c r="B983" s="71"/>
      <c r="C983" s="23"/>
      <c r="D983" s="23"/>
      <c r="E983" s="23"/>
      <c r="F983" s="23"/>
      <c r="G983" s="23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25">
      <c r="A984" s="5"/>
      <c r="B984" s="71"/>
      <c r="C984" s="23"/>
      <c r="D984" s="23"/>
      <c r="E984" s="23"/>
      <c r="F984" s="23"/>
      <c r="G984" s="23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25">
      <c r="A985" s="5"/>
      <c r="B985" s="71"/>
      <c r="C985" s="23"/>
      <c r="D985" s="23"/>
      <c r="E985" s="23"/>
      <c r="F985" s="23"/>
      <c r="G985" s="23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25">
      <c r="A986" s="5"/>
      <c r="B986" s="71"/>
      <c r="C986" s="23"/>
      <c r="D986" s="23"/>
      <c r="E986" s="23"/>
      <c r="F986" s="23"/>
      <c r="G986" s="23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25">
      <c r="A987" s="5"/>
      <c r="B987" s="71"/>
      <c r="C987" s="23"/>
      <c r="D987" s="23"/>
      <c r="E987" s="23"/>
      <c r="F987" s="23"/>
      <c r="G987" s="23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25">
      <c r="A988" s="5"/>
      <c r="B988" s="71"/>
      <c r="C988" s="23"/>
      <c r="D988" s="23"/>
      <c r="E988" s="23"/>
      <c r="F988" s="23"/>
      <c r="G988" s="23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25">
      <c r="A989" s="5"/>
      <c r="B989" s="71"/>
      <c r="C989" s="23"/>
      <c r="D989" s="23"/>
      <c r="E989" s="23"/>
      <c r="F989" s="23"/>
      <c r="G989" s="23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25">
      <c r="A990" s="5"/>
      <c r="B990" s="71"/>
      <c r="C990" s="23"/>
      <c r="D990" s="23"/>
      <c r="E990" s="23"/>
      <c r="F990" s="23"/>
      <c r="G990" s="23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25">
      <c r="A991" s="5"/>
      <c r="B991" s="71"/>
      <c r="C991" s="23"/>
      <c r="D991" s="23"/>
      <c r="E991" s="23"/>
      <c r="F991" s="23"/>
      <c r="G991" s="23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25">
      <c r="A992" s="5"/>
      <c r="B992" s="71"/>
      <c r="C992" s="23"/>
      <c r="D992" s="23"/>
      <c r="E992" s="23"/>
      <c r="F992" s="23"/>
      <c r="G992" s="23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25">
      <c r="A993" s="5"/>
      <c r="B993" s="71"/>
      <c r="C993" s="23"/>
      <c r="D993" s="23"/>
      <c r="E993" s="23"/>
      <c r="F993" s="23"/>
      <c r="G993" s="23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25">
      <c r="A994" s="5"/>
      <c r="B994" s="71"/>
      <c r="C994" s="23"/>
      <c r="D994" s="23"/>
      <c r="E994" s="23"/>
      <c r="F994" s="23"/>
      <c r="G994" s="23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25">
      <c r="A995" s="5"/>
      <c r="B995" s="71"/>
      <c r="C995" s="23"/>
      <c r="D995" s="23"/>
      <c r="E995" s="23"/>
      <c r="F995" s="23"/>
      <c r="G995" s="23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25">
      <c r="A996" s="5"/>
      <c r="B996" s="71"/>
      <c r="C996" s="23"/>
      <c r="D996" s="23"/>
      <c r="E996" s="23"/>
      <c r="F996" s="23"/>
      <c r="G996" s="23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25">
      <c r="A997" s="5"/>
      <c r="B997" s="71"/>
      <c r="C997" s="23"/>
      <c r="D997" s="23"/>
      <c r="E997" s="23"/>
      <c r="F997" s="23"/>
      <c r="G997" s="23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25">
      <c r="A998" s="5"/>
      <c r="B998" s="71"/>
      <c r="C998" s="23"/>
      <c r="D998" s="23"/>
      <c r="E998" s="23"/>
      <c r="F998" s="23"/>
      <c r="G998" s="23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25">
      <c r="A999" s="5"/>
      <c r="B999" s="71"/>
      <c r="C999" s="23"/>
      <c r="D999" s="23"/>
      <c r="E999" s="23"/>
      <c r="F999" s="23"/>
      <c r="G999" s="23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25">
      <c r="A1000" s="5"/>
      <c r="B1000" s="71"/>
      <c r="C1000" s="23"/>
      <c r="D1000" s="23"/>
      <c r="E1000" s="23"/>
      <c r="F1000" s="23"/>
      <c r="G1000" s="23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900-00001D000000}">
          <x14:colorSeries theme="1"/>
          <x14:sparklines>
            <x14:sparkline>
              <xm:f>Sparklines!B31:G31</xm:f>
              <xm:sqref>I31</xm:sqref>
            </x14:sparkline>
          </x14:sparklines>
        </x14:sparklineGroup>
        <x14:sparklineGroup displayEmptyCellsAs="gap" xr2:uid="{00000000-0003-0000-0900-00001C000000}">
          <x14:colorSeries theme="1"/>
          <x14:sparklines>
            <x14:sparkline>
              <xm:f>Sparklines!B30:G30</xm:f>
              <xm:sqref>I30</xm:sqref>
            </x14:sparkline>
          </x14:sparklines>
        </x14:sparklineGroup>
        <x14:sparklineGroup displayEmptyCellsAs="gap" xr2:uid="{00000000-0003-0000-0900-00001B000000}">
          <x14:colorSeries theme="1"/>
          <x14:sparklines>
            <x14:sparkline>
              <xm:f>Sparklines!B29:G29</xm:f>
              <xm:sqref>I29</xm:sqref>
            </x14:sparkline>
          </x14:sparklines>
        </x14:sparklineGroup>
        <x14:sparklineGroup displayEmptyCellsAs="gap" xr2:uid="{00000000-0003-0000-0900-00001A000000}">
          <x14:colorSeries theme="1"/>
          <x14:sparklines>
            <x14:sparkline>
              <xm:f>Sparklines!B28:G28</xm:f>
              <xm:sqref>I28</xm:sqref>
            </x14:sparkline>
          </x14:sparklines>
        </x14:sparklineGroup>
        <x14:sparklineGroup displayEmptyCellsAs="gap" xr2:uid="{00000000-0003-0000-0900-000019000000}">
          <x14:colorSeries theme="1"/>
          <x14:sparklines>
            <x14:sparkline>
              <xm:f>Sparklines!B27:G27</xm:f>
              <xm:sqref>I27</xm:sqref>
            </x14:sparkline>
          </x14:sparklines>
        </x14:sparklineGroup>
        <x14:sparklineGroup displayEmptyCellsAs="gap" xr2:uid="{00000000-0003-0000-0900-000018000000}">
          <x14:colorSeries theme="1"/>
          <x14:sparklines>
            <x14:sparkline>
              <xm:f>Sparklines!B26:G26</xm:f>
              <xm:sqref>I26</xm:sqref>
            </x14:sparkline>
          </x14:sparklines>
        </x14:sparklineGroup>
        <x14:sparklineGroup displayEmptyCellsAs="gap" xr2:uid="{00000000-0003-0000-0900-000017000000}">
          <x14:colorSeries theme="1"/>
          <x14:sparklines>
            <x14:sparkline>
              <xm:f>Sparklines!B25:G25</xm:f>
              <xm:sqref>I25</xm:sqref>
            </x14:sparkline>
          </x14:sparklines>
        </x14:sparklineGroup>
        <x14:sparklineGroup displayEmptyCellsAs="gap" xr2:uid="{00000000-0003-0000-0900-000016000000}">
          <x14:colorSeries theme="1"/>
          <x14:sparklines>
            <x14:sparkline>
              <xm:f>Sparklines!B24:G24</xm:f>
              <xm:sqref>I24</xm:sqref>
            </x14:sparkline>
          </x14:sparklines>
        </x14:sparklineGroup>
        <x14:sparklineGroup displayEmptyCellsAs="gap" xr2:uid="{00000000-0003-0000-0900-000015000000}">
          <x14:colorSeries theme="1"/>
          <x14:sparklines>
            <x14:sparkline>
              <xm:f>Sparklines!B23:G23</xm:f>
              <xm:sqref>I23</xm:sqref>
            </x14:sparkline>
          </x14:sparklines>
        </x14:sparklineGroup>
        <x14:sparklineGroup displayEmptyCellsAs="gap" xr2:uid="{00000000-0003-0000-0900-000014000000}">
          <x14:colorSeries theme="1"/>
          <x14:sparklines>
            <x14:sparkline>
              <xm:f>Sparklines!B22:G22</xm:f>
              <xm:sqref>I22</xm:sqref>
            </x14:sparkline>
          </x14:sparklines>
        </x14:sparklineGroup>
        <x14:sparklineGroup displayEmptyCellsAs="gap" xr2:uid="{00000000-0003-0000-0900-000013000000}">
          <x14:colorSeries theme="1"/>
          <x14:sparklines>
            <x14:sparkline>
              <xm:f>Sparklines!B21:G21</xm:f>
              <xm:sqref>I21</xm:sqref>
            </x14:sparkline>
          </x14:sparklines>
        </x14:sparklineGroup>
        <x14:sparklineGroup displayEmptyCellsAs="gap" xr2:uid="{00000000-0003-0000-0900-000012000000}">
          <x14:colorSeries theme="1"/>
          <x14:sparklines>
            <x14:sparkline>
              <xm:f>Sparklines!B20:G20</xm:f>
              <xm:sqref>I20</xm:sqref>
            </x14:sparkline>
          </x14:sparklines>
        </x14:sparklineGroup>
        <x14:sparklineGroup displayEmptyCellsAs="gap" xr2:uid="{00000000-0003-0000-0900-000011000000}">
          <x14:colorSeries theme="1"/>
          <x14:sparklines>
            <x14:sparkline>
              <xm:f>Sparklines!B19:G19</xm:f>
              <xm:sqref>I19</xm:sqref>
            </x14:sparkline>
          </x14:sparklines>
        </x14:sparklineGroup>
        <x14:sparklineGroup displayEmptyCellsAs="gap" xr2:uid="{00000000-0003-0000-0900-000010000000}">
          <x14:colorSeries theme="1"/>
          <x14:sparklines>
            <x14:sparkline>
              <xm:f>Sparklines!B18:G18</xm:f>
              <xm:sqref>I18</xm:sqref>
            </x14:sparkline>
          </x14:sparklines>
        </x14:sparklineGroup>
        <x14:sparklineGroup displayEmptyCellsAs="gap" xr2:uid="{00000000-0003-0000-0900-00000F000000}">
          <x14:colorSeries theme="1"/>
          <x14:sparklines>
            <x14:sparkline>
              <xm:f>Sparklines!B17:G17</xm:f>
              <xm:sqref>I17</xm:sqref>
            </x14:sparkline>
          </x14:sparklines>
        </x14:sparklineGroup>
        <x14:sparklineGroup displayEmptyCellsAs="gap" xr2:uid="{00000000-0003-0000-0900-00000E000000}">
          <x14:colorSeries theme="1"/>
          <x14:sparklines>
            <x14:sparkline>
              <xm:f>Sparklines!B16:G16</xm:f>
              <xm:sqref>I16</xm:sqref>
            </x14:sparkline>
          </x14:sparklines>
        </x14:sparklineGroup>
        <x14:sparklineGroup displayEmptyCellsAs="gap" xr2:uid="{00000000-0003-0000-0900-00000D000000}">
          <x14:colorSeries theme="1"/>
          <x14:sparklines>
            <x14:sparkline>
              <xm:f>Sparklines!B15:G15</xm:f>
              <xm:sqref>I15</xm:sqref>
            </x14:sparkline>
          </x14:sparklines>
        </x14:sparklineGroup>
        <x14:sparklineGroup displayEmptyCellsAs="gap" xr2:uid="{00000000-0003-0000-0900-00000C000000}">
          <x14:colorSeries theme="1"/>
          <x14:sparklines>
            <x14:sparkline>
              <xm:f>Sparklines!B14:G14</xm:f>
              <xm:sqref>I14</xm:sqref>
            </x14:sparkline>
          </x14:sparklines>
        </x14:sparklineGroup>
        <x14:sparklineGroup displayEmptyCellsAs="gap" xr2:uid="{00000000-0003-0000-0900-00000B000000}">
          <x14:colorSeries theme="1"/>
          <x14:sparklines>
            <x14:sparkline>
              <xm:f>Sparklines!B13:G13</xm:f>
              <xm:sqref>I13</xm:sqref>
            </x14:sparkline>
          </x14:sparklines>
        </x14:sparklineGroup>
        <x14:sparklineGroup displayEmptyCellsAs="gap" xr2:uid="{00000000-0003-0000-0900-00000A000000}">
          <x14:colorSeries theme="1"/>
          <x14:sparklines>
            <x14:sparkline>
              <xm:f>Sparklines!B12:G12</xm:f>
              <xm:sqref>I12</xm:sqref>
            </x14:sparkline>
          </x14:sparklines>
        </x14:sparklineGroup>
        <x14:sparklineGroup displayEmptyCellsAs="gap" xr2:uid="{00000000-0003-0000-0900-000009000000}">
          <x14:colorSeries theme="1"/>
          <x14:sparklines>
            <x14:sparkline>
              <xm:f>Sparklines!B11:G11</xm:f>
              <xm:sqref>I11</xm:sqref>
            </x14:sparkline>
          </x14:sparklines>
        </x14:sparklineGroup>
        <x14:sparklineGroup displayEmptyCellsAs="gap" xr2:uid="{00000000-0003-0000-0900-000008000000}">
          <x14:colorSeries theme="1"/>
          <x14:sparklines>
            <x14:sparkline>
              <xm:f>Sparklines!B10:G10</xm:f>
              <xm:sqref>I10</xm:sqref>
            </x14:sparkline>
          </x14:sparklines>
        </x14:sparklineGroup>
        <x14:sparklineGroup displayEmptyCellsAs="gap" xr2:uid="{00000000-0003-0000-0900-000007000000}">
          <x14:colorSeries theme="1"/>
          <x14:sparklines>
            <x14:sparkline>
              <xm:f>Sparklines!B9:G9</xm:f>
              <xm:sqref>I9</xm:sqref>
            </x14:sparkline>
          </x14:sparklines>
        </x14:sparklineGroup>
        <x14:sparklineGroup displayEmptyCellsAs="gap" xr2:uid="{00000000-0003-0000-0900-000006000000}">
          <x14:colorSeries theme="1"/>
          <x14:sparklines>
            <x14:sparkline>
              <xm:f>Sparklines!B8:G8</xm:f>
              <xm:sqref>I8</xm:sqref>
            </x14:sparkline>
          </x14:sparklines>
        </x14:sparklineGroup>
        <x14:sparklineGroup displayEmptyCellsAs="gap" xr2:uid="{00000000-0003-0000-0900-000005000000}">
          <x14:colorSeries theme="1"/>
          <x14:sparklines>
            <x14:sparkline>
              <xm:f>Sparklines!B7:G7</xm:f>
              <xm:sqref>I7</xm:sqref>
            </x14:sparkline>
          </x14:sparklines>
        </x14:sparklineGroup>
        <x14:sparklineGroup displayEmptyCellsAs="gap" xr2:uid="{00000000-0003-0000-0900-000004000000}">
          <x14:colorSeries theme="1"/>
          <x14:sparklines>
            <x14:sparkline>
              <xm:f>Sparklines!B6:G6</xm:f>
              <xm:sqref>I6</xm:sqref>
            </x14:sparkline>
          </x14:sparklines>
        </x14:sparklineGroup>
        <x14:sparklineGroup displayEmptyCellsAs="gap" xr2:uid="{00000000-0003-0000-0900-000003000000}">
          <x14:colorSeries theme="1"/>
          <x14:sparklines>
            <x14:sparkline>
              <xm:f>Sparklines!B5:G5</xm:f>
              <xm:sqref>I5</xm:sqref>
            </x14:sparkline>
          </x14:sparklines>
        </x14:sparklineGroup>
        <x14:sparklineGroup displayEmptyCellsAs="gap" xr2:uid="{00000000-0003-0000-0900-000002000000}">
          <x14:colorSeries theme="1"/>
          <x14:sparklines>
            <x14:sparkline>
              <xm:f>Sparklines!B4:G4</xm:f>
              <xm:sqref>I4</xm:sqref>
            </x14:sparkline>
          </x14:sparklines>
        </x14:sparklineGroup>
        <x14:sparklineGroup displayEmptyCellsAs="gap" xr2:uid="{00000000-0003-0000-0900-000001000000}">
          <x14:colorSeries theme="1"/>
          <x14:sparklines>
            <x14:sparkline>
              <xm:f>Sparklines!B3:G3</xm:f>
              <xm:sqref>I3</xm:sqref>
            </x14:sparkline>
          </x14:sparklines>
        </x14:sparklineGroup>
        <x14:sparklineGroup displayEmptyCellsAs="gap" xr2:uid="{00000000-0003-0000-0900-000000000000}">
          <x14:colorSeries theme="1"/>
          <x14:sparklines>
            <x14:sparkline>
              <xm:f>Sparklines!B2:G2</xm:f>
              <xm:sqref>I2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Z1000"/>
  <sheetViews>
    <sheetView showGridLines="0" workbookViewId="0"/>
  </sheetViews>
  <sheetFormatPr defaultColWidth="10.09765625" defaultRowHeight="15" customHeight="1" x14ac:dyDescent="0.25"/>
  <cols>
    <col min="1" max="26" width="7.19921875" customWidth="1"/>
  </cols>
  <sheetData>
    <row r="1" spans="1:26" ht="14.2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25">
      <c r="A19" s="5"/>
      <c r="B19" s="72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25">
      <c r="A20" s="5"/>
      <c r="B20" s="72"/>
      <c r="C20" s="7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topLeftCell="A17" workbookViewId="0"/>
  </sheetViews>
  <sheetFormatPr defaultColWidth="10.09765625" defaultRowHeight="15" customHeight="1" x14ac:dyDescent="0.25"/>
  <cols>
    <col min="1" max="1" width="11.5" customWidth="1"/>
    <col min="2" max="2" width="11.19921875" customWidth="1"/>
    <col min="3" max="3" width="14.59765625" customWidth="1"/>
    <col min="4" max="4" width="16.59765625" customWidth="1"/>
  </cols>
  <sheetData>
    <row r="1" spans="1:26" ht="18" x14ac:dyDescent="0.25">
      <c r="A1" s="74" t="s">
        <v>430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"/>
      <c r="B2" s="1"/>
      <c r="C2" s="1"/>
      <c r="D2" s="1"/>
      <c r="E2" s="1"/>
      <c r="F2" s="1"/>
      <c r="G2" s="96" t="s">
        <v>431</v>
      </c>
      <c r="H2" s="83"/>
      <c r="I2" s="83"/>
      <c r="J2" s="8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 x14ac:dyDescent="0.25">
      <c r="A3" s="75" t="s">
        <v>432</v>
      </c>
      <c r="B3" s="75" t="s">
        <v>363</v>
      </c>
      <c r="C3" s="75" t="s">
        <v>433</v>
      </c>
      <c r="D3" s="75" t="s">
        <v>434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 x14ac:dyDescent="0.25">
      <c r="A4" s="1" t="s">
        <v>435</v>
      </c>
      <c r="B4" s="1" t="s">
        <v>436</v>
      </c>
      <c r="C4" s="76">
        <v>44286</v>
      </c>
      <c r="D4" s="77">
        <v>856208</v>
      </c>
      <c r="E4" s="1"/>
      <c r="F4" s="78">
        <v>1</v>
      </c>
      <c r="G4" s="1" t="s">
        <v>437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 x14ac:dyDescent="0.25">
      <c r="A5" s="1" t="s">
        <v>435</v>
      </c>
      <c r="B5" s="1" t="s">
        <v>438</v>
      </c>
      <c r="C5" s="76">
        <v>44377</v>
      </c>
      <c r="D5" s="77">
        <v>903006</v>
      </c>
      <c r="E5" s="1"/>
      <c r="F5" s="78">
        <v>2</v>
      </c>
      <c r="G5" s="1" t="s">
        <v>439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x14ac:dyDescent="0.25">
      <c r="A6" s="1" t="s">
        <v>435</v>
      </c>
      <c r="B6" s="1" t="s">
        <v>440</v>
      </c>
      <c r="C6" s="76">
        <v>44377</v>
      </c>
      <c r="D6" s="77">
        <v>955424</v>
      </c>
      <c r="E6" s="1"/>
      <c r="F6" s="78">
        <v>3</v>
      </c>
      <c r="G6" s="1" t="s">
        <v>441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 x14ac:dyDescent="0.25">
      <c r="A7" s="1" t="s">
        <v>435</v>
      </c>
      <c r="B7" s="1" t="s">
        <v>440</v>
      </c>
      <c r="C7" s="76">
        <v>44286</v>
      </c>
      <c r="D7" s="77">
        <v>970517</v>
      </c>
      <c r="E7" s="1"/>
      <c r="F7" s="78">
        <v>4</v>
      </c>
      <c r="G7" s="1" t="s">
        <v>442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 x14ac:dyDescent="0.25">
      <c r="A8" s="1" t="s">
        <v>435</v>
      </c>
      <c r="B8" s="1" t="s">
        <v>440</v>
      </c>
      <c r="C8" s="76">
        <v>44469</v>
      </c>
      <c r="D8" s="77">
        <v>1013266</v>
      </c>
      <c r="E8" s="1"/>
      <c r="F8" s="78">
        <v>5</v>
      </c>
      <c r="G8" s="1" t="s">
        <v>443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 x14ac:dyDescent="0.25">
      <c r="A9" s="1" t="s">
        <v>435</v>
      </c>
      <c r="B9" s="1" t="s">
        <v>444</v>
      </c>
      <c r="C9" s="76">
        <v>44377</v>
      </c>
      <c r="D9" s="77">
        <v>1064145</v>
      </c>
      <c r="E9" s="1"/>
      <c r="F9" s="78">
        <v>6</v>
      </c>
      <c r="G9" s="1" t="s">
        <v>445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25">
      <c r="A10" s="1" t="s">
        <v>435</v>
      </c>
      <c r="B10" s="1" t="s">
        <v>438</v>
      </c>
      <c r="C10" s="76">
        <v>44286</v>
      </c>
      <c r="D10" s="77">
        <v>1141777</v>
      </c>
      <c r="E10" s="1"/>
      <c r="F10" s="78">
        <v>7</v>
      </c>
      <c r="G10" s="1" t="s">
        <v>446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25">
      <c r="A11" s="1" t="s">
        <v>435</v>
      </c>
      <c r="B11" s="1" t="s">
        <v>436</v>
      </c>
      <c r="C11" s="76">
        <v>44469</v>
      </c>
      <c r="D11" s="77">
        <v>1261584</v>
      </c>
      <c r="E11" s="1"/>
      <c r="F11" s="78">
        <v>8</v>
      </c>
      <c r="G11" s="1" t="s">
        <v>447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 x14ac:dyDescent="0.25">
      <c r="A12" s="1" t="s">
        <v>435</v>
      </c>
      <c r="B12" s="1" t="s">
        <v>444</v>
      </c>
      <c r="C12" s="76">
        <v>44469</v>
      </c>
      <c r="D12" s="77">
        <v>1267870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 x14ac:dyDescent="0.25">
      <c r="A13" s="1" t="s">
        <v>435</v>
      </c>
      <c r="B13" s="1" t="s">
        <v>438</v>
      </c>
      <c r="C13" s="76">
        <v>44469</v>
      </c>
      <c r="D13" s="77">
        <v>1416121</v>
      </c>
      <c r="E13" s="1"/>
      <c r="F13" s="1"/>
      <c r="G13" s="1" t="s">
        <v>448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 x14ac:dyDescent="0.25">
      <c r="A14" s="1" t="s">
        <v>435</v>
      </c>
      <c r="B14" s="1" t="s">
        <v>436</v>
      </c>
      <c r="C14" s="76">
        <v>44377</v>
      </c>
      <c r="D14" s="77">
        <v>1420494</v>
      </c>
      <c r="E14" s="1"/>
      <c r="F14" s="78">
        <v>1</v>
      </c>
      <c r="G14" s="1" t="s">
        <v>449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 x14ac:dyDescent="0.25">
      <c r="A15" s="1" t="s">
        <v>435</v>
      </c>
      <c r="B15" s="1" t="s">
        <v>444</v>
      </c>
      <c r="C15" s="76">
        <v>44286</v>
      </c>
      <c r="D15" s="77">
        <v>1499269</v>
      </c>
      <c r="E15" s="1"/>
      <c r="F15" s="78">
        <v>2</v>
      </c>
      <c r="G15" s="1" t="s">
        <v>450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 x14ac:dyDescent="0.25">
      <c r="A16" s="1" t="s">
        <v>451</v>
      </c>
      <c r="B16" s="1" t="s">
        <v>436</v>
      </c>
      <c r="C16" s="76">
        <v>44377</v>
      </c>
      <c r="D16" s="77">
        <v>894539</v>
      </c>
      <c r="E16" s="1"/>
      <c r="F16" s="78">
        <v>3</v>
      </c>
      <c r="G16" s="1" t="s">
        <v>452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 x14ac:dyDescent="0.25">
      <c r="A17" s="1" t="s">
        <v>451</v>
      </c>
      <c r="B17" s="1" t="s">
        <v>438</v>
      </c>
      <c r="C17" s="76">
        <v>44286</v>
      </c>
      <c r="D17" s="77">
        <v>898949</v>
      </c>
      <c r="E17" s="1"/>
      <c r="F17" s="78">
        <v>4</v>
      </c>
      <c r="G17" s="1" t="s">
        <v>453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 x14ac:dyDescent="0.25">
      <c r="A18" s="1" t="s">
        <v>451</v>
      </c>
      <c r="B18" s="1" t="s">
        <v>438</v>
      </c>
      <c r="C18" s="76">
        <v>44377</v>
      </c>
      <c r="D18" s="77">
        <v>906880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 x14ac:dyDescent="0.25">
      <c r="A19" s="1" t="s">
        <v>451</v>
      </c>
      <c r="B19" s="1" t="s">
        <v>444</v>
      </c>
      <c r="C19" s="76">
        <v>44469</v>
      </c>
      <c r="D19" s="77">
        <v>913945</v>
      </c>
      <c r="E19" s="1"/>
      <c r="F19" s="1"/>
      <c r="G19" s="79" t="s">
        <v>454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 x14ac:dyDescent="0.25">
      <c r="A20" s="1" t="s">
        <v>451</v>
      </c>
      <c r="B20" s="1" t="s">
        <v>436</v>
      </c>
      <c r="C20" s="76">
        <v>44469</v>
      </c>
      <c r="D20" s="77">
        <v>1023357</v>
      </c>
      <c r="E20" s="1"/>
      <c r="F20" s="97">
        <v>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 x14ac:dyDescent="0.25">
      <c r="A21" s="1" t="s">
        <v>451</v>
      </c>
      <c r="B21" s="1" t="s">
        <v>444</v>
      </c>
      <c r="C21" s="76">
        <v>44286</v>
      </c>
      <c r="D21" s="77">
        <v>1068137</v>
      </c>
      <c r="E21" s="1"/>
      <c r="F21" s="9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 x14ac:dyDescent="0.25">
      <c r="A22" s="1" t="s">
        <v>451</v>
      </c>
      <c r="B22" s="1" t="s">
        <v>440</v>
      </c>
      <c r="C22" s="76">
        <v>44377</v>
      </c>
      <c r="D22" s="77">
        <v>1163870</v>
      </c>
      <c r="E22" s="1"/>
      <c r="F22" s="8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 x14ac:dyDescent="0.25">
      <c r="A23" s="1" t="s">
        <v>451</v>
      </c>
      <c r="B23" s="1" t="s">
        <v>444</v>
      </c>
      <c r="C23" s="76">
        <v>44377</v>
      </c>
      <c r="D23" s="77">
        <v>1164510</v>
      </c>
      <c r="E23" s="1"/>
      <c r="F23" s="97">
        <v>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 x14ac:dyDescent="0.25">
      <c r="A24" s="1" t="s">
        <v>451</v>
      </c>
      <c r="B24" s="1" t="s">
        <v>436</v>
      </c>
      <c r="C24" s="76">
        <v>44286</v>
      </c>
      <c r="D24" s="77">
        <v>1213455</v>
      </c>
      <c r="E24" s="1"/>
      <c r="F24" s="94"/>
      <c r="G24" s="1"/>
      <c r="H24" s="1"/>
      <c r="I24" s="1"/>
      <c r="J24" s="1"/>
      <c r="K24" s="1"/>
      <c r="L24" s="81" t="s">
        <v>455</v>
      </c>
      <c r="M24" s="1" t="s">
        <v>456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 x14ac:dyDescent="0.25">
      <c r="A25" s="1" t="s">
        <v>451</v>
      </c>
      <c r="B25" s="1" t="s">
        <v>440</v>
      </c>
      <c r="C25" s="76">
        <v>44286</v>
      </c>
      <c r="D25" s="77">
        <v>1250695</v>
      </c>
      <c r="E25" s="1"/>
      <c r="F25" s="94"/>
      <c r="G25" s="1"/>
      <c r="H25" s="1"/>
      <c r="I25" s="1"/>
      <c r="J25" s="1"/>
      <c r="K25" s="1"/>
      <c r="L25" s="8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5" customHeight="1" x14ac:dyDescent="0.25">
      <c r="A26" s="1" t="s">
        <v>451</v>
      </c>
      <c r="B26" s="1" t="s">
        <v>438</v>
      </c>
      <c r="C26" s="76">
        <v>44469</v>
      </c>
      <c r="D26" s="77">
        <v>1280710</v>
      </c>
      <c r="E26" s="1"/>
      <c r="F26" s="94"/>
      <c r="G26" s="1"/>
      <c r="H26" s="1"/>
      <c r="I26" s="1"/>
      <c r="J26" s="1"/>
      <c r="K26" s="1"/>
      <c r="L26" s="81" t="s">
        <v>457</v>
      </c>
      <c r="M26" s="1" t="s">
        <v>458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5" customHeight="1" x14ac:dyDescent="0.25">
      <c r="A27" s="1" t="s">
        <v>451</v>
      </c>
      <c r="B27" s="1" t="s">
        <v>440</v>
      </c>
      <c r="C27" s="76">
        <v>44469</v>
      </c>
      <c r="D27" s="77">
        <v>1440870</v>
      </c>
      <c r="E27" s="1"/>
      <c r="F27" s="8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 x14ac:dyDescent="0.25">
      <c r="A28" s="1" t="s">
        <v>459</v>
      </c>
      <c r="B28" s="1" t="s">
        <v>444</v>
      </c>
      <c r="C28" s="76">
        <v>44377</v>
      </c>
      <c r="D28" s="77">
        <v>856808</v>
      </c>
      <c r="E28" s="1"/>
      <c r="F28" s="97">
        <v>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 x14ac:dyDescent="0.25">
      <c r="A29" s="1" t="s">
        <v>459</v>
      </c>
      <c r="B29" s="1" t="s">
        <v>438</v>
      </c>
      <c r="C29" s="76">
        <v>44377</v>
      </c>
      <c r="D29" s="77">
        <v>906792</v>
      </c>
      <c r="E29" s="1"/>
      <c r="F29" s="9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 x14ac:dyDescent="0.25">
      <c r="A30" s="1" t="s">
        <v>459</v>
      </c>
      <c r="B30" s="1" t="s">
        <v>440</v>
      </c>
      <c r="C30" s="76">
        <v>44286</v>
      </c>
      <c r="D30" s="77">
        <v>921439</v>
      </c>
      <c r="E30" s="1"/>
      <c r="F30" s="9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 x14ac:dyDescent="0.25">
      <c r="A31" s="1" t="s">
        <v>459</v>
      </c>
      <c r="B31" s="1" t="s">
        <v>436</v>
      </c>
      <c r="C31" s="76">
        <v>44377</v>
      </c>
      <c r="D31" s="77">
        <v>945886</v>
      </c>
      <c r="E31" s="1"/>
      <c r="F31" s="9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 x14ac:dyDescent="0.25">
      <c r="A32" s="1" t="s">
        <v>459</v>
      </c>
      <c r="B32" s="1" t="s">
        <v>436</v>
      </c>
      <c r="C32" s="76">
        <v>44286</v>
      </c>
      <c r="D32" s="77">
        <v>1104078</v>
      </c>
      <c r="E32" s="1"/>
      <c r="F32" s="8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 x14ac:dyDescent="0.25">
      <c r="A33" s="1" t="s">
        <v>459</v>
      </c>
      <c r="B33" s="1" t="s">
        <v>440</v>
      </c>
      <c r="C33" s="76">
        <v>44469</v>
      </c>
      <c r="D33" s="77">
        <v>1216894</v>
      </c>
      <c r="E33" s="1"/>
      <c r="F33" s="97">
        <v>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 x14ac:dyDescent="0.25">
      <c r="A34" s="1" t="s">
        <v>459</v>
      </c>
      <c r="B34" s="1" t="s">
        <v>444</v>
      </c>
      <c r="C34" s="76">
        <v>44286</v>
      </c>
      <c r="D34" s="77">
        <v>1242677</v>
      </c>
      <c r="E34" s="1"/>
      <c r="F34" s="9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 x14ac:dyDescent="0.25">
      <c r="A35" s="1" t="s">
        <v>459</v>
      </c>
      <c r="B35" s="1" t="s">
        <v>444</v>
      </c>
      <c r="C35" s="76">
        <v>44469</v>
      </c>
      <c r="D35" s="77">
        <v>1309137</v>
      </c>
      <c r="E35" s="1"/>
      <c r="F35" s="9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 x14ac:dyDescent="0.25">
      <c r="A36" s="1" t="s">
        <v>459</v>
      </c>
      <c r="B36" s="1" t="s">
        <v>438</v>
      </c>
      <c r="C36" s="76">
        <v>44469</v>
      </c>
      <c r="D36" s="77">
        <v>1331072</v>
      </c>
      <c r="E36" s="1"/>
      <c r="F36" s="9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 x14ac:dyDescent="0.25">
      <c r="A37" s="1" t="s">
        <v>459</v>
      </c>
      <c r="B37" s="1" t="s">
        <v>438</v>
      </c>
      <c r="C37" s="76">
        <v>44286</v>
      </c>
      <c r="D37" s="77">
        <v>1349854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 x14ac:dyDescent="0.25">
      <c r="A38" s="1" t="s">
        <v>459</v>
      </c>
      <c r="B38" s="1" t="s">
        <v>436</v>
      </c>
      <c r="C38" s="76">
        <v>44469</v>
      </c>
      <c r="D38" s="77">
        <v>1431195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customHeight="1" x14ac:dyDescent="0.25">
      <c r="A39" s="1" t="s">
        <v>459</v>
      </c>
      <c r="B39" s="1" t="s">
        <v>440</v>
      </c>
      <c r="C39" s="76">
        <v>44377</v>
      </c>
      <c r="D39" s="77">
        <v>1449931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 x14ac:dyDescent="0.25">
      <c r="A40" s="1" t="s">
        <v>460</v>
      </c>
      <c r="B40" s="1" t="s">
        <v>438</v>
      </c>
      <c r="C40" s="76">
        <v>44377</v>
      </c>
      <c r="D40" s="77">
        <v>894997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 x14ac:dyDescent="0.25">
      <c r="A41" s="1" t="s">
        <v>460</v>
      </c>
      <c r="B41" s="1" t="s">
        <v>436</v>
      </c>
      <c r="C41" s="76">
        <v>44377</v>
      </c>
      <c r="D41" s="77">
        <v>904338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 x14ac:dyDescent="0.25">
      <c r="A42" s="1" t="s">
        <v>460</v>
      </c>
      <c r="B42" s="1" t="s">
        <v>444</v>
      </c>
      <c r="C42" s="76">
        <v>44286</v>
      </c>
      <c r="D42" s="77">
        <v>907526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 x14ac:dyDescent="0.25">
      <c r="A43" s="1" t="s">
        <v>460</v>
      </c>
      <c r="B43" s="1" t="s">
        <v>440</v>
      </c>
      <c r="C43" s="76">
        <v>44469</v>
      </c>
      <c r="D43" s="77">
        <v>953786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 x14ac:dyDescent="0.25">
      <c r="A44" s="1" t="s">
        <v>460</v>
      </c>
      <c r="B44" s="1" t="s">
        <v>444</v>
      </c>
      <c r="C44" s="76">
        <v>44469</v>
      </c>
      <c r="D44" s="77">
        <v>962731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 x14ac:dyDescent="0.25">
      <c r="A45" s="1" t="s">
        <v>460</v>
      </c>
      <c r="B45" s="1" t="s">
        <v>440</v>
      </c>
      <c r="C45" s="76">
        <v>44377</v>
      </c>
      <c r="D45" s="77">
        <v>994590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 x14ac:dyDescent="0.25">
      <c r="A46" s="1" t="s">
        <v>460</v>
      </c>
      <c r="B46" s="1" t="s">
        <v>440</v>
      </c>
      <c r="C46" s="76">
        <v>44286</v>
      </c>
      <c r="D46" s="77">
        <v>1191364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customHeight="1" x14ac:dyDescent="0.25">
      <c r="A47" s="1" t="s">
        <v>460</v>
      </c>
      <c r="B47" s="1" t="s">
        <v>438</v>
      </c>
      <c r="C47" s="76">
        <v>44286</v>
      </c>
      <c r="D47" s="77">
        <v>1227391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2.5" customHeight="1" x14ac:dyDescent="0.25">
      <c r="A48" s="1" t="s">
        <v>460</v>
      </c>
      <c r="B48" s="1" t="s">
        <v>444</v>
      </c>
      <c r="C48" s="76">
        <v>44377</v>
      </c>
      <c r="D48" s="77">
        <v>1269010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2.5" customHeight="1" x14ac:dyDescent="0.25">
      <c r="A49" s="1" t="s">
        <v>460</v>
      </c>
      <c r="B49" s="1" t="s">
        <v>436</v>
      </c>
      <c r="C49" s="76">
        <v>44286</v>
      </c>
      <c r="D49" s="77">
        <v>1332342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2.5" customHeight="1" x14ac:dyDescent="0.25">
      <c r="A50" s="1" t="s">
        <v>460</v>
      </c>
      <c r="B50" s="1" t="s">
        <v>438</v>
      </c>
      <c r="C50" s="76">
        <v>44469</v>
      </c>
      <c r="D50" s="77">
        <v>1419314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2.5" customHeight="1" x14ac:dyDescent="0.25">
      <c r="A51" s="1" t="s">
        <v>460</v>
      </c>
      <c r="B51" s="1" t="s">
        <v>436</v>
      </c>
      <c r="C51" s="76">
        <v>44469</v>
      </c>
      <c r="D51" s="77">
        <v>1436093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G2:J2"/>
    <mergeCell ref="F20:F21"/>
    <mergeCell ref="F23:F26"/>
    <mergeCell ref="F28:F31"/>
    <mergeCell ref="F33:F36"/>
  </mergeCells>
  <conditionalFormatting sqref="D1:D1000">
    <cfRule type="cellIs" dxfId="3" priority="3" operator="greaterThan">
      <formula>1200001</formula>
    </cfRule>
  </conditionalFormatting>
  <conditionalFormatting sqref="D4:D51">
    <cfRule type="cellIs" dxfId="2" priority="1" operator="lessThan">
      <formula>1000000</formula>
    </cfRule>
    <cfRule type="cellIs" dxfId="1" priority="2" operator="between">
      <formula>1000001</formula>
      <formula>1200000</formula>
    </cfRule>
  </conditionalFormatting>
  <dataValidations count="3">
    <dataValidation type="list" allowBlank="1" sqref="B4:B51" xr:uid="{00000000-0002-0000-0B00-000000000000}">
      <formula1>"Uptown,Midtown,Downtown,Suburb"</formula1>
    </dataValidation>
    <dataValidation type="custom" allowBlank="1" showDropDown="1" sqref="C4:C51" xr:uid="{00000000-0002-0000-0B00-000001000000}">
      <formula1>OR(NOT(ISERROR(DATEVALUE(C4))), AND(ISNUMBER(C4), LEFT(CELL("format", C4))="D"))</formula1>
    </dataValidation>
    <dataValidation type="custom" allowBlank="1" showDropDown="1" sqref="D4:D51" xr:uid="{00000000-0002-0000-0B00-000002000000}">
      <formula1>AND(ISNUMBER(D4),(NOT(OR(NOT(ISERROR(DATEVALUE(D4))), AND(ISNUMBER(D4), LEFT(CELL("format", D4))="D")))))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6"/>
  <sheetViews>
    <sheetView showGridLines="0" workbookViewId="0"/>
  </sheetViews>
  <sheetFormatPr defaultColWidth="10.09765625" defaultRowHeight="15" customHeight="1" x14ac:dyDescent="0.25"/>
  <cols>
    <col min="1" max="6" width="12.3984375" customWidth="1"/>
  </cols>
  <sheetData>
    <row r="1" spans="1:6" x14ac:dyDescent="0.25">
      <c r="A1" s="98" t="s">
        <v>461</v>
      </c>
      <c r="B1" s="98" t="s">
        <v>363</v>
      </c>
      <c r="C1" s="99"/>
      <c r="D1" s="99"/>
      <c r="E1" s="99"/>
      <c r="F1" s="100"/>
    </row>
    <row r="2" spans="1:6" x14ac:dyDescent="0.25">
      <c r="A2" s="98" t="s">
        <v>432</v>
      </c>
      <c r="B2" s="101" t="s">
        <v>438</v>
      </c>
      <c r="C2" s="102" t="s">
        <v>440</v>
      </c>
      <c r="D2" s="102" t="s">
        <v>436</v>
      </c>
      <c r="E2" s="102" t="s">
        <v>444</v>
      </c>
      <c r="F2" s="103" t="s">
        <v>462</v>
      </c>
    </row>
    <row r="3" spans="1:6" x14ac:dyDescent="0.25">
      <c r="A3" s="101" t="s">
        <v>435</v>
      </c>
      <c r="B3" s="104">
        <v>1153634.6666666667</v>
      </c>
      <c r="C3" s="105">
        <v>979735.66666666663</v>
      </c>
      <c r="D3" s="105">
        <v>1179428.6666666667</v>
      </c>
      <c r="E3" s="105">
        <v>1277094.6666666667</v>
      </c>
      <c r="F3" s="106">
        <v>1147473.4166666667</v>
      </c>
    </row>
    <row r="4" spans="1:6" x14ac:dyDescent="0.25">
      <c r="A4" s="107" t="s">
        <v>451</v>
      </c>
      <c r="B4" s="108">
        <v>1028846.3333333334</v>
      </c>
      <c r="C4" s="109">
        <v>1285145</v>
      </c>
      <c r="D4" s="109">
        <v>1043783.6666666666</v>
      </c>
      <c r="E4" s="109">
        <v>1048864</v>
      </c>
      <c r="F4" s="110">
        <v>1101659.75</v>
      </c>
    </row>
    <row r="5" spans="1:6" x14ac:dyDescent="0.25">
      <c r="A5" s="107" t="s">
        <v>459</v>
      </c>
      <c r="B5" s="108">
        <v>1195906</v>
      </c>
      <c r="C5" s="109">
        <v>1196088</v>
      </c>
      <c r="D5" s="109">
        <v>1160386.3333333333</v>
      </c>
      <c r="E5" s="109">
        <v>1136207.3333333333</v>
      </c>
      <c r="F5" s="110">
        <v>1172146.9166666667</v>
      </c>
    </row>
    <row r="6" spans="1:6" x14ac:dyDescent="0.25">
      <c r="A6" s="111" t="s">
        <v>460</v>
      </c>
      <c r="B6" s="112">
        <v>1180567.3333333333</v>
      </c>
      <c r="C6" s="113">
        <v>1046580</v>
      </c>
      <c r="D6" s="113">
        <v>1224257.6666666667</v>
      </c>
      <c r="E6" s="113">
        <v>1046422.3333333334</v>
      </c>
      <c r="F6" s="114">
        <v>1124456.8333333333</v>
      </c>
    </row>
  </sheetData>
  <conditionalFormatting sqref="G10">
    <cfRule type="notContainsBlanks" dxfId="0" priority="1">
      <formula>LEN(TRIM(G10))&gt;0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13</vt:i4>
      </vt:variant>
    </vt:vector>
  </HeadingPairs>
  <TitlesOfParts>
    <vt:vector size="13" baseType="lpstr">
      <vt:lpstr>Створення таблиць</vt:lpstr>
      <vt:lpstr>Houses</vt:lpstr>
      <vt:lpstr>Pivot Table 1</vt:lpstr>
      <vt:lpstr>Фукнція IF</vt:lpstr>
      <vt:lpstr>SUMIF</vt:lpstr>
      <vt:lpstr>Unique</vt:lpstr>
      <vt:lpstr>SORT FUNCTION</vt:lpstr>
      <vt:lpstr>FILTER FUNCTION</vt:lpstr>
      <vt:lpstr>Побудова графіків</vt:lpstr>
      <vt:lpstr>Sparklines</vt:lpstr>
      <vt:lpstr>Pivot Table Diagram</vt:lpstr>
      <vt:lpstr>ДЗ</vt:lpstr>
      <vt:lpstr>Pivot Table_DZ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Олена Бабко</cp:lastModifiedBy>
  <dcterms:modified xsi:type="dcterms:W3CDTF">2025-11-18T08:57:55Z</dcterms:modified>
</cp:coreProperties>
</file>